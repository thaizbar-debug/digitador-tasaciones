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LISETH RAMIREZ\Desktop\FORMATOS XL 2026\"/>
    </mc:Choice>
  </mc:AlternateContent>
  <xr:revisionPtr revIDLastSave="0" documentId="13_ncr:1_{EE805B1C-1CF9-4009-A7FA-12FEC19DB08D}" xr6:coauthVersionLast="47" xr6:coauthVersionMax="47" xr10:uidLastSave="{00000000-0000-0000-0000-000000000000}"/>
  <bookViews>
    <workbookView xWindow="-120" yWindow="-120" windowWidth="29040" windowHeight="15720" firstSheet="2" activeTab="5" xr2:uid="{873B13D8-3D0D-4B23-AEEA-14F41949896E}"/>
  </bookViews>
  <sheets>
    <sheet name="HR-EXCLUSIVO TERMINADO" sheetId="13" state="hidden" r:id="rId1"/>
    <sheet name="RESUMEN" sheetId="28" state="hidden" r:id="rId2"/>
    <sheet name="C2" sheetId="40" r:id="rId3"/>
    <sheet name="PORTADA" sheetId="37" r:id="rId4"/>
    <sheet name="HR-BIEN FUTURO" sheetId="20" state="hidden" r:id="rId5"/>
    <sheet name="HR-COMÚN TERMINADO" sheetId="19" r:id="rId6"/>
    <sheet name="MEM. DESC. I" sheetId="1" r:id="rId7"/>
    <sheet name="MEM. DESC. II" sheetId="3" r:id="rId8"/>
    <sheet name="EST. MERCADO TERRENOS" sheetId="4" r:id="rId9"/>
    <sheet name="REPOSICIÓN" sheetId="5" r:id="rId10"/>
    <sheet name="CASO EN QUINTA (SI CORRESPONDE)" sheetId="21" state="hidden" r:id="rId11"/>
    <sheet name="COMPARACIÓN" sheetId="6" r:id="rId12"/>
    <sheet name="RESULTADOS" sheetId="7" r:id="rId13"/>
    <sheet name="ALQUILER" sheetId="29" state="hidden" r:id="rId14"/>
    <sheet name="Lista-Data" sheetId="12" state="hidden" r:id="rId15"/>
    <sheet name="DECLARACION JURADA" sheetId="31" state="hidden" r:id="rId16"/>
    <sheet name="ANEXO" sheetId="33" state="hidden" r:id="rId17"/>
    <sheet name="FOTO" sheetId="8" r:id="rId18"/>
    <sheet name="FOTO II" sheetId="30" r:id="rId19"/>
    <sheet name="FOTO III" sheetId="41" r:id="rId20"/>
    <sheet name="FOTO IV" sheetId="42" r:id="rId21"/>
    <sheet name="FOTO V " sheetId="43" r:id="rId22"/>
    <sheet name="RRPP" sheetId="10" r:id="rId23"/>
    <sheet name="RRPP (2)" sheetId="22" r:id="rId24"/>
    <sheet name="RRPP (3)" sheetId="23" r:id="rId25"/>
    <sheet name="RRPP (4)" sheetId="24" r:id="rId26"/>
    <sheet name="RRPP (5)" sheetId="25" r:id="rId27"/>
    <sheet name="RRPP (6)" sheetId="26" r:id="rId28"/>
    <sheet name="MUNICIPIO" sheetId="11" r:id="rId29"/>
    <sheet name="Hoja1" sheetId="32" state="hidden" r:id="rId30"/>
    <sheet name="MUNICIPIO (2)" sheetId="27" r:id="rId31"/>
    <sheet name="PLANO DE UBICACION" sheetId="34" r:id="rId32"/>
    <sheet name="PLANO DE ZONIFICACION" sheetId="35" r:id="rId33"/>
    <sheet name="SUSTENTO DE UBICACION" sheetId="36" r:id="rId34"/>
    <sheet name="MUESTRAS" sheetId="38" r:id="rId35"/>
    <sheet name="ANEXO MIC" sheetId="39" r:id="rId36"/>
    <sheet name="VUE" sheetId="18" state="very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10._AñO__DE_CONSTRUCCION_DEL_BIEN_INMUEBLE" localSheetId="13">#REF!</definedName>
    <definedName name="_10._AñO__DE_CONSTRUCCION_DEL_BIEN_INMUEBLE" localSheetId="15">#REF!</definedName>
    <definedName name="_10._AñO__DE_CONSTRUCCION_DEL_BIEN_INMUEBLE" localSheetId="18">#REF!</definedName>
    <definedName name="_10._AñO__DE_CONSTRUCCION_DEL_BIEN_INMUEBLE" localSheetId="20">#REF!</definedName>
    <definedName name="_10._AñO__DE_CONSTRUCCION_DEL_BIEN_INMUEBLE" localSheetId="21">#REF!</definedName>
    <definedName name="_10._AñO__DE_CONSTRUCCION_DEL_BIEN_INMUEBLE">#REF!</definedName>
    <definedName name="_xlnm._FilterDatabase" localSheetId="1" hidden="1">RESUMEN!$BH$1:$BQ$1</definedName>
    <definedName name="Altura" localSheetId="13">OFFSET(#REF!,0,0,COUNTA(#REF!)-1)</definedName>
    <definedName name="Altura" localSheetId="18">OFFSET(#REF!,0,0,COUNTA(#REF!)-1)</definedName>
    <definedName name="Altura" localSheetId="20">OFFSET(#REF!,0,0,COUNTA(#REF!)-1)</definedName>
    <definedName name="Altura" localSheetId="21">OFFSET(#REF!,0,0,COUNTA(#REF!)-1)</definedName>
    <definedName name="Altura">OFFSET(#REF!,0,0,COUNTA(#REF!)-1)</definedName>
    <definedName name="_xlnm.Print_Area" localSheetId="13">ALQUILER!$A$1:$AV$41</definedName>
    <definedName name="_xlnm.Print_Area" localSheetId="16">ANEXO!$A$1:$L$112</definedName>
    <definedName name="_xlnm.Print_Area" localSheetId="35">'ANEXO MIC'!$A$1:$J$61</definedName>
    <definedName name="_xlnm.Print_Area" localSheetId="2">'C2'!$A$1:$AR$106</definedName>
    <definedName name="_xlnm.Print_Area" localSheetId="10">'CASO EN QUINTA (SI CORRESPONDE)'!$A$1:$AC$92</definedName>
    <definedName name="_xlnm.Print_Area" localSheetId="11">COMPARACIÓN!$A$1:$AD$101</definedName>
    <definedName name="_xlnm.Print_Area" localSheetId="15">'DECLARACION JURADA'!$A$1:$AV$33</definedName>
    <definedName name="_xlnm.Print_Area" localSheetId="8">'EST. MERCADO TERRENOS'!$A$1:$AD$85</definedName>
    <definedName name="_xlnm.Print_Area" localSheetId="17">FOTO!$A$1:$AD$92</definedName>
    <definedName name="_xlnm.Print_Area" localSheetId="18">'FOTO II'!$A$1:$AD$92</definedName>
    <definedName name="_xlnm.Print_Area" localSheetId="19">'FOTO III'!$A$1:$AD$92</definedName>
    <definedName name="_xlnm.Print_Area" localSheetId="20">'FOTO IV'!$A$1:$AD$92</definedName>
    <definedName name="_xlnm.Print_Area" localSheetId="21">'FOTO V '!$A$1:$AD$92</definedName>
    <definedName name="_xlnm.Print_Area" localSheetId="4">'HR-BIEN FUTURO'!$A$1:$AD$120</definedName>
    <definedName name="_xlnm.Print_Area" localSheetId="5">'HR-COMÚN TERMINADO'!$A$1:$AD$130</definedName>
    <definedName name="_xlnm.Print_Area" localSheetId="0">'HR-EXCLUSIVO TERMINADO'!$A$1:$AD$118</definedName>
    <definedName name="_xlnm.Print_Area" localSheetId="6">'MEM. DESC. I'!$A$1:$AD$111</definedName>
    <definedName name="_xlnm.Print_Area" localSheetId="7">'MEM. DESC. II'!$A$1:$AD$124</definedName>
    <definedName name="_xlnm.Print_Area" localSheetId="34">MUESTRAS!$A$1:$BI$92</definedName>
    <definedName name="_xlnm.Print_Area" localSheetId="28">MUNICIPIO!$A$1:$AD$92</definedName>
    <definedName name="_xlnm.Print_Area" localSheetId="30">'MUNICIPIO (2)'!$A$1:$AD$92</definedName>
    <definedName name="_xlnm.Print_Area" localSheetId="31">'PLANO DE UBICACION'!$A$1:$AD$92</definedName>
    <definedName name="_xlnm.Print_Area" localSheetId="32">'PLANO DE ZONIFICACION'!$A$1:$AD$92</definedName>
    <definedName name="_xlnm.Print_Area" localSheetId="3">PORTADA!$A$1:$AF$77</definedName>
    <definedName name="_xlnm.Print_Area" localSheetId="9">REPOSICIÓN!$A$1:$AC$106</definedName>
    <definedName name="_xlnm.Print_Area" localSheetId="12">RESULTADOS!$A$1:$AD$101</definedName>
    <definedName name="_xlnm.Print_Area" localSheetId="1">RESUMEN!$A$1:$BF$123</definedName>
    <definedName name="_xlnm.Print_Area" localSheetId="22">RRPP!$A$1:$AD$92</definedName>
    <definedName name="_xlnm.Print_Area" localSheetId="23">'RRPP (2)'!$A$1:$AD$92</definedName>
    <definedName name="_xlnm.Print_Area" localSheetId="24">'RRPP (3)'!$A$1:$AD$92</definedName>
    <definedName name="_xlnm.Print_Area" localSheetId="25">'RRPP (4)'!$A$1:$AD$92</definedName>
    <definedName name="_xlnm.Print_Area" localSheetId="26">'RRPP (5)'!$A$1:$AD$92</definedName>
    <definedName name="_xlnm.Print_Area" localSheetId="27">'RRPP (6)'!$A$1:$AD$92</definedName>
    <definedName name="AREADE" localSheetId="13">#REF!</definedName>
    <definedName name="AREADE" localSheetId="15">#REF!</definedName>
    <definedName name="AREADE" localSheetId="18">#REF!</definedName>
    <definedName name="AREADE" localSheetId="20">#REF!</definedName>
    <definedName name="AREADE" localSheetId="21">#REF!</definedName>
    <definedName name="AREADE">#REF!</definedName>
    <definedName name="AREAOCUP" localSheetId="13">#REF!</definedName>
    <definedName name="AREAOCUP" localSheetId="18">#REF!</definedName>
    <definedName name="AREAOCUP" localSheetId="20">#REF!</definedName>
    <definedName name="AREAOCUP" localSheetId="21">#REF!</definedName>
    <definedName name="AREAOCUP">#REF!</definedName>
    <definedName name="ÁreaOcupadaPrincipal">'[1]MEM. DESC. II'!$AF$36</definedName>
    <definedName name="ÁreaOcupadaSecundaria">'[1]MEM. DESC. II'!$AF$46</definedName>
    <definedName name="ÁreaOcupadaTotal">'[1]MEM. DESC. II'!$AF$48</definedName>
    <definedName name="ÁreasComunes" localSheetId="13">OFFSET(#REF!,0,0,COUNTA(#REF!)-1)</definedName>
    <definedName name="ÁreasComunes" localSheetId="18">OFFSET(#REF!,0,0,COUNTA(#REF!)-1)</definedName>
    <definedName name="ÁreasComunes" localSheetId="20">OFFSET(#REF!,0,0,COUNTA(#REF!)-1)</definedName>
    <definedName name="ÁreasComunes" localSheetId="21">OFFSET(#REF!,0,0,COUNTA(#REF!)-1)</definedName>
    <definedName name="ÁreasComunes">OFFSET(#REF!,0,0,COUNTA(#REF!)-1)</definedName>
    <definedName name="ÁreaTechada" localSheetId="16">'[2]MD Áreas'!$K$40</definedName>
    <definedName name="ÁreaTechada" localSheetId="2">'[3]MD Áreas'!$K$40</definedName>
    <definedName name="ÁreaTechada" localSheetId="3">'[3]MD Áreas'!$K$40</definedName>
    <definedName name="ÁreaTechada">'[2]MD Áreas'!$K$40</definedName>
    <definedName name="ÁreaTechadaPrincipal">'[1]MEM. DESC. II'!$K$36</definedName>
    <definedName name="ÁreaTechadaTotal">'[1]MEM. DESC. II'!$AF$38</definedName>
    <definedName name="ÁreaTerreno" localSheetId="16">'[2]MD Áreas'!$S$30</definedName>
    <definedName name="ÁreaTerreno" localSheetId="35">'[1]MEM. DESC. II'!$S$23</definedName>
    <definedName name="ÁreaTerreno" localSheetId="2">'[3]MD Áreas'!$S$30</definedName>
    <definedName name="ÁreaTerreno" localSheetId="3">'[1]MEM. DESC. II'!$S$23</definedName>
    <definedName name="ÁreaTerreno">'[2]MD Áreas'!$S$30</definedName>
    <definedName name="Ascensor" localSheetId="13">OFFSET(#REF!,0,0,COUNTA(#REF!)-1)</definedName>
    <definedName name="Ascensor" localSheetId="18">OFFSET(#REF!,0,0,COUNTA(#REF!)-1)</definedName>
    <definedName name="Ascensor" localSheetId="20">OFFSET(#REF!,0,0,COUNTA(#REF!)-1)</definedName>
    <definedName name="Ascensor" localSheetId="21">OFFSET(#REF!,0,0,COUNTA(#REF!)-1)</definedName>
    <definedName name="Ascensor">OFFSET(#REF!,0,0,COUNTA(#REF!)-1)</definedName>
    <definedName name="BAÑO_COLOR">OFFSET('[1]Lista-Data'!$BB$4,0,0,COUNTA('[1]Lista-Data'!$BB:$BB)-1)</definedName>
    <definedName name="BAÑO_GRIFERÍA">OFFSET('[1]Lista-Data'!$BC$4,0,0,COUNTA('[1]Lista-Data'!$BC:$BC)-1)</definedName>
    <definedName name="BAÑO_TIPO">OFFSET('[1]Lista-Data'!$BA$4,0,0,COUNTA('[1]Lista-Data'!$BA:$BA)-1)</definedName>
    <definedName name="BañoColor" localSheetId="13">OFFSET(#REF!,0,0,COUNTA(#REF!)-1)</definedName>
    <definedName name="BañoColor" localSheetId="18">OFFSET(#REF!,0,0,COUNTA(#REF!)-1)</definedName>
    <definedName name="BañoColor" localSheetId="20">OFFSET(#REF!,0,0,COUNTA(#REF!)-1)</definedName>
    <definedName name="BañoColor" localSheetId="21">OFFSET(#REF!,0,0,COUNTA(#REF!)-1)</definedName>
    <definedName name="BañoColor">OFFSET(#REF!,0,0,COUNTA(#REF!)-1)</definedName>
    <definedName name="BañoGrifería" localSheetId="13">OFFSET(#REF!,0,0,COUNTA(#REF!)-1)</definedName>
    <definedName name="BañoGrifería" localSheetId="18">OFFSET(#REF!,0,0,COUNTA(#REF!)-1)</definedName>
    <definedName name="BañoGrifería" localSheetId="20">OFFSET(#REF!,0,0,COUNTA(#REF!)-1)</definedName>
    <definedName name="BañoGrifería" localSheetId="21">OFFSET(#REF!,0,0,COUNTA(#REF!)-1)</definedName>
    <definedName name="BañoGrifería">OFFSET(#REF!,0,0,COUNTA(#REF!)-1)</definedName>
    <definedName name="BañoTipo" localSheetId="13">OFFSET(#REF!,0,0,COUNTA(#REF!)-2)</definedName>
    <definedName name="BañoTipo" localSheetId="18">OFFSET(#REF!,0,0,COUNTA(#REF!)-2)</definedName>
    <definedName name="BañoTipo" localSheetId="20">OFFSET(#REF!,0,0,COUNTA(#REF!)-2)</definedName>
    <definedName name="BañoTipo" localSheetId="21">OFFSET(#REF!,0,0,COUNTA(#REF!)-2)</definedName>
    <definedName name="BañoTipo">OFFSET(#REF!,0,0,COUNTA(#REF!)-2)</definedName>
    <definedName name="Caducidad" localSheetId="16">'[2]MD Datos'!$Z$15</definedName>
    <definedName name="Caducidad" localSheetId="35">'[1]MEM. DESC. I'!$Z$4</definedName>
    <definedName name="Caducidad" localSheetId="2">'[3]MD Datos'!$Z$15</definedName>
    <definedName name="Caducidad" localSheetId="3">'[1]MEM. DESC. I'!$Z$4</definedName>
    <definedName name="Caducidad">'[2]MD Datos'!$Z$15</definedName>
    <definedName name="Calidad" localSheetId="13">OFFSET(#REF!,0,0,COUNTA(#REF!)-1)</definedName>
    <definedName name="Calidad" localSheetId="18">OFFSET(#REF!,0,0,COUNTA(#REF!)-1)</definedName>
    <definedName name="Calidad" localSheetId="20">OFFSET(#REF!,0,0,COUNTA(#REF!)-1)</definedName>
    <definedName name="Calidad" localSheetId="21">OFFSET(#REF!,0,0,COUNTA(#REF!)-1)</definedName>
    <definedName name="Calidad">OFFSET(#REF!,0,0,COUNTA(#REF!)-1)</definedName>
    <definedName name="Cerrajería" localSheetId="13">OFFSET(#REF!,0,0,COUNTA(#REF!)-1)</definedName>
    <definedName name="CERRAJERÍA" localSheetId="35">OFFSET('[1]Lista-Data'!$BG$3,0,0,COUNTA('[1]Lista-Data'!$BG:$BG)-1)</definedName>
    <definedName name="Cerrajería" localSheetId="18">OFFSET(#REF!,0,0,COUNTA(#REF!)-1)</definedName>
    <definedName name="Cerrajería" localSheetId="20">OFFSET(#REF!,0,0,COUNTA(#REF!)-1)</definedName>
    <definedName name="Cerrajería" localSheetId="21">OFFSET(#REF!,0,0,COUNTA(#REF!)-1)</definedName>
    <definedName name="CERRAJERÍA" localSheetId="3">OFFSET('[1]Lista-Data'!$BG$3,0,0,COUNTA('[1]Lista-Data'!$BG:$BG)-1)</definedName>
    <definedName name="Cerrajería">OFFSET(#REF!,0,0,COUNTA(#REF!)-1)</definedName>
    <definedName name="Cimentación" localSheetId="13">OFFSET(#REF!,0,0,COUNTA(#REF!)-1)</definedName>
    <definedName name="CIMENTACIÓN" localSheetId="35">OFFSET('[1]Lista-Data'!$AF$3,0,0,COUNTA('[1]Lista-Data'!$AF:$AF)-1)</definedName>
    <definedName name="Cimentación" localSheetId="18">OFFSET(#REF!,0,0,COUNTA(#REF!)-1)</definedName>
    <definedName name="Cimentación" localSheetId="20">OFFSET(#REF!,0,0,COUNTA(#REF!)-1)</definedName>
    <definedName name="Cimentación" localSheetId="21">OFFSET(#REF!,0,0,COUNTA(#REF!)-1)</definedName>
    <definedName name="CIMENTACIÓN" localSheetId="3">OFFSET('[1]Lista-Data'!$AF$3,0,0,COUNTA('[1]Lista-Data'!$AF:$AF)-1)</definedName>
    <definedName name="Cimentación">OFFSET(#REF!,0,0,COUNTA(#REF!)-1)</definedName>
    <definedName name="Clase" localSheetId="13">OFFSET(#REF!,0,0,COUNTA(#REF!)-1)</definedName>
    <definedName name="Clase" localSheetId="18">OFFSET(#REF!,0,0,COUNTA(#REF!)-1)</definedName>
    <definedName name="Clase" localSheetId="20">OFFSET(#REF!,0,0,COUNTA(#REF!)-1)</definedName>
    <definedName name="Clase" localSheetId="21">OFFSET(#REF!,0,0,COUNTA(#REF!)-1)</definedName>
    <definedName name="Clase">OFFSET(#REF!,0,0,COUNTA(#REF!)-1)</definedName>
    <definedName name="Cliente">'[1]MEM. DESC. I'!$J$32</definedName>
    <definedName name="Closet" localSheetId="13">OFFSET(#REF!,0,0,COUNTA(#REF!)-1)</definedName>
    <definedName name="Closet" localSheetId="18">OFFSET(#REF!,0,0,COUNTA(#REF!)-1)</definedName>
    <definedName name="Closet" localSheetId="20">OFFSET(#REF!,0,0,COUNTA(#REF!)-1)</definedName>
    <definedName name="Closet" localSheetId="21">OFFSET(#REF!,0,0,COUNTA(#REF!)-1)</definedName>
    <definedName name="Closet">OFFSET(#REF!,0,0,COUNTA(#REF!)-1)</definedName>
    <definedName name="CLOSETS_TIPO">OFFSET('[1]Lista-Data'!$BD$3,0,0,COUNTA('[1]Lista-Data'!$BD:$BD)-1)</definedName>
    <definedName name="Cobertura" localSheetId="13">OFFSET(#REF!,0,0,COUNTA(#REF!)-1)</definedName>
    <definedName name="COBERTURA" localSheetId="35">OFFSET('[1]Lista-Data'!$AJ$3,0,0,COUNTA('[1]Lista-Data'!$AJ:$AJ)-1)</definedName>
    <definedName name="Cobertura" localSheetId="18">OFFSET(#REF!,0,0,COUNTA(#REF!)-1)</definedName>
    <definedName name="Cobertura" localSheetId="20">OFFSET(#REF!,0,0,COUNTA(#REF!)-1)</definedName>
    <definedName name="Cobertura" localSheetId="21">OFFSET(#REF!,0,0,COUNTA(#REF!)-1)</definedName>
    <definedName name="COBERTURA" localSheetId="3">OFFSET('[1]Lista-Data'!$AJ$3,0,0,COUNTA('[1]Lista-Data'!$AJ:$AJ)-1)</definedName>
    <definedName name="Cobertura">OFFSET(#REF!,0,0,COUNTA(#REF!)-1)</definedName>
    <definedName name="COCINA_LAVADERO">OFFSET('[1]Lista-Data'!$AZ$4,0,0,COUNTA('[1]Lista-Data'!$AZ:$AZ)-1)</definedName>
    <definedName name="COCINA_MATERIAL">OFFSET('[1]Lista-Data'!$AX$4,0,0,COUNTA('[1]Lista-Data'!$AX:$AX)-1)</definedName>
    <definedName name="COCINA_TABLERO">OFFSET('[1]Lista-Data'!$AY$4,0,0,COUNTA('[1]Lista-Data'!$AY:$AY)-1)</definedName>
    <definedName name="COCINA_TIPO">OFFSET('[1]Lista-Data'!$AW$4,0,0,COUNTA('[1]Lista-Data'!$AW:$AW)-1)</definedName>
    <definedName name="Comparación" localSheetId="13">OFFSET(#REF!,0,0,COUNTA(#REF!)-1)</definedName>
    <definedName name="Comparación" localSheetId="35">OFFSET('[1]Lista-Data'!$BH$3,0,0,COUNTA('[1]Lista-Data'!$BH:$BH)-1)</definedName>
    <definedName name="Comparación" localSheetId="18">OFFSET(#REF!,0,0,COUNTA(#REF!)-1)</definedName>
    <definedName name="Comparación" localSheetId="20">OFFSET(#REF!,0,0,COUNTA(#REF!)-1)</definedName>
    <definedName name="Comparación" localSheetId="21">OFFSET(#REF!,0,0,COUNTA(#REF!)-1)</definedName>
    <definedName name="Comparación" localSheetId="3">OFFSET('[1]Lista-Data'!$BH$3,0,0,COUNTA('[1]Lista-Data'!$BH:$BH)-1)</definedName>
    <definedName name="Comparación">OFFSET(#REF!,0,0,COUNTA(#REF!)-1)</definedName>
    <definedName name="Concepto" localSheetId="13">OFFSET(#REF!,0,0,COUNTA(#REF!)-2)</definedName>
    <definedName name="Concepto" localSheetId="18">OFFSET(#REF!,0,0,COUNTA(#REF!)-2)</definedName>
    <definedName name="Concepto" localSheetId="20">OFFSET(#REF!,0,0,COUNTA(#REF!)-2)</definedName>
    <definedName name="Concepto" localSheetId="21">OFFSET(#REF!,0,0,COUNTA(#REF!)-2)</definedName>
    <definedName name="Concepto">OFFSET(#REF!,0,0,COUNTA(#REF!)-2)</definedName>
    <definedName name="Conservación" localSheetId="13">OFFSET(#REF!,0,0,COUNTA(#REF!)-1)</definedName>
    <definedName name="Conservación" localSheetId="18">OFFSET(#REF!,0,0,COUNTA(#REF!)-1)</definedName>
    <definedName name="Conservación" localSheetId="20">OFFSET(#REF!,0,0,COUNTA(#REF!)-1)</definedName>
    <definedName name="Conservación" localSheetId="21">OFFSET(#REF!,0,0,COUNTA(#REF!)-1)</definedName>
    <definedName name="Conservación">OFFSET(#REF!,0,0,COUNTA(#REF!)-1)</definedName>
    <definedName name="Demanda" localSheetId="13">OFFSET(#REF!,0,0,COUNTA(#REF!)-1)</definedName>
    <definedName name="Demanda" localSheetId="18">OFFSET(#REF!,0,0,COUNTA(#REF!)-1)</definedName>
    <definedName name="Demanda" localSheetId="20">OFFSET(#REF!,0,0,COUNTA(#REF!)-1)</definedName>
    <definedName name="Demanda" localSheetId="21">OFFSET(#REF!,0,0,COUNTA(#REF!)-1)</definedName>
    <definedName name="Demanda">OFFSET(#REF!,0,0,COUNTA(#REF!)-1)</definedName>
    <definedName name="Desarrollo" localSheetId="13">OFFSET(#REF!,0,0,COUNTA(#REF!)-1)</definedName>
    <definedName name="Desarrollo" localSheetId="18">OFFSET(#REF!,0,0,COUNTA(#REF!)-1)</definedName>
    <definedName name="Desarrollo" localSheetId="20">OFFSET(#REF!,0,0,COUNTA(#REF!)-1)</definedName>
    <definedName name="Desarrollo" localSheetId="21">OFFSET(#REF!,0,0,COUNTA(#REF!)-1)</definedName>
    <definedName name="Desarrollo">OFFSET(#REF!,0,0,COUNTA(#REF!)-1)</definedName>
    <definedName name="DesarrolloUrbano" localSheetId="13">OFFSET(#REF!,0,0,COUNTA(#REF!)-1)</definedName>
    <definedName name="DesarrolloUrbano" localSheetId="18">OFFSET(#REF!,0,0,COUNTA(#REF!)-1)</definedName>
    <definedName name="DesarrolloUrbano" localSheetId="20">OFFSET(#REF!,0,0,COUNTA(#REF!)-1)</definedName>
    <definedName name="DesarrolloUrbano" localSheetId="21">OFFSET(#REF!,0,0,COUNTA(#REF!)-1)</definedName>
    <definedName name="DesarrolloUrbano">OFFSET(#REF!,0,0,COUNTA(#REF!)-1)</definedName>
    <definedName name="DirecInSitu" localSheetId="16">'[2]MD Datos'!$J$51</definedName>
    <definedName name="DirecInSitu" localSheetId="35">'[1]MEM. DESC. I'!$J$44</definedName>
    <definedName name="DirecInSitu" localSheetId="2">'[3]MD Datos'!$J$51</definedName>
    <definedName name="DirecInSitu" localSheetId="3">'[1]MEM. DESC. I'!$J$44</definedName>
    <definedName name="DirecInSitu">'[2]MD Datos'!$J$51</definedName>
    <definedName name="DIRECMUNICIPAL">'[1]MEM. DESC. I'!$J$41</definedName>
    <definedName name="DirecPU" localSheetId="16">'[2]MD Datos'!$J$49</definedName>
    <definedName name="DirecPU" localSheetId="2">'[3]MD Datos'!$J$49</definedName>
    <definedName name="DirecPU" localSheetId="3">'[3]MD Datos'!$J$49</definedName>
    <definedName name="DirecPU">'[2]MD Datos'!$J$49</definedName>
    <definedName name="DirecRegistral" localSheetId="16">'[2]MD Datos'!$J$47</definedName>
    <definedName name="DirecRegistral" localSheetId="35">'[1]MEM. DESC. I'!$J$38</definedName>
    <definedName name="DirecRegistral" localSheetId="2">'[3]MD Datos'!$J$47</definedName>
    <definedName name="DirecRegistral" localSheetId="3">'[1]MEM. DESC. I'!$J$38</definedName>
    <definedName name="DirecRegistral">'[2]MD Datos'!$J$47</definedName>
    <definedName name="EDIFICACION" localSheetId="2">[4]Hoja4!$B$2:$B$6</definedName>
    <definedName name="EDIFICACION">[5]Hoja4!$B$2:$B$6</definedName>
    <definedName name="Equipamiento" localSheetId="13">OFFSET(#REF!,0,0,COUNTA(#REF!)-1)</definedName>
    <definedName name="Equipamiento" localSheetId="18">OFFSET(#REF!,0,0,COUNTA(#REF!)-1)</definedName>
    <definedName name="Equipamiento" localSheetId="20">OFFSET(#REF!,0,0,COUNTA(#REF!)-1)</definedName>
    <definedName name="Equipamiento" localSheetId="21">OFFSET(#REF!,0,0,COUNTA(#REF!)-1)</definedName>
    <definedName name="Equipamiento">OFFSET(#REF!,0,0,COUNTA(#REF!)-1)</definedName>
    <definedName name="Estado" localSheetId="13">OFFSET(#REF!,0,0,COUNTA(#REF!)-1)</definedName>
    <definedName name="Estado" localSheetId="18">OFFSET(#REF!,0,0,COUNTA(#REF!)-1)</definedName>
    <definedName name="Estado" localSheetId="20">OFFSET(#REF!,0,0,COUNTA(#REF!)-1)</definedName>
    <definedName name="Estado" localSheetId="21">OFFSET(#REF!,0,0,COUNTA(#REF!)-1)</definedName>
    <definedName name="Estado">OFFSET(#REF!,0,0,COUNTA(#REF!)-1)</definedName>
    <definedName name="EstadoConservacion">[6]DATOS!$E$1:$E$5</definedName>
    <definedName name="Estructura" localSheetId="13">OFFSET(#REF!,0,0,COUNTA(#REF!)-1)</definedName>
    <definedName name="ESTRUCTURA" localSheetId="35">OFFSET('[1]Lista-Data'!$AG$3,0,0,COUNTA('[1]Lista-Data'!$AG:$AG)-1)</definedName>
    <definedName name="Estructura" localSheetId="18">OFFSET(#REF!,0,0,COUNTA(#REF!)-1)</definedName>
    <definedName name="Estructura" localSheetId="20">OFFSET(#REF!,0,0,COUNTA(#REF!)-1)</definedName>
    <definedName name="Estructura" localSheetId="21">OFFSET(#REF!,0,0,COUNTA(#REF!)-1)</definedName>
    <definedName name="ESTRUCTURA" localSheetId="3">OFFSET('[1]Lista-Data'!$AG$3,0,0,COUNTA('[1]Lista-Data'!$AG:$AG)-1)</definedName>
    <definedName name="Estructura">OFFSET(#REF!,0,0,COUNTA(#REF!)-1)</definedName>
    <definedName name="Excel_BuiltIn_Print_Area_1" localSheetId="2">#REF!</definedName>
    <definedName name="Excel_BuiltIn_Print_Area_1">#REF!</definedName>
    <definedName name="Expedición" localSheetId="16">'[2]MD Datos'!$Z$14</definedName>
    <definedName name="Expedición" localSheetId="35">'[1]MEM. DESC. I'!$Z$3</definedName>
    <definedName name="Expedición" localSheetId="2">'[3]MD Datos'!$Z$14</definedName>
    <definedName name="Expedición" localSheetId="3">'[1]MEM. DESC. I'!$Z$3</definedName>
    <definedName name="Expedición">'[2]MD Datos'!$Z$14</definedName>
    <definedName name="Factor" localSheetId="13">OFFSET(#REF!,0,0,COUNTA(#REF!)-2)</definedName>
    <definedName name="Factor" localSheetId="35">OFFSET('[1]Lista-Data'!$BO$3,0,0,COUNTA('[1]Lista-Data'!$BO:$BO)-1)</definedName>
    <definedName name="Factor" localSheetId="18">OFFSET(#REF!,0,0,COUNTA(#REF!)-2)</definedName>
    <definedName name="Factor" localSheetId="20">OFFSET(#REF!,0,0,COUNTA(#REF!)-2)</definedName>
    <definedName name="Factor" localSheetId="21">OFFSET(#REF!,0,0,COUNTA(#REF!)-2)</definedName>
    <definedName name="Factor" localSheetId="3">OFFSET('[1]Lista-Data'!$BO$3,0,0,COUNTA('[1]Lista-Data'!$BO:$BO)-1)</definedName>
    <definedName name="Factor">OFFSET(#REF!,0,0,COUNTA(#REF!)-2)</definedName>
    <definedName name="FactorVUE" localSheetId="16">'[2]2014'!$M$6</definedName>
    <definedName name="FactorVUE" localSheetId="35">'[1]2022'!$M$6</definedName>
    <definedName name="FactorVUE" localSheetId="2">'[3]2014'!$M$6</definedName>
    <definedName name="FactorVUE" localSheetId="3">'[1]2022'!$M$6</definedName>
    <definedName name="FactorVUE">'[2]2014'!$M$6</definedName>
    <definedName name="Folio" localSheetId="16">'[2]MD Datos'!$Z$12</definedName>
    <definedName name="Folio" localSheetId="35">'[1]MEM. DESC. I'!$Z$1</definedName>
    <definedName name="Folio" localSheetId="2">'[3]MD Datos'!$Z$12</definedName>
    <definedName name="Folio" localSheetId="3">'[1]MEM. DESC. I'!$Z$1</definedName>
    <definedName name="Folio">'[2]MD Datos'!$Z$12</definedName>
    <definedName name="GastosGenerales" localSheetId="16">'[2]AM Costos'!$F$43</definedName>
    <definedName name="GastosGenerales" localSheetId="35">[1]REPOSICION!$F$63</definedName>
    <definedName name="GastosGenerales" localSheetId="2">'[3]AM Costos'!$F$43</definedName>
    <definedName name="GastosGenerales" localSheetId="3">[1]REPOSICION!$F$63</definedName>
    <definedName name="GastosGenerales">'[2]AM Costos'!$F$43</definedName>
    <definedName name="Hipoeca" localSheetId="2">#REF!</definedName>
    <definedName name="Homologado1" localSheetId="16">OFFSET('[2]AM Terrenos'!$J$69,1,0,COUNT('[2]AM Terrenos'!$J$69:$J$75)-1)</definedName>
    <definedName name="Homologado1" localSheetId="2">OFFSET('[3]AM Terrenos'!$J$69,1,0,COUNT('[3]AM Terrenos'!$J$69:$J$75)-1)</definedName>
    <definedName name="Homologado1" localSheetId="3">OFFSET('[3]AM Terrenos'!$J$69,1,0,COUNT('[3]AM Terrenos'!$J$69:$J$75)-1)</definedName>
    <definedName name="Homologado1">OFFSET('[2]AM Terrenos'!$J$69,1,0,COUNT('[2]AM Terrenos'!$J$69:$J$75)-1)</definedName>
    <definedName name="Homologado2" localSheetId="16">OFFSET('[2]AM Mercado'!$J$68,1,0,COUNT('[2]AM Mercado'!$J$68:$J$74)-1)</definedName>
    <definedName name="Homologado2" localSheetId="2">OFFSET('[3]AM Mercado'!$J$68,1,0,COUNT('[3]AM Mercado'!$J$68:$J$74)-1)</definedName>
    <definedName name="Homologado2" localSheetId="3">OFFSET('[3]AM Mercado'!$J$68,1,0,COUNT('[3]AM Mercado'!$J$68:$J$74)-1)</definedName>
    <definedName name="Homologado2">OFFSET('[2]AM Mercado'!$J$68,1,0,COUNT('[2]AM Mercado'!$J$68:$J$74)-1)</definedName>
    <definedName name="IGV" localSheetId="16">'[2]2014'!$F$6</definedName>
    <definedName name="IGV" localSheetId="35">'[1]2022'!$F$6</definedName>
    <definedName name="IGV" localSheetId="2">'[3]2014'!$F$6</definedName>
    <definedName name="IGV" localSheetId="3">'[1]2022'!$F$6</definedName>
    <definedName name="IGV">'[2]2014'!$F$6</definedName>
    <definedName name="Infraestructura" localSheetId="13">OFFSET(#REF!,0,0,COUNTA(#REF!)-1)</definedName>
    <definedName name="Infraestructura" localSheetId="18">OFFSET(#REF!,0,0,COUNTA(#REF!)-1)</definedName>
    <definedName name="Infraestructura" localSheetId="20">OFFSET(#REF!,0,0,COUNTA(#REF!)-1)</definedName>
    <definedName name="Infraestructura" localSheetId="21">OFFSET(#REF!,0,0,COUNTA(#REF!)-1)</definedName>
    <definedName name="Infraestructura">OFFSET(#REF!,0,0,COUNTA(#REF!)-1)</definedName>
    <definedName name="INST._GAS">OFFSET('[1]Lista-Data'!$AL$3,0,0,COUNTA('[1]Lista-Data'!$AL:$AL)-1)</definedName>
    <definedName name="INST.ELÉCTRICAS">OFFSET('[1]Lista-Data'!$AK$3,0,0,COUNTA('[1]Lista-Data'!$AK:$AK)-1)</definedName>
    <definedName name="INST.SANITARIAS">OFFSET('[1]Lista-Data'!$AM$3,0,0,COUNTA('[1]Lista-Data'!$AM:$AM)-1)</definedName>
    <definedName name="Instancia" localSheetId="13">OFFSET(#REF!,0,0,COUNTA(#REF!)-1)</definedName>
    <definedName name="Instancia" localSheetId="18">OFFSET(#REF!,0,0,COUNTA(#REF!)-1)</definedName>
    <definedName name="Instancia" localSheetId="20">OFFSET(#REF!,0,0,COUNTA(#REF!)-1)</definedName>
    <definedName name="Instancia" localSheetId="21">OFFSET(#REF!,0,0,COUNTA(#REF!)-1)</definedName>
    <definedName name="Instancia">OFFSET(#REF!,0,0,COUNTA(#REF!)-1)</definedName>
    <definedName name="InstEléctricas" localSheetId="13">OFFSET(#REF!,0,0,COUNTA(#REF!)-1)</definedName>
    <definedName name="InstEléctricas" localSheetId="18">OFFSET(#REF!,0,0,COUNTA(#REF!)-1)</definedName>
    <definedName name="InstEléctricas" localSheetId="20">OFFSET(#REF!,0,0,COUNTA(#REF!)-1)</definedName>
    <definedName name="InstEléctricas" localSheetId="21">OFFSET(#REF!,0,0,COUNTA(#REF!)-1)</definedName>
    <definedName name="InstEléctricas">OFFSET(#REF!,0,0,COUNTA(#REF!)-1)</definedName>
    <definedName name="InstGas" localSheetId="13">OFFSET(#REF!,0,0,COUNTA(#REF!)-1)</definedName>
    <definedName name="InstGas" localSheetId="18">OFFSET(#REF!,0,0,COUNTA(#REF!)-1)</definedName>
    <definedName name="InstGas" localSheetId="20">OFFSET(#REF!,0,0,COUNTA(#REF!)-1)</definedName>
    <definedName name="InstGas" localSheetId="21">OFFSET(#REF!,0,0,COUNTA(#REF!)-1)</definedName>
    <definedName name="InstGas">OFFSET(#REF!,0,0,COUNTA(#REF!)-1)</definedName>
    <definedName name="InstSanitarias" localSheetId="13">OFFSET(#REF!,0,0,COUNTA(#REF!)-1)</definedName>
    <definedName name="InstSanitarias" localSheetId="18">OFFSET(#REF!,0,0,COUNTA(#REF!)-1)</definedName>
    <definedName name="InstSanitarias" localSheetId="20">OFFSET(#REF!,0,0,COUNTA(#REF!)-1)</definedName>
    <definedName name="InstSanitarias" localSheetId="21">OFFSET(#REF!,0,0,COUNTA(#REF!)-1)</definedName>
    <definedName name="InstSanitarias">OFFSET(#REF!,0,0,COUNTA(#REF!)-1)</definedName>
    <definedName name="JKLKL" localSheetId="13">#REF!</definedName>
    <definedName name="JKLKL" localSheetId="15">#REF!</definedName>
    <definedName name="JKLKL" localSheetId="18">#REF!</definedName>
    <definedName name="JKLKL" localSheetId="20">#REF!</definedName>
    <definedName name="JKLKL" localSheetId="21">#REF!</definedName>
    <definedName name="JKLKL" localSheetId="1">#REF!</definedName>
    <definedName name="JKLKL">#REF!</definedName>
    <definedName name="LEASING" localSheetId="2">#REF!</definedName>
    <definedName name="MamparaMarco" localSheetId="13">OFFSET(#REF!,0,0,COUNTA(#REF!)-2)</definedName>
    <definedName name="MamparaMarco" localSheetId="18">OFFSET(#REF!,0,0,COUNTA(#REF!)-2)</definedName>
    <definedName name="MamparaMarco" localSheetId="20">OFFSET(#REF!,0,0,COUNTA(#REF!)-2)</definedName>
    <definedName name="MamparaMarco" localSheetId="21">OFFSET(#REF!,0,0,COUNTA(#REF!)-2)</definedName>
    <definedName name="MamparaMarco">OFFSET(#REF!,0,0,COUNTA(#REF!)-2)</definedName>
    <definedName name="MAMPARAS_MARCO">OFFSET('[1]Lista-Data'!$AT$4,0,0,COUNTA('[1]Lista-Data'!$AT:$AT)-1)</definedName>
    <definedName name="MAMPARAS_SISTEMA">OFFSET('[1]Lista-Data'!$AV$4,0,0,COUNTA('[1]Lista-Data'!$AV:$AV)-1)</definedName>
    <definedName name="MAMPARAS_VIDRIO">OFFSET('[1]Lista-Data'!$AU$4,0,0,COUNTA('[1]Lista-Data'!$AU:$AU)-1)</definedName>
    <definedName name="MamparaSistema" localSheetId="13">OFFSET(#REF!,0,0,COUNTA(#REF!)-1)</definedName>
    <definedName name="MamparaSistema" localSheetId="18">OFFSET(#REF!,0,0,COUNTA(#REF!)-1)</definedName>
    <definedName name="MamparaSistema" localSheetId="20">OFFSET(#REF!,0,0,COUNTA(#REF!)-1)</definedName>
    <definedName name="MamparaSistema" localSheetId="21">OFFSET(#REF!,0,0,COUNTA(#REF!)-1)</definedName>
    <definedName name="MamparaSistema">OFFSET(#REF!,0,0,COUNTA(#REF!)-1)</definedName>
    <definedName name="MamparaVidrio" localSheetId="13">OFFSET(#REF!,0,0,COUNTA(#REF!)-1)</definedName>
    <definedName name="MamparaVidrio" localSheetId="18">OFFSET(#REF!,0,0,COUNTA(#REF!)-1)</definedName>
    <definedName name="MamparaVidrio" localSheetId="20">OFFSET(#REF!,0,0,COUNTA(#REF!)-1)</definedName>
    <definedName name="MamparaVidrio" localSheetId="21">OFFSET(#REF!,0,0,COUNTA(#REF!)-1)</definedName>
    <definedName name="MamparaVidrio">OFFSET(#REF!,0,0,COUNTA(#REF!)-1)</definedName>
    <definedName name="Mantenimiento" localSheetId="13">OFFSET(#REF!,0,0,COUNTA(#REF!)-1)</definedName>
    <definedName name="Mantenimiento" localSheetId="18">OFFSET(#REF!,0,0,COUNTA(#REF!)-1)</definedName>
    <definedName name="Mantenimiento" localSheetId="20">OFFSET(#REF!,0,0,COUNTA(#REF!)-1)</definedName>
    <definedName name="Mantenimiento" localSheetId="21">OFFSET(#REF!,0,0,COUNTA(#REF!)-1)</definedName>
    <definedName name="Mantenimiento">OFFSET(#REF!,0,0,COUNTA(#REF!)-1)</definedName>
    <definedName name="MATERIAL" localSheetId="13">#REF!</definedName>
    <definedName name="Material" localSheetId="35">OFFSET('[1]Lista-Data'!$W$3,0,0,COUNTA('[1]Lista-Data'!$W:$W)-1)</definedName>
    <definedName name="MATERIAL" localSheetId="15">#REF!</definedName>
    <definedName name="MATERIAL" localSheetId="18">#REF!</definedName>
    <definedName name="MATERIAL" localSheetId="20">#REF!</definedName>
    <definedName name="MATERIAL" localSheetId="21">#REF!</definedName>
    <definedName name="Material" localSheetId="3">OFFSET('[1]Lista-Data'!$W$3,0,0,COUNTA('[1]Lista-Data'!$W:$W)-1)</definedName>
    <definedName name="MATERIAL">#REF!</definedName>
    <definedName name="MATERIALES" localSheetId="2">[4]Hoja4!$A$2:$A$7</definedName>
    <definedName name="MATERIALES">[5]Hoja4!$A$2:$A$7</definedName>
    <definedName name="Método" localSheetId="13">OFFSET(#REF!,0,0,COUNTA(#REF!)-1)</definedName>
    <definedName name="Método" localSheetId="35">OFFSET('[1]Lista-Data'!$BR$3,0,0,COUNTA('[1]Lista-Data'!$BR:$BR)-1)</definedName>
    <definedName name="Método" localSheetId="18">OFFSET(#REF!,0,0,COUNTA(#REF!)-1)</definedName>
    <definedName name="Método" localSheetId="20">OFFSET(#REF!,0,0,COUNTA(#REF!)-1)</definedName>
    <definedName name="Método" localSheetId="21">OFFSET(#REF!,0,0,COUNTA(#REF!)-1)</definedName>
    <definedName name="Método" localSheetId="3">OFFSET('[1]Lista-Data'!$BR$3,0,0,COUNTA('[1]Lista-Data'!$BR:$BR)-1)</definedName>
    <definedName name="Método">OFFSET(#REF!,0,0,COUNTA(#REF!)-1)</definedName>
    <definedName name="MuebleCocinaLavadero" localSheetId="13">OFFSET(#REF!,0,0,COUNTA(#REF!)-1)</definedName>
    <definedName name="MuebleCocinaLavadero" localSheetId="18">OFFSET(#REF!,0,0,COUNTA(#REF!)-1)</definedName>
    <definedName name="MuebleCocinaLavadero" localSheetId="20">OFFSET(#REF!,0,0,COUNTA(#REF!)-1)</definedName>
    <definedName name="MuebleCocinaLavadero" localSheetId="21">OFFSET(#REF!,0,0,COUNTA(#REF!)-1)</definedName>
    <definedName name="MuebleCocinaLavadero">OFFSET(#REF!,0,0,COUNTA(#REF!)-1)</definedName>
    <definedName name="MuebleCocinaMaterial" localSheetId="13">OFFSET(#REF!,0,0,COUNTA(#REF!)-1)</definedName>
    <definedName name="MuebleCocinaMaterial" localSheetId="18">OFFSET(#REF!,0,0,COUNTA(#REF!)-1)</definedName>
    <definedName name="MuebleCocinaMaterial" localSheetId="20">OFFSET(#REF!,0,0,COUNTA(#REF!)-1)</definedName>
    <definedName name="MuebleCocinaMaterial" localSheetId="21">OFFSET(#REF!,0,0,COUNTA(#REF!)-1)</definedName>
    <definedName name="MuebleCocinaMaterial">OFFSET(#REF!,0,0,COUNTA(#REF!)-1)</definedName>
    <definedName name="MuebleCocinaTablero" localSheetId="13">OFFSET(#REF!,0,0,COUNTA(#REF!)-1)</definedName>
    <definedName name="MuebleCocinaTablero" localSheetId="18">OFFSET(#REF!,0,0,COUNTA(#REF!)-1)</definedName>
    <definedName name="MuebleCocinaTablero" localSheetId="20">OFFSET(#REF!,0,0,COUNTA(#REF!)-1)</definedName>
    <definedName name="MuebleCocinaTablero" localSheetId="21">OFFSET(#REF!,0,0,COUNTA(#REF!)-1)</definedName>
    <definedName name="MuebleCocinaTablero">OFFSET(#REF!,0,0,COUNTA(#REF!)-1)</definedName>
    <definedName name="MuebleCocinaTipo" localSheetId="13">OFFSET(#REF!,0,0,COUNTA(#REF!)-2)</definedName>
    <definedName name="MuebleCocinaTipo" localSheetId="18">OFFSET(#REF!,0,0,COUNTA(#REF!)-2)</definedName>
    <definedName name="MuebleCocinaTipo" localSheetId="20">OFFSET(#REF!,0,0,COUNTA(#REF!)-2)</definedName>
    <definedName name="MuebleCocinaTipo" localSheetId="21">OFFSET(#REF!,0,0,COUNTA(#REF!)-2)</definedName>
    <definedName name="MuebleCocinaTipo">OFFSET(#REF!,0,0,COUNTA(#REF!)-2)</definedName>
    <definedName name="Muros" localSheetId="13">OFFSET(#REF!,0,0,COUNTA(#REF!)-1)</definedName>
    <definedName name="MUROS" localSheetId="35">OFFSET('[1]Lista-Data'!$AH$3,0,0,COUNTA('[1]Lista-Data'!$AH:$AH)-1)</definedName>
    <definedName name="Muros" localSheetId="18">OFFSET(#REF!,0,0,COUNTA(#REF!)-1)</definedName>
    <definedName name="Muros" localSheetId="20">OFFSET(#REF!,0,0,COUNTA(#REF!)-1)</definedName>
    <definedName name="Muros" localSheetId="21">OFFSET(#REF!,0,0,COUNTA(#REF!)-1)</definedName>
    <definedName name="MUROS" localSheetId="3">OFFSET('[1]Lista-Data'!$AH$3,0,0,COUNTA('[1]Lista-Data'!$AH:$AH)-1)</definedName>
    <definedName name="Muros">OFFSET(#REF!,0,0,COUNTA(#REF!)-1)</definedName>
    <definedName name="NivelSocial" localSheetId="13">OFFSET(#REF!,0,0,COUNTA(#REF!)-1)</definedName>
    <definedName name="NivelSocial" localSheetId="18">OFFSET(#REF!,0,0,COUNTA(#REF!)-1)</definedName>
    <definedName name="NivelSocial" localSheetId="20">OFFSET(#REF!,0,0,COUNTA(#REF!)-1)</definedName>
    <definedName name="NivelSocial" localSheetId="21">OFFSET(#REF!,0,0,COUNTA(#REF!)-1)</definedName>
    <definedName name="NivelSocial">OFFSET(#REF!,0,0,COUNTA(#REF!)-1)</definedName>
    <definedName name="NoPisos" localSheetId="16">'[2]MD Datos'!$J$85</definedName>
    <definedName name="NoPisos" localSheetId="35">'[1]MEM. DESC. I'!$J$92</definedName>
    <definedName name="NoPisos" localSheetId="2">'[3]MD Datos'!$J$85</definedName>
    <definedName name="NoPisos" localSheetId="3">'[1]MEM. DESC. I'!$J$92</definedName>
    <definedName name="NoPisos">'[2]MD Datos'!$J$85</definedName>
    <definedName name="NoServicio" localSheetId="16">'[2]MD Datos'!$Z$13</definedName>
    <definedName name="NoServicio" localSheetId="35">'[1]MEM. DESC. I'!$Z$2</definedName>
    <definedName name="NoServicio" localSheetId="2">'[3]MD Datos'!$Z$13</definedName>
    <definedName name="NoServicio" localSheetId="3">'[1]MEM. DESC. I'!$Z$2</definedName>
    <definedName name="NoServicio">'[2]MD Datos'!$Z$13</definedName>
    <definedName name="Objeto" localSheetId="13">OFFSET(#REF!,0,0,COUNTA(#REF!)-2)</definedName>
    <definedName name="Objeto" localSheetId="18">OFFSET(#REF!,0,0,COUNTA(#REF!)-2)</definedName>
    <definedName name="Objeto" localSheetId="20">OFFSET(#REF!,0,0,COUNTA(#REF!)-2)</definedName>
    <definedName name="Objeto" localSheetId="21">OFFSET(#REF!,0,0,COUNTA(#REF!)-2)</definedName>
    <definedName name="Objeto">OFFSET(#REF!,0,0,COUNTA(#REF!)-2)</definedName>
    <definedName name="Obra" localSheetId="13">OFFSET(#REF!,0,0,COUNTA(#REF!)-1)</definedName>
    <definedName name="Obra" localSheetId="18">OFFSET(#REF!,0,0,COUNTA(#REF!)-1)</definedName>
    <definedName name="Obra" localSheetId="20">OFFSET(#REF!,0,0,COUNTA(#REF!)-1)</definedName>
    <definedName name="Obra" localSheetId="21">OFFSET(#REF!,0,0,COUNTA(#REF!)-1)</definedName>
    <definedName name="Obra">OFFSET(#REF!,0,0,COUNTA(#REF!)-1)</definedName>
    <definedName name="ObrasComplementarias" localSheetId="13">OFFSET(#REF!,0,0,COUNTA(#REF!)-1)</definedName>
    <definedName name="ObrasComplementarias" localSheetId="18">OFFSET(#REF!,0,0,COUNTA(#REF!)-1)</definedName>
    <definedName name="ObrasComplementarias" localSheetId="20">OFFSET(#REF!,0,0,COUNTA(#REF!)-1)</definedName>
    <definedName name="ObrasComplementarias" localSheetId="21">OFFSET(#REF!,0,0,COUNTA(#REF!)-1)</definedName>
    <definedName name="ObrasComplementarias">OFFSET(#REF!,0,0,COUNTA(#REF!)-1)</definedName>
    <definedName name="OBTENCIÓN_DEL_ÁREA">OFFSET('[1]Lista-Data'!$AE$3,0,0,COUNTA('[1]Lista-Data'!$AE:$AE)-1)</definedName>
    <definedName name="ObtenciónÁrea" localSheetId="13">OFFSET(#REF!,0,0,COUNTA(#REF!)-1)</definedName>
    <definedName name="ObtenciónÁrea" localSheetId="18">OFFSET(#REF!,0,0,COUNTA(#REF!)-1)</definedName>
    <definedName name="ObtenciónÁrea" localSheetId="20">OFFSET(#REF!,0,0,COUNTA(#REF!)-1)</definedName>
    <definedName name="ObtenciónÁrea" localSheetId="21">OFFSET(#REF!,0,0,COUNTA(#REF!)-1)</definedName>
    <definedName name="ObtenciónÁrea">OFFSET(#REF!,0,0,COUNTA(#REF!)-1)</definedName>
    <definedName name="Ocupante" localSheetId="13">OFFSET(#REF!,0,0,COUNTA(#REF!)-1)</definedName>
    <definedName name="Ocupante" localSheetId="35">OFFSET('[1]Lista-Data'!$I$3,0,0,COUNTA('[1]Lista-Data'!$I:$I)-1)</definedName>
    <definedName name="Ocupante" localSheetId="18">OFFSET(#REF!,0,0,COUNTA(#REF!)-1)</definedName>
    <definedName name="Ocupante" localSheetId="20">OFFSET(#REF!,0,0,COUNTA(#REF!)-1)</definedName>
    <definedName name="Ocupante" localSheetId="21">OFFSET(#REF!,0,0,COUNTA(#REF!)-1)</definedName>
    <definedName name="Ocupante" localSheetId="3">OFFSET('[1]Lista-Data'!$I$3,0,0,COUNTA('[1]Lista-Data'!$I:$I)-1)</definedName>
    <definedName name="Ocupante">OFFSET(#REF!,0,0,COUNTA(#REF!)-1)</definedName>
    <definedName name="OcupanteSelecc">'[1]MEM. DESC. I'!$J$36</definedName>
    <definedName name="Ofertado1" localSheetId="16">OFFSET('[2]AM Terrenos'!$G$69,1,0,COUNT('[2]AM Terrenos'!$G$69:$G$75)-1)</definedName>
    <definedName name="Ofertado1" localSheetId="2">OFFSET('[3]AM Terrenos'!$G$69,1,0,COUNT('[3]AM Terrenos'!$G$69:$G$75)-1)</definedName>
    <definedName name="Ofertado1" localSheetId="3">OFFSET('[3]AM Terrenos'!$G$69,1,0,COUNT('[3]AM Terrenos'!$G$69:$G$75)-1)</definedName>
    <definedName name="Ofertado1">OFFSET('[2]AM Terrenos'!$G$69,1,0,COUNT('[2]AM Terrenos'!$G$69:$G$75)-1)</definedName>
    <definedName name="Ofertado2" localSheetId="16">OFFSET('[2]AM Mercado'!$G$68,1,0,COUNT('[2]AM Mercado'!$G$68:$G$74)-1)</definedName>
    <definedName name="Ofertado2" localSheetId="2">OFFSET('[3]AM Mercado'!$G$68,1,0,COUNT('[3]AM Mercado'!$G$68:$G$74)-1)</definedName>
    <definedName name="Ofertado2" localSheetId="3">OFFSET('[3]AM Mercado'!$G$68,1,0,COUNT('[3]AM Mercado'!$G$68:$G$74)-1)</definedName>
    <definedName name="Ofertado2">OFFSET('[2]AM Mercado'!$G$68,1,0,COUNT('[2]AM Mercado'!$G$68:$G$74)-1)</definedName>
    <definedName name="Perito1" localSheetId="16">'[7]RESUL VC'!$E$62</definedName>
    <definedName name="Perito1" localSheetId="2">'[8]RESUL VC'!$E$62</definedName>
    <definedName name="Perito1" localSheetId="3">'[8]RESUL VC'!$E$62</definedName>
    <definedName name="Perito1">'[7]RESUL VC'!$E$62</definedName>
    <definedName name="Perito2" localSheetId="16">'[7]RESUL VC'!$T$62</definedName>
    <definedName name="Perito2" localSheetId="2">'[8]RESUL VC'!$T$62</definedName>
    <definedName name="Perito2" localSheetId="3">'[8]RESUL VC'!$T$62</definedName>
    <definedName name="Perito2">'[7]RESUL VC'!$T$62</definedName>
    <definedName name="PISOS" localSheetId="13">#REF!</definedName>
    <definedName name="PISOS" localSheetId="35">OFFSET('[1]Lista-Data'!$BE$3,0,0,COUNTA('[1]Lista-Data'!$BE:$BE)-1)</definedName>
    <definedName name="Pisos" localSheetId="2">[6]DATOS!$C$1:$C$31</definedName>
    <definedName name="PISOS" localSheetId="18">#REF!</definedName>
    <definedName name="PISOS" localSheetId="20">#REF!</definedName>
    <definedName name="PISOS" localSheetId="21">#REF!</definedName>
    <definedName name="PISOS" localSheetId="3">OFFSET('[1]Lista-Data'!$BE$3,0,0,COUNTA('[1]Lista-Data'!$BE:$BE)-1)</definedName>
    <definedName name="PISOS" localSheetId="1">RESUMEN!$AT$39</definedName>
    <definedName name="PISOS">#REF!</definedName>
    <definedName name="PorcentajeÁreasComunes" localSheetId="16">'[2]AM Costos'!$H$64</definedName>
    <definedName name="PorcentajeÁreasComunes" localSheetId="35">[1]REPOSICION!$H$92</definedName>
    <definedName name="PorcentajeÁreasComunes" localSheetId="2">'[3]AM Costos'!$H$64</definedName>
    <definedName name="PorcentajeÁreasComunes" localSheetId="3">[1]REPOSICION!$H$92</definedName>
    <definedName name="PorcentajeÁreasComunes">'[2]AM Costos'!$H$64</definedName>
    <definedName name="Porcentajededucciones" localSheetId="16">'[2]RESUL VC'!$R$53</definedName>
    <definedName name="Porcentajededucciones" localSheetId="35">[1]RESULTADOS!$R$47</definedName>
    <definedName name="Porcentajededucciones" localSheetId="2">'[3]RESUL VC'!$R$53</definedName>
    <definedName name="Porcentajededucciones" localSheetId="3">[1]RESULTADOS!$R$47</definedName>
    <definedName name="Porcentajededucciones">'[2]RESUL VC'!$R$53</definedName>
    <definedName name="PRENDA" localSheetId="2">#REF!</definedName>
    <definedName name="Producto1" localSheetId="13">OFFSET(#REF!,0,0,COUNTA(#REF!)-2)</definedName>
    <definedName name="Producto1" localSheetId="18">OFFSET(#REF!,0,0,COUNTA(#REF!)-2)</definedName>
    <definedName name="Producto1" localSheetId="20">OFFSET(#REF!,0,0,COUNTA(#REF!)-2)</definedName>
    <definedName name="Producto1" localSheetId="21">OFFSET(#REF!,0,0,COUNTA(#REF!)-2)</definedName>
    <definedName name="Producto1">OFFSET(#REF!,0,0,COUNTA(#REF!)-2)</definedName>
    <definedName name="Producto2" localSheetId="13">OFFSET(#REF!,0,0,COUNTA(#REF!)-1)</definedName>
    <definedName name="Producto2" localSheetId="18">OFFSET(#REF!,0,0,COUNTA(#REF!)-1)</definedName>
    <definedName name="Producto2" localSheetId="20">OFFSET(#REF!,0,0,COUNTA(#REF!)-1)</definedName>
    <definedName name="Producto2" localSheetId="21">OFFSET(#REF!,0,0,COUNTA(#REF!)-1)</definedName>
    <definedName name="Producto2">OFFSET(#REF!,0,0,COUNTA(#REF!)-1)</definedName>
    <definedName name="Propietario">'[1]MEM. DESC. I'!$J$34</definedName>
    <definedName name="PuertaMaterial" localSheetId="13">OFFSET(#REF!,0,0,COUNTA(#REF!)-1)</definedName>
    <definedName name="PuertaMaterial" localSheetId="18">OFFSET(#REF!,0,0,COUNTA(#REF!)-1)</definedName>
    <definedName name="PuertaMaterial" localSheetId="20">OFFSET(#REF!,0,0,COUNTA(#REF!)-1)</definedName>
    <definedName name="PuertaMaterial" localSheetId="21">OFFSET(#REF!,0,0,COUNTA(#REF!)-1)</definedName>
    <definedName name="PuertaMaterial">OFFSET(#REF!,0,0,COUNTA(#REF!)-1)</definedName>
    <definedName name="PUERTAS_MATERIAL">OFFSET('[1]Lista-Data'!$AO$4,0,0,COUNTA('[1]Lista-Data'!$AO:$AO)-1)</definedName>
    <definedName name="PUERTAS_SISTEMA">OFFSET('[1]Lista-Data'!$AP$4,0,0,COUNTA('[1]Lista-Data'!$AP:$AP)-1)</definedName>
    <definedName name="PUERTAS_TIPO">OFFSET('[1]Lista-Data'!$AN$4,0,0,COUNTA('[1]Lista-Data'!$AN:$AN)-1)</definedName>
    <definedName name="PuertaSistema" localSheetId="13">OFFSET(#REF!,0,0,COUNTA(#REF!)-1)</definedName>
    <definedName name="PuertaSistema" localSheetId="18">OFFSET(#REF!,0,0,COUNTA(#REF!)-1)</definedName>
    <definedName name="PuertaSistema" localSheetId="20">OFFSET(#REF!,0,0,COUNTA(#REF!)-1)</definedName>
    <definedName name="PuertaSistema" localSheetId="21">OFFSET(#REF!,0,0,COUNTA(#REF!)-1)</definedName>
    <definedName name="PuertaSistema">OFFSET(#REF!,0,0,COUNTA(#REF!)-1)</definedName>
    <definedName name="PuertaTipo" localSheetId="13">OFFSET(#REF!,0,0,COUNTA(#REF!)-2)</definedName>
    <definedName name="PuertaTipo" localSheetId="18">OFFSET(#REF!,0,0,COUNTA(#REF!)-2)</definedName>
    <definedName name="PuertaTipo" localSheetId="20">OFFSET(#REF!,0,0,COUNTA(#REF!)-2)</definedName>
    <definedName name="PuertaTipo" localSheetId="21">OFFSET(#REF!,0,0,COUNTA(#REF!)-2)</definedName>
    <definedName name="PuertaTipo">OFFSET(#REF!,0,0,COUNTA(#REF!)-2)</definedName>
    <definedName name="Referencias1" localSheetId="16">OFFSET('[2]AM Terrenos'!$C$69,1,0,COUNT('[2]AM Terrenos'!$G$69:$G$75)-1)</definedName>
    <definedName name="Referencias1" localSheetId="2">OFFSET('[3]AM Terrenos'!$C$69,1,0,COUNT('[3]AM Terrenos'!$G$69:$G$75)-1)</definedName>
    <definedName name="Referencias1" localSheetId="3">OFFSET('[3]AM Terrenos'!$C$69,1,0,COUNT('[3]AM Terrenos'!$G$69:$G$75)-1)</definedName>
    <definedName name="Referencias1">OFFSET('[2]AM Terrenos'!$C$69,1,0,COUNT('[2]AM Terrenos'!$G$69:$G$75)-1)</definedName>
    <definedName name="Referencias2" localSheetId="16">OFFSET('[2]AM Mercado'!$C$68:$C$68,1,0,COUNT('[2]AM Mercado'!$G$69:$G$75)-1)</definedName>
    <definedName name="Referencias2" localSheetId="2">OFFSET('[3]AM Mercado'!$C$68:$C$68,1,0,COUNT('[3]AM Mercado'!$G$69:$G$75)-1)</definedName>
    <definedName name="Referencias2" localSheetId="3">OFFSET('[3]AM Mercado'!$C$68:$C$68,1,0,COUNT('[3]AM Mercado'!$G$69:$G$75)-1)</definedName>
    <definedName name="Referencias2">OFFSET('[2]AM Mercado'!$C$68:$C$68,1,0,COUNT('[2]AM Mercado'!$G$69:$G$75)-1)</definedName>
    <definedName name="Región" localSheetId="16">'[2]2014'!$M$5</definedName>
    <definedName name="Región" localSheetId="35">'[1]2022'!$M$5</definedName>
    <definedName name="Región" localSheetId="2">'[3]2014'!$M$5</definedName>
    <definedName name="Región" localSheetId="3">'[1]2022'!$M$5</definedName>
    <definedName name="Región">'[2]2014'!$M$5</definedName>
    <definedName name="RegiónEdificación" localSheetId="13">OFFSET(#REF!,0,0,COUNTA(#REF!)-1)</definedName>
    <definedName name="RegiónEdificación" localSheetId="35">OFFSET('[1]Lista-Data'!$BI$3,0,0,COUNTA('[1]Lista-Data'!$BI:$BI)-1)</definedName>
    <definedName name="RegiónEdificación" localSheetId="18">OFFSET(#REF!,0,0,COUNTA(#REF!)-1)</definedName>
    <definedName name="RegiónEdificación" localSheetId="20">OFFSET(#REF!,0,0,COUNTA(#REF!)-1)</definedName>
    <definedName name="RegiónEdificación" localSheetId="21">OFFSET(#REF!,0,0,COUNTA(#REF!)-1)</definedName>
    <definedName name="RegiónEdificación" localSheetId="3">OFFSET('[1]Lista-Data'!$BI$3,0,0,COUNTA('[1]Lista-Data'!$BI:$BI)-1)</definedName>
    <definedName name="RegiónEdificación">OFFSET(#REF!,0,0,COUNTA(#REF!)-1)</definedName>
    <definedName name="REPEV1" localSheetId="16">'[7]RESUL VC'!$E$64</definedName>
    <definedName name="REPEV1" localSheetId="2">'[8]RESUL VC'!$E$64</definedName>
    <definedName name="REPEV1" localSheetId="3">'[8]RESUL VC'!$E$64</definedName>
    <definedName name="REPEV1">'[7]RESUL VC'!$E$64</definedName>
    <definedName name="REPEV2" localSheetId="16">'[7]RESUL VC'!$T$64</definedName>
    <definedName name="REPEV2" localSheetId="2">'[8]RESUL VC'!$T$64</definedName>
    <definedName name="REPEV2" localSheetId="3">'[8]RESUL VC'!$T$64</definedName>
    <definedName name="REPEV2">'[7]RESUL VC'!$T$64</definedName>
    <definedName name="Revestimiento" localSheetId="13">OFFSET(#REF!,0,0,COUNTA(#REF!)-1)</definedName>
    <definedName name="Revestimiento" localSheetId="18">OFFSET(#REF!,0,0,COUNTA(#REF!)-1)</definedName>
    <definedName name="Revestimiento" localSheetId="20">OFFSET(#REF!,0,0,COUNTA(#REF!)-1)</definedName>
    <definedName name="Revestimiento" localSheetId="21">OFFSET(#REF!,0,0,COUNTA(#REF!)-1)</definedName>
    <definedName name="Revestimiento">OFFSET(#REF!,0,0,COUNTA(#REF!)-1)</definedName>
    <definedName name="REVESTIMIENTOS">OFFSET('[1]Lista-Data'!$BF$3,0,0,COUNTA('[1]Lista-Data'!$BF:$BF)-1)</definedName>
    <definedName name="Servicios" localSheetId="13">OFFSET(#REF!,0,0,COUNTA(#REF!)-1)</definedName>
    <definedName name="Servicios" localSheetId="18">OFFSET(#REF!,0,0,COUNTA(#REF!)-1)</definedName>
    <definedName name="Servicios" localSheetId="20">OFFSET(#REF!,0,0,COUNTA(#REF!)-1)</definedName>
    <definedName name="Servicios" localSheetId="21">OFFSET(#REF!,0,0,COUNTA(#REF!)-1)</definedName>
    <definedName name="Servicios">OFFSET(#REF!,0,0,COUNTA(#REF!)-1)</definedName>
    <definedName name="SíNo" localSheetId="13">OFFSET(#REF!,0,0,COUNTA(#REF!))</definedName>
    <definedName name="SíNo" localSheetId="18">OFFSET(#REF!,0,0,COUNTA(#REF!))</definedName>
    <definedName name="SíNo" localSheetId="20">OFFSET(#REF!,0,0,COUNTA(#REF!))</definedName>
    <definedName name="SíNo" localSheetId="21">OFFSET(#REF!,0,0,COUNTA(#REF!))</definedName>
    <definedName name="SíNo">OFFSET(#REF!,0,0,COUNTA(#REF!))</definedName>
    <definedName name="Sotano">[6]DATOS!$D$1:$D$11</definedName>
    <definedName name="Techos" localSheetId="13">OFFSET(#REF!,0,0,COUNTA(#REF!)-1)</definedName>
    <definedName name="TECHOS" localSheetId="35">OFFSET('[1]Lista-Data'!$AI$3,0,0,COUNTA('[1]Lista-Data'!$AI:$AI)-1)</definedName>
    <definedName name="Techos" localSheetId="18">OFFSET(#REF!,0,0,COUNTA(#REF!)-1)</definedName>
    <definedName name="Techos" localSheetId="20">OFFSET(#REF!,0,0,COUNTA(#REF!)-1)</definedName>
    <definedName name="Techos" localSheetId="21">OFFSET(#REF!,0,0,COUNTA(#REF!)-1)</definedName>
    <definedName name="TECHOS" localSheetId="3">OFFSET('[1]Lista-Data'!$AI$3,0,0,COUNTA('[1]Lista-Data'!$AI:$AI)-1)</definedName>
    <definedName name="Techos">OFFSET(#REF!,0,0,COUNTA(#REF!)-1)</definedName>
    <definedName name="Tipo" localSheetId="13">OFFSET(#REF!,0,0,COUNTA(#REF!)-1)</definedName>
    <definedName name="Tipo" localSheetId="18">OFFSET(#REF!,0,0,COUNTA(#REF!)-1)</definedName>
    <definedName name="Tipo" localSheetId="20">OFFSET(#REF!,0,0,COUNTA(#REF!)-1)</definedName>
    <definedName name="Tipo" localSheetId="21">OFFSET(#REF!,0,0,COUNTA(#REF!)-1)</definedName>
    <definedName name="Tipo">OFFSET(#REF!,0,0,COUNTA(#REF!)-1)</definedName>
    <definedName name="TIPO_DE_USOP">OFFSET('[1]Lista-Data'!$E$3,0,0,COUNTA('[1]Lista-Data'!$E:$E)-1)</definedName>
    <definedName name="TipoAcabado">[6]DATOS!$F$1:$F$2</definedName>
    <definedName name="TipoCambio" localSheetId="16">'[2]AM Costos'!$J$44</definedName>
    <definedName name="TipoCambio" localSheetId="35">[1]REPOSICION!$J$64</definedName>
    <definedName name="TipoCambio" localSheetId="2">'[3]AM Costos'!$J$44</definedName>
    <definedName name="TipoCambio" localSheetId="3">[1]REPOSICION!$J$64</definedName>
    <definedName name="TipoCambio">'[2]AM Costos'!$J$44</definedName>
    <definedName name="TipoInmueble" localSheetId="13">OFFSET(#REF!,0,0,COUNTA(#REF!)-1)</definedName>
    <definedName name="TipoInmueble" localSheetId="35">OFFSET('[1]Lista-Data'!$BN$3,0,0,COUNTA('[1]Lista-Data'!$BN:$BN)-1)</definedName>
    <definedName name="TipoInmueble" localSheetId="18">OFFSET(#REF!,0,0,COUNTA(#REF!)-1)</definedName>
    <definedName name="TipoInmueble" localSheetId="20">OFFSET(#REF!,0,0,COUNTA(#REF!)-1)</definedName>
    <definedName name="TipoInmueble" localSheetId="21">OFFSET(#REF!,0,0,COUNTA(#REF!)-1)</definedName>
    <definedName name="TipoInmueble" localSheetId="3">OFFSET('[1]Lista-Data'!$BN$3,0,0,COUNTA('[1]Lista-Data'!$BN:$BN)-1)</definedName>
    <definedName name="TipoInmueble">OFFSET(#REF!,0,0,COUNTA(#REF!)-1)</definedName>
    <definedName name="TipoTasación" localSheetId="13">OFFSET(#REF!,0,0,COUNTA(#REF!)-1)</definedName>
    <definedName name="TipoTasación" localSheetId="18">OFFSET(#REF!,0,0,COUNTA(#REF!)-1)</definedName>
    <definedName name="TipoTasación" localSheetId="20">OFFSET(#REF!,0,0,COUNTA(#REF!)-1)</definedName>
    <definedName name="TipoTasación" localSheetId="21">OFFSET(#REF!,0,0,COUNTA(#REF!)-1)</definedName>
    <definedName name="TipoTasación">OFFSET(#REF!,0,0,COUNTA(#REF!)-1)</definedName>
    <definedName name="TipoUso" localSheetId="13">OFFSET(#REF!,0,0,COUNTA(#REF!)-1)</definedName>
    <definedName name="TIPOUSO" localSheetId="35">OFFSET('[1]Lista-Data'!$F$3,0,0,COUNTA('[1]Lista-Data'!$F:$F)-1)</definedName>
    <definedName name="TipoUso" localSheetId="18">OFFSET(#REF!,0,0,COUNTA(#REF!)-1)</definedName>
    <definedName name="TipoUso" localSheetId="20">OFFSET(#REF!,0,0,COUNTA(#REF!)-1)</definedName>
    <definedName name="TipoUso" localSheetId="21">OFFSET(#REF!,0,0,COUNTA(#REF!)-1)</definedName>
    <definedName name="TIPOUSO" localSheetId="3">OFFSET('[1]Lista-Data'!$F$3,0,0,COUNTA('[1]Lista-Data'!$F:$F)-1)</definedName>
    <definedName name="TipoUso">OFFSET(#REF!,0,0,COUNTA(#REF!)-1)</definedName>
    <definedName name="TipoZona" localSheetId="13">OFFSET(#REF!,0,0,COUNTA(#REF!)-1)</definedName>
    <definedName name="TipoZona" localSheetId="18">OFFSET(#REF!,0,0,COUNTA(#REF!)-1)</definedName>
    <definedName name="TipoZona" localSheetId="20">OFFSET(#REF!,0,0,COUNTA(#REF!)-1)</definedName>
    <definedName name="TipoZona" localSheetId="21">OFFSET(#REF!,0,0,COUNTA(#REF!)-1)</definedName>
    <definedName name="TipoZona">OFFSET(#REF!,0,0,COUNTA(#REF!)-1)</definedName>
    <definedName name="Titulación" localSheetId="13">OFFSET(#REF!,0,0,COUNTA(#REF!)-1)</definedName>
    <definedName name="Titulación" localSheetId="18">OFFSET(#REF!,0,0,COUNTA(#REF!)-1)</definedName>
    <definedName name="Titulación" localSheetId="20">OFFSET(#REF!,0,0,COUNTA(#REF!)-1)</definedName>
    <definedName name="Titulación" localSheetId="21">OFFSET(#REF!,0,0,COUNTA(#REF!)-1)</definedName>
    <definedName name="Titulación">OFFSET(#REF!,0,0,COUNTA(#REF!)-1)</definedName>
    <definedName name="_xlnm.Print_Titles" localSheetId="13">ALQUILER!$1:$1</definedName>
    <definedName name="_xlnm.Print_Titles" localSheetId="16">ANEXO!$1:$8</definedName>
    <definedName name="_xlnm.Print_Titles" localSheetId="11">COMPARACIÓN!$1:$15</definedName>
    <definedName name="_xlnm.Print_Titles" localSheetId="8">'EST. MERCADO TERRENOS'!$1:$16</definedName>
    <definedName name="_xlnm.Print_Titles" localSheetId="4">'HR-BIEN FUTURO'!$1:$17</definedName>
    <definedName name="_xlnm.Print_Titles" localSheetId="5">'HR-COMÚN TERMINADO'!$1:$17</definedName>
    <definedName name="_xlnm.Print_Titles" localSheetId="6">'MEM. DESC. I'!$1:$16</definedName>
    <definedName name="_xlnm.Print_Titles" localSheetId="7">'MEM. DESC. II'!$1:$15</definedName>
    <definedName name="_xlnm.Print_Titles" localSheetId="9">REPOSICIÓN!$1:$16</definedName>
    <definedName name="_xlnm.Print_Titles" localSheetId="12">RESULTADOS!$1:$16</definedName>
    <definedName name="_xlnm.Print_Titles" localSheetId="1">RESUMEN!$1:$10</definedName>
    <definedName name="Topografía">OFFSET('[1]Lista-Data'!$CD$3,0,0,COUNTA('[1]Lista-Data'!$CD:$CD)-1)</definedName>
    <definedName name="Ubicación" localSheetId="13">OFFSET(#REF!,0,0,COUNTA(#REF!)-1)</definedName>
    <definedName name="Ubicación" localSheetId="35">OFFSET('[1]Lista-Data'!$BM$9,0,0,COUNTA('[1]Lista-Data'!$BM:$BM)-1)</definedName>
    <definedName name="Ubicación" localSheetId="18">OFFSET(#REF!,0,0,COUNTA(#REF!)-1)</definedName>
    <definedName name="Ubicación" localSheetId="20">OFFSET(#REF!,0,0,COUNTA(#REF!)-1)</definedName>
    <definedName name="Ubicación" localSheetId="21">OFFSET(#REF!,0,0,COUNTA(#REF!)-1)</definedName>
    <definedName name="Ubicación" localSheetId="3">OFFSET('[1]Lista-Data'!$BM$9,0,0,COUNTA('[1]Lista-Data'!$BM:$BM)-1)</definedName>
    <definedName name="Ubicación">OFFSET(#REF!,0,0,COUNTA(#REF!)-1)</definedName>
    <definedName name="Unidad" localSheetId="13">OFFSET(#REF!,0,0,COUNTA(#REF!)-1)</definedName>
    <definedName name="Unidad" localSheetId="35">OFFSET('[1]Lista-Data'!$AD$3,0,0,COUNTA('[1]Lista-Data'!$AD:$AD)-1)</definedName>
    <definedName name="Unidad" localSheetId="18">OFFSET(#REF!,0,0,COUNTA(#REF!)-1)</definedName>
    <definedName name="Unidad" localSheetId="20">OFFSET(#REF!,0,0,COUNTA(#REF!)-1)</definedName>
    <definedName name="Unidad" localSheetId="21">OFFSET(#REF!,0,0,COUNTA(#REF!)-1)</definedName>
    <definedName name="Unidad" localSheetId="3">OFFSET('[1]Lista-Data'!$AD$3,0,0,COUNTA('[1]Lista-Data'!$AD:$AD)-1)</definedName>
    <definedName name="Unidad">OFFSET(#REF!,0,0,COUNTA(#REF!)-1)</definedName>
    <definedName name="USO" localSheetId="13">#REF!</definedName>
    <definedName name="USO" localSheetId="15">#REF!</definedName>
    <definedName name="USO" localSheetId="18">#REF!</definedName>
    <definedName name="USO" localSheetId="20">#REF!</definedName>
    <definedName name="USO" localSheetId="21">#REF!</definedName>
    <definedName name="USO">#REF!</definedName>
    <definedName name="UsoPredominante" localSheetId="13">OFFSET(#REF!,0,0,COUNTA(#REF!)-1)</definedName>
    <definedName name="UsoPredominante" localSheetId="18">OFFSET(#REF!,0,0,COUNTA(#REF!)-1)</definedName>
    <definedName name="UsoPredominante" localSheetId="20">OFFSET(#REF!,0,0,COUNTA(#REF!)-1)</definedName>
    <definedName name="UsoPredominante" localSheetId="21">OFFSET(#REF!,0,0,COUNTA(#REF!)-1)</definedName>
    <definedName name="UsoPredominante">OFFSET(#REF!,0,0,COUNTA(#REF!)-1)</definedName>
    <definedName name="Utilidad" localSheetId="16">'[2]AM Costos'!$F$44</definedName>
    <definedName name="Utilidad" localSheetId="35">[1]REPOSICION!$F$64</definedName>
    <definedName name="Utilidad" localSheetId="2">'[3]AM Costos'!$F$44</definedName>
    <definedName name="Utilidad" localSheetId="3">[1]REPOSICION!$F$64</definedName>
    <definedName name="Utilidad">'[2]AM Costos'!$F$44</definedName>
    <definedName name="VAC" localSheetId="16">'[2]AM Costos'!$Y$65</definedName>
    <definedName name="VAC" localSheetId="35">[1]REPOSICION!$Y$98</definedName>
    <definedName name="VAC" localSheetId="2">'[3]AM Costos'!$Y$65</definedName>
    <definedName name="VAC" localSheetId="3">[1]REPOSICION!$Y$98</definedName>
    <definedName name="VAC">'[2]AM Costos'!$Y$65</definedName>
    <definedName name="VC" localSheetId="16">'[2]RESUL VC'!$X$39</definedName>
    <definedName name="VC" localSheetId="35">[1]RESULTADOS!$X$32</definedName>
    <definedName name="VC" localSheetId="2">'[3]RESUL VC'!$X$39</definedName>
    <definedName name="VC" localSheetId="3">[1]RESULTADOS!$X$32</definedName>
    <definedName name="VC">'[2]RESUL VC'!$X$39</definedName>
    <definedName name="VCSoles">[1]RESULTADOS!$X$34</definedName>
    <definedName name="VCU" localSheetId="16">'[2]AM Mercado'!$Z$41</definedName>
    <definedName name="VCU" localSheetId="35">[1]COMPARACIÓN!$Z$39</definedName>
    <definedName name="VCU" localSheetId="2">'[3]AM Mercado'!$Z$41</definedName>
    <definedName name="VCU" localSheetId="3">[1]COMPARACIÓN!$Z$39</definedName>
    <definedName name="VCU">'[2]AM Mercado'!$Z$41</definedName>
    <definedName name="VE" localSheetId="16">'[2]AM Costos'!$Z$58:$Z$58</definedName>
    <definedName name="VE" localSheetId="35">[1]REPOSICION!$Z$83</definedName>
    <definedName name="VE" localSheetId="2">'[3]AM Costos'!$Z$58:$Z$58</definedName>
    <definedName name="VE" localSheetId="3">[1]REPOSICION!$Z$83</definedName>
    <definedName name="VE">'[2]AM Costos'!$Z$58:$Z$58</definedName>
    <definedName name="VelocidadCambio" localSheetId="13">OFFSET(#REF!,0,0,COUNTA(#REF!)-1)</definedName>
    <definedName name="VelocidadCambio" localSheetId="18">OFFSET(#REF!,0,0,COUNTA(#REF!)-1)</definedName>
    <definedName name="VelocidadCambio" localSheetId="20">OFFSET(#REF!,0,0,COUNTA(#REF!)-1)</definedName>
    <definedName name="VelocidadCambio" localSheetId="21">OFFSET(#REF!,0,0,COUNTA(#REF!)-1)</definedName>
    <definedName name="VelocidadCambio">OFFSET(#REF!,0,0,COUNTA(#REF!)-1)</definedName>
    <definedName name="VentanaMarco" localSheetId="13">OFFSET(#REF!,0,0,COUNTA(#REF!)-2)</definedName>
    <definedName name="VentanaMarco" localSheetId="18">OFFSET(#REF!,0,0,COUNTA(#REF!)-2)</definedName>
    <definedName name="VentanaMarco" localSheetId="20">OFFSET(#REF!,0,0,COUNTA(#REF!)-2)</definedName>
    <definedName name="VentanaMarco" localSheetId="21">OFFSET(#REF!,0,0,COUNTA(#REF!)-2)</definedName>
    <definedName name="VentanaMarco">OFFSET(#REF!,0,0,COUNTA(#REF!)-2)</definedName>
    <definedName name="VENTANAS_MARCO">OFFSET('[1]Lista-Data'!$AQ$4,0,0,COUNTA('[1]Lista-Data'!$AQ:$AQ)-1)</definedName>
    <definedName name="VENTANAS_SISTEMA">OFFSET('[1]Lista-Data'!$AS$4,0,0,COUNTA('[1]Lista-Data'!$AS:$AS)-1)</definedName>
    <definedName name="VENTANAS_VIDRIO">OFFSET('[1]Lista-Data'!$AR$4,0,0,COUNTA('[1]Lista-Data'!$AR:$AR)-1)</definedName>
    <definedName name="VentanaSistema" localSheetId="13">OFFSET(#REF!,0,0,COUNTA(#REF!)-1)</definedName>
    <definedName name="VentanaSistema" localSheetId="18">OFFSET(#REF!,0,0,COUNTA(#REF!)-1)</definedName>
    <definedName name="VentanaSistema" localSheetId="20">OFFSET(#REF!,0,0,COUNTA(#REF!)-1)</definedName>
    <definedName name="VentanaSistema" localSheetId="21">OFFSET(#REF!,0,0,COUNTA(#REF!)-1)</definedName>
    <definedName name="VentanaSistema">OFFSET(#REF!,0,0,COUNTA(#REF!)-1)</definedName>
    <definedName name="VentanaVidrio" localSheetId="13">OFFSET(#REF!,0,0,COUNTA(#REF!)-1)</definedName>
    <definedName name="VentanaVidrio" localSheetId="18">OFFSET(#REF!,0,0,COUNTA(#REF!)-1)</definedName>
    <definedName name="VentanaVidrio" localSheetId="20">OFFSET(#REF!,0,0,COUNTA(#REF!)-1)</definedName>
    <definedName name="VentanaVidrio" localSheetId="21">OFFSET(#REF!,0,0,COUNTA(#REF!)-1)</definedName>
    <definedName name="VentanaVidrio">OFFSET(#REF!,0,0,COUNTA(#REF!)-1)</definedName>
    <definedName name="Vista" localSheetId="13">OFFSET(#REF!,0,0,COUNTA(#REF!)-1)</definedName>
    <definedName name="Vista" localSheetId="18">OFFSET(#REF!,0,0,COUNTA(#REF!)-1)</definedName>
    <definedName name="Vista" localSheetId="20">OFFSET(#REF!,0,0,COUNTA(#REF!)-1)</definedName>
    <definedName name="Vista" localSheetId="21">OFFSET(#REF!,0,0,COUNTA(#REF!)-1)</definedName>
    <definedName name="Vista">OFFSET(#REF!,0,0,COUNTA(#REF!)-1)</definedName>
    <definedName name="Vistas">OFFSET('[1]Lista-Data'!$BL$3,0,0,COUNTA('[1]Lista-Data'!$BL:$BL)-1)</definedName>
    <definedName name="VIVOC" localSheetId="16">'[2]AM Costos'!$Y$73</definedName>
    <definedName name="VIVOC" localSheetId="35">[1]REPOSICION!$Y$116</definedName>
    <definedName name="VIVOC" localSheetId="2">'[3]AM Costos'!$Y$73</definedName>
    <definedName name="VIVOC" localSheetId="3">[1]REPOSICION!$Y$116</definedName>
    <definedName name="VIVOC">'[2]AM Costos'!$Y$73</definedName>
    <definedName name="VRea">[1]RESULTADOS!$X$51</definedName>
    <definedName name="VReaSoles">[1]RESULTADOS!$X$54</definedName>
    <definedName name="VRI" localSheetId="16">'[2]RESUL VC'!$X$56</definedName>
    <definedName name="VRI" localSheetId="2">'[3]RESUL VC'!$X$56</definedName>
    <definedName name="VRI" localSheetId="3">'[3]RESUL VC'!$X$56</definedName>
    <definedName name="VRI">'[2]RESUL VC'!$X$56</definedName>
    <definedName name="VSN" localSheetId="16">'[2]AM Costos'!$Y$78</definedName>
    <definedName name="VSN" localSheetId="2">'[3]AM Costos'!$Y$78</definedName>
    <definedName name="VSN" localSheetId="3">'[3]AM Costos'!$Y$78</definedName>
    <definedName name="VSN">'[2]AM Costos'!$Y$78</definedName>
    <definedName name="VSNAC" localSheetId="16">'[2]AM Costos'!$R$65</definedName>
    <definedName name="VSNAC" localSheetId="35">[1]REPOSICION!$R$98</definedName>
    <definedName name="VSNAC" localSheetId="2">'[3]AM Costos'!$R$65</definedName>
    <definedName name="VSNAC" localSheetId="3">[1]REPOSICION!$R$98</definedName>
    <definedName name="VSNAC">'[2]AM Costos'!$R$65</definedName>
    <definedName name="VSNE" localSheetId="16">'[2]AM Costos'!$M$58</definedName>
    <definedName name="VSNE" localSheetId="35">[1]REPOSICION!$M$83</definedName>
    <definedName name="VSNE" localSheetId="2">'[3]AM Costos'!$M$58</definedName>
    <definedName name="VSNE" localSheetId="3">[1]REPOSICION!$M$83</definedName>
    <definedName name="VSNE">'[2]AM Costos'!$M$58</definedName>
    <definedName name="VSNVIVOC" localSheetId="16">'[2]AM Costos'!$R$73</definedName>
    <definedName name="VSNVIVOC" localSheetId="35">[1]REPOSICION!$O$116</definedName>
    <definedName name="VSNVIVOC" localSheetId="2">'[3]AM Costos'!$R$73</definedName>
    <definedName name="VSNVIVOC" localSheetId="3">[1]REPOSICION!$O$116</definedName>
    <definedName name="VSNVIVOC">'[2]AM Costos'!$R$73</definedName>
    <definedName name="VT" localSheetId="16">'[2]AM Costos'!$X$28</definedName>
    <definedName name="VT" localSheetId="35">[1]REPOSICION!$X$46</definedName>
    <definedName name="VT" localSheetId="2">'[3]AM Costos'!$X$28</definedName>
    <definedName name="VT" localSheetId="3">[1]REPOSICION!$X$46</definedName>
    <definedName name="VT">'[2]AM Costos'!$X$28</definedName>
    <definedName name="VT_AREA_COMUN">[1]REPOSICION!$X$44</definedName>
    <definedName name="VT_AREA_EXCLUSIVA">[1]REPOSICION!$X$34</definedName>
    <definedName name="VTP_1" localSheetId="16">'[2]AM Costos'!$Y$76</definedName>
    <definedName name="VTP_1" localSheetId="35">[1]REPOSICION!$Y$123</definedName>
    <definedName name="VTP_1" localSheetId="2">'[3]AM Costos'!$Y$76</definedName>
    <definedName name="VTP_1" localSheetId="3">[1]REPOSICION!$Y$123</definedName>
    <definedName name="VTP_1">'[2]AM Costos'!$Y$76</definedName>
    <definedName name="VTP_2" localSheetId="16">'[2]AM Mercado'!$V$93</definedName>
    <definedName name="VTP_2" localSheetId="35">[1]COMPARACIÓN!$V$99</definedName>
    <definedName name="VTP_2" localSheetId="2">'[3]AM Mercado'!$V$93</definedName>
    <definedName name="VTP_2" localSheetId="3">[1]COMPARACIÓN!$V$99</definedName>
    <definedName name="VTP_2">'[2]AM Mercado'!$V$93</definedName>
    <definedName name="VTP_3" localSheetId="16">'[2]RESUL VC'!$O$25</definedName>
    <definedName name="VTP_3" localSheetId="35">[1]RENTA!$V$102</definedName>
    <definedName name="VTP_3" localSheetId="2">'[3]RESUL VC'!$O$25</definedName>
    <definedName name="VTP_3" localSheetId="3">[1]RENTA!$V$102</definedName>
    <definedName name="VTP_3">'[2]RESUL VC'!$O$25</definedName>
    <definedName name="VUE_1" localSheetId="16">'[2]AM Costos'!$L$46</definedName>
    <definedName name="VUE_1" localSheetId="35">[1]REPOSICION!$L$66</definedName>
    <definedName name="VUE_1" localSheetId="2">'[3]AM Costos'!$L$46</definedName>
    <definedName name="VUE_1" localSheetId="3">[1]REPOSICION!$L$66</definedName>
    <definedName name="VUE_1">'[2]AM Costos'!$L$46</definedName>
    <definedName name="VUE_2">[1]REPOSICION!$O$66</definedName>
    <definedName name="VUE_3">[1]REPOSICION!$R$66</definedName>
    <definedName name="VUT" localSheetId="16">'[2]AM Terrenos'!$X$33</definedName>
    <definedName name="VUT" localSheetId="35">'[1]EST. MERCADO TERRENOS'!$X$47</definedName>
    <definedName name="VUT" localSheetId="2">'[3]AM Terrenos'!$X$33</definedName>
    <definedName name="VUT" localSheetId="3">'[1]EST. MERCADO TERRENOS'!$X$47</definedName>
    <definedName name="VUT">'[2]AM Terrenos'!$X$33</definedName>
    <definedName name="WARRANT" localSheetId="2">#REF!</definedName>
    <definedName name="Zonificación" localSheetId="13">OFFSET(#REF!,0,0,COUNTA(#REF!)-1)</definedName>
    <definedName name="Zonificación" localSheetId="35">OFFSET('[1]Lista-Data'!$P$3,0,0,COUNTA('[1]Lista-Data'!$P:$P)-1)</definedName>
    <definedName name="Zonificación" localSheetId="18">OFFSET(#REF!,0,0,COUNTA(#REF!)-1)</definedName>
    <definedName name="Zonificación" localSheetId="20">OFFSET(#REF!,0,0,COUNTA(#REF!)-1)</definedName>
    <definedName name="Zonificación" localSheetId="21">OFFSET(#REF!,0,0,COUNTA(#REF!)-1)</definedName>
    <definedName name="Zonificación" localSheetId="3">OFFSET('[1]Lista-Data'!$P$3,0,0,COUNTA('[1]Lista-Data'!$P:$P)-1)</definedName>
    <definedName name="Zonificación">OFFSET(#REF!,0,0,COUNTA(#REF!)-1)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Z89" i="20" l="1"/>
  <c r="V89" i="20"/>
  <c r="R89" i="20"/>
  <c r="Z88" i="20"/>
  <c r="V88" i="20"/>
  <c r="R88" i="20"/>
  <c r="Z84" i="20"/>
  <c r="Z85" i="20" s="1"/>
  <c r="V84" i="20"/>
  <c r="V85" i="20" s="1"/>
  <c r="R84" i="20"/>
  <c r="R85" i="20" s="1"/>
  <c r="R83" i="20"/>
  <c r="V83" i="20"/>
  <c r="Z83" i="20"/>
  <c r="AH73" i="40"/>
  <c r="AH75" i="40"/>
  <c r="AH74" i="40"/>
  <c r="N81" i="40"/>
  <c r="AH47" i="5"/>
  <c r="AH43" i="5"/>
  <c r="J93" i="20"/>
  <c r="V116" i="20"/>
  <c r="B107" i="20"/>
  <c r="B102" i="20"/>
  <c r="B97" i="20"/>
  <c r="F45" i="20"/>
  <c r="O49" i="20"/>
  <c r="H49" i="20"/>
  <c r="Y47" i="20"/>
  <c r="O47" i="20"/>
  <c r="F47" i="20"/>
  <c r="Z15" i="20"/>
  <c r="Z14" i="20"/>
  <c r="Z13" i="20"/>
  <c r="Z12" i="20"/>
  <c r="L57" i="19" l="1"/>
  <c r="C19" i="39" s="1"/>
  <c r="F57" i="19"/>
  <c r="L56" i="19"/>
  <c r="C18" i="39" s="1"/>
  <c r="F56" i="19"/>
  <c r="D18" i="39" s="1"/>
  <c r="D19" i="39"/>
  <c r="B118" i="19" l="1"/>
  <c r="B113" i="19"/>
  <c r="B108" i="19"/>
  <c r="Z4" i="43"/>
  <c r="Z3" i="43"/>
  <c r="Z1" i="43"/>
  <c r="Z4" i="42"/>
  <c r="Z3" i="42"/>
  <c r="Z1" i="42"/>
  <c r="Z4" i="41"/>
  <c r="Z3" i="41"/>
  <c r="Z1" i="41"/>
  <c r="BD1" i="38"/>
  <c r="Z1" i="30"/>
  <c r="BD4" i="38"/>
  <c r="BD3" i="38"/>
  <c r="Z1" i="38"/>
  <c r="N79" i="40"/>
  <c r="AH72" i="40"/>
  <c r="AH71" i="40"/>
  <c r="AH70" i="40"/>
  <c r="R27" i="40"/>
  <c r="AL27" i="40"/>
  <c r="AM20" i="40"/>
  <c r="D16" i="40"/>
  <c r="P16" i="40"/>
  <c r="AG16" i="40"/>
  <c r="S12" i="40"/>
  <c r="G8" i="40"/>
  <c r="AA6" i="40"/>
  <c r="H14" i="39"/>
  <c r="C14" i="39"/>
  <c r="Z12" i="19" l="1"/>
  <c r="U75" i="40"/>
  <c r="P75" i="40"/>
  <c r="U74" i="40"/>
  <c r="P74" i="40"/>
  <c r="U73" i="40"/>
  <c r="P73" i="40"/>
  <c r="U71" i="40"/>
  <c r="U72" i="40"/>
  <c r="P71" i="40"/>
  <c r="P72" i="40"/>
  <c r="U70" i="40"/>
  <c r="P70" i="40"/>
  <c r="B70" i="40"/>
  <c r="AL30" i="40" l="1"/>
  <c r="D42" i="39" l="1"/>
  <c r="D22" i="39"/>
  <c r="G7" i="39"/>
  <c r="H13" i="39"/>
  <c r="H5" i="39"/>
  <c r="F5" i="39"/>
  <c r="D5" i="39"/>
  <c r="D4" i="39"/>
  <c r="D3" i="39"/>
  <c r="D2" i="39"/>
  <c r="D20" i="39"/>
  <c r="C20" i="39"/>
  <c r="Z15" i="1"/>
  <c r="G66" i="19"/>
  <c r="DL1" i="36"/>
  <c r="CH1" i="36"/>
  <c r="BD1" i="36"/>
  <c r="Z89" i="19"/>
  <c r="N85" i="40" s="1"/>
  <c r="V89" i="19"/>
  <c r="N83" i="40" s="1"/>
  <c r="R89" i="19"/>
  <c r="AF39" i="6" l="1"/>
  <c r="AF29" i="6"/>
  <c r="AF19" i="6"/>
  <c r="AF21" i="4"/>
  <c r="L55" i="19"/>
  <c r="C17" i="39" s="1"/>
  <c r="O51" i="19"/>
  <c r="B25" i="6"/>
  <c r="B21" i="6"/>
  <c r="B74" i="40" s="1"/>
  <c r="B22" i="6"/>
  <c r="B75" i="40" s="1"/>
  <c r="B23" i="6"/>
  <c r="B20" i="6"/>
  <c r="B73" i="40" s="1"/>
  <c r="H38" i="4"/>
  <c r="BQ27" i="4"/>
  <c r="BV27" i="4" s="1"/>
  <c r="Z15" i="3"/>
  <c r="Z15" i="4" s="1"/>
  <c r="Z15" i="5" s="1"/>
  <c r="Z15" i="6" s="1"/>
  <c r="Z15" i="7" s="1"/>
  <c r="E29" i="31"/>
  <c r="C26" i="31"/>
  <c r="C24" i="31"/>
  <c r="C22" i="31"/>
  <c r="C20" i="31"/>
  <c r="F45" i="19"/>
  <c r="K20" i="28" s="1"/>
  <c r="BV21" i="6"/>
  <c r="Z74" i="40" s="1"/>
  <c r="BV22" i="6"/>
  <c r="Z75" i="40" s="1"/>
  <c r="BV23" i="6"/>
  <c r="BV25" i="6"/>
  <c r="BV20" i="6"/>
  <c r="Z73" i="40" s="1"/>
  <c r="K45" i="6"/>
  <c r="N45" i="6" s="1"/>
  <c r="K43" i="6"/>
  <c r="K41" i="6"/>
  <c r="K42" i="6"/>
  <c r="K40" i="6"/>
  <c r="Q35" i="6"/>
  <c r="Q33" i="6"/>
  <c r="B43" i="6" s="1"/>
  <c r="Q32" i="6"/>
  <c r="B42" i="6" s="1"/>
  <c r="Q31" i="6"/>
  <c r="B41" i="6" s="1"/>
  <c r="Q30" i="6"/>
  <c r="B40" i="6" s="1"/>
  <c r="N40" i="6" s="1"/>
  <c r="B30" i="3"/>
  <c r="Z35" i="3"/>
  <c r="B24" i="3"/>
  <c r="Z29" i="3"/>
  <c r="M60" i="5"/>
  <c r="Z60" i="5" s="1"/>
  <c r="M59" i="5"/>
  <c r="Z59" i="5" s="1"/>
  <c r="M58" i="5"/>
  <c r="Z58" i="5" s="1"/>
  <c r="M57" i="5"/>
  <c r="Z57" i="5" s="1"/>
  <c r="M56" i="5"/>
  <c r="Z56" i="5" s="1"/>
  <c r="M55" i="5"/>
  <c r="W81" i="5"/>
  <c r="W82" i="5" s="1"/>
  <c r="W83" i="5" s="1"/>
  <c r="W84" i="5" s="1"/>
  <c r="G81" i="5"/>
  <c r="O81" i="5"/>
  <c r="Y81" i="5" s="1"/>
  <c r="J82" i="5"/>
  <c r="J83" i="5"/>
  <c r="J84" i="5"/>
  <c r="J81" i="5"/>
  <c r="B84" i="5"/>
  <c r="G82" i="5"/>
  <c r="O82" i="5" s="1"/>
  <c r="G83" i="5"/>
  <c r="O83" i="5" s="1"/>
  <c r="G84" i="5"/>
  <c r="O84" i="5" s="1"/>
  <c r="B82" i="5"/>
  <c r="B83" i="5"/>
  <c r="B81" i="5"/>
  <c r="P52" i="5"/>
  <c r="P53" i="5" s="1"/>
  <c r="P54" i="5" s="1"/>
  <c r="P55" i="5" s="1"/>
  <c r="K97" i="6"/>
  <c r="N97" i="6" s="1"/>
  <c r="V97" i="6" s="1"/>
  <c r="R52" i="7"/>
  <c r="K65" i="3"/>
  <c r="O68" i="19"/>
  <c r="U68" i="19"/>
  <c r="H68" i="19" s="1"/>
  <c r="P66" i="19"/>
  <c r="H70" i="19"/>
  <c r="C13" i="39" s="1"/>
  <c r="F55" i="19"/>
  <c r="D17" i="39" s="1"/>
  <c r="R43" i="5"/>
  <c r="O43" i="5"/>
  <c r="L43" i="5"/>
  <c r="R90" i="19"/>
  <c r="R91" i="19" s="1"/>
  <c r="V90" i="19"/>
  <c r="V91" i="19" s="1"/>
  <c r="Z90" i="19"/>
  <c r="Z91" i="19" s="1"/>
  <c r="M88" i="19"/>
  <c r="V94" i="19" s="1"/>
  <c r="J45" i="5"/>
  <c r="W70" i="5"/>
  <c r="Y53" i="5"/>
  <c r="Y54" i="5" s="1"/>
  <c r="H23" i="5"/>
  <c r="H24" i="5"/>
  <c r="BQ22" i="4"/>
  <c r="BV22" i="4" s="1"/>
  <c r="Z70" i="40" s="1"/>
  <c r="W41" i="6"/>
  <c r="W42" i="6"/>
  <c r="W43" i="6"/>
  <c r="W45" i="6"/>
  <c r="W40" i="6"/>
  <c r="V34" i="4"/>
  <c r="V35" i="4"/>
  <c r="V36" i="4"/>
  <c r="V38" i="4"/>
  <c r="V33" i="4"/>
  <c r="Z13" i="19"/>
  <c r="Z14" i="19"/>
  <c r="D7" i="39" s="1"/>
  <c r="BQ23" i="4"/>
  <c r="B34" i="4" s="1"/>
  <c r="H34" i="4"/>
  <c r="BQ24" i="4"/>
  <c r="B35" i="4" s="1"/>
  <c r="H35" i="4"/>
  <c r="H36" i="4"/>
  <c r="H33" i="4"/>
  <c r="B24" i="4"/>
  <c r="B72" i="40" s="1"/>
  <c r="B25" i="4"/>
  <c r="B23" i="4"/>
  <c r="B71" i="40" s="1"/>
  <c r="Y84" i="13"/>
  <c r="Y85" i="13" s="1"/>
  <c r="T90" i="13"/>
  <c r="T91" i="13" s="1"/>
  <c r="Y90" i="13"/>
  <c r="Y91" i="13" s="1"/>
  <c r="T89" i="13"/>
  <c r="Y89" i="13"/>
  <c r="M88" i="13"/>
  <c r="Y94" i="13" s="1"/>
  <c r="Y83" i="13"/>
  <c r="P30" i="29"/>
  <c r="AS13" i="29"/>
  <c r="AO13" i="29"/>
  <c r="AK13" i="29"/>
  <c r="AS12" i="29"/>
  <c r="AO12" i="29"/>
  <c r="AK12" i="29"/>
  <c r="AS11" i="29"/>
  <c r="AO11" i="29"/>
  <c r="AK11" i="29"/>
  <c r="AS10" i="29"/>
  <c r="AO10" i="29"/>
  <c r="AK10" i="29"/>
  <c r="H54" i="5"/>
  <c r="K92" i="6" s="1"/>
  <c r="N92" i="6" s="1"/>
  <c r="V92" i="6" s="1"/>
  <c r="Z82" i="19" s="1"/>
  <c r="H53" i="5"/>
  <c r="K91" i="6" s="1"/>
  <c r="V52" i="5"/>
  <c r="T81" i="5" s="1"/>
  <c r="T82" i="5" s="1"/>
  <c r="T83" i="5" s="1"/>
  <c r="T84" i="5" s="1"/>
  <c r="AI11" i="28"/>
  <c r="B105" i="28"/>
  <c r="B106" i="28"/>
  <c r="B114" i="28" s="1"/>
  <c r="B104" i="28"/>
  <c r="B108" i="28" s="1"/>
  <c r="O66" i="28"/>
  <c r="AN37" i="28"/>
  <c r="AS35" i="28"/>
  <c r="K34" i="28"/>
  <c r="P15" i="28"/>
  <c r="K15" i="28"/>
  <c r="AN22" i="28"/>
  <c r="K22" i="28"/>
  <c r="K21" i="28"/>
  <c r="K17" i="28"/>
  <c r="K43" i="28"/>
  <c r="AN114" i="28"/>
  <c r="AG114" i="28"/>
  <c r="AN113" i="28"/>
  <c r="AG113" i="28"/>
  <c r="AN112" i="28"/>
  <c r="AG112" i="28"/>
  <c r="AN110" i="28"/>
  <c r="AG110" i="28"/>
  <c r="AN109" i="28"/>
  <c r="AG109" i="28"/>
  <c r="AN108" i="28"/>
  <c r="AG108" i="28"/>
  <c r="AN106" i="28"/>
  <c r="AG106" i="28"/>
  <c r="AN105" i="28"/>
  <c r="AG105" i="28"/>
  <c r="AN104" i="28"/>
  <c r="AG104" i="28"/>
  <c r="O88" i="28"/>
  <c r="AT83" i="28"/>
  <c r="B83" i="28"/>
  <c r="AT82" i="28"/>
  <c r="B82" i="28"/>
  <c r="AT80" i="28"/>
  <c r="B80" i="28"/>
  <c r="AT79" i="28"/>
  <c r="B79" i="28"/>
  <c r="AT78" i="28"/>
  <c r="AK78" i="28"/>
  <c r="Z78" i="28"/>
  <c r="S78" i="28"/>
  <c r="AT77" i="28"/>
  <c r="AK77" i="28"/>
  <c r="Z77" i="28"/>
  <c r="S77" i="28"/>
  <c r="BA63" i="28"/>
  <c r="B63" i="28"/>
  <c r="BA62" i="28"/>
  <c r="B62" i="28"/>
  <c r="BA60" i="28"/>
  <c r="BA59" i="28"/>
  <c r="B78" i="28"/>
  <c r="B77" i="28"/>
  <c r="K37" i="28"/>
  <c r="F59" i="19"/>
  <c r="K35" i="28" s="1"/>
  <c r="T52" i="5"/>
  <c r="R81" i="5" s="1"/>
  <c r="R82" i="5" s="1"/>
  <c r="R83" i="5" s="1"/>
  <c r="R84" i="5" s="1"/>
  <c r="H21" i="5"/>
  <c r="H22" i="5"/>
  <c r="B18" i="3"/>
  <c r="B61" i="3"/>
  <c r="B54" i="5" s="1"/>
  <c r="B92" i="6" s="1"/>
  <c r="B60" i="3"/>
  <c r="B53" i="5" s="1"/>
  <c r="B91" i="6" s="1"/>
  <c r="F51" i="19"/>
  <c r="K93" i="6"/>
  <c r="N93" i="6" s="1"/>
  <c r="K94" i="6"/>
  <c r="N94" i="6" s="1"/>
  <c r="V94" i="6" s="1"/>
  <c r="K95" i="6"/>
  <c r="K96" i="6"/>
  <c r="N96" i="6" s="1"/>
  <c r="H52" i="5"/>
  <c r="K90" i="6" s="1"/>
  <c r="B20" i="5"/>
  <c r="B69" i="5" s="1"/>
  <c r="H20" i="5"/>
  <c r="B21" i="5"/>
  <c r="M21" i="5" s="1"/>
  <c r="Y90" i="5" s="1"/>
  <c r="B22" i="5"/>
  <c r="B73" i="5" s="1"/>
  <c r="B23" i="5"/>
  <c r="M23" i="5" s="1"/>
  <c r="B24" i="5"/>
  <c r="R87" i="19"/>
  <c r="K56" i="3"/>
  <c r="BQ25" i="4"/>
  <c r="B36" i="4" s="1"/>
  <c r="F30" i="13"/>
  <c r="L41" i="13"/>
  <c r="L40" i="13"/>
  <c r="F41" i="13"/>
  <c r="K98" i="6"/>
  <c r="N98" i="6" s="1"/>
  <c r="V98" i="6" s="1"/>
  <c r="B93" i="6"/>
  <c r="B94" i="6"/>
  <c r="B95" i="6"/>
  <c r="B96" i="6"/>
  <c r="B97" i="6"/>
  <c r="B98" i="6"/>
  <c r="F40" i="13"/>
  <c r="Z23" i="3"/>
  <c r="B52" i="5"/>
  <c r="B86" i="5" s="1"/>
  <c r="J88" i="5" s="1"/>
  <c r="F39" i="20"/>
  <c r="F39" i="19"/>
  <c r="K16" i="28" s="1"/>
  <c r="F24" i="13"/>
  <c r="F35" i="20"/>
  <c r="F35" i="19"/>
  <c r="K14" i="28" s="1"/>
  <c r="F20" i="13"/>
  <c r="C75" i="6"/>
  <c r="S44" i="3"/>
  <c r="O65" i="3"/>
  <c r="Z13" i="3"/>
  <c r="Z13" i="4" s="1"/>
  <c r="Z13" i="5" s="1"/>
  <c r="Z13" i="6" s="1"/>
  <c r="Z13" i="7" s="1"/>
  <c r="Z14" i="3"/>
  <c r="Z14" i="4" s="1"/>
  <c r="Z14" i="5" s="1"/>
  <c r="Z14" i="6" s="1"/>
  <c r="Z14" i="7" s="1"/>
  <c r="Z12" i="3"/>
  <c r="Z12" i="4" s="1"/>
  <c r="Z12" i="5" s="1"/>
  <c r="Z12" i="6" s="1"/>
  <c r="Z12" i="7" s="1"/>
  <c r="AI23" i="21"/>
  <c r="AI24" i="21"/>
  <c r="M26" i="21"/>
  <c r="F13" i="21"/>
  <c r="Q20" i="21" s="1"/>
  <c r="X20" i="21" s="1"/>
  <c r="X21" i="21" s="1"/>
  <c r="O83" i="21"/>
  <c r="R82" i="21"/>
  <c r="Y82" i="21" s="1"/>
  <c r="R81" i="21"/>
  <c r="Y81" i="21"/>
  <c r="R80" i="21"/>
  <c r="Y80" i="21" s="1"/>
  <c r="Y83" i="21" s="1"/>
  <c r="R79" i="21"/>
  <c r="Y79" i="21"/>
  <c r="R73" i="21"/>
  <c r="Y72" i="21"/>
  <c r="Y73" i="21"/>
  <c r="H65" i="21"/>
  <c r="M64" i="21"/>
  <c r="Z64" i="21" s="1"/>
  <c r="M63" i="21"/>
  <c r="Z63" i="21"/>
  <c r="M62" i="21"/>
  <c r="Z62" i="21" s="1"/>
  <c r="M61" i="21"/>
  <c r="Z61" i="21" s="1"/>
  <c r="M60" i="21"/>
  <c r="Z60" i="21" s="1"/>
  <c r="M59" i="21"/>
  <c r="Z59" i="21"/>
  <c r="M58" i="21"/>
  <c r="Z58" i="21" s="1"/>
  <c r="M57" i="21"/>
  <c r="Z57" i="21"/>
  <c r="M56" i="21"/>
  <c r="Z56" i="21" s="1"/>
  <c r="F49" i="21"/>
  <c r="AA48" i="21"/>
  <c r="AA50" i="21"/>
  <c r="X48" i="21"/>
  <c r="X50" i="21" s="1"/>
  <c r="U48" i="21"/>
  <c r="U50" i="21"/>
  <c r="R48" i="21"/>
  <c r="R50" i="21" s="1"/>
  <c r="O48" i="21"/>
  <c r="O50" i="21" s="1"/>
  <c r="L48" i="21"/>
  <c r="L49" i="21" s="1"/>
  <c r="H21" i="21"/>
  <c r="AA49" i="21"/>
  <c r="M82" i="20"/>
  <c r="S109" i="13"/>
  <c r="S110" i="13"/>
  <c r="S111" i="13"/>
  <c r="M89" i="20"/>
  <c r="M88" i="20"/>
  <c r="M85" i="20"/>
  <c r="M84" i="20"/>
  <c r="M83" i="20"/>
  <c r="Z87" i="19"/>
  <c r="V87" i="19"/>
  <c r="F7" i="18"/>
  <c r="M6" i="18" s="1"/>
  <c r="O56" i="3"/>
  <c r="I79" i="6"/>
  <c r="H79" i="6"/>
  <c r="C79" i="6"/>
  <c r="I78" i="6"/>
  <c r="H78" i="6"/>
  <c r="C78" i="6"/>
  <c r="I77" i="6"/>
  <c r="H77" i="6"/>
  <c r="C77" i="6"/>
  <c r="I76" i="6"/>
  <c r="H76" i="6"/>
  <c r="C76" i="6"/>
  <c r="I75" i="6"/>
  <c r="H75" i="6"/>
  <c r="C81" i="4"/>
  <c r="C80" i="4"/>
  <c r="C79" i="4"/>
  <c r="C78" i="4"/>
  <c r="C77" i="4"/>
  <c r="AA43" i="5"/>
  <c r="AA45" i="5" s="1"/>
  <c r="U43" i="5"/>
  <c r="X43" i="5"/>
  <c r="X45" i="5" s="1"/>
  <c r="O49" i="21"/>
  <c r="B110" i="28"/>
  <c r="L50" i="21"/>
  <c r="N95" i="6"/>
  <c r="V95" i="6" s="1"/>
  <c r="U49" i="21"/>
  <c r="X26" i="21"/>
  <c r="M27" i="21"/>
  <c r="M28" i="21" s="1"/>
  <c r="B109" i="28"/>
  <c r="B113" i="28"/>
  <c r="D39" i="7"/>
  <c r="D41" i="7"/>
  <c r="D58" i="7"/>
  <c r="D61" i="7"/>
  <c r="M24" i="5"/>
  <c r="U44" i="5"/>
  <c r="U45" i="5"/>
  <c r="B38" i="4"/>
  <c r="Z15" i="19"/>
  <c r="Z2" i="42" l="1"/>
  <c r="Z2" i="43"/>
  <c r="Z2" i="41"/>
  <c r="N41" i="6"/>
  <c r="BV25" i="4"/>
  <c r="BV24" i="4"/>
  <c r="Z72" i="40" s="1"/>
  <c r="G79" i="6"/>
  <c r="Z45" i="6"/>
  <c r="J79" i="6" s="1"/>
  <c r="M91" i="13"/>
  <c r="Y97" i="13" s="1"/>
  <c r="B90" i="6"/>
  <c r="AA44" i="5"/>
  <c r="X49" i="21"/>
  <c r="X51" i="21" s="1"/>
  <c r="L36" i="4"/>
  <c r="M89" i="13"/>
  <c r="Y95" i="13" s="1"/>
  <c r="R49" i="21"/>
  <c r="R51" i="21" s="1"/>
  <c r="N43" i="6"/>
  <c r="Z43" i="6" s="1"/>
  <c r="J78" i="6" s="1"/>
  <c r="B30" i="29"/>
  <c r="AM30" i="29" s="1"/>
  <c r="AM31" i="29" s="1"/>
  <c r="Y82" i="5"/>
  <c r="N42" i="6"/>
  <c r="G77" i="6" s="1"/>
  <c r="V53" i="5"/>
  <c r="V54" i="5" s="1"/>
  <c r="Y84" i="5"/>
  <c r="BV23" i="4"/>
  <c r="Z71" i="40" s="1"/>
  <c r="H25" i="5"/>
  <c r="M90" i="13"/>
  <c r="Y96" i="13" s="1"/>
  <c r="M90" i="19"/>
  <c r="V96" i="19" s="1"/>
  <c r="G75" i="6"/>
  <c r="G81" i="6" s="1"/>
  <c r="Z40" i="6"/>
  <c r="J75" i="6" s="1"/>
  <c r="R46" i="5"/>
  <c r="R47" i="5" s="1"/>
  <c r="J54" i="5" s="1"/>
  <c r="M54" i="5" s="1"/>
  <c r="Z54" i="5" s="1"/>
  <c r="X44" i="5"/>
  <c r="T53" i="5"/>
  <c r="T54" i="5" s="1"/>
  <c r="H61" i="5"/>
  <c r="V93" i="6"/>
  <c r="B33" i="4"/>
  <c r="L33" i="4" s="1"/>
  <c r="L38" i="4"/>
  <c r="G81" i="4" s="1"/>
  <c r="L35" i="4"/>
  <c r="X35" i="4" s="1"/>
  <c r="J79" i="4" s="1"/>
  <c r="L34" i="4"/>
  <c r="X34" i="4" s="1"/>
  <c r="B92" i="5"/>
  <c r="J94" i="5" s="1"/>
  <c r="B71" i="5"/>
  <c r="B112" i="28"/>
  <c r="B89" i="5"/>
  <c r="J91" i="5" s="1"/>
  <c r="M22" i="5"/>
  <c r="Y93" i="5" s="1"/>
  <c r="Y65" i="21"/>
  <c r="Y88" i="21" s="1"/>
  <c r="M65" i="21"/>
  <c r="Y92" i="21" s="1"/>
  <c r="G76" i="6"/>
  <c r="Z41" i="6"/>
  <c r="J76" i="6" s="1"/>
  <c r="AP2" i="31"/>
  <c r="Z1" i="8"/>
  <c r="N91" i="6"/>
  <c r="V91" i="6" s="1"/>
  <c r="V82" i="19" s="1"/>
  <c r="Y83" i="5"/>
  <c r="O85" i="5"/>
  <c r="G80" i="4"/>
  <c r="X36" i="4"/>
  <c r="J80" i="4" s="1"/>
  <c r="Z83" i="19"/>
  <c r="Z84" i="19"/>
  <c r="Z85" i="19" s="1"/>
  <c r="G78" i="4"/>
  <c r="W72" i="5"/>
  <c r="W74" i="5" s="1"/>
  <c r="Y55" i="5"/>
  <c r="Z55" i="5" s="1"/>
  <c r="AP4" i="31"/>
  <c r="K7" i="33" s="1"/>
  <c r="Z3" i="8"/>
  <c r="F39" i="29"/>
  <c r="Z3" i="30"/>
  <c r="X27" i="21"/>
  <c r="X28" i="21" s="1"/>
  <c r="AE25" i="21" s="1"/>
  <c r="M20" i="5"/>
  <c r="Y87" i="5" s="1"/>
  <c r="V96" i="6"/>
  <c r="BA64" i="28"/>
  <c r="O54" i="28" s="1"/>
  <c r="AT84" i="28"/>
  <c r="S74" i="28" s="1"/>
  <c r="Z2" i="30"/>
  <c r="AP3" i="31"/>
  <c r="K6" i="33" s="1"/>
  <c r="Z2" i="8"/>
  <c r="U46" i="5"/>
  <c r="U47" i="5" s="1"/>
  <c r="U51" i="21"/>
  <c r="O51" i="21"/>
  <c r="L51" i="21"/>
  <c r="AA51" i="21"/>
  <c r="X46" i="5"/>
  <c r="X47" i="5" s="1"/>
  <c r="Z4" i="30"/>
  <c r="AP5" i="31"/>
  <c r="K8" i="33" s="1"/>
  <c r="Z4" i="8"/>
  <c r="AP4" i="33"/>
  <c r="M89" i="19"/>
  <c r="V95" i="19" s="1"/>
  <c r="M91" i="19"/>
  <c r="V97" i="19" s="1"/>
  <c r="AM74" i="28"/>
  <c r="L46" i="5"/>
  <c r="L47" i="5" s="1"/>
  <c r="J52" i="5" s="1"/>
  <c r="M52" i="5" s="1"/>
  <c r="Z52" i="5" s="1"/>
  <c r="AA46" i="5"/>
  <c r="AA47" i="5" s="1"/>
  <c r="O46" i="5"/>
  <c r="O47" i="5" s="1"/>
  <c r="J53" i="5" s="1"/>
  <c r="M53" i="5" s="1"/>
  <c r="R72" i="5" s="1"/>
  <c r="G78" i="6" l="1"/>
  <c r="Y90" i="21"/>
  <c r="X38" i="4"/>
  <c r="J81" i="4" s="1"/>
  <c r="G80" i="6"/>
  <c r="Z42" i="6"/>
  <c r="G79" i="4"/>
  <c r="Y85" i="5"/>
  <c r="Y94" i="5" s="1"/>
  <c r="G82" i="6"/>
  <c r="G83" i="6" s="1"/>
  <c r="G77" i="4"/>
  <c r="G83" i="4" s="1"/>
  <c r="X33" i="4"/>
  <c r="J77" i="4" s="1"/>
  <c r="R74" i="5"/>
  <c r="Y74" i="5" s="1"/>
  <c r="V83" i="19"/>
  <c r="V84" i="19"/>
  <c r="V85" i="19" s="1"/>
  <c r="AL54" i="28"/>
  <c r="Z3" i="24"/>
  <c r="Z3" i="26"/>
  <c r="Z3" i="22"/>
  <c r="Z3" i="25"/>
  <c r="Z3" i="10"/>
  <c r="Z3" i="38" s="1"/>
  <c r="Z3" i="23"/>
  <c r="R94" i="5"/>
  <c r="R91" i="5"/>
  <c r="R88" i="5"/>
  <c r="Y100" i="13"/>
  <c r="Y101" i="13" s="1"/>
  <c r="Z1" i="25"/>
  <c r="Z1" i="22"/>
  <c r="Z1" i="23"/>
  <c r="Z1" i="26"/>
  <c r="Z1" i="24"/>
  <c r="Z1" i="10"/>
  <c r="J39" i="4"/>
  <c r="X39" i="4" s="1"/>
  <c r="J78" i="4"/>
  <c r="Y88" i="5"/>
  <c r="Y91" i="5"/>
  <c r="X29" i="21"/>
  <c r="X31" i="21" s="1"/>
  <c r="AE26" i="21"/>
  <c r="AE27" i="21" s="1"/>
  <c r="AH28" i="21" s="1"/>
  <c r="Z2" i="26"/>
  <c r="Z2" i="24"/>
  <c r="Z2" i="25"/>
  <c r="Z2" i="10"/>
  <c r="Z2" i="23"/>
  <c r="Z2" i="22"/>
  <c r="Z4" i="23"/>
  <c r="Z4" i="10"/>
  <c r="Z4" i="38" s="1"/>
  <c r="Z4" i="25"/>
  <c r="Z4" i="24"/>
  <c r="Z4" i="26"/>
  <c r="Z4" i="22"/>
  <c r="R70" i="5"/>
  <c r="M70" i="5" s="1"/>
  <c r="M61" i="5"/>
  <c r="R100" i="19" s="1"/>
  <c r="R101" i="19" s="1"/>
  <c r="Z53" i="5"/>
  <c r="Y61" i="5" s="1"/>
  <c r="M72" i="5"/>
  <c r="Y72" i="5"/>
  <c r="J77" i="6" l="1"/>
  <c r="K46" i="6"/>
  <c r="Z46" i="6" s="1"/>
  <c r="N90" i="6" s="1"/>
  <c r="V90" i="6" s="1"/>
  <c r="Z2" i="36"/>
  <c r="BD2" i="36" s="1"/>
  <c r="CH2" i="36" s="1"/>
  <c r="DL2" i="36" s="1"/>
  <c r="Z2" i="38"/>
  <c r="BD2" i="38" s="1"/>
  <c r="G84" i="4"/>
  <c r="G85" i="4" s="1"/>
  <c r="G82" i="4"/>
  <c r="R96" i="5"/>
  <c r="Z100" i="19" s="1"/>
  <c r="Z101" i="19" s="1"/>
  <c r="M74" i="5"/>
  <c r="Q20" i="5"/>
  <c r="X20" i="5" s="1"/>
  <c r="Q21" i="5"/>
  <c r="X21" i="5" s="1"/>
  <c r="Q22" i="5"/>
  <c r="Y96" i="5"/>
  <c r="Z1" i="36"/>
  <c r="Z1" i="34"/>
  <c r="Z1" i="35"/>
  <c r="Z1" i="27"/>
  <c r="Z1" i="11"/>
  <c r="Z3" i="36"/>
  <c r="BD3" i="36" s="1"/>
  <c r="CH3" i="36" s="1"/>
  <c r="DL3" i="36" s="1"/>
  <c r="Z3" i="35"/>
  <c r="Z3" i="27"/>
  <c r="Z3" i="11"/>
  <c r="Z3" i="34"/>
  <c r="Z4" i="36"/>
  <c r="BD4" i="36" s="1"/>
  <c r="CH4" i="36" s="1"/>
  <c r="DL4" i="36" s="1"/>
  <c r="Z4" i="35"/>
  <c r="Z4" i="34"/>
  <c r="J84" i="4"/>
  <c r="J83" i="4"/>
  <c r="J82" i="4"/>
  <c r="Z2" i="35"/>
  <c r="Z2" i="34"/>
  <c r="Z2" i="27"/>
  <c r="Z2" i="11"/>
  <c r="T100" i="13"/>
  <c r="T101" i="13" s="1"/>
  <c r="M101" i="13" s="1"/>
  <c r="Z4" i="27"/>
  <c r="Z4" i="11"/>
  <c r="Y70" i="5"/>
  <c r="Y75" i="5" s="1"/>
  <c r="R75" i="5"/>
  <c r="V100" i="19" s="1"/>
  <c r="V101" i="19" s="1"/>
  <c r="X22" i="5" l="1"/>
  <c r="Q23" i="5"/>
  <c r="R82" i="19"/>
  <c r="V99" i="6"/>
  <c r="V101" i="6" s="1"/>
  <c r="O24" i="7" s="1"/>
  <c r="J82" i="6"/>
  <c r="J80" i="6"/>
  <c r="J81" i="6"/>
  <c r="J85" i="4"/>
  <c r="M100" i="13"/>
  <c r="M101" i="19"/>
  <c r="Y105" i="5"/>
  <c r="M100" i="19"/>
  <c r="H11" i="39" s="1"/>
  <c r="I11" i="39" s="1"/>
  <c r="Y101" i="5"/>
  <c r="J83" i="6" l="1"/>
  <c r="Y24" i="7"/>
  <c r="T24" i="7"/>
  <c r="X39" i="7"/>
  <c r="R84" i="19"/>
  <c r="M82" i="19"/>
  <c r="R94" i="19" s="1"/>
  <c r="M94" i="19" s="1"/>
  <c r="C10" i="39" s="1"/>
  <c r="R83" i="19"/>
  <c r="M83" i="19" s="1"/>
  <c r="R95" i="19" s="1"/>
  <c r="M95" i="19" s="1"/>
  <c r="N87" i="40" s="1"/>
  <c r="Q24" i="5"/>
  <c r="X24" i="5" s="1"/>
  <c r="X23" i="5"/>
  <c r="K5" i="33"/>
  <c r="X25" i="5" l="1"/>
  <c r="H10" i="39" s="1"/>
  <c r="I10" i="39" s="1"/>
  <c r="Y103" i="5"/>
  <c r="O23" i="7" s="1"/>
  <c r="T23" i="7" s="1"/>
  <c r="T82" i="13"/>
  <c r="M82" i="13" s="1"/>
  <c r="T94" i="13" s="1"/>
  <c r="M94" i="13" s="1"/>
  <c r="R85" i="19"/>
  <c r="M85" i="19" s="1"/>
  <c r="R97" i="19" s="1"/>
  <c r="M97" i="19" s="1"/>
  <c r="N89" i="40" s="1"/>
  <c r="M84" i="19"/>
  <c r="R96" i="19" s="1"/>
  <c r="M96" i="19" s="1"/>
  <c r="C11" i="39" s="1"/>
  <c r="X51" i="7"/>
  <c r="X53" i="7"/>
  <c r="X50" i="7"/>
  <c r="X49" i="7"/>
  <c r="X41" i="7"/>
  <c r="X48" i="7"/>
  <c r="X52" i="7"/>
  <c r="S68" i="28"/>
  <c r="AM68" i="28" s="1"/>
  <c r="D10" i="39"/>
  <c r="O52" i="28"/>
  <c r="AL52" i="28" s="1"/>
  <c r="T83" i="13"/>
  <c r="M83" i="13" s="1"/>
  <c r="T95" i="13" s="1"/>
  <c r="M95" i="13" s="1"/>
  <c r="T84" i="13"/>
  <c r="Y23" i="7" l="1"/>
  <c r="D11" i="39"/>
  <c r="X54" i="7"/>
  <c r="X58" i="7" s="1"/>
  <c r="T85" i="13"/>
  <c r="M85" i="13" s="1"/>
  <c r="T97" i="13" s="1"/>
  <c r="M97" i="13" s="1"/>
  <c r="M84" i="13"/>
  <c r="T96" i="13" s="1"/>
  <c r="M96" i="13" s="1"/>
  <c r="X61" i="7" l="1"/>
  <c r="S70" i="28"/>
  <c r="AM70"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ELENA LABAJOS</author>
  </authors>
  <commentList>
    <comment ref="B12" authorId="0" shapeId="0" xr:uid="{00000000-0006-0000-0100-000001000000}">
      <text>
        <r>
          <rPr>
            <sz val="9"/>
            <color indexed="81"/>
            <rFont val="Tahoma"/>
            <family val="2"/>
          </rPr>
          <t xml:space="preserve">SI esque son referenciales poner:
</t>
        </r>
        <r>
          <rPr>
            <b/>
            <sz val="9"/>
            <color indexed="81"/>
            <rFont val="Tahoma"/>
            <family val="2"/>
          </rPr>
          <t>TASACIÓN REFERENCIAL</t>
        </r>
      </text>
    </comment>
    <comment ref="B56" authorId="0" shapeId="0" xr:uid="{00000000-0006-0000-0100-000002000000}">
      <text>
        <r>
          <rPr>
            <b/>
            <sz val="9"/>
            <color indexed="81"/>
            <rFont val="Tahoma"/>
            <family val="2"/>
          </rPr>
          <t>ELENA LABAJOS:</t>
        </r>
        <r>
          <rPr>
            <sz val="9"/>
            <color indexed="81"/>
            <rFont val="Tahoma"/>
            <family val="2"/>
          </rPr>
          <t xml:space="preserve">
Ejm:
1er Piso
2do Piso
Obra Complementaria
</t>
        </r>
      </text>
    </comment>
    <comment ref="B76" authorId="0" shapeId="0" xr:uid="{00000000-0006-0000-0100-000003000000}">
      <text>
        <r>
          <rPr>
            <b/>
            <sz val="9"/>
            <color indexed="81"/>
            <rFont val="Tahoma"/>
            <family val="2"/>
          </rPr>
          <t>ELENA LABAJOS:</t>
        </r>
        <r>
          <rPr>
            <sz val="9"/>
            <color indexed="81"/>
            <rFont val="Tahoma"/>
            <family val="2"/>
          </rPr>
          <t xml:space="preserve">
Ejm:
1er Piso
2do Piso
Obra Complementaria
</t>
        </r>
      </text>
    </comment>
    <comment ref="B95" authorId="0" shapeId="0" xr:uid="{00000000-0006-0000-0100-000004000000}">
      <text>
        <r>
          <rPr>
            <sz val="9"/>
            <color indexed="81"/>
            <rFont val="Tahoma"/>
            <family val="2"/>
          </rPr>
          <t>Si se desea agregar una fila de datos al cuadro:
1. Selecciona una fila del cuadro que se encuentre entre 2 filas de datos.
2. Click Der .
3. InsertarInsertar .
4. Insertar toda una fila.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LISSETH RAMIREZ</author>
  </authors>
  <commentList>
    <comment ref="AA6" authorId="0" shapeId="0" xr:uid="{A064A5BD-EA38-4C0B-9080-1E5874244821}">
      <text>
        <r>
          <rPr>
            <b/>
            <sz val="26"/>
            <color indexed="81"/>
            <rFont val="Tahoma"/>
            <family val="2"/>
          </rPr>
          <t>EL C2 SE OCULTA DEL PDF FINAL (SE MANDA X SEPARADO)</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DAYANEE POZO</author>
  </authors>
  <commentList>
    <comment ref="Z12" authorId="0" shapeId="0" xr:uid="{6A41F470-D92B-4D56-8C7B-9FB616EA49DC}">
      <text>
        <r>
          <rPr>
            <b/>
            <sz val="20"/>
            <color indexed="81"/>
            <rFont val="Tahoma"/>
            <family val="2"/>
          </rPr>
          <t>COLOCAR N°DE SOLICITUD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LISSETH RAMIREZ</author>
    <author>NEVHA CORILLA</author>
  </authors>
  <commentList>
    <comment ref="W32" authorId="0" shapeId="0" xr:uid="{80A7AA0E-2B8B-4908-A18F-8074FA37F337}">
      <text>
        <r>
          <rPr>
            <b/>
            <sz val="9"/>
            <color indexed="81"/>
            <rFont val="Tahoma"/>
            <family val="2"/>
          </rPr>
          <t xml:space="preserve">CAMBIEN SEGÚN DESTINO
</t>
        </r>
        <r>
          <rPr>
            <sz val="9"/>
            <color indexed="81"/>
            <rFont val="Tahoma"/>
            <family val="2"/>
          </rPr>
          <t xml:space="preserve">
</t>
        </r>
      </text>
    </comment>
    <comment ref="AH36" authorId="1" shapeId="0" xr:uid="{3BCC1699-39BC-45BA-9AC6-19ABC9F9C6BC}">
      <text>
        <r>
          <rPr>
            <b/>
            <sz val="9"/>
            <color indexed="81"/>
            <rFont val="Tahoma"/>
            <family val="2"/>
          </rPr>
          <t xml:space="preserve">COLOCAR VALORES PARA CASCO HABITABLE
</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LISSETH RAMIREZ</author>
  </authors>
  <commentList>
    <comment ref="BA15" authorId="0" shapeId="0" xr:uid="{B720A789-1796-4040-A6B5-C61A87B95C28}">
      <text>
        <r>
          <rPr>
            <b/>
            <sz val="48"/>
            <color indexed="81"/>
            <rFont val="Tahoma"/>
            <family val="2"/>
          </rPr>
          <t xml:space="preserve">PONER FOTOS DE LAS REFERENCIAS QUE USAS 
</t>
        </r>
        <r>
          <rPr>
            <sz val="48"/>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LISSETH RAMIREZ</author>
  </authors>
  <commentList>
    <comment ref="G16" authorId="0" shapeId="0" xr:uid="{5792F384-EEEA-499A-B823-9521F6F8ECE6}">
      <text>
        <r>
          <rPr>
            <b/>
            <sz val="20"/>
            <color indexed="81"/>
            <rFont val="Tahoma"/>
            <family val="2"/>
          </rPr>
          <t xml:space="preserve">Agregar nombre de perito 
</t>
        </r>
      </text>
    </comment>
  </commentList>
</comments>
</file>

<file path=xl/sharedStrings.xml><?xml version="1.0" encoding="utf-8"?>
<sst xmlns="http://schemas.openxmlformats.org/spreadsheetml/2006/main" count="3764" uniqueCount="1531">
  <si>
    <t>:</t>
  </si>
  <si>
    <t>N° de Servicio Tasadora</t>
  </si>
  <si>
    <t>Determinar el Valor Comercial del inmueble para fines de Garantía Hipotecaria</t>
  </si>
  <si>
    <t xml:space="preserve">Partida Registral </t>
  </si>
  <si>
    <t>Predio Urbano</t>
  </si>
  <si>
    <t>Planos</t>
  </si>
  <si>
    <t>CRI</t>
  </si>
  <si>
    <t xml:space="preserve">Parámetros Urb. </t>
  </si>
  <si>
    <t>Tasación anterior</t>
  </si>
  <si>
    <t>Cuadro de acabados</t>
  </si>
  <si>
    <t>Memoria Des.</t>
  </si>
  <si>
    <t>Otros</t>
  </si>
  <si>
    <t>Especificar</t>
  </si>
  <si>
    <t>Principal</t>
  </si>
  <si>
    <t>Nº:</t>
  </si>
  <si>
    <t>Ubicación</t>
  </si>
  <si>
    <t>Tipo de Zona</t>
  </si>
  <si>
    <t>Demanda / Interés</t>
  </si>
  <si>
    <t>Uso Predominante</t>
  </si>
  <si>
    <t>Zonificación</t>
  </si>
  <si>
    <t>Desarrollo</t>
  </si>
  <si>
    <t>Altura de Edificación</t>
  </si>
  <si>
    <t>Nivel Socioeconómico</t>
  </si>
  <si>
    <t>Velocidad de Cambio</t>
  </si>
  <si>
    <t>Tendencia del Desarrollo Urbano</t>
  </si>
  <si>
    <t>Estado de Conservación</t>
  </si>
  <si>
    <t>Nivel de Equipamiento</t>
  </si>
  <si>
    <t>Comercial</t>
  </si>
  <si>
    <t>Estacionamiento</t>
  </si>
  <si>
    <t>Escolar</t>
  </si>
  <si>
    <t>Áreas Verdes</t>
  </si>
  <si>
    <t>Asistencial</t>
  </si>
  <si>
    <t>Zonas Recreativas</t>
  </si>
  <si>
    <t>Tiene</t>
  </si>
  <si>
    <t>Calidad</t>
  </si>
  <si>
    <t>Veredas</t>
  </si>
  <si>
    <t>Alcantarillado</t>
  </si>
  <si>
    <t>Agua Potable</t>
  </si>
  <si>
    <t>Alumbrado</t>
  </si>
  <si>
    <t>Terreno</t>
  </si>
  <si>
    <t>Forma</t>
  </si>
  <si>
    <t>Topografía</t>
  </si>
  <si>
    <t>Regular</t>
  </si>
  <si>
    <t>Irregular</t>
  </si>
  <si>
    <t>Plana</t>
  </si>
  <si>
    <t>Pendiente</t>
  </si>
  <si>
    <t>Exterior</t>
  </si>
  <si>
    <t>Material Predominante</t>
  </si>
  <si>
    <t>Edad (años)</t>
  </si>
  <si>
    <t>N° de Pisos</t>
  </si>
  <si>
    <t>N° de Sótanos y/o Semisótanos</t>
  </si>
  <si>
    <t>Piso(s) que ocupa el Inmueble</t>
  </si>
  <si>
    <t>Fecha de Expedición</t>
  </si>
  <si>
    <t>FACHADA DEL INMUEBLE</t>
  </si>
  <si>
    <t>TIPO DE TASACIÓN</t>
  </si>
  <si>
    <t>DIRECCIÓN RRPP</t>
  </si>
  <si>
    <t>AÑO DE CONSTRUCCIÓN</t>
  </si>
  <si>
    <t>ÁREA CONSTRUIDA</t>
  </si>
  <si>
    <t>DECLARATORIA DE FÁBRICA</t>
  </si>
  <si>
    <t xml:space="preserve">CARGAS </t>
  </si>
  <si>
    <t>GRAVÁMENES</t>
  </si>
  <si>
    <t>VALORES INSCRITOS EN RRPP</t>
  </si>
  <si>
    <t xml:space="preserve">MONEDA </t>
  </si>
  <si>
    <t xml:space="preserve">VALOR TOTAL </t>
  </si>
  <si>
    <t>TERRENO</t>
  </si>
  <si>
    <t xml:space="preserve">VALOR COMERCIAL </t>
  </si>
  <si>
    <t>US$</t>
  </si>
  <si>
    <t>S/.</t>
  </si>
  <si>
    <t xml:space="preserve">VALOR DE REALIZACIÓN </t>
  </si>
  <si>
    <t>VALORES NO INSCRITOS EN RRPP</t>
  </si>
  <si>
    <t>VALOR TOTAL DEL PREDIO</t>
  </si>
  <si>
    <t>INSCRITO EN RRPP</t>
  </si>
  <si>
    <t>NO INSCRITO EN RRPP</t>
  </si>
  <si>
    <t>TIPO DE CAMBIO APLICADO</t>
  </si>
  <si>
    <t xml:space="preserve">Nuevos Soles / Dólar </t>
  </si>
  <si>
    <t>PERITO:</t>
  </si>
  <si>
    <t>REPEV:</t>
  </si>
  <si>
    <t>Unidad Inmobiliaria</t>
  </si>
  <si>
    <t>Unidad Métrica</t>
  </si>
  <si>
    <t>Área Matriz
(Prop. Horiz. o Vert.)</t>
  </si>
  <si>
    <t>% Participación</t>
  </si>
  <si>
    <t>Área Privativa</t>
  </si>
  <si>
    <t>Obtención del Área</t>
  </si>
  <si>
    <t>Observación</t>
  </si>
  <si>
    <t xml:space="preserve">Nota:  </t>
  </si>
  <si>
    <t>Descripción</t>
  </si>
  <si>
    <t>Área Techada</t>
  </si>
  <si>
    <t>Área sin Techar</t>
  </si>
  <si>
    <t>Tipo de construcción :</t>
  </si>
  <si>
    <t>Definitiva</t>
  </si>
  <si>
    <t>Provisional</t>
  </si>
  <si>
    <t>Const. Profesional</t>
  </si>
  <si>
    <t>Autoconstrucción</t>
  </si>
  <si>
    <t>Cimentación</t>
  </si>
  <si>
    <t>Estructura</t>
  </si>
  <si>
    <t>Muros</t>
  </si>
  <si>
    <t>Techos</t>
  </si>
  <si>
    <t>Cobertura</t>
  </si>
  <si>
    <t>Inst. Eléctricas</t>
  </si>
  <si>
    <t>Inst. Gas</t>
  </si>
  <si>
    <t>Inst. Sanitarias</t>
  </si>
  <si>
    <t>Puertas</t>
  </si>
  <si>
    <t>Tipo</t>
  </si>
  <si>
    <t>Material</t>
  </si>
  <si>
    <t>Sistema</t>
  </si>
  <si>
    <t>Ventanas</t>
  </si>
  <si>
    <t>Marco</t>
  </si>
  <si>
    <t>Vidrio</t>
  </si>
  <si>
    <t>Mamparas</t>
  </si>
  <si>
    <t>Muebles de cocina</t>
  </si>
  <si>
    <t>Tableros</t>
  </si>
  <si>
    <t>Lavaderos</t>
  </si>
  <si>
    <t>Baños</t>
  </si>
  <si>
    <t xml:space="preserve">Color </t>
  </si>
  <si>
    <t>Grifería</t>
  </si>
  <si>
    <t>Closets</t>
  </si>
  <si>
    <t>Pisos</t>
  </si>
  <si>
    <t>Revestimientos</t>
  </si>
  <si>
    <t>Cerrajería</t>
  </si>
  <si>
    <t>Obras Complementarias e Instalaciones Fijas</t>
  </si>
  <si>
    <t>Aire Acondicionado</t>
  </si>
  <si>
    <t>Cerco</t>
  </si>
  <si>
    <t>Alarma</t>
  </si>
  <si>
    <t>Cisterna</t>
  </si>
  <si>
    <t>Ascensor</t>
  </si>
  <si>
    <t>Iluminación Especial</t>
  </si>
  <si>
    <t>Intercomunicador</t>
  </si>
  <si>
    <t>Piscina</t>
  </si>
  <si>
    <t>Sistema Hidroneumático</t>
  </si>
  <si>
    <t>Tanque Elevado</t>
  </si>
  <si>
    <t>Otros y Comentarios</t>
  </si>
  <si>
    <t>Fuente (In situ, correo, página web, periódicos, etc)</t>
  </si>
  <si>
    <t>Teléfono</t>
  </si>
  <si>
    <t>Fecha</t>
  </si>
  <si>
    <t>Valor del Inmueble Referencial (US$)</t>
  </si>
  <si>
    <t>Área
 (m2)</t>
  </si>
  <si>
    <t>Valor Unitario Terreno
(US$/m2)</t>
  </si>
  <si>
    <t>Factores de HOMOLOGACIÓN</t>
  </si>
  <si>
    <t>Factor
Resultante</t>
  </si>
  <si>
    <t>Valor Unit. Terreno Homologado
 (US$/m2)</t>
  </si>
  <si>
    <t>Ub.</t>
  </si>
  <si>
    <t>Ent.</t>
  </si>
  <si>
    <t>Sup</t>
  </si>
  <si>
    <t>Ser.</t>
  </si>
  <si>
    <t>Zon</t>
  </si>
  <si>
    <t>F.N.</t>
  </si>
  <si>
    <t>Valor Unitario Terreno Homologado Promedio [$/m²]:</t>
  </si>
  <si>
    <t>VUT Promedio Homologado ajustado por redondeo [$/m²]:</t>
  </si>
  <si>
    <t>RESUMEN VALORES UNITARIOS</t>
  </si>
  <si>
    <t>COMPARABLES</t>
  </si>
  <si>
    <t>Referencias</t>
  </si>
  <si>
    <t>Ofertado</t>
  </si>
  <si>
    <t>Homologado</t>
  </si>
  <si>
    <t>Promedio:</t>
  </si>
  <si>
    <t>Máximo</t>
  </si>
  <si>
    <t>Mínimo</t>
  </si>
  <si>
    <t>Difer. Max Min</t>
  </si>
  <si>
    <t>De  acuerdo a la Investigación de Mercado de Terrenos con características similares al inmueble tasado se tiene:</t>
  </si>
  <si>
    <t>Área de terreno (m2)</t>
  </si>
  <si>
    <t>Valor Unitario de Terreno (US$/m2)</t>
  </si>
  <si>
    <t>Subtotal Terreno (VT)</t>
  </si>
  <si>
    <t>Región de la Edificación:</t>
  </si>
  <si>
    <t>De acuerdo a las características constructivas y a los acabados del inmueble observados en la inspección realizada se estima el costo de construcción para:</t>
  </si>
  <si>
    <t>Lima Metropolitana y Callao</t>
  </si>
  <si>
    <t>Código</t>
  </si>
  <si>
    <t>Partida</t>
  </si>
  <si>
    <t>VUE1</t>
  </si>
  <si>
    <t>VUE2</t>
  </si>
  <si>
    <t>VUE3</t>
  </si>
  <si>
    <t>VUE4</t>
  </si>
  <si>
    <t>VUE5</t>
  </si>
  <si>
    <t>VUE6</t>
  </si>
  <si>
    <t>Clas.</t>
  </si>
  <si>
    <t>Costo/m2</t>
  </si>
  <si>
    <t>Muros y Columnas</t>
  </si>
  <si>
    <t>C</t>
  </si>
  <si>
    <t>B</t>
  </si>
  <si>
    <t>Puertas y Ventanas</t>
  </si>
  <si>
    <t>Instalaciones Eléctricas y Sanitarias</t>
  </si>
  <si>
    <t>Costo Unitario de Edificación (S/.):</t>
  </si>
  <si>
    <t>Gastos Generales:</t>
  </si>
  <si>
    <t>(Obra Mediana)</t>
  </si>
  <si>
    <t>Utilidad:</t>
  </si>
  <si>
    <t>Tipo de Cambio:</t>
  </si>
  <si>
    <t>Valor Unitario de Edificación (S/.):</t>
  </si>
  <si>
    <t>Valor Unitario de Edificación redondeado (US$):</t>
  </si>
  <si>
    <t>Cálculo del Valor Similar a Nuevo o Valor de Reconstrucción de las Edificaciones (VSNE) y el Valor de las Edificaciones (VE)</t>
  </si>
  <si>
    <t xml:space="preserve">Descripción </t>
  </si>
  <si>
    <t>Área
(m2)</t>
  </si>
  <si>
    <t>VUE
(US$/m2)</t>
  </si>
  <si>
    <t>Valor Similar a Nuevo (US$)</t>
  </si>
  <si>
    <t>FD (*)</t>
  </si>
  <si>
    <t>Valor de Edificación (US$)</t>
  </si>
  <si>
    <t>Subtotal Edificaciones (VSNE)</t>
  </si>
  <si>
    <t>Subtotal Edificaciones (VE)</t>
  </si>
  <si>
    <t>% de Áreas Comunes</t>
  </si>
  <si>
    <t>Valor Unitario de Áreas Comunes (US$/m2)</t>
  </si>
  <si>
    <t>Valor de Reconstrucción Áreas Comunes (US$)</t>
  </si>
  <si>
    <t>Valor de Áreas Comunes (US$)</t>
  </si>
  <si>
    <t>Áreas Comunes</t>
  </si>
  <si>
    <t>Subtotal Áreas Comunes (VAC)</t>
  </si>
  <si>
    <t>Cantidad</t>
  </si>
  <si>
    <t>Valor de Reconstrucción  (US$)</t>
  </si>
  <si>
    <t>Valor de Inst. y Obras Complem. (US$)</t>
  </si>
  <si>
    <t>Subtotal Instalaciones y Obras Complementarias (VI + VOC)</t>
  </si>
  <si>
    <t>(*)       Factor de Depreciación</t>
  </si>
  <si>
    <t>Características de los Comparables</t>
  </si>
  <si>
    <t>Características</t>
  </si>
  <si>
    <t>Planificación</t>
  </si>
  <si>
    <t>Valor de la Oferta
US$</t>
  </si>
  <si>
    <t>Descuentos (US$)</t>
  </si>
  <si>
    <t>Vistas</t>
  </si>
  <si>
    <t>Nivel</t>
  </si>
  <si>
    <t>Asc.</t>
  </si>
  <si>
    <t>Baño</t>
  </si>
  <si>
    <t>Est.</t>
  </si>
  <si>
    <t>Dep</t>
  </si>
  <si>
    <t>Edad</t>
  </si>
  <si>
    <t>Conser.</t>
  </si>
  <si>
    <t>Estacion.</t>
  </si>
  <si>
    <t>Depósito</t>
  </si>
  <si>
    <t>Área Libre</t>
  </si>
  <si>
    <t>Valor Neto del Inmueble
(US$)</t>
  </si>
  <si>
    <t>Área  (m2)</t>
  </si>
  <si>
    <t>VCU/AC (US$/m2)</t>
  </si>
  <si>
    <t>Factores de Homologación</t>
  </si>
  <si>
    <t>Factor Resultante</t>
  </si>
  <si>
    <t>VCU/AC Homolog. (US$/m2)</t>
  </si>
  <si>
    <t>Construida</t>
  </si>
  <si>
    <t>Ed.</t>
  </si>
  <si>
    <t>T/C</t>
  </si>
  <si>
    <t>Valor Comercial Unitario Homologado Promedio [$/m²]:</t>
  </si>
  <si>
    <t>VCU Homologado Promedio ajustado por redondeo [$/m²]:</t>
  </si>
  <si>
    <t>De  acuerdo a la Investigación de Mercado de Inmuebles con características similares al inmueble tasado se tiene:</t>
  </si>
  <si>
    <t>V. C. Unit. Mercado
 (US$/m2)</t>
  </si>
  <si>
    <t>Valor de Mercado
(US$)</t>
  </si>
  <si>
    <t>Total del Valor de Mercado</t>
  </si>
  <si>
    <t xml:space="preserve"> </t>
  </si>
  <si>
    <t>VTP (US$)</t>
  </si>
  <si>
    <t>VU (US$/m2)</t>
  </si>
  <si>
    <t>VTP (S/.)</t>
  </si>
  <si>
    <t>Método de Costos o Reposición</t>
  </si>
  <si>
    <t>Método de Comparación o de Mercado</t>
  </si>
  <si>
    <t>a.</t>
  </si>
  <si>
    <t>b.</t>
  </si>
  <si>
    <t>c.</t>
  </si>
  <si>
    <t>d.</t>
  </si>
  <si>
    <t xml:space="preserve">El método que mejor refleja el Valor Comercial es el: </t>
  </si>
  <si>
    <t>Método Directo de Costos  (O de Reposición)</t>
  </si>
  <si>
    <t>Valor Comercial</t>
  </si>
  <si>
    <t>Valor Comercial en Dólares (Moneda Extranjera)</t>
  </si>
  <si>
    <t>SON:</t>
  </si>
  <si>
    <t>Valor Comercial en Soles (Moneda Local)</t>
  </si>
  <si>
    <t>El Valor de Realización Inmediata, es el Valor Neto del inmueble que se esperaría recuperar como consecuencia de la eventual venta del bien en el menor tiempo posible y en las condiciones actuales del inmueble y el mercado. Se obtiene descontando los castigos y cargos por los conceptos indicados a continuación:</t>
  </si>
  <si>
    <t>Concepto de la Deducción</t>
  </si>
  <si>
    <t>% de la Deducción</t>
  </si>
  <si>
    <t>Importe (US$)</t>
  </si>
  <si>
    <t>Gastos de Publicidad.</t>
  </si>
  <si>
    <t>Gastos de tasación del inmueble para la Realizacion.</t>
  </si>
  <si>
    <t>Comisiones de Ventas.</t>
  </si>
  <si>
    <t>Mantenimiento.</t>
  </si>
  <si>
    <t>e.</t>
  </si>
  <si>
    <t>Factor por la venta del inmueble (Realización) en un plazo de 60 dias.</t>
  </si>
  <si>
    <t>f.</t>
  </si>
  <si>
    <t>Otras Deducciones (Sólo casos especiales).</t>
  </si>
  <si>
    <t>Total Deducciones</t>
  </si>
  <si>
    <t>Valor Realización Inmediata</t>
  </si>
  <si>
    <t>EMPRESA TASADORA:</t>
  </si>
  <si>
    <t>REGISTRO REPEV:</t>
  </si>
  <si>
    <t>PROFESION:</t>
  </si>
  <si>
    <t>LISTAS</t>
  </si>
  <si>
    <t>TIPO DE FACTOR DE HOMOLOGACIÓN</t>
  </si>
  <si>
    <t>LISTAS NO UTILIZADAS</t>
  </si>
  <si>
    <t>TIPO DE INMUEBLE</t>
  </si>
  <si>
    <t>TIPO DE USO</t>
  </si>
  <si>
    <t>OBJETO Y PROPÓSITO</t>
  </si>
  <si>
    <t>TITULACIÓN E INSCRIPCIÓN</t>
  </si>
  <si>
    <t>OCUPANTE</t>
  </si>
  <si>
    <t>TIPO DE ZONA</t>
  </si>
  <si>
    <t>USO PREDOMINANTE</t>
  </si>
  <si>
    <t>DESARROLLO</t>
  </si>
  <si>
    <t>NIVEL SOCIOECONÓMICO</t>
  </si>
  <si>
    <t>TENDENCIA DE DESARROLLO URBANO</t>
  </si>
  <si>
    <t>DEMANDA / INTERÉS</t>
  </si>
  <si>
    <t>ZONIFICACIÓN</t>
  </si>
  <si>
    <t>ALTURA DE EDIFICACIÓN</t>
  </si>
  <si>
    <t>VELOCIDAD DE CAMBIO</t>
  </si>
  <si>
    <t>ESTADO DE CONSERVACIÓN</t>
  </si>
  <si>
    <t>NIVEL DE EQUIPAMIENTO</t>
  </si>
  <si>
    <t>INFRAESTRUCTURA</t>
  </si>
  <si>
    <t>CALIDAD</t>
  </si>
  <si>
    <t>MATERIAL PREDOMINANTE</t>
  </si>
  <si>
    <t>CUENTA CON ASCENSOR</t>
  </si>
  <si>
    <t>ÁREAS COMUNES</t>
  </si>
  <si>
    <t>OBRAS COMPLEMENTARIAS</t>
  </si>
  <si>
    <t>MANTENIMIENTO</t>
  </si>
  <si>
    <t>SERVICIOS</t>
  </si>
  <si>
    <t>UNIDAD</t>
  </si>
  <si>
    <t>OBTENCIÓN DEL ÁREA</t>
  </si>
  <si>
    <t>CIMENTACIÓN</t>
  </si>
  <si>
    <t>ESTRUCTURA</t>
  </si>
  <si>
    <t>MUROS</t>
  </si>
  <si>
    <t>TECHOS</t>
  </si>
  <si>
    <t>COBERTURA</t>
  </si>
  <si>
    <t>INST. ELÉCTRICAS</t>
  </si>
  <si>
    <t>INST. GAS</t>
  </si>
  <si>
    <t>INST. SANITARIAS</t>
  </si>
  <si>
    <t>PUERTAS</t>
  </si>
  <si>
    <t>VENTANAS</t>
  </si>
  <si>
    <t>MAMPARAS</t>
  </si>
  <si>
    <t>MUEBLES DE COCINA</t>
  </si>
  <si>
    <t>BAÑOS</t>
  </si>
  <si>
    <t>CLOSETS</t>
  </si>
  <si>
    <t>PISOS</t>
  </si>
  <si>
    <t>REVESTIMIENTOS</t>
  </si>
  <si>
    <t>CERRAJERÍA</t>
  </si>
  <si>
    <t>COMPARACIÓN GENERAL</t>
  </si>
  <si>
    <t>REGIÓN DE EDIFICACIÓN</t>
  </si>
  <si>
    <t>CLASE</t>
  </si>
  <si>
    <t>OBRA</t>
  </si>
  <si>
    <t>VISTA</t>
  </si>
  <si>
    <t>UBICACIÓN</t>
  </si>
  <si>
    <t>TIPO INMUEBLE</t>
  </si>
  <si>
    <t>FACTOR</t>
  </si>
  <si>
    <t>CONCEPTO DEL FACTOR</t>
  </si>
  <si>
    <t>MÉTODO</t>
  </si>
  <si>
    <t>CÓDIGO</t>
  </si>
  <si>
    <t>OFICINAS REGISTRALES</t>
  </si>
  <si>
    <t>IDENTIF</t>
  </si>
  <si>
    <t>DISTRIBUCIÓN</t>
  </si>
  <si>
    <t>Tipo de oferta</t>
  </si>
  <si>
    <t>Casa Habitación</t>
  </si>
  <si>
    <t>Partida Electrónica</t>
  </si>
  <si>
    <t>Propietario</t>
  </si>
  <si>
    <t>Urbana</t>
  </si>
  <si>
    <t>Vivienda</t>
  </si>
  <si>
    <t>Creciente</t>
  </si>
  <si>
    <t>Estrato Alto</t>
  </si>
  <si>
    <t>Nula</t>
  </si>
  <si>
    <t>RDMB</t>
  </si>
  <si>
    <t xml:space="preserve">Alta </t>
  </si>
  <si>
    <t>Muy Bueno</t>
  </si>
  <si>
    <t>Muy Abundante</t>
  </si>
  <si>
    <t xml:space="preserve">Completas </t>
  </si>
  <si>
    <t>Muy Alto</t>
  </si>
  <si>
    <t>Ladrillo</t>
  </si>
  <si>
    <t>Nuevo - Estreno</t>
  </si>
  <si>
    <t>Sí</t>
  </si>
  <si>
    <t>Sí, especificadas en cuadro detalle</t>
  </si>
  <si>
    <t>Constante</t>
  </si>
  <si>
    <t>Sí, todos</t>
  </si>
  <si>
    <r>
      <t>m</t>
    </r>
    <r>
      <rPr>
        <vertAlign val="superscript"/>
        <sz val="8"/>
        <color theme="1"/>
        <rFont val="Arial Narrow"/>
        <family val="2"/>
      </rPr>
      <t>2</t>
    </r>
  </si>
  <si>
    <t>F. Reg/Part. Elect</t>
  </si>
  <si>
    <t>Platea de Cimentación</t>
  </si>
  <si>
    <t>Laminares Curvadas</t>
  </si>
  <si>
    <t>Adobe</t>
  </si>
  <si>
    <t>Losa Aligerada de C°A° Unidireccional</t>
  </si>
  <si>
    <t>Tejas Cerámicas</t>
  </si>
  <si>
    <t>Sin Instalación</t>
  </si>
  <si>
    <t>Lavadero</t>
  </si>
  <si>
    <t>Color</t>
  </si>
  <si>
    <t>Alfombra</t>
  </si>
  <si>
    <t>Tarrajeo</t>
  </si>
  <si>
    <t>Cerradura tipo Yale o Similar</t>
  </si>
  <si>
    <t>Peor</t>
  </si>
  <si>
    <t>A</t>
  </si>
  <si>
    <t>(Obra Pequeña)</t>
  </si>
  <si>
    <t>Al mar</t>
  </si>
  <si>
    <t>Interior</t>
  </si>
  <si>
    <t xml:space="preserve">Flat </t>
  </si>
  <si>
    <t>C/T</t>
  </si>
  <si>
    <t>AC / Terreno</t>
  </si>
  <si>
    <t>Abancay</t>
  </si>
  <si>
    <t>Calle:</t>
  </si>
  <si>
    <t>Almacén</t>
  </si>
  <si>
    <t>C°A°</t>
  </si>
  <si>
    <t>Transac.</t>
  </si>
  <si>
    <t>UNIDAD INMOBILIARIA</t>
  </si>
  <si>
    <t>Hipotecaria</t>
  </si>
  <si>
    <t>Departamento Flat</t>
  </si>
  <si>
    <t>Determinar el Valor Comercial del inmueble para fines Judiciales</t>
  </si>
  <si>
    <t>Ficha Registral</t>
  </si>
  <si>
    <t>Inquilino</t>
  </si>
  <si>
    <t>Rural</t>
  </si>
  <si>
    <t>Comercio</t>
  </si>
  <si>
    <t>En Renovación</t>
  </si>
  <si>
    <t xml:space="preserve">Medio Alto </t>
  </si>
  <si>
    <t>RDB</t>
  </si>
  <si>
    <t xml:space="preserve">Media </t>
  </si>
  <si>
    <t>Lenta</t>
  </si>
  <si>
    <t>Bueno</t>
  </si>
  <si>
    <t>Abundante</t>
  </si>
  <si>
    <t>Incompletas</t>
  </si>
  <si>
    <t>Alto</t>
  </si>
  <si>
    <t>Concreto</t>
  </si>
  <si>
    <t>No</t>
  </si>
  <si>
    <t>Escalera de acceso, recepción</t>
  </si>
  <si>
    <t>Regularmente</t>
  </si>
  <si>
    <t>Solo servicio eléctrico</t>
  </si>
  <si>
    <t>ha</t>
  </si>
  <si>
    <t>Copia Literal</t>
  </si>
  <si>
    <t xml:space="preserve">Vigas de Cimentación </t>
  </si>
  <si>
    <t>Pórticos de Concreto Armado</t>
  </si>
  <si>
    <t>Pircado con mezcla de barro</t>
  </si>
  <si>
    <t>Losa Aligerada de C°A° Bidireccional</t>
  </si>
  <si>
    <t>Tejas de Madera</t>
  </si>
  <si>
    <t>Corriente Monofásica sin empotrar</t>
  </si>
  <si>
    <t>Cocina</t>
  </si>
  <si>
    <t>Tuberías de agua fría y desagüe</t>
  </si>
  <si>
    <t>Apanelada</t>
  </si>
  <si>
    <t>Fierro</t>
  </si>
  <si>
    <t>Corrediza</t>
  </si>
  <si>
    <t>Madera</t>
  </si>
  <si>
    <t>Crudo</t>
  </si>
  <si>
    <t>Bajos</t>
  </si>
  <si>
    <t>Acero</t>
  </si>
  <si>
    <t>Sifón Top Piece y/o Rapid Jet</t>
  </si>
  <si>
    <t>Blanco</t>
  </si>
  <si>
    <t>Importada</t>
  </si>
  <si>
    <t>Con persianas o paneles</t>
  </si>
  <si>
    <t>Bambú</t>
  </si>
  <si>
    <t>Pintura</t>
  </si>
  <si>
    <t>Alpha Vaivén</t>
  </si>
  <si>
    <t>Inferior</t>
  </si>
  <si>
    <t>Costa</t>
  </si>
  <si>
    <t>Al parque</t>
  </si>
  <si>
    <t>Dúplex</t>
  </si>
  <si>
    <t>Vis</t>
  </si>
  <si>
    <t>Vista (Exterior o Interior)</t>
  </si>
  <si>
    <t>Método de Comparación (O de Mercado)</t>
  </si>
  <si>
    <t>Andahuaylas</t>
  </si>
  <si>
    <t>Jirón:</t>
  </si>
  <si>
    <t>Azotea</t>
  </si>
  <si>
    <t>C°A°-Ladrillo</t>
  </si>
  <si>
    <t>Oferta</t>
  </si>
  <si>
    <t>DEPARTAMENTO</t>
  </si>
  <si>
    <t>Judicial</t>
  </si>
  <si>
    <t>Departamento Dúplex</t>
  </si>
  <si>
    <t>Inquilino Precario</t>
  </si>
  <si>
    <t>Industria</t>
  </si>
  <si>
    <t>Estacionario</t>
  </si>
  <si>
    <t>Estrato Medio</t>
  </si>
  <si>
    <t>Media</t>
  </si>
  <si>
    <t>RDM</t>
  </si>
  <si>
    <t>Baja</t>
  </si>
  <si>
    <t>Suficiente</t>
  </si>
  <si>
    <t xml:space="preserve">No tiene </t>
  </si>
  <si>
    <t>Medio</t>
  </si>
  <si>
    <t>Concreto - Ladrillo</t>
  </si>
  <si>
    <t>Directo a unidad inmobiliaria</t>
  </si>
  <si>
    <t>No cuenta con mantenimiento</t>
  </si>
  <si>
    <t>Solo agua y servicio eléctrico, no desagüe</t>
  </si>
  <si>
    <r>
      <t>varas</t>
    </r>
    <r>
      <rPr>
        <vertAlign val="superscript"/>
        <sz val="8"/>
        <color theme="1"/>
        <rFont val="Arial Narrow"/>
        <family val="2"/>
      </rPr>
      <t>2</t>
    </r>
  </si>
  <si>
    <t>Minuta</t>
  </si>
  <si>
    <t>Platea y Viga de Cimentación</t>
  </si>
  <si>
    <t>Albañilería Confinada</t>
  </si>
  <si>
    <t>Drywall / Material liviano</t>
  </si>
  <si>
    <t>Losas de C°A° inclinadas</t>
  </si>
  <si>
    <t>Ladrillo Pastelero hecho a mano</t>
  </si>
  <si>
    <t>Corriente Monofásica empotrada</t>
  </si>
  <si>
    <t>Agua Caliente</t>
  </si>
  <si>
    <t>Tuberías de agua fría, caliente y desagüe</t>
  </si>
  <si>
    <t>Maciza</t>
  </si>
  <si>
    <t>Batiente</t>
  </si>
  <si>
    <t>Aluminio</t>
  </si>
  <si>
    <t>Templado</t>
  </si>
  <si>
    <t>Altos</t>
  </si>
  <si>
    <t>Melamine</t>
  </si>
  <si>
    <t>Granito</t>
  </si>
  <si>
    <t>Fierro Enlozado</t>
  </si>
  <si>
    <t>Flux</t>
  </si>
  <si>
    <t>Nacional</t>
  </si>
  <si>
    <t>Con repisas y tubos</t>
  </si>
  <si>
    <t>Cemento Bruñado</t>
  </si>
  <si>
    <t>Tarrajeo y Pintura</t>
  </si>
  <si>
    <t>Bisagras de bronce</t>
  </si>
  <si>
    <t>Similar</t>
  </si>
  <si>
    <t>Sierra</t>
  </si>
  <si>
    <t>(Obra Grande)</t>
  </si>
  <si>
    <t>A basurero</t>
  </si>
  <si>
    <t>Esquina</t>
  </si>
  <si>
    <t>Tríplex</t>
  </si>
  <si>
    <t>Niv</t>
  </si>
  <si>
    <t>Nivel (En caso no hubiera Ascensor)</t>
  </si>
  <si>
    <t>Método de la Renta (O de Capitalización)</t>
  </si>
  <si>
    <t>Arequipa</t>
  </si>
  <si>
    <t>Avenida:</t>
  </si>
  <si>
    <t xml:space="preserve">Balcón </t>
  </si>
  <si>
    <t>ESTACIONAMIENTO</t>
  </si>
  <si>
    <t>Departamento Tríplex</t>
  </si>
  <si>
    <t>No se encuentran inscritos</t>
  </si>
  <si>
    <t>Terceros</t>
  </si>
  <si>
    <t>Otro</t>
  </si>
  <si>
    <t>Decreciente</t>
  </si>
  <si>
    <t>Medio Bajo</t>
  </si>
  <si>
    <t>No Consolidado</t>
  </si>
  <si>
    <t>Fuerte</t>
  </si>
  <si>
    <t>RDA</t>
  </si>
  <si>
    <t>Malo</t>
  </si>
  <si>
    <t>Escaso</t>
  </si>
  <si>
    <t>En construcción</t>
  </si>
  <si>
    <t>Bajo</t>
  </si>
  <si>
    <t>Bueno -  Regular</t>
  </si>
  <si>
    <t>Se desconoce (Visita por exteriores)</t>
  </si>
  <si>
    <t>No cuenta con conexión a servicios</t>
  </si>
  <si>
    <t>Muros de Contención, Platea y Viga de Cimentación</t>
  </si>
  <si>
    <t>Albañilería sin Confinar</t>
  </si>
  <si>
    <t>Albañilería (Ladrillo)</t>
  </si>
  <si>
    <t>Calamina Metálica</t>
  </si>
  <si>
    <t>Ladrillo Pastelero hecho a máquina</t>
  </si>
  <si>
    <t>Corriente Trifásica</t>
  </si>
  <si>
    <t>Cocina y Agua Caliente</t>
  </si>
  <si>
    <t>Sist. de Bombeo de agua potable y desagüe</t>
  </si>
  <si>
    <t>Contraplacada</t>
  </si>
  <si>
    <t>Levadiza</t>
  </si>
  <si>
    <t>Semitemplado</t>
  </si>
  <si>
    <t>Altos y Bajos</t>
  </si>
  <si>
    <t>MDF</t>
  </si>
  <si>
    <t>Mármol</t>
  </si>
  <si>
    <t>One Piece</t>
  </si>
  <si>
    <t>Estándar</t>
  </si>
  <si>
    <t xml:space="preserve">Con puertas contraplacadas con cajonería </t>
  </si>
  <si>
    <t>Cemento Pulido</t>
  </si>
  <si>
    <t>Cerámico</t>
  </si>
  <si>
    <t>Tipo LGO dos golpes y picaporte</t>
  </si>
  <si>
    <t>Mejor</t>
  </si>
  <si>
    <t>Selva</t>
  </si>
  <si>
    <t>D</t>
  </si>
  <si>
    <t>A un cerro</t>
  </si>
  <si>
    <t>02 Frentes</t>
  </si>
  <si>
    <t>Loft</t>
  </si>
  <si>
    <t>AC</t>
  </si>
  <si>
    <t>Ayacucho</t>
  </si>
  <si>
    <t>Pasaje:</t>
  </si>
  <si>
    <t>Est. De Acero</t>
  </si>
  <si>
    <t>DEPOSITO</t>
  </si>
  <si>
    <t>Oficina</t>
  </si>
  <si>
    <t>Departamento Loft</t>
  </si>
  <si>
    <t>Se desconoce</t>
  </si>
  <si>
    <t>Mixto</t>
  </si>
  <si>
    <t>Nulo</t>
  </si>
  <si>
    <t>Estrato Bajo</t>
  </si>
  <si>
    <t>RDMA</t>
  </si>
  <si>
    <t>Muy Escaso</t>
  </si>
  <si>
    <t>En implementación</t>
  </si>
  <si>
    <t>Muy Bajo</t>
  </si>
  <si>
    <t>Se especifica en cuadro detalle</t>
  </si>
  <si>
    <t>Inspección Ocular</t>
  </si>
  <si>
    <t>Zapatas de Concreto Armado</t>
  </si>
  <si>
    <t>Sistema Mixto, Placas y Pórticos de C°A°</t>
  </si>
  <si>
    <t>Albañilería (Concreto)</t>
  </si>
  <si>
    <t>Fibrocemento sobre viguería metálica</t>
  </si>
  <si>
    <t>Torta de Barro</t>
  </si>
  <si>
    <t>Sist. de Bombeo de agua potable y desagüe por bombeo</t>
  </si>
  <si>
    <t>No Posee</t>
  </si>
  <si>
    <t>Albañilería</t>
  </si>
  <si>
    <t xml:space="preserve">Con puertas contraplacadas sin cajonería </t>
  </si>
  <si>
    <t>Cerámica</t>
  </si>
  <si>
    <t>Mayólica</t>
  </si>
  <si>
    <t>Tipo LGO dos golpes sin picaporte</t>
  </si>
  <si>
    <t>Superior</t>
  </si>
  <si>
    <t>E</t>
  </si>
  <si>
    <t>03 Frentes</t>
  </si>
  <si>
    <t>Eq</t>
  </si>
  <si>
    <t>Equipamiento</t>
  </si>
  <si>
    <t xml:space="preserve">Bagua </t>
  </si>
  <si>
    <t>Carretera:</t>
  </si>
  <si>
    <t>Car-port</t>
  </si>
  <si>
    <t>Metálico</t>
  </si>
  <si>
    <t>OFICINA</t>
  </si>
  <si>
    <t>Taller</t>
  </si>
  <si>
    <t>VT</t>
  </si>
  <si>
    <t>No Existe</t>
  </si>
  <si>
    <t>Regular - Malo</t>
  </si>
  <si>
    <t>Zapatas de Concreto Simple</t>
  </si>
  <si>
    <t xml:space="preserve">Adobe </t>
  </si>
  <si>
    <t>Albañilería (Calcáreo)</t>
  </si>
  <si>
    <t>De Madera</t>
  </si>
  <si>
    <t>Sin Cobertura</t>
  </si>
  <si>
    <t>Postformado</t>
  </si>
  <si>
    <t>Con tubos metálicos</t>
  </si>
  <si>
    <t>Cerámica Importada</t>
  </si>
  <si>
    <t>Porcelanato</t>
  </si>
  <si>
    <t>F</t>
  </si>
  <si>
    <t>04 Frentes</t>
  </si>
  <si>
    <t xml:space="preserve">Barranca </t>
  </si>
  <si>
    <t>AA.HH.:</t>
  </si>
  <si>
    <t>Adobe/Quincha</t>
  </si>
  <si>
    <t xml:space="preserve">CASA </t>
  </si>
  <si>
    <t>No Aplica</t>
  </si>
  <si>
    <t>CV</t>
  </si>
  <si>
    <t>Cálculo de Alícuota</t>
  </si>
  <si>
    <t>Cimientos Corridos de Concreto Ciclópeo</t>
  </si>
  <si>
    <t>Placas de Concreto</t>
  </si>
  <si>
    <t>Caña o Torta de Barro</t>
  </si>
  <si>
    <t>De melamine con cajonería</t>
  </si>
  <si>
    <t>Ladrillo Pastelero</t>
  </si>
  <si>
    <t>G</t>
  </si>
  <si>
    <t>Pasaje</t>
  </si>
  <si>
    <t xml:space="preserve">Cajamarca </t>
  </si>
  <si>
    <t>Alameda:</t>
  </si>
  <si>
    <t xml:space="preserve">Comedor </t>
  </si>
  <si>
    <t xml:space="preserve">Madera </t>
  </si>
  <si>
    <t xml:space="preserve">Depósito </t>
  </si>
  <si>
    <t>Inmueble a Futuro</t>
  </si>
  <si>
    <t>CZ</t>
  </si>
  <si>
    <t>En Construcción</t>
  </si>
  <si>
    <t>Cimientos Corridos de Concreto Simple con Zapatas</t>
  </si>
  <si>
    <t>Metálica</t>
  </si>
  <si>
    <t>De Piedra</t>
  </si>
  <si>
    <t>Sin Techo</t>
  </si>
  <si>
    <t>Solo con puertas</t>
  </si>
  <si>
    <t>Lajas</t>
  </si>
  <si>
    <t>H</t>
  </si>
  <si>
    <t>Cerro</t>
  </si>
  <si>
    <t xml:space="preserve">Callao </t>
  </si>
  <si>
    <t>Asociación:</t>
  </si>
  <si>
    <t>Comedor de diario</t>
  </si>
  <si>
    <t>Clínica</t>
  </si>
  <si>
    <t>Oficinas Administrativas</t>
  </si>
  <si>
    <t>CM</t>
  </si>
  <si>
    <t>En Proyecto</t>
  </si>
  <si>
    <t>Vigas y columnas de concreto armado</t>
  </si>
  <si>
    <t>Losa Aligerada y Madera Machihem.</t>
  </si>
  <si>
    <t>Sin puertas</t>
  </si>
  <si>
    <t>Laminado</t>
  </si>
  <si>
    <t>I</t>
  </si>
  <si>
    <t>Camana Casma</t>
  </si>
  <si>
    <t>Autopista:</t>
  </si>
  <si>
    <t>Dormitorios</t>
  </si>
  <si>
    <t>Hotel</t>
  </si>
  <si>
    <t>Agencia Bancaria</t>
  </si>
  <si>
    <t>I1</t>
  </si>
  <si>
    <t>Loseta Veneciana</t>
  </si>
  <si>
    <t>J</t>
  </si>
  <si>
    <t xml:space="preserve">Castilla - Aplao </t>
  </si>
  <si>
    <t>Barrio:</t>
  </si>
  <si>
    <t>Escritorio/Estudio</t>
  </si>
  <si>
    <t>Planta Industrial</t>
  </si>
  <si>
    <t>I2</t>
  </si>
  <si>
    <t>Loseta Vinílica</t>
  </si>
  <si>
    <t xml:space="preserve">Cañete </t>
  </si>
  <si>
    <t>Boulevard:</t>
  </si>
  <si>
    <t>Hall de ingreso</t>
  </si>
  <si>
    <t>Institución Educativa</t>
  </si>
  <si>
    <t>I3</t>
  </si>
  <si>
    <t>Madera Machihembrada</t>
  </si>
  <si>
    <t xml:space="preserve">Chachapoyas </t>
  </si>
  <si>
    <t>Caserío:</t>
  </si>
  <si>
    <t xml:space="preserve">Jardín </t>
  </si>
  <si>
    <t>Colegio</t>
  </si>
  <si>
    <t>I4</t>
  </si>
  <si>
    <t xml:space="preserve">Chepen </t>
  </si>
  <si>
    <t>Centro Poblado:</t>
  </si>
  <si>
    <t>Universidad</t>
  </si>
  <si>
    <t>E1</t>
  </si>
  <si>
    <t>Mármol Importado</t>
  </si>
  <si>
    <t xml:space="preserve">Chiclayo </t>
  </si>
  <si>
    <t>Malecón:</t>
  </si>
  <si>
    <t>Instituto</t>
  </si>
  <si>
    <t>E2</t>
  </si>
  <si>
    <t>Parquet</t>
  </si>
  <si>
    <t xml:space="preserve">Chimbote </t>
  </si>
  <si>
    <t>Manzana:</t>
  </si>
  <si>
    <t>Local Comercial</t>
  </si>
  <si>
    <t>Centro Comercial</t>
  </si>
  <si>
    <t>E3</t>
  </si>
  <si>
    <t>Parquet de Primera</t>
  </si>
  <si>
    <t xml:space="preserve">Chincha </t>
  </si>
  <si>
    <t>Lote:</t>
  </si>
  <si>
    <t>Tienda</t>
  </si>
  <si>
    <t>H2</t>
  </si>
  <si>
    <t>Parquet Fino</t>
  </si>
  <si>
    <t xml:space="preserve">Chota </t>
  </si>
  <si>
    <t>Número:</t>
  </si>
  <si>
    <t>Pasadizo de Distribución</t>
  </si>
  <si>
    <t>Stand Comercial</t>
  </si>
  <si>
    <t>H3</t>
  </si>
  <si>
    <t xml:space="preserve">Cusco </t>
  </si>
  <si>
    <t>Urbanización:</t>
  </si>
  <si>
    <t>Patio</t>
  </si>
  <si>
    <t>H4</t>
  </si>
  <si>
    <t>Porcelanato Importado</t>
  </si>
  <si>
    <t xml:space="preserve">Espinar </t>
  </si>
  <si>
    <t>Bloque:</t>
  </si>
  <si>
    <t>Sala</t>
  </si>
  <si>
    <t>ZTE-1</t>
  </si>
  <si>
    <t>Terrazo</t>
  </si>
  <si>
    <t xml:space="preserve">Huacho </t>
  </si>
  <si>
    <t>Condominio:</t>
  </si>
  <si>
    <t>Sala de Capacitación</t>
  </si>
  <si>
    <t>ZTE-2</t>
  </si>
  <si>
    <t>Tierra Compactada</t>
  </si>
  <si>
    <t xml:space="preserve">Huamachuco </t>
  </si>
  <si>
    <t>Conjunto Habitacional:</t>
  </si>
  <si>
    <t>Sala de estar/family room</t>
  </si>
  <si>
    <t>ZTE-3</t>
  </si>
  <si>
    <t xml:space="preserve">Huancavelica </t>
  </si>
  <si>
    <t>Edificio:</t>
  </si>
  <si>
    <t>Sala de Reuniones</t>
  </si>
  <si>
    <t>ZRP</t>
  </si>
  <si>
    <t xml:space="preserve">Huancayo </t>
  </si>
  <si>
    <t>Finca:</t>
  </si>
  <si>
    <t>Tendal</t>
  </si>
  <si>
    <t>OU</t>
  </si>
  <si>
    <t xml:space="preserve">Huanta </t>
  </si>
  <si>
    <t>Fundo:</t>
  </si>
  <si>
    <t>Terraza</t>
  </si>
  <si>
    <t>ZRE</t>
  </si>
  <si>
    <t>Letra:</t>
  </si>
  <si>
    <t>Walking Closet</t>
  </si>
  <si>
    <t>ZRGSE</t>
  </si>
  <si>
    <t>Huaral</t>
  </si>
  <si>
    <t>ZMMP</t>
  </si>
  <si>
    <t xml:space="preserve">Huaraz </t>
  </si>
  <si>
    <t>Óvalo:</t>
  </si>
  <si>
    <t>LAT</t>
  </si>
  <si>
    <t xml:space="preserve">Ilo </t>
  </si>
  <si>
    <t>Sector:</t>
  </si>
  <si>
    <t>(Reglamentación Especial)</t>
  </si>
  <si>
    <t xml:space="preserve">Islay - Mollendo </t>
  </si>
  <si>
    <t>Unidad Vecinal:</t>
  </si>
  <si>
    <t>Departamento:</t>
  </si>
  <si>
    <t xml:space="preserve">Juanjui </t>
  </si>
  <si>
    <t>Estacionamiento:</t>
  </si>
  <si>
    <t xml:space="preserve">Juliaca </t>
  </si>
  <si>
    <t>Depósito:</t>
  </si>
  <si>
    <t xml:space="preserve">La Merced </t>
  </si>
  <si>
    <t>Oficina:</t>
  </si>
  <si>
    <t>Lima</t>
  </si>
  <si>
    <t>Stand:</t>
  </si>
  <si>
    <t xml:space="preserve">Madre De Dios </t>
  </si>
  <si>
    <t>Local Comercial:</t>
  </si>
  <si>
    <t xml:space="preserve">Maynas </t>
  </si>
  <si>
    <t>Aires:</t>
  </si>
  <si>
    <t xml:space="preserve">Moquegua </t>
  </si>
  <si>
    <t xml:space="preserve">Moyobamba </t>
  </si>
  <si>
    <t>Nazca</t>
  </si>
  <si>
    <t xml:space="preserve">Otuzco </t>
  </si>
  <si>
    <t xml:space="preserve">Pasco </t>
  </si>
  <si>
    <t>Pisco</t>
  </si>
  <si>
    <t>Piura</t>
  </si>
  <si>
    <t>Pucallpa</t>
  </si>
  <si>
    <t xml:space="preserve">Puno </t>
  </si>
  <si>
    <t>Quillabamba</t>
  </si>
  <si>
    <t xml:space="preserve">San Pedro </t>
  </si>
  <si>
    <t xml:space="preserve">Satipo </t>
  </si>
  <si>
    <t xml:space="preserve">Sicuani </t>
  </si>
  <si>
    <t xml:space="preserve">Sullana </t>
  </si>
  <si>
    <t>Tacna</t>
  </si>
  <si>
    <t>Tarapoto</t>
  </si>
  <si>
    <t>Tarma</t>
  </si>
  <si>
    <t xml:space="preserve">Tingo Maria </t>
  </si>
  <si>
    <t xml:space="preserve">Trujillo </t>
  </si>
  <si>
    <t xml:space="preserve">Tumbes </t>
  </si>
  <si>
    <t>Yurimaguas</t>
  </si>
  <si>
    <t>VALOR TOTAL</t>
  </si>
  <si>
    <t>DEPÓSITO</t>
  </si>
  <si>
    <t xml:space="preserve">VALOR DE REALIZACION </t>
  </si>
  <si>
    <t>EDIFICACIONES</t>
  </si>
  <si>
    <t>INSTALACIONES Y OBRAS COMPLEM.</t>
  </si>
  <si>
    <t>DATOS DEL CLIENTE</t>
  </si>
  <si>
    <t>CLIENTE</t>
  </si>
  <si>
    <t>CÓD CLIENTE</t>
  </si>
  <si>
    <t>N° GARANTÍA</t>
  </si>
  <si>
    <t>PROPIETARIO</t>
  </si>
  <si>
    <t>DATOS DEL INMUEBLE</t>
  </si>
  <si>
    <t>Según OPINIÓN del suscrito</t>
  </si>
  <si>
    <t>ZONA DE TRATAMIENTO ESPECIAL</t>
  </si>
  <si>
    <t>BIEN CULTURAL</t>
  </si>
  <si>
    <t>MATERIAL DE CONSTRUCCIÓN</t>
  </si>
  <si>
    <t>Nº DE SÓTANOS</t>
  </si>
  <si>
    <t>Nº DE PISOS</t>
  </si>
  <si>
    <t/>
  </si>
  <si>
    <t>%</t>
  </si>
  <si>
    <t>ÁREA TERRENO</t>
  </si>
  <si>
    <t>ÁREA OCUPADA</t>
  </si>
  <si>
    <t>VALOR DE TERRENO</t>
  </si>
  <si>
    <t>MEMORIA DESCRIPTIVA</t>
  </si>
  <si>
    <t>NORMATIVIDAD</t>
  </si>
  <si>
    <t>OBJETO DE LA TASACIÓN</t>
  </si>
  <si>
    <t>ALCANCES Y LIMITACIÓN</t>
  </si>
  <si>
    <t>REGLAMENTACIÓN</t>
  </si>
  <si>
    <t xml:space="preserve">Reglamento Nacional de Tasaciones del Perú - R.M. Nº 172 - 2016 - VIVIENDA y su modificatoria la R.M. N° 424 - 2017-VIVIENDA. Además se emplea la Resolución S.B.S N° 11356 - 2008 para la determinación del Valor de Realización en el Mercado. </t>
  </si>
  <si>
    <t>METODOLOGÍA</t>
  </si>
  <si>
    <t>Tasación Anterior</t>
  </si>
  <si>
    <t>Predio Urbano/Rural</t>
  </si>
  <si>
    <t>Otras Und.</t>
  </si>
  <si>
    <t>Fecha Documento:</t>
  </si>
  <si>
    <t>DATOS GENERALES</t>
  </si>
  <si>
    <t>PROPIETARIO (S)</t>
  </si>
  <si>
    <t>GEOREFERENCIA</t>
  </si>
  <si>
    <t>SEGÚN PARTIDA ELECTRÓNICA</t>
  </si>
  <si>
    <t>SEGÚN PREDIO URBANO</t>
  </si>
  <si>
    <t>SEGÚN INSPECCIÓN OCULAR</t>
  </si>
  <si>
    <t>(-) Latitud</t>
  </si>
  <si>
    <t>(-) Longitud</t>
  </si>
  <si>
    <t>Durante la visita se dieron las facilidades para la inspección ocular y toma de registro fotográfico al interior del Inmueble:</t>
  </si>
  <si>
    <t>(*)   Datos obtenidos de Google Maps</t>
  </si>
  <si>
    <t>CARACTERÍSTICAS URBANAS</t>
  </si>
  <si>
    <t>CARACTERÍSTICAS DEL ENTORNO</t>
  </si>
  <si>
    <t>EQUIPAMIENTO DEL ENTORNO</t>
  </si>
  <si>
    <t xml:space="preserve">INFRAESTRUCTURA DE SERVICIO </t>
  </si>
  <si>
    <t>VIAS PRINCIPALES DE ACCESO</t>
  </si>
  <si>
    <t>CARACTERÍSTICAS DEL INMUEBLE</t>
  </si>
  <si>
    <t>(Marcar con  (X) la opción que corresponda)</t>
  </si>
  <si>
    <t>DESCRIPCIÓN GENERAL</t>
  </si>
  <si>
    <t>REGIMEN DE LA PROPIEDAD</t>
  </si>
  <si>
    <t>USO DE LA PROPIEDAD</t>
  </si>
  <si>
    <t>Uso</t>
  </si>
  <si>
    <t>Edad Efectiva (años)</t>
  </si>
  <si>
    <t>N° de Unidades del Conjunto</t>
  </si>
  <si>
    <t>Mantenimiento</t>
  </si>
  <si>
    <t>DESCRIPCIÓN Y DISTRIBUCIÓN DEL INMUEBLE</t>
  </si>
  <si>
    <t>Servicios</t>
  </si>
  <si>
    <t>N° de Solicitud BCP</t>
  </si>
  <si>
    <t>Fecha última de Vigencia</t>
  </si>
  <si>
    <t>LINDEROS</t>
  </si>
  <si>
    <t>Orientación</t>
  </si>
  <si>
    <t>Longitud (ml)</t>
  </si>
  <si>
    <t>Por el Frente:</t>
  </si>
  <si>
    <t>Por la Derecha:</t>
  </si>
  <si>
    <t>Por la Izquierda:</t>
  </si>
  <si>
    <t>Por el Fondo:</t>
  </si>
  <si>
    <t>CONSTRUCCIONES</t>
  </si>
  <si>
    <t>Total Área de Terreno</t>
  </si>
  <si>
    <t>Total Áreas Construidas</t>
  </si>
  <si>
    <t>Edificación Declarada</t>
  </si>
  <si>
    <t>Inmueble / Unidad Principal</t>
  </si>
  <si>
    <t>Ejem: Estacionamientos, Depósitos, etc</t>
  </si>
  <si>
    <t>Inmueble / Unidad Secundaria</t>
  </si>
  <si>
    <t>INSTALACIONES Y OBRAS COMPLEMENTARIAS</t>
  </si>
  <si>
    <t>Antigüedad</t>
  </si>
  <si>
    <t>CARACTERÍSTICAS PRINCIPALES DE LA CONSTRUCCIÓN</t>
  </si>
  <si>
    <t>ESTRUCTURA GENERAL</t>
  </si>
  <si>
    <t>ACABADOS</t>
  </si>
  <si>
    <t>Sistema Contra Incendio</t>
  </si>
  <si>
    <t>Parrilla</t>
  </si>
  <si>
    <t>ANALISIS METODOLOGICO</t>
  </si>
  <si>
    <t>MÉTODO DE COSTOS O REPOSICIÓN (OFERTA DE TERRENOS EN EL MERCADO)</t>
  </si>
  <si>
    <t>(Evidenciar como mínimo tres (03) muestras)</t>
  </si>
  <si>
    <t>Forma / Topografía</t>
  </si>
  <si>
    <t>Distancia al Inmueble (m)</t>
  </si>
  <si>
    <t>Nombre de Contacto</t>
  </si>
  <si>
    <t>Top.</t>
  </si>
  <si>
    <t>PLANO DE UBICACIÓN Y REFERENCIAS DE TERRENO</t>
  </si>
  <si>
    <t>VALOR DE TERRENO (VT)</t>
  </si>
  <si>
    <t>VALOR DE LAS EDIFICACIONES  [VALOR SIMILAR A NUEVO (VSNE) Y VALOR DE EDIFICACIÓN (VE)]</t>
  </si>
  <si>
    <t>VALORES UNITARIOS OFICIALES DE EDIFICACION</t>
  </si>
  <si>
    <t>AÑO:</t>
  </si>
  <si>
    <t>FECHA:</t>
  </si>
  <si>
    <t xml:space="preserve">NORMA: </t>
  </si>
  <si>
    <t>R.M. N° 278-2013-Vivienda</t>
  </si>
  <si>
    <t>FACTOR DE OFICIALIZACIÓN:</t>
  </si>
  <si>
    <t>RANGO DE LA REGIÓN SELECCIONADA:</t>
  </si>
  <si>
    <t>IMPUESTO GENERAL A LAS VENTAS:</t>
  </si>
  <si>
    <t>FACTOR DE AJUSTE RESULTANTE:</t>
  </si>
  <si>
    <t>FACTOR DE INCREMENTO POR ALTURA:</t>
  </si>
  <si>
    <t>LIMA METROPOLITANA Y CALLAO</t>
  </si>
  <si>
    <t>Estructuras laminadas curvadas de concreto armado que incluyen en una sola armadura la cimentación y el techo (para este caso no se considera el componente N° 2)</t>
  </si>
  <si>
    <t>Losa o aligerado de concreto armado con luces mayores de 6m con sobrecarga mayor a 300 Kg/m2</t>
  </si>
  <si>
    <t>Mármol importado, piedras naturales, porcelanato</t>
  </si>
  <si>
    <t>Aluminio pesado con perfiles especiales, madera fina ornamental (caoba, cedro o pino selecto), vidrio insulado</t>
  </si>
  <si>
    <t>Mármol importado, madera fina (caoba o similar), baldosa acústica en techo o similar</t>
  </si>
  <si>
    <t>Baños completos de lujo importados con enchape fino (mármol o similar)</t>
  </si>
  <si>
    <t>Aire acondicionado, iluminación especial, ventilación forzada, sistema hidroneumático, agua caliente y fría, intercomunicador, alarmas, ascensor, sistema de bombeo de agua y desagüe, teléfono, gas natural</t>
  </si>
  <si>
    <t>Columnas, vigas y/o placas de concreto armado y/o metálicas</t>
  </si>
  <si>
    <t>Aligerados o losas de concreto armado inclinadas</t>
  </si>
  <si>
    <t>Mármol nacional o reconstituido, parquet fino (olivo, chonta o similar), cerámica importada, madera fina</t>
  </si>
  <si>
    <t>Aluminio o madera fina (caoba o similar) de diseño especial, vidrio tratado polarizado y curvado, laminado o templado</t>
  </si>
  <si>
    <t>Mármol nacional, madera fina (caoba o similar), enchapes en techos</t>
  </si>
  <si>
    <t>Baños completos importados con mayólica o cerámico decorativo importado</t>
  </si>
  <si>
    <t>Sistema de bombeo de agua potable, ascensor, teléfono, agua caliente y fría, gas natural</t>
  </si>
  <si>
    <t>Placas de concreto e=10 a 15cm, albañilería armada, ladrillo o similar con columnas y vigas de amarre de concreto armado</t>
  </si>
  <si>
    <t>Aligerado o losas de concreto armado horizontales</t>
  </si>
  <si>
    <t>Madera fina machihembrada, terrazo</t>
  </si>
  <si>
    <t>Aluminio o madera fina (caoba o similar), vidrio tratado polarizado, laminado o templado</t>
  </si>
  <si>
    <t>Superficie caravista obtenida mediante encofrado especial, enchape en techos</t>
  </si>
  <si>
    <t>Baños completos nacionales con mayólica o cerámico nacional de color</t>
  </si>
  <si>
    <t>Sistema de bombeo de agua potable, teléfono, agua caliente y fría, gas natural</t>
  </si>
  <si>
    <t>Ladrillo o similar sin elementos de concreto armado, drywall o similar, incluye techo (para este caso no se considera el componente N° 2)</t>
  </si>
  <si>
    <t>Calamina metálica, fibrocemento sobre viguería metálica</t>
  </si>
  <si>
    <t>Parquet de primera, laja, cerámica nacional, loseta veneciana 40x40, piso laminado</t>
  </si>
  <si>
    <t>Ventanas de aluminio, puertas de madera selecta, vidrio tratado transparente</t>
  </si>
  <si>
    <t>Enchape de madera o laminados, piedra o material vitrificado</t>
  </si>
  <si>
    <t>Baños completos nacionales blancos con mayólica blanca</t>
  </si>
  <si>
    <t>Agua fría, agua caliente, corriente trifásica, teléfono, gas natural</t>
  </si>
  <si>
    <t>Adobe, tapial o quincha</t>
  </si>
  <si>
    <t>Madera selecta tratada con material impermeabilizante</t>
  </si>
  <si>
    <t>Parquet de segunda, loseta veneciana 30x30, lajas de cemento con canto rodado</t>
  </si>
  <si>
    <t>Ventanas de fierro, puertas de madera selecta (caoba o similar), vidrio simple transparente</t>
  </si>
  <si>
    <t>Superficie de ladrillo caravista</t>
  </si>
  <si>
    <t>Baños con mayólica blanca parcial</t>
  </si>
  <si>
    <t>Agua fría, agua caliente, corriente monofásica, teléfono, gas natural</t>
  </si>
  <si>
    <t>Madera (estoraque, pumaquiro, huayruro, machinga, catahua amarilla, copaiba, diablo fuerte, tornillo o similares), drywall o similar sin techo</t>
  </si>
  <si>
    <t>Calamina metálica, fibrocemento o tejas sobre tijerales o viguería de madera corriente</t>
  </si>
  <si>
    <t>Loseta corriente, canto rodado, alfombra</t>
  </si>
  <si>
    <t>Ventanas de fierro o aluminio industrial, puertas contraplacadas de madera (cedro o similar), puertas en material MDF o HDF, vidrio simple transparente</t>
  </si>
  <si>
    <t>Tarrajeo frotachado y/o yeso moldurado, pintura lavable o barnizado sobre madera</t>
  </si>
  <si>
    <t>Baños blancos sin mayólica</t>
  </si>
  <si>
    <t>Agua fría, corriente monofásica, teléfono, gas natural</t>
  </si>
  <si>
    <t>Madera rústica o caña con torta de barro</t>
  </si>
  <si>
    <t>Loseta vinílica, cemento bruñado coloreado, tapizón</t>
  </si>
  <si>
    <t>Madera corriente con marcos en puertas y ventanas de PVC o madera corriente</t>
  </si>
  <si>
    <t>Estucado de yeso y/o barro, pintura al temple o agua</t>
  </si>
  <si>
    <t>Sanitarios básicos de losa de segunda, fierro fundido o granito</t>
  </si>
  <si>
    <t>Agua fría, corriente monofásica, teléfono</t>
  </si>
  <si>
    <t>(No corresponde)</t>
  </si>
  <si>
    <t>Sin techo</t>
  </si>
  <si>
    <t>Cemento pulido, ladrillo corriente, entablado corriente</t>
  </si>
  <si>
    <t>Madera rústica</t>
  </si>
  <si>
    <t>Pintado en ladrillo rústico, placa de concreto o similar</t>
  </si>
  <si>
    <t>Sin aparatos sanitarios</t>
  </si>
  <si>
    <t>Agua fría, corriente monofásica sin empotrar</t>
  </si>
  <si>
    <t>Tierra compactada</t>
  </si>
  <si>
    <t>Sin puertas ni ventanas</t>
  </si>
  <si>
    <t>Sin revestimientos, en ladrillo, adobe o similar</t>
  </si>
  <si>
    <t>Sin instalación eléctricia ni sanitaria</t>
  </si>
  <si>
    <t>COSTA</t>
  </si>
  <si>
    <t>Aire acondicionado, iluminación especial, ventilación forzada, sistema hidroneumático, agua caliente y fría, intercomunicador, alarmas, ascensor, sistema de bombeo de agua y desagüe, teléfono</t>
  </si>
  <si>
    <t>Sistema de bombeo de agua potable, ascensor, teléfono, agua caliente y fría</t>
  </si>
  <si>
    <t>Sistema de bombeo de agua potable, teléfono, agua caliente y fría</t>
  </si>
  <si>
    <t>Agua fría, agua caliente, corriente trifásica, teléfono</t>
  </si>
  <si>
    <t>Agua fría, agua caliente, corriente monofásica, teléfono</t>
  </si>
  <si>
    <t>SIERRA</t>
  </si>
  <si>
    <t>SELVA</t>
  </si>
  <si>
    <t>Ladrillo o similar, drywall o similar incluye techo (para este caso no se considera el componente N° 2)</t>
  </si>
  <si>
    <t>Madera selecta tratada sobre pilotaje de madera con base de concreto, con muros de madera contraplacada o similar</t>
  </si>
  <si>
    <t>Adobe o similar</t>
  </si>
  <si>
    <t>Calamina metálica, fibrocemento o tejas sobre tijerales de madera</t>
  </si>
  <si>
    <t>Madera tratada selecta con base de concreto, con muros de madera tipo contraplacada o similar, drywall o similar sin techo</t>
  </si>
  <si>
    <t>Techos de palmas (crisnejas)</t>
  </si>
  <si>
    <t>Madera corriente</t>
  </si>
  <si>
    <t>Caña, guayaquil, pona o pintoc</t>
  </si>
  <si>
    <t>Ligero / Desmontable</t>
  </si>
  <si>
    <t>VALOR DE EDIFICACIÓN DE LAS AREAS COMUNES (VAC)</t>
  </si>
  <si>
    <t>Según el Reglamento General de Tasaciones del Perú, para el valor de las Áreas Comunes en los regímenes que corresponda, se asigna un % del valor de la edificación:</t>
  </si>
  <si>
    <t>VALOR DE LAS INSTALACIONES FIJAS Y OBRAS COMPLEMENTARIAS (VI + VOC)</t>
  </si>
  <si>
    <t>Unidad
(Und.)</t>
  </si>
  <si>
    <t>Valor Unitario
(US$/Und.)</t>
  </si>
  <si>
    <t>VALOR TOTAL DEL PREDIO (VTP1)      [Mediante el Método de Costos Directos = VT + VE + VAC + VI + VOC]</t>
  </si>
  <si>
    <t>VALOR TOTAL DE LAS EDIFICACIONES (VTE1)      [Mediante el Método de Costos Directos = VE + VAC + VI + VOC]</t>
  </si>
  <si>
    <t>VALOR DE RECONSTRUCCIÓN DEL INMUEBLE TASADO (VSN)      [VSNE + VSNAC + VSNVI + VSNVOC]</t>
  </si>
  <si>
    <t xml:space="preserve">*Notas: </t>
  </si>
  <si>
    <t>1. - Los Valores Unitarios de Mercado han sido afectados por un Factor de Negociación reconociendo que se tratan de comparables de carácter ofertable aún sin realizar.</t>
  </si>
  <si>
    <t xml:space="preserve">2. - Los comparables identificados han sido ponderados reconociendo la variación en cuanto a criterios de Ubicación, Topografía, Superficie, Servicios y Zonificación </t>
  </si>
  <si>
    <t>MÉTODO DE MERCADO O COMPARACIÓN  (OFERTA DE INMUEBLES SIMILARES EN EL MERCADO)</t>
  </si>
  <si>
    <t>Dor.</t>
  </si>
  <si>
    <t>PLANO DE UBICACIÓN Y REFERENCIAS DE INMUEBLES SIMILARES</t>
  </si>
  <si>
    <t>VALOR TOTAL DEL PREDIO MEDIANTE EL MÉTODO DE COMPARACIÓN</t>
  </si>
  <si>
    <t>DATOS GENERALES DE LOS COMPARABLES</t>
  </si>
  <si>
    <t>HOMOLOGACIÓN DE LOS COMPARABLES</t>
  </si>
  <si>
    <t>Contacto</t>
  </si>
  <si>
    <t xml:space="preserve">Comparación </t>
  </si>
  <si>
    <t>VALOR TOTAL DEL PREDIO (VTP2)      [Mediante el Método de Mercado]</t>
  </si>
  <si>
    <t>RESULTADOS</t>
  </si>
  <si>
    <t>RESUMEN GENERAL DE TASACIÓN</t>
  </si>
  <si>
    <t>Mediante los métodos aplicados se han obtenido los siguientes resultados:</t>
  </si>
  <si>
    <t>RESULTADOS DE LOS MÉTODOS DIRECTOS:</t>
  </si>
  <si>
    <t>ANEXO - REGISTRO FOTOGRÁFICO</t>
  </si>
  <si>
    <t>ANEXO - PARTIDA ELECTRÓNICA</t>
  </si>
  <si>
    <t>ANEXO - PU DE AUTOAVALÚO</t>
  </si>
  <si>
    <t>HIPOTECA (INMUEBLE)</t>
  </si>
  <si>
    <t>PLANO DE UBICACIÓN</t>
  </si>
  <si>
    <t>USO DEL INMUEBLE</t>
  </si>
  <si>
    <t>Predio Agrícola</t>
  </si>
  <si>
    <t>INMUEBLE CERCADO</t>
  </si>
  <si>
    <t xml:space="preserve"> Ejm: G193   00110958</t>
  </si>
  <si>
    <t>(09 Dígitos)</t>
  </si>
  <si>
    <t>No Tiene</t>
  </si>
  <si>
    <t>Parcial</t>
  </si>
  <si>
    <t>TIPO DE PREDIO</t>
  </si>
  <si>
    <t>DESCRIPCIÓN ZONIFICACIÓN</t>
  </si>
  <si>
    <t xml:space="preserve">ÁREA DE TRATAMIENTO CON FINES DE RENOVACIÓN URBANA </t>
  </si>
  <si>
    <t>DISEÑADA PARA N° DE PISOS</t>
  </si>
  <si>
    <t>ESPECIFICAR OTRO</t>
  </si>
  <si>
    <t>COMENTARIOS / ADVERTENCIAS SOBRE LA CARGA</t>
  </si>
  <si>
    <t>OBSERVACIONES GENERALES</t>
  </si>
  <si>
    <r>
      <t xml:space="preserve">VALOR DE RECONSTRUCCIÓN                         </t>
    </r>
    <r>
      <rPr>
        <b/>
        <sz val="8"/>
        <color rgb="FF002060"/>
        <rFont val="Arial Narrow"/>
        <family val="2"/>
      </rPr>
      <t xml:space="preserve">  (INCL. CONSTRUCCIONES DECLAR. Y NO DECLAR.)</t>
    </r>
  </si>
  <si>
    <t>RESULTADOS DE VALORIZACIÓN</t>
  </si>
  <si>
    <t xml:space="preserve">VALOR DE EDIFICACION </t>
  </si>
  <si>
    <t>VSN EDIFICACION</t>
  </si>
  <si>
    <t>VSN OBRAS COMPLEMENT.</t>
  </si>
  <si>
    <t>EN CASO DE PREDIOS AGRICOLAS</t>
  </si>
  <si>
    <t>TIPO DE SUELO</t>
  </si>
  <si>
    <t>Arenoso</t>
  </si>
  <si>
    <t>Arcilloso</t>
  </si>
  <si>
    <t>Limoso</t>
  </si>
  <si>
    <t>Franco Arenoso</t>
  </si>
  <si>
    <t>Franco Arcilloso</t>
  </si>
  <si>
    <t>Franco Limoso</t>
  </si>
  <si>
    <t>ACCESO DIRECTO DESDE ALGUNA VIA DE COMUNICACIÓN</t>
  </si>
  <si>
    <t>POZOS Y RESERVORIOS</t>
  </si>
  <si>
    <t>Número de Registro de Pozos (IRHS)</t>
  </si>
  <si>
    <t>Conductividad Eléctrica del Agua (mmhos/cm)</t>
  </si>
  <si>
    <t>Permiso Vigente</t>
  </si>
  <si>
    <r>
      <t>Caudal(Litros/Seg)</t>
    </r>
    <r>
      <rPr>
        <sz val="12"/>
        <color rgb="FF002060"/>
        <rFont val="Arial Narrow"/>
        <family val="2"/>
      </rPr>
      <t xml:space="preserve"> </t>
    </r>
  </si>
  <si>
    <t>NOTA:  LOS VALORES CONSIGNADOS EN LA PRESENTE TASACION, CONSIDERAN LOS VALORES DE MERCADO Y CORRESPONDEN A TODOS LOS BIENES QUE EL BANCO HA INDICADO VALUAR.</t>
  </si>
  <si>
    <t>USO</t>
  </si>
  <si>
    <t xml:space="preserve">Unidad de Medida </t>
  </si>
  <si>
    <t>Según Registros Públicos</t>
  </si>
  <si>
    <t>Según Autoavalúo</t>
  </si>
  <si>
    <t>Diferencia</t>
  </si>
  <si>
    <t>Según Inspección Ocular</t>
  </si>
  <si>
    <t>Observaciones</t>
  </si>
  <si>
    <t>CUADRO COMPARATIVO DE ÁREAS</t>
  </si>
  <si>
    <t xml:space="preserve">. </t>
  </si>
  <si>
    <t>Notas: Para Predios Agrícolas el Valor Comercial y de Realización solo debe considerar el Valor de Terreno de la Propiedad, además de las Obras Civiles / Infraestructura, Pozos con licencia y Reservorios con los que cuente el inmueble. NO se debe considerar el Valor de los Cultivos, los Equipos de Riego, la Cosecha ni las inversiones en Packing. Asimismo es importante considerar en el cálculo del Valor de Terreno la disponibilidad suficiente  de Recurso Hídrico para la Actividad Agrícola que se demande.</t>
  </si>
  <si>
    <t xml:space="preserve">HOJA RESUMEN  - TASACIONES
</t>
  </si>
  <si>
    <r>
      <t xml:space="preserve">VALOR DE RECONSTRUCCIÓN                            </t>
    </r>
    <r>
      <rPr>
        <b/>
        <sz val="8"/>
        <color rgb="FF002060"/>
        <rFont val="Arial Narrow"/>
        <family val="2"/>
      </rPr>
      <t xml:space="preserve"> (INCL. CONSTRUCCIONES DECLAR. Y NO DECLAR.)</t>
    </r>
  </si>
  <si>
    <t>VALORES DE INMUEBLES A FUTURO EN PROYECTO                                                 NO INSCRITOS EN RRPP</t>
  </si>
  <si>
    <t>VALOR COMERCIAL DEL INMUEBLE</t>
  </si>
  <si>
    <t>Para determinar la conclusión del Valor Comercial del inmueble, se han tenido en cuenta las siguientes consideraciones:</t>
  </si>
  <si>
    <t>VALOR DE REALIZACIÓN INMEDIATA</t>
  </si>
  <si>
    <t>RESPONSABLES</t>
  </si>
  <si>
    <t>PERITO RESPONSABLE DE INSPECCIÓN:</t>
  </si>
  <si>
    <t>OBSERVACIONES DEL PERITO</t>
  </si>
  <si>
    <t>CONDICIONANTES Y ADVERTENCIAS</t>
  </si>
  <si>
    <t>SÍ / NO</t>
  </si>
  <si>
    <t>SITUACIÓN REGISTRAL DEL PREDIO</t>
  </si>
  <si>
    <t>FECHA INSPECCIÓN</t>
  </si>
  <si>
    <t>Perímetro:</t>
  </si>
  <si>
    <t xml:space="preserve">FUENTE Y PROCEDENCIA DE LA </t>
  </si>
  <si>
    <t>INFORMACIÓN</t>
  </si>
  <si>
    <t>SERVIDUMBRES</t>
  </si>
  <si>
    <t>Detalle:</t>
  </si>
  <si>
    <t>COMENTARIOS/ADVERTENCIAS SOBRE LA CARGA</t>
  </si>
  <si>
    <t>x</t>
  </si>
  <si>
    <t>DISTANCIA</t>
  </si>
  <si>
    <t xml:space="preserve">CERCANIA A RIOS /MAR / LAGOS / </t>
  </si>
  <si>
    <t>ACANTILADOS / QUEBRADAS</t>
  </si>
  <si>
    <t>DISTRITO</t>
  </si>
  <si>
    <t xml:space="preserve">PROVINCIA </t>
  </si>
  <si>
    <r>
      <t xml:space="preserve">VALOR TOTAL COMERCIAL                         
</t>
    </r>
    <r>
      <rPr>
        <b/>
        <sz val="8"/>
        <color rgb="FF002060"/>
        <rFont val="Arial Narrow"/>
        <family val="2"/>
      </rPr>
      <t>(INCL. CONSTRUCCIÓN DECLAR. Y NO DECLAR.)</t>
    </r>
  </si>
  <si>
    <t>2. - Los comparables identificados han sido ponderados reconociendo la variación en cuanto a criterios de Ubicación, Entorno, Superficie y Edad.</t>
  </si>
  <si>
    <t>Valor de Realización En Dólares (Moneda Extranjera)</t>
  </si>
  <si>
    <t>Valor de Realización en Soles (Moneda Local)</t>
  </si>
  <si>
    <t xml:space="preserve">VALOR DE RECONSTRUCCIÓN                           </t>
  </si>
  <si>
    <t>VALOR DE RECONSTRUCCIÓN</t>
  </si>
  <si>
    <t xml:space="preserve">VALOR DE RECONSTRUCCIÓN </t>
  </si>
  <si>
    <t>Vista del Inmueble</t>
  </si>
  <si>
    <t>factor de ajuste 2</t>
  </si>
  <si>
    <t>motivo de los factores</t>
  </si>
  <si>
    <t>Secund. I</t>
  </si>
  <si>
    <t>Secund. II</t>
  </si>
  <si>
    <t>Secund. III</t>
  </si>
  <si>
    <t>Frente a Parque</t>
  </si>
  <si>
    <t>Frente al Mar</t>
  </si>
  <si>
    <t>Material de la Estructura</t>
  </si>
  <si>
    <t>No Corresponde</t>
  </si>
  <si>
    <t>AT Mat.*AC U.I/AC Total</t>
  </si>
  <si>
    <t>* Opinión del Suscrito</t>
  </si>
  <si>
    <t>Origen de la construcción* :</t>
  </si>
  <si>
    <t>% de Participación</t>
  </si>
  <si>
    <t>Factor de Ajuste*</t>
  </si>
  <si>
    <t>*Motivo del Factor</t>
  </si>
  <si>
    <t>Factor de
Ajuste 1</t>
  </si>
  <si>
    <t>Factor de
Ajuste 2</t>
  </si>
  <si>
    <t>Cálculo del Supuesto Valor Comercial Urbano (SVCU) de la vía de Dominio Privado</t>
  </si>
  <si>
    <t>SVCU</t>
  </si>
  <si>
    <t>=</t>
  </si>
  <si>
    <t>VCTU</t>
  </si>
  <si>
    <t>a</t>
  </si>
  <si>
    <t>/</t>
  </si>
  <si>
    <t>3)</t>
  </si>
  <si>
    <t>-</t>
  </si>
  <si>
    <t>d</t>
  </si>
  <si>
    <t>(1.00</t>
  </si>
  <si>
    <t>d)</t>
  </si>
  <si>
    <t xml:space="preserve">SVCU </t>
  </si>
  <si>
    <t xml:space="preserve"> (US$/m2)</t>
  </si>
  <si>
    <t>m</t>
  </si>
  <si>
    <t>Ancho de la vía de dominio privado expresado en metros con aproximación al centésimo, medida en el lindero de ésta con la vía pública</t>
  </si>
  <si>
    <t>Distancia de la vía pública hasta el vértice más cercano del terreno materia de tasación, expresado en metros con aproximación al centésimo, medida sobre las líneas de propiedad colindantes con la vía de dominio privado.</t>
  </si>
  <si>
    <t>Valor Comercial de Terreno Urbano de la vía de dominio privado.</t>
  </si>
  <si>
    <t>SVCU*</t>
  </si>
  <si>
    <t>Artículos 21/23 del RNT: Tasación comercial de un lote de terreno urbano frente a un pasadizo común o vía de dominio privado en condominio.</t>
  </si>
  <si>
    <t>Luego se tiene:</t>
  </si>
  <si>
    <t>Supuesto Valor Comercial Urbano (SVCU) US$/m2</t>
  </si>
  <si>
    <t>Valor de Terreno (US$)</t>
  </si>
  <si>
    <t>(a*</t>
  </si>
  <si>
    <t>*Nota 1: Si la relación a/3.00 resulta mayor de 1.00 se asume una unidad (1.00) como valor de la misma</t>
  </si>
  <si>
    <t>Cálculo del Valor Correspondiente al Terreno del Pasadizo Común</t>
  </si>
  <si>
    <t>Terreno restante del pasillo</t>
  </si>
  <si>
    <t>3(frente)^2 del pasillo</t>
  </si>
  <si>
    <t>Valor Comercial de Terreno Urbano (VCTU)</t>
  </si>
  <si>
    <t>VALOR TOTAL DEL TERRENO*</t>
  </si>
  <si>
    <t>*Suma del Valor del Área del Dominio Privado y el Valor que le corresponde del Pasadizo Común</t>
  </si>
  <si>
    <t>*Nota 2: El Supuesto Valor Comercial Urbano (SVCU) no debe ser menor a 0.5 VCTU de lo contrario se descarta considerándose como mínimo 0.5 VCTU</t>
  </si>
  <si>
    <t>Factor</t>
  </si>
  <si>
    <t>Considerando el área proporcional:</t>
  </si>
  <si>
    <t>m2</t>
  </si>
  <si>
    <t>Desocupado</t>
  </si>
  <si>
    <t>Familiar</t>
  </si>
  <si>
    <t>No corresponde</t>
  </si>
  <si>
    <t>Área de terreno  m2</t>
  </si>
  <si>
    <t>Área construida  m2</t>
  </si>
  <si>
    <t>V. Tot. Inm. US$</t>
  </si>
  <si>
    <t>V. Const.
US$</t>
  </si>
  <si>
    <t>Valor de
Terr.US$</t>
  </si>
  <si>
    <t>V. U.
US$/m2</t>
  </si>
  <si>
    <t>CUADRO COMPARATIVO</t>
  </si>
  <si>
    <t>/ m2</t>
  </si>
  <si>
    <t>V.U.A. U.V.
US$/m2</t>
  </si>
  <si>
    <t>VALOR DEL ÁREA UTIL VENDIBLE</t>
  </si>
  <si>
    <t>VALOR DEL TERRENO</t>
  </si>
  <si>
    <t>Ninguna</t>
  </si>
  <si>
    <t>Ninguna.</t>
  </si>
  <si>
    <t>VANET SAC</t>
  </si>
  <si>
    <t xml:space="preserve">Ninguna </t>
  </si>
  <si>
    <t>Estado y conservacion del inmueble.</t>
  </si>
  <si>
    <t>Estudio del mercado de la referencia de inmuebles.</t>
  </si>
  <si>
    <t>Entorno y ubicación del inmueble.</t>
  </si>
  <si>
    <t>561-2001</t>
  </si>
  <si>
    <t>VANET S.A.C.</t>
  </si>
  <si>
    <t>Porcentaje de Áreas Comunes al inmueble %</t>
  </si>
  <si>
    <t>Total de Obras Complementarias (VI + VOC)</t>
  </si>
  <si>
    <t>TOTAL</t>
  </si>
  <si>
    <t>Departamento N°</t>
  </si>
  <si>
    <t>Estacionamiento N°</t>
  </si>
  <si>
    <t>Depósito N°</t>
  </si>
  <si>
    <t>Costo Unitario de Edificación (US$):</t>
  </si>
  <si>
    <t>RICARDO BARTHELLMES SACO</t>
  </si>
  <si>
    <t>Exclusivo y Común</t>
  </si>
  <si>
    <t>AREA OCUPADA</t>
  </si>
  <si>
    <t>AREADE</t>
  </si>
  <si>
    <t>MATERIAL</t>
  </si>
  <si>
    <t>AÑO DE CONSTRUCCION/ Fecha de Fabricación</t>
  </si>
  <si>
    <t>SOTANOS</t>
  </si>
  <si>
    <t>kilometros/hora</t>
  </si>
  <si>
    <t>Estado de conservación del Bien</t>
  </si>
  <si>
    <t>operatividad del Bien</t>
  </si>
  <si>
    <t>INQUILINO</t>
  </si>
  <si>
    <t>ALMACEN</t>
  </si>
  <si>
    <t>ADOBE</t>
  </si>
  <si>
    <t>INVASOR</t>
  </si>
  <si>
    <t>COMERCIAL</t>
  </si>
  <si>
    <t>OTROS</t>
  </si>
  <si>
    <t>CONCRETO ARMADO</t>
  </si>
  <si>
    <t>INDUSTRIAL</t>
  </si>
  <si>
    <t>TRATAMIENTO PARA RENOVACION URBANA</t>
  </si>
  <si>
    <t>CONCRETO ARMADO CON PLACAS</t>
  </si>
  <si>
    <t>INQUILINO/PROPIETARIO</t>
  </si>
  <si>
    <t>MAMPOSTERIA</t>
  </si>
  <si>
    <t>NO OCUPADO</t>
  </si>
  <si>
    <t>SE DESCONOCE</t>
  </si>
  <si>
    <t>VIVIENDA</t>
  </si>
  <si>
    <t>QUINCHA Y/O MADERA</t>
  </si>
  <si>
    <t>LADRILLO Y CEMENTO</t>
  </si>
  <si>
    <t>VALUACIÓN Nº 20</t>
  </si>
  <si>
    <t xml:space="preserve">HOJA RESUMEN -TASACIONES
HIPOTECA (INMUEBLE) </t>
  </si>
  <si>
    <t>CODIGO -</t>
  </si>
  <si>
    <t>Nº GARANTIA</t>
  </si>
  <si>
    <t>FECHA TASACION</t>
  </si>
  <si>
    <t>TIPO DEL TERRENO</t>
  </si>
  <si>
    <t>I.CERCAD</t>
  </si>
  <si>
    <t>ACCESO A VIA</t>
  </si>
  <si>
    <t>LIMOSO</t>
  </si>
  <si>
    <t>DIRECCION</t>
  </si>
  <si>
    <t>FRANCO ARCILLOSO</t>
  </si>
  <si>
    <t>SI</t>
  </si>
  <si>
    <t xml:space="preserve">DISTRITO </t>
  </si>
  <si>
    <t>FRANCO LIMOSO</t>
  </si>
  <si>
    <t>NO</t>
  </si>
  <si>
    <t>DECLARATORIA DE FABRICA</t>
  </si>
  <si>
    <t>PROVINCIA</t>
  </si>
  <si>
    <t>INMUEBLE OCUPADO POR</t>
  </si>
  <si>
    <t>PARCIAL</t>
  </si>
  <si>
    <t>USO DEL LOCAL</t>
  </si>
  <si>
    <t>TIPO</t>
  </si>
  <si>
    <t>NO TIENE</t>
  </si>
  <si>
    <t>TERRENO AGRICOLA</t>
  </si>
  <si>
    <t>………………..</t>
  </si>
  <si>
    <t>PARAMETRO DE ZONIFICACION</t>
  </si>
  <si>
    <t>DESCRIPCION DE ZONIFICACION</t>
  </si>
  <si>
    <t>AREA DE:</t>
  </si>
  <si>
    <t>AÑO CONSTRUC.</t>
  </si>
  <si>
    <t>ESTADO-CONSERVAC.</t>
  </si>
  <si>
    <t>MATERIAL DE 
CONSTRUCCION</t>
  </si>
  <si>
    <t>ESPECIFICAR OTROS</t>
  </si>
  <si>
    <t xml:space="preserve">DISEÑADA PARA </t>
  </si>
  <si>
    <t>N° DE SOTANOS</t>
  </si>
  <si>
    <t>N° DE PISOS</t>
  </si>
  <si>
    <t>OBSERVACIONES</t>
  </si>
  <si>
    <t>TERRENO Y EDIFICACIONES</t>
  </si>
  <si>
    <t xml:space="preserve">NOTA: PARA TERRENOS AGRICOLAS 
EL VALOR COMERCIAL Y DE REALIZACION SOLO DEBE INCLUIR EL VALOR DE LA TIERRA, OBRAS CIVILES/INFRAESTRUCTURA, POZOS (CON LICENCIA) Y RESERVORIOS. NO DEBE INCLUIR CULTIVOS, EQUIPO DE RIEGO, COSECHA NI PACKING. 
ES IMPORTANTE AL MOMENTO DE ESTABLECER EL VALOR DE LA HECTAREA TENER EN CUENTA SI LAS TIERRAS TIENEN SUFICIENTE AGUA O NO PARA LA ACTIVIDAD AGRICOLA. </t>
  </si>
  <si>
    <t xml:space="preserve">      S/</t>
  </si>
  <si>
    <t>VALOR DE LAS EDIFICACIONES</t>
  </si>
  <si>
    <r>
      <rPr>
        <b/>
        <sz val="10"/>
        <rFont val="Arial"/>
        <family val="2"/>
      </rPr>
      <t>DESCRIPCIÓN (*)</t>
    </r>
    <r>
      <rPr>
        <sz val="10"/>
        <rFont val="Arial"/>
        <family val="2"/>
      </rPr>
      <t xml:space="preserve">
Ejm: 1er Piso, 2do Piso,
 Obra Complementaria</t>
    </r>
  </si>
  <si>
    <r>
      <rPr>
        <b/>
        <sz val="10"/>
        <rFont val="Arial"/>
        <family val="2"/>
      </rPr>
      <t>ÁREA</t>
    </r>
    <r>
      <rPr>
        <sz val="10"/>
        <rFont val="Arial"/>
        <family val="2"/>
      </rPr>
      <t xml:space="preserve">
Ejm: M2, HA </t>
    </r>
  </si>
  <si>
    <r>
      <rPr>
        <b/>
        <sz val="10"/>
        <rFont val="Arial"/>
        <family val="2"/>
      </rPr>
      <t>VALOR US$ / Unidad 2</t>
    </r>
    <r>
      <rPr>
        <sz val="10"/>
        <rFont val="Arial"/>
        <family val="2"/>
      </rPr>
      <t xml:space="preserve">
Ejm: US$ /M2 , US$ /HA</t>
    </r>
  </si>
  <si>
    <t>% Depreciación</t>
  </si>
  <si>
    <t>Factor Reajuste 
Comercial</t>
  </si>
  <si>
    <t>VALOR DE LAS ÁREAS COMUNES</t>
  </si>
  <si>
    <t>VALOR DE LAS OBRAS COMPLEMENTARIAS</t>
  </si>
  <si>
    <t>Valor de las 
Edificaciones</t>
  </si>
  <si>
    <t>Tipo de cambio US$ 1.00 = S/</t>
  </si>
  <si>
    <t>TOTAL VALOR COMERCIAL</t>
  </si>
  <si>
    <t>TOTAL VALOR DE REALIZACION</t>
  </si>
  <si>
    <t>RECONSTRUCCIÓN</t>
  </si>
  <si>
    <t>Valor de Reconstrucción de las Edificaciones</t>
  </si>
  <si>
    <t>(*) Detallar todos los pisos con los que cuente  la garantía</t>
  </si>
  <si>
    <t>Factor de depreciacion</t>
  </si>
  <si>
    <t>SI ES TERRENO AGRICOLA,INDICAR:
TIPO DE TERRENO:</t>
  </si>
  <si>
    <t>TIENE ACCESO DIRECTO A ALGUNA VIA DE COMUNICACIÓN</t>
  </si>
  <si>
    <t>POZOS Y RESERVORIOS (PARA TERRENOS AGRICOLAS</t>
  </si>
  <si>
    <t>Número de registro de cada pozo (IRHS)</t>
  </si>
  <si>
    <t xml:space="preserve">Caudal (Litros/Seg) </t>
  </si>
  <si>
    <t>Conductividad eléctrica del agua (mmhos/cm)</t>
  </si>
  <si>
    <t>Indicar si los pozos cuentan
con permiso vigente</t>
  </si>
  <si>
    <t>DOCUMENTACION REGISTRAL</t>
  </si>
  <si>
    <t xml:space="preserve"> FICHA RRPP</t>
  </si>
  <si>
    <t>AUTOVALUO</t>
  </si>
  <si>
    <t>DIFERENCIA</t>
  </si>
  <si>
    <t>INSPECCION OCULAR 
DEL TASADOR</t>
  </si>
  <si>
    <t>OBSERVACIONES DEL TASADOR</t>
  </si>
  <si>
    <r>
      <t>NOTA</t>
    </r>
    <r>
      <rPr>
        <sz val="10"/>
        <rFont val="Arial"/>
        <family val="2"/>
      </rPr>
      <t>:</t>
    </r>
    <r>
      <rPr>
        <sz val="10"/>
        <rFont val="Arial"/>
        <family val="2"/>
      </rPr>
      <t xml:space="preserve"> </t>
    </r>
  </si>
  <si>
    <t>LOS VALORES CONSIGNADOS EN LA PRESENTE TASACION, CONSIDERAN LOS VALORES DE MERCADO, NO DEBIENDO ADICIONAR IGV EN SUS VALORIZACIONES, Y CORRESPONDE A TODOS LOS BIENES QUE EL BANCO HA INDICADO VALUAR</t>
  </si>
  <si>
    <t>La fábrica del inmueble se encuentra declarada al …….%. DETALLAR MAS DE SER NECESARIO.</t>
  </si>
  <si>
    <t>El inmueble (SI/NO) cuenta con carga técnica inscrita en el asiento ………… correspondiente a …………, lo cual que (SI/NO) afecta el valor del inmueble.</t>
  </si>
  <si>
    <t>Área techada</t>
  </si>
  <si>
    <t>Área sin  techar</t>
  </si>
  <si>
    <t>Unidad M2/HA</t>
  </si>
  <si>
    <r>
      <rPr>
        <b/>
        <sz val="10"/>
        <rFont val="Arial"/>
        <family val="2"/>
      </rPr>
      <t>VALOR US$ / Unidad 2</t>
    </r>
    <r>
      <rPr>
        <sz val="10"/>
        <rFont val="Arial"/>
        <family val="2"/>
      </rPr>
      <t xml:space="preserve">
Ejm: US$ /M2, US$ /HA</t>
    </r>
  </si>
  <si>
    <t>Regular / Plana</t>
  </si>
  <si>
    <t>Irregular / Plana</t>
  </si>
  <si>
    <t>Regular / Pendiente</t>
  </si>
  <si>
    <t>Irregular / Pendiente</t>
  </si>
  <si>
    <t>Porcentaje de Áreas Comunes al estacionamiento %</t>
  </si>
  <si>
    <t>Porcentaje de Áreas Comunes al depósito %</t>
  </si>
  <si>
    <t>Los valores mostrados ya incluyen GG y Utilidad</t>
  </si>
  <si>
    <t xml:space="preserve">VALOR DE ALQUILER </t>
  </si>
  <si>
    <t>Conforme a lo solicitado se estimará, como un segundo enfoque, el valor que la propiedad tendría según el poder de ganancia neta de la propiedad basado en la capitalización del ingreso neto.</t>
  </si>
  <si>
    <t>CUADRO DE ALQUILERES O ARRENDAMIENTOS</t>
  </si>
  <si>
    <t>Según sondeo de alquiler o arrendamiento de inmuebles similares al inmueble materia de valuación, se obtuvo lo siguiente :</t>
  </si>
  <si>
    <t>Distanc.
Al Inm.
Mt.</t>
  </si>
  <si>
    <t>Área Techada
m2</t>
  </si>
  <si>
    <t>Renta
Mensual</t>
  </si>
  <si>
    <t>Renta
Anual Bruta</t>
  </si>
  <si>
    <t>Renta
Anual Neta</t>
  </si>
  <si>
    <t>Valor Unit. Renta por m2 techado</t>
  </si>
  <si>
    <t xml:space="preserve">                                                                                                                                                                                                                                                                                                                                                                                                                                                                                                                                                                                                                                                                                                                                                                                                                                                                                                                                                                                                                                                                                                                                                                                                                                                                                                                                                                                                                                                                                                                                                                                                                                                                                                                                                                                                                                                                                                                                                                                                                                                                                                                                                                                                                                                                                                                                                                                                                                                                                                                                                                                                                                                                                                                                                                                                                                                                                                                                                                                                                                                                                                                                                                                                                                                                                                                                                                                                                                                                                                                                                                                                                                                                                                                                                                                                                                                                                                                                                                                                                                                                                                                                                                                                                                    </t>
  </si>
  <si>
    <t>Del estudio de mercado se puede determinar que el valor de los alquileres de locales comerciales en la zona oscila entre US$17.00/m2 a US$ 22.00/m2, dependiendo de su área, ubicación y movimiento comercial. 
La referencia N° 1, se encuentra ubicada en calle, con igual zonificación al valuado y de menor área. La referencia N°2, se encuentra ubicado en avenida con igual zonificación que el valuado y de menor área construida.
La referencia N° 3, se encuentra ubicada en avenida, con zonificación CM a diferencia del valuado que cuenta con zonificación CZ, y menor área construida.
La referencia N°4, se encuentra ubicado en avenida, con igual zonificación y menor área que el valuado. 
De lo anterior se puede apreciar, que la referencia N° 3, es la más cercana al valuado, el cual se encuentra ubicado en esquina, por lo que al valor unitario de alquiler de US$ 26.00/m2, se le aplica un factor de 1.15 y se estima un valor unitario de US$ 30.00/m2, adicionalmente el valuado se encuentra ubicado frente a parque frente a parque Mariscal Cáceres y cerca de la Av. Salaverry zona de alto tránsito, por lo que al valor unitario de US$30.00/m2 se le bonifica con un factor de 1.15 y se estima un valor unitario redondeado de:</t>
  </si>
  <si>
    <t xml:space="preserve">/m2  </t>
  </si>
  <si>
    <t>X</t>
  </si>
  <si>
    <t xml:space="preserve">TOTAL VALOR COMERCIAL DE ALQUILER DEL INMUEBLE </t>
  </si>
  <si>
    <t>-.&amp;&amp;&amp;&amp;&amp;&amp;&amp;.-</t>
  </si>
  <si>
    <t>Lima,</t>
  </si>
  <si>
    <t>Área Construida: 156.00/m2
Valor de venta total = US$ 640,000.00
Para determinar el valor de terreno se ha descontado el valor de la construcción = US$ 60,000.00</t>
  </si>
  <si>
    <t>m3</t>
  </si>
  <si>
    <t>m4</t>
  </si>
  <si>
    <t>Glb</t>
  </si>
  <si>
    <t>ml</t>
  </si>
  <si>
    <t>Und</t>
  </si>
  <si>
    <t>Se utilizan los Métodos Directos (Comparación y/o Costos) así como los Indirectas cuando correspondan, establecidos en el Artículo 3, Inciso 3.1.5 del Título I del Reglamento Nacional de Tasaciones del Perú.</t>
  </si>
  <si>
    <t>Vías Asfaltadas</t>
  </si>
  <si>
    <r>
      <t xml:space="preserve">VUE3
</t>
    </r>
    <r>
      <rPr>
        <b/>
        <u/>
        <sz val="12"/>
        <color rgb="FF002060"/>
        <rFont val="Arial Narrow"/>
        <family val="2"/>
      </rPr>
      <t>Depó.</t>
    </r>
  </si>
  <si>
    <r>
      <t xml:space="preserve">VUE2
</t>
    </r>
    <r>
      <rPr>
        <b/>
        <u/>
        <sz val="12"/>
        <color rgb="FF002060"/>
        <rFont val="Arial Narrow"/>
        <family val="2"/>
      </rPr>
      <t>Estac.</t>
    </r>
  </si>
  <si>
    <r>
      <t xml:space="preserve">VUE1
</t>
    </r>
    <r>
      <rPr>
        <b/>
        <u/>
        <sz val="12"/>
        <color rgb="FF002060"/>
        <rFont val="Arial Narrow"/>
        <family val="2"/>
      </rPr>
      <t>Depa.</t>
    </r>
  </si>
  <si>
    <t xml:space="preserve">Noble </t>
  </si>
  <si>
    <t>Control interno</t>
  </si>
  <si>
    <t>Consolidado Homogéneo</t>
  </si>
  <si>
    <t>Rápida</t>
  </si>
  <si>
    <t>Vestidos de Madera con Cajonería de Cedro</t>
  </si>
  <si>
    <t>Consolidado Heterogéneo</t>
  </si>
  <si>
    <t>Débil</t>
  </si>
  <si>
    <t>En Proceso de Consolidación</t>
  </si>
  <si>
    <t>Local industrial</t>
  </si>
  <si>
    <t>Kitchenette</t>
  </si>
  <si>
    <t>Lavandería</t>
  </si>
  <si>
    <t xml:space="preserve">Huánuco </t>
  </si>
  <si>
    <t xml:space="preserve">Jaén </t>
  </si>
  <si>
    <t xml:space="preserve">ANEXO </t>
  </si>
  <si>
    <t>DECLARACIÓN JURADA</t>
  </si>
  <si>
    <t>1.-</t>
  </si>
  <si>
    <t>Tener inscripción y habilitación vigente en el REPEV</t>
  </si>
  <si>
    <t>2.-</t>
  </si>
  <si>
    <t>Contar con la capacidad técnica necesaria para realizar la valuación de los bienes señalados en la presente declaración.</t>
  </si>
  <si>
    <t>3.-</t>
  </si>
  <si>
    <t>Tener conocimiento de las obligaciones y responsabilidades de los peritos en relación a los servicios de valuación de garantías de las empresas del sistema financiero, así como las infracciones y sanciones establecidas en el reglamento del REPEV.</t>
  </si>
  <si>
    <t>4.-</t>
  </si>
  <si>
    <t xml:space="preserve">Según Ficha Registral </t>
  </si>
  <si>
    <t>Cliente:</t>
  </si>
  <si>
    <t>GERENTE GENERAL  -  PERITOS</t>
  </si>
  <si>
    <t>PROFESIÓN</t>
  </si>
  <si>
    <t>REPEV - CAP O CIP</t>
  </si>
  <si>
    <t>RICARDO BARTHELMESS SACO</t>
  </si>
  <si>
    <t>INGENIERO</t>
  </si>
  <si>
    <t xml:space="preserve">561-2001 </t>
  </si>
  <si>
    <t>ARTURO FERNANDO QUINTANA MACHARÉ</t>
  </si>
  <si>
    <t>ARQUITECTO</t>
  </si>
  <si>
    <t>MELISSA ORTIZ BENAVIDES</t>
  </si>
  <si>
    <t>ARQUITECTA</t>
  </si>
  <si>
    <t>10823</t>
  </si>
  <si>
    <t>SAMUEL PEDRO RODRÍGUEZ ESPINOZA</t>
  </si>
  <si>
    <t>LUIS ALBERTO FERNÁNDEZ TÁVARA</t>
  </si>
  <si>
    <t>EDSON FREDDY BUENO CORTEZ</t>
  </si>
  <si>
    <t>RICARDO VARGAS HERNÁNDEZ</t>
  </si>
  <si>
    <t>LUIS MARTIN ARBULÚ NAVARRO</t>
  </si>
  <si>
    <t>GIULIANA ORIETA PINZAS ESTABRIDIS</t>
  </si>
  <si>
    <t>JAIME DIAZ HURTADO</t>
  </si>
  <si>
    <t>ELVA VALDIVIEZO VELAZCO</t>
  </si>
  <si>
    <t>JOHAN CRUYFF LAZARTE CAMPOS</t>
  </si>
  <si>
    <t>ALVARO JOSE PRIVAT ZIMMERMANN</t>
  </si>
  <si>
    <t>CARLOS ALONSO HERRERA RIOS</t>
  </si>
  <si>
    <t>No se contó con la documentación correspondiente.</t>
  </si>
  <si>
    <t>Primer piso</t>
  </si>
  <si>
    <t>Segundo piso</t>
  </si>
  <si>
    <t>Tercer piso (Azotea)</t>
  </si>
  <si>
    <t>Del estudio realizado, observamos que el valor unitario de los terrenos están entre US$605.00/m2. a US$ 950.00/m2, dependiendo de la ubicación de los inmuebles.
Como se observa en el setudio de mercado la referencia N°1, tiene expectativas econimicas muy altas.
Las referencias N° 2, 3 y 4,  presentan  similitud urbanistica con el inmueble tasado, por lo que se ha procedido a promediar estas referencias, lo que nos da un valor promedio de US$761.00/m2 a este resultado le multiplicamos por un factor de 0.95, por negociacion, lo que nos da un valor unitario de terreno redondeado de :</t>
  </si>
  <si>
    <t>JORGE LUIS VERASTEGUI VEGA</t>
  </si>
  <si>
    <t>MARIA TERESA RAMIREZ G.</t>
  </si>
  <si>
    <t>ULISES IVAN IBAÑEZ BURGA</t>
  </si>
  <si>
    <t>ELVA VALDIVIEZO VELASCO</t>
  </si>
  <si>
    <t>"OFERTA EN EL MERCADO"</t>
  </si>
  <si>
    <t>"INMUEBLES VENDIDOS - VENTAS CERRADAS"
Tomado del aplicativo Vanetmap</t>
  </si>
  <si>
    <t>LUIS ALBERTO SOTOMAYOR</t>
  </si>
  <si>
    <t>2988-2021</t>
  </si>
  <si>
    <t>LUIS PALACIOS BRESSOLESE</t>
  </si>
  <si>
    <t>JHOSEP CASTILLO ESPINOZA</t>
  </si>
  <si>
    <t>DIEGO ANTONIO PONCE SANCHEZ</t>
  </si>
  <si>
    <t>ANA GISELA RODRIGUEZ ARZANI</t>
  </si>
  <si>
    <r>
      <t xml:space="preserve">VALOR TOTAL COMERCIAL
</t>
    </r>
    <r>
      <rPr>
        <b/>
        <sz val="8"/>
        <color rgb="FF002060"/>
        <rFont val="Arial Narrow"/>
        <family val="2"/>
      </rPr>
      <t>(INCL. CONSTRUCCIÓN DECLAR. Y NO DECLAR.)</t>
    </r>
  </si>
  <si>
    <r>
      <t xml:space="preserve">VALOR DE RECONSTRUCCIÓN
</t>
    </r>
    <r>
      <rPr>
        <b/>
        <sz val="8"/>
        <color rgb="FF002060"/>
        <rFont val="Arial Narrow"/>
        <family val="2"/>
      </rPr>
      <t>(INCL. CONSTRUCCIONES DECLAR. Y NO DECLAR.)</t>
    </r>
  </si>
  <si>
    <r>
      <t xml:space="preserve">Mediante la presente </t>
    </r>
    <r>
      <rPr>
        <b/>
        <sz val="11"/>
        <color indexed="8"/>
        <rFont val="Arial"/>
        <family val="2"/>
      </rPr>
      <t>VANET S.A.C</t>
    </r>
    <r>
      <rPr>
        <sz val="11"/>
        <color indexed="8"/>
        <rFont val="Arial"/>
        <family val="2"/>
      </rPr>
      <t xml:space="preserve">., con RUC No. </t>
    </r>
    <r>
      <rPr>
        <b/>
        <sz val="11"/>
        <color indexed="8"/>
        <rFont val="Arial"/>
        <family val="2"/>
      </rPr>
      <t>20432824099</t>
    </r>
    <r>
      <rPr>
        <sz val="11"/>
        <color indexed="8"/>
        <rFont val="Arial"/>
        <family val="2"/>
      </rPr>
      <t xml:space="preserve">, domiciliada en </t>
    </r>
    <r>
      <rPr>
        <b/>
        <sz val="11"/>
        <color indexed="8"/>
        <rFont val="Arial"/>
        <family val="2"/>
      </rPr>
      <t>Av. Enrique Canaval y Moreyra N° 385, Oficina 802 - San Isidro</t>
    </r>
    <r>
      <rPr>
        <sz val="11"/>
        <color indexed="8"/>
        <rFont val="Arial"/>
        <family val="2"/>
      </rPr>
      <t xml:space="preserve">, representada por su Gerente General  </t>
    </r>
    <r>
      <rPr>
        <b/>
        <sz val="11"/>
        <color indexed="8"/>
        <rFont val="Arial"/>
        <family val="2"/>
      </rPr>
      <t>Ing. Ricardo Barthelmess Saco,</t>
    </r>
    <r>
      <rPr>
        <sz val="11"/>
        <color indexed="8"/>
        <rFont val="Arial"/>
        <family val="2"/>
      </rPr>
      <t xml:space="preserve">  declara bajo juramento:</t>
    </r>
  </si>
  <si>
    <t>N° de Solicitud BCP            :</t>
  </si>
  <si>
    <t>N° de Servicio Tasadora      :</t>
  </si>
  <si>
    <t>Fecha de Expedición            :</t>
  </si>
  <si>
    <t>Fecha última de Vigencia      :</t>
  </si>
  <si>
    <t>CUESTIONARIO DE VARIABLES AMBIENTALES Y SOCIALES</t>
  </si>
  <si>
    <t xml:space="preserve">Zona </t>
  </si>
  <si>
    <t>Tipo de Zonificación en donde se ubica la empresa o proyecto</t>
  </si>
  <si>
    <t>Zona Residencial (R)</t>
  </si>
  <si>
    <t>Otros Usos (OU)</t>
  </si>
  <si>
    <t>Minera</t>
  </si>
  <si>
    <t>Zona Industrial (I)</t>
  </si>
  <si>
    <t>Monumental (M)</t>
  </si>
  <si>
    <t>Zona de Recreación Pública</t>
  </si>
  <si>
    <t>Zonas Comerciales (C)</t>
  </si>
  <si>
    <t>Reserva Natural (RN)</t>
  </si>
  <si>
    <t>Otros. Especifique: _______________________</t>
  </si>
  <si>
    <t>Reglamentacion Especial (ZRE)</t>
  </si>
  <si>
    <t>Agrícola</t>
  </si>
  <si>
    <t>Especificar si el inmueble ha sido catalogado como Patrimonio Cultural:</t>
  </si>
  <si>
    <t>Entorno</t>
  </si>
  <si>
    <r>
      <t xml:space="preserve">¿Existe alguna actividad en el entorno inmediato que pueda impactar negativamente en la venta futura del bien, o en </t>
    </r>
    <r>
      <rPr>
        <b/>
        <sz val="11"/>
        <rFont val="Calibri"/>
        <family val="2"/>
        <scheme val="minor"/>
      </rPr>
      <t xml:space="preserve">la </t>
    </r>
    <r>
      <rPr>
        <b/>
        <sz val="11"/>
        <color theme="1"/>
        <rFont val="Calibri"/>
        <family val="2"/>
        <scheme val="minor"/>
      </rPr>
      <t>conservación ambiental y sostenibilidad de la comunidad?</t>
    </r>
  </si>
  <si>
    <t>Industrias Contaminantes de aire o agua</t>
  </si>
  <si>
    <t>Rellenos Sanitarios / Botaderos</t>
  </si>
  <si>
    <t>Actividades Ilegales</t>
  </si>
  <si>
    <t>Delincuencia</t>
  </si>
  <si>
    <t>Conflictos sociales activos o latentes</t>
  </si>
  <si>
    <t>Deficiencia de la infraestructura de servicios públicos básicos</t>
  </si>
  <si>
    <t>Riesgos Ambientales Físicos</t>
  </si>
  <si>
    <t>Riesgos Ambientales Físicos - Agudos</t>
  </si>
  <si>
    <t>Hidrológicos - Inundación / Desbordamiento</t>
  </si>
  <si>
    <t>a)</t>
  </si>
  <si>
    <t>¿El inmueble se encuentra cerca de la ribera de un río (hasta 1000 metros)?</t>
  </si>
  <si>
    <t>Especifique: _________________________________________________________</t>
  </si>
  <si>
    <t>b)</t>
  </si>
  <si>
    <t xml:space="preserve">¿Existe debido a su ubicación un riesgo de inundación o desbordamiento que dañe la integridad del bien y acceso al mismo? </t>
  </si>
  <si>
    <t xml:space="preserve">Geológicos/ Hidrológicos - Deslizamientos / Desprendimiento de rocas / Huaicos </t>
  </si>
  <si>
    <t>¿El inmueble se encuentra en zona de riesgo, como por ejemplo, en la ladera/falda de un cerro o cercano (hasta 1000 metros) al cauce o quebrada de un huaico?</t>
  </si>
  <si>
    <t xml:space="preserve">¿Existe debido a su ubicación un riesgo de deslizamiento, desprendimiento de roca o paso de un huaico que dañe la integridad del bien y acceso al mismo? </t>
  </si>
  <si>
    <t xml:space="preserve">c) </t>
  </si>
  <si>
    <t>Especificar adicionalmente si el inmueble tiene en su interior laderas inestables, excavaciones o rellenos.</t>
  </si>
  <si>
    <t>Especifique: ______________________________________________________</t>
  </si>
  <si>
    <t>Riesgos Ambientales Físicos - Crónico</t>
  </si>
  <si>
    <t>Hidrológicos - Aumento del nivel del mar</t>
  </si>
  <si>
    <t>¿El inmueble se encuentra cerca (hasta 1000 metros) de la orilla del mar y al nivel del mar ?</t>
  </si>
  <si>
    <t>Riesgos Naturales</t>
  </si>
  <si>
    <t>Volcánicos - Flujos de Lava y Gases</t>
  </si>
  <si>
    <t xml:space="preserve">¿Existe debido a su ubicación un riesgo de flujos de lava y gases volcánicos que dañe la integridad del inmueble y acceso al mismo? </t>
  </si>
  <si>
    <t>Características Específicas de los Inmuebles y sus Usos</t>
  </si>
  <si>
    <t>Declaratoria de Fábrica</t>
  </si>
  <si>
    <t>¿El inmueble cuenta con las edificaciones debidamentes inscritas en Registros Públicos?</t>
  </si>
  <si>
    <t>Sí Total</t>
  </si>
  <si>
    <t>Sí Parcial</t>
  </si>
  <si>
    <t>Materiales, daños físicos y actividades contaminantes</t>
  </si>
  <si>
    <t xml:space="preserve">a) </t>
  </si>
  <si>
    <r>
      <t>¿Durante la inspección del inmueb</t>
    </r>
    <r>
      <rPr>
        <b/>
        <sz val="11"/>
        <rFont val="Calibri"/>
        <family val="2"/>
        <scheme val="minor"/>
      </rPr>
      <t>le  se observaron condiciones de trabajo insalubres, o presencia de materiales</t>
    </r>
    <r>
      <rPr>
        <b/>
        <sz val="11"/>
        <color theme="1"/>
        <rFont val="Calibri"/>
        <family val="2"/>
        <scheme val="minor"/>
      </rPr>
      <t xml:space="preserve"> que podrían causar contaminación o problemas en la salud como por ejemplo los fabricados con asbesto; derrames de hidrocarburos que requieran de un tratamiento especial o vertidos de aguas residuales sin tratamiento al medio ambiente?</t>
    </r>
  </si>
  <si>
    <t xml:space="preserve">b) </t>
  </si>
  <si>
    <t>¿Durante la inspección se observó un estado de conservación y mantenimiento adecuado del inmueble, junto con una construcción y distribución acorde al uso del bien que no impacte en la seguridad de los trabajadores, con equipos de prevención y lucha contra incendios adecuados, sin daños sobre la estructura y contaminación exterior?</t>
  </si>
  <si>
    <t>¿El inmueble tiene vigente alguna de las siguientes certificaciones?</t>
  </si>
  <si>
    <t>Leed (Platinum o Gold)</t>
  </si>
  <si>
    <t>Breeam</t>
  </si>
  <si>
    <t>Edge</t>
  </si>
  <si>
    <t>ANEXO - PLANO DE ZONIFICACION</t>
  </si>
  <si>
    <t>ANEXO - PLANO DE UBICACIÓN</t>
  </si>
  <si>
    <t>ANEXO - PLANO BGR</t>
  </si>
  <si>
    <t>ANEXO -  PLANO DE VISOR GEOLLACTA</t>
  </si>
  <si>
    <t xml:space="preserve">ANEXO -  GOOGLE EARTH CON MEDICION </t>
  </si>
  <si>
    <t>ANEXO -  PLANO ÁREA DE TERRENO</t>
  </si>
  <si>
    <t xml:space="preserve"> Soles / Dólar </t>
  </si>
  <si>
    <t>S/</t>
  </si>
  <si>
    <t>No estar incurso en las incompatibilidades señaladas en el "Reglamento de Peritos Valuadores" y demás normas complementarias, para prestar los servicios de valuación del inmueble ubicado en la:</t>
  </si>
  <si>
    <t>HOJA RESUMEN  N° XX-26 - VALUACIÓN</t>
  </si>
  <si>
    <t>HOJA RESUMEN TASACIÓN - MIC</t>
  </si>
  <si>
    <t>DIRECCIÓN SEGÚN COPIA LITERAL</t>
  </si>
  <si>
    <t>DIRECCIÓN SEGÚN PU</t>
  </si>
  <si>
    <t>DIRECCIÓN DE LA INSPECCIÓN OCULAR</t>
  </si>
  <si>
    <t>DISTRITO - PROVINCIA - DEPARTAMENTO</t>
  </si>
  <si>
    <t>FECHA DE EXPEDICION DE TASACIÓN</t>
  </si>
  <si>
    <t>TICA</t>
  </si>
  <si>
    <t>DÓLARES</t>
  </si>
  <si>
    <t>SOLES</t>
  </si>
  <si>
    <t>VALOR COMERCIAL</t>
  </si>
  <si>
    <t>VALOR DE REALIZACION</t>
  </si>
  <si>
    <t>VALOR DE RECONSTRUCCION</t>
  </si>
  <si>
    <t>ESTADO DE CONSERVACION</t>
  </si>
  <si>
    <t>AREA TERRENO (m2)</t>
  </si>
  <si>
    <t>AREA EDIFICACION (m2)</t>
  </si>
  <si>
    <t>USO DE INMUEBLE</t>
  </si>
  <si>
    <t>PERITO TASADOR</t>
  </si>
  <si>
    <t xml:space="preserve">….. / Ricardo Barthelmess Saco </t>
  </si>
  <si>
    <t>DESCRIPCION Y DISTRIBUCION DEL INMUEBLE</t>
  </si>
  <si>
    <r>
      <rPr>
        <b/>
        <u/>
        <sz val="12"/>
        <rFont val="Arial Narrow"/>
        <family val="2"/>
      </rPr>
      <t xml:space="preserve">Descripción
</t>
    </r>
    <r>
      <rPr>
        <sz val="12"/>
        <rFont val="Arial Narrow"/>
        <family val="2"/>
      </rPr>
      <t xml:space="preserve">
</t>
    </r>
    <r>
      <rPr>
        <b/>
        <u/>
        <sz val="12"/>
        <rFont val="Arial Narrow"/>
        <family val="2"/>
      </rPr>
      <t>Distribución:</t>
    </r>
    <r>
      <rPr>
        <sz val="12"/>
        <rFont val="Arial Narrow"/>
        <family val="2"/>
      </rPr>
      <t xml:space="preserve">
</t>
    </r>
    <r>
      <rPr>
        <u/>
        <sz val="12"/>
        <rFont val="Arial Narrow"/>
        <family val="2"/>
      </rPr>
      <t>Primer piso:
Segundo piso:
Tercer piso:</t>
    </r>
    <r>
      <rPr>
        <sz val="12"/>
        <rFont val="Arial Narrow"/>
        <family val="2"/>
      </rPr>
      <t xml:space="preserve">
</t>
    </r>
  </si>
  <si>
    <t>HOJA RESUMEN TASACIÓN DE INMUEBLES - FONDO MIVIVIENDA S.A. - C.02</t>
  </si>
  <si>
    <t>FECHA DE VALUACIÓN</t>
  </si>
  <si>
    <t>DE</t>
  </si>
  <si>
    <t>ENTIDAD FINANCIERA</t>
  </si>
  <si>
    <t>BANCO DE CRÉDITO DEL PERÚ</t>
  </si>
  <si>
    <t>BENEFICIARIO</t>
  </si>
  <si>
    <t>DNI / LE / CIP / CE</t>
  </si>
  <si>
    <t>REPEV. SBS</t>
  </si>
  <si>
    <t>561 2001</t>
  </si>
  <si>
    <t>UBICACIÓN DEL INMUEBLE</t>
  </si>
  <si>
    <t>Carrt.</t>
  </si>
  <si>
    <t>Av.</t>
  </si>
  <si>
    <t xml:space="preserve"> Jr.</t>
  </si>
  <si>
    <t>Calle</t>
  </si>
  <si>
    <t>Psje</t>
  </si>
  <si>
    <t>N° / Mza./Lt</t>
  </si>
  <si>
    <t>Dpto./Int.</t>
  </si>
  <si>
    <t>Urb./Loc</t>
  </si>
  <si>
    <t>Departamento</t>
  </si>
  <si>
    <t>Provincia</t>
  </si>
  <si>
    <t>Distrito</t>
  </si>
  <si>
    <t>CLASIFICACIÓN</t>
  </si>
  <si>
    <t>BIEN FUTURO</t>
  </si>
  <si>
    <t>a) En Proyecto</t>
  </si>
  <si>
    <t>b) En Construcción</t>
  </si>
  <si>
    <t>c) En acabados</t>
  </si>
  <si>
    <t>d) Culminado</t>
  </si>
  <si>
    <t>*Bien futuro: inmueble en proyecto, en construcción o en acabados sin declaratoria de fábrica inscrita en RR.PP.</t>
  </si>
  <si>
    <t>BIEN TERMINADO</t>
  </si>
  <si>
    <t>Registro:            RPI</t>
  </si>
  <si>
    <t>RPU</t>
  </si>
  <si>
    <t>Zona</t>
  </si>
  <si>
    <t>Ficha</t>
  </si>
  <si>
    <t>N°</t>
  </si>
  <si>
    <t>*Bien terminado: Inmueble con construcción terminada, con declaratoria de fábrica y de ser el caso independización inscritas en los RR.PP.</t>
  </si>
  <si>
    <t>DESCRIPCIÓN DEL INMUEBLE</t>
  </si>
  <si>
    <t>CASA</t>
  </si>
  <si>
    <t>Si vive en un departamento, indicar el piso</t>
  </si>
  <si>
    <t>AREAS</t>
  </si>
  <si>
    <t>AREA DEL TERRENO</t>
  </si>
  <si>
    <r>
      <t>M</t>
    </r>
    <r>
      <rPr>
        <vertAlign val="superscript"/>
        <sz val="8"/>
        <rFont val="Arial"/>
        <family val="2"/>
      </rPr>
      <t>2</t>
    </r>
  </si>
  <si>
    <t>AREA CONSTRUIDA</t>
  </si>
  <si>
    <t>ANTIGÜEDAD CONSTRUCCIÓN</t>
  </si>
  <si>
    <t>años</t>
  </si>
  <si>
    <t>Sala-Comedor</t>
  </si>
  <si>
    <t>Dormitorios (Cantidad)</t>
  </si>
  <si>
    <t>Cochera (Cantidad)</t>
  </si>
  <si>
    <t>Dormitorio de Servicio</t>
  </si>
  <si>
    <t>Jardín</t>
  </si>
  <si>
    <t>Baños (Cantidad)</t>
  </si>
  <si>
    <t>Cuarto de Estudio</t>
  </si>
  <si>
    <t>Baño de Servicio</t>
  </si>
  <si>
    <t>Parque de uso común</t>
  </si>
  <si>
    <t>Instalaciones de gas natural</t>
  </si>
  <si>
    <t>Sala común</t>
  </si>
  <si>
    <t>Canchas/Gimnasios</t>
  </si>
  <si>
    <t>Piscina común</t>
  </si>
  <si>
    <t>ESPECIFICACIONES TECNICAS</t>
  </si>
  <si>
    <t>ESTRUCTURAS</t>
  </si>
  <si>
    <t>COLUMNAS</t>
  </si>
  <si>
    <t>VIGAS</t>
  </si>
  <si>
    <t>Platea de cimentación</t>
  </si>
  <si>
    <t>a) Concreto</t>
  </si>
  <si>
    <t>Aligerado</t>
  </si>
  <si>
    <t>Tipos de albañilería</t>
  </si>
  <si>
    <t>Cimientos corridos</t>
  </si>
  <si>
    <t>b) Acero</t>
  </si>
  <si>
    <t>Maciso</t>
  </si>
  <si>
    <t>Arcilla</t>
  </si>
  <si>
    <t>Viga de cimentación</t>
  </si>
  <si>
    <t>a) y b)</t>
  </si>
  <si>
    <t>Calcáreo</t>
  </si>
  <si>
    <t>a) Apanelada</t>
  </si>
  <si>
    <t>b) Maciza</t>
  </si>
  <si>
    <t>c) Contraplacada</t>
  </si>
  <si>
    <t>a) Fierro</t>
  </si>
  <si>
    <t>b) Madera</t>
  </si>
  <si>
    <t>c) Otros</t>
  </si>
  <si>
    <t>APARATOS SANITARIOS</t>
  </si>
  <si>
    <t>AMOBLADA</t>
  </si>
  <si>
    <t>NO AMOBLADA</t>
  </si>
  <si>
    <t>BLANCO</t>
  </si>
  <si>
    <t>COLOR</t>
  </si>
  <si>
    <t>AMBIENTE</t>
  </si>
  <si>
    <t>Vinílico</t>
  </si>
  <si>
    <t>Machimbrado</t>
  </si>
  <si>
    <t>Cemento</t>
  </si>
  <si>
    <t>PRECIOS REFERENCIALES</t>
  </si>
  <si>
    <r>
      <t>AT (m</t>
    </r>
    <r>
      <rPr>
        <vertAlign val="superscript"/>
        <sz val="8"/>
        <rFont val="Arial"/>
        <family val="2"/>
      </rPr>
      <t>2</t>
    </r>
    <r>
      <rPr>
        <sz val="8"/>
        <rFont val="Arial"/>
        <family val="2"/>
      </rPr>
      <t>)</t>
    </r>
  </si>
  <si>
    <r>
      <t>AC (m</t>
    </r>
    <r>
      <rPr>
        <vertAlign val="superscript"/>
        <sz val="8"/>
        <rFont val="Arial"/>
        <family val="2"/>
      </rPr>
      <t>2</t>
    </r>
    <r>
      <rPr>
        <sz val="8"/>
        <rFont val="Arial"/>
        <family val="2"/>
      </rPr>
      <t>)</t>
    </r>
  </si>
  <si>
    <t>PRECIO (US$)</t>
  </si>
  <si>
    <t>FUENTE</t>
  </si>
  <si>
    <t>VALORIZACIONES</t>
  </si>
  <si>
    <t>VALOR DEL TERRENO (En S/.)</t>
  </si>
  <si>
    <t>(*) SEGÚN LA RESOLUCIÓN SBS N° 808-2003 EL VALOR DE REALIZACIÓN SE ENTIENDE COMO EL VALOR NETO QUE LA EMPRESA ESPERA RECUPERAR COMO CONSECUENCIA DE LA EVENTUAL VENTA O EJECUCIÓN DEL BIEN, EN LA SITUACIÓN COMO Y DONDE ESTÉ.  POR TANTO, ESTE VALOR DEBE CONSIDERAR LOS CASTIGOS Y CARGOS POR CONCEPTO DE IMPUESTOS EN LAS VENTAS, COMISIONES, FLETES, MERMAS, ETC.</t>
  </si>
  <si>
    <t>VALOR DEL CASCO HABITABLE (En S/.)</t>
  </si>
  <si>
    <t>VALOR DEL ESTACIONAMIENTO (En S/.)</t>
  </si>
  <si>
    <t>VALOR DEL DEPÓSITO (En S/.)</t>
  </si>
  <si>
    <t>VALOR COMERCIAL DEL INMUEBLE (En S/.)</t>
  </si>
  <si>
    <t>VALOR DE REALIZACIÓN (*) (En S/.)</t>
  </si>
  <si>
    <t>COMENTARIOS / OBSERVACIONES</t>
  </si>
  <si>
    <t>FIRMA DEL PERITO VALUADOR</t>
  </si>
  <si>
    <t>1. En caso los datos de la valorización se hayan obtenido en nuevos soles, se deberá utilizar el tipo</t>
  </si>
  <si>
    <t>de cambio promedio compra SBS, al cierre del día hábil anterior, a la fecha de realizada la tasación</t>
  </si>
  <si>
    <t>2. En caso de Bien Futuro, firmará preliminarmente, el ingeniero supervisor de la EF que financie el</t>
  </si>
  <si>
    <t>proyecto inmobiliario.</t>
  </si>
  <si>
    <t>NOMBRES Y APELLIDOS</t>
  </si>
  <si>
    <t>REPEV S.B.S</t>
  </si>
  <si>
    <t>C.I.P.</t>
  </si>
  <si>
    <t>ANEXO - MUESTRAS  TERRENOS</t>
  </si>
  <si>
    <t xml:space="preserve">ANEXO - MUESTRAS DEPARTAMENTOS </t>
  </si>
  <si>
    <t>/ / JT</t>
  </si>
  <si>
    <t>XXXX-26</t>
  </si>
  <si>
    <t>DIRECCIÓN SEGÚN MINUTA</t>
  </si>
  <si>
    <t>CALCULO CASCO HABITABLE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</si>
</sst>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 #,##0.00_-;_-* &quot;-&quot;??_-;_-@_-"/>
    <numFmt numFmtId="164" formatCode="_ * #,##0.00_ ;_ * \-#,##0.00_ ;_ * &quot;-&quot;??_ ;_ @_ "/>
    <numFmt numFmtId="165" formatCode="_-* #,##0.00\ _€_-;\-* #,##0.00\ _€_-;_-* &quot;-&quot;??\ _€_-;_-@_-"/>
    <numFmt numFmtId="166" formatCode="_ &quot;S/&quot;\ * #,##0.00_ ;_ &quot;S/&quot;\ * \-#,##0.00_ ;_ &quot;S/&quot;\ * &quot;-&quot;??_ ;_ @_ "/>
    <numFmt numFmtId="167" formatCode="dd\-mmm\-yyyy"/>
    <numFmt numFmtId="168" formatCode="[$$-540A]#,##0.00"/>
    <numFmt numFmtId="169" formatCode="#,##0.00;\-#,##0.00;&quot;&quot;;@"/>
    <numFmt numFmtId="170" formatCode="&quot;S/.&quot;#,##0.00"/>
    <numFmt numFmtId="171" formatCode="0.000%"/>
    <numFmt numFmtId="172" formatCode="&quot;US$&quot;\ #,##0.00;&quot;US$&quot;\ \-#,##0.00;&quot;&quot;;@"/>
    <numFmt numFmtId="173" formatCode="#,##0.000"/>
    <numFmt numFmtId="174" formatCode="&quot;S/.&quot;\ #,##0.00;&quot;S/.&quot;\ \-#,##0.00;&quot;&quot;;@"/>
    <numFmt numFmtId="175" formatCode="##\ &quot;m2&quot;"/>
    <numFmt numFmtId="176" formatCode="_(&quot;$&quot;* #,##0.00_);_(&quot;$&quot;* \(#,##0.00\);_(&quot;$&quot;* &quot;-&quot;??_);_(@_)"/>
    <numFmt numFmtId="177" formatCode="_(* #,##0_);_(* \(#,##0\);_(* &quot;-&quot;_);_(@_)"/>
    <numFmt numFmtId="178" formatCode="\-0000"/>
    <numFmt numFmtId="179" formatCode="mmmm\ d\,\ yyyy"/>
    <numFmt numFmtId="180" formatCode="[$$-409]#,##0.00"/>
    <numFmt numFmtId="181" formatCode="_ [$$-2C0A]\ * #,##0.00_ ;_ [$$-2C0A]\ * \-#,##0.00_ ;_ [$$-2C0A]\ * &quot;-&quot;??_ ;_ @_ "/>
    <numFmt numFmtId="182" formatCode="_-* #,##0.00\ _P_t_s_-;\-* #,##0.00\ _P_t_s_-;_-* &quot;-&quot;??\ _P_t_s_-;_-@_-"/>
    <numFmt numFmtId="183" formatCode="_-[$$-409]* #,##0.00_ ;_-[$$-409]* \-#,##0.00\ ;_-[$$-409]* &quot;-&quot;??_ ;_-@_ "/>
    <numFmt numFmtId="184" formatCode="#,##0;\-#,##0;&quot;&quot;;@"/>
    <numFmt numFmtId="185" formatCode="0.0"/>
  </numFmts>
  <fonts count="137">
    <font>
      <sz val="11"/>
      <color theme="1"/>
      <name val="Calibri"/>
      <family val="2"/>
      <scheme val="minor"/>
    </font>
    <font>
      <sz val="11"/>
      <color theme="1"/>
      <name val="Calibri"/>
      <family val="2"/>
      <scheme val="minor"/>
    </font>
    <font>
      <sz val="11"/>
      <color theme="3" tint="-0.499984740745262"/>
      <name val="Calibri"/>
      <family val="2"/>
      <scheme val="minor"/>
    </font>
    <font>
      <b/>
      <sz val="12"/>
      <color theme="3" tint="-0.499984740745262"/>
      <name val="Arial Narrow"/>
      <family val="2"/>
    </font>
    <font>
      <sz val="10"/>
      <color theme="1"/>
      <name val="Arial Narrow"/>
      <family val="2"/>
    </font>
    <font>
      <sz val="12"/>
      <color theme="1"/>
      <name val="Arial Narrow"/>
      <family val="2"/>
    </font>
    <font>
      <b/>
      <sz val="12"/>
      <color theme="4" tint="-0.499984740745262"/>
      <name val="Arial Narrow"/>
      <family val="2"/>
    </font>
    <font>
      <b/>
      <sz val="12"/>
      <color theme="1"/>
      <name val="Arial Narrow"/>
      <family val="2"/>
    </font>
    <font>
      <sz val="12"/>
      <name val="Arial Narrow"/>
      <family val="2"/>
    </font>
    <font>
      <sz val="9"/>
      <color theme="4" tint="-0.499984740745262"/>
      <name val="Arial Narrow"/>
      <family val="2"/>
    </font>
    <font>
      <sz val="12"/>
      <color theme="4" tint="-0.499984740745262"/>
      <name val="Arial Narrow"/>
      <family val="2"/>
    </font>
    <font>
      <b/>
      <sz val="12"/>
      <color theme="8" tint="-0.499984740745262"/>
      <name val="Arial Narrow"/>
      <family val="2"/>
    </font>
    <font>
      <sz val="9"/>
      <color theme="8" tint="-0.499984740745262"/>
      <name val="Arial Narrow"/>
      <family val="2"/>
    </font>
    <font>
      <sz val="12"/>
      <color theme="8" tint="-0.499984740745262"/>
      <name val="Arial Narrow"/>
      <family val="2"/>
    </font>
    <font>
      <u/>
      <sz val="11"/>
      <color theme="10"/>
      <name val="Calibri"/>
      <family val="2"/>
      <scheme val="minor"/>
    </font>
    <font>
      <sz val="9"/>
      <color theme="1"/>
      <name val="Arial Narrow"/>
      <family val="2"/>
    </font>
    <font>
      <b/>
      <sz val="10.5"/>
      <color rgb="FF000000"/>
      <name val="Arial Narrow"/>
      <family val="2"/>
    </font>
    <font>
      <b/>
      <sz val="12"/>
      <color theme="0"/>
      <name val="Arial Narrow"/>
      <family val="2"/>
    </font>
    <font>
      <sz val="12"/>
      <color theme="0"/>
      <name val="Arial Narrow"/>
      <family val="2"/>
    </font>
    <font>
      <b/>
      <sz val="12"/>
      <name val="Arial Narrow"/>
      <family val="2"/>
    </font>
    <font>
      <i/>
      <sz val="9"/>
      <color theme="1" tint="0.499984740745262"/>
      <name val="Arial Narrow"/>
      <family val="2"/>
    </font>
    <font>
      <b/>
      <sz val="10"/>
      <name val="Arial Narrow"/>
      <family val="2"/>
    </font>
    <font>
      <b/>
      <sz val="11"/>
      <color theme="1"/>
      <name val="Arial Narrow"/>
      <family val="2"/>
    </font>
    <font>
      <sz val="12"/>
      <color theme="1"/>
      <name val="Calibri"/>
      <family val="2"/>
      <scheme val="minor"/>
    </font>
    <font>
      <sz val="10"/>
      <name val="Arial Narrow"/>
      <family val="2"/>
    </font>
    <font>
      <b/>
      <sz val="9"/>
      <color theme="4" tint="-0.499984740745262"/>
      <name val="Arial Narrow"/>
      <family val="2"/>
    </font>
    <font>
      <b/>
      <sz val="9"/>
      <color theme="4" tint="-0.499984740745262"/>
      <name val="Arial"/>
      <family val="2"/>
    </font>
    <font>
      <b/>
      <sz val="8"/>
      <color theme="1"/>
      <name val="Arial Narrow"/>
      <family val="2"/>
    </font>
    <font>
      <sz val="8"/>
      <color theme="1"/>
      <name val="Arial Narrow"/>
      <family val="2"/>
    </font>
    <font>
      <sz val="8"/>
      <color rgb="FF000000"/>
      <name val="Arial Narrow"/>
      <family val="2"/>
    </font>
    <font>
      <vertAlign val="superscript"/>
      <sz val="8"/>
      <color theme="1"/>
      <name val="Arial Narrow"/>
      <family val="2"/>
    </font>
    <font>
      <sz val="11"/>
      <color theme="1"/>
      <name val="Arial Narrow"/>
      <family val="2"/>
    </font>
    <font>
      <sz val="10"/>
      <name val="Arial"/>
      <family val="2"/>
    </font>
    <font>
      <sz val="10"/>
      <color theme="1"/>
      <name val="Arial"/>
      <family val="2"/>
    </font>
    <font>
      <b/>
      <sz val="14"/>
      <color theme="0"/>
      <name val="Arial"/>
      <family val="2"/>
    </font>
    <font>
      <b/>
      <sz val="12"/>
      <color rgb="FF002060"/>
      <name val="Arial Narrow"/>
      <family val="2"/>
    </font>
    <font>
      <sz val="12"/>
      <color rgb="FF002060"/>
      <name val="Arial Narrow"/>
      <family val="2"/>
    </font>
    <font>
      <sz val="11"/>
      <color rgb="FF002060"/>
      <name val="Calibri"/>
      <family val="2"/>
      <scheme val="minor"/>
    </font>
    <font>
      <sz val="9"/>
      <color rgb="FF002060"/>
      <name val="Arial Narrow"/>
      <family val="2"/>
    </font>
    <font>
      <b/>
      <sz val="14"/>
      <color theme="5" tint="0.39997558519241921"/>
      <name val="Arial Narrow"/>
      <family val="2"/>
    </font>
    <font>
      <b/>
      <sz val="12"/>
      <color theme="5" tint="0.39997558519241921"/>
      <name val="Arial Narrow"/>
      <family val="2"/>
    </font>
    <font>
      <b/>
      <sz val="11"/>
      <color theme="8" tint="-0.499984740745262"/>
      <name val="Arial Narrow"/>
      <family val="2"/>
    </font>
    <font>
      <b/>
      <sz val="16"/>
      <color rgb="FF0070C0"/>
      <name val="Arial Narrow"/>
      <family val="2"/>
    </font>
    <font>
      <b/>
      <sz val="10"/>
      <color rgb="FF0070C0"/>
      <name val="Arial Narrow"/>
      <family val="2"/>
    </font>
    <font>
      <b/>
      <sz val="11"/>
      <color rgb="FF0070C0"/>
      <name val="Arial Narrow"/>
      <family val="2"/>
    </font>
    <font>
      <b/>
      <sz val="10"/>
      <color theme="1"/>
      <name val="Arial Narrow"/>
      <family val="2"/>
    </font>
    <font>
      <sz val="12"/>
      <color rgb="FF002060"/>
      <name val="Calibri"/>
      <family val="2"/>
      <scheme val="minor"/>
    </font>
    <font>
      <b/>
      <sz val="10"/>
      <color rgb="FF002060"/>
      <name val="Arial Narrow"/>
      <family val="2"/>
    </font>
    <font>
      <b/>
      <sz val="11"/>
      <color rgb="FF002060"/>
      <name val="Arial Narrow"/>
      <family val="2"/>
    </font>
    <font>
      <b/>
      <sz val="10"/>
      <color theme="3"/>
      <name val="Arial Narrow"/>
      <family val="2"/>
    </font>
    <font>
      <b/>
      <sz val="10"/>
      <color rgb="FFFF0000"/>
      <name val="Arial Narrow"/>
      <family val="2"/>
    </font>
    <font>
      <b/>
      <sz val="8"/>
      <color rgb="FF002060"/>
      <name val="Arial Narrow"/>
      <family val="2"/>
    </font>
    <font>
      <sz val="10"/>
      <color rgb="FF002060"/>
      <name val="Arial Narrow"/>
      <family val="2"/>
    </font>
    <font>
      <b/>
      <sz val="10.5"/>
      <color rgb="FF002060"/>
      <name val="Arial Narrow"/>
      <family val="2"/>
    </font>
    <font>
      <b/>
      <u/>
      <sz val="12"/>
      <color theme="5" tint="-0.249977111117893"/>
      <name val="Arial Narrow"/>
      <family val="2"/>
    </font>
    <font>
      <b/>
      <sz val="15"/>
      <color indexed="9"/>
      <name val="Arial Narrow"/>
      <family val="2"/>
    </font>
    <font>
      <b/>
      <sz val="9"/>
      <color rgb="FF002060"/>
      <name val="Arial Narrow"/>
      <family val="2"/>
    </font>
    <font>
      <b/>
      <sz val="14"/>
      <color rgb="FF002060"/>
      <name val="Arial Narrow"/>
      <family val="2"/>
    </font>
    <font>
      <b/>
      <sz val="8"/>
      <color rgb="FFFFC000"/>
      <name val="Arial Narrow"/>
      <family val="2"/>
    </font>
    <font>
      <b/>
      <sz val="9"/>
      <color rgb="FF000000"/>
      <name val="Arial Narrow"/>
      <family val="2"/>
    </font>
    <font>
      <b/>
      <sz val="11"/>
      <color rgb="FF002060"/>
      <name val="Calibri"/>
      <family val="2"/>
      <scheme val="minor"/>
    </font>
    <font>
      <sz val="11"/>
      <color rgb="FFFF0000"/>
      <name val="Calibri"/>
      <family val="2"/>
      <scheme val="minor"/>
    </font>
    <font>
      <b/>
      <sz val="11"/>
      <color theme="1"/>
      <name val="Calibri"/>
      <family val="2"/>
      <scheme val="minor"/>
    </font>
    <font>
      <sz val="11.5"/>
      <color theme="1"/>
      <name val="Arial Narrow"/>
      <family val="2"/>
    </font>
    <font>
      <sz val="11"/>
      <name val="Arial Narrow"/>
      <family val="2"/>
    </font>
    <font>
      <b/>
      <u/>
      <sz val="12"/>
      <color rgb="FF002060"/>
      <name val="Arial Narrow"/>
      <family val="2"/>
    </font>
    <font>
      <b/>
      <sz val="9"/>
      <name val="Arial Narrow"/>
      <family val="2"/>
    </font>
    <font>
      <u/>
      <sz val="10"/>
      <color theme="10"/>
      <name val="Arial Narrow"/>
      <family val="2"/>
    </font>
    <font>
      <sz val="15"/>
      <color rgb="FF2D3E50"/>
      <name val="Arial"/>
      <family val="2"/>
    </font>
    <font>
      <b/>
      <sz val="10.5"/>
      <name val="Arial"/>
      <family val="2"/>
    </font>
    <font>
      <b/>
      <sz val="10"/>
      <name val="Arial"/>
      <family val="2"/>
    </font>
    <font>
      <sz val="10"/>
      <color theme="1"/>
      <name val="Calibri"/>
      <family val="2"/>
      <scheme val="minor"/>
    </font>
    <font>
      <b/>
      <u/>
      <sz val="11"/>
      <color theme="1"/>
      <name val="Calibri"/>
      <family val="2"/>
      <scheme val="minor"/>
    </font>
    <font>
      <b/>
      <sz val="9"/>
      <name val="Arial"/>
      <family val="2"/>
    </font>
    <font>
      <sz val="9"/>
      <name val="Arial Narrow"/>
      <family val="2"/>
    </font>
    <font>
      <sz val="9"/>
      <name val="Arial"/>
      <family val="2"/>
    </font>
    <font>
      <b/>
      <u/>
      <sz val="12"/>
      <name val="Arial Narrow"/>
      <family val="2"/>
    </font>
    <font>
      <u/>
      <sz val="12"/>
      <name val="Arial Narrow"/>
      <family val="2"/>
    </font>
    <font>
      <sz val="11"/>
      <name val="Calibri"/>
      <family val="2"/>
      <scheme val="minor"/>
    </font>
    <font>
      <b/>
      <i/>
      <u/>
      <sz val="11"/>
      <name val="Calibri"/>
      <family val="2"/>
      <scheme val="minor"/>
    </font>
    <font>
      <b/>
      <sz val="11"/>
      <name val="Calibri"/>
      <family val="2"/>
      <scheme val="minor"/>
    </font>
    <font>
      <b/>
      <sz val="12"/>
      <name val="Calibri"/>
      <family val="2"/>
      <scheme val="minor"/>
    </font>
    <font>
      <sz val="8"/>
      <name val="Calibri"/>
      <family val="2"/>
      <scheme val="minor"/>
    </font>
    <font>
      <i/>
      <sz val="12"/>
      <color rgb="FF002060"/>
      <name val="Arial Narrow"/>
      <family val="2"/>
    </font>
    <font>
      <b/>
      <sz val="10"/>
      <color rgb="FF3366FF"/>
      <name val="Arial"/>
      <family val="2"/>
    </font>
    <font>
      <sz val="11"/>
      <color theme="3"/>
      <name val="Arial Narrow"/>
      <family val="2"/>
    </font>
    <font>
      <sz val="9"/>
      <name val="Arial "/>
    </font>
    <font>
      <sz val="8"/>
      <name val="Arial"/>
      <family val="2"/>
    </font>
    <font>
      <b/>
      <u/>
      <sz val="10"/>
      <name val="Arial"/>
      <family val="2"/>
    </font>
    <font>
      <b/>
      <sz val="8"/>
      <name val="Arial Narrow"/>
      <family val="2"/>
    </font>
    <font>
      <sz val="8"/>
      <name val="Arial Narrow"/>
      <family val="2"/>
    </font>
    <font>
      <b/>
      <sz val="10.5"/>
      <name val="Arial Narrow"/>
      <family val="2"/>
    </font>
    <font>
      <sz val="10.5"/>
      <name val="Arial Narrow"/>
      <family val="2"/>
    </font>
    <font>
      <sz val="8"/>
      <color indexed="64"/>
      <name val="MS Sans Serif"/>
      <family val="2"/>
    </font>
    <font>
      <b/>
      <sz val="8"/>
      <name val="Arial"/>
      <family val="2"/>
    </font>
    <font>
      <b/>
      <u/>
      <sz val="10"/>
      <name val="Arial Narrow"/>
      <family val="2"/>
    </font>
    <font>
      <sz val="8.5"/>
      <name val="Arial Narrow"/>
      <family val="2"/>
    </font>
    <font>
      <b/>
      <sz val="9"/>
      <color indexed="81"/>
      <name val="Tahoma"/>
      <family val="2"/>
    </font>
    <font>
      <sz val="9"/>
      <color indexed="81"/>
      <name val="Tahoma"/>
      <family val="2"/>
    </font>
    <font>
      <sz val="8"/>
      <color rgb="FF000000"/>
      <name val="Segoe UI"/>
      <family val="2"/>
    </font>
    <font>
      <b/>
      <u/>
      <sz val="12"/>
      <name val="Arial"/>
      <family val="2"/>
    </font>
    <font>
      <b/>
      <u/>
      <sz val="10.5"/>
      <name val="Arial"/>
      <family val="2"/>
    </font>
    <font>
      <b/>
      <sz val="9"/>
      <color theme="8" tint="-0.499984740745262"/>
      <name val="Arial Narrow"/>
      <family val="2"/>
    </font>
    <font>
      <sz val="9"/>
      <color theme="1"/>
      <name val="Calibri"/>
      <family val="2"/>
      <scheme val="minor"/>
    </font>
    <font>
      <sz val="10"/>
      <color rgb="FF002060"/>
      <name val="Calibri"/>
      <family val="2"/>
      <scheme val="minor"/>
    </font>
    <font>
      <b/>
      <sz val="11"/>
      <color rgb="FF151515"/>
      <name val="Bookman Old Style"/>
      <family val="1"/>
    </font>
    <font>
      <sz val="10"/>
      <color rgb="FF151515"/>
      <name val="Arial"/>
      <family val="2"/>
    </font>
    <font>
      <b/>
      <u/>
      <sz val="12"/>
      <color rgb="FF151515"/>
      <name val="Bookman Old Style"/>
      <family val="1"/>
    </font>
    <font>
      <sz val="11"/>
      <color rgb="FF151515"/>
      <name val="Arial"/>
      <family val="2"/>
    </font>
    <font>
      <b/>
      <sz val="11"/>
      <color indexed="8"/>
      <name val="Arial"/>
      <family val="2"/>
    </font>
    <font>
      <sz val="11"/>
      <color indexed="8"/>
      <name val="Arial"/>
      <family val="2"/>
    </font>
    <font>
      <b/>
      <i/>
      <u/>
      <sz val="11"/>
      <color rgb="FF151515"/>
      <name val="Arial"/>
      <family val="2"/>
    </font>
    <font>
      <i/>
      <u/>
      <sz val="11"/>
      <color rgb="FF151515"/>
      <name val="Arial"/>
      <family val="2"/>
    </font>
    <font>
      <b/>
      <sz val="11"/>
      <color rgb="FF151515"/>
      <name val="Arial"/>
      <family val="2"/>
    </font>
    <font>
      <sz val="10"/>
      <color rgb="FF151515"/>
      <name val="Garamond"/>
      <family val="1"/>
    </font>
    <font>
      <b/>
      <sz val="11"/>
      <color rgb="FF0070C0"/>
      <name val="Calibri"/>
      <family val="2"/>
      <scheme val="minor"/>
    </font>
    <font>
      <b/>
      <u/>
      <sz val="14"/>
      <color theme="1"/>
      <name val="Calibri"/>
      <family val="2"/>
      <scheme val="minor"/>
    </font>
    <font>
      <b/>
      <sz val="14"/>
      <color theme="1"/>
      <name val="Calibri"/>
      <family val="2"/>
      <scheme val="minor"/>
    </font>
    <font>
      <sz val="9"/>
      <color theme="1"/>
      <name val="Times New Roman"/>
      <family val="1"/>
    </font>
    <font>
      <b/>
      <sz val="9"/>
      <color rgb="FFFF0000"/>
      <name val="Times New Roman"/>
      <family val="1"/>
    </font>
    <font>
      <b/>
      <sz val="11"/>
      <color rgb="FFFF0000"/>
      <name val="Calibri"/>
      <family val="2"/>
      <scheme val="minor"/>
    </font>
    <font>
      <b/>
      <sz val="48"/>
      <color indexed="81"/>
      <name val="Tahoma"/>
      <family val="2"/>
    </font>
    <font>
      <sz val="48"/>
      <color indexed="81"/>
      <name val="Tahoma"/>
      <family val="2"/>
    </font>
    <font>
      <b/>
      <u val="doubleAccounting"/>
      <sz val="16"/>
      <color theme="1"/>
      <name val="Calibri"/>
      <family val="2"/>
      <scheme val="minor"/>
    </font>
    <font>
      <b/>
      <sz val="10"/>
      <color theme="1"/>
      <name val="Calibri"/>
      <family val="2"/>
      <scheme val="minor"/>
    </font>
    <font>
      <b/>
      <sz val="12"/>
      <color theme="1"/>
      <name val="Calibri"/>
      <family val="2"/>
      <scheme val="minor"/>
    </font>
    <font>
      <b/>
      <sz val="20"/>
      <color indexed="81"/>
      <name val="Tahoma"/>
      <family val="2"/>
    </font>
    <font>
      <b/>
      <sz val="12"/>
      <name val="Arial"/>
      <family val="2"/>
    </font>
    <font>
      <sz val="6"/>
      <name val="Arial"/>
      <family val="2"/>
    </font>
    <font>
      <sz val="8"/>
      <color indexed="60"/>
      <name val="Arial"/>
      <family val="2"/>
    </font>
    <font>
      <sz val="7"/>
      <color indexed="60"/>
      <name val="Arial Narrow"/>
      <family val="2"/>
    </font>
    <font>
      <sz val="7"/>
      <name val="Arial"/>
      <family val="2"/>
    </font>
    <font>
      <b/>
      <sz val="8"/>
      <color indexed="60"/>
      <name val="Arial"/>
      <family val="2"/>
    </font>
    <font>
      <sz val="8"/>
      <color indexed="9"/>
      <name val="Arial"/>
      <family val="2"/>
    </font>
    <font>
      <vertAlign val="superscript"/>
      <sz val="8"/>
      <name val="Arial"/>
      <family val="2"/>
    </font>
    <font>
      <sz val="6.3"/>
      <name val="Arial"/>
      <family val="2"/>
    </font>
    <font>
      <b/>
      <sz val="26"/>
      <color indexed="81"/>
      <name val="Tahoma"/>
      <family val="2"/>
    </font>
  </fonts>
  <fills count="20">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rgb="FF00206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4.9989318521683403E-2"/>
        <bgColor indexed="8"/>
      </patternFill>
    </fill>
    <fill>
      <patternFill patternType="solid">
        <fgColor rgb="FF000080"/>
        <bgColor indexed="64"/>
      </patternFill>
    </fill>
    <fill>
      <patternFill patternType="solid">
        <fgColor theme="4" tint="0.39997558519241921"/>
        <bgColor indexed="64"/>
      </patternFill>
    </fill>
    <fill>
      <patternFill patternType="gray0625"/>
    </fill>
    <fill>
      <patternFill patternType="solid">
        <fgColor theme="0" tint="-0.14996795556505021"/>
        <bgColor indexed="64"/>
      </patternFill>
    </fill>
    <fill>
      <patternFill patternType="solid">
        <fgColor rgb="FF00B0F0"/>
        <bgColor indexed="64"/>
      </patternFill>
    </fill>
    <fill>
      <patternFill patternType="solid">
        <fgColor theme="0" tint="-0.14999847407452621"/>
        <bgColor indexed="64"/>
      </patternFill>
    </fill>
    <fill>
      <patternFill patternType="solid">
        <fgColor rgb="FFCCFFFF"/>
        <bgColor indexed="64"/>
      </patternFill>
    </fill>
    <fill>
      <patternFill patternType="solid">
        <fgColor theme="0" tint="-0.499984740745262"/>
        <bgColor indexed="64"/>
      </patternFill>
    </fill>
    <fill>
      <patternFill patternType="solid">
        <fgColor theme="5" tint="0.59999389629810485"/>
        <bgColor indexed="64"/>
      </patternFill>
    </fill>
  </fills>
  <borders count="314">
    <border>
      <left/>
      <right/>
      <top/>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top/>
      <bottom/>
      <diagonal/>
    </border>
    <border>
      <left style="thin">
        <color theme="4" tint="-0.499984740745262"/>
      </left>
      <right/>
      <top style="thin">
        <color theme="4" tint="-0.499984740745262"/>
      </top>
      <bottom style="thin">
        <color theme="4" tint="-0.499984740745262"/>
      </bottom>
      <diagonal/>
    </border>
    <border>
      <left/>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bottom/>
      <diagonal/>
    </border>
    <border>
      <left/>
      <right/>
      <top/>
      <bottom style="thin">
        <color theme="4" tint="-0.499984740745262"/>
      </bottom>
      <diagonal/>
    </border>
    <border>
      <left style="thin">
        <color theme="4" tint="-0.499984740745262"/>
      </left>
      <right/>
      <top style="thin">
        <color theme="4" tint="-0.499984740745262"/>
      </top>
      <bottom/>
      <diagonal/>
    </border>
    <border>
      <left/>
      <right/>
      <top style="thin">
        <color theme="4" tint="-0.499984740745262"/>
      </top>
      <bottom/>
      <diagonal/>
    </border>
    <border>
      <left/>
      <right style="thin">
        <color theme="4" tint="-0.499984740745262"/>
      </right>
      <top style="thin">
        <color theme="4" tint="-0.499984740745262"/>
      </top>
      <bottom/>
      <diagonal/>
    </border>
    <border>
      <left style="thin">
        <color theme="4" tint="-0.499984740745262"/>
      </left>
      <right/>
      <top/>
      <bottom style="thin">
        <color theme="4" tint="-0.499984740745262"/>
      </bottom>
      <diagonal/>
    </border>
    <border>
      <left/>
      <right style="thin">
        <color theme="4" tint="-0.499984740745262"/>
      </right>
      <top/>
      <bottom style="thin">
        <color theme="4" tint="-0.499984740745262"/>
      </bottom>
      <diagonal/>
    </border>
    <border>
      <left/>
      <right style="thin">
        <color theme="4" tint="-0.499984740745262"/>
      </right>
      <top/>
      <bottom/>
      <diagonal/>
    </border>
    <border>
      <left style="medium">
        <color theme="4" tint="-0.499984740745262"/>
      </left>
      <right style="thin">
        <color theme="0"/>
      </right>
      <top style="medium">
        <color theme="4" tint="-0.499984740745262"/>
      </top>
      <bottom style="thin">
        <color theme="0"/>
      </bottom>
      <diagonal/>
    </border>
    <border>
      <left style="thin">
        <color theme="0"/>
      </left>
      <right style="thin">
        <color theme="0"/>
      </right>
      <top style="medium">
        <color theme="4" tint="-0.499984740745262"/>
      </top>
      <bottom style="thin">
        <color theme="0"/>
      </bottom>
      <diagonal/>
    </border>
    <border>
      <left style="thin">
        <color theme="0"/>
      </left>
      <right style="medium">
        <color theme="4" tint="-0.499984740745262"/>
      </right>
      <top style="medium">
        <color theme="4" tint="-0.499984740745262"/>
      </top>
      <bottom style="thin">
        <color theme="0"/>
      </bottom>
      <diagonal/>
    </border>
    <border>
      <left style="medium">
        <color theme="4" tint="-0.499984740745262"/>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theme="4" tint="-0.499984740745262"/>
      </right>
      <top style="thin">
        <color theme="0"/>
      </top>
      <bottom style="thin">
        <color theme="0"/>
      </bottom>
      <diagonal/>
    </border>
    <border>
      <left style="medium">
        <color theme="4" tint="-0.499984740745262"/>
      </left>
      <right style="medium">
        <color theme="0"/>
      </right>
      <top style="thin">
        <color theme="0"/>
      </top>
      <bottom/>
      <diagonal/>
    </border>
    <border>
      <left style="medium">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theme="4" tint="-0.499984740745262"/>
      </left>
      <right style="medium">
        <color theme="0"/>
      </right>
      <top/>
      <bottom/>
      <diagonal/>
    </border>
    <border>
      <left style="medium">
        <color theme="0"/>
      </left>
      <right/>
      <top/>
      <bottom/>
      <diagonal/>
    </border>
    <border>
      <left/>
      <right style="medium">
        <color theme="0"/>
      </right>
      <top/>
      <bottom/>
      <diagonal/>
    </border>
    <border>
      <left/>
      <right style="medium">
        <color theme="4" tint="-0.499984740745262"/>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right style="medium">
        <color theme="4" tint="-0.499984740745262"/>
      </right>
      <top style="medium">
        <color theme="0"/>
      </top>
      <bottom/>
      <diagonal/>
    </border>
    <border>
      <left style="medium">
        <color theme="4" tint="-0.499984740745262"/>
      </left>
      <right style="medium">
        <color theme="0"/>
      </right>
      <top/>
      <bottom style="medium">
        <color theme="4" tint="-0.499984740745262"/>
      </bottom>
      <diagonal/>
    </border>
    <border>
      <left style="medium">
        <color theme="0"/>
      </left>
      <right/>
      <top/>
      <bottom style="medium">
        <color theme="4" tint="-0.499984740745262"/>
      </bottom>
      <diagonal/>
    </border>
    <border>
      <left/>
      <right/>
      <top/>
      <bottom style="medium">
        <color theme="4" tint="-0.499984740745262"/>
      </bottom>
      <diagonal/>
    </border>
    <border>
      <left/>
      <right style="medium">
        <color theme="0"/>
      </right>
      <top/>
      <bottom style="medium">
        <color theme="4" tint="-0.499984740745262"/>
      </bottom>
      <diagonal/>
    </border>
    <border>
      <left/>
      <right style="medium">
        <color theme="4" tint="-0.499984740745262"/>
      </right>
      <top/>
      <bottom style="medium">
        <color theme="4" tint="-0.499984740745262"/>
      </bottom>
      <diagonal/>
    </border>
    <border>
      <left style="thin">
        <color theme="4" tint="-0.499984740745262"/>
      </left>
      <right style="thin">
        <color theme="4" tint="-0.499984740745262"/>
      </right>
      <top/>
      <bottom style="thin">
        <color theme="4"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indexed="64"/>
      </left>
      <right/>
      <top/>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theme="4" tint="-0.499984740745262"/>
      </bottom>
      <diagonal/>
    </border>
    <border>
      <left style="thin">
        <color rgb="FF002060"/>
      </left>
      <right style="thin">
        <color rgb="FF002060"/>
      </right>
      <top style="thin">
        <color theme="4" tint="-0.499984740745262"/>
      </top>
      <bottom style="thin">
        <color rgb="FF00206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style="thin">
        <color rgb="FF002060"/>
      </left>
      <right style="thin">
        <color theme="4" tint="-0.499984740745262"/>
      </right>
      <top style="thin">
        <color rgb="FF002060"/>
      </top>
      <bottom style="thin">
        <color rgb="FF002060"/>
      </bottom>
      <diagonal/>
    </border>
    <border>
      <left style="thin">
        <color theme="4" tint="-0.499984740745262"/>
      </left>
      <right style="thin">
        <color theme="4" tint="-0.499984740745262"/>
      </right>
      <top style="thin">
        <color rgb="FF002060"/>
      </top>
      <bottom style="thin">
        <color rgb="FF002060"/>
      </bottom>
      <diagonal/>
    </border>
    <border>
      <left style="thin">
        <color theme="4" tint="-0.499984740745262"/>
      </left>
      <right style="thin">
        <color rgb="FF002060"/>
      </right>
      <top style="thin">
        <color rgb="FF002060"/>
      </top>
      <bottom style="thin">
        <color rgb="FF002060"/>
      </bottom>
      <diagonal/>
    </border>
    <border>
      <left/>
      <right style="thin">
        <color rgb="FF002060"/>
      </right>
      <top/>
      <bottom/>
      <diagonal/>
    </border>
    <border>
      <left style="thin">
        <color rgb="FF002060"/>
      </left>
      <right/>
      <top/>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thin">
        <color rgb="FF002060"/>
      </right>
      <top style="thin">
        <color rgb="FF002060"/>
      </top>
      <bottom/>
      <diagonal/>
    </border>
    <border>
      <left style="thin">
        <color rgb="FF002060"/>
      </left>
      <right style="thin">
        <color theme="4" tint="-0.499984740745262"/>
      </right>
      <top style="thin">
        <color rgb="FF002060"/>
      </top>
      <bottom/>
      <diagonal/>
    </border>
    <border>
      <left style="thin">
        <color theme="4" tint="-0.499984740745262"/>
      </left>
      <right style="thin">
        <color theme="4" tint="-0.499984740745262"/>
      </right>
      <top style="thin">
        <color rgb="FF002060"/>
      </top>
      <bottom/>
      <diagonal/>
    </border>
    <border>
      <left style="thin">
        <color theme="4" tint="-0.499984740745262"/>
      </left>
      <right style="thin">
        <color rgb="FF002060"/>
      </right>
      <top style="thin">
        <color rgb="FF002060"/>
      </top>
      <bottom/>
      <diagonal/>
    </border>
    <border>
      <left style="thin">
        <color rgb="FF002060"/>
      </left>
      <right style="thin">
        <color theme="4" tint="-0.499984740745262"/>
      </right>
      <top/>
      <bottom style="thin">
        <color rgb="FF002060"/>
      </bottom>
      <diagonal/>
    </border>
    <border>
      <left style="thin">
        <color theme="4" tint="-0.499984740745262"/>
      </left>
      <right style="thin">
        <color theme="4" tint="-0.499984740745262"/>
      </right>
      <top/>
      <bottom style="thin">
        <color rgb="FF002060"/>
      </bottom>
      <diagonal/>
    </border>
    <border>
      <left style="thin">
        <color theme="4" tint="-0.499984740745262"/>
      </left>
      <right style="thin">
        <color rgb="FF002060"/>
      </right>
      <top/>
      <bottom style="thin">
        <color rgb="FF002060"/>
      </bottom>
      <diagonal/>
    </border>
    <border>
      <left style="thin">
        <color theme="4" tint="-0.499984740745262"/>
      </left>
      <right style="thin">
        <color theme="4" tint="-0.499984740745262"/>
      </right>
      <top style="thin">
        <color theme="4" tint="-0.499984740745262"/>
      </top>
      <bottom/>
      <diagonal/>
    </border>
    <border>
      <left style="medium">
        <color theme="4" tint="-0.499984740745262"/>
      </left>
      <right/>
      <top style="medium">
        <color theme="4" tint="-0.499984740745262"/>
      </top>
      <bottom style="thin">
        <color theme="0"/>
      </bottom>
      <diagonal/>
    </border>
    <border>
      <left/>
      <right/>
      <top style="medium">
        <color theme="4" tint="-0.499984740745262"/>
      </top>
      <bottom style="thin">
        <color theme="0"/>
      </bottom>
      <diagonal/>
    </border>
    <border>
      <left/>
      <right style="medium">
        <color theme="4" tint="-0.499984740745262"/>
      </right>
      <top style="medium">
        <color theme="4" tint="-0.499984740745262"/>
      </top>
      <bottom style="thin">
        <color theme="0"/>
      </bottom>
      <diagonal/>
    </border>
    <border>
      <left/>
      <right style="thin">
        <color theme="0" tint="-0.24994659260841701"/>
      </right>
      <top/>
      <bottom/>
      <diagonal/>
    </border>
    <border>
      <left style="thin">
        <color theme="4" tint="-0.499984740745262"/>
      </left>
      <right/>
      <top style="thin">
        <color rgb="FF002060"/>
      </top>
      <bottom style="thin">
        <color rgb="FF002060"/>
      </bottom>
      <diagonal/>
    </border>
    <border>
      <left/>
      <right style="thin">
        <color theme="4" tint="-0.499984740745262"/>
      </right>
      <top style="thin">
        <color rgb="FF002060"/>
      </top>
      <bottom style="thin">
        <color rgb="FF002060"/>
      </bottom>
      <diagonal/>
    </border>
    <border>
      <left style="medium">
        <color rgb="FF002060"/>
      </left>
      <right style="thin">
        <color theme="4" tint="-0.499984740745262"/>
      </right>
      <top style="medium">
        <color rgb="FF002060"/>
      </top>
      <bottom style="thin">
        <color theme="4" tint="-0.499984740745262"/>
      </bottom>
      <diagonal/>
    </border>
    <border>
      <left style="thin">
        <color theme="4" tint="-0.499984740745262"/>
      </left>
      <right style="thin">
        <color theme="4" tint="-0.499984740745262"/>
      </right>
      <top style="medium">
        <color rgb="FF002060"/>
      </top>
      <bottom style="thin">
        <color theme="4" tint="-0.499984740745262"/>
      </bottom>
      <diagonal/>
    </border>
    <border>
      <left style="thin">
        <color theme="4" tint="-0.499984740745262"/>
      </left>
      <right style="medium">
        <color rgb="FF002060"/>
      </right>
      <top style="medium">
        <color rgb="FF002060"/>
      </top>
      <bottom style="thin">
        <color theme="4" tint="-0.499984740745262"/>
      </bottom>
      <diagonal/>
    </border>
    <border>
      <left style="medium">
        <color rgb="FF002060"/>
      </left>
      <right style="thin">
        <color theme="4" tint="-0.499984740745262"/>
      </right>
      <top style="thin">
        <color theme="4" tint="-0.499984740745262"/>
      </top>
      <bottom style="medium">
        <color rgb="FF002060"/>
      </bottom>
      <diagonal/>
    </border>
    <border>
      <left style="thin">
        <color theme="4" tint="-0.499984740745262"/>
      </left>
      <right style="thin">
        <color theme="4" tint="-0.499984740745262"/>
      </right>
      <top style="thin">
        <color theme="4" tint="-0.499984740745262"/>
      </top>
      <bottom style="medium">
        <color rgb="FF002060"/>
      </bottom>
      <diagonal/>
    </border>
    <border>
      <left style="thin">
        <color theme="4" tint="-0.499984740745262"/>
      </left>
      <right style="medium">
        <color rgb="FF002060"/>
      </right>
      <top style="thin">
        <color theme="4" tint="-0.499984740745262"/>
      </top>
      <bottom style="medium">
        <color rgb="FF002060"/>
      </bottom>
      <diagonal/>
    </border>
    <border>
      <left style="medium">
        <color rgb="FF002060"/>
      </left>
      <right style="thin">
        <color theme="4" tint="-0.499984740745262"/>
      </right>
      <top style="medium">
        <color rgb="FF002060"/>
      </top>
      <bottom/>
      <diagonal/>
    </border>
    <border>
      <left style="thin">
        <color theme="4" tint="-0.499984740745262"/>
      </left>
      <right style="thin">
        <color theme="4" tint="-0.499984740745262"/>
      </right>
      <top style="medium">
        <color rgb="FF002060"/>
      </top>
      <bottom/>
      <diagonal/>
    </border>
    <border>
      <left style="thin">
        <color theme="4" tint="-0.499984740745262"/>
      </left>
      <right style="medium">
        <color rgb="FF002060"/>
      </right>
      <top style="medium">
        <color rgb="FF002060"/>
      </top>
      <bottom/>
      <diagonal/>
    </border>
    <border>
      <left style="medium">
        <color rgb="FF002060"/>
      </left>
      <right style="thin">
        <color theme="4" tint="-0.499984740745262"/>
      </right>
      <top/>
      <bottom style="thin">
        <color theme="4" tint="-0.499984740745262"/>
      </bottom>
      <diagonal/>
    </border>
    <border>
      <left style="thin">
        <color theme="4" tint="-0.499984740745262"/>
      </left>
      <right style="medium">
        <color rgb="FF002060"/>
      </right>
      <top/>
      <bottom style="thin">
        <color theme="4" tint="-0.499984740745262"/>
      </bottom>
      <diagonal/>
    </border>
    <border>
      <left style="thin">
        <color theme="4" tint="-0.499984740745262"/>
      </left>
      <right/>
      <top style="medium">
        <color rgb="FF002060"/>
      </top>
      <bottom style="thin">
        <color theme="4" tint="-0.499984740745262"/>
      </bottom>
      <diagonal/>
    </border>
    <border>
      <left/>
      <right/>
      <top style="medium">
        <color rgb="FF002060"/>
      </top>
      <bottom style="thin">
        <color theme="4" tint="-0.499984740745262"/>
      </bottom>
      <diagonal/>
    </border>
    <border>
      <left/>
      <right style="thin">
        <color theme="4" tint="-0.499984740745262"/>
      </right>
      <top style="medium">
        <color rgb="FF002060"/>
      </top>
      <bottom style="thin">
        <color theme="4" tint="-0.499984740745262"/>
      </bottom>
      <diagonal/>
    </border>
    <border>
      <left/>
      <right style="medium">
        <color rgb="FF002060"/>
      </right>
      <top style="medium">
        <color rgb="FF002060"/>
      </top>
      <bottom style="thin">
        <color theme="4" tint="-0.499984740745262"/>
      </bottom>
      <diagonal/>
    </border>
    <border>
      <left style="thin">
        <color theme="4" tint="-0.499984740745262"/>
      </left>
      <right/>
      <top style="thin">
        <color theme="4" tint="-0.499984740745262"/>
      </top>
      <bottom style="medium">
        <color rgb="FF002060"/>
      </bottom>
      <diagonal/>
    </border>
    <border>
      <left/>
      <right/>
      <top style="thin">
        <color theme="4" tint="-0.499984740745262"/>
      </top>
      <bottom style="medium">
        <color rgb="FF002060"/>
      </bottom>
      <diagonal/>
    </border>
    <border>
      <left/>
      <right style="thin">
        <color theme="4" tint="-0.499984740745262"/>
      </right>
      <top style="thin">
        <color theme="4" tint="-0.499984740745262"/>
      </top>
      <bottom style="medium">
        <color rgb="FF002060"/>
      </bottom>
      <diagonal/>
    </border>
    <border>
      <left/>
      <right style="medium">
        <color rgb="FF002060"/>
      </right>
      <top style="thin">
        <color theme="4" tint="-0.499984740745262"/>
      </top>
      <bottom style="medium">
        <color rgb="FF002060"/>
      </bottom>
      <diagonal/>
    </border>
    <border>
      <left/>
      <right/>
      <top style="medium">
        <color rgb="FF002060"/>
      </top>
      <bottom/>
      <diagonal/>
    </border>
    <border>
      <left/>
      <right style="medium">
        <color rgb="FF002060"/>
      </right>
      <top style="medium">
        <color rgb="FF002060"/>
      </top>
      <bottom/>
      <diagonal/>
    </border>
    <border>
      <left/>
      <right style="medium">
        <color rgb="FF002060"/>
      </right>
      <top/>
      <bottom style="thin">
        <color theme="4" tint="-0.499984740745262"/>
      </bottom>
      <diagonal/>
    </border>
    <border>
      <left style="medium">
        <color rgb="FF002060"/>
      </left>
      <right style="thin">
        <color theme="4" tint="-0.499984740745262"/>
      </right>
      <top style="medium">
        <color rgb="FF002060"/>
      </top>
      <bottom style="medium">
        <color rgb="FF002060"/>
      </bottom>
      <diagonal/>
    </border>
    <border>
      <left style="thin">
        <color theme="4" tint="-0.499984740745262"/>
      </left>
      <right style="thin">
        <color theme="4" tint="-0.499984740745262"/>
      </right>
      <top style="medium">
        <color rgb="FF002060"/>
      </top>
      <bottom style="medium">
        <color rgb="FF002060"/>
      </bottom>
      <diagonal/>
    </border>
    <border>
      <left style="thin">
        <color theme="4" tint="-0.499984740745262"/>
      </left>
      <right/>
      <top style="medium">
        <color rgb="FF002060"/>
      </top>
      <bottom style="medium">
        <color rgb="FF002060"/>
      </bottom>
      <diagonal/>
    </border>
    <border>
      <left style="thin">
        <color rgb="FF002060"/>
      </left>
      <right/>
      <top style="medium">
        <color rgb="FF002060"/>
      </top>
      <bottom style="medium">
        <color rgb="FF002060"/>
      </bottom>
      <diagonal/>
    </border>
    <border>
      <left/>
      <right/>
      <top style="medium">
        <color rgb="FF002060"/>
      </top>
      <bottom style="medium">
        <color rgb="FF002060"/>
      </bottom>
      <diagonal/>
    </border>
    <border>
      <left/>
      <right style="thin">
        <color rgb="FF002060"/>
      </right>
      <top style="medium">
        <color rgb="FF002060"/>
      </top>
      <bottom style="medium">
        <color rgb="FF002060"/>
      </bottom>
      <diagonal/>
    </border>
    <border>
      <left/>
      <right style="thin">
        <color theme="4" tint="-0.499984740745262"/>
      </right>
      <top style="medium">
        <color rgb="FF002060"/>
      </top>
      <bottom style="medium">
        <color rgb="FF002060"/>
      </bottom>
      <diagonal/>
    </border>
    <border>
      <left/>
      <right style="medium">
        <color rgb="FF002060"/>
      </right>
      <top style="medium">
        <color rgb="FF002060"/>
      </top>
      <bottom style="medium">
        <color rgb="FF002060"/>
      </bottom>
      <diagonal/>
    </border>
    <border>
      <left style="thin">
        <color theme="4" tint="-0.499984740745262"/>
      </left>
      <right style="medium">
        <color rgb="FF002060"/>
      </right>
      <top style="medium">
        <color rgb="FF002060"/>
      </top>
      <bottom style="medium">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style="medium">
        <color rgb="FF002060"/>
      </left>
      <right/>
      <top/>
      <bottom style="thin">
        <color theme="4" tint="-0.499984740745262"/>
      </bottom>
      <diagonal/>
    </border>
    <border>
      <left style="medium">
        <color rgb="FF002060"/>
      </left>
      <right/>
      <top style="thin">
        <color theme="4" tint="-0.499984740745262"/>
      </top>
      <bottom style="medium">
        <color rgb="FF002060"/>
      </bottom>
      <diagonal/>
    </border>
    <border>
      <left style="medium">
        <color rgb="FF002060"/>
      </left>
      <right/>
      <top style="medium">
        <color rgb="FF002060"/>
      </top>
      <bottom style="thin">
        <color theme="4" tint="-0.499984740745262"/>
      </bottom>
      <diagonal/>
    </border>
    <border>
      <left style="medium">
        <color rgb="FF002060"/>
      </left>
      <right/>
      <top style="medium">
        <color rgb="FF002060"/>
      </top>
      <bottom/>
      <diagonal/>
    </border>
    <border>
      <left style="thin">
        <color rgb="FF002060"/>
      </left>
      <right/>
      <top style="thin">
        <color rgb="FF002060"/>
      </top>
      <bottom style="medium">
        <color rgb="FF002060"/>
      </bottom>
      <diagonal/>
    </border>
    <border>
      <left/>
      <right style="thin">
        <color rgb="FF002060"/>
      </right>
      <top style="thin">
        <color rgb="FF002060"/>
      </top>
      <bottom style="medium">
        <color rgb="FF002060"/>
      </bottom>
      <diagonal/>
    </border>
    <border>
      <left style="medium">
        <color rgb="FF002060"/>
      </left>
      <right/>
      <top/>
      <bottom style="medium">
        <color rgb="FF002060"/>
      </bottom>
      <diagonal/>
    </border>
    <border>
      <left/>
      <right/>
      <top/>
      <bottom style="medium">
        <color rgb="FF002060"/>
      </bottom>
      <diagonal/>
    </border>
    <border>
      <left/>
      <right style="medium">
        <color rgb="FF002060"/>
      </right>
      <top/>
      <bottom style="medium">
        <color rgb="FF002060"/>
      </bottom>
      <diagonal/>
    </border>
    <border>
      <left style="medium">
        <color rgb="FF002060"/>
      </left>
      <right/>
      <top/>
      <bottom/>
      <diagonal/>
    </border>
    <border>
      <left/>
      <right style="medium">
        <color rgb="FF002060"/>
      </right>
      <top/>
      <bottom/>
      <diagonal/>
    </border>
    <border>
      <left style="thin">
        <color theme="4" tint="-0.499984740745262"/>
      </left>
      <right style="thick">
        <color rgb="FF002060"/>
      </right>
      <top/>
      <bottom style="thin">
        <color theme="4" tint="-0.499984740745262"/>
      </bottom>
      <diagonal/>
    </border>
    <border>
      <left/>
      <right/>
      <top/>
      <bottom style="thick">
        <color rgb="FF002060"/>
      </bottom>
      <diagonal/>
    </border>
    <border>
      <left/>
      <right style="thick">
        <color rgb="FF002060"/>
      </right>
      <top/>
      <bottom/>
      <diagonal/>
    </border>
    <border>
      <left style="thin">
        <color theme="4" tint="-0.499984740745262"/>
      </left>
      <right style="thick">
        <color rgb="FF002060"/>
      </right>
      <top style="thin">
        <color theme="4" tint="-0.499984740745262"/>
      </top>
      <bottom/>
      <diagonal/>
    </border>
    <border>
      <left style="thick">
        <color rgb="FF002060"/>
      </left>
      <right style="thin">
        <color theme="4" tint="-0.499984740745262"/>
      </right>
      <top style="thick">
        <color rgb="FF002060"/>
      </top>
      <bottom style="thin">
        <color theme="4" tint="-0.499984740745262"/>
      </bottom>
      <diagonal/>
    </border>
    <border>
      <left style="thin">
        <color theme="4" tint="-0.499984740745262"/>
      </left>
      <right style="thin">
        <color theme="4" tint="-0.499984740745262"/>
      </right>
      <top style="thick">
        <color rgb="FF002060"/>
      </top>
      <bottom style="thin">
        <color theme="4" tint="-0.499984740745262"/>
      </bottom>
      <diagonal/>
    </border>
    <border>
      <left style="thin">
        <color theme="4" tint="-0.499984740745262"/>
      </left>
      <right style="thick">
        <color rgb="FF002060"/>
      </right>
      <top style="thick">
        <color rgb="FF002060"/>
      </top>
      <bottom style="thin">
        <color theme="4" tint="-0.499984740745262"/>
      </bottom>
      <diagonal/>
    </border>
    <border>
      <left style="thick">
        <color rgb="FF002060"/>
      </left>
      <right style="thin">
        <color theme="4" tint="-0.499984740745262"/>
      </right>
      <top style="thin">
        <color theme="4" tint="-0.499984740745262"/>
      </top>
      <bottom style="thick">
        <color rgb="FF002060"/>
      </bottom>
      <diagonal/>
    </border>
    <border>
      <left style="thin">
        <color theme="4" tint="-0.499984740745262"/>
      </left>
      <right style="thin">
        <color theme="4" tint="-0.499984740745262"/>
      </right>
      <top style="thin">
        <color theme="4" tint="-0.499984740745262"/>
      </top>
      <bottom style="thick">
        <color rgb="FF002060"/>
      </bottom>
      <diagonal/>
    </border>
    <border>
      <left style="thin">
        <color theme="4" tint="-0.499984740745262"/>
      </left>
      <right style="thick">
        <color rgb="FF002060"/>
      </right>
      <top style="thin">
        <color theme="4" tint="-0.499984740745262"/>
      </top>
      <bottom style="thick">
        <color rgb="FF002060"/>
      </bottom>
      <diagonal/>
    </border>
    <border>
      <left style="thick">
        <color rgb="FF002060"/>
      </left>
      <right/>
      <top style="thick">
        <color rgb="FF002060"/>
      </top>
      <bottom style="thick">
        <color rgb="FF002060"/>
      </bottom>
      <diagonal/>
    </border>
    <border>
      <left/>
      <right/>
      <top style="thick">
        <color rgb="FF002060"/>
      </top>
      <bottom style="thick">
        <color rgb="FF002060"/>
      </bottom>
      <diagonal/>
    </border>
    <border>
      <left/>
      <right style="thick">
        <color rgb="FF002060"/>
      </right>
      <top style="thick">
        <color rgb="FF002060"/>
      </top>
      <bottom style="thick">
        <color rgb="FF002060"/>
      </bottom>
      <diagonal/>
    </border>
    <border>
      <left style="thick">
        <color rgb="FF002060"/>
      </left>
      <right style="thin">
        <color theme="4" tint="-0.499984740745262"/>
      </right>
      <top style="thick">
        <color rgb="FF002060"/>
      </top>
      <bottom style="thick">
        <color rgb="FF002060"/>
      </bottom>
      <diagonal/>
    </border>
    <border>
      <left style="thin">
        <color theme="4" tint="-0.499984740745262"/>
      </left>
      <right style="thin">
        <color theme="4" tint="-0.499984740745262"/>
      </right>
      <top style="thick">
        <color rgb="FF002060"/>
      </top>
      <bottom style="thick">
        <color rgb="FF002060"/>
      </bottom>
      <diagonal/>
    </border>
    <border>
      <left style="thin">
        <color theme="4" tint="-0.499984740745262"/>
      </left>
      <right style="thick">
        <color rgb="FF002060"/>
      </right>
      <top style="thick">
        <color rgb="FF002060"/>
      </top>
      <bottom style="thick">
        <color rgb="FF002060"/>
      </bottom>
      <diagonal/>
    </border>
    <border>
      <left/>
      <right style="thin">
        <color theme="4" tint="-0.499984740745262"/>
      </right>
      <top style="thick">
        <color rgb="FF002060"/>
      </top>
      <bottom style="thick">
        <color rgb="FF002060"/>
      </bottom>
      <diagonal/>
    </border>
    <border>
      <left style="thick">
        <color rgb="FF002060"/>
      </left>
      <right style="thick">
        <color rgb="FF002060"/>
      </right>
      <top/>
      <bottom/>
      <diagonal/>
    </border>
    <border>
      <left/>
      <right style="thick">
        <color rgb="FF002060"/>
      </right>
      <top style="thin">
        <color theme="4" tint="-0.499984740745262"/>
      </top>
      <bottom style="thick">
        <color rgb="FF002060"/>
      </bottom>
      <diagonal/>
    </border>
    <border>
      <left/>
      <right style="thin">
        <color theme="4" tint="-0.499984740745262"/>
      </right>
      <top style="thin">
        <color theme="4" tint="-0.499984740745262"/>
      </top>
      <bottom style="thick">
        <color rgb="FF002060"/>
      </bottom>
      <diagonal/>
    </border>
    <border>
      <left style="thin">
        <color theme="4" tint="-0.499984740745262"/>
      </left>
      <right/>
      <top style="thin">
        <color theme="4" tint="-0.499984740745262"/>
      </top>
      <bottom style="thick">
        <color rgb="FF002060"/>
      </bottom>
      <diagonal/>
    </border>
    <border>
      <left style="thick">
        <color rgb="FF002060"/>
      </left>
      <right style="thin">
        <color theme="4" tint="-0.499984740745262"/>
      </right>
      <top/>
      <bottom style="thin">
        <color theme="4" tint="-0.499984740745262"/>
      </bottom>
      <diagonal/>
    </border>
    <border>
      <left/>
      <right/>
      <top style="medium">
        <color rgb="FF002060"/>
      </top>
      <bottom style="thick">
        <color rgb="FF002060"/>
      </bottom>
      <diagonal/>
    </border>
    <border>
      <left/>
      <right style="thick">
        <color rgb="FF002060"/>
      </right>
      <top style="thick">
        <color rgb="FF002060"/>
      </top>
      <bottom/>
      <diagonal/>
    </border>
    <border>
      <left/>
      <right style="medium">
        <color rgb="FF002060"/>
      </right>
      <top style="thin">
        <color theme="4" tint="-0.499984740745262"/>
      </top>
      <bottom/>
      <diagonal/>
    </border>
    <border>
      <left/>
      <right/>
      <top style="thick">
        <color rgb="FF002060"/>
      </top>
      <bottom style="thin">
        <color theme="4" tint="-0.499984740745262"/>
      </bottom>
      <diagonal/>
    </border>
    <border>
      <left/>
      <right/>
      <top style="thick">
        <color rgb="FF002060"/>
      </top>
      <bottom/>
      <diagonal/>
    </border>
    <border>
      <left style="medium">
        <color rgb="FF002060"/>
      </left>
      <right/>
      <top style="thick">
        <color rgb="FF002060"/>
      </top>
      <bottom/>
      <diagonal/>
    </border>
    <border>
      <left style="medium">
        <color rgb="FF002060"/>
      </left>
      <right/>
      <top style="thin">
        <color theme="4" tint="-0.499984740745262"/>
      </top>
      <bottom style="thick">
        <color rgb="FF002060"/>
      </bottom>
      <diagonal/>
    </border>
    <border>
      <left/>
      <right/>
      <top style="thin">
        <color theme="4" tint="-0.499984740745262"/>
      </top>
      <bottom style="thick">
        <color rgb="FF002060"/>
      </bottom>
      <diagonal/>
    </border>
    <border>
      <left/>
      <right style="thick">
        <color rgb="FF002060"/>
      </right>
      <top style="thin">
        <color theme="4" tint="-0.499984740745262"/>
      </top>
      <bottom/>
      <diagonal/>
    </border>
    <border>
      <left style="thick">
        <color rgb="FF002060"/>
      </left>
      <right style="thin">
        <color theme="4" tint="-0.499984740745262"/>
      </right>
      <top style="thin">
        <color theme="4" tint="-0.499984740745262"/>
      </top>
      <bottom/>
      <diagonal/>
    </border>
    <border>
      <left style="thick">
        <color rgb="FF002060"/>
      </left>
      <right/>
      <top/>
      <bottom style="thin">
        <color theme="4" tint="-0.499984740745262"/>
      </bottom>
      <diagonal/>
    </border>
    <border>
      <left/>
      <right style="thick">
        <color rgb="FF002060"/>
      </right>
      <top/>
      <bottom style="thin">
        <color theme="4" tint="-0.499984740745262"/>
      </bottom>
      <diagonal/>
    </border>
    <border>
      <left style="thick">
        <color rgb="FF002060"/>
      </left>
      <right/>
      <top style="thin">
        <color theme="4" tint="-0.499984740745262"/>
      </top>
      <bottom/>
      <diagonal/>
    </border>
    <border>
      <left style="thick">
        <color rgb="FF002060"/>
      </left>
      <right/>
      <top style="thick">
        <color rgb="FF002060"/>
      </top>
      <bottom style="thin">
        <color theme="4" tint="-0.499984740745262"/>
      </bottom>
      <diagonal/>
    </border>
    <border>
      <left/>
      <right style="thick">
        <color rgb="FF002060"/>
      </right>
      <top style="thick">
        <color rgb="FF002060"/>
      </top>
      <bottom style="thin">
        <color theme="4" tint="-0.499984740745262"/>
      </bottom>
      <diagonal/>
    </border>
    <border>
      <left style="thick">
        <color rgb="FF002060"/>
      </left>
      <right/>
      <top style="thin">
        <color theme="4" tint="-0.499984740745262"/>
      </top>
      <bottom style="thick">
        <color rgb="FF002060"/>
      </bottom>
      <diagonal/>
    </border>
    <border>
      <left style="medium">
        <color rgb="FF002060"/>
      </left>
      <right style="thin">
        <color theme="4" tint="-0.499984740745262"/>
      </right>
      <top style="thin">
        <color theme="4" tint="-0.499984740745262"/>
      </top>
      <bottom/>
      <diagonal/>
    </border>
    <border>
      <left style="thin">
        <color theme="4" tint="-0.499984740745262"/>
      </left>
      <right style="medium">
        <color rgb="FF002060"/>
      </right>
      <top style="thin">
        <color theme="4" tint="-0.499984740745262"/>
      </top>
      <bottom/>
      <diagonal/>
    </border>
    <border>
      <left style="medium">
        <color rgb="FF002060"/>
      </left>
      <right style="thin">
        <color rgb="FF002060"/>
      </right>
      <top style="medium">
        <color rgb="FF002060"/>
      </top>
      <bottom style="thin">
        <color rgb="FF002060"/>
      </bottom>
      <diagonal/>
    </border>
    <border>
      <left style="thin">
        <color rgb="FF002060"/>
      </left>
      <right style="thin">
        <color rgb="FF002060"/>
      </right>
      <top style="medium">
        <color rgb="FF002060"/>
      </top>
      <bottom style="thin">
        <color rgb="FF002060"/>
      </bottom>
      <diagonal/>
    </border>
    <border>
      <left style="thin">
        <color rgb="FF002060"/>
      </left>
      <right style="medium">
        <color rgb="FF002060"/>
      </right>
      <top style="medium">
        <color rgb="FF002060"/>
      </top>
      <bottom style="thin">
        <color rgb="FF002060"/>
      </bottom>
      <diagonal/>
    </border>
    <border>
      <left style="thin">
        <color rgb="FF002060"/>
      </left>
      <right/>
      <top style="medium">
        <color rgb="FF002060"/>
      </top>
      <bottom style="thin">
        <color rgb="FF002060"/>
      </bottom>
      <diagonal/>
    </border>
    <border>
      <left/>
      <right style="thin">
        <color rgb="FF002060"/>
      </right>
      <top style="medium">
        <color rgb="FF002060"/>
      </top>
      <bottom style="thin">
        <color rgb="FF002060"/>
      </bottom>
      <diagonal/>
    </border>
    <border>
      <left style="thin">
        <color theme="4" tint="-0.499984740745262"/>
      </left>
      <right/>
      <top style="thick">
        <color rgb="FF002060"/>
      </top>
      <bottom style="thick">
        <color rgb="FF002060"/>
      </bottom>
      <diagonal/>
    </border>
    <border>
      <left style="thin">
        <color theme="4" tint="-0.499984740745262"/>
      </left>
      <right/>
      <top style="thick">
        <color rgb="FF002060"/>
      </top>
      <bottom style="thin">
        <color theme="4" tint="-0.499984740745262"/>
      </bottom>
      <diagonal/>
    </border>
    <border>
      <left style="thick">
        <color rgb="FF002060"/>
      </left>
      <right/>
      <top/>
      <bottom/>
      <diagonal/>
    </border>
    <border>
      <left/>
      <right style="thin">
        <color theme="4" tint="-0.499984740745262"/>
      </right>
      <top style="medium">
        <color rgb="FF002060"/>
      </top>
      <bottom/>
      <diagonal/>
    </border>
    <border>
      <left style="thin">
        <color theme="4" tint="-0.499984740745262"/>
      </left>
      <right/>
      <top style="medium">
        <color rgb="FF002060"/>
      </top>
      <bottom/>
      <diagonal/>
    </border>
    <border>
      <left/>
      <right style="thin">
        <color theme="4" tint="-0.499984740745262"/>
      </right>
      <top style="thick">
        <color rgb="FF002060"/>
      </top>
      <bottom style="thin">
        <color theme="4" tint="-0.499984740745262"/>
      </bottom>
      <diagonal/>
    </border>
    <border>
      <left style="hair">
        <color indexed="32"/>
      </left>
      <right/>
      <top style="hair">
        <color indexed="32"/>
      </top>
      <bottom style="hair">
        <color indexed="32"/>
      </bottom>
      <diagonal/>
    </border>
    <border>
      <left/>
      <right/>
      <top style="hair">
        <color indexed="32"/>
      </top>
      <bottom style="hair">
        <color indexed="32"/>
      </bottom>
      <diagonal/>
    </border>
    <border>
      <left/>
      <right style="hair">
        <color indexed="32"/>
      </right>
      <top style="hair">
        <color indexed="32"/>
      </top>
      <bottom style="hair">
        <color indexed="32"/>
      </bottom>
      <diagonal/>
    </border>
    <border>
      <left style="hair">
        <color indexed="32"/>
      </left>
      <right style="hair">
        <color indexed="32"/>
      </right>
      <top style="hair">
        <color indexed="32"/>
      </top>
      <bottom style="hair">
        <color indexed="32"/>
      </bottom>
      <diagonal/>
    </border>
    <border>
      <left/>
      <right/>
      <top style="hair">
        <color indexed="32"/>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bottom style="hair">
        <color auto="1"/>
      </bottom>
      <diagonal/>
    </border>
    <border>
      <left style="hair">
        <color indexed="32"/>
      </left>
      <right/>
      <top style="hair">
        <color indexed="32"/>
      </top>
      <bottom/>
      <diagonal/>
    </border>
    <border>
      <left/>
      <right style="hair">
        <color indexed="32"/>
      </right>
      <top style="hair">
        <color indexed="32"/>
      </top>
      <bottom/>
      <diagonal/>
    </border>
    <border>
      <left style="hair">
        <color indexed="32"/>
      </left>
      <right/>
      <top/>
      <bottom/>
      <diagonal/>
    </border>
    <border>
      <left/>
      <right style="hair">
        <color indexed="32"/>
      </right>
      <top/>
      <bottom/>
      <diagonal/>
    </border>
    <border>
      <left style="hair">
        <color indexed="32"/>
      </left>
      <right/>
      <top/>
      <bottom style="hair">
        <color indexed="32"/>
      </bottom>
      <diagonal/>
    </border>
    <border>
      <left/>
      <right/>
      <top/>
      <bottom style="hair">
        <color indexed="32"/>
      </bottom>
      <diagonal/>
    </border>
    <border>
      <left/>
      <right style="hair">
        <color indexed="32"/>
      </right>
      <top/>
      <bottom style="hair">
        <color indexed="32"/>
      </bottom>
      <diagonal/>
    </border>
    <border>
      <left style="hair">
        <color indexed="32"/>
      </left>
      <right style="hair">
        <color indexed="32"/>
      </right>
      <top style="hair">
        <color indexed="32"/>
      </top>
      <bottom/>
      <diagonal/>
    </border>
    <border>
      <left style="hair">
        <color indexed="32"/>
      </left>
      <right style="hair">
        <color indexed="32"/>
      </right>
      <top/>
      <bottom style="hair">
        <color indexed="32"/>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theme="4" tint="-0.499984740745262"/>
      </left>
      <right/>
      <top style="thin">
        <color theme="4" tint="-0.499984740745262"/>
      </top>
      <bottom style="thin">
        <color auto="1"/>
      </bottom>
      <diagonal/>
    </border>
    <border>
      <left/>
      <right style="thin">
        <color theme="4" tint="-0.499984740745262"/>
      </right>
      <top style="thin">
        <color theme="4" tint="-0.499984740745262"/>
      </top>
      <bottom style="thin">
        <color auto="1"/>
      </bottom>
      <diagonal/>
    </border>
    <border>
      <left style="medium">
        <color rgb="FF002060"/>
      </left>
      <right style="thin">
        <color theme="4" tint="-0.499984740745262"/>
      </right>
      <top/>
      <bottom style="medium">
        <color rgb="FF002060"/>
      </bottom>
      <diagonal/>
    </border>
    <border>
      <left style="thin">
        <color theme="4" tint="-0.499984740745262"/>
      </left>
      <right style="thin">
        <color theme="4" tint="-0.499984740745262"/>
      </right>
      <top/>
      <bottom style="medium">
        <color rgb="FF002060"/>
      </bottom>
      <diagonal/>
    </border>
    <border>
      <left style="thin">
        <color theme="4" tint="-0.499984740745262"/>
      </left>
      <right style="medium">
        <color rgb="FF002060"/>
      </right>
      <top/>
      <bottom style="medium">
        <color rgb="FF002060"/>
      </bottom>
      <diagonal/>
    </border>
    <border>
      <left/>
      <right style="thin">
        <color theme="4" tint="-0.499984740745262"/>
      </right>
      <top/>
      <bottom style="medium">
        <color rgb="FF002060"/>
      </bottom>
      <diagonal/>
    </border>
    <border>
      <left style="medium">
        <color rgb="FF002060"/>
      </left>
      <right style="medium">
        <color rgb="FF002060"/>
      </right>
      <top style="medium">
        <color rgb="FF002060"/>
      </top>
      <bottom style="thin">
        <color indexed="64"/>
      </bottom>
      <diagonal/>
    </border>
    <border>
      <left style="medium">
        <color indexed="64"/>
      </left>
      <right/>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hair">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hair">
        <color indexed="64"/>
      </bottom>
      <diagonal/>
    </border>
    <border>
      <left style="hair">
        <color indexed="64"/>
      </left>
      <right/>
      <top/>
      <bottom/>
      <diagonal/>
    </border>
    <border>
      <left/>
      <right style="hair">
        <color indexed="64"/>
      </right>
      <top/>
      <bottom/>
      <diagonal/>
    </border>
    <border>
      <left/>
      <right style="medium">
        <color indexed="64"/>
      </right>
      <top/>
      <bottom/>
      <diagonal/>
    </border>
    <border>
      <left style="medium">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medium">
        <color indexed="64"/>
      </right>
      <top style="hair">
        <color indexed="64"/>
      </top>
      <bottom/>
      <diagonal/>
    </border>
    <border>
      <left/>
      <right/>
      <top/>
      <bottom style="medium">
        <color indexed="64"/>
      </bottom>
      <diagonal/>
    </border>
    <border>
      <left/>
      <right style="hair">
        <color indexed="64"/>
      </right>
      <top/>
      <bottom style="medium">
        <color indexed="64"/>
      </bottom>
      <diagonal/>
    </border>
    <border>
      <left style="hair">
        <color indexed="64"/>
      </left>
      <right/>
      <top/>
      <bottom style="medium">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hair">
        <color indexed="32"/>
      </left>
      <right/>
      <top style="hair">
        <color indexed="32"/>
      </top>
      <bottom style="double">
        <color indexed="32"/>
      </bottom>
      <diagonal/>
    </border>
    <border>
      <left/>
      <right/>
      <top style="hair">
        <color indexed="32"/>
      </top>
      <bottom style="double">
        <color indexed="32"/>
      </bottom>
      <diagonal/>
    </border>
    <border>
      <left/>
      <right style="hair">
        <color indexed="32"/>
      </right>
      <top style="hair">
        <color indexed="32"/>
      </top>
      <bottom style="double">
        <color indexed="32"/>
      </bottom>
      <diagonal/>
    </border>
    <border>
      <left style="hair">
        <color indexed="32"/>
      </left>
      <right style="hair">
        <color indexed="32"/>
      </right>
      <top style="hair">
        <color indexed="32"/>
      </top>
      <bottom style="double">
        <color indexed="32"/>
      </bottom>
      <diagonal/>
    </border>
    <border>
      <left style="double">
        <color indexed="32"/>
      </left>
      <right/>
      <top style="double">
        <color indexed="32"/>
      </top>
      <bottom/>
      <diagonal/>
    </border>
    <border>
      <left/>
      <right/>
      <top style="double">
        <color indexed="32"/>
      </top>
      <bottom/>
      <diagonal/>
    </border>
    <border>
      <left/>
      <right style="double">
        <color indexed="32"/>
      </right>
      <top style="double">
        <color indexed="32"/>
      </top>
      <bottom/>
      <diagonal/>
    </border>
    <border>
      <left style="double">
        <color indexed="32"/>
      </left>
      <right/>
      <top/>
      <bottom/>
      <diagonal/>
    </border>
    <border>
      <left/>
      <right style="double">
        <color indexed="32"/>
      </right>
      <top/>
      <bottom/>
      <diagonal/>
    </border>
    <border>
      <left style="double">
        <color indexed="32"/>
      </left>
      <right/>
      <top/>
      <bottom style="double">
        <color indexed="32"/>
      </bottom>
      <diagonal/>
    </border>
    <border>
      <left/>
      <right/>
      <top/>
      <bottom style="double">
        <color indexed="32"/>
      </bottom>
      <diagonal/>
    </border>
    <border>
      <left/>
      <right style="double">
        <color indexed="32"/>
      </right>
      <top/>
      <bottom style="double">
        <color indexed="32"/>
      </bottom>
      <diagonal/>
    </border>
    <border>
      <left style="hair">
        <color indexed="64"/>
      </left>
      <right/>
      <top style="hair">
        <color indexed="64"/>
      </top>
      <bottom style="hair">
        <color indexed="32"/>
      </bottom>
      <diagonal/>
    </border>
    <border>
      <left/>
      <right/>
      <top style="hair">
        <color indexed="64"/>
      </top>
      <bottom style="hair">
        <color indexed="32"/>
      </bottom>
      <diagonal/>
    </border>
    <border>
      <left/>
      <right style="hair">
        <color indexed="64"/>
      </right>
      <top style="hair">
        <color indexed="64"/>
      </top>
      <bottom style="hair">
        <color indexed="32"/>
      </bottom>
      <diagonal/>
    </border>
    <border>
      <left style="hair">
        <color indexed="32"/>
      </left>
      <right style="hair">
        <color indexed="32"/>
      </right>
      <top/>
      <bottom/>
      <diagonal/>
    </border>
    <border>
      <left style="medium">
        <color indexed="64"/>
      </left>
      <right/>
      <top style="medium">
        <color indexed="64"/>
      </top>
      <bottom/>
      <diagonal/>
    </border>
    <border>
      <left/>
      <right style="double">
        <color indexed="64"/>
      </right>
      <top style="medium">
        <color indexed="64"/>
      </top>
      <bottom/>
      <diagonal/>
    </border>
    <border>
      <left/>
      <right style="double">
        <color indexed="64"/>
      </right>
      <top/>
      <bottom/>
      <diagonal/>
    </border>
    <border>
      <left style="medium">
        <color indexed="64"/>
      </left>
      <right/>
      <top/>
      <bottom style="thick">
        <color indexed="64"/>
      </bottom>
      <diagonal/>
    </border>
    <border>
      <left/>
      <right/>
      <top/>
      <bottom style="thick">
        <color indexed="64"/>
      </bottom>
      <diagonal/>
    </border>
    <border>
      <left/>
      <right style="double">
        <color indexed="64"/>
      </right>
      <top/>
      <bottom style="thick">
        <color indexed="64"/>
      </bottom>
      <diagonal/>
    </border>
    <border>
      <left/>
      <right/>
      <top style="thick">
        <color indexed="64"/>
      </top>
      <bottom/>
      <diagonal/>
    </border>
    <border>
      <left style="hair">
        <color indexed="32"/>
      </left>
      <right/>
      <top style="hair">
        <color indexed="32"/>
      </top>
      <bottom style="double">
        <color indexed="64"/>
      </bottom>
      <diagonal/>
    </border>
    <border>
      <left/>
      <right/>
      <top style="hair">
        <color indexed="32"/>
      </top>
      <bottom style="double">
        <color indexed="64"/>
      </bottom>
      <diagonal/>
    </border>
    <border>
      <left/>
      <right style="hair">
        <color indexed="32"/>
      </right>
      <top style="hair">
        <color indexed="32"/>
      </top>
      <bottom style="double">
        <color indexed="64"/>
      </bottom>
      <diagonal/>
    </border>
    <border>
      <left style="hair">
        <color indexed="32"/>
      </left>
      <right style="hair">
        <color indexed="32"/>
      </right>
      <top style="hair">
        <color indexed="32"/>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style="medium">
        <color indexed="64"/>
      </top>
      <bottom/>
      <diagonal/>
    </border>
    <border>
      <left style="medium">
        <color rgb="FF002060"/>
      </left>
      <right style="medium">
        <color rgb="FF002060"/>
      </right>
      <top style="thin">
        <color theme="4" tint="-0.499984740745262"/>
      </top>
      <bottom style="thick">
        <color rgb="FF002060"/>
      </bottom>
      <diagonal/>
    </border>
    <border>
      <left style="thick">
        <color rgb="FF002060"/>
      </left>
      <right style="thin">
        <color theme="4" tint="-0.499984740745262"/>
      </right>
      <top style="medium">
        <color rgb="FF002060"/>
      </top>
      <bottom style="thin">
        <color theme="4" tint="-0.499984740745262"/>
      </bottom>
      <diagonal/>
    </border>
    <border>
      <left style="thin">
        <color theme="4" tint="-0.499984740745262"/>
      </left>
      <right style="thick">
        <color rgb="FF002060"/>
      </right>
      <top style="medium">
        <color rgb="FF002060"/>
      </top>
      <bottom style="thin">
        <color theme="4" tint="-0.499984740745262"/>
      </bottom>
      <diagonal/>
    </border>
  </borders>
  <cellStyleXfs count="17">
    <xf numFmtId="0" fontId="0" fillId="0" borderId="0"/>
    <xf numFmtId="9" fontId="1" fillId="0" borderId="0" applyFont="0" applyFill="0" applyBorder="0" applyAlignment="0" applyProtection="0"/>
    <xf numFmtId="168" fontId="14" fillId="0" borderId="0" applyNumberFormat="0" applyFill="0" applyBorder="0" applyAlignment="0" applyProtection="0"/>
    <xf numFmtId="168" fontId="4" fillId="0" borderId="0"/>
    <xf numFmtId="0" fontId="32" fillId="0" borderId="0" applyNumberFormat="0" applyFill="0" applyBorder="0" applyAlignment="0" applyProtection="0"/>
    <xf numFmtId="0" fontId="4" fillId="0" borderId="0"/>
    <xf numFmtId="9" fontId="4" fillId="0" borderId="0" applyFont="0" applyFill="0" applyBorder="0" applyAlignment="0" applyProtection="0"/>
    <xf numFmtId="164" fontId="4" fillId="0" borderId="0" applyFont="0" applyFill="0" applyBorder="0" applyAlignment="0" applyProtection="0"/>
    <xf numFmtId="0" fontId="1" fillId="0" borderId="0"/>
    <xf numFmtId="175" fontId="33" fillId="0" borderId="0" applyFont="0" applyFill="0" applyBorder="0" applyAlignment="0" applyProtection="0"/>
    <xf numFmtId="0" fontId="1" fillId="0" borderId="0"/>
    <xf numFmtId="166" fontId="1" fillId="0" borderId="0" applyFont="0" applyFill="0" applyBorder="0" applyAlignment="0" applyProtection="0"/>
    <xf numFmtId="0" fontId="32" fillId="0" borderId="0"/>
    <xf numFmtId="168" fontId="1" fillId="0" borderId="0"/>
    <xf numFmtId="182" fontId="32" fillId="0" borderId="0" applyFont="0" applyFill="0" applyBorder="0" applyAlignment="0" applyProtection="0"/>
    <xf numFmtId="43" fontId="1" fillId="0" borderId="0" applyFont="0" applyFill="0" applyBorder="0" applyAlignment="0" applyProtection="0"/>
    <xf numFmtId="0" fontId="32" fillId="0" borderId="0"/>
  </cellStyleXfs>
  <cellXfs count="2005">
    <xf numFmtId="0" fontId="0" fillId="0" borderId="0" xfId="0"/>
    <xf numFmtId="0" fontId="5" fillId="0" borderId="0" xfId="0" applyFont="1"/>
    <xf numFmtId="0" fontId="5" fillId="0" borderId="0" xfId="0" applyFont="1" applyAlignment="1">
      <alignment vertical="top"/>
    </xf>
    <xf numFmtId="0" fontId="5" fillId="2" borderId="0" xfId="0" applyFont="1" applyFill="1" applyAlignment="1">
      <alignment horizontal="center"/>
    </xf>
    <xf numFmtId="0" fontId="5" fillId="2" borderId="0" xfId="0" applyFont="1" applyFill="1"/>
    <xf numFmtId="0" fontId="7" fillId="2" borderId="0" xfId="0" applyFont="1" applyFill="1"/>
    <xf numFmtId="0" fontId="5"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xf>
    <xf numFmtId="0" fontId="5" fillId="2" borderId="0" xfId="0" applyFont="1" applyFill="1" applyAlignment="1">
      <alignment vertical="top"/>
    </xf>
    <xf numFmtId="0" fontId="7" fillId="2" borderId="0" xfId="0" applyFont="1" applyFill="1" applyAlignment="1">
      <alignment vertical="top"/>
    </xf>
    <xf numFmtId="0" fontId="6" fillId="2" borderId="1" xfId="0" applyFont="1" applyFill="1" applyBorder="1" applyAlignment="1" applyProtection="1">
      <alignment horizontal="center" vertical="center"/>
      <protection locked="0"/>
    </xf>
    <xf numFmtId="0" fontId="18" fillId="2" borderId="0" xfId="0" applyFont="1" applyFill="1" applyAlignment="1">
      <alignment horizontal="justify" vertical="top" wrapText="1"/>
    </xf>
    <xf numFmtId="0" fontId="5" fillId="2" borderId="0" xfId="0" applyFont="1" applyFill="1" applyAlignment="1">
      <alignment horizontal="justify" vertical="top" wrapText="1"/>
    </xf>
    <xf numFmtId="0" fontId="5" fillId="2" borderId="0" xfId="0" applyFont="1" applyFill="1" applyAlignment="1">
      <alignment horizontal="center" vertical="center"/>
    </xf>
    <xf numFmtId="0" fontId="8" fillId="2" borderId="0" xfId="0" applyFont="1" applyFill="1"/>
    <xf numFmtId="0" fontId="8" fillId="2" borderId="0" xfId="0" applyFont="1" applyFill="1" applyAlignment="1">
      <alignment horizontal="center" vertical="center"/>
    </xf>
    <xf numFmtId="4" fontId="5" fillId="0" borderId="1" xfId="0" applyNumberFormat="1" applyFont="1" applyBorder="1" applyAlignment="1" applyProtection="1">
      <alignment horizontal="center" vertical="center"/>
      <protection locked="0"/>
    </xf>
    <xf numFmtId="0" fontId="0" fillId="0" borderId="0" xfId="0" applyProtection="1">
      <protection locked="0"/>
    </xf>
    <xf numFmtId="3" fontId="15" fillId="2" borderId="0" xfId="0" applyNumberFormat="1" applyFont="1" applyFill="1"/>
    <xf numFmtId="0" fontId="28" fillId="0" borderId="0" xfId="0" applyFont="1"/>
    <xf numFmtId="0" fontId="27" fillId="0" borderId="0" xfId="0" applyFont="1" applyAlignment="1">
      <alignment vertical="center" wrapText="1"/>
    </xf>
    <xf numFmtId="0" fontId="28" fillId="0" borderId="0" xfId="3" applyNumberFormat="1" applyFont="1" applyAlignment="1">
      <alignment horizontal="center"/>
    </xf>
    <xf numFmtId="0" fontId="7" fillId="2" borderId="0" xfId="0" applyFont="1" applyFill="1" applyAlignment="1">
      <alignment horizontal="center" vertical="center"/>
    </xf>
    <xf numFmtId="0" fontId="0" fillId="2" borderId="0" xfId="0" applyFill="1"/>
    <xf numFmtId="0" fontId="7" fillId="2" borderId="0" xfId="0" applyFont="1" applyFill="1" applyAlignment="1">
      <alignment horizontal="center"/>
    </xf>
    <xf numFmtId="0" fontId="6" fillId="2" borderId="0" xfId="0" applyFont="1" applyFill="1"/>
    <xf numFmtId="0" fontId="8" fillId="2" borderId="0" xfId="0" applyFont="1" applyFill="1" applyAlignment="1">
      <alignment horizontal="left"/>
    </xf>
    <xf numFmtId="0" fontId="10" fillId="2" borderId="0" xfId="0" applyFont="1" applyFill="1"/>
    <xf numFmtId="0" fontId="5" fillId="2" borderId="0" xfId="0" applyFont="1" applyFill="1" applyProtection="1">
      <protection locked="0"/>
    </xf>
    <xf numFmtId="0" fontId="2" fillId="2" borderId="0" xfId="0" applyFont="1" applyFill="1" applyAlignment="1">
      <alignment vertical="center"/>
    </xf>
    <xf numFmtId="0" fontId="6" fillId="2" borderId="0" xfId="0" applyFont="1" applyFill="1" applyAlignment="1">
      <alignment vertical="top"/>
    </xf>
    <xf numFmtId="0" fontId="8" fillId="2" borderId="0" xfId="0" applyFont="1" applyFill="1" applyAlignment="1" applyProtection="1">
      <alignment vertical="top" wrapText="1"/>
      <protection locked="0"/>
    </xf>
    <xf numFmtId="0" fontId="9" fillId="2" borderId="0" xfId="0" applyFont="1" applyFill="1"/>
    <xf numFmtId="0" fontId="35" fillId="2" borderId="0" xfId="0" applyFont="1" applyFill="1"/>
    <xf numFmtId="0" fontId="36" fillId="2" borderId="0" xfId="0" applyFont="1" applyFill="1"/>
    <xf numFmtId="0" fontId="8" fillId="2" borderId="40" xfId="0" applyFont="1" applyFill="1" applyBorder="1" applyAlignment="1" applyProtection="1">
      <alignment horizontal="center" vertical="top" wrapText="1"/>
      <protection locked="0"/>
    </xf>
    <xf numFmtId="0" fontId="19" fillId="2" borderId="41" xfId="0" applyFont="1" applyFill="1" applyBorder="1" applyAlignment="1" applyProtection="1">
      <alignment horizontal="center" vertical="center"/>
      <protection locked="0"/>
    </xf>
    <xf numFmtId="0" fontId="19" fillId="2" borderId="42" xfId="0" applyFont="1" applyFill="1" applyBorder="1" applyAlignment="1" applyProtection="1">
      <alignment horizontal="center" vertical="center"/>
      <protection locked="0"/>
    </xf>
    <xf numFmtId="0" fontId="35" fillId="2" borderId="0" xfId="0" applyFont="1" applyFill="1" applyAlignment="1">
      <alignment vertical="center"/>
    </xf>
    <xf numFmtId="167" fontId="5" fillId="2" borderId="0" xfId="0" applyNumberFormat="1" applyFont="1" applyFill="1" applyAlignment="1" applyProtection="1">
      <alignment vertical="center"/>
      <protection locked="0"/>
    </xf>
    <xf numFmtId="0" fontId="5" fillId="2" borderId="0" xfId="0" applyFont="1" applyFill="1" applyAlignment="1" applyProtection="1">
      <alignment horizontal="center"/>
      <protection locked="0"/>
    </xf>
    <xf numFmtId="0" fontId="35" fillId="2" borderId="0" xfId="0" applyFont="1" applyFill="1" applyAlignment="1">
      <alignment horizontal="center"/>
    </xf>
    <xf numFmtId="0" fontId="12" fillId="2" borderId="4" xfId="0" applyFont="1" applyFill="1" applyBorder="1"/>
    <xf numFmtId="0" fontId="12" fillId="2" borderId="7" xfId="0" applyFont="1" applyFill="1" applyBorder="1"/>
    <xf numFmtId="0" fontId="37" fillId="2" borderId="0" xfId="0" applyFont="1" applyFill="1"/>
    <xf numFmtId="0" fontId="8" fillId="2" borderId="2" xfId="0" applyFont="1" applyFill="1" applyBorder="1" applyAlignment="1">
      <alignment horizontal="left" vertical="top"/>
    </xf>
    <xf numFmtId="0" fontId="8" fillId="2" borderId="0" xfId="0" applyFont="1" applyFill="1" applyAlignment="1" applyProtection="1">
      <alignment vertical="top"/>
      <protection locked="0"/>
    </xf>
    <xf numFmtId="0" fontId="35" fillId="2" borderId="0" xfId="0" applyFont="1" applyFill="1" applyAlignment="1" applyProtection="1">
      <alignment vertical="top" wrapText="1"/>
      <protection locked="0"/>
    </xf>
    <xf numFmtId="0" fontId="13" fillId="2" borderId="0" xfId="0" applyFont="1" applyFill="1" applyAlignment="1" applyProtection="1">
      <alignment horizontal="left" vertical="center" wrapText="1"/>
      <protection locked="0"/>
    </xf>
    <xf numFmtId="0" fontId="5" fillId="2" borderId="6" xfId="0" applyFont="1" applyFill="1" applyBorder="1"/>
    <xf numFmtId="0" fontId="20" fillId="2" borderId="0" xfId="0" applyFont="1" applyFill="1"/>
    <xf numFmtId="0" fontId="36" fillId="2" borderId="0" xfId="0" applyFont="1" applyFill="1" applyAlignment="1">
      <alignment vertical="center"/>
    </xf>
    <xf numFmtId="4" fontId="35" fillId="2" borderId="0" xfId="0" applyNumberFormat="1" applyFont="1" applyFill="1" applyAlignment="1">
      <alignment horizontal="center"/>
    </xf>
    <xf numFmtId="0" fontId="35" fillId="2" borderId="0" xfId="0" applyFont="1" applyFill="1" applyAlignment="1">
      <alignment horizontal="center" vertical="center"/>
    </xf>
    <xf numFmtId="0" fontId="35" fillId="2" borderId="0" xfId="0" applyFont="1" applyFill="1" applyAlignment="1">
      <alignment vertical="top"/>
    </xf>
    <xf numFmtId="3" fontId="5" fillId="2" borderId="0" xfId="0" applyNumberFormat="1" applyFont="1" applyFill="1"/>
    <xf numFmtId="0" fontId="6" fillId="2" borderId="0" xfId="0" applyFont="1" applyFill="1" applyAlignment="1">
      <alignment horizontal="right" vertical="top"/>
    </xf>
    <xf numFmtId="0" fontId="15" fillId="2" borderId="0" xfId="0" applyFont="1" applyFill="1" applyAlignment="1" applyProtection="1">
      <alignment horizontal="left" vertical="top" wrapText="1"/>
      <protection locked="0"/>
    </xf>
    <xf numFmtId="0" fontId="5" fillId="2" borderId="0" xfId="0" applyFont="1" applyFill="1" applyAlignment="1" applyProtection="1">
      <alignment horizontal="center" vertical="center"/>
      <protection locked="0"/>
    </xf>
    <xf numFmtId="4" fontId="17" fillId="2" borderId="0" xfId="0" applyNumberFormat="1" applyFont="1" applyFill="1" applyAlignment="1">
      <alignment horizontal="center" vertical="center"/>
    </xf>
    <xf numFmtId="0" fontId="17" fillId="2" borderId="0" xfId="0" applyFont="1" applyFill="1" applyAlignment="1">
      <alignment horizontal="center" vertical="center"/>
    </xf>
    <xf numFmtId="3" fontId="35" fillId="2" borderId="0" xfId="0" applyNumberFormat="1" applyFont="1" applyFill="1"/>
    <xf numFmtId="0" fontId="38" fillId="2" borderId="0" xfId="0" applyFont="1" applyFill="1"/>
    <xf numFmtId="0" fontId="5" fillId="2" borderId="0" xfId="0" applyFont="1" applyFill="1" applyAlignment="1">
      <alignment horizontal="right"/>
    </xf>
    <xf numFmtId="0" fontId="5" fillId="2" borderId="0" xfId="0" applyFont="1" applyFill="1" applyAlignment="1" applyProtection="1">
      <alignment horizontal="left"/>
      <protection locked="0"/>
    </xf>
    <xf numFmtId="0" fontId="6" fillId="2" borderId="0" xfId="0" applyFont="1" applyFill="1" applyAlignment="1">
      <alignment horizontal="right" vertical="center"/>
    </xf>
    <xf numFmtId="0" fontId="37" fillId="2" borderId="0" xfId="0" applyFont="1" applyFill="1" applyAlignment="1">
      <alignment vertical="center"/>
    </xf>
    <xf numFmtId="0" fontId="34" fillId="2" borderId="0" xfId="0" applyFont="1" applyFill="1" applyAlignment="1">
      <alignment horizontal="center"/>
    </xf>
    <xf numFmtId="0" fontId="4" fillId="2" borderId="0" xfId="0" applyFont="1" applyFill="1" applyAlignment="1" applyProtection="1">
      <alignment horizontal="left" vertical="center" wrapText="1"/>
      <protection locked="0"/>
    </xf>
    <xf numFmtId="0" fontId="4" fillId="2" borderId="0" xfId="0" applyFont="1" applyFill="1" applyAlignment="1" applyProtection="1">
      <alignment horizontal="center" vertical="center" wrapText="1"/>
      <protection locked="0"/>
    </xf>
    <xf numFmtId="15" fontId="4" fillId="2" borderId="0" xfId="0" applyNumberFormat="1" applyFont="1" applyFill="1" applyAlignment="1" applyProtection="1">
      <alignment horizontal="center" vertical="center" wrapText="1"/>
      <protection locked="0"/>
    </xf>
    <xf numFmtId="0" fontId="35" fillId="2" borderId="0" xfId="0" applyFont="1" applyFill="1" applyAlignment="1">
      <alignment horizontal="right" vertical="center"/>
    </xf>
    <xf numFmtId="0" fontId="6" fillId="2" borderId="0" xfId="0" applyFont="1" applyFill="1" applyAlignment="1">
      <alignment vertical="center"/>
    </xf>
    <xf numFmtId="0" fontId="11" fillId="2" borderId="0" xfId="0" applyFont="1" applyFill="1"/>
    <xf numFmtId="0" fontId="21" fillId="2" borderId="0" xfId="0" applyFont="1" applyFill="1" applyAlignment="1" applyProtection="1">
      <alignment horizontal="right" vertical="center"/>
      <protection hidden="1"/>
    </xf>
    <xf numFmtId="0" fontId="35" fillId="6" borderId="40" xfId="0" applyFont="1" applyFill="1" applyBorder="1" applyAlignment="1" applyProtection="1">
      <alignment horizontal="center" vertical="center" wrapText="1"/>
      <protection locked="0"/>
    </xf>
    <xf numFmtId="0" fontId="0" fillId="0" borderId="0" xfId="0" applyAlignment="1">
      <alignment vertical="top"/>
    </xf>
    <xf numFmtId="4" fontId="7" fillId="2" borderId="0" xfId="0" applyNumberFormat="1" applyFont="1" applyFill="1" applyAlignment="1">
      <alignment horizontal="right" vertical="center" indent="3"/>
    </xf>
    <xf numFmtId="4" fontId="19" fillId="2" borderId="0" xfId="0" applyNumberFormat="1" applyFont="1" applyFill="1" applyAlignment="1">
      <alignment horizontal="center" vertical="center"/>
    </xf>
    <xf numFmtId="4" fontId="5" fillId="2" borderId="0" xfId="0" applyNumberFormat="1" applyFont="1" applyFill="1" applyAlignment="1">
      <alignment vertical="center"/>
    </xf>
    <xf numFmtId="0" fontId="4" fillId="2" borderId="0" xfId="0" applyFont="1" applyFill="1" applyAlignment="1">
      <alignment vertical="center" wrapText="1"/>
    </xf>
    <xf numFmtId="0" fontId="4" fillId="2" borderId="0" xfId="0" applyFont="1" applyFill="1"/>
    <xf numFmtId="0" fontId="42" fillId="0" borderId="0" xfId="3" applyNumberFormat="1" applyFont="1"/>
    <xf numFmtId="0" fontId="4" fillId="0" borderId="0" xfId="3" applyNumberFormat="1"/>
    <xf numFmtId="0" fontId="4" fillId="0" borderId="0" xfId="3" applyNumberFormat="1" applyAlignment="1">
      <alignment horizontal="center"/>
    </xf>
    <xf numFmtId="0" fontId="43" fillId="0" borderId="0" xfId="3" applyNumberFormat="1" applyFont="1"/>
    <xf numFmtId="0" fontId="44" fillId="0" borderId="0" xfId="3" applyNumberFormat="1" applyFont="1"/>
    <xf numFmtId="0" fontId="44" fillId="0" borderId="0" xfId="3" applyNumberFormat="1" applyFont="1" applyAlignment="1">
      <alignment horizontal="right"/>
    </xf>
    <xf numFmtId="14" fontId="44" fillId="0" borderId="0" xfId="3" applyNumberFormat="1" applyFont="1"/>
    <xf numFmtId="4" fontId="45" fillId="0" borderId="0" xfId="3" applyNumberFormat="1" applyFont="1"/>
    <xf numFmtId="0" fontId="45" fillId="0" borderId="0" xfId="3" applyNumberFormat="1" applyFont="1"/>
    <xf numFmtId="0" fontId="21" fillId="0" borderId="0" xfId="3" applyNumberFormat="1" applyFont="1"/>
    <xf numFmtId="0" fontId="45" fillId="0" borderId="0" xfId="3" applyNumberFormat="1" applyFont="1" applyAlignment="1">
      <alignment horizontal="center"/>
    </xf>
    <xf numFmtId="4" fontId="4" fillId="0" borderId="0" xfId="3" applyNumberFormat="1"/>
    <xf numFmtId="4" fontId="11" fillId="2" borderId="0" xfId="0" applyNumberFormat="1" applyFont="1" applyFill="1" applyAlignment="1">
      <alignment horizontal="center"/>
    </xf>
    <xf numFmtId="2" fontId="5" fillId="2" borderId="40" xfId="0" applyNumberFormat="1" applyFont="1" applyFill="1" applyBorder="1" applyAlignment="1" applyProtection="1">
      <alignment horizontal="center"/>
      <protection locked="0"/>
    </xf>
    <xf numFmtId="9" fontId="35" fillId="6" borderId="40" xfId="0" applyNumberFormat="1" applyFont="1" applyFill="1" applyBorder="1" applyAlignment="1">
      <alignment horizontal="center"/>
    </xf>
    <xf numFmtId="0" fontId="15" fillId="2" borderId="0" xfId="0" applyFont="1" applyFill="1" applyAlignment="1">
      <alignment horizontal="right"/>
    </xf>
    <xf numFmtId="0" fontId="35" fillId="6" borderId="1" xfId="0" applyFont="1" applyFill="1" applyBorder="1" applyAlignment="1">
      <alignment horizontal="center" vertical="center" wrapText="1"/>
    </xf>
    <xf numFmtId="4" fontId="5" fillId="2" borderId="0" xfId="0" applyNumberFormat="1" applyFont="1" applyFill="1" applyAlignment="1">
      <alignment horizontal="center"/>
    </xf>
    <xf numFmtId="0" fontId="6" fillId="2" borderId="0" xfId="0" applyFont="1" applyFill="1" applyAlignment="1">
      <alignment horizontal="center"/>
    </xf>
    <xf numFmtId="4" fontId="5" fillId="2" borderId="0" xfId="0" applyNumberFormat="1" applyFont="1" applyFill="1"/>
    <xf numFmtId="0" fontId="35" fillId="2" borderId="0" xfId="0" applyFont="1" applyFill="1" applyAlignment="1">
      <alignment horizontal="left" indent="2"/>
    </xf>
    <xf numFmtId="4" fontId="35" fillId="2" borderId="0" xfId="0" applyNumberFormat="1" applyFont="1" applyFill="1" applyAlignment="1">
      <alignment horizontal="right" indent="2"/>
    </xf>
    <xf numFmtId="0" fontId="23" fillId="2" borderId="0" xfId="0" applyFont="1" applyFill="1" applyAlignment="1">
      <alignment vertical="center"/>
    </xf>
    <xf numFmtId="0" fontId="35" fillId="2" borderId="9" xfId="0" applyFont="1" applyFill="1" applyBorder="1"/>
    <xf numFmtId="0" fontId="23" fillId="2" borderId="0" xfId="0" applyFont="1" applyFill="1"/>
    <xf numFmtId="4" fontId="17" fillId="2" borderId="0" xfId="0" applyNumberFormat="1" applyFont="1" applyFill="1" applyAlignment="1">
      <alignment horizontal="right" vertical="center" indent="3"/>
    </xf>
    <xf numFmtId="0" fontId="37" fillId="0" borderId="0" xfId="0" applyFont="1"/>
    <xf numFmtId="0" fontId="4" fillId="2" borderId="0" xfId="0" applyFont="1" applyFill="1" applyAlignment="1">
      <alignment vertical="justify" wrapText="1"/>
    </xf>
    <xf numFmtId="0" fontId="46" fillId="2" borderId="0" xfId="0" applyFont="1" applyFill="1"/>
    <xf numFmtId="0" fontId="0" fillId="0" borderId="50" xfId="0" applyBorder="1"/>
    <xf numFmtId="0" fontId="35" fillId="6" borderId="65" xfId="0" applyFont="1" applyFill="1" applyBorder="1" applyAlignment="1">
      <alignment horizontal="center" vertical="center"/>
    </xf>
    <xf numFmtId="0" fontId="35" fillId="6" borderId="65" xfId="0" applyFont="1" applyFill="1" applyBorder="1" applyAlignment="1">
      <alignment horizontal="center" vertical="center" wrapText="1"/>
    </xf>
    <xf numFmtId="4" fontId="5" fillId="2" borderId="40" xfId="0" applyNumberFormat="1" applyFont="1" applyFill="1" applyBorder="1" applyAlignment="1" applyProtection="1">
      <alignment vertical="center"/>
      <protection locked="0"/>
    </xf>
    <xf numFmtId="0" fontId="6" fillId="2" borderId="0" xfId="0" applyFont="1" applyFill="1" applyAlignment="1">
      <alignment horizontal="center" vertical="center"/>
    </xf>
    <xf numFmtId="0" fontId="8" fillId="2" borderId="0" xfId="0" applyFont="1" applyFill="1" applyAlignment="1">
      <alignment vertical="center"/>
    </xf>
    <xf numFmtId="168" fontId="8" fillId="2" borderId="0" xfId="0" applyNumberFormat="1" applyFont="1" applyFill="1" applyAlignment="1">
      <alignment vertical="center"/>
    </xf>
    <xf numFmtId="168" fontId="19" fillId="2" borderId="0" xfId="0" applyNumberFormat="1" applyFont="1" applyFill="1" applyAlignment="1">
      <alignment vertical="center"/>
    </xf>
    <xf numFmtId="168" fontId="8" fillId="2" borderId="0" xfId="0" applyNumberFormat="1" applyFont="1" applyFill="1" applyAlignment="1">
      <alignment horizontal="left" vertical="center" indent="1"/>
    </xf>
    <xf numFmtId="4" fontId="8" fillId="2" borderId="0" xfId="0" applyNumberFormat="1" applyFont="1" applyFill="1" applyAlignment="1">
      <alignment horizontal="center" vertical="center"/>
    </xf>
    <xf numFmtId="4" fontId="8" fillId="2" borderId="0" xfId="0" applyNumberFormat="1" applyFont="1" applyFill="1" applyAlignment="1">
      <alignment horizontal="center" vertical="justify"/>
    </xf>
    <xf numFmtId="0" fontId="25" fillId="2" borderId="0" xfId="0" applyFont="1" applyFill="1"/>
    <xf numFmtId="0" fontId="24" fillId="2" borderId="0" xfId="0" applyFont="1" applyFill="1" applyAlignment="1">
      <alignment vertical="center"/>
    </xf>
    <xf numFmtId="168" fontId="24" fillId="2" borderId="0" xfId="0" applyNumberFormat="1" applyFont="1" applyFill="1" applyAlignment="1">
      <alignment vertical="center"/>
    </xf>
    <xf numFmtId="0" fontId="25" fillId="2" borderId="0" xfId="0" applyFont="1" applyFill="1" applyAlignment="1">
      <alignment horizontal="left" indent="1"/>
    </xf>
    <xf numFmtId="0" fontId="26" fillId="2" borderId="0" xfId="0" applyFont="1" applyFill="1"/>
    <xf numFmtId="0" fontId="0" fillId="2" borderId="0" xfId="0" applyFill="1" applyProtection="1">
      <protection locked="0"/>
    </xf>
    <xf numFmtId="0" fontId="31" fillId="0" borderId="0" xfId="0" applyFont="1"/>
    <xf numFmtId="0" fontId="49" fillId="2" borderId="0" xfId="5" applyFont="1" applyFill="1" applyAlignment="1">
      <alignment vertical="top"/>
    </xf>
    <xf numFmtId="0" fontId="4" fillId="2" borderId="0" xfId="5" applyFill="1" applyAlignment="1">
      <alignment vertical="top"/>
    </xf>
    <xf numFmtId="0" fontId="50" fillId="2" borderId="0" xfId="5" applyFont="1" applyFill="1" applyAlignment="1">
      <alignment vertical="top"/>
    </xf>
    <xf numFmtId="0" fontId="4" fillId="2" borderId="0" xfId="5" applyFill="1" applyAlignment="1" applyProtection="1">
      <alignment vertical="top"/>
      <protection hidden="1"/>
    </xf>
    <xf numFmtId="0" fontId="4" fillId="2" borderId="0" xfId="5" applyFill="1" applyAlignment="1" applyProtection="1">
      <alignment horizontal="left" vertical="top"/>
      <protection hidden="1"/>
    </xf>
    <xf numFmtId="0" fontId="35" fillId="2" borderId="0" xfId="5" applyFont="1" applyFill="1" applyAlignment="1">
      <alignment vertical="top"/>
    </xf>
    <xf numFmtId="49" fontId="5" fillId="2" borderId="0" xfId="0" applyNumberFormat="1" applyFont="1" applyFill="1" applyAlignment="1" applyProtection="1">
      <alignment horizontal="center" vertical="center"/>
      <protection locked="0"/>
    </xf>
    <xf numFmtId="0" fontId="35" fillId="2" borderId="46" xfId="0" applyFont="1" applyFill="1" applyBorder="1" applyAlignment="1">
      <alignment vertical="center"/>
    </xf>
    <xf numFmtId="0" fontId="35" fillId="2" borderId="70" xfId="0" applyFont="1" applyFill="1" applyBorder="1" applyAlignment="1">
      <alignment vertical="center"/>
    </xf>
    <xf numFmtId="0" fontId="35" fillId="2" borderId="43" xfId="0" applyFont="1" applyFill="1" applyBorder="1"/>
    <xf numFmtId="0" fontId="35" fillId="2" borderId="71" xfId="0" applyFont="1" applyFill="1" applyBorder="1"/>
    <xf numFmtId="0" fontId="51" fillId="2" borderId="0" xfId="0" applyFont="1" applyFill="1" applyAlignment="1">
      <alignment horizontal="left" vertical="center"/>
    </xf>
    <xf numFmtId="0" fontId="52" fillId="2" borderId="0" xfId="5" applyFont="1" applyFill="1" applyAlignment="1">
      <alignment vertical="top"/>
    </xf>
    <xf numFmtId="0" fontId="52" fillId="2" borderId="0" xfId="5" applyFont="1" applyFill="1" applyAlignment="1" applyProtection="1">
      <alignment vertical="top"/>
      <protection hidden="1"/>
    </xf>
    <xf numFmtId="0" fontId="31" fillId="2" borderId="0" xfId="0" applyFont="1" applyFill="1"/>
    <xf numFmtId="0" fontId="4" fillId="2" borderId="0" xfId="5" applyFill="1" applyAlignment="1">
      <alignment horizontal="left" vertical="top" indent="1"/>
    </xf>
    <xf numFmtId="0" fontId="35" fillId="2" borderId="0" xfId="0" applyFont="1" applyFill="1" applyAlignment="1">
      <alignment horizontal="left"/>
    </xf>
    <xf numFmtId="0" fontId="35" fillId="2" borderId="0" xfId="0" applyFont="1" applyFill="1" applyAlignment="1">
      <alignment wrapText="1"/>
    </xf>
    <xf numFmtId="0" fontId="16" fillId="2" borderId="0" xfId="0" applyFont="1" applyFill="1" applyAlignment="1">
      <alignment horizontal="center" vertical="center"/>
    </xf>
    <xf numFmtId="0" fontId="35" fillId="2" borderId="48" xfId="0" applyFont="1" applyFill="1" applyBorder="1" applyAlignment="1">
      <alignment horizontal="center"/>
    </xf>
    <xf numFmtId="0" fontId="8" fillId="2" borderId="0" xfId="0" applyFont="1" applyFill="1" applyAlignment="1">
      <alignment vertical="top"/>
    </xf>
    <xf numFmtId="0" fontId="35" fillId="6" borderId="40" xfId="0" applyFont="1" applyFill="1" applyBorder="1" applyAlignment="1">
      <alignment horizontal="center" vertical="center"/>
    </xf>
    <xf numFmtId="0" fontId="54" fillId="2" borderId="0" xfId="5" applyFont="1" applyFill="1" applyAlignment="1">
      <alignment vertical="top"/>
    </xf>
    <xf numFmtId="0" fontId="35" fillId="0" borderId="0" xfId="0" applyFont="1" applyAlignment="1">
      <alignment vertical="top"/>
    </xf>
    <xf numFmtId="0" fontId="0" fillId="0" borderId="0" xfId="0" applyAlignment="1">
      <alignment horizontal="center"/>
    </xf>
    <xf numFmtId="0" fontId="45" fillId="2" borderId="0" xfId="0" applyFont="1" applyFill="1" applyAlignment="1">
      <alignment horizontal="left" wrapText="1"/>
    </xf>
    <xf numFmtId="0" fontId="4" fillId="2" borderId="0" xfId="0" applyFont="1" applyFill="1" applyAlignment="1">
      <alignment horizontal="left" wrapText="1"/>
    </xf>
    <xf numFmtId="0" fontId="36" fillId="2" borderId="0" xfId="0" applyFont="1" applyFill="1" applyAlignment="1">
      <alignment horizontal="justify" vertical="top" wrapText="1"/>
    </xf>
    <xf numFmtId="0" fontId="36" fillId="2" borderId="0" xfId="0" applyFont="1" applyFill="1" applyAlignment="1">
      <alignment horizontal="center" vertical="center"/>
    </xf>
    <xf numFmtId="0" fontId="7" fillId="2" borderId="0" xfId="0" applyFont="1" applyFill="1" applyAlignment="1">
      <alignment horizontal="left" vertical="top" indent="1"/>
    </xf>
    <xf numFmtId="0" fontId="35" fillId="2" borderId="40" xfId="0" applyFont="1" applyFill="1" applyBorder="1" applyAlignment="1">
      <alignment horizontal="left" vertical="top" indent="1"/>
    </xf>
    <xf numFmtId="0" fontId="8" fillId="2" borderId="0" xfId="0" applyFont="1" applyFill="1" applyAlignment="1">
      <alignment horizontal="left" vertical="top" wrapText="1" indent="2"/>
    </xf>
    <xf numFmtId="170" fontId="35" fillId="2" borderId="0" xfId="0" applyNumberFormat="1" applyFont="1" applyFill="1" applyAlignment="1">
      <alignment horizontal="center" vertical="center" wrapText="1"/>
    </xf>
    <xf numFmtId="174" fontId="57" fillId="2" borderId="0" xfId="0" applyNumberFormat="1" applyFont="1" applyFill="1" applyAlignment="1">
      <alignment horizontal="right" vertical="center" indent="2"/>
    </xf>
    <xf numFmtId="0" fontId="6" fillId="2" borderId="0" xfId="0" applyFont="1" applyFill="1" applyAlignment="1">
      <alignment vertical="top" wrapText="1"/>
    </xf>
    <xf numFmtId="0" fontId="27" fillId="0" borderId="0" xfId="0" applyFont="1" applyAlignment="1">
      <alignment horizontal="center"/>
    </xf>
    <xf numFmtId="0" fontId="58" fillId="4" borderId="0" xfId="0" applyFont="1" applyFill="1" applyAlignment="1">
      <alignment horizontal="center" vertical="center" wrapText="1"/>
    </xf>
    <xf numFmtId="168" fontId="58" fillId="4" borderId="0" xfId="3" applyFont="1" applyFill="1" applyAlignment="1">
      <alignment horizontal="center" vertical="center" wrapText="1"/>
    </xf>
    <xf numFmtId="0" fontId="58" fillId="4" borderId="0" xfId="0" applyFont="1" applyFill="1" applyAlignment="1">
      <alignment horizontal="center" vertical="center"/>
    </xf>
    <xf numFmtId="0" fontId="27" fillId="3" borderId="0" xfId="0" applyFont="1" applyFill="1" applyAlignment="1">
      <alignment horizontal="center"/>
    </xf>
    <xf numFmtId="0" fontId="28" fillId="0" borderId="0" xfId="0" applyFont="1" applyAlignment="1">
      <alignment horizontal="center"/>
    </xf>
    <xf numFmtId="168" fontId="28" fillId="0" borderId="0" xfId="3" applyFont="1" applyAlignment="1">
      <alignment horizontal="center"/>
    </xf>
    <xf numFmtId="0" fontId="29" fillId="0" borderId="0" xfId="0" applyFont="1" applyAlignment="1">
      <alignment horizontal="center" vertical="center"/>
    </xf>
    <xf numFmtId="0" fontId="27" fillId="0" borderId="0" xfId="0" applyFont="1" applyAlignment="1">
      <alignment horizontal="center" vertical="center" wrapText="1"/>
    </xf>
    <xf numFmtId="0" fontId="59" fillId="0" borderId="0" xfId="0" applyFont="1" applyAlignment="1">
      <alignment horizontal="left" vertical="center" readingOrder="1"/>
    </xf>
    <xf numFmtId="0" fontId="35" fillId="2" borderId="0" xfId="0" applyFont="1" applyFill="1" applyAlignment="1">
      <alignment vertical="center" wrapText="1"/>
    </xf>
    <xf numFmtId="0" fontId="8" fillId="2" borderId="1" xfId="0" applyFont="1" applyFill="1" applyBorder="1" applyAlignment="1" applyProtection="1">
      <alignment horizontal="center" vertical="center"/>
      <protection locked="0"/>
    </xf>
    <xf numFmtId="0" fontId="56" fillId="2" borderId="0" xfId="0" applyFont="1" applyFill="1"/>
    <xf numFmtId="0" fontId="8" fillId="2" borderId="40" xfId="0" applyFont="1" applyFill="1" applyBorder="1" applyAlignment="1" applyProtection="1">
      <alignment horizontal="center" vertical="center"/>
      <protection locked="0"/>
    </xf>
    <xf numFmtId="0" fontId="8" fillId="2" borderId="58" xfId="0" applyFont="1" applyFill="1" applyBorder="1" applyAlignment="1" applyProtection="1">
      <alignment horizontal="center" vertical="center"/>
      <protection locked="0"/>
    </xf>
    <xf numFmtId="0" fontId="8" fillId="2" borderId="57" xfId="0" applyFont="1" applyFill="1" applyBorder="1" applyAlignment="1" applyProtection="1">
      <alignment horizontal="center" vertical="center"/>
      <protection locked="0"/>
    </xf>
    <xf numFmtId="0" fontId="60" fillId="2" borderId="0" xfId="0" applyFont="1" applyFill="1" applyAlignment="1">
      <alignment vertical="center"/>
    </xf>
    <xf numFmtId="0" fontId="35" fillId="6" borderId="40" xfId="0" applyFont="1" applyFill="1" applyBorder="1" applyAlignment="1">
      <alignment vertical="center"/>
    </xf>
    <xf numFmtId="0" fontId="5" fillId="2" borderId="0" xfId="5" applyFont="1" applyFill="1" applyAlignment="1">
      <alignment vertical="top"/>
    </xf>
    <xf numFmtId="0" fontId="48" fillId="0" borderId="0" xfId="0" applyFont="1" applyAlignment="1">
      <alignment horizontal="right"/>
    </xf>
    <xf numFmtId="0" fontId="31" fillId="2" borderId="0" xfId="0" applyFont="1" applyFill="1" applyAlignment="1">
      <alignment horizontal="right"/>
    </xf>
    <xf numFmtId="0" fontId="35" fillId="2" borderId="0" xfId="5" applyFont="1" applyFill="1" applyAlignment="1">
      <alignment horizontal="left" vertical="top"/>
    </xf>
    <xf numFmtId="0" fontId="35" fillId="2" borderId="0" xfId="0" applyFont="1" applyFill="1" applyAlignment="1">
      <alignment horizontal="right"/>
    </xf>
    <xf numFmtId="0" fontId="5" fillId="2" borderId="0" xfId="5" applyFont="1" applyFill="1" applyAlignment="1">
      <alignment horizontal="left" vertical="top"/>
    </xf>
    <xf numFmtId="0" fontId="5" fillId="2" borderId="125" xfId="0" applyFont="1" applyFill="1" applyBorder="1"/>
    <xf numFmtId="0" fontId="18" fillId="2" borderId="140" xfId="0" applyFont="1" applyFill="1" applyBorder="1" applyAlignment="1">
      <alignment horizontal="justify" vertical="top" wrapText="1"/>
    </xf>
    <xf numFmtId="0" fontId="36" fillId="2" borderId="145" xfId="0" applyFont="1" applyFill="1" applyBorder="1"/>
    <xf numFmtId="0" fontId="36" fillId="2" borderId="146" xfId="0" applyFont="1" applyFill="1" applyBorder="1"/>
    <xf numFmtId="0" fontId="5" fillId="2" borderId="140" xfId="0" applyFont="1" applyFill="1" applyBorder="1" applyAlignment="1">
      <alignment horizontal="justify" vertical="top" wrapText="1"/>
    </xf>
    <xf numFmtId="0" fontId="18" fillId="2" borderId="170" xfId="0" applyFont="1" applyFill="1" applyBorder="1" applyAlignment="1">
      <alignment horizontal="justify" vertical="top" wrapText="1"/>
    </xf>
    <xf numFmtId="0" fontId="5" fillId="2" borderId="170" xfId="0" applyFont="1" applyFill="1" applyBorder="1" applyAlignment="1">
      <alignment horizontal="justify" vertical="top" wrapText="1"/>
    </xf>
    <xf numFmtId="0" fontId="36" fillId="2" borderId="124" xfId="0" applyFont="1" applyFill="1" applyBorder="1"/>
    <xf numFmtId="0" fontId="56" fillId="2" borderId="0" xfId="0" applyFont="1" applyFill="1" applyAlignment="1">
      <alignment horizontal="left" wrapText="1"/>
    </xf>
    <xf numFmtId="0" fontId="35" fillId="2" borderId="0" xfId="0" applyFont="1" applyFill="1" applyAlignment="1">
      <alignment horizontal="center" vertical="center" wrapText="1"/>
    </xf>
    <xf numFmtId="0" fontId="35" fillId="2" borderId="0" xfId="0" applyFont="1" applyFill="1" applyAlignment="1">
      <alignment horizontal="left" vertical="top" wrapText="1"/>
    </xf>
    <xf numFmtId="0" fontId="4" fillId="2" borderId="0" xfId="0" applyFont="1" applyFill="1" applyAlignment="1">
      <alignment horizontal="left" vertical="justify" wrapText="1"/>
    </xf>
    <xf numFmtId="4" fontId="35" fillId="2" borderId="0" xfId="0" applyNumberFormat="1" applyFont="1" applyFill="1" applyAlignment="1">
      <alignment horizontal="center" vertical="center"/>
    </xf>
    <xf numFmtId="0" fontId="62" fillId="0" borderId="0" xfId="0" applyFont="1"/>
    <xf numFmtId="0" fontId="61" fillId="8" borderId="0" xfId="0" applyFont="1" applyFill="1"/>
    <xf numFmtId="0" fontId="5" fillId="2" borderId="40" xfId="0" applyFont="1" applyFill="1" applyBorder="1" applyAlignment="1" applyProtection="1">
      <alignment horizontal="center"/>
      <protection locked="0"/>
    </xf>
    <xf numFmtId="4" fontId="17" fillId="2" borderId="0" xfId="0" applyNumberFormat="1" applyFont="1" applyFill="1" applyAlignment="1">
      <alignment vertical="center"/>
    </xf>
    <xf numFmtId="0" fontId="36" fillId="2" borderId="52" xfId="0" applyFont="1" applyFill="1" applyBorder="1"/>
    <xf numFmtId="3" fontId="5" fillId="2" borderId="52" xfId="0" applyNumberFormat="1" applyFont="1" applyFill="1" applyBorder="1"/>
    <xf numFmtId="0" fontId="35" fillId="2" borderId="52" xfId="0" applyFont="1" applyFill="1" applyBorder="1"/>
    <xf numFmtId="0" fontId="6" fillId="2" borderId="52" xfId="0" applyFont="1" applyFill="1" applyBorder="1"/>
    <xf numFmtId="169" fontId="5" fillId="2" borderId="0" xfId="0" applyNumberFormat="1" applyFont="1" applyFill="1" applyAlignment="1" applyProtection="1">
      <alignment horizontal="center" vertical="center"/>
      <protection locked="0"/>
    </xf>
    <xf numFmtId="0" fontId="5" fillId="2" borderId="0" xfId="0" applyFont="1" applyFill="1" applyAlignment="1">
      <alignment horizontal="left" vertical="center"/>
    </xf>
    <xf numFmtId="0" fontId="11" fillId="2" borderId="0" xfId="0" applyFont="1" applyFill="1" applyAlignment="1">
      <alignment horizontal="center"/>
    </xf>
    <xf numFmtId="4" fontId="5" fillId="2" borderId="0" xfId="0" applyNumberFormat="1" applyFont="1" applyFill="1" applyAlignment="1" applyProtection="1">
      <alignment horizontal="right" indent="1"/>
      <protection locked="0"/>
    </xf>
    <xf numFmtId="4" fontId="36" fillId="2" borderId="0" xfId="0" applyNumberFormat="1" applyFont="1" applyFill="1" applyAlignment="1">
      <alignment horizontal="center"/>
    </xf>
    <xf numFmtId="169" fontId="5" fillId="2" borderId="0" xfId="0" applyNumberFormat="1" applyFont="1" applyFill="1" applyAlignment="1">
      <alignment horizontal="right" vertical="center" indent="3"/>
    </xf>
    <xf numFmtId="169" fontId="5" fillId="2" borderId="0" xfId="0" applyNumberFormat="1" applyFont="1" applyFill="1" applyAlignment="1" applyProtection="1">
      <alignment horizontal="right" vertical="center" indent="3"/>
      <protection locked="0"/>
    </xf>
    <xf numFmtId="169" fontId="35" fillId="2" borderId="0" xfId="0" applyNumberFormat="1" applyFont="1" applyFill="1" applyAlignment="1">
      <alignment horizontal="center" vertical="center"/>
    </xf>
    <xf numFmtId="167" fontId="35" fillId="2" borderId="0" xfId="0" applyNumberFormat="1" applyFont="1" applyFill="1" applyAlignment="1">
      <alignment horizontal="center" vertical="center"/>
    </xf>
    <xf numFmtId="169" fontId="5" fillId="2" borderId="0" xfId="0" applyNumberFormat="1" applyFont="1" applyFill="1" applyAlignment="1" applyProtection="1">
      <alignment horizontal="right" vertical="center" indent="2"/>
      <protection locked="0"/>
    </xf>
    <xf numFmtId="4" fontId="35" fillId="2" borderId="0" xfId="0" applyNumberFormat="1" applyFont="1" applyFill="1" applyAlignment="1">
      <alignment horizontal="right" vertical="center" indent="3"/>
    </xf>
    <xf numFmtId="2" fontId="35" fillId="2" borderId="0" xfId="0" applyNumberFormat="1" applyFont="1" applyFill="1"/>
    <xf numFmtId="2" fontId="35" fillId="2" borderId="0" xfId="0" applyNumberFormat="1" applyFont="1" applyFill="1" applyAlignment="1">
      <alignment vertical="center"/>
    </xf>
    <xf numFmtId="0" fontId="0" fillId="0" borderId="0" xfId="0" applyAlignment="1">
      <alignment vertical="center"/>
    </xf>
    <xf numFmtId="2" fontId="8" fillId="2" borderId="0" xfId="0" applyNumberFormat="1" applyFont="1" applyFill="1" applyAlignment="1">
      <alignment horizontal="center"/>
    </xf>
    <xf numFmtId="2" fontId="63" fillId="2" borderId="0" xfId="0" applyNumberFormat="1" applyFont="1" applyFill="1"/>
    <xf numFmtId="0" fontId="15" fillId="2" borderId="0" xfId="0" applyFont="1" applyFill="1" applyAlignment="1">
      <alignment horizontal="center" vertical="center"/>
    </xf>
    <xf numFmtId="0" fontId="15" fillId="2" borderId="0" xfId="0" applyFont="1" applyFill="1" applyAlignment="1">
      <alignment horizontal="left" vertical="center" wrapText="1"/>
    </xf>
    <xf numFmtId="0" fontId="36" fillId="2" borderId="0" xfId="0" applyFont="1" applyFill="1" applyAlignment="1">
      <alignment horizontal="center"/>
    </xf>
    <xf numFmtId="2" fontId="31" fillId="6" borderId="40" xfId="0" applyNumberFormat="1" applyFont="1" applyFill="1" applyBorder="1" applyAlignment="1">
      <alignment horizontal="center"/>
    </xf>
    <xf numFmtId="0" fontId="65" fillId="2" borderId="0" xfId="0" applyFont="1" applyFill="1" applyAlignment="1">
      <alignment vertical="center"/>
    </xf>
    <xf numFmtId="0" fontId="27" fillId="2" borderId="0" xfId="0" applyFont="1" applyFill="1"/>
    <xf numFmtId="4" fontId="35" fillId="2" borderId="0" xfId="0" applyNumberFormat="1" applyFont="1" applyFill="1" applyAlignment="1">
      <alignment vertical="center"/>
    </xf>
    <xf numFmtId="0" fontId="66" fillId="2" borderId="0" xfId="0" applyFont="1" applyFill="1" applyAlignment="1">
      <alignment vertical="center"/>
    </xf>
    <xf numFmtId="4" fontId="0" fillId="0" borderId="0" xfId="0" applyNumberFormat="1"/>
    <xf numFmtId="0" fontId="68" fillId="0" borderId="0" xfId="0" applyFont="1"/>
    <xf numFmtId="166" fontId="0" fillId="0" borderId="0" xfId="11" applyFont="1"/>
    <xf numFmtId="10" fontId="0" fillId="0" borderId="0" xfId="0" applyNumberFormat="1"/>
    <xf numFmtId="0" fontId="69" fillId="0" borderId="0" xfId="0" applyFont="1"/>
    <xf numFmtId="0" fontId="5" fillId="8" borderId="0" xfId="0" applyFont="1" applyFill="1"/>
    <xf numFmtId="0" fontId="35" fillId="0" borderId="0" xfId="0" applyFont="1" applyAlignment="1">
      <alignment vertical="center"/>
    </xf>
    <xf numFmtId="0" fontId="5" fillId="0" borderId="0" xfId="0" applyFont="1" applyAlignment="1">
      <alignment vertical="center"/>
    </xf>
    <xf numFmtId="0" fontId="0" fillId="2" borderId="0" xfId="0" applyFill="1" applyAlignment="1">
      <alignment vertical="center"/>
    </xf>
    <xf numFmtId="0" fontId="7" fillId="8" borderId="0" xfId="0" applyFont="1" applyFill="1" applyAlignment="1">
      <alignment vertical="top"/>
    </xf>
    <xf numFmtId="0" fontId="5" fillId="8" borderId="40" xfId="0" applyFont="1" applyFill="1" applyBorder="1" applyAlignment="1" applyProtection="1">
      <alignment horizontal="center"/>
      <protection locked="0"/>
    </xf>
    <xf numFmtId="2" fontId="5" fillId="8" borderId="40" xfId="0" applyNumberFormat="1" applyFont="1" applyFill="1" applyBorder="1" applyAlignment="1" applyProtection="1">
      <alignment horizontal="center"/>
      <protection locked="0"/>
    </xf>
    <xf numFmtId="0" fontId="0" fillId="8" borderId="0" xfId="0" applyFill="1"/>
    <xf numFmtId="0" fontId="35" fillId="8" borderId="46" xfId="0" applyFont="1" applyFill="1" applyBorder="1" applyAlignment="1">
      <alignment vertical="center"/>
    </xf>
    <xf numFmtId="0" fontId="35" fillId="8" borderId="70" xfId="0" applyFont="1" applyFill="1" applyBorder="1" applyAlignment="1">
      <alignment vertical="center"/>
    </xf>
    <xf numFmtId="0" fontId="35" fillId="8" borderId="0" xfId="5" applyFont="1" applyFill="1" applyAlignment="1">
      <alignment vertical="top"/>
    </xf>
    <xf numFmtId="0" fontId="5" fillId="8" borderId="0" xfId="5" applyFont="1" applyFill="1" applyAlignment="1">
      <alignment horizontal="left" vertical="top"/>
    </xf>
    <xf numFmtId="0" fontId="35" fillId="8" borderId="0" xfId="0" applyFont="1" applyFill="1" applyAlignment="1">
      <alignment horizontal="center"/>
    </xf>
    <xf numFmtId="0" fontId="73" fillId="0" borderId="0" xfId="0" applyFont="1" applyAlignment="1">
      <alignment vertical="center"/>
    </xf>
    <xf numFmtId="0" fontId="78" fillId="0" borderId="0" xfId="0" applyFont="1"/>
    <xf numFmtId="169" fontId="79" fillId="0" borderId="194" xfId="0" applyNumberFormat="1" applyFont="1" applyBorder="1"/>
    <xf numFmtId="0" fontId="80" fillId="0" borderId="194" xfId="0" applyFont="1" applyBorder="1"/>
    <xf numFmtId="0" fontId="80" fillId="0" borderId="195" xfId="0" applyFont="1" applyBorder="1"/>
    <xf numFmtId="0" fontId="35" fillId="6" borderId="198" xfId="0" applyFont="1" applyFill="1" applyBorder="1"/>
    <xf numFmtId="0" fontId="80" fillId="6" borderId="193" xfId="0" applyFont="1" applyFill="1" applyBorder="1" applyAlignment="1">
      <alignment horizontal="center"/>
    </xf>
    <xf numFmtId="0" fontId="80" fillId="6" borderId="193" xfId="0" applyFont="1" applyFill="1" applyBorder="1"/>
    <xf numFmtId="0" fontId="80" fillId="6" borderId="197" xfId="0" applyFont="1" applyFill="1" applyBorder="1"/>
    <xf numFmtId="0" fontId="80" fillId="0" borderId="0" xfId="0" applyFont="1"/>
    <xf numFmtId="0" fontId="7" fillId="0" borderId="0" xfId="0" applyFont="1"/>
    <xf numFmtId="4" fontId="5" fillId="8" borderId="1" xfId="0" applyNumberFormat="1" applyFont="1" applyFill="1" applyBorder="1" applyAlignment="1" applyProtection="1">
      <alignment horizontal="center" vertical="center"/>
      <protection locked="0"/>
    </xf>
    <xf numFmtId="169" fontId="35" fillId="6" borderId="198" xfId="0" applyNumberFormat="1" applyFont="1" applyFill="1" applyBorder="1"/>
    <xf numFmtId="0" fontId="6" fillId="0" borderId="0" xfId="0" applyFont="1" applyAlignment="1">
      <alignment horizontal="center"/>
    </xf>
    <xf numFmtId="0" fontId="6" fillId="0" borderId="0" xfId="0" applyFont="1"/>
    <xf numFmtId="0" fontId="13" fillId="2" borderId="50" xfId="0" applyFont="1" applyFill="1" applyBorder="1" applyAlignment="1" applyProtection="1">
      <alignment horizontal="left" vertical="center" wrapText="1"/>
      <protection locked="0"/>
    </xf>
    <xf numFmtId="0" fontId="36" fillId="8" borderId="0" xfId="0" applyFont="1" applyFill="1"/>
    <xf numFmtId="0" fontId="35" fillId="8" borderId="0" xfId="0" applyFont="1" applyFill="1"/>
    <xf numFmtId="0" fontId="6" fillId="8" borderId="0" xfId="0" applyFont="1" applyFill="1"/>
    <xf numFmtId="4" fontId="5" fillId="2" borderId="1" xfId="0" applyNumberFormat="1" applyFont="1" applyFill="1" applyBorder="1" applyAlignment="1" applyProtection="1">
      <alignment horizontal="center" vertical="center"/>
      <protection locked="0"/>
    </xf>
    <xf numFmtId="0" fontId="32" fillId="0" borderId="0" xfId="12"/>
    <xf numFmtId="0" fontId="62" fillId="0" borderId="0" xfId="12" applyFont="1"/>
    <xf numFmtId="0" fontId="62" fillId="0" borderId="0" xfId="12" applyFont="1" applyAlignment="1">
      <alignment wrapText="1"/>
    </xf>
    <xf numFmtId="0" fontId="32" fillId="0" borderId="0" xfId="12" applyAlignment="1">
      <alignment wrapText="1"/>
    </xf>
    <xf numFmtId="9" fontId="32" fillId="0" borderId="0" xfId="12" applyNumberFormat="1"/>
    <xf numFmtId="0" fontId="84" fillId="0" borderId="206" xfId="12" applyFont="1" applyBorder="1"/>
    <xf numFmtId="0" fontId="85" fillId="0" borderId="0" xfId="12" applyFont="1"/>
    <xf numFmtId="0" fontId="24" fillId="0" borderId="207" xfId="12" applyFont="1" applyBorder="1"/>
    <xf numFmtId="0" fontId="32" fillId="0" borderId="208" xfId="12" applyBorder="1"/>
    <xf numFmtId="0" fontId="74" fillId="0" borderId="208" xfId="12" applyFont="1" applyBorder="1"/>
    <xf numFmtId="0" fontId="75" fillId="0" borderId="208" xfId="12" applyFont="1" applyBorder="1"/>
    <xf numFmtId="0" fontId="24" fillId="0" borderId="211" xfId="12" applyFont="1" applyBorder="1"/>
    <xf numFmtId="0" fontId="32" fillId="0" borderId="212" xfId="12" applyBorder="1"/>
    <xf numFmtId="0" fontId="75" fillId="0" borderId="212" xfId="12" applyFont="1" applyBorder="1"/>
    <xf numFmtId="0" fontId="74" fillId="0" borderId="182" xfId="12" applyFont="1" applyBorder="1"/>
    <xf numFmtId="0" fontId="75" fillId="0" borderId="215" xfId="12" applyFont="1" applyBorder="1"/>
    <xf numFmtId="0" fontId="24" fillId="0" borderId="211" xfId="12" applyFont="1" applyBorder="1" applyAlignment="1">
      <alignment vertical="center"/>
    </xf>
    <xf numFmtId="0" fontId="24" fillId="0" borderId="216" xfId="12" applyFont="1" applyBorder="1"/>
    <xf numFmtId="0" fontId="32" fillId="0" borderId="217" xfId="12" applyBorder="1"/>
    <xf numFmtId="0" fontId="75" fillId="0" borderId="217" xfId="12" applyFont="1" applyBorder="1"/>
    <xf numFmtId="0" fontId="75" fillId="0" borderId="220" xfId="12" applyFont="1" applyBorder="1"/>
    <xf numFmtId="0" fontId="32" fillId="0" borderId="221" xfId="12" applyBorder="1"/>
    <xf numFmtId="0" fontId="32" fillId="0" borderId="196" xfId="12" applyBorder="1"/>
    <xf numFmtId="0" fontId="75" fillId="0" borderId="196" xfId="12" applyFont="1" applyBorder="1"/>
    <xf numFmtId="0" fontId="75" fillId="0" borderId="222" xfId="12" applyFont="1" applyBorder="1"/>
    <xf numFmtId="0" fontId="24" fillId="0" borderId="0" xfId="12" applyFont="1"/>
    <xf numFmtId="0" fontId="84" fillId="0" borderId="223" xfId="12" applyFont="1" applyBorder="1"/>
    <xf numFmtId="0" fontId="74" fillId="0" borderId="211" xfId="12" applyFont="1" applyBorder="1" applyAlignment="1">
      <alignment vertical="center"/>
    </xf>
    <xf numFmtId="0" fontId="74" fillId="0" borderId="211" xfId="12" applyFont="1" applyBorder="1"/>
    <xf numFmtId="0" fontId="74" fillId="0" borderId="212" xfId="12" applyFont="1" applyBorder="1"/>
    <xf numFmtId="0" fontId="24" fillId="0" borderId="39" xfId="12" applyFont="1" applyBorder="1"/>
    <xf numFmtId="0" fontId="75" fillId="0" borderId="224" xfId="12" applyFont="1" applyBorder="1" applyAlignment="1">
      <alignment horizontal="center"/>
    </xf>
    <xf numFmtId="0" fontId="75" fillId="0" borderId="0" xfId="12" applyFont="1" applyAlignment="1">
      <alignment horizontal="center"/>
    </xf>
    <xf numFmtId="0" fontId="75" fillId="0" borderId="225" xfId="12" applyFont="1" applyBorder="1" applyAlignment="1">
      <alignment horizontal="center"/>
    </xf>
    <xf numFmtId="0" fontId="75" fillId="0" borderId="0" xfId="12" applyFont="1"/>
    <xf numFmtId="0" fontId="75" fillId="0" borderId="226" xfId="12" applyFont="1" applyBorder="1"/>
    <xf numFmtId="0" fontId="32" fillId="0" borderId="39" xfId="12" applyBorder="1"/>
    <xf numFmtId="0" fontId="75" fillId="0" borderId="214" xfId="12" applyFont="1" applyBorder="1"/>
    <xf numFmtId="0" fontId="74" fillId="0" borderId="212" xfId="12" applyFont="1" applyBorder="1" applyAlignment="1">
      <alignment vertical="center"/>
    </xf>
    <xf numFmtId="0" fontId="75" fillId="0" borderId="212" xfId="12" applyFont="1" applyBorder="1" applyAlignment="1">
      <alignment horizontal="center"/>
    </xf>
    <xf numFmtId="0" fontId="32" fillId="8" borderId="0" xfId="12" applyFill="1"/>
    <xf numFmtId="0" fontId="24" fillId="8" borderId="0" xfId="12" applyFont="1" applyFill="1"/>
    <xf numFmtId="0" fontId="32" fillId="0" borderId="206" xfId="12" applyBorder="1"/>
    <xf numFmtId="0" fontId="32" fillId="0" borderId="236" xfId="12" applyBorder="1"/>
    <xf numFmtId="0" fontId="32" fillId="0" borderId="237" xfId="12" applyBorder="1"/>
    <xf numFmtId="0" fontId="75" fillId="0" borderId="238" xfId="12" applyFont="1" applyBorder="1" applyAlignment="1">
      <alignment vertical="top" wrapText="1"/>
    </xf>
    <xf numFmtId="0" fontId="75" fillId="0" borderId="236" xfId="12" applyFont="1" applyBorder="1" applyAlignment="1">
      <alignment vertical="top" wrapText="1"/>
    </xf>
    <xf numFmtId="0" fontId="75" fillId="0" borderId="239" xfId="12" applyFont="1" applyBorder="1" applyAlignment="1">
      <alignment vertical="top" wrapText="1"/>
    </xf>
    <xf numFmtId="0" fontId="88" fillId="0" borderId="0" xfId="12" applyFont="1"/>
    <xf numFmtId="0" fontId="70" fillId="0" borderId="0" xfId="12" applyFont="1"/>
    <xf numFmtId="0" fontId="21" fillId="0" borderId="0" xfId="12" applyFont="1"/>
    <xf numFmtId="180" fontId="70" fillId="0" borderId="0" xfId="12" applyNumberFormat="1" applyFont="1"/>
    <xf numFmtId="180" fontId="32" fillId="0" borderId="0" xfId="12" applyNumberFormat="1"/>
    <xf numFmtId="4" fontId="32" fillId="0" borderId="0" xfId="12" applyNumberFormat="1" applyAlignment="1">
      <alignment horizontal="center"/>
    </xf>
    <xf numFmtId="0" fontId="24" fillId="0" borderId="0" xfId="12" applyFont="1" applyAlignment="1">
      <alignment horizontal="center"/>
    </xf>
    <xf numFmtId="181" fontId="21" fillId="0" borderId="0" xfId="12" applyNumberFormat="1" applyFont="1" applyAlignment="1">
      <alignment horizontal="right"/>
    </xf>
    <xf numFmtId="0" fontId="70" fillId="0" borderId="0" xfId="12" applyFont="1" applyAlignment="1">
      <alignment horizontal="center"/>
    </xf>
    <xf numFmtId="0" fontId="92" fillId="0" borderId="0" xfId="12" applyFont="1"/>
    <xf numFmtId="180" fontId="70" fillId="0" borderId="0" xfId="12" applyNumberFormat="1" applyFont="1" applyAlignment="1">
      <alignment horizontal="center"/>
    </xf>
    <xf numFmtId="0" fontId="84" fillId="0" borderId="0" xfId="12" applyFont="1"/>
    <xf numFmtId="2" fontId="24" fillId="0" borderId="0" xfId="12" applyNumberFormat="1" applyFont="1"/>
    <xf numFmtId="49" fontId="93" fillId="0" borderId="0" xfId="12" applyNumberFormat="1" applyFont="1"/>
    <xf numFmtId="4" fontId="24" fillId="0" borderId="0" xfId="12" applyNumberFormat="1" applyFont="1" applyAlignment="1">
      <alignment horizontal="center"/>
    </xf>
    <xf numFmtId="0" fontId="32" fillId="0" borderId="0" xfId="12" applyAlignment="1">
      <alignment horizontal="center"/>
    </xf>
    <xf numFmtId="180" fontId="32" fillId="0" borderId="0" xfId="12" applyNumberFormat="1" applyAlignment="1">
      <alignment horizontal="center"/>
    </xf>
    <xf numFmtId="0" fontId="95" fillId="0" borderId="0" xfId="12" applyFont="1"/>
    <xf numFmtId="0" fontId="96" fillId="0" borderId="0" xfId="12" applyFont="1" applyAlignment="1">
      <alignment horizontal="left" wrapText="1"/>
    </xf>
    <xf numFmtId="0" fontId="48" fillId="2" borderId="0" xfId="0" applyFont="1" applyFill="1" applyAlignment="1">
      <alignment horizontal="right"/>
    </xf>
    <xf numFmtId="0" fontId="24" fillId="8" borderId="39" xfId="12" applyFont="1" applyFill="1" applyBorder="1"/>
    <xf numFmtId="0" fontId="87" fillId="0" borderId="212" xfId="12" applyFont="1" applyBorder="1" applyAlignment="1">
      <alignment vertical="center"/>
    </xf>
    <xf numFmtId="0" fontId="9" fillId="8" borderId="0" xfId="0" applyFont="1" applyFill="1"/>
    <xf numFmtId="0" fontId="6" fillId="8" borderId="0" xfId="0" applyFont="1" applyFill="1" applyAlignment="1">
      <alignment vertical="top"/>
    </xf>
    <xf numFmtId="0" fontId="5" fillId="8" borderId="0" xfId="0" applyFont="1" applyFill="1" applyAlignment="1">
      <alignment horizontal="left" indent="1"/>
    </xf>
    <xf numFmtId="0" fontId="28" fillId="0" borderId="0" xfId="0" applyFont="1" applyAlignment="1">
      <alignment horizontal="center" wrapText="1"/>
    </xf>
    <xf numFmtId="168" fontId="14" fillId="8" borderId="0" xfId="2" quotePrefix="1" applyFill="1"/>
    <xf numFmtId="0" fontId="51" fillId="8" borderId="0" xfId="0" applyFont="1" applyFill="1" applyAlignment="1">
      <alignment horizontal="left" vertical="center"/>
    </xf>
    <xf numFmtId="0" fontId="50" fillId="8" borderId="0" xfId="5" applyFont="1" applyFill="1" applyAlignment="1">
      <alignment vertical="top"/>
    </xf>
    <xf numFmtId="0" fontId="4" fillId="8" borderId="0" xfId="5" applyFill="1" applyAlignment="1">
      <alignment vertical="top"/>
    </xf>
    <xf numFmtId="0" fontId="10" fillId="8" borderId="0" xfId="0" applyFont="1" applyFill="1"/>
    <xf numFmtId="0" fontId="37" fillId="8" borderId="0" xfId="0" applyFont="1" applyFill="1"/>
    <xf numFmtId="0" fontId="38" fillId="8" borderId="0" xfId="0" applyFont="1" applyFill="1"/>
    <xf numFmtId="3" fontId="35" fillId="8" borderId="0" xfId="0" applyNumberFormat="1" applyFont="1" applyFill="1"/>
    <xf numFmtId="0" fontId="36" fillId="8" borderId="0" xfId="0" applyFont="1" applyFill="1" applyAlignment="1">
      <alignment horizontal="right"/>
    </xf>
    <xf numFmtId="0" fontId="35" fillId="8" borderId="0" xfId="0" applyFont="1" applyFill="1" applyAlignment="1">
      <alignment horizontal="right"/>
    </xf>
    <xf numFmtId="3" fontId="5" fillId="8" borderId="0" xfId="0" applyNumberFormat="1" applyFont="1" applyFill="1"/>
    <xf numFmtId="0" fontId="28" fillId="2" borderId="38" xfId="5" applyFont="1" applyFill="1" applyBorder="1" applyAlignment="1">
      <alignment vertical="top"/>
    </xf>
    <xf numFmtId="168" fontId="27" fillId="12" borderId="0" xfId="3" applyFont="1" applyFill="1" applyAlignment="1">
      <alignment horizontal="center" vertical="center" wrapText="1"/>
    </xf>
    <xf numFmtId="0" fontId="90" fillId="0" borderId="0" xfId="0" applyFont="1" applyAlignment="1">
      <alignment horizontal="center"/>
    </xf>
    <xf numFmtId="0" fontId="27" fillId="12" borderId="0" xfId="0" applyFont="1" applyFill="1" applyAlignment="1">
      <alignment vertical="center" wrapText="1"/>
    </xf>
    <xf numFmtId="0" fontId="35" fillId="6" borderId="192" xfId="0" applyFont="1" applyFill="1" applyBorder="1"/>
    <xf numFmtId="0" fontId="35" fillId="2" borderId="4" xfId="0" applyFont="1" applyFill="1" applyBorder="1" applyAlignment="1">
      <alignment vertical="center" wrapText="1"/>
    </xf>
    <xf numFmtId="0" fontId="35" fillId="2" borderId="5" xfId="0" applyFont="1" applyFill="1" applyBorder="1" applyAlignment="1">
      <alignment vertical="center" wrapText="1"/>
    </xf>
    <xf numFmtId="169" fontId="35" fillId="2" borderId="3" xfId="0" applyNumberFormat="1" applyFont="1" applyFill="1" applyBorder="1" applyAlignment="1">
      <alignment vertical="center"/>
    </xf>
    <xf numFmtId="0" fontId="24" fillId="8" borderId="40" xfId="0" applyFont="1" applyFill="1" applyBorder="1" applyAlignment="1" applyProtection="1">
      <alignment horizontal="right" vertical="center" indent="1"/>
      <protection locked="0"/>
    </xf>
    <xf numFmtId="0" fontId="24" fillId="8" borderId="40" xfId="0" applyFont="1" applyFill="1" applyBorder="1" applyAlignment="1" applyProtection="1">
      <alignment horizontal="center" vertical="center"/>
      <protection locked="0"/>
    </xf>
    <xf numFmtId="0" fontId="73" fillId="0" borderId="0" xfId="12" applyFont="1" applyAlignment="1">
      <alignment horizontal="justify" vertical="center"/>
    </xf>
    <xf numFmtId="0" fontId="101" fillId="0" borderId="0" xfId="12" applyFont="1"/>
    <xf numFmtId="0" fontId="32" fillId="0" borderId="0" xfId="12" applyAlignment="1">
      <alignment vertical="justify"/>
    </xf>
    <xf numFmtId="0" fontId="32" fillId="0" borderId="0" xfId="12" applyAlignment="1">
      <alignment vertical="center"/>
    </xf>
    <xf numFmtId="0" fontId="32" fillId="0" borderId="188" xfId="12" applyBorder="1"/>
    <xf numFmtId="1" fontId="66" fillId="0" borderId="0" xfId="12" applyNumberFormat="1" applyFont="1" applyAlignment="1">
      <alignment horizontal="right" vertical="center"/>
    </xf>
    <xf numFmtId="1" fontId="74" fillId="0" borderId="0" xfId="12" applyNumberFormat="1" applyFont="1" applyAlignment="1">
      <alignment horizontal="right" vertical="center"/>
    </xf>
    <xf numFmtId="0" fontId="87" fillId="0" borderId="0" xfId="12" applyFont="1"/>
    <xf numFmtId="4" fontId="32" fillId="0" borderId="0" xfId="12" applyNumberFormat="1"/>
    <xf numFmtId="0" fontId="70" fillId="9" borderId="286" xfId="12" quotePrefix="1" applyFont="1" applyFill="1" applyBorder="1"/>
    <xf numFmtId="0" fontId="32" fillId="9" borderId="286" xfId="12" applyFill="1" applyBorder="1"/>
    <xf numFmtId="4" fontId="74" fillId="0" borderId="0" xfId="12" applyNumberFormat="1" applyFont="1" applyAlignment="1">
      <alignment horizontal="right" vertical="center"/>
    </xf>
    <xf numFmtId="0" fontId="32" fillId="0" borderId="178" xfId="12" applyBorder="1"/>
    <xf numFmtId="176" fontId="70" fillId="0" borderId="178" xfId="12" applyNumberFormat="1" applyFont="1" applyBorder="1" applyAlignment="1">
      <alignment horizontal="justify"/>
    </xf>
    <xf numFmtId="0" fontId="70" fillId="0" borderId="178" xfId="12" quotePrefix="1" applyFont="1" applyBorder="1" applyAlignment="1">
      <alignment horizontal="justify"/>
    </xf>
    <xf numFmtId="0" fontId="32" fillId="0" borderId="178" xfId="12" applyBorder="1" applyAlignment="1">
      <alignment horizontal="justify"/>
    </xf>
    <xf numFmtId="0" fontId="70" fillId="9" borderId="274" xfId="12" applyFont="1" applyFill="1" applyBorder="1" applyAlignment="1">
      <alignment horizontal="justify"/>
    </xf>
    <xf numFmtId="179" fontId="75" fillId="0" borderId="0" xfId="12" applyNumberFormat="1" applyFont="1" applyAlignment="1">
      <alignment horizontal="left"/>
    </xf>
    <xf numFmtId="0" fontId="75" fillId="0" borderId="0" xfId="12" applyFont="1" applyAlignment="1">
      <alignment horizontal="left"/>
    </xf>
    <xf numFmtId="0" fontId="52" fillId="8" borderId="0" xfId="5" applyFont="1" applyFill="1" applyAlignment="1">
      <alignment vertical="top"/>
    </xf>
    <xf numFmtId="0" fontId="52" fillId="8" borderId="0" xfId="5" applyFont="1" applyFill="1" applyAlignment="1" applyProtection="1">
      <alignment vertical="top"/>
      <protection hidden="1"/>
    </xf>
    <xf numFmtId="0" fontId="7" fillId="8" borderId="0" xfId="0" applyFont="1" applyFill="1" applyAlignment="1">
      <alignment vertical="center"/>
    </xf>
    <xf numFmtId="0" fontId="78" fillId="8" borderId="0" xfId="0" applyFont="1" applyFill="1"/>
    <xf numFmtId="0" fontId="0" fillId="0" borderId="185" xfId="0" applyBorder="1" applyAlignment="1">
      <alignment vertical="center" wrapText="1"/>
    </xf>
    <xf numFmtId="0" fontId="0" fillId="0" borderId="0" xfId="0" applyAlignment="1">
      <alignment vertical="center" wrapText="1"/>
    </xf>
    <xf numFmtId="0" fontId="0" fillId="0" borderId="186" xfId="0" applyBorder="1" applyAlignment="1">
      <alignment vertical="center" wrapText="1"/>
    </xf>
    <xf numFmtId="0" fontId="0" fillId="0" borderId="185" xfId="0" applyBorder="1" applyAlignment="1">
      <alignment vertical="center"/>
    </xf>
    <xf numFmtId="0" fontId="0" fillId="0" borderId="186" xfId="0" applyBorder="1" applyAlignment="1">
      <alignment vertical="center"/>
    </xf>
    <xf numFmtId="0" fontId="71" fillId="0" borderId="185" xfId="0" applyFont="1" applyBorder="1" applyAlignment="1">
      <alignment vertical="center"/>
    </xf>
    <xf numFmtId="0" fontId="71" fillId="0" borderId="0" xfId="0" applyFont="1" applyAlignment="1">
      <alignment vertical="center"/>
    </xf>
    <xf numFmtId="0" fontId="71" fillId="0" borderId="186" xfId="0" applyFont="1" applyBorder="1" applyAlignment="1">
      <alignment vertical="center"/>
    </xf>
    <xf numFmtId="4" fontId="71" fillId="0" borderId="185" xfId="0" applyNumberFormat="1" applyFont="1" applyBorder="1" applyAlignment="1">
      <alignment vertical="center"/>
    </xf>
    <xf numFmtId="4" fontId="71" fillId="0" borderId="0" xfId="0" applyNumberFormat="1" applyFont="1" applyAlignment="1">
      <alignment vertical="center"/>
    </xf>
    <xf numFmtId="4" fontId="71" fillId="0" borderId="186" xfId="0" applyNumberFormat="1" applyFont="1" applyBorder="1" applyAlignment="1">
      <alignment vertical="center"/>
    </xf>
    <xf numFmtId="1" fontId="66" fillId="0" borderId="0" xfId="0" applyNumberFormat="1" applyFont="1" applyAlignment="1">
      <alignment vertical="center"/>
    </xf>
    <xf numFmtId="1" fontId="66" fillId="0" borderId="0" xfId="0" applyNumberFormat="1" applyFont="1" applyAlignment="1">
      <alignment vertical="center" textRotation="90" wrapText="1"/>
    </xf>
    <xf numFmtId="1" fontId="66" fillId="0" borderId="0" xfId="0" applyNumberFormat="1" applyFont="1" applyAlignment="1">
      <alignment vertical="center" wrapText="1"/>
    </xf>
    <xf numFmtId="0" fontId="103" fillId="2" borderId="0" xfId="0" applyFont="1" applyFill="1"/>
    <xf numFmtId="0" fontId="56" fillId="2" borderId="0" xfId="0" applyFont="1" applyFill="1" applyAlignment="1">
      <alignment vertical="center"/>
    </xf>
    <xf numFmtId="0" fontId="104" fillId="2" borderId="0" xfId="0" applyFont="1" applyFill="1" applyAlignment="1">
      <alignment vertical="center"/>
    </xf>
    <xf numFmtId="0" fontId="105" fillId="0" borderId="289" xfId="0" applyFont="1" applyBorder="1"/>
    <xf numFmtId="0" fontId="106" fillId="0" borderId="251" xfId="0" applyFont="1" applyBorder="1"/>
    <xf numFmtId="0" fontId="106" fillId="0" borderId="290" xfId="0" applyFont="1" applyBorder="1"/>
    <xf numFmtId="0" fontId="106" fillId="0" borderId="39" xfId="0" applyFont="1" applyBorder="1"/>
    <xf numFmtId="0" fontId="106" fillId="0" borderId="0" xfId="0" applyFont="1"/>
    <xf numFmtId="0" fontId="106" fillId="0" borderId="291" xfId="0" applyFont="1" applyBorder="1"/>
    <xf numFmtId="0" fontId="108" fillId="0" borderId="0" xfId="0" applyFont="1"/>
    <xf numFmtId="0" fontId="106" fillId="0" borderId="39" xfId="0" applyFont="1" applyBorder="1" applyAlignment="1">
      <alignment vertical="top"/>
    </xf>
    <xf numFmtId="0" fontId="108" fillId="0" borderId="0" xfId="0" applyFont="1" applyAlignment="1">
      <alignment vertical="top"/>
    </xf>
    <xf numFmtId="0" fontId="106" fillId="0" borderId="291" xfId="0" applyFont="1" applyBorder="1" applyAlignment="1">
      <alignment vertical="top"/>
    </xf>
    <xf numFmtId="0" fontId="108" fillId="0" borderId="0" xfId="0" quotePrefix="1" applyFont="1" applyAlignment="1">
      <alignment vertical="top"/>
    </xf>
    <xf numFmtId="0" fontId="108" fillId="0" borderId="0" xfId="0" quotePrefix="1" applyFont="1"/>
    <xf numFmtId="0" fontId="111" fillId="0" borderId="0" xfId="0" applyFont="1"/>
    <xf numFmtId="0" fontId="112" fillId="0" borderId="0" xfId="0" applyFont="1"/>
    <xf numFmtId="0" fontId="113" fillId="0" borderId="0" xfId="0" applyFont="1"/>
    <xf numFmtId="0" fontId="106" fillId="0" borderId="292" xfId="0" applyFont="1" applyBorder="1"/>
    <xf numFmtId="0" fontId="106" fillId="0" borderId="293" xfId="0" applyFont="1" applyBorder="1"/>
    <xf numFmtId="0" fontId="106" fillId="0" borderId="294" xfId="0" applyFont="1" applyBorder="1"/>
    <xf numFmtId="0" fontId="114" fillId="0" borderId="0" xfId="0" applyFont="1"/>
    <xf numFmtId="4" fontId="71" fillId="0" borderId="174" xfId="0" applyNumberFormat="1" applyFont="1" applyBorder="1" applyAlignment="1">
      <alignment horizontal="center" vertical="center"/>
    </xf>
    <xf numFmtId="4" fontId="71" fillId="0" borderId="175" xfId="0" applyNumberFormat="1" applyFont="1" applyBorder="1" applyAlignment="1">
      <alignment horizontal="center" vertical="center"/>
    </xf>
    <xf numFmtId="4" fontId="71" fillId="0" borderId="176" xfId="0" applyNumberFormat="1" applyFont="1" applyBorder="1" applyAlignment="1">
      <alignment horizontal="center" vertical="center"/>
    </xf>
    <xf numFmtId="4" fontId="5" fillId="8" borderId="40" xfId="0" applyNumberFormat="1" applyFont="1" applyFill="1" applyBorder="1" applyAlignment="1" applyProtection="1">
      <alignment horizontal="center" vertical="center"/>
      <protection locked="0"/>
    </xf>
    <xf numFmtId="0" fontId="0" fillId="0" borderId="177" xfId="0" applyBorder="1" applyAlignment="1">
      <alignment horizontal="center"/>
    </xf>
    <xf numFmtId="0" fontId="71" fillId="0" borderId="174" xfId="0" applyFont="1" applyBorder="1" applyAlignment="1">
      <alignment horizontal="center" vertical="center"/>
    </xf>
    <xf numFmtId="168" fontId="27" fillId="12" borderId="198" xfId="3" applyFont="1" applyFill="1" applyBorder="1" applyAlignment="1">
      <alignment horizontal="center" vertical="center" wrapText="1"/>
    </xf>
    <xf numFmtId="0" fontId="27" fillId="12" borderId="198" xfId="0" applyFont="1" applyFill="1" applyBorder="1" applyAlignment="1">
      <alignment vertical="center" wrapText="1"/>
    </xf>
    <xf numFmtId="0" fontId="28" fillId="0" borderId="198" xfId="0" applyFont="1" applyBorder="1" applyAlignment="1">
      <alignment horizontal="left"/>
    </xf>
    <xf numFmtId="0" fontId="28" fillId="0" borderId="198" xfId="0" applyFont="1" applyBorder="1" applyAlignment="1">
      <alignment horizontal="center"/>
    </xf>
    <xf numFmtId="0" fontId="28" fillId="0" borderId="198" xfId="0" quotePrefix="1" applyFont="1" applyBorder="1" applyAlignment="1">
      <alignment horizontal="center"/>
    </xf>
    <xf numFmtId="0" fontId="28" fillId="8" borderId="198" xfId="0" applyFont="1" applyFill="1" applyBorder="1" applyAlignment="1">
      <alignment horizontal="center"/>
    </xf>
    <xf numFmtId="177" fontId="74" fillId="0" borderId="187" xfId="0" applyNumberFormat="1" applyFont="1" applyBorder="1" applyAlignment="1">
      <alignment horizontal="left" vertical="center" wrapText="1"/>
    </xf>
    <xf numFmtId="177" fontId="74" fillId="0" borderId="188" xfId="0" applyNumberFormat="1" applyFont="1" applyBorder="1" applyAlignment="1">
      <alignment horizontal="left" vertical="center" wrapText="1"/>
    </xf>
    <xf numFmtId="177" fontId="74" fillId="0" borderId="189" xfId="0" applyNumberFormat="1" applyFont="1" applyBorder="1" applyAlignment="1">
      <alignment horizontal="left" vertical="center" wrapText="1"/>
    </xf>
    <xf numFmtId="177" fontId="74" fillId="0" borderId="191" xfId="0" applyNumberFormat="1" applyFont="1" applyBorder="1" applyAlignment="1">
      <alignment vertical="center" textRotation="90"/>
    </xf>
    <xf numFmtId="177" fontId="74" fillId="0" borderId="191" xfId="0" applyNumberFormat="1" applyFont="1" applyBorder="1" applyAlignment="1">
      <alignment vertical="center"/>
    </xf>
    <xf numFmtId="177" fontId="74" fillId="0" borderId="191" xfId="0" applyNumberFormat="1" applyFont="1" applyBorder="1" applyAlignment="1">
      <alignment horizontal="right" vertical="center"/>
    </xf>
    <xf numFmtId="177" fontId="75" fillId="0" borderId="191" xfId="0" applyNumberFormat="1" applyFont="1" applyBorder="1" applyAlignment="1">
      <alignment horizontal="right" vertical="center"/>
    </xf>
    <xf numFmtId="0" fontId="27" fillId="12" borderId="198" xfId="0" applyFont="1" applyFill="1" applyBorder="1" applyAlignment="1">
      <alignment horizontal="center" vertical="center" wrapText="1"/>
    </xf>
    <xf numFmtId="169" fontId="47" fillId="6" borderId="0" xfId="0" applyNumberFormat="1" applyFont="1" applyFill="1" applyAlignment="1">
      <alignment horizontal="center" vertical="center"/>
    </xf>
    <xf numFmtId="14" fontId="47" fillId="6" borderId="0" xfId="0" applyNumberFormat="1" applyFont="1" applyFill="1" applyAlignment="1">
      <alignment horizontal="center" vertical="center"/>
    </xf>
    <xf numFmtId="169" fontId="47" fillId="2" borderId="0" xfId="0" applyNumberFormat="1" applyFont="1" applyFill="1" applyAlignment="1">
      <alignment vertical="center"/>
    </xf>
    <xf numFmtId="169" fontId="47" fillId="6" borderId="0" xfId="0" applyNumberFormat="1" applyFont="1" applyFill="1" applyAlignment="1">
      <alignment vertical="center"/>
    </xf>
    <xf numFmtId="14" fontId="47" fillId="2" borderId="0" xfId="0" applyNumberFormat="1" applyFont="1" applyFill="1" applyAlignment="1">
      <alignment vertical="center"/>
    </xf>
    <xf numFmtId="0" fontId="115" fillId="2" borderId="0" xfId="0" applyFont="1" applyFill="1"/>
    <xf numFmtId="0" fontId="117" fillId="2" borderId="0" xfId="0" applyFont="1" applyFill="1"/>
    <xf numFmtId="0" fontId="72" fillId="2" borderId="0" xfId="0" applyFont="1" applyFill="1"/>
    <xf numFmtId="0" fontId="118" fillId="2" borderId="0" xfId="0" applyFont="1" applyFill="1" applyAlignment="1">
      <alignment vertical="center" wrapText="1"/>
    </xf>
    <xf numFmtId="185" fontId="80" fillId="2" borderId="0" xfId="0" applyNumberFormat="1" applyFont="1" applyFill="1"/>
    <xf numFmtId="0" fontId="80" fillId="2" borderId="0" xfId="0" applyFont="1" applyFill="1"/>
    <xf numFmtId="0" fontId="78" fillId="2" borderId="0" xfId="0" applyFont="1" applyFill="1"/>
    <xf numFmtId="0" fontId="61" fillId="2" borderId="0" xfId="0" applyFont="1" applyFill="1"/>
    <xf numFmtId="0" fontId="62" fillId="2" borderId="0" xfId="0" applyFont="1" applyFill="1"/>
    <xf numFmtId="0" fontId="0" fillId="2" borderId="198" xfId="0" applyFill="1" applyBorder="1"/>
    <xf numFmtId="185" fontId="62" fillId="2" borderId="0" xfId="0" applyNumberFormat="1" applyFont="1" applyFill="1"/>
    <xf numFmtId="0" fontId="0" fillId="2" borderId="0" xfId="0" applyFill="1" applyAlignment="1">
      <alignment horizontal="right"/>
    </xf>
    <xf numFmtId="0" fontId="119" fillId="2" borderId="0" xfId="0" applyFont="1" applyFill="1" applyAlignment="1">
      <alignment vertical="top" wrapText="1"/>
    </xf>
    <xf numFmtId="0" fontId="0" fillId="2" borderId="0" xfId="0" applyFill="1" applyAlignment="1">
      <alignment horizontal="left" vertical="center" indent="1"/>
    </xf>
    <xf numFmtId="0" fontId="0" fillId="2" borderId="0" xfId="0" applyFill="1" applyAlignment="1">
      <alignment horizontal="center"/>
    </xf>
    <xf numFmtId="0" fontId="0" fillId="2" borderId="0" xfId="0" applyFill="1" applyAlignment="1">
      <alignment horizontal="left"/>
    </xf>
    <xf numFmtId="0" fontId="120" fillId="2" borderId="0" xfId="0" applyFont="1" applyFill="1"/>
    <xf numFmtId="0" fontId="62" fillId="2" borderId="0" xfId="0" applyFont="1" applyFill="1" applyAlignment="1">
      <alignment horizontal="right" vertical="center"/>
    </xf>
    <xf numFmtId="0" fontId="80" fillId="2" borderId="0" xfId="0" applyFont="1" applyFill="1" applyAlignment="1">
      <alignment vertical="center"/>
    </xf>
    <xf numFmtId="0" fontId="62" fillId="2" borderId="0" xfId="0" applyFont="1" applyFill="1" applyAlignment="1">
      <alignment horizontal="right"/>
    </xf>
    <xf numFmtId="0" fontId="80" fillId="2" borderId="198" xfId="0" applyFont="1" applyFill="1" applyBorder="1"/>
    <xf numFmtId="0" fontId="118" fillId="2" borderId="0" xfId="0" applyFont="1" applyFill="1" applyAlignment="1">
      <alignment horizontal="left" vertical="top" wrapText="1"/>
    </xf>
    <xf numFmtId="0" fontId="62" fillId="2" borderId="0" xfId="0" applyFont="1" applyFill="1" applyAlignment="1">
      <alignment wrapText="1"/>
    </xf>
    <xf numFmtId="0" fontId="0" fillId="2" borderId="0" xfId="0" applyFill="1" applyAlignment="1">
      <alignment wrapText="1"/>
    </xf>
    <xf numFmtId="0" fontId="62" fillId="2" borderId="0" xfId="0" applyFont="1" applyFill="1" applyAlignment="1">
      <alignment horizontal="left" wrapText="1"/>
    </xf>
    <xf numFmtId="0" fontId="62" fillId="2" borderId="198" xfId="0" applyFont="1" applyFill="1" applyBorder="1"/>
    <xf numFmtId="0" fontId="0" fillId="4" borderId="0" xfId="0" applyFill="1"/>
    <xf numFmtId="0" fontId="0" fillId="7" borderId="0" xfId="0" applyFill="1"/>
    <xf numFmtId="0" fontId="0" fillId="16" borderId="0" xfId="0" applyFill="1" applyAlignment="1">
      <alignment vertical="center"/>
    </xf>
    <xf numFmtId="0" fontId="62" fillId="16" borderId="198" xfId="0" applyFont="1" applyFill="1" applyBorder="1" applyAlignment="1">
      <alignment horizontal="center" vertical="center"/>
    </xf>
    <xf numFmtId="43" fontId="62" fillId="17" borderId="198" xfId="15" applyFont="1" applyFill="1" applyBorder="1" applyAlignment="1">
      <alignment vertical="center"/>
    </xf>
    <xf numFmtId="169" fontId="71" fillId="17" borderId="198" xfId="15" applyNumberFormat="1" applyFont="1" applyFill="1" applyBorder="1" applyAlignment="1">
      <alignment horizontal="center" vertical="center"/>
    </xf>
    <xf numFmtId="0" fontId="0" fillId="16" borderId="0" xfId="0" applyFill="1"/>
    <xf numFmtId="169" fontId="0" fillId="2" borderId="198" xfId="0" applyNumberFormat="1" applyFill="1" applyBorder="1" applyAlignment="1">
      <alignment horizontal="center" vertical="center"/>
    </xf>
    <xf numFmtId="0" fontId="87" fillId="0" borderId="0" xfId="16" applyFont="1" applyAlignment="1">
      <alignment vertical="center"/>
    </xf>
    <xf numFmtId="0" fontId="87" fillId="8" borderId="196" xfId="16" applyFont="1" applyFill="1" applyBorder="1" applyAlignment="1">
      <alignment horizontal="center" vertical="center"/>
    </xf>
    <xf numFmtId="0" fontId="87" fillId="8" borderId="0" xfId="16" applyFont="1" applyFill="1" applyAlignment="1">
      <alignment horizontal="center" vertical="center"/>
    </xf>
    <xf numFmtId="0" fontId="87" fillId="8" borderId="196" xfId="16" applyFont="1" applyFill="1" applyBorder="1" applyAlignment="1">
      <alignment vertical="center"/>
    </xf>
    <xf numFmtId="0" fontId="32" fillId="0" borderId="0" xfId="16"/>
    <xf numFmtId="0" fontId="87" fillId="0" borderId="0" xfId="16" applyFont="1" applyAlignment="1">
      <alignment horizontal="right" vertical="center"/>
    </xf>
    <xf numFmtId="0" fontId="87" fillId="0" borderId="0" xfId="16" applyFont="1" applyAlignment="1">
      <alignment horizontal="center" vertical="center"/>
    </xf>
    <xf numFmtId="0" fontId="128" fillId="0" borderId="0" xfId="16" applyFont="1" applyAlignment="1">
      <alignment vertical="center"/>
    </xf>
    <xf numFmtId="0" fontId="128" fillId="0" borderId="0" xfId="16" applyFont="1" applyAlignment="1">
      <alignment horizontal="left" vertical="center"/>
    </xf>
    <xf numFmtId="0" fontId="87" fillId="8" borderId="0" xfId="16" applyFont="1" applyFill="1" applyAlignment="1">
      <alignment vertical="center"/>
    </xf>
    <xf numFmtId="0" fontId="87" fillId="0" borderId="305" xfId="16" applyFont="1" applyBorder="1" applyAlignment="1">
      <alignment vertical="center"/>
    </xf>
    <xf numFmtId="0" fontId="131" fillId="0" borderId="0" xfId="16" applyFont="1" applyAlignment="1">
      <alignment vertical="center"/>
    </xf>
    <xf numFmtId="0" fontId="87" fillId="8" borderId="305" xfId="16" applyFont="1" applyFill="1" applyBorder="1" applyAlignment="1">
      <alignment horizontal="center" vertical="center"/>
    </xf>
    <xf numFmtId="0" fontId="87" fillId="0" borderId="193" xfId="16" applyFont="1" applyBorder="1" applyAlignment="1">
      <alignment horizontal="right" vertical="center"/>
    </xf>
    <xf numFmtId="0" fontId="133" fillId="0" borderId="0" xfId="16" applyFont="1" applyAlignment="1">
      <alignment horizontal="center" vertical="center"/>
    </xf>
    <xf numFmtId="0" fontId="94" fillId="8" borderId="0" xfId="16" applyFont="1" applyFill="1" applyAlignment="1">
      <alignment vertical="center"/>
    </xf>
    <xf numFmtId="4" fontId="87" fillId="8" borderId="0" xfId="16" applyNumberFormat="1" applyFont="1" applyFill="1" applyAlignment="1">
      <alignment vertical="center"/>
    </xf>
    <xf numFmtId="0" fontId="32" fillId="8" borderId="0" xfId="16" applyFill="1"/>
    <xf numFmtId="0" fontId="87" fillId="8" borderId="0" xfId="16" applyFont="1" applyFill="1" applyAlignment="1">
      <alignment horizontal="right" vertical="center"/>
    </xf>
    <xf numFmtId="2" fontId="87" fillId="8" borderId="0" xfId="16" applyNumberFormat="1" applyFont="1" applyFill="1" applyAlignment="1">
      <alignment vertical="center"/>
    </xf>
    <xf numFmtId="0" fontId="94" fillId="0" borderId="0" xfId="16" applyFont="1" applyAlignment="1">
      <alignment vertical="center"/>
    </xf>
    <xf numFmtId="0" fontId="87" fillId="0" borderId="0" xfId="16" applyFont="1" applyAlignment="1">
      <alignment horizontal="left" vertical="center"/>
    </xf>
    <xf numFmtId="4" fontId="87" fillId="0" borderId="0" xfId="16" applyNumberFormat="1" applyFont="1" applyAlignment="1">
      <alignment vertical="center"/>
    </xf>
    <xf numFmtId="0" fontId="87" fillId="0" borderId="300" xfId="16" applyFont="1" applyBorder="1" applyAlignment="1">
      <alignment vertical="center"/>
    </xf>
    <xf numFmtId="0" fontId="87" fillId="0" borderId="194" xfId="16" applyFont="1" applyBorder="1" applyAlignment="1">
      <alignment vertical="center"/>
    </xf>
    <xf numFmtId="0" fontId="87" fillId="0" borderId="195" xfId="16" applyFont="1" applyBorder="1" applyAlignment="1">
      <alignment vertical="center"/>
    </xf>
    <xf numFmtId="0" fontId="87" fillId="8" borderId="302" xfId="16" applyFont="1" applyFill="1" applyBorder="1" applyAlignment="1">
      <alignment vertical="center"/>
    </xf>
    <xf numFmtId="0" fontId="87" fillId="8" borderId="305" xfId="16" applyFont="1" applyFill="1" applyBorder="1" applyAlignment="1">
      <alignment vertical="center"/>
    </xf>
    <xf numFmtId="0" fontId="87" fillId="8" borderId="307" xfId="16" applyFont="1" applyFill="1" applyBorder="1" applyAlignment="1">
      <alignment vertical="center"/>
    </xf>
    <xf numFmtId="0" fontId="87" fillId="8" borderId="0" xfId="16" applyFont="1" applyFill="1" applyAlignment="1">
      <alignment horizontal="left" vertical="center"/>
    </xf>
    <xf numFmtId="0" fontId="87" fillId="8" borderId="301" xfId="16" applyFont="1" applyFill="1" applyBorder="1" applyAlignment="1">
      <alignment vertical="center"/>
    </xf>
    <xf numFmtId="0" fontId="87" fillId="8" borderId="222" xfId="16" applyFont="1" applyFill="1" applyBorder="1" applyAlignment="1">
      <alignment vertical="center"/>
    </xf>
    <xf numFmtId="0" fontId="87" fillId="8" borderId="198" xfId="16" applyFont="1" applyFill="1" applyBorder="1" applyAlignment="1">
      <alignment horizontal="center" vertical="center"/>
    </xf>
    <xf numFmtId="0" fontId="87" fillId="8" borderId="198" xfId="16" applyFont="1" applyFill="1" applyBorder="1" applyAlignment="1">
      <alignment vertical="center"/>
    </xf>
    <xf numFmtId="0" fontId="87" fillId="8" borderId="308" xfId="16" applyFont="1" applyFill="1" applyBorder="1" applyAlignment="1">
      <alignment vertical="center"/>
    </xf>
    <xf numFmtId="0" fontId="132" fillId="8" borderId="0" xfId="16" applyFont="1" applyFill="1" applyAlignment="1">
      <alignment vertical="center"/>
    </xf>
    <xf numFmtId="0" fontId="87" fillId="8" borderId="194" xfId="16" applyFont="1" applyFill="1" applyBorder="1" applyAlignment="1">
      <alignment vertical="center"/>
    </xf>
    <xf numFmtId="0" fontId="87" fillId="8" borderId="194" xfId="16" applyFont="1" applyFill="1" applyBorder="1" applyAlignment="1">
      <alignment horizontal="center" vertical="center"/>
    </xf>
    <xf numFmtId="0" fontId="87" fillId="8" borderId="309" xfId="16" applyFont="1" applyFill="1" applyBorder="1" applyAlignment="1">
      <alignment vertical="center"/>
    </xf>
    <xf numFmtId="0" fontId="87" fillId="8" borderId="300" xfId="16" applyFont="1" applyFill="1" applyBorder="1" applyAlignment="1">
      <alignment vertical="center"/>
    </xf>
    <xf numFmtId="0" fontId="87" fillId="8" borderId="195" xfId="16" applyFont="1" applyFill="1" applyBorder="1" applyAlignment="1">
      <alignment vertical="center"/>
    </xf>
    <xf numFmtId="0" fontId="87" fillId="8" borderId="303" xfId="16" applyFont="1" applyFill="1" applyBorder="1" applyAlignment="1">
      <alignment vertical="center"/>
    </xf>
    <xf numFmtId="0" fontId="94" fillId="8" borderId="194" xfId="16" applyFont="1" applyFill="1" applyBorder="1" applyAlignment="1">
      <alignment vertical="center"/>
    </xf>
    <xf numFmtId="0" fontId="94" fillId="8" borderId="300" xfId="16" applyFont="1" applyFill="1" applyBorder="1" applyAlignment="1">
      <alignment vertical="center"/>
    </xf>
    <xf numFmtId="0" fontId="87" fillId="8" borderId="196" xfId="16" applyFont="1" applyFill="1" applyBorder="1" applyAlignment="1">
      <alignment horizontal="right" vertical="center"/>
    </xf>
    <xf numFmtId="0" fontId="94" fillId="8" borderId="302" xfId="16" applyFont="1" applyFill="1" applyBorder="1" applyAlignment="1">
      <alignment vertical="center"/>
    </xf>
    <xf numFmtId="0" fontId="87" fillId="0" borderId="248" xfId="16" applyFont="1" applyBorder="1" applyAlignment="1">
      <alignment horizontal="center" vertical="center"/>
    </xf>
    <xf numFmtId="0" fontId="87" fillId="0" borderId="256" xfId="16" applyFont="1" applyBorder="1" applyAlignment="1">
      <alignment vertical="center"/>
    </xf>
    <xf numFmtId="0" fontId="54" fillId="2" borderId="0" xfId="5" applyFont="1" applyFill="1"/>
    <xf numFmtId="0" fontId="49" fillId="2" borderId="0" xfId="5" applyFont="1" applyFill="1"/>
    <xf numFmtId="0" fontId="4" fillId="2" borderId="0" xfId="5" applyFill="1"/>
    <xf numFmtId="169" fontId="8" fillId="2" borderId="91" xfId="0" applyNumberFormat="1" applyFont="1" applyFill="1" applyBorder="1" applyAlignment="1" applyProtection="1">
      <alignment horizontal="center" vertical="center"/>
      <protection locked="0"/>
    </xf>
    <xf numFmtId="169" fontId="8" fillId="2" borderId="115" xfId="0" applyNumberFormat="1" applyFont="1" applyFill="1" applyBorder="1" applyAlignment="1" applyProtection="1">
      <alignment horizontal="center" vertical="center"/>
      <protection locked="0"/>
    </xf>
    <xf numFmtId="169" fontId="8" fillId="2" borderId="92" xfId="0" applyNumberFormat="1" applyFont="1" applyFill="1" applyBorder="1" applyAlignment="1" applyProtection="1">
      <alignment horizontal="center" vertical="center"/>
      <protection locked="0"/>
    </xf>
    <xf numFmtId="0" fontId="35" fillId="2" borderId="75" xfId="0" applyFont="1" applyFill="1" applyBorder="1" applyAlignment="1">
      <alignment horizontal="center" vertical="center"/>
    </xf>
    <xf numFmtId="0" fontId="35" fillId="2" borderId="76" xfId="0" applyFont="1" applyFill="1" applyBorder="1" applyAlignment="1">
      <alignment horizontal="center" vertical="center"/>
    </xf>
    <xf numFmtId="0" fontId="35" fillId="2" borderId="87" xfId="0" applyFont="1" applyFill="1" applyBorder="1" applyAlignment="1">
      <alignment horizontal="center" vertical="center"/>
    </xf>
    <xf numFmtId="169" fontId="8" fillId="0" borderId="113" xfId="0" applyNumberFormat="1" applyFont="1" applyBorder="1" applyAlignment="1" applyProtection="1">
      <alignment horizontal="center" vertical="center"/>
      <protection locked="0"/>
    </xf>
    <xf numFmtId="169" fontId="8" fillId="0" borderId="88" xfId="0" applyNumberFormat="1" applyFont="1" applyBorder="1" applyAlignment="1" applyProtection="1">
      <alignment horizontal="center" vertical="center"/>
      <protection locked="0"/>
    </xf>
    <xf numFmtId="169" fontId="8" fillId="0" borderId="90" xfId="0" applyNumberFormat="1" applyFont="1" applyBorder="1" applyAlignment="1" applyProtection="1">
      <alignment horizontal="center" vertical="center"/>
      <protection locked="0"/>
    </xf>
    <xf numFmtId="169" fontId="8" fillId="2" borderId="89" xfId="0" applyNumberFormat="1" applyFont="1" applyFill="1" applyBorder="1" applyAlignment="1" applyProtection="1">
      <alignment horizontal="center" vertical="center"/>
      <protection locked="0"/>
    </xf>
    <xf numFmtId="169" fontId="8" fillId="2" borderId="76" xfId="0" applyNumberFormat="1" applyFont="1" applyFill="1" applyBorder="1" applyAlignment="1" applyProtection="1">
      <alignment horizontal="center" vertical="center"/>
      <protection locked="0"/>
    </xf>
    <xf numFmtId="169" fontId="8" fillId="2" borderId="87" xfId="0" applyNumberFormat="1" applyFont="1" applyFill="1" applyBorder="1" applyAlignment="1" applyProtection="1">
      <alignment horizontal="center" vertical="center"/>
      <protection locked="0"/>
    </xf>
    <xf numFmtId="169" fontId="8" fillId="2" borderId="113" xfId="0" applyNumberFormat="1" applyFont="1" applyFill="1" applyBorder="1" applyAlignment="1" applyProtection="1">
      <alignment horizontal="center" vertical="center"/>
      <protection locked="0"/>
    </xf>
    <xf numFmtId="169" fontId="8" fillId="2" borderId="88" xfId="0" applyNumberFormat="1" applyFont="1" applyFill="1" applyBorder="1" applyAlignment="1" applyProtection="1">
      <alignment horizontal="center" vertical="center"/>
      <protection locked="0"/>
    </xf>
    <xf numFmtId="169" fontId="8" fillId="2" borderId="90" xfId="0" applyNumberFormat="1" applyFont="1" applyFill="1" applyBorder="1" applyAlignment="1" applyProtection="1">
      <alignment horizontal="center" vertical="center"/>
      <protection locked="0"/>
    </xf>
    <xf numFmtId="0" fontId="35" fillId="2" borderId="127" xfId="0" applyFont="1" applyFill="1" applyBorder="1" applyAlignment="1">
      <alignment horizontal="center" vertical="center" wrapText="1"/>
    </xf>
    <xf numFmtId="0" fontId="35" fillId="2" borderId="128" xfId="0" applyFont="1" applyFill="1" applyBorder="1" applyAlignment="1">
      <alignment horizontal="center" vertical="center" wrapText="1"/>
    </xf>
    <xf numFmtId="0" fontId="35" fillId="2" borderId="129" xfId="0" applyFont="1" applyFill="1" applyBorder="1" applyAlignment="1">
      <alignment horizontal="center" vertical="center" wrapText="1"/>
    </xf>
    <xf numFmtId="0" fontId="35" fillId="2" borderId="130" xfId="0" applyFont="1" applyFill="1" applyBorder="1" applyAlignment="1">
      <alignment horizontal="center" vertical="center" wrapText="1"/>
    </xf>
    <xf numFmtId="0" fontId="35" fillId="2" borderId="131" xfId="0" applyFont="1" applyFill="1" applyBorder="1" applyAlignment="1">
      <alignment horizontal="center" vertical="center" wrapText="1"/>
    </xf>
    <xf numFmtId="0" fontId="35" fillId="2" borderId="132" xfId="0" applyFont="1" applyFill="1" applyBorder="1" applyAlignment="1">
      <alignment horizontal="center" vertical="center" wrapText="1"/>
    </xf>
    <xf numFmtId="0" fontId="35" fillId="2" borderId="127" xfId="0" applyFont="1" applyFill="1" applyBorder="1" applyAlignment="1">
      <alignment horizontal="center" vertical="center"/>
    </xf>
    <xf numFmtId="0" fontId="35" fillId="2" borderId="128" xfId="0" applyFont="1" applyFill="1" applyBorder="1" applyAlignment="1">
      <alignment horizontal="center" vertical="center"/>
    </xf>
    <xf numFmtId="0" fontId="35" fillId="2" borderId="129" xfId="0" applyFont="1" applyFill="1" applyBorder="1" applyAlignment="1">
      <alignment horizontal="center" vertical="center"/>
    </xf>
    <xf numFmtId="169" fontId="8" fillId="6" borderId="158" xfId="0" applyNumberFormat="1" applyFont="1" applyFill="1" applyBorder="1" applyAlignment="1" applyProtection="1">
      <alignment horizontal="center" vertical="center"/>
      <protection locked="0"/>
    </xf>
    <xf numFmtId="169" fontId="8" fillId="6" borderId="148" xfId="0" applyNumberFormat="1" applyFont="1" applyFill="1" applyBorder="1" applyAlignment="1" applyProtection="1">
      <alignment horizontal="center" vertical="center"/>
      <protection locked="0"/>
    </xf>
    <xf numFmtId="169" fontId="8" fillId="6" borderId="159" xfId="0" applyNumberFormat="1" applyFont="1" applyFill="1" applyBorder="1" applyAlignment="1" applyProtection="1">
      <alignment horizontal="center" vertical="center"/>
      <protection locked="0"/>
    </xf>
    <xf numFmtId="169" fontId="8" fillId="2" borderId="149" xfId="0" applyNumberFormat="1" applyFont="1" applyFill="1" applyBorder="1" applyAlignment="1" applyProtection="1">
      <alignment horizontal="center" vertical="center"/>
      <protection locked="0"/>
    </xf>
    <xf numFmtId="169" fontId="8" fillId="2" borderId="150" xfId="0" applyNumberFormat="1" applyFont="1" applyFill="1" applyBorder="1" applyAlignment="1" applyProtection="1">
      <alignment horizontal="center" vertical="center"/>
      <protection locked="0"/>
    </xf>
    <xf numFmtId="169" fontId="8" fillId="2" borderId="146" xfId="0" applyNumberFormat="1" applyFont="1" applyFill="1" applyBorder="1" applyAlignment="1" applyProtection="1">
      <alignment horizontal="center" vertical="center"/>
      <protection locked="0"/>
    </xf>
    <xf numFmtId="0" fontId="35" fillId="2" borderId="130" xfId="0" applyFont="1" applyFill="1" applyBorder="1" applyAlignment="1">
      <alignment horizontal="center" vertical="center"/>
    </xf>
    <xf numFmtId="0" fontId="35" fillId="2" borderId="131" xfId="0" applyFont="1" applyFill="1" applyBorder="1" applyAlignment="1">
      <alignment horizontal="center" vertical="center"/>
    </xf>
    <xf numFmtId="0" fontId="35" fillId="2" borderId="132" xfId="0" applyFont="1" applyFill="1" applyBorder="1" applyAlignment="1">
      <alignment horizontal="center" vertical="center"/>
    </xf>
    <xf numFmtId="169" fontId="8" fillId="6" borderId="160" xfId="0" applyNumberFormat="1" applyFont="1" applyFill="1" applyBorder="1" applyAlignment="1" applyProtection="1">
      <alignment horizontal="center" vertical="center"/>
      <protection locked="0"/>
    </xf>
    <xf numFmtId="169" fontId="8" fillId="6" borderId="152" xfId="0" applyNumberFormat="1" applyFont="1" applyFill="1" applyBorder="1" applyAlignment="1" applyProtection="1">
      <alignment horizontal="center" vertical="center"/>
      <protection locked="0"/>
    </xf>
    <xf numFmtId="169" fontId="8" fillId="6" borderId="141" xfId="0" applyNumberFormat="1" applyFont="1" applyFill="1" applyBorder="1" applyAlignment="1" applyProtection="1">
      <alignment horizontal="center" vertical="center"/>
      <protection locked="0"/>
    </xf>
    <xf numFmtId="169" fontId="8" fillId="2" borderId="142" xfId="0" applyNumberFormat="1" applyFont="1" applyFill="1" applyBorder="1" applyAlignment="1" applyProtection="1">
      <alignment horizontal="center" vertical="center"/>
      <protection locked="0"/>
    </xf>
    <xf numFmtId="169" fontId="8" fillId="2" borderId="131" xfId="0" applyNumberFormat="1" applyFont="1" applyFill="1" applyBorder="1" applyAlignment="1" applyProtection="1">
      <alignment horizontal="center" vertical="center"/>
      <protection locked="0"/>
    </xf>
    <xf numFmtId="169" fontId="8" fillId="2" borderId="143" xfId="0" applyNumberFormat="1" applyFont="1" applyFill="1" applyBorder="1" applyAlignment="1" applyProtection="1">
      <alignment horizontal="center" vertical="center"/>
      <protection locked="0"/>
    </xf>
    <xf numFmtId="169" fontId="8" fillId="2" borderId="151" xfId="0" applyNumberFormat="1" applyFont="1" applyFill="1" applyBorder="1" applyAlignment="1" applyProtection="1">
      <alignment horizontal="center" vertical="center"/>
      <protection locked="0"/>
    </xf>
    <xf numFmtId="169" fontId="8" fillId="2" borderId="152" xfId="0" applyNumberFormat="1" applyFont="1" applyFill="1" applyBorder="1" applyAlignment="1" applyProtection="1">
      <alignment horizontal="center" vertical="center"/>
      <protection locked="0"/>
    </xf>
    <xf numFmtId="169" fontId="8" fillId="2" borderId="141" xfId="0" applyNumberFormat="1" applyFont="1" applyFill="1" applyBorder="1" applyAlignment="1" applyProtection="1">
      <alignment horizontal="center" vertical="center"/>
      <protection locked="0"/>
    </xf>
    <xf numFmtId="169" fontId="8" fillId="6" borderId="155" xfId="0" applyNumberFormat="1" applyFont="1" applyFill="1" applyBorder="1" applyAlignment="1" applyProtection="1">
      <alignment horizontal="center" vertical="center"/>
      <protection locked="0"/>
    </xf>
    <xf numFmtId="169" fontId="8" fillId="6" borderId="7" xfId="0" applyNumberFormat="1" applyFont="1" applyFill="1" applyBorder="1" applyAlignment="1" applyProtection="1">
      <alignment horizontal="center" vertical="center"/>
      <protection locked="0"/>
    </xf>
    <xf numFmtId="169" fontId="8" fillId="6" borderId="156" xfId="0" applyNumberFormat="1" applyFont="1" applyFill="1" applyBorder="1" applyAlignment="1" applyProtection="1">
      <alignment horizontal="center" vertical="center"/>
      <protection locked="0"/>
    </xf>
    <xf numFmtId="169" fontId="8" fillId="2" borderId="7" xfId="0" applyNumberFormat="1" applyFont="1" applyFill="1" applyBorder="1" applyAlignment="1" applyProtection="1">
      <alignment horizontal="center" vertical="center"/>
      <protection locked="0"/>
    </xf>
    <xf numFmtId="169" fontId="8" fillId="2" borderId="93" xfId="0" applyNumberFormat="1" applyFont="1" applyFill="1" applyBorder="1" applyAlignment="1" applyProtection="1">
      <alignment horizontal="center" vertical="center"/>
      <protection locked="0"/>
    </xf>
    <xf numFmtId="169" fontId="8" fillId="2" borderId="12" xfId="0" applyNumberFormat="1" applyFont="1" applyFill="1" applyBorder="1" applyAlignment="1" applyProtection="1">
      <alignment horizontal="center" vertical="center"/>
      <protection locked="0"/>
    </xf>
    <xf numFmtId="169" fontId="8" fillId="2" borderId="37" xfId="0" applyNumberFormat="1" applyFont="1" applyFill="1" applyBorder="1" applyAlignment="1" applyProtection="1">
      <alignment horizontal="center" vertical="center"/>
      <protection locked="0"/>
    </xf>
    <xf numFmtId="169" fontId="8" fillId="2" borderId="123" xfId="0" applyNumberFormat="1" applyFont="1" applyFill="1" applyBorder="1" applyAlignment="1" applyProtection="1">
      <alignment horizontal="center" vertical="center"/>
      <protection locked="0"/>
    </xf>
    <xf numFmtId="0" fontId="35" fillId="2" borderId="154" xfId="0" applyFont="1" applyFill="1" applyBorder="1" applyAlignment="1">
      <alignment horizontal="center" vertical="center"/>
    </xf>
    <xf numFmtId="0" fontId="35" fillId="2" borderId="65" xfId="0" applyFont="1" applyFill="1" applyBorder="1" applyAlignment="1">
      <alignment horizontal="center" vertical="center"/>
    </xf>
    <xf numFmtId="0" fontId="35" fillId="2" borderId="126" xfId="0" applyFont="1" applyFill="1" applyBorder="1" applyAlignment="1">
      <alignment horizontal="center" vertical="center"/>
    </xf>
    <xf numFmtId="169" fontId="8" fillId="6" borderId="157" xfId="0" applyNumberFormat="1" applyFont="1" applyFill="1" applyBorder="1" applyAlignment="1" applyProtection="1">
      <alignment horizontal="center" vertical="center"/>
      <protection locked="0"/>
    </xf>
    <xf numFmtId="169" fontId="8" fillId="6" borderId="9" xfId="0" applyNumberFormat="1" applyFont="1" applyFill="1" applyBorder="1" applyAlignment="1" applyProtection="1">
      <alignment horizontal="center" vertical="center"/>
      <protection locked="0"/>
    </xf>
    <xf numFmtId="169" fontId="8" fillId="6" borderId="153" xfId="0" applyNumberFormat="1" applyFont="1" applyFill="1" applyBorder="1" applyAlignment="1" applyProtection="1">
      <alignment horizontal="center" vertical="center"/>
      <protection locked="0"/>
    </xf>
    <xf numFmtId="169" fontId="8" fillId="2" borderId="9" xfId="0" applyNumberFormat="1" applyFont="1" applyFill="1" applyBorder="1" applyAlignment="1" applyProtection="1">
      <alignment horizontal="center" vertical="center"/>
      <protection locked="0"/>
    </xf>
    <xf numFmtId="169" fontId="8" fillId="2" borderId="147" xfId="0" applyNumberFormat="1" applyFont="1" applyFill="1" applyBorder="1" applyAlignment="1" applyProtection="1">
      <alignment horizontal="center" vertical="center"/>
      <protection locked="0"/>
    </xf>
    <xf numFmtId="169" fontId="8" fillId="2" borderId="153" xfId="0" applyNumberFormat="1" applyFont="1" applyFill="1" applyBorder="1" applyAlignment="1" applyProtection="1">
      <alignment horizontal="center" vertical="center"/>
      <protection locked="0"/>
    </xf>
    <xf numFmtId="0" fontId="35" fillId="2" borderId="81" xfId="0" applyFont="1" applyFill="1" applyBorder="1" applyAlignment="1">
      <alignment horizontal="center" vertical="center" wrapText="1"/>
    </xf>
    <xf numFmtId="0" fontId="35" fillId="2" borderId="37" xfId="0" applyFont="1" applyFill="1" applyBorder="1" applyAlignment="1">
      <alignment horizontal="center" vertical="center" wrapText="1"/>
    </xf>
    <xf numFmtId="0" fontId="35" fillId="2" borderId="82" xfId="0" applyFont="1" applyFill="1" applyBorder="1" applyAlignment="1">
      <alignment horizontal="center" vertical="center" wrapText="1"/>
    </xf>
    <xf numFmtId="0" fontId="35" fillId="2" borderId="75" xfId="0" applyFont="1" applyFill="1" applyBorder="1" applyAlignment="1">
      <alignment horizontal="center" vertical="center" wrapText="1"/>
    </xf>
    <xf numFmtId="0" fontId="35" fillId="2" borderId="76" xfId="0" applyFont="1" applyFill="1" applyBorder="1" applyAlignment="1">
      <alignment horizontal="center" vertical="center" wrapText="1"/>
    </xf>
    <xf numFmtId="0" fontId="35" fillId="2" borderId="77" xfId="0" applyFont="1" applyFill="1" applyBorder="1" applyAlignment="1">
      <alignment horizontal="center" vertical="center" wrapText="1"/>
    </xf>
    <xf numFmtId="0" fontId="35" fillId="2" borderId="72" xfId="0" applyFont="1" applyFill="1" applyBorder="1" applyAlignment="1">
      <alignment horizontal="center" vertical="center"/>
    </xf>
    <xf numFmtId="0" fontId="35" fillId="2" borderId="73" xfId="0" applyFont="1" applyFill="1" applyBorder="1" applyAlignment="1">
      <alignment horizontal="center" vertical="center"/>
    </xf>
    <xf numFmtId="0" fontId="35" fillId="2" borderId="83" xfId="0" applyFont="1" applyFill="1" applyBorder="1" applyAlignment="1">
      <alignment horizontal="center" vertical="center"/>
    </xf>
    <xf numFmtId="2" fontId="31" fillId="0" borderId="43" xfId="0" applyNumberFormat="1" applyFont="1" applyBorder="1" applyAlignment="1">
      <alignment horizontal="center"/>
    </xf>
    <xf numFmtId="2" fontId="31" fillId="0" borderId="45" xfId="0" applyNumberFormat="1" applyFont="1" applyBorder="1" applyAlignment="1">
      <alignment horizontal="center"/>
    </xf>
    <xf numFmtId="0" fontId="5" fillId="2" borderId="43" xfId="5" applyFont="1" applyFill="1" applyBorder="1" applyAlignment="1">
      <alignment horizontal="center" vertical="top"/>
    </xf>
    <xf numFmtId="0" fontId="5" fillId="2" borderId="44" xfId="5" applyFont="1" applyFill="1" applyBorder="1" applyAlignment="1">
      <alignment horizontal="center" vertical="top"/>
    </xf>
    <xf numFmtId="0" fontId="5" fillId="2" borderId="45" xfId="5" applyFont="1" applyFill="1" applyBorder="1" applyAlignment="1">
      <alignment horizontal="center" vertical="top"/>
    </xf>
    <xf numFmtId="0" fontId="35" fillId="2" borderId="0" xfId="0" applyFont="1" applyFill="1" applyAlignment="1">
      <alignment horizontal="left" wrapText="1"/>
    </xf>
    <xf numFmtId="4" fontId="5" fillId="2" borderId="43" xfId="0" applyNumberFormat="1" applyFont="1" applyFill="1" applyBorder="1" applyAlignment="1">
      <alignment horizontal="center"/>
    </xf>
    <xf numFmtId="4" fontId="5" fillId="2" borderId="44" xfId="0" applyNumberFormat="1" applyFont="1" applyFill="1" applyBorder="1" applyAlignment="1">
      <alignment horizontal="center"/>
    </xf>
    <xf numFmtId="4" fontId="5" fillId="2" borderId="45" xfId="0" applyNumberFormat="1" applyFont="1" applyFill="1" applyBorder="1" applyAlignment="1">
      <alignment horizontal="center"/>
    </xf>
    <xf numFmtId="0" fontId="5" fillId="2" borderId="43" xfId="0" applyFont="1" applyFill="1" applyBorder="1" applyAlignment="1">
      <alignment horizontal="center"/>
    </xf>
    <xf numFmtId="0" fontId="5" fillId="2" borderId="44" xfId="0" applyFont="1" applyFill="1" applyBorder="1" applyAlignment="1">
      <alignment horizontal="center"/>
    </xf>
    <xf numFmtId="0" fontId="5" fillId="2" borderId="45" xfId="0" applyFont="1" applyFill="1" applyBorder="1" applyAlignment="1">
      <alignment horizontal="center"/>
    </xf>
    <xf numFmtId="0" fontId="5" fillId="0" borderId="43" xfId="0" applyFont="1" applyBorder="1" applyAlignment="1">
      <alignment horizontal="center"/>
    </xf>
    <xf numFmtId="0" fontId="5" fillId="0" borderId="44" xfId="0" applyFont="1" applyBorder="1" applyAlignment="1">
      <alignment horizontal="center"/>
    </xf>
    <xf numFmtId="0" fontId="5" fillId="0" borderId="45" xfId="0" applyFont="1" applyBorder="1" applyAlignment="1">
      <alignment horizontal="center"/>
    </xf>
    <xf numFmtId="4" fontId="5" fillId="0" borderId="43" xfId="0" applyNumberFormat="1" applyFont="1" applyBorder="1" applyAlignment="1">
      <alignment horizontal="center"/>
    </xf>
    <xf numFmtId="4" fontId="5" fillId="0" borderId="44" xfId="0" applyNumberFormat="1" applyFont="1" applyBorder="1" applyAlignment="1">
      <alignment horizontal="center"/>
    </xf>
    <xf numFmtId="4" fontId="5" fillId="0" borderId="45" xfId="0" applyNumberFormat="1" applyFont="1" applyBorder="1" applyAlignment="1">
      <alignment horizontal="center"/>
    </xf>
    <xf numFmtId="0" fontId="35" fillId="7" borderId="133" xfId="0" applyFont="1" applyFill="1" applyBorder="1" applyAlignment="1">
      <alignment horizontal="center" vertical="center" wrapText="1"/>
    </xf>
    <xf numFmtId="0" fontId="35" fillId="7" borderId="134" xfId="0" applyFont="1" applyFill="1" applyBorder="1" applyAlignment="1">
      <alignment horizontal="center" vertical="center" wrapText="1"/>
    </xf>
    <xf numFmtId="0" fontId="35" fillId="7" borderId="135" xfId="0" applyFont="1" applyFill="1" applyBorder="1" applyAlignment="1">
      <alignment horizontal="center" vertical="center" wrapText="1"/>
    </xf>
    <xf numFmtId="0" fontId="35" fillId="2" borderId="12" xfId="0" applyFont="1" applyFill="1" applyBorder="1" applyAlignment="1">
      <alignment horizontal="center" vertical="center" wrapText="1"/>
    </xf>
    <xf numFmtId="0" fontId="35" fillId="2" borderId="123" xfId="0" applyFont="1" applyFill="1" applyBorder="1" applyAlignment="1">
      <alignment horizontal="center" vertical="center" wrapText="1"/>
    </xf>
    <xf numFmtId="0" fontId="35" fillId="2" borderId="10" xfId="0" applyFont="1" applyFill="1" applyBorder="1" applyAlignment="1">
      <alignment horizontal="center" vertical="center" wrapText="1"/>
    </xf>
    <xf numFmtId="0" fontId="35" fillId="2" borderId="65" xfId="0" applyFont="1" applyFill="1" applyBorder="1" applyAlignment="1">
      <alignment horizontal="center" vertical="center" wrapText="1"/>
    </xf>
    <xf numFmtId="0" fontId="35" fillId="2" borderId="126" xfId="0" applyFont="1" applyFill="1" applyBorder="1" applyAlignment="1">
      <alignment horizontal="center" vertical="center" wrapText="1"/>
    </xf>
    <xf numFmtId="0" fontId="35" fillId="2" borderId="144" xfId="0" applyFont="1" applyFill="1" applyBorder="1" applyAlignment="1">
      <alignment horizontal="center" vertical="center"/>
    </xf>
    <xf numFmtId="0" fontId="35" fillId="2" borderId="37" xfId="0" applyFont="1" applyFill="1" applyBorder="1" applyAlignment="1">
      <alignment horizontal="center" vertical="center"/>
    </xf>
    <xf numFmtId="0" fontId="35" fillId="2" borderId="123" xfId="0" applyFont="1" applyFill="1" applyBorder="1" applyAlignment="1">
      <alignment horizontal="center" vertical="center"/>
    </xf>
    <xf numFmtId="0" fontId="56" fillId="2" borderId="0" xfId="0" applyFont="1" applyFill="1" applyAlignment="1">
      <alignment horizontal="left" wrapText="1"/>
    </xf>
    <xf numFmtId="0" fontId="5" fillId="2" borderId="0" xfId="0" applyFont="1" applyFill="1" applyAlignment="1">
      <alignment horizontal="center"/>
    </xf>
    <xf numFmtId="0" fontId="35" fillId="7" borderId="40" xfId="0" applyFont="1" applyFill="1" applyBorder="1" applyAlignment="1">
      <alignment horizontal="center" wrapText="1"/>
    </xf>
    <xf numFmtId="0" fontId="35" fillId="7" borderId="40" xfId="0" applyFont="1" applyFill="1" applyBorder="1" applyAlignment="1">
      <alignment horizontal="center" vertical="center" wrapText="1"/>
    </xf>
    <xf numFmtId="0" fontId="35" fillId="7" borderId="40" xfId="0" applyFont="1" applyFill="1" applyBorder="1" applyAlignment="1">
      <alignment horizontal="center" vertical="center"/>
    </xf>
    <xf numFmtId="0" fontId="5" fillId="0" borderId="40" xfId="0" applyFont="1" applyBorder="1" applyAlignment="1">
      <alignment horizontal="center"/>
    </xf>
    <xf numFmtId="0" fontId="51" fillId="2" borderId="0" xfId="0" applyFont="1" applyFill="1" applyAlignment="1">
      <alignment horizontal="left" vertical="top" wrapText="1"/>
    </xf>
    <xf numFmtId="0" fontId="35" fillId="2" borderId="0" xfId="0" applyFont="1" applyFill="1" applyAlignment="1">
      <alignment vertical="top"/>
    </xf>
    <xf numFmtId="0" fontId="35" fillId="2" borderId="43" xfId="0" applyFont="1" applyFill="1" applyBorder="1" applyAlignment="1">
      <alignment horizontal="center"/>
    </xf>
    <xf numFmtId="0" fontId="35" fillId="2" borderId="44" xfId="0" applyFont="1" applyFill="1" applyBorder="1" applyAlignment="1">
      <alignment horizontal="center"/>
    </xf>
    <xf numFmtId="0" fontId="35" fillId="2" borderId="45" xfId="0" applyFont="1" applyFill="1" applyBorder="1" applyAlignment="1">
      <alignment horizontal="center"/>
    </xf>
    <xf numFmtId="0" fontId="35" fillId="7" borderId="94" xfId="0" applyFont="1" applyFill="1" applyBorder="1" applyAlignment="1">
      <alignment horizontal="center" vertical="center" wrapText="1"/>
    </xf>
    <xf numFmtId="0" fontId="35" fillId="7" borderId="95" xfId="0" applyFont="1" applyFill="1" applyBorder="1" applyAlignment="1">
      <alignment horizontal="center" vertical="center" wrapText="1"/>
    </xf>
    <xf numFmtId="0" fontId="35" fillId="7" borderId="102" xfId="0" applyFont="1" applyFill="1" applyBorder="1" applyAlignment="1">
      <alignment horizontal="center" vertical="center" wrapText="1"/>
    </xf>
    <xf numFmtId="0" fontId="35" fillId="7" borderId="94" xfId="0" applyFont="1" applyFill="1" applyBorder="1" applyAlignment="1">
      <alignment horizontal="center" vertical="center"/>
    </xf>
    <xf numFmtId="0" fontId="35" fillId="7" borderId="95" xfId="0" applyFont="1" applyFill="1" applyBorder="1" applyAlignment="1">
      <alignment horizontal="center" vertical="center"/>
    </xf>
    <xf numFmtId="0" fontId="35" fillId="7" borderId="96" xfId="0" applyFont="1" applyFill="1" applyBorder="1" applyAlignment="1">
      <alignment horizontal="center" vertical="center"/>
    </xf>
    <xf numFmtId="0" fontId="35" fillId="7" borderId="111" xfId="0" applyFont="1" applyFill="1" applyBorder="1" applyAlignment="1">
      <alignment horizontal="center" vertical="center" wrapText="1"/>
    </xf>
    <xf numFmtId="0" fontId="35" fillId="7" borderId="98" xfId="0" applyFont="1" applyFill="1" applyBorder="1" applyAlignment="1">
      <alignment horizontal="center" vertical="center" wrapText="1"/>
    </xf>
    <xf numFmtId="0" fontId="35" fillId="7" borderId="101" xfId="0" applyFont="1" applyFill="1" applyBorder="1" applyAlignment="1">
      <alignment horizontal="center" vertical="center" wrapText="1"/>
    </xf>
    <xf numFmtId="0" fontId="35" fillId="2" borderId="121" xfId="0" applyFont="1" applyFill="1" applyBorder="1" applyAlignment="1">
      <alignment horizontal="center" vertical="center" wrapText="1"/>
    </xf>
    <xf numFmtId="0" fontId="35" fillId="2" borderId="0" xfId="0" applyFont="1" applyFill="1" applyAlignment="1">
      <alignment horizontal="center" vertical="center" wrapText="1"/>
    </xf>
    <xf numFmtId="0" fontId="35" fillId="2" borderId="122" xfId="0" applyFont="1" applyFill="1" applyBorder="1" applyAlignment="1">
      <alignment horizontal="center" vertical="center" wrapText="1"/>
    </xf>
    <xf numFmtId="0" fontId="35" fillId="2" borderId="118" xfId="0" applyFont="1" applyFill="1" applyBorder="1" applyAlignment="1">
      <alignment horizontal="center" vertical="center" wrapText="1"/>
    </xf>
    <xf numFmtId="0" fontId="35" fillId="2" borderId="119" xfId="0" applyFont="1" applyFill="1" applyBorder="1" applyAlignment="1">
      <alignment horizontal="center" vertical="center" wrapText="1"/>
    </xf>
    <xf numFmtId="0" fontId="35" fillId="2" borderId="120" xfId="0" applyFont="1" applyFill="1" applyBorder="1" applyAlignment="1">
      <alignment horizontal="center" vertical="center" wrapText="1"/>
    </xf>
    <xf numFmtId="0" fontId="35" fillId="2" borderId="81" xfId="0" applyFont="1" applyFill="1" applyBorder="1" applyAlignment="1">
      <alignment horizontal="center" vertical="center"/>
    </xf>
    <xf numFmtId="0" fontId="35" fillId="2" borderId="11" xfId="0" applyFont="1" applyFill="1" applyBorder="1" applyAlignment="1">
      <alignment horizontal="center" vertical="center"/>
    </xf>
    <xf numFmtId="169" fontId="8" fillId="6" borderId="112" xfId="0" applyNumberFormat="1" applyFont="1" applyFill="1" applyBorder="1" applyAlignment="1" applyProtection="1">
      <alignment horizontal="center" vertical="center"/>
      <protection locked="0"/>
    </xf>
    <xf numFmtId="169" fontId="8" fillId="6" borderId="93" xfId="0" applyNumberFormat="1" applyFont="1" applyFill="1" applyBorder="1" applyAlignment="1" applyProtection="1">
      <alignment horizontal="center" vertical="center"/>
      <protection locked="0"/>
    </xf>
    <xf numFmtId="169" fontId="8" fillId="2" borderId="81" xfId="0" applyNumberFormat="1" applyFont="1" applyFill="1" applyBorder="1" applyAlignment="1" applyProtection="1">
      <alignment horizontal="center" vertical="center"/>
      <protection locked="0"/>
    </xf>
    <xf numFmtId="169" fontId="8" fillId="2" borderId="82" xfId="0" applyNumberFormat="1" applyFont="1" applyFill="1" applyBorder="1" applyAlignment="1" applyProtection="1">
      <alignment horizontal="center" vertical="center"/>
      <protection locked="0"/>
    </xf>
    <xf numFmtId="169" fontId="8" fillId="6" borderId="113" xfId="0" applyNumberFormat="1" applyFont="1" applyFill="1" applyBorder="1" applyAlignment="1" applyProtection="1">
      <alignment horizontal="center" vertical="center"/>
      <protection locked="0"/>
    </xf>
    <xf numFmtId="169" fontId="8" fillId="6" borderId="88" xfId="0" applyNumberFormat="1" applyFont="1" applyFill="1" applyBorder="1" applyAlignment="1" applyProtection="1">
      <alignment horizontal="center" vertical="center"/>
      <protection locked="0"/>
    </xf>
    <xf numFmtId="169" fontId="8" fillId="6" borderId="90" xfId="0" applyNumberFormat="1" applyFont="1" applyFill="1" applyBorder="1" applyAlignment="1" applyProtection="1">
      <alignment horizontal="center" vertical="center"/>
      <protection locked="0"/>
    </xf>
    <xf numFmtId="0" fontId="35" fillId="7" borderId="136" xfId="0" applyFont="1" applyFill="1" applyBorder="1" applyAlignment="1">
      <alignment horizontal="center" vertical="center" wrapText="1"/>
    </xf>
    <xf numFmtId="0" fontId="35" fillId="7" borderId="137" xfId="0" applyFont="1" applyFill="1" applyBorder="1" applyAlignment="1">
      <alignment horizontal="center" vertical="center" wrapText="1"/>
    </xf>
    <xf numFmtId="0" fontId="35" fillId="7" borderId="138" xfId="0" applyFont="1" applyFill="1" applyBorder="1" applyAlignment="1">
      <alignment horizontal="center" vertical="center" wrapText="1"/>
    </xf>
    <xf numFmtId="0" fontId="35" fillId="7" borderId="136" xfId="0" applyFont="1" applyFill="1" applyBorder="1" applyAlignment="1">
      <alignment horizontal="center" vertical="center"/>
    </xf>
    <xf numFmtId="0" fontId="35" fillId="7" borderId="137" xfId="0" applyFont="1" applyFill="1" applyBorder="1" applyAlignment="1">
      <alignment horizontal="center" vertical="center"/>
    </xf>
    <xf numFmtId="0" fontId="35" fillId="7" borderId="138" xfId="0" applyFont="1" applyFill="1" applyBorder="1" applyAlignment="1">
      <alignment horizontal="center" vertical="center"/>
    </xf>
    <xf numFmtId="169" fontId="8" fillId="2" borderId="103" xfId="0" applyNumberFormat="1" applyFont="1" applyFill="1" applyBorder="1" applyAlignment="1" applyProtection="1">
      <alignment horizontal="center" vertical="center"/>
      <protection locked="0"/>
    </xf>
    <xf numFmtId="169" fontId="8" fillId="2" borderId="104" xfId="0" applyNumberFormat="1" applyFont="1" applyFill="1" applyBorder="1" applyAlignment="1" applyProtection="1">
      <alignment horizontal="center" vertical="center"/>
      <protection locked="0"/>
    </xf>
    <xf numFmtId="169" fontId="8" fillId="2" borderId="105" xfId="0" applyNumberFormat="1" applyFont="1" applyFill="1" applyBorder="1" applyAlignment="1" applyProtection="1">
      <alignment horizontal="center" vertical="center"/>
      <protection locked="0"/>
    </xf>
    <xf numFmtId="169" fontId="8" fillId="2" borderId="117" xfId="0" applyNumberFormat="1" applyFont="1" applyFill="1" applyBorder="1" applyAlignment="1" applyProtection="1">
      <alignment horizontal="center" vertical="center"/>
      <protection locked="0"/>
    </xf>
    <xf numFmtId="169" fontId="8" fillId="2" borderId="116" xfId="0" applyNumberFormat="1" applyFont="1" applyFill="1" applyBorder="1" applyAlignment="1" applyProtection="1">
      <alignment horizontal="center" vertical="center"/>
      <protection locked="0"/>
    </xf>
    <xf numFmtId="0" fontId="35" fillId="2" borderId="0" xfId="0" applyFont="1" applyFill="1" applyAlignment="1">
      <alignment horizontal="left"/>
    </xf>
    <xf numFmtId="0" fontId="8" fillId="2" borderId="43" xfId="0" applyFont="1" applyFill="1" applyBorder="1" applyAlignment="1">
      <alignment horizontal="center"/>
    </xf>
    <xf numFmtId="0" fontId="8" fillId="2" borderId="44" xfId="0" applyFont="1" applyFill="1" applyBorder="1" applyAlignment="1">
      <alignment horizontal="center"/>
    </xf>
    <xf numFmtId="0" fontId="8" fillId="2" borderId="45" xfId="0" applyFont="1" applyFill="1" applyBorder="1" applyAlignment="1">
      <alignment horizontal="center"/>
    </xf>
    <xf numFmtId="169" fontId="8" fillId="0" borderId="114" xfId="0" applyNumberFormat="1" applyFont="1" applyBorder="1" applyAlignment="1" applyProtection="1">
      <alignment horizontal="center" vertical="center"/>
      <protection locked="0"/>
    </xf>
    <xf numFmtId="169" fontId="8" fillId="0" borderId="84" xfId="0" applyNumberFormat="1" applyFont="1" applyBorder="1" applyAlignment="1" applyProtection="1">
      <alignment horizontal="center" vertical="center"/>
      <protection locked="0"/>
    </xf>
    <xf numFmtId="169" fontId="8" fillId="0" borderId="86" xfId="0" applyNumberFormat="1" applyFont="1" applyBorder="1" applyAlignment="1" applyProtection="1">
      <alignment horizontal="center" vertical="center"/>
      <protection locked="0"/>
    </xf>
    <xf numFmtId="0" fontId="35" fillId="7" borderId="78" xfId="0" applyFont="1" applyFill="1" applyBorder="1" applyAlignment="1">
      <alignment horizontal="center" vertical="center" wrapText="1"/>
    </xf>
    <xf numFmtId="0" fontId="35" fillId="7" borderId="79" xfId="0" applyFont="1" applyFill="1" applyBorder="1" applyAlignment="1">
      <alignment horizontal="center" vertical="center" wrapText="1"/>
    </xf>
    <xf numFmtId="0" fontId="35" fillId="7" borderId="80" xfId="0" applyFont="1" applyFill="1" applyBorder="1" applyAlignment="1">
      <alignment horizontal="center" vertical="center" wrapText="1"/>
    </xf>
    <xf numFmtId="169" fontId="8" fillId="2" borderId="114" xfId="0" applyNumberFormat="1" applyFont="1" applyFill="1" applyBorder="1" applyAlignment="1" applyProtection="1">
      <alignment horizontal="center" vertical="center"/>
      <protection locked="0"/>
    </xf>
    <xf numFmtId="169" fontId="8" fillId="2" borderId="84" xfId="0" applyNumberFormat="1" applyFont="1" applyFill="1" applyBorder="1" applyAlignment="1" applyProtection="1">
      <alignment horizontal="center" vertical="center"/>
      <protection locked="0"/>
    </xf>
    <xf numFmtId="169" fontId="8" fillId="2" borderId="86" xfId="0" applyNumberFormat="1" applyFont="1" applyFill="1" applyBorder="1" applyAlignment="1" applyProtection="1">
      <alignment horizontal="center" vertical="center"/>
      <protection locked="0"/>
    </xf>
    <xf numFmtId="0" fontId="35" fillId="7" borderId="108" xfId="0" applyFont="1" applyFill="1" applyBorder="1" applyAlignment="1">
      <alignment horizontal="center" vertical="center"/>
    </xf>
    <xf numFmtId="0" fontId="35" fillId="7" borderId="109" xfId="0" applyFont="1" applyFill="1" applyBorder="1" applyAlignment="1">
      <alignment horizontal="center" vertical="center"/>
    </xf>
    <xf numFmtId="0" fontId="35" fillId="7" borderId="97" xfId="0" applyFont="1" applyFill="1" applyBorder="1" applyAlignment="1">
      <alignment horizontal="center" vertical="center"/>
    </xf>
    <xf numFmtId="0" fontId="35" fillId="7" borderId="108" xfId="0" applyFont="1" applyFill="1" applyBorder="1" applyAlignment="1">
      <alignment horizontal="center" vertical="center" wrapText="1"/>
    </xf>
    <xf numFmtId="0" fontId="35" fillId="7" borderId="109" xfId="0" applyFont="1" applyFill="1" applyBorder="1" applyAlignment="1">
      <alignment horizontal="center" vertical="center" wrapText="1"/>
    </xf>
    <xf numFmtId="0" fontId="35" fillId="7" borderId="110" xfId="0" applyFont="1" applyFill="1" applyBorder="1" applyAlignment="1">
      <alignment horizontal="center" vertical="center" wrapText="1"/>
    </xf>
    <xf numFmtId="0" fontId="35" fillId="7" borderId="99" xfId="0" applyFont="1" applyFill="1" applyBorder="1" applyAlignment="1">
      <alignment horizontal="center" vertical="center" wrapText="1"/>
    </xf>
    <xf numFmtId="0" fontId="35" fillId="7" borderId="97" xfId="0" applyFont="1" applyFill="1" applyBorder="1" applyAlignment="1">
      <alignment horizontal="center" vertical="center" wrapText="1"/>
    </xf>
    <xf numFmtId="0" fontId="35" fillId="2" borderId="106" xfId="0" applyFont="1" applyFill="1" applyBorder="1" applyAlignment="1">
      <alignment horizontal="center" vertical="center"/>
    </xf>
    <xf numFmtId="0" fontId="35" fillId="2" borderId="57" xfId="0" applyFont="1" applyFill="1" applyBorder="1" applyAlignment="1">
      <alignment horizontal="center" vertical="center"/>
    </xf>
    <xf numFmtId="0" fontId="35" fillId="2" borderId="54" xfId="0" applyFont="1" applyFill="1" applyBorder="1" applyAlignment="1">
      <alignment horizontal="center" vertical="center"/>
    </xf>
    <xf numFmtId="169" fontId="8" fillId="2" borderId="106" xfId="0" applyNumberFormat="1" applyFont="1" applyFill="1" applyBorder="1" applyAlignment="1" applyProtection="1">
      <alignment horizontal="center" vertical="center"/>
      <protection locked="0"/>
    </xf>
    <xf numFmtId="169" fontId="8" fillId="2" borderId="57" xfId="0" applyNumberFormat="1" applyFont="1" applyFill="1" applyBorder="1" applyAlignment="1" applyProtection="1">
      <alignment horizontal="center" vertical="center"/>
      <protection locked="0"/>
    </xf>
    <xf numFmtId="169" fontId="8" fillId="2" borderId="107" xfId="0" applyNumberFormat="1" applyFont="1" applyFill="1" applyBorder="1" applyAlignment="1" applyProtection="1">
      <alignment horizontal="center" vertical="center"/>
      <protection locked="0"/>
    </xf>
    <xf numFmtId="169" fontId="8" fillId="2" borderId="56" xfId="0" applyNumberFormat="1" applyFont="1" applyFill="1" applyBorder="1" applyAlignment="1" applyProtection="1">
      <alignment horizontal="center" vertical="center"/>
      <protection locked="0"/>
    </xf>
    <xf numFmtId="169" fontId="8" fillId="2" borderId="54" xfId="0" applyNumberFormat="1" applyFont="1" applyFill="1" applyBorder="1" applyAlignment="1" applyProtection="1">
      <alignment horizontal="center" vertical="center"/>
      <protection locked="0"/>
    </xf>
    <xf numFmtId="0" fontId="35" fillId="2" borderId="103" xfId="0" applyFont="1" applyFill="1" applyBorder="1" applyAlignment="1">
      <alignment horizontal="center" vertical="center"/>
    </xf>
    <xf numFmtId="0" fontId="35" fillId="2" borderId="104" xfId="0" applyFont="1" applyFill="1" applyBorder="1" applyAlignment="1">
      <alignment horizontal="center" vertical="center"/>
    </xf>
    <xf numFmtId="0" fontId="35" fillId="2" borderId="116" xfId="0" applyFont="1" applyFill="1" applyBorder="1" applyAlignment="1">
      <alignment horizontal="center" vertical="center"/>
    </xf>
    <xf numFmtId="4" fontId="8" fillId="2" borderId="43" xfId="0" applyNumberFormat="1" applyFont="1" applyFill="1" applyBorder="1" applyAlignment="1">
      <alignment horizontal="center"/>
    </xf>
    <xf numFmtId="4" fontId="8" fillId="2" borderId="45" xfId="0" applyNumberFormat="1" applyFont="1" applyFill="1" applyBorder="1" applyAlignment="1">
      <alignment horizontal="center"/>
    </xf>
    <xf numFmtId="0" fontId="36" fillId="2" borderId="51" xfId="0" applyFont="1" applyFill="1" applyBorder="1" applyAlignment="1">
      <alignment horizontal="left" vertical="top" wrapText="1"/>
    </xf>
    <xf numFmtId="0" fontId="36" fillId="2" borderId="52" xfId="0" applyFont="1" applyFill="1" applyBorder="1" applyAlignment="1">
      <alignment horizontal="left" vertical="top" wrapText="1"/>
    </xf>
    <xf numFmtId="0" fontId="36" fillId="2" borderId="53" xfId="0" applyFont="1" applyFill="1" applyBorder="1" applyAlignment="1">
      <alignment horizontal="left" vertical="top" wrapText="1"/>
    </xf>
    <xf numFmtId="0" fontId="36" fillId="2" borderId="50" xfId="0" applyFont="1" applyFill="1" applyBorder="1" applyAlignment="1">
      <alignment horizontal="left" vertical="top" wrapText="1"/>
    </xf>
    <xf numFmtId="0" fontId="36" fillId="2" borderId="0" xfId="0" applyFont="1" applyFill="1" applyAlignment="1">
      <alignment horizontal="left" vertical="top" wrapText="1"/>
    </xf>
    <xf numFmtId="0" fontId="36" fillId="2" borderId="49" xfId="0" applyFont="1" applyFill="1" applyBorder="1" applyAlignment="1">
      <alignment horizontal="left" vertical="top" wrapText="1"/>
    </xf>
    <xf numFmtId="0" fontId="36" fillId="2" borderId="54" xfId="0" applyFont="1" applyFill="1" applyBorder="1" applyAlignment="1">
      <alignment horizontal="left" vertical="top" wrapText="1"/>
    </xf>
    <xf numFmtId="0" fontId="36" fillId="2" borderId="55" xfId="0" applyFont="1" applyFill="1" applyBorder="1" applyAlignment="1">
      <alignment horizontal="left" vertical="top" wrapText="1"/>
    </xf>
    <xf numFmtId="0" fontId="36" fillId="2" borderId="56" xfId="0" applyFont="1" applyFill="1" applyBorder="1" applyAlignment="1">
      <alignment horizontal="left" vertical="top" wrapText="1"/>
    </xf>
    <xf numFmtId="0" fontId="35" fillId="2" borderId="49" xfId="0" applyFont="1" applyFill="1" applyBorder="1" applyAlignment="1">
      <alignment horizontal="left" wrapText="1"/>
    </xf>
    <xf numFmtId="0" fontId="8" fillId="0" borderId="51" xfId="0" applyFont="1" applyBorder="1" applyAlignment="1">
      <alignment horizontal="left" vertical="center" wrapText="1"/>
    </xf>
    <xf numFmtId="0" fontId="8" fillId="0" borderId="52" xfId="0" applyFont="1" applyBorder="1" applyAlignment="1">
      <alignment horizontal="left" vertical="center" wrapText="1"/>
    </xf>
    <xf numFmtId="0" fontId="8" fillId="0" borderId="53" xfId="0" applyFont="1" applyBorder="1" applyAlignment="1">
      <alignment horizontal="left" vertical="center" wrapText="1"/>
    </xf>
    <xf numFmtId="0" fontId="8" fillId="0" borderId="54" xfId="0" applyFont="1" applyBorder="1" applyAlignment="1">
      <alignment horizontal="left" vertical="center" wrapText="1"/>
    </xf>
    <xf numFmtId="0" fontId="8" fillId="0" borderId="55" xfId="0" applyFont="1" applyBorder="1" applyAlignment="1">
      <alignment horizontal="left" vertical="center" wrapText="1"/>
    </xf>
    <xf numFmtId="0" fontId="8" fillId="0" borderId="56" xfId="0" applyFont="1" applyBorder="1" applyAlignment="1">
      <alignment horizontal="left" vertical="center" wrapText="1"/>
    </xf>
    <xf numFmtId="0" fontId="55" fillId="4" borderId="0" xfId="4" applyFont="1" applyFill="1" applyBorder="1" applyAlignment="1">
      <alignment horizontal="center" vertical="top" wrapText="1"/>
    </xf>
    <xf numFmtId="0" fontId="35" fillId="2" borderId="0" xfId="5" applyFont="1" applyFill="1" applyAlignment="1">
      <alignment horizontal="left" vertical="top"/>
    </xf>
    <xf numFmtId="14" fontId="5" fillId="2" borderId="43" xfId="5" applyNumberFormat="1" applyFont="1" applyFill="1" applyBorder="1" applyAlignment="1" applyProtection="1">
      <alignment horizontal="center" vertical="top"/>
      <protection hidden="1"/>
    </xf>
    <xf numFmtId="14" fontId="5" fillId="2" borderId="44" xfId="5" applyNumberFormat="1" applyFont="1" applyFill="1" applyBorder="1" applyAlignment="1" applyProtection="1">
      <alignment horizontal="center" vertical="top"/>
      <protection hidden="1"/>
    </xf>
    <xf numFmtId="14" fontId="5" fillId="2" borderId="45" xfId="5" applyNumberFormat="1" applyFont="1" applyFill="1" applyBorder="1" applyAlignment="1" applyProtection="1">
      <alignment horizontal="center" vertical="top"/>
      <protection hidden="1"/>
    </xf>
    <xf numFmtId="0" fontId="36" fillId="2" borderId="43" xfId="0" applyFont="1" applyFill="1" applyBorder="1" applyAlignment="1">
      <alignment horizontal="center" wrapText="1"/>
    </xf>
    <xf numFmtId="0" fontId="36" fillId="2" borderId="45" xfId="0" applyFont="1" applyFill="1" applyBorder="1" applyAlignment="1">
      <alignment horizontal="center" wrapText="1"/>
    </xf>
    <xf numFmtId="0" fontId="35" fillId="0" borderId="0" xfId="0" applyFont="1" applyAlignment="1">
      <alignment horizontal="left" vertical="center"/>
    </xf>
    <xf numFmtId="0" fontId="10" fillId="0" borderId="43" xfId="0" applyFont="1" applyBorder="1" applyAlignment="1">
      <alignment horizontal="center" vertical="center"/>
    </xf>
    <xf numFmtId="0" fontId="10" fillId="0" borderId="45" xfId="0" applyFont="1" applyBorder="1" applyAlignment="1">
      <alignment horizontal="center" vertical="center"/>
    </xf>
    <xf numFmtId="0" fontId="35" fillId="0" borderId="0" xfId="0" applyFont="1" applyAlignment="1">
      <alignment horizontal="left" vertical="center" wrapText="1"/>
    </xf>
    <xf numFmtId="0" fontId="35" fillId="0" borderId="49" xfId="0" applyFont="1" applyBorder="1" applyAlignment="1">
      <alignment horizontal="left" vertical="center" wrapText="1"/>
    </xf>
    <xf numFmtId="0" fontId="35" fillId="2" borderId="49" xfId="0" applyFont="1" applyFill="1" applyBorder="1" applyAlignment="1">
      <alignment horizontal="left"/>
    </xf>
    <xf numFmtId="0" fontId="35" fillId="2" borderId="69" xfId="5" applyFont="1" applyFill="1" applyBorder="1" applyAlignment="1">
      <alignment horizontal="left" vertical="top"/>
    </xf>
    <xf numFmtId="0" fontId="8" fillId="2" borderId="43" xfId="0" applyFont="1" applyFill="1" applyBorder="1" applyAlignment="1" applyProtection="1">
      <alignment horizontal="center" vertical="top"/>
      <protection locked="0"/>
    </xf>
    <xf numFmtId="0" fontId="8" fillId="2" borderId="44" xfId="0" applyFont="1" applyFill="1" applyBorder="1" applyAlignment="1" applyProtection="1">
      <alignment horizontal="center" vertical="top"/>
      <protection locked="0"/>
    </xf>
    <xf numFmtId="0" fontId="8" fillId="2" borderId="45" xfId="0" applyFont="1" applyFill="1" applyBorder="1" applyAlignment="1" applyProtection="1">
      <alignment horizontal="center" vertical="top"/>
      <protection locked="0"/>
    </xf>
    <xf numFmtId="0" fontId="35" fillId="2" borderId="0" xfId="0" applyFont="1" applyFill="1" applyAlignment="1">
      <alignment horizontal="left" vertical="top"/>
    </xf>
    <xf numFmtId="0" fontId="35" fillId="2" borderId="55" xfId="0" applyFont="1" applyFill="1" applyBorder="1" applyAlignment="1">
      <alignment horizontal="center"/>
    </xf>
    <xf numFmtId="0" fontId="5" fillId="2" borderId="43" xfId="5" applyFont="1" applyFill="1" applyBorder="1" applyAlignment="1">
      <alignment horizontal="left" vertical="top"/>
    </xf>
    <xf numFmtId="0" fontId="5" fillId="2" borderId="44" xfId="5" applyFont="1" applyFill="1" applyBorder="1" applyAlignment="1">
      <alignment horizontal="left" vertical="top"/>
    </xf>
    <xf numFmtId="0" fontId="5" fillId="2" borderId="45" xfId="5" applyFont="1" applyFill="1" applyBorder="1" applyAlignment="1">
      <alignment horizontal="left" vertical="top"/>
    </xf>
    <xf numFmtId="49" fontId="8" fillId="2" borderId="43" xfId="0" applyNumberFormat="1" applyFont="1" applyFill="1" applyBorder="1" applyAlignment="1" applyProtection="1">
      <alignment horizontal="center" vertical="center"/>
      <protection locked="0"/>
    </xf>
    <xf numFmtId="49" fontId="8" fillId="2" borderId="44" xfId="0" applyNumberFormat="1" applyFont="1" applyFill="1" applyBorder="1" applyAlignment="1" applyProtection="1">
      <alignment horizontal="center" vertical="center"/>
      <protection locked="0"/>
    </xf>
    <xf numFmtId="49" fontId="8" fillId="2" borderId="45" xfId="0" applyNumberFormat="1" applyFont="1" applyFill="1" applyBorder="1" applyAlignment="1" applyProtection="1">
      <alignment horizontal="center" vertical="center"/>
      <protection locked="0"/>
    </xf>
    <xf numFmtId="0" fontId="8" fillId="2" borderId="43" xfId="0" applyFont="1" applyFill="1" applyBorder="1" applyAlignment="1">
      <alignment horizontal="center" vertical="center"/>
    </xf>
    <xf numFmtId="0" fontId="8" fillId="2" borderId="44" xfId="0" applyFont="1" applyFill="1" applyBorder="1" applyAlignment="1">
      <alignment horizontal="center" vertical="center"/>
    </xf>
    <xf numFmtId="0" fontId="8" fillId="2" borderId="45" xfId="0" applyFont="1" applyFill="1" applyBorder="1" applyAlignment="1">
      <alignment horizontal="center" vertical="center"/>
    </xf>
    <xf numFmtId="0" fontId="36" fillId="2" borderId="43" xfId="5" applyFont="1" applyFill="1" applyBorder="1" applyAlignment="1">
      <alignment horizontal="left" vertical="top"/>
    </xf>
    <xf numFmtId="0" fontId="36" fillId="2" borderId="44" xfId="5" applyFont="1" applyFill="1" applyBorder="1" applyAlignment="1">
      <alignment horizontal="left" vertical="top"/>
    </xf>
    <xf numFmtId="0" fontId="36" fillId="2" borderId="45" xfId="5" applyFont="1" applyFill="1" applyBorder="1" applyAlignment="1">
      <alignment horizontal="left" vertical="top"/>
    </xf>
    <xf numFmtId="0" fontId="11"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53" fillId="2" borderId="0" xfId="0" applyFont="1" applyFill="1" applyAlignment="1">
      <alignment horizontal="center" vertical="center"/>
    </xf>
    <xf numFmtId="0" fontId="35" fillId="2" borderId="0" xfId="0" applyFont="1" applyFill="1" applyAlignment="1">
      <alignment horizontal="center"/>
    </xf>
    <xf numFmtId="0" fontId="35" fillId="2" borderId="49" xfId="0" applyFont="1" applyFill="1" applyBorder="1" applyAlignment="1">
      <alignment horizontal="center"/>
    </xf>
    <xf numFmtId="0" fontId="35" fillId="2" borderId="0" xfId="0" applyFont="1" applyFill="1" applyAlignment="1">
      <alignment wrapText="1"/>
    </xf>
    <xf numFmtId="0" fontId="5" fillId="2" borderId="43" xfId="5" applyFont="1" applyFill="1" applyBorder="1" applyAlignment="1" applyProtection="1">
      <alignment horizontal="center" vertical="top"/>
      <protection hidden="1"/>
    </xf>
    <xf numFmtId="0" fontId="5" fillId="2" borderId="45" xfId="5" applyFont="1" applyFill="1" applyBorder="1" applyAlignment="1" applyProtection="1">
      <alignment horizontal="center" vertical="top"/>
      <protection hidden="1"/>
    </xf>
    <xf numFmtId="0" fontId="5" fillId="2" borderId="44" xfId="5" applyFont="1" applyFill="1" applyBorder="1" applyAlignment="1" applyProtection="1">
      <alignment horizontal="center" vertical="top"/>
      <protection hidden="1"/>
    </xf>
    <xf numFmtId="0" fontId="35" fillId="7" borderId="40" xfId="0" applyFont="1" applyFill="1" applyBorder="1" applyAlignment="1">
      <alignment vertical="center"/>
    </xf>
    <xf numFmtId="0" fontId="11" fillId="2" borderId="1" xfId="0" applyFont="1" applyFill="1" applyBorder="1" applyAlignment="1" applyProtection="1">
      <alignment horizontal="center" vertical="center" wrapText="1"/>
      <protection locked="0"/>
    </xf>
    <xf numFmtId="0" fontId="8" fillId="2" borderId="43" xfId="0" applyFont="1" applyFill="1" applyBorder="1" applyAlignment="1">
      <alignment horizontal="left" wrapText="1"/>
    </xf>
    <xf numFmtId="0" fontId="8" fillId="2" borderId="44" xfId="0" applyFont="1" applyFill="1" applyBorder="1" applyAlignment="1">
      <alignment horizontal="left" wrapText="1"/>
    </xf>
    <xf numFmtId="0" fontId="8" fillId="2" borderId="45" xfId="0" applyFont="1" applyFill="1" applyBorder="1" applyAlignment="1">
      <alignment horizontal="left" wrapText="1"/>
    </xf>
    <xf numFmtId="0" fontId="35" fillId="2" borderId="72" xfId="0" applyFont="1" applyFill="1" applyBorder="1" applyAlignment="1">
      <alignment horizontal="center" vertical="center" wrapText="1"/>
    </xf>
    <xf numFmtId="0" fontId="35" fillId="2" borderId="73" xfId="0" applyFont="1" applyFill="1" applyBorder="1" applyAlignment="1">
      <alignment horizontal="center" vertical="center" wrapText="1"/>
    </xf>
    <xf numFmtId="0" fontId="35" fillId="2" borderId="74" xfId="0" applyFont="1" applyFill="1" applyBorder="1" applyAlignment="1">
      <alignment horizontal="center" vertical="center" wrapText="1"/>
    </xf>
    <xf numFmtId="169" fontId="8" fillId="0" borderId="112" xfId="0" applyNumberFormat="1" applyFont="1" applyBorder="1" applyAlignment="1" applyProtection="1">
      <alignment horizontal="center" vertical="center"/>
      <protection locked="0"/>
    </xf>
    <xf numFmtId="169" fontId="8" fillId="0" borderId="7" xfId="0" applyNumberFormat="1" applyFont="1" applyBorder="1" applyAlignment="1" applyProtection="1">
      <alignment horizontal="center" vertical="center"/>
      <protection locked="0"/>
    </xf>
    <xf numFmtId="169" fontId="8" fillId="0" borderId="93" xfId="0" applyNumberFormat="1" applyFont="1" applyBorder="1" applyAlignment="1" applyProtection="1">
      <alignment horizontal="center" vertical="center"/>
      <protection locked="0"/>
    </xf>
    <xf numFmtId="169" fontId="8" fillId="2" borderId="0" xfId="0" applyNumberFormat="1" applyFont="1" applyFill="1" applyAlignment="1" applyProtection="1">
      <alignment horizontal="center" vertical="center"/>
      <protection locked="0"/>
    </xf>
    <xf numFmtId="169" fontId="8" fillId="2" borderId="112" xfId="0" applyNumberFormat="1" applyFont="1" applyFill="1" applyBorder="1" applyAlignment="1" applyProtection="1">
      <alignment horizontal="center" vertical="center"/>
      <protection locked="0"/>
    </xf>
    <xf numFmtId="0" fontId="70" fillId="0" borderId="0" xfId="12" applyFont="1" applyAlignment="1">
      <alignment horizontal="right"/>
    </xf>
    <xf numFmtId="178" fontId="70" fillId="8" borderId="0" xfId="12" applyNumberFormat="1" applyFont="1" applyFill="1" applyAlignment="1">
      <alignment horizontal="right"/>
    </xf>
    <xf numFmtId="0" fontId="17" fillId="11" borderId="0" xfId="12" applyFont="1" applyFill="1" applyAlignment="1">
      <alignment horizontal="center" wrapText="1"/>
    </xf>
    <xf numFmtId="0" fontId="17" fillId="11" borderId="0" xfId="12" applyFont="1" applyFill="1" applyAlignment="1">
      <alignment horizontal="center"/>
    </xf>
    <xf numFmtId="0" fontId="75" fillId="0" borderId="209" xfId="12" applyFont="1" applyBorder="1" applyAlignment="1">
      <alignment horizontal="left"/>
    </xf>
    <xf numFmtId="0" fontId="75" fillId="0" borderId="208" xfId="12" applyFont="1" applyBorder="1" applyAlignment="1">
      <alignment horizontal="left"/>
    </xf>
    <xf numFmtId="0" fontId="75" fillId="0" borderId="209" xfId="12" applyFont="1" applyBorder="1"/>
    <xf numFmtId="0" fontId="75" fillId="0" borderId="208" xfId="12" applyFont="1" applyBorder="1"/>
    <xf numFmtId="0" fontId="75" fillId="0" borderId="210" xfId="12" applyFont="1" applyBorder="1"/>
    <xf numFmtId="0" fontId="75" fillId="0" borderId="213" xfId="12" applyFont="1" applyBorder="1" applyAlignment="1">
      <alignment horizontal="left"/>
    </xf>
    <xf numFmtId="0" fontId="75" fillId="0" borderId="212" xfId="12" applyFont="1" applyBorder="1" applyAlignment="1">
      <alignment horizontal="left"/>
    </xf>
    <xf numFmtId="0" fontId="75" fillId="0" borderId="214" xfId="12" applyFont="1" applyBorder="1" applyAlignment="1">
      <alignment horizontal="left"/>
    </xf>
    <xf numFmtId="0" fontId="74" fillId="0" borderId="211" xfId="12" applyFont="1" applyBorder="1" applyAlignment="1">
      <alignment horizontal="left" vertical="center" wrapText="1"/>
    </xf>
    <xf numFmtId="0" fontId="74" fillId="0" borderId="212" xfId="12" applyFont="1" applyBorder="1" applyAlignment="1">
      <alignment horizontal="left" vertical="center" wrapText="1"/>
    </xf>
    <xf numFmtId="0" fontId="74" fillId="0" borderId="214" xfId="12" applyFont="1" applyBorder="1" applyAlignment="1">
      <alignment horizontal="left" vertical="center" wrapText="1"/>
    </xf>
    <xf numFmtId="0" fontId="75" fillId="8" borderId="213" xfId="12" applyFont="1" applyFill="1" applyBorder="1" applyAlignment="1">
      <alignment horizontal="center"/>
    </xf>
    <xf numFmtId="0" fontId="75" fillId="8" borderId="212" xfId="12" applyFont="1" applyFill="1" applyBorder="1" applyAlignment="1">
      <alignment horizontal="center"/>
    </xf>
    <xf numFmtId="0" fontId="75" fillId="8" borderId="214" xfId="12" applyFont="1" applyFill="1" applyBorder="1" applyAlignment="1">
      <alignment horizontal="center"/>
    </xf>
    <xf numFmtId="0" fontId="66" fillId="6" borderId="198" xfId="12" applyFont="1" applyFill="1" applyBorder="1" applyAlignment="1">
      <alignment horizontal="center"/>
    </xf>
    <xf numFmtId="0" fontId="74" fillId="0" borderId="198" xfId="12" applyFont="1" applyBorder="1" applyAlignment="1">
      <alignment horizontal="center"/>
    </xf>
    <xf numFmtId="9" fontId="74" fillId="0" borderId="198" xfId="12" applyNumberFormat="1" applyFont="1" applyBorder="1" applyAlignment="1">
      <alignment horizontal="center"/>
    </xf>
    <xf numFmtId="0" fontId="75" fillId="0" borderId="213" xfId="12" applyFont="1" applyBorder="1" applyAlignment="1">
      <alignment horizontal="left" wrapText="1"/>
    </xf>
    <xf numFmtId="0" fontId="75" fillId="0" borderId="212" xfId="12" applyFont="1" applyBorder="1" applyAlignment="1">
      <alignment horizontal="left" wrapText="1"/>
    </xf>
    <xf numFmtId="0" fontId="75" fillId="0" borderId="215" xfId="12" applyFont="1" applyBorder="1" applyAlignment="1">
      <alignment horizontal="left" wrapText="1"/>
    </xf>
    <xf numFmtId="179" fontId="86" fillId="0" borderId="218" xfId="12" applyNumberFormat="1" applyFont="1" applyBorder="1" applyAlignment="1">
      <alignment horizontal="left" vertical="center"/>
    </xf>
    <xf numFmtId="0" fontId="86" fillId="0" borderId="217" xfId="12" applyFont="1" applyBorder="1" applyAlignment="1">
      <alignment horizontal="left" vertical="center"/>
    </xf>
    <xf numFmtId="0" fontId="86" fillId="0" borderId="219" xfId="12" applyFont="1" applyBorder="1" applyAlignment="1">
      <alignment horizontal="left" vertical="center"/>
    </xf>
    <xf numFmtId="0" fontId="75" fillId="0" borderId="212" xfId="12" applyFont="1" applyBorder="1" applyAlignment="1">
      <alignment horizontal="left" vertical="center" wrapText="1"/>
    </xf>
    <xf numFmtId="0" fontId="75" fillId="0" borderId="215" xfId="12" applyFont="1" applyBorder="1" applyAlignment="1">
      <alignment horizontal="left" vertical="center" wrapText="1"/>
    </xf>
    <xf numFmtId="0" fontId="75" fillId="0" borderId="213" xfId="12" applyFont="1" applyBorder="1"/>
    <xf numFmtId="0" fontId="75" fillId="0" borderId="212" xfId="12" applyFont="1" applyBorder="1"/>
    <xf numFmtId="0" fontId="75" fillId="0" borderId="214" xfId="12" applyFont="1" applyBorder="1"/>
    <xf numFmtId="0" fontId="74" fillId="0" borderId="198" xfId="12" applyFont="1" applyBorder="1" applyAlignment="1">
      <alignment horizontal="center" wrapText="1"/>
    </xf>
    <xf numFmtId="0" fontId="75" fillId="8" borderId="213" xfId="12" applyFont="1" applyFill="1" applyBorder="1" applyAlignment="1">
      <alignment horizontal="left"/>
    </xf>
    <xf numFmtId="0" fontId="75" fillId="8" borderId="212" xfId="12" applyFont="1" applyFill="1" applyBorder="1" applyAlignment="1">
      <alignment horizontal="left"/>
    </xf>
    <xf numFmtId="0" fontId="75" fillId="0" borderId="213" xfId="12" applyFont="1" applyBorder="1" applyAlignment="1">
      <alignment horizontal="center"/>
    </xf>
    <xf numFmtId="0" fontId="75" fillId="0" borderId="212" xfId="12" applyFont="1" applyBorder="1" applyAlignment="1">
      <alignment horizontal="center"/>
    </xf>
    <xf numFmtId="0" fontId="75" fillId="0" borderId="214" xfId="12" applyFont="1" applyBorder="1" applyAlignment="1">
      <alignment horizontal="center"/>
    </xf>
    <xf numFmtId="0" fontId="74" fillId="8" borderId="227" xfId="12" applyFont="1" applyFill="1" applyBorder="1" applyAlignment="1">
      <alignment horizontal="left" wrapText="1"/>
    </xf>
    <xf numFmtId="0" fontId="74" fillId="8" borderId="228" xfId="12" applyFont="1" applyFill="1" applyBorder="1" applyAlignment="1">
      <alignment horizontal="left" wrapText="1"/>
    </xf>
    <xf numFmtId="0" fontId="74" fillId="8" borderId="229" xfId="12" applyFont="1" applyFill="1" applyBorder="1" applyAlignment="1">
      <alignment horizontal="left" wrapText="1"/>
    </xf>
    <xf numFmtId="0" fontId="75" fillId="0" borderId="228" xfId="12" applyFont="1" applyBorder="1" applyAlignment="1">
      <alignment horizontal="center"/>
    </xf>
    <xf numFmtId="0" fontId="75" fillId="0" borderId="230" xfId="12" applyFont="1" applyBorder="1" applyAlignment="1">
      <alignment horizontal="center"/>
    </xf>
    <xf numFmtId="0" fontId="74" fillId="0" borderId="211" xfId="12" applyFont="1" applyBorder="1" applyAlignment="1">
      <alignment horizontal="left" wrapText="1"/>
    </xf>
    <xf numFmtId="0" fontId="74" fillId="0" borderId="212" xfId="12" applyFont="1" applyBorder="1" applyAlignment="1">
      <alignment horizontal="left" wrapText="1"/>
    </xf>
    <xf numFmtId="0" fontId="74" fillId="0" borderId="214" xfId="12" applyFont="1" applyBorder="1" applyAlignment="1">
      <alignment horizontal="left" wrapText="1"/>
    </xf>
    <xf numFmtId="0" fontId="74" fillId="8" borderId="212" xfId="12" applyFont="1" applyFill="1" applyBorder="1" applyAlignment="1">
      <alignment horizontal="center" wrapText="1"/>
    </xf>
    <xf numFmtId="0" fontId="75" fillId="0" borderId="215" xfId="12" applyFont="1" applyBorder="1" applyAlignment="1">
      <alignment horizontal="left"/>
    </xf>
    <xf numFmtId="0" fontId="89" fillId="0" borderId="0" xfId="12" applyFont="1" applyAlignment="1">
      <alignment horizontal="justify" vertical="center" wrapText="1"/>
    </xf>
    <xf numFmtId="0" fontId="74" fillId="0" borderId="0" xfId="12" applyFont="1" applyAlignment="1">
      <alignment horizontal="justify" vertical="center"/>
    </xf>
    <xf numFmtId="4" fontId="32" fillId="0" borderId="0" xfId="12" applyNumberFormat="1" applyAlignment="1">
      <alignment horizontal="center"/>
    </xf>
    <xf numFmtId="0" fontId="21" fillId="0" borderId="0" xfId="12" applyFont="1" applyAlignment="1">
      <alignment horizontal="left" wrapText="1"/>
    </xf>
    <xf numFmtId="0" fontId="74" fillId="0" borderId="212" xfId="12" applyFont="1" applyBorder="1" applyAlignment="1">
      <alignment horizontal="center" wrapText="1"/>
    </xf>
    <xf numFmtId="0" fontId="24" fillId="8" borderId="231" xfId="12" applyFont="1" applyFill="1" applyBorder="1" applyAlignment="1">
      <alignment horizontal="center" vertical="center"/>
    </xf>
    <xf numFmtId="0" fontId="24" fillId="8" borderId="232" xfId="12" applyFont="1" applyFill="1" applyBorder="1" applyAlignment="1">
      <alignment horizontal="center" vertical="center"/>
    </xf>
    <xf numFmtId="0" fontId="24" fillId="8" borderId="233" xfId="12" applyFont="1" applyFill="1" applyBorder="1" applyAlignment="1">
      <alignment horizontal="center" vertical="center"/>
    </xf>
    <xf numFmtId="0" fontId="24" fillId="8" borderId="39" xfId="12" applyFont="1" applyFill="1" applyBorder="1" applyAlignment="1">
      <alignment horizontal="center" vertical="center"/>
    </xf>
    <xf numFmtId="0" fontId="24" fillId="8" borderId="0" xfId="12" applyFont="1" applyFill="1" applyAlignment="1">
      <alignment horizontal="center" vertical="center"/>
    </xf>
    <xf numFmtId="0" fontId="24" fillId="8" borderId="225" xfId="12" applyFont="1" applyFill="1" applyBorder="1" applyAlignment="1">
      <alignment horizontal="center" vertical="center"/>
    </xf>
    <xf numFmtId="0" fontId="75" fillId="8" borderId="234" xfId="12" applyFont="1" applyFill="1" applyBorder="1" applyAlignment="1">
      <alignment horizontal="justify" vertical="center" wrapText="1"/>
    </xf>
    <xf numFmtId="0" fontId="75" fillId="8" borderId="232" xfId="12" applyFont="1" applyFill="1" applyBorder="1" applyAlignment="1">
      <alignment horizontal="justify" vertical="center" wrapText="1"/>
    </xf>
    <xf numFmtId="0" fontId="75" fillId="8" borderId="235" xfId="12" applyFont="1" applyFill="1" applyBorder="1" applyAlignment="1">
      <alignment horizontal="justify" vertical="center" wrapText="1"/>
    </xf>
    <xf numFmtId="0" fontId="75" fillId="0" borderId="234" xfId="12" applyFont="1" applyBorder="1" applyAlignment="1">
      <alignment horizontal="justify" vertical="center" wrapText="1"/>
    </xf>
    <xf numFmtId="0" fontId="75" fillId="0" borderId="232" xfId="12" applyFont="1" applyBorder="1" applyAlignment="1">
      <alignment horizontal="justify" vertical="center" wrapText="1"/>
    </xf>
    <xf numFmtId="0" fontId="75" fillId="0" borderId="235" xfId="12" applyFont="1" applyBorder="1" applyAlignment="1">
      <alignment horizontal="justify" vertical="center" wrapText="1"/>
    </xf>
    <xf numFmtId="0" fontId="91" fillId="0" borderId="248" xfId="12" applyFont="1" applyBorder="1" applyAlignment="1">
      <alignment horizontal="left"/>
    </xf>
    <xf numFmtId="0" fontId="91" fillId="0" borderId="249" xfId="12" applyFont="1" applyBorder="1" applyAlignment="1">
      <alignment horizontal="left"/>
    </xf>
    <xf numFmtId="4" fontId="92" fillId="8" borderId="249" xfId="12" applyNumberFormat="1" applyFont="1" applyFill="1" applyBorder="1" applyAlignment="1">
      <alignment horizontal="center"/>
    </xf>
    <xf numFmtId="0" fontId="92" fillId="8" borderId="249" xfId="12" applyFont="1" applyFill="1" applyBorder="1" applyAlignment="1">
      <alignment horizontal="center"/>
    </xf>
    <xf numFmtId="4" fontId="32" fillId="8" borderId="250" xfId="12" applyNumberFormat="1" applyFill="1" applyBorder="1" applyAlignment="1">
      <alignment horizontal="center"/>
    </xf>
    <xf numFmtId="4" fontId="32" fillId="8" borderId="251" xfId="12" applyNumberFormat="1" applyFill="1" applyBorder="1" applyAlignment="1">
      <alignment horizontal="center"/>
    </xf>
    <xf numFmtId="4" fontId="32" fillId="8" borderId="252" xfId="12" applyNumberFormat="1" applyFill="1" applyBorder="1" applyAlignment="1">
      <alignment horizontal="center"/>
    </xf>
    <xf numFmtId="180" fontId="32" fillId="8" borderId="253" xfId="12" applyNumberFormat="1" applyFill="1" applyBorder="1" applyAlignment="1">
      <alignment horizontal="center"/>
    </xf>
    <xf numFmtId="180" fontId="32" fillId="8" borderId="254" xfId="12" applyNumberFormat="1" applyFill="1" applyBorder="1" applyAlignment="1">
      <alignment horizontal="center"/>
    </xf>
    <xf numFmtId="180" fontId="32" fillId="8" borderId="255" xfId="12" applyNumberFormat="1" applyFill="1" applyBorder="1" applyAlignment="1">
      <alignment horizontal="center"/>
    </xf>
    <xf numFmtId="0" fontId="90" fillId="6" borderId="240" xfId="12" applyFont="1" applyFill="1" applyBorder="1" applyAlignment="1">
      <alignment horizontal="center" vertical="center" wrapText="1"/>
    </xf>
    <xf numFmtId="0" fontId="90" fillId="6" borderId="241" xfId="12" applyFont="1" applyFill="1" applyBorder="1" applyAlignment="1">
      <alignment horizontal="center" vertical="center"/>
    </xf>
    <xf numFmtId="0" fontId="90" fillId="6" borderId="242" xfId="12" applyFont="1" applyFill="1" applyBorder="1" applyAlignment="1">
      <alignment horizontal="center" vertical="center"/>
    </xf>
    <xf numFmtId="0" fontId="90" fillId="6" borderId="243" xfId="12" applyFont="1" applyFill="1" applyBorder="1" applyAlignment="1">
      <alignment horizontal="center" vertical="center" wrapText="1"/>
    </xf>
    <xf numFmtId="0" fontId="90" fillId="6" borderId="243" xfId="12" applyFont="1" applyFill="1" applyBorder="1" applyAlignment="1">
      <alignment horizontal="center" vertical="center"/>
    </xf>
    <xf numFmtId="0" fontId="89" fillId="6" borderId="243" xfId="12" applyFont="1" applyFill="1" applyBorder="1" applyAlignment="1">
      <alignment horizontal="center" vertical="center"/>
    </xf>
    <xf numFmtId="0" fontId="89" fillId="6" borderId="244" xfId="12" applyFont="1" applyFill="1" applyBorder="1" applyAlignment="1">
      <alignment horizontal="center" vertical="center" wrapText="1"/>
    </xf>
    <xf numFmtId="0" fontId="89" fillId="6" borderId="245" xfId="12" applyFont="1" applyFill="1" applyBorder="1" applyAlignment="1">
      <alignment horizontal="center" vertical="center"/>
    </xf>
    <xf numFmtId="0" fontId="89" fillId="6" borderId="246" xfId="12" applyFont="1" applyFill="1" applyBorder="1" applyAlignment="1">
      <alignment horizontal="center" vertical="center"/>
    </xf>
    <xf numFmtId="0" fontId="89" fillId="6" borderId="247" xfId="12" applyFont="1" applyFill="1" applyBorder="1" applyAlignment="1">
      <alignment horizontal="center" vertical="center"/>
    </xf>
    <xf numFmtId="0" fontId="92" fillId="0" borderId="256" xfId="12" applyFont="1" applyBorder="1" applyAlignment="1">
      <alignment horizontal="left"/>
    </xf>
    <xf numFmtId="0" fontId="92" fillId="0" borderId="198" xfId="12" applyFont="1" applyBorder="1" applyAlignment="1">
      <alignment horizontal="left"/>
    </xf>
    <xf numFmtId="4" fontId="92" fillId="8" borderId="198" xfId="12" applyNumberFormat="1" applyFont="1" applyFill="1" applyBorder="1" applyAlignment="1">
      <alignment horizontal="center"/>
    </xf>
    <xf numFmtId="0" fontId="92" fillId="8" borderId="198" xfId="12" applyFont="1" applyFill="1" applyBorder="1" applyAlignment="1">
      <alignment horizontal="center"/>
    </xf>
    <xf numFmtId="180" fontId="32" fillId="8" borderId="192" xfId="12" applyNumberFormat="1" applyFill="1" applyBorder="1" applyAlignment="1">
      <alignment horizontal="center"/>
    </xf>
    <xf numFmtId="180" fontId="32" fillId="8" borderId="193" xfId="12" applyNumberFormat="1" applyFill="1" applyBorder="1" applyAlignment="1">
      <alignment horizontal="center"/>
    </xf>
    <xf numFmtId="180" fontId="32" fillId="8" borderId="197" xfId="12" applyNumberFormat="1" applyFill="1" applyBorder="1" applyAlignment="1">
      <alignment horizontal="center"/>
    </xf>
    <xf numFmtId="180" fontId="32" fillId="8" borderId="257" xfId="12" applyNumberFormat="1" applyFill="1" applyBorder="1" applyAlignment="1">
      <alignment horizontal="center"/>
    </xf>
    <xf numFmtId="0" fontId="91" fillId="0" borderId="256" xfId="12" applyFont="1" applyBorder="1" applyAlignment="1">
      <alignment horizontal="left"/>
    </xf>
    <xf numFmtId="0" fontId="91" fillId="0" borderId="198" xfId="12" applyFont="1" applyBorder="1" applyAlignment="1">
      <alignment horizontal="left"/>
    </xf>
    <xf numFmtId="4" fontId="32" fillId="8" borderId="192" xfId="12" applyNumberFormat="1" applyFill="1" applyBorder="1" applyAlignment="1">
      <alignment horizontal="center"/>
    </xf>
    <xf numFmtId="4" fontId="32" fillId="8" borderId="193" xfId="12" applyNumberFormat="1" applyFill="1" applyBorder="1" applyAlignment="1">
      <alignment horizontal="center"/>
    </xf>
    <xf numFmtId="4" fontId="32" fillId="8" borderId="197" xfId="12" applyNumberFormat="1" applyFill="1" applyBorder="1" applyAlignment="1">
      <alignment horizontal="center"/>
    </xf>
    <xf numFmtId="0" fontId="92" fillId="0" borderId="256" xfId="12" applyFont="1" applyBorder="1" applyAlignment="1">
      <alignment horizontal="left" wrapText="1"/>
    </xf>
    <xf numFmtId="0" fontId="92" fillId="0" borderId="198" xfId="12" applyFont="1" applyBorder="1" applyAlignment="1">
      <alignment horizontal="left" wrapText="1"/>
    </xf>
    <xf numFmtId="180" fontId="70" fillId="0" borderId="261" xfId="12" applyNumberFormat="1" applyFont="1" applyBorder="1" applyAlignment="1">
      <alignment horizontal="center"/>
    </xf>
    <xf numFmtId="180" fontId="70" fillId="0" borderId="259" xfId="12" applyNumberFormat="1" applyFont="1" applyBorder="1" applyAlignment="1">
      <alignment horizontal="center"/>
    </xf>
    <xf numFmtId="180" fontId="70" fillId="0" borderId="262" xfId="12" applyNumberFormat="1" applyFont="1" applyBorder="1" applyAlignment="1">
      <alignment horizontal="center"/>
    </xf>
    <xf numFmtId="2" fontId="24" fillId="0" borderId="213" xfId="12" applyNumberFormat="1" applyFont="1" applyBorder="1" applyAlignment="1">
      <alignment horizontal="center"/>
    </xf>
    <xf numFmtId="2" fontId="24" fillId="0" borderId="212" xfId="12" applyNumberFormat="1" applyFont="1" applyBorder="1" applyAlignment="1">
      <alignment horizontal="center"/>
    </xf>
    <xf numFmtId="2" fontId="24" fillId="0" borderId="214" xfId="12" applyNumberFormat="1" applyFont="1" applyBorder="1" applyAlignment="1">
      <alignment horizontal="center"/>
    </xf>
    <xf numFmtId="2" fontId="21" fillId="0" borderId="258" xfId="12" applyNumberFormat="1" applyFont="1" applyBorder="1" applyAlignment="1">
      <alignment horizontal="center"/>
    </xf>
    <xf numFmtId="2" fontId="21" fillId="0" borderId="259" xfId="12" applyNumberFormat="1" applyFont="1" applyBorder="1" applyAlignment="1">
      <alignment horizontal="center"/>
    </xf>
    <xf numFmtId="2" fontId="21" fillId="0" borderId="260" xfId="12" applyNumberFormat="1" applyFont="1" applyBorder="1" applyAlignment="1">
      <alignment horizontal="center"/>
    </xf>
    <xf numFmtId="0" fontId="92" fillId="0" borderId="261" xfId="12" applyFont="1" applyBorder="1" applyAlignment="1">
      <alignment horizontal="center"/>
    </xf>
    <xf numFmtId="0" fontId="92" fillId="0" borderId="259" xfId="12" applyFont="1" applyBorder="1" applyAlignment="1">
      <alignment horizontal="center"/>
    </xf>
    <xf numFmtId="0" fontId="92" fillId="0" borderId="260" xfId="12" applyFont="1" applyBorder="1" applyAlignment="1">
      <alignment horizontal="center"/>
    </xf>
    <xf numFmtId="0" fontId="90" fillId="6" borderId="263" xfId="12" applyFont="1" applyFill="1" applyBorder="1" applyAlignment="1">
      <alignment horizontal="center" vertical="center" wrapText="1"/>
    </xf>
    <xf numFmtId="0" fontId="90" fillId="6" borderId="264" xfId="12" applyFont="1" applyFill="1" applyBorder="1" applyAlignment="1">
      <alignment horizontal="center" vertical="center"/>
    </xf>
    <xf numFmtId="0" fontId="90" fillId="6" borderId="265" xfId="12" applyFont="1" applyFill="1" applyBorder="1" applyAlignment="1">
      <alignment horizontal="center" vertical="center"/>
    </xf>
    <xf numFmtId="0" fontId="90" fillId="6" borderId="249" xfId="12" applyFont="1" applyFill="1" applyBorder="1" applyAlignment="1">
      <alignment horizontal="center" vertical="center" wrapText="1"/>
    </xf>
    <xf numFmtId="0" fontId="90" fillId="6" borderId="249" xfId="12" applyFont="1" applyFill="1" applyBorder="1" applyAlignment="1">
      <alignment horizontal="center" vertical="center"/>
    </xf>
    <xf numFmtId="0" fontId="32" fillId="6" borderId="249" xfId="12" applyFill="1" applyBorder="1" applyAlignment="1">
      <alignment horizontal="center" vertical="center" wrapText="1"/>
    </xf>
    <xf numFmtId="0" fontId="89" fillId="6" borderId="249" xfId="12" applyFont="1" applyFill="1" applyBorder="1" applyAlignment="1">
      <alignment horizontal="center" vertical="center"/>
    </xf>
    <xf numFmtId="0" fontId="89" fillId="6" borderId="266" xfId="12" applyFont="1" applyFill="1" applyBorder="1" applyAlignment="1">
      <alignment horizontal="center" vertical="center"/>
    </xf>
    <xf numFmtId="0" fontId="89" fillId="6" borderId="264" xfId="12" applyFont="1" applyFill="1" applyBorder="1" applyAlignment="1">
      <alignment horizontal="center" vertical="center"/>
    </xf>
    <xf numFmtId="0" fontId="89" fillId="6" borderId="267" xfId="12" applyFont="1" applyFill="1" applyBorder="1" applyAlignment="1">
      <alignment horizontal="center" vertical="center"/>
    </xf>
    <xf numFmtId="4" fontId="74" fillId="8" borderId="192" xfId="12" applyNumberFormat="1" applyFont="1" applyFill="1" applyBorder="1" applyAlignment="1">
      <alignment horizontal="center"/>
    </xf>
    <xf numFmtId="4" fontId="74" fillId="8" borderId="193" xfId="12" applyNumberFormat="1" applyFont="1" applyFill="1" applyBorder="1" applyAlignment="1">
      <alignment horizontal="center"/>
    </xf>
    <xf numFmtId="4" fontId="74" fillId="8" borderId="197" xfId="12" applyNumberFormat="1" applyFont="1" applyFill="1" applyBorder="1" applyAlignment="1">
      <alignment horizontal="center"/>
    </xf>
    <xf numFmtId="2" fontId="74" fillId="8" borderId="192" xfId="12" applyNumberFormat="1" applyFont="1" applyFill="1" applyBorder="1" applyAlignment="1">
      <alignment horizontal="center"/>
    </xf>
    <xf numFmtId="2" fontId="74" fillId="8" borderId="193" xfId="12" applyNumberFormat="1" applyFont="1" applyFill="1" applyBorder="1" applyAlignment="1">
      <alignment horizontal="center"/>
    </xf>
    <xf numFmtId="2" fontId="74" fillId="8" borderId="197" xfId="12" applyNumberFormat="1" applyFont="1" applyFill="1" applyBorder="1" applyAlignment="1">
      <alignment horizontal="center"/>
    </xf>
    <xf numFmtId="0" fontId="74" fillId="8" borderId="193" xfId="12" applyFont="1" applyFill="1" applyBorder="1" applyAlignment="1">
      <alignment horizontal="center"/>
    </xf>
    <xf numFmtId="0" fontId="74" fillId="8" borderId="197" xfId="12" applyFont="1" applyFill="1" applyBorder="1" applyAlignment="1">
      <alignment horizontal="center"/>
    </xf>
    <xf numFmtId="180" fontId="75" fillId="8" borderId="198" xfId="12" applyNumberFormat="1" applyFont="1" applyFill="1" applyBorder="1" applyAlignment="1">
      <alignment horizontal="center"/>
    </xf>
    <xf numFmtId="180" fontId="75" fillId="8" borderId="268" xfId="12" applyNumberFormat="1" applyFont="1" applyFill="1" applyBorder="1" applyAlignment="1">
      <alignment horizontal="center"/>
    </xf>
    <xf numFmtId="0" fontId="90" fillId="0" borderId="256" xfId="12" applyFont="1" applyBorder="1" applyAlignment="1">
      <alignment horizontal="left"/>
    </xf>
    <xf numFmtId="0" fontId="90" fillId="0" borderId="198" xfId="12" applyFont="1" applyBorder="1" applyAlignment="1">
      <alignment horizontal="left"/>
    </xf>
    <xf numFmtId="0" fontId="74" fillId="8" borderId="192" xfId="12" applyFont="1" applyFill="1" applyBorder="1" applyAlignment="1">
      <alignment horizontal="center"/>
    </xf>
    <xf numFmtId="0" fontId="74" fillId="8" borderId="192" xfId="12" applyFont="1" applyFill="1" applyBorder="1"/>
    <xf numFmtId="0" fontId="74" fillId="8" borderId="193" xfId="12" applyFont="1" applyFill="1" applyBorder="1"/>
    <xf numFmtId="0" fontId="74" fillId="8" borderId="197" xfId="12" applyFont="1" applyFill="1" applyBorder="1"/>
    <xf numFmtId="180" fontId="73" fillId="0" borderId="269" xfId="12" applyNumberFormat="1" applyFont="1" applyBorder="1" applyAlignment="1">
      <alignment horizontal="center"/>
    </xf>
    <xf numFmtId="180" fontId="73" fillId="0" borderId="270" xfId="12" applyNumberFormat="1" applyFont="1" applyBorder="1" applyAlignment="1">
      <alignment horizontal="center"/>
    </xf>
    <xf numFmtId="4" fontId="24" fillId="0" borderId="213" xfId="12" applyNumberFormat="1" applyFont="1" applyBorder="1" applyAlignment="1">
      <alignment horizontal="center"/>
    </xf>
    <xf numFmtId="0" fontId="24" fillId="0" borderId="212" xfId="12" applyFont="1" applyBorder="1" applyAlignment="1">
      <alignment horizontal="center"/>
    </xf>
    <xf numFmtId="0" fontId="24" fillId="0" borderId="214" xfId="12" applyFont="1" applyBorder="1" applyAlignment="1">
      <alignment horizontal="center"/>
    </xf>
    <xf numFmtId="0" fontId="32" fillId="0" borderId="0" xfId="12" applyAlignment="1">
      <alignment horizontal="center"/>
    </xf>
    <xf numFmtId="2" fontId="90" fillId="0" borderId="256" xfId="12" applyNumberFormat="1" applyFont="1" applyBorder="1" applyAlignment="1">
      <alignment horizontal="left" wrapText="1"/>
    </xf>
    <xf numFmtId="0" fontId="90" fillId="0" borderId="198" xfId="12" applyFont="1" applyBorder="1" applyAlignment="1">
      <alignment horizontal="left" wrapText="1"/>
    </xf>
    <xf numFmtId="0" fontId="90" fillId="8" borderId="0" xfId="12" applyFont="1" applyFill="1" applyAlignment="1">
      <alignment horizontal="left" wrapText="1"/>
    </xf>
    <xf numFmtId="0" fontId="24" fillId="0" borderId="0" xfId="12" applyFont="1" applyAlignment="1">
      <alignment horizontal="center"/>
    </xf>
    <xf numFmtId="0" fontId="89" fillId="6" borderId="248" xfId="12" applyFont="1" applyFill="1" applyBorder="1" applyAlignment="1">
      <alignment horizontal="center" vertical="center"/>
    </xf>
    <xf numFmtId="0" fontId="89" fillId="6" borderId="249" xfId="12" applyFont="1" applyFill="1" applyBorder="1" applyAlignment="1">
      <alignment horizontal="center" vertical="center" wrapText="1"/>
    </xf>
    <xf numFmtId="2" fontId="89" fillId="0" borderId="258" xfId="12" applyNumberFormat="1" applyFont="1" applyBorder="1" applyAlignment="1">
      <alignment horizontal="center"/>
    </xf>
    <xf numFmtId="2" fontId="89" fillId="0" borderId="259" xfId="12" applyNumberFormat="1" applyFont="1" applyBorder="1" applyAlignment="1">
      <alignment horizontal="center"/>
    </xf>
    <xf numFmtId="2" fontId="89" fillId="0" borderId="260" xfId="12" applyNumberFormat="1" applyFont="1" applyBorder="1" applyAlignment="1">
      <alignment horizontal="center"/>
    </xf>
    <xf numFmtId="0" fontId="87" fillId="0" borderId="261" xfId="12" applyFont="1" applyBorder="1"/>
    <xf numFmtId="0" fontId="87" fillId="0" borderId="259" xfId="12" applyFont="1" applyBorder="1"/>
    <xf numFmtId="0" fontId="87" fillId="0" borderId="260" xfId="12" applyFont="1" applyBorder="1"/>
    <xf numFmtId="0" fontId="92" fillId="0" borderId="256" xfId="12" applyFont="1" applyBorder="1"/>
    <xf numFmtId="0" fontId="92" fillId="0" borderId="198" xfId="12" applyFont="1" applyBorder="1"/>
    <xf numFmtId="180" fontId="32" fillId="0" borderId="198" xfId="12" applyNumberFormat="1" applyBorder="1"/>
    <xf numFmtId="180" fontId="32" fillId="0" borderId="268" xfId="12" applyNumberFormat="1" applyBorder="1"/>
    <xf numFmtId="0" fontId="92" fillId="0" borderId="272" xfId="12" applyFont="1" applyBorder="1"/>
    <xf numFmtId="0" fontId="92" fillId="0" borderId="269" xfId="12" applyFont="1" applyBorder="1"/>
    <xf numFmtId="180" fontId="32" fillId="0" borderId="269" xfId="12" applyNumberFormat="1" applyBorder="1"/>
    <xf numFmtId="180" fontId="32" fillId="0" borderId="270" xfId="12" applyNumberFormat="1" applyBorder="1"/>
    <xf numFmtId="0" fontId="89" fillId="6" borderId="271" xfId="12" applyFont="1" applyFill="1" applyBorder="1" applyAlignment="1">
      <alignment horizontal="center" vertical="center"/>
    </xf>
    <xf numFmtId="4" fontId="92" fillId="0" borderId="198" xfId="12" applyNumberFormat="1" applyFont="1" applyBorder="1"/>
    <xf numFmtId="0" fontId="89" fillId="6" borderId="249" xfId="12" applyFont="1" applyFill="1" applyBorder="1" applyAlignment="1">
      <alignment vertical="center" wrapText="1"/>
    </xf>
    <xf numFmtId="0" fontId="89" fillId="6" borderId="271" xfId="12" applyFont="1" applyFill="1" applyBorder="1" applyAlignment="1">
      <alignment vertical="center" wrapText="1"/>
    </xf>
    <xf numFmtId="0" fontId="89" fillId="0" borderId="256" xfId="12" applyFont="1" applyBorder="1"/>
    <xf numFmtId="0" fontId="89" fillId="0" borderId="198" xfId="12" applyFont="1" applyBorder="1"/>
    <xf numFmtId="0" fontId="32" fillId="0" borderId="198" xfId="12" applyBorder="1"/>
    <xf numFmtId="4" fontId="90" fillId="0" borderId="198" xfId="12" applyNumberFormat="1" applyFont="1" applyBorder="1" applyAlignment="1">
      <alignment horizontal="center"/>
    </xf>
    <xf numFmtId="0" fontId="90" fillId="0" borderId="198" xfId="12" applyFont="1" applyBorder="1" applyAlignment="1">
      <alignment horizontal="center"/>
    </xf>
    <xf numFmtId="4" fontId="92" fillId="0" borderId="198" xfId="12" applyNumberFormat="1" applyFont="1" applyBorder="1" applyAlignment="1">
      <alignment horizontal="center"/>
    </xf>
    <xf numFmtId="0" fontId="90" fillId="6" borderId="248" xfId="12" applyFont="1" applyFill="1" applyBorder="1" applyAlignment="1">
      <alignment horizontal="center"/>
    </xf>
    <xf numFmtId="0" fontId="90" fillId="6" borderId="249" xfId="12" applyFont="1" applyFill="1" applyBorder="1" applyAlignment="1">
      <alignment horizontal="center"/>
    </xf>
    <xf numFmtId="0" fontId="94" fillId="6" borderId="249" xfId="12" applyFont="1" applyFill="1" applyBorder="1" applyAlignment="1">
      <alignment vertical="center"/>
    </xf>
    <xf numFmtId="180" fontId="32" fillId="8" borderId="198" xfId="12" applyNumberFormat="1" applyFill="1" applyBorder="1"/>
    <xf numFmtId="180" fontId="32" fillId="8" borderId="268" xfId="12" applyNumberFormat="1" applyFill="1" applyBorder="1"/>
    <xf numFmtId="0" fontId="90" fillId="0" borderId="256" xfId="12" applyFont="1" applyBorder="1"/>
    <xf numFmtId="0" fontId="90" fillId="0" borderId="198" xfId="12" applyFont="1" applyBorder="1"/>
    <xf numFmtId="0" fontId="92" fillId="8" borderId="198" xfId="12" applyFont="1" applyFill="1" applyBorder="1"/>
    <xf numFmtId="0" fontId="32" fillId="8" borderId="198" xfId="12" applyFill="1" applyBorder="1"/>
    <xf numFmtId="4" fontId="90" fillId="8" borderId="198" xfId="12" applyNumberFormat="1" applyFont="1" applyFill="1" applyBorder="1" applyAlignment="1">
      <alignment horizontal="center"/>
    </xf>
    <xf numFmtId="0" fontId="90" fillId="8" borderId="198" xfId="12" applyFont="1" applyFill="1" applyBorder="1" applyAlignment="1">
      <alignment horizontal="center"/>
    </xf>
    <xf numFmtId="0" fontId="96" fillId="0" borderId="0" xfId="12" applyFont="1" applyAlignment="1">
      <alignment horizontal="left" wrapText="1"/>
    </xf>
    <xf numFmtId="0" fontId="73" fillId="0" borderId="261" xfId="12" applyFont="1" applyBorder="1" applyAlignment="1">
      <alignment horizontal="left" vertical="center" wrapText="1"/>
    </xf>
    <xf numFmtId="0" fontId="73" fillId="0" borderId="259" xfId="12" applyFont="1" applyBorder="1" applyAlignment="1">
      <alignment horizontal="left" vertical="center" wrapText="1"/>
    </xf>
    <xf numFmtId="0" fontId="73" fillId="0" borderId="260" xfId="12" applyFont="1" applyBorder="1" applyAlignment="1">
      <alignment horizontal="left" vertical="center" wrapText="1"/>
    </xf>
    <xf numFmtId="0" fontId="70" fillId="0" borderId="261" xfId="12" applyFont="1" applyBorder="1" applyAlignment="1">
      <alignment horizontal="left"/>
    </xf>
    <xf numFmtId="0" fontId="70" fillId="0" borderId="259" xfId="12" applyFont="1" applyBorder="1" applyAlignment="1">
      <alignment horizontal="left"/>
    </xf>
    <xf numFmtId="0" fontId="70" fillId="0" borderId="260" xfId="12" applyFont="1" applyBorder="1" applyAlignment="1">
      <alignment horizontal="left"/>
    </xf>
    <xf numFmtId="0" fontId="89" fillId="0" borderId="272" xfId="12" applyFont="1" applyBorder="1"/>
    <xf numFmtId="0" fontId="89" fillId="0" borderId="269" xfId="12" applyFont="1" applyBorder="1"/>
    <xf numFmtId="4" fontId="92" fillId="0" borderId="269" xfId="12" applyNumberFormat="1" applyFont="1" applyBorder="1"/>
    <xf numFmtId="0" fontId="92" fillId="8" borderId="269" xfId="12" applyFont="1" applyFill="1" applyBorder="1"/>
    <xf numFmtId="0" fontId="32" fillId="8" borderId="269" xfId="12" applyFill="1" applyBorder="1"/>
    <xf numFmtId="4" fontId="90" fillId="8" borderId="269" xfId="12" applyNumberFormat="1" applyFont="1" applyFill="1" applyBorder="1" applyAlignment="1">
      <alignment horizontal="center"/>
    </xf>
    <xf numFmtId="0" fontId="90" fillId="8" borderId="269" xfId="12" applyFont="1" applyFill="1" applyBorder="1" applyAlignment="1">
      <alignment horizontal="center"/>
    </xf>
    <xf numFmtId="4" fontId="92" fillId="8" borderId="269" xfId="12" applyNumberFormat="1" applyFont="1" applyFill="1" applyBorder="1" applyAlignment="1">
      <alignment horizontal="center"/>
    </xf>
    <xf numFmtId="180" fontId="32" fillId="8" borderId="269" xfId="12" applyNumberFormat="1" applyFill="1" applyBorder="1"/>
    <xf numFmtId="180" fontId="32" fillId="8" borderId="270" xfId="12" applyNumberFormat="1" applyFill="1" applyBorder="1"/>
    <xf numFmtId="0" fontId="35" fillId="7" borderId="168" xfId="0" applyFont="1" applyFill="1" applyBorder="1" applyAlignment="1">
      <alignment horizontal="center" vertical="center"/>
    </xf>
    <xf numFmtId="169" fontId="8" fillId="2" borderId="72" xfId="0" applyNumberFormat="1" applyFont="1" applyFill="1" applyBorder="1" applyAlignment="1" applyProtection="1">
      <alignment horizontal="center" vertical="center"/>
      <protection locked="0"/>
    </xf>
    <xf numFmtId="169" fontId="8" fillId="2" borderId="73" xfId="0" applyNumberFormat="1" applyFont="1" applyFill="1" applyBorder="1" applyAlignment="1" applyProtection="1">
      <alignment horizontal="center" vertical="center"/>
      <protection locked="0"/>
    </xf>
    <xf numFmtId="169" fontId="8" fillId="2" borderId="74" xfId="0" applyNumberFormat="1" applyFont="1" applyFill="1" applyBorder="1" applyAlignment="1" applyProtection="1">
      <alignment horizontal="center" vertical="center"/>
      <protection locked="0"/>
    </xf>
    <xf numFmtId="169" fontId="8" fillId="2" borderId="85" xfId="0" applyNumberFormat="1" applyFont="1" applyFill="1" applyBorder="1" applyAlignment="1" applyProtection="1">
      <alignment horizontal="center" vertical="center"/>
      <protection locked="0"/>
    </xf>
    <xf numFmtId="169" fontId="8" fillId="2" borderId="127" xfId="0" applyNumberFormat="1" applyFont="1" applyFill="1" applyBorder="1" applyAlignment="1" applyProtection="1">
      <alignment horizontal="center" vertical="center"/>
      <protection locked="0"/>
    </xf>
    <xf numFmtId="169" fontId="8" fillId="2" borderId="128" xfId="0" applyNumberFormat="1" applyFont="1" applyFill="1" applyBorder="1" applyAlignment="1" applyProtection="1">
      <alignment horizontal="center" vertical="center"/>
      <protection locked="0"/>
    </xf>
    <xf numFmtId="169" fontId="8" fillId="2" borderId="129" xfId="0" applyNumberFormat="1" applyFont="1" applyFill="1" applyBorder="1" applyAlignment="1" applyProtection="1">
      <alignment horizontal="center" vertical="center"/>
      <protection locked="0"/>
    </xf>
    <xf numFmtId="169" fontId="8" fillId="6" borderId="130" xfId="0" applyNumberFormat="1" applyFont="1" applyFill="1" applyBorder="1" applyAlignment="1" applyProtection="1">
      <alignment horizontal="center" vertical="center"/>
      <protection locked="0"/>
    </xf>
    <xf numFmtId="169" fontId="8" fillId="6" borderId="131" xfId="0" applyNumberFormat="1" applyFont="1" applyFill="1" applyBorder="1" applyAlignment="1" applyProtection="1">
      <alignment horizontal="center" vertical="center"/>
      <protection locked="0"/>
    </xf>
    <xf numFmtId="169" fontId="8" fillId="6" borderId="132" xfId="0" applyNumberFormat="1" applyFont="1" applyFill="1" applyBorder="1" applyAlignment="1" applyProtection="1">
      <alignment horizontal="center" vertical="center"/>
      <protection locked="0"/>
    </xf>
    <xf numFmtId="0" fontId="35" fillId="2" borderId="169" xfId="0" applyFont="1" applyFill="1" applyBorder="1" applyAlignment="1">
      <alignment horizontal="center" vertical="center"/>
    </xf>
    <xf numFmtId="0" fontId="35" fillId="2" borderId="143" xfId="0" applyFont="1" applyFill="1" applyBorder="1" applyAlignment="1">
      <alignment horizontal="center" vertical="center"/>
    </xf>
    <xf numFmtId="169" fontId="8" fillId="2" borderId="173" xfId="0" applyNumberFormat="1" applyFont="1" applyFill="1" applyBorder="1" applyAlignment="1" applyProtection="1">
      <alignment horizontal="center" vertical="center"/>
      <protection locked="0"/>
    </xf>
    <xf numFmtId="169" fontId="8" fillId="2" borderId="169" xfId="0" applyNumberFormat="1" applyFont="1" applyFill="1" applyBorder="1" applyAlignment="1" applyProtection="1">
      <alignment horizontal="center" vertical="center"/>
      <protection locked="0"/>
    </xf>
    <xf numFmtId="0" fontId="35" fillId="2" borderId="144" xfId="0" applyFont="1" applyFill="1" applyBorder="1" applyAlignment="1">
      <alignment horizontal="center" vertical="center" wrapText="1"/>
    </xf>
    <xf numFmtId="0" fontId="35" fillId="0" borderId="130" xfId="0" applyFont="1" applyBorder="1" applyAlignment="1">
      <alignment horizontal="center" vertical="center" wrapText="1"/>
    </xf>
    <xf numFmtId="0" fontId="35" fillId="0" borderId="131" xfId="0" applyFont="1" applyBorder="1" applyAlignment="1">
      <alignment horizontal="center" vertical="center" wrapText="1"/>
    </xf>
    <xf numFmtId="0" fontId="35" fillId="0" borderId="132" xfId="0" applyFont="1" applyBorder="1" applyAlignment="1">
      <alignment horizontal="center" vertical="center" wrapText="1"/>
    </xf>
    <xf numFmtId="0" fontId="35" fillId="0" borderId="130" xfId="0" applyFont="1" applyBorder="1" applyAlignment="1">
      <alignment horizontal="center" vertical="center"/>
    </xf>
    <xf numFmtId="0" fontId="35" fillId="0" borderId="131" xfId="0" applyFont="1" applyBorder="1" applyAlignment="1">
      <alignment horizontal="center" vertical="center"/>
    </xf>
    <xf numFmtId="0" fontId="35" fillId="0" borderId="143" xfId="0" applyFont="1" applyBorder="1" applyAlignment="1">
      <alignment horizontal="center" vertical="center"/>
    </xf>
    <xf numFmtId="169" fontId="8" fillId="6" borderId="144" xfId="0" applyNumberFormat="1" applyFont="1" applyFill="1" applyBorder="1" applyAlignment="1" applyProtection="1">
      <alignment horizontal="center" vertical="center"/>
      <protection locked="0"/>
    </xf>
    <xf numFmtId="169" fontId="8" fillId="6" borderId="37" xfId="0" applyNumberFormat="1" applyFont="1" applyFill="1" applyBorder="1" applyAlignment="1" applyProtection="1">
      <alignment horizontal="center" vertical="center"/>
      <protection locked="0"/>
    </xf>
    <xf numFmtId="169" fontId="8" fillId="6" borderId="123" xfId="0" applyNumberFormat="1" applyFont="1" applyFill="1" applyBorder="1" applyAlignment="1" applyProtection="1">
      <alignment horizontal="center" vertical="center"/>
      <protection locked="0"/>
    </xf>
    <xf numFmtId="169" fontId="8" fillId="2" borderId="11" xfId="0" applyNumberFormat="1" applyFont="1" applyFill="1" applyBorder="1" applyAlignment="1" applyProtection="1">
      <alignment horizontal="center" vertical="center"/>
      <protection locked="0"/>
    </xf>
    <xf numFmtId="169" fontId="8" fillId="2" borderId="144" xfId="0" applyNumberFormat="1" applyFont="1" applyFill="1" applyBorder="1" applyAlignment="1" applyProtection="1">
      <alignment horizontal="center" vertical="center"/>
      <protection locked="0"/>
    </xf>
    <xf numFmtId="2" fontId="35" fillId="2" borderId="43" xfId="0" applyNumberFormat="1" applyFont="1" applyFill="1" applyBorder="1" applyAlignment="1">
      <alignment horizontal="center"/>
    </xf>
    <xf numFmtId="169" fontId="8" fillId="2" borderId="75" xfId="0" applyNumberFormat="1" applyFont="1" applyFill="1" applyBorder="1" applyAlignment="1" applyProtection="1">
      <alignment horizontal="center" vertical="center"/>
      <protection locked="0"/>
    </xf>
    <xf numFmtId="169" fontId="8" fillId="2" borderId="77" xfId="0" applyNumberFormat="1" applyFont="1" applyFill="1" applyBorder="1" applyAlignment="1" applyProtection="1">
      <alignment horizontal="center" vertical="center"/>
      <protection locked="0"/>
    </xf>
    <xf numFmtId="0" fontId="35" fillId="7" borderId="111" xfId="0" applyFont="1" applyFill="1" applyBorder="1" applyAlignment="1">
      <alignment horizontal="center" vertical="center"/>
    </xf>
    <xf numFmtId="0" fontId="35" fillId="7" borderId="98" xfId="0" applyFont="1" applyFill="1" applyBorder="1" applyAlignment="1">
      <alignment horizontal="center" vertical="center"/>
    </xf>
    <xf numFmtId="0" fontId="35" fillId="2" borderId="115" xfId="0" applyFont="1" applyFill="1" applyBorder="1" applyAlignment="1">
      <alignment horizontal="center" vertical="center" wrapText="1"/>
    </xf>
    <xf numFmtId="0" fontId="35" fillId="2" borderId="91" xfId="0" applyFont="1" applyFill="1" applyBorder="1" applyAlignment="1">
      <alignment horizontal="center" vertical="center" wrapText="1"/>
    </xf>
    <xf numFmtId="0" fontId="35" fillId="2" borderId="92" xfId="0" applyFont="1" applyFill="1" applyBorder="1" applyAlignment="1">
      <alignment horizontal="center" vertical="center" wrapText="1"/>
    </xf>
    <xf numFmtId="0" fontId="35" fillId="7" borderId="139" xfId="0" applyFont="1" applyFill="1" applyBorder="1" applyAlignment="1">
      <alignment horizontal="center" vertical="center" wrapText="1"/>
    </xf>
    <xf numFmtId="0" fontId="35" fillId="7" borderId="168" xfId="0" applyFont="1" applyFill="1" applyBorder="1" applyAlignment="1">
      <alignment horizontal="center" vertical="center" wrapText="1"/>
    </xf>
    <xf numFmtId="0" fontId="8" fillId="2" borderId="44" xfId="0" applyFont="1" applyFill="1" applyBorder="1" applyAlignment="1" applyProtection="1">
      <alignment horizontal="center" vertical="center"/>
      <protection locked="0"/>
    </xf>
    <xf numFmtId="0" fontId="8" fillId="2" borderId="45" xfId="0" applyFont="1" applyFill="1" applyBorder="1" applyAlignment="1" applyProtection="1">
      <alignment horizontal="center" vertical="center"/>
      <protection locked="0"/>
    </xf>
    <xf numFmtId="0" fontId="35" fillId="2" borderId="0" xfId="0" applyFont="1" applyFill="1" applyAlignment="1">
      <alignment vertical="center"/>
    </xf>
    <xf numFmtId="49" fontId="35" fillId="6" borderId="0" xfId="0" applyNumberFormat="1" applyFont="1" applyFill="1" applyAlignment="1" applyProtection="1">
      <alignment horizontal="center" vertical="center"/>
      <protection locked="0"/>
    </xf>
    <xf numFmtId="0" fontId="35" fillId="6" borderId="0" xfId="0" applyFont="1" applyFill="1" applyAlignment="1" applyProtection="1">
      <alignment horizontal="center" vertical="center"/>
      <protection locked="0"/>
    </xf>
    <xf numFmtId="14" fontId="35" fillId="6" borderId="0" xfId="0" applyNumberFormat="1" applyFont="1" applyFill="1" applyAlignment="1">
      <alignment horizontal="center" vertical="center"/>
    </xf>
    <xf numFmtId="0" fontId="35" fillId="2" borderId="0" xfId="5" applyFont="1" applyFill="1" applyAlignment="1">
      <alignment horizontal="justify" vertical="top"/>
    </xf>
    <xf numFmtId="0" fontId="35" fillId="2" borderId="49" xfId="5" applyFont="1" applyFill="1" applyBorder="1" applyAlignment="1">
      <alignment horizontal="justify" vertical="top"/>
    </xf>
    <xf numFmtId="0" fontId="5" fillId="2" borderId="43" xfId="5" applyFont="1" applyFill="1" applyBorder="1" applyAlignment="1">
      <alignment horizontal="justify" vertical="center"/>
    </xf>
    <xf numFmtId="0" fontId="5" fillId="2" borderId="44" xfId="5" applyFont="1" applyFill="1" applyBorder="1" applyAlignment="1">
      <alignment horizontal="justify" vertical="center"/>
    </xf>
    <xf numFmtId="0" fontId="5" fillId="2" borderId="45" xfId="5" applyFont="1" applyFill="1" applyBorder="1" applyAlignment="1">
      <alignment horizontal="justify" vertical="center"/>
    </xf>
    <xf numFmtId="0" fontId="7" fillId="2" borderId="55" xfId="0" applyFont="1" applyFill="1" applyBorder="1" applyAlignment="1">
      <alignment horizontal="center"/>
    </xf>
    <xf numFmtId="0" fontId="7" fillId="2" borderId="56" xfId="0" applyFont="1" applyFill="1" applyBorder="1" applyAlignment="1">
      <alignment horizontal="center"/>
    </xf>
    <xf numFmtId="0" fontId="5" fillId="8" borderId="43" xfId="0" applyFont="1" applyFill="1" applyBorder="1" applyAlignment="1">
      <alignment horizontal="center"/>
    </xf>
    <xf numFmtId="0" fontId="5" fillId="8" borderId="44" xfId="0" applyFont="1" applyFill="1" applyBorder="1" applyAlignment="1">
      <alignment horizontal="center"/>
    </xf>
    <xf numFmtId="0" fontId="5" fillId="8" borderId="45" xfId="0" applyFont="1" applyFill="1" applyBorder="1" applyAlignment="1">
      <alignment horizontal="center"/>
    </xf>
    <xf numFmtId="0" fontId="102" fillId="2" borderId="1" xfId="0" applyFont="1" applyFill="1" applyBorder="1" applyAlignment="1">
      <alignment horizontal="center" vertical="center"/>
    </xf>
    <xf numFmtId="0" fontId="127" fillId="0" borderId="304" xfId="16" applyFont="1" applyBorder="1" applyAlignment="1">
      <alignment horizontal="center" vertical="center"/>
    </xf>
    <xf numFmtId="0" fontId="127" fillId="0" borderId="245" xfId="16" applyFont="1" applyBorder="1" applyAlignment="1">
      <alignment horizontal="center" vertical="center"/>
    </xf>
    <xf numFmtId="0" fontId="127" fillId="0" borderId="247" xfId="16" applyFont="1" applyBorder="1" applyAlignment="1">
      <alignment horizontal="center" vertical="center"/>
    </xf>
    <xf numFmtId="0" fontId="87" fillId="8" borderId="196" xfId="16" quotePrefix="1" applyFont="1" applyFill="1" applyBorder="1" applyAlignment="1">
      <alignment horizontal="center" vertical="center"/>
    </xf>
    <xf numFmtId="0" fontId="87" fillId="8" borderId="196" xfId="16" applyFont="1" applyFill="1" applyBorder="1" applyAlignment="1">
      <alignment horizontal="center" vertical="center"/>
    </xf>
    <xf numFmtId="0" fontId="87" fillId="8" borderId="0" xfId="16" applyFont="1" applyFill="1" applyAlignment="1">
      <alignment horizontal="center" vertical="center"/>
    </xf>
    <xf numFmtId="0" fontId="87" fillId="0" borderId="304" xfId="16" applyFont="1" applyBorder="1" applyAlignment="1">
      <alignment horizontal="justify" vertical="center"/>
    </xf>
    <xf numFmtId="0" fontId="87" fillId="0" borderId="245" xfId="16" applyFont="1" applyBorder="1" applyAlignment="1">
      <alignment horizontal="justify" vertical="center"/>
    </xf>
    <xf numFmtId="0" fontId="87" fillId="0" borderId="247" xfId="16" applyFont="1" applyBorder="1" applyAlignment="1">
      <alignment horizontal="justify" vertical="center"/>
    </xf>
    <xf numFmtId="0" fontId="129" fillId="18" borderId="192" xfId="16" applyFont="1" applyFill="1" applyBorder="1" applyAlignment="1">
      <alignment horizontal="center" vertical="center"/>
    </xf>
    <xf numFmtId="0" fontId="129" fillId="18" borderId="197" xfId="16" applyFont="1" applyFill="1" applyBorder="1" applyAlignment="1">
      <alignment horizontal="center" vertical="center"/>
    </xf>
    <xf numFmtId="0" fontId="87" fillId="0" borderId="192" xfId="16" applyFont="1" applyBorder="1" applyAlignment="1">
      <alignment horizontal="center" vertical="center" wrapText="1"/>
    </xf>
    <xf numFmtId="0" fontId="87" fillId="0" borderId="197" xfId="16" applyFont="1" applyBorder="1" applyAlignment="1">
      <alignment horizontal="center" vertical="center"/>
    </xf>
    <xf numFmtId="0" fontId="129" fillId="18" borderId="193" xfId="16" applyFont="1" applyFill="1" applyBorder="1" applyAlignment="1">
      <alignment horizontal="center" vertical="center"/>
    </xf>
    <xf numFmtId="0" fontId="87" fillId="8" borderId="192" xfId="16" applyFont="1" applyFill="1" applyBorder="1" applyAlignment="1">
      <alignment horizontal="center" vertical="center"/>
    </xf>
    <xf numFmtId="0" fontId="87" fillId="8" borderId="197" xfId="16" applyFont="1" applyFill="1" applyBorder="1" applyAlignment="1">
      <alignment horizontal="center" vertical="center"/>
    </xf>
    <xf numFmtId="0" fontId="87" fillId="8" borderId="304" xfId="16" applyFont="1" applyFill="1" applyBorder="1" applyAlignment="1">
      <alignment horizontal="center" vertical="center"/>
    </xf>
    <xf numFmtId="0" fontId="87" fillId="8" borderId="245" xfId="16" applyFont="1" applyFill="1" applyBorder="1" applyAlignment="1">
      <alignment horizontal="center" vertical="center"/>
    </xf>
    <xf numFmtId="0" fontId="87" fillId="8" borderId="247" xfId="16" applyFont="1" applyFill="1" applyBorder="1" applyAlignment="1">
      <alignment horizontal="center" vertical="center"/>
    </xf>
    <xf numFmtId="0" fontId="87" fillId="0" borderId="304" xfId="16" applyFont="1" applyBorder="1" applyAlignment="1">
      <alignment horizontal="center" vertical="center"/>
    </xf>
    <xf numFmtId="0" fontId="87" fillId="0" borderId="245" xfId="16" applyFont="1" applyBorder="1" applyAlignment="1">
      <alignment horizontal="center" vertical="center"/>
    </xf>
    <xf numFmtId="0" fontId="87" fillId="0" borderId="247" xfId="16" applyFont="1" applyBorder="1" applyAlignment="1">
      <alignment horizontal="center" vertical="center"/>
    </xf>
    <xf numFmtId="0" fontId="87" fillId="0" borderId="39" xfId="16" applyFont="1" applyBorder="1" applyAlignment="1">
      <alignment horizontal="center" vertical="center"/>
    </xf>
    <xf numFmtId="0" fontId="87" fillId="0" borderId="0" xfId="16" applyFont="1" applyAlignment="1">
      <alignment horizontal="center" vertical="center"/>
    </xf>
    <xf numFmtId="0" fontId="87" fillId="0" borderId="226" xfId="16" applyFont="1" applyBorder="1" applyAlignment="1">
      <alignment horizontal="center" vertical="center"/>
    </xf>
    <xf numFmtId="0" fontId="87" fillId="8" borderId="226" xfId="16" applyFont="1" applyFill="1" applyBorder="1" applyAlignment="1">
      <alignment horizontal="center" vertical="center"/>
    </xf>
    <xf numFmtId="0" fontId="130" fillId="18" borderId="192" xfId="16" applyFont="1" applyFill="1" applyBorder="1" applyAlignment="1">
      <alignment horizontal="center" vertical="center"/>
    </xf>
    <xf numFmtId="0" fontId="130" fillId="18" borderId="193" xfId="16" applyFont="1" applyFill="1" applyBorder="1" applyAlignment="1">
      <alignment horizontal="center" vertical="center"/>
    </xf>
    <xf numFmtId="0" fontId="87" fillId="0" borderId="193" xfId="16" applyFont="1" applyBorder="1" applyAlignment="1">
      <alignment horizontal="center" vertical="center"/>
    </xf>
    <xf numFmtId="0" fontId="87" fillId="0" borderId="306" xfId="16" applyFont="1" applyBorder="1" applyAlignment="1">
      <alignment horizontal="left" vertical="center"/>
    </xf>
    <xf numFmtId="0" fontId="87" fillId="0" borderId="193" xfId="16" applyFont="1" applyBorder="1" applyAlignment="1">
      <alignment horizontal="left" vertical="center"/>
    </xf>
    <xf numFmtId="0" fontId="87" fillId="0" borderId="257" xfId="16" applyFont="1" applyBorder="1" applyAlignment="1">
      <alignment horizontal="left" vertical="center"/>
    </xf>
    <xf numFmtId="3" fontId="87" fillId="8" borderId="304" xfId="16" quotePrefix="1" applyNumberFormat="1" applyFont="1" applyFill="1" applyBorder="1" applyAlignment="1">
      <alignment horizontal="center" vertical="center"/>
    </xf>
    <xf numFmtId="0" fontId="87" fillId="8" borderId="245" xfId="16" quotePrefix="1" applyFont="1" applyFill="1" applyBorder="1" applyAlignment="1">
      <alignment horizontal="center" vertical="center"/>
    </xf>
    <xf numFmtId="0" fontId="87" fillId="8" borderId="247" xfId="16" quotePrefix="1" applyFont="1" applyFill="1" applyBorder="1" applyAlignment="1">
      <alignment horizontal="center" vertical="center"/>
    </xf>
    <xf numFmtId="0" fontId="87" fillId="8" borderId="193" xfId="16" applyFont="1" applyFill="1" applyBorder="1" applyAlignment="1">
      <alignment horizontal="center" vertical="center"/>
    </xf>
    <xf numFmtId="0" fontId="87" fillId="8" borderId="198" xfId="16" applyFont="1" applyFill="1" applyBorder="1" applyAlignment="1">
      <alignment horizontal="center" vertical="center"/>
    </xf>
    <xf numFmtId="1" fontId="87" fillId="8" borderId="304" xfId="16" applyNumberFormat="1" applyFont="1" applyFill="1" applyBorder="1" applyAlignment="1">
      <alignment horizontal="center" vertical="center"/>
    </xf>
    <xf numFmtId="0" fontId="132" fillId="18" borderId="192" xfId="16" applyFont="1" applyFill="1" applyBorder="1" applyAlignment="1">
      <alignment horizontal="center" vertical="center"/>
    </xf>
    <xf numFmtId="0" fontId="132" fillId="18" borderId="193" xfId="16" applyFont="1" applyFill="1" applyBorder="1" applyAlignment="1">
      <alignment horizontal="center" vertical="center"/>
    </xf>
    <xf numFmtId="0" fontId="132" fillId="18" borderId="197" xfId="16" applyFont="1" applyFill="1" applyBorder="1" applyAlignment="1">
      <alignment horizontal="center" vertical="center"/>
    </xf>
    <xf numFmtId="0" fontId="87" fillId="0" borderId="192" xfId="16" applyFont="1" applyBorder="1" applyAlignment="1">
      <alignment horizontal="center" vertical="center"/>
    </xf>
    <xf numFmtId="4" fontId="87" fillId="0" borderId="304" xfId="16" applyNumberFormat="1" applyFont="1" applyBorder="1" applyAlignment="1">
      <alignment horizontal="center" vertical="center"/>
    </xf>
    <xf numFmtId="4" fontId="87" fillId="0" borderId="245" xfId="16" applyNumberFormat="1" applyFont="1" applyBorder="1" applyAlignment="1">
      <alignment horizontal="center" vertical="center"/>
    </xf>
    <xf numFmtId="4" fontId="87" fillId="0" borderId="247" xfId="16" applyNumberFormat="1" applyFont="1" applyBorder="1" applyAlignment="1">
      <alignment horizontal="center" vertical="center"/>
    </xf>
    <xf numFmtId="2" fontId="87" fillId="8" borderId="304" xfId="16" applyNumberFormat="1" applyFont="1" applyFill="1" applyBorder="1" applyAlignment="1">
      <alignment horizontal="center" vertical="center"/>
    </xf>
    <xf numFmtId="2" fontId="87" fillId="8" borderId="245" xfId="16" applyNumberFormat="1" applyFont="1" applyFill="1" applyBorder="1" applyAlignment="1">
      <alignment horizontal="center" vertical="center"/>
    </xf>
    <xf numFmtId="2" fontId="87" fillId="8" borderId="247" xfId="16" applyNumberFormat="1" applyFont="1" applyFill="1" applyBorder="1" applyAlignment="1">
      <alignment horizontal="center" vertical="center"/>
    </xf>
    <xf numFmtId="0" fontId="87" fillId="0" borderId="256" xfId="16" applyFont="1" applyBorder="1" applyAlignment="1">
      <alignment horizontal="center" vertical="center"/>
    </xf>
    <xf numFmtId="0" fontId="87" fillId="0" borderId="198" xfId="16" applyFont="1" applyBorder="1" applyAlignment="1">
      <alignment horizontal="center" vertical="center"/>
    </xf>
    <xf numFmtId="0" fontId="87" fillId="0" borderId="268" xfId="16" applyFont="1" applyBorder="1" applyAlignment="1">
      <alignment horizontal="center" vertical="center"/>
    </xf>
    <xf numFmtId="0" fontId="87" fillId="0" borderId="257" xfId="16" applyFont="1" applyBorder="1" applyAlignment="1">
      <alignment horizontal="center" vertical="center"/>
    </xf>
    <xf numFmtId="0" fontId="87" fillId="0" borderId="306" xfId="16" applyFont="1" applyBorder="1" applyAlignment="1">
      <alignment horizontal="right" vertical="center"/>
    </xf>
    <xf numFmtId="0" fontId="87" fillId="0" borderId="257" xfId="16" applyFont="1" applyBorder="1" applyAlignment="1">
      <alignment horizontal="right" vertical="center"/>
    </xf>
    <xf numFmtId="0" fontId="87" fillId="0" borderId="306" xfId="16" applyFont="1" applyBorder="1" applyAlignment="1">
      <alignment horizontal="center" vertical="center"/>
    </xf>
    <xf numFmtId="0" fontId="87" fillId="8" borderId="192" xfId="16" applyFont="1" applyFill="1" applyBorder="1" applyAlignment="1">
      <alignment horizontal="left" vertical="center"/>
    </xf>
    <xf numFmtId="0" fontId="87" fillId="8" borderId="193" xfId="16" applyFont="1" applyFill="1" applyBorder="1" applyAlignment="1">
      <alignment horizontal="left" vertical="center"/>
    </xf>
    <xf numFmtId="0" fontId="87" fillId="8" borderId="197" xfId="16" applyFont="1" applyFill="1" applyBorder="1" applyAlignment="1">
      <alignment horizontal="left" vertical="center"/>
    </xf>
    <xf numFmtId="0" fontId="87" fillId="0" borderId="249" xfId="16" applyFont="1" applyBorder="1" applyAlignment="1">
      <alignment horizontal="center" vertical="center"/>
    </xf>
    <xf numFmtId="0" fontId="87" fillId="0" borderId="271" xfId="16" applyFont="1" applyBorder="1" applyAlignment="1">
      <alignment horizontal="center" vertical="center"/>
    </xf>
    <xf numFmtId="177" fontId="87" fillId="0" borderId="198" xfId="16" applyNumberFormat="1" applyFont="1" applyBorder="1" applyAlignment="1">
      <alignment horizontal="justify" vertical="center" wrapText="1"/>
    </xf>
    <xf numFmtId="0" fontId="87" fillId="0" borderId="198" xfId="16" applyFont="1" applyBorder="1" applyAlignment="1">
      <alignment horizontal="justify" vertical="center" wrapText="1"/>
    </xf>
    <xf numFmtId="177" fontId="87" fillId="0" borderId="198" xfId="16" applyNumberFormat="1" applyFont="1" applyBorder="1" applyAlignment="1">
      <alignment horizontal="center" vertical="center"/>
    </xf>
    <xf numFmtId="3" fontId="87" fillId="0" borderId="198" xfId="16" applyNumberFormat="1" applyFont="1" applyBorder="1" applyAlignment="1">
      <alignment horizontal="center" vertical="center"/>
    </xf>
    <xf numFmtId="177" fontId="87" fillId="8" borderId="198" xfId="16" applyNumberFormat="1" applyFont="1" applyFill="1" applyBorder="1" applyAlignment="1">
      <alignment horizontal="justify" vertical="center"/>
    </xf>
    <xf numFmtId="0" fontId="87" fillId="8" borderId="198" xfId="16" applyFont="1" applyFill="1" applyBorder="1" applyAlignment="1">
      <alignment horizontal="justify" vertical="center"/>
    </xf>
    <xf numFmtId="0" fontId="87" fillId="8" borderId="268" xfId="16" applyFont="1" applyFill="1" applyBorder="1" applyAlignment="1">
      <alignment horizontal="justify" vertical="center"/>
    </xf>
    <xf numFmtId="0" fontId="87" fillId="0" borderId="289" xfId="16" applyFont="1" applyBorder="1" applyAlignment="1">
      <alignment horizontal="center" vertical="center"/>
    </xf>
    <xf numFmtId="0" fontId="87" fillId="0" borderId="251" xfId="16" applyFont="1" applyBorder="1" applyAlignment="1">
      <alignment horizontal="center" vertical="center"/>
    </xf>
    <xf numFmtId="0" fontId="87" fillId="0" borderId="310" xfId="16" applyFont="1" applyBorder="1" applyAlignment="1">
      <alignment horizontal="center" vertical="center"/>
    </xf>
    <xf numFmtId="0" fontId="87" fillId="0" borderId="206" xfId="16" applyFont="1" applyBorder="1" applyAlignment="1">
      <alignment horizontal="center" vertical="center"/>
    </xf>
    <xf numFmtId="0" fontId="87" fillId="0" borderId="236" xfId="16" applyFont="1" applyBorder="1" applyAlignment="1">
      <alignment horizontal="center" vertical="center"/>
    </xf>
    <xf numFmtId="0" fontId="87" fillId="0" borderId="239" xfId="16" applyFont="1" applyBorder="1" applyAlignment="1">
      <alignment horizontal="center" vertical="center"/>
    </xf>
    <xf numFmtId="4" fontId="87" fillId="8" borderId="304" xfId="16" applyNumberFormat="1" applyFont="1" applyFill="1" applyBorder="1" applyAlignment="1">
      <alignment horizontal="center" vertical="center"/>
    </xf>
    <xf numFmtId="4" fontId="87" fillId="8" borderId="245" xfId="16" applyNumberFormat="1" applyFont="1" applyFill="1" applyBorder="1" applyAlignment="1">
      <alignment horizontal="center" vertical="center"/>
    </xf>
    <xf numFmtId="4" fontId="87" fillId="8" borderId="247" xfId="16" applyNumberFormat="1" applyFont="1" applyFill="1" applyBorder="1" applyAlignment="1">
      <alignment horizontal="center" vertical="center"/>
    </xf>
    <xf numFmtId="0" fontId="135" fillId="0" borderId="300" xfId="16" applyFont="1" applyBorder="1" applyAlignment="1">
      <alignment horizontal="left" vertical="center" wrapText="1"/>
    </xf>
    <xf numFmtId="0" fontId="135" fillId="0" borderId="194" xfId="16" applyFont="1" applyBorder="1" applyAlignment="1">
      <alignment horizontal="left" vertical="center" wrapText="1"/>
    </xf>
    <xf numFmtId="0" fontId="135" fillId="0" borderId="195" xfId="16" applyFont="1" applyBorder="1" applyAlignment="1">
      <alignment horizontal="left" vertical="center" wrapText="1"/>
    </xf>
    <xf numFmtId="0" fontId="135" fillId="0" borderId="302" xfId="16" applyFont="1" applyBorder="1" applyAlignment="1">
      <alignment horizontal="left" vertical="center" wrapText="1"/>
    </xf>
    <xf numFmtId="0" fontId="135" fillId="0" borderId="0" xfId="16" applyFont="1" applyAlignment="1">
      <alignment horizontal="left" vertical="center" wrapText="1"/>
    </xf>
    <xf numFmtId="0" fontId="135" fillId="0" borderId="303" xfId="16" applyFont="1" applyBorder="1" applyAlignment="1">
      <alignment horizontal="left" vertical="center" wrapText="1"/>
    </xf>
    <xf numFmtId="0" fontId="135" fillId="0" borderId="301" xfId="16" applyFont="1" applyBorder="1" applyAlignment="1">
      <alignment horizontal="left" vertical="center" wrapText="1"/>
    </xf>
    <xf numFmtId="0" fontId="135" fillId="0" borderId="196" xfId="16" applyFont="1" applyBorder="1" applyAlignment="1">
      <alignment horizontal="left" vertical="center" wrapText="1"/>
    </xf>
    <xf numFmtId="0" fontId="135" fillId="0" borderId="222" xfId="16" applyFont="1" applyBorder="1" applyAlignment="1">
      <alignment horizontal="left" vertical="center" wrapText="1"/>
    </xf>
    <xf numFmtId="0" fontId="35" fillId="8" borderId="0" xfId="5" applyFont="1" applyFill="1" applyAlignment="1">
      <alignment horizontal="left" vertical="center" wrapText="1"/>
    </xf>
    <xf numFmtId="0" fontId="35" fillId="8" borderId="49" xfId="5" applyFont="1" applyFill="1" applyBorder="1" applyAlignment="1">
      <alignment horizontal="left" vertical="center" wrapText="1"/>
    </xf>
    <xf numFmtId="169" fontId="8" fillId="8" borderId="163" xfId="0" applyNumberFormat="1" applyFont="1" applyFill="1" applyBorder="1" applyAlignment="1" applyProtection="1">
      <alignment horizontal="center" vertical="center"/>
      <protection locked="0"/>
    </xf>
    <xf numFmtId="169" fontId="8" fillId="8" borderId="164" xfId="0" applyNumberFormat="1" applyFont="1" applyFill="1" applyBorder="1" applyAlignment="1" applyProtection="1">
      <alignment horizontal="center" vertical="center"/>
      <protection locked="0"/>
    </xf>
    <xf numFmtId="169" fontId="8" fillId="8" borderId="165" xfId="0" applyNumberFormat="1" applyFont="1" applyFill="1" applyBorder="1" applyAlignment="1" applyProtection="1">
      <alignment horizontal="center" vertical="center"/>
      <protection locked="0"/>
    </xf>
    <xf numFmtId="169" fontId="8" fillId="8" borderId="103" xfId="0" applyNumberFormat="1" applyFont="1" applyFill="1" applyBorder="1" applyAlignment="1" applyProtection="1">
      <alignment horizontal="center" vertical="center"/>
      <protection locked="0"/>
    </xf>
    <xf numFmtId="169" fontId="8" fillId="8" borderId="104" xfId="0" applyNumberFormat="1" applyFont="1" applyFill="1" applyBorder="1" applyAlignment="1" applyProtection="1">
      <alignment horizontal="center" vertical="center"/>
      <protection locked="0"/>
    </xf>
    <xf numFmtId="169" fontId="8" fillId="8" borderId="105" xfId="0" applyNumberFormat="1" applyFont="1" applyFill="1" applyBorder="1" applyAlignment="1" applyProtection="1">
      <alignment horizontal="center" vertical="center"/>
      <protection locked="0"/>
    </xf>
    <xf numFmtId="169" fontId="8" fillId="8" borderId="117" xfId="0" applyNumberFormat="1" applyFont="1" applyFill="1" applyBorder="1" applyAlignment="1" applyProtection="1">
      <alignment horizontal="center" vertical="center"/>
      <protection locked="0"/>
    </xf>
    <xf numFmtId="169" fontId="8" fillId="8" borderId="167" xfId="0" applyNumberFormat="1" applyFont="1" applyFill="1" applyBorder="1" applyAlignment="1" applyProtection="1">
      <alignment horizontal="center" vertical="center"/>
      <protection locked="0"/>
    </xf>
    <xf numFmtId="169" fontId="8" fillId="2" borderId="158" xfId="0" applyNumberFormat="1" applyFont="1" applyFill="1" applyBorder="1" applyAlignment="1" applyProtection="1">
      <alignment horizontal="center" vertical="center"/>
      <protection locked="0"/>
    </xf>
    <xf numFmtId="169" fontId="8" fillId="2" borderId="148" xfId="0" applyNumberFormat="1" applyFont="1" applyFill="1" applyBorder="1" applyAlignment="1" applyProtection="1">
      <alignment horizontal="center" vertical="center"/>
      <protection locked="0"/>
    </xf>
    <xf numFmtId="169" fontId="8" fillId="2" borderId="159" xfId="0" applyNumberFormat="1" applyFont="1" applyFill="1" applyBorder="1" applyAlignment="1" applyProtection="1">
      <alignment horizontal="center" vertical="center"/>
      <protection locked="0"/>
    </xf>
    <xf numFmtId="169" fontId="8" fillId="2" borderId="160" xfId="0" applyNumberFormat="1" applyFont="1" applyFill="1" applyBorder="1" applyAlignment="1" applyProtection="1">
      <alignment horizontal="center" vertical="center"/>
      <protection locked="0"/>
    </xf>
    <xf numFmtId="169" fontId="8" fillId="0" borderId="163" xfId="0" applyNumberFormat="1" applyFont="1" applyBorder="1" applyAlignment="1" applyProtection="1">
      <alignment horizontal="center" vertical="center"/>
      <protection locked="0"/>
    </xf>
    <xf numFmtId="169" fontId="8" fillId="0" borderId="164" xfId="0" applyNumberFormat="1" applyFont="1" applyBorder="1" applyAlignment="1" applyProtection="1">
      <alignment horizontal="center" vertical="center"/>
      <protection locked="0"/>
    </xf>
    <xf numFmtId="169" fontId="8" fillId="0" borderId="165" xfId="0" applyNumberFormat="1" applyFont="1" applyBorder="1" applyAlignment="1" applyProtection="1">
      <alignment horizontal="center" vertical="center"/>
      <protection locked="0"/>
    </xf>
    <xf numFmtId="169" fontId="8" fillId="0" borderId="103" xfId="0" applyNumberFormat="1" applyFont="1" applyBorder="1" applyAlignment="1" applyProtection="1">
      <alignment horizontal="center" vertical="center"/>
      <protection locked="0"/>
    </xf>
    <xf numFmtId="169" fontId="8" fillId="0" borderId="104" xfId="0" applyNumberFormat="1" applyFont="1" applyBorder="1" applyAlignment="1" applyProtection="1">
      <alignment horizontal="center" vertical="center"/>
      <protection locked="0"/>
    </xf>
    <xf numFmtId="169" fontId="8" fillId="0" borderId="105" xfId="0" applyNumberFormat="1" applyFont="1" applyBorder="1" applyAlignment="1" applyProtection="1">
      <alignment horizontal="center" vertical="center"/>
      <protection locked="0"/>
    </xf>
    <xf numFmtId="169" fontId="8" fillId="8" borderId="166" xfId="0" applyNumberFormat="1" applyFont="1" applyFill="1" applyBorder="1" applyAlignment="1" applyProtection="1">
      <alignment horizontal="center" vertical="center"/>
      <protection locked="0"/>
    </xf>
    <xf numFmtId="169" fontId="8" fillId="8" borderId="116" xfId="0" applyNumberFormat="1" applyFont="1" applyFill="1" applyBorder="1" applyAlignment="1" applyProtection="1">
      <alignment horizontal="center" vertical="center"/>
      <protection locked="0"/>
    </xf>
    <xf numFmtId="169" fontId="8" fillId="6" borderId="81" xfId="0" applyNumberFormat="1" applyFont="1" applyFill="1" applyBorder="1" applyAlignment="1" applyProtection="1">
      <alignment horizontal="center" vertical="center"/>
      <protection locked="0"/>
    </xf>
    <xf numFmtId="169" fontId="8" fillId="6" borderId="82" xfId="0" applyNumberFormat="1" applyFont="1" applyFill="1" applyBorder="1" applyAlignment="1" applyProtection="1">
      <alignment horizontal="center" vertical="center"/>
      <protection locked="0"/>
    </xf>
    <xf numFmtId="169" fontId="8" fillId="6" borderId="75" xfId="0" applyNumberFormat="1" applyFont="1" applyFill="1" applyBorder="1" applyAlignment="1" applyProtection="1">
      <alignment horizontal="center" vertical="center"/>
      <protection locked="0"/>
    </xf>
    <xf numFmtId="169" fontId="8" fillId="6" borderId="76" xfId="0" applyNumberFormat="1" applyFont="1" applyFill="1" applyBorder="1" applyAlignment="1" applyProtection="1">
      <alignment horizontal="center" vertical="center"/>
      <protection locked="0"/>
    </xf>
    <xf numFmtId="169" fontId="8" fillId="6" borderId="77" xfId="0" applyNumberFormat="1" applyFont="1" applyFill="1" applyBorder="1" applyAlignment="1" applyProtection="1">
      <alignment horizontal="center" vertical="center"/>
      <protection locked="0"/>
    </xf>
    <xf numFmtId="0" fontId="35" fillId="7" borderId="100" xfId="0" applyFont="1" applyFill="1" applyBorder="1" applyAlignment="1">
      <alignment horizontal="center" vertical="center" wrapText="1"/>
    </xf>
    <xf numFmtId="0" fontId="35" fillId="7" borderId="96" xfId="0" applyFont="1" applyFill="1" applyBorder="1" applyAlignment="1">
      <alignment horizontal="center" vertical="center" wrapText="1"/>
    </xf>
    <xf numFmtId="0" fontId="35" fillId="0" borderId="75" xfId="0" applyFont="1" applyBorder="1" applyAlignment="1">
      <alignment horizontal="center" vertical="center" wrapText="1"/>
    </xf>
    <xf numFmtId="0" fontId="35" fillId="0" borderId="76" xfId="0" applyFont="1" applyBorder="1" applyAlignment="1">
      <alignment horizontal="center" vertical="center" wrapText="1"/>
    </xf>
    <xf numFmtId="0" fontId="35" fillId="0" borderId="77" xfId="0" applyFont="1" applyBorder="1" applyAlignment="1">
      <alignment horizontal="center" vertical="center" wrapText="1"/>
    </xf>
    <xf numFmtId="169" fontId="8" fillId="8" borderId="12" xfId="0" applyNumberFormat="1" applyFont="1" applyFill="1" applyBorder="1" applyAlignment="1" applyProtection="1">
      <alignment horizontal="center" vertical="center"/>
      <protection locked="0"/>
    </xf>
    <xf numFmtId="169" fontId="8" fillId="8" borderId="37" xfId="0" applyNumberFormat="1" applyFont="1" applyFill="1" applyBorder="1" applyAlignment="1" applyProtection="1">
      <alignment horizontal="center" vertical="center"/>
      <protection locked="0"/>
    </xf>
    <xf numFmtId="169" fontId="8" fillId="8" borderId="11" xfId="0" applyNumberFormat="1" applyFont="1" applyFill="1" applyBorder="1" applyAlignment="1" applyProtection="1">
      <alignment horizontal="center" vertical="center"/>
      <protection locked="0"/>
    </xf>
    <xf numFmtId="169" fontId="8" fillId="8" borderId="81" xfId="0" applyNumberFormat="1" applyFont="1" applyFill="1" applyBorder="1" applyAlignment="1" applyProtection="1">
      <alignment horizontal="center" vertical="center"/>
      <protection locked="0"/>
    </xf>
    <xf numFmtId="169" fontId="8" fillId="8" borderId="82" xfId="0" applyNumberFormat="1" applyFont="1" applyFill="1" applyBorder="1" applyAlignment="1" applyProtection="1">
      <alignment horizontal="center" vertical="center"/>
      <protection locked="0"/>
    </xf>
    <xf numFmtId="169" fontId="8" fillId="2" borderId="161" xfId="0" applyNumberFormat="1" applyFont="1" applyFill="1" applyBorder="1" applyAlignment="1" applyProtection="1">
      <alignment horizontal="center" vertical="center"/>
      <protection locked="0"/>
    </xf>
    <xf numFmtId="169" fontId="8" fillId="2" borderId="65" xfId="0" applyNumberFormat="1" applyFont="1" applyFill="1" applyBorder="1" applyAlignment="1" applyProtection="1">
      <alignment horizontal="center" vertical="center"/>
      <protection locked="0"/>
    </xf>
    <xf numFmtId="169" fontId="8" fillId="2" borderId="162" xfId="0" applyNumberFormat="1" applyFont="1" applyFill="1" applyBorder="1" applyAlignment="1" applyProtection="1">
      <alignment horizontal="center" vertical="center"/>
      <protection locked="0"/>
    </xf>
    <xf numFmtId="169" fontId="8" fillId="8" borderId="113" xfId="0" applyNumberFormat="1" applyFont="1" applyFill="1" applyBorder="1" applyAlignment="1" applyProtection="1">
      <alignment horizontal="center" vertical="center"/>
      <protection locked="0"/>
    </xf>
    <xf numFmtId="169" fontId="8" fillId="8" borderId="88" xfId="0" applyNumberFormat="1" applyFont="1" applyFill="1" applyBorder="1" applyAlignment="1" applyProtection="1">
      <alignment horizontal="center" vertical="center"/>
      <protection locked="0"/>
    </xf>
    <xf numFmtId="169" fontId="8" fillId="8" borderId="90" xfId="0" applyNumberFormat="1" applyFont="1" applyFill="1" applyBorder="1" applyAlignment="1" applyProtection="1">
      <alignment horizontal="center" vertical="center"/>
      <protection locked="0"/>
    </xf>
    <xf numFmtId="169" fontId="8" fillId="8" borderId="161" xfId="0" applyNumberFormat="1" applyFont="1" applyFill="1" applyBorder="1" applyAlignment="1" applyProtection="1">
      <alignment horizontal="center" vertical="center"/>
      <protection locked="0"/>
    </xf>
    <xf numFmtId="169" fontId="8" fillId="8" borderId="65" xfId="0" applyNumberFormat="1" applyFont="1" applyFill="1" applyBorder="1" applyAlignment="1" applyProtection="1">
      <alignment horizontal="center" vertical="center"/>
      <protection locked="0"/>
    </xf>
    <xf numFmtId="169" fontId="8" fillId="8" borderId="162" xfId="0" applyNumberFormat="1" applyFont="1" applyFill="1" applyBorder="1" applyAlignment="1" applyProtection="1">
      <alignment horizontal="center" vertical="center"/>
      <protection locked="0"/>
    </xf>
    <xf numFmtId="169" fontId="8" fillId="8" borderId="10" xfId="0" applyNumberFormat="1" applyFont="1" applyFill="1" applyBorder="1" applyAlignment="1" applyProtection="1">
      <alignment horizontal="center" vertical="center"/>
      <protection locked="0"/>
    </xf>
    <xf numFmtId="169" fontId="8" fillId="2" borderId="205" xfId="0" applyNumberFormat="1" applyFont="1" applyFill="1" applyBorder="1" applyAlignment="1" applyProtection="1">
      <alignment horizontal="center" vertical="center"/>
      <protection locked="0"/>
    </xf>
    <xf numFmtId="0" fontId="35" fillId="0" borderId="75" xfId="0" applyFont="1" applyBorder="1" applyAlignment="1">
      <alignment horizontal="center" vertical="center"/>
    </xf>
    <xf numFmtId="0" fontId="35" fillId="0" borderId="76" xfId="0" applyFont="1" applyBorder="1" applyAlignment="1">
      <alignment horizontal="center" vertical="center"/>
    </xf>
    <xf numFmtId="0" fontId="35" fillId="0" borderId="87" xfId="0" applyFont="1" applyBorder="1" applyAlignment="1">
      <alignment horizontal="center" vertical="center"/>
    </xf>
    <xf numFmtId="169" fontId="8" fillId="0" borderId="75" xfId="0" applyNumberFormat="1" applyFont="1" applyBorder="1" applyAlignment="1" applyProtection="1">
      <alignment horizontal="center" vertical="center"/>
      <protection locked="0"/>
    </xf>
    <xf numFmtId="169" fontId="8" fillId="0" borderId="76" xfId="0" applyNumberFormat="1" applyFont="1" applyBorder="1" applyAlignment="1" applyProtection="1">
      <alignment horizontal="center" vertical="center"/>
      <protection locked="0"/>
    </xf>
    <xf numFmtId="169" fontId="8" fillId="0" borderId="77" xfId="0" applyNumberFormat="1" applyFont="1" applyBorder="1" applyAlignment="1" applyProtection="1">
      <alignment horizontal="center" vertical="center"/>
      <protection locked="0"/>
    </xf>
    <xf numFmtId="169" fontId="8" fillId="0" borderId="201" xfId="0" applyNumberFormat="1" applyFont="1" applyBorder="1" applyAlignment="1" applyProtection="1">
      <alignment horizontal="center" vertical="center"/>
      <protection locked="0"/>
    </xf>
    <xf numFmtId="169" fontId="8" fillId="0" borderId="202" xfId="0" applyNumberFormat="1" applyFont="1" applyBorder="1" applyAlignment="1" applyProtection="1">
      <alignment horizontal="center" vertical="center"/>
      <protection locked="0"/>
    </xf>
    <xf numFmtId="169" fontId="8" fillId="0" borderId="203" xfId="0" applyNumberFormat="1" applyFont="1" applyBorder="1" applyAlignment="1" applyProtection="1">
      <alignment horizontal="center" vertical="center"/>
      <protection locked="0"/>
    </xf>
    <xf numFmtId="169" fontId="8" fillId="0" borderId="204" xfId="0" applyNumberFormat="1" applyFont="1" applyBorder="1" applyAlignment="1" applyProtection="1">
      <alignment horizontal="center" vertical="center"/>
      <protection locked="0"/>
    </xf>
    <xf numFmtId="0" fontId="35" fillId="2" borderId="8" xfId="0" applyFont="1" applyFill="1" applyBorder="1" applyAlignment="1">
      <alignment horizontal="center" vertical="center"/>
    </xf>
    <xf numFmtId="0" fontId="35" fillId="7" borderId="171" xfId="0" applyFont="1" applyFill="1" applyBorder="1" applyAlignment="1">
      <alignment horizontal="center" vertical="center" wrapText="1"/>
    </xf>
    <xf numFmtId="0" fontId="35" fillId="7" borderId="172" xfId="0" applyFont="1" applyFill="1" applyBorder="1" applyAlignment="1">
      <alignment horizontal="center" vertical="center" wrapText="1"/>
    </xf>
    <xf numFmtId="2" fontId="35" fillId="2" borderId="44" xfId="0" applyNumberFormat="1" applyFont="1" applyFill="1" applyBorder="1" applyAlignment="1">
      <alignment horizontal="center"/>
    </xf>
    <xf numFmtId="2" fontId="35" fillId="2" borderId="45" xfId="0" applyNumberFormat="1" applyFont="1" applyFill="1" applyBorder="1" applyAlignment="1">
      <alignment horizontal="center"/>
    </xf>
    <xf numFmtId="169" fontId="8" fillId="0" borderId="81" xfId="0" applyNumberFormat="1" applyFont="1" applyBorder="1" applyAlignment="1" applyProtection="1">
      <alignment horizontal="center" vertical="center"/>
      <protection locked="0"/>
    </xf>
    <xf numFmtId="169" fontId="8" fillId="0" borderId="37" xfId="0" applyNumberFormat="1" applyFont="1" applyBorder="1" applyAlignment="1" applyProtection="1">
      <alignment horizontal="center" vertical="center"/>
      <protection locked="0"/>
    </xf>
    <xf numFmtId="169" fontId="8" fillId="0" borderId="82" xfId="0" applyNumberFormat="1" applyFont="1" applyBorder="1" applyAlignment="1" applyProtection="1">
      <alignment horizontal="center" vertical="center"/>
      <protection locked="0"/>
    </xf>
    <xf numFmtId="0" fontId="35" fillId="7" borderId="115" xfId="0" applyFont="1" applyFill="1" applyBorder="1" applyAlignment="1">
      <alignment horizontal="center" vertical="center" wrapText="1"/>
    </xf>
    <xf numFmtId="0" fontId="35" fillId="7" borderId="91" xfId="0" applyFont="1" applyFill="1" applyBorder="1" applyAlignment="1">
      <alignment horizontal="center" vertical="center" wrapText="1"/>
    </xf>
    <xf numFmtId="0" fontId="35" fillId="7" borderId="92" xfId="0" applyFont="1" applyFill="1" applyBorder="1" applyAlignment="1">
      <alignment horizontal="center" vertical="center" wrapText="1"/>
    </xf>
    <xf numFmtId="0" fontId="35" fillId="8" borderId="0" xfId="0" applyFont="1" applyFill="1" applyAlignment="1">
      <alignment horizontal="left" wrapText="1"/>
    </xf>
    <xf numFmtId="0" fontId="35" fillId="8" borderId="49" xfId="0" applyFont="1" applyFill="1" applyBorder="1" applyAlignment="1">
      <alignment horizontal="left" wrapText="1"/>
    </xf>
    <xf numFmtId="0" fontId="36" fillId="8" borderId="51" xfId="0" quotePrefix="1" applyFont="1" applyFill="1" applyBorder="1" applyAlignment="1">
      <alignment horizontal="left" vertical="center" wrapText="1"/>
    </xf>
    <xf numFmtId="0" fontId="36" fillId="8" borderId="52" xfId="0" applyFont="1" applyFill="1" applyBorder="1" applyAlignment="1">
      <alignment horizontal="left" vertical="center" wrapText="1"/>
    </xf>
    <xf numFmtId="0" fontId="36" fillId="8" borderId="53" xfId="0" applyFont="1" applyFill="1" applyBorder="1" applyAlignment="1">
      <alignment horizontal="left" vertical="center" wrapText="1"/>
    </xf>
    <xf numFmtId="0" fontId="36" fillId="8" borderId="50" xfId="0" applyFont="1" applyFill="1" applyBorder="1" applyAlignment="1">
      <alignment horizontal="left" vertical="center" wrapText="1"/>
    </xf>
    <xf numFmtId="0" fontId="36" fillId="8" borderId="0" xfId="0" applyFont="1" applyFill="1" applyAlignment="1">
      <alignment horizontal="left" vertical="center" wrapText="1"/>
    </xf>
    <xf numFmtId="0" fontId="36" fillId="8" borderId="49" xfId="0" applyFont="1" applyFill="1" applyBorder="1" applyAlignment="1">
      <alignment horizontal="left" vertical="center" wrapText="1"/>
    </xf>
    <xf numFmtId="0" fontId="36" fillId="8" borderId="54" xfId="0" applyFont="1" applyFill="1" applyBorder="1" applyAlignment="1">
      <alignment horizontal="left" vertical="center" wrapText="1"/>
    </xf>
    <xf numFmtId="0" fontId="36" fillId="8" borderId="55" xfId="0" applyFont="1" applyFill="1" applyBorder="1" applyAlignment="1">
      <alignment horizontal="left" vertical="center" wrapText="1"/>
    </xf>
    <xf numFmtId="0" fontId="36" fillId="8" borderId="56" xfId="0" applyFont="1" applyFill="1" applyBorder="1" applyAlignment="1">
      <alignment horizontal="left" vertical="center" wrapText="1"/>
    </xf>
    <xf numFmtId="0" fontId="35" fillId="7" borderId="78" xfId="0" applyFont="1" applyFill="1" applyBorder="1" applyAlignment="1">
      <alignment horizontal="center" vertical="center"/>
    </xf>
    <xf numFmtId="0" fontId="35" fillId="7" borderId="79" xfId="0" applyFont="1" applyFill="1" applyBorder="1" applyAlignment="1">
      <alignment horizontal="center" vertical="center"/>
    </xf>
    <xf numFmtId="0" fontId="35" fillId="7" borderId="172" xfId="0" applyFont="1" applyFill="1" applyBorder="1" applyAlignment="1">
      <alignment horizontal="center" vertical="center"/>
    </xf>
    <xf numFmtId="169" fontId="8" fillId="0" borderId="72" xfId="0" applyNumberFormat="1" applyFont="1" applyBorder="1" applyAlignment="1" applyProtection="1">
      <alignment horizontal="center" vertical="center"/>
      <protection locked="0"/>
    </xf>
    <xf numFmtId="169" fontId="8" fillId="0" borderId="73" xfId="0" applyNumberFormat="1" applyFont="1" applyBorder="1" applyAlignment="1" applyProtection="1">
      <alignment horizontal="center" vertical="center"/>
      <protection locked="0"/>
    </xf>
    <xf numFmtId="169" fontId="8" fillId="0" borderId="74" xfId="0" applyNumberFormat="1" applyFont="1" applyBorder="1" applyAlignment="1" applyProtection="1">
      <alignment horizontal="center" vertical="center"/>
      <protection locked="0"/>
    </xf>
    <xf numFmtId="0" fontId="35" fillId="2" borderId="0" xfId="0" applyFont="1" applyFill="1" applyAlignment="1">
      <alignment horizontal="center" vertical="center"/>
    </xf>
    <xf numFmtId="169" fontId="8" fillId="2" borderId="83" xfId="0" applyNumberFormat="1" applyFont="1" applyFill="1" applyBorder="1" applyAlignment="1" applyProtection="1">
      <alignment horizontal="center" vertical="center"/>
      <protection locked="0"/>
    </xf>
    <xf numFmtId="0" fontId="35" fillId="0" borderId="0" xfId="0" applyFont="1" applyAlignment="1">
      <alignment horizontal="left" wrapText="1"/>
    </xf>
    <xf numFmtId="0" fontId="35" fillId="8" borderId="0" xfId="0" applyFont="1" applyFill="1" applyAlignment="1">
      <alignment horizontal="left" vertical="center"/>
    </xf>
    <xf numFmtId="0" fontId="10" fillId="2" borderId="43" xfId="0" applyFont="1" applyFill="1" applyBorder="1" applyAlignment="1">
      <alignment horizontal="center" vertical="center"/>
    </xf>
    <xf numFmtId="0" fontId="10" fillId="2" borderId="45" xfId="0" applyFont="1" applyFill="1" applyBorder="1" applyAlignment="1">
      <alignment horizontal="center" vertical="center"/>
    </xf>
    <xf numFmtId="0" fontId="35" fillId="8" borderId="0" xfId="0" applyFont="1" applyFill="1" applyAlignment="1">
      <alignment horizontal="left" vertical="center" wrapText="1"/>
    </xf>
    <xf numFmtId="0" fontId="8" fillId="2" borderId="51" xfId="0" applyFont="1" applyFill="1" applyBorder="1" applyAlignment="1">
      <alignment horizontal="left" vertical="center" wrapText="1"/>
    </xf>
    <xf numFmtId="0" fontId="8" fillId="2" borderId="52" xfId="0" applyFont="1" applyFill="1" applyBorder="1" applyAlignment="1">
      <alignment horizontal="left" vertical="center" wrapText="1"/>
    </xf>
    <xf numFmtId="0" fontId="8" fillId="2" borderId="53" xfId="0" applyFont="1" applyFill="1" applyBorder="1" applyAlignment="1">
      <alignment horizontal="left" vertical="center" wrapText="1"/>
    </xf>
    <xf numFmtId="0" fontId="8" fillId="2" borderId="54" xfId="0" applyFont="1" applyFill="1" applyBorder="1" applyAlignment="1">
      <alignment horizontal="left" vertical="center" wrapText="1"/>
    </xf>
    <xf numFmtId="0" fontId="8" fillId="2" borderId="55" xfId="0" applyFont="1" applyFill="1" applyBorder="1" applyAlignment="1">
      <alignment horizontal="left" vertical="center" wrapText="1"/>
    </xf>
    <xf numFmtId="0" fontId="8" fillId="2" borderId="56" xfId="0" applyFont="1" applyFill="1" applyBorder="1" applyAlignment="1">
      <alignment horizontal="left" vertical="center" wrapText="1"/>
    </xf>
    <xf numFmtId="2" fontId="31" fillId="8" borderId="43" xfId="0" applyNumberFormat="1" applyFont="1" applyFill="1" applyBorder="1" applyAlignment="1">
      <alignment horizontal="center"/>
    </xf>
    <xf numFmtId="2" fontId="31" fillId="8" borderId="45" xfId="0" applyNumberFormat="1" applyFont="1" applyFill="1" applyBorder="1" applyAlignment="1">
      <alignment horizontal="center"/>
    </xf>
    <xf numFmtId="2" fontId="31" fillId="2" borderId="43" xfId="0" applyNumberFormat="1" applyFont="1" applyFill="1" applyBorder="1" applyAlignment="1">
      <alignment horizontal="center"/>
    </xf>
    <xf numFmtId="2" fontId="31" fillId="2" borderId="45" xfId="0" applyNumberFormat="1" applyFont="1" applyFill="1" applyBorder="1" applyAlignment="1">
      <alignment horizontal="center"/>
    </xf>
    <xf numFmtId="1" fontId="36" fillId="2" borderId="43" xfId="0" applyNumberFormat="1" applyFont="1" applyFill="1" applyBorder="1" applyAlignment="1">
      <alignment horizontal="center" wrapText="1"/>
    </xf>
    <xf numFmtId="0" fontId="35" fillId="8" borderId="0" xfId="0" applyFont="1" applyFill="1" applyAlignment="1">
      <alignment wrapText="1"/>
    </xf>
    <xf numFmtId="0" fontId="8" fillId="8" borderId="43" xfId="0" applyFont="1" applyFill="1" applyBorder="1" applyAlignment="1">
      <alignment horizontal="center"/>
    </xf>
    <xf numFmtId="0" fontId="8" fillId="8" borderId="44" xfId="0" applyFont="1" applyFill="1" applyBorder="1" applyAlignment="1">
      <alignment horizontal="center"/>
    </xf>
    <xf numFmtId="0" fontId="8" fillId="8" borderId="45" xfId="0" applyFont="1" applyFill="1" applyBorder="1" applyAlignment="1">
      <alignment horizontal="center"/>
    </xf>
    <xf numFmtId="0" fontId="8" fillId="8" borderId="43" xfId="0" applyFont="1" applyFill="1" applyBorder="1" applyAlignment="1">
      <alignment horizontal="left" wrapText="1"/>
    </xf>
    <xf numFmtId="0" fontId="8" fillId="8" borderId="44" xfId="0" applyFont="1" applyFill="1" applyBorder="1" applyAlignment="1">
      <alignment horizontal="left" wrapText="1"/>
    </xf>
    <xf numFmtId="0" fontId="8" fillId="8" borderId="45" xfId="0" applyFont="1" applyFill="1" applyBorder="1" applyAlignment="1">
      <alignment horizontal="left" wrapText="1"/>
    </xf>
    <xf numFmtId="0" fontId="5" fillId="0" borderId="43" xfId="5" applyFont="1" applyBorder="1" applyAlignment="1" applyProtection="1">
      <alignment horizontal="center" vertical="top"/>
      <protection hidden="1"/>
    </xf>
    <xf numFmtId="0" fontId="5" fillId="0" borderId="45" xfId="5" applyFont="1" applyBorder="1" applyAlignment="1" applyProtection="1">
      <alignment horizontal="center" vertical="top"/>
      <protection hidden="1"/>
    </xf>
    <xf numFmtId="0" fontId="35" fillId="8" borderId="0" xfId="0" applyFont="1" applyFill="1" applyAlignment="1">
      <alignment horizontal="left"/>
    </xf>
    <xf numFmtId="4" fontId="8" fillId="8" borderId="43" xfId="0" applyNumberFormat="1" applyFont="1" applyFill="1" applyBorder="1" applyAlignment="1">
      <alignment horizontal="center"/>
    </xf>
    <xf numFmtId="4" fontId="8" fillId="8" borderId="45" xfId="0" applyNumberFormat="1" applyFont="1" applyFill="1" applyBorder="1" applyAlignment="1">
      <alignment horizontal="center"/>
    </xf>
    <xf numFmtId="0" fontId="35" fillId="8" borderId="0" xfId="0" applyFont="1" applyFill="1" applyAlignment="1">
      <alignment horizontal="left" vertical="top"/>
    </xf>
    <xf numFmtId="0" fontId="8" fillId="0" borderId="43" xfId="0" applyFont="1" applyBorder="1" applyAlignment="1" applyProtection="1">
      <alignment horizontal="center" vertical="top"/>
      <protection locked="0"/>
    </xf>
    <xf numFmtId="0" fontId="8" fillId="0" borderId="44" xfId="0" applyFont="1" applyBorder="1" applyAlignment="1" applyProtection="1">
      <alignment horizontal="center" vertical="top"/>
      <protection locked="0"/>
    </xf>
    <xf numFmtId="0" fontId="8" fillId="0" borderId="45" xfId="0" applyFont="1" applyBorder="1" applyAlignment="1" applyProtection="1">
      <alignment horizontal="center" vertical="top"/>
      <protection locked="0"/>
    </xf>
    <xf numFmtId="0" fontId="35" fillId="8" borderId="0" xfId="0" applyFont="1" applyFill="1" applyAlignment="1">
      <alignment horizontal="center"/>
    </xf>
    <xf numFmtId="0" fontId="35" fillId="8" borderId="49" xfId="0" applyFont="1" applyFill="1" applyBorder="1" applyAlignment="1">
      <alignment horizontal="center"/>
    </xf>
    <xf numFmtId="0" fontId="35" fillId="8" borderId="0" xfId="5" applyFont="1" applyFill="1" applyAlignment="1">
      <alignment horizontal="left" vertical="top"/>
    </xf>
    <xf numFmtId="0" fontId="5" fillId="8" borderId="43" xfId="5" applyFont="1" applyFill="1" applyBorder="1" applyAlignment="1">
      <alignment horizontal="center" vertical="top"/>
    </xf>
    <xf numFmtId="0" fontId="5" fillId="8" borderId="45" xfId="5" applyFont="1" applyFill="1" applyBorder="1" applyAlignment="1">
      <alignment horizontal="center" vertical="top"/>
    </xf>
    <xf numFmtId="0" fontId="5" fillId="8" borderId="44" xfId="5" applyFont="1" applyFill="1" applyBorder="1" applyAlignment="1">
      <alignment horizontal="center" vertical="top"/>
    </xf>
    <xf numFmtId="14" fontId="5" fillId="15" borderId="43" xfId="5" applyNumberFormat="1" applyFont="1" applyFill="1" applyBorder="1" applyAlignment="1" applyProtection="1">
      <alignment horizontal="center" vertical="top"/>
      <protection hidden="1"/>
    </xf>
    <xf numFmtId="14" fontId="5" fillId="15" borderId="44" xfId="5" applyNumberFormat="1" applyFont="1" applyFill="1" applyBorder="1" applyAlignment="1" applyProtection="1">
      <alignment horizontal="center" vertical="top"/>
      <protection hidden="1"/>
    </xf>
    <xf numFmtId="14" fontId="5" fillId="15" borderId="45" xfId="5" applyNumberFormat="1" applyFont="1" applyFill="1" applyBorder="1" applyAlignment="1" applyProtection="1">
      <alignment horizontal="center" vertical="top"/>
      <protection hidden="1"/>
    </xf>
    <xf numFmtId="0" fontId="5" fillId="8" borderId="43" xfId="5" applyFont="1" applyFill="1" applyBorder="1" applyAlignment="1">
      <alignment horizontal="left" vertical="center"/>
    </xf>
    <xf numFmtId="0" fontId="5" fillId="8" borderId="44" xfId="5" applyFont="1" applyFill="1" applyBorder="1" applyAlignment="1">
      <alignment horizontal="left" vertical="center"/>
    </xf>
    <xf numFmtId="0" fontId="5" fillId="8" borderId="45" xfId="5" applyFont="1" applyFill="1" applyBorder="1" applyAlignment="1">
      <alignment horizontal="left" vertical="center"/>
    </xf>
    <xf numFmtId="0" fontId="5" fillId="8" borderId="43" xfId="5" applyFont="1" applyFill="1" applyBorder="1" applyAlignment="1">
      <alignment horizontal="justify" vertical="center" wrapText="1"/>
    </xf>
    <xf numFmtId="0" fontId="5" fillId="8" borderId="44" xfId="5" applyFont="1" applyFill="1" applyBorder="1" applyAlignment="1">
      <alignment horizontal="justify" vertical="center" wrapText="1"/>
    </xf>
    <xf numFmtId="0" fontId="5" fillId="8" borderId="45" xfId="5" applyFont="1" applyFill="1" applyBorder="1" applyAlignment="1">
      <alignment horizontal="justify" vertical="center" wrapText="1"/>
    </xf>
    <xf numFmtId="1" fontId="8" fillId="2" borderId="43" xfId="0" applyNumberFormat="1" applyFont="1" applyFill="1" applyBorder="1" applyAlignment="1">
      <alignment horizontal="center"/>
    </xf>
    <xf numFmtId="1" fontId="8" fillId="2" borderId="45" xfId="0" applyNumberFormat="1" applyFont="1" applyFill="1" applyBorder="1" applyAlignment="1">
      <alignment horizontal="center"/>
    </xf>
    <xf numFmtId="0" fontId="35" fillId="0" borderId="0" xfId="0" applyFont="1" applyAlignment="1">
      <alignment horizontal="left"/>
    </xf>
    <xf numFmtId="0" fontId="35" fillId="0" borderId="49" xfId="0" applyFont="1" applyBorder="1" applyAlignment="1">
      <alignment horizontal="left"/>
    </xf>
    <xf numFmtId="0" fontId="8" fillId="2" borderId="0" xfId="0" applyFont="1" applyFill="1" applyAlignment="1">
      <alignment vertical="center" wrapText="1"/>
    </xf>
    <xf numFmtId="0" fontId="8" fillId="2" borderId="0" xfId="0" applyFont="1" applyFill="1" applyAlignment="1">
      <alignment horizontal="left" vertical="center" wrapText="1"/>
    </xf>
    <xf numFmtId="0" fontId="35" fillId="8" borderId="0" xfId="0" applyFont="1" applyFill="1"/>
    <xf numFmtId="0" fontId="5" fillId="2" borderId="43" xfId="0" applyFont="1" applyFill="1" applyBorder="1" applyAlignment="1">
      <alignment horizontal="left"/>
    </xf>
    <xf numFmtId="0" fontId="5" fillId="2" borderId="44" xfId="0" applyFont="1" applyFill="1" applyBorder="1" applyAlignment="1">
      <alignment horizontal="left"/>
    </xf>
    <xf numFmtId="0" fontId="5" fillId="2" borderId="45" xfId="0" applyFont="1" applyFill="1" applyBorder="1" applyAlignment="1">
      <alignment horizontal="left"/>
    </xf>
    <xf numFmtId="0" fontId="5" fillId="2" borderId="0" xfId="0" applyFont="1" applyFill="1"/>
    <xf numFmtId="0" fontId="5" fillId="2" borderId="50" xfId="0" applyFont="1" applyFill="1" applyBorder="1" applyAlignment="1">
      <alignment horizontal="left"/>
    </xf>
    <xf numFmtId="0" fontId="5" fillId="2" borderId="0" xfId="0" applyFont="1" applyFill="1" applyAlignment="1">
      <alignment horizontal="left"/>
    </xf>
    <xf numFmtId="0" fontId="5" fillId="2" borderId="49" xfId="0" applyFont="1" applyFill="1" applyBorder="1" applyAlignment="1">
      <alignment horizontal="left"/>
    </xf>
    <xf numFmtId="0" fontId="5" fillId="2" borderId="46" xfId="0" applyFont="1" applyFill="1" applyBorder="1" applyAlignment="1" applyProtection="1">
      <alignment horizontal="center" vertical="center"/>
      <protection locked="0"/>
    </xf>
    <xf numFmtId="0" fontId="5" fillId="2" borderId="47" xfId="0" applyFont="1" applyFill="1" applyBorder="1" applyAlignment="1" applyProtection="1">
      <alignment horizontal="center" vertical="center"/>
      <protection locked="0"/>
    </xf>
    <xf numFmtId="0" fontId="5" fillId="2" borderId="48" xfId="0" applyFont="1" applyFill="1" applyBorder="1" applyAlignment="1" applyProtection="1">
      <alignment horizontal="center" vertical="center"/>
      <protection locked="0"/>
    </xf>
    <xf numFmtId="49" fontId="5" fillId="2" borderId="46" xfId="0" applyNumberFormat="1" applyFont="1" applyFill="1" applyBorder="1" applyAlignment="1" applyProtection="1">
      <alignment horizontal="center" vertical="center"/>
      <protection locked="0"/>
    </xf>
    <xf numFmtId="49" fontId="5" fillId="2" borderId="47" xfId="0" applyNumberFormat="1" applyFont="1" applyFill="1" applyBorder="1" applyAlignment="1" applyProtection="1">
      <alignment horizontal="center" vertical="center"/>
      <protection locked="0"/>
    </xf>
    <xf numFmtId="49" fontId="5" fillId="2" borderId="48" xfId="0" applyNumberFormat="1" applyFont="1" applyFill="1" applyBorder="1" applyAlignment="1" applyProtection="1">
      <alignment horizontal="center" vertical="center"/>
      <protection locked="0"/>
    </xf>
    <xf numFmtId="0" fontId="5" fillId="2" borderId="43" xfId="0" applyFont="1" applyFill="1" applyBorder="1" applyAlignment="1" applyProtection="1">
      <alignment horizontal="center"/>
      <protection locked="0"/>
    </xf>
    <xf numFmtId="0" fontId="5" fillId="2" borderId="44" xfId="0" applyFont="1" applyFill="1" applyBorder="1" applyAlignment="1" applyProtection="1">
      <alignment horizontal="center"/>
      <protection locked="0"/>
    </xf>
    <xf numFmtId="0" fontId="5" fillId="2" borderId="45" xfId="0" applyFont="1" applyFill="1" applyBorder="1" applyAlignment="1" applyProtection="1">
      <alignment horizontal="center"/>
      <protection locked="0"/>
    </xf>
    <xf numFmtId="167" fontId="5" fillId="2" borderId="43" xfId="0" applyNumberFormat="1" applyFont="1" applyFill="1" applyBorder="1" applyAlignment="1" applyProtection="1">
      <alignment horizontal="center" vertical="center"/>
      <protection locked="0"/>
    </xf>
    <xf numFmtId="167" fontId="5" fillId="2" borderId="45" xfId="0" applyNumberFormat="1" applyFont="1" applyFill="1" applyBorder="1" applyAlignment="1" applyProtection="1">
      <alignment horizontal="center" vertical="center"/>
      <protection locked="0"/>
    </xf>
    <xf numFmtId="0" fontId="35" fillId="8" borderId="0" xfId="0" applyFont="1" applyFill="1" applyAlignment="1">
      <alignment vertical="top"/>
    </xf>
    <xf numFmtId="0" fontId="35" fillId="0" borderId="0" xfId="0" applyFont="1" applyAlignment="1">
      <alignment horizontal="center" vertical="center"/>
    </xf>
    <xf numFmtId="0" fontId="8" fillId="2" borderId="51" xfId="0" applyFont="1" applyFill="1" applyBorder="1" applyAlignment="1" applyProtection="1">
      <alignment horizontal="left" vertical="center" wrapText="1"/>
      <protection locked="0"/>
    </xf>
    <xf numFmtId="0" fontId="8" fillId="2" borderId="52" xfId="0" applyFont="1" applyFill="1" applyBorder="1" applyAlignment="1" applyProtection="1">
      <alignment horizontal="left" vertical="center" wrapText="1"/>
      <protection locked="0"/>
    </xf>
    <xf numFmtId="0" fontId="8" fillId="2" borderId="53" xfId="0" applyFont="1" applyFill="1" applyBorder="1" applyAlignment="1" applyProtection="1">
      <alignment horizontal="left" vertical="center" wrapText="1"/>
      <protection locked="0"/>
    </xf>
    <xf numFmtId="0" fontId="8" fillId="2" borderId="54" xfId="0" applyFont="1" applyFill="1" applyBorder="1" applyAlignment="1" applyProtection="1">
      <alignment horizontal="left" vertical="center" wrapText="1"/>
      <protection locked="0"/>
    </xf>
    <xf numFmtId="0" fontId="8" fillId="2" borderId="55" xfId="0" applyFont="1" applyFill="1" applyBorder="1" applyAlignment="1" applyProtection="1">
      <alignment horizontal="left" vertical="center" wrapText="1"/>
      <protection locked="0"/>
    </xf>
    <xf numFmtId="0" fontId="8" fillId="2" borderId="56" xfId="0" applyFont="1" applyFill="1" applyBorder="1" applyAlignment="1" applyProtection="1">
      <alignment horizontal="left" vertical="center" wrapText="1"/>
      <protection locked="0"/>
    </xf>
    <xf numFmtId="0" fontId="35" fillId="8" borderId="0" xfId="0" applyFont="1" applyFill="1" applyAlignment="1">
      <alignment horizontal="left" vertical="top" wrapText="1"/>
    </xf>
    <xf numFmtId="0" fontId="35" fillId="7" borderId="43" xfId="0" applyFont="1" applyFill="1" applyBorder="1" applyAlignment="1">
      <alignment horizontal="center"/>
    </xf>
    <xf numFmtId="0" fontId="35" fillId="7" borderId="44" xfId="0" applyFont="1" applyFill="1" applyBorder="1" applyAlignment="1">
      <alignment horizontal="center"/>
    </xf>
    <xf numFmtId="0" fontId="35" fillId="7" borderId="45" xfId="0" applyFont="1" applyFill="1" applyBorder="1" applyAlignment="1">
      <alignment horizontal="center"/>
    </xf>
    <xf numFmtId="0" fontId="35" fillId="0" borderId="0" xfId="0" applyFont="1"/>
    <xf numFmtId="3" fontId="8" fillId="2" borderId="43" xfId="0" applyNumberFormat="1" applyFont="1" applyFill="1" applyBorder="1" applyAlignment="1">
      <alignment horizontal="center"/>
    </xf>
    <xf numFmtId="3" fontId="8" fillId="2" borderId="45" xfId="0" applyNumberFormat="1" applyFont="1" applyFill="1" applyBorder="1" applyAlignment="1">
      <alignment horizontal="center"/>
    </xf>
    <xf numFmtId="0" fontId="35" fillId="2" borderId="7" xfId="0" applyFont="1" applyFill="1" applyBorder="1" applyAlignment="1">
      <alignment horizontal="center"/>
    </xf>
    <xf numFmtId="0" fontId="35" fillId="0" borderId="4" xfId="0" applyFont="1" applyBorder="1" applyAlignment="1">
      <alignment horizontal="center"/>
    </xf>
    <xf numFmtId="0" fontId="35" fillId="2" borderId="4" xfId="0" applyFont="1" applyFill="1" applyBorder="1" applyAlignment="1">
      <alignment horizontal="center"/>
    </xf>
    <xf numFmtId="0" fontId="5" fillId="2" borderId="3" xfId="0" applyFont="1" applyFill="1" applyBorder="1" applyAlignment="1" applyProtection="1">
      <alignment horizontal="center"/>
      <protection locked="0"/>
    </xf>
    <xf numFmtId="0" fontId="5" fillId="2" borderId="4" xfId="0" applyFont="1" applyFill="1" applyBorder="1" applyAlignment="1" applyProtection="1">
      <alignment horizontal="center"/>
      <protection locked="0"/>
    </xf>
    <xf numFmtId="0" fontId="5" fillId="2" borderId="5" xfId="0" applyFont="1" applyFill="1" applyBorder="1" applyAlignment="1" applyProtection="1">
      <alignment horizontal="center"/>
      <protection locked="0"/>
    </xf>
    <xf numFmtId="0" fontId="11" fillId="8" borderId="0" xfId="0" applyFont="1" applyFill="1" applyAlignment="1">
      <alignment horizontal="center"/>
    </xf>
    <xf numFmtId="0" fontId="13" fillId="2" borderId="43" xfId="0" applyFont="1" applyFill="1" applyBorder="1" applyAlignment="1" applyProtection="1">
      <alignment horizontal="left" vertical="center" wrapText="1"/>
      <protection locked="0"/>
    </xf>
    <xf numFmtId="0" fontId="13" fillId="2" borderId="44" xfId="0" applyFont="1" applyFill="1" applyBorder="1" applyAlignment="1" applyProtection="1">
      <alignment horizontal="left" vertical="center" wrapText="1"/>
      <protection locked="0"/>
    </xf>
    <xf numFmtId="0" fontId="13" fillId="2" borderId="45" xfId="0" applyFont="1" applyFill="1" applyBorder="1" applyAlignment="1" applyProtection="1">
      <alignment horizontal="left" vertical="center" wrapText="1"/>
      <protection locked="0"/>
    </xf>
    <xf numFmtId="0" fontId="5" fillId="2" borderId="2" xfId="0" applyFont="1" applyFill="1" applyBorder="1"/>
    <xf numFmtId="0" fontId="5" fillId="2" borderId="43" xfId="0" applyFont="1" applyFill="1" applyBorder="1" applyAlignment="1" applyProtection="1">
      <alignment horizontal="left"/>
      <protection locked="0"/>
    </xf>
    <xf numFmtId="0" fontId="5" fillId="2" borderId="44" xfId="0" applyFont="1" applyFill="1" applyBorder="1" applyAlignment="1" applyProtection="1">
      <alignment horizontal="left"/>
      <protection locked="0"/>
    </xf>
    <xf numFmtId="0" fontId="5" fillId="2" borderId="45" xfId="0" applyFont="1" applyFill="1" applyBorder="1" applyAlignment="1" applyProtection="1">
      <alignment horizontal="left"/>
      <protection locked="0"/>
    </xf>
    <xf numFmtId="0" fontId="34" fillId="4" borderId="39" xfId="0" applyFont="1" applyFill="1" applyBorder="1" applyAlignment="1">
      <alignment horizontal="center"/>
    </xf>
    <xf numFmtId="0" fontId="34" fillId="4" borderId="0" xfId="0" applyFont="1" applyFill="1" applyAlignment="1">
      <alignment horizontal="center"/>
    </xf>
    <xf numFmtId="0" fontId="8" fillId="2" borderId="0" xfId="0" applyFont="1" applyFill="1" applyAlignment="1" applyProtection="1">
      <alignment vertical="top" wrapText="1"/>
      <protection locked="0"/>
    </xf>
    <xf numFmtId="0" fontId="8" fillId="2" borderId="43" xfId="0" applyFont="1" applyFill="1" applyBorder="1" applyAlignment="1" applyProtection="1">
      <alignment horizontal="left"/>
      <protection locked="0"/>
    </xf>
    <xf numFmtId="0" fontId="8" fillId="2" borderId="44" xfId="0" applyFont="1" applyFill="1" applyBorder="1" applyAlignment="1" applyProtection="1">
      <alignment horizontal="left"/>
      <protection locked="0"/>
    </xf>
    <xf numFmtId="0" fontId="8" fillId="2" borderId="45" xfId="0" applyFont="1" applyFill="1" applyBorder="1" applyAlignment="1" applyProtection="1">
      <alignment horizontal="left"/>
      <protection locked="0"/>
    </xf>
    <xf numFmtId="0" fontId="13" fillId="2" borderId="51" xfId="0" applyFont="1" applyFill="1" applyBorder="1" applyAlignment="1" applyProtection="1">
      <alignment horizontal="left" vertical="center" wrapText="1"/>
      <protection locked="0"/>
    </xf>
    <xf numFmtId="0" fontId="13" fillId="2" borderId="52" xfId="0" applyFont="1" applyFill="1" applyBorder="1" applyAlignment="1" applyProtection="1">
      <alignment horizontal="left" vertical="center" wrapText="1"/>
      <protection locked="0"/>
    </xf>
    <xf numFmtId="0" fontId="13" fillId="2" borderId="53" xfId="0" applyFont="1" applyFill="1" applyBorder="1" applyAlignment="1" applyProtection="1">
      <alignment horizontal="left" vertical="center" wrapText="1"/>
      <protection locked="0"/>
    </xf>
    <xf numFmtId="0" fontId="13" fillId="2" borderId="54" xfId="0" applyFont="1" applyFill="1" applyBorder="1" applyAlignment="1" applyProtection="1">
      <alignment horizontal="left" vertical="center" wrapText="1"/>
      <protection locked="0"/>
    </xf>
    <xf numFmtId="0" fontId="13" fillId="2" borderId="55" xfId="0" applyFont="1" applyFill="1" applyBorder="1" applyAlignment="1" applyProtection="1">
      <alignment horizontal="left" vertical="center" wrapText="1"/>
      <protection locked="0"/>
    </xf>
    <xf numFmtId="0" fontId="13" fillId="2" borderId="56" xfId="0" applyFont="1" applyFill="1" applyBorder="1" applyAlignment="1" applyProtection="1">
      <alignment horizontal="left" vertical="center" wrapText="1"/>
      <protection locked="0"/>
    </xf>
    <xf numFmtId="0" fontId="5" fillId="0" borderId="55" xfId="0" applyFont="1" applyBorder="1" applyAlignment="1">
      <alignment horizontal="center"/>
    </xf>
    <xf numFmtId="0" fontId="35" fillId="8" borderId="0" xfId="0" applyFont="1" applyFill="1" applyAlignment="1">
      <alignment horizontal="left" indent="2"/>
    </xf>
    <xf numFmtId="0" fontId="5" fillId="2" borderId="40" xfId="0" applyFont="1" applyFill="1" applyBorder="1" applyAlignment="1" applyProtection="1">
      <alignment horizontal="center" vertical="center"/>
      <protection locked="0"/>
    </xf>
    <xf numFmtId="0" fontId="5" fillId="8" borderId="40" xfId="0" applyFont="1" applyFill="1" applyBorder="1" applyAlignment="1" applyProtection="1">
      <alignment horizontal="center"/>
      <protection locked="0"/>
    </xf>
    <xf numFmtId="0" fontId="5" fillId="2" borderId="40" xfId="0" applyFont="1" applyFill="1" applyBorder="1" applyAlignment="1" applyProtection="1">
      <alignment horizontal="center"/>
      <protection locked="0"/>
    </xf>
    <xf numFmtId="0" fontId="35" fillId="0" borderId="0" xfId="0" applyFont="1" applyAlignment="1">
      <alignment horizontal="center"/>
    </xf>
    <xf numFmtId="0" fontId="35" fillId="2" borderId="3" xfId="0" applyFont="1" applyFill="1" applyBorder="1" applyAlignment="1">
      <alignment horizontal="center"/>
    </xf>
    <xf numFmtId="0" fontId="35" fillId="2" borderId="5" xfId="0" applyFont="1" applyFill="1" applyBorder="1" applyAlignment="1">
      <alignment horizontal="center"/>
    </xf>
    <xf numFmtId="3" fontId="5" fillId="2" borderId="3" xfId="0" applyNumberFormat="1" applyFont="1" applyFill="1" applyBorder="1" applyAlignment="1" applyProtection="1">
      <alignment horizontal="center"/>
      <protection locked="0"/>
    </xf>
    <xf numFmtId="3" fontId="5" fillId="2" borderId="4" xfId="0" applyNumberFormat="1" applyFont="1" applyFill="1" applyBorder="1" applyAlignment="1" applyProtection="1">
      <alignment horizontal="center"/>
      <protection locked="0"/>
    </xf>
    <xf numFmtId="3" fontId="5" fillId="2" borderId="5" xfId="0" applyNumberFormat="1" applyFont="1" applyFill="1" applyBorder="1" applyAlignment="1" applyProtection="1">
      <alignment horizontal="center"/>
      <protection locked="0"/>
    </xf>
    <xf numFmtId="0" fontId="8" fillId="2" borderId="43" xfId="0" applyFont="1" applyFill="1" applyBorder="1" applyAlignment="1">
      <alignment horizontal="left"/>
    </xf>
    <xf numFmtId="0" fontId="8" fillId="2" borderId="44" xfId="0" applyFont="1" applyFill="1" applyBorder="1" applyAlignment="1">
      <alignment horizontal="left"/>
    </xf>
    <xf numFmtId="0" fontId="8" fillId="2" borderId="45" xfId="0" applyFont="1" applyFill="1" applyBorder="1" applyAlignment="1">
      <alignment horizontal="left"/>
    </xf>
    <xf numFmtId="0" fontId="35" fillId="8" borderId="50" xfId="0" applyFont="1" applyFill="1" applyBorder="1" applyAlignment="1">
      <alignment horizontal="right"/>
    </xf>
    <xf numFmtId="0" fontId="35" fillId="8" borderId="49" xfId="0" applyFont="1" applyFill="1" applyBorder="1" applyAlignment="1">
      <alignment horizontal="right"/>
    </xf>
    <xf numFmtId="0" fontId="35" fillId="2" borderId="0" xfId="0" applyFont="1" applyFill="1" applyAlignment="1">
      <alignment horizontal="left" indent="2"/>
    </xf>
    <xf numFmtId="0" fontId="5" fillId="2" borderId="0" xfId="0" applyFont="1" applyFill="1" applyAlignment="1" applyProtection="1">
      <alignment horizontal="center"/>
      <protection locked="0"/>
    </xf>
    <xf numFmtId="1" fontId="5" fillId="2" borderId="3" xfId="0" applyNumberFormat="1" applyFont="1" applyFill="1" applyBorder="1" applyAlignment="1" applyProtection="1">
      <alignment horizontal="center"/>
      <protection locked="0"/>
    </xf>
    <xf numFmtId="1" fontId="5" fillId="2" borderId="4" xfId="0" applyNumberFormat="1" applyFont="1" applyFill="1" applyBorder="1" applyAlignment="1" applyProtection="1">
      <alignment horizontal="center"/>
      <protection locked="0"/>
    </xf>
    <xf numFmtId="1" fontId="5" fillId="2" borderId="5" xfId="0" applyNumberFormat="1" applyFont="1" applyFill="1" applyBorder="1" applyAlignment="1" applyProtection="1">
      <alignment horizontal="center"/>
      <protection locked="0"/>
    </xf>
    <xf numFmtId="0" fontId="35" fillId="8" borderId="7" xfId="0" applyFont="1" applyFill="1" applyBorder="1" applyAlignment="1">
      <alignment horizontal="center"/>
    </xf>
    <xf numFmtId="0" fontId="5" fillId="2" borderId="43" xfId="0" applyFont="1" applyFill="1" applyBorder="1" applyAlignment="1" applyProtection="1">
      <alignment horizontal="left" wrapText="1"/>
      <protection locked="0"/>
    </xf>
    <xf numFmtId="0" fontId="5" fillId="2" borderId="44" xfId="0" applyFont="1" applyFill="1" applyBorder="1" applyAlignment="1" applyProtection="1">
      <alignment horizontal="left" wrapText="1"/>
      <protection locked="0"/>
    </xf>
    <xf numFmtId="0" fontId="5" fillId="2" borderId="45" xfId="0" applyFont="1" applyFill="1" applyBorder="1" applyAlignment="1" applyProtection="1">
      <alignment horizontal="left" wrapText="1"/>
      <protection locked="0"/>
    </xf>
    <xf numFmtId="0" fontId="8" fillId="2" borderId="3" xfId="0" applyFont="1" applyFill="1" applyBorder="1" applyAlignment="1">
      <alignment horizontal="center"/>
    </xf>
    <xf numFmtId="0" fontId="8" fillId="2" borderId="4" xfId="0" applyFont="1" applyFill="1" applyBorder="1" applyAlignment="1">
      <alignment horizontal="center"/>
    </xf>
    <xf numFmtId="0" fontId="8" fillId="2" borderId="5" xfId="0" applyFont="1" applyFill="1" applyBorder="1" applyAlignment="1">
      <alignment horizontal="center"/>
    </xf>
    <xf numFmtId="0" fontId="73" fillId="0" borderId="0" xfId="0" applyFont="1" applyAlignment="1">
      <alignment horizontal="left" vertical="center"/>
    </xf>
    <xf numFmtId="0" fontId="35" fillId="0" borderId="7" xfId="0" applyFont="1" applyBorder="1" applyAlignment="1">
      <alignment horizontal="center"/>
    </xf>
    <xf numFmtId="0" fontId="35" fillId="2" borderId="40" xfId="0" applyFont="1" applyFill="1" applyBorder="1" applyAlignment="1">
      <alignment horizontal="center" vertical="top"/>
    </xf>
    <xf numFmtId="0" fontId="5" fillId="2" borderId="40" xfId="0" applyFont="1" applyFill="1" applyBorder="1" applyAlignment="1" applyProtection="1">
      <alignment vertical="top"/>
      <protection locked="0"/>
    </xf>
    <xf numFmtId="0" fontId="5" fillId="2" borderId="43" xfId="0" applyFont="1" applyFill="1" applyBorder="1" applyAlignment="1" applyProtection="1">
      <alignment vertical="top"/>
      <protection locked="0"/>
    </xf>
    <xf numFmtId="4" fontId="5" fillId="2" borderId="40" xfId="0" applyNumberFormat="1" applyFont="1" applyFill="1" applyBorder="1" applyAlignment="1" applyProtection="1">
      <alignment horizontal="center" vertical="top"/>
      <protection locked="0"/>
    </xf>
    <xf numFmtId="0" fontId="11" fillId="2" borderId="52" xfId="0" applyFont="1" applyFill="1" applyBorder="1" applyAlignment="1">
      <alignment horizontal="center"/>
    </xf>
    <xf numFmtId="0" fontId="11" fillId="2" borderId="53" xfId="0" applyFont="1" applyFill="1" applyBorder="1" applyAlignment="1">
      <alignment horizontal="center"/>
    </xf>
    <xf numFmtId="4" fontId="35" fillId="2" borderId="40" xfId="0" applyNumberFormat="1" applyFont="1" applyFill="1" applyBorder="1" applyAlignment="1">
      <alignment horizontal="center"/>
    </xf>
    <xf numFmtId="0" fontId="83" fillId="0" borderId="43" xfId="0" applyFont="1" applyBorder="1" applyAlignment="1">
      <alignment horizontal="left" vertical="center"/>
    </xf>
    <xf numFmtId="0" fontId="83" fillId="0" borderId="44" xfId="0" applyFont="1" applyBorder="1" applyAlignment="1">
      <alignment horizontal="left" vertical="center"/>
    </xf>
    <xf numFmtId="0" fontId="83" fillId="0" borderId="45" xfId="0" applyFont="1" applyBorder="1" applyAlignment="1">
      <alignment horizontal="left" vertical="center"/>
    </xf>
    <xf numFmtId="0" fontId="5" fillId="8" borderId="43" xfId="0" applyFont="1" applyFill="1" applyBorder="1" applyAlignment="1" applyProtection="1">
      <alignment horizontal="center" vertical="center"/>
      <protection locked="0"/>
    </xf>
    <xf numFmtId="0" fontId="5" fillId="8" borderId="44" xfId="0" applyFont="1" applyFill="1" applyBorder="1" applyAlignment="1" applyProtection="1">
      <alignment horizontal="center" vertical="center"/>
      <protection locked="0"/>
    </xf>
    <xf numFmtId="0" fontId="5" fillId="8" borderId="45" xfId="0" applyFont="1" applyFill="1" applyBorder="1" applyAlignment="1" applyProtection="1">
      <alignment horizontal="center" vertical="center"/>
      <protection locked="0"/>
    </xf>
    <xf numFmtId="0" fontId="35" fillId="6" borderId="43" xfId="0" applyFont="1" applyFill="1" applyBorder="1" applyAlignment="1">
      <alignment horizontal="center" vertical="center"/>
    </xf>
    <xf numFmtId="0" fontId="35" fillId="6" borderId="44" xfId="0" applyFont="1" applyFill="1" applyBorder="1" applyAlignment="1">
      <alignment horizontal="center" vertical="center"/>
    </xf>
    <xf numFmtId="0" fontId="35" fillId="6" borderId="45" xfId="0" applyFont="1" applyFill="1" applyBorder="1" applyAlignment="1">
      <alignment horizontal="center" vertical="center"/>
    </xf>
    <xf numFmtId="0" fontId="35" fillId="5" borderId="40" xfId="0" applyFont="1" applyFill="1" applyBorder="1" applyAlignment="1">
      <alignment horizontal="center"/>
    </xf>
    <xf numFmtId="0" fontId="35" fillId="8" borderId="0" xfId="0" applyFont="1" applyFill="1" applyAlignment="1">
      <alignment horizontal="right" vertical="top"/>
    </xf>
    <xf numFmtId="0" fontId="5" fillId="2" borderId="40" xfId="0" applyFont="1" applyFill="1" applyBorder="1" applyAlignment="1" applyProtection="1">
      <alignment horizontal="left" vertical="center"/>
      <protection locked="0"/>
    </xf>
    <xf numFmtId="0" fontId="5" fillId="2" borderId="11" xfId="0" applyFont="1" applyFill="1" applyBorder="1" applyAlignment="1" applyProtection="1">
      <alignment horizontal="center" vertical="center"/>
      <protection locked="0"/>
    </xf>
    <xf numFmtId="0" fontId="5" fillId="2" borderId="7" xfId="0" applyFont="1" applyFill="1" applyBorder="1" applyAlignment="1" applyProtection="1">
      <alignment horizontal="center" vertical="center"/>
      <protection locked="0"/>
    </xf>
    <xf numFmtId="0" fontId="5" fillId="2" borderId="12" xfId="0" applyFont="1" applyFill="1" applyBorder="1" applyAlignment="1" applyProtection="1">
      <alignment horizontal="center" vertical="center"/>
      <protection locked="0"/>
    </xf>
    <xf numFmtId="169" fontId="5" fillId="8" borderId="40" xfId="0" applyNumberFormat="1" applyFont="1" applyFill="1" applyBorder="1" applyAlignment="1" applyProtection="1">
      <alignment horizontal="center" vertical="center"/>
      <protection locked="0"/>
    </xf>
    <xf numFmtId="169" fontId="5" fillId="2" borderId="40" xfId="0" applyNumberFormat="1" applyFont="1" applyFill="1" applyBorder="1" applyAlignment="1" applyProtection="1">
      <alignment horizontal="center" vertical="center"/>
      <protection locked="0"/>
    </xf>
    <xf numFmtId="184" fontId="5" fillId="8" borderId="40" xfId="0" applyNumberFormat="1" applyFont="1" applyFill="1" applyBorder="1" applyAlignment="1" applyProtection="1">
      <alignment horizontal="center" vertical="center"/>
      <protection locked="0"/>
    </xf>
    <xf numFmtId="0" fontId="5" fillId="8" borderId="40" xfId="0" applyFont="1" applyFill="1" applyBorder="1" applyAlignment="1" applyProtection="1">
      <alignment horizontal="center" vertical="center"/>
      <protection locked="0"/>
    </xf>
    <xf numFmtId="0" fontId="5" fillId="2" borderId="40" xfId="0" applyFont="1" applyFill="1" applyBorder="1" applyAlignment="1" applyProtection="1">
      <alignment horizontal="left"/>
      <protection locked="0"/>
    </xf>
    <xf numFmtId="0" fontId="35" fillId="8" borderId="0" xfId="0" applyFont="1" applyFill="1" applyAlignment="1">
      <alignment horizontal="right"/>
    </xf>
    <xf numFmtId="0" fontId="5" fillId="8" borderId="40" xfId="0" applyFont="1" applyFill="1" applyBorder="1" applyAlignment="1" applyProtection="1">
      <alignment horizontal="left" vertical="center"/>
      <protection locked="0"/>
    </xf>
    <xf numFmtId="4" fontId="35" fillId="2" borderId="40" xfId="0" applyNumberFormat="1" applyFont="1" applyFill="1" applyBorder="1" applyAlignment="1">
      <alignment horizontal="center" vertical="center"/>
    </xf>
    <xf numFmtId="0" fontId="35" fillId="2" borderId="40" xfId="0" applyFont="1" applyFill="1" applyBorder="1" applyAlignment="1">
      <alignment horizontal="center" vertical="center"/>
    </xf>
    <xf numFmtId="0" fontId="35" fillId="2" borderId="43" xfId="0" applyFont="1" applyFill="1" applyBorder="1" applyAlignment="1">
      <alignment horizontal="center" vertical="center"/>
    </xf>
    <xf numFmtId="0" fontId="35" fillId="6" borderId="40" xfId="0" applyFont="1" applyFill="1" applyBorder="1" applyAlignment="1">
      <alignment horizontal="center" vertical="center"/>
    </xf>
    <xf numFmtId="4" fontId="35" fillId="6" borderId="40" xfId="0" applyNumberFormat="1" applyFont="1" applyFill="1" applyBorder="1" applyAlignment="1">
      <alignment horizontal="center" vertical="center"/>
    </xf>
    <xf numFmtId="169" fontId="35" fillId="6" borderId="0" xfId="0" applyNumberFormat="1" applyFont="1" applyFill="1" applyAlignment="1">
      <alignment horizontal="center" vertical="center"/>
    </xf>
    <xf numFmtId="0" fontId="35" fillId="6" borderId="40" xfId="0" applyFont="1" applyFill="1" applyBorder="1" applyAlignment="1">
      <alignment horizontal="center" vertical="center" wrapText="1"/>
    </xf>
    <xf numFmtId="0" fontId="5" fillId="8" borderId="37" xfId="0" applyFont="1" applyFill="1" applyBorder="1" applyAlignment="1" applyProtection="1">
      <alignment horizontal="left" vertical="center"/>
      <protection locked="0"/>
    </xf>
    <xf numFmtId="4" fontId="5" fillId="2" borderId="11" xfId="0" applyNumberFormat="1" applyFont="1" applyFill="1" applyBorder="1" applyAlignment="1" applyProtection="1">
      <alignment horizontal="right" vertical="center" indent="3"/>
      <protection locked="0"/>
    </xf>
    <xf numFmtId="4" fontId="5" fillId="2" borderId="7" xfId="0" applyNumberFormat="1" applyFont="1" applyFill="1" applyBorder="1" applyAlignment="1" applyProtection="1">
      <alignment horizontal="right" vertical="center" indent="3"/>
      <protection locked="0"/>
    </xf>
    <xf numFmtId="4" fontId="5" fillId="2" borderId="12" xfId="0" applyNumberFormat="1" applyFont="1" applyFill="1" applyBorder="1" applyAlignment="1" applyProtection="1">
      <alignment horizontal="right" vertical="center" indent="3"/>
      <protection locked="0"/>
    </xf>
    <xf numFmtId="10" fontId="5" fillId="2" borderId="11" xfId="1" applyNumberFormat="1" applyFont="1" applyFill="1" applyBorder="1" applyAlignment="1" applyProtection="1">
      <alignment horizontal="right" vertical="center" indent="3"/>
      <protection locked="0"/>
    </xf>
    <xf numFmtId="10" fontId="5" fillId="2" borderId="7" xfId="1" applyNumberFormat="1" applyFont="1" applyFill="1" applyBorder="1" applyAlignment="1" applyProtection="1">
      <alignment horizontal="right" vertical="center" indent="3"/>
      <protection locked="0"/>
    </xf>
    <xf numFmtId="10" fontId="5" fillId="2" borderId="12" xfId="1" applyNumberFormat="1" applyFont="1" applyFill="1" applyBorder="1" applyAlignment="1" applyProtection="1">
      <alignment horizontal="right" vertical="center" indent="3"/>
      <protection locked="0"/>
    </xf>
    <xf numFmtId="4" fontId="5" fillId="2" borderId="11" xfId="0" applyNumberFormat="1" applyFont="1" applyFill="1" applyBorder="1" applyAlignment="1" applyProtection="1">
      <alignment horizontal="center" vertical="center"/>
      <protection locked="0"/>
    </xf>
    <xf numFmtId="4" fontId="5" fillId="2" borderId="7" xfId="0" applyNumberFormat="1" applyFont="1" applyFill="1" applyBorder="1" applyAlignment="1" applyProtection="1">
      <alignment horizontal="center" vertical="center"/>
      <protection locked="0"/>
    </xf>
    <xf numFmtId="4" fontId="5" fillId="2" borderId="12" xfId="0" applyNumberFormat="1" applyFont="1" applyFill="1" applyBorder="1" applyAlignment="1" applyProtection="1">
      <alignment horizontal="center" vertical="center"/>
      <protection locked="0"/>
    </xf>
    <xf numFmtId="0" fontId="5" fillId="8" borderId="37" xfId="0" applyFont="1" applyFill="1" applyBorder="1" applyAlignment="1" applyProtection="1">
      <alignment horizontal="center" vertical="center" wrapText="1"/>
      <protection locked="0"/>
    </xf>
    <xf numFmtId="4" fontId="5" fillId="2" borderId="3" xfId="0" applyNumberFormat="1" applyFont="1" applyFill="1" applyBorder="1" applyAlignment="1" applyProtection="1">
      <alignment horizontal="center" vertical="center"/>
      <protection locked="0"/>
    </xf>
    <xf numFmtId="4" fontId="5" fillId="2" borderId="4" xfId="0" applyNumberFormat="1" applyFont="1" applyFill="1" applyBorder="1" applyAlignment="1" applyProtection="1">
      <alignment horizontal="center" vertical="center"/>
      <protection locked="0"/>
    </xf>
    <xf numFmtId="4" fontId="5" fillId="2" borderId="5" xfId="0" applyNumberFormat="1" applyFont="1" applyFill="1" applyBorder="1" applyAlignment="1" applyProtection="1">
      <alignment horizontal="center" vertical="center"/>
      <protection locked="0"/>
    </xf>
    <xf numFmtId="0" fontId="5" fillId="8" borderId="1" xfId="0" applyFont="1" applyFill="1" applyBorder="1" applyAlignment="1" applyProtection="1">
      <alignment horizontal="left" vertical="center"/>
      <protection locked="0"/>
    </xf>
    <xf numFmtId="4" fontId="5" fillId="2" borderId="3" xfId="0" applyNumberFormat="1" applyFont="1" applyFill="1" applyBorder="1" applyAlignment="1" applyProtection="1">
      <alignment horizontal="right" vertical="center" indent="3"/>
      <protection locked="0"/>
    </xf>
    <xf numFmtId="4" fontId="5" fillId="2" borderId="4" xfId="0" applyNumberFormat="1" applyFont="1" applyFill="1" applyBorder="1" applyAlignment="1" applyProtection="1">
      <alignment horizontal="right" vertical="center" indent="3"/>
      <protection locked="0"/>
    </xf>
    <xf numFmtId="4" fontId="5" fillId="2" borderId="5" xfId="0" applyNumberFormat="1" applyFont="1" applyFill="1" applyBorder="1" applyAlignment="1" applyProtection="1">
      <alignment horizontal="right" vertical="center" indent="3"/>
      <protection locked="0"/>
    </xf>
    <xf numFmtId="10" fontId="5" fillId="2" borderId="3" xfId="1" applyNumberFormat="1" applyFont="1" applyFill="1" applyBorder="1" applyAlignment="1" applyProtection="1">
      <alignment horizontal="right" vertical="center" indent="3"/>
      <protection locked="0"/>
    </xf>
    <xf numFmtId="10" fontId="5" fillId="2" borderId="4" xfId="1" applyNumberFormat="1" applyFont="1" applyFill="1" applyBorder="1" applyAlignment="1" applyProtection="1">
      <alignment horizontal="right" vertical="center" indent="3"/>
      <protection locked="0"/>
    </xf>
    <xf numFmtId="10" fontId="5" fillId="2" borderId="5" xfId="1" applyNumberFormat="1" applyFont="1" applyFill="1" applyBorder="1" applyAlignment="1" applyProtection="1">
      <alignment horizontal="right" vertical="center" indent="3"/>
      <protection locked="0"/>
    </xf>
    <xf numFmtId="0" fontId="5" fillId="8" borderId="1" xfId="0" applyFont="1" applyFill="1" applyBorder="1" applyAlignment="1" applyProtection="1">
      <alignment horizontal="center" vertical="center"/>
      <protection locked="0"/>
    </xf>
    <xf numFmtId="0" fontId="5" fillId="2" borderId="1" xfId="0" applyFont="1" applyFill="1" applyBorder="1" applyAlignment="1" applyProtection="1">
      <alignment horizontal="left" vertical="center"/>
      <protection locked="0"/>
    </xf>
    <xf numFmtId="0" fontId="5" fillId="2" borderId="3" xfId="0" applyFont="1" applyFill="1" applyBorder="1" applyAlignment="1" applyProtection="1">
      <alignment horizontal="center" vertical="center"/>
      <protection locked="0"/>
    </xf>
    <xf numFmtId="0" fontId="5" fillId="2" borderId="4" xfId="0" applyFont="1" applyFill="1" applyBorder="1" applyAlignment="1" applyProtection="1">
      <alignment horizontal="center" vertical="center"/>
      <protection locked="0"/>
    </xf>
    <xf numFmtId="0" fontId="5" fillId="2" borderId="5" xfId="0" applyFont="1" applyFill="1" applyBorder="1" applyAlignment="1" applyProtection="1">
      <alignment horizontal="center" vertical="center"/>
      <protection locked="0"/>
    </xf>
    <xf numFmtId="0" fontId="35" fillId="2" borderId="9" xfId="0" applyFont="1" applyFill="1" applyBorder="1" applyAlignment="1">
      <alignment vertical="center"/>
    </xf>
    <xf numFmtId="4" fontId="35" fillId="2" borderId="3" xfId="0" applyNumberFormat="1" applyFont="1" applyFill="1" applyBorder="1" applyAlignment="1">
      <alignment horizontal="center" vertical="center"/>
    </xf>
    <xf numFmtId="4" fontId="35" fillId="2" borderId="4" xfId="0" applyNumberFormat="1" applyFont="1" applyFill="1" applyBorder="1" applyAlignment="1">
      <alignment horizontal="center" vertical="center"/>
    </xf>
    <xf numFmtId="4" fontId="35" fillId="2" borderId="5" xfId="0" applyNumberFormat="1" applyFont="1" applyFill="1" applyBorder="1" applyAlignment="1">
      <alignment horizontal="center" vertical="center"/>
    </xf>
    <xf numFmtId="0" fontId="35" fillId="0" borderId="0" xfId="0" applyFont="1" applyAlignment="1">
      <alignment horizontal="right" vertical="top"/>
    </xf>
    <xf numFmtId="0" fontId="15" fillId="0" borderId="40" xfId="0" applyFont="1" applyBorder="1" applyAlignment="1" applyProtection="1">
      <alignment horizontal="left" vertical="top" wrapText="1"/>
      <protection locked="0"/>
    </xf>
    <xf numFmtId="169" fontId="5" fillId="2" borderId="43" xfId="0" applyNumberFormat="1" applyFont="1" applyFill="1" applyBorder="1" applyAlignment="1" applyProtection="1">
      <alignment horizontal="center" vertical="center"/>
      <protection locked="0"/>
    </xf>
    <xf numFmtId="4" fontId="17" fillId="2" borderId="58" xfId="0" applyNumberFormat="1" applyFont="1" applyFill="1" applyBorder="1" applyAlignment="1">
      <alignment horizontal="center" vertical="center"/>
    </xf>
    <xf numFmtId="0" fontId="17" fillId="2" borderId="58" xfId="0" applyFont="1" applyFill="1" applyBorder="1" applyAlignment="1">
      <alignment horizontal="center" vertical="center"/>
    </xf>
    <xf numFmtId="0" fontId="17" fillId="2" borderId="51" xfId="0" applyFont="1" applyFill="1" applyBorder="1" applyAlignment="1">
      <alignment horizontal="center" vertical="center"/>
    </xf>
    <xf numFmtId="0" fontId="35" fillId="2" borderId="0" xfId="0" applyFont="1" applyFill="1"/>
    <xf numFmtId="169" fontId="5" fillId="0" borderId="40" xfId="0" applyNumberFormat="1" applyFont="1" applyBorder="1" applyAlignment="1" applyProtection="1">
      <alignment horizontal="center" vertical="center"/>
      <protection locked="0"/>
    </xf>
    <xf numFmtId="0" fontId="5" fillId="2" borderId="40" xfId="0" applyFont="1" applyFill="1" applyBorder="1" applyProtection="1">
      <protection locked="0"/>
    </xf>
    <xf numFmtId="0" fontId="0" fillId="0" borderId="43" xfId="0"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5" fillId="8" borderId="40" xfId="0" applyFont="1" applyFill="1" applyBorder="1" applyAlignment="1" applyProtection="1">
      <alignment horizontal="left" vertical="top" wrapText="1"/>
      <protection locked="0"/>
    </xf>
    <xf numFmtId="0" fontId="35" fillId="8" borderId="0" xfId="0" applyFont="1" applyFill="1" applyAlignment="1">
      <alignment horizontal="right" wrapText="1"/>
    </xf>
    <xf numFmtId="1" fontId="66" fillId="9" borderId="174" xfId="0" applyNumberFormat="1" applyFont="1" applyFill="1" applyBorder="1" applyAlignment="1">
      <alignment horizontal="center" vertical="center" wrapText="1"/>
    </xf>
    <xf numFmtId="1" fontId="66" fillId="9" borderId="175" xfId="0" applyNumberFormat="1" applyFont="1" applyFill="1" applyBorder="1" applyAlignment="1">
      <alignment horizontal="center" vertical="center" wrapText="1"/>
    </xf>
    <xf numFmtId="1" fontId="66" fillId="9" borderId="176" xfId="0" applyNumberFormat="1" applyFont="1" applyFill="1" applyBorder="1" applyAlignment="1">
      <alignment horizontal="center" vertical="center" wrapText="1"/>
    </xf>
    <xf numFmtId="0" fontId="35" fillId="6" borderId="43" xfId="0" applyFont="1" applyFill="1" applyBorder="1" applyAlignment="1">
      <alignment horizontal="center" vertical="center" wrapText="1"/>
    </xf>
    <xf numFmtId="0" fontId="35" fillId="6" borderId="44" xfId="0" applyFont="1" applyFill="1" applyBorder="1" applyAlignment="1">
      <alignment horizontal="center" vertical="center" wrapText="1"/>
    </xf>
    <xf numFmtId="0" fontId="35" fillId="6" borderId="45" xfId="0" applyFont="1" applyFill="1" applyBorder="1" applyAlignment="1">
      <alignment horizontal="center" vertical="center" wrapText="1"/>
    </xf>
    <xf numFmtId="0" fontId="0" fillId="8" borderId="0" xfId="0" applyFill="1" applyAlignment="1">
      <alignment horizontal="left" wrapText="1"/>
    </xf>
    <xf numFmtId="0" fontId="0" fillId="8" borderId="182" xfId="0" applyFill="1" applyBorder="1" applyAlignment="1">
      <alignment horizontal="left" wrapText="1"/>
    </xf>
    <xf numFmtId="0" fontId="24" fillId="2" borderId="40" xfId="0" applyFont="1" applyFill="1" applyBorder="1" applyAlignment="1" applyProtection="1">
      <alignment horizontal="center" vertical="center" wrapText="1"/>
      <protection locked="0"/>
    </xf>
    <xf numFmtId="15" fontId="24" fillId="8" borderId="40" xfId="0" applyNumberFormat="1" applyFont="1" applyFill="1" applyBorder="1" applyAlignment="1" applyProtection="1">
      <alignment horizontal="center" vertical="center" wrapText="1"/>
      <protection locked="0"/>
    </xf>
    <xf numFmtId="177" fontId="74" fillId="0" borderId="174" xfId="13" applyNumberFormat="1" applyFont="1" applyBorder="1" applyAlignment="1">
      <alignment horizontal="justify" vertical="center" wrapText="1"/>
    </xf>
    <xf numFmtId="177" fontId="74" fillId="0" borderId="175" xfId="13" applyNumberFormat="1" applyFont="1" applyBorder="1" applyAlignment="1">
      <alignment horizontal="justify" vertical="center" wrapText="1"/>
    </xf>
    <xf numFmtId="1" fontId="66" fillId="9" borderId="174" xfId="0" applyNumberFormat="1" applyFont="1" applyFill="1" applyBorder="1" applyAlignment="1">
      <alignment horizontal="center" vertical="center"/>
    </xf>
    <xf numFmtId="1" fontId="66" fillId="9" borderId="175" xfId="0" applyNumberFormat="1" applyFont="1" applyFill="1" applyBorder="1" applyAlignment="1">
      <alignment horizontal="center" vertical="center"/>
    </xf>
    <xf numFmtId="1" fontId="66" fillId="9" borderId="176" xfId="0" applyNumberFormat="1" applyFont="1" applyFill="1" applyBorder="1" applyAlignment="1">
      <alignment horizontal="center" vertical="center"/>
    </xf>
    <xf numFmtId="1" fontId="66" fillId="10" borderId="174" xfId="0" applyNumberFormat="1" applyFont="1" applyFill="1" applyBorder="1" applyAlignment="1">
      <alignment horizontal="center" vertical="center" textRotation="90" wrapText="1"/>
    </xf>
    <xf numFmtId="1" fontId="66" fillId="10" borderId="175" xfId="0" applyNumberFormat="1" applyFont="1" applyFill="1" applyBorder="1" applyAlignment="1">
      <alignment horizontal="center" vertical="center" textRotation="90" wrapText="1"/>
    </xf>
    <xf numFmtId="1" fontId="66" fillId="10" borderId="176" xfId="0" applyNumberFormat="1" applyFont="1" applyFill="1" applyBorder="1" applyAlignment="1">
      <alignment horizontal="center" vertical="center" textRotation="90" wrapText="1"/>
    </xf>
    <xf numFmtId="1" fontId="66" fillId="10" borderId="174" xfId="0" applyNumberFormat="1" applyFont="1" applyFill="1" applyBorder="1" applyAlignment="1">
      <alignment horizontal="center" vertical="center" wrapText="1"/>
    </xf>
    <xf numFmtId="1" fontId="66" fillId="10" borderId="175" xfId="0" applyNumberFormat="1" applyFont="1" applyFill="1" applyBorder="1" applyAlignment="1">
      <alignment horizontal="center" vertical="center" wrapText="1"/>
    </xf>
    <xf numFmtId="1" fontId="66" fillId="10" borderId="176" xfId="0" applyNumberFormat="1" applyFont="1" applyFill="1" applyBorder="1" applyAlignment="1">
      <alignment horizontal="center" vertical="center" wrapText="1"/>
    </xf>
    <xf numFmtId="0" fontId="32" fillId="9" borderId="179" xfId="0" applyFont="1" applyFill="1" applyBorder="1"/>
    <xf numFmtId="0" fontId="32" fillId="9" borderId="180" xfId="0" applyFont="1" applyFill="1" applyBorder="1"/>
    <xf numFmtId="176" fontId="70" fillId="9" borderId="180" xfId="0" applyNumberFormat="1" applyFont="1" applyFill="1" applyBorder="1" applyAlignment="1">
      <alignment horizontal="justify"/>
    </xf>
    <xf numFmtId="0" fontId="32" fillId="9" borderId="180" xfId="0" applyFont="1" applyFill="1" applyBorder="1" applyAlignment="1">
      <alignment horizontal="justify"/>
    </xf>
    <xf numFmtId="0" fontId="70" fillId="9" borderId="180" xfId="0" quotePrefix="1" applyFont="1" applyFill="1" applyBorder="1" applyAlignment="1">
      <alignment horizontal="justify"/>
    </xf>
    <xf numFmtId="0" fontId="32" fillId="9" borderId="181" xfId="0" applyFont="1" applyFill="1" applyBorder="1"/>
    <xf numFmtId="0" fontId="0" fillId="0" borderId="187" xfId="0" applyBorder="1" applyAlignment="1">
      <alignment horizontal="left" vertical="center" wrapText="1"/>
    </xf>
    <xf numFmtId="0" fontId="0" fillId="0" borderId="188" xfId="0" applyBorder="1" applyAlignment="1">
      <alignment horizontal="left" vertical="center" wrapText="1"/>
    </xf>
    <xf numFmtId="0" fontId="0" fillId="0" borderId="189" xfId="0" applyBorder="1" applyAlignment="1">
      <alignment horizontal="left" vertical="center" wrapText="1"/>
    </xf>
    <xf numFmtId="0" fontId="0" fillId="0" borderId="191" xfId="0" applyBorder="1" applyAlignment="1">
      <alignment horizontal="center"/>
    </xf>
    <xf numFmtId="0" fontId="0" fillId="0" borderId="177" xfId="0" applyBorder="1" applyAlignment="1">
      <alignment horizontal="center"/>
    </xf>
    <xf numFmtId="4" fontId="71" fillId="0" borderId="174" xfId="0" applyNumberFormat="1" applyFont="1" applyBorder="1" applyAlignment="1">
      <alignment horizontal="center" vertical="center"/>
    </xf>
    <xf numFmtId="4" fontId="71" fillId="0" borderId="175" xfId="0" applyNumberFormat="1" applyFont="1" applyBorder="1" applyAlignment="1">
      <alignment horizontal="center" vertical="center"/>
    </xf>
    <xf numFmtId="4" fontId="71" fillId="0" borderId="176" xfId="0" applyNumberFormat="1" applyFont="1" applyBorder="1" applyAlignment="1">
      <alignment horizontal="center" vertical="center"/>
    </xf>
    <xf numFmtId="177" fontId="90" fillId="0" borderId="174" xfId="13" applyNumberFormat="1" applyFont="1" applyBorder="1" applyAlignment="1">
      <alignment horizontal="left" vertical="center" wrapText="1"/>
    </xf>
    <xf numFmtId="177" fontId="90" fillId="0" borderId="175" xfId="13" applyNumberFormat="1" applyFont="1" applyBorder="1" applyAlignment="1">
      <alignment horizontal="left" vertical="center" wrapText="1"/>
    </xf>
    <xf numFmtId="177" fontId="74" fillId="0" borderId="174" xfId="13" applyNumberFormat="1" applyFont="1" applyBorder="1" applyAlignment="1">
      <alignment vertical="center"/>
    </xf>
    <xf numFmtId="177" fontId="74" fillId="0" borderId="175" xfId="13" applyNumberFormat="1" applyFont="1" applyBorder="1" applyAlignment="1">
      <alignment vertical="center"/>
    </xf>
    <xf numFmtId="177" fontId="74" fillId="0" borderId="176" xfId="13" applyNumberFormat="1" applyFont="1" applyBorder="1" applyAlignment="1">
      <alignment vertical="center"/>
    </xf>
    <xf numFmtId="177" fontId="74" fillId="0" borderId="190" xfId="13" applyNumberFormat="1" applyFont="1" applyBorder="1" applyAlignment="1">
      <alignment horizontal="right" vertical="center"/>
    </xf>
    <xf numFmtId="177" fontId="75" fillId="0" borderId="190" xfId="13" applyNumberFormat="1" applyFont="1" applyBorder="1" applyAlignment="1">
      <alignment horizontal="right" vertical="center"/>
    </xf>
    <xf numFmtId="0" fontId="24" fillId="8" borderId="40" xfId="0" applyFont="1" applyFill="1" applyBorder="1" applyAlignment="1" applyProtection="1">
      <alignment horizontal="center" vertical="center" wrapText="1"/>
      <protection locked="0"/>
    </xf>
    <xf numFmtId="177" fontId="74" fillId="0" borderId="296" xfId="13" applyNumberFormat="1" applyFont="1" applyBorder="1" applyAlignment="1">
      <alignment horizontal="left" vertical="center" wrapText="1"/>
    </xf>
    <xf numFmtId="177" fontId="74" fillId="0" borderId="297" xfId="13" applyNumberFormat="1" applyFont="1" applyBorder="1" applyAlignment="1">
      <alignment horizontal="left" vertical="center" wrapText="1"/>
    </xf>
    <xf numFmtId="177" fontId="74" fillId="0" borderId="298" xfId="13" applyNumberFormat="1" applyFont="1" applyBorder="1" applyAlignment="1">
      <alignment horizontal="left" vertical="center" wrapText="1"/>
    </xf>
    <xf numFmtId="177" fontId="74" fillId="0" borderId="296" xfId="13" applyNumberFormat="1" applyFont="1" applyBorder="1" applyAlignment="1">
      <alignment vertical="center"/>
    </xf>
    <xf numFmtId="177" fontId="74" fillId="0" borderId="297" xfId="13" applyNumberFormat="1" applyFont="1" applyBorder="1" applyAlignment="1">
      <alignment vertical="center"/>
    </xf>
    <xf numFmtId="177" fontId="74" fillId="0" borderId="298" xfId="13" applyNumberFormat="1" applyFont="1" applyBorder="1" applyAlignment="1">
      <alignment vertical="center"/>
    </xf>
    <xf numFmtId="177" fontId="74" fillId="0" borderId="299" xfId="13" applyNumberFormat="1" applyFont="1" applyBorder="1" applyAlignment="1">
      <alignment horizontal="right" vertical="center"/>
    </xf>
    <xf numFmtId="177" fontId="75" fillId="0" borderId="299" xfId="13" applyNumberFormat="1" applyFont="1" applyBorder="1" applyAlignment="1">
      <alignment horizontal="right" vertical="center"/>
    </xf>
    <xf numFmtId="1" fontId="19" fillId="8" borderId="174" xfId="0" applyNumberFormat="1" applyFont="1" applyFill="1" applyBorder="1" applyAlignment="1">
      <alignment horizontal="center" vertical="center"/>
    </xf>
    <xf numFmtId="1" fontId="19" fillId="8" borderId="175" xfId="0" applyNumberFormat="1" applyFont="1" applyFill="1" applyBorder="1" applyAlignment="1">
      <alignment horizontal="center" vertical="center"/>
    </xf>
    <xf numFmtId="1" fontId="19" fillId="8" borderId="176" xfId="0" applyNumberFormat="1" applyFont="1" applyFill="1" applyBorder="1" applyAlignment="1">
      <alignment horizontal="center" vertical="center"/>
    </xf>
    <xf numFmtId="0" fontId="69" fillId="9" borderId="174" xfId="0" applyFont="1" applyFill="1" applyBorder="1" applyAlignment="1">
      <alignment horizontal="center"/>
    </xf>
    <xf numFmtId="0" fontId="32" fillId="9" borderId="175" xfId="0" applyFont="1" applyFill="1" applyBorder="1"/>
    <xf numFmtId="0" fontId="32" fillId="9" borderId="176" xfId="0" applyFont="1" applyFill="1" applyBorder="1"/>
    <xf numFmtId="177" fontId="24" fillId="8" borderId="40" xfId="0" applyNumberFormat="1" applyFont="1" applyFill="1" applyBorder="1" applyAlignment="1" applyProtection="1">
      <alignment horizontal="center" vertical="center" wrapText="1"/>
      <protection locked="0"/>
    </xf>
    <xf numFmtId="177" fontId="24" fillId="2" borderId="40" xfId="0" applyNumberFormat="1" applyFont="1" applyFill="1" applyBorder="1" applyAlignment="1" applyProtection="1">
      <alignment horizontal="center" vertical="center" wrapText="1"/>
      <protection locked="0"/>
    </xf>
    <xf numFmtId="0" fontId="24" fillId="0" borderId="40" xfId="0" applyFont="1" applyBorder="1" applyAlignment="1" applyProtection="1">
      <alignment horizontal="center" vertical="center" wrapText="1"/>
      <protection locked="0"/>
    </xf>
    <xf numFmtId="0" fontId="24" fillId="0" borderId="43" xfId="0" applyFont="1" applyBorder="1" applyAlignment="1" applyProtection="1">
      <alignment horizontal="center" vertical="center" wrapText="1"/>
      <protection locked="0"/>
    </xf>
    <xf numFmtId="0" fontId="24" fillId="0" borderId="44" xfId="0" applyFont="1" applyBorder="1" applyAlignment="1" applyProtection="1">
      <alignment horizontal="center" vertical="center" wrapText="1"/>
      <protection locked="0"/>
    </xf>
    <xf numFmtId="0" fontId="24" fillId="0" borderId="45" xfId="0" applyFont="1" applyBorder="1" applyAlignment="1" applyProtection="1">
      <alignment horizontal="center" vertical="center" wrapText="1"/>
      <protection locked="0"/>
    </xf>
    <xf numFmtId="0" fontId="14" fillId="2" borderId="40" xfId="2" applyNumberFormat="1" applyFill="1" applyBorder="1" applyAlignment="1" applyProtection="1">
      <alignment horizontal="center" vertical="center" wrapText="1"/>
      <protection locked="0"/>
    </xf>
    <xf numFmtId="169" fontId="5" fillId="2" borderId="40" xfId="0" applyNumberFormat="1" applyFont="1" applyFill="1" applyBorder="1" applyAlignment="1">
      <alignment horizontal="center" vertical="center"/>
    </xf>
    <xf numFmtId="4" fontId="5" fillId="2" borderId="40" xfId="0" applyNumberFormat="1" applyFont="1" applyFill="1" applyBorder="1" applyAlignment="1" applyProtection="1">
      <alignment horizontal="center" vertical="center"/>
      <protection locked="0"/>
    </xf>
    <xf numFmtId="4" fontId="5" fillId="2" borderId="40" xfId="0" applyNumberFormat="1" applyFont="1" applyFill="1" applyBorder="1" applyAlignment="1">
      <alignment horizontal="center" vertical="center"/>
    </xf>
    <xf numFmtId="2" fontId="24" fillId="8" borderId="40" xfId="0" applyNumberFormat="1" applyFont="1" applyFill="1" applyBorder="1" applyAlignment="1" applyProtection="1">
      <alignment horizontal="center" vertical="center" wrapText="1"/>
      <protection locked="0"/>
    </xf>
    <xf numFmtId="0" fontId="21" fillId="2" borderId="0" xfId="0" applyFont="1" applyFill="1" applyAlignment="1" applyProtection="1">
      <alignment horizontal="right" vertical="center"/>
      <protection hidden="1"/>
    </xf>
    <xf numFmtId="4" fontId="35" fillId="2" borderId="40" xfId="0" applyNumberFormat="1" applyFont="1" applyFill="1" applyBorder="1" applyAlignment="1">
      <alignment horizontal="right" vertical="center" indent="3"/>
    </xf>
    <xf numFmtId="0" fontId="72" fillId="0" borderId="0" xfId="0" applyFont="1" applyAlignment="1">
      <alignment horizontal="center"/>
    </xf>
    <xf numFmtId="172" fontId="41" fillId="7" borderId="33" xfId="0" applyNumberFormat="1" applyFont="1" applyFill="1" applyBorder="1" applyAlignment="1">
      <alignment horizontal="right" indent="1"/>
    </xf>
    <xf numFmtId="172" fontId="41" fillId="7" borderId="34" xfId="0" applyNumberFormat="1" applyFont="1" applyFill="1" applyBorder="1" applyAlignment="1">
      <alignment horizontal="right" indent="1"/>
    </xf>
    <xf numFmtId="172" fontId="41" fillId="7" borderId="35" xfId="0" applyNumberFormat="1" applyFont="1" applyFill="1" applyBorder="1" applyAlignment="1">
      <alignment horizontal="right" indent="1"/>
    </xf>
    <xf numFmtId="172" fontId="41" fillId="7" borderId="36" xfId="0" applyNumberFormat="1" applyFont="1" applyFill="1" applyBorder="1" applyAlignment="1">
      <alignment horizontal="right" indent="1"/>
    </xf>
    <xf numFmtId="0" fontId="41" fillId="7" borderId="25" xfId="0" applyFont="1" applyFill="1" applyBorder="1" applyAlignment="1">
      <alignment horizontal="center"/>
    </xf>
    <xf numFmtId="0" fontId="41" fillId="7" borderId="0" xfId="0" applyFont="1" applyFill="1" applyAlignment="1">
      <alignment horizontal="center"/>
    </xf>
    <xf numFmtId="0" fontId="41" fillId="7" borderId="26" xfId="0" applyFont="1" applyFill="1" applyBorder="1" applyAlignment="1">
      <alignment horizontal="center"/>
    </xf>
    <xf numFmtId="172" fontId="41" fillId="7" borderId="25" xfId="0" applyNumberFormat="1" applyFont="1" applyFill="1" applyBorder="1" applyAlignment="1">
      <alignment horizontal="right" indent="1"/>
    </xf>
    <xf numFmtId="172" fontId="41" fillId="7" borderId="0" xfId="0" applyNumberFormat="1" applyFont="1" applyFill="1" applyAlignment="1">
      <alignment horizontal="right" indent="1"/>
    </xf>
    <xf numFmtId="172" fontId="41" fillId="7" borderId="26" xfId="0" applyNumberFormat="1" applyFont="1" applyFill="1" applyBorder="1" applyAlignment="1">
      <alignment horizontal="right" indent="1"/>
    </xf>
    <xf numFmtId="172" fontId="41" fillId="7" borderId="27" xfId="0" applyNumberFormat="1" applyFont="1" applyFill="1" applyBorder="1" applyAlignment="1">
      <alignment horizontal="right" indent="1"/>
    </xf>
    <xf numFmtId="0" fontId="40" fillId="4" borderId="18" xfId="0" applyFont="1" applyFill="1" applyBorder="1" applyAlignment="1">
      <alignment horizontal="center" vertical="center"/>
    </xf>
    <xf numFmtId="0" fontId="40" fillId="4" borderId="19" xfId="0" applyFont="1" applyFill="1" applyBorder="1" applyAlignment="1">
      <alignment horizontal="center" vertical="center"/>
    </xf>
    <xf numFmtId="0" fontId="41" fillId="6" borderId="25" xfId="0" applyFont="1" applyFill="1" applyBorder="1" applyAlignment="1">
      <alignment horizontal="center" vertical="center"/>
    </xf>
    <xf numFmtId="0" fontId="41" fillId="6" borderId="0" xfId="0" applyFont="1" applyFill="1" applyAlignment="1">
      <alignment horizontal="center" vertical="center"/>
    </xf>
    <xf numFmtId="0" fontId="41" fillId="6" borderId="26" xfId="0" applyFont="1" applyFill="1" applyBorder="1" applyAlignment="1">
      <alignment horizontal="center" vertical="center"/>
    </xf>
    <xf numFmtId="169" fontId="41" fillId="6" borderId="25" xfId="0" applyNumberFormat="1" applyFont="1" applyFill="1" applyBorder="1" applyAlignment="1">
      <alignment horizontal="right" indent="1"/>
    </xf>
    <xf numFmtId="169" fontId="41" fillId="6" borderId="0" xfId="0" applyNumberFormat="1" applyFont="1" applyFill="1" applyAlignment="1">
      <alignment horizontal="right" indent="1"/>
    </xf>
    <xf numFmtId="169" fontId="41" fillId="6" borderId="26" xfId="0" applyNumberFormat="1" applyFont="1" applyFill="1" applyBorder="1" applyAlignment="1">
      <alignment horizontal="right" indent="1"/>
    </xf>
    <xf numFmtId="169" fontId="41" fillId="6" borderId="27" xfId="0" applyNumberFormat="1" applyFont="1" applyFill="1" applyBorder="1" applyAlignment="1">
      <alignment horizontal="right" indent="1"/>
    </xf>
    <xf numFmtId="0" fontId="41" fillId="7" borderId="28" xfId="0" applyFont="1" applyFill="1" applyBorder="1" applyAlignment="1">
      <alignment horizontal="center"/>
    </xf>
    <xf numFmtId="0" fontId="41" fillId="7" borderId="29" xfId="0" applyFont="1" applyFill="1" applyBorder="1" applyAlignment="1">
      <alignment horizontal="center"/>
    </xf>
    <xf numFmtId="0" fontId="41" fillId="7" borderId="30" xfId="0" applyFont="1" applyFill="1" applyBorder="1" applyAlignment="1">
      <alignment horizontal="center"/>
    </xf>
    <xf numFmtId="172" fontId="41" fillId="7" borderId="28" xfId="0" applyNumberFormat="1" applyFont="1" applyFill="1" applyBorder="1" applyAlignment="1">
      <alignment horizontal="right" indent="1"/>
    </xf>
    <xf numFmtId="172" fontId="41" fillId="7" borderId="29" xfId="0" applyNumberFormat="1" applyFont="1" applyFill="1" applyBorder="1" applyAlignment="1">
      <alignment horizontal="right" indent="1"/>
    </xf>
    <xf numFmtId="172" fontId="41" fillId="7" borderId="30" xfId="0" applyNumberFormat="1" applyFont="1" applyFill="1" applyBorder="1" applyAlignment="1">
      <alignment horizontal="right" indent="1"/>
    </xf>
    <xf numFmtId="172" fontId="41" fillId="7" borderId="31" xfId="0" applyNumberFormat="1" applyFont="1" applyFill="1" applyBorder="1" applyAlignment="1">
      <alignment horizontal="right" indent="1"/>
    </xf>
    <xf numFmtId="0" fontId="41" fillId="7" borderId="33" xfId="0" applyFont="1" applyFill="1" applyBorder="1" applyAlignment="1">
      <alignment horizontal="center"/>
    </xf>
    <xf numFmtId="0" fontId="41" fillId="7" borderId="34" xfId="0" applyFont="1" applyFill="1" applyBorder="1" applyAlignment="1">
      <alignment horizontal="center"/>
    </xf>
    <xf numFmtId="0" fontId="41" fillId="7" borderId="35" xfId="0" applyFont="1" applyFill="1" applyBorder="1" applyAlignment="1">
      <alignment horizontal="center"/>
    </xf>
    <xf numFmtId="0" fontId="39" fillId="4" borderId="14" xfId="0" applyFont="1" applyFill="1" applyBorder="1" applyAlignment="1">
      <alignment horizontal="center" vertical="center"/>
    </xf>
    <xf numFmtId="0" fontId="39" fillId="4" borderId="15" xfId="0" applyFont="1" applyFill="1" applyBorder="1" applyAlignment="1">
      <alignment horizontal="center" vertical="center"/>
    </xf>
    <xf numFmtId="0" fontId="39" fillId="4" borderId="16" xfId="0" applyFont="1" applyFill="1" applyBorder="1" applyAlignment="1">
      <alignment horizontal="center" vertical="center"/>
    </xf>
    <xf numFmtId="0" fontId="39" fillId="4" borderId="17" xfId="0" applyFont="1" applyFill="1" applyBorder="1" applyAlignment="1">
      <alignment horizontal="center" vertical="center"/>
    </xf>
    <xf numFmtId="0" fontId="39" fillId="4" borderId="18" xfId="0" applyFont="1" applyFill="1" applyBorder="1" applyAlignment="1">
      <alignment horizontal="center" vertical="center"/>
    </xf>
    <xf numFmtId="0" fontId="39" fillId="4" borderId="19" xfId="0" applyFont="1" applyFill="1" applyBorder="1" applyAlignment="1">
      <alignment horizontal="center" vertical="center"/>
    </xf>
    <xf numFmtId="0" fontId="40" fillId="4" borderId="20" xfId="0" applyFont="1" applyFill="1" applyBorder="1" applyAlignment="1">
      <alignment vertical="center" textRotation="90"/>
    </xf>
    <xf numFmtId="0" fontId="40" fillId="4" borderId="24" xfId="0" applyFont="1" applyFill="1" applyBorder="1" applyAlignment="1">
      <alignment vertical="center" textRotation="90"/>
    </xf>
    <xf numFmtId="0" fontId="40" fillId="4" borderId="32" xfId="0" applyFont="1" applyFill="1" applyBorder="1" applyAlignment="1">
      <alignment vertical="center" textRotation="90"/>
    </xf>
    <xf numFmtId="0" fontId="40" fillId="4" borderId="21" xfId="0" applyFont="1" applyFill="1" applyBorder="1" applyAlignment="1">
      <alignment horizontal="center" vertical="center"/>
    </xf>
    <xf numFmtId="0" fontId="40" fillId="4" borderId="22" xfId="0" applyFont="1" applyFill="1" applyBorder="1" applyAlignment="1">
      <alignment horizontal="center" vertical="center"/>
    </xf>
    <xf numFmtId="0" fontId="40" fillId="4" borderId="23" xfId="0" applyFont="1" applyFill="1" applyBorder="1" applyAlignment="1">
      <alignment horizontal="center" vertical="center"/>
    </xf>
    <xf numFmtId="0" fontId="21" fillId="2" borderId="54" xfId="0" applyFont="1" applyFill="1" applyBorder="1" applyAlignment="1" applyProtection="1">
      <alignment horizontal="left" vertical="center" wrapText="1"/>
      <protection hidden="1"/>
    </xf>
    <xf numFmtId="0" fontId="21" fillId="2" borderId="55" xfId="0" applyFont="1" applyFill="1" applyBorder="1" applyAlignment="1" applyProtection="1">
      <alignment horizontal="left" vertical="center" wrapText="1"/>
      <protection hidden="1"/>
    </xf>
    <xf numFmtId="0" fontId="21" fillId="2" borderId="56" xfId="0" applyFont="1" applyFill="1" applyBorder="1" applyAlignment="1" applyProtection="1">
      <alignment horizontal="left" vertical="center" wrapText="1"/>
      <protection hidden="1"/>
    </xf>
    <xf numFmtId="0" fontId="47" fillId="6" borderId="51" xfId="0" applyFont="1" applyFill="1" applyBorder="1" applyAlignment="1" applyProtection="1">
      <alignment horizontal="center" vertical="center"/>
      <protection hidden="1"/>
    </xf>
    <xf numFmtId="0" fontId="47" fillId="6" borderId="52" xfId="0" applyFont="1" applyFill="1" applyBorder="1" applyAlignment="1" applyProtection="1">
      <alignment horizontal="center" vertical="center"/>
      <protection hidden="1"/>
    </xf>
    <xf numFmtId="0" fontId="47" fillId="6" borderId="53" xfId="0" applyFont="1" applyFill="1" applyBorder="1" applyAlignment="1" applyProtection="1">
      <alignment horizontal="center" vertical="center"/>
      <protection hidden="1"/>
    </xf>
    <xf numFmtId="0" fontId="47" fillId="6" borderId="54" xfId="0" applyFont="1" applyFill="1" applyBorder="1" applyAlignment="1" applyProtection="1">
      <alignment horizontal="center" vertical="center"/>
      <protection hidden="1"/>
    </xf>
    <xf numFmtId="0" fontId="47" fillId="6" borderId="55" xfId="0" applyFont="1" applyFill="1" applyBorder="1" applyAlignment="1" applyProtection="1">
      <alignment horizontal="center" vertical="center"/>
      <protection hidden="1"/>
    </xf>
    <xf numFmtId="0" fontId="47" fillId="6" borderId="56" xfId="0" applyFont="1" applyFill="1" applyBorder="1" applyAlignment="1" applyProtection="1">
      <alignment horizontal="center" vertical="center"/>
      <protection hidden="1"/>
    </xf>
    <xf numFmtId="0" fontId="21" fillId="2" borderId="51" xfId="0" applyFont="1" applyFill="1" applyBorder="1" applyAlignment="1" applyProtection="1">
      <alignment horizontal="left" vertical="center" wrapText="1"/>
      <protection hidden="1"/>
    </xf>
    <xf numFmtId="0" fontId="21" fillId="2" borderId="52" xfId="0" applyFont="1" applyFill="1" applyBorder="1" applyAlignment="1" applyProtection="1">
      <alignment horizontal="left" vertical="center" wrapText="1"/>
      <protection hidden="1"/>
    </xf>
    <xf numFmtId="0" fontId="21" fillId="2" borderId="53" xfId="0" applyFont="1" applyFill="1" applyBorder="1" applyAlignment="1" applyProtection="1">
      <alignment horizontal="left" vertical="center" wrapText="1"/>
      <protection hidden="1"/>
    </xf>
    <xf numFmtId="0" fontId="80" fillId="0" borderId="0" xfId="0" applyFont="1" applyAlignment="1">
      <alignment horizontal="center"/>
    </xf>
    <xf numFmtId="0" fontId="81" fillId="0" borderId="0" xfId="0" applyFont="1" applyAlignment="1">
      <alignment horizontal="center"/>
    </xf>
    <xf numFmtId="4" fontId="35" fillId="6" borderId="1" xfId="0" applyNumberFormat="1" applyFont="1" applyFill="1" applyBorder="1" applyAlignment="1">
      <alignment horizontal="center" vertical="center"/>
    </xf>
    <xf numFmtId="0" fontId="45" fillId="2" borderId="55" xfId="0" applyFont="1" applyFill="1" applyBorder="1" applyAlignment="1">
      <alignment horizontal="center" vertical="center" wrapText="1"/>
    </xf>
    <xf numFmtId="0" fontId="78" fillId="8" borderId="0" xfId="0" applyFont="1" applyFill="1" applyAlignment="1">
      <alignment horizontal="left"/>
    </xf>
    <xf numFmtId="0" fontId="78" fillId="8" borderId="0" xfId="0" applyFont="1" applyFill="1" applyAlignment="1">
      <alignment horizontal="center"/>
    </xf>
    <xf numFmtId="4" fontId="80" fillId="8" borderId="196" xfId="0" applyNumberFormat="1" applyFont="1" applyFill="1" applyBorder="1" applyAlignment="1">
      <alignment horizontal="center" vertical="center"/>
    </xf>
    <xf numFmtId="171" fontId="80" fillId="8" borderId="192" xfId="1" applyNumberFormat="1" applyFont="1" applyFill="1" applyBorder="1" applyAlignment="1">
      <alignment horizontal="center" vertical="center"/>
    </xf>
    <xf numFmtId="171" fontId="80" fillId="8" borderId="193" xfId="1" applyNumberFormat="1" applyFont="1" applyFill="1" applyBorder="1" applyAlignment="1">
      <alignment horizontal="center" vertical="center"/>
    </xf>
    <xf numFmtId="171" fontId="80" fillId="8" borderId="197" xfId="1" applyNumberFormat="1" applyFont="1" applyFill="1" applyBorder="1" applyAlignment="1">
      <alignment horizontal="center" vertical="center"/>
    </xf>
    <xf numFmtId="4" fontId="35" fillId="6" borderId="37" xfId="0" applyNumberFormat="1" applyFont="1" applyFill="1" applyBorder="1" applyAlignment="1">
      <alignment horizontal="center" vertical="center"/>
    </xf>
    <xf numFmtId="0" fontId="48" fillId="6" borderId="199" xfId="0" applyFont="1" applyFill="1" applyBorder="1" applyAlignment="1">
      <alignment horizontal="center"/>
    </xf>
    <xf numFmtId="0" fontId="48" fillId="6" borderId="200" xfId="0" applyFont="1" applyFill="1" applyBorder="1" applyAlignment="1">
      <alignment horizontal="center"/>
    </xf>
    <xf numFmtId="4" fontId="5" fillId="8" borderId="40" xfId="0" applyNumberFormat="1" applyFont="1" applyFill="1" applyBorder="1" applyAlignment="1" applyProtection="1">
      <alignment horizontal="right" indent="1"/>
      <protection locked="0"/>
    </xf>
    <xf numFmtId="169" fontId="5" fillId="2" borderId="40" xfId="0" applyNumberFormat="1" applyFont="1" applyFill="1" applyBorder="1" applyAlignment="1" applyProtection="1">
      <alignment horizontal="left" vertical="center"/>
      <protection locked="0"/>
    </xf>
    <xf numFmtId="0" fontId="5" fillId="2" borderId="43" xfId="0" applyFont="1" applyFill="1" applyBorder="1" applyAlignment="1">
      <alignment horizontal="left" vertical="center"/>
    </xf>
    <xf numFmtId="0" fontId="5" fillId="2" borderId="44" xfId="0" applyFont="1" applyFill="1" applyBorder="1" applyAlignment="1">
      <alignment horizontal="left" vertical="center"/>
    </xf>
    <xf numFmtId="0" fontId="5" fillId="2" borderId="45" xfId="0" applyFont="1" applyFill="1" applyBorder="1" applyAlignment="1">
      <alignment horizontal="left" vertical="center"/>
    </xf>
    <xf numFmtId="4" fontId="5" fillId="2" borderId="40" xfId="1" applyNumberFormat="1" applyFont="1" applyFill="1" applyBorder="1" applyAlignment="1" applyProtection="1">
      <alignment horizontal="center" vertical="center"/>
      <protection locked="0"/>
    </xf>
    <xf numFmtId="0" fontId="5" fillId="2" borderId="40" xfId="1" applyNumberFormat="1" applyFont="1" applyFill="1" applyBorder="1" applyAlignment="1" applyProtection="1">
      <alignment horizontal="center" vertical="center"/>
      <protection locked="0"/>
    </xf>
    <xf numFmtId="171" fontId="5" fillId="2" borderId="40" xfId="1" applyNumberFormat="1" applyFont="1" applyFill="1" applyBorder="1" applyAlignment="1" applyProtection="1">
      <alignment horizontal="center" vertical="center"/>
      <protection locked="0"/>
    </xf>
    <xf numFmtId="0" fontId="4" fillId="2" borderId="0" xfId="0" applyFont="1" applyFill="1" applyAlignment="1">
      <alignment horizontal="left" vertical="justify" wrapText="1"/>
    </xf>
    <xf numFmtId="4" fontId="5" fillId="2" borderId="40" xfId="0" applyNumberFormat="1" applyFont="1" applyFill="1" applyBorder="1" applyAlignment="1" applyProtection="1">
      <alignment horizontal="right" indent="1"/>
      <protection locked="0"/>
    </xf>
    <xf numFmtId="0" fontId="11" fillId="2" borderId="40" xfId="0" applyFont="1" applyFill="1" applyBorder="1" applyAlignment="1">
      <alignment horizontal="center"/>
    </xf>
    <xf numFmtId="0" fontId="4" fillId="2" borderId="0" xfId="0" applyFont="1" applyFill="1" applyAlignment="1">
      <alignment vertical="center" wrapText="1"/>
    </xf>
    <xf numFmtId="0" fontId="31" fillId="8" borderId="43" xfId="0" applyFont="1" applyFill="1" applyBorder="1" applyAlignment="1">
      <alignment horizontal="center" vertical="center"/>
    </xf>
    <xf numFmtId="0" fontId="31" fillId="8" borderId="44" xfId="0" applyFont="1" applyFill="1" applyBorder="1" applyAlignment="1">
      <alignment horizontal="center" vertical="center"/>
    </xf>
    <xf numFmtId="0" fontId="31" fillId="8" borderId="45" xfId="0" applyFont="1" applyFill="1" applyBorder="1" applyAlignment="1">
      <alignment horizontal="center" vertical="center"/>
    </xf>
    <xf numFmtId="0" fontId="35" fillId="6" borderId="40" xfId="0" applyFont="1" applyFill="1" applyBorder="1" applyAlignment="1">
      <alignment horizontal="center"/>
    </xf>
    <xf numFmtId="0" fontId="5" fillId="2" borderId="40" xfId="0" applyFont="1" applyFill="1" applyBorder="1" applyAlignment="1">
      <alignment horizontal="left"/>
    </xf>
    <xf numFmtId="4" fontId="35" fillId="6" borderId="47" xfId="0" applyNumberFormat="1" applyFont="1" applyFill="1" applyBorder="1" applyAlignment="1">
      <alignment horizontal="center"/>
    </xf>
    <xf numFmtId="4" fontId="35" fillId="6" borderId="48" xfId="0" applyNumberFormat="1" applyFont="1" applyFill="1" applyBorder="1" applyAlignment="1">
      <alignment horizontal="center"/>
    </xf>
    <xf numFmtId="4" fontId="36" fillId="2" borderId="6" xfId="0" applyNumberFormat="1" applyFont="1" applyFill="1" applyBorder="1" applyAlignment="1">
      <alignment horizontal="center"/>
    </xf>
    <xf numFmtId="4" fontId="35" fillId="6" borderId="46" xfId="0" applyNumberFormat="1" applyFont="1" applyFill="1" applyBorder="1" applyAlignment="1">
      <alignment horizontal="center"/>
    </xf>
    <xf numFmtId="4" fontId="35" fillId="6" borderId="59" xfId="0" applyNumberFormat="1" applyFont="1" applyFill="1" applyBorder="1" applyAlignment="1">
      <alignment horizontal="center"/>
    </xf>
    <xf numFmtId="4" fontId="35" fillId="6" borderId="60" xfId="0" applyNumberFormat="1" applyFont="1" applyFill="1" applyBorder="1" applyAlignment="1">
      <alignment horizontal="center"/>
    </xf>
    <xf numFmtId="0" fontId="5" fillId="2" borderId="13" xfId="0" applyFont="1" applyFill="1" applyBorder="1" applyAlignment="1">
      <alignment horizontal="center"/>
    </xf>
    <xf numFmtId="4" fontId="35" fillId="6" borderId="1" xfId="1" applyNumberFormat="1" applyFont="1" applyFill="1" applyBorder="1" applyAlignment="1" applyProtection="1">
      <alignment horizontal="center"/>
      <protection locked="0"/>
    </xf>
    <xf numFmtId="4" fontId="35" fillId="6" borderId="3" xfId="1" applyNumberFormat="1" applyFont="1" applyFill="1" applyBorder="1" applyAlignment="1" applyProtection="1">
      <alignment horizontal="center"/>
      <protection locked="0"/>
    </xf>
    <xf numFmtId="4" fontId="35" fillId="6" borderId="62" xfId="0" applyNumberFormat="1" applyFont="1" applyFill="1" applyBorder="1" applyAlignment="1">
      <alignment horizontal="center"/>
    </xf>
    <xf numFmtId="4" fontId="35" fillId="6" borderId="63" xfId="0" applyNumberFormat="1" applyFont="1" applyFill="1" applyBorder="1" applyAlignment="1">
      <alignment horizontal="center"/>
    </xf>
    <xf numFmtId="0" fontId="35" fillId="6" borderId="1" xfId="0" applyFont="1" applyFill="1" applyBorder="1" applyAlignment="1">
      <alignment horizontal="center" vertical="center" wrapText="1"/>
    </xf>
    <xf numFmtId="4" fontId="5" fillId="8" borderId="1" xfId="0" applyNumberFormat="1" applyFont="1" applyFill="1" applyBorder="1" applyAlignment="1" applyProtection="1">
      <alignment horizontal="center" vertical="center"/>
      <protection locked="0"/>
    </xf>
    <xf numFmtId="169" fontId="5" fillId="0" borderId="1" xfId="0" applyNumberFormat="1" applyFont="1" applyBorder="1" applyAlignment="1" applyProtection="1">
      <alignment horizontal="right" vertical="center" indent="2"/>
      <protection locked="0"/>
    </xf>
    <xf numFmtId="169" fontId="5" fillId="2" borderId="1" xfId="0" applyNumberFormat="1" applyFont="1" applyFill="1" applyBorder="1" applyAlignment="1" applyProtection="1">
      <alignment horizontal="left" vertical="center"/>
      <protection locked="0"/>
    </xf>
    <xf numFmtId="169" fontId="5" fillId="2" borderId="1" xfId="0" applyNumberFormat="1" applyFont="1" applyFill="1" applyBorder="1" applyAlignment="1" applyProtection="1">
      <alignment horizontal="center" vertical="center"/>
      <protection locked="0"/>
    </xf>
    <xf numFmtId="4" fontId="5" fillId="2" borderId="1" xfId="0" applyNumberFormat="1" applyFont="1" applyFill="1" applyBorder="1" applyAlignment="1" applyProtection="1">
      <alignment horizontal="center" vertical="center"/>
      <protection locked="0"/>
    </xf>
    <xf numFmtId="169" fontId="5" fillId="0" borderId="1" xfId="0" applyNumberFormat="1" applyFont="1" applyBorder="1" applyAlignment="1" applyProtection="1">
      <alignment horizontal="center" vertical="center"/>
      <protection locked="0"/>
    </xf>
    <xf numFmtId="3" fontId="5" fillId="8" borderId="1" xfId="0" applyNumberFormat="1" applyFont="1" applyFill="1" applyBorder="1" applyAlignment="1" applyProtection="1">
      <alignment horizontal="center" vertical="center"/>
      <protection locked="0"/>
    </xf>
    <xf numFmtId="169" fontId="5" fillId="0" borderId="1" xfId="0" applyNumberFormat="1" applyFont="1" applyBorder="1" applyAlignment="1" applyProtection="1">
      <alignment horizontal="left" vertical="center"/>
      <protection locked="0"/>
    </xf>
    <xf numFmtId="4" fontId="5" fillId="0" borderId="1" xfId="0" applyNumberFormat="1" applyFont="1" applyBorder="1" applyAlignment="1" applyProtection="1">
      <alignment horizontal="center" vertical="center"/>
      <protection locked="0"/>
    </xf>
    <xf numFmtId="0" fontId="35" fillId="0" borderId="9" xfId="0" applyFont="1" applyBorder="1"/>
    <xf numFmtId="0" fontId="35" fillId="0" borderId="10" xfId="0" applyFont="1" applyBorder="1"/>
    <xf numFmtId="4" fontId="35" fillId="6" borderId="1" xfId="0" applyNumberFormat="1" applyFont="1" applyFill="1" applyBorder="1" applyAlignment="1">
      <alignment horizontal="center"/>
    </xf>
    <xf numFmtId="0" fontId="35" fillId="6" borderId="1" xfId="0" applyFont="1" applyFill="1" applyBorder="1" applyAlignment="1">
      <alignment horizontal="center"/>
    </xf>
    <xf numFmtId="0" fontId="35" fillId="2" borderId="9" xfId="0" applyFont="1" applyFill="1" applyBorder="1" applyAlignment="1">
      <alignment horizontal="left" indent="2"/>
    </xf>
    <xf numFmtId="4" fontId="35" fillId="6" borderId="3" xfId="0" applyNumberFormat="1" applyFont="1" applyFill="1" applyBorder="1" applyAlignment="1">
      <alignment horizontal="right" indent="2"/>
    </xf>
    <xf numFmtId="4" fontId="35" fillId="6" borderId="4" xfId="0" applyNumberFormat="1" applyFont="1" applyFill="1" applyBorder="1" applyAlignment="1">
      <alignment horizontal="right" indent="2"/>
    </xf>
    <xf numFmtId="4" fontId="35" fillId="6" borderId="5" xfId="0" applyNumberFormat="1" applyFont="1" applyFill="1" applyBorder="1" applyAlignment="1">
      <alignment horizontal="right" indent="2"/>
    </xf>
    <xf numFmtId="0" fontId="5" fillId="2" borderId="1" xfId="0" applyFont="1" applyFill="1" applyBorder="1" applyAlignment="1">
      <alignment horizontal="center" vertical="center"/>
    </xf>
    <xf numFmtId="10" fontId="5" fillId="2" borderId="1" xfId="1" applyNumberFormat="1" applyFont="1" applyFill="1" applyBorder="1" applyAlignment="1" applyProtection="1">
      <alignment horizontal="center" vertical="center"/>
      <protection locked="0"/>
    </xf>
    <xf numFmtId="4" fontId="5" fillId="2" borderId="1" xfId="0" applyNumberFormat="1" applyFont="1" applyFill="1" applyBorder="1" applyAlignment="1">
      <alignment horizontal="center" vertical="center"/>
    </xf>
    <xf numFmtId="169" fontId="5" fillId="2" borderId="1" xfId="0" applyNumberFormat="1" applyFont="1" applyFill="1" applyBorder="1" applyAlignment="1">
      <alignment horizontal="center" vertical="center"/>
    </xf>
    <xf numFmtId="169" fontId="5" fillId="2" borderId="1" xfId="0" applyNumberFormat="1" applyFont="1" applyFill="1" applyBorder="1" applyAlignment="1">
      <alignment horizontal="right" vertical="center" indent="3"/>
    </xf>
    <xf numFmtId="0" fontId="4" fillId="2" borderId="0" xfId="0" applyFont="1" applyFill="1" applyAlignment="1">
      <alignment wrapText="1"/>
    </xf>
    <xf numFmtId="0" fontId="35" fillId="6" borderId="1" xfId="0" applyFont="1" applyFill="1" applyBorder="1" applyAlignment="1">
      <alignment horizontal="center" vertical="center"/>
    </xf>
    <xf numFmtId="2" fontId="5" fillId="8" borderId="40" xfId="0" applyNumberFormat="1" applyFont="1" applyFill="1" applyBorder="1" applyAlignment="1" applyProtection="1">
      <alignment horizontal="center" vertical="center"/>
      <protection locked="0"/>
    </xf>
    <xf numFmtId="4" fontId="35" fillId="6" borderId="1" xfId="0" applyNumberFormat="1" applyFont="1" applyFill="1" applyBorder="1" applyAlignment="1">
      <alignment horizontal="right" vertical="center" indent="3"/>
    </xf>
    <xf numFmtId="0" fontId="35" fillId="6" borderId="0" xfId="0" applyFont="1" applyFill="1"/>
    <xf numFmtId="4" fontId="35" fillId="6" borderId="3" xfId="0" applyNumberFormat="1" applyFont="1" applyFill="1" applyBorder="1" applyAlignment="1">
      <alignment horizontal="right" vertical="center" indent="3"/>
    </xf>
    <xf numFmtId="4" fontId="35" fillId="6" borderId="4" xfId="0" applyNumberFormat="1" applyFont="1" applyFill="1" applyBorder="1" applyAlignment="1">
      <alignment horizontal="right" vertical="center" indent="3"/>
    </xf>
    <xf numFmtId="4" fontId="35" fillId="6" borderId="5" xfId="0" applyNumberFormat="1" applyFont="1" applyFill="1" applyBorder="1" applyAlignment="1">
      <alignment horizontal="right" vertical="center" indent="3"/>
    </xf>
    <xf numFmtId="4" fontId="35" fillId="2" borderId="0" xfId="0" applyNumberFormat="1" applyFont="1" applyFill="1" applyAlignment="1">
      <alignment horizontal="center" vertical="center"/>
    </xf>
    <xf numFmtId="0" fontId="47" fillId="2" borderId="0" xfId="0" applyFont="1" applyFill="1" applyAlignment="1">
      <alignment horizontal="left" wrapText="1"/>
    </xf>
    <xf numFmtId="4" fontId="35" fillId="6" borderId="40" xfId="0" applyNumberFormat="1" applyFont="1" applyFill="1" applyBorder="1" applyAlignment="1">
      <alignment horizontal="center"/>
    </xf>
    <xf numFmtId="2" fontId="5" fillId="2" borderId="40" xfId="0" applyNumberFormat="1" applyFont="1" applyFill="1" applyBorder="1" applyAlignment="1" applyProtection="1">
      <alignment horizontal="center" vertical="center"/>
      <protection locked="0"/>
    </xf>
    <xf numFmtId="0" fontId="35" fillId="2" borderId="9" xfId="0" applyFont="1" applyFill="1" applyBorder="1"/>
    <xf numFmtId="0" fontId="0" fillId="19" borderId="0" xfId="0" applyFill="1" applyAlignment="1">
      <alignment horizontal="center"/>
    </xf>
    <xf numFmtId="4" fontId="5" fillId="8" borderId="198" xfId="0" applyNumberFormat="1" applyFont="1" applyFill="1" applyBorder="1" applyAlignment="1" applyProtection="1">
      <alignment horizontal="right" indent="1"/>
      <protection locked="0"/>
    </xf>
    <xf numFmtId="0" fontId="0" fillId="8" borderId="198" xfId="0" applyFill="1" applyBorder="1"/>
    <xf numFmtId="4" fontId="62" fillId="8" borderId="198" xfId="0" applyNumberFormat="1" applyFont="1" applyFill="1" applyBorder="1"/>
    <xf numFmtId="0" fontId="62" fillId="8" borderId="198" xfId="0" applyFont="1" applyFill="1" applyBorder="1"/>
    <xf numFmtId="167" fontId="35" fillId="6" borderId="0" xfId="0" applyNumberFormat="1" applyFont="1" applyFill="1" applyAlignment="1">
      <alignment horizontal="center" vertical="center"/>
    </xf>
    <xf numFmtId="2" fontId="5" fillId="2" borderId="43" xfId="1" applyNumberFormat="1" applyFont="1" applyFill="1" applyBorder="1" applyAlignment="1" applyProtection="1">
      <alignment horizontal="center" vertical="center"/>
      <protection locked="0"/>
    </xf>
    <xf numFmtId="2" fontId="5" fillId="2" borderId="44" xfId="1" applyNumberFormat="1" applyFont="1" applyFill="1" applyBorder="1" applyAlignment="1" applyProtection="1">
      <alignment horizontal="center" vertical="center"/>
      <protection locked="0"/>
    </xf>
    <xf numFmtId="2" fontId="5" fillId="2" borderId="45" xfId="1" applyNumberFormat="1" applyFont="1" applyFill="1" applyBorder="1" applyAlignment="1" applyProtection="1">
      <alignment horizontal="center" vertical="center"/>
      <protection locked="0"/>
    </xf>
    <xf numFmtId="0" fontId="15" fillId="2" borderId="0" xfId="0" applyFont="1" applyFill="1" applyAlignment="1">
      <alignment horizontal="center" vertical="center"/>
    </xf>
    <xf numFmtId="0" fontId="15" fillId="2" borderId="0" xfId="0" applyFont="1" applyFill="1" applyAlignment="1">
      <alignment horizontal="left" vertical="center" wrapText="1"/>
    </xf>
    <xf numFmtId="0" fontId="31" fillId="0" borderId="43" xfId="0" applyFont="1" applyBorder="1" applyAlignment="1">
      <alignment horizontal="center" vertical="center"/>
    </xf>
    <xf numFmtId="0" fontId="31" fillId="0" borderId="44" xfId="0" applyFont="1" applyBorder="1" applyAlignment="1">
      <alignment horizontal="center" vertical="center"/>
    </xf>
    <xf numFmtId="0" fontId="31" fillId="0" borderId="45" xfId="0" applyFont="1" applyBorder="1" applyAlignment="1">
      <alignment horizontal="center" vertical="center"/>
    </xf>
    <xf numFmtId="4" fontId="5" fillId="2" borderId="43" xfId="0" applyNumberFormat="1" applyFont="1" applyFill="1" applyBorder="1" applyAlignment="1" applyProtection="1">
      <alignment horizontal="right" indent="1"/>
      <protection locked="0"/>
    </xf>
    <xf numFmtId="4" fontId="5" fillId="2" borderId="45" xfId="0" applyNumberFormat="1" applyFont="1" applyFill="1" applyBorder="1" applyAlignment="1" applyProtection="1">
      <alignment horizontal="right" indent="1"/>
      <protection locked="0"/>
    </xf>
    <xf numFmtId="4" fontId="5" fillId="2" borderId="43" xfId="0" applyNumberFormat="1" applyFont="1" applyFill="1" applyBorder="1" applyAlignment="1" applyProtection="1">
      <alignment horizontal="center"/>
      <protection locked="0"/>
    </xf>
    <xf numFmtId="4" fontId="5" fillId="2" borderId="45" xfId="0" applyNumberFormat="1" applyFont="1" applyFill="1" applyBorder="1" applyAlignment="1" applyProtection="1">
      <alignment horizontal="center"/>
      <protection locked="0"/>
    </xf>
    <xf numFmtId="4" fontId="35" fillId="6" borderId="61" xfId="0" applyNumberFormat="1" applyFont="1" applyFill="1" applyBorder="1" applyAlignment="1">
      <alignment horizontal="center"/>
    </xf>
    <xf numFmtId="173" fontId="35" fillId="6" borderId="1" xfId="1" applyNumberFormat="1" applyFont="1" applyFill="1" applyBorder="1" applyAlignment="1" applyProtection="1">
      <alignment horizontal="center"/>
      <protection locked="0"/>
    </xf>
    <xf numFmtId="173" fontId="35" fillId="6" borderId="3" xfId="1" applyNumberFormat="1" applyFont="1" applyFill="1" applyBorder="1" applyAlignment="1" applyProtection="1">
      <alignment horizontal="center"/>
      <protection locked="0"/>
    </xf>
    <xf numFmtId="4" fontId="35" fillId="6" borderId="64" xfId="0" applyNumberFormat="1" applyFont="1" applyFill="1" applyBorder="1" applyAlignment="1">
      <alignment horizontal="center"/>
    </xf>
    <xf numFmtId="3" fontId="5" fillId="0" borderId="1" xfId="0" applyNumberFormat="1" applyFont="1" applyBorder="1" applyAlignment="1" applyProtection="1">
      <alignment horizontal="center" vertical="center"/>
      <protection locked="0"/>
    </xf>
    <xf numFmtId="0" fontId="4" fillId="2" borderId="0" xfId="0" applyFont="1" applyFill="1" applyAlignment="1">
      <alignment vertical="justify" wrapText="1"/>
    </xf>
    <xf numFmtId="169" fontId="5" fillId="2" borderId="40" xfId="0" applyNumberFormat="1" applyFont="1" applyFill="1" applyBorder="1" applyAlignment="1" applyProtection="1">
      <alignment horizontal="right" vertical="center" indent="3"/>
      <protection locked="0"/>
    </xf>
    <xf numFmtId="2" fontId="64" fillId="6" borderId="43" xfId="0" applyNumberFormat="1" applyFont="1" applyFill="1" applyBorder="1" applyAlignment="1">
      <alignment horizontal="center"/>
    </xf>
    <xf numFmtId="2" fontId="64" fillId="6" borderId="45" xfId="0" applyNumberFormat="1" applyFont="1" applyFill="1" applyBorder="1" applyAlignment="1">
      <alignment horizontal="center"/>
    </xf>
    <xf numFmtId="4" fontId="35" fillId="6" borderId="37" xfId="0" applyNumberFormat="1" applyFont="1" applyFill="1" applyBorder="1" applyAlignment="1">
      <alignment horizontal="right" vertical="center" indent="3"/>
    </xf>
    <xf numFmtId="0" fontId="36" fillId="2" borderId="55" xfId="0" applyFont="1" applyFill="1" applyBorder="1" applyAlignment="1">
      <alignment horizontal="center"/>
    </xf>
    <xf numFmtId="4" fontId="5" fillId="6" borderId="43" xfId="0" applyNumberFormat="1" applyFont="1" applyFill="1" applyBorder="1" applyAlignment="1">
      <alignment horizontal="center"/>
    </xf>
    <xf numFmtId="4" fontId="5" fillId="6" borderId="44" xfId="0" applyNumberFormat="1" applyFont="1" applyFill="1" applyBorder="1" applyAlignment="1">
      <alignment horizontal="center"/>
    </xf>
    <xf numFmtId="4" fontId="5" fillId="6" borderId="45" xfId="0" applyNumberFormat="1" applyFont="1" applyFill="1" applyBorder="1" applyAlignment="1">
      <alignment horizontal="center"/>
    </xf>
    <xf numFmtId="169" fontId="8" fillId="2" borderId="43" xfId="0" applyNumberFormat="1" applyFont="1" applyFill="1" applyBorder="1" applyAlignment="1" applyProtection="1">
      <alignment horizontal="left" vertical="center"/>
      <protection locked="0"/>
    </xf>
    <xf numFmtId="169" fontId="8" fillId="2" borderId="44" xfId="0" applyNumberFormat="1" applyFont="1" applyFill="1" applyBorder="1" applyAlignment="1" applyProtection="1">
      <alignment horizontal="left" vertical="center"/>
      <protection locked="0"/>
    </xf>
    <xf numFmtId="169" fontId="8" fillId="2" borderId="45" xfId="0" applyNumberFormat="1" applyFont="1" applyFill="1" applyBorder="1" applyAlignment="1" applyProtection="1">
      <alignment horizontal="left" vertical="center"/>
      <protection locked="0"/>
    </xf>
    <xf numFmtId="4" fontId="35" fillId="6" borderId="43" xfId="0" applyNumberFormat="1" applyFont="1" applyFill="1" applyBorder="1" applyAlignment="1">
      <alignment horizontal="center" vertical="center"/>
    </xf>
    <xf numFmtId="4" fontId="35" fillId="6" borderId="44" xfId="0" applyNumberFormat="1" applyFont="1" applyFill="1" applyBorder="1" applyAlignment="1">
      <alignment horizontal="center" vertical="center"/>
    </xf>
    <xf numFmtId="4" fontId="35" fillId="6" borderId="45" xfId="0" applyNumberFormat="1" applyFont="1" applyFill="1" applyBorder="1" applyAlignment="1">
      <alignment horizontal="center" vertical="center"/>
    </xf>
    <xf numFmtId="4" fontId="35" fillId="6" borderId="111" xfId="0" applyNumberFormat="1" applyFont="1" applyFill="1" applyBorder="1" applyAlignment="1">
      <alignment horizontal="center" vertical="center"/>
    </xf>
    <xf numFmtId="4" fontId="35" fillId="6" borderId="98" xfId="0" applyNumberFormat="1" applyFont="1" applyFill="1" applyBorder="1" applyAlignment="1">
      <alignment horizontal="center" vertical="center"/>
    </xf>
    <xf numFmtId="4" fontId="35" fillId="6" borderId="101" xfId="0" applyNumberFormat="1" applyFont="1" applyFill="1" applyBorder="1" applyAlignment="1">
      <alignment horizontal="center" vertical="center"/>
    </xf>
    <xf numFmtId="4" fontId="35" fillId="0" borderId="40" xfId="0" applyNumberFormat="1" applyFont="1" applyBorder="1" applyAlignment="1">
      <alignment horizontal="center" vertical="center"/>
    </xf>
    <xf numFmtId="169" fontId="5" fillId="2" borderId="58" xfId="0" applyNumberFormat="1" applyFont="1" applyFill="1" applyBorder="1" applyAlignment="1" applyProtection="1">
      <alignment horizontal="center" vertical="center"/>
      <protection locked="0"/>
    </xf>
    <xf numFmtId="169" fontId="5" fillId="2" borderId="43" xfId="0" applyNumberFormat="1" applyFont="1" applyFill="1" applyBorder="1" applyAlignment="1" applyProtection="1">
      <alignment horizontal="left" vertical="center"/>
      <protection locked="0"/>
    </xf>
    <xf numFmtId="169" fontId="5" fillId="2" borderId="44" xfId="0" applyNumberFormat="1" applyFont="1" applyFill="1" applyBorder="1" applyAlignment="1" applyProtection="1">
      <alignment horizontal="left" vertical="center"/>
      <protection locked="0"/>
    </xf>
    <xf numFmtId="169" fontId="5" fillId="2" borderId="45" xfId="0" applyNumberFormat="1" applyFont="1" applyFill="1" applyBorder="1" applyAlignment="1" applyProtection="1">
      <alignment horizontal="left" vertical="center"/>
      <protection locked="0"/>
    </xf>
    <xf numFmtId="4" fontId="5" fillId="2" borderId="0" xfId="0" applyNumberFormat="1" applyFont="1" applyFill="1" applyAlignment="1">
      <alignment horizontal="left" vertical="center"/>
    </xf>
    <xf numFmtId="1" fontId="66" fillId="9" borderId="190" xfId="0" applyNumberFormat="1" applyFont="1" applyFill="1" applyBorder="1" applyAlignment="1">
      <alignment horizontal="center" vertical="center"/>
    </xf>
    <xf numFmtId="1" fontId="66" fillId="9" borderId="288" xfId="0" applyNumberFormat="1" applyFont="1" applyFill="1" applyBorder="1" applyAlignment="1">
      <alignment horizontal="center" vertical="center"/>
    </xf>
    <xf numFmtId="1" fontId="66" fillId="9" borderId="191" xfId="0" applyNumberFormat="1" applyFont="1" applyFill="1" applyBorder="1" applyAlignment="1">
      <alignment horizontal="center" vertical="center"/>
    </xf>
    <xf numFmtId="1" fontId="66" fillId="10" borderId="190" xfId="0" applyNumberFormat="1" applyFont="1" applyFill="1" applyBorder="1" applyAlignment="1">
      <alignment horizontal="center" vertical="center" textRotation="90" wrapText="1"/>
    </xf>
    <xf numFmtId="1" fontId="66" fillId="10" borderId="288" xfId="0" applyNumberFormat="1" applyFont="1" applyFill="1" applyBorder="1" applyAlignment="1">
      <alignment horizontal="center" vertical="center" textRotation="90" wrapText="1"/>
    </xf>
    <xf numFmtId="1" fontId="66" fillId="10" borderId="191" xfId="0" applyNumberFormat="1" applyFont="1" applyFill="1" applyBorder="1" applyAlignment="1">
      <alignment horizontal="center" vertical="center" textRotation="90" wrapText="1"/>
    </xf>
    <xf numFmtId="1" fontId="66" fillId="10" borderId="190" xfId="0" applyNumberFormat="1" applyFont="1" applyFill="1" applyBorder="1" applyAlignment="1">
      <alignment horizontal="center" vertical="center" wrapText="1"/>
    </xf>
    <xf numFmtId="1" fontId="66" fillId="10" borderId="288" xfId="0" applyNumberFormat="1" applyFont="1" applyFill="1" applyBorder="1" applyAlignment="1">
      <alignment horizontal="center" vertical="center" wrapText="1"/>
    </xf>
    <xf numFmtId="1" fontId="66" fillId="10" borderId="191" xfId="0" applyNumberFormat="1" applyFont="1" applyFill="1" applyBorder="1" applyAlignment="1">
      <alignment horizontal="center" vertical="center" wrapText="1"/>
    </xf>
    <xf numFmtId="0" fontId="71" fillId="0" borderId="174" xfId="0" applyFont="1" applyBorder="1" applyAlignment="1">
      <alignment horizontal="center" vertical="center"/>
    </xf>
    <xf numFmtId="177" fontId="74" fillId="0" borderId="177" xfId="0" applyNumberFormat="1" applyFont="1" applyBorder="1" applyAlignment="1">
      <alignment horizontal="left" vertical="center" wrapText="1"/>
    </xf>
    <xf numFmtId="177" fontId="74" fillId="0" borderId="177" xfId="0" applyNumberFormat="1" applyFont="1" applyBorder="1" applyAlignment="1">
      <alignment vertical="center" textRotation="90"/>
    </xf>
    <xf numFmtId="177" fontId="74" fillId="0" borderId="177" xfId="0" applyNumberFormat="1" applyFont="1" applyBorder="1" applyAlignment="1">
      <alignment vertical="center"/>
    </xf>
    <xf numFmtId="177" fontId="74" fillId="0" borderId="177" xfId="0" applyNumberFormat="1" applyFont="1" applyBorder="1" applyAlignment="1">
      <alignment horizontal="right" vertical="center"/>
    </xf>
    <xf numFmtId="177" fontId="75" fillId="0" borderId="177" xfId="0" applyNumberFormat="1" applyFont="1" applyBorder="1" applyAlignment="1">
      <alignment horizontal="right" vertical="center"/>
    </xf>
    <xf numFmtId="0" fontId="74" fillId="0" borderId="183" xfId="0" applyFont="1" applyBorder="1" applyAlignment="1">
      <alignment horizontal="justify" vertical="center" wrapText="1"/>
    </xf>
    <xf numFmtId="0" fontId="74" fillId="0" borderId="178" xfId="0" applyFont="1" applyBorder="1" applyAlignment="1">
      <alignment horizontal="justify" vertical="center" wrapText="1"/>
    </xf>
    <xf numFmtId="177" fontId="74" fillId="0" borderId="183" xfId="0" applyNumberFormat="1" applyFont="1" applyBorder="1" applyAlignment="1">
      <alignment vertical="center" textRotation="90"/>
    </xf>
    <xf numFmtId="177" fontId="74" fillId="0" borderId="178" xfId="0" applyNumberFormat="1" applyFont="1" applyBorder="1" applyAlignment="1">
      <alignment vertical="center" textRotation="90"/>
    </xf>
    <xf numFmtId="177" fontId="74" fillId="0" borderId="184" xfId="0" applyNumberFormat="1" applyFont="1" applyBorder="1" applyAlignment="1">
      <alignment vertical="center" textRotation="90"/>
    </xf>
    <xf numFmtId="177" fontId="74" fillId="0" borderId="183" xfId="0" applyNumberFormat="1" applyFont="1" applyBorder="1" applyAlignment="1">
      <alignment vertical="center"/>
    </xf>
    <xf numFmtId="177" fontId="74" fillId="0" borderId="178" xfId="0" applyNumberFormat="1" applyFont="1" applyBorder="1" applyAlignment="1">
      <alignment vertical="center"/>
    </xf>
    <xf numFmtId="177" fontId="74" fillId="0" borderId="184" xfId="0" applyNumberFormat="1" applyFont="1" applyBorder="1" applyAlignment="1">
      <alignment vertical="center"/>
    </xf>
    <xf numFmtId="177" fontId="74" fillId="0" borderId="190" xfId="0" applyNumberFormat="1" applyFont="1" applyBorder="1" applyAlignment="1">
      <alignment horizontal="right" vertical="center"/>
    </xf>
    <xf numFmtId="177" fontId="75" fillId="0" borderId="190" xfId="0" applyNumberFormat="1" applyFont="1" applyBorder="1" applyAlignment="1">
      <alignment horizontal="right" vertical="center"/>
    </xf>
    <xf numFmtId="177" fontId="74" fillId="0" borderId="174" xfId="0" applyNumberFormat="1" applyFont="1" applyBorder="1" applyAlignment="1">
      <alignment horizontal="justify" vertical="center" wrapText="1"/>
    </xf>
    <xf numFmtId="177" fontId="74" fillId="0" borderId="175" xfId="0" applyNumberFormat="1" applyFont="1" applyBorder="1" applyAlignment="1">
      <alignment horizontal="justify" vertical="center" wrapText="1"/>
    </xf>
    <xf numFmtId="177" fontId="74" fillId="0" borderId="174" xfId="0" applyNumberFormat="1" applyFont="1" applyBorder="1" applyAlignment="1">
      <alignment vertical="center" textRotation="90"/>
    </xf>
    <xf numFmtId="177" fontId="74" fillId="0" borderId="175" xfId="0" applyNumberFormat="1" applyFont="1" applyBorder="1" applyAlignment="1">
      <alignment vertical="center" textRotation="90"/>
    </xf>
    <xf numFmtId="177" fontId="74" fillId="0" borderId="176" xfId="0" applyNumberFormat="1" applyFont="1" applyBorder="1" applyAlignment="1">
      <alignment vertical="center" textRotation="90"/>
    </xf>
    <xf numFmtId="177" fontId="74" fillId="0" borderId="174" xfId="0" applyNumberFormat="1" applyFont="1" applyBorder="1" applyAlignment="1">
      <alignment vertical="center"/>
    </xf>
    <xf numFmtId="177" fontId="74" fillId="0" borderId="175" xfId="0" applyNumberFormat="1" applyFont="1" applyBorder="1" applyAlignment="1">
      <alignment vertical="center"/>
    </xf>
    <xf numFmtId="177" fontId="74" fillId="0" borderId="176" xfId="0" applyNumberFormat="1" applyFont="1" applyBorder="1" applyAlignment="1">
      <alignment vertical="center"/>
    </xf>
    <xf numFmtId="169" fontId="3" fillId="6" borderId="0" xfId="0" applyNumberFormat="1" applyFont="1" applyFill="1" applyAlignment="1">
      <alignment horizontal="center" vertical="center"/>
    </xf>
    <xf numFmtId="14" fontId="3" fillId="6" borderId="0" xfId="0" applyNumberFormat="1" applyFont="1" applyFill="1" applyAlignment="1">
      <alignment horizontal="center" vertical="center"/>
    </xf>
    <xf numFmtId="177" fontId="4" fillId="2" borderId="1" xfId="0" applyNumberFormat="1"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67" fillId="2" borderId="3" xfId="2" applyNumberFormat="1" applyFont="1" applyFill="1" applyBorder="1" applyAlignment="1" applyProtection="1">
      <alignment horizontal="center" vertical="center" wrapText="1"/>
      <protection locked="0"/>
    </xf>
    <xf numFmtId="0" fontId="24" fillId="2" borderId="4" xfId="0" applyFont="1" applyFill="1" applyBorder="1" applyAlignment="1" applyProtection="1">
      <alignment horizontal="center" vertical="center" wrapText="1"/>
      <protection locked="0"/>
    </xf>
    <xf numFmtId="0" fontId="24" fillId="2" borderId="5" xfId="0" applyFont="1" applyFill="1" applyBorder="1" applyAlignment="1" applyProtection="1">
      <alignment horizontal="center" vertical="center" wrapText="1"/>
      <protection locked="0"/>
    </xf>
    <xf numFmtId="0" fontId="24" fillId="2" borderId="3" xfId="0" applyFont="1" applyFill="1" applyBorder="1" applyAlignment="1" applyProtection="1">
      <alignment horizontal="center" vertical="center" wrapText="1"/>
      <protection locked="0"/>
    </xf>
    <xf numFmtId="0" fontId="24" fillId="2" borderId="1" xfId="0" applyFont="1" applyFill="1" applyBorder="1" applyAlignment="1" applyProtection="1">
      <alignment horizontal="center" vertical="center" wrapText="1"/>
      <protection locked="0"/>
    </xf>
    <xf numFmtId="0" fontId="4" fillId="8" borderId="1" xfId="0" applyFont="1" applyFill="1" applyBorder="1" applyAlignment="1" applyProtection="1">
      <alignment horizontal="center" vertical="center" wrapText="1"/>
      <protection locked="0"/>
    </xf>
    <xf numFmtId="15" fontId="4" fillId="8" borderId="1" xfId="0" applyNumberFormat="1" applyFont="1" applyFill="1" applyBorder="1" applyAlignment="1" applyProtection="1">
      <alignment horizontal="center" vertical="center" wrapText="1"/>
      <protection locked="0"/>
    </xf>
    <xf numFmtId="0" fontId="35" fillId="2" borderId="7" xfId="0" applyFont="1" applyFill="1" applyBorder="1" applyAlignment="1">
      <alignment horizontal="left" vertical="center"/>
    </xf>
    <xf numFmtId="0" fontId="35" fillId="6" borderId="3" xfId="0" applyFont="1" applyFill="1" applyBorder="1" applyAlignment="1">
      <alignment horizontal="center" vertical="center"/>
    </xf>
    <xf numFmtId="0" fontId="35" fillId="6" borderId="4" xfId="0" applyFont="1" applyFill="1" applyBorder="1" applyAlignment="1">
      <alignment horizontal="center" vertical="center"/>
    </xf>
    <xf numFmtId="0" fontId="35" fillId="6" borderId="5" xfId="0" applyFont="1" applyFill="1" applyBorder="1" applyAlignment="1">
      <alignment horizontal="center" vertical="center"/>
    </xf>
    <xf numFmtId="0" fontId="35" fillId="6" borderId="8" xfId="0" applyFont="1" applyFill="1" applyBorder="1" applyAlignment="1">
      <alignment horizontal="center" vertical="center" wrapText="1"/>
    </xf>
    <xf numFmtId="0" fontId="35" fillId="6" borderId="9" xfId="0" applyFont="1" applyFill="1" applyBorder="1" applyAlignment="1">
      <alignment horizontal="center" vertical="center" wrapText="1"/>
    </xf>
    <xf numFmtId="0" fontId="35" fillId="6" borderId="10" xfId="0" applyFont="1" applyFill="1" applyBorder="1" applyAlignment="1">
      <alignment horizontal="center" vertical="center" wrapText="1"/>
    </xf>
    <xf numFmtId="0" fontId="35" fillId="6" borderId="2" xfId="0" applyFont="1" applyFill="1" applyBorder="1" applyAlignment="1">
      <alignment horizontal="center" vertical="center" wrapText="1"/>
    </xf>
    <xf numFmtId="0" fontId="35" fillId="6" borderId="0" xfId="0" applyFont="1" applyFill="1" applyAlignment="1">
      <alignment horizontal="center" vertical="center" wrapText="1"/>
    </xf>
    <xf numFmtId="0" fontId="35" fillId="6" borderId="13" xfId="0" applyFont="1" applyFill="1" applyBorder="1" applyAlignment="1">
      <alignment horizontal="center" vertical="center" wrapText="1"/>
    </xf>
    <xf numFmtId="0" fontId="35" fillId="6" borderId="3" xfId="0" applyFont="1" applyFill="1" applyBorder="1" applyAlignment="1">
      <alignment horizontal="center" vertical="center" wrapText="1"/>
    </xf>
    <xf numFmtId="0" fontId="35" fillId="6" borderId="4" xfId="0" applyFont="1" applyFill="1" applyBorder="1" applyAlignment="1">
      <alignment horizontal="center" vertical="center" wrapText="1"/>
    </xf>
    <xf numFmtId="0" fontId="35" fillId="6" borderId="5" xfId="0" applyFont="1" applyFill="1" applyBorder="1" applyAlignment="1">
      <alignment horizontal="center" vertical="center" wrapText="1"/>
    </xf>
    <xf numFmtId="0" fontId="35" fillId="6" borderId="8" xfId="0" applyFont="1" applyFill="1" applyBorder="1" applyAlignment="1">
      <alignment horizontal="center" vertical="center"/>
    </xf>
    <xf numFmtId="0" fontId="35" fillId="6" borderId="10" xfId="0" applyFont="1" applyFill="1" applyBorder="1" applyAlignment="1">
      <alignment horizontal="center" vertical="center"/>
    </xf>
    <xf numFmtId="0" fontId="35" fillId="6" borderId="65" xfId="0" applyFont="1" applyFill="1" applyBorder="1" applyAlignment="1">
      <alignment horizontal="center" vertical="center" wrapText="1"/>
    </xf>
    <xf numFmtId="0" fontId="24" fillId="8" borderId="40" xfId="0" applyFont="1" applyFill="1" applyBorder="1" applyAlignment="1" applyProtection="1">
      <alignment horizontal="center" vertical="center"/>
      <protection locked="0"/>
    </xf>
    <xf numFmtId="4" fontId="24" fillId="2" borderId="40" xfId="0" applyNumberFormat="1" applyFont="1" applyFill="1" applyBorder="1" applyAlignment="1" applyProtection="1">
      <alignment horizontal="center" vertical="center"/>
      <protection locked="0"/>
    </xf>
    <xf numFmtId="4" fontId="24" fillId="8" borderId="40" xfId="0" applyNumberFormat="1" applyFont="1" applyFill="1" applyBorder="1" applyAlignment="1" applyProtection="1">
      <alignment horizontal="center" vertical="center"/>
      <protection locked="0"/>
    </xf>
    <xf numFmtId="0" fontId="35" fillId="6" borderId="21" xfId="0" applyFont="1" applyFill="1" applyBorder="1" applyAlignment="1">
      <alignment horizontal="center" vertical="center"/>
    </xf>
    <xf numFmtId="0" fontId="35" fillId="6" borderId="22" xfId="0" applyFont="1" applyFill="1" applyBorder="1" applyAlignment="1">
      <alignment horizontal="center" vertical="center"/>
    </xf>
    <xf numFmtId="0" fontId="35" fillId="6" borderId="23" xfId="0" applyFont="1" applyFill="1" applyBorder="1" applyAlignment="1">
      <alignment horizontal="center" vertical="center"/>
    </xf>
    <xf numFmtId="0" fontId="35" fillId="6" borderId="18" xfId="0" applyFont="1" applyFill="1" applyBorder="1" applyAlignment="1">
      <alignment horizontal="center" vertical="center"/>
    </xf>
    <xf numFmtId="0" fontId="35" fillId="6" borderId="19" xfId="0" applyFont="1" applyFill="1" applyBorder="1" applyAlignment="1">
      <alignment horizontal="center" vertical="center"/>
    </xf>
    <xf numFmtId="0" fontId="48" fillId="2" borderId="25" xfId="0" applyFont="1" applyFill="1" applyBorder="1" applyAlignment="1">
      <alignment horizontal="center" vertical="center"/>
    </xf>
    <xf numFmtId="0" fontId="48" fillId="2" borderId="0" xfId="0" applyFont="1" applyFill="1" applyAlignment="1">
      <alignment horizontal="center" vertical="center"/>
    </xf>
    <xf numFmtId="0" fontId="48" fillId="2" borderId="26" xfId="0" applyFont="1" applyFill="1" applyBorder="1" applyAlignment="1">
      <alignment horizontal="center" vertical="center"/>
    </xf>
    <xf numFmtId="169" fontId="48" fillId="2" borderId="25" xfId="0" applyNumberFormat="1" applyFont="1" applyFill="1" applyBorder="1" applyAlignment="1">
      <alignment horizontal="right" indent="1"/>
    </xf>
    <xf numFmtId="169" fontId="48" fillId="2" borderId="0" xfId="0" applyNumberFormat="1" applyFont="1" applyFill="1" applyAlignment="1">
      <alignment horizontal="right" indent="1"/>
    </xf>
    <xf numFmtId="169" fontId="48" fillId="2" borderId="26" xfId="0" applyNumberFormat="1" applyFont="1" applyFill="1" applyBorder="1" applyAlignment="1">
      <alignment horizontal="right" indent="1"/>
    </xf>
    <xf numFmtId="169" fontId="48" fillId="2" borderId="27" xfId="0" applyNumberFormat="1" applyFont="1" applyFill="1" applyBorder="1" applyAlignment="1">
      <alignment horizontal="right" indent="1"/>
    </xf>
    <xf numFmtId="0" fontId="48" fillId="7" borderId="28" xfId="0" applyFont="1" applyFill="1" applyBorder="1" applyAlignment="1">
      <alignment horizontal="center"/>
    </xf>
    <xf numFmtId="0" fontId="48" fillId="7" borderId="29" xfId="0" applyFont="1" applyFill="1" applyBorder="1" applyAlignment="1">
      <alignment horizontal="center"/>
    </xf>
    <xf numFmtId="0" fontId="48" fillId="7" borderId="30" xfId="0" applyFont="1" applyFill="1" applyBorder="1" applyAlignment="1">
      <alignment horizontal="center"/>
    </xf>
    <xf numFmtId="172" fontId="48" fillId="2" borderId="28" xfId="0" applyNumberFormat="1" applyFont="1" applyFill="1" applyBorder="1" applyAlignment="1">
      <alignment horizontal="right" indent="1"/>
    </xf>
    <xf numFmtId="172" fontId="48" fillId="2" borderId="29" xfId="0" applyNumberFormat="1" applyFont="1" applyFill="1" applyBorder="1" applyAlignment="1">
      <alignment horizontal="right" indent="1"/>
    </xf>
    <xf numFmtId="172" fontId="48" fillId="2" borderId="30" xfId="0" applyNumberFormat="1" applyFont="1" applyFill="1" applyBorder="1" applyAlignment="1">
      <alignment horizontal="right" indent="1"/>
    </xf>
    <xf numFmtId="172" fontId="48" fillId="2" borderId="31" xfId="0" applyNumberFormat="1" applyFont="1" applyFill="1" applyBorder="1" applyAlignment="1">
      <alignment horizontal="right" indent="1"/>
    </xf>
    <xf numFmtId="0" fontId="48" fillId="7" borderId="25" xfId="0" applyFont="1" applyFill="1" applyBorder="1" applyAlignment="1">
      <alignment horizontal="center"/>
    </xf>
    <xf numFmtId="0" fontId="48" fillId="7" borderId="0" xfId="0" applyFont="1" applyFill="1" applyAlignment="1">
      <alignment horizontal="center"/>
    </xf>
    <xf numFmtId="0" fontId="48" fillId="7" borderId="26" xfId="0" applyFont="1" applyFill="1" applyBorder="1" applyAlignment="1">
      <alignment horizontal="center"/>
    </xf>
    <xf numFmtId="172" fontId="48" fillId="2" borderId="25" xfId="0" applyNumberFormat="1" applyFont="1" applyFill="1" applyBorder="1" applyAlignment="1">
      <alignment horizontal="right" indent="1"/>
    </xf>
    <xf numFmtId="172" fontId="48" fillId="2" borderId="0" xfId="0" applyNumberFormat="1" applyFont="1" applyFill="1" applyAlignment="1">
      <alignment horizontal="right" indent="1"/>
    </xf>
    <xf numFmtId="172" fontId="48" fillId="2" borderId="26" xfId="0" applyNumberFormat="1" applyFont="1" applyFill="1" applyBorder="1" applyAlignment="1">
      <alignment horizontal="right" indent="1"/>
    </xf>
    <xf numFmtId="172" fontId="48" fillId="2" borderId="27" xfId="0" applyNumberFormat="1" applyFont="1" applyFill="1" applyBorder="1" applyAlignment="1">
      <alignment horizontal="right" indent="1"/>
    </xf>
    <xf numFmtId="0" fontId="35" fillId="6" borderId="40" xfId="0" applyFont="1" applyFill="1" applyBorder="1" applyAlignment="1">
      <alignment horizontal="center" wrapText="1"/>
    </xf>
    <xf numFmtId="0" fontId="48" fillId="7" borderId="33" xfId="0" applyFont="1" applyFill="1" applyBorder="1" applyAlignment="1">
      <alignment horizontal="center"/>
    </xf>
    <xf numFmtId="0" fontId="48" fillId="7" borderId="34" xfId="0" applyFont="1" applyFill="1" applyBorder="1" applyAlignment="1">
      <alignment horizontal="center"/>
    </xf>
    <xf numFmtId="0" fontId="48" fillId="7" borderId="35" xfId="0" applyFont="1" applyFill="1" applyBorder="1" applyAlignment="1">
      <alignment horizontal="center"/>
    </xf>
    <xf numFmtId="172" fontId="48" fillId="2" borderId="33" xfId="0" applyNumberFormat="1" applyFont="1" applyFill="1" applyBorder="1" applyAlignment="1">
      <alignment horizontal="right" indent="1"/>
    </xf>
    <xf numFmtId="172" fontId="48" fillId="2" borderId="34" xfId="0" applyNumberFormat="1" applyFont="1" applyFill="1" applyBorder="1" applyAlignment="1">
      <alignment horizontal="right" indent="1"/>
    </xf>
    <xf numFmtId="172" fontId="48" fillId="2" borderId="35" xfId="0" applyNumberFormat="1" applyFont="1" applyFill="1" applyBorder="1" applyAlignment="1">
      <alignment horizontal="right" indent="1"/>
    </xf>
    <xf numFmtId="172" fontId="48" fillId="2" borderId="36" xfId="0" applyNumberFormat="1" applyFont="1" applyFill="1" applyBorder="1" applyAlignment="1">
      <alignment horizontal="right" indent="1"/>
    </xf>
    <xf numFmtId="0" fontId="35" fillId="6" borderId="51" xfId="0" applyFont="1" applyFill="1" applyBorder="1" applyAlignment="1">
      <alignment horizontal="center" vertical="center"/>
    </xf>
    <xf numFmtId="0" fontId="35" fillId="6" borderId="52" xfId="0" applyFont="1" applyFill="1" applyBorder="1" applyAlignment="1">
      <alignment horizontal="center" vertical="center"/>
    </xf>
    <xf numFmtId="0" fontId="35" fillId="6" borderId="53" xfId="0" applyFont="1" applyFill="1" applyBorder="1" applyAlignment="1">
      <alignment horizontal="center" vertical="center"/>
    </xf>
    <xf numFmtId="0" fontId="35" fillId="6" borderId="54" xfId="0" applyFont="1" applyFill="1" applyBorder="1" applyAlignment="1">
      <alignment horizontal="center" vertical="center"/>
    </xf>
    <xf numFmtId="0" fontId="35" fillId="6" borderId="55" xfId="0" applyFont="1" applyFill="1" applyBorder="1" applyAlignment="1">
      <alignment horizontal="center" vertical="center"/>
    </xf>
    <xf numFmtId="0" fontId="35" fillId="6" borderId="56" xfId="0" applyFont="1" applyFill="1" applyBorder="1" applyAlignment="1">
      <alignment horizontal="center" vertical="center"/>
    </xf>
    <xf numFmtId="0" fontId="35" fillId="6" borderId="51" xfId="0" applyFont="1" applyFill="1" applyBorder="1" applyAlignment="1">
      <alignment horizontal="center" vertical="center" wrapText="1"/>
    </xf>
    <xf numFmtId="0" fontId="35" fillId="6" borderId="52"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5" fillId="6" borderId="54" xfId="0" applyFont="1" applyFill="1" applyBorder="1" applyAlignment="1">
      <alignment horizontal="center" vertical="center" wrapText="1"/>
    </xf>
    <xf numFmtId="0" fontId="35" fillId="6" borderId="55" xfId="0" applyFont="1" applyFill="1" applyBorder="1" applyAlignment="1">
      <alignment horizontal="center" vertical="center" wrapText="1"/>
    </xf>
    <xf numFmtId="0" fontId="35" fillId="6" borderId="56" xfId="0" applyFont="1" applyFill="1" applyBorder="1" applyAlignment="1">
      <alignment horizontal="center" vertical="center" wrapText="1"/>
    </xf>
    <xf numFmtId="0" fontId="21" fillId="2" borderId="51" xfId="0" applyFont="1" applyFill="1" applyBorder="1" applyAlignment="1" applyProtection="1">
      <alignment horizontal="left" vertical="center"/>
      <protection hidden="1"/>
    </xf>
    <xf numFmtId="0" fontId="21" fillId="2" borderId="52" xfId="0" applyFont="1" applyFill="1" applyBorder="1" applyAlignment="1" applyProtection="1">
      <alignment horizontal="left" vertical="center"/>
      <protection hidden="1"/>
    </xf>
    <xf numFmtId="0" fontId="21" fillId="2" borderId="53" xfId="0" applyFont="1" applyFill="1" applyBorder="1" applyAlignment="1" applyProtection="1">
      <alignment horizontal="left" vertical="center"/>
      <protection hidden="1"/>
    </xf>
    <xf numFmtId="0" fontId="39" fillId="4" borderId="66" xfId="0" applyFont="1" applyFill="1" applyBorder="1" applyAlignment="1">
      <alignment horizontal="center" vertical="center"/>
    </xf>
    <xf numFmtId="0" fontId="39" fillId="4" borderId="67" xfId="0" applyFont="1" applyFill="1" applyBorder="1" applyAlignment="1">
      <alignment horizontal="center" vertical="center"/>
    </xf>
    <xf numFmtId="0" fontId="39" fillId="4" borderId="68" xfId="0" applyFont="1" applyFill="1" applyBorder="1" applyAlignment="1">
      <alignment horizontal="center" vertical="center"/>
    </xf>
    <xf numFmtId="0" fontId="35" fillId="6" borderId="0" xfId="0" applyFont="1" applyFill="1" applyAlignment="1">
      <alignment vertical="center"/>
    </xf>
    <xf numFmtId="169" fontId="5" fillId="2" borderId="40" xfId="0" applyNumberFormat="1" applyFont="1" applyFill="1" applyBorder="1" applyAlignment="1">
      <alignment vertical="center"/>
    </xf>
    <xf numFmtId="169" fontId="5" fillId="2" borderId="43" xfId="0" applyNumberFormat="1" applyFont="1" applyFill="1" applyBorder="1" applyAlignment="1">
      <alignment horizontal="center" vertical="center"/>
    </xf>
    <xf numFmtId="169" fontId="5" fillId="2" borderId="45" xfId="0" applyNumberFormat="1" applyFont="1" applyFill="1" applyBorder="1" applyAlignment="1">
      <alignment horizontal="center" vertical="center"/>
    </xf>
    <xf numFmtId="169" fontId="5" fillId="2" borderId="44" xfId="0" applyNumberFormat="1" applyFont="1" applyFill="1" applyBorder="1" applyAlignment="1">
      <alignment horizontal="center" vertical="center"/>
    </xf>
    <xf numFmtId="0" fontId="21" fillId="0" borderId="54" xfId="0" applyFont="1" applyBorder="1" applyAlignment="1" applyProtection="1">
      <alignment horizontal="left" vertical="center"/>
      <protection hidden="1"/>
    </xf>
    <xf numFmtId="0" fontId="21" fillId="0" borderId="55" xfId="0" applyFont="1" applyBorder="1" applyAlignment="1" applyProtection="1">
      <alignment horizontal="left" vertical="center"/>
      <protection hidden="1"/>
    </xf>
    <xf numFmtId="0" fontId="21" fillId="0" borderId="56" xfId="0" applyFont="1" applyBorder="1" applyAlignment="1" applyProtection="1">
      <alignment horizontal="left" vertical="center"/>
      <protection hidden="1"/>
    </xf>
    <xf numFmtId="0" fontId="0" fillId="2" borderId="51" xfId="0" applyFill="1" applyBorder="1" applyAlignment="1">
      <alignment horizontal="left" vertical="top"/>
    </xf>
    <xf numFmtId="0" fontId="0" fillId="2" borderId="52" xfId="0" applyFill="1" applyBorder="1" applyAlignment="1">
      <alignment horizontal="left" vertical="top"/>
    </xf>
    <xf numFmtId="0" fontId="0" fillId="2" borderId="53" xfId="0" applyFill="1" applyBorder="1" applyAlignment="1">
      <alignment horizontal="left" vertical="top"/>
    </xf>
    <xf numFmtId="0" fontId="0" fillId="2" borderId="50" xfId="0" applyFill="1" applyBorder="1" applyAlignment="1">
      <alignment horizontal="left" vertical="top"/>
    </xf>
    <xf numFmtId="0" fontId="0" fillId="2" borderId="0" xfId="0" applyFill="1" applyAlignment="1">
      <alignment horizontal="left" vertical="top"/>
    </xf>
    <xf numFmtId="0" fontId="0" fillId="2" borderId="49" xfId="0" applyFill="1" applyBorder="1" applyAlignment="1">
      <alignment horizontal="left" vertical="top"/>
    </xf>
    <xf numFmtId="0" fontId="0" fillId="2" borderId="54" xfId="0" applyFill="1" applyBorder="1" applyAlignment="1">
      <alignment horizontal="left" vertical="top"/>
    </xf>
    <xf numFmtId="0" fontId="0" fillId="2" borderId="55" xfId="0" applyFill="1" applyBorder="1" applyAlignment="1">
      <alignment horizontal="left" vertical="top"/>
    </xf>
    <xf numFmtId="0" fontId="0" fillId="2" borderId="56" xfId="0" applyFill="1" applyBorder="1" applyAlignment="1">
      <alignment horizontal="left" vertical="top"/>
    </xf>
    <xf numFmtId="0" fontId="35" fillId="2" borderId="43" xfId="0" applyFont="1" applyFill="1" applyBorder="1" applyAlignment="1">
      <alignment vertical="top"/>
    </xf>
    <xf numFmtId="0" fontId="35" fillId="2" borderId="44" xfId="0" applyFont="1" applyFill="1" applyBorder="1" applyAlignment="1">
      <alignment vertical="top"/>
    </xf>
    <xf numFmtId="0" fontId="35" fillId="2" borderId="45" xfId="0" applyFont="1" applyFill="1" applyBorder="1" applyAlignment="1">
      <alignment vertical="top"/>
    </xf>
    <xf numFmtId="0" fontId="6" fillId="0" borderId="54" xfId="0" applyFont="1" applyBorder="1" applyAlignment="1">
      <alignment horizontal="center" vertical="top" wrapText="1"/>
    </xf>
    <xf numFmtId="0" fontId="6" fillId="0" borderId="55" xfId="0" applyFont="1" applyBorder="1" applyAlignment="1">
      <alignment horizontal="center" vertical="top" wrapText="1"/>
    </xf>
    <xf numFmtId="0" fontId="6" fillId="0" borderId="56" xfId="0" applyFont="1" applyBorder="1" applyAlignment="1">
      <alignment horizontal="center" vertical="top" wrapText="1"/>
    </xf>
    <xf numFmtId="0" fontId="6" fillId="0" borderId="43" xfId="0" applyFont="1" applyBorder="1" applyAlignment="1">
      <alignment horizontal="center" vertical="top" wrapText="1"/>
    </xf>
    <xf numFmtId="0" fontId="6" fillId="0" borderId="44" xfId="0" applyFont="1" applyBorder="1" applyAlignment="1">
      <alignment horizontal="center" vertical="top" wrapText="1"/>
    </xf>
    <xf numFmtId="0" fontId="6" fillId="0" borderId="45" xfId="0" applyFont="1" applyBorder="1" applyAlignment="1">
      <alignment horizontal="center" vertical="top" wrapText="1"/>
    </xf>
    <xf numFmtId="168" fontId="36" fillId="2" borderId="0" xfId="0" applyNumberFormat="1" applyFont="1" applyFill="1" applyAlignment="1">
      <alignment vertical="center"/>
    </xf>
    <xf numFmtId="0" fontId="35" fillId="6" borderId="111" xfId="0" applyFont="1" applyFill="1" applyBorder="1" applyAlignment="1">
      <alignment horizontal="center" vertical="center"/>
    </xf>
    <xf numFmtId="0" fontId="35" fillId="6" borderId="98" xfId="0" applyFont="1" applyFill="1" applyBorder="1" applyAlignment="1">
      <alignment horizontal="center" vertical="center"/>
    </xf>
    <xf numFmtId="0" fontId="35" fillId="6" borderId="94" xfId="0" applyFont="1" applyFill="1" applyBorder="1" applyAlignment="1">
      <alignment horizontal="center" vertical="center"/>
    </xf>
    <xf numFmtId="0" fontId="35" fillId="6" borderId="95" xfId="0" applyFont="1" applyFill="1" applyBorder="1" applyAlignment="1">
      <alignment horizontal="center" vertical="center"/>
    </xf>
    <xf numFmtId="0" fontId="35" fillId="6" borderId="102" xfId="0" applyFont="1" applyFill="1" applyBorder="1" applyAlignment="1">
      <alignment horizontal="center" vertical="center"/>
    </xf>
    <xf numFmtId="0" fontId="35" fillId="6" borderId="101" xfId="0" applyFont="1" applyFill="1" applyBorder="1" applyAlignment="1">
      <alignment horizontal="center" vertical="center"/>
    </xf>
    <xf numFmtId="168" fontId="36" fillId="2" borderId="0" xfId="0" applyNumberFormat="1" applyFont="1" applyFill="1" applyAlignment="1">
      <alignment horizontal="left" vertical="center" indent="2"/>
    </xf>
    <xf numFmtId="4" fontId="5" fillId="2" borderId="111" xfId="0" applyNumberFormat="1" applyFont="1" applyFill="1" applyBorder="1" applyAlignment="1">
      <alignment horizontal="center" vertical="center"/>
    </xf>
    <xf numFmtId="4" fontId="5" fillId="2" borderId="98" xfId="0" applyNumberFormat="1" applyFont="1" applyFill="1" applyBorder="1" applyAlignment="1">
      <alignment horizontal="center" vertical="center"/>
    </xf>
    <xf numFmtId="169" fontId="36" fillId="2" borderId="94" xfId="0" applyNumberFormat="1" applyFont="1" applyFill="1" applyBorder="1" applyAlignment="1">
      <alignment horizontal="center" vertical="justify"/>
    </xf>
    <xf numFmtId="169" fontId="36" fillId="2" borderId="95" xfId="0" applyNumberFormat="1" applyFont="1" applyFill="1" applyBorder="1" applyAlignment="1">
      <alignment horizontal="center" vertical="justify"/>
    </xf>
    <xf numFmtId="169" fontId="36" fillId="2" borderId="102" xfId="0" applyNumberFormat="1" applyFont="1" applyFill="1" applyBorder="1" applyAlignment="1">
      <alignment horizontal="center" vertical="justify"/>
    </xf>
    <xf numFmtId="169" fontId="36" fillId="2" borderId="98" xfId="0" applyNumberFormat="1" applyFont="1" applyFill="1" applyBorder="1" applyAlignment="1">
      <alignment horizontal="center" vertical="center"/>
    </xf>
    <xf numFmtId="169" fontId="36" fillId="2" borderId="101" xfId="0" applyNumberFormat="1" applyFont="1" applyFill="1" applyBorder="1" applyAlignment="1">
      <alignment horizontal="center" vertical="center"/>
    </xf>
    <xf numFmtId="4" fontId="5" fillId="2" borderId="118" xfId="0" applyNumberFormat="1" applyFont="1" applyFill="1" applyBorder="1" applyAlignment="1">
      <alignment horizontal="center" vertical="center"/>
    </xf>
    <xf numFmtId="4" fontId="5" fillId="2" borderId="119" xfId="0" applyNumberFormat="1" applyFont="1" applyFill="1" applyBorder="1" applyAlignment="1">
      <alignment horizontal="center" vertical="center"/>
    </xf>
    <xf numFmtId="0" fontId="8" fillId="2" borderId="0" xfId="0" applyFont="1" applyFill="1" applyAlignment="1">
      <alignment vertical="top"/>
    </xf>
    <xf numFmtId="0" fontId="5" fillId="6" borderId="0" xfId="0" applyFont="1" applyFill="1" applyAlignment="1" applyProtection="1">
      <alignment vertical="top"/>
      <protection locked="0"/>
    </xf>
    <xf numFmtId="0" fontId="5" fillId="6" borderId="0" xfId="0" applyFont="1" applyFill="1" applyAlignment="1">
      <alignment vertical="center"/>
    </xf>
    <xf numFmtId="0" fontId="47" fillId="7" borderId="111" xfId="0" applyFont="1" applyFill="1" applyBorder="1" applyAlignment="1" applyProtection="1">
      <alignment horizontal="center" vertical="center"/>
      <protection locked="0"/>
    </xf>
    <xf numFmtId="0" fontId="47" fillId="7" borderId="98" xfId="0" applyFont="1" applyFill="1" applyBorder="1" applyAlignment="1" applyProtection="1">
      <alignment horizontal="center" vertical="center"/>
      <protection locked="0"/>
    </xf>
    <xf numFmtId="0" fontId="47" fillId="7" borderId="101" xfId="0" applyFont="1" applyFill="1" applyBorder="1" applyAlignment="1" applyProtection="1">
      <alignment horizontal="center" vertical="center"/>
      <protection locked="0"/>
    </xf>
    <xf numFmtId="0" fontId="8" fillId="2" borderId="40" xfId="0" applyFont="1" applyFill="1" applyBorder="1" applyAlignment="1">
      <alignment vertical="center"/>
    </xf>
    <xf numFmtId="10" fontId="8" fillId="2" borderId="40" xfId="1" applyNumberFormat="1" applyFont="1" applyFill="1" applyBorder="1" applyAlignment="1" applyProtection="1">
      <alignment horizontal="center" vertical="center"/>
      <protection locked="0"/>
    </xf>
    <xf numFmtId="4" fontId="8" fillId="2" borderId="40" xfId="0" applyNumberFormat="1" applyFont="1" applyFill="1" applyBorder="1" applyAlignment="1">
      <alignment horizontal="center" vertical="center"/>
    </xf>
    <xf numFmtId="172" fontId="57" fillId="7" borderId="111" xfId="0" applyNumberFormat="1" applyFont="1" applyFill="1" applyBorder="1" applyAlignment="1">
      <alignment horizontal="center" vertical="center"/>
    </xf>
    <xf numFmtId="172" fontId="57" fillId="7" borderId="98" xfId="0" applyNumberFormat="1" applyFont="1" applyFill="1" applyBorder="1" applyAlignment="1">
      <alignment horizontal="center" vertical="center"/>
    </xf>
    <xf numFmtId="172" fontId="57" fillId="7" borderId="101" xfId="0" applyNumberFormat="1" applyFont="1" applyFill="1" applyBorder="1" applyAlignment="1">
      <alignment horizontal="center" vertical="center"/>
    </xf>
    <xf numFmtId="170" fontId="35" fillId="2" borderId="111" xfId="0" applyNumberFormat="1" applyFont="1" applyFill="1" applyBorder="1" applyAlignment="1">
      <alignment horizontal="center" vertical="center" wrapText="1"/>
    </xf>
    <xf numFmtId="170" fontId="35" fillId="2" borderId="101" xfId="0" applyNumberFormat="1" applyFont="1" applyFill="1" applyBorder="1" applyAlignment="1">
      <alignment horizontal="center" vertical="center" wrapText="1"/>
    </xf>
    <xf numFmtId="170" fontId="35" fillId="2" borderId="98" xfId="0" applyNumberFormat="1" applyFont="1" applyFill="1" applyBorder="1" applyAlignment="1">
      <alignment horizontal="center" vertical="center" wrapText="1"/>
    </xf>
    <xf numFmtId="172" fontId="57" fillId="7" borderId="111" xfId="0" applyNumberFormat="1" applyFont="1" applyFill="1" applyBorder="1" applyAlignment="1">
      <alignment horizontal="right" vertical="center" indent="2"/>
    </xf>
    <xf numFmtId="172" fontId="57" fillId="7" borderId="98" xfId="0" applyNumberFormat="1" applyFont="1" applyFill="1" applyBorder="1" applyAlignment="1">
      <alignment horizontal="right" vertical="center" indent="2"/>
    </xf>
    <xf numFmtId="172" fontId="57" fillId="7" borderId="101" xfId="0" applyNumberFormat="1" applyFont="1" applyFill="1" applyBorder="1" applyAlignment="1">
      <alignment horizontal="right" vertical="center" indent="2"/>
    </xf>
    <xf numFmtId="174" fontId="57" fillId="7" borderId="111" xfId="0" applyNumberFormat="1" applyFont="1" applyFill="1" applyBorder="1" applyAlignment="1">
      <alignment horizontal="right" vertical="center" indent="2"/>
    </xf>
    <xf numFmtId="174" fontId="57" fillId="7" borderId="98" xfId="0" applyNumberFormat="1" applyFont="1" applyFill="1" applyBorder="1" applyAlignment="1">
      <alignment horizontal="right" vertical="center" indent="2"/>
    </xf>
    <xf numFmtId="174" fontId="57" fillId="7" borderId="101" xfId="0" applyNumberFormat="1" applyFont="1" applyFill="1" applyBorder="1" applyAlignment="1">
      <alignment horizontal="right" vertical="center" indent="2"/>
    </xf>
    <xf numFmtId="0" fontId="8" fillId="2" borderId="0" xfId="0" applyFont="1" applyFill="1" applyAlignment="1">
      <alignment vertical="top" wrapText="1"/>
    </xf>
    <xf numFmtId="10" fontId="35" fillId="6" borderId="40" xfId="1" applyNumberFormat="1" applyFont="1" applyFill="1" applyBorder="1" applyAlignment="1" applyProtection="1">
      <alignment horizontal="center" vertical="center"/>
      <protection locked="0"/>
    </xf>
    <xf numFmtId="172" fontId="35" fillId="6" borderId="40" xfId="1" applyNumberFormat="1" applyFont="1" applyFill="1" applyBorder="1" applyAlignment="1" applyProtection="1">
      <alignment horizontal="center" vertical="center"/>
      <protection locked="0"/>
    </xf>
    <xf numFmtId="0" fontId="57" fillId="7" borderId="111" xfId="0" applyFont="1" applyFill="1" applyBorder="1" applyAlignment="1">
      <alignment horizontal="center" vertical="center"/>
    </xf>
    <xf numFmtId="0" fontId="57" fillId="7" borderId="98" xfId="0" applyFont="1" applyFill="1" applyBorder="1" applyAlignment="1">
      <alignment horizontal="center" vertical="center"/>
    </xf>
    <xf numFmtId="0" fontId="57" fillId="7" borderId="101" xfId="0" applyFont="1" applyFill="1" applyBorder="1" applyAlignment="1">
      <alignment horizontal="center" vertical="center"/>
    </xf>
    <xf numFmtId="0" fontId="6" fillId="0" borderId="51" xfId="0" applyFont="1" applyBorder="1" applyAlignment="1" applyProtection="1">
      <alignment horizontal="center" vertical="top" wrapText="1"/>
      <protection locked="0"/>
    </xf>
    <xf numFmtId="0" fontId="6" fillId="0" borderId="52" xfId="0" applyFont="1" applyBorder="1" applyAlignment="1" applyProtection="1">
      <alignment horizontal="center" vertical="top" wrapText="1"/>
      <protection locked="0"/>
    </xf>
    <xf numFmtId="0" fontId="6" fillId="0" borderId="53" xfId="0" applyFont="1" applyBorder="1" applyAlignment="1" applyProtection="1">
      <alignment horizontal="center" vertical="top" wrapText="1"/>
      <protection locked="0"/>
    </xf>
    <xf numFmtId="0" fontId="35" fillId="2" borderId="50" xfId="0" applyFont="1" applyFill="1" applyBorder="1" applyAlignment="1">
      <alignment vertical="top"/>
    </xf>
    <xf numFmtId="0" fontId="35" fillId="2" borderId="49" xfId="0" applyFont="1" applyFill="1" applyBorder="1" applyAlignment="1">
      <alignment vertical="top"/>
    </xf>
    <xf numFmtId="0" fontId="6" fillId="2" borderId="43" xfId="0" applyFont="1" applyFill="1" applyBorder="1" applyAlignment="1">
      <alignment horizontal="center" vertical="top" wrapText="1"/>
    </xf>
    <xf numFmtId="0" fontId="6" fillId="2" borderId="44" xfId="0" applyFont="1" applyFill="1" applyBorder="1" applyAlignment="1">
      <alignment horizontal="center" vertical="top" wrapText="1"/>
    </xf>
    <xf numFmtId="0" fontId="6" fillId="2" borderId="45" xfId="0" applyFont="1" applyFill="1" applyBorder="1" applyAlignment="1">
      <alignment horizontal="center" vertical="top" wrapText="1"/>
    </xf>
    <xf numFmtId="0" fontId="32" fillId="0" borderId="277" xfId="12" applyBorder="1" applyAlignment="1">
      <alignment horizontal="center"/>
    </xf>
    <xf numFmtId="0" fontId="32" fillId="0" borderId="278" xfId="12" applyBorder="1" applyAlignment="1">
      <alignment horizontal="center"/>
    </xf>
    <xf numFmtId="0" fontId="32" fillId="0" borderId="279" xfId="12" applyBorder="1" applyAlignment="1">
      <alignment horizontal="center"/>
    </xf>
    <xf numFmtId="0" fontId="32" fillId="0" borderId="280" xfId="12" applyBorder="1" applyAlignment="1">
      <alignment horizontal="center"/>
    </xf>
    <xf numFmtId="0" fontId="32" fillId="0" borderId="281" xfId="12" applyBorder="1" applyAlignment="1">
      <alignment horizontal="center"/>
    </xf>
    <xf numFmtId="0" fontId="32" fillId="0" borderId="282" xfId="12" applyBorder="1" applyAlignment="1">
      <alignment horizontal="center"/>
    </xf>
    <xf numFmtId="0" fontId="32" fillId="0" borderId="283" xfId="12" applyBorder="1" applyAlignment="1">
      <alignment horizontal="center"/>
    </xf>
    <xf numFmtId="0" fontId="32" fillId="0" borderId="284" xfId="12" applyBorder="1" applyAlignment="1">
      <alignment horizontal="center"/>
    </xf>
    <xf numFmtId="0" fontId="70" fillId="9" borderId="274" xfId="12" applyFont="1" applyFill="1" applyBorder="1" applyAlignment="1">
      <alignment horizontal="left"/>
    </xf>
    <xf numFmtId="165" fontId="70" fillId="9" borderId="274" xfId="12" applyNumberFormat="1" applyFont="1" applyFill="1" applyBorder="1" applyAlignment="1">
      <alignment horizontal="center"/>
    </xf>
    <xf numFmtId="0" fontId="70" fillId="9" borderId="274" xfId="12" applyFont="1" applyFill="1" applyBorder="1" applyAlignment="1">
      <alignment horizontal="center"/>
    </xf>
    <xf numFmtId="0" fontId="32" fillId="0" borderId="0" xfId="12" quotePrefix="1" applyAlignment="1">
      <alignment horizontal="center"/>
    </xf>
    <xf numFmtId="179" fontId="75" fillId="0" borderId="0" xfId="12" applyNumberFormat="1" applyFont="1" applyAlignment="1">
      <alignment horizontal="left"/>
    </xf>
    <xf numFmtId="0" fontId="32" fillId="9" borderId="285" xfId="12" applyFill="1" applyBorder="1" applyAlignment="1">
      <alignment horizontal="center" wrapText="1"/>
    </xf>
    <xf numFmtId="0" fontId="32" fillId="9" borderId="286" xfId="12" applyFill="1" applyBorder="1" applyAlignment="1">
      <alignment horizontal="center" wrapText="1"/>
    </xf>
    <xf numFmtId="183" fontId="70" fillId="9" borderId="286" xfId="12" applyNumberFormat="1" applyFont="1" applyFill="1" applyBorder="1" applyAlignment="1">
      <alignment horizontal="center"/>
    </xf>
    <xf numFmtId="0" fontId="32" fillId="9" borderId="286" xfId="12" applyFill="1" applyBorder="1" applyAlignment="1">
      <alignment horizontal="center"/>
    </xf>
    <xf numFmtId="0" fontId="32" fillId="9" borderId="287" xfId="12" applyFill="1" applyBorder="1" applyAlignment="1">
      <alignment horizontal="center"/>
    </xf>
    <xf numFmtId="2" fontId="32" fillId="0" borderId="175" xfId="12" applyNumberFormat="1" applyBorder="1" applyAlignment="1">
      <alignment horizontal="center"/>
    </xf>
    <xf numFmtId="0" fontId="32" fillId="0" borderId="175" xfId="12" applyBorder="1" applyAlignment="1">
      <alignment horizontal="center"/>
    </xf>
    <xf numFmtId="176" fontId="32" fillId="0" borderId="175" xfId="12" applyNumberFormat="1" applyBorder="1" applyAlignment="1">
      <alignment horizontal="center"/>
    </xf>
    <xf numFmtId="165" fontId="32" fillId="0" borderId="175" xfId="12" applyNumberFormat="1" applyBorder="1" applyAlignment="1">
      <alignment horizontal="center"/>
    </xf>
    <xf numFmtId="177" fontId="74" fillId="0" borderId="174" xfId="12" applyNumberFormat="1" applyFont="1" applyBorder="1" applyAlignment="1">
      <alignment horizontal="justify" vertical="center"/>
    </xf>
    <xf numFmtId="177" fontId="74" fillId="0" borderId="175" xfId="12" applyNumberFormat="1" applyFont="1" applyBorder="1" applyAlignment="1">
      <alignment horizontal="justify" vertical="center"/>
    </xf>
    <xf numFmtId="177" fontId="74" fillId="0" borderId="176" xfId="12" applyNumberFormat="1" applyFont="1" applyBorder="1" applyAlignment="1">
      <alignment horizontal="justify" vertical="center"/>
    </xf>
    <xf numFmtId="0" fontId="32" fillId="8" borderId="0" xfId="12" applyFill="1" applyAlignment="1">
      <alignment horizontal="justify" vertical="center" wrapText="1"/>
    </xf>
    <xf numFmtId="0" fontId="32" fillId="8" borderId="0" xfId="12" applyFill="1" applyAlignment="1">
      <alignment horizontal="justify" vertical="center"/>
    </xf>
    <xf numFmtId="2" fontId="74" fillId="0" borderId="177" xfId="14" applyNumberFormat="1" applyFont="1" applyBorder="1" applyAlignment="1">
      <alignment horizontal="center" vertical="center" wrapText="1"/>
    </xf>
    <xf numFmtId="2" fontId="74" fillId="0" borderId="177" xfId="14" applyNumberFormat="1" applyFont="1" applyBorder="1" applyAlignment="1">
      <alignment horizontal="center" vertical="center"/>
    </xf>
    <xf numFmtId="2" fontId="75" fillId="0" borderId="177" xfId="14" applyNumberFormat="1" applyFont="1" applyBorder="1" applyAlignment="1">
      <alignment horizontal="center" vertical="center"/>
    </xf>
    <xf numFmtId="1" fontId="74" fillId="0" borderId="273" xfId="12" applyNumberFormat="1" applyFont="1" applyBorder="1" applyAlignment="1">
      <alignment horizontal="justify" vertical="center"/>
    </xf>
    <xf numFmtId="1" fontId="74" fillId="0" borderId="274" xfId="12" applyNumberFormat="1" applyFont="1" applyBorder="1" applyAlignment="1">
      <alignment horizontal="justify" vertical="center"/>
    </xf>
    <xf numFmtId="1" fontId="74" fillId="0" borderId="275" xfId="12" applyNumberFormat="1" applyFont="1" applyBorder="1" applyAlignment="1">
      <alignment horizontal="justify" vertical="center"/>
    </xf>
    <xf numFmtId="177" fontId="74" fillId="0" borderId="273" xfId="12" applyNumberFormat="1" applyFont="1" applyBorder="1" applyAlignment="1">
      <alignment horizontal="justify" vertical="center"/>
    </xf>
    <xf numFmtId="177" fontId="74" fillId="0" borderId="274" xfId="12" applyNumberFormat="1" applyFont="1" applyBorder="1" applyAlignment="1">
      <alignment horizontal="justify" vertical="center"/>
    </xf>
    <xf numFmtId="177" fontId="74" fillId="0" borderId="275" xfId="12" applyNumberFormat="1" applyFont="1" applyBorder="1" applyAlignment="1">
      <alignment horizontal="justify" vertical="center"/>
    </xf>
    <xf numFmtId="2" fontId="74" fillId="0" borderId="276" xfId="14" applyNumberFormat="1" applyFont="1" applyBorder="1" applyAlignment="1">
      <alignment horizontal="center" vertical="center" wrapText="1"/>
    </xf>
    <xf numFmtId="2" fontId="74" fillId="0" borderId="276" xfId="14" applyNumberFormat="1" applyFont="1" applyBorder="1" applyAlignment="1">
      <alignment horizontal="center" vertical="center"/>
    </xf>
    <xf numFmtId="2" fontId="75" fillId="0" borderId="276" xfId="14" applyNumberFormat="1" applyFont="1" applyBorder="1" applyAlignment="1">
      <alignment horizontal="center" vertical="center"/>
    </xf>
    <xf numFmtId="1" fontId="74" fillId="0" borderId="174" xfId="12" applyNumberFormat="1" applyFont="1" applyBorder="1" applyAlignment="1">
      <alignment horizontal="justify" vertical="center"/>
    </xf>
    <xf numFmtId="1" fontId="74" fillId="0" borderId="175" xfId="12" applyNumberFormat="1" applyFont="1" applyBorder="1" applyAlignment="1">
      <alignment horizontal="justify" vertical="center"/>
    </xf>
    <xf numFmtId="1" fontId="74" fillId="0" borderId="176" xfId="12" applyNumberFormat="1" applyFont="1" applyBorder="1" applyAlignment="1">
      <alignment horizontal="justify" vertical="center"/>
    </xf>
    <xf numFmtId="1" fontId="66" fillId="10" borderId="174" xfId="12" applyNumberFormat="1" applyFont="1" applyFill="1" applyBorder="1" applyAlignment="1">
      <alignment horizontal="center" vertical="center" wrapText="1"/>
    </xf>
    <xf numFmtId="1" fontId="66" fillId="10" borderId="175" xfId="12" applyNumberFormat="1" applyFont="1" applyFill="1" applyBorder="1" applyAlignment="1">
      <alignment horizontal="center" vertical="center" wrapText="1"/>
    </xf>
    <xf numFmtId="1" fontId="66" fillId="10" borderId="176" xfId="12" applyNumberFormat="1" applyFont="1" applyFill="1" applyBorder="1" applyAlignment="1">
      <alignment horizontal="center" vertical="center" wrapText="1"/>
    </xf>
    <xf numFmtId="1" fontId="66" fillId="9" borderId="177" xfId="12" applyNumberFormat="1" applyFont="1" applyFill="1" applyBorder="1" applyAlignment="1">
      <alignment horizontal="center" vertical="center" wrapText="1"/>
    </xf>
    <xf numFmtId="1" fontId="66" fillId="9" borderId="177" xfId="12" applyNumberFormat="1" applyFont="1" applyFill="1" applyBorder="1" applyAlignment="1">
      <alignment horizontal="center" vertical="center"/>
    </xf>
    <xf numFmtId="0" fontId="32" fillId="9" borderId="177" xfId="12" applyFill="1" applyBorder="1" applyAlignment="1">
      <alignment vertical="center"/>
    </xf>
    <xf numFmtId="1" fontId="74" fillId="0" borderId="174" xfId="12" applyNumberFormat="1" applyFont="1" applyBorder="1" applyAlignment="1">
      <alignment horizontal="justify" vertical="center" wrapText="1"/>
    </xf>
    <xf numFmtId="1" fontId="66" fillId="9" borderId="174" xfId="12" applyNumberFormat="1" applyFont="1" applyFill="1" applyBorder="1" applyAlignment="1">
      <alignment horizontal="center" vertical="center"/>
    </xf>
    <xf numFmtId="1" fontId="66" fillId="9" borderId="175" xfId="12" applyNumberFormat="1" applyFont="1" applyFill="1" applyBorder="1" applyAlignment="1">
      <alignment horizontal="center" vertical="center"/>
    </xf>
    <xf numFmtId="1" fontId="66" fillId="9" borderId="176" xfId="12" applyNumberFormat="1" applyFont="1" applyFill="1" applyBorder="1" applyAlignment="1">
      <alignment horizontal="center" vertical="center"/>
    </xf>
    <xf numFmtId="1" fontId="66" fillId="10" borderId="174" xfId="12" applyNumberFormat="1" applyFont="1" applyFill="1" applyBorder="1" applyAlignment="1">
      <alignment horizontal="center" vertical="center" textRotation="90" wrapText="1"/>
    </xf>
    <xf numFmtId="1" fontId="66" fillId="10" borderId="175" xfId="12" applyNumberFormat="1" applyFont="1" applyFill="1" applyBorder="1" applyAlignment="1">
      <alignment horizontal="center" vertical="center" textRotation="90" wrapText="1"/>
    </xf>
    <xf numFmtId="1" fontId="66" fillId="10" borderId="176" xfId="12" applyNumberFormat="1" applyFont="1" applyFill="1" applyBorder="1" applyAlignment="1">
      <alignment horizontal="center" vertical="center" textRotation="90" wrapText="1"/>
    </xf>
    <xf numFmtId="0" fontId="69" fillId="9" borderId="174" xfId="12" applyFont="1" applyFill="1" applyBorder="1" applyAlignment="1">
      <alignment horizontal="center"/>
    </xf>
    <xf numFmtId="0" fontId="69" fillId="9" borderId="175" xfId="12" applyFont="1" applyFill="1" applyBorder="1" applyAlignment="1">
      <alignment horizontal="center"/>
    </xf>
    <xf numFmtId="0" fontId="69" fillId="9" borderId="176" xfId="12" applyFont="1" applyFill="1" applyBorder="1" applyAlignment="1">
      <alignment horizontal="center"/>
    </xf>
    <xf numFmtId="0" fontId="100" fillId="13" borderId="0" xfId="12" applyFont="1" applyFill="1" applyAlignment="1">
      <alignment horizontal="center" vertical="center"/>
    </xf>
    <xf numFmtId="0" fontId="101" fillId="0" borderId="0" xfId="12" applyFont="1" applyAlignment="1">
      <alignment horizontal="center"/>
    </xf>
    <xf numFmtId="0" fontId="32" fillId="0" borderId="0" xfId="12" applyAlignment="1">
      <alignment horizontal="justify" vertical="center"/>
    </xf>
    <xf numFmtId="0" fontId="32" fillId="0" borderId="188" xfId="12" applyBorder="1" applyAlignment="1">
      <alignment horizontal="justify" vertical="center"/>
    </xf>
    <xf numFmtId="0" fontId="58" fillId="4" borderId="0" xfId="0" applyFont="1" applyFill="1" applyAlignment="1">
      <alignment horizontal="center" vertical="center" wrapText="1"/>
    </xf>
    <xf numFmtId="0" fontId="108" fillId="0" borderId="0" xfId="0" applyFont="1" applyAlignment="1">
      <alignment horizontal="justify" wrapText="1"/>
    </xf>
    <xf numFmtId="169" fontId="47" fillId="6" borderId="0" xfId="0" applyNumberFormat="1" applyFont="1" applyFill="1" applyAlignment="1">
      <alignment horizontal="center" vertical="center"/>
    </xf>
    <xf numFmtId="14" fontId="47" fillId="6" borderId="0" xfId="0" applyNumberFormat="1" applyFont="1" applyFill="1" applyAlignment="1">
      <alignment horizontal="center" vertical="center"/>
    </xf>
    <xf numFmtId="0" fontId="107" fillId="0" borderId="39" xfId="0" applyFont="1" applyBorder="1" applyAlignment="1">
      <alignment horizontal="center" vertical="center"/>
    </xf>
    <xf numFmtId="0" fontId="107" fillId="0" borderId="0" xfId="0" applyFont="1" applyAlignment="1">
      <alignment horizontal="center" vertical="center"/>
    </xf>
    <xf numFmtId="0" fontId="107" fillId="0" borderId="291" xfId="0" applyFont="1" applyBorder="1" applyAlignment="1">
      <alignment horizontal="center" vertical="center"/>
    </xf>
    <xf numFmtId="0" fontId="108" fillId="0" borderId="0" xfId="0" applyFont="1" applyAlignment="1">
      <alignment horizontal="left" vertical="center" wrapText="1"/>
    </xf>
    <xf numFmtId="0" fontId="108" fillId="0" borderId="0" xfId="0" applyFont="1" applyAlignment="1">
      <alignment horizontal="left" vertical="center"/>
    </xf>
    <xf numFmtId="179" fontId="108" fillId="0" borderId="0" xfId="0" applyNumberFormat="1" applyFont="1" applyAlignment="1">
      <alignment horizontal="left" wrapText="1"/>
    </xf>
    <xf numFmtId="0" fontId="114" fillId="14" borderId="295" xfId="0" applyFont="1" applyFill="1" applyBorder="1"/>
    <xf numFmtId="0" fontId="108" fillId="0" borderId="0" xfId="0" applyFont="1" applyAlignment="1">
      <alignment horizontal="left" vertical="top"/>
    </xf>
    <xf numFmtId="0" fontId="108" fillId="0" borderId="0" xfId="0" applyFont="1" applyAlignment="1">
      <alignment horizontal="justify" vertical="top" wrapText="1"/>
    </xf>
    <xf numFmtId="0" fontId="118" fillId="2" borderId="0" xfId="0" applyFont="1" applyFill="1" applyAlignment="1">
      <alignment horizontal="left" vertical="top" wrapText="1"/>
    </xf>
    <xf numFmtId="0" fontId="0" fillId="2" borderId="0" xfId="0" applyFill="1" applyAlignment="1">
      <alignment horizontal="left" vertical="top" wrapText="1"/>
    </xf>
    <xf numFmtId="0" fontId="116" fillId="2" borderId="0" xfId="0" applyFont="1" applyFill="1" applyAlignment="1">
      <alignment horizontal="center" vertical="center"/>
    </xf>
    <xf numFmtId="0" fontId="62" fillId="2" borderId="0" xfId="0" applyFont="1" applyFill="1" applyAlignment="1">
      <alignment horizontal="left" wrapText="1"/>
    </xf>
    <xf numFmtId="0" fontId="62" fillId="2" borderId="0" xfId="0" applyFont="1" applyFill="1" applyAlignment="1">
      <alignment horizontal="left" vertical="center" wrapText="1"/>
    </xf>
    <xf numFmtId="0" fontId="80" fillId="2" borderId="0" xfId="0" applyFont="1" applyFill="1" applyAlignment="1">
      <alignment horizontal="left" vertical="center" wrapText="1"/>
    </xf>
    <xf numFmtId="0" fontId="80" fillId="2" borderId="0" xfId="0" applyFont="1" applyFill="1" applyAlignment="1">
      <alignment horizontal="left" vertical="top" wrapText="1"/>
    </xf>
    <xf numFmtId="168" fontId="24" fillId="2" borderId="0" xfId="0" applyNumberFormat="1" applyFont="1" applyFill="1" applyAlignment="1" applyProtection="1">
      <alignment horizontal="center" vertical="center"/>
      <protection locked="0"/>
    </xf>
    <xf numFmtId="0" fontId="15" fillId="2" borderId="0" xfId="0" applyFont="1" applyFill="1" applyAlignment="1">
      <alignment horizontal="right"/>
    </xf>
    <xf numFmtId="0" fontId="124" fillId="16" borderId="198" xfId="0" applyFont="1" applyFill="1" applyBorder="1" applyAlignment="1">
      <alignment horizontal="left" vertical="center"/>
    </xf>
    <xf numFmtId="0" fontId="0" fillId="17" borderId="198" xfId="0" applyFill="1" applyBorder="1" applyAlignment="1">
      <alignment horizontal="left" vertical="center" wrapText="1"/>
    </xf>
    <xf numFmtId="0" fontId="123" fillId="16" borderId="196" xfId="0" applyFont="1" applyFill="1" applyBorder="1" applyAlignment="1">
      <alignment horizontal="center" vertical="center"/>
    </xf>
    <xf numFmtId="0" fontId="124" fillId="16" borderId="192" xfId="0" applyFont="1" applyFill="1" applyBorder="1" applyAlignment="1">
      <alignment horizontal="right" vertical="center"/>
    </xf>
    <xf numFmtId="0" fontId="124" fillId="16" borderId="193" xfId="0" applyFont="1" applyFill="1" applyBorder="1" applyAlignment="1">
      <alignment horizontal="right" vertical="center"/>
    </xf>
    <xf numFmtId="0" fontId="124" fillId="16" borderId="197" xfId="0" applyFont="1" applyFill="1" applyBorder="1" applyAlignment="1">
      <alignment horizontal="right" vertical="center"/>
    </xf>
    <xf numFmtId="0" fontId="0" fillId="17" borderId="192" xfId="0" applyFill="1" applyBorder="1" applyAlignment="1">
      <alignment horizontal="center" vertical="center"/>
    </xf>
    <xf numFmtId="0" fontId="0" fillId="17" borderId="193" xfId="0" applyFill="1" applyBorder="1" applyAlignment="1">
      <alignment horizontal="center" vertical="center"/>
    </xf>
    <xf numFmtId="0" fontId="0" fillId="17" borderId="197" xfId="0" applyFill="1" applyBorder="1" applyAlignment="1">
      <alignment horizontal="center" vertical="center"/>
    </xf>
    <xf numFmtId="0" fontId="124" fillId="16" borderId="192" xfId="0" applyFont="1" applyFill="1" applyBorder="1" applyAlignment="1">
      <alignment horizontal="center" vertical="center"/>
    </xf>
    <xf numFmtId="0" fontId="124" fillId="16" borderId="193" xfId="0" applyFont="1" applyFill="1" applyBorder="1" applyAlignment="1">
      <alignment horizontal="center" vertical="center"/>
    </xf>
    <xf numFmtId="0" fontId="124" fillId="16" borderId="197" xfId="0" applyFont="1" applyFill="1" applyBorder="1" applyAlignment="1">
      <alignment horizontal="center" vertical="center"/>
    </xf>
    <xf numFmtId="14" fontId="62" fillId="17" borderId="198" xfId="0" applyNumberFormat="1" applyFont="1" applyFill="1" applyBorder="1" applyAlignment="1">
      <alignment horizontal="center" vertical="center"/>
    </xf>
    <xf numFmtId="0" fontId="124" fillId="16" borderId="198" xfId="0" applyFont="1" applyFill="1" applyBorder="1" applyAlignment="1">
      <alignment horizontal="center" vertical="center"/>
    </xf>
    <xf numFmtId="169" fontId="0" fillId="17" borderId="198" xfId="0" applyNumberFormat="1" applyFill="1" applyBorder="1" applyAlignment="1">
      <alignment horizontal="center" vertical="center"/>
    </xf>
    <xf numFmtId="0" fontId="62" fillId="16" borderId="300" xfId="0" applyFont="1" applyFill="1" applyBorder="1" applyAlignment="1">
      <alignment horizontal="center" vertical="center" wrapText="1"/>
    </xf>
    <xf numFmtId="0" fontId="62" fillId="16" borderId="194" xfId="0" applyFont="1" applyFill="1" applyBorder="1" applyAlignment="1">
      <alignment horizontal="center" vertical="center" wrapText="1"/>
    </xf>
    <xf numFmtId="0" fontId="62" fillId="16" borderId="302" xfId="0" applyFont="1" applyFill="1" applyBorder="1" applyAlignment="1">
      <alignment horizontal="center" vertical="center" wrapText="1"/>
    </xf>
    <xf numFmtId="0" fontId="62" fillId="16" borderId="0" xfId="0" applyFont="1" applyFill="1" applyAlignment="1">
      <alignment horizontal="center" vertical="center" wrapText="1"/>
    </xf>
    <xf numFmtId="0" fontId="62" fillId="16" borderId="301" xfId="0" applyFont="1" applyFill="1" applyBorder="1" applyAlignment="1">
      <alignment horizontal="center" vertical="center" wrapText="1"/>
    </xf>
    <xf numFmtId="0" fontId="62" fillId="16" borderId="196" xfId="0" applyFont="1" applyFill="1" applyBorder="1" applyAlignment="1">
      <alignment horizontal="center" vertical="center" wrapText="1"/>
    </xf>
    <xf numFmtId="0" fontId="0" fillId="2" borderId="300" xfId="0" applyFill="1" applyBorder="1" applyAlignment="1">
      <alignment horizontal="left" vertical="center" wrapText="1"/>
    </xf>
    <xf numFmtId="0" fontId="0" fillId="2" borderId="194" xfId="0" applyFill="1" applyBorder="1" applyAlignment="1">
      <alignment horizontal="left" vertical="center" wrapText="1"/>
    </xf>
    <xf numFmtId="0" fontId="0" fillId="2" borderId="195" xfId="0" applyFill="1" applyBorder="1" applyAlignment="1">
      <alignment horizontal="left" vertical="center" wrapText="1"/>
    </xf>
    <xf numFmtId="0" fontId="0" fillId="2" borderId="302" xfId="0" applyFill="1" applyBorder="1" applyAlignment="1">
      <alignment horizontal="left" vertical="center" wrapText="1"/>
    </xf>
    <xf numFmtId="0" fontId="0" fillId="2" borderId="0" xfId="0" applyFill="1" applyAlignment="1">
      <alignment horizontal="left" vertical="center" wrapText="1"/>
    </xf>
    <xf numFmtId="0" fontId="0" fillId="2" borderId="303" xfId="0" applyFill="1" applyBorder="1" applyAlignment="1">
      <alignment horizontal="left" vertical="center" wrapText="1"/>
    </xf>
    <xf numFmtId="0" fontId="0" fillId="2" borderId="301" xfId="0" applyFill="1" applyBorder="1" applyAlignment="1">
      <alignment horizontal="left" vertical="center" wrapText="1"/>
    </xf>
    <xf numFmtId="0" fontId="0" fillId="2" borderId="196" xfId="0" applyFill="1" applyBorder="1" applyAlignment="1">
      <alignment horizontal="left" vertical="center" wrapText="1"/>
    </xf>
    <xf numFmtId="0" fontId="0" fillId="2" borderId="222" xfId="0" applyFill="1" applyBorder="1" applyAlignment="1">
      <alignment horizontal="left" vertical="center" wrapText="1"/>
    </xf>
    <xf numFmtId="0" fontId="125" fillId="16" borderId="300" xfId="0" applyFont="1" applyFill="1" applyBorder="1" applyAlignment="1">
      <alignment horizontal="center" vertical="center" wrapText="1"/>
    </xf>
    <xf numFmtId="0" fontId="125" fillId="16" borderId="301" xfId="0" applyFont="1" applyFill="1" applyBorder="1" applyAlignment="1">
      <alignment horizontal="center" vertical="center" wrapText="1"/>
    </xf>
    <xf numFmtId="0" fontId="0" fillId="17" borderId="198" xfId="0" applyFill="1" applyBorder="1" applyAlignment="1">
      <alignment horizontal="center" vertical="center"/>
    </xf>
    <xf numFmtId="0" fontId="45" fillId="0" borderId="0" xfId="3" applyNumberFormat="1" applyFont="1"/>
    <xf numFmtId="0" fontId="22" fillId="0" borderId="0" xfId="3" applyNumberFormat="1" applyFont="1" applyAlignment="1">
      <alignment vertical="center"/>
    </xf>
    <xf numFmtId="0" fontId="22" fillId="0" borderId="0" xfId="3" applyNumberFormat="1" applyFont="1" applyAlignment="1">
      <alignment horizontal="left" vertical="center"/>
    </xf>
    <xf numFmtId="169" fontId="8" fillId="0" borderId="160" xfId="0" applyNumberFormat="1" applyFont="1" applyBorder="1" applyAlignment="1" applyProtection="1">
      <alignment horizontal="center" vertical="center"/>
      <protection locked="0"/>
    </xf>
    <xf numFmtId="169" fontId="8" fillId="0" borderId="152" xfId="0" applyNumberFormat="1" applyFont="1" applyBorder="1" applyAlignment="1" applyProtection="1">
      <alignment horizontal="center" vertical="center"/>
      <protection locked="0"/>
    </xf>
    <xf numFmtId="169" fontId="8" fillId="0" borderId="141" xfId="0" applyNumberFormat="1" applyFont="1" applyBorder="1" applyAlignment="1" applyProtection="1">
      <alignment horizontal="center" vertical="center"/>
      <protection locked="0"/>
    </xf>
    <xf numFmtId="169" fontId="8" fillId="2" borderId="311" xfId="0" applyNumberFormat="1" applyFont="1" applyFill="1" applyBorder="1" applyAlignment="1" applyProtection="1">
      <alignment horizontal="center" vertical="center"/>
      <protection locked="0"/>
    </xf>
    <xf numFmtId="169" fontId="8" fillId="2" borderId="13" xfId="0" applyNumberFormat="1" applyFont="1" applyFill="1" applyBorder="1" applyAlignment="1" applyProtection="1">
      <alignment horizontal="center" vertical="center"/>
      <protection locked="0"/>
    </xf>
    <xf numFmtId="169" fontId="8" fillId="2" borderId="6" xfId="0" applyNumberFormat="1" applyFont="1" applyFill="1" applyBorder="1" applyAlignment="1" applyProtection="1">
      <alignment horizontal="center" vertical="center"/>
      <protection locked="0"/>
    </xf>
    <xf numFmtId="169" fontId="8" fillId="2" borderId="2" xfId="0" applyNumberFormat="1" applyFont="1" applyFill="1" applyBorder="1" applyAlignment="1" applyProtection="1">
      <alignment horizontal="center" vertical="center"/>
      <protection locked="0"/>
    </xf>
    <xf numFmtId="169" fontId="8" fillId="2" borderId="312" xfId="0" applyNumberFormat="1" applyFont="1" applyFill="1" applyBorder="1" applyAlignment="1" applyProtection="1">
      <alignment horizontal="center" vertical="center"/>
      <protection locked="0"/>
    </xf>
    <xf numFmtId="169" fontId="8" fillId="2" borderId="313" xfId="0" applyNumberFormat="1" applyFont="1" applyFill="1" applyBorder="1" applyAlignment="1" applyProtection="1">
      <alignment horizontal="center" vertical="center"/>
      <protection locked="0"/>
    </xf>
  </cellXfs>
  <cellStyles count="17">
    <cellStyle name="1" xfId="4" xr:uid="{00000000-0005-0000-0000-000000000000}"/>
    <cellStyle name="Hipervínculo" xfId="2" builtinId="8"/>
    <cellStyle name="Millares 2" xfId="14" xr:uid="{00000000-0005-0000-0000-000002000000}"/>
    <cellStyle name="Millares 2 2" xfId="9" xr:uid="{00000000-0005-0000-0000-000003000000}"/>
    <cellStyle name="Millares 3" xfId="15" xr:uid="{ECCE6F3D-C2A5-4094-8909-533AA10B9046}"/>
    <cellStyle name="Millares 4" xfId="7" xr:uid="{00000000-0005-0000-0000-000004000000}"/>
    <cellStyle name="Moneda" xfId="11" builtinId="4"/>
    <cellStyle name="Normal" xfId="0" builtinId="0"/>
    <cellStyle name="Normal 2" xfId="13" xr:uid="{00000000-0005-0000-0000-000007000000}"/>
    <cellStyle name="Normal 2 2" xfId="10" xr:uid="{00000000-0005-0000-0000-000008000000}"/>
    <cellStyle name="Normal 2 3" xfId="16" xr:uid="{68F78235-C891-4DFD-A995-9AEEA2FCB804}"/>
    <cellStyle name="Normal 3" xfId="12" xr:uid="{00000000-0005-0000-0000-000009000000}"/>
    <cellStyle name="Normal 4" xfId="3" xr:uid="{00000000-0005-0000-0000-00000A000000}"/>
    <cellStyle name="Normal 5 2" xfId="8" xr:uid="{00000000-0005-0000-0000-00000B000000}"/>
    <cellStyle name="Normal 7 2" xfId="5" xr:uid="{00000000-0005-0000-0000-00000C000000}"/>
    <cellStyle name="Porcentaje" xfId="1" builtinId="5"/>
    <cellStyle name="Porcentaje 3 2" xfId="6" xr:uid="{00000000-0005-0000-0000-00000E000000}"/>
  </cellStyles>
  <dxfs count="37">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20" Type="http://schemas.openxmlformats.org/officeDocument/2006/relationships/worksheet" Target="worksheets/sheet20.xml"/><Relationship Id="rId41"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s-MX" sz="1400" b="1" i="0" u="none" strike="noStrike" kern="1200" spc="0" baseline="0">
                <a:solidFill>
                  <a:srgbClr val="002060"/>
                </a:solidFill>
                <a:latin typeface="Arial Narrow" panose="020B0606020202030204" pitchFamily="34" charset="0"/>
                <a:ea typeface="+mn-ea"/>
                <a:cs typeface="Arial" panose="020B0604020202020204" pitchFamily="34" charset="0"/>
              </a:defRPr>
            </a:pPr>
            <a:r>
              <a:rPr lang="es-MX" sz="1400" b="1" i="0" u="none" strike="noStrike" kern="1200" spc="0" baseline="0">
                <a:solidFill>
                  <a:srgbClr val="002060"/>
                </a:solidFill>
                <a:latin typeface="Arial Narrow" panose="020B0606020202030204" pitchFamily="34" charset="0"/>
                <a:ea typeface="+mn-ea"/>
                <a:cs typeface="Arial" panose="020B0604020202020204" pitchFamily="34" charset="0"/>
              </a:rPr>
              <a:t>COMPORTAMIENTO DE LOS VALORES UNITARIOS</a:t>
            </a:r>
          </a:p>
          <a:p>
            <a:pPr algn="ctr" rtl="0">
              <a:defRPr lang="es-MX" b="1">
                <a:solidFill>
                  <a:srgbClr val="002060"/>
                </a:solidFill>
                <a:latin typeface="Arial Narrow" panose="020B0606020202030204" pitchFamily="34" charset="0"/>
                <a:cs typeface="Arial" panose="020B0604020202020204" pitchFamily="34" charset="0"/>
              </a:defRPr>
            </a:pPr>
            <a:endParaRPr lang="es-MX" sz="1400" b="1" i="0" u="none" strike="noStrike" kern="1200" spc="0" baseline="0">
              <a:solidFill>
                <a:srgbClr val="002060"/>
              </a:solidFill>
              <a:latin typeface="Arial Narrow" panose="020B0606020202030204" pitchFamily="34" charset="0"/>
              <a:ea typeface="+mn-ea"/>
              <a:cs typeface="Arial" panose="020B0604020202020204" pitchFamily="34" charset="0"/>
            </a:endParaRPr>
          </a:p>
        </c:rich>
      </c:tx>
      <c:layout>
        <c:manualLayout>
          <c:xMode val="edge"/>
          <c:yMode val="edge"/>
          <c:x val="0.18028805455590108"/>
          <c:y val="4.2433813340635874E-2"/>
        </c:manualLayout>
      </c:layout>
      <c:overlay val="0"/>
      <c:spPr>
        <a:noFill/>
        <a:ln>
          <a:noFill/>
        </a:ln>
        <a:effectLst/>
      </c:spPr>
      <c:txPr>
        <a:bodyPr rot="0" spcFirstLastPara="1" vertOverflow="ellipsis" vert="horz" wrap="square" anchor="ctr" anchorCtr="1"/>
        <a:lstStyle/>
        <a:p>
          <a:pPr algn="ctr" rtl="0">
            <a:defRPr lang="es-MX" sz="1400" b="1" i="0" u="none" strike="noStrike" kern="1200" spc="0" baseline="0">
              <a:solidFill>
                <a:srgbClr val="002060"/>
              </a:solidFill>
              <a:latin typeface="Arial Narrow" panose="020B0606020202030204" pitchFamily="34" charset="0"/>
              <a:ea typeface="+mn-ea"/>
              <a:cs typeface="Arial" panose="020B0604020202020204" pitchFamily="34" charset="0"/>
            </a:defRPr>
          </a:pPr>
          <a:endParaRPr lang="es-PE"/>
        </a:p>
      </c:txPr>
    </c:title>
    <c:autoTitleDeleted val="0"/>
    <c:plotArea>
      <c:layout/>
      <c:barChart>
        <c:barDir val="col"/>
        <c:grouping val="clustered"/>
        <c:varyColors val="0"/>
        <c:ser>
          <c:idx val="3"/>
          <c:order val="3"/>
          <c:tx>
            <c:strRef>
              <c:f>'EST. MERCADO TERRENOS'!$G$76:$I$76</c:f>
              <c:strCache>
                <c:ptCount val="1"/>
                <c:pt idx="0">
                  <c:v>Ofertado</c:v>
                </c:pt>
              </c:strCache>
            </c:strRef>
          </c:tx>
          <c:spPr>
            <a:solidFill>
              <a:srgbClr val="002060"/>
            </a:solidFill>
            <a:ln>
              <a:noFill/>
            </a:ln>
            <a:effectLst/>
          </c:spPr>
          <c:invertIfNegative val="0"/>
          <c:cat>
            <c:numRef>
              <c:f>'EST. MERCADO TERRENOS'!$C$77:$C$81</c:f>
              <c:numCache>
                <c:formatCode>General</c:formatCode>
                <c:ptCount val="5"/>
                <c:pt idx="0">
                  <c:v>1</c:v>
                </c:pt>
                <c:pt idx="1">
                  <c:v>2</c:v>
                </c:pt>
                <c:pt idx="2">
                  <c:v>3</c:v>
                </c:pt>
                <c:pt idx="3">
                  <c:v>4</c:v>
                </c:pt>
                <c:pt idx="4">
                  <c:v>5</c:v>
                </c:pt>
              </c:numCache>
            </c:numRef>
          </c:cat>
          <c:val>
            <c:numRef>
              <c:f>'EST. MERCADO TERRENOS'!$G$77:$G$81</c:f>
              <c:numCache>
                <c:formatCode>#,##0.00;\-#,##0.00;"";@</c:formatCode>
                <c:ptCount val="5"/>
                <c:pt idx="0">
                  <c:v>0</c:v>
                </c:pt>
                <c:pt idx="1">
                  <c:v>0</c:v>
                </c:pt>
                <c:pt idx="2">
                  <c:v>0</c:v>
                </c:pt>
                <c:pt idx="3">
                  <c:v>0</c:v>
                </c:pt>
                <c:pt idx="4">
                  <c:v>0</c:v>
                </c:pt>
              </c:numCache>
            </c:numRef>
          </c:val>
          <c:extLst>
            <c:ext xmlns:c16="http://schemas.microsoft.com/office/drawing/2014/chart" uri="{C3380CC4-5D6E-409C-BE32-E72D297353CC}">
              <c16:uniqueId val="{00000003-FF49-45EE-890B-D1BF0F55CF0A}"/>
            </c:ext>
          </c:extLst>
        </c:ser>
        <c:dLbls>
          <c:showLegendKey val="0"/>
          <c:showVal val="0"/>
          <c:showCatName val="0"/>
          <c:showSerName val="0"/>
          <c:showPercent val="0"/>
          <c:showBubbleSize val="0"/>
        </c:dLbls>
        <c:gapWidth val="219"/>
        <c:overlap val="-27"/>
        <c:axId val="1958150992"/>
        <c:axId val="1958151536"/>
        <c:extLst>
          <c:ext xmlns:c15="http://schemas.microsoft.com/office/drawing/2012/chart" uri="{02D57815-91ED-43cb-92C2-25804820EDAC}">
            <c15:filteredBarSeries>
              <c15:ser>
                <c:idx val="0"/>
                <c:order val="0"/>
                <c:tx>
                  <c:v>Ofertado</c:v>
                </c:tx>
                <c:spPr>
                  <a:solidFill>
                    <a:schemeClr val="accent2"/>
                  </a:solidFill>
                  <a:ln>
                    <a:noFill/>
                  </a:ln>
                  <a:effectLst/>
                </c:spPr>
                <c:invertIfNegative val="0"/>
                <c:cat>
                  <c:numRef>
                    <c:extLst>
                      <c:ext uri="{02D57815-91ED-43cb-92C2-25804820EDAC}">
                        <c15:formulaRef>
                          <c15:sqref>'EST. MERCADO TERRENOS'!$C$77:$C$81</c15:sqref>
                        </c15:formulaRef>
                      </c:ext>
                    </c:extLst>
                    <c:numCache>
                      <c:formatCode>General</c:formatCode>
                      <c:ptCount val="5"/>
                      <c:pt idx="0">
                        <c:v>1</c:v>
                      </c:pt>
                      <c:pt idx="1">
                        <c:v>2</c:v>
                      </c:pt>
                      <c:pt idx="2">
                        <c:v>3</c:v>
                      </c:pt>
                      <c:pt idx="3">
                        <c:v>4</c:v>
                      </c:pt>
                      <c:pt idx="4">
                        <c:v>5</c:v>
                      </c:pt>
                    </c:numCache>
                  </c:numRef>
                </c:cat>
                <c:val>
                  <c:numRef>
                    <c:extLst>
                      <c:ext uri="{02D57815-91ED-43cb-92C2-25804820EDAC}">
                        <c15:formulaRef>
                          <c15:sqref>'EST. MERCADO TERRENOS'!$D$77:$D$81</c15:sqref>
                        </c15:formulaRef>
                      </c:ext>
                    </c:extLst>
                    <c:numCache>
                      <c:formatCode>General</c:formatCode>
                      <c:ptCount val="5"/>
                    </c:numCache>
                  </c:numRef>
                </c:val>
                <c:extLst>
                  <c:ext xmlns:c16="http://schemas.microsoft.com/office/drawing/2014/chart" uri="{C3380CC4-5D6E-409C-BE32-E72D297353CC}">
                    <c16:uniqueId val="{00000000-FF49-45EE-890B-D1BF0F55CF0A}"/>
                  </c:ext>
                </c:extLst>
              </c15:ser>
            </c15:filteredBarSeries>
            <c15:filteredBarSeries>
              <c15:ser>
                <c:idx val="1"/>
                <c:order val="1"/>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'EST. MERCADO TERRENOS'!$C$77:$C$81</c15:sqref>
                        </c15:formulaRef>
                      </c:ext>
                    </c:extLst>
                    <c:numCache>
                      <c:formatCode>General</c:formatCode>
                      <c:ptCount val="5"/>
                      <c:pt idx="0">
                        <c:v>1</c:v>
                      </c:pt>
                      <c:pt idx="1">
                        <c:v>2</c:v>
                      </c:pt>
                      <c:pt idx="2">
                        <c:v>3</c:v>
                      </c:pt>
                      <c:pt idx="3">
                        <c:v>4</c:v>
                      </c:pt>
                      <c:pt idx="4">
                        <c:v>5</c:v>
                      </c:pt>
                    </c:numCache>
                  </c:numRef>
                </c:cat>
                <c:val>
                  <c:numRef>
                    <c:extLst xmlns:c15="http://schemas.microsoft.com/office/drawing/2012/chart">
                      <c:ext xmlns:c15="http://schemas.microsoft.com/office/drawing/2012/chart" uri="{02D57815-91ED-43cb-92C2-25804820EDAC}">
                        <c15:formulaRef>
                          <c15:sqref>'EST. MERCADO TERRENOS'!$E$77:$E$81</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1-FF49-45EE-890B-D1BF0F55CF0A}"/>
                  </c:ext>
                </c:extLst>
              </c15:ser>
            </c15:filteredBarSeries>
            <c15:filteredBarSeries>
              <c15:ser>
                <c:idx val="2"/>
                <c:order val="2"/>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'EST. MERCADO TERRENOS'!$C$77:$C$81</c15:sqref>
                        </c15:formulaRef>
                      </c:ext>
                    </c:extLst>
                    <c:numCache>
                      <c:formatCode>General</c:formatCode>
                      <c:ptCount val="5"/>
                      <c:pt idx="0">
                        <c:v>1</c:v>
                      </c:pt>
                      <c:pt idx="1">
                        <c:v>2</c:v>
                      </c:pt>
                      <c:pt idx="2">
                        <c:v>3</c:v>
                      </c:pt>
                      <c:pt idx="3">
                        <c:v>4</c:v>
                      </c:pt>
                      <c:pt idx="4">
                        <c:v>5</c:v>
                      </c:pt>
                    </c:numCache>
                  </c:numRef>
                </c:cat>
                <c:val>
                  <c:numRef>
                    <c:extLst xmlns:c15="http://schemas.microsoft.com/office/drawing/2012/chart">
                      <c:ext xmlns:c15="http://schemas.microsoft.com/office/drawing/2012/chart" uri="{02D57815-91ED-43cb-92C2-25804820EDAC}">
                        <c15:formulaRef>
                          <c15:sqref>'EST. MERCADO TERRENOS'!$F$77:$F$81</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2-FF49-45EE-890B-D1BF0F55CF0A}"/>
                  </c:ext>
                </c:extLst>
              </c15:ser>
            </c15:filteredBarSeries>
            <c15:filteredBarSeries>
              <c15:ser>
                <c:idx val="4"/>
                <c:order val="4"/>
                <c:spPr>
                  <a:solidFill>
                    <a:schemeClr val="accent4">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'EST. MERCADO TERRENOS'!$C$77:$C$81</c15:sqref>
                        </c15:formulaRef>
                      </c:ext>
                    </c:extLst>
                    <c:numCache>
                      <c:formatCode>General</c:formatCode>
                      <c:ptCount val="5"/>
                      <c:pt idx="0">
                        <c:v>1</c:v>
                      </c:pt>
                      <c:pt idx="1">
                        <c:v>2</c:v>
                      </c:pt>
                      <c:pt idx="2">
                        <c:v>3</c:v>
                      </c:pt>
                      <c:pt idx="3">
                        <c:v>4</c:v>
                      </c:pt>
                      <c:pt idx="4">
                        <c:v>5</c:v>
                      </c:pt>
                    </c:numCache>
                  </c:numRef>
                </c:cat>
                <c:val>
                  <c:numRef>
                    <c:extLst xmlns:c15="http://schemas.microsoft.com/office/drawing/2012/chart">
                      <c:ext xmlns:c15="http://schemas.microsoft.com/office/drawing/2012/chart" uri="{02D57815-91ED-43cb-92C2-25804820EDAC}">
                        <c15:formulaRef>
                          <c15:sqref>'EST. MERCADO TERRENOS'!$H$77:$H$81</c15:sqref>
                        </c15:formulaRef>
                      </c:ext>
                    </c:extLst>
                    <c:numCache>
                      <c:formatCode>#,##0.00;\-#,##0.00;"";@</c:formatCode>
                      <c:ptCount val="5"/>
                    </c:numCache>
                  </c:numRef>
                </c:val>
                <c:extLst xmlns:c15="http://schemas.microsoft.com/office/drawing/2012/chart">
                  <c:ext xmlns:c16="http://schemas.microsoft.com/office/drawing/2014/chart" uri="{C3380CC4-5D6E-409C-BE32-E72D297353CC}">
                    <c16:uniqueId val="{00000004-FF49-45EE-890B-D1BF0F55CF0A}"/>
                  </c:ext>
                </c:extLst>
              </c15:ser>
            </c15:filteredBarSeries>
            <c15:filteredBarSeries>
              <c15:ser>
                <c:idx val="5"/>
                <c:order val="5"/>
                <c:spPr>
                  <a:solidFill>
                    <a:schemeClr val="accent6">
                      <a:lumMod val="60000"/>
                    </a:schemeClr>
                  </a:solidFill>
                  <a:ln>
                    <a:noFill/>
                  </a:ln>
                  <a:effectLst/>
                </c:spPr>
                <c:invertIfNegative val="0"/>
                <c:cat>
                  <c:numRef>
                    <c:extLst xmlns:c15="http://schemas.microsoft.com/office/drawing/2012/chart">
                      <c:ext xmlns:c15="http://schemas.microsoft.com/office/drawing/2012/chart" uri="{02D57815-91ED-43cb-92C2-25804820EDAC}">
                        <c15:formulaRef>
                          <c15:sqref>'EST. MERCADO TERRENOS'!$C$77:$C$81</c15:sqref>
                        </c15:formulaRef>
                      </c:ext>
                    </c:extLst>
                    <c:numCache>
                      <c:formatCode>General</c:formatCode>
                      <c:ptCount val="5"/>
                      <c:pt idx="0">
                        <c:v>1</c:v>
                      </c:pt>
                      <c:pt idx="1">
                        <c:v>2</c:v>
                      </c:pt>
                      <c:pt idx="2">
                        <c:v>3</c:v>
                      </c:pt>
                      <c:pt idx="3">
                        <c:v>4</c:v>
                      </c:pt>
                      <c:pt idx="4">
                        <c:v>5</c:v>
                      </c:pt>
                    </c:numCache>
                  </c:numRef>
                </c:cat>
                <c:val>
                  <c:numRef>
                    <c:extLst xmlns:c15="http://schemas.microsoft.com/office/drawing/2012/chart">
                      <c:ext xmlns:c15="http://schemas.microsoft.com/office/drawing/2012/chart" uri="{02D57815-91ED-43cb-92C2-25804820EDAC}">
                        <c15:formulaRef>
                          <c15:sqref>'EST. MERCADO TERRENOS'!$I$77:$I$81</c15:sqref>
                        </c15:formulaRef>
                      </c:ext>
                    </c:extLst>
                    <c:numCache>
                      <c:formatCode>#,##0.00;\-#,##0.00;"";@</c:formatCode>
                      <c:ptCount val="5"/>
                    </c:numCache>
                  </c:numRef>
                </c:val>
                <c:extLst xmlns:c15="http://schemas.microsoft.com/office/drawing/2012/chart">
                  <c:ext xmlns:c16="http://schemas.microsoft.com/office/drawing/2014/chart" uri="{C3380CC4-5D6E-409C-BE32-E72D297353CC}">
                    <c16:uniqueId val="{00000005-FF49-45EE-890B-D1BF0F55CF0A}"/>
                  </c:ext>
                </c:extLst>
              </c15:ser>
            </c15:filteredBarSeries>
            <c15:filteredBarSeries>
              <c15:ser>
                <c:idx val="7"/>
                <c:order val="7"/>
                <c:spPr>
                  <a:solidFill>
                    <a:schemeClr val="accent4">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'EST. MERCADO TERRENOS'!$C$77:$C$81</c15:sqref>
                        </c15:formulaRef>
                      </c:ext>
                    </c:extLst>
                    <c:numCache>
                      <c:formatCode>General</c:formatCode>
                      <c:ptCount val="5"/>
                      <c:pt idx="0">
                        <c:v>1</c:v>
                      </c:pt>
                      <c:pt idx="1">
                        <c:v>2</c:v>
                      </c:pt>
                      <c:pt idx="2">
                        <c:v>3</c:v>
                      </c:pt>
                      <c:pt idx="3">
                        <c:v>4</c:v>
                      </c:pt>
                      <c:pt idx="4">
                        <c:v>5</c:v>
                      </c:pt>
                    </c:numCache>
                  </c:numRef>
                </c:cat>
                <c:val>
                  <c:numRef>
                    <c:extLst xmlns:c15="http://schemas.microsoft.com/office/drawing/2012/chart">
                      <c:ext xmlns:c15="http://schemas.microsoft.com/office/drawing/2012/chart" uri="{02D57815-91ED-43cb-92C2-25804820EDAC}">
                        <c15:formulaRef>
                          <c15:sqref>'EST. MERCADO TERRENOS'!$K$77:$K$81</c15:sqref>
                        </c15:formulaRef>
                      </c:ext>
                    </c:extLst>
                    <c:numCache>
                      <c:formatCode>#,##0.00;\-#,##0.00;"";@</c:formatCode>
                      <c:ptCount val="5"/>
                    </c:numCache>
                  </c:numRef>
                </c:val>
                <c:extLst xmlns:c15="http://schemas.microsoft.com/office/drawing/2012/chart">
                  <c:ext xmlns:c16="http://schemas.microsoft.com/office/drawing/2014/chart" uri="{C3380CC4-5D6E-409C-BE32-E72D297353CC}">
                    <c16:uniqueId val="{00000007-FF49-45EE-890B-D1BF0F55CF0A}"/>
                  </c:ext>
                </c:extLst>
              </c15:ser>
            </c15:filteredBarSeries>
            <c15:filteredBarSeries>
              <c15:ser>
                <c:idx val="8"/>
                <c:order val="8"/>
                <c:spPr>
                  <a:solidFill>
                    <a:schemeClr val="accent6">
                      <a:lumMod val="80000"/>
                      <a:lumOff val="20000"/>
                    </a:schemeClr>
                  </a:solidFill>
                  <a:ln>
                    <a:noFill/>
                  </a:ln>
                  <a:effectLst/>
                </c:spPr>
                <c:invertIfNegative val="0"/>
                <c:cat>
                  <c:numRef>
                    <c:extLst xmlns:c15="http://schemas.microsoft.com/office/drawing/2012/chart">
                      <c:ext xmlns:c15="http://schemas.microsoft.com/office/drawing/2012/chart" uri="{02D57815-91ED-43cb-92C2-25804820EDAC}">
                        <c15:formulaRef>
                          <c15:sqref>'EST. MERCADO TERRENOS'!$C$77:$C$81</c15:sqref>
                        </c15:formulaRef>
                      </c:ext>
                    </c:extLst>
                    <c:numCache>
                      <c:formatCode>General</c:formatCode>
                      <c:ptCount val="5"/>
                      <c:pt idx="0">
                        <c:v>1</c:v>
                      </c:pt>
                      <c:pt idx="1">
                        <c:v>2</c:v>
                      </c:pt>
                      <c:pt idx="2">
                        <c:v>3</c:v>
                      </c:pt>
                      <c:pt idx="3">
                        <c:v>4</c:v>
                      </c:pt>
                      <c:pt idx="4">
                        <c:v>5</c:v>
                      </c:pt>
                    </c:numCache>
                  </c:numRef>
                </c:cat>
                <c:val>
                  <c:numRef>
                    <c:extLst xmlns:c15="http://schemas.microsoft.com/office/drawing/2012/chart">
                      <c:ext xmlns:c15="http://schemas.microsoft.com/office/drawing/2012/chart" uri="{02D57815-91ED-43cb-92C2-25804820EDAC}">
                        <c15:formulaRef>
                          <c15:sqref>'EST. MERCADO TERRENOS'!$L$77:$L$81</c15:sqref>
                        </c15:formulaRef>
                      </c:ext>
                    </c:extLst>
                    <c:numCache>
                      <c:formatCode>#,##0.00;\-#,##0.00;"";@</c:formatCode>
                      <c:ptCount val="5"/>
                    </c:numCache>
                  </c:numRef>
                </c:val>
                <c:extLst xmlns:c15="http://schemas.microsoft.com/office/drawing/2012/chart">
                  <c:ext xmlns:c16="http://schemas.microsoft.com/office/drawing/2014/chart" uri="{C3380CC4-5D6E-409C-BE32-E72D297353CC}">
                    <c16:uniqueId val="{00000008-FF49-45EE-890B-D1BF0F55CF0A}"/>
                  </c:ext>
                </c:extLst>
              </c15:ser>
            </c15:filteredBarSeries>
          </c:ext>
        </c:extLst>
      </c:barChart>
      <c:lineChart>
        <c:grouping val="standard"/>
        <c:varyColors val="0"/>
        <c:ser>
          <c:idx val="6"/>
          <c:order val="6"/>
          <c:tx>
            <c:strRef>
              <c:f>'EST. MERCADO TERRENOS'!$J$76:$L$76</c:f>
              <c:strCache>
                <c:ptCount val="1"/>
                <c:pt idx="0">
                  <c:v>Homologado</c:v>
                </c:pt>
              </c:strCache>
            </c:strRef>
          </c:tx>
          <c:spPr>
            <a:ln w="28575" cap="rnd">
              <a:solidFill>
                <a:schemeClr val="accent2">
                  <a:lumMod val="80000"/>
                  <a:lumOff val="20000"/>
                </a:schemeClr>
              </a:solidFill>
              <a:round/>
            </a:ln>
            <a:effectLst/>
          </c:spPr>
          <c:marker>
            <c:symbol val="none"/>
          </c:marker>
          <c:cat>
            <c:numRef>
              <c:f>'EST. MERCADO TERRENOS'!$C$77:$C$81</c:f>
              <c:numCache>
                <c:formatCode>General</c:formatCode>
                <c:ptCount val="5"/>
                <c:pt idx="0">
                  <c:v>1</c:v>
                </c:pt>
                <c:pt idx="1">
                  <c:v>2</c:v>
                </c:pt>
                <c:pt idx="2">
                  <c:v>3</c:v>
                </c:pt>
                <c:pt idx="3">
                  <c:v>4</c:v>
                </c:pt>
                <c:pt idx="4">
                  <c:v>5</c:v>
                </c:pt>
              </c:numCache>
            </c:numRef>
          </c:cat>
          <c:val>
            <c:numRef>
              <c:f>'EST. MERCADO TERRENOS'!$J$77:$J$81</c:f>
              <c:numCache>
                <c:formatCode>#,##0.00;\-#,##0.00;"";@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6-FF49-45EE-890B-D1BF0F55CF0A}"/>
            </c:ext>
          </c:extLst>
        </c:ser>
        <c:dLbls>
          <c:showLegendKey val="0"/>
          <c:showVal val="0"/>
          <c:showCatName val="0"/>
          <c:showSerName val="0"/>
          <c:showPercent val="0"/>
          <c:showBubbleSize val="0"/>
        </c:dLbls>
        <c:marker val="1"/>
        <c:smooth val="0"/>
        <c:axId val="1958148816"/>
        <c:axId val="1958147728"/>
      </c:lineChart>
      <c:catAx>
        <c:axId val="1958150992"/>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s-PE" sz="1000" b="1" i="0" u="none" strike="noStrike" kern="1200" baseline="0">
                    <a:solidFill>
                      <a:sysClr val="windowText" lastClr="000000"/>
                    </a:solidFill>
                    <a:latin typeface="+mn-lt"/>
                    <a:ea typeface="+mn-ea"/>
                    <a:cs typeface="+mn-cs"/>
                  </a:defRPr>
                </a:pPr>
                <a:r>
                  <a:rPr lang="es-PE" sz="1000" b="1" i="0" u="none" strike="noStrike" kern="1200" baseline="0">
                    <a:solidFill>
                      <a:sysClr val="windowText" lastClr="000000"/>
                    </a:solidFill>
                    <a:latin typeface="+mn-lt"/>
                    <a:ea typeface="+mn-ea"/>
                    <a:cs typeface="+mn-cs"/>
                  </a:rPr>
                  <a:t>Valor Comercial Unitario por m2 de Terreno</a:t>
                </a:r>
              </a:p>
              <a:p>
                <a:pPr marL="0" marR="0" lvl="0" indent="0" algn="ctr" defTabSz="914400" rtl="0" eaLnBrk="1" fontAlgn="auto" latinLnBrk="0" hangingPunct="1">
                  <a:lnSpc>
                    <a:spcPct val="100000"/>
                  </a:lnSpc>
                  <a:spcBef>
                    <a:spcPts val="0"/>
                  </a:spcBef>
                  <a:spcAft>
                    <a:spcPts val="0"/>
                  </a:spcAft>
                  <a:buClrTx/>
                  <a:buSzTx/>
                  <a:buFontTx/>
                  <a:buNone/>
                  <a:tabLst/>
                  <a:defRPr lang="es-PE" b="1">
                    <a:solidFill>
                      <a:sysClr val="windowText" lastClr="000000"/>
                    </a:solidFill>
                  </a:defRPr>
                </a:pPr>
                <a:endParaRPr lang="es-PE" sz="1000" b="1" i="0" u="none" strike="noStrike" kern="1200" baseline="0">
                  <a:solidFill>
                    <a:sysClr val="windowText" lastClr="000000"/>
                  </a:solidFill>
                  <a:latin typeface="+mn-lt"/>
                  <a:ea typeface="+mn-ea"/>
                  <a:cs typeface="+mn-cs"/>
                </a:endParaRPr>
              </a:p>
            </c:rich>
          </c:tx>
          <c:layout>
            <c:manualLayout>
              <c:xMode val="edge"/>
              <c:yMode val="edge"/>
              <c:x val="0.28348494020855119"/>
              <c:y val="0.8214079865739212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s-PE" sz="1000" b="1" i="0" u="none" strike="noStrike" kern="1200" baseline="0">
                  <a:solidFill>
                    <a:sysClr val="windowText" lastClr="000000"/>
                  </a:solidFill>
                  <a:latin typeface="+mn-lt"/>
                  <a:ea typeface="+mn-ea"/>
                  <a:cs typeface="+mn-cs"/>
                </a:defRPr>
              </a:pPr>
              <a:endParaRPr lang="es-P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PE"/>
          </a:p>
        </c:txPr>
        <c:crossAx val="1958151536"/>
        <c:crosses val="autoZero"/>
        <c:auto val="1"/>
        <c:lblAlgn val="ctr"/>
        <c:lblOffset val="100"/>
        <c:noMultiLvlLbl val="0"/>
      </c:catAx>
      <c:valAx>
        <c:axId val="195815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s-PE" sz="1000" b="1" i="0" u="none" strike="noStrike" kern="1200" baseline="0">
                    <a:solidFill>
                      <a:sysClr val="windowText" lastClr="000000"/>
                    </a:solidFill>
                    <a:latin typeface="+mn-lt"/>
                    <a:ea typeface="+mn-ea"/>
                    <a:cs typeface="+mn-cs"/>
                  </a:defRPr>
                </a:pPr>
                <a:r>
                  <a:rPr lang="es-PE" sz="1000" b="1" i="0" u="none" strike="noStrike" kern="1200" baseline="0">
                    <a:solidFill>
                      <a:sysClr val="windowText" lastClr="000000"/>
                    </a:solidFill>
                    <a:latin typeface="+mn-lt"/>
                    <a:ea typeface="+mn-ea"/>
                    <a:cs typeface="+mn-cs"/>
                  </a:rPr>
                  <a:t>US Dólares / m2</a:t>
                </a:r>
              </a:p>
              <a:p>
                <a:pPr marL="0" marR="0" lvl="0" indent="0" algn="ctr" defTabSz="914400" rtl="0" eaLnBrk="1" fontAlgn="auto" latinLnBrk="0" hangingPunct="1">
                  <a:lnSpc>
                    <a:spcPct val="100000"/>
                  </a:lnSpc>
                  <a:spcBef>
                    <a:spcPts val="0"/>
                  </a:spcBef>
                  <a:spcAft>
                    <a:spcPts val="0"/>
                  </a:spcAft>
                  <a:buClrTx/>
                  <a:buSzTx/>
                  <a:buFontTx/>
                  <a:buNone/>
                  <a:tabLst/>
                  <a:defRPr lang="es-PE" b="1">
                    <a:solidFill>
                      <a:sysClr val="windowText" lastClr="000000"/>
                    </a:solidFill>
                  </a:defRPr>
                </a:pPr>
                <a:endParaRPr lang="es-PE" sz="1000" b="1" i="0" u="none" strike="noStrike" kern="1200" baseline="0">
                  <a:solidFill>
                    <a:sysClr val="windowText" lastClr="000000"/>
                  </a:solidFill>
                  <a:latin typeface="+mn-lt"/>
                  <a:ea typeface="+mn-ea"/>
                  <a:cs typeface="+mn-cs"/>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s-PE" sz="1000" b="1" i="0" u="none" strike="noStrike" kern="1200" baseline="0">
                  <a:solidFill>
                    <a:sysClr val="windowText" lastClr="000000"/>
                  </a:solidFill>
                  <a:latin typeface="+mn-lt"/>
                  <a:ea typeface="+mn-ea"/>
                  <a:cs typeface="+mn-cs"/>
                </a:defRPr>
              </a:pPr>
              <a:endParaRPr lang="es-PE"/>
            </a:p>
          </c:txPr>
        </c:title>
        <c:numFmt formatCode="#,##0.0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PE"/>
          </a:p>
        </c:txPr>
        <c:crossAx val="1958150992"/>
        <c:crosses val="autoZero"/>
        <c:crossBetween val="between"/>
      </c:valAx>
      <c:valAx>
        <c:axId val="1958147728"/>
        <c:scaling>
          <c:orientation val="minMax"/>
        </c:scaling>
        <c:delete val="1"/>
        <c:axPos val="r"/>
        <c:numFmt formatCode="#,##0.00;\-#,##0.00;&quot;&quot;;@" sourceLinked="1"/>
        <c:majorTickMark val="out"/>
        <c:minorTickMark val="none"/>
        <c:tickLblPos val="nextTo"/>
        <c:crossAx val="1958148816"/>
        <c:crosses val="max"/>
        <c:crossBetween val="between"/>
      </c:valAx>
      <c:catAx>
        <c:axId val="1958148816"/>
        <c:scaling>
          <c:orientation val="minMax"/>
        </c:scaling>
        <c:delete val="1"/>
        <c:axPos val="b"/>
        <c:numFmt formatCode="General" sourceLinked="1"/>
        <c:majorTickMark val="out"/>
        <c:minorTickMark val="none"/>
        <c:tickLblPos val="nextTo"/>
        <c:crossAx val="1958147728"/>
        <c:crosses val="autoZero"/>
        <c:auto val="1"/>
        <c:lblAlgn val="ctr"/>
        <c:lblOffset val="100"/>
        <c:noMultiLvlLbl val="0"/>
      </c:catAx>
      <c:spPr>
        <a:noFill/>
        <a:ln>
          <a:noFill/>
        </a:ln>
        <a:effectLst/>
      </c:spPr>
    </c:plotArea>
    <c:legend>
      <c:legendPos val="r"/>
      <c:layout>
        <c:manualLayout>
          <c:xMode val="edge"/>
          <c:yMode val="edge"/>
          <c:x val="0.80245927501803116"/>
          <c:y val="0.41620029129565594"/>
          <c:w val="0.18328047809629822"/>
          <c:h val="0.187538917541684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s-PE"/>
        </a:p>
      </c:txPr>
    </c:legend>
    <c:plotVisOnly val="1"/>
    <c:dispBlanksAs val="gap"/>
    <c:showDLblsOverMax val="0"/>
  </c:chart>
  <c:spPr>
    <a:solidFill>
      <a:schemeClr val="lt1"/>
    </a:solidFill>
    <a:ln w="19050" cap="flat" cmpd="sng" algn="ctr">
      <a:solidFill>
        <a:srgbClr val="002060"/>
      </a:solidFill>
      <a:prstDash val="solid"/>
      <a:miter lim="800000"/>
    </a:ln>
    <a:effectLst>
      <a:softEdge rad="12700"/>
    </a:effectLst>
  </c:spPr>
  <c:txPr>
    <a:bodyPr/>
    <a:lstStyle/>
    <a:p>
      <a:pPr>
        <a:defRPr>
          <a:solidFill>
            <a:schemeClr val="dk1"/>
          </a:solidFill>
          <a:latin typeface="+mn-lt"/>
          <a:ea typeface="+mn-ea"/>
          <a:cs typeface="+mn-cs"/>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s-PE" sz="1400" b="1" i="0" u="none" strike="noStrike" kern="1200" spc="0" baseline="0">
                <a:solidFill>
                  <a:srgbClr val="002060"/>
                </a:solidFill>
                <a:latin typeface="Arial Narrow" panose="020B0606020202030204" pitchFamily="34" charset="0"/>
                <a:ea typeface="+mn-ea"/>
                <a:cs typeface="Arial" panose="020B0604020202020204" pitchFamily="34" charset="0"/>
              </a:defRPr>
            </a:pPr>
            <a:r>
              <a:rPr lang="es-PE" sz="1400" b="1" i="0" u="none" strike="noStrike" kern="1200" spc="0" baseline="0">
                <a:solidFill>
                  <a:srgbClr val="002060"/>
                </a:solidFill>
                <a:latin typeface="Arial Narrow" panose="020B0606020202030204" pitchFamily="34" charset="0"/>
                <a:ea typeface="+mn-ea"/>
                <a:cs typeface="Arial" panose="020B0604020202020204" pitchFamily="34" charset="0"/>
              </a:rPr>
              <a:t>COMPORTAMIENTO DE VALORES UNITARIOS</a:t>
            </a:r>
          </a:p>
        </c:rich>
      </c:tx>
      <c:layout>
        <c:manualLayout>
          <c:xMode val="edge"/>
          <c:yMode val="edge"/>
          <c:x val="0.19027077865266842"/>
          <c:y val="3.2407407407407406E-2"/>
        </c:manualLayout>
      </c:layout>
      <c:overlay val="0"/>
      <c:spPr>
        <a:noFill/>
        <a:ln>
          <a:noFill/>
        </a:ln>
        <a:effectLst/>
      </c:spPr>
      <c:txPr>
        <a:bodyPr rot="0" spcFirstLastPara="1" vertOverflow="ellipsis" vert="horz" wrap="square" anchor="ctr" anchorCtr="1"/>
        <a:lstStyle/>
        <a:p>
          <a:pPr algn="ctr" rtl="0">
            <a:defRPr lang="es-PE" sz="1400" b="1" i="0" u="none" strike="noStrike" kern="1200" spc="0" baseline="0">
              <a:solidFill>
                <a:srgbClr val="002060"/>
              </a:solidFill>
              <a:latin typeface="Arial Narrow" panose="020B0606020202030204" pitchFamily="34" charset="0"/>
              <a:ea typeface="+mn-ea"/>
              <a:cs typeface="Arial" panose="020B0604020202020204" pitchFamily="34" charset="0"/>
            </a:defRPr>
          </a:pPr>
          <a:endParaRPr lang="es-PE"/>
        </a:p>
      </c:txPr>
    </c:title>
    <c:autoTitleDeleted val="0"/>
    <c:plotArea>
      <c:layout/>
      <c:barChart>
        <c:barDir val="col"/>
        <c:grouping val="clustered"/>
        <c:varyColors val="0"/>
        <c:ser>
          <c:idx val="0"/>
          <c:order val="0"/>
          <c:tx>
            <c:v>Ofertado</c:v>
          </c:tx>
          <c:spPr>
            <a:solidFill>
              <a:srgbClr val="002060"/>
            </a:solidFill>
            <a:ln>
              <a:noFill/>
            </a:ln>
            <a:effectLst/>
          </c:spPr>
          <c:invertIfNegative val="0"/>
          <c:val>
            <c:numRef>
              <c:f>COMPARACIÓN!$G$75:$G$79</c:f>
              <c:numCache>
                <c:formatCode>#,##0.00;\-#,##0.00;"";@</c:formatCode>
                <c:ptCount val="5"/>
                <c:pt idx="0">
                  <c:v>0</c:v>
                </c:pt>
                <c:pt idx="1">
                  <c:v>0</c:v>
                </c:pt>
                <c:pt idx="2">
                  <c:v>0</c:v>
                </c:pt>
                <c:pt idx="3">
                  <c:v>0</c:v>
                </c:pt>
                <c:pt idx="4">
                  <c:v>0</c:v>
                </c:pt>
              </c:numCache>
            </c:numRef>
          </c:val>
          <c:extLst>
            <c:ext xmlns:c16="http://schemas.microsoft.com/office/drawing/2014/chart" uri="{C3380CC4-5D6E-409C-BE32-E72D297353CC}">
              <c16:uniqueId val="{00000000-055A-4CF2-9386-A12FD606327C}"/>
            </c:ext>
          </c:extLst>
        </c:ser>
        <c:dLbls>
          <c:showLegendKey val="0"/>
          <c:showVal val="0"/>
          <c:showCatName val="0"/>
          <c:showSerName val="0"/>
          <c:showPercent val="0"/>
          <c:showBubbleSize val="0"/>
        </c:dLbls>
        <c:gapWidth val="219"/>
        <c:overlap val="-27"/>
        <c:axId val="1898979504"/>
        <c:axId val="1898981136"/>
        <c:extLst>
          <c:ext xmlns:c15="http://schemas.microsoft.com/office/drawing/2012/chart" uri="{02D57815-91ED-43cb-92C2-25804820EDAC}">
            <c15:filteredBarSeries>
              <c15:ser>
                <c:idx val="2"/>
                <c:order val="2"/>
                <c:spPr>
                  <a:solidFill>
                    <a:schemeClr val="accent3"/>
                  </a:solidFill>
                  <a:ln>
                    <a:noFill/>
                  </a:ln>
                  <a:effectLst/>
                </c:spPr>
                <c:invertIfNegative val="0"/>
                <c:val>
                  <c:numRef>
                    <c:extLst>
                      <c:ext uri="{02D57815-91ED-43cb-92C2-25804820EDAC}">
                        <c15:formulaRef>
                          <c15:sqref>COMPARACIÓN!$G$77:$L$77</c15:sqref>
                        </c15:formulaRef>
                      </c:ext>
                    </c:extLst>
                    <c:numCache>
                      <c:formatCode>#,##0.00;\-#,##0.00;"";@</c:formatCode>
                      <c:ptCount val="6"/>
                      <c:pt idx="0">
                        <c:v>0</c:v>
                      </c:pt>
                      <c:pt idx="1">
                        <c:v>0</c:v>
                      </c:pt>
                      <c:pt idx="2">
                        <c:v>0</c:v>
                      </c:pt>
                      <c:pt idx="3">
                        <c:v>0</c:v>
                      </c:pt>
                    </c:numCache>
                  </c:numRef>
                </c:val>
                <c:extLst>
                  <c:ext xmlns:c16="http://schemas.microsoft.com/office/drawing/2014/chart" uri="{C3380CC4-5D6E-409C-BE32-E72D297353CC}">
                    <c16:uniqueId val="{00000002-055A-4CF2-9386-A12FD606327C}"/>
                  </c:ext>
                </c:extLst>
              </c15:ser>
            </c15:filteredBarSeries>
            <c15:filteredBarSeries>
              <c15:ser>
                <c:idx val="3"/>
                <c:order val="3"/>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COMPARACIÓN!$G$78:$L$78</c15:sqref>
                        </c15:formulaRef>
                      </c:ext>
                    </c:extLst>
                    <c:numCache>
                      <c:formatCode>#,##0.00;\-#,##0.00;"";@</c:formatCode>
                      <c:ptCount val="6"/>
                      <c:pt idx="0">
                        <c:v>0</c:v>
                      </c:pt>
                      <c:pt idx="1">
                        <c:v>0</c:v>
                      </c:pt>
                      <c:pt idx="2">
                        <c:v>0</c:v>
                      </c:pt>
                      <c:pt idx="3">
                        <c:v>0</c:v>
                      </c:pt>
                    </c:numCache>
                  </c:numRef>
                </c:val>
                <c:extLst xmlns:c15="http://schemas.microsoft.com/office/drawing/2012/chart">
                  <c:ext xmlns:c16="http://schemas.microsoft.com/office/drawing/2014/chart" uri="{C3380CC4-5D6E-409C-BE32-E72D297353CC}">
                    <c16:uniqueId val="{00000003-055A-4CF2-9386-A12FD606327C}"/>
                  </c:ext>
                </c:extLst>
              </c15:ser>
            </c15:filteredBarSeries>
            <c15:filteredBarSeries>
              <c15:ser>
                <c:idx val="4"/>
                <c:order val="4"/>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COMPARACIÓN!$G$79:$L$79</c15:sqref>
                        </c15:formulaRef>
                      </c:ext>
                    </c:extLst>
                    <c:numCache>
                      <c:formatCode>#,##0.00;\-#,##0.00;"";@</c:formatCode>
                      <c:ptCount val="6"/>
                      <c:pt idx="0">
                        <c:v>0</c:v>
                      </c:pt>
                      <c:pt idx="1">
                        <c:v>0</c:v>
                      </c:pt>
                      <c:pt idx="2">
                        <c:v>0</c:v>
                      </c:pt>
                      <c:pt idx="3">
                        <c:v>0</c:v>
                      </c:pt>
                    </c:numCache>
                  </c:numRef>
                </c:val>
                <c:extLst xmlns:c15="http://schemas.microsoft.com/office/drawing/2012/chart">
                  <c:ext xmlns:c16="http://schemas.microsoft.com/office/drawing/2014/chart" uri="{C3380CC4-5D6E-409C-BE32-E72D297353CC}">
                    <c16:uniqueId val="{00000004-055A-4CF2-9386-A12FD606327C}"/>
                  </c:ext>
                </c:extLst>
              </c15:ser>
            </c15:filteredBarSeries>
          </c:ext>
        </c:extLst>
      </c:barChart>
      <c:lineChart>
        <c:grouping val="standard"/>
        <c:varyColors val="0"/>
        <c:ser>
          <c:idx val="1"/>
          <c:order val="1"/>
          <c:tx>
            <c:v>Homologado</c:v>
          </c:tx>
          <c:spPr>
            <a:ln w="28575" cap="rnd">
              <a:solidFill>
                <a:schemeClr val="accent2"/>
              </a:solidFill>
              <a:round/>
            </a:ln>
            <a:effectLst/>
          </c:spPr>
          <c:marker>
            <c:symbol val="none"/>
          </c:marker>
          <c:val>
            <c:numRef>
              <c:f>COMPARACIÓN!$J$75:$J$79</c:f>
              <c:numCache>
                <c:formatCode>#,##0.00;\-#,##0.00;"";@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055A-4CF2-9386-A12FD606327C}"/>
            </c:ext>
          </c:extLst>
        </c:ser>
        <c:dLbls>
          <c:showLegendKey val="0"/>
          <c:showVal val="0"/>
          <c:showCatName val="0"/>
          <c:showSerName val="0"/>
          <c:showPercent val="0"/>
          <c:showBubbleSize val="0"/>
        </c:dLbls>
        <c:marker val="1"/>
        <c:smooth val="0"/>
        <c:axId val="1898980592"/>
        <c:axId val="1898983312"/>
      </c:lineChart>
      <c:catAx>
        <c:axId val="1898979504"/>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s-PE" sz="1000" b="1" i="0" u="none" strike="noStrike" kern="1200" baseline="0">
                    <a:solidFill>
                      <a:sysClr val="windowText" lastClr="000000"/>
                    </a:solidFill>
                    <a:latin typeface="+mn-lt"/>
                    <a:ea typeface="+mn-ea"/>
                    <a:cs typeface="+mn-cs"/>
                  </a:defRPr>
                </a:pPr>
                <a:r>
                  <a:rPr lang="es-PE" sz="1000" b="1" i="0" u="none" strike="noStrike" kern="1200" baseline="0">
                    <a:solidFill>
                      <a:sysClr val="windowText" lastClr="000000"/>
                    </a:solidFill>
                    <a:latin typeface="+mn-lt"/>
                    <a:ea typeface="+mn-ea"/>
                    <a:cs typeface="+mn-cs"/>
                  </a:rPr>
                  <a:t>Valor Comercial Unitario por m2 de Construcción</a:t>
                </a:r>
              </a:p>
              <a:p>
                <a:pPr marL="0" marR="0" lvl="0" indent="0" algn="ctr" defTabSz="914400" rtl="0" eaLnBrk="1" fontAlgn="auto" latinLnBrk="0" hangingPunct="1">
                  <a:lnSpc>
                    <a:spcPct val="100000"/>
                  </a:lnSpc>
                  <a:spcBef>
                    <a:spcPts val="0"/>
                  </a:spcBef>
                  <a:spcAft>
                    <a:spcPts val="0"/>
                  </a:spcAft>
                  <a:buClrTx/>
                  <a:buSzTx/>
                  <a:buFontTx/>
                  <a:buNone/>
                  <a:tabLst/>
                  <a:defRPr lang="es-PE" b="1">
                    <a:solidFill>
                      <a:sysClr val="windowText" lastClr="000000"/>
                    </a:solidFill>
                  </a:defRPr>
                </a:pPr>
                <a:endParaRPr lang="es-PE" sz="1000" b="1" i="0" u="none" strike="noStrike" kern="1200" baseline="0">
                  <a:solidFill>
                    <a:sysClr val="windowText" lastClr="000000"/>
                  </a:solidFill>
                  <a:latin typeface="+mn-lt"/>
                  <a:ea typeface="+mn-ea"/>
                  <a:cs typeface="+mn-cs"/>
                </a:endParaRPr>
              </a:p>
            </c:rich>
          </c:tx>
          <c:layout>
            <c:manualLayout>
              <c:xMode val="edge"/>
              <c:yMode val="edge"/>
              <c:x val="0.26683707349475994"/>
              <c:y val="0.8329622338874307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s-PE" sz="1000" b="1" i="0" u="none" strike="noStrike" kern="1200" baseline="0">
                  <a:solidFill>
                    <a:sysClr val="windowText" lastClr="000000"/>
                  </a:solidFill>
                  <a:latin typeface="+mn-lt"/>
                  <a:ea typeface="+mn-ea"/>
                  <a:cs typeface="+mn-cs"/>
                </a:defRPr>
              </a:pPr>
              <a:endParaRPr lang="es-P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898981136"/>
        <c:crosses val="autoZero"/>
        <c:auto val="1"/>
        <c:lblAlgn val="ctr"/>
        <c:lblOffset val="100"/>
        <c:noMultiLvlLbl val="0"/>
      </c:catAx>
      <c:valAx>
        <c:axId val="1898981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s-PE" sz="1000" b="1" i="0" u="none" strike="noStrike" kern="1200" baseline="0">
                    <a:solidFill>
                      <a:sysClr val="windowText" lastClr="000000"/>
                    </a:solidFill>
                    <a:latin typeface="+mn-lt"/>
                    <a:ea typeface="+mn-ea"/>
                    <a:cs typeface="+mn-cs"/>
                  </a:defRPr>
                </a:pPr>
                <a:r>
                  <a:rPr lang="es-PE" sz="1000" b="1" i="0" u="none" strike="noStrike" kern="1200" baseline="0">
                    <a:solidFill>
                      <a:sysClr val="windowText" lastClr="000000"/>
                    </a:solidFill>
                    <a:latin typeface="+mn-lt"/>
                    <a:ea typeface="+mn-ea"/>
                    <a:cs typeface="+mn-cs"/>
                  </a:rPr>
                  <a:t>US Dólares / m2</a:t>
                </a:r>
              </a:p>
              <a:p>
                <a:pPr marL="0" marR="0" lvl="0" indent="0" algn="ctr" defTabSz="914400" rtl="0" eaLnBrk="1" fontAlgn="auto" latinLnBrk="0" hangingPunct="1">
                  <a:lnSpc>
                    <a:spcPct val="100000"/>
                  </a:lnSpc>
                  <a:spcBef>
                    <a:spcPts val="0"/>
                  </a:spcBef>
                  <a:spcAft>
                    <a:spcPts val="0"/>
                  </a:spcAft>
                  <a:buClrTx/>
                  <a:buSzTx/>
                  <a:buFontTx/>
                  <a:buNone/>
                  <a:tabLst/>
                  <a:defRPr lang="es-PE" b="1">
                    <a:solidFill>
                      <a:sysClr val="windowText" lastClr="000000"/>
                    </a:solidFill>
                  </a:defRPr>
                </a:pPr>
                <a:endParaRPr lang="es-PE" sz="1000" b="1" i="0" u="none" strike="noStrike" kern="1200" baseline="0">
                  <a:solidFill>
                    <a:sysClr val="windowText" lastClr="000000"/>
                  </a:solidFill>
                  <a:latin typeface="+mn-lt"/>
                  <a:ea typeface="+mn-ea"/>
                  <a:cs typeface="+mn-cs"/>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s-PE" sz="1000" b="1" i="0" u="none" strike="noStrike" kern="1200" baseline="0">
                  <a:solidFill>
                    <a:sysClr val="windowText" lastClr="000000"/>
                  </a:solidFill>
                  <a:latin typeface="+mn-lt"/>
                  <a:ea typeface="+mn-ea"/>
                  <a:cs typeface="+mn-cs"/>
                </a:defRPr>
              </a:pPr>
              <a:endParaRPr lang="es-PE"/>
            </a:p>
          </c:txPr>
        </c:title>
        <c:numFmt formatCode="#,##0.0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898979504"/>
        <c:crosses val="autoZero"/>
        <c:crossBetween val="between"/>
      </c:valAx>
      <c:valAx>
        <c:axId val="1898983312"/>
        <c:scaling>
          <c:orientation val="minMax"/>
        </c:scaling>
        <c:delete val="1"/>
        <c:axPos val="r"/>
        <c:numFmt formatCode="#,##0.00;\-#,##0.00;&quot;&quot;;@" sourceLinked="1"/>
        <c:majorTickMark val="out"/>
        <c:minorTickMark val="none"/>
        <c:tickLblPos val="nextTo"/>
        <c:crossAx val="1898980592"/>
        <c:crosses val="max"/>
        <c:crossBetween val="between"/>
      </c:valAx>
      <c:catAx>
        <c:axId val="1898980592"/>
        <c:scaling>
          <c:orientation val="minMax"/>
        </c:scaling>
        <c:delete val="1"/>
        <c:axPos val="b"/>
        <c:majorTickMark val="out"/>
        <c:minorTickMark val="none"/>
        <c:tickLblPos val="nextTo"/>
        <c:crossAx val="1898983312"/>
        <c:crosses val="autoZero"/>
        <c:auto val="1"/>
        <c:lblAlgn val="ctr"/>
        <c:lblOffset val="100"/>
        <c:noMultiLvlLbl val="0"/>
      </c:catAx>
      <c:spPr>
        <a:noFill/>
        <a:ln>
          <a:noFill/>
        </a:ln>
        <a:effectLst/>
      </c:spPr>
    </c:plotArea>
    <c:legend>
      <c:legendPos val="r"/>
      <c:layout>
        <c:manualLayout>
          <c:xMode val="edge"/>
          <c:yMode val="edge"/>
          <c:x val="0.78826490319253706"/>
          <c:y val="0.35488371245261013"/>
          <c:w val="0.20564077808730249"/>
          <c:h val="0.193134398972660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Range="#REF!" sel="0" val="0"/>
</file>

<file path=xl/ctrlProps/ctrlProp2.xml><?xml version="1.0" encoding="utf-8"?>
<formControlPr xmlns="http://schemas.microsoft.com/office/spreadsheetml/2009/9/main" objectType="Label" lockText="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10.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1.jpe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1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07/relationships/hdphoto" Target="../media/hdphoto1.wdp"/><Relationship Id="rId1" Type="http://schemas.openxmlformats.org/officeDocument/2006/relationships/image" Target="../media/image12.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11.jpeg"/><Relationship Id="rId2" Type="http://schemas.microsoft.com/office/2007/relationships/hdphoto" Target="../media/hdphoto1.wdp"/><Relationship Id="rId1" Type="http://schemas.openxmlformats.org/officeDocument/2006/relationships/image" Target="../media/image12.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1.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14.jpeg"/><Relationship Id="rId2" Type="http://schemas.microsoft.com/office/2007/relationships/hdphoto" Target="../media/hdphoto1.wdp"/><Relationship Id="rId1" Type="http://schemas.openxmlformats.org/officeDocument/2006/relationships/image" Target="../media/image12.jpeg"/></Relationships>
</file>

<file path=xl/drawings/_rels/drawing16.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17.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18.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19.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0.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6.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7.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8.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29.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30.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3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3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drawing3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2.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149680</xdr:colOff>
      <xdr:row>2</xdr:row>
      <xdr:rowOff>108858</xdr:rowOff>
    </xdr:from>
    <xdr:to>
      <xdr:col>13</xdr:col>
      <xdr:colOff>285751</xdr:colOff>
      <xdr:row>15</xdr:row>
      <xdr:rowOff>163286</xdr:rowOff>
    </xdr:to>
    <xdr:sp macro="" textlink="">
      <xdr:nvSpPr>
        <xdr:cNvPr id="4" name="9 Rectángulo redondeado">
          <a:extLst>
            <a:ext uri="{FF2B5EF4-FFF2-40B4-BE49-F238E27FC236}">
              <a16:creationId xmlns:a16="http://schemas.microsoft.com/office/drawing/2014/main" id="{00000000-0008-0000-0000-000004000000}"/>
            </a:ext>
          </a:extLst>
        </xdr:cNvPr>
        <xdr:cNvSpPr/>
      </xdr:nvSpPr>
      <xdr:spPr>
        <a:xfrm>
          <a:off x="1170216" y="1020537"/>
          <a:ext cx="3197678" cy="2735035"/>
        </a:xfrm>
        <a:prstGeom prst="roundRect">
          <a:avLst/>
        </a:prstGeom>
        <a:solidFill>
          <a:schemeClr val="accent2">
            <a:lumMod val="20000"/>
            <a:lumOff val="80000"/>
          </a:schemeClr>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0</xdr:col>
      <xdr:colOff>154641</xdr:colOff>
      <xdr:row>0</xdr:row>
      <xdr:rowOff>22412</xdr:rowOff>
    </xdr:from>
    <xdr:to>
      <xdr:col>5</xdr:col>
      <xdr:colOff>88012</xdr:colOff>
      <xdr:row>1</xdr:row>
      <xdr:rowOff>246530</xdr:rowOff>
    </xdr:to>
    <xdr:pic>
      <xdr:nvPicPr>
        <xdr:cNvPr id="5" name="5 Imagen" descr="http://cdn.larepublica.pe/sites/default/files/imagecache/img_noticia_640x384/imagen/2014/04/07/imagen-bcp.jpg">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1" cstate="print">
          <a:clrChange>
            <a:clrFrom>
              <a:srgbClr val="003F97"/>
            </a:clrFrom>
            <a:clrTo>
              <a:srgbClr val="003F97">
                <a:alpha val="0"/>
              </a:srgbClr>
            </a:clrTo>
          </a:clrChange>
          <a:extLst>
            <a:ext uri="{28A0092B-C50C-407E-A947-70E740481C1C}">
              <a14:useLocalDpi xmlns:a14="http://schemas.microsoft.com/office/drawing/2010/main" val="0"/>
            </a:ext>
          </a:extLst>
        </a:blip>
        <a:srcRect t="25881" b="26499"/>
        <a:stretch/>
      </xdr:blipFill>
      <xdr:spPr bwMode="auto">
        <a:xfrm>
          <a:off x="154641" y="22412"/>
          <a:ext cx="1670283" cy="481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43544</xdr:colOff>
      <xdr:row>2</xdr:row>
      <xdr:rowOff>97972</xdr:rowOff>
    </xdr:from>
    <xdr:to>
      <xdr:col>26</xdr:col>
      <xdr:colOff>179615</xdr:colOff>
      <xdr:row>15</xdr:row>
      <xdr:rowOff>136071</xdr:rowOff>
    </xdr:to>
    <xdr:sp macro="" textlink="">
      <xdr:nvSpPr>
        <xdr:cNvPr id="7" name="9 Rectángulo redondeado">
          <a:extLst>
            <a:ext uri="{FF2B5EF4-FFF2-40B4-BE49-F238E27FC236}">
              <a16:creationId xmlns:a16="http://schemas.microsoft.com/office/drawing/2014/main" id="{00000000-0008-0000-0000-000007000000}"/>
            </a:ext>
          </a:extLst>
        </xdr:cNvPr>
        <xdr:cNvSpPr/>
      </xdr:nvSpPr>
      <xdr:spPr>
        <a:xfrm>
          <a:off x="5486401" y="1009651"/>
          <a:ext cx="3197678" cy="2718706"/>
        </a:xfrm>
        <a:prstGeom prst="roundRect">
          <a:avLst/>
        </a:prstGeom>
        <a:solidFill>
          <a:schemeClr val="accent2">
            <a:lumMod val="20000"/>
            <a:lumOff val="80000"/>
          </a:schemeClr>
        </a:solid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21</xdr:col>
      <xdr:colOff>152400</xdr:colOff>
      <xdr:row>112</xdr:row>
      <xdr:rowOff>142875</xdr:rowOff>
    </xdr:from>
    <xdr:to>
      <xdr:col>28</xdr:col>
      <xdr:colOff>179889</xdr:colOff>
      <xdr:row>115</xdr:row>
      <xdr:rowOff>55490</xdr:rowOff>
    </xdr:to>
    <xdr:pic>
      <xdr:nvPicPr>
        <xdr:cNvPr id="6" name="30 Imagen">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7574" b="7021"/>
        <a:stretch>
          <a:fillRect/>
        </a:stretch>
      </xdr:blipFill>
      <xdr:spPr bwMode="auto">
        <a:xfrm>
          <a:off x="7353300" y="19088100"/>
          <a:ext cx="2427789" cy="1131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11</xdr:row>
      <xdr:rowOff>19050</xdr:rowOff>
    </xdr:from>
    <xdr:to>
      <xdr:col>8</xdr:col>
      <xdr:colOff>47625</xdr:colOff>
      <xdr:row>12</xdr:row>
      <xdr:rowOff>0</xdr:rowOff>
    </xdr:to>
    <xdr:pic>
      <xdr:nvPicPr>
        <xdr:cNvPr id="2" name="il_fi">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2124075"/>
          <a:ext cx="8286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76200</xdr:colOff>
      <xdr:row>119</xdr:row>
      <xdr:rowOff>66675</xdr:rowOff>
    </xdr:from>
    <xdr:to>
      <xdr:col>39</xdr:col>
      <xdr:colOff>9525</xdr:colOff>
      <xdr:row>122</xdr:row>
      <xdr:rowOff>95250</xdr:rowOff>
    </xdr:to>
    <xdr:pic>
      <xdr:nvPicPr>
        <xdr:cNvPr id="3" name="64 Imagen">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09800" y="23917275"/>
          <a:ext cx="20669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9</xdr:col>
          <xdr:colOff>76200</xdr:colOff>
          <xdr:row>33</xdr:row>
          <xdr:rowOff>190500</xdr:rowOff>
        </xdr:from>
        <xdr:to>
          <xdr:col>12</xdr:col>
          <xdr:colOff>85725</xdr:colOff>
          <xdr:row>33</xdr:row>
          <xdr:rowOff>190500</xdr:rowOff>
        </xdr:to>
        <xdr:sp macro="" textlink="">
          <xdr:nvSpPr>
            <xdr:cNvPr id="20481" name="Drop Down 328" hidden="1">
              <a:extLst>
                <a:ext uri="{63B3BB69-23CF-44E3-9099-C40C66FF867C}">
                  <a14:compatExt spid="_x0000_s20481"/>
                </a:ext>
                <a:ext uri="{FF2B5EF4-FFF2-40B4-BE49-F238E27FC236}">
                  <a16:creationId xmlns:a16="http://schemas.microsoft.com/office/drawing/2014/main" id="{00000000-0008-0000-0100-0000015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xdr:from>
          <xdr:col>18</xdr:col>
          <xdr:colOff>28575</xdr:colOff>
          <xdr:row>122</xdr:row>
          <xdr:rowOff>9525</xdr:rowOff>
        </xdr:from>
        <xdr:to>
          <xdr:col>40</xdr:col>
          <xdr:colOff>104775</xdr:colOff>
          <xdr:row>123</xdr:row>
          <xdr:rowOff>66675</xdr:rowOff>
        </xdr:to>
        <xdr:sp macro="" textlink="">
          <xdr:nvSpPr>
            <xdr:cNvPr id="20482" name="Label 111" hidden="1">
              <a:extLst>
                <a:ext uri="{63B3BB69-23CF-44E3-9099-C40C66FF867C}">
                  <a14:compatExt spid="_x0000_s20482"/>
                </a:ext>
                <a:ext uri="{FF2B5EF4-FFF2-40B4-BE49-F238E27FC236}">
                  <a16:creationId xmlns:a16="http://schemas.microsoft.com/office/drawing/2014/main" id="{00000000-0008-0000-0100-0000025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27432" tIns="18288" rIns="0" bIns="0" anchor="t" upright="1"/>
            <a:lstStyle/>
            <a:p>
              <a:pPr algn="l" rtl="0">
                <a:defRPr sz="1000"/>
              </a:pPr>
              <a:r>
                <a:rPr lang="es-419" sz="800" b="0" i="0" u="none" strike="noStrike" baseline="0">
                  <a:solidFill>
                    <a:srgbClr val="000000"/>
                  </a:solidFill>
                  <a:latin typeface="Segoe UI"/>
                  <a:cs typeface="Segoe UI"/>
                </a:rPr>
                <a:t>---------------------------------------------------------------</a:t>
              </a:r>
            </a:p>
            <a:p>
              <a:pPr algn="l" rtl="0">
                <a:defRPr sz="1000"/>
              </a:pPr>
              <a:r>
                <a:rPr lang="es-419" sz="800" b="0" i="0" u="none" strike="noStrike" baseline="0">
                  <a:solidFill>
                    <a:srgbClr val="000000"/>
                  </a:solidFill>
                  <a:latin typeface="Segoe UI"/>
                  <a:cs typeface="Segoe UI"/>
                </a:rPr>
                <a:t>                      Firma del Perito Tasador</a:t>
              </a:r>
            </a:p>
            <a:p>
              <a:pPr algn="l" rtl="0">
                <a:defRPr sz="1000"/>
              </a:pPr>
              <a:r>
                <a:rPr lang="es-419" sz="800" b="0" i="0" u="none" strike="noStrike" baseline="0">
                  <a:solidFill>
                    <a:srgbClr val="000000"/>
                  </a:solidFill>
                  <a:latin typeface="Segoe UI"/>
                  <a:cs typeface="Segoe UI"/>
                </a:rPr>
                <a:t>                            </a:t>
              </a:r>
            </a:p>
            <a:p>
              <a:pPr algn="l" rtl="0">
                <a:defRPr sz="1000"/>
              </a:pPr>
              <a:endParaRPr lang="es-419" sz="800" b="0" i="0" u="none" strike="noStrike" baseline="0">
                <a:solidFill>
                  <a:srgbClr val="000000"/>
                </a:solidFill>
                <a:latin typeface="Segoe UI"/>
                <a:cs typeface="Segoe UI"/>
              </a:endParaRPr>
            </a:p>
          </xdr:txBody>
        </xdr:sp>
        <xdr:clientData/>
      </xdr:twoCellAnchor>
    </mc:Choice>
    <mc:Fallback/>
  </mc:AlternateContent>
  <xdr:twoCellAnchor>
    <xdr:from>
      <xdr:col>0</xdr:col>
      <xdr:colOff>329711</xdr:colOff>
      <xdr:row>72</xdr:row>
      <xdr:rowOff>0</xdr:rowOff>
    </xdr:from>
    <xdr:to>
      <xdr:col>14</xdr:col>
      <xdr:colOff>43228</xdr:colOff>
      <xdr:row>72</xdr:row>
      <xdr:rowOff>7327</xdr:rowOff>
    </xdr:to>
    <xdr:sp macro="" textlink="">
      <xdr:nvSpPr>
        <xdr:cNvPr id="6" name="Text Box 178">
          <a:extLst>
            <a:ext uri="{FF2B5EF4-FFF2-40B4-BE49-F238E27FC236}">
              <a16:creationId xmlns:a16="http://schemas.microsoft.com/office/drawing/2014/main" id="{00000000-0008-0000-0100-000006000000}"/>
            </a:ext>
          </a:extLst>
        </xdr:cNvPr>
        <xdr:cNvSpPr txBox="1">
          <a:spLocks noChangeArrowheads="1"/>
        </xdr:cNvSpPr>
      </xdr:nvSpPr>
      <xdr:spPr bwMode="auto">
        <a:xfrm>
          <a:off x="91586" y="14859000"/>
          <a:ext cx="1704242" cy="7327"/>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000" b="1" i="0" strike="noStrike">
              <a:solidFill>
                <a:srgbClr val="3366FF"/>
              </a:solidFill>
              <a:latin typeface="Arial"/>
              <a:cs typeface="Arial"/>
            </a:rPr>
            <a:t>RECONSTRUCCIÓN</a:t>
          </a:r>
        </a:p>
      </xdr:txBody>
    </xdr:sp>
    <xdr:clientData/>
  </xdr:twoCellAnchor>
  <xdr:twoCellAnchor editAs="oneCell">
    <xdr:from>
      <xdr:col>0</xdr:col>
      <xdr:colOff>0</xdr:colOff>
      <xdr:row>0</xdr:row>
      <xdr:rowOff>0</xdr:rowOff>
    </xdr:from>
    <xdr:to>
      <xdr:col>57</xdr:col>
      <xdr:colOff>19050</xdr:colOff>
      <xdr:row>9</xdr:row>
      <xdr:rowOff>9525</xdr:rowOff>
    </xdr:to>
    <xdr:pic>
      <xdr:nvPicPr>
        <xdr:cNvPr id="7" name="Imagen 29">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1193" b="2026"/>
        <a:stretch>
          <a:fillRect/>
        </a:stretch>
      </xdr:blipFill>
      <xdr:spPr bwMode="auto">
        <a:xfrm>
          <a:off x="0" y="0"/>
          <a:ext cx="66579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41</xdr:col>
      <xdr:colOff>76200</xdr:colOff>
      <xdr:row>55</xdr:row>
      <xdr:rowOff>0</xdr:rowOff>
    </xdr:from>
    <xdr:to>
      <xdr:col>43</xdr:col>
      <xdr:colOff>152400</xdr:colOff>
      <xdr:row>55</xdr:row>
      <xdr:rowOff>0</xdr:rowOff>
    </xdr:to>
    <xdr:sp macro="" textlink="">
      <xdr:nvSpPr>
        <xdr:cNvPr id="2" name="Line 2">
          <a:extLst>
            <a:ext uri="{FF2B5EF4-FFF2-40B4-BE49-F238E27FC236}">
              <a16:creationId xmlns:a16="http://schemas.microsoft.com/office/drawing/2014/main" id="{EF62129B-1FEC-47FD-AB2C-9B2CDFF760D5}"/>
            </a:ext>
          </a:extLst>
        </xdr:cNvPr>
        <xdr:cNvSpPr>
          <a:spLocks noChangeShapeType="1"/>
        </xdr:cNvSpPr>
      </xdr:nvSpPr>
      <xdr:spPr bwMode="auto">
        <a:xfrm>
          <a:off x="8391525" y="6819900"/>
          <a:ext cx="3619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38100</xdr:colOff>
      <xdr:row>11</xdr:row>
      <xdr:rowOff>28575</xdr:rowOff>
    </xdr:from>
    <xdr:to>
      <xdr:col>7</xdr:col>
      <xdr:colOff>161925</xdr:colOff>
      <xdr:row>11</xdr:row>
      <xdr:rowOff>142875</xdr:rowOff>
    </xdr:to>
    <xdr:sp macro="" textlink="">
      <xdr:nvSpPr>
        <xdr:cNvPr id="3" name="Rectangle 3">
          <a:extLst>
            <a:ext uri="{FF2B5EF4-FFF2-40B4-BE49-F238E27FC236}">
              <a16:creationId xmlns:a16="http://schemas.microsoft.com/office/drawing/2014/main" id="{C7EB5D34-A13C-4881-8B7D-E4C805249B0B}"/>
            </a:ext>
          </a:extLst>
        </xdr:cNvPr>
        <xdr:cNvSpPr>
          <a:spLocks noChangeArrowheads="1"/>
        </xdr:cNvSpPr>
      </xdr:nvSpPr>
      <xdr:spPr bwMode="auto">
        <a:xfrm>
          <a:off x="1676400" y="1390650"/>
          <a:ext cx="123825" cy="114300"/>
        </a:xfrm>
        <a:prstGeom prst="rect">
          <a:avLst/>
        </a:prstGeom>
        <a:solidFill>
          <a:srgbClr val="FFFFFF"/>
        </a:solidFill>
        <a:ln w="9525">
          <a:solidFill>
            <a:srgbClr val="000000"/>
          </a:solidFill>
          <a:miter lim="800000"/>
          <a:headEnd/>
          <a:tailEnd/>
        </a:ln>
      </xdr:spPr>
    </xdr:sp>
    <xdr:clientData/>
  </xdr:twoCellAnchor>
  <xdr:twoCellAnchor>
    <xdr:from>
      <xdr:col>9</xdr:col>
      <xdr:colOff>38100</xdr:colOff>
      <xdr:row>11</xdr:row>
      <xdr:rowOff>28575</xdr:rowOff>
    </xdr:from>
    <xdr:to>
      <xdr:col>9</xdr:col>
      <xdr:colOff>161925</xdr:colOff>
      <xdr:row>11</xdr:row>
      <xdr:rowOff>142875</xdr:rowOff>
    </xdr:to>
    <xdr:sp macro="" textlink="">
      <xdr:nvSpPr>
        <xdr:cNvPr id="4" name="Rectangle 4">
          <a:extLst>
            <a:ext uri="{FF2B5EF4-FFF2-40B4-BE49-F238E27FC236}">
              <a16:creationId xmlns:a16="http://schemas.microsoft.com/office/drawing/2014/main" id="{37042965-596B-4893-AB34-44A617501FCD}"/>
            </a:ext>
          </a:extLst>
        </xdr:cNvPr>
        <xdr:cNvSpPr>
          <a:spLocks noChangeArrowheads="1"/>
        </xdr:cNvSpPr>
      </xdr:nvSpPr>
      <xdr:spPr bwMode="auto">
        <a:xfrm>
          <a:off x="2095500" y="1390650"/>
          <a:ext cx="123825"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76200</xdr:colOff>
      <xdr:row>11</xdr:row>
      <xdr:rowOff>38100</xdr:rowOff>
    </xdr:from>
    <xdr:to>
      <xdr:col>11</xdr:col>
      <xdr:colOff>209550</xdr:colOff>
      <xdr:row>11</xdr:row>
      <xdr:rowOff>152400</xdr:rowOff>
    </xdr:to>
    <xdr:sp macro="" textlink="">
      <xdr:nvSpPr>
        <xdr:cNvPr id="5" name="Rectangle 5">
          <a:extLst>
            <a:ext uri="{FF2B5EF4-FFF2-40B4-BE49-F238E27FC236}">
              <a16:creationId xmlns:a16="http://schemas.microsoft.com/office/drawing/2014/main" id="{CBF778FF-D94A-4494-9775-22450B482B54}"/>
            </a:ext>
          </a:extLst>
        </xdr:cNvPr>
        <xdr:cNvSpPr>
          <a:spLocks noChangeArrowheads="1"/>
        </xdr:cNvSpPr>
      </xdr:nvSpPr>
      <xdr:spPr bwMode="auto">
        <a:xfrm>
          <a:off x="2409825" y="1400175"/>
          <a:ext cx="1333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38100</xdr:colOff>
      <xdr:row>11</xdr:row>
      <xdr:rowOff>28575</xdr:rowOff>
    </xdr:from>
    <xdr:to>
      <xdr:col>13</xdr:col>
      <xdr:colOff>161925</xdr:colOff>
      <xdr:row>11</xdr:row>
      <xdr:rowOff>142875</xdr:rowOff>
    </xdr:to>
    <xdr:sp macro="" textlink="">
      <xdr:nvSpPr>
        <xdr:cNvPr id="6" name="Rectangle 6">
          <a:extLst>
            <a:ext uri="{FF2B5EF4-FFF2-40B4-BE49-F238E27FC236}">
              <a16:creationId xmlns:a16="http://schemas.microsoft.com/office/drawing/2014/main" id="{A52A590D-921D-4E12-AFA2-2936D2A5212B}"/>
            </a:ext>
          </a:extLst>
        </xdr:cNvPr>
        <xdr:cNvSpPr>
          <a:spLocks noChangeArrowheads="1"/>
        </xdr:cNvSpPr>
      </xdr:nvSpPr>
      <xdr:spPr bwMode="auto">
        <a:xfrm>
          <a:off x="2819400" y="1390650"/>
          <a:ext cx="123825"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38100</xdr:colOff>
      <xdr:row>11</xdr:row>
      <xdr:rowOff>28575</xdr:rowOff>
    </xdr:from>
    <xdr:to>
      <xdr:col>15</xdr:col>
      <xdr:colOff>161925</xdr:colOff>
      <xdr:row>11</xdr:row>
      <xdr:rowOff>142875</xdr:rowOff>
    </xdr:to>
    <xdr:sp macro="" textlink="">
      <xdr:nvSpPr>
        <xdr:cNvPr id="7" name="Rectangle 7">
          <a:extLst>
            <a:ext uri="{FF2B5EF4-FFF2-40B4-BE49-F238E27FC236}">
              <a16:creationId xmlns:a16="http://schemas.microsoft.com/office/drawing/2014/main" id="{106452A4-3F46-479B-A1F1-5828DEC30C86}"/>
            </a:ext>
          </a:extLst>
        </xdr:cNvPr>
        <xdr:cNvSpPr>
          <a:spLocks noChangeArrowheads="1"/>
        </xdr:cNvSpPr>
      </xdr:nvSpPr>
      <xdr:spPr bwMode="auto">
        <a:xfrm>
          <a:off x="3228975" y="1390650"/>
          <a:ext cx="123825" cy="114300"/>
        </a:xfrm>
        <a:prstGeom prst="rect">
          <a:avLst/>
        </a:prstGeom>
        <a:solidFill>
          <a:srgbClr val="FFFFFF"/>
        </a:solidFill>
        <a:ln w="9525">
          <a:solidFill>
            <a:srgbClr val="000000"/>
          </a:solidFill>
          <a:miter lim="800000"/>
          <a:headEnd/>
          <a:tailEnd/>
        </a:ln>
      </xdr:spPr>
    </xdr:sp>
    <xdr:clientData/>
  </xdr:twoCellAnchor>
  <xdr:twoCellAnchor editAs="oneCell">
    <xdr:from>
      <xdr:col>28</xdr:col>
      <xdr:colOff>9525</xdr:colOff>
      <xdr:row>96</xdr:row>
      <xdr:rowOff>13244</xdr:rowOff>
    </xdr:from>
    <xdr:to>
      <xdr:col>39</xdr:col>
      <xdr:colOff>178776</xdr:colOff>
      <xdr:row>102</xdr:row>
      <xdr:rowOff>145806</xdr:rowOff>
    </xdr:to>
    <xdr:pic>
      <xdr:nvPicPr>
        <xdr:cNvPr id="8" name="8 Imagen">
          <a:extLst>
            <a:ext uri="{FF2B5EF4-FFF2-40B4-BE49-F238E27FC236}">
              <a16:creationId xmlns:a16="http://schemas.microsoft.com/office/drawing/2014/main" id="{7A8BB642-E9E6-4077-830A-714778A016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5791200" y="13433969"/>
          <a:ext cx="2169501" cy="923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58</xdr:row>
      <xdr:rowOff>181811</xdr:rowOff>
    </xdr:from>
    <xdr:to>
      <xdr:col>31</xdr:col>
      <xdr:colOff>107847</xdr:colOff>
      <xdr:row>68</xdr:row>
      <xdr:rowOff>34636</xdr:rowOff>
    </xdr:to>
    <xdr:pic>
      <xdr:nvPicPr>
        <xdr:cNvPr id="2" name="Imagen 1">
          <a:extLst>
            <a:ext uri="{FF2B5EF4-FFF2-40B4-BE49-F238E27FC236}">
              <a16:creationId xmlns:a16="http://schemas.microsoft.com/office/drawing/2014/main" id="{AAFA3E5E-C6CB-43AF-B76B-AAEC6225D78B}"/>
            </a:ext>
          </a:extLst>
        </xdr:cNvPr>
        <xdr:cNvPicPr>
          <a:picLocks noChangeAspect="1"/>
        </xdr:cNvPicPr>
      </xdr:nvPicPr>
      <xdr:blipFill>
        <a:blip xmlns:r="http://schemas.openxmlformats.org/officeDocument/2006/relationships" r:embed="rId1"/>
        <a:stretch>
          <a:fillRect/>
        </a:stretch>
      </xdr:blipFill>
      <xdr:spPr>
        <a:xfrm>
          <a:off x="285751" y="11230811"/>
          <a:ext cx="8680346" cy="17578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149680</xdr:colOff>
      <xdr:row>17</xdr:row>
      <xdr:rowOff>108858</xdr:rowOff>
    </xdr:from>
    <xdr:to>
      <xdr:col>13</xdr:col>
      <xdr:colOff>285751</xdr:colOff>
      <xdr:row>30</xdr:row>
      <xdr:rowOff>163286</xdr:rowOff>
    </xdr:to>
    <xdr:sp macro="" textlink="">
      <xdr:nvSpPr>
        <xdr:cNvPr id="2" name="9 Rectángulo redondeado">
          <a:extLst>
            <a:ext uri="{FF2B5EF4-FFF2-40B4-BE49-F238E27FC236}">
              <a16:creationId xmlns:a16="http://schemas.microsoft.com/office/drawing/2014/main" id="{00000000-0008-0000-0200-000002000000}"/>
            </a:ext>
          </a:extLst>
        </xdr:cNvPr>
        <xdr:cNvSpPr/>
      </xdr:nvSpPr>
      <xdr:spPr>
        <a:xfrm>
          <a:off x="1521280" y="623208"/>
          <a:ext cx="3222171" cy="2654753"/>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0</xdr:col>
      <xdr:colOff>154641</xdr:colOff>
      <xdr:row>15</xdr:row>
      <xdr:rowOff>12887</xdr:rowOff>
    </xdr:from>
    <xdr:to>
      <xdr:col>5</xdr:col>
      <xdr:colOff>88012</xdr:colOff>
      <xdr:row>16</xdr:row>
      <xdr:rowOff>237005</xdr:rowOff>
    </xdr:to>
    <xdr:pic>
      <xdr:nvPicPr>
        <xdr:cNvPr id="3" name="5 Imagen" descr="http://cdn.larepublica.pe/sites/default/files/imagecache/img_noticia_640x384/imagen/2014/04/07/imagen-bcp.jpg">
          <a:extLst>
            <a:ext uri="{FF2B5EF4-FFF2-40B4-BE49-F238E27FC236}">
              <a16:creationId xmlns:a16="http://schemas.microsoft.com/office/drawing/2014/main" id="{00000000-0008-0000-0200-000003000000}"/>
            </a:ext>
          </a:extLst>
        </xdr:cNvPr>
        <xdr:cNvPicPr>
          <a:picLocks noChangeAspect="1" noChangeArrowheads="1"/>
        </xdr:cNvPicPr>
      </xdr:nvPicPr>
      <xdr:blipFill rotWithShape="1">
        <a:blip xmlns:r="http://schemas.openxmlformats.org/officeDocument/2006/relationships" r:embed="rId1" cstate="print">
          <a:clrChange>
            <a:clrFrom>
              <a:srgbClr val="003F97"/>
            </a:clrFrom>
            <a:clrTo>
              <a:srgbClr val="003F97">
                <a:alpha val="0"/>
              </a:srgbClr>
            </a:clrTo>
          </a:clrChange>
          <a:extLst>
            <a:ext uri="{28A0092B-C50C-407E-A947-70E740481C1C}">
              <a14:useLocalDpi xmlns:a14="http://schemas.microsoft.com/office/drawing/2010/main" val="0"/>
            </a:ext>
          </a:extLst>
        </a:blip>
        <a:srcRect t="25881" b="26499"/>
        <a:stretch/>
      </xdr:blipFill>
      <xdr:spPr bwMode="auto">
        <a:xfrm>
          <a:off x="154641" y="12887"/>
          <a:ext cx="1647871" cy="481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43544</xdr:colOff>
      <xdr:row>17</xdr:row>
      <xdr:rowOff>97972</xdr:rowOff>
    </xdr:from>
    <xdr:to>
      <xdr:col>26</xdr:col>
      <xdr:colOff>179615</xdr:colOff>
      <xdr:row>30</xdr:row>
      <xdr:rowOff>136071</xdr:rowOff>
    </xdr:to>
    <xdr:sp macro="" textlink="">
      <xdr:nvSpPr>
        <xdr:cNvPr id="4" name="9 Rectángulo redondeado">
          <a:extLst>
            <a:ext uri="{FF2B5EF4-FFF2-40B4-BE49-F238E27FC236}">
              <a16:creationId xmlns:a16="http://schemas.microsoft.com/office/drawing/2014/main" id="{00000000-0008-0000-0200-000004000000}"/>
            </a:ext>
          </a:extLst>
        </xdr:cNvPr>
        <xdr:cNvSpPr/>
      </xdr:nvSpPr>
      <xdr:spPr>
        <a:xfrm>
          <a:off x="5872844" y="612322"/>
          <a:ext cx="3222171" cy="2638424"/>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0</xdr:col>
      <xdr:colOff>276225</xdr:colOff>
      <xdr:row>113</xdr:row>
      <xdr:rowOff>133350</xdr:rowOff>
    </xdr:from>
    <xdr:to>
      <xdr:col>6</xdr:col>
      <xdr:colOff>98613</xdr:colOff>
      <xdr:row>113</xdr:row>
      <xdr:rowOff>588413</xdr:rowOff>
    </xdr:to>
    <xdr:pic>
      <xdr:nvPicPr>
        <xdr:cNvPr id="5" name="Imagen 7">
          <a:extLst>
            <a:ext uri="{FF2B5EF4-FFF2-40B4-BE49-F238E27FC236}">
              <a16:creationId xmlns:a16="http://schemas.microsoft.com/office/drawing/2014/main" id="{D8471FC1-7AF3-4565-AC9E-70F00A9AA6E8}"/>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76225" y="20107275"/>
          <a:ext cx="1879788" cy="455063"/>
        </a:xfrm>
        <a:prstGeom prst="rect">
          <a:avLst/>
        </a:prstGeom>
      </xdr:spPr>
    </xdr:pic>
    <xdr:clientData/>
  </xdr:twoCellAnchor>
  <xdr:twoCellAnchor editAs="oneCell">
    <xdr:from>
      <xdr:col>21</xdr:col>
      <xdr:colOff>219075</xdr:colOff>
      <xdr:row>112</xdr:row>
      <xdr:rowOff>28575</xdr:rowOff>
    </xdr:from>
    <xdr:to>
      <xdr:col>28</xdr:col>
      <xdr:colOff>223373</xdr:colOff>
      <xdr:row>114</xdr:row>
      <xdr:rowOff>95250</xdr:rowOff>
    </xdr:to>
    <xdr:pic>
      <xdr:nvPicPr>
        <xdr:cNvPr id="6" name="30 Imagen">
          <a:extLst>
            <a:ext uri="{FF2B5EF4-FFF2-40B4-BE49-F238E27FC236}">
              <a16:creationId xmlns:a16="http://schemas.microsoft.com/office/drawing/2014/main" id="{05369A8E-D2B9-4F24-9286-D440A93C67F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7574" b="7021"/>
        <a:stretch>
          <a:fillRect/>
        </a:stretch>
      </xdr:blipFill>
      <xdr:spPr bwMode="auto">
        <a:xfrm>
          <a:off x="7419975" y="19802475"/>
          <a:ext cx="2404598" cy="1228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154641</xdr:colOff>
      <xdr:row>15</xdr:row>
      <xdr:rowOff>22412</xdr:rowOff>
    </xdr:from>
    <xdr:to>
      <xdr:col>5</xdr:col>
      <xdr:colOff>88012</xdr:colOff>
      <xdr:row>16</xdr:row>
      <xdr:rowOff>246530</xdr:rowOff>
    </xdr:to>
    <xdr:pic>
      <xdr:nvPicPr>
        <xdr:cNvPr id="7" name="5 Imagen" descr="http://cdn.larepublica.pe/sites/default/files/imagecache/img_noticia_640x384/imagen/2014/04/07/imagen-bcp.jpg">
          <a:extLst>
            <a:ext uri="{FF2B5EF4-FFF2-40B4-BE49-F238E27FC236}">
              <a16:creationId xmlns:a16="http://schemas.microsoft.com/office/drawing/2014/main" id="{02CC22FB-A93F-4829-AC54-0395BF3D9D98}"/>
            </a:ext>
          </a:extLst>
        </xdr:cNvPr>
        <xdr:cNvPicPr>
          <a:picLocks noChangeAspect="1" noChangeArrowheads="1"/>
        </xdr:cNvPicPr>
      </xdr:nvPicPr>
      <xdr:blipFill rotWithShape="1">
        <a:blip xmlns:r="http://schemas.openxmlformats.org/officeDocument/2006/relationships" r:embed="rId1" cstate="print">
          <a:clrChange>
            <a:clrFrom>
              <a:srgbClr val="003F97"/>
            </a:clrFrom>
            <a:clrTo>
              <a:srgbClr val="003F97">
                <a:alpha val="0"/>
              </a:srgbClr>
            </a:clrTo>
          </a:clrChange>
          <a:extLst>
            <a:ext uri="{28A0092B-C50C-407E-A947-70E740481C1C}">
              <a14:useLocalDpi xmlns:a14="http://schemas.microsoft.com/office/drawing/2010/main" val="0"/>
            </a:ext>
          </a:extLst>
        </a:blip>
        <a:srcRect t="25881" b="26499"/>
        <a:stretch/>
      </xdr:blipFill>
      <xdr:spPr bwMode="auto">
        <a:xfrm>
          <a:off x="154641" y="2918012"/>
          <a:ext cx="1647871" cy="481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154641</xdr:colOff>
      <xdr:row>15</xdr:row>
      <xdr:rowOff>22412</xdr:rowOff>
    </xdr:from>
    <xdr:to>
      <xdr:col>5</xdr:col>
      <xdr:colOff>88012</xdr:colOff>
      <xdr:row>16</xdr:row>
      <xdr:rowOff>246530</xdr:rowOff>
    </xdr:to>
    <xdr:pic>
      <xdr:nvPicPr>
        <xdr:cNvPr id="8" name="5 Imagen" descr="http://cdn.larepublica.pe/sites/default/files/imagecache/img_noticia_640x384/imagen/2014/04/07/imagen-bcp.jpg">
          <a:extLst>
            <a:ext uri="{FF2B5EF4-FFF2-40B4-BE49-F238E27FC236}">
              <a16:creationId xmlns:a16="http://schemas.microsoft.com/office/drawing/2014/main" id="{27E33307-4408-4427-8B84-65ABBE5A3837}"/>
            </a:ext>
          </a:extLst>
        </xdr:cNvPr>
        <xdr:cNvPicPr>
          <a:picLocks noChangeAspect="1" noChangeArrowheads="1"/>
        </xdr:cNvPicPr>
      </xdr:nvPicPr>
      <xdr:blipFill rotWithShape="1">
        <a:blip xmlns:r="http://schemas.openxmlformats.org/officeDocument/2006/relationships" r:embed="rId1" cstate="print">
          <a:clrChange>
            <a:clrFrom>
              <a:srgbClr val="003F97"/>
            </a:clrFrom>
            <a:clrTo>
              <a:srgbClr val="003F97">
                <a:alpha val="0"/>
              </a:srgbClr>
            </a:clrTo>
          </a:clrChange>
          <a:extLst>
            <a:ext uri="{28A0092B-C50C-407E-A947-70E740481C1C}">
              <a14:useLocalDpi xmlns:a14="http://schemas.microsoft.com/office/drawing/2010/main" val="0"/>
            </a:ext>
          </a:extLst>
        </a:blip>
        <a:srcRect t="25881" b="26499"/>
        <a:stretch/>
      </xdr:blipFill>
      <xdr:spPr bwMode="auto">
        <a:xfrm>
          <a:off x="154641" y="2918012"/>
          <a:ext cx="1647871" cy="481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149680</xdr:colOff>
      <xdr:row>17</xdr:row>
      <xdr:rowOff>108858</xdr:rowOff>
    </xdr:from>
    <xdr:to>
      <xdr:col>13</xdr:col>
      <xdr:colOff>285751</xdr:colOff>
      <xdr:row>30</xdr:row>
      <xdr:rowOff>163286</xdr:rowOff>
    </xdr:to>
    <xdr:sp macro="" textlink="">
      <xdr:nvSpPr>
        <xdr:cNvPr id="2" name="9 Rectángulo redondeado">
          <a:extLst>
            <a:ext uri="{FF2B5EF4-FFF2-40B4-BE49-F238E27FC236}">
              <a16:creationId xmlns:a16="http://schemas.microsoft.com/office/drawing/2014/main" id="{00000000-0008-0000-0300-000002000000}"/>
            </a:ext>
          </a:extLst>
        </xdr:cNvPr>
        <xdr:cNvSpPr/>
      </xdr:nvSpPr>
      <xdr:spPr>
        <a:xfrm>
          <a:off x="1521280" y="623208"/>
          <a:ext cx="3222171" cy="2654753"/>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0</xdr:col>
      <xdr:colOff>154641</xdr:colOff>
      <xdr:row>15</xdr:row>
      <xdr:rowOff>22412</xdr:rowOff>
    </xdr:from>
    <xdr:to>
      <xdr:col>5</xdr:col>
      <xdr:colOff>88012</xdr:colOff>
      <xdr:row>16</xdr:row>
      <xdr:rowOff>246530</xdr:rowOff>
    </xdr:to>
    <xdr:pic>
      <xdr:nvPicPr>
        <xdr:cNvPr id="3" name="5 Imagen" descr="http://cdn.larepublica.pe/sites/default/files/imagecache/img_noticia_640x384/imagen/2014/04/07/imagen-bcp.jpg">
          <a:extLst>
            <a:ext uri="{FF2B5EF4-FFF2-40B4-BE49-F238E27FC236}">
              <a16:creationId xmlns:a16="http://schemas.microsoft.com/office/drawing/2014/main" id="{00000000-0008-0000-0300-000003000000}"/>
            </a:ext>
          </a:extLst>
        </xdr:cNvPr>
        <xdr:cNvPicPr>
          <a:picLocks noChangeAspect="1" noChangeArrowheads="1"/>
        </xdr:cNvPicPr>
      </xdr:nvPicPr>
      <xdr:blipFill rotWithShape="1">
        <a:blip xmlns:r="http://schemas.openxmlformats.org/officeDocument/2006/relationships" r:embed="rId1" cstate="print">
          <a:clrChange>
            <a:clrFrom>
              <a:srgbClr val="003F97"/>
            </a:clrFrom>
            <a:clrTo>
              <a:srgbClr val="003F97">
                <a:alpha val="0"/>
              </a:srgbClr>
            </a:clrTo>
          </a:clrChange>
          <a:extLst>
            <a:ext uri="{28A0092B-C50C-407E-A947-70E740481C1C}">
              <a14:useLocalDpi xmlns:a14="http://schemas.microsoft.com/office/drawing/2010/main" val="0"/>
            </a:ext>
          </a:extLst>
        </a:blip>
        <a:srcRect t="25881" b="26499"/>
        <a:stretch/>
      </xdr:blipFill>
      <xdr:spPr bwMode="auto">
        <a:xfrm>
          <a:off x="154641" y="22412"/>
          <a:ext cx="1647871" cy="481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43544</xdr:colOff>
      <xdr:row>17</xdr:row>
      <xdr:rowOff>97972</xdr:rowOff>
    </xdr:from>
    <xdr:to>
      <xdr:col>26</xdr:col>
      <xdr:colOff>179615</xdr:colOff>
      <xdr:row>30</xdr:row>
      <xdr:rowOff>136071</xdr:rowOff>
    </xdr:to>
    <xdr:sp macro="" textlink="">
      <xdr:nvSpPr>
        <xdr:cNvPr id="4" name="9 Rectángulo redondeado">
          <a:extLst>
            <a:ext uri="{FF2B5EF4-FFF2-40B4-BE49-F238E27FC236}">
              <a16:creationId xmlns:a16="http://schemas.microsoft.com/office/drawing/2014/main" id="{00000000-0008-0000-0300-000004000000}"/>
            </a:ext>
          </a:extLst>
        </xdr:cNvPr>
        <xdr:cNvSpPr/>
      </xdr:nvSpPr>
      <xdr:spPr>
        <a:xfrm>
          <a:off x="5872844" y="612322"/>
          <a:ext cx="3222171" cy="2638424"/>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8</xdr:col>
      <xdr:colOff>304000</xdr:colOff>
      <xdr:row>23</xdr:row>
      <xdr:rowOff>10056</xdr:rowOff>
    </xdr:from>
    <xdr:to>
      <xdr:col>10</xdr:col>
      <xdr:colOff>224677</xdr:colOff>
      <xdr:row>25</xdr:row>
      <xdr:rowOff>155201</xdr:rowOff>
    </xdr:to>
    <xdr:sp macro="" textlink="">
      <xdr:nvSpPr>
        <xdr:cNvPr id="6" name="Oval 58">
          <a:extLst>
            <a:ext uri="{FF2B5EF4-FFF2-40B4-BE49-F238E27FC236}">
              <a16:creationId xmlns:a16="http://schemas.microsoft.com/office/drawing/2014/main" id="{00000000-0008-0000-0300-000006000000}"/>
            </a:ext>
          </a:extLst>
        </xdr:cNvPr>
        <xdr:cNvSpPr>
          <a:spLocks noChangeArrowheads="1"/>
        </xdr:cNvSpPr>
      </xdr:nvSpPr>
      <xdr:spPr bwMode="auto">
        <a:xfrm>
          <a:off x="3083059" y="4638085"/>
          <a:ext cx="615442" cy="548557"/>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154641</xdr:colOff>
      <xdr:row>15</xdr:row>
      <xdr:rowOff>22412</xdr:rowOff>
    </xdr:from>
    <xdr:to>
      <xdr:col>5</xdr:col>
      <xdr:colOff>88012</xdr:colOff>
      <xdr:row>16</xdr:row>
      <xdr:rowOff>246530</xdr:rowOff>
    </xdr:to>
    <xdr:pic>
      <xdr:nvPicPr>
        <xdr:cNvPr id="8" name="5 Imagen" descr="http://cdn.larepublica.pe/sites/default/files/imagecache/img_noticia_640x384/imagen/2014/04/07/imagen-bcp.jpg">
          <a:extLst>
            <a:ext uri="{FF2B5EF4-FFF2-40B4-BE49-F238E27FC236}">
              <a16:creationId xmlns:a16="http://schemas.microsoft.com/office/drawing/2014/main" id="{00000000-0008-0000-0300-000008000000}"/>
            </a:ext>
          </a:extLst>
        </xdr:cNvPr>
        <xdr:cNvPicPr>
          <a:picLocks noChangeAspect="1" noChangeArrowheads="1"/>
        </xdr:cNvPicPr>
      </xdr:nvPicPr>
      <xdr:blipFill rotWithShape="1">
        <a:blip xmlns:r="http://schemas.openxmlformats.org/officeDocument/2006/relationships" r:embed="rId1" cstate="print">
          <a:clrChange>
            <a:clrFrom>
              <a:srgbClr val="003F97"/>
            </a:clrFrom>
            <a:clrTo>
              <a:srgbClr val="003F97">
                <a:alpha val="0"/>
              </a:srgbClr>
            </a:clrTo>
          </a:clrChange>
          <a:extLst>
            <a:ext uri="{28A0092B-C50C-407E-A947-70E740481C1C}">
              <a14:useLocalDpi xmlns:a14="http://schemas.microsoft.com/office/drawing/2010/main" val="0"/>
            </a:ext>
          </a:extLst>
        </a:blip>
        <a:srcRect t="25881" b="26499"/>
        <a:stretch/>
      </xdr:blipFill>
      <xdr:spPr bwMode="auto">
        <a:xfrm>
          <a:off x="154641" y="2918012"/>
          <a:ext cx="1647871" cy="481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285750</xdr:colOff>
      <xdr:row>123</xdr:row>
      <xdr:rowOff>95249</xdr:rowOff>
    </xdr:from>
    <xdr:to>
      <xdr:col>28</xdr:col>
      <xdr:colOff>290048</xdr:colOff>
      <xdr:row>126</xdr:row>
      <xdr:rowOff>104774</xdr:rowOff>
    </xdr:to>
    <xdr:pic>
      <xdr:nvPicPr>
        <xdr:cNvPr id="10" name="30 Imagen">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7574" b="7021"/>
        <a:stretch>
          <a:fillRect/>
        </a:stretch>
      </xdr:blipFill>
      <xdr:spPr bwMode="auto">
        <a:xfrm>
          <a:off x="7486650" y="21631274"/>
          <a:ext cx="2404598" cy="1228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323289</xdr:colOff>
      <xdr:row>124</xdr:row>
      <xdr:rowOff>109257</xdr:rowOff>
    </xdr:from>
    <xdr:to>
      <xdr:col>6</xdr:col>
      <xdr:colOff>145677</xdr:colOff>
      <xdr:row>125</xdr:row>
      <xdr:rowOff>364295</xdr:rowOff>
    </xdr:to>
    <xdr:pic>
      <xdr:nvPicPr>
        <xdr:cNvPr id="5" name="Imagen 7">
          <a:extLst>
            <a:ext uri="{FF2B5EF4-FFF2-40B4-BE49-F238E27FC236}">
              <a16:creationId xmlns:a16="http://schemas.microsoft.com/office/drawing/2014/main" id="{1ED90D0B-98B7-4D06-A57F-C9CFDE950FEB}"/>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23289" y="20593610"/>
          <a:ext cx="1906682" cy="456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328406</xdr:colOff>
      <xdr:row>11</xdr:row>
      <xdr:rowOff>114715</xdr:rowOff>
    </xdr:from>
    <xdr:to>
      <xdr:col>6</xdr:col>
      <xdr:colOff>10353</xdr:colOff>
      <xdr:row>14</xdr:row>
      <xdr:rowOff>1</xdr:rowOff>
    </xdr:to>
    <xdr:pic>
      <xdr:nvPicPr>
        <xdr:cNvPr id="7" name="Imagen 6">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28406" y="114715"/>
          <a:ext cx="1739347" cy="487042"/>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323850</xdr:colOff>
      <xdr:row>11</xdr:row>
      <xdr:rowOff>114300</xdr:rowOff>
    </xdr:from>
    <xdr:to>
      <xdr:col>6</xdr:col>
      <xdr:colOff>28209</xdr:colOff>
      <xdr:row>14</xdr:row>
      <xdr:rowOff>0</xdr:rowOff>
    </xdr:to>
    <xdr:pic>
      <xdr:nvPicPr>
        <xdr:cNvPr id="5" name="Imagen 4">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23850" y="114300"/>
          <a:ext cx="1761759" cy="492085"/>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52519</xdr:colOff>
      <xdr:row>45</xdr:row>
      <xdr:rowOff>14715</xdr:rowOff>
    </xdr:from>
    <xdr:to>
      <xdr:col>28</xdr:col>
      <xdr:colOff>80378</xdr:colOff>
      <xdr:row>70</xdr:row>
      <xdr:rowOff>142875</xdr:rowOff>
    </xdr:to>
    <xdr:sp macro="" textlink="">
      <xdr:nvSpPr>
        <xdr:cNvPr id="6" name="9 Rectángulo redondeado">
          <a:extLst>
            <a:ext uri="{FF2B5EF4-FFF2-40B4-BE49-F238E27FC236}">
              <a16:creationId xmlns:a16="http://schemas.microsoft.com/office/drawing/2014/main" id="{00000000-0008-0000-0600-000006000000}"/>
            </a:ext>
          </a:extLst>
        </xdr:cNvPr>
        <xdr:cNvSpPr/>
      </xdr:nvSpPr>
      <xdr:spPr>
        <a:xfrm>
          <a:off x="738319" y="8215740"/>
          <a:ext cx="8943259" cy="5509785"/>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solidFill>
              <a:schemeClr val="accent2">
                <a:lumMod val="20000"/>
                <a:lumOff val="80000"/>
              </a:schemeClr>
            </a:solidFill>
          </a:endParaRPr>
        </a:p>
      </xdr:txBody>
    </xdr:sp>
    <xdr:clientData fLocksWithSheet="0"/>
  </xdr:twoCellAnchor>
  <xdr:twoCellAnchor editAs="oneCell">
    <xdr:from>
      <xdr:col>0</xdr:col>
      <xdr:colOff>302558</xdr:colOff>
      <xdr:row>11</xdr:row>
      <xdr:rowOff>145676</xdr:rowOff>
    </xdr:from>
    <xdr:to>
      <xdr:col>6</xdr:col>
      <xdr:colOff>2435</xdr:colOff>
      <xdr:row>14</xdr:row>
      <xdr:rowOff>37686</xdr:rowOff>
    </xdr:to>
    <xdr:pic>
      <xdr:nvPicPr>
        <xdr:cNvPr id="4" name="Imagen 3">
          <a:extLst>
            <a:ext uri="{FF2B5EF4-FFF2-40B4-BE49-F238E27FC236}">
              <a16:creationId xmlns:a16="http://schemas.microsoft.com/office/drawing/2014/main" id="{00000000-0008-0000-0600-000004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02558" y="145676"/>
          <a:ext cx="1784171" cy="497128"/>
        </a:xfrm>
        <a:prstGeom prst="rect">
          <a:avLst/>
        </a:prstGeom>
        <a:noFill/>
        <a:ln>
          <a:noFill/>
        </a:ln>
      </xdr:spPr>
    </xdr:pic>
    <xdr:clientData/>
  </xdr:twoCellAnchor>
  <xdr:twoCellAnchor>
    <xdr:from>
      <xdr:col>13</xdr:col>
      <xdr:colOff>19049</xdr:colOff>
      <xdr:row>72</xdr:row>
      <xdr:rowOff>23812</xdr:rowOff>
    </xdr:from>
    <xdr:to>
      <xdr:col>29</xdr:col>
      <xdr:colOff>114300</xdr:colOff>
      <xdr:row>84</xdr:row>
      <xdr:rowOff>142875</xdr:rowOff>
    </xdr:to>
    <xdr:graphicFrame macro="">
      <xdr:nvGraphicFramePr>
        <xdr:cNvPr id="2" name="Gráfico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304525</xdr:colOff>
      <xdr:row>56</xdr:row>
      <xdr:rowOff>9525</xdr:rowOff>
    </xdr:from>
    <xdr:to>
      <xdr:col>16</xdr:col>
      <xdr:colOff>342899</xdr:colOff>
      <xdr:row>59</xdr:row>
      <xdr:rowOff>131385</xdr:rowOff>
    </xdr:to>
    <xdr:sp macro="" textlink="">
      <xdr:nvSpPr>
        <xdr:cNvPr id="7" name="Oval 121">
          <a:extLst>
            <a:ext uri="{FF2B5EF4-FFF2-40B4-BE49-F238E27FC236}">
              <a16:creationId xmlns:a16="http://schemas.microsoft.com/office/drawing/2014/main" id="{00000000-0008-0000-0600-000007000000}"/>
            </a:ext>
          </a:extLst>
        </xdr:cNvPr>
        <xdr:cNvSpPr>
          <a:spLocks noChangeArrowheads="1"/>
        </xdr:cNvSpPr>
      </xdr:nvSpPr>
      <xdr:spPr bwMode="auto">
        <a:xfrm flipH="1">
          <a:off x="5105125" y="14001750"/>
          <a:ext cx="724174" cy="71241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17318</xdr:colOff>
      <xdr:row>61</xdr:row>
      <xdr:rowOff>86591</xdr:rowOff>
    </xdr:from>
    <xdr:to>
      <xdr:col>17</xdr:col>
      <xdr:colOff>155863</xdr:colOff>
      <xdr:row>63</xdr:row>
      <xdr:rowOff>129887</xdr:rowOff>
    </xdr:to>
    <xdr:sp macro="" textlink="">
      <xdr:nvSpPr>
        <xdr:cNvPr id="9" name="113 Elipse">
          <a:extLst>
            <a:ext uri="{FF2B5EF4-FFF2-40B4-BE49-F238E27FC236}">
              <a16:creationId xmlns:a16="http://schemas.microsoft.com/office/drawing/2014/main" id="{00000000-0008-0000-0600-000009000000}"/>
            </a:ext>
          </a:extLst>
        </xdr:cNvPr>
        <xdr:cNvSpPr/>
      </xdr:nvSpPr>
      <xdr:spPr bwMode="auto">
        <a:xfrm>
          <a:off x="5559136" y="11230841"/>
          <a:ext cx="484909" cy="441614"/>
        </a:xfrm>
        <a:prstGeom prst="ellipse">
          <a:avLst/>
        </a:prstGeom>
        <a:no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400" b="1"/>
            <a:t>2</a:t>
          </a:r>
          <a:endParaRPr lang="es-PE" sz="1100" b="1">
            <a:solidFill>
              <a:sysClr val="windowText" lastClr="000000"/>
            </a:solidFill>
          </a:endParaRPr>
        </a:p>
      </xdr:txBody>
    </xdr:sp>
    <xdr:clientData/>
  </xdr:twoCellAnchor>
  <xdr:twoCellAnchor>
    <xdr:from>
      <xdr:col>17</xdr:col>
      <xdr:colOff>250583</xdr:colOff>
      <xdr:row>61</xdr:row>
      <xdr:rowOff>76872</xdr:rowOff>
    </xdr:from>
    <xdr:to>
      <xdr:col>19</xdr:col>
      <xdr:colOff>48950</xdr:colOff>
      <xdr:row>63</xdr:row>
      <xdr:rowOff>120168</xdr:rowOff>
    </xdr:to>
    <xdr:sp macro="" textlink="">
      <xdr:nvSpPr>
        <xdr:cNvPr id="3" name="113 Elipse">
          <a:extLst>
            <a:ext uri="{FF2B5EF4-FFF2-40B4-BE49-F238E27FC236}">
              <a16:creationId xmlns:a16="http://schemas.microsoft.com/office/drawing/2014/main" id="{26D4EA61-89D4-B87E-4A53-1CDD674C6073}"/>
            </a:ext>
          </a:extLst>
        </xdr:cNvPr>
        <xdr:cNvSpPr/>
      </xdr:nvSpPr>
      <xdr:spPr bwMode="auto">
        <a:xfrm>
          <a:off x="6033619" y="16765061"/>
          <a:ext cx="478724" cy="451510"/>
        </a:xfrm>
        <a:prstGeom prst="ellipse">
          <a:avLst/>
        </a:prstGeom>
        <a:no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400" b="1"/>
            <a:t>1</a:t>
          </a:r>
          <a:endParaRPr lang="es-PE" sz="1100" b="1">
            <a:solidFill>
              <a:sysClr val="windowText" lastClr="000000"/>
            </a:solidFill>
          </a:endParaRPr>
        </a:p>
      </xdr:txBody>
    </xdr:sp>
    <xdr:clientData/>
  </xdr:twoCellAnchor>
  <xdr:twoCellAnchor>
    <xdr:from>
      <xdr:col>19</xdr:col>
      <xdr:colOff>240864</xdr:colOff>
      <xdr:row>60</xdr:row>
      <xdr:rowOff>37993</xdr:rowOff>
    </xdr:from>
    <xdr:to>
      <xdr:col>21</xdr:col>
      <xdr:colOff>39231</xdr:colOff>
      <xdr:row>62</xdr:row>
      <xdr:rowOff>81289</xdr:rowOff>
    </xdr:to>
    <xdr:sp macro="" textlink="">
      <xdr:nvSpPr>
        <xdr:cNvPr id="5" name="113 Elipse">
          <a:extLst>
            <a:ext uri="{FF2B5EF4-FFF2-40B4-BE49-F238E27FC236}">
              <a16:creationId xmlns:a16="http://schemas.microsoft.com/office/drawing/2014/main" id="{620772F4-5F76-9F76-1C6E-5235D623889A}"/>
            </a:ext>
          </a:extLst>
        </xdr:cNvPr>
        <xdr:cNvSpPr/>
      </xdr:nvSpPr>
      <xdr:spPr bwMode="auto">
        <a:xfrm>
          <a:off x="6704257" y="16522075"/>
          <a:ext cx="478724" cy="451510"/>
        </a:xfrm>
        <a:prstGeom prst="ellipse">
          <a:avLst/>
        </a:prstGeom>
        <a:no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400" b="1"/>
            <a:t>3</a:t>
          </a:r>
          <a:endParaRPr lang="es-PE" sz="1100" b="1">
            <a:solidFill>
              <a:sysClr val="windowText" lastClr="00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314325</xdr:colOff>
      <xdr:row>11</xdr:row>
      <xdr:rowOff>152400</xdr:rowOff>
    </xdr:from>
    <xdr:to>
      <xdr:col>5</xdr:col>
      <xdr:colOff>383996</xdr:colOff>
      <xdr:row>14</xdr:row>
      <xdr:rowOff>49453</xdr:rowOff>
    </xdr:to>
    <xdr:pic>
      <xdr:nvPicPr>
        <xdr:cNvPr id="2" name="Imagen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14325" y="152400"/>
          <a:ext cx="1784171" cy="497128"/>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314325</xdr:colOff>
      <xdr:row>0</xdr:row>
      <xdr:rowOff>152400</xdr:rowOff>
    </xdr:from>
    <xdr:to>
      <xdr:col>5</xdr:col>
      <xdr:colOff>383996</xdr:colOff>
      <xdr:row>3</xdr:row>
      <xdr:rowOff>49453</xdr:rowOff>
    </xdr:to>
    <xdr:pic>
      <xdr:nvPicPr>
        <xdr:cNvPr id="2" name="Imagen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14325" y="152400"/>
          <a:ext cx="1784171" cy="497128"/>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33618</xdr:colOff>
      <xdr:row>11</xdr:row>
      <xdr:rowOff>112059</xdr:rowOff>
    </xdr:from>
    <xdr:to>
      <xdr:col>6</xdr:col>
      <xdr:colOff>103289</xdr:colOff>
      <xdr:row>14</xdr:row>
      <xdr:rowOff>0</xdr:rowOff>
    </xdr:to>
    <xdr:pic>
      <xdr:nvPicPr>
        <xdr:cNvPr id="8" name="Imagen 7">
          <a:extLst>
            <a:ext uri="{FF2B5EF4-FFF2-40B4-BE49-F238E27FC236}">
              <a16:creationId xmlns:a16="http://schemas.microsoft.com/office/drawing/2014/main" id="{00000000-0008-0000-0900-000008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81000" y="112059"/>
          <a:ext cx="1806583" cy="502171"/>
        </a:xfrm>
        <a:prstGeom prst="rect">
          <a:avLst/>
        </a:prstGeom>
        <a:noFill/>
        <a:ln>
          <a:noFill/>
        </a:ln>
      </xdr:spPr>
    </xdr:pic>
    <xdr:clientData/>
  </xdr:twoCellAnchor>
  <xdr:twoCellAnchor>
    <xdr:from>
      <xdr:col>4</xdr:col>
      <xdr:colOff>86593</xdr:colOff>
      <xdr:row>51</xdr:row>
      <xdr:rowOff>99836</xdr:rowOff>
    </xdr:from>
    <xdr:to>
      <xdr:col>26</xdr:col>
      <xdr:colOff>112060</xdr:colOff>
      <xdr:row>71</xdr:row>
      <xdr:rowOff>93723</xdr:rowOff>
    </xdr:to>
    <xdr:sp macro="" textlink="">
      <xdr:nvSpPr>
        <xdr:cNvPr id="9" name="9 Rectángulo redondeado">
          <a:extLst>
            <a:ext uri="{FF2B5EF4-FFF2-40B4-BE49-F238E27FC236}">
              <a16:creationId xmlns:a16="http://schemas.microsoft.com/office/drawing/2014/main" id="{00000000-0008-0000-0900-000009000000}"/>
            </a:ext>
          </a:extLst>
        </xdr:cNvPr>
        <xdr:cNvSpPr/>
      </xdr:nvSpPr>
      <xdr:spPr>
        <a:xfrm>
          <a:off x="1476122" y="7361248"/>
          <a:ext cx="7723909" cy="4028004"/>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solidFill>
              <a:schemeClr val="accent2">
                <a:lumMod val="20000"/>
                <a:lumOff val="80000"/>
              </a:schemeClr>
            </a:solidFill>
          </a:endParaRPr>
        </a:p>
      </xdr:txBody>
    </xdr:sp>
    <xdr:clientData fLocksWithSheet="0"/>
  </xdr:twoCellAnchor>
  <xdr:twoCellAnchor>
    <xdr:from>
      <xdr:col>13</xdr:col>
      <xdr:colOff>66675</xdr:colOff>
      <xdr:row>72</xdr:row>
      <xdr:rowOff>9525</xdr:rowOff>
    </xdr:from>
    <xdr:to>
      <xdr:col>27</xdr:col>
      <xdr:colOff>28574</xdr:colOff>
      <xdr:row>82</xdr:row>
      <xdr:rowOff>142875</xdr:rowOff>
    </xdr:to>
    <xdr:graphicFrame macro="">
      <xdr:nvGraphicFramePr>
        <xdr:cNvPr id="11" name="Gráfico 10">
          <a:extLst>
            <a:ext uri="{FF2B5EF4-FFF2-40B4-BE49-F238E27FC236}">
              <a16:creationId xmlns:a16="http://schemas.microsoft.com/office/drawing/2014/main" id="{00000000-0008-0000-09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224862</xdr:colOff>
      <xdr:row>61</xdr:row>
      <xdr:rowOff>276225</xdr:rowOff>
    </xdr:from>
    <xdr:to>
      <xdr:col>18</xdr:col>
      <xdr:colOff>114299</xdr:colOff>
      <xdr:row>64</xdr:row>
      <xdr:rowOff>30938</xdr:rowOff>
    </xdr:to>
    <xdr:sp macro="" textlink="">
      <xdr:nvSpPr>
        <xdr:cNvPr id="5" name="Oval 121">
          <a:extLst>
            <a:ext uri="{FF2B5EF4-FFF2-40B4-BE49-F238E27FC236}">
              <a16:creationId xmlns:a16="http://schemas.microsoft.com/office/drawing/2014/main" id="{00000000-0008-0000-0900-000005000000}"/>
            </a:ext>
          </a:extLst>
        </xdr:cNvPr>
        <xdr:cNvSpPr>
          <a:spLocks noChangeArrowheads="1"/>
        </xdr:cNvSpPr>
      </xdr:nvSpPr>
      <xdr:spPr bwMode="auto">
        <a:xfrm flipH="1">
          <a:off x="5768412" y="12563475"/>
          <a:ext cx="575237" cy="602438"/>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0</xdr:colOff>
      <xdr:row>58</xdr:row>
      <xdr:rowOff>62204</xdr:rowOff>
    </xdr:from>
    <xdr:to>
      <xdr:col>16</xdr:col>
      <xdr:colOff>131342</xdr:colOff>
      <xdr:row>60</xdr:row>
      <xdr:rowOff>110302</xdr:rowOff>
    </xdr:to>
    <xdr:sp macro="" textlink="">
      <xdr:nvSpPr>
        <xdr:cNvPr id="2" name="113 Elipse">
          <a:extLst>
            <a:ext uri="{FF2B5EF4-FFF2-40B4-BE49-F238E27FC236}">
              <a16:creationId xmlns:a16="http://schemas.microsoft.com/office/drawing/2014/main" id="{969D51B0-F674-49FF-83FA-62C0FD5D1029}"/>
            </a:ext>
          </a:extLst>
        </xdr:cNvPr>
        <xdr:cNvSpPr/>
      </xdr:nvSpPr>
      <xdr:spPr bwMode="auto">
        <a:xfrm>
          <a:off x="5266765" y="13688557"/>
          <a:ext cx="478724" cy="451510"/>
        </a:xfrm>
        <a:prstGeom prst="ellipse">
          <a:avLst/>
        </a:prstGeom>
        <a:no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400" b="1"/>
            <a:t>2</a:t>
          </a:r>
          <a:endParaRPr lang="es-PE" sz="1100" b="1">
            <a:solidFill>
              <a:sysClr val="windowText" lastClr="000000"/>
            </a:solidFill>
          </a:endParaRPr>
        </a:p>
      </xdr:txBody>
    </xdr:sp>
    <xdr:clientData/>
  </xdr:twoCellAnchor>
  <xdr:twoCellAnchor>
    <xdr:from>
      <xdr:col>16</xdr:col>
      <xdr:colOff>226062</xdr:colOff>
      <xdr:row>58</xdr:row>
      <xdr:rowOff>52485</xdr:rowOff>
    </xdr:from>
    <xdr:to>
      <xdr:col>18</xdr:col>
      <xdr:colOff>10021</xdr:colOff>
      <xdr:row>60</xdr:row>
      <xdr:rowOff>100583</xdr:rowOff>
    </xdr:to>
    <xdr:sp macro="" textlink="">
      <xdr:nvSpPr>
        <xdr:cNvPr id="3" name="113 Elipse">
          <a:extLst>
            <a:ext uri="{FF2B5EF4-FFF2-40B4-BE49-F238E27FC236}">
              <a16:creationId xmlns:a16="http://schemas.microsoft.com/office/drawing/2014/main" id="{2D2D948C-8D6C-465A-BC5C-37EDCCED1DF3}"/>
            </a:ext>
          </a:extLst>
        </xdr:cNvPr>
        <xdr:cNvSpPr/>
      </xdr:nvSpPr>
      <xdr:spPr bwMode="auto">
        <a:xfrm>
          <a:off x="5840209" y="13678838"/>
          <a:ext cx="478724" cy="451510"/>
        </a:xfrm>
        <a:prstGeom prst="ellipse">
          <a:avLst/>
        </a:prstGeom>
        <a:no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400" b="1"/>
            <a:t>1</a:t>
          </a:r>
          <a:endParaRPr lang="es-PE" sz="1100" b="1">
            <a:solidFill>
              <a:sysClr val="windowText" lastClr="000000"/>
            </a:solidFill>
          </a:endParaRPr>
        </a:p>
      </xdr:txBody>
    </xdr:sp>
    <xdr:clientData/>
  </xdr:twoCellAnchor>
  <xdr:twoCellAnchor>
    <xdr:from>
      <xdr:col>18</xdr:col>
      <xdr:colOff>201935</xdr:colOff>
      <xdr:row>57</xdr:row>
      <xdr:rowOff>11205</xdr:rowOff>
    </xdr:from>
    <xdr:to>
      <xdr:col>19</xdr:col>
      <xdr:colOff>333277</xdr:colOff>
      <xdr:row>59</xdr:row>
      <xdr:rowOff>59303</xdr:rowOff>
    </xdr:to>
    <xdr:sp macro="" textlink="">
      <xdr:nvSpPr>
        <xdr:cNvPr id="4" name="113 Elipse">
          <a:extLst>
            <a:ext uri="{FF2B5EF4-FFF2-40B4-BE49-F238E27FC236}">
              <a16:creationId xmlns:a16="http://schemas.microsoft.com/office/drawing/2014/main" id="{848A7EFA-69A2-4CF9-9CD6-1BB41B3DD001}"/>
            </a:ext>
          </a:extLst>
        </xdr:cNvPr>
        <xdr:cNvSpPr/>
      </xdr:nvSpPr>
      <xdr:spPr bwMode="auto">
        <a:xfrm>
          <a:off x="6510847" y="13435852"/>
          <a:ext cx="478724" cy="451510"/>
        </a:xfrm>
        <a:prstGeom prst="ellipse">
          <a:avLst/>
        </a:prstGeom>
        <a:noFill/>
        <a:ln w="28575"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400" b="1"/>
            <a:t>3</a:t>
          </a:r>
          <a:endParaRPr lang="es-PE" sz="1100" b="1">
            <a:solidFill>
              <a:sysClr val="windowText" lastClr="00000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295275</xdr:colOff>
      <xdr:row>11</xdr:row>
      <xdr:rowOff>142875</xdr:rowOff>
    </xdr:from>
    <xdr:to>
      <xdr:col>6</xdr:col>
      <xdr:colOff>39364</xdr:colOff>
      <xdr:row>14</xdr:row>
      <xdr:rowOff>63308</xdr:rowOff>
    </xdr:to>
    <xdr:pic>
      <xdr:nvPicPr>
        <xdr:cNvPr id="8" name="Imagen 7">
          <a:extLst>
            <a:ext uri="{FF2B5EF4-FFF2-40B4-BE49-F238E27FC236}">
              <a16:creationId xmlns:a16="http://schemas.microsoft.com/office/drawing/2014/main" id="{00000000-0008-0000-0A00-000008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295275" y="142875"/>
          <a:ext cx="1801489" cy="520508"/>
        </a:xfrm>
        <a:prstGeom prst="rect">
          <a:avLst/>
        </a:prstGeom>
        <a:noFill/>
        <a:ln>
          <a:noFill/>
        </a:ln>
      </xdr:spPr>
    </xdr:pic>
    <xdr:clientData/>
  </xdr:twoCellAnchor>
  <xdr:twoCellAnchor editAs="oneCell">
    <xdr:from>
      <xdr:col>20</xdr:col>
      <xdr:colOff>314325</xdr:colOff>
      <xdr:row>66</xdr:row>
      <xdr:rowOff>180975</xdr:rowOff>
    </xdr:from>
    <xdr:to>
      <xdr:col>27</xdr:col>
      <xdr:colOff>318623</xdr:colOff>
      <xdr:row>72</xdr:row>
      <xdr:rowOff>110983</xdr:rowOff>
    </xdr:to>
    <xdr:pic>
      <xdr:nvPicPr>
        <xdr:cNvPr id="7" name="30 Imagen">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7574" b="7021"/>
        <a:stretch>
          <a:fillRect/>
        </a:stretch>
      </xdr:blipFill>
      <xdr:spPr bwMode="auto">
        <a:xfrm>
          <a:off x="7172325" y="13401675"/>
          <a:ext cx="2404598" cy="1130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oneCellAnchor>
    <xdr:from>
      <xdr:col>30</xdr:col>
      <xdr:colOff>0</xdr:colOff>
      <xdr:row>0</xdr:row>
      <xdr:rowOff>0</xdr:rowOff>
    </xdr:from>
    <xdr:ext cx="252720" cy="246063"/>
    <xdr:sp macro="" textlink="">
      <xdr:nvSpPr>
        <xdr:cNvPr id="3" name="19 CuadroTexto">
          <a:extLst>
            <a:ext uri="{FF2B5EF4-FFF2-40B4-BE49-F238E27FC236}">
              <a16:creationId xmlns:a16="http://schemas.microsoft.com/office/drawing/2014/main" id="{00000000-0008-0000-0B00-000003000000}"/>
            </a:ext>
          </a:extLst>
        </xdr:cNvPr>
        <xdr:cNvSpPr txBox="1"/>
      </xdr:nvSpPr>
      <xdr:spPr>
        <a:xfrm>
          <a:off x="3543300" y="0"/>
          <a:ext cx="252720" cy="246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s-PE"/>
        </a:p>
      </xdr:txBody>
    </xdr:sp>
    <xdr:clientData/>
  </xdr:oneCellAnchor>
  <xdr:oneCellAnchor>
    <xdr:from>
      <xdr:col>29</xdr:col>
      <xdr:colOff>33655</xdr:colOff>
      <xdr:row>0</xdr:row>
      <xdr:rowOff>0</xdr:rowOff>
    </xdr:from>
    <xdr:ext cx="184731" cy="264560"/>
    <xdr:sp macro="" textlink="">
      <xdr:nvSpPr>
        <xdr:cNvPr id="4" name="31 CuadroTexto">
          <a:extLst>
            <a:ext uri="{FF2B5EF4-FFF2-40B4-BE49-F238E27FC236}">
              <a16:creationId xmlns:a16="http://schemas.microsoft.com/office/drawing/2014/main" id="{00000000-0008-0000-0B00-000004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436786"/>
    <xdr:sp macro="" textlink="">
      <xdr:nvSpPr>
        <xdr:cNvPr id="5" name="15 CuadroTexto">
          <a:extLst>
            <a:ext uri="{FF2B5EF4-FFF2-40B4-BE49-F238E27FC236}">
              <a16:creationId xmlns:a16="http://schemas.microsoft.com/office/drawing/2014/main" id="{00000000-0008-0000-0B00-000005000000}"/>
            </a:ext>
          </a:extLst>
        </xdr:cNvPr>
        <xdr:cNvSpPr txBox="1"/>
      </xdr:nvSpPr>
      <xdr:spPr>
        <a:xfrm>
          <a:off x="3462655" y="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a:p>
          <a:endParaRPr lang="es-PE"/>
        </a:p>
      </xdr:txBody>
    </xdr:sp>
    <xdr:clientData/>
  </xdr:oneCellAnchor>
  <xdr:oneCellAnchor>
    <xdr:from>
      <xdr:col>29</xdr:col>
      <xdr:colOff>33655</xdr:colOff>
      <xdr:row>0</xdr:row>
      <xdr:rowOff>0</xdr:rowOff>
    </xdr:from>
    <xdr:ext cx="184731" cy="264560"/>
    <xdr:sp macro="" textlink="">
      <xdr:nvSpPr>
        <xdr:cNvPr id="6" name="41 CuadroTexto">
          <a:extLst>
            <a:ext uri="{FF2B5EF4-FFF2-40B4-BE49-F238E27FC236}">
              <a16:creationId xmlns:a16="http://schemas.microsoft.com/office/drawing/2014/main" id="{00000000-0008-0000-0B00-000006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7" name="53 CuadroTexto">
          <a:extLst>
            <a:ext uri="{FF2B5EF4-FFF2-40B4-BE49-F238E27FC236}">
              <a16:creationId xmlns:a16="http://schemas.microsoft.com/office/drawing/2014/main" id="{00000000-0008-0000-0B00-000007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8" name="15 CuadroTexto">
          <a:extLst>
            <a:ext uri="{FF2B5EF4-FFF2-40B4-BE49-F238E27FC236}">
              <a16:creationId xmlns:a16="http://schemas.microsoft.com/office/drawing/2014/main" id="{00000000-0008-0000-0B00-000008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9" name="58 CuadroTexto">
          <a:extLst>
            <a:ext uri="{FF2B5EF4-FFF2-40B4-BE49-F238E27FC236}">
              <a16:creationId xmlns:a16="http://schemas.microsoft.com/office/drawing/2014/main" id="{00000000-0008-0000-0B00-000009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10" name="59 CuadroTexto">
          <a:extLst>
            <a:ext uri="{FF2B5EF4-FFF2-40B4-BE49-F238E27FC236}">
              <a16:creationId xmlns:a16="http://schemas.microsoft.com/office/drawing/2014/main" id="{00000000-0008-0000-0B00-00000A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11" name="166 CuadroTexto">
          <a:extLst>
            <a:ext uri="{FF2B5EF4-FFF2-40B4-BE49-F238E27FC236}">
              <a16:creationId xmlns:a16="http://schemas.microsoft.com/office/drawing/2014/main" id="{00000000-0008-0000-0B00-00000B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12" name="182 CuadroTexto">
          <a:extLst>
            <a:ext uri="{FF2B5EF4-FFF2-40B4-BE49-F238E27FC236}">
              <a16:creationId xmlns:a16="http://schemas.microsoft.com/office/drawing/2014/main" id="{00000000-0008-0000-0B00-00000C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13" name="15 CuadroTexto">
          <a:extLst>
            <a:ext uri="{FF2B5EF4-FFF2-40B4-BE49-F238E27FC236}">
              <a16:creationId xmlns:a16="http://schemas.microsoft.com/office/drawing/2014/main" id="{00000000-0008-0000-0B00-00000D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14" name="97 CuadroTexto">
          <a:extLst>
            <a:ext uri="{FF2B5EF4-FFF2-40B4-BE49-F238E27FC236}">
              <a16:creationId xmlns:a16="http://schemas.microsoft.com/office/drawing/2014/main" id="{00000000-0008-0000-0B00-00000E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436786"/>
    <xdr:sp macro="" textlink="">
      <xdr:nvSpPr>
        <xdr:cNvPr id="15" name="15 CuadroTexto">
          <a:extLst>
            <a:ext uri="{FF2B5EF4-FFF2-40B4-BE49-F238E27FC236}">
              <a16:creationId xmlns:a16="http://schemas.microsoft.com/office/drawing/2014/main" id="{00000000-0008-0000-0B00-00000F000000}"/>
            </a:ext>
          </a:extLst>
        </xdr:cNvPr>
        <xdr:cNvSpPr txBox="1"/>
      </xdr:nvSpPr>
      <xdr:spPr>
        <a:xfrm>
          <a:off x="4337050" y="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a:p>
          <a:endParaRPr lang="es-PE"/>
        </a:p>
      </xdr:txBody>
    </xdr:sp>
    <xdr:clientData/>
  </xdr:oneCellAnchor>
  <xdr:oneCellAnchor>
    <xdr:from>
      <xdr:col>36</xdr:col>
      <xdr:colOff>41275</xdr:colOff>
      <xdr:row>0</xdr:row>
      <xdr:rowOff>0</xdr:rowOff>
    </xdr:from>
    <xdr:ext cx="184731" cy="264560"/>
    <xdr:sp macro="" textlink="">
      <xdr:nvSpPr>
        <xdr:cNvPr id="16" name="99 CuadroTexto">
          <a:extLst>
            <a:ext uri="{FF2B5EF4-FFF2-40B4-BE49-F238E27FC236}">
              <a16:creationId xmlns:a16="http://schemas.microsoft.com/office/drawing/2014/main" id="{00000000-0008-0000-0B00-000010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17" name="100 CuadroTexto">
          <a:extLst>
            <a:ext uri="{FF2B5EF4-FFF2-40B4-BE49-F238E27FC236}">
              <a16:creationId xmlns:a16="http://schemas.microsoft.com/office/drawing/2014/main" id="{00000000-0008-0000-0B00-000011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18" name="166 CuadroTexto">
          <a:extLst>
            <a:ext uri="{FF2B5EF4-FFF2-40B4-BE49-F238E27FC236}">
              <a16:creationId xmlns:a16="http://schemas.microsoft.com/office/drawing/2014/main" id="{00000000-0008-0000-0B00-000012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19" name="182 CuadroTexto">
          <a:extLst>
            <a:ext uri="{FF2B5EF4-FFF2-40B4-BE49-F238E27FC236}">
              <a16:creationId xmlns:a16="http://schemas.microsoft.com/office/drawing/2014/main" id="{00000000-0008-0000-0B00-000013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20" name="15 CuadroTexto">
          <a:extLst>
            <a:ext uri="{FF2B5EF4-FFF2-40B4-BE49-F238E27FC236}">
              <a16:creationId xmlns:a16="http://schemas.microsoft.com/office/drawing/2014/main" id="{00000000-0008-0000-0B00-000014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37</xdr:col>
      <xdr:colOff>0</xdr:colOff>
      <xdr:row>0</xdr:row>
      <xdr:rowOff>0</xdr:rowOff>
    </xdr:from>
    <xdr:ext cx="268948" cy="209038"/>
    <xdr:sp macro="" textlink="">
      <xdr:nvSpPr>
        <xdr:cNvPr id="21" name="105 CuadroTexto">
          <a:extLst>
            <a:ext uri="{FF2B5EF4-FFF2-40B4-BE49-F238E27FC236}">
              <a16:creationId xmlns:a16="http://schemas.microsoft.com/office/drawing/2014/main" id="{00000000-0008-0000-0B00-000015000000}"/>
            </a:ext>
          </a:extLst>
        </xdr:cNvPr>
        <xdr:cNvSpPr txBox="1"/>
      </xdr:nvSpPr>
      <xdr:spPr>
        <a:xfrm>
          <a:off x="4429125" y="0"/>
          <a:ext cx="268948" cy="2090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s-PE"/>
        </a:p>
      </xdr:txBody>
    </xdr:sp>
    <xdr:clientData/>
  </xdr:oneCellAnchor>
  <xdr:oneCellAnchor>
    <xdr:from>
      <xdr:col>36</xdr:col>
      <xdr:colOff>41275</xdr:colOff>
      <xdr:row>0</xdr:row>
      <xdr:rowOff>0</xdr:rowOff>
    </xdr:from>
    <xdr:ext cx="184731" cy="264560"/>
    <xdr:sp macro="" textlink="">
      <xdr:nvSpPr>
        <xdr:cNvPr id="22" name="125 CuadroTexto">
          <a:extLst>
            <a:ext uri="{FF2B5EF4-FFF2-40B4-BE49-F238E27FC236}">
              <a16:creationId xmlns:a16="http://schemas.microsoft.com/office/drawing/2014/main" id="{00000000-0008-0000-0B00-000016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23" name="135 CuadroTexto">
          <a:extLst>
            <a:ext uri="{FF2B5EF4-FFF2-40B4-BE49-F238E27FC236}">
              <a16:creationId xmlns:a16="http://schemas.microsoft.com/office/drawing/2014/main" id="{00000000-0008-0000-0B00-000017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24" name="15 CuadroTexto">
          <a:extLst>
            <a:ext uri="{FF2B5EF4-FFF2-40B4-BE49-F238E27FC236}">
              <a16:creationId xmlns:a16="http://schemas.microsoft.com/office/drawing/2014/main" id="{00000000-0008-0000-0B00-000018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44</xdr:col>
      <xdr:colOff>41275</xdr:colOff>
      <xdr:row>0</xdr:row>
      <xdr:rowOff>0</xdr:rowOff>
    </xdr:from>
    <xdr:ext cx="272613" cy="325404"/>
    <xdr:sp macro="" textlink="">
      <xdr:nvSpPr>
        <xdr:cNvPr id="25" name="145 CuadroTexto">
          <a:extLst>
            <a:ext uri="{FF2B5EF4-FFF2-40B4-BE49-F238E27FC236}">
              <a16:creationId xmlns:a16="http://schemas.microsoft.com/office/drawing/2014/main" id="{00000000-0008-0000-0B00-000019000000}"/>
            </a:ext>
          </a:extLst>
        </xdr:cNvPr>
        <xdr:cNvSpPr txBox="1"/>
      </xdr:nvSpPr>
      <xdr:spPr>
        <a:xfrm>
          <a:off x="5403850" y="0"/>
          <a:ext cx="272613" cy="325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s-PE"/>
        </a:p>
      </xdr:txBody>
    </xdr:sp>
    <xdr:clientData/>
  </xdr:oneCellAnchor>
  <xdr:oneCellAnchor>
    <xdr:from>
      <xdr:col>36</xdr:col>
      <xdr:colOff>41275</xdr:colOff>
      <xdr:row>0</xdr:row>
      <xdr:rowOff>0</xdr:rowOff>
    </xdr:from>
    <xdr:ext cx="184731" cy="264560"/>
    <xdr:sp macro="" textlink="">
      <xdr:nvSpPr>
        <xdr:cNvPr id="26" name="153 CuadroTexto">
          <a:extLst>
            <a:ext uri="{FF2B5EF4-FFF2-40B4-BE49-F238E27FC236}">
              <a16:creationId xmlns:a16="http://schemas.microsoft.com/office/drawing/2014/main" id="{00000000-0008-0000-0B00-00001A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27" name="158 CuadroTexto">
          <a:extLst>
            <a:ext uri="{FF2B5EF4-FFF2-40B4-BE49-F238E27FC236}">
              <a16:creationId xmlns:a16="http://schemas.microsoft.com/office/drawing/2014/main" id="{00000000-0008-0000-0B00-00001B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28" name="159 CuadroTexto">
          <a:extLst>
            <a:ext uri="{FF2B5EF4-FFF2-40B4-BE49-F238E27FC236}">
              <a16:creationId xmlns:a16="http://schemas.microsoft.com/office/drawing/2014/main" id="{00000000-0008-0000-0B00-00001C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29" name="166 CuadroTexto">
          <a:extLst>
            <a:ext uri="{FF2B5EF4-FFF2-40B4-BE49-F238E27FC236}">
              <a16:creationId xmlns:a16="http://schemas.microsoft.com/office/drawing/2014/main" id="{00000000-0008-0000-0B00-00001D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30" name="182 CuadroTexto">
          <a:extLst>
            <a:ext uri="{FF2B5EF4-FFF2-40B4-BE49-F238E27FC236}">
              <a16:creationId xmlns:a16="http://schemas.microsoft.com/office/drawing/2014/main" id="{00000000-0008-0000-0B00-00001E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37</xdr:col>
      <xdr:colOff>0</xdr:colOff>
      <xdr:row>0</xdr:row>
      <xdr:rowOff>0</xdr:rowOff>
    </xdr:from>
    <xdr:ext cx="268948" cy="586493"/>
    <xdr:sp macro="" textlink="">
      <xdr:nvSpPr>
        <xdr:cNvPr id="31" name="164 CuadroTexto">
          <a:extLst>
            <a:ext uri="{FF2B5EF4-FFF2-40B4-BE49-F238E27FC236}">
              <a16:creationId xmlns:a16="http://schemas.microsoft.com/office/drawing/2014/main" id="{00000000-0008-0000-0B00-00001F000000}"/>
            </a:ext>
          </a:extLst>
        </xdr:cNvPr>
        <xdr:cNvSpPr txBox="1"/>
      </xdr:nvSpPr>
      <xdr:spPr>
        <a:xfrm>
          <a:off x="4429125" y="0"/>
          <a:ext cx="268948" cy="586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s-PE"/>
        </a:p>
      </xdr:txBody>
    </xdr:sp>
    <xdr:clientData/>
  </xdr:oneCellAnchor>
  <xdr:oneCellAnchor>
    <xdr:from>
      <xdr:col>36</xdr:col>
      <xdr:colOff>41275</xdr:colOff>
      <xdr:row>0</xdr:row>
      <xdr:rowOff>0</xdr:rowOff>
    </xdr:from>
    <xdr:ext cx="184731" cy="264560"/>
    <xdr:sp macro="" textlink="">
      <xdr:nvSpPr>
        <xdr:cNvPr id="32" name="165 CuadroTexto">
          <a:extLst>
            <a:ext uri="{FF2B5EF4-FFF2-40B4-BE49-F238E27FC236}">
              <a16:creationId xmlns:a16="http://schemas.microsoft.com/office/drawing/2014/main" id="{00000000-0008-0000-0B00-000020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35</xdr:col>
      <xdr:colOff>80645</xdr:colOff>
      <xdr:row>0</xdr:row>
      <xdr:rowOff>0</xdr:rowOff>
    </xdr:from>
    <xdr:ext cx="184731" cy="436786"/>
    <xdr:sp macro="" textlink="">
      <xdr:nvSpPr>
        <xdr:cNvPr id="33" name="15 CuadroTexto">
          <a:extLst>
            <a:ext uri="{FF2B5EF4-FFF2-40B4-BE49-F238E27FC236}">
              <a16:creationId xmlns:a16="http://schemas.microsoft.com/office/drawing/2014/main" id="{00000000-0008-0000-0B00-000021000000}"/>
            </a:ext>
          </a:extLst>
        </xdr:cNvPr>
        <xdr:cNvSpPr txBox="1"/>
      </xdr:nvSpPr>
      <xdr:spPr>
        <a:xfrm>
          <a:off x="4262120" y="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a:p>
          <a:endParaRPr lang="es-PE"/>
        </a:p>
      </xdr:txBody>
    </xdr:sp>
    <xdr:clientData/>
  </xdr:oneCellAnchor>
  <xdr:oneCellAnchor>
    <xdr:from>
      <xdr:col>36</xdr:col>
      <xdr:colOff>41275</xdr:colOff>
      <xdr:row>0</xdr:row>
      <xdr:rowOff>0</xdr:rowOff>
    </xdr:from>
    <xdr:ext cx="184731" cy="264560"/>
    <xdr:sp macro="" textlink="">
      <xdr:nvSpPr>
        <xdr:cNvPr id="34" name="167 CuadroTexto">
          <a:extLst>
            <a:ext uri="{FF2B5EF4-FFF2-40B4-BE49-F238E27FC236}">
              <a16:creationId xmlns:a16="http://schemas.microsoft.com/office/drawing/2014/main" id="{00000000-0008-0000-0B00-000022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35" name="168 CuadroTexto">
          <a:extLst>
            <a:ext uri="{FF2B5EF4-FFF2-40B4-BE49-F238E27FC236}">
              <a16:creationId xmlns:a16="http://schemas.microsoft.com/office/drawing/2014/main" id="{00000000-0008-0000-0B00-000023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36" name="15 CuadroTexto">
          <a:extLst>
            <a:ext uri="{FF2B5EF4-FFF2-40B4-BE49-F238E27FC236}">
              <a16:creationId xmlns:a16="http://schemas.microsoft.com/office/drawing/2014/main" id="{00000000-0008-0000-0B00-000024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37" name="170 CuadroTexto">
          <a:extLst>
            <a:ext uri="{FF2B5EF4-FFF2-40B4-BE49-F238E27FC236}">
              <a16:creationId xmlns:a16="http://schemas.microsoft.com/office/drawing/2014/main" id="{00000000-0008-0000-0B00-000025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38" name="171 CuadroTexto">
          <a:extLst>
            <a:ext uri="{FF2B5EF4-FFF2-40B4-BE49-F238E27FC236}">
              <a16:creationId xmlns:a16="http://schemas.microsoft.com/office/drawing/2014/main" id="{00000000-0008-0000-0B00-000026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39" name="166 CuadroTexto">
          <a:extLst>
            <a:ext uri="{FF2B5EF4-FFF2-40B4-BE49-F238E27FC236}">
              <a16:creationId xmlns:a16="http://schemas.microsoft.com/office/drawing/2014/main" id="{00000000-0008-0000-0B00-000027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40" name="182 CuadroTexto">
          <a:extLst>
            <a:ext uri="{FF2B5EF4-FFF2-40B4-BE49-F238E27FC236}">
              <a16:creationId xmlns:a16="http://schemas.microsoft.com/office/drawing/2014/main" id="{00000000-0008-0000-0B00-000028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41" name="15 CuadroTexto">
          <a:extLst>
            <a:ext uri="{FF2B5EF4-FFF2-40B4-BE49-F238E27FC236}">
              <a16:creationId xmlns:a16="http://schemas.microsoft.com/office/drawing/2014/main" id="{00000000-0008-0000-0B00-000029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42" name="31 CuadroTexto">
          <a:extLst>
            <a:ext uri="{FF2B5EF4-FFF2-40B4-BE49-F238E27FC236}">
              <a16:creationId xmlns:a16="http://schemas.microsoft.com/office/drawing/2014/main" id="{00000000-0008-0000-0B00-00002A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35</xdr:col>
      <xdr:colOff>80645</xdr:colOff>
      <xdr:row>0</xdr:row>
      <xdr:rowOff>0</xdr:rowOff>
    </xdr:from>
    <xdr:ext cx="184731" cy="436786"/>
    <xdr:sp macro="" textlink="">
      <xdr:nvSpPr>
        <xdr:cNvPr id="43" name="15 CuadroTexto">
          <a:extLst>
            <a:ext uri="{FF2B5EF4-FFF2-40B4-BE49-F238E27FC236}">
              <a16:creationId xmlns:a16="http://schemas.microsoft.com/office/drawing/2014/main" id="{00000000-0008-0000-0B00-00002B000000}"/>
            </a:ext>
          </a:extLst>
        </xdr:cNvPr>
        <xdr:cNvSpPr txBox="1"/>
      </xdr:nvSpPr>
      <xdr:spPr>
        <a:xfrm>
          <a:off x="4262120" y="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a:p>
          <a:endParaRPr lang="es-PE"/>
        </a:p>
      </xdr:txBody>
    </xdr:sp>
    <xdr:clientData/>
  </xdr:oneCellAnchor>
  <xdr:oneCellAnchor>
    <xdr:from>
      <xdr:col>36</xdr:col>
      <xdr:colOff>41275</xdr:colOff>
      <xdr:row>0</xdr:row>
      <xdr:rowOff>0</xdr:rowOff>
    </xdr:from>
    <xdr:ext cx="184731" cy="264560"/>
    <xdr:sp macro="" textlink="">
      <xdr:nvSpPr>
        <xdr:cNvPr id="44" name="58 CuadroTexto">
          <a:extLst>
            <a:ext uri="{FF2B5EF4-FFF2-40B4-BE49-F238E27FC236}">
              <a16:creationId xmlns:a16="http://schemas.microsoft.com/office/drawing/2014/main" id="{00000000-0008-0000-0B00-00002C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45" name="59 CuadroTexto">
          <a:extLst>
            <a:ext uri="{FF2B5EF4-FFF2-40B4-BE49-F238E27FC236}">
              <a16:creationId xmlns:a16="http://schemas.microsoft.com/office/drawing/2014/main" id="{00000000-0008-0000-0B00-00002D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46" name="166 CuadroTexto">
          <a:extLst>
            <a:ext uri="{FF2B5EF4-FFF2-40B4-BE49-F238E27FC236}">
              <a16:creationId xmlns:a16="http://schemas.microsoft.com/office/drawing/2014/main" id="{00000000-0008-0000-0B00-00002E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47" name="182 CuadroTexto">
          <a:extLst>
            <a:ext uri="{FF2B5EF4-FFF2-40B4-BE49-F238E27FC236}">
              <a16:creationId xmlns:a16="http://schemas.microsoft.com/office/drawing/2014/main" id="{00000000-0008-0000-0B00-00002F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48" name="15 CuadroTexto">
          <a:extLst>
            <a:ext uri="{FF2B5EF4-FFF2-40B4-BE49-F238E27FC236}">
              <a16:creationId xmlns:a16="http://schemas.microsoft.com/office/drawing/2014/main" id="{00000000-0008-0000-0B00-000030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37</xdr:col>
      <xdr:colOff>0</xdr:colOff>
      <xdr:row>0</xdr:row>
      <xdr:rowOff>0</xdr:rowOff>
    </xdr:from>
    <xdr:ext cx="268948" cy="586493"/>
    <xdr:sp macro="" textlink="">
      <xdr:nvSpPr>
        <xdr:cNvPr id="49" name="19 CuadroTexto">
          <a:extLst>
            <a:ext uri="{FF2B5EF4-FFF2-40B4-BE49-F238E27FC236}">
              <a16:creationId xmlns:a16="http://schemas.microsoft.com/office/drawing/2014/main" id="{00000000-0008-0000-0B00-000031000000}"/>
            </a:ext>
          </a:extLst>
        </xdr:cNvPr>
        <xdr:cNvSpPr txBox="1"/>
      </xdr:nvSpPr>
      <xdr:spPr>
        <a:xfrm>
          <a:off x="4429125" y="0"/>
          <a:ext cx="268948" cy="586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s-PE"/>
        </a:p>
      </xdr:txBody>
    </xdr:sp>
    <xdr:clientData/>
  </xdr:oneCellAnchor>
  <xdr:oneCellAnchor>
    <xdr:from>
      <xdr:col>36</xdr:col>
      <xdr:colOff>41275</xdr:colOff>
      <xdr:row>0</xdr:row>
      <xdr:rowOff>0</xdr:rowOff>
    </xdr:from>
    <xdr:ext cx="184731" cy="264560"/>
    <xdr:sp macro="" textlink="">
      <xdr:nvSpPr>
        <xdr:cNvPr id="50" name="41 CuadroTexto">
          <a:extLst>
            <a:ext uri="{FF2B5EF4-FFF2-40B4-BE49-F238E27FC236}">
              <a16:creationId xmlns:a16="http://schemas.microsoft.com/office/drawing/2014/main" id="{00000000-0008-0000-0B00-000032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51" name="31 CuadroTexto">
          <a:extLst>
            <a:ext uri="{FF2B5EF4-FFF2-40B4-BE49-F238E27FC236}">
              <a16:creationId xmlns:a16="http://schemas.microsoft.com/office/drawing/2014/main" id="{00000000-0008-0000-0B00-000033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35</xdr:col>
      <xdr:colOff>80645</xdr:colOff>
      <xdr:row>0</xdr:row>
      <xdr:rowOff>0</xdr:rowOff>
    </xdr:from>
    <xdr:ext cx="184731" cy="436786"/>
    <xdr:sp macro="" textlink="">
      <xdr:nvSpPr>
        <xdr:cNvPr id="52" name="15 CuadroTexto">
          <a:extLst>
            <a:ext uri="{FF2B5EF4-FFF2-40B4-BE49-F238E27FC236}">
              <a16:creationId xmlns:a16="http://schemas.microsoft.com/office/drawing/2014/main" id="{00000000-0008-0000-0B00-000034000000}"/>
            </a:ext>
          </a:extLst>
        </xdr:cNvPr>
        <xdr:cNvSpPr txBox="1"/>
      </xdr:nvSpPr>
      <xdr:spPr>
        <a:xfrm>
          <a:off x="4262120" y="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a:p>
          <a:endParaRPr lang="es-PE"/>
        </a:p>
      </xdr:txBody>
    </xdr:sp>
    <xdr:clientData/>
  </xdr:oneCellAnchor>
  <xdr:oneCellAnchor>
    <xdr:from>
      <xdr:col>36</xdr:col>
      <xdr:colOff>41275</xdr:colOff>
      <xdr:row>0</xdr:row>
      <xdr:rowOff>0</xdr:rowOff>
    </xdr:from>
    <xdr:ext cx="184731" cy="264560"/>
    <xdr:sp macro="" textlink="">
      <xdr:nvSpPr>
        <xdr:cNvPr id="53" name="58 CuadroTexto">
          <a:extLst>
            <a:ext uri="{FF2B5EF4-FFF2-40B4-BE49-F238E27FC236}">
              <a16:creationId xmlns:a16="http://schemas.microsoft.com/office/drawing/2014/main" id="{00000000-0008-0000-0B00-000035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54" name="59 CuadroTexto">
          <a:extLst>
            <a:ext uri="{FF2B5EF4-FFF2-40B4-BE49-F238E27FC236}">
              <a16:creationId xmlns:a16="http://schemas.microsoft.com/office/drawing/2014/main" id="{00000000-0008-0000-0B00-000036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55" name="166 CuadroTexto">
          <a:extLst>
            <a:ext uri="{FF2B5EF4-FFF2-40B4-BE49-F238E27FC236}">
              <a16:creationId xmlns:a16="http://schemas.microsoft.com/office/drawing/2014/main" id="{00000000-0008-0000-0B00-000037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56" name="182 CuadroTexto">
          <a:extLst>
            <a:ext uri="{FF2B5EF4-FFF2-40B4-BE49-F238E27FC236}">
              <a16:creationId xmlns:a16="http://schemas.microsoft.com/office/drawing/2014/main" id="{00000000-0008-0000-0B00-000038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41275</xdr:colOff>
      <xdr:row>0</xdr:row>
      <xdr:rowOff>0</xdr:rowOff>
    </xdr:from>
    <xdr:ext cx="184731" cy="264560"/>
    <xdr:sp macro="" textlink="">
      <xdr:nvSpPr>
        <xdr:cNvPr id="57" name="15 CuadroTexto">
          <a:extLst>
            <a:ext uri="{FF2B5EF4-FFF2-40B4-BE49-F238E27FC236}">
              <a16:creationId xmlns:a16="http://schemas.microsoft.com/office/drawing/2014/main" id="{00000000-0008-0000-0B00-000039000000}"/>
            </a:ext>
          </a:extLst>
        </xdr:cNvPr>
        <xdr:cNvSpPr txBox="1"/>
      </xdr:nvSpPr>
      <xdr:spPr>
        <a:xfrm>
          <a:off x="43370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43</xdr:col>
      <xdr:colOff>111760</xdr:colOff>
      <xdr:row>0</xdr:row>
      <xdr:rowOff>0</xdr:rowOff>
    </xdr:from>
    <xdr:ext cx="184731" cy="264560"/>
    <xdr:sp macro="" textlink="">
      <xdr:nvSpPr>
        <xdr:cNvPr id="58" name="191 CuadroTexto">
          <a:extLst>
            <a:ext uri="{FF2B5EF4-FFF2-40B4-BE49-F238E27FC236}">
              <a16:creationId xmlns:a16="http://schemas.microsoft.com/office/drawing/2014/main" id="{00000000-0008-0000-0B00-00003A000000}"/>
            </a:ext>
          </a:extLst>
        </xdr:cNvPr>
        <xdr:cNvSpPr txBox="1"/>
      </xdr:nvSpPr>
      <xdr:spPr>
        <a:xfrm>
          <a:off x="534098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43</xdr:col>
      <xdr:colOff>83185</xdr:colOff>
      <xdr:row>0</xdr:row>
      <xdr:rowOff>0</xdr:rowOff>
    </xdr:from>
    <xdr:ext cx="184731" cy="264560"/>
    <xdr:sp macro="" textlink="">
      <xdr:nvSpPr>
        <xdr:cNvPr id="59" name="16 CuadroTexto">
          <a:extLst>
            <a:ext uri="{FF2B5EF4-FFF2-40B4-BE49-F238E27FC236}">
              <a16:creationId xmlns:a16="http://schemas.microsoft.com/office/drawing/2014/main" id="{00000000-0008-0000-0B00-00003B000000}"/>
            </a:ext>
          </a:extLst>
        </xdr:cNvPr>
        <xdr:cNvSpPr txBox="1"/>
      </xdr:nvSpPr>
      <xdr:spPr>
        <a:xfrm>
          <a:off x="531241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43</xdr:col>
      <xdr:colOff>111760</xdr:colOff>
      <xdr:row>0</xdr:row>
      <xdr:rowOff>0</xdr:rowOff>
    </xdr:from>
    <xdr:ext cx="184731" cy="264560"/>
    <xdr:sp macro="" textlink="">
      <xdr:nvSpPr>
        <xdr:cNvPr id="60" name="175 CuadroTexto">
          <a:extLst>
            <a:ext uri="{FF2B5EF4-FFF2-40B4-BE49-F238E27FC236}">
              <a16:creationId xmlns:a16="http://schemas.microsoft.com/office/drawing/2014/main" id="{00000000-0008-0000-0B00-00003C000000}"/>
            </a:ext>
          </a:extLst>
        </xdr:cNvPr>
        <xdr:cNvSpPr txBox="1"/>
      </xdr:nvSpPr>
      <xdr:spPr>
        <a:xfrm>
          <a:off x="534098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43</xdr:col>
      <xdr:colOff>83185</xdr:colOff>
      <xdr:row>0</xdr:row>
      <xdr:rowOff>0</xdr:rowOff>
    </xdr:from>
    <xdr:ext cx="184731" cy="264560"/>
    <xdr:sp macro="" textlink="">
      <xdr:nvSpPr>
        <xdr:cNvPr id="61" name="16 CuadroTexto">
          <a:extLst>
            <a:ext uri="{FF2B5EF4-FFF2-40B4-BE49-F238E27FC236}">
              <a16:creationId xmlns:a16="http://schemas.microsoft.com/office/drawing/2014/main" id="{00000000-0008-0000-0B00-00003D000000}"/>
            </a:ext>
          </a:extLst>
        </xdr:cNvPr>
        <xdr:cNvSpPr txBox="1"/>
      </xdr:nvSpPr>
      <xdr:spPr>
        <a:xfrm>
          <a:off x="531241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62" name="118 CuadroTexto">
          <a:extLst>
            <a:ext uri="{FF2B5EF4-FFF2-40B4-BE49-F238E27FC236}">
              <a16:creationId xmlns:a16="http://schemas.microsoft.com/office/drawing/2014/main" id="{00000000-0008-0000-0B00-00003E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28</xdr:col>
      <xdr:colOff>128270</xdr:colOff>
      <xdr:row>0</xdr:row>
      <xdr:rowOff>0</xdr:rowOff>
    </xdr:from>
    <xdr:ext cx="184731" cy="436786"/>
    <xdr:sp macro="" textlink="">
      <xdr:nvSpPr>
        <xdr:cNvPr id="63" name="15 CuadroTexto">
          <a:extLst>
            <a:ext uri="{FF2B5EF4-FFF2-40B4-BE49-F238E27FC236}">
              <a16:creationId xmlns:a16="http://schemas.microsoft.com/office/drawing/2014/main" id="{00000000-0008-0000-0B00-00003F000000}"/>
            </a:ext>
          </a:extLst>
        </xdr:cNvPr>
        <xdr:cNvSpPr txBox="1"/>
      </xdr:nvSpPr>
      <xdr:spPr>
        <a:xfrm>
          <a:off x="3404870" y="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a:p>
          <a:endParaRPr lang="es-PE"/>
        </a:p>
      </xdr:txBody>
    </xdr:sp>
    <xdr:clientData/>
  </xdr:oneCellAnchor>
  <xdr:oneCellAnchor>
    <xdr:from>
      <xdr:col>29</xdr:col>
      <xdr:colOff>33655</xdr:colOff>
      <xdr:row>0</xdr:row>
      <xdr:rowOff>0</xdr:rowOff>
    </xdr:from>
    <xdr:ext cx="184731" cy="264560"/>
    <xdr:sp macro="" textlink="">
      <xdr:nvSpPr>
        <xdr:cNvPr id="64" name="127 CuadroTexto">
          <a:extLst>
            <a:ext uri="{FF2B5EF4-FFF2-40B4-BE49-F238E27FC236}">
              <a16:creationId xmlns:a16="http://schemas.microsoft.com/office/drawing/2014/main" id="{00000000-0008-0000-0B00-000040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65" name="132 CuadroTexto">
          <a:extLst>
            <a:ext uri="{FF2B5EF4-FFF2-40B4-BE49-F238E27FC236}">
              <a16:creationId xmlns:a16="http://schemas.microsoft.com/office/drawing/2014/main" id="{00000000-0008-0000-0B00-000041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66" name="166 CuadroTexto">
          <a:extLst>
            <a:ext uri="{FF2B5EF4-FFF2-40B4-BE49-F238E27FC236}">
              <a16:creationId xmlns:a16="http://schemas.microsoft.com/office/drawing/2014/main" id="{00000000-0008-0000-0B00-000042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67" name="182 CuadroTexto">
          <a:extLst>
            <a:ext uri="{FF2B5EF4-FFF2-40B4-BE49-F238E27FC236}">
              <a16:creationId xmlns:a16="http://schemas.microsoft.com/office/drawing/2014/main" id="{00000000-0008-0000-0B00-000043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68" name="15 CuadroTexto">
          <a:extLst>
            <a:ext uri="{FF2B5EF4-FFF2-40B4-BE49-F238E27FC236}">
              <a16:creationId xmlns:a16="http://schemas.microsoft.com/office/drawing/2014/main" id="{00000000-0008-0000-0B00-000044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30</xdr:col>
      <xdr:colOff>0</xdr:colOff>
      <xdr:row>0</xdr:row>
      <xdr:rowOff>0</xdr:rowOff>
    </xdr:from>
    <xdr:ext cx="269184" cy="246063"/>
    <xdr:sp macro="" textlink="">
      <xdr:nvSpPr>
        <xdr:cNvPr id="69" name="140 CuadroTexto">
          <a:extLst>
            <a:ext uri="{FF2B5EF4-FFF2-40B4-BE49-F238E27FC236}">
              <a16:creationId xmlns:a16="http://schemas.microsoft.com/office/drawing/2014/main" id="{00000000-0008-0000-0B00-000045000000}"/>
            </a:ext>
          </a:extLst>
        </xdr:cNvPr>
        <xdr:cNvSpPr txBox="1"/>
      </xdr:nvSpPr>
      <xdr:spPr>
        <a:xfrm>
          <a:off x="3543300" y="0"/>
          <a:ext cx="269184" cy="246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s-PE"/>
        </a:p>
      </xdr:txBody>
    </xdr:sp>
    <xdr:clientData/>
  </xdr:oneCellAnchor>
  <xdr:oneCellAnchor>
    <xdr:from>
      <xdr:col>29</xdr:col>
      <xdr:colOff>33655</xdr:colOff>
      <xdr:row>0</xdr:row>
      <xdr:rowOff>0</xdr:rowOff>
    </xdr:from>
    <xdr:ext cx="184731" cy="264560"/>
    <xdr:sp macro="" textlink="">
      <xdr:nvSpPr>
        <xdr:cNvPr id="70" name="152 CuadroTexto">
          <a:extLst>
            <a:ext uri="{FF2B5EF4-FFF2-40B4-BE49-F238E27FC236}">
              <a16:creationId xmlns:a16="http://schemas.microsoft.com/office/drawing/2014/main" id="{00000000-0008-0000-0B00-000046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71" name="198 CuadroTexto">
          <a:extLst>
            <a:ext uri="{FF2B5EF4-FFF2-40B4-BE49-F238E27FC236}">
              <a16:creationId xmlns:a16="http://schemas.microsoft.com/office/drawing/2014/main" id="{00000000-0008-0000-0B00-000047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28</xdr:col>
      <xdr:colOff>128270</xdr:colOff>
      <xdr:row>0</xdr:row>
      <xdr:rowOff>0</xdr:rowOff>
    </xdr:from>
    <xdr:ext cx="184731" cy="436786"/>
    <xdr:sp macro="" textlink="">
      <xdr:nvSpPr>
        <xdr:cNvPr id="72" name="15 CuadroTexto">
          <a:extLst>
            <a:ext uri="{FF2B5EF4-FFF2-40B4-BE49-F238E27FC236}">
              <a16:creationId xmlns:a16="http://schemas.microsoft.com/office/drawing/2014/main" id="{00000000-0008-0000-0B00-000048000000}"/>
            </a:ext>
          </a:extLst>
        </xdr:cNvPr>
        <xdr:cNvSpPr txBox="1"/>
      </xdr:nvSpPr>
      <xdr:spPr>
        <a:xfrm>
          <a:off x="3404870" y="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a:p>
          <a:endParaRPr lang="es-PE"/>
        </a:p>
      </xdr:txBody>
    </xdr:sp>
    <xdr:clientData/>
  </xdr:oneCellAnchor>
  <xdr:oneCellAnchor>
    <xdr:from>
      <xdr:col>29</xdr:col>
      <xdr:colOff>33655</xdr:colOff>
      <xdr:row>0</xdr:row>
      <xdr:rowOff>0</xdr:rowOff>
    </xdr:from>
    <xdr:ext cx="184731" cy="264560"/>
    <xdr:sp macro="" textlink="">
      <xdr:nvSpPr>
        <xdr:cNvPr id="73" name="203 CuadroTexto">
          <a:extLst>
            <a:ext uri="{FF2B5EF4-FFF2-40B4-BE49-F238E27FC236}">
              <a16:creationId xmlns:a16="http://schemas.microsoft.com/office/drawing/2014/main" id="{00000000-0008-0000-0B00-000049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74" name="204 CuadroTexto">
          <a:extLst>
            <a:ext uri="{FF2B5EF4-FFF2-40B4-BE49-F238E27FC236}">
              <a16:creationId xmlns:a16="http://schemas.microsoft.com/office/drawing/2014/main" id="{00000000-0008-0000-0B00-00004A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75" name="166 CuadroTexto">
          <a:extLst>
            <a:ext uri="{FF2B5EF4-FFF2-40B4-BE49-F238E27FC236}">
              <a16:creationId xmlns:a16="http://schemas.microsoft.com/office/drawing/2014/main" id="{00000000-0008-0000-0B00-00004B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76" name="182 CuadroTexto">
          <a:extLst>
            <a:ext uri="{FF2B5EF4-FFF2-40B4-BE49-F238E27FC236}">
              <a16:creationId xmlns:a16="http://schemas.microsoft.com/office/drawing/2014/main" id="{00000000-0008-0000-0B00-00004C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29</xdr:col>
      <xdr:colOff>33655</xdr:colOff>
      <xdr:row>0</xdr:row>
      <xdr:rowOff>0</xdr:rowOff>
    </xdr:from>
    <xdr:ext cx="184731" cy="264560"/>
    <xdr:sp macro="" textlink="">
      <xdr:nvSpPr>
        <xdr:cNvPr id="77" name="15 CuadroTexto">
          <a:extLst>
            <a:ext uri="{FF2B5EF4-FFF2-40B4-BE49-F238E27FC236}">
              <a16:creationId xmlns:a16="http://schemas.microsoft.com/office/drawing/2014/main" id="{00000000-0008-0000-0B00-00004D000000}"/>
            </a:ext>
          </a:extLst>
        </xdr:cNvPr>
        <xdr:cNvSpPr txBox="1"/>
      </xdr:nvSpPr>
      <xdr:spPr>
        <a:xfrm>
          <a:off x="346265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37</xdr:col>
      <xdr:colOff>0</xdr:colOff>
      <xdr:row>0</xdr:row>
      <xdr:rowOff>0</xdr:rowOff>
    </xdr:from>
    <xdr:ext cx="270719" cy="246063"/>
    <xdr:sp macro="" textlink="">
      <xdr:nvSpPr>
        <xdr:cNvPr id="78" name="210 CuadroTexto">
          <a:extLst>
            <a:ext uri="{FF2B5EF4-FFF2-40B4-BE49-F238E27FC236}">
              <a16:creationId xmlns:a16="http://schemas.microsoft.com/office/drawing/2014/main" id="{00000000-0008-0000-0B00-00004E000000}"/>
            </a:ext>
          </a:extLst>
        </xdr:cNvPr>
        <xdr:cNvSpPr txBox="1"/>
      </xdr:nvSpPr>
      <xdr:spPr>
        <a:xfrm>
          <a:off x="4429125" y="0"/>
          <a:ext cx="270719" cy="2460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s-PE"/>
        </a:p>
      </xdr:txBody>
    </xdr:sp>
    <xdr:clientData/>
  </xdr:oneCellAnchor>
  <xdr:oneCellAnchor>
    <xdr:from>
      <xdr:col>35</xdr:col>
      <xdr:colOff>37465</xdr:colOff>
      <xdr:row>0</xdr:row>
      <xdr:rowOff>0</xdr:rowOff>
    </xdr:from>
    <xdr:ext cx="184731" cy="436786"/>
    <xdr:sp macro="" textlink="">
      <xdr:nvSpPr>
        <xdr:cNvPr id="79" name="15 CuadroTexto">
          <a:extLst>
            <a:ext uri="{FF2B5EF4-FFF2-40B4-BE49-F238E27FC236}">
              <a16:creationId xmlns:a16="http://schemas.microsoft.com/office/drawing/2014/main" id="{00000000-0008-0000-0B00-00004F000000}"/>
            </a:ext>
          </a:extLst>
        </xdr:cNvPr>
        <xdr:cNvSpPr txBox="1"/>
      </xdr:nvSpPr>
      <xdr:spPr>
        <a:xfrm>
          <a:off x="4218940" y="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a:p>
          <a:endParaRPr lang="es-PE"/>
        </a:p>
      </xdr:txBody>
    </xdr:sp>
    <xdr:clientData/>
  </xdr:oneCellAnchor>
  <xdr:oneCellAnchor>
    <xdr:from>
      <xdr:col>36</xdr:col>
      <xdr:colOff>31750</xdr:colOff>
      <xdr:row>0</xdr:row>
      <xdr:rowOff>0</xdr:rowOff>
    </xdr:from>
    <xdr:ext cx="184731" cy="274009"/>
    <xdr:sp macro="" textlink="">
      <xdr:nvSpPr>
        <xdr:cNvPr id="80" name="212 CuadroTexto">
          <a:extLst>
            <a:ext uri="{FF2B5EF4-FFF2-40B4-BE49-F238E27FC236}">
              <a16:creationId xmlns:a16="http://schemas.microsoft.com/office/drawing/2014/main" id="{00000000-0008-0000-0B00-000050000000}"/>
            </a:ext>
          </a:extLst>
        </xdr:cNvPr>
        <xdr:cNvSpPr txBox="1"/>
      </xdr:nvSpPr>
      <xdr:spPr>
        <a:xfrm>
          <a:off x="4327525" y="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36</xdr:col>
      <xdr:colOff>31750</xdr:colOff>
      <xdr:row>0</xdr:row>
      <xdr:rowOff>0</xdr:rowOff>
    </xdr:from>
    <xdr:ext cx="184731" cy="274009"/>
    <xdr:sp macro="" textlink="">
      <xdr:nvSpPr>
        <xdr:cNvPr id="81" name="15 CuadroTexto">
          <a:extLst>
            <a:ext uri="{FF2B5EF4-FFF2-40B4-BE49-F238E27FC236}">
              <a16:creationId xmlns:a16="http://schemas.microsoft.com/office/drawing/2014/main" id="{00000000-0008-0000-0B00-000051000000}"/>
            </a:ext>
          </a:extLst>
        </xdr:cNvPr>
        <xdr:cNvSpPr txBox="1"/>
      </xdr:nvSpPr>
      <xdr:spPr>
        <a:xfrm>
          <a:off x="4327525" y="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44</xdr:col>
      <xdr:colOff>35560</xdr:colOff>
      <xdr:row>0</xdr:row>
      <xdr:rowOff>0</xdr:rowOff>
    </xdr:from>
    <xdr:ext cx="184731" cy="274009"/>
    <xdr:sp macro="" textlink="">
      <xdr:nvSpPr>
        <xdr:cNvPr id="82" name="1 CuadroTexto">
          <a:extLst>
            <a:ext uri="{FF2B5EF4-FFF2-40B4-BE49-F238E27FC236}">
              <a16:creationId xmlns:a16="http://schemas.microsoft.com/office/drawing/2014/main" id="{00000000-0008-0000-0B00-000052000000}"/>
            </a:ext>
          </a:extLst>
        </xdr:cNvPr>
        <xdr:cNvSpPr txBox="1"/>
      </xdr:nvSpPr>
      <xdr:spPr>
        <a:xfrm>
          <a:off x="5398135" y="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35</xdr:col>
      <xdr:colOff>37465</xdr:colOff>
      <xdr:row>0</xdr:row>
      <xdr:rowOff>0</xdr:rowOff>
    </xdr:from>
    <xdr:ext cx="184731" cy="436786"/>
    <xdr:sp macro="" textlink="">
      <xdr:nvSpPr>
        <xdr:cNvPr id="83" name="15 CuadroTexto">
          <a:extLst>
            <a:ext uri="{FF2B5EF4-FFF2-40B4-BE49-F238E27FC236}">
              <a16:creationId xmlns:a16="http://schemas.microsoft.com/office/drawing/2014/main" id="{00000000-0008-0000-0B00-000053000000}"/>
            </a:ext>
          </a:extLst>
        </xdr:cNvPr>
        <xdr:cNvSpPr txBox="1"/>
      </xdr:nvSpPr>
      <xdr:spPr>
        <a:xfrm>
          <a:off x="4218940" y="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a:p>
          <a:endParaRPr lang="es-PE"/>
        </a:p>
      </xdr:txBody>
    </xdr:sp>
    <xdr:clientData/>
  </xdr:oneCellAnchor>
  <xdr:twoCellAnchor>
    <xdr:from>
      <xdr:col>19</xdr:col>
      <xdr:colOff>47625</xdr:colOff>
      <xdr:row>19</xdr:row>
      <xdr:rowOff>123825</xdr:rowOff>
    </xdr:from>
    <xdr:to>
      <xdr:col>22</xdr:col>
      <xdr:colOff>104775</xdr:colOff>
      <xdr:row>20</xdr:row>
      <xdr:rowOff>257175</xdr:rowOff>
    </xdr:to>
    <xdr:sp macro="" textlink="">
      <xdr:nvSpPr>
        <xdr:cNvPr id="84" name="Oval 121">
          <a:extLst>
            <a:ext uri="{FF2B5EF4-FFF2-40B4-BE49-F238E27FC236}">
              <a16:creationId xmlns:a16="http://schemas.microsoft.com/office/drawing/2014/main" id="{00000000-0008-0000-0B00-000054000000}"/>
            </a:ext>
          </a:extLst>
        </xdr:cNvPr>
        <xdr:cNvSpPr>
          <a:spLocks noChangeArrowheads="1"/>
        </xdr:cNvSpPr>
      </xdr:nvSpPr>
      <xdr:spPr bwMode="auto">
        <a:xfrm flipH="1">
          <a:off x="2257425" y="10458450"/>
          <a:ext cx="438150" cy="40005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30</xdr:col>
      <xdr:colOff>12867</xdr:colOff>
      <xdr:row>17</xdr:row>
      <xdr:rowOff>13607</xdr:rowOff>
    </xdr:from>
    <xdr:to>
      <xdr:col>32</xdr:col>
      <xdr:colOff>38100</xdr:colOff>
      <xdr:row>18</xdr:row>
      <xdr:rowOff>86146</xdr:rowOff>
    </xdr:to>
    <xdr:sp macro="" textlink="">
      <xdr:nvSpPr>
        <xdr:cNvPr id="85" name="910 Elipse">
          <a:extLst>
            <a:ext uri="{FF2B5EF4-FFF2-40B4-BE49-F238E27FC236}">
              <a16:creationId xmlns:a16="http://schemas.microsoft.com/office/drawing/2014/main" id="{00000000-0008-0000-0B00-000055000000}"/>
            </a:ext>
          </a:extLst>
        </xdr:cNvPr>
        <xdr:cNvSpPr/>
      </xdr:nvSpPr>
      <xdr:spPr bwMode="auto">
        <a:xfrm>
          <a:off x="3556167" y="9814832"/>
          <a:ext cx="320508"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1</a:t>
          </a:r>
          <a:endParaRPr lang="es-PE" sz="1100" b="1">
            <a:solidFill>
              <a:sysClr val="windowText" lastClr="000000"/>
            </a:solidFill>
          </a:endParaRPr>
        </a:p>
      </xdr:txBody>
    </xdr:sp>
    <xdr:clientData/>
  </xdr:twoCellAnchor>
  <xdr:twoCellAnchor>
    <xdr:from>
      <xdr:col>30</xdr:col>
      <xdr:colOff>87992</xdr:colOff>
      <xdr:row>22</xdr:row>
      <xdr:rowOff>210457</xdr:rowOff>
    </xdr:from>
    <xdr:to>
      <xdr:col>33</xdr:col>
      <xdr:colOff>28862</xdr:colOff>
      <xdr:row>24</xdr:row>
      <xdr:rowOff>16296</xdr:rowOff>
    </xdr:to>
    <xdr:sp macro="" textlink="">
      <xdr:nvSpPr>
        <xdr:cNvPr id="86" name="911 Elipse">
          <a:extLst>
            <a:ext uri="{FF2B5EF4-FFF2-40B4-BE49-F238E27FC236}">
              <a16:creationId xmlns:a16="http://schemas.microsoft.com/office/drawing/2014/main" id="{00000000-0008-0000-0B00-000056000000}"/>
            </a:ext>
          </a:extLst>
        </xdr:cNvPr>
        <xdr:cNvSpPr/>
      </xdr:nvSpPr>
      <xdr:spPr bwMode="auto">
        <a:xfrm>
          <a:off x="3631292" y="11345182"/>
          <a:ext cx="350445"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2</a:t>
          </a:r>
          <a:endParaRPr lang="es-PE" sz="1100" b="1">
            <a:solidFill>
              <a:sysClr val="windowText" lastClr="000000"/>
            </a:solidFill>
          </a:endParaRPr>
        </a:p>
      </xdr:txBody>
    </xdr:sp>
    <xdr:clientData/>
  </xdr:twoCellAnchor>
  <xdr:twoCellAnchor>
    <xdr:from>
      <xdr:col>13</xdr:col>
      <xdr:colOff>68944</xdr:colOff>
      <xdr:row>19</xdr:row>
      <xdr:rowOff>184604</xdr:rowOff>
    </xdr:from>
    <xdr:to>
      <xdr:col>16</xdr:col>
      <xdr:colOff>41562</xdr:colOff>
      <xdr:row>20</xdr:row>
      <xdr:rowOff>257143</xdr:rowOff>
    </xdr:to>
    <xdr:sp macro="" textlink="">
      <xdr:nvSpPr>
        <xdr:cNvPr id="87" name="912 Elipse">
          <a:extLst>
            <a:ext uri="{FF2B5EF4-FFF2-40B4-BE49-F238E27FC236}">
              <a16:creationId xmlns:a16="http://schemas.microsoft.com/office/drawing/2014/main" id="{00000000-0008-0000-0B00-000057000000}"/>
            </a:ext>
          </a:extLst>
        </xdr:cNvPr>
        <xdr:cNvSpPr/>
      </xdr:nvSpPr>
      <xdr:spPr bwMode="auto">
        <a:xfrm>
          <a:off x="1592944" y="10519229"/>
          <a:ext cx="315518"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3</a:t>
          </a:r>
          <a:endParaRPr lang="es-PE" sz="1100" b="1">
            <a:solidFill>
              <a:sysClr val="windowText" lastClr="000000"/>
            </a:solidFill>
          </a:endParaRPr>
        </a:p>
      </xdr:txBody>
    </xdr:sp>
    <xdr:clientData/>
  </xdr:twoCellAnchor>
  <xdr:twoCellAnchor>
    <xdr:from>
      <xdr:col>9</xdr:col>
      <xdr:colOff>76200</xdr:colOff>
      <xdr:row>16</xdr:row>
      <xdr:rowOff>161925</xdr:rowOff>
    </xdr:from>
    <xdr:to>
      <xdr:col>12</xdr:col>
      <xdr:colOff>53808</xdr:colOff>
      <xdr:row>17</xdr:row>
      <xdr:rowOff>234464</xdr:rowOff>
    </xdr:to>
    <xdr:sp macro="" textlink="">
      <xdr:nvSpPr>
        <xdr:cNvPr id="89" name="910 Elipse">
          <a:extLst>
            <a:ext uri="{FF2B5EF4-FFF2-40B4-BE49-F238E27FC236}">
              <a16:creationId xmlns:a16="http://schemas.microsoft.com/office/drawing/2014/main" id="{00000000-0008-0000-0B00-000059000000}"/>
            </a:ext>
          </a:extLst>
        </xdr:cNvPr>
        <xdr:cNvSpPr/>
      </xdr:nvSpPr>
      <xdr:spPr bwMode="auto">
        <a:xfrm>
          <a:off x="1143000" y="9696450"/>
          <a:ext cx="320508" cy="33923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4</a:t>
          </a:r>
          <a:endParaRPr lang="es-PE" sz="1100" b="1">
            <a:solidFill>
              <a:sysClr val="windowText" lastClr="000000"/>
            </a:solidFill>
          </a:endParaRPr>
        </a:p>
      </xdr:txBody>
    </xdr:sp>
    <xdr:clientData/>
  </xdr:twoCellAnchor>
  <xdr:twoCellAnchor editAs="oneCell">
    <xdr:from>
      <xdr:col>28</xdr:col>
      <xdr:colOff>0</xdr:colOff>
      <xdr:row>36</xdr:row>
      <xdr:rowOff>104775</xdr:rowOff>
    </xdr:from>
    <xdr:to>
      <xdr:col>46</xdr:col>
      <xdr:colOff>51923</xdr:colOff>
      <xdr:row>43</xdr:row>
      <xdr:rowOff>15733</xdr:rowOff>
    </xdr:to>
    <xdr:pic>
      <xdr:nvPicPr>
        <xdr:cNvPr id="91" name="30 Imagen">
          <a:extLst>
            <a:ext uri="{FF2B5EF4-FFF2-40B4-BE49-F238E27FC236}">
              <a16:creationId xmlns:a16="http://schemas.microsoft.com/office/drawing/2014/main" id="{00000000-0008-0000-0B00-00005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3276600" y="16154400"/>
          <a:ext cx="2404598" cy="1130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48</xdr:col>
      <xdr:colOff>48939</xdr:colOff>
      <xdr:row>0</xdr:row>
      <xdr:rowOff>1419225</xdr:rowOff>
    </xdr:to>
    <xdr:pic>
      <xdr:nvPicPr>
        <xdr:cNvPr id="92" name="Imagen 20">
          <a:extLst>
            <a:ext uri="{FF2B5EF4-FFF2-40B4-BE49-F238E27FC236}">
              <a16:creationId xmlns:a16="http://schemas.microsoft.com/office/drawing/2014/main" id="{00000000-0008-0000-0B00-00005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639" t="1534" r="563" b="2303"/>
        <a:stretch>
          <a:fillRect/>
        </a:stretch>
      </xdr:blipFill>
      <xdr:spPr bwMode="auto">
        <a:xfrm>
          <a:off x="0" y="0"/>
          <a:ext cx="5944914"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0</xdr:colOff>
      <xdr:row>2</xdr:row>
      <xdr:rowOff>123132</xdr:rowOff>
    </xdr:to>
    <xdr:pic>
      <xdr:nvPicPr>
        <xdr:cNvPr id="3" name="Imagen 2">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0" y="1140382"/>
          <a:ext cx="990600" cy="310348"/>
        </a:xfrm>
        <a:prstGeom prst="rect">
          <a:avLst/>
        </a:prstGeom>
        <a:noFill/>
        <a:ln>
          <a:noFill/>
        </a:ln>
      </xdr:spPr>
    </xdr:pic>
    <xdr:clientData/>
  </xdr:twoCellAnchor>
  <xdr:twoCellAnchor editAs="oneCell">
    <xdr:from>
      <xdr:col>26</xdr:col>
      <xdr:colOff>113759</xdr:colOff>
      <xdr:row>25</xdr:row>
      <xdr:rowOff>79834</xdr:rowOff>
    </xdr:from>
    <xdr:to>
      <xdr:col>42</xdr:col>
      <xdr:colOff>23991</xdr:colOff>
      <xdr:row>31</xdr:row>
      <xdr:rowOff>176751</xdr:rowOff>
    </xdr:to>
    <xdr:pic>
      <xdr:nvPicPr>
        <xdr:cNvPr id="4" name="64 Imagen">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r="15115"/>
        <a:stretch>
          <a:fillRect/>
        </a:stretch>
      </xdr:blipFill>
      <xdr:spPr bwMode="auto">
        <a:xfrm>
          <a:off x="3358828" y="8218782"/>
          <a:ext cx="1907197" cy="12399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9525</xdr:colOff>
      <xdr:row>4</xdr:row>
      <xdr:rowOff>25957</xdr:rowOff>
    </xdr:from>
    <xdr:to>
      <xdr:col>2</xdr:col>
      <xdr:colOff>742950</xdr:colOff>
      <xdr:row>6</xdr:row>
      <xdr:rowOff>47625</xdr:rowOff>
    </xdr:to>
    <xdr:pic>
      <xdr:nvPicPr>
        <xdr:cNvPr id="2" name="Imagen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9525" y="1654732"/>
          <a:ext cx="1295400" cy="402668"/>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xdr:from>
      <xdr:col>15</xdr:col>
      <xdr:colOff>325583</xdr:colOff>
      <xdr:row>5</xdr:row>
      <xdr:rowOff>135084</xdr:rowOff>
    </xdr:from>
    <xdr:to>
      <xdr:col>28</xdr:col>
      <xdr:colOff>187037</xdr:colOff>
      <xdr:row>24</xdr:row>
      <xdr:rowOff>65810</xdr:rowOff>
    </xdr:to>
    <xdr:sp macro="" textlink="">
      <xdr:nvSpPr>
        <xdr:cNvPr id="3" name="9 Rectángulo redondeado">
          <a:extLst>
            <a:ext uri="{FF2B5EF4-FFF2-40B4-BE49-F238E27FC236}">
              <a16:creationId xmlns:a16="http://schemas.microsoft.com/office/drawing/2014/main" id="{00000000-0008-0000-0F00-000003000000}"/>
            </a:ext>
          </a:extLst>
        </xdr:cNvPr>
        <xdr:cNvSpPr/>
      </xdr:nvSpPr>
      <xdr:spPr>
        <a:xfrm>
          <a:off x="5469083" y="1354284"/>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329045</xdr:colOff>
      <xdr:row>27</xdr:row>
      <xdr:rowOff>173182</xdr:rowOff>
    </xdr:from>
    <xdr:to>
      <xdr:col>28</xdr:col>
      <xdr:colOff>190499</xdr:colOff>
      <xdr:row>46</xdr:row>
      <xdr:rowOff>103908</xdr:rowOff>
    </xdr:to>
    <xdr:sp macro="" textlink="">
      <xdr:nvSpPr>
        <xdr:cNvPr id="4" name="9 Rectángulo redondeado">
          <a:extLst>
            <a:ext uri="{FF2B5EF4-FFF2-40B4-BE49-F238E27FC236}">
              <a16:creationId xmlns:a16="http://schemas.microsoft.com/office/drawing/2014/main" id="{00000000-0008-0000-0F00-000004000000}"/>
            </a:ext>
          </a:extLst>
        </xdr:cNvPr>
        <xdr:cNvSpPr/>
      </xdr:nvSpPr>
      <xdr:spPr>
        <a:xfrm>
          <a:off x="5472545" y="5583382"/>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48489</xdr:colOff>
      <xdr:row>27</xdr:row>
      <xdr:rowOff>169718</xdr:rowOff>
    </xdr:from>
    <xdr:to>
      <xdr:col>13</xdr:col>
      <xdr:colOff>256307</xdr:colOff>
      <xdr:row>46</xdr:row>
      <xdr:rowOff>100444</xdr:rowOff>
    </xdr:to>
    <xdr:sp macro="" textlink="">
      <xdr:nvSpPr>
        <xdr:cNvPr id="5" name="9 Rectángulo redondeado">
          <a:extLst>
            <a:ext uri="{FF2B5EF4-FFF2-40B4-BE49-F238E27FC236}">
              <a16:creationId xmlns:a16="http://schemas.microsoft.com/office/drawing/2014/main" id="{00000000-0008-0000-0F00-000005000000}"/>
            </a:ext>
          </a:extLst>
        </xdr:cNvPr>
        <xdr:cNvSpPr/>
      </xdr:nvSpPr>
      <xdr:spPr>
        <a:xfrm>
          <a:off x="391389" y="5579918"/>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31173</xdr:colOff>
      <xdr:row>50</xdr:row>
      <xdr:rowOff>13854</xdr:rowOff>
    </xdr:from>
    <xdr:to>
      <xdr:col>13</xdr:col>
      <xdr:colOff>238991</xdr:colOff>
      <xdr:row>68</xdr:row>
      <xdr:rowOff>135080</xdr:rowOff>
    </xdr:to>
    <xdr:sp macro="" textlink="">
      <xdr:nvSpPr>
        <xdr:cNvPr id="6" name="9 Rectángulo redondeado">
          <a:extLst>
            <a:ext uri="{FF2B5EF4-FFF2-40B4-BE49-F238E27FC236}">
              <a16:creationId xmlns:a16="http://schemas.microsoft.com/office/drawing/2014/main" id="{00000000-0008-0000-0F00-000006000000}"/>
            </a:ext>
          </a:extLst>
        </xdr:cNvPr>
        <xdr:cNvSpPr/>
      </xdr:nvSpPr>
      <xdr:spPr>
        <a:xfrm>
          <a:off x="374073" y="9805554"/>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34637</xdr:colOff>
      <xdr:row>72</xdr:row>
      <xdr:rowOff>0</xdr:rowOff>
    </xdr:from>
    <xdr:to>
      <xdr:col>13</xdr:col>
      <xdr:colOff>242455</xdr:colOff>
      <xdr:row>90</xdr:row>
      <xdr:rowOff>121226</xdr:rowOff>
    </xdr:to>
    <xdr:sp macro="" textlink="">
      <xdr:nvSpPr>
        <xdr:cNvPr id="7" name="9 Rectángulo redondeado">
          <a:extLst>
            <a:ext uri="{FF2B5EF4-FFF2-40B4-BE49-F238E27FC236}">
              <a16:creationId xmlns:a16="http://schemas.microsoft.com/office/drawing/2014/main" id="{00000000-0008-0000-0F00-000007000000}"/>
            </a:ext>
          </a:extLst>
        </xdr:cNvPr>
        <xdr:cNvSpPr/>
      </xdr:nvSpPr>
      <xdr:spPr>
        <a:xfrm>
          <a:off x="377537" y="13982700"/>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16</xdr:col>
      <xdr:colOff>34636</xdr:colOff>
      <xdr:row>72</xdr:row>
      <xdr:rowOff>17318</xdr:rowOff>
    </xdr:from>
    <xdr:to>
      <xdr:col>28</xdr:col>
      <xdr:colOff>242453</xdr:colOff>
      <xdr:row>90</xdr:row>
      <xdr:rowOff>138544</xdr:rowOff>
    </xdr:to>
    <xdr:sp macro="" textlink="">
      <xdr:nvSpPr>
        <xdr:cNvPr id="8" name="9 Rectángulo redondeado">
          <a:extLst>
            <a:ext uri="{FF2B5EF4-FFF2-40B4-BE49-F238E27FC236}">
              <a16:creationId xmlns:a16="http://schemas.microsoft.com/office/drawing/2014/main" id="{00000000-0008-0000-0F00-000008000000}"/>
            </a:ext>
          </a:extLst>
        </xdr:cNvPr>
        <xdr:cNvSpPr/>
      </xdr:nvSpPr>
      <xdr:spPr>
        <a:xfrm>
          <a:off x="5521036" y="14000018"/>
          <a:ext cx="4322617"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325581</xdr:colOff>
      <xdr:row>50</xdr:row>
      <xdr:rowOff>13855</xdr:rowOff>
    </xdr:from>
    <xdr:to>
      <xdr:col>28</xdr:col>
      <xdr:colOff>187035</xdr:colOff>
      <xdr:row>68</xdr:row>
      <xdr:rowOff>135081</xdr:rowOff>
    </xdr:to>
    <xdr:sp macro="" textlink="">
      <xdr:nvSpPr>
        <xdr:cNvPr id="9" name="9 Rectángulo redondeado">
          <a:extLst>
            <a:ext uri="{FF2B5EF4-FFF2-40B4-BE49-F238E27FC236}">
              <a16:creationId xmlns:a16="http://schemas.microsoft.com/office/drawing/2014/main" id="{00000000-0008-0000-0F00-000009000000}"/>
            </a:ext>
          </a:extLst>
        </xdr:cNvPr>
        <xdr:cNvSpPr/>
      </xdr:nvSpPr>
      <xdr:spPr>
        <a:xfrm>
          <a:off x="5469081" y="9805555"/>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51954</xdr:colOff>
      <xdr:row>5</xdr:row>
      <xdr:rowOff>173182</xdr:rowOff>
    </xdr:from>
    <xdr:to>
      <xdr:col>13</xdr:col>
      <xdr:colOff>259772</xdr:colOff>
      <xdr:row>24</xdr:row>
      <xdr:rowOff>103908</xdr:rowOff>
    </xdr:to>
    <xdr:sp macro="" textlink="">
      <xdr:nvSpPr>
        <xdr:cNvPr id="10" name="9 Rectángulo redondeado">
          <a:extLst>
            <a:ext uri="{FF2B5EF4-FFF2-40B4-BE49-F238E27FC236}">
              <a16:creationId xmlns:a16="http://schemas.microsoft.com/office/drawing/2014/main" id="{00000000-0008-0000-0F00-00000A000000}"/>
            </a:ext>
          </a:extLst>
        </xdr:cNvPr>
        <xdr:cNvSpPr/>
      </xdr:nvSpPr>
      <xdr:spPr>
        <a:xfrm>
          <a:off x="394854" y="1392382"/>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0</xdr:col>
      <xdr:colOff>333375</xdr:colOff>
      <xdr:row>0</xdr:row>
      <xdr:rowOff>142875</xdr:rowOff>
    </xdr:from>
    <xdr:to>
      <xdr:col>6</xdr:col>
      <xdr:colOff>77464</xdr:colOff>
      <xdr:row>3</xdr:row>
      <xdr:rowOff>63308</xdr:rowOff>
    </xdr:to>
    <xdr:pic>
      <xdr:nvPicPr>
        <xdr:cNvPr id="11" name="Imagen 10">
          <a:extLst>
            <a:ext uri="{FF2B5EF4-FFF2-40B4-BE49-F238E27FC236}">
              <a16:creationId xmlns:a16="http://schemas.microsoft.com/office/drawing/2014/main" id="{00000000-0008-0000-0F00-00000B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33375" y="142875"/>
          <a:ext cx="1801489" cy="520508"/>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xdr:from>
      <xdr:col>15</xdr:col>
      <xdr:colOff>325583</xdr:colOff>
      <xdr:row>5</xdr:row>
      <xdr:rowOff>135084</xdr:rowOff>
    </xdr:from>
    <xdr:to>
      <xdr:col>28</xdr:col>
      <xdr:colOff>187037</xdr:colOff>
      <xdr:row>24</xdr:row>
      <xdr:rowOff>65810</xdr:rowOff>
    </xdr:to>
    <xdr:sp macro="" textlink="">
      <xdr:nvSpPr>
        <xdr:cNvPr id="2" name="9 Rectángulo redondeado">
          <a:extLst>
            <a:ext uri="{FF2B5EF4-FFF2-40B4-BE49-F238E27FC236}">
              <a16:creationId xmlns:a16="http://schemas.microsoft.com/office/drawing/2014/main" id="{00000000-0008-0000-1000-000002000000}"/>
            </a:ext>
          </a:extLst>
        </xdr:cNvPr>
        <xdr:cNvSpPr/>
      </xdr:nvSpPr>
      <xdr:spPr>
        <a:xfrm>
          <a:off x="5469083" y="1163784"/>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329045</xdr:colOff>
      <xdr:row>27</xdr:row>
      <xdr:rowOff>173182</xdr:rowOff>
    </xdr:from>
    <xdr:to>
      <xdr:col>28</xdr:col>
      <xdr:colOff>190499</xdr:colOff>
      <xdr:row>46</xdr:row>
      <xdr:rowOff>103908</xdr:rowOff>
    </xdr:to>
    <xdr:sp macro="" textlink="">
      <xdr:nvSpPr>
        <xdr:cNvPr id="3" name="9 Rectángulo redondeado">
          <a:extLst>
            <a:ext uri="{FF2B5EF4-FFF2-40B4-BE49-F238E27FC236}">
              <a16:creationId xmlns:a16="http://schemas.microsoft.com/office/drawing/2014/main" id="{00000000-0008-0000-1000-000003000000}"/>
            </a:ext>
          </a:extLst>
        </xdr:cNvPr>
        <xdr:cNvSpPr/>
      </xdr:nvSpPr>
      <xdr:spPr>
        <a:xfrm>
          <a:off x="5472545" y="5392882"/>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48489</xdr:colOff>
      <xdr:row>27</xdr:row>
      <xdr:rowOff>169718</xdr:rowOff>
    </xdr:from>
    <xdr:to>
      <xdr:col>13</xdr:col>
      <xdr:colOff>256307</xdr:colOff>
      <xdr:row>46</xdr:row>
      <xdr:rowOff>100444</xdr:rowOff>
    </xdr:to>
    <xdr:sp macro="" textlink="">
      <xdr:nvSpPr>
        <xdr:cNvPr id="4" name="9 Rectángulo redondeado">
          <a:extLst>
            <a:ext uri="{FF2B5EF4-FFF2-40B4-BE49-F238E27FC236}">
              <a16:creationId xmlns:a16="http://schemas.microsoft.com/office/drawing/2014/main" id="{00000000-0008-0000-1000-000004000000}"/>
            </a:ext>
          </a:extLst>
        </xdr:cNvPr>
        <xdr:cNvSpPr/>
      </xdr:nvSpPr>
      <xdr:spPr>
        <a:xfrm>
          <a:off x="391389" y="5389418"/>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31173</xdr:colOff>
      <xdr:row>50</xdr:row>
      <xdr:rowOff>13854</xdr:rowOff>
    </xdr:from>
    <xdr:to>
      <xdr:col>13</xdr:col>
      <xdr:colOff>238991</xdr:colOff>
      <xdr:row>68</xdr:row>
      <xdr:rowOff>135080</xdr:rowOff>
    </xdr:to>
    <xdr:sp macro="" textlink="">
      <xdr:nvSpPr>
        <xdr:cNvPr id="5" name="9 Rectángulo redondeado">
          <a:extLst>
            <a:ext uri="{FF2B5EF4-FFF2-40B4-BE49-F238E27FC236}">
              <a16:creationId xmlns:a16="http://schemas.microsoft.com/office/drawing/2014/main" id="{00000000-0008-0000-1000-000005000000}"/>
            </a:ext>
          </a:extLst>
        </xdr:cNvPr>
        <xdr:cNvSpPr/>
      </xdr:nvSpPr>
      <xdr:spPr>
        <a:xfrm>
          <a:off x="374073" y="9615054"/>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34637</xdr:colOff>
      <xdr:row>72</xdr:row>
      <xdr:rowOff>0</xdr:rowOff>
    </xdr:from>
    <xdr:to>
      <xdr:col>13</xdr:col>
      <xdr:colOff>242455</xdr:colOff>
      <xdr:row>90</xdr:row>
      <xdr:rowOff>121226</xdr:rowOff>
    </xdr:to>
    <xdr:sp macro="" textlink="">
      <xdr:nvSpPr>
        <xdr:cNvPr id="6" name="9 Rectángulo redondeado">
          <a:extLst>
            <a:ext uri="{FF2B5EF4-FFF2-40B4-BE49-F238E27FC236}">
              <a16:creationId xmlns:a16="http://schemas.microsoft.com/office/drawing/2014/main" id="{00000000-0008-0000-1000-000006000000}"/>
            </a:ext>
          </a:extLst>
        </xdr:cNvPr>
        <xdr:cNvSpPr/>
      </xdr:nvSpPr>
      <xdr:spPr>
        <a:xfrm>
          <a:off x="377537" y="13792200"/>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16</xdr:col>
      <xdr:colOff>34636</xdr:colOff>
      <xdr:row>72</xdr:row>
      <xdr:rowOff>17318</xdr:rowOff>
    </xdr:from>
    <xdr:to>
      <xdr:col>28</xdr:col>
      <xdr:colOff>242453</xdr:colOff>
      <xdr:row>90</xdr:row>
      <xdr:rowOff>138544</xdr:rowOff>
    </xdr:to>
    <xdr:sp macro="" textlink="">
      <xdr:nvSpPr>
        <xdr:cNvPr id="7" name="9 Rectángulo redondeado">
          <a:extLst>
            <a:ext uri="{FF2B5EF4-FFF2-40B4-BE49-F238E27FC236}">
              <a16:creationId xmlns:a16="http://schemas.microsoft.com/office/drawing/2014/main" id="{00000000-0008-0000-1000-000007000000}"/>
            </a:ext>
          </a:extLst>
        </xdr:cNvPr>
        <xdr:cNvSpPr/>
      </xdr:nvSpPr>
      <xdr:spPr>
        <a:xfrm>
          <a:off x="5521036" y="13809518"/>
          <a:ext cx="4322617"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325581</xdr:colOff>
      <xdr:row>50</xdr:row>
      <xdr:rowOff>13855</xdr:rowOff>
    </xdr:from>
    <xdr:to>
      <xdr:col>28</xdr:col>
      <xdr:colOff>187035</xdr:colOff>
      <xdr:row>68</xdr:row>
      <xdr:rowOff>135081</xdr:rowOff>
    </xdr:to>
    <xdr:sp macro="" textlink="">
      <xdr:nvSpPr>
        <xdr:cNvPr id="8" name="9 Rectángulo redondeado">
          <a:extLst>
            <a:ext uri="{FF2B5EF4-FFF2-40B4-BE49-F238E27FC236}">
              <a16:creationId xmlns:a16="http://schemas.microsoft.com/office/drawing/2014/main" id="{00000000-0008-0000-1000-000008000000}"/>
            </a:ext>
          </a:extLst>
        </xdr:cNvPr>
        <xdr:cNvSpPr/>
      </xdr:nvSpPr>
      <xdr:spPr>
        <a:xfrm>
          <a:off x="5469081" y="9615055"/>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51954</xdr:colOff>
      <xdr:row>5</xdr:row>
      <xdr:rowOff>173182</xdr:rowOff>
    </xdr:from>
    <xdr:to>
      <xdr:col>13</xdr:col>
      <xdr:colOff>259772</xdr:colOff>
      <xdr:row>24</xdr:row>
      <xdr:rowOff>103908</xdr:rowOff>
    </xdr:to>
    <xdr:sp macro="" textlink="">
      <xdr:nvSpPr>
        <xdr:cNvPr id="9" name="9 Rectángulo redondeado">
          <a:extLst>
            <a:ext uri="{FF2B5EF4-FFF2-40B4-BE49-F238E27FC236}">
              <a16:creationId xmlns:a16="http://schemas.microsoft.com/office/drawing/2014/main" id="{00000000-0008-0000-1000-000009000000}"/>
            </a:ext>
          </a:extLst>
        </xdr:cNvPr>
        <xdr:cNvSpPr/>
      </xdr:nvSpPr>
      <xdr:spPr>
        <a:xfrm>
          <a:off x="394854" y="1201882"/>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0</xdr:col>
      <xdr:colOff>333375</xdr:colOff>
      <xdr:row>0</xdr:row>
      <xdr:rowOff>142875</xdr:rowOff>
    </xdr:from>
    <xdr:to>
      <xdr:col>6</xdr:col>
      <xdr:colOff>77464</xdr:colOff>
      <xdr:row>3</xdr:row>
      <xdr:rowOff>63308</xdr:rowOff>
    </xdr:to>
    <xdr:pic>
      <xdr:nvPicPr>
        <xdr:cNvPr id="10" name="Imagen 9">
          <a:extLst>
            <a:ext uri="{FF2B5EF4-FFF2-40B4-BE49-F238E27FC236}">
              <a16:creationId xmlns:a16="http://schemas.microsoft.com/office/drawing/2014/main" id="{00000000-0008-0000-1000-00000A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33375" y="142875"/>
          <a:ext cx="1801489" cy="520508"/>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xdr:from>
      <xdr:col>15</xdr:col>
      <xdr:colOff>325583</xdr:colOff>
      <xdr:row>5</xdr:row>
      <xdr:rowOff>135084</xdr:rowOff>
    </xdr:from>
    <xdr:to>
      <xdr:col>28</xdr:col>
      <xdr:colOff>187037</xdr:colOff>
      <xdr:row>24</xdr:row>
      <xdr:rowOff>65810</xdr:rowOff>
    </xdr:to>
    <xdr:sp macro="" textlink="">
      <xdr:nvSpPr>
        <xdr:cNvPr id="2" name="9 Rectángulo redondeado">
          <a:extLst>
            <a:ext uri="{FF2B5EF4-FFF2-40B4-BE49-F238E27FC236}">
              <a16:creationId xmlns:a16="http://schemas.microsoft.com/office/drawing/2014/main" id="{E1443EB2-6E5C-4AB7-9EC2-8AD789B7837E}"/>
            </a:ext>
          </a:extLst>
        </xdr:cNvPr>
        <xdr:cNvSpPr/>
      </xdr:nvSpPr>
      <xdr:spPr>
        <a:xfrm>
          <a:off x="5469083" y="1163784"/>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329045</xdr:colOff>
      <xdr:row>27</xdr:row>
      <xdr:rowOff>173182</xdr:rowOff>
    </xdr:from>
    <xdr:to>
      <xdr:col>28</xdr:col>
      <xdr:colOff>190499</xdr:colOff>
      <xdr:row>46</xdr:row>
      <xdr:rowOff>103908</xdr:rowOff>
    </xdr:to>
    <xdr:sp macro="" textlink="">
      <xdr:nvSpPr>
        <xdr:cNvPr id="3" name="9 Rectángulo redondeado">
          <a:extLst>
            <a:ext uri="{FF2B5EF4-FFF2-40B4-BE49-F238E27FC236}">
              <a16:creationId xmlns:a16="http://schemas.microsoft.com/office/drawing/2014/main" id="{29FB2126-4C72-474F-AF37-896AB06E5CFF}"/>
            </a:ext>
          </a:extLst>
        </xdr:cNvPr>
        <xdr:cNvSpPr/>
      </xdr:nvSpPr>
      <xdr:spPr>
        <a:xfrm>
          <a:off x="5472545" y="5392882"/>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48489</xdr:colOff>
      <xdr:row>27</xdr:row>
      <xdr:rowOff>169718</xdr:rowOff>
    </xdr:from>
    <xdr:to>
      <xdr:col>13</xdr:col>
      <xdr:colOff>256307</xdr:colOff>
      <xdr:row>46</xdr:row>
      <xdr:rowOff>100444</xdr:rowOff>
    </xdr:to>
    <xdr:sp macro="" textlink="">
      <xdr:nvSpPr>
        <xdr:cNvPr id="4" name="9 Rectángulo redondeado">
          <a:extLst>
            <a:ext uri="{FF2B5EF4-FFF2-40B4-BE49-F238E27FC236}">
              <a16:creationId xmlns:a16="http://schemas.microsoft.com/office/drawing/2014/main" id="{AFE7719E-25CA-4477-AF9C-9D9A0581A225}"/>
            </a:ext>
          </a:extLst>
        </xdr:cNvPr>
        <xdr:cNvSpPr/>
      </xdr:nvSpPr>
      <xdr:spPr>
        <a:xfrm>
          <a:off x="391389" y="5389418"/>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31173</xdr:colOff>
      <xdr:row>50</xdr:row>
      <xdr:rowOff>13854</xdr:rowOff>
    </xdr:from>
    <xdr:to>
      <xdr:col>13</xdr:col>
      <xdr:colOff>238991</xdr:colOff>
      <xdr:row>68</xdr:row>
      <xdr:rowOff>135080</xdr:rowOff>
    </xdr:to>
    <xdr:sp macro="" textlink="">
      <xdr:nvSpPr>
        <xdr:cNvPr id="5" name="9 Rectángulo redondeado">
          <a:extLst>
            <a:ext uri="{FF2B5EF4-FFF2-40B4-BE49-F238E27FC236}">
              <a16:creationId xmlns:a16="http://schemas.microsoft.com/office/drawing/2014/main" id="{274CFFF2-E506-4A4C-BA3D-5794C0A97BE1}"/>
            </a:ext>
          </a:extLst>
        </xdr:cNvPr>
        <xdr:cNvSpPr/>
      </xdr:nvSpPr>
      <xdr:spPr>
        <a:xfrm>
          <a:off x="374073" y="9615054"/>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34637</xdr:colOff>
      <xdr:row>72</xdr:row>
      <xdr:rowOff>0</xdr:rowOff>
    </xdr:from>
    <xdr:to>
      <xdr:col>13</xdr:col>
      <xdr:colOff>242455</xdr:colOff>
      <xdr:row>90</xdr:row>
      <xdr:rowOff>121226</xdr:rowOff>
    </xdr:to>
    <xdr:sp macro="" textlink="">
      <xdr:nvSpPr>
        <xdr:cNvPr id="6" name="9 Rectángulo redondeado">
          <a:extLst>
            <a:ext uri="{FF2B5EF4-FFF2-40B4-BE49-F238E27FC236}">
              <a16:creationId xmlns:a16="http://schemas.microsoft.com/office/drawing/2014/main" id="{88B9CDD2-40E8-4E67-899D-5FD17AB54BC2}"/>
            </a:ext>
          </a:extLst>
        </xdr:cNvPr>
        <xdr:cNvSpPr/>
      </xdr:nvSpPr>
      <xdr:spPr>
        <a:xfrm>
          <a:off x="377537" y="13792200"/>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16</xdr:col>
      <xdr:colOff>34636</xdr:colOff>
      <xdr:row>72</xdr:row>
      <xdr:rowOff>17318</xdr:rowOff>
    </xdr:from>
    <xdr:to>
      <xdr:col>28</xdr:col>
      <xdr:colOff>242453</xdr:colOff>
      <xdr:row>90</xdr:row>
      <xdr:rowOff>138544</xdr:rowOff>
    </xdr:to>
    <xdr:sp macro="" textlink="">
      <xdr:nvSpPr>
        <xdr:cNvPr id="7" name="9 Rectángulo redondeado">
          <a:extLst>
            <a:ext uri="{FF2B5EF4-FFF2-40B4-BE49-F238E27FC236}">
              <a16:creationId xmlns:a16="http://schemas.microsoft.com/office/drawing/2014/main" id="{1708F885-E45B-4BD2-AB14-ACF378A7CE19}"/>
            </a:ext>
          </a:extLst>
        </xdr:cNvPr>
        <xdr:cNvSpPr/>
      </xdr:nvSpPr>
      <xdr:spPr>
        <a:xfrm>
          <a:off x="5521036" y="13809518"/>
          <a:ext cx="4322617"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325581</xdr:colOff>
      <xdr:row>50</xdr:row>
      <xdr:rowOff>13855</xdr:rowOff>
    </xdr:from>
    <xdr:to>
      <xdr:col>28</xdr:col>
      <xdr:colOff>187035</xdr:colOff>
      <xdr:row>68</xdr:row>
      <xdr:rowOff>135081</xdr:rowOff>
    </xdr:to>
    <xdr:sp macro="" textlink="">
      <xdr:nvSpPr>
        <xdr:cNvPr id="8" name="9 Rectángulo redondeado">
          <a:extLst>
            <a:ext uri="{FF2B5EF4-FFF2-40B4-BE49-F238E27FC236}">
              <a16:creationId xmlns:a16="http://schemas.microsoft.com/office/drawing/2014/main" id="{06795518-83F1-407C-8C2A-E1AE5E773486}"/>
            </a:ext>
          </a:extLst>
        </xdr:cNvPr>
        <xdr:cNvSpPr/>
      </xdr:nvSpPr>
      <xdr:spPr>
        <a:xfrm>
          <a:off x="5469081" y="9615055"/>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51954</xdr:colOff>
      <xdr:row>5</xdr:row>
      <xdr:rowOff>173182</xdr:rowOff>
    </xdr:from>
    <xdr:to>
      <xdr:col>13</xdr:col>
      <xdr:colOff>259772</xdr:colOff>
      <xdr:row>24</xdr:row>
      <xdr:rowOff>103908</xdr:rowOff>
    </xdr:to>
    <xdr:sp macro="" textlink="">
      <xdr:nvSpPr>
        <xdr:cNvPr id="9" name="9 Rectángulo redondeado">
          <a:extLst>
            <a:ext uri="{FF2B5EF4-FFF2-40B4-BE49-F238E27FC236}">
              <a16:creationId xmlns:a16="http://schemas.microsoft.com/office/drawing/2014/main" id="{51960C77-D89B-4D2F-B771-10334294B17D}"/>
            </a:ext>
          </a:extLst>
        </xdr:cNvPr>
        <xdr:cNvSpPr/>
      </xdr:nvSpPr>
      <xdr:spPr>
        <a:xfrm>
          <a:off x="394854" y="1201882"/>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0</xdr:col>
      <xdr:colOff>333375</xdr:colOff>
      <xdr:row>0</xdr:row>
      <xdr:rowOff>142875</xdr:rowOff>
    </xdr:from>
    <xdr:to>
      <xdr:col>6</xdr:col>
      <xdr:colOff>77464</xdr:colOff>
      <xdr:row>3</xdr:row>
      <xdr:rowOff>63308</xdr:rowOff>
    </xdr:to>
    <xdr:pic>
      <xdr:nvPicPr>
        <xdr:cNvPr id="10" name="Imagen 9">
          <a:extLst>
            <a:ext uri="{FF2B5EF4-FFF2-40B4-BE49-F238E27FC236}">
              <a16:creationId xmlns:a16="http://schemas.microsoft.com/office/drawing/2014/main" id="{037E833A-C5DE-43D4-AF08-D948CFD35833}"/>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33375" y="142875"/>
          <a:ext cx="1801489" cy="520508"/>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15</xdr:col>
      <xdr:colOff>325583</xdr:colOff>
      <xdr:row>5</xdr:row>
      <xdr:rowOff>135084</xdr:rowOff>
    </xdr:from>
    <xdr:to>
      <xdr:col>28</xdr:col>
      <xdr:colOff>187037</xdr:colOff>
      <xdr:row>24</xdr:row>
      <xdr:rowOff>65810</xdr:rowOff>
    </xdr:to>
    <xdr:sp macro="" textlink="">
      <xdr:nvSpPr>
        <xdr:cNvPr id="2" name="9 Rectángulo redondeado">
          <a:extLst>
            <a:ext uri="{FF2B5EF4-FFF2-40B4-BE49-F238E27FC236}">
              <a16:creationId xmlns:a16="http://schemas.microsoft.com/office/drawing/2014/main" id="{E364ADD7-43DB-4151-BD5C-EDE077CE3F69}"/>
            </a:ext>
          </a:extLst>
        </xdr:cNvPr>
        <xdr:cNvSpPr/>
      </xdr:nvSpPr>
      <xdr:spPr>
        <a:xfrm>
          <a:off x="5469083" y="1163784"/>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329045</xdr:colOff>
      <xdr:row>27</xdr:row>
      <xdr:rowOff>173182</xdr:rowOff>
    </xdr:from>
    <xdr:to>
      <xdr:col>28</xdr:col>
      <xdr:colOff>190499</xdr:colOff>
      <xdr:row>46</xdr:row>
      <xdr:rowOff>103908</xdr:rowOff>
    </xdr:to>
    <xdr:sp macro="" textlink="">
      <xdr:nvSpPr>
        <xdr:cNvPr id="3" name="9 Rectángulo redondeado">
          <a:extLst>
            <a:ext uri="{FF2B5EF4-FFF2-40B4-BE49-F238E27FC236}">
              <a16:creationId xmlns:a16="http://schemas.microsoft.com/office/drawing/2014/main" id="{A749172E-A6AE-403E-AC5B-B5D91EC3E5D3}"/>
            </a:ext>
          </a:extLst>
        </xdr:cNvPr>
        <xdr:cNvSpPr/>
      </xdr:nvSpPr>
      <xdr:spPr>
        <a:xfrm>
          <a:off x="5472545" y="5392882"/>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48489</xdr:colOff>
      <xdr:row>27</xdr:row>
      <xdr:rowOff>169718</xdr:rowOff>
    </xdr:from>
    <xdr:to>
      <xdr:col>13</xdr:col>
      <xdr:colOff>256307</xdr:colOff>
      <xdr:row>46</xdr:row>
      <xdr:rowOff>100444</xdr:rowOff>
    </xdr:to>
    <xdr:sp macro="" textlink="">
      <xdr:nvSpPr>
        <xdr:cNvPr id="4" name="9 Rectángulo redondeado">
          <a:extLst>
            <a:ext uri="{FF2B5EF4-FFF2-40B4-BE49-F238E27FC236}">
              <a16:creationId xmlns:a16="http://schemas.microsoft.com/office/drawing/2014/main" id="{A24FD420-FD0A-47B1-81F3-AEBF690F1526}"/>
            </a:ext>
          </a:extLst>
        </xdr:cNvPr>
        <xdr:cNvSpPr/>
      </xdr:nvSpPr>
      <xdr:spPr>
        <a:xfrm>
          <a:off x="391389" y="5389418"/>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31173</xdr:colOff>
      <xdr:row>50</xdr:row>
      <xdr:rowOff>13854</xdr:rowOff>
    </xdr:from>
    <xdr:to>
      <xdr:col>13</xdr:col>
      <xdr:colOff>238991</xdr:colOff>
      <xdr:row>68</xdr:row>
      <xdr:rowOff>135080</xdr:rowOff>
    </xdr:to>
    <xdr:sp macro="" textlink="">
      <xdr:nvSpPr>
        <xdr:cNvPr id="5" name="9 Rectángulo redondeado">
          <a:extLst>
            <a:ext uri="{FF2B5EF4-FFF2-40B4-BE49-F238E27FC236}">
              <a16:creationId xmlns:a16="http://schemas.microsoft.com/office/drawing/2014/main" id="{C139F18A-0C8D-457E-A03B-34C34F7752C3}"/>
            </a:ext>
          </a:extLst>
        </xdr:cNvPr>
        <xdr:cNvSpPr/>
      </xdr:nvSpPr>
      <xdr:spPr>
        <a:xfrm>
          <a:off x="374073" y="9615054"/>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34637</xdr:colOff>
      <xdr:row>72</xdr:row>
      <xdr:rowOff>0</xdr:rowOff>
    </xdr:from>
    <xdr:to>
      <xdr:col>13</xdr:col>
      <xdr:colOff>242455</xdr:colOff>
      <xdr:row>90</xdr:row>
      <xdr:rowOff>121226</xdr:rowOff>
    </xdr:to>
    <xdr:sp macro="" textlink="">
      <xdr:nvSpPr>
        <xdr:cNvPr id="6" name="9 Rectángulo redondeado">
          <a:extLst>
            <a:ext uri="{FF2B5EF4-FFF2-40B4-BE49-F238E27FC236}">
              <a16:creationId xmlns:a16="http://schemas.microsoft.com/office/drawing/2014/main" id="{F0DF84DA-9682-4EEF-B10E-085BFB209D07}"/>
            </a:ext>
          </a:extLst>
        </xdr:cNvPr>
        <xdr:cNvSpPr/>
      </xdr:nvSpPr>
      <xdr:spPr>
        <a:xfrm>
          <a:off x="377537" y="13792200"/>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16</xdr:col>
      <xdr:colOff>34636</xdr:colOff>
      <xdr:row>72</xdr:row>
      <xdr:rowOff>17318</xdr:rowOff>
    </xdr:from>
    <xdr:to>
      <xdr:col>28</xdr:col>
      <xdr:colOff>242453</xdr:colOff>
      <xdr:row>90</xdr:row>
      <xdr:rowOff>138544</xdr:rowOff>
    </xdr:to>
    <xdr:sp macro="" textlink="">
      <xdr:nvSpPr>
        <xdr:cNvPr id="7" name="9 Rectángulo redondeado">
          <a:extLst>
            <a:ext uri="{FF2B5EF4-FFF2-40B4-BE49-F238E27FC236}">
              <a16:creationId xmlns:a16="http://schemas.microsoft.com/office/drawing/2014/main" id="{2B402844-9DD4-497F-80ED-AA4D0DBB056C}"/>
            </a:ext>
          </a:extLst>
        </xdr:cNvPr>
        <xdr:cNvSpPr/>
      </xdr:nvSpPr>
      <xdr:spPr>
        <a:xfrm>
          <a:off x="5521036" y="13809518"/>
          <a:ext cx="4322617"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325581</xdr:colOff>
      <xdr:row>50</xdr:row>
      <xdr:rowOff>13855</xdr:rowOff>
    </xdr:from>
    <xdr:to>
      <xdr:col>28</xdr:col>
      <xdr:colOff>187035</xdr:colOff>
      <xdr:row>68</xdr:row>
      <xdr:rowOff>135081</xdr:rowOff>
    </xdr:to>
    <xdr:sp macro="" textlink="">
      <xdr:nvSpPr>
        <xdr:cNvPr id="8" name="9 Rectángulo redondeado">
          <a:extLst>
            <a:ext uri="{FF2B5EF4-FFF2-40B4-BE49-F238E27FC236}">
              <a16:creationId xmlns:a16="http://schemas.microsoft.com/office/drawing/2014/main" id="{F746FD90-B797-4BD3-A1B6-44AE7D962147}"/>
            </a:ext>
          </a:extLst>
        </xdr:cNvPr>
        <xdr:cNvSpPr/>
      </xdr:nvSpPr>
      <xdr:spPr>
        <a:xfrm>
          <a:off x="5469081" y="9615055"/>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51954</xdr:colOff>
      <xdr:row>5</xdr:row>
      <xdr:rowOff>173182</xdr:rowOff>
    </xdr:from>
    <xdr:to>
      <xdr:col>13</xdr:col>
      <xdr:colOff>259772</xdr:colOff>
      <xdr:row>24</xdr:row>
      <xdr:rowOff>103908</xdr:rowOff>
    </xdr:to>
    <xdr:sp macro="" textlink="">
      <xdr:nvSpPr>
        <xdr:cNvPr id="9" name="9 Rectángulo redondeado">
          <a:extLst>
            <a:ext uri="{FF2B5EF4-FFF2-40B4-BE49-F238E27FC236}">
              <a16:creationId xmlns:a16="http://schemas.microsoft.com/office/drawing/2014/main" id="{95A007EE-5CDA-4E68-BEA9-986CE8CE134F}"/>
            </a:ext>
          </a:extLst>
        </xdr:cNvPr>
        <xdr:cNvSpPr/>
      </xdr:nvSpPr>
      <xdr:spPr>
        <a:xfrm>
          <a:off x="394854" y="1201882"/>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0</xdr:col>
      <xdr:colOff>333375</xdr:colOff>
      <xdr:row>0</xdr:row>
      <xdr:rowOff>142875</xdr:rowOff>
    </xdr:from>
    <xdr:to>
      <xdr:col>6</xdr:col>
      <xdr:colOff>77464</xdr:colOff>
      <xdr:row>3</xdr:row>
      <xdr:rowOff>63308</xdr:rowOff>
    </xdr:to>
    <xdr:pic>
      <xdr:nvPicPr>
        <xdr:cNvPr id="10" name="Imagen 9">
          <a:extLst>
            <a:ext uri="{FF2B5EF4-FFF2-40B4-BE49-F238E27FC236}">
              <a16:creationId xmlns:a16="http://schemas.microsoft.com/office/drawing/2014/main" id="{7C7681FF-7700-4A79-BA64-D65E35E8CC88}"/>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33375" y="142875"/>
          <a:ext cx="1801489" cy="520508"/>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xdr:from>
      <xdr:col>15</xdr:col>
      <xdr:colOff>325583</xdr:colOff>
      <xdr:row>5</xdr:row>
      <xdr:rowOff>135084</xdr:rowOff>
    </xdr:from>
    <xdr:to>
      <xdr:col>28</xdr:col>
      <xdr:colOff>187037</xdr:colOff>
      <xdr:row>24</xdr:row>
      <xdr:rowOff>65810</xdr:rowOff>
    </xdr:to>
    <xdr:sp macro="" textlink="">
      <xdr:nvSpPr>
        <xdr:cNvPr id="2" name="9 Rectángulo redondeado">
          <a:extLst>
            <a:ext uri="{FF2B5EF4-FFF2-40B4-BE49-F238E27FC236}">
              <a16:creationId xmlns:a16="http://schemas.microsoft.com/office/drawing/2014/main" id="{84CBE381-F510-4D4F-B3AA-B4B39B85F66C}"/>
            </a:ext>
          </a:extLst>
        </xdr:cNvPr>
        <xdr:cNvSpPr/>
      </xdr:nvSpPr>
      <xdr:spPr>
        <a:xfrm>
          <a:off x="5469083" y="1163784"/>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329045</xdr:colOff>
      <xdr:row>27</xdr:row>
      <xdr:rowOff>173182</xdr:rowOff>
    </xdr:from>
    <xdr:to>
      <xdr:col>28</xdr:col>
      <xdr:colOff>190499</xdr:colOff>
      <xdr:row>46</xdr:row>
      <xdr:rowOff>103908</xdr:rowOff>
    </xdr:to>
    <xdr:sp macro="" textlink="">
      <xdr:nvSpPr>
        <xdr:cNvPr id="3" name="9 Rectángulo redondeado">
          <a:extLst>
            <a:ext uri="{FF2B5EF4-FFF2-40B4-BE49-F238E27FC236}">
              <a16:creationId xmlns:a16="http://schemas.microsoft.com/office/drawing/2014/main" id="{081B2661-F955-4223-AE08-4A76F4C54873}"/>
            </a:ext>
          </a:extLst>
        </xdr:cNvPr>
        <xdr:cNvSpPr/>
      </xdr:nvSpPr>
      <xdr:spPr>
        <a:xfrm>
          <a:off x="5472545" y="5392882"/>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48489</xdr:colOff>
      <xdr:row>27</xdr:row>
      <xdr:rowOff>169718</xdr:rowOff>
    </xdr:from>
    <xdr:to>
      <xdr:col>13</xdr:col>
      <xdr:colOff>256307</xdr:colOff>
      <xdr:row>46</xdr:row>
      <xdr:rowOff>100444</xdr:rowOff>
    </xdr:to>
    <xdr:sp macro="" textlink="">
      <xdr:nvSpPr>
        <xdr:cNvPr id="4" name="9 Rectángulo redondeado">
          <a:extLst>
            <a:ext uri="{FF2B5EF4-FFF2-40B4-BE49-F238E27FC236}">
              <a16:creationId xmlns:a16="http://schemas.microsoft.com/office/drawing/2014/main" id="{9E9B8DC6-8DD6-41FA-A8F6-7B5B19F78CDE}"/>
            </a:ext>
          </a:extLst>
        </xdr:cNvPr>
        <xdr:cNvSpPr/>
      </xdr:nvSpPr>
      <xdr:spPr>
        <a:xfrm>
          <a:off x="391389" y="5389418"/>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31173</xdr:colOff>
      <xdr:row>50</xdr:row>
      <xdr:rowOff>13854</xdr:rowOff>
    </xdr:from>
    <xdr:to>
      <xdr:col>13</xdr:col>
      <xdr:colOff>238991</xdr:colOff>
      <xdr:row>68</xdr:row>
      <xdr:rowOff>135080</xdr:rowOff>
    </xdr:to>
    <xdr:sp macro="" textlink="">
      <xdr:nvSpPr>
        <xdr:cNvPr id="5" name="9 Rectángulo redondeado">
          <a:extLst>
            <a:ext uri="{FF2B5EF4-FFF2-40B4-BE49-F238E27FC236}">
              <a16:creationId xmlns:a16="http://schemas.microsoft.com/office/drawing/2014/main" id="{1ED85BEB-3EC7-4907-AA9E-501A9E2B847A}"/>
            </a:ext>
          </a:extLst>
        </xdr:cNvPr>
        <xdr:cNvSpPr/>
      </xdr:nvSpPr>
      <xdr:spPr>
        <a:xfrm>
          <a:off x="374073" y="9615054"/>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34637</xdr:colOff>
      <xdr:row>72</xdr:row>
      <xdr:rowOff>0</xdr:rowOff>
    </xdr:from>
    <xdr:to>
      <xdr:col>13</xdr:col>
      <xdr:colOff>242455</xdr:colOff>
      <xdr:row>90</xdr:row>
      <xdr:rowOff>121226</xdr:rowOff>
    </xdr:to>
    <xdr:sp macro="" textlink="">
      <xdr:nvSpPr>
        <xdr:cNvPr id="6" name="9 Rectángulo redondeado">
          <a:extLst>
            <a:ext uri="{FF2B5EF4-FFF2-40B4-BE49-F238E27FC236}">
              <a16:creationId xmlns:a16="http://schemas.microsoft.com/office/drawing/2014/main" id="{1A44F4BE-B5C1-40BE-A4B6-6122FF7E6E46}"/>
            </a:ext>
          </a:extLst>
        </xdr:cNvPr>
        <xdr:cNvSpPr/>
      </xdr:nvSpPr>
      <xdr:spPr>
        <a:xfrm>
          <a:off x="377537" y="13792200"/>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16</xdr:col>
      <xdr:colOff>34636</xdr:colOff>
      <xdr:row>72</xdr:row>
      <xdr:rowOff>17318</xdr:rowOff>
    </xdr:from>
    <xdr:to>
      <xdr:col>28</xdr:col>
      <xdr:colOff>242453</xdr:colOff>
      <xdr:row>90</xdr:row>
      <xdr:rowOff>138544</xdr:rowOff>
    </xdr:to>
    <xdr:sp macro="" textlink="">
      <xdr:nvSpPr>
        <xdr:cNvPr id="7" name="9 Rectángulo redondeado">
          <a:extLst>
            <a:ext uri="{FF2B5EF4-FFF2-40B4-BE49-F238E27FC236}">
              <a16:creationId xmlns:a16="http://schemas.microsoft.com/office/drawing/2014/main" id="{8A56E680-BFB2-4E77-A394-238C05733CF9}"/>
            </a:ext>
          </a:extLst>
        </xdr:cNvPr>
        <xdr:cNvSpPr/>
      </xdr:nvSpPr>
      <xdr:spPr>
        <a:xfrm>
          <a:off x="5521036" y="13809518"/>
          <a:ext cx="4322617"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15</xdr:col>
      <xdr:colOff>325581</xdr:colOff>
      <xdr:row>50</xdr:row>
      <xdr:rowOff>13855</xdr:rowOff>
    </xdr:from>
    <xdr:to>
      <xdr:col>28</xdr:col>
      <xdr:colOff>187035</xdr:colOff>
      <xdr:row>68</xdr:row>
      <xdr:rowOff>135081</xdr:rowOff>
    </xdr:to>
    <xdr:sp macro="" textlink="">
      <xdr:nvSpPr>
        <xdr:cNvPr id="8" name="9 Rectángulo redondeado">
          <a:extLst>
            <a:ext uri="{FF2B5EF4-FFF2-40B4-BE49-F238E27FC236}">
              <a16:creationId xmlns:a16="http://schemas.microsoft.com/office/drawing/2014/main" id="{C4D62433-6ACE-44D2-9014-C65277CD950C}"/>
            </a:ext>
          </a:extLst>
        </xdr:cNvPr>
        <xdr:cNvSpPr/>
      </xdr:nvSpPr>
      <xdr:spPr>
        <a:xfrm>
          <a:off x="5469081" y="9615055"/>
          <a:ext cx="4319154"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xdr:from>
      <xdr:col>1</xdr:col>
      <xdr:colOff>51954</xdr:colOff>
      <xdr:row>5</xdr:row>
      <xdr:rowOff>173182</xdr:rowOff>
    </xdr:from>
    <xdr:to>
      <xdr:col>13</xdr:col>
      <xdr:colOff>259772</xdr:colOff>
      <xdr:row>24</xdr:row>
      <xdr:rowOff>103908</xdr:rowOff>
    </xdr:to>
    <xdr:sp macro="" textlink="">
      <xdr:nvSpPr>
        <xdr:cNvPr id="9" name="9 Rectángulo redondeado">
          <a:extLst>
            <a:ext uri="{FF2B5EF4-FFF2-40B4-BE49-F238E27FC236}">
              <a16:creationId xmlns:a16="http://schemas.microsoft.com/office/drawing/2014/main" id="{E7BE8B3E-C3B8-49C6-8A73-FB2FE62F1A63}"/>
            </a:ext>
          </a:extLst>
        </xdr:cNvPr>
        <xdr:cNvSpPr/>
      </xdr:nvSpPr>
      <xdr:spPr>
        <a:xfrm>
          <a:off x="394854" y="1201882"/>
          <a:ext cx="4322618" cy="3550226"/>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0</xdr:col>
      <xdr:colOff>333375</xdr:colOff>
      <xdr:row>0</xdr:row>
      <xdr:rowOff>142875</xdr:rowOff>
    </xdr:from>
    <xdr:to>
      <xdr:col>6</xdr:col>
      <xdr:colOff>77464</xdr:colOff>
      <xdr:row>3</xdr:row>
      <xdr:rowOff>63308</xdr:rowOff>
    </xdr:to>
    <xdr:pic>
      <xdr:nvPicPr>
        <xdr:cNvPr id="10" name="Imagen 9">
          <a:extLst>
            <a:ext uri="{FF2B5EF4-FFF2-40B4-BE49-F238E27FC236}">
              <a16:creationId xmlns:a16="http://schemas.microsoft.com/office/drawing/2014/main" id="{5CE93209-7922-41B0-9415-8D3153FCA9D2}"/>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33375" y="142875"/>
          <a:ext cx="1801489" cy="520508"/>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4" name="9 Rectángulo redondeado">
          <a:extLst>
            <a:ext uri="{FF2B5EF4-FFF2-40B4-BE49-F238E27FC236}">
              <a16:creationId xmlns:a16="http://schemas.microsoft.com/office/drawing/2014/main" id="{00000000-0008-0000-1100-000004000000}"/>
            </a:ext>
          </a:extLst>
        </xdr:cNvPr>
        <xdr:cNvSpPr/>
      </xdr:nvSpPr>
      <xdr:spPr>
        <a:xfrm>
          <a:off x="238125" y="1628775"/>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44824</xdr:colOff>
      <xdr:row>0</xdr:row>
      <xdr:rowOff>156883</xdr:rowOff>
    </xdr:from>
    <xdr:to>
      <xdr:col>6</xdr:col>
      <xdr:colOff>136295</xdr:colOff>
      <xdr:row>3</xdr:row>
      <xdr:rowOff>77316</xdr:rowOff>
    </xdr:to>
    <xdr:pic>
      <xdr:nvPicPr>
        <xdr:cNvPr id="5" name="Imagen 4">
          <a:extLst>
            <a:ext uri="{FF2B5EF4-FFF2-40B4-BE49-F238E27FC236}">
              <a16:creationId xmlns:a16="http://schemas.microsoft.com/office/drawing/2014/main" id="{00000000-0008-0000-1100-000005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92206" y="156883"/>
          <a:ext cx="1828383" cy="525551"/>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00000000-0008-0000-1200-000002000000}"/>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44824</xdr:colOff>
      <xdr:row>0</xdr:row>
      <xdr:rowOff>156883</xdr:rowOff>
    </xdr:from>
    <xdr:to>
      <xdr:col>6</xdr:col>
      <xdr:colOff>136295</xdr:colOff>
      <xdr:row>3</xdr:row>
      <xdr:rowOff>77316</xdr:rowOff>
    </xdr:to>
    <xdr:pic>
      <xdr:nvPicPr>
        <xdr:cNvPr id="3" name="Imagen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87724" y="156883"/>
          <a:ext cx="1805971" cy="520508"/>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00000000-0008-0000-1300-000002000000}"/>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44824</xdr:colOff>
      <xdr:row>0</xdr:row>
      <xdr:rowOff>156883</xdr:rowOff>
    </xdr:from>
    <xdr:to>
      <xdr:col>6</xdr:col>
      <xdr:colOff>136295</xdr:colOff>
      <xdr:row>3</xdr:row>
      <xdr:rowOff>77316</xdr:rowOff>
    </xdr:to>
    <xdr:pic>
      <xdr:nvPicPr>
        <xdr:cNvPr id="3" name="Imagen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87724" y="156883"/>
          <a:ext cx="1805971" cy="520508"/>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00000000-0008-0000-1400-000002000000}"/>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44824</xdr:colOff>
      <xdr:row>0</xdr:row>
      <xdr:rowOff>156883</xdr:rowOff>
    </xdr:from>
    <xdr:to>
      <xdr:col>6</xdr:col>
      <xdr:colOff>136295</xdr:colOff>
      <xdr:row>3</xdr:row>
      <xdr:rowOff>77316</xdr:rowOff>
    </xdr:to>
    <xdr:pic>
      <xdr:nvPicPr>
        <xdr:cNvPr id="3" name="Imagen 2">
          <a:extLst>
            <a:ext uri="{FF2B5EF4-FFF2-40B4-BE49-F238E27FC236}">
              <a16:creationId xmlns:a16="http://schemas.microsoft.com/office/drawing/2014/main" id="{00000000-0008-0000-14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87724" y="156883"/>
          <a:ext cx="1805971" cy="520508"/>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00000000-0008-0000-1500-000002000000}"/>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44824</xdr:colOff>
      <xdr:row>0</xdr:row>
      <xdr:rowOff>156883</xdr:rowOff>
    </xdr:from>
    <xdr:to>
      <xdr:col>6</xdr:col>
      <xdr:colOff>136295</xdr:colOff>
      <xdr:row>3</xdr:row>
      <xdr:rowOff>77316</xdr:rowOff>
    </xdr:to>
    <xdr:pic>
      <xdr:nvPicPr>
        <xdr:cNvPr id="3" name="Imagen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87724" y="156883"/>
          <a:ext cx="1805971" cy="520508"/>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00000000-0008-0000-1600-000002000000}"/>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44824</xdr:colOff>
      <xdr:row>0</xdr:row>
      <xdr:rowOff>156883</xdr:rowOff>
    </xdr:from>
    <xdr:to>
      <xdr:col>6</xdr:col>
      <xdr:colOff>136295</xdr:colOff>
      <xdr:row>3</xdr:row>
      <xdr:rowOff>77316</xdr:rowOff>
    </xdr:to>
    <xdr:pic>
      <xdr:nvPicPr>
        <xdr:cNvPr id="3" name="Imagen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387724" y="156883"/>
          <a:ext cx="1805971" cy="520508"/>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4" name="9 Rectángulo redondeado">
          <a:extLst>
            <a:ext uri="{FF2B5EF4-FFF2-40B4-BE49-F238E27FC236}">
              <a16:creationId xmlns:a16="http://schemas.microsoft.com/office/drawing/2014/main" id="{00000000-0008-0000-1700-000004000000}"/>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67236</xdr:colOff>
      <xdr:row>0</xdr:row>
      <xdr:rowOff>179294</xdr:rowOff>
    </xdr:from>
    <xdr:to>
      <xdr:col>6</xdr:col>
      <xdr:colOff>158707</xdr:colOff>
      <xdr:row>3</xdr:row>
      <xdr:rowOff>99727</xdr:rowOff>
    </xdr:to>
    <xdr:pic>
      <xdr:nvPicPr>
        <xdr:cNvPr id="5" name="Imagen 4">
          <a:extLst>
            <a:ext uri="{FF2B5EF4-FFF2-40B4-BE49-F238E27FC236}">
              <a16:creationId xmlns:a16="http://schemas.microsoft.com/office/drawing/2014/main" id="{00000000-0008-0000-1700-000005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14618" y="179294"/>
          <a:ext cx="1828383" cy="525551"/>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00000000-0008-0000-1900-000002000000}"/>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67236</xdr:colOff>
      <xdr:row>0</xdr:row>
      <xdr:rowOff>179294</xdr:rowOff>
    </xdr:from>
    <xdr:to>
      <xdr:col>6</xdr:col>
      <xdr:colOff>158707</xdr:colOff>
      <xdr:row>3</xdr:row>
      <xdr:rowOff>99727</xdr:rowOff>
    </xdr:to>
    <xdr:pic>
      <xdr:nvPicPr>
        <xdr:cNvPr id="3" name="Imagen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10136" y="179294"/>
          <a:ext cx="1805971" cy="520508"/>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00000000-0008-0000-1A00-000002000000}"/>
            </a:ext>
          </a:extLst>
        </xdr:cNvPr>
        <xdr:cNvSpPr/>
      </xdr:nvSpPr>
      <xdr:spPr>
        <a:xfrm>
          <a:off x="238125" y="1114425"/>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67236</xdr:colOff>
      <xdr:row>0</xdr:row>
      <xdr:rowOff>179294</xdr:rowOff>
    </xdr:from>
    <xdr:to>
      <xdr:col>6</xdr:col>
      <xdr:colOff>158707</xdr:colOff>
      <xdr:row>3</xdr:row>
      <xdr:rowOff>99727</xdr:rowOff>
    </xdr:to>
    <xdr:pic>
      <xdr:nvPicPr>
        <xdr:cNvPr id="3" name="Imagen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10136" y="179294"/>
          <a:ext cx="1805971" cy="520508"/>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00000000-0008-0000-1B00-000002000000}"/>
            </a:ext>
          </a:extLst>
        </xdr:cNvPr>
        <xdr:cNvSpPr/>
      </xdr:nvSpPr>
      <xdr:spPr>
        <a:xfrm>
          <a:off x="238125" y="1114425"/>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67236</xdr:colOff>
      <xdr:row>0</xdr:row>
      <xdr:rowOff>179294</xdr:rowOff>
    </xdr:from>
    <xdr:to>
      <xdr:col>6</xdr:col>
      <xdr:colOff>158707</xdr:colOff>
      <xdr:row>3</xdr:row>
      <xdr:rowOff>99727</xdr:rowOff>
    </xdr:to>
    <xdr:pic>
      <xdr:nvPicPr>
        <xdr:cNvPr id="3" name="Imagen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10136" y="179294"/>
          <a:ext cx="1805971" cy="520508"/>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FD7FBEF5-0425-46CF-9ECF-B74EA11DD547}"/>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67236</xdr:colOff>
      <xdr:row>0</xdr:row>
      <xdr:rowOff>179294</xdr:rowOff>
    </xdr:from>
    <xdr:to>
      <xdr:col>6</xdr:col>
      <xdr:colOff>158707</xdr:colOff>
      <xdr:row>3</xdr:row>
      <xdr:rowOff>99727</xdr:rowOff>
    </xdr:to>
    <xdr:pic>
      <xdr:nvPicPr>
        <xdr:cNvPr id="3" name="Imagen 2">
          <a:extLst>
            <a:ext uri="{FF2B5EF4-FFF2-40B4-BE49-F238E27FC236}">
              <a16:creationId xmlns:a16="http://schemas.microsoft.com/office/drawing/2014/main" id="{AB84BBE3-CF9F-40C9-AE99-AE13BE0AA787}"/>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10136" y="179294"/>
          <a:ext cx="1805971" cy="520508"/>
        </a:xfrm>
        <a:prstGeom prst="rect">
          <a:avLst/>
        </a:prstGeom>
        <a:noFill/>
        <a:ln>
          <a:noFill/>
        </a:ln>
      </xdr:spPr>
    </xdr:pic>
    <xdr:clientData/>
  </xdr:twoCellAnchor>
  <xdr:twoCellAnchor>
    <xdr:from>
      <xdr:col>30</xdr:col>
      <xdr:colOff>238125</xdr:colOff>
      <xdr:row>6</xdr:row>
      <xdr:rowOff>95250</xdr:rowOff>
    </xdr:from>
    <xdr:to>
      <xdr:col>58</xdr:col>
      <xdr:colOff>290079</xdr:colOff>
      <xdr:row>91</xdr:row>
      <xdr:rowOff>77932</xdr:rowOff>
    </xdr:to>
    <xdr:sp macro="" textlink="">
      <xdr:nvSpPr>
        <xdr:cNvPr id="4" name="9 Rectángulo redondeado">
          <a:extLst>
            <a:ext uri="{FF2B5EF4-FFF2-40B4-BE49-F238E27FC236}">
              <a16:creationId xmlns:a16="http://schemas.microsoft.com/office/drawing/2014/main" id="{2F829A89-B156-46EF-A52E-CC85F8336584}"/>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oneCellAnchor>
    <xdr:from>
      <xdr:col>31</xdr:col>
      <xdr:colOff>67236</xdr:colOff>
      <xdr:row>0</xdr:row>
      <xdr:rowOff>179294</xdr:rowOff>
    </xdr:from>
    <xdr:ext cx="1805971" cy="520508"/>
    <xdr:pic>
      <xdr:nvPicPr>
        <xdr:cNvPr id="5" name="Imagen 4">
          <a:extLst>
            <a:ext uri="{FF2B5EF4-FFF2-40B4-BE49-F238E27FC236}">
              <a16:creationId xmlns:a16="http://schemas.microsoft.com/office/drawing/2014/main" id="{7B54E3AB-2B47-4A7F-82EA-F4DBB09A0DC8}"/>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10136" y="179294"/>
          <a:ext cx="1805971" cy="520508"/>
        </a:xfrm>
        <a:prstGeom prst="rect">
          <a:avLst/>
        </a:prstGeom>
        <a:noFill/>
        <a:ln>
          <a:noFill/>
        </a:ln>
      </xdr:spPr>
    </xdr:pic>
    <xdr:clientData/>
  </xdr:oneCellAnchor>
  <xdr:twoCellAnchor>
    <xdr:from>
      <xdr:col>60</xdr:col>
      <xdr:colOff>238125</xdr:colOff>
      <xdr:row>6</xdr:row>
      <xdr:rowOff>95250</xdr:rowOff>
    </xdr:from>
    <xdr:to>
      <xdr:col>88</xdr:col>
      <xdr:colOff>290079</xdr:colOff>
      <xdr:row>91</xdr:row>
      <xdr:rowOff>77932</xdr:rowOff>
    </xdr:to>
    <xdr:sp macro="" textlink="">
      <xdr:nvSpPr>
        <xdr:cNvPr id="6" name="9 Rectángulo redondeado">
          <a:extLst>
            <a:ext uri="{FF2B5EF4-FFF2-40B4-BE49-F238E27FC236}">
              <a16:creationId xmlns:a16="http://schemas.microsoft.com/office/drawing/2014/main" id="{CC168BD2-01A8-40BE-A94F-97705F9AE0C8}"/>
            </a:ext>
          </a:extLst>
        </xdr:cNvPr>
        <xdr:cNvSpPr/>
      </xdr:nvSpPr>
      <xdr:spPr>
        <a:xfrm>
          <a:off x="10443482" y="1333500"/>
          <a:ext cx="95769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oneCellAnchor>
    <xdr:from>
      <xdr:col>61</xdr:col>
      <xdr:colOff>67236</xdr:colOff>
      <xdr:row>0</xdr:row>
      <xdr:rowOff>179294</xdr:rowOff>
    </xdr:from>
    <xdr:ext cx="1805971" cy="520508"/>
    <xdr:pic>
      <xdr:nvPicPr>
        <xdr:cNvPr id="7" name="Imagen 6">
          <a:extLst>
            <a:ext uri="{FF2B5EF4-FFF2-40B4-BE49-F238E27FC236}">
              <a16:creationId xmlns:a16="http://schemas.microsoft.com/office/drawing/2014/main" id="{C8380F3C-8AE7-422B-A601-EDF85A66F656}"/>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10612772" y="179294"/>
          <a:ext cx="1805971" cy="520508"/>
        </a:xfrm>
        <a:prstGeom prst="rect">
          <a:avLst/>
        </a:prstGeom>
        <a:noFill/>
        <a:ln>
          <a:noFill/>
        </a:ln>
      </xdr:spPr>
    </xdr:pic>
    <xdr:clientData/>
  </xdr:oneCellAnchor>
  <xdr:twoCellAnchor>
    <xdr:from>
      <xdr:col>90</xdr:col>
      <xdr:colOff>238125</xdr:colOff>
      <xdr:row>6</xdr:row>
      <xdr:rowOff>95250</xdr:rowOff>
    </xdr:from>
    <xdr:to>
      <xdr:col>118</xdr:col>
      <xdr:colOff>290079</xdr:colOff>
      <xdr:row>91</xdr:row>
      <xdr:rowOff>77932</xdr:rowOff>
    </xdr:to>
    <xdr:sp macro="" textlink="">
      <xdr:nvSpPr>
        <xdr:cNvPr id="8" name="9 Rectángulo redondeado">
          <a:extLst>
            <a:ext uri="{FF2B5EF4-FFF2-40B4-BE49-F238E27FC236}">
              <a16:creationId xmlns:a16="http://schemas.microsoft.com/office/drawing/2014/main" id="{952C8E70-F6A8-446A-8593-BBDAC5313EE0}"/>
            </a:ext>
          </a:extLst>
        </xdr:cNvPr>
        <xdr:cNvSpPr/>
      </xdr:nvSpPr>
      <xdr:spPr>
        <a:xfrm>
          <a:off x="20240625" y="1285875"/>
          <a:ext cx="93864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oneCellAnchor>
    <xdr:from>
      <xdr:col>91</xdr:col>
      <xdr:colOff>67236</xdr:colOff>
      <xdr:row>0</xdr:row>
      <xdr:rowOff>179294</xdr:rowOff>
    </xdr:from>
    <xdr:ext cx="1805971" cy="520508"/>
    <xdr:pic>
      <xdr:nvPicPr>
        <xdr:cNvPr id="9" name="Imagen 8">
          <a:extLst>
            <a:ext uri="{FF2B5EF4-FFF2-40B4-BE49-F238E27FC236}">
              <a16:creationId xmlns:a16="http://schemas.microsoft.com/office/drawing/2014/main" id="{474EACF8-B3E9-4857-8FF7-7B43E77F922A}"/>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20403111" y="179294"/>
          <a:ext cx="1805971" cy="520508"/>
        </a:xfrm>
        <a:prstGeom prst="rect">
          <a:avLst/>
        </a:prstGeom>
        <a:noFill/>
        <a:ln>
          <a:noFill/>
        </a:ln>
      </xdr:spPr>
    </xdr:pic>
    <xdr:clientData/>
  </xdr:oneCellAnchor>
</xdr:wsDr>
</file>

<file path=xl/drawings/drawing33.xml><?xml version="1.0" encoding="utf-8"?>
<xdr:wsDr xmlns:xdr="http://schemas.openxmlformats.org/drawingml/2006/spreadsheetDrawing" xmlns:a="http://schemas.openxmlformats.org/drawingml/2006/main">
  <xdr:twoCellAnchor>
    <xdr:from>
      <xdr:col>0</xdr:col>
      <xdr:colOff>238125</xdr:colOff>
      <xdr:row>6</xdr:row>
      <xdr:rowOff>95250</xdr:rowOff>
    </xdr:from>
    <xdr:to>
      <xdr:col>28</xdr:col>
      <xdr:colOff>290079</xdr:colOff>
      <xdr:row>91</xdr:row>
      <xdr:rowOff>77932</xdr:rowOff>
    </xdr:to>
    <xdr:sp macro="" textlink="">
      <xdr:nvSpPr>
        <xdr:cNvPr id="2" name="9 Rectángulo redondeado">
          <a:extLst>
            <a:ext uri="{FF2B5EF4-FFF2-40B4-BE49-F238E27FC236}">
              <a16:creationId xmlns:a16="http://schemas.microsoft.com/office/drawing/2014/main" id="{EF4802D3-E96E-493B-95F0-7213729E0DED}"/>
            </a:ext>
          </a:extLst>
        </xdr:cNvPr>
        <xdr:cNvSpPr/>
      </xdr:nvSpPr>
      <xdr:spPr>
        <a:xfrm>
          <a:off x="238125" y="1314450"/>
          <a:ext cx="96531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twoCellAnchor editAs="oneCell">
    <xdr:from>
      <xdr:col>1</xdr:col>
      <xdr:colOff>67236</xdr:colOff>
      <xdr:row>0</xdr:row>
      <xdr:rowOff>179294</xdr:rowOff>
    </xdr:from>
    <xdr:to>
      <xdr:col>6</xdr:col>
      <xdr:colOff>158707</xdr:colOff>
      <xdr:row>3</xdr:row>
      <xdr:rowOff>99727</xdr:rowOff>
    </xdr:to>
    <xdr:pic>
      <xdr:nvPicPr>
        <xdr:cNvPr id="3" name="Imagen 2">
          <a:extLst>
            <a:ext uri="{FF2B5EF4-FFF2-40B4-BE49-F238E27FC236}">
              <a16:creationId xmlns:a16="http://schemas.microsoft.com/office/drawing/2014/main" id="{78ED043F-244C-4DE2-88C8-97741EA0FB95}"/>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10136" y="179294"/>
          <a:ext cx="1805971" cy="520508"/>
        </a:xfrm>
        <a:prstGeom prst="rect">
          <a:avLst/>
        </a:prstGeom>
        <a:noFill/>
        <a:ln>
          <a:noFill/>
        </a:ln>
      </xdr:spPr>
    </xdr:pic>
    <xdr:clientData/>
  </xdr:twoCellAnchor>
  <xdr:twoCellAnchor>
    <xdr:from>
      <xdr:col>30</xdr:col>
      <xdr:colOff>238125</xdr:colOff>
      <xdr:row>6</xdr:row>
      <xdr:rowOff>95250</xdr:rowOff>
    </xdr:from>
    <xdr:to>
      <xdr:col>58</xdr:col>
      <xdr:colOff>290079</xdr:colOff>
      <xdr:row>91</xdr:row>
      <xdr:rowOff>77932</xdr:rowOff>
    </xdr:to>
    <xdr:sp macro="" textlink="">
      <xdr:nvSpPr>
        <xdr:cNvPr id="4" name="9 Rectángulo redondeado">
          <a:extLst>
            <a:ext uri="{FF2B5EF4-FFF2-40B4-BE49-F238E27FC236}">
              <a16:creationId xmlns:a16="http://schemas.microsoft.com/office/drawing/2014/main" id="{3AD96C57-B54B-4D45-81C5-8F8AE01050CF}"/>
            </a:ext>
          </a:extLst>
        </xdr:cNvPr>
        <xdr:cNvSpPr/>
      </xdr:nvSpPr>
      <xdr:spPr>
        <a:xfrm>
          <a:off x="238125" y="1333500"/>
          <a:ext cx="9830954" cy="16175182"/>
        </a:xfrm>
        <a:prstGeom prst="roundRect">
          <a:avLst/>
        </a:prstGeom>
        <a:noFill/>
        <a:ln>
          <a:solidFill>
            <a:schemeClr val="accent1">
              <a:lumMod val="50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s-MX" sz="1100"/>
        </a:p>
      </xdr:txBody>
    </xdr:sp>
    <xdr:clientData fLocksWithSheet="0"/>
  </xdr:twoCellAnchor>
  <xdr:oneCellAnchor>
    <xdr:from>
      <xdr:col>31</xdr:col>
      <xdr:colOff>67236</xdr:colOff>
      <xdr:row>0</xdr:row>
      <xdr:rowOff>179294</xdr:rowOff>
    </xdr:from>
    <xdr:ext cx="1837721" cy="539558"/>
    <xdr:pic>
      <xdr:nvPicPr>
        <xdr:cNvPr id="5" name="Imagen 4">
          <a:extLst>
            <a:ext uri="{FF2B5EF4-FFF2-40B4-BE49-F238E27FC236}">
              <a16:creationId xmlns:a16="http://schemas.microsoft.com/office/drawing/2014/main" id="{490C4CB8-7A09-402C-93A4-0F6A72005587}"/>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16486" y="179294"/>
          <a:ext cx="1837721" cy="539558"/>
        </a:xfrm>
        <a:prstGeom prst="rect">
          <a:avLst/>
        </a:prstGeom>
        <a:noFill/>
        <a:ln>
          <a:noFill/>
        </a:ln>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BCP%20CIBER.xlsm" TargetMode="External"/><Relationship Id="rId1" Type="http://schemas.openxmlformats.org/officeDocument/2006/relationships/externalLinkPath" Target="file:///Z:\BCP%20CIBE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52\e\Users\ELENA%20LABAJOS\AppData\Local\Microsoft\Windows\INetCache\Content.Outlook\JHHQ0D5Y\PAXI%20SA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ELENA%20LABAJOS/AppData/Local/Microsoft/Windows/INetCache/Content.Outlook/JHHQ0D5Y/PAXI%20SAC.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52\e\VANET%20-%20EXCEL\BVANET%202023\Formato%202023\FORMATO%20-SCOTIABANK%20-%20SOLES%20(COMERC.+ANEXO)%20PARTIDA%20-%20MIVIVIENDAAAAA.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LISETH%20RAMIREZ\Desktop\FORMATOS%20XL%202026\FORMATO_SCOTIABANK_DESGLOSADO%20(PARA%20MI%20%20SIN%20SOLES).xlsx" TargetMode="External"/><Relationship Id="rId1" Type="http://schemas.openxmlformats.org/officeDocument/2006/relationships/externalLinkPath" Target="FORMATO_SCOTIABANK_DESGLOSADO%20(PARA%20MI%20%20SIN%20SOL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52\e\Users\u10585\AppData\Local\Microsoft\Windows\Temporary%20Internet%20Files\Content.Outlook\DCPDFB34\Plantilla%20-%20Hoja%20de%20Resumen%2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52\e\Users\pc\Music\FORMATO%20CIBERGESTION%20V.3.9_ROSARI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pc/Music/FORMATO%20CIBERGESTION%20V.3.9_ROSARIO.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1.52\e\Users\ELENA%20LABAJOS\Desktop\INFORMES%20EN%20CUARENTENA%202020\FORMATO%20DE%20INFORMES%202020\FORMATO-%20BCP%20(JB)%20(GA)-%20DEPARTAMENTO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92.168.1.52\e\Users\Elena%20Labajos\Desktop\Funcion-numeros-a-letra.xla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Y:\BVANET%202025\FORMATO%202025\FORMATO-BCP-NUEVO-DEPARTAMENTO-REFERENCIAL.xlsm" TargetMode="External"/><Relationship Id="rId1" Type="http://schemas.openxmlformats.org/officeDocument/2006/relationships/externalLinkPath" Target="file:///X:\BVANET%202025\FORMATO%202025\FORMATO-BCP-NUEVO-DEPARTAMENTO-REFERENCI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DDOX"/>
      <sheetName val="BCP 06-09-21"/>
      <sheetName val="Anexo C.02"/>
      <sheetName val="PORTADA"/>
      <sheetName val="HR-SOLUCIONES DE PAGO"/>
      <sheetName val="HR-EXCLUSIVO TERMINADO"/>
      <sheetName val="HR-COMÚN TERMINADO"/>
      <sheetName val="HR-BIEN FUTURO"/>
      <sheetName val="MEM. DESC. I"/>
      <sheetName val="Lista-Data"/>
      <sheetName val="MEM. DESC. II"/>
      <sheetName val="EST. MERCADO TERRENOS"/>
      <sheetName val="REPOSICION"/>
      <sheetName val="TABLA DEPRECIACION"/>
      <sheetName val="2022"/>
      <sheetName val="COMPARACIÓN"/>
      <sheetName val="RENTA"/>
      <sheetName val="RESULTADOS"/>
      <sheetName val="FOTOS I"/>
      <sheetName val="FOTOS I (2)"/>
      <sheetName val="FOTOS I (3)"/>
      <sheetName val="FOTOS I (4)"/>
      <sheetName val="FOTOS I (5)"/>
      <sheetName val="PARTIDA REGISTRAL"/>
      <sheetName val="PREDIO URBANO"/>
      <sheetName val="UB. RECIBO"/>
      <sheetName val="UB. REFERENCIAL"/>
      <sheetName val="BGR"/>
      <sheetName val="ZONIFICACION"/>
      <sheetName val="MINUTA"/>
      <sheetName val="MINUTA (2)"/>
      <sheetName val="PLANO"/>
      <sheetName val="ACA."/>
      <sheetName val="TERRENO"/>
      <sheetName val="TERRENO (2)"/>
      <sheetName val="MERCADO"/>
      <sheetName val="MERCADO (2)"/>
      <sheetName val="MERCADO (3)"/>
      <sheetName val="ANEXO MIC"/>
      <sheetName val="VUE"/>
      <sheetName val="Parrafos Estandarizados"/>
      <sheetName val="Hoja1"/>
    </sheetNames>
    <sheetDataSet>
      <sheetData sheetId="0"/>
      <sheetData sheetId="1"/>
      <sheetData sheetId="2"/>
      <sheetData sheetId="3"/>
      <sheetData sheetId="4"/>
      <sheetData sheetId="5"/>
      <sheetData sheetId="6"/>
      <sheetData sheetId="7"/>
      <sheetData sheetId="8">
        <row r="1">
          <cell r="Z1"/>
        </row>
        <row r="2">
          <cell r="Z2"/>
        </row>
        <row r="3">
          <cell r="Z3"/>
        </row>
        <row r="4">
          <cell r="Z4">
            <v>365</v>
          </cell>
        </row>
        <row r="32">
          <cell r="J32"/>
        </row>
        <row r="34">
          <cell r="J34"/>
        </row>
        <row r="36">
          <cell r="J36"/>
        </row>
        <row r="38">
          <cell r="J38" t="str">
            <v>, Distrito de , Provincia y Departamento de .</v>
          </cell>
        </row>
        <row r="41">
          <cell r="J41" t="str">
            <v>, Distrito de , Provincia y Departamento de .</v>
          </cell>
        </row>
        <row r="44">
          <cell r="J44" t="str">
            <v>, Distrito de , Provincia y Departamento de .</v>
          </cell>
        </row>
        <row r="83">
          <cell r="U83"/>
          <cell r="AB83"/>
        </row>
        <row r="92">
          <cell r="J92"/>
        </row>
      </sheetData>
      <sheetData sheetId="9">
        <row r="1">
          <cell r="E1"/>
          <cell r="F1"/>
          <cell r="I1"/>
          <cell r="P1"/>
          <cell r="W1"/>
          <cell r="AD1"/>
          <cell r="AE1"/>
          <cell r="AF1"/>
          <cell r="AG1"/>
          <cell r="AH1"/>
          <cell r="AI1"/>
          <cell r="AJ1"/>
          <cell r="AK1"/>
          <cell r="AL1"/>
          <cell r="AM1"/>
          <cell r="AN1"/>
          <cell r="AO1"/>
          <cell r="AP1"/>
          <cell r="AQ1"/>
          <cell r="AR1"/>
          <cell r="AS1"/>
          <cell r="AT1"/>
          <cell r="AU1"/>
          <cell r="AV1"/>
          <cell r="AW1"/>
          <cell r="AX1"/>
          <cell r="AY1"/>
          <cell r="AZ1"/>
          <cell r="BA1"/>
          <cell r="BB1"/>
          <cell r="BC1"/>
          <cell r="BD1"/>
          <cell r="BE1"/>
          <cell r="BF1"/>
          <cell r="BG1"/>
          <cell r="BH1"/>
          <cell r="BI1"/>
          <cell r="BL1"/>
          <cell r="BM1"/>
          <cell r="BN1"/>
          <cell r="BO1" t="str">
            <v>TIPO DE FACTOR DE HOMOLOGACIÓN</v>
          </cell>
          <cell r="BR1"/>
          <cell r="CD1"/>
        </row>
        <row r="2">
          <cell r="E2" t="str">
            <v>TIPO DE INMUEBLE</v>
          </cell>
          <cell r="F2" t="str">
            <v>TIPO DE USO</v>
          </cell>
          <cell r="I2" t="str">
            <v>OCUPANTE</v>
          </cell>
          <cell r="P2" t="str">
            <v>ZONIFICACIÓN</v>
          </cell>
          <cell r="W2" t="str">
            <v>MATERIAL PREDOMINANTE</v>
          </cell>
          <cell r="AD2" t="str">
            <v>UNIDAD</v>
          </cell>
          <cell r="AE2" t="str">
            <v>OBTENCIÓN DEL ÁREA</v>
          </cell>
          <cell r="AF2" t="str">
            <v>CIMENTACIÓN</v>
          </cell>
          <cell r="AG2" t="str">
            <v>ESTRUCTURA</v>
          </cell>
          <cell r="AH2" t="str">
            <v>MUROS</v>
          </cell>
          <cell r="AI2" t="str">
            <v>TECHOS</v>
          </cell>
          <cell r="AJ2" t="str">
            <v>COBERTURA</v>
          </cell>
          <cell r="AK2" t="str">
            <v>INST. ELÉCTRICAS</v>
          </cell>
          <cell r="AL2" t="str">
            <v>INST. GAS</v>
          </cell>
          <cell r="AM2" t="str">
            <v>INST. SANITARIAS</v>
          </cell>
          <cell r="AN2" t="str">
            <v>PUERTAS</v>
          </cell>
          <cell r="AO2"/>
          <cell r="AP2"/>
          <cell r="AQ2" t="str">
            <v>VENTANAS</v>
          </cell>
          <cell r="AR2"/>
          <cell r="AS2"/>
          <cell r="AT2" t="str">
            <v>MAMPARAS</v>
          </cell>
          <cell r="AU2"/>
          <cell r="AV2"/>
          <cell r="AW2" t="str">
            <v>MUEBLES DE COCINA</v>
          </cell>
          <cell r="AX2"/>
          <cell r="AY2"/>
          <cell r="AZ2"/>
          <cell r="BA2" t="str">
            <v>BAÑOS</v>
          </cell>
          <cell r="BB2"/>
          <cell r="BC2"/>
          <cell r="BD2" t="str">
            <v>CLOSETS</v>
          </cell>
          <cell r="BE2" t="str">
            <v>PISOS</v>
          </cell>
          <cell r="BF2" t="str">
            <v>REVESTIMIENTOS</v>
          </cell>
          <cell r="BG2" t="str">
            <v>CERRAJERÍA</v>
          </cell>
          <cell r="BH2" t="str">
            <v>COMPARACIÓN GENERAL</v>
          </cell>
          <cell r="BI2" t="str">
            <v>REGIÓN DE EDIFICACIÓN</v>
          </cell>
          <cell r="BL2" t="str">
            <v>VISTA</v>
          </cell>
          <cell r="BM2" t="str">
            <v>UBICACIÓN</v>
          </cell>
          <cell r="BN2" t="str">
            <v>TIPO INMUEBLE</v>
          </cell>
          <cell r="BO2" t="str">
            <v>FACTOR</v>
          </cell>
          <cell r="BR2" t="str">
            <v>MÉTODO</v>
          </cell>
          <cell r="CD2" t="str">
            <v>Forma / Topografía</v>
          </cell>
        </row>
        <row r="3">
          <cell r="E3" t="str">
            <v>Terreno</v>
          </cell>
          <cell r="F3" t="str">
            <v>Casa Habitación</v>
          </cell>
          <cell r="I3" t="str">
            <v>Propietario</v>
          </cell>
          <cell r="P3" t="str">
            <v>RDMB</v>
          </cell>
          <cell r="W3" t="str">
            <v>Ladrillo</v>
          </cell>
          <cell r="AD3" t="str">
            <v>m2</v>
          </cell>
          <cell r="AE3" t="str">
            <v>F. Reg/Part. Elect</v>
          </cell>
          <cell r="AF3" t="str">
            <v>Platea de Cimentación</v>
          </cell>
          <cell r="AG3" t="str">
            <v>Laminares Curvadas</v>
          </cell>
          <cell r="AH3" t="str">
            <v>Adobe</v>
          </cell>
          <cell r="AI3" t="str">
            <v>Losa Aligerada de C°A° Unidireccional</v>
          </cell>
          <cell r="AJ3" t="str">
            <v>Tejas Cerámicas</v>
          </cell>
          <cell r="AK3" t="str">
            <v>Sin Instalación</v>
          </cell>
          <cell r="AL3" t="str">
            <v>Sin Instalación</v>
          </cell>
          <cell r="AM3" t="str">
            <v>Sin Instalación</v>
          </cell>
          <cell r="AN3" t="str">
            <v>Tipo</v>
          </cell>
          <cell r="AO3" t="str">
            <v>Material</v>
          </cell>
          <cell r="AP3" t="str">
            <v>Sistema</v>
          </cell>
          <cell r="AQ3" t="str">
            <v>Marco</v>
          </cell>
          <cell r="AR3" t="str">
            <v>Vidrio</v>
          </cell>
          <cell r="AS3" t="str">
            <v>Sistema</v>
          </cell>
          <cell r="AT3" t="str">
            <v>Marco</v>
          </cell>
          <cell r="AU3" t="str">
            <v>Vidrio</v>
          </cell>
          <cell r="AV3" t="str">
            <v>Sistema</v>
          </cell>
          <cell r="AW3" t="str">
            <v>Tipo</v>
          </cell>
          <cell r="AX3" t="str">
            <v>Material</v>
          </cell>
          <cell r="AY3" t="str">
            <v>Tableros</v>
          </cell>
          <cell r="AZ3" t="str">
            <v>Lavadero</v>
          </cell>
          <cell r="BA3" t="str">
            <v>Tipo</v>
          </cell>
          <cell r="BB3" t="str">
            <v>Color</v>
          </cell>
          <cell r="BC3" t="str">
            <v>Grifería</v>
          </cell>
          <cell r="BD3" t="str">
            <v>Vestidos de Madera con Cajonería de Cedro</v>
          </cell>
          <cell r="BE3" t="str">
            <v>Alfombra</v>
          </cell>
          <cell r="BF3" t="str">
            <v>Tarrajeo</v>
          </cell>
          <cell r="BG3" t="str">
            <v>Cerradura tipo Yale o Similar</v>
          </cell>
          <cell r="BH3" t="str">
            <v>Peor</v>
          </cell>
          <cell r="BI3" t="str">
            <v>Lima Metropolitana y Callao</v>
          </cell>
          <cell r="BL3" t="str">
            <v>Al mar</v>
          </cell>
          <cell r="BM3" t="str">
            <v>Avenida</v>
          </cell>
          <cell r="BN3" t="str">
            <v>Terreno</v>
          </cell>
          <cell r="BO3" t="str">
            <v>C/T</v>
          </cell>
          <cell r="BR3" t="str">
            <v>Método Directo de Costos  (O de Reposición)</v>
          </cell>
          <cell r="CD3" t="str">
            <v>Regular / Plana</v>
          </cell>
        </row>
        <row r="4">
          <cell r="E4" t="str">
            <v>Vivienda</v>
          </cell>
          <cell r="F4" t="str">
            <v>Departamento Flat</v>
          </cell>
          <cell r="I4" t="str">
            <v>Inquilino</v>
          </cell>
          <cell r="P4" t="str">
            <v>RDB</v>
          </cell>
          <cell r="W4" t="str">
            <v>Concreto</v>
          </cell>
          <cell r="AD4" t="str">
            <v>ha</v>
          </cell>
          <cell r="AE4" t="str">
            <v>Copia Literal</v>
          </cell>
          <cell r="AF4" t="str">
            <v xml:space="preserve">Vigas de Cimentación </v>
          </cell>
          <cell r="AG4" t="str">
            <v>Pórticos de Concreto Armado</v>
          </cell>
          <cell r="AH4" t="str">
            <v>Pircado con mezcla de barro</v>
          </cell>
          <cell r="AI4" t="str">
            <v>Losa Aligerada de C°A° Bidireccional</v>
          </cell>
          <cell r="AJ4" t="str">
            <v>Tejas de Madera</v>
          </cell>
          <cell r="AK4" t="str">
            <v>Corriente Monofásica sin empotrar</v>
          </cell>
          <cell r="AL4" t="str">
            <v>Cocina</v>
          </cell>
          <cell r="AM4" t="str">
            <v>Tuberías de agua fría y desagüe</v>
          </cell>
          <cell r="AN4" t="str">
            <v>Apanelada</v>
          </cell>
          <cell r="AO4" t="str">
            <v>Fierro</v>
          </cell>
          <cell r="AP4" t="str">
            <v>Corrediza</v>
          </cell>
          <cell r="AQ4" t="str">
            <v>Madera</v>
          </cell>
          <cell r="AR4" t="str">
            <v>Crudo</v>
          </cell>
          <cell r="AS4" t="str">
            <v>Corrediza</v>
          </cell>
          <cell r="AT4" t="str">
            <v>Madera</v>
          </cell>
          <cell r="AU4" t="str">
            <v>Crudo</v>
          </cell>
          <cell r="AV4" t="str">
            <v>Corrediza</v>
          </cell>
          <cell r="AW4" t="str">
            <v>Bajos</v>
          </cell>
          <cell r="AX4" t="str">
            <v>Concreto</v>
          </cell>
          <cell r="AY4" t="str">
            <v>Madera</v>
          </cell>
          <cell r="AZ4" t="str">
            <v>Acero inoxidable</v>
          </cell>
          <cell r="BA4" t="str">
            <v>Sifón Top Piece y/o Rapid Jet</v>
          </cell>
          <cell r="BB4" t="str">
            <v>Blanco</v>
          </cell>
          <cell r="BC4" t="str">
            <v>Importada</v>
          </cell>
          <cell r="BD4" t="str">
            <v>Con persianas o paneles</v>
          </cell>
          <cell r="BE4" t="str">
            <v>Bambú</v>
          </cell>
          <cell r="BF4" t="str">
            <v>Pintura</v>
          </cell>
          <cell r="BG4" t="str">
            <v>Alpha Vaivén</v>
          </cell>
          <cell r="BH4" t="str">
            <v>Inferior</v>
          </cell>
          <cell r="BI4" t="str">
            <v>Costa</v>
          </cell>
          <cell r="BL4" t="str">
            <v>Al parque</v>
          </cell>
          <cell r="BM4" t="str">
            <v>Calle</v>
          </cell>
          <cell r="BN4" t="str">
            <v>Casa Hab.</v>
          </cell>
          <cell r="BO4" t="str">
            <v>Vis</v>
          </cell>
          <cell r="BR4" t="str">
            <v>Método de Comparación (O de Mercado)</v>
          </cell>
          <cell r="CD4" t="str">
            <v>Irregular / Plana</v>
          </cell>
        </row>
        <row r="5">
          <cell r="E5" t="str">
            <v>Estacionamiento</v>
          </cell>
          <cell r="F5" t="str">
            <v>Departamento Dúplex</v>
          </cell>
          <cell r="I5" t="str">
            <v>Inquilino Precario</v>
          </cell>
          <cell r="P5" t="str">
            <v>RDM</v>
          </cell>
          <cell r="W5" t="str">
            <v>Liviano/Adobe</v>
          </cell>
          <cell r="AD5" t="str">
            <v>varas2</v>
          </cell>
          <cell r="AE5" t="str">
            <v>Minuta</v>
          </cell>
          <cell r="AF5" t="str">
            <v>Platea y Viga de Cimentación</v>
          </cell>
          <cell r="AG5" t="str">
            <v>Albañilería Confinada</v>
          </cell>
          <cell r="AH5" t="str">
            <v>Drywall / Material liviano</v>
          </cell>
          <cell r="AI5" t="str">
            <v>Losas de C°A° inclinadas</v>
          </cell>
          <cell r="AJ5" t="str">
            <v>Ladrillo Pastelero hecho a mano</v>
          </cell>
          <cell r="AK5" t="str">
            <v>Corriente Monofásica empotrada</v>
          </cell>
          <cell r="AL5" t="str">
            <v>Agua Caliente</v>
          </cell>
          <cell r="AM5" t="str">
            <v>Tuberías de agua fría, caliente y desagüe</v>
          </cell>
          <cell r="AN5" t="str">
            <v>Maciza</v>
          </cell>
          <cell r="AO5" t="str">
            <v>Madera</v>
          </cell>
          <cell r="AP5" t="str">
            <v>Batiente</v>
          </cell>
          <cell r="AQ5" t="str">
            <v>Aluminio</v>
          </cell>
          <cell r="AR5" t="str">
            <v>Templado</v>
          </cell>
          <cell r="AS5" t="str">
            <v>Batiente</v>
          </cell>
          <cell r="AT5" t="str">
            <v>Aluminio</v>
          </cell>
          <cell r="AU5" t="str">
            <v>Templado</v>
          </cell>
          <cell r="AV5" t="str">
            <v>Batiente</v>
          </cell>
          <cell r="AW5" t="str">
            <v>Altos</v>
          </cell>
          <cell r="AX5" t="str">
            <v>Melamine</v>
          </cell>
          <cell r="AY5" t="str">
            <v>Granito</v>
          </cell>
          <cell r="AZ5" t="str">
            <v>Fierro Enlozado</v>
          </cell>
          <cell r="BA5" t="str">
            <v>Inodoros c / fluxometro</v>
          </cell>
          <cell r="BB5" t="str">
            <v>Color</v>
          </cell>
          <cell r="BC5" t="str">
            <v>Nacional</v>
          </cell>
          <cell r="BD5" t="str">
            <v>Con repisas y tubos</v>
          </cell>
          <cell r="BE5" t="str">
            <v>Cemento Bruñado</v>
          </cell>
          <cell r="BF5" t="str">
            <v>Tarrajeo y Pintura</v>
          </cell>
          <cell r="BG5" t="str">
            <v xml:space="preserve">Bisagras de bronce con Cerradura tipo yale </v>
          </cell>
          <cell r="BH5" t="str">
            <v>Similar</v>
          </cell>
          <cell r="BI5" t="str">
            <v>Sierra</v>
          </cell>
          <cell r="BL5" t="str">
            <v>A basurero</v>
          </cell>
          <cell r="BM5" t="str">
            <v>Jirón</v>
          </cell>
          <cell r="BN5" t="str">
            <v>Flat</v>
          </cell>
          <cell r="BO5" t="str">
            <v>Niv</v>
          </cell>
          <cell r="BR5" t="str">
            <v>Método de la Renta (O de Capitalización)</v>
          </cell>
          <cell r="CD5" t="str">
            <v>Regular / Pendiente</v>
          </cell>
        </row>
        <row r="6">
          <cell r="E6" t="str">
            <v>Deposito</v>
          </cell>
          <cell r="F6" t="str">
            <v>Departamento Tríplex</v>
          </cell>
          <cell r="I6" t="str">
            <v>Terceros</v>
          </cell>
          <cell r="P6" t="str">
            <v>RDA</v>
          </cell>
          <cell r="AD6" t="str">
            <v>m3</v>
          </cell>
          <cell r="AE6" t="str">
            <v>Predio Urbano</v>
          </cell>
          <cell r="AF6" t="str">
            <v>Muros de Contención, Platea y Viga de Cimentación</v>
          </cell>
          <cell r="AG6" t="str">
            <v>Albañilería sin Confinar</v>
          </cell>
          <cell r="AH6" t="str">
            <v>Albañilería (Ladrillo)</v>
          </cell>
          <cell r="AI6" t="str">
            <v>Estructura  Metálica c/ calaminon</v>
          </cell>
          <cell r="AJ6" t="str">
            <v>Ladrillo Pastelero hecho a máquina</v>
          </cell>
          <cell r="AK6" t="str">
            <v>Corriente Trifásica</v>
          </cell>
          <cell r="AL6" t="str">
            <v>Cocina y Agua Caliente</v>
          </cell>
          <cell r="AM6" t="str">
            <v>Sist. de Bombeo de agua potable y desagüe</v>
          </cell>
          <cell r="AN6" t="str">
            <v>Contraplacadas</v>
          </cell>
          <cell r="AO6" t="str">
            <v xml:space="preserve">Vidrio Templado </v>
          </cell>
          <cell r="AP6" t="str">
            <v>Levadiza</v>
          </cell>
          <cell r="AQ6" t="str">
            <v>Fierro</v>
          </cell>
          <cell r="AR6" t="str">
            <v>Semitemplado</v>
          </cell>
          <cell r="AS6" t="str">
            <v>Fijas</v>
          </cell>
          <cell r="AT6" t="str">
            <v>Fierro</v>
          </cell>
          <cell r="AU6" t="str">
            <v>Semitemplado</v>
          </cell>
          <cell r="AV6" t="str">
            <v>Fijas</v>
          </cell>
          <cell r="AW6" t="str">
            <v>Altos y Bajos</v>
          </cell>
          <cell r="AX6" t="str">
            <v>MDF</v>
          </cell>
          <cell r="AY6" t="str">
            <v>Mármol</v>
          </cell>
          <cell r="AZ6" t="str">
            <v xml:space="preserve">Enchapado en cerámico </v>
          </cell>
          <cell r="BA6" t="str">
            <v xml:space="preserve">One Piece, lavatorio </v>
          </cell>
          <cell r="BB6" t="str">
            <v xml:space="preserve">incoloro </v>
          </cell>
          <cell r="BC6" t="str">
            <v>Estándar</v>
          </cell>
          <cell r="BD6" t="str">
            <v xml:space="preserve">Con puertas contraplacadas con cajonería </v>
          </cell>
          <cell r="BE6" t="str">
            <v>Cemento Pulido</v>
          </cell>
          <cell r="BF6" t="str">
            <v>Cerámico</v>
          </cell>
          <cell r="BG6" t="str">
            <v>Tipo LGO dos golpes y picaporte</v>
          </cell>
          <cell r="BH6" t="str">
            <v>Mejor</v>
          </cell>
          <cell r="BI6" t="str">
            <v>Selva</v>
          </cell>
          <cell r="BL6" t="str">
            <v>A un cerro</v>
          </cell>
          <cell r="BM6" t="str">
            <v>Pasaje</v>
          </cell>
          <cell r="BN6" t="str">
            <v xml:space="preserve"> Dúplex</v>
          </cell>
          <cell r="BO6" t="str">
            <v>AC</v>
          </cell>
          <cell r="BR6"/>
          <cell r="CD6" t="str">
            <v>Irregular / Pendiente</v>
          </cell>
        </row>
        <row r="7">
          <cell r="E7" t="str">
            <v>Comercio</v>
          </cell>
          <cell r="F7" t="str">
            <v>Departamento Loft</v>
          </cell>
          <cell r="I7" t="str">
            <v>Se desconoce</v>
          </cell>
          <cell r="P7" t="str">
            <v>RDMA</v>
          </cell>
          <cell r="W7"/>
          <cell r="AD7" t="str">
            <v>Und.</v>
          </cell>
          <cell r="AE7" t="str">
            <v>Inspección Ocular</v>
          </cell>
          <cell r="AF7" t="str">
            <v>Zapatas de Concreto Armado</v>
          </cell>
          <cell r="AG7" t="str">
            <v>Sistema Mixto, Placas y Pórticos de C°A°</v>
          </cell>
          <cell r="AH7" t="str">
            <v>Albañilería (Concreto)</v>
          </cell>
          <cell r="AI7" t="str">
            <v>Fibrocemento sobre viguería metálica</v>
          </cell>
          <cell r="AJ7" t="str">
            <v>Torta de Barro</v>
          </cell>
          <cell r="AK7" t="str">
            <v>Corriente Trifásica empotrada</v>
          </cell>
          <cell r="AL7" t="str">
            <v>Con sistema GN</v>
          </cell>
          <cell r="AM7" t="str">
            <v>Sist. de Bombeo de agua potable y desagüe por bombeo</v>
          </cell>
          <cell r="AN7" t="str">
            <v>Antiruido</v>
          </cell>
          <cell r="AO7" t="str">
            <v>Madera - fierro</v>
          </cell>
          <cell r="AP7" t="str">
            <v>Enrollable</v>
          </cell>
          <cell r="AQ7" t="str">
            <v>Aluminio / madera</v>
          </cell>
          <cell r="AR7" t="str">
            <v xml:space="preserve">Laminado </v>
          </cell>
          <cell r="AS7" t="str">
            <v>Otros</v>
          </cell>
          <cell r="AT7" t="str">
            <v xml:space="preserve">Madera / Aluminio </v>
          </cell>
          <cell r="AU7" t="str">
            <v xml:space="preserve">Laminado </v>
          </cell>
          <cell r="AV7" t="str">
            <v>Otros</v>
          </cell>
          <cell r="AW7" t="str">
            <v>No Posee</v>
          </cell>
          <cell r="AX7" t="str">
            <v>Madera</v>
          </cell>
          <cell r="AY7" t="str">
            <v>Albañilería</v>
          </cell>
          <cell r="AZ7" t="str">
            <v>Otros</v>
          </cell>
          <cell r="BA7" t="str">
            <v>Con tableros de mármol</v>
          </cell>
          <cell r="BB7" t="str">
            <v>Otros</v>
          </cell>
          <cell r="BC7" t="str">
            <v xml:space="preserve">Presurizada </v>
          </cell>
          <cell r="BD7" t="str">
            <v xml:space="preserve">Con puertas contraplacadas sin cajonería </v>
          </cell>
          <cell r="BE7" t="str">
            <v>Cerámica</v>
          </cell>
          <cell r="BF7" t="str">
            <v>Mayólica</v>
          </cell>
          <cell r="BG7" t="str">
            <v>Tipo LGO dos golpes sin picaporte</v>
          </cell>
          <cell r="BH7" t="str">
            <v>Superior</v>
          </cell>
          <cell r="BI7"/>
          <cell r="BL7" t="str">
            <v>Interior</v>
          </cell>
          <cell r="BM7" t="str">
            <v>Frente a Parque</v>
          </cell>
          <cell r="BN7" t="str">
            <v>Tríplex</v>
          </cell>
          <cell r="BO7" t="str">
            <v>Eq</v>
          </cell>
          <cell r="CD7"/>
        </row>
        <row r="8">
          <cell r="E8" t="str">
            <v>Local industral</v>
          </cell>
          <cell r="F8" t="str">
            <v>Estacionamiento</v>
          </cell>
          <cell r="I8" t="str">
            <v>Desocupado</v>
          </cell>
          <cell r="P8" t="str">
            <v>VT</v>
          </cell>
          <cell r="W8"/>
          <cell r="AD8"/>
          <cell r="AE8" t="str">
            <v>Tasación anterior</v>
          </cell>
          <cell r="AF8" t="str">
            <v>Zapatas de Concreto Simple</v>
          </cell>
          <cell r="AG8" t="str">
            <v xml:space="preserve">Adobe </v>
          </cell>
          <cell r="AH8" t="str">
            <v>Albañilería (Calcáreo)</v>
          </cell>
          <cell r="AI8" t="str">
            <v>Estructura de Madera Con torta de barro</v>
          </cell>
          <cell r="AJ8" t="str">
            <v>Sin Cobertura</v>
          </cell>
          <cell r="AK8" t="str">
            <v>Corriente Trifásica sin empotrada</v>
          </cell>
          <cell r="AL8" t="str">
            <v>Con Instalación sin servicio (GN)</v>
          </cell>
          <cell r="AM8" t="str">
            <v>Sistema mixto (Directo e indirecto)</v>
          </cell>
          <cell r="AN8" t="str">
            <v>Fierro-Vidrio</v>
          </cell>
          <cell r="AO8" t="str">
            <v>Vidrio Laminado</v>
          </cell>
          <cell r="AP8" t="str">
            <v>Otros</v>
          </cell>
          <cell r="AQ8" t="str">
            <v>Otros</v>
          </cell>
          <cell r="AR8" t="str">
            <v>Crudo Oscuro</v>
          </cell>
          <cell r="AS8"/>
          <cell r="AT8" t="str">
            <v>Otros</v>
          </cell>
          <cell r="AU8" t="str">
            <v>Otros</v>
          </cell>
          <cell r="AV8"/>
          <cell r="AW8" t="str">
            <v>Otros</v>
          </cell>
          <cell r="AX8" t="str">
            <v>Madera / Melamine</v>
          </cell>
          <cell r="AY8" t="str">
            <v>Pos formado</v>
          </cell>
          <cell r="AZ8"/>
          <cell r="BA8" t="str">
            <v>Con aparatos de vidrio(ovalin)</v>
          </cell>
          <cell r="BB8"/>
          <cell r="BC8" t="str">
            <v xml:space="preserve">Automática </v>
          </cell>
          <cell r="BD8" t="str">
            <v>Con tubos metálicos</v>
          </cell>
          <cell r="BE8" t="str">
            <v>Cerámica Importada</v>
          </cell>
          <cell r="BF8" t="str">
            <v>Porcelanato</v>
          </cell>
          <cell r="BG8" t="str">
            <v>Cerraduras electricas con tarjetas</v>
          </cell>
          <cell r="BH8"/>
          <cell r="BI8"/>
          <cell r="BL8" t="str">
            <v>Exterior</v>
          </cell>
          <cell r="BM8" t="str">
            <v>Frente al mar</v>
          </cell>
          <cell r="BN8" t="str">
            <v>Loft</v>
          </cell>
          <cell r="BO8" t="str">
            <v>Z</v>
          </cell>
          <cell r="CD8"/>
        </row>
        <row r="9">
          <cell r="E9" t="str">
            <v>Oficina</v>
          </cell>
          <cell r="F9" t="str">
            <v>Depósito</v>
          </cell>
          <cell r="I9"/>
          <cell r="P9" t="str">
            <v>CV</v>
          </cell>
          <cell r="W9"/>
          <cell r="AD9"/>
          <cell r="AE9" t="str">
            <v>Planos</v>
          </cell>
          <cell r="AF9" t="str">
            <v>Cimientos Corridos de Concreto Ciclópeo</v>
          </cell>
          <cell r="AG9" t="str">
            <v>De Estructura de Madera</v>
          </cell>
          <cell r="AH9" t="str">
            <v>Placas de Concreto</v>
          </cell>
          <cell r="AI9" t="str">
            <v>Caña o Torta de Barro</v>
          </cell>
          <cell r="AJ9" t="str">
            <v xml:space="preserve">Con cobertura de Poliuretano </v>
          </cell>
          <cell r="AK9" t="str">
            <v>Con sub estación eléctrica</v>
          </cell>
          <cell r="AL9" t="str">
            <v>Con sistema de GLP</v>
          </cell>
          <cell r="AM9" t="str">
            <v>Otros</v>
          </cell>
          <cell r="AN9" t="str">
            <v>Aluminio</v>
          </cell>
          <cell r="AO9" t="str">
            <v>MDF Acabado al duco</v>
          </cell>
          <cell r="AP9"/>
          <cell r="AQ9"/>
          <cell r="AR9"/>
          <cell r="AS9"/>
          <cell r="AT9"/>
          <cell r="AU9"/>
          <cell r="AV9"/>
          <cell r="AW9"/>
          <cell r="AX9" t="str">
            <v>Cerámico</v>
          </cell>
          <cell r="AY9" t="str">
            <v>Cerámica/Mayólica</v>
          </cell>
          <cell r="AZ9"/>
          <cell r="BA9" t="str">
            <v xml:space="preserve">Inodoro Suspendido </v>
          </cell>
          <cell r="BB9"/>
          <cell r="BC9" t="str">
            <v>Otros</v>
          </cell>
          <cell r="BD9" t="str">
            <v>De melamine con cajonería</v>
          </cell>
          <cell r="BE9" t="str">
            <v>Ladrillo Pastelero</v>
          </cell>
          <cell r="BF9" t="str">
            <v>Concreto Visto</v>
          </cell>
          <cell r="BG9" t="str">
            <v>Cerradura sobreponer</v>
          </cell>
          <cell r="BH9"/>
          <cell r="BI9"/>
          <cell r="BL9" t="str">
            <v>No Corresponde</v>
          </cell>
          <cell r="BM9" t="str">
            <v>Interior</v>
          </cell>
          <cell r="BN9" t="str">
            <v>Local industrial</v>
          </cell>
          <cell r="BO9" t="str">
            <v>Ent.</v>
          </cell>
          <cell r="BR9"/>
          <cell r="CD9"/>
        </row>
        <row r="10">
          <cell r="E10" t="str">
            <v>Taller</v>
          </cell>
          <cell r="F10" t="str">
            <v>Inmueble a Futuro</v>
          </cell>
          <cell r="I10"/>
          <cell r="P10" t="str">
            <v>CZ</v>
          </cell>
          <cell r="W10"/>
          <cell r="AD10"/>
          <cell r="AE10" t="str">
            <v>Cálculo de Alícuota</v>
          </cell>
          <cell r="AF10" t="str">
            <v>Cimientos Corridos de Concreto Simple con Zapatas</v>
          </cell>
          <cell r="AG10" t="str">
            <v>De Estructura Metálica</v>
          </cell>
          <cell r="AH10" t="str">
            <v xml:space="preserve">De madera Prensada </v>
          </cell>
          <cell r="AI10" t="str">
            <v>Losa Aligerada y Madera Machihem.</v>
          </cell>
          <cell r="AJ10" t="str">
            <v xml:space="preserve">Calamina </v>
          </cell>
          <cell r="AK10" t="str">
            <v>Otros</v>
          </cell>
          <cell r="AL10" t="str">
            <v>Otros</v>
          </cell>
          <cell r="AM10"/>
          <cell r="AN10" t="str">
            <v>Otros</v>
          </cell>
          <cell r="AO10" t="str">
            <v xml:space="preserve">MDF laminado </v>
          </cell>
          <cell r="AP10"/>
          <cell r="AQ10"/>
          <cell r="AR10"/>
          <cell r="AS10"/>
          <cell r="AT10"/>
          <cell r="AU10"/>
          <cell r="AV10"/>
          <cell r="AW10"/>
          <cell r="AX10" t="str">
            <v>Postformado</v>
          </cell>
          <cell r="AY10" t="str">
            <v>Silestone</v>
          </cell>
          <cell r="AZ10"/>
          <cell r="BA10" t="str">
            <v>One Piece, ovalin, tina.</v>
          </cell>
          <cell r="BB10"/>
          <cell r="BC10"/>
          <cell r="BD10" t="str">
            <v>Empotrado de melamine con cajonería</v>
          </cell>
          <cell r="BE10" t="str">
            <v>Lajas</v>
          </cell>
          <cell r="BF10" t="str">
            <v xml:space="preserve">Ladrillo Caravista </v>
          </cell>
          <cell r="BG10" t="str">
            <v>Cerradura embutir</v>
          </cell>
          <cell r="BH10"/>
          <cell r="BI10"/>
          <cell r="BL10" t="str">
            <v>Interior en Condominio</v>
          </cell>
          <cell r="BM10" t="str">
            <v>Exterior</v>
          </cell>
          <cell r="BN10" t="str">
            <v>Oficina</v>
          </cell>
          <cell r="BO10" t="str">
            <v>Acab.</v>
          </cell>
          <cell r="BR10"/>
          <cell r="CD10"/>
        </row>
        <row r="11">
          <cell r="E11" t="str">
            <v>Almacén</v>
          </cell>
          <cell r="F11" t="str">
            <v>Oficinas Administrativas</v>
          </cell>
          <cell r="I11"/>
          <cell r="P11" t="str">
            <v>CM</v>
          </cell>
          <cell r="W11"/>
          <cell r="AD11"/>
          <cell r="AE11" t="str">
            <v>AT Mat.*AC U.I/AC Total</v>
          </cell>
          <cell r="AF11" t="str">
            <v>Pilotes</v>
          </cell>
          <cell r="AG11" t="str">
            <v>Columnas y vigas de concreto armado</v>
          </cell>
          <cell r="AH11" t="str">
            <v>Cob</v>
          </cell>
          <cell r="AI11" t="str">
            <v>Losa Aligerado y estructura Metálica</v>
          </cell>
          <cell r="AJ11" t="str">
            <v>Policarbonato</v>
          </cell>
          <cell r="AK11"/>
          <cell r="AL11"/>
          <cell r="AM11"/>
          <cell r="AN11"/>
          <cell r="AO11" t="str">
            <v>Fierro- Vidrio</v>
          </cell>
          <cell r="AP11"/>
          <cell r="AQ11"/>
          <cell r="AR11"/>
          <cell r="AS11"/>
          <cell r="AT11"/>
          <cell r="AU11"/>
          <cell r="AV11"/>
          <cell r="AW11"/>
          <cell r="AX11" t="str">
            <v>Otros</v>
          </cell>
          <cell r="AY11" t="str">
            <v>Laminados</v>
          </cell>
          <cell r="AZ11"/>
          <cell r="BA11" t="str">
            <v xml:space="preserve">One Piece, ovalin, ducha </v>
          </cell>
          <cell r="BB11"/>
          <cell r="BC11"/>
          <cell r="BD11" t="str">
            <v>Con puertas y cajonería de madera</v>
          </cell>
          <cell r="BE11" t="str">
            <v>Laminado</v>
          </cell>
          <cell r="BF11" t="str">
            <v>Sin tarrajeo con Pintura</v>
          </cell>
          <cell r="BG11" t="str">
            <v>Cerradura eléctrica</v>
          </cell>
          <cell r="BH11"/>
          <cell r="BI11"/>
          <cell r="BL11" t="str">
            <v xml:space="preserve">Calle </v>
          </cell>
          <cell r="BM11" t="str">
            <v>Esquina</v>
          </cell>
          <cell r="BN11" t="str">
            <v>Taller</v>
          </cell>
          <cell r="BO11" t="str">
            <v>Zonf.</v>
          </cell>
          <cell r="BR11"/>
          <cell r="CD11"/>
        </row>
        <row r="12">
          <cell r="E12" t="str">
            <v xml:space="preserve">Depósito </v>
          </cell>
          <cell r="F12" t="str">
            <v>Agencia Bancaria</v>
          </cell>
          <cell r="I12"/>
          <cell r="P12" t="str">
            <v>I1</v>
          </cell>
          <cell r="W12"/>
          <cell r="AD12"/>
          <cell r="AE12" t="str">
            <v>Código de Predio.</v>
          </cell>
          <cell r="AF12" t="str">
            <v>Otros</v>
          </cell>
          <cell r="AG12" t="str">
            <v>Otros</v>
          </cell>
          <cell r="AH12" t="str">
            <v>Otros</v>
          </cell>
          <cell r="AI12" t="str">
            <v>Sin Techo</v>
          </cell>
          <cell r="AJ12" t="str">
            <v>Otros</v>
          </cell>
          <cell r="AK12"/>
          <cell r="AL12"/>
          <cell r="AM12"/>
          <cell r="AN12"/>
          <cell r="AO12" t="str">
            <v>Otros</v>
          </cell>
          <cell r="AP12"/>
          <cell r="AQ12"/>
          <cell r="AR12"/>
          <cell r="AS12"/>
          <cell r="AT12"/>
          <cell r="AU12"/>
          <cell r="AV12"/>
          <cell r="AW12"/>
          <cell r="AX12"/>
          <cell r="AY12" t="str">
            <v>Staron</v>
          </cell>
          <cell r="AZ12"/>
          <cell r="BA12" t="str">
            <v>One Piece con Tablero de Mármol</v>
          </cell>
          <cell r="BB12"/>
          <cell r="BC12"/>
          <cell r="BD12" t="str">
            <v>Solo con puertas</v>
          </cell>
          <cell r="BE12" t="str">
            <v>Loseta Veneciana</v>
          </cell>
          <cell r="BF12" t="str">
            <v xml:space="preserve">Papel mural </v>
          </cell>
          <cell r="BG12" t="str">
            <v>Cerradura Pomo exterior</v>
          </cell>
          <cell r="BH12"/>
          <cell r="BI12"/>
          <cell r="BL12" t="str">
            <v>Quinta</v>
          </cell>
          <cell r="BM12" t="str">
            <v>Cerro</v>
          </cell>
          <cell r="BN12" t="str">
            <v>Almacén</v>
          </cell>
          <cell r="BO12" t="str">
            <v xml:space="preserve">A. De vía </v>
          </cell>
          <cell r="BR12"/>
          <cell r="CD12"/>
        </row>
        <row r="13">
          <cell r="E13" t="str">
            <v>Clínica</v>
          </cell>
          <cell r="F13" t="str">
            <v>Planta Industrial</v>
          </cell>
          <cell r="I13"/>
          <cell r="P13" t="str">
            <v>I2</v>
          </cell>
          <cell r="W13"/>
          <cell r="AD13"/>
          <cell r="AE13" t="str">
            <v>Mixto (P.Elect. y P.U.)</v>
          </cell>
          <cell r="AF13"/>
          <cell r="AG13"/>
          <cell r="AH13"/>
          <cell r="AI13" t="str">
            <v>Losa Maciza de C°A° Unidireccional</v>
          </cell>
          <cell r="AJ13"/>
          <cell r="AK13"/>
          <cell r="AL13"/>
          <cell r="AM13"/>
          <cell r="AN13"/>
          <cell r="AO13"/>
          <cell r="AP13"/>
          <cell r="AQ13"/>
          <cell r="AR13"/>
          <cell r="AS13"/>
          <cell r="AT13"/>
          <cell r="AU13"/>
          <cell r="AV13"/>
          <cell r="AW13"/>
          <cell r="AX13"/>
          <cell r="AY13" t="str">
            <v>Cuarzo</v>
          </cell>
          <cell r="AZ13"/>
          <cell r="BA13" t="str">
            <v>One Piece con Tablero Polvo de Mármol</v>
          </cell>
          <cell r="BB13"/>
          <cell r="BC13"/>
          <cell r="BD13" t="str">
            <v>Sin puertas</v>
          </cell>
          <cell r="BE13" t="str">
            <v>Loseta Vinílica</v>
          </cell>
          <cell r="BF13" t="str">
            <v>Con Piedra Laja</v>
          </cell>
          <cell r="BG13" t="str">
            <v>Alta seguridad</v>
          </cell>
          <cell r="BH13"/>
          <cell r="BI13"/>
          <cell r="BL13" t="str">
            <v>Pasaje Común</v>
          </cell>
          <cell r="BM13" t="str">
            <v>En ladera de Cerro</v>
          </cell>
          <cell r="BN13" t="str">
            <v xml:space="preserve">Depósito </v>
          </cell>
          <cell r="BO13" t="str">
            <v>Al. De edif.</v>
          </cell>
          <cell r="BR13"/>
          <cell r="CD13"/>
        </row>
        <row r="14">
          <cell r="E14" t="str">
            <v>Hotel</v>
          </cell>
          <cell r="F14" t="str">
            <v>Taller</v>
          </cell>
          <cell r="I14"/>
          <cell r="P14" t="str">
            <v>I3</v>
          </cell>
          <cell r="W14"/>
          <cell r="AD14"/>
          <cell r="AE14" t="str">
            <v xml:space="preserve">Planos de Arquitectura, P.E. y; P. U. </v>
          </cell>
          <cell r="AF14"/>
          <cell r="AG14"/>
          <cell r="AH14"/>
          <cell r="AI14" t="str">
            <v>Losa Maciza de C°A° Bidireccional</v>
          </cell>
          <cell r="AJ14"/>
          <cell r="AK14"/>
          <cell r="AL14"/>
          <cell r="AM14"/>
          <cell r="AN14"/>
          <cell r="AO14"/>
          <cell r="AP14"/>
          <cell r="AQ14"/>
          <cell r="AR14"/>
          <cell r="AS14"/>
          <cell r="AT14"/>
          <cell r="AU14"/>
          <cell r="AV14"/>
          <cell r="AW14"/>
          <cell r="AX14"/>
          <cell r="AY14" t="str">
            <v>Mármol reconstituido</v>
          </cell>
          <cell r="AZ14"/>
          <cell r="BA14" t="str">
            <v>Otros</v>
          </cell>
          <cell r="BB14"/>
          <cell r="BC14"/>
          <cell r="BD14" t="str">
            <v>No exite</v>
          </cell>
          <cell r="BE14" t="str">
            <v>Madera Machihembrada</v>
          </cell>
          <cell r="BF14" t="str">
            <v>Otros</v>
          </cell>
          <cell r="BG14" t="str">
            <v>Otros</v>
          </cell>
          <cell r="BH14"/>
          <cell r="BI14"/>
          <cell r="BL14" t="str">
            <v>A Parque interior de Condominio</v>
          </cell>
          <cell r="BM14" t="str">
            <v>En condominio</v>
          </cell>
          <cell r="BN14" t="str">
            <v>Clínica</v>
          </cell>
          <cell r="BO14"/>
          <cell r="BR14"/>
          <cell r="CD14"/>
        </row>
        <row r="15">
          <cell r="E15" t="str">
            <v>Inmueble a Futuro</v>
          </cell>
          <cell r="F15" t="str">
            <v>Almacén</v>
          </cell>
          <cell r="I15"/>
          <cell r="P15" t="str">
            <v>I4</v>
          </cell>
          <cell r="W15"/>
          <cell r="AD15"/>
          <cell r="AE15" t="str">
            <v>Mixto (P.E. e Insp.Oc.)</v>
          </cell>
          <cell r="AF15"/>
          <cell r="AG15"/>
          <cell r="AH15"/>
          <cell r="AI15" t="str">
            <v>Otros</v>
          </cell>
          <cell r="AJ15"/>
          <cell r="AK15"/>
          <cell r="AL15"/>
          <cell r="AM15"/>
          <cell r="AN15"/>
          <cell r="AO15"/>
          <cell r="AP15"/>
          <cell r="AQ15"/>
          <cell r="AR15"/>
          <cell r="AS15"/>
          <cell r="AT15"/>
          <cell r="AU15"/>
          <cell r="AV15"/>
          <cell r="AW15"/>
          <cell r="AX15"/>
          <cell r="AY15" t="str">
            <v>Otros</v>
          </cell>
          <cell r="AZ15"/>
          <cell r="BA15"/>
          <cell r="BB15"/>
          <cell r="BC15"/>
          <cell r="BD15" t="str">
            <v>Otros</v>
          </cell>
          <cell r="BE15" t="str">
            <v>Madera Estructurada</v>
          </cell>
          <cell r="BF15"/>
          <cell r="BG15"/>
          <cell r="BH15"/>
          <cell r="BI15"/>
          <cell r="BL15" t="str">
            <v xml:space="preserve">Otros </v>
          </cell>
          <cell r="BM15"/>
          <cell r="BN15" t="str">
            <v>Hotel</v>
          </cell>
          <cell r="BO15"/>
          <cell r="BR15"/>
          <cell r="CD15"/>
        </row>
        <row r="16">
          <cell r="E16" t="str">
            <v>Institución Educativa</v>
          </cell>
          <cell r="F16" t="str">
            <v>Clínica</v>
          </cell>
          <cell r="I16"/>
          <cell r="P16" t="str">
            <v>E1</v>
          </cell>
          <cell r="W16"/>
          <cell r="AD16"/>
          <cell r="AE16" t="str">
            <v>Mixto (P.U. e Insp.Oc.)</v>
          </cell>
          <cell r="AF16"/>
          <cell r="AG16"/>
          <cell r="AH16"/>
          <cell r="AI16"/>
          <cell r="AJ16"/>
          <cell r="AK16"/>
          <cell r="AL16"/>
          <cell r="AM16"/>
          <cell r="AN16"/>
          <cell r="AO16"/>
          <cell r="AP16"/>
          <cell r="AQ16"/>
          <cell r="AR16"/>
          <cell r="AS16"/>
          <cell r="AT16"/>
          <cell r="AU16"/>
          <cell r="AV16"/>
          <cell r="AW16"/>
          <cell r="AX16"/>
          <cell r="AY16"/>
          <cell r="AZ16"/>
          <cell r="BA16"/>
          <cell r="BB16"/>
          <cell r="BC16"/>
          <cell r="BD16"/>
          <cell r="BE16" t="str">
            <v>Mármol</v>
          </cell>
          <cell r="BF16"/>
          <cell r="BG16"/>
          <cell r="BH16"/>
          <cell r="BI16"/>
          <cell r="BL16"/>
          <cell r="BM16"/>
          <cell r="BN16" t="str">
            <v>Local Comercial</v>
          </cell>
          <cell r="BO16"/>
          <cell r="BR16"/>
          <cell r="CD16"/>
        </row>
        <row r="17">
          <cell r="E17" t="str">
            <v>Colegio</v>
          </cell>
          <cell r="F17" t="str">
            <v>Colegio</v>
          </cell>
          <cell r="I17"/>
          <cell r="P17" t="str">
            <v>E2</v>
          </cell>
          <cell r="W17"/>
          <cell r="AD17"/>
          <cell r="AE17" t="str">
            <v>Cuadro de Áreas</v>
          </cell>
          <cell r="AF17"/>
          <cell r="AG17"/>
          <cell r="AH17"/>
          <cell r="AI17"/>
          <cell r="AJ17"/>
          <cell r="AK17"/>
          <cell r="AL17"/>
          <cell r="AM17"/>
          <cell r="AN17"/>
          <cell r="AO17"/>
          <cell r="AP17"/>
          <cell r="AQ17"/>
          <cell r="AR17"/>
          <cell r="AS17"/>
          <cell r="AT17"/>
          <cell r="AU17"/>
          <cell r="AV17"/>
          <cell r="AW17"/>
          <cell r="AX17"/>
          <cell r="AY17"/>
          <cell r="AZ17"/>
          <cell r="BA17"/>
          <cell r="BB17"/>
          <cell r="BC17"/>
          <cell r="BD17"/>
          <cell r="BE17" t="str">
            <v>Mármol Importado</v>
          </cell>
          <cell r="BF17"/>
          <cell r="BG17"/>
          <cell r="BH17"/>
          <cell r="BI17"/>
          <cell r="BL17"/>
          <cell r="BM17"/>
          <cell r="BN17" t="str">
            <v>Institución Educativa</v>
          </cell>
          <cell r="BO17"/>
          <cell r="BR17"/>
        </row>
        <row r="18">
          <cell r="E18" t="str">
            <v>Universidad</v>
          </cell>
          <cell r="F18" t="str">
            <v>Centro Comercial</v>
          </cell>
          <cell r="I18"/>
          <cell r="P18" t="str">
            <v>E3</v>
          </cell>
          <cell r="W18"/>
          <cell r="AD18"/>
          <cell r="AE18" t="str">
            <v>Memoria Descriptiva</v>
          </cell>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t="str">
            <v>Parquet</v>
          </cell>
          <cell r="BF18"/>
          <cell r="BG18"/>
          <cell r="BH18"/>
          <cell r="BI18"/>
          <cell r="BL18"/>
          <cell r="BM18"/>
          <cell r="BN18" t="str">
            <v>Colegio</v>
          </cell>
          <cell r="BO18"/>
          <cell r="BR18"/>
        </row>
        <row r="19">
          <cell r="E19" t="str">
            <v>Instituto</v>
          </cell>
          <cell r="F19" t="str">
            <v>Hotel</v>
          </cell>
          <cell r="I19"/>
          <cell r="P19" t="str">
            <v>H2</v>
          </cell>
          <cell r="W19"/>
          <cell r="AD19"/>
          <cell r="AE19" t="str">
            <v>Mixto (C.L. e Insp.Oc.)</v>
          </cell>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t="str">
            <v>Parquet de Primera</v>
          </cell>
          <cell r="BF19"/>
          <cell r="BG19"/>
          <cell r="BH19"/>
          <cell r="BI19"/>
          <cell r="BL19"/>
          <cell r="BM19"/>
          <cell r="BN19" t="str">
            <v>Universidad</v>
          </cell>
          <cell r="BO19"/>
          <cell r="BR19"/>
        </row>
        <row r="20">
          <cell r="E20" t="str">
            <v>Local Comercial</v>
          </cell>
          <cell r="F20" t="str">
            <v>Mixto</v>
          </cell>
          <cell r="I20"/>
          <cell r="P20" t="str">
            <v>H3</v>
          </cell>
          <cell r="W20"/>
          <cell r="AD20"/>
          <cell r="AE20" t="str">
            <v>El área de terreno se obtuvo tomando en cuenta el área de terreno matriz por el área techada de la unidad inmobiliaria entre el área construida total.</v>
          </cell>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t="str">
            <v>Parquet Fino</v>
          </cell>
          <cell r="BF20"/>
          <cell r="BG20"/>
          <cell r="BH20"/>
          <cell r="BI20"/>
          <cell r="BL20"/>
          <cell r="BM20"/>
          <cell r="BN20" t="str">
            <v>Instituto Superior</v>
          </cell>
          <cell r="BO20"/>
          <cell r="BR20"/>
        </row>
        <row r="21">
          <cell r="E21" t="str">
            <v>Tienda</v>
          </cell>
          <cell r="F21" t="str">
            <v>Terreno</v>
          </cell>
          <cell r="I21"/>
          <cell r="P21" t="str">
            <v>H4</v>
          </cell>
          <cell r="W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t="str">
            <v>Porcelanato</v>
          </cell>
          <cell r="BF21"/>
          <cell r="BG21"/>
          <cell r="BH21"/>
          <cell r="BI21"/>
          <cell r="BL21"/>
          <cell r="BM21"/>
          <cell r="BN21" t="str">
            <v>Tienda</v>
          </cell>
          <cell r="BO21"/>
          <cell r="BR21"/>
        </row>
        <row r="22">
          <cell r="E22" t="str">
            <v>Stand Comercial</v>
          </cell>
          <cell r="F22" t="str">
            <v>Local Comercial</v>
          </cell>
          <cell r="I22"/>
          <cell r="P22" t="str">
            <v>ZTE-1</v>
          </cell>
          <cell r="W22"/>
          <cell r="AD22"/>
          <cell r="AF22"/>
          <cell r="AG22"/>
          <cell r="AH22"/>
          <cell r="AI22"/>
          <cell r="AJ22"/>
          <cell r="AK22"/>
          <cell r="AL22"/>
          <cell r="AM22"/>
          <cell r="AN22"/>
          <cell r="AO22"/>
          <cell r="AP22"/>
          <cell r="AQ22"/>
          <cell r="AR22"/>
          <cell r="AS22"/>
          <cell r="AT22"/>
          <cell r="AU22"/>
          <cell r="AV22"/>
          <cell r="AW22"/>
          <cell r="AX22"/>
          <cell r="AY22"/>
          <cell r="AZ22"/>
          <cell r="BA22"/>
          <cell r="BB22"/>
          <cell r="BC22"/>
          <cell r="BD22"/>
          <cell r="BE22" t="str">
            <v>Porcelanato Importado</v>
          </cell>
          <cell r="BF22"/>
          <cell r="BG22"/>
          <cell r="BH22"/>
          <cell r="BI22"/>
          <cell r="BL22"/>
          <cell r="BM22"/>
          <cell r="BN22" t="str">
            <v>Stand Comercial</v>
          </cell>
          <cell r="BO22"/>
          <cell r="BR22"/>
        </row>
        <row r="23">
          <cell r="E23" t="str">
            <v>Se desconoce</v>
          </cell>
          <cell r="F23" t="str">
            <v>Tienda</v>
          </cell>
          <cell r="I23"/>
          <cell r="P23" t="str">
            <v>ZTE-2</v>
          </cell>
          <cell r="W23"/>
          <cell r="AD23"/>
          <cell r="AF23"/>
          <cell r="AG23"/>
          <cell r="AH23"/>
          <cell r="AI23"/>
          <cell r="AJ23"/>
          <cell r="AK23"/>
          <cell r="AL23"/>
          <cell r="AM23"/>
          <cell r="AN23"/>
          <cell r="AO23"/>
          <cell r="AP23"/>
          <cell r="AQ23"/>
          <cell r="AR23"/>
          <cell r="AS23"/>
          <cell r="AT23"/>
          <cell r="AU23"/>
          <cell r="AV23"/>
          <cell r="AW23"/>
          <cell r="AX23"/>
          <cell r="AY23"/>
          <cell r="AZ23"/>
          <cell r="BA23"/>
          <cell r="BB23"/>
          <cell r="BC23"/>
          <cell r="BD23"/>
          <cell r="BE23" t="str">
            <v>Terrazo</v>
          </cell>
          <cell r="BF23"/>
          <cell r="BG23"/>
          <cell r="BH23"/>
          <cell r="BI23"/>
          <cell r="BL23"/>
          <cell r="BM23"/>
          <cell r="BN23" t="str">
            <v>Unidad Inmobiliaria</v>
          </cell>
          <cell r="BO23"/>
          <cell r="BR23"/>
        </row>
        <row r="24">
          <cell r="E24" t="str">
            <v>Inmueble a Futuro</v>
          </cell>
          <cell r="F24" t="str">
            <v>Se desconoce</v>
          </cell>
          <cell r="I24"/>
          <cell r="P24" t="str">
            <v>ZTE-3</v>
          </cell>
          <cell r="W24"/>
          <cell r="AD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t="str">
            <v>Tierra Compactada</v>
          </cell>
          <cell r="BF24"/>
          <cell r="BG24"/>
          <cell r="BH24"/>
          <cell r="BI24"/>
          <cell r="BL24"/>
          <cell r="BM24"/>
          <cell r="BN24"/>
          <cell r="BO24"/>
          <cell r="BR24"/>
        </row>
        <row r="25">
          <cell r="E25" t="str">
            <v>Oficinas Administrativas</v>
          </cell>
          <cell r="F25" t="str">
            <v>Predio Agrícola</v>
          </cell>
          <cell r="I25"/>
          <cell r="P25" t="str">
            <v>ZRP</v>
          </cell>
          <cell r="W25"/>
          <cell r="AD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t="str">
            <v xml:space="preserve">Piedra Laja </v>
          </cell>
          <cell r="BF25"/>
          <cell r="BG25"/>
          <cell r="BH25"/>
          <cell r="BI25"/>
          <cell r="BL25"/>
          <cell r="BM25"/>
          <cell r="BN25"/>
          <cell r="BO25"/>
          <cell r="BR25"/>
        </row>
        <row r="26">
          <cell r="E26" t="str">
            <v>Agencia Bancaria</v>
          </cell>
          <cell r="F26" t="str">
            <v>Otro</v>
          </cell>
          <cell r="I26"/>
          <cell r="P26" t="str">
            <v>OU</v>
          </cell>
          <cell r="W26"/>
          <cell r="AD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t="str">
            <v>Vinilico</v>
          </cell>
          <cell r="BF26"/>
          <cell r="BG26"/>
          <cell r="BH26"/>
          <cell r="BI26"/>
          <cell r="BL26"/>
          <cell r="BM26"/>
          <cell r="BN26"/>
          <cell r="BO26"/>
          <cell r="BR26"/>
        </row>
        <row r="27">
          <cell r="E27" t="str">
            <v>Planta Industrial</v>
          </cell>
          <cell r="F27" t="str">
            <v>Vivienda/Comercio</v>
          </cell>
          <cell r="I27"/>
          <cell r="P27" t="str">
            <v>ZRE</v>
          </cell>
          <cell r="W27"/>
          <cell r="AD27"/>
          <cell r="AF27"/>
          <cell r="AG27"/>
          <cell r="AH27"/>
          <cell r="AI27"/>
          <cell r="AJ27"/>
          <cell r="AK27"/>
          <cell r="AL27"/>
          <cell r="AM27"/>
          <cell r="AN27"/>
          <cell r="AO27"/>
          <cell r="AP27"/>
          <cell r="AQ27"/>
          <cell r="AR27"/>
          <cell r="AS27"/>
          <cell r="AT27"/>
          <cell r="AU27"/>
          <cell r="AV27"/>
          <cell r="AW27"/>
          <cell r="AX27"/>
          <cell r="AY27"/>
          <cell r="AZ27"/>
          <cell r="BA27"/>
          <cell r="BB27"/>
          <cell r="BC27"/>
          <cell r="BD27"/>
          <cell r="BE27" t="str">
            <v>Adoquín</v>
          </cell>
          <cell r="BF27"/>
          <cell r="BG27"/>
          <cell r="BH27"/>
          <cell r="BI27"/>
          <cell r="BL27"/>
          <cell r="BM27"/>
          <cell r="BN27"/>
          <cell r="BO27"/>
          <cell r="BR27"/>
        </row>
        <row r="28">
          <cell r="E28" t="str">
            <v>Taller</v>
          </cell>
          <cell r="F28" t="str">
            <v>Multifamiliar</v>
          </cell>
          <cell r="I28"/>
          <cell r="P28" t="str">
            <v>ZRGSE</v>
          </cell>
          <cell r="W28"/>
          <cell r="AD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t="str">
            <v>Otros</v>
          </cell>
          <cell r="BF28"/>
          <cell r="BG28"/>
          <cell r="BH28"/>
          <cell r="BI28"/>
          <cell r="BL28"/>
          <cell r="BM28"/>
          <cell r="BN28"/>
          <cell r="BO28"/>
          <cell r="BR28"/>
        </row>
        <row r="29">
          <cell r="E29" t="str">
            <v>Almacén</v>
          </cell>
          <cell r="F29"/>
          <cell r="I29"/>
          <cell r="P29" t="str">
            <v>ZMMP</v>
          </cell>
          <cell r="W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L29"/>
          <cell r="BM29"/>
          <cell r="BN29"/>
          <cell r="BO29"/>
          <cell r="BR29"/>
        </row>
        <row r="30">
          <cell r="E30" t="str">
            <v>Clínica</v>
          </cell>
          <cell r="F30"/>
          <cell r="I30"/>
          <cell r="P30" t="str">
            <v>LAT</v>
          </cell>
          <cell r="W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L30"/>
          <cell r="BM30"/>
          <cell r="BN30"/>
          <cell r="BO30"/>
          <cell r="BR30"/>
        </row>
        <row r="31">
          <cell r="E31" t="str">
            <v>Colegio</v>
          </cell>
          <cell r="F31"/>
          <cell r="I31"/>
          <cell r="P31" t="str">
            <v>(Reglamentación Especial)</v>
          </cell>
          <cell r="W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L31"/>
          <cell r="BM31"/>
          <cell r="BN31"/>
          <cell r="BO31"/>
          <cell r="BR31"/>
        </row>
        <row r="32">
          <cell r="E32" t="str">
            <v>Centro Comercial</v>
          </cell>
          <cell r="F32"/>
          <cell r="I32"/>
          <cell r="P32"/>
          <cell r="W32"/>
          <cell r="AD32"/>
          <cell r="AE32"/>
          <cell r="AF32"/>
          <cell r="AG32"/>
          <cell r="AH32"/>
          <cell r="AI32"/>
          <cell r="AJ32"/>
          <cell r="AK32"/>
          <cell r="AL32"/>
          <cell r="AM32"/>
          <cell r="AN32"/>
          <cell r="AO32"/>
          <cell r="AP32"/>
          <cell r="AQ32"/>
          <cell r="AR32"/>
          <cell r="AS32"/>
          <cell r="AT32"/>
          <cell r="AU32"/>
          <cell r="AV32"/>
          <cell r="AW32"/>
          <cell r="AX32"/>
          <cell r="AY32"/>
          <cell r="AZ32"/>
          <cell r="BA32"/>
          <cell r="BB32"/>
          <cell r="BC32"/>
          <cell r="BD32"/>
          <cell r="BE32"/>
          <cell r="BF32"/>
          <cell r="BG32"/>
          <cell r="BH32"/>
          <cell r="BI32"/>
          <cell r="BL32"/>
          <cell r="BM32"/>
          <cell r="BN32"/>
          <cell r="BO32"/>
          <cell r="BR32"/>
        </row>
        <row r="33">
          <cell r="E33" t="str">
            <v>Hotel</v>
          </cell>
          <cell r="F33"/>
          <cell r="I33"/>
          <cell r="P33"/>
          <cell r="W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L33"/>
          <cell r="BM33"/>
          <cell r="BN33"/>
          <cell r="BO33"/>
          <cell r="BR33"/>
        </row>
        <row r="34">
          <cell r="E34" t="str">
            <v>Mixto</v>
          </cell>
          <cell r="F34"/>
          <cell r="I34"/>
          <cell r="P34"/>
          <cell r="W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L34"/>
          <cell r="BM34"/>
          <cell r="BN34"/>
          <cell r="BO34"/>
          <cell r="BR34"/>
        </row>
        <row r="35">
          <cell r="E35" t="str">
            <v>Terreno</v>
          </cell>
          <cell r="F35"/>
          <cell r="I35"/>
          <cell r="P35"/>
          <cell r="W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L35"/>
          <cell r="BM35"/>
          <cell r="BN35"/>
          <cell r="BO35"/>
          <cell r="BR35"/>
        </row>
        <row r="36">
          <cell r="E36" t="str">
            <v>Local Comercial</v>
          </cell>
          <cell r="F36"/>
          <cell r="I36"/>
          <cell r="P36"/>
          <cell r="W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L36"/>
          <cell r="BM36"/>
          <cell r="BN36"/>
          <cell r="BO36"/>
          <cell r="BR36"/>
        </row>
        <row r="37">
          <cell r="E37" t="str">
            <v>Tienda</v>
          </cell>
          <cell r="F37"/>
          <cell r="I37"/>
          <cell r="P37"/>
          <cell r="W37"/>
          <cell r="AD37"/>
          <cell r="AE37"/>
          <cell r="AF37"/>
          <cell r="AG37"/>
          <cell r="AH37"/>
          <cell r="AI37"/>
          <cell r="AJ37"/>
          <cell r="AK37"/>
          <cell r="AL37"/>
          <cell r="AM37"/>
          <cell r="AN37"/>
          <cell r="AO37"/>
          <cell r="AP37"/>
          <cell r="AQ37"/>
          <cell r="AR37"/>
          <cell r="AS37"/>
          <cell r="AT37"/>
          <cell r="AU37"/>
          <cell r="AV37"/>
          <cell r="AW37"/>
          <cell r="AX37"/>
          <cell r="AY37"/>
          <cell r="AZ37"/>
          <cell r="BA37"/>
          <cell r="BB37"/>
          <cell r="BC37"/>
          <cell r="BD37"/>
          <cell r="BE37"/>
          <cell r="BF37"/>
          <cell r="BG37"/>
          <cell r="BH37"/>
          <cell r="BI37"/>
          <cell r="BL37"/>
          <cell r="BM37"/>
          <cell r="BN37"/>
          <cell r="BO37"/>
          <cell r="BR37"/>
        </row>
        <row r="38">
          <cell r="E38" t="str">
            <v>Se desconoce</v>
          </cell>
          <cell r="F38"/>
          <cell r="I38"/>
          <cell r="P38"/>
          <cell r="W38"/>
          <cell r="AD38"/>
          <cell r="AE38"/>
          <cell r="AF38"/>
          <cell r="AG38"/>
          <cell r="AH38"/>
          <cell r="AI38"/>
          <cell r="AJ38"/>
          <cell r="AK38"/>
          <cell r="AL38"/>
          <cell r="AM38"/>
          <cell r="AN38"/>
          <cell r="AO38"/>
          <cell r="AP38"/>
          <cell r="AQ38"/>
          <cell r="AR38"/>
          <cell r="AS38"/>
          <cell r="AT38"/>
          <cell r="AU38"/>
          <cell r="AV38"/>
          <cell r="AW38"/>
          <cell r="AX38"/>
          <cell r="AY38"/>
          <cell r="AZ38"/>
          <cell r="BA38"/>
          <cell r="BB38"/>
          <cell r="BC38"/>
          <cell r="BD38"/>
          <cell r="BE38"/>
          <cell r="BF38"/>
          <cell r="BG38"/>
          <cell r="BH38"/>
          <cell r="BI38"/>
          <cell r="BL38"/>
          <cell r="BM38"/>
          <cell r="BN38"/>
          <cell r="BO38"/>
          <cell r="BR38"/>
        </row>
        <row r="39">
          <cell r="E39" t="str">
            <v>Predio Agrícola</v>
          </cell>
          <cell r="F39"/>
          <cell r="I39"/>
          <cell r="P39"/>
          <cell r="W39"/>
          <cell r="AD39"/>
          <cell r="AE39"/>
          <cell r="AF39"/>
          <cell r="AG39"/>
          <cell r="AH39"/>
          <cell r="AI39"/>
          <cell r="AJ39"/>
          <cell r="AK39"/>
          <cell r="AL39"/>
          <cell r="AM39"/>
          <cell r="AN39"/>
          <cell r="AO39"/>
          <cell r="AP39"/>
          <cell r="AQ39"/>
          <cell r="AR39"/>
          <cell r="AS39"/>
          <cell r="AT39"/>
          <cell r="AU39"/>
          <cell r="AV39"/>
          <cell r="AW39"/>
          <cell r="AX39"/>
          <cell r="AY39"/>
          <cell r="AZ39"/>
          <cell r="BA39"/>
          <cell r="BB39"/>
          <cell r="BC39"/>
          <cell r="BD39"/>
          <cell r="BE39"/>
          <cell r="BF39"/>
          <cell r="BG39"/>
          <cell r="BH39"/>
          <cell r="BI39"/>
          <cell r="BL39"/>
          <cell r="BM39"/>
          <cell r="BN39"/>
          <cell r="BO39"/>
          <cell r="BR39"/>
        </row>
        <row r="40">
          <cell r="E40" t="str">
            <v>Otro</v>
          </cell>
          <cell r="F40"/>
          <cell r="I40"/>
          <cell r="P40"/>
          <cell r="W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L40"/>
          <cell r="BM40"/>
          <cell r="BN40"/>
          <cell r="BO40"/>
          <cell r="BR40"/>
        </row>
        <row r="41">
          <cell r="E41" t="str">
            <v>Vivienda/Comercio</v>
          </cell>
          <cell r="F41"/>
          <cell r="I41"/>
          <cell r="P41"/>
          <cell r="W41"/>
          <cell r="AD41"/>
          <cell r="AE41"/>
          <cell r="AF41"/>
          <cell r="AG41"/>
          <cell r="AH41"/>
          <cell r="AI41"/>
          <cell r="AJ41"/>
          <cell r="AK41"/>
          <cell r="AL41"/>
          <cell r="AM41"/>
          <cell r="AN41"/>
          <cell r="AO41"/>
          <cell r="AP41"/>
          <cell r="AQ41"/>
          <cell r="AR41"/>
          <cell r="AS41"/>
          <cell r="AT41"/>
          <cell r="AU41"/>
          <cell r="AV41"/>
          <cell r="AW41"/>
          <cell r="AX41"/>
          <cell r="AY41"/>
          <cell r="AZ41"/>
          <cell r="BA41"/>
          <cell r="BB41"/>
          <cell r="BC41"/>
          <cell r="BD41"/>
          <cell r="BE41"/>
          <cell r="BF41"/>
          <cell r="BG41"/>
          <cell r="BH41"/>
          <cell r="BI41"/>
          <cell r="BL41"/>
          <cell r="BM41"/>
          <cell r="BN41"/>
          <cell r="BO41"/>
          <cell r="BR41"/>
        </row>
        <row r="42">
          <cell r="E42" t="str">
            <v>Multifamiliar</v>
          </cell>
          <cell r="F42"/>
          <cell r="I42"/>
          <cell r="P42"/>
          <cell r="W42"/>
          <cell r="AD42"/>
          <cell r="AE42"/>
          <cell r="AF42"/>
          <cell r="AG42"/>
          <cell r="AH42"/>
          <cell r="AI42"/>
          <cell r="AJ42"/>
          <cell r="AK42"/>
          <cell r="AL42"/>
          <cell r="AM42"/>
          <cell r="AN42"/>
          <cell r="AO42"/>
          <cell r="AP42"/>
          <cell r="AQ42"/>
          <cell r="AR42"/>
          <cell r="AS42"/>
          <cell r="AT42"/>
          <cell r="AU42"/>
          <cell r="AV42"/>
          <cell r="AW42"/>
          <cell r="AX42"/>
          <cell r="AY42"/>
          <cell r="AZ42"/>
          <cell r="BA42"/>
          <cell r="BB42"/>
          <cell r="BC42"/>
          <cell r="BD42"/>
          <cell r="BE42"/>
          <cell r="BF42"/>
          <cell r="BG42"/>
          <cell r="BH42"/>
          <cell r="BI42"/>
          <cell r="BL42"/>
          <cell r="BM42"/>
          <cell r="BN42"/>
          <cell r="BO42"/>
          <cell r="BR42"/>
        </row>
        <row r="43">
          <cell r="E43"/>
          <cell r="F43"/>
          <cell r="I43"/>
          <cell r="P43"/>
          <cell r="W43"/>
          <cell r="AD43"/>
          <cell r="AE43"/>
          <cell r="AF43"/>
          <cell r="AG43"/>
          <cell r="AH43"/>
          <cell r="AI43"/>
          <cell r="AJ43"/>
          <cell r="AK43"/>
          <cell r="AL43"/>
          <cell r="AM43"/>
          <cell r="AN43"/>
          <cell r="AO43"/>
          <cell r="AP43"/>
          <cell r="AQ43"/>
          <cell r="AR43"/>
          <cell r="AS43"/>
          <cell r="AT43"/>
          <cell r="AU43"/>
          <cell r="AV43"/>
          <cell r="AW43"/>
          <cell r="AX43"/>
          <cell r="AY43"/>
          <cell r="AZ43"/>
          <cell r="BA43"/>
          <cell r="BB43"/>
          <cell r="BC43"/>
          <cell r="BD43"/>
          <cell r="BE43"/>
          <cell r="BF43"/>
          <cell r="BG43"/>
          <cell r="BH43"/>
          <cell r="BI43"/>
          <cell r="BL43"/>
          <cell r="BM43"/>
          <cell r="BN43"/>
          <cell r="BO43"/>
          <cell r="BR43"/>
        </row>
        <row r="44">
          <cell r="E44"/>
          <cell r="F44"/>
          <cell r="I44"/>
          <cell r="P44"/>
          <cell r="W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L44"/>
          <cell r="BM44"/>
          <cell r="BN44"/>
          <cell r="BO44"/>
          <cell r="BR44"/>
        </row>
        <row r="45">
          <cell r="E45"/>
          <cell r="F45"/>
          <cell r="I45"/>
          <cell r="P45"/>
          <cell r="W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cell r="BI45"/>
          <cell r="BL45"/>
          <cell r="BM45"/>
          <cell r="BN45"/>
          <cell r="BO45"/>
          <cell r="BR45"/>
        </row>
        <row r="46">
          <cell r="E46"/>
          <cell r="F46"/>
          <cell r="I46"/>
          <cell r="P46"/>
          <cell r="W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L46"/>
          <cell r="BM46"/>
          <cell r="BN46"/>
          <cell r="BO46"/>
          <cell r="BR46"/>
        </row>
        <row r="47">
          <cell r="E47"/>
          <cell r="F47"/>
          <cell r="I47"/>
          <cell r="P47"/>
          <cell r="W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L47"/>
          <cell r="BM47"/>
          <cell r="BN47"/>
          <cell r="BO47"/>
          <cell r="BR47"/>
        </row>
        <row r="48">
          <cell r="E48"/>
          <cell r="F48"/>
          <cell r="I48"/>
          <cell r="P48"/>
          <cell r="W48"/>
          <cell r="AD48"/>
          <cell r="AE48"/>
          <cell r="AF48"/>
          <cell r="AG48"/>
          <cell r="AH48"/>
          <cell r="AI48"/>
          <cell r="AJ48"/>
          <cell r="AK48"/>
          <cell r="AL48"/>
          <cell r="AM48"/>
          <cell r="AN48"/>
          <cell r="AO48"/>
          <cell r="AP48"/>
          <cell r="AQ48"/>
          <cell r="AR48"/>
          <cell r="AS48"/>
          <cell r="AT48"/>
          <cell r="AU48"/>
          <cell r="AV48"/>
          <cell r="AW48"/>
          <cell r="AX48"/>
          <cell r="AY48"/>
          <cell r="AZ48"/>
          <cell r="BA48"/>
          <cell r="BB48"/>
          <cell r="BC48"/>
          <cell r="BD48"/>
          <cell r="BE48"/>
          <cell r="BF48"/>
          <cell r="BG48"/>
          <cell r="BH48"/>
          <cell r="BI48"/>
          <cell r="BL48"/>
          <cell r="BM48"/>
          <cell r="BN48"/>
          <cell r="BO48"/>
          <cell r="BR48"/>
        </row>
        <row r="49">
          <cell r="E49"/>
          <cell r="F49"/>
          <cell r="I49"/>
          <cell r="P49"/>
          <cell r="W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L49"/>
          <cell r="BM49"/>
          <cell r="BN49"/>
          <cell r="BO49"/>
          <cell r="BR49"/>
        </row>
        <row r="50">
          <cell r="E50"/>
          <cell r="F50"/>
          <cell r="I50"/>
          <cell r="P50"/>
          <cell r="W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L50"/>
          <cell r="BM50"/>
          <cell r="BN50"/>
          <cell r="BO50"/>
          <cell r="BR50"/>
        </row>
        <row r="51">
          <cell r="E51"/>
          <cell r="F51"/>
          <cell r="I51"/>
          <cell r="P51"/>
          <cell r="W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cell r="BF51"/>
          <cell r="BG51"/>
          <cell r="BH51"/>
          <cell r="BI51"/>
          <cell r="BL51"/>
          <cell r="BM51"/>
          <cell r="BN51"/>
          <cell r="BO51"/>
          <cell r="BR51"/>
        </row>
        <row r="52">
          <cell r="E52"/>
          <cell r="F52"/>
          <cell r="I52"/>
          <cell r="P52"/>
          <cell r="W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cell r="BI52"/>
          <cell r="BL52"/>
          <cell r="BM52"/>
          <cell r="BN52"/>
          <cell r="BO52"/>
          <cell r="BR52"/>
        </row>
        <row r="53">
          <cell r="E53"/>
          <cell r="F53"/>
          <cell r="I53"/>
          <cell r="P53"/>
          <cell r="W53"/>
          <cell r="AD53"/>
          <cell r="AE53"/>
          <cell r="AF53"/>
          <cell r="AG53"/>
          <cell r="AH53"/>
          <cell r="AI53"/>
          <cell r="AJ53"/>
          <cell r="AK53"/>
          <cell r="AL53"/>
          <cell r="AM53"/>
          <cell r="AN53"/>
          <cell r="AO53"/>
          <cell r="AP53"/>
          <cell r="AQ53"/>
          <cell r="AR53"/>
          <cell r="AS53"/>
          <cell r="AT53"/>
          <cell r="AU53"/>
          <cell r="AV53"/>
          <cell r="AW53"/>
          <cell r="AX53"/>
          <cell r="AY53"/>
          <cell r="AZ53"/>
          <cell r="BA53"/>
          <cell r="BB53"/>
          <cell r="BC53"/>
          <cell r="BD53"/>
          <cell r="BE53"/>
          <cell r="BF53"/>
          <cell r="BG53"/>
          <cell r="BH53"/>
          <cell r="BI53"/>
          <cell r="BL53"/>
          <cell r="BM53"/>
          <cell r="BN53"/>
          <cell r="BO53"/>
          <cell r="BR53"/>
        </row>
        <row r="54">
          <cell r="E54"/>
          <cell r="F54"/>
          <cell r="I54"/>
          <cell r="P54"/>
          <cell r="W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cell r="BI54"/>
          <cell r="BL54"/>
          <cell r="BM54"/>
          <cell r="BN54"/>
          <cell r="BO54"/>
          <cell r="BR54"/>
        </row>
        <row r="55">
          <cell r="E55"/>
          <cell r="F55"/>
          <cell r="I55"/>
          <cell r="P55"/>
          <cell r="W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L55"/>
          <cell r="BM55"/>
          <cell r="BN55"/>
          <cell r="BO55"/>
          <cell r="BR55"/>
        </row>
        <row r="56">
          <cell r="E56"/>
          <cell r="F56"/>
          <cell r="I56"/>
          <cell r="P56"/>
          <cell r="W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L56"/>
          <cell r="BM56"/>
          <cell r="BN56"/>
          <cell r="BO56"/>
          <cell r="BR56"/>
        </row>
        <row r="57">
          <cell r="E57"/>
          <cell r="F57"/>
          <cell r="I57"/>
          <cell r="P57"/>
          <cell r="W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L57"/>
          <cell r="BM57"/>
          <cell r="BN57"/>
          <cell r="BO57"/>
          <cell r="BR57"/>
        </row>
        <row r="58">
          <cell r="E58"/>
          <cell r="F58"/>
          <cell r="I58"/>
          <cell r="P58"/>
          <cell r="W58"/>
          <cell r="AD58"/>
          <cell r="AE58"/>
          <cell r="AF58"/>
          <cell r="AG58"/>
          <cell r="AH58"/>
          <cell r="AI58"/>
          <cell r="AJ58"/>
          <cell r="AK58"/>
          <cell r="AL58"/>
          <cell r="AM58"/>
          <cell r="AN58"/>
          <cell r="AO58"/>
          <cell r="AP58"/>
          <cell r="AQ58"/>
          <cell r="AR58"/>
          <cell r="AS58"/>
          <cell r="AT58"/>
          <cell r="AU58"/>
          <cell r="AV58"/>
          <cell r="AW58"/>
          <cell r="AX58"/>
          <cell r="AY58"/>
          <cell r="AZ58"/>
          <cell r="BA58"/>
          <cell r="BB58"/>
          <cell r="BC58"/>
          <cell r="BD58"/>
          <cell r="BE58"/>
          <cell r="BF58"/>
          <cell r="BG58"/>
          <cell r="BH58"/>
          <cell r="BI58"/>
          <cell r="BL58"/>
          <cell r="BM58"/>
          <cell r="BN58"/>
          <cell r="BO58"/>
          <cell r="BR58"/>
        </row>
        <row r="59">
          <cell r="E59"/>
          <cell r="F59"/>
          <cell r="I59"/>
          <cell r="P59"/>
          <cell r="W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L59"/>
          <cell r="BM59"/>
          <cell r="BN59"/>
          <cell r="BO59"/>
          <cell r="BR59"/>
        </row>
      </sheetData>
      <sheetData sheetId="10">
        <row r="23">
          <cell r="S23">
            <v>0</v>
          </cell>
        </row>
        <row r="36">
          <cell r="K36">
            <v>0</v>
          </cell>
          <cell r="AF36">
            <v>0</v>
          </cell>
        </row>
        <row r="38">
          <cell r="AF38">
            <v>0</v>
          </cell>
        </row>
        <row r="46">
          <cell r="AF46">
            <v>0</v>
          </cell>
        </row>
        <row r="48">
          <cell r="AF48">
            <v>0</v>
          </cell>
        </row>
      </sheetData>
      <sheetData sheetId="11">
        <row r="47">
          <cell r="X47">
            <v>0</v>
          </cell>
        </row>
      </sheetData>
      <sheetData sheetId="12">
        <row r="34">
          <cell r="X34">
            <v>0</v>
          </cell>
        </row>
        <row r="44">
          <cell r="X44">
            <v>0</v>
          </cell>
        </row>
        <row r="46">
          <cell r="X46">
            <v>0</v>
          </cell>
        </row>
        <row r="63">
          <cell r="F63">
            <v>0.14000000000000001</v>
          </cell>
        </row>
        <row r="64">
          <cell r="F64">
            <v>0.1</v>
          </cell>
          <cell r="J64">
            <v>3.7749999999999999</v>
          </cell>
        </row>
        <row r="66">
          <cell r="L66">
            <v>0</v>
          </cell>
          <cell r="O66">
            <v>0</v>
          </cell>
          <cell r="R66">
            <v>0</v>
          </cell>
        </row>
        <row r="83">
          <cell r="M83">
            <v>0</v>
          </cell>
          <cell r="Z83">
            <v>0</v>
          </cell>
        </row>
        <row r="92">
          <cell r="H92">
            <v>0.15</v>
          </cell>
        </row>
        <row r="98">
          <cell r="R98">
            <v>0</v>
          </cell>
          <cell r="Y98" t="e">
            <v>#VALUE!</v>
          </cell>
        </row>
        <row r="116">
          <cell r="O116">
            <v>0</v>
          </cell>
          <cell r="Y116">
            <v>0</v>
          </cell>
        </row>
        <row r="123">
          <cell r="Y123" t="e">
            <v>#VALUE!</v>
          </cell>
        </row>
      </sheetData>
      <sheetData sheetId="13"/>
      <sheetData sheetId="14">
        <row r="5">
          <cell r="M5" t="str">
            <v>Sierra</v>
          </cell>
        </row>
        <row r="6">
          <cell r="F6">
            <v>1.18</v>
          </cell>
          <cell r="M6">
            <v>1.7352941176470587</v>
          </cell>
        </row>
      </sheetData>
      <sheetData sheetId="15">
        <row r="39">
          <cell r="Z39">
            <v>0</v>
          </cell>
        </row>
        <row r="99">
          <cell r="V99">
            <v>0</v>
          </cell>
        </row>
      </sheetData>
      <sheetData sheetId="16">
        <row r="102">
          <cell r="V102">
            <v>0</v>
          </cell>
        </row>
      </sheetData>
      <sheetData sheetId="17">
        <row r="32">
          <cell r="X32">
            <v>0</v>
          </cell>
        </row>
        <row r="34">
          <cell r="X34">
            <v>0</v>
          </cell>
        </row>
        <row r="47">
          <cell r="R47">
            <v>0.25</v>
          </cell>
        </row>
        <row r="51">
          <cell r="X51">
            <v>0</v>
          </cell>
        </row>
        <row r="54">
          <cell r="X54">
            <v>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RESUMEN (2)"/>
      <sheetName val="portada"/>
      <sheetName val="HR-1"/>
      <sheetName val="HR-2"/>
      <sheetName val="HR-3 "/>
      <sheetName val="HR-4"/>
      <sheetName val="MD Datos"/>
      <sheetName val="MD Áreas"/>
      <sheetName val="AM Terrenos"/>
      <sheetName val="AM Costos"/>
      <sheetName val="TABLA DEPRECIACION"/>
      <sheetName val="AM Mercado"/>
      <sheetName val="CAPITULO II - MC MER (2)"/>
      <sheetName val="CAPITULO II - MC MER (3)"/>
      <sheetName val="RESUL VC"/>
      <sheetName val="FOTOS I"/>
      <sheetName val="FOTOS II"/>
      <sheetName val="PE"/>
      <sheetName val="PE (2)"/>
      <sheetName val="PE (3)"/>
      <sheetName val="PE (4)"/>
      <sheetName val="PE (5)"/>
      <sheetName val="PE (6)"/>
      <sheetName val="PE (7)"/>
      <sheetName val="PE (8)"/>
      <sheetName val="PE (9)"/>
      <sheetName val="PE (10)"/>
      <sheetName val="PE (11)"/>
      <sheetName val="PE (12)"/>
      <sheetName val="PU"/>
      <sheetName val="PU (2)"/>
      <sheetName val="PU (3)"/>
      <sheetName val="PU (4)"/>
      <sheetName val="Otros"/>
      <sheetName val="Otros (2)"/>
      <sheetName val="Otros (3)"/>
      <sheetName val="Otros (4)"/>
      <sheetName val="Otros (5)"/>
      <sheetName val="Otros (6)"/>
      <sheetName val="Otros (7)"/>
      <sheetName val="Otros (8)"/>
      <sheetName val="Otros (9)"/>
      <sheetName val="Otros (10)"/>
      <sheetName val="Listas"/>
      <sheetName val="2014"/>
      <sheetName val="Lista-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2">
          <cell r="Z12">
            <v>0</v>
          </cell>
        </row>
        <row r="13">
          <cell r="Z13">
            <v>0</v>
          </cell>
        </row>
        <row r="14">
          <cell r="Z14">
            <v>42888</v>
          </cell>
        </row>
        <row r="15">
          <cell r="Z15">
            <v>43253</v>
          </cell>
        </row>
        <row r="47">
          <cell r="J47" t="str">
            <v>Jr. Inambari N° 739, Tienda comercial interior N° 104 - 105, Primer piso, Distrito de Cercado de Lima, Provincia y Departamento de Lima.</v>
          </cell>
        </row>
        <row r="49">
          <cell r="J49" t="str">
            <v>Jr. Inambari N° 739, Int. 104,  Ref. Interior 105, Distrito de Cercado de Lima, Provincia y Departamento de Lima</v>
          </cell>
        </row>
        <row r="51">
          <cell r="J51" t="str">
            <v>Jr. Inambari N° 739, Galeria Real, Int. 104 - 105, Distrito de Cercado de Lima, Provincia y Departamento de Lima</v>
          </cell>
        </row>
        <row r="85">
          <cell r="J85" t="str">
            <v>5 y azotea</v>
          </cell>
        </row>
      </sheetData>
      <sheetData sheetId="8" refreshError="1">
        <row r="30">
          <cell r="S30">
            <v>0</v>
          </cell>
        </row>
        <row r="40">
          <cell r="K40">
            <v>11.955</v>
          </cell>
        </row>
      </sheetData>
      <sheetData sheetId="9" refreshError="1">
        <row r="33">
          <cell r="X33">
            <v>0</v>
          </cell>
        </row>
        <row r="69">
          <cell r="C69" t="str">
            <v>Referencias</v>
          </cell>
          <cell r="G69" t="str">
            <v>Ofertado</v>
          </cell>
          <cell r="J69" t="str">
            <v>Homologado</v>
          </cell>
        </row>
        <row r="70">
          <cell r="G70" t="str">
            <v xml:space="preserve"> </v>
          </cell>
          <cell r="J70" t="str">
            <v xml:space="preserve"> </v>
          </cell>
        </row>
        <row r="71">
          <cell r="G71" t="str">
            <v xml:space="preserve"> </v>
          </cell>
          <cell r="J71" t="str">
            <v xml:space="preserve"> </v>
          </cell>
        </row>
        <row r="72">
          <cell r="G72" t="str">
            <v xml:space="preserve"> </v>
          </cell>
          <cell r="J72" t="str">
            <v xml:space="preserve"> </v>
          </cell>
        </row>
        <row r="73">
          <cell r="G73" t="str">
            <v xml:space="preserve"> </v>
          </cell>
          <cell r="J73" t="str">
            <v xml:space="preserve"> </v>
          </cell>
        </row>
        <row r="74">
          <cell r="G74" t="str">
            <v xml:space="preserve"> </v>
          </cell>
          <cell r="J74" t="str">
            <v xml:space="preserve"> </v>
          </cell>
        </row>
        <row r="75">
          <cell r="G75" t="str">
            <v/>
          </cell>
          <cell r="J75" t="str">
            <v/>
          </cell>
        </row>
      </sheetData>
      <sheetData sheetId="10" refreshError="1">
        <row r="28">
          <cell r="X28">
            <v>0</v>
          </cell>
        </row>
        <row r="43">
          <cell r="F43">
            <v>0.14000000000000001</v>
          </cell>
        </row>
        <row r="44">
          <cell r="F44">
            <v>0.1</v>
          </cell>
          <cell r="J44">
            <v>3.3</v>
          </cell>
        </row>
        <row r="46">
          <cell r="L46">
            <v>0</v>
          </cell>
        </row>
        <row r="58">
          <cell r="M58">
            <v>0</v>
          </cell>
          <cell r="Z58">
            <v>0</v>
          </cell>
        </row>
        <row r="64">
          <cell r="H64">
            <v>0.15</v>
          </cell>
        </row>
        <row r="65">
          <cell r="R65">
            <v>0</v>
          </cell>
          <cell r="Y65">
            <v>0</v>
          </cell>
        </row>
        <row r="73">
          <cell r="R73">
            <v>0</v>
          </cell>
          <cell r="Y73">
            <v>0</v>
          </cell>
        </row>
        <row r="76">
          <cell r="Y76">
            <v>0</v>
          </cell>
        </row>
        <row r="78">
          <cell r="Y78">
            <v>0</v>
          </cell>
        </row>
      </sheetData>
      <sheetData sheetId="11" refreshError="1"/>
      <sheetData sheetId="12" refreshError="1">
        <row r="41">
          <cell r="Z41">
            <v>0</v>
          </cell>
        </row>
        <row r="68">
          <cell r="C68" t="str">
            <v>Referencias</v>
          </cell>
          <cell r="G68" t="str">
            <v>Ofertado</v>
          </cell>
          <cell r="J68" t="str">
            <v>Homologado</v>
          </cell>
        </row>
        <row r="69">
          <cell r="G69" t="str">
            <v xml:space="preserve"> </v>
          </cell>
          <cell r="J69" t="str">
            <v xml:space="preserve"> </v>
          </cell>
        </row>
        <row r="70">
          <cell r="G70" t="str">
            <v xml:space="preserve"> </v>
          </cell>
          <cell r="J70" t="str">
            <v xml:space="preserve"> </v>
          </cell>
        </row>
        <row r="71">
          <cell r="G71" t="str">
            <v xml:space="preserve"> </v>
          </cell>
          <cell r="J71" t="str">
            <v xml:space="preserve"> </v>
          </cell>
        </row>
        <row r="72">
          <cell r="G72" t="str">
            <v xml:space="preserve"> </v>
          </cell>
          <cell r="J72" t="str">
            <v xml:space="preserve"> </v>
          </cell>
        </row>
        <row r="73">
          <cell r="G73" t="str">
            <v xml:space="preserve"> </v>
          </cell>
          <cell r="J73" t="str">
            <v xml:space="preserve"> </v>
          </cell>
        </row>
        <row r="74">
          <cell r="G74" t="str">
            <v/>
          </cell>
          <cell r="J74" t="str">
            <v/>
          </cell>
        </row>
        <row r="75">
          <cell r="G75">
            <v>0</v>
          </cell>
        </row>
        <row r="93">
          <cell r="V93">
            <v>0</v>
          </cell>
        </row>
      </sheetData>
      <sheetData sheetId="13" refreshError="1"/>
      <sheetData sheetId="14" refreshError="1"/>
      <sheetData sheetId="15" refreshError="1">
        <row r="25">
          <cell r="O25" t="str">
            <v>No considerado</v>
          </cell>
        </row>
        <row r="39">
          <cell r="X39">
            <v>0</v>
          </cell>
        </row>
        <row r="53">
          <cell r="R53">
            <v>0.2</v>
          </cell>
        </row>
        <row r="56">
          <cell r="X56">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5">
          <cell r="M5" t="str">
            <v>Lima</v>
          </cell>
        </row>
        <row r="6">
          <cell r="F6">
            <v>1.18</v>
          </cell>
          <cell r="M6">
            <v>1.8220588235294115</v>
          </cell>
        </row>
      </sheetData>
      <sheetData sheetId="4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RESUMEN (2)"/>
      <sheetName val="portada"/>
      <sheetName val="HR-1"/>
      <sheetName val="HR-2"/>
      <sheetName val="HR-3 "/>
      <sheetName val="HR-4"/>
      <sheetName val="MD Datos"/>
      <sheetName val="MD Áreas"/>
      <sheetName val="AM Terrenos"/>
      <sheetName val="AM Costos"/>
      <sheetName val="TABLA DEPRECIACION"/>
      <sheetName val="AM Mercado"/>
      <sheetName val="CAPITULO II - MC MER (2)"/>
      <sheetName val="CAPITULO II - MC MER (3)"/>
      <sheetName val="RESUL VC"/>
      <sheetName val="FOTOS I"/>
      <sheetName val="FOTOS II"/>
      <sheetName val="PE"/>
      <sheetName val="PE (2)"/>
      <sheetName val="PE (3)"/>
      <sheetName val="PE (4)"/>
      <sheetName val="PE (5)"/>
      <sheetName val="PE (6)"/>
      <sheetName val="PE (7)"/>
      <sheetName val="PE (8)"/>
      <sheetName val="PE (9)"/>
      <sheetName val="PE (10)"/>
      <sheetName val="PE (11)"/>
      <sheetName val="PE (12)"/>
      <sheetName val="PU"/>
      <sheetName val="PU (2)"/>
      <sheetName val="PU (3)"/>
      <sheetName val="PU (4)"/>
      <sheetName val="Otros"/>
      <sheetName val="Otros (2)"/>
      <sheetName val="Otros (3)"/>
      <sheetName val="Otros (4)"/>
      <sheetName val="Otros (5)"/>
      <sheetName val="Otros (6)"/>
      <sheetName val="Otros (7)"/>
      <sheetName val="Otros (8)"/>
      <sheetName val="Otros (9)"/>
      <sheetName val="Otros (10)"/>
      <sheetName val="Listas"/>
      <sheetName val="2014"/>
      <sheetName val="Lista-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2">
          <cell r="Z12">
            <v>0</v>
          </cell>
        </row>
        <row r="13">
          <cell r="Z13">
            <v>0</v>
          </cell>
        </row>
        <row r="14">
          <cell r="Z14">
            <v>42888</v>
          </cell>
        </row>
        <row r="15">
          <cell r="Z15">
            <v>43253</v>
          </cell>
        </row>
        <row r="47">
          <cell r="J47" t="str">
            <v>Jr. Inambari N° 739, Tienda comercial interior N° 104 - 105, Primer piso, Distrito de Cercado de Lima, Provincia y Departamento de Lima.</v>
          </cell>
        </row>
        <row r="49">
          <cell r="J49" t="str">
            <v>Jr. Inambari N° 739, Int. 104,  Ref. Interior 105, Distrito de Cercado de Lima, Provincia y Departamento de Lima</v>
          </cell>
        </row>
        <row r="51">
          <cell r="J51" t="str">
            <v>Jr. Inambari N° 739, Galeria Real, Int. 104 - 105, Distrito de Cercado de Lima, Provincia y Departamento de Lima</v>
          </cell>
        </row>
        <row r="85">
          <cell r="J85" t="str">
            <v>5 y azotea</v>
          </cell>
        </row>
      </sheetData>
      <sheetData sheetId="8" refreshError="1">
        <row r="30">
          <cell r="S30">
            <v>0</v>
          </cell>
        </row>
        <row r="40">
          <cell r="K40">
            <v>11.955</v>
          </cell>
        </row>
      </sheetData>
      <sheetData sheetId="9" refreshError="1">
        <row r="33">
          <cell r="X33">
            <v>0</v>
          </cell>
        </row>
        <row r="69">
          <cell r="C69" t="str">
            <v>Referencias</v>
          </cell>
          <cell r="G69" t="str">
            <v>Ofertado</v>
          </cell>
          <cell r="J69" t="str">
            <v>Homologado</v>
          </cell>
        </row>
        <row r="70">
          <cell r="G70" t="str">
            <v xml:space="preserve"> </v>
          </cell>
          <cell r="J70" t="str">
            <v xml:space="preserve"> </v>
          </cell>
        </row>
        <row r="71">
          <cell r="G71" t="str">
            <v xml:space="preserve"> </v>
          </cell>
          <cell r="J71" t="str">
            <v xml:space="preserve"> </v>
          </cell>
        </row>
        <row r="72">
          <cell r="G72" t="str">
            <v xml:space="preserve"> </v>
          </cell>
          <cell r="J72" t="str">
            <v xml:space="preserve"> </v>
          </cell>
        </row>
        <row r="73">
          <cell r="G73" t="str">
            <v xml:space="preserve"> </v>
          </cell>
          <cell r="J73" t="str">
            <v xml:space="preserve"> </v>
          </cell>
        </row>
        <row r="74">
          <cell r="G74" t="str">
            <v xml:space="preserve"> </v>
          </cell>
          <cell r="J74" t="str">
            <v xml:space="preserve"> </v>
          </cell>
        </row>
        <row r="75">
          <cell r="G75" t="str">
            <v/>
          </cell>
          <cell r="J75" t="str">
            <v/>
          </cell>
        </row>
      </sheetData>
      <sheetData sheetId="10" refreshError="1">
        <row r="28">
          <cell r="X28">
            <v>0</v>
          </cell>
        </row>
        <row r="43">
          <cell r="F43">
            <v>0.14000000000000001</v>
          </cell>
        </row>
        <row r="44">
          <cell r="F44">
            <v>0.1</v>
          </cell>
          <cell r="J44">
            <v>3.3</v>
          </cell>
        </row>
        <row r="46">
          <cell r="L46">
            <v>0</v>
          </cell>
        </row>
        <row r="58">
          <cell r="M58">
            <v>0</v>
          </cell>
          <cell r="Z58">
            <v>0</v>
          </cell>
        </row>
        <row r="64">
          <cell r="H64">
            <v>0.15</v>
          </cell>
        </row>
        <row r="65">
          <cell r="R65">
            <v>0</v>
          </cell>
          <cell r="Y65">
            <v>0</v>
          </cell>
        </row>
        <row r="73">
          <cell r="R73">
            <v>0</v>
          </cell>
          <cell r="Y73">
            <v>0</v>
          </cell>
        </row>
        <row r="76">
          <cell r="Y76">
            <v>0</v>
          </cell>
        </row>
        <row r="78">
          <cell r="Y78">
            <v>0</v>
          </cell>
        </row>
      </sheetData>
      <sheetData sheetId="11" refreshError="1"/>
      <sheetData sheetId="12" refreshError="1">
        <row r="41">
          <cell r="Z41">
            <v>0</v>
          </cell>
        </row>
        <row r="68">
          <cell r="C68" t="str">
            <v>Referencias</v>
          </cell>
          <cell r="G68" t="str">
            <v>Ofertado</v>
          </cell>
          <cell r="J68" t="str">
            <v>Homologado</v>
          </cell>
        </row>
        <row r="69">
          <cell r="G69" t="str">
            <v xml:space="preserve"> </v>
          </cell>
          <cell r="J69" t="str">
            <v xml:space="preserve"> </v>
          </cell>
        </row>
        <row r="70">
          <cell r="G70" t="str">
            <v xml:space="preserve"> </v>
          </cell>
          <cell r="J70" t="str">
            <v xml:space="preserve"> </v>
          </cell>
        </row>
        <row r="71">
          <cell r="G71" t="str">
            <v xml:space="preserve"> </v>
          </cell>
          <cell r="J71" t="str">
            <v xml:space="preserve"> </v>
          </cell>
        </row>
        <row r="72">
          <cell r="G72" t="str">
            <v xml:space="preserve"> </v>
          </cell>
          <cell r="J72" t="str">
            <v xml:space="preserve"> </v>
          </cell>
        </row>
        <row r="73">
          <cell r="G73" t="str">
            <v xml:space="preserve"> </v>
          </cell>
          <cell r="J73" t="str">
            <v xml:space="preserve"> </v>
          </cell>
        </row>
        <row r="74">
          <cell r="G74" t="str">
            <v/>
          </cell>
          <cell r="J74" t="str">
            <v/>
          </cell>
        </row>
        <row r="75">
          <cell r="G75">
            <v>0</v>
          </cell>
        </row>
        <row r="93">
          <cell r="V93">
            <v>0</v>
          </cell>
        </row>
      </sheetData>
      <sheetData sheetId="13" refreshError="1"/>
      <sheetData sheetId="14" refreshError="1"/>
      <sheetData sheetId="15" refreshError="1">
        <row r="25">
          <cell r="O25" t="str">
            <v>No considerado</v>
          </cell>
        </row>
        <row r="39">
          <cell r="X39">
            <v>0</v>
          </cell>
        </row>
        <row r="53">
          <cell r="R53">
            <v>0.2</v>
          </cell>
        </row>
        <row r="56">
          <cell r="X56">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row r="5">
          <cell r="M5" t="str">
            <v>Lima</v>
          </cell>
        </row>
        <row r="6">
          <cell r="F6">
            <v>1.18</v>
          </cell>
          <cell r="M6">
            <v>1.8220588235294115</v>
          </cell>
        </row>
      </sheetData>
      <sheetData sheetId="4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sheetName val="Anexo 1"/>
      <sheetName val="Anexo 2"/>
      <sheetName val="Anexo 3"/>
      <sheetName val="DECLARACIÓN JURADA"/>
      <sheetName val="MEMORIA Y VAL"/>
      <sheetName val="C2"/>
      <sheetName val="FOTOS"/>
      <sheetName val="Limites2015"/>
      <sheetName val="Hoja4"/>
      <sheetName val="DPTOS"/>
    </sheetNames>
    <sheetDataSet>
      <sheetData sheetId="0"/>
      <sheetData sheetId="1"/>
      <sheetData sheetId="2"/>
      <sheetData sheetId="3"/>
      <sheetData sheetId="4"/>
      <sheetData sheetId="5"/>
      <sheetData sheetId="6"/>
      <sheetData sheetId="7"/>
      <sheetData sheetId="8"/>
      <sheetData sheetId="9">
        <row r="2">
          <cell r="A2" t="str">
            <v>1. Concreto Armado</v>
          </cell>
          <cell r="B2" t="str">
            <v>1. Hasta 4 Pisos</v>
          </cell>
        </row>
        <row r="3">
          <cell r="A3" t="str">
            <v>2. Ladrillo y Cemento</v>
          </cell>
          <cell r="B3" t="str">
            <v>2. Entre 5 y 10 Pisos</v>
          </cell>
        </row>
        <row r="4">
          <cell r="A4" t="str">
            <v>3. Estructura de acero/Metalica</v>
          </cell>
          <cell r="B4" t="str">
            <v>3. Mas de 10 Pisos</v>
          </cell>
        </row>
        <row r="5">
          <cell r="A5" t="str">
            <v>4. Adobe/Quincha</v>
          </cell>
          <cell r="B5" t="str">
            <v>4. Nave Industrial</v>
          </cell>
        </row>
        <row r="6">
          <cell r="A6" t="str">
            <v>5. Madera</v>
          </cell>
          <cell r="B6" t="str">
            <v>5. Otros</v>
          </cell>
        </row>
        <row r="7">
          <cell r="A7" t="str">
            <v>6. Otros</v>
          </cell>
        </row>
      </sheetData>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MORIA Y VAL"/>
      <sheetName val="C2"/>
      <sheetName val="FOTO"/>
      <sheetName val="SUSTENTO DE UBICACION"/>
      <sheetName val="Anexo 1"/>
      <sheetName val="Anexo 2"/>
      <sheetName val="Anexo 3"/>
      <sheetName val="DECLARACIÓN JURADA"/>
      <sheetName val="HR"/>
      <sheetName val="Limites2015"/>
      <sheetName val="Hoja4"/>
      <sheetName val="DPTOS"/>
    </sheetNames>
    <sheetDataSet>
      <sheetData sheetId="0">
        <row r="60">
          <cell r="O60">
            <v>0</v>
          </cell>
        </row>
      </sheetData>
      <sheetData sheetId="1"/>
      <sheetData sheetId="2"/>
      <sheetData sheetId="3"/>
      <sheetData sheetId="4"/>
      <sheetData sheetId="5"/>
      <sheetData sheetId="6"/>
      <sheetData sheetId="7"/>
      <sheetData sheetId="8"/>
      <sheetData sheetId="9"/>
      <sheetData sheetId="10">
        <row r="2">
          <cell r="A2" t="str">
            <v>1. Concreto Armado</v>
          </cell>
          <cell r="B2" t="str">
            <v>1. Hasta 4 Pisos</v>
          </cell>
        </row>
        <row r="3">
          <cell r="A3" t="str">
            <v>2. Ladrillo y Cemento</v>
          </cell>
          <cell r="B3" t="str">
            <v>2. Entre 5 y 10 Pisos</v>
          </cell>
        </row>
        <row r="4">
          <cell r="A4" t="str">
            <v>3. Estructura de acero/Metalica</v>
          </cell>
          <cell r="B4" t="str">
            <v>3. Mas de 10 Pisos</v>
          </cell>
        </row>
        <row r="5">
          <cell r="A5" t="str">
            <v>4. Adobe/Quincha</v>
          </cell>
          <cell r="B5" t="str">
            <v>4. Nave Industrial</v>
          </cell>
        </row>
        <row r="6">
          <cell r="A6" t="str">
            <v>5. Madera</v>
          </cell>
          <cell r="B6" t="str">
            <v>5. Otros</v>
          </cell>
        </row>
        <row r="7">
          <cell r="A7" t="str">
            <v>6. Otros</v>
          </cell>
        </row>
      </sheetData>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1"/>
      <sheetName val="VALUA2"/>
      <sheetName val="VALUA3"/>
      <sheetName val="RESUMEN"/>
      <sheetName val="DATOS"/>
      <sheetName val="Hoja5"/>
      <sheetName val="Hoja1"/>
      <sheetName val="HR "/>
      <sheetName val="Anexo 1"/>
      <sheetName val="Anexo 2"/>
      <sheetName val="Anexo 3"/>
      <sheetName val="DECLARACIÓN JURADA"/>
      <sheetName val="MEMORIA Y VAL"/>
      <sheetName val="C2"/>
      <sheetName val="FOTOS"/>
      <sheetName val="Hoja4"/>
    </sheetNames>
    <sheetDataSet>
      <sheetData sheetId="0"/>
      <sheetData sheetId="1"/>
      <sheetData sheetId="2"/>
      <sheetData sheetId="3"/>
      <sheetData sheetId="4">
        <row r="1">
          <cell r="A1" t="str">
            <v>1-Concreto Armado</v>
          </cell>
          <cell r="C1">
            <v>0</v>
          </cell>
          <cell r="D1">
            <v>0</v>
          </cell>
          <cell r="E1" t="str">
            <v>Muy Bueno</v>
          </cell>
          <cell r="F1" t="str">
            <v>Primera</v>
          </cell>
        </row>
        <row r="2">
          <cell r="C2">
            <v>1</v>
          </cell>
          <cell r="D2">
            <v>1</v>
          </cell>
          <cell r="E2" t="str">
            <v>Bueno</v>
          </cell>
          <cell r="F2" t="str">
            <v>Segunda</v>
          </cell>
        </row>
        <row r="3">
          <cell r="C3">
            <v>2</v>
          </cell>
          <cell r="D3">
            <v>2</v>
          </cell>
          <cell r="E3" t="str">
            <v>Regular</v>
          </cell>
        </row>
        <row r="4">
          <cell r="C4">
            <v>3</v>
          </cell>
          <cell r="D4">
            <v>3</v>
          </cell>
          <cell r="E4" t="str">
            <v>Malo</v>
          </cell>
        </row>
        <row r="5">
          <cell r="C5">
            <v>4</v>
          </cell>
          <cell r="D5">
            <v>4</v>
          </cell>
          <cell r="E5" t="str">
            <v>En construcción</v>
          </cell>
        </row>
        <row r="6">
          <cell r="C6">
            <v>5</v>
          </cell>
          <cell r="D6">
            <v>5</v>
          </cell>
        </row>
        <row r="7">
          <cell r="C7">
            <v>6</v>
          </cell>
          <cell r="D7">
            <v>6</v>
          </cell>
        </row>
        <row r="8">
          <cell r="C8">
            <v>7</v>
          </cell>
          <cell r="D8">
            <v>7</v>
          </cell>
        </row>
        <row r="9">
          <cell r="C9">
            <v>8</v>
          </cell>
          <cell r="D9">
            <v>8</v>
          </cell>
        </row>
        <row r="10">
          <cell r="C10">
            <v>9</v>
          </cell>
          <cell r="D10">
            <v>9</v>
          </cell>
        </row>
        <row r="11">
          <cell r="C11">
            <v>10</v>
          </cell>
          <cell r="D11">
            <v>10</v>
          </cell>
        </row>
        <row r="12">
          <cell r="C12">
            <v>11</v>
          </cell>
        </row>
        <row r="13">
          <cell r="C13">
            <v>12</v>
          </cell>
        </row>
        <row r="14">
          <cell r="C14">
            <v>13</v>
          </cell>
        </row>
        <row r="15">
          <cell r="C15">
            <v>14</v>
          </cell>
        </row>
        <row r="16">
          <cell r="C16">
            <v>15</v>
          </cell>
        </row>
        <row r="17">
          <cell r="C17">
            <v>16</v>
          </cell>
        </row>
        <row r="18">
          <cell r="C18">
            <v>17</v>
          </cell>
        </row>
        <row r="19">
          <cell r="C19">
            <v>18</v>
          </cell>
        </row>
        <row r="20">
          <cell r="C20">
            <v>19</v>
          </cell>
        </row>
        <row r="21">
          <cell r="C21">
            <v>20</v>
          </cell>
        </row>
        <row r="22">
          <cell r="C22">
            <v>21</v>
          </cell>
        </row>
        <row r="23">
          <cell r="C23">
            <v>22</v>
          </cell>
        </row>
        <row r="24">
          <cell r="C24">
            <v>23</v>
          </cell>
        </row>
        <row r="25">
          <cell r="C25">
            <v>24</v>
          </cell>
        </row>
        <row r="26">
          <cell r="C26">
            <v>25</v>
          </cell>
        </row>
        <row r="27">
          <cell r="C27">
            <v>26</v>
          </cell>
        </row>
        <row r="28">
          <cell r="C28">
            <v>27</v>
          </cell>
        </row>
        <row r="29">
          <cell r="C29">
            <v>28</v>
          </cell>
        </row>
        <row r="30">
          <cell r="C30">
            <v>29</v>
          </cell>
        </row>
        <row r="31">
          <cell r="C31">
            <v>30</v>
          </cell>
        </row>
      </sheetData>
      <sheetData sheetId="5"/>
      <sheetData sheetId="6"/>
      <sheetData sheetId="7">
        <row r="1">
          <cell r="E1" t="str">
            <v>HOJA RESUMEN N° 20</v>
          </cell>
        </row>
      </sheetData>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MD Áreas"/>
      <sheetName val="MD Datos"/>
      <sheetName val="2014"/>
      <sheetName val="AM Costos"/>
      <sheetName val="AM Terrenos"/>
      <sheetName val="AM Mercado"/>
      <sheetName val="RESUL VC"/>
      <sheetName val="HR-1"/>
      <sheetName val="HR-2"/>
      <sheetName val="HR-3 "/>
      <sheetName val="HR-4"/>
      <sheetName val="TABLA DEPRECIACION"/>
      <sheetName val="CAPITULO II - MC MER (2)"/>
      <sheetName val="CAPITULO II - MC MER (3)"/>
      <sheetName val="AM Mercado (Condominio)"/>
      <sheetName val="AM Rentas"/>
      <sheetName val="FOTOS I"/>
      <sheetName val="FOTOS II"/>
      <sheetName val="FOTOS III"/>
      <sheetName val="FOTOS IV"/>
      <sheetName val="PE"/>
      <sheetName val="PU"/>
      <sheetName val="LINDEROS"/>
      <sheetName val="Otros"/>
      <sheetName val="CROQUIS"/>
      <sheetName val="ZONIFICACION"/>
      <sheetName val="PRESUPUESTO"/>
      <sheetName val="terrenos - pantallazos muestras"/>
      <sheetName val="comparables - pantallazos muest"/>
      <sheetName val="Lista BCP"/>
    </sheetNames>
    <sheetDataSet>
      <sheetData sheetId="0">
        <row r="1">
          <cell r="A1" t="str">
            <v>LISTAS</v>
          </cell>
        </row>
      </sheetData>
      <sheetData sheetId="1">
        <row r="22">
          <cell r="S22">
            <v>100</v>
          </cell>
        </row>
      </sheetData>
      <sheetData sheetId="2">
        <row r="3">
          <cell r="Z3">
            <v>42768</v>
          </cell>
        </row>
      </sheetData>
      <sheetData sheetId="3">
        <row r="5">
          <cell r="M5" t="str">
            <v>Lima</v>
          </cell>
        </row>
      </sheetData>
      <sheetData sheetId="4">
        <row r="17">
          <cell r="X17">
            <v>0</v>
          </cell>
        </row>
      </sheetData>
      <sheetData sheetId="5">
        <row r="22">
          <cell r="X22">
            <v>0</v>
          </cell>
        </row>
      </sheetData>
      <sheetData sheetId="6">
        <row r="30">
          <cell r="Z30">
            <v>0</v>
          </cell>
        </row>
      </sheetData>
      <sheetData sheetId="7">
        <row r="16">
          <cell r="O16" t="str">
            <v>No considerado</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MD Áreas"/>
      <sheetName val="MD Datos"/>
      <sheetName val="2014"/>
      <sheetName val="AM Costos"/>
      <sheetName val="AM Terrenos"/>
      <sheetName val="AM Mercado"/>
      <sheetName val="RESUL VC"/>
      <sheetName val="HR-1"/>
      <sheetName val="HR-2"/>
      <sheetName val="HR-3 "/>
      <sheetName val="HR-4"/>
      <sheetName val="TABLA DEPRECIACION"/>
      <sheetName val="CAPITULO II - MC MER (2)"/>
      <sheetName val="CAPITULO II - MC MER (3)"/>
      <sheetName val="AM Mercado (Condominio)"/>
      <sheetName val="AM Rentas"/>
      <sheetName val="FOTOS I"/>
      <sheetName val="FOTOS II"/>
      <sheetName val="FOTOS III"/>
      <sheetName val="FOTOS IV"/>
      <sheetName val="PE"/>
      <sheetName val="PU"/>
      <sheetName val="LINDEROS"/>
      <sheetName val="Otros"/>
      <sheetName val="CROQUIS"/>
      <sheetName val="ZONIFICACION"/>
      <sheetName val="PRESUPUESTO"/>
      <sheetName val="terrenos - pantallazos muestras"/>
      <sheetName val="comparables - pantallazos muest"/>
      <sheetName val="Lista BCP"/>
      <sheetName val="COMPARACIÓN"/>
    </sheetNames>
    <sheetDataSet>
      <sheetData sheetId="0">
        <row r="1">
          <cell r="A1" t="str">
            <v>LISTAS</v>
          </cell>
        </row>
      </sheetData>
      <sheetData sheetId="1">
        <row r="22">
          <cell r="S22">
            <v>100</v>
          </cell>
        </row>
      </sheetData>
      <sheetData sheetId="2">
        <row r="3">
          <cell r="Z3">
            <v>42768</v>
          </cell>
        </row>
      </sheetData>
      <sheetData sheetId="3">
        <row r="5">
          <cell r="M5" t="str">
            <v>Lima</v>
          </cell>
        </row>
      </sheetData>
      <sheetData sheetId="4">
        <row r="17">
          <cell r="X17">
            <v>0</v>
          </cell>
        </row>
      </sheetData>
      <sheetData sheetId="5">
        <row r="22">
          <cell r="X22">
            <v>0</v>
          </cell>
        </row>
      </sheetData>
      <sheetData sheetId="6">
        <row r="30">
          <cell r="Z30">
            <v>0</v>
          </cell>
        </row>
      </sheetData>
      <sheetData sheetId="7">
        <row r="16">
          <cell r="O16" t="str">
            <v>No considerado</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MEMORIA Y VAL"/>
      <sheetName val="FOTOS"/>
    </sheetNames>
    <sheetDataSet>
      <sheetData sheetId="0"/>
      <sheetData sheetId="1">
        <row r="58">
          <cell r="J58">
            <v>3.43</v>
          </cell>
        </row>
        <row r="136">
          <cell r="AO136">
            <v>0</v>
          </cell>
        </row>
        <row r="305">
          <cell r="C305">
            <v>0</v>
          </cell>
          <cell r="N305">
            <v>0</v>
          </cell>
          <cell r="AA305">
            <v>1</v>
          </cell>
          <cell r="AO305">
            <v>0</v>
          </cell>
        </row>
        <row r="307">
          <cell r="C307">
            <v>0</v>
          </cell>
          <cell r="N307">
            <v>200</v>
          </cell>
          <cell r="AA307">
            <v>1</v>
          </cell>
          <cell r="AO307">
            <v>0</v>
          </cell>
        </row>
        <row r="311">
          <cell r="AO311">
            <v>0</v>
          </cell>
        </row>
        <row r="320">
          <cell r="AO320">
            <v>0</v>
          </cell>
        </row>
        <row r="330">
          <cell r="C330" t="str">
            <v xml:space="preserve">VALOR DE RECONSTRUCCION DEL ESTACIONAMIENTO Nº </v>
          </cell>
          <cell r="AO330">
            <v>0</v>
          </cell>
        </row>
        <row r="340">
          <cell r="AO340">
            <v>0</v>
          </cell>
        </row>
        <row r="356">
          <cell r="AO356">
            <v>0</v>
          </cell>
        </row>
        <row r="365">
          <cell r="AO365">
            <v>0</v>
          </cell>
        </row>
        <row r="366">
          <cell r="C366" t="str">
            <v xml:space="preserve">VALOR DEL ESTACIONAMIENTO Nº </v>
          </cell>
        </row>
        <row r="368">
          <cell r="AO368">
            <v>0</v>
          </cell>
        </row>
        <row r="369">
          <cell r="C369" t="str">
            <v>VALOR DEL DEPOSITO Nº</v>
          </cell>
        </row>
        <row r="371">
          <cell r="AO371">
            <v>0</v>
          </cell>
        </row>
      </sheetData>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Funcion-numeros-a-letra"/>
    </sheetNames>
    <definedNames>
      <definedName name="NumeLetras"/>
    </definedNames>
    <sheetDataSet>
      <sheetData sheetId="0"/>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sheetName val="HR-BIEN FUTURO"/>
      <sheetName val="HR-SOLUCIONES DE PAGO"/>
      <sheetName val="HR-COMÚN TERMINADO"/>
      <sheetName val="MEM. DESC. I"/>
      <sheetName val="MEM. DESC. II"/>
      <sheetName val="EST. MERCADO TERRENOS"/>
      <sheetName val="REPOSICIÓN"/>
      <sheetName val="CASO EN QUINTA (SI CORRESPONDE)"/>
      <sheetName val="COMPARACIÓN"/>
      <sheetName val="RESULTADOS"/>
      <sheetName val="ALQUILER"/>
      <sheetName val="Lista-Data"/>
      <sheetName val="DECLARACION JURADA"/>
      <sheetName val="ANEXO"/>
      <sheetName val="FOTOS I"/>
      <sheetName val="FOTOS II"/>
      <sheetName val="RRPP"/>
      <sheetName val="RRPP (2)"/>
      <sheetName val="RRPP (3)"/>
      <sheetName val="RRPP (4)"/>
      <sheetName val="RRPP (5)"/>
      <sheetName val="RRPP (6)"/>
      <sheetName val="MUNICIPIO"/>
      <sheetName val="MUNICIPIO (2)"/>
      <sheetName val="PLANO DE UBICACION"/>
      <sheetName val="PLANO DE ZONIFICACION"/>
      <sheetName val="SUSTENTO DE UBICACION"/>
      <sheetName val="V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AP7">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omments" Target="../comments3.xml"/><Relationship Id="rId4" Type="http://schemas.openxmlformats.org/officeDocument/2006/relationships/vmlDrawing" Target="../drawings/vmlDrawing8.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vmlDrawing" Target="../drawings/vmlDrawing10.v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omments" Target="../comments4.xml"/><Relationship Id="rId4" Type="http://schemas.openxmlformats.org/officeDocument/2006/relationships/vmlDrawing" Target="../drawings/vmlDrawing13.v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3.xml"/><Relationship Id="rId1" Type="http://schemas.openxmlformats.org/officeDocument/2006/relationships/printerSettings" Target="../printerSettings/printerSettings34.bin"/><Relationship Id="rId4" Type="http://schemas.openxmlformats.org/officeDocument/2006/relationships/comments" Target="../comments5.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20.v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3">
    <tabColor rgb="FF002060"/>
  </sheetPr>
  <dimension ref="A1:AE118"/>
  <sheetViews>
    <sheetView workbookViewId="0">
      <selection sqref="A1:AD1"/>
    </sheetView>
  </sheetViews>
  <sheetFormatPr baseColWidth="10" defaultColWidth="11.42578125" defaultRowHeight="16.5"/>
  <cols>
    <col min="1" max="28" width="5.140625" style="129" customWidth="1"/>
    <col min="29" max="29" width="5.85546875" style="129" customWidth="1"/>
    <col min="30" max="30" width="5.140625" style="129" customWidth="1"/>
    <col min="31" max="16384" width="11.42578125" style="129"/>
  </cols>
  <sheetData>
    <row r="1" spans="1:30" ht="20.25" customHeight="1">
      <c r="A1" s="729" t="s">
        <v>1008</v>
      </c>
      <c r="B1" s="729"/>
      <c r="C1" s="729"/>
      <c r="D1" s="729"/>
      <c r="E1" s="729"/>
      <c r="F1" s="729"/>
      <c r="G1" s="729"/>
      <c r="H1" s="729"/>
      <c r="I1" s="729"/>
      <c r="J1" s="729"/>
      <c r="K1" s="729"/>
      <c r="L1" s="729"/>
      <c r="M1" s="729"/>
      <c r="N1" s="729"/>
      <c r="O1" s="729"/>
      <c r="P1" s="729"/>
      <c r="Q1" s="729"/>
      <c r="R1" s="729"/>
      <c r="S1" s="729"/>
      <c r="T1" s="729"/>
      <c r="U1" s="729"/>
      <c r="V1" s="729"/>
      <c r="W1" s="729"/>
      <c r="X1" s="729"/>
      <c r="Y1" s="729"/>
      <c r="Z1" s="729"/>
      <c r="AA1" s="729"/>
      <c r="AB1" s="729"/>
      <c r="AC1" s="729"/>
      <c r="AD1" s="729"/>
    </row>
    <row r="2" spans="1:30" ht="20.25" customHeight="1">
      <c r="A2" s="729" t="s">
        <v>962</v>
      </c>
      <c r="B2" s="729"/>
      <c r="C2" s="729"/>
      <c r="D2" s="729"/>
      <c r="E2" s="729"/>
      <c r="F2" s="729"/>
      <c r="G2" s="729"/>
      <c r="H2" s="729"/>
      <c r="I2" s="729"/>
      <c r="J2" s="729"/>
      <c r="K2" s="729"/>
      <c r="L2" s="729"/>
      <c r="M2" s="729"/>
      <c r="N2" s="729"/>
      <c r="O2" s="729"/>
      <c r="P2" s="729"/>
      <c r="Q2" s="729"/>
      <c r="R2" s="729"/>
      <c r="S2" s="729"/>
      <c r="T2" s="729"/>
      <c r="U2" s="729"/>
      <c r="V2" s="729"/>
      <c r="W2" s="729"/>
      <c r="X2" s="729"/>
      <c r="Y2" s="729"/>
      <c r="Z2" s="729"/>
      <c r="AA2" s="729"/>
      <c r="AB2" s="729"/>
      <c r="AC2" s="729"/>
      <c r="AD2" s="729"/>
    </row>
    <row r="3" spans="1:30">
      <c r="A3" s="144"/>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30">
      <c r="A4" s="144"/>
      <c r="B4" s="3"/>
      <c r="C4" s="3"/>
      <c r="D4" s="3"/>
      <c r="E4" s="3"/>
      <c r="F4" s="3"/>
      <c r="G4" s="3"/>
      <c r="H4" s="3"/>
      <c r="I4" s="3"/>
      <c r="J4" s="3"/>
      <c r="K4" s="3"/>
      <c r="L4" s="3"/>
      <c r="M4" s="3"/>
      <c r="N4" s="3"/>
      <c r="O4" s="3"/>
      <c r="P4" s="3"/>
      <c r="Q4" s="3"/>
      <c r="R4" s="3"/>
      <c r="S4" s="3"/>
      <c r="T4" s="3"/>
      <c r="U4" s="3"/>
      <c r="V4" s="3"/>
      <c r="W4" s="3"/>
      <c r="X4" s="3"/>
      <c r="Y4" s="3"/>
      <c r="Z4" s="3"/>
      <c r="AA4" s="3"/>
      <c r="AB4" s="3"/>
      <c r="AC4" s="3"/>
      <c r="AD4" s="3"/>
    </row>
    <row r="5" spans="1:30">
      <c r="A5" s="14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30">
      <c r="A6" s="144"/>
      <c r="B6" s="4"/>
      <c r="C6" s="4"/>
      <c r="D6" s="4"/>
      <c r="E6" s="4"/>
      <c r="F6" s="4"/>
      <c r="G6" s="4"/>
      <c r="H6" s="4"/>
      <c r="I6" s="4"/>
      <c r="J6" s="5"/>
      <c r="K6" s="5"/>
      <c r="L6" s="5"/>
      <c r="M6" s="5"/>
      <c r="N6" s="5"/>
      <c r="O6" s="5"/>
      <c r="P6" s="5"/>
      <c r="Q6" s="5"/>
      <c r="R6" s="5"/>
      <c r="S6" s="5"/>
      <c r="T6" s="5"/>
      <c r="U6" s="5"/>
      <c r="V6" s="4"/>
      <c r="W6" s="4"/>
      <c r="X6" s="4"/>
      <c r="Y6" s="4"/>
      <c r="Z6" s="4"/>
      <c r="AA6" s="4"/>
      <c r="AB6" s="4"/>
      <c r="AC6" s="4"/>
      <c r="AD6" s="4"/>
    </row>
    <row r="7" spans="1:30">
      <c r="A7" s="144"/>
      <c r="B7" s="4"/>
      <c r="C7" s="4"/>
      <c r="D7" s="4"/>
      <c r="E7" s="4"/>
      <c r="F7" s="4"/>
      <c r="G7" s="4"/>
      <c r="H7" s="4"/>
      <c r="I7" s="4"/>
      <c r="J7" s="5"/>
      <c r="K7" s="5"/>
      <c r="L7" s="5"/>
      <c r="M7" s="5"/>
      <c r="N7" s="5"/>
      <c r="O7" s="5"/>
      <c r="P7" s="5"/>
      <c r="Q7" s="5"/>
      <c r="R7" s="5"/>
      <c r="S7" s="5"/>
      <c r="T7" s="5"/>
      <c r="U7" s="5"/>
      <c r="V7" s="4"/>
      <c r="W7" s="4"/>
      <c r="X7" s="4"/>
      <c r="Y7" s="4"/>
      <c r="Z7" s="4"/>
      <c r="AA7" s="4"/>
      <c r="AB7" s="4"/>
      <c r="AC7" s="4"/>
      <c r="AD7" s="4"/>
    </row>
    <row r="8" spans="1:30">
      <c r="A8" s="144"/>
      <c r="B8" s="4"/>
      <c r="C8" s="4"/>
      <c r="D8" s="4"/>
      <c r="E8" s="4"/>
      <c r="F8" s="4"/>
      <c r="G8" s="4"/>
      <c r="H8" s="4"/>
      <c r="I8" s="4"/>
      <c r="J8" s="5"/>
      <c r="K8" s="5"/>
      <c r="L8" s="5"/>
      <c r="M8" s="5"/>
      <c r="N8" s="5"/>
      <c r="O8" s="5"/>
      <c r="P8" s="5"/>
      <c r="Q8" s="5"/>
      <c r="R8" s="5"/>
      <c r="S8" s="5"/>
      <c r="T8" s="5"/>
      <c r="U8" s="5"/>
      <c r="V8" s="4"/>
      <c r="W8" s="4"/>
      <c r="X8" s="4"/>
      <c r="Y8" s="4"/>
      <c r="Z8" s="4"/>
      <c r="AA8" s="4"/>
      <c r="AB8" s="4"/>
      <c r="AC8" s="4"/>
      <c r="AD8" s="4"/>
    </row>
    <row r="9" spans="1:30">
      <c r="A9" s="144"/>
      <c r="B9" s="4"/>
      <c r="C9" s="4"/>
      <c r="D9" s="4"/>
      <c r="E9" s="4"/>
      <c r="F9" s="4"/>
      <c r="G9" s="4"/>
      <c r="H9" s="4"/>
      <c r="I9" s="4"/>
      <c r="J9" s="5"/>
      <c r="K9" s="5"/>
      <c r="L9" s="5"/>
      <c r="M9" s="5"/>
      <c r="N9" s="5"/>
      <c r="O9" s="5"/>
      <c r="P9" s="5"/>
      <c r="Q9" s="5"/>
      <c r="R9" s="5"/>
      <c r="S9" s="5"/>
      <c r="T9" s="5"/>
      <c r="U9" s="5"/>
      <c r="V9" s="4"/>
      <c r="W9" s="4"/>
      <c r="X9" s="4"/>
      <c r="Y9" s="4"/>
      <c r="Z9" s="4"/>
      <c r="AA9" s="4"/>
      <c r="AB9" s="4"/>
      <c r="AC9" s="4"/>
      <c r="AD9" s="4"/>
    </row>
    <row r="10" spans="1:30">
      <c r="A10" s="144"/>
      <c r="B10" s="4"/>
      <c r="C10" s="4"/>
      <c r="D10" s="4"/>
      <c r="E10" s="4"/>
      <c r="F10" s="4"/>
      <c r="G10" s="4"/>
      <c r="H10" s="4"/>
      <c r="I10" s="4"/>
      <c r="J10" s="5"/>
      <c r="K10" s="5"/>
      <c r="L10" s="5"/>
      <c r="M10" s="5"/>
      <c r="N10" s="5"/>
      <c r="O10" s="5"/>
      <c r="P10" s="5"/>
      <c r="Q10" s="5"/>
      <c r="R10" s="5"/>
      <c r="S10" s="5"/>
      <c r="T10" s="5"/>
      <c r="U10" s="5"/>
      <c r="V10" s="4"/>
      <c r="W10" s="4"/>
      <c r="X10" s="4"/>
      <c r="Y10" s="4"/>
      <c r="Z10" s="4"/>
      <c r="AA10" s="4"/>
      <c r="AB10" s="4"/>
      <c r="AC10" s="4"/>
      <c r="AD10" s="4"/>
    </row>
    <row r="11" spans="1:30">
      <c r="A11" s="144"/>
      <c r="B11" s="4"/>
      <c r="C11" s="4"/>
      <c r="D11" s="4"/>
      <c r="E11" s="4"/>
      <c r="F11" s="4"/>
      <c r="G11" s="4"/>
      <c r="H11" s="4"/>
      <c r="I11" s="4"/>
      <c r="J11" s="5"/>
      <c r="K11" s="5"/>
      <c r="L11" s="5"/>
      <c r="M11" s="5"/>
      <c r="N11" s="5"/>
      <c r="O11" s="5"/>
      <c r="P11" s="5"/>
      <c r="Q11" s="5"/>
      <c r="R11" s="5"/>
      <c r="S11" s="5"/>
      <c r="T11" s="5"/>
      <c r="U11" s="5"/>
      <c r="V11" s="4"/>
      <c r="W11" s="4"/>
      <c r="X11" s="4"/>
      <c r="Y11" s="4"/>
      <c r="Z11" s="4"/>
      <c r="AA11" s="4"/>
      <c r="AB11" s="4"/>
      <c r="AC11" s="4"/>
      <c r="AD11" s="4"/>
    </row>
    <row r="12" spans="1:30">
      <c r="A12" s="144"/>
      <c r="B12" s="4"/>
      <c r="C12" s="4"/>
      <c r="D12" s="4"/>
      <c r="E12" s="4"/>
      <c r="F12" s="4"/>
      <c r="G12" s="4"/>
      <c r="H12" s="4"/>
      <c r="I12" s="4"/>
      <c r="J12" s="5"/>
      <c r="K12" s="5"/>
      <c r="L12" s="5"/>
      <c r="M12" s="5"/>
      <c r="N12" s="5"/>
      <c r="O12" s="5"/>
      <c r="P12" s="5"/>
      <c r="Q12" s="5"/>
      <c r="R12" s="5"/>
      <c r="S12" s="5"/>
      <c r="T12" s="5"/>
      <c r="U12" s="5"/>
      <c r="V12" s="4"/>
      <c r="W12" s="4"/>
      <c r="X12" s="4"/>
      <c r="Y12" s="4"/>
      <c r="Z12" s="4"/>
      <c r="AA12" s="4"/>
      <c r="AB12" s="4"/>
      <c r="AC12" s="4"/>
      <c r="AD12" s="4"/>
    </row>
    <row r="13" spans="1:30">
      <c r="A13" s="144"/>
      <c r="B13" s="4"/>
      <c r="C13" s="4"/>
      <c r="D13" s="4"/>
      <c r="E13" s="4"/>
      <c r="F13" s="4"/>
      <c r="G13" s="4"/>
      <c r="H13" s="4"/>
      <c r="I13" s="4"/>
      <c r="J13" s="5"/>
      <c r="K13" s="5"/>
      <c r="L13" s="5"/>
      <c r="M13" s="5"/>
      <c r="N13" s="5"/>
      <c r="O13" s="5"/>
      <c r="P13" s="5"/>
      <c r="Q13" s="5"/>
      <c r="R13" s="5"/>
      <c r="S13" s="5"/>
      <c r="T13" s="5"/>
      <c r="U13" s="5"/>
      <c r="V13" s="4"/>
      <c r="W13" s="4"/>
      <c r="X13" s="4"/>
      <c r="Y13" s="4"/>
      <c r="Z13" s="4"/>
      <c r="AA13" s="4"/>
      <c r="AB13" s="4"/>
      <c r="AC13" s="4"/>
      <c r="AD13" s="4"/>
    </row>
    <row r="14" spans="1:30">
      <c r="A14" s="144"/>
      <c r="B14" s="4"/>
      <c r="C14" s="4"/>
      <c r="D14" s="4"/>
      <c r="E14" s="4"/>
      <c r="F14" s="4"/>
      <c r="G14" s="4"/>
      <c r="H14" s="4"/>
      <c r="I14" s="4"/>
      <c r="J14" s="5"/>
      <c r="K14" s="5"/>
      <c r="L14" s="5"/>
      <c r="M14" s="5"/>
      <c r="N14" s="5"/>
      <c r="O14" s="5"/>
      <c r="P14" s="5"/>
      <c r="Q14" s="5"/>
      <c r="R14" s="5"/>
      <c r="S14" s="5"/>
      <c r="T14" s="5"/>
      <c r="U14" s="5"/>
      <c r="V14" s="4"/>
      <c r="W14" s="4"/>
      <c r="X14" s="4"/>
      <c r="Y14" s="4"/>
      <c r="Z14" s="4"/>
      <c r="AA14" s="4"/>
      <c r="AB14" s="4"/>
      <c r="AC14" s="4"/>
      <c r="AD14" s="4"/>
    </row>
    <row r="15" spans="1:30">
      <c r="A15" s="144"/>
      <c r="B15" s="4"/>
      <c r="C15" s="4"/>
      <c r="D15" s="4"/>
      <c r="E15" s="4"/>
      <c r="F15" s="4"/>
      <c r="G15" s="4"/>
      <c r="H15" s="4"/>
      <c r="I15" s="4"/>
      <c r="J15" s="5"/>
      <c r="K15" s="5"/>
      <c r="L15" s="5"/>
      <c r="M15" s="5"/>
      <c r="N15" s="5"/>
      <c r="O15" s="5"/>
      <c r="P15" s="5"/>
      <c r="Q15" s="5"/>
      <c r="R15" s="5"/>
      <c r="S15" s="5"/>
      <c r="T15" s="5"/>
      <c r="U15" s="5"/>
      <c r="V15" s="4"/>
      <c r="W15" s="4"/>
      <c r="X15" s="4"/>
      <c r="Y15" s="4"/>
      <c r="Z15" s="4"/>
      <c r="AA15" s="4"/>
      <c r="AB15" s="4"/>
      <c r="AC15" s="4"/>
      <c r="AD15" s="4"/>
    </row>
    <row r="16" spans="1:30">
      <c r="A16" s="144"/>
      <c r="B16" s="4"/>
      <c r="C16" s="4"/>
      <c r="D16" s="4"/>
      <c r="E16" s="4"/>
      <c r="F16" s="4"/>
      <c r="G16" s="4"/>
      <c r="H16" s="4"/>
      <c r="I16" s="4"/>
      <c r="J16" s="5"/>
      <c r="K16" s="5"/>
      <c r="L16" s="5"/>
      <c r="M16" s="5"/>
      <c r="N16" s="5"/>
      <c r="O16" s="5"/>
      <c r="P16" s="5"/>
      <c r="Q16" s="5"/>
      <c r="R16" s="5"/>
      <c r="S16" s="5"/>
      <c r="T16" s="5"/>
      <c r="U16" s="5"/>
      <c r="V16" s="4"/>
      <c r="W16" s="4"/>
      <c r="X16" s="4"/>
      <c r="Y16" s="4"/>
      <c r="Z16" s="4"/>
      <c r="AA16" s="4"/>
      <c r="AB16" s="4"/>
      <c r="AC16" s="4"/>
      <c r="AD16" s="4"/>
    </row>
    <row r="17" spans="1:30">
      <c r="A17" s="144"/>
      <c r="B17" s="4"/>
      <c r="C17" s="4"/>
      <c r="D17" s="4"/>
      <c r="E17" s="4"/>
      <c r="F17" s="4"/>
      <c r="G17" s="762" t="s">
        <v>963</v>
      </c>
      <c r="H17" s="762"/>
      <c r="I17" s="762"/>
      <c r="J17" s="762"/>
      <c r="K17" s="762"/>
      <c r="L17" s="762"/>
      <c r="M17" s="5"/>
      <c r="N17" s="5"/>
      <c r="O17" s="5"/>
      <c r="P17" s="5"/>
      <c r="Q17" s="5"/>
      <c r="R17" s="5"/>
      <c r="S17" s="762" t="s">
        <v>53</v>
      </c>
      <c r="T17" s="762"/>
      <c r="U17" s="762"/>
      <c r="V17" s="762"/>
      <c r="W17" s="762"/>
      <c r="X17" s="762"/>
      <c r="Y17" s="762"/>
      <c r="Z17" s="762"/>
      <c r="AA17" s="4"/>
      <c r="AB17" s="4"/>
      <c r="AC17" s="4"/>
      <c r="AD17" s="4"/>
    </row>
    <row r="18" spans="1:30">
      <c r="A18" s="144"/>
      <c r="B18" s="152" t="s">
        <v>761</v>
      </c>
      <c r="C18" s="130"/>
      <c r="D18" s="131"/>
      <c r="E18" s="131"/>
      <c r="F18" s="131"/>
      <c r="G18" s="131"/>
      <c r="H18" s="131"/>
      <c r="I18" s="131"/>
      <c r="J18" s="131"/>
      <c r="K18" s="131"/>
      <c r="L18" s="131"/>
      <c r="M18" s="131"/>
      <c r="N18" s="131"/>
      <c r="O18" s="131"/>
      <c r="P18" s="131"/>
      <c r="Q18" s="131"/>
      <c r="R18" s="131"/>
      <c r="S18" s="148"/>
      <c r="T18" s="148"/>
      <c r="U18" s="148"/>
      <c r="V18" s="148"/>
      <c r="W18" s="148"/>
      <c r="X18" s="148"/>
      <c r="Y18" s="148"/>
      <c r="Z18" s="148"/>
      <c r="AA18" s="4"/>
      <c r="AB18" s="4"/>
      <c r="AC18" s="4"/>
      <c r="AD18" s="4"/>
    </row>
    <row r="19" spans="1:30" ht="5.0999999999999996" customHeight="1">
      <c r="A19" s="144"/>
      <c r="B19" s="131"/>
      <c r="C19" s="131"/>
      <c r="D19" s="131"/>
      <c r="E19" s="131"/>
      <c r="F19" s="131"/>
      <c r="G19" s="131"/>
      <c r="H19" s="131"/>
      <c r="I19" s="131"/>
      <c r="J19" s="131"/>
      <c r="K19" s="131"/>
      <c r="L19" s="131"/>
      <c r="M19" s="131"/>
      <c r="N19" s="131"/>
      <c r="O19" s="131"/>
      <c r="P19" s="131"/>
      <c r="Q19" s="131"/>
      <c r="R19" s="131"/>
      <c r="S19" s="148"/>
      <c r="T19" s="148"/>
      <c r="U19" s="148"/>
      <c r="V19" s="148"/>
      <c r="W19" s="148"/>
      <c r="X19" s="148"/>
      <c r="Y19" s="148"/>
      <c r="Z19" s="148"/>
      <c r="AA19" s="4"/>
      <c r="AB19" s="4"/>
      <c r="AC19" s="4"/>
      <c r="AD19" s="4"/>
    </row>
    <row r="20" spans="1:30">
      <c r="A20" s="144"/>
      <c r="B20" s="730" t="s">
        <v>762</v>
      </c>
      <c r="C20" s="730"/>
      <c r="D20" s="730"/>
      <c r="E20" s="730"/>
      <c r="F20" s="748">
        <f>+'MEM. DESC. I'!J42</f>
        <v>0</v>
      </c>
      <c r="G20" s="749"/>
      <c r="H20" s="749"/>
      <c r="I20" s="749"/>
      <c r="J20" s="749"/>
      <c r="K20" s="749"/>
      <c r="L20" s="749"/>
      <c r="M20" s="749"/>
      <c r="N20" s="749"/>
      <c r="O20" s="749"/>
      <c r="P20" s="749"/>
      <c r="Q20" s="749"/>
      <c r="R20" s="750"/>
      <c r="T20" s="148"/>
      <c r="U20" s="135" t="s">
        <v>763</v>
      </c>
      <c r="V20" s="135"/>
      <c r="W20" s="54"/>
      <c r="X20" s="754"/>
      <c r="Y20" s="755"/>
      <c r="Z20" s="755"/>
      <c r="AA20" s="755"/>
      <c r="AB20" s="755"/>
      <c r="AC20" s="756"/>
      <c r="AD20" s="4"/>
    </row>
    <row r="21" spans="1:30" ht="5.0999999999999996" customHeight="1">
      <c r="A21" s="144"/>
      <c r="B21" s="145"/>
      <c r="C21" s="131"/>
      <c r="D21" s="131"/>
      <c r="E21" s="131"/>
      <c r="F21" s="131"/>
      <c r="G21" s="131"/>
      <c r="H21" s="131"/>
      <c r="I21" s="131"/>
      <c r="J21" s="131"/>
      <c r="K21" s="131"/>
      <c r="L21" s="131"/>
      <c r="M21" s="132"/>
      <c r="N21" s="131"/>
      <c r="O21" s="131"/>
      <c r="P21" s="131"/>
      <c r="Q21" s="131"/>
      <c r="R21" s="131"/>
      <c r="S21" s="148"/>
      <c r="T21" s="148"/>
      <c r="U21" s="148"/>
      <c r="V21" s="148"/>
      <c r="W21" s="148"/>
      <c r="X21" s="148"/>
      <c r="Y21" s="148"/>
      <c r="Z21" s="148"/>
      <c r="AA21" s="4"/>
      <c r="AB21" s="4"/>
      <c r="AC21" s="4"/>
      <c r="AD21" s="4"/>
    </row>
    <row r="22" spans="1:30">
      <c r="A22" s="144"/>
      <c r="B22" s="730" t="s">
        <v>764</v>
      </c>
      <c r="C22" s="730"/>
      <c r="D22" s="730"/>
      <c r="E22" s="730"/>
      <c r="F22" s="606"/>
      <c r="G22" s="608"/>
      <c r="H22" s="132"/>
      <c r="I22" s="606"/>
      <c r="J22" s="607"/>
      <c r="K22" s="607"/>
      <c r="L22" s="608"/>
      <c r="M22" s="141" t="s">
        <v>967</v>
      </c>
      <c r="N22" s="132"/>
      <c r="O22" s="131"/>
      <c r="P22" s="131"/>
      <c r="Q22" s="131"/>
      <c r="R22" s="131"/>
      <c r="S22" s="148"/>
      <c r="T22" s="148"/>
      <c r="U22" s="141" t="s">
        <v>968</v>
      </c>
      <c r="V22" s="148"/>
      <c r="W22" s="148"/>
      <c r="X22" s="148"/>
      <c r="Y22" s="148"/>
      <c r="Z22" s="148"/>
      <c r="AA22" s="4"/>
      <c r="AB22" s="4"/>
      <c r="AC22" s="4"/>
      <c r="AD22" s="4"/>
    </row>
    <row r="23" spans="1:30" ht="5.0999999999999996" customHeight="1">
      <c r="A23" s="144"/>
      <c r="B23" s="145"/>
      <c r="C23" s="131"/>
      <c r="D23" s="131"/>
      <c r="E23" s="131"/>
      <c r="F23" s="131"/>
      <c r="G23" s="131"/>
      <c r="H23" s="131"/>
      <c r="I23" s="131"/>
      <c r="J23" s="131"/>
      <c r="K23" s="131"/>
      <c r="L23" s="131"/>
      <c r="M23" s="131"/>
      <c r="N23" s="131"/>
      <c r="O23" s="131"/>
      <c r="P23" s="131"/>
      <c r="Q23" s="131"/>
      <c r="R23" s="131"/>
      <c r="S23" s="148"/>
      <c r="T23" s="148"/>
      <c r="U23" s="148"/>
      <c r="V23" s="148"/>
      <c r="W23" s="148"/>
      <c r="X23" s="148"/>
      <c r="Y23" s="148"/>
      <c r="Z23" s="148"/>
      <c r="AA23" s="4"/>
      <c r="AB23" s="4"/>
      <c r="AC23" s="4"/>
      <c r="AD23" s="4"/>
    </row>
    <row r="24" spans="1:30">
      <c r="A24" s="144"/>
      <c r="B24" s="730" t="s">
        <v>765</v>
      </c>
      <c r="C24" s="730"/>
      <c r="D24" s="730"/>
      <c r="E24" s="742"/>
      <c r="F24" s="748">
        <f>+'MEM. DESC. I'!J44</f>
        <v>0</v>
      </c>
      <c r="G24" s="749"/>
      <c r="H24" s="749"/>
      <c r="I24" s="749"/>
      <c r="J24" s="749"/>
      <c r="K24" s="749"/>
      <c r="L24" s="749"/>
      <c r="M24" s="749"/>
      <c r="N24" s="749"/>
      <c r="O24" s="749"/>
      <c r="P24" s="749"/>
      <c r="Q24" s="749"/>
      <c r="R24" s="750"/>
      <c r="S24" s="148"/>
      <c r="T24" s="148"/>
      <c r="U24" s="148"/>
      <c r="V24" s="148"/>
      <c r="W24" s="148"/>
      <c r="X24" s="148"/>
      <c r="Y24" s="148"/>
      <c r="Z24" s="148"/>
      <c r="AA24" s="4"/>
      <c r="AB24" s="4"/>
      <c r="AC24" s="4"/>
      <c r="AD24" s="4"/>
    </row>
    <row r="25" spans="1:30" ht="5.0999999999999996" customHeight="1">
      <c r="A25" s="144"/>
      <c r="B25" s="145"/>
      <c r="C25" s="131"/>
      <c r="D25" s="131"/>
      <c r="E25" s="131"/>
      <c r="F25" s="131"/>
      <c r="G25" s="131"/>
      <c r="H25" s="131"/>
      <c r="I25" s="131"/>
      <c r="J25" s="131"/>
      <c r="K25" s="131"/>
      <c r="L25" s="131"/>
      <c r="M25" s="131"/>
      <c r="N25" s="131"/>
      <c r="O25" s="131"/>
      <c r="P25" s="131"/>
      <c r="Q25" s="131"/>
      <c r="R25" s="131"/>
      <c r="S25" s="148"/>
      <c r="T25" s="148"/>
      <c r="U25" s="148"/>
      <c r="V25" s="148"/>
      <c r="W25" s="148"/>
      <c r="X25" s="148"/>
      <c r="Y25" s="148"/>
      <c r="Z25" s="148"/>
      <c r="AA25" s="4"/>
      <c r="AB25" s="4"/>
      <c r="AC25" s="4"/>
      <c r="AD25" s="4"/>
    </row>
    <row r="26" spans="1:30">
      <c r="A26" s="144"/>
      <c r="B26" s="730" t="s">
        <v>1020</v>
      </c>
      <c r="C26" s="730"/>
      <c r="D26" s="730"/>
      <c r="E26" s="730"/>
      <c r="F26" s="731"/>
      <c r="G26" s="732"/>
      <c r="H26" s="733"/>
      <c r="I26" s="132"/>
      <c r="J26" s="730" t="s">
        <v>54</v>
      </c>
      <c r="K26" s="730"/>
      <c r="L26" s="730"/>
      <c r="M26" s="730"/>
      <c r="N26" s="731" t="s">
        <v>378</v>
      </c>
      <c r="O26" s="732"/>
      <c r="P26" s="733"/>
      <c r="Q26" s="131"/>
      <c r="R26" s="131"/>
      <c r="S26" s="148"/>
      <c r="T26" s="148"/>
      <c r="U26" s="148"/>
      <c r="V26" s="148"/>
      <c r="W26" s="148"/>
      <c r="X26" s="148"/>
      <c r="Y26" s="148"/>
      <c r="Z26" s="148"/>
      <c r="AA26" s="4"/>
      <c r="AB26" s="4"/>
      <c r="AC26" s="4"/>
      <c r="AD26" s="4"/>
    </row>
    <row r="27" spans="1:30" ht="5.0999999999999996" customHeight="1">
      <c r="A27" s="144"/>
      <c r="B27" s="131"/>
      <c r="C27" s="131"/>
      <c r="D27" s="131"/>
      <c r="E27" s="131"/>
      <c r="F27" s="131"/>
      <c r="G27" s="131"/>
      <c r="H27" s="131"/>
      <c r="I27" s="131"/>
      <c r="J27" s="131"/>
      <c r="K27" s="131"/>
      <c r="L27" s="131"/>
      <c r="M27" s="131"/>
      <c r="N27" s="131"/>
      <c r="O27" s="131"/>
      <c r="P27" s="131"/>
      <c r="Q27" s="131"/>
      <c r="R27" s="131"/>
      <c r="S27" s="148"/>
      <c r="T27" s="148"/>
      <c r="U27" s="148"/>
      <c r="V27" s="148"/>
      <c r="W27" s="148"/>
      <c r="X27" s="148"/>
      <c r="Y27" s="148"/>
      <c r="Z27" s="148"/>
      <c r="AA27" s="4"/>
      <c r="AB27" s="4"/>
      <c r="AC27" s="4"/>
      <c r="AD27" s="4"/>
    </row>
    <row r="28" spans="1:30">
      <c r="A28" s="144"/>
      <c r="B28" s="152" t="s">
        <v>766</v>
      </c>
      <c r="C28" s="130"/>
      <c r="D28" s="131"/>
      <c r="E28" s="131"/>
      <c r="F28" s="131"/>
      <c r="G28" s="131"/>
      <c r="H28" s="131"/>
      <c r="I28" s="131"/>
      <c r="J28" s="131"/>
      <c r="K28" s="131"/>
      <c r="L28" s="131"/>
      <c r="M28" s="131"/>
      <c r="N28" s="131"/>
      <c r="O28" s="131"/>
      <c r="P28" s="131"/>
      <c r="Q28" s="131"/>
      <c r="R28" s="131"/>
      <c r="S28" s="148"/>
      <c r="T28" s="148"/>
      <c r="U28" s="148"/>
      <c r="V28" s="148"/>
      <c r="W28" s="148"/>
      <c r="X28" s="148"/>
      <c r="Y28" s="148"/>
      <c r="Z28" s="148"/>
      <c r="AA28" s="4"/>
      <c r="AB28" s="4"/>
      <c r="AC28" s="4"/>
      <c r="AD28" s="4"/>
    </row>
    <row r="29" spans="1:30" ht="5.0999999999999996" customHeight="1">
      <c r="A29" s="144"/>
      <c r="B29" s="131"/>
      <c r="C29" s="131"/>
      <c r="D29" s="131"/>
      <c r="E29" s="131"/>
      <c r="F29" s="131"/>
      <c r="G29" s="131"/>
      <c r="H29" s="131"/>
      <c r="I29" s="131"/>
      <c r="J29" s="131"/>
      <c r="K29" s="131"/>
      <c r="L29" s="131"/>
      <c r="M29" s="131"/>
      <c r="N29" s="131"/>
      <c r="O29" s="131"/>
      <c r="P29" s="131"/>
      <c r="Q29" s="131"/>
      <c r="R29" s="131"/>
      <c r="S29" s="148"/>
      <c r="T29" s="148"/>
      <c r="U29" s="148"/>
      <c r="V29" s="148"/>
      <c r="W29" s="148"/>
      <c r="X29" s="148"/>
      <c r="Y29" s="148"/>
      <c r="Z29" s="148"/>
      <c r="AA29" s="4"/>
      <c r="AB29" s="4"/>
      <c r="AC29" s="4"/>
      <c r="AD29" s="4"/>
    </row>
    <row r="30" spans="1:30" ht="30" customHeight="1">
      <c r="A30" s="144"/>
      <c r="B30" s="135" t="s">
        <v>55</v>
      </c>
      <c r="C30" s="135"/>
      <c r="D30" s="135"/>
      <c r="E30" s="131"/>
      <c r="F30" s="748">
        <f>'MEM. DESC. I'!J48</f>
        <v>0</v>
      </c>
      <c r="G30" s="749"/>
      <c r="H30" s="749"/>
      <c r="I30" s="749"/>
      <c r="J30" s="749"/>
      <c r="K30" s="749"/>
      <c r="L30" s="749"/>
      <c r="M30" s="749"/>
      <c r="N30" s="749"/>
      <c r="O30" s="749"/>
      <c r="P30" s="749"/>
      <c r="Q30" s="749"/>
      <c r="R30" s="749"/>
      <c r="S30" s="749"/>
      <c r="T30" s="749"/>
      <c r="U30" s="749"/>
      <c r="V30" s="749"/>
      <c r="W30" s="749"/>
      <c r="X30" s="749"/>
      <c r="Y30" s="749"/>
      <c r="Z30" s="749"/>
      <c r="AA30" s="749"/>
      <c r="AB30" s="749"/>
      <c r="AC30" s="750"/>
      <c r="AD30" s="4"/>
    </row>
    <row r="31" spans="1:30" ht="5.0999999999999996" customHeight="1">
      <c r="A31" s="144"/>
      <c r="B31" s="135"/>
      <c r="C31" s="135"/>
      <c r="D31" s="135"/>
      <c r="E31" s="131"/>
      <c r="F31" s="188"/>
      <c r="G31" s="188"/>
      <c r="H31" s="188"/>
      <c r="I31" s="188"/>
      <c r="J31" s="188"/>
      <c r="K31" s="188"/>
      <c r="L31" s="188"/>
      <c r="M31" s="188"/>
      <c r="N31" s="188"/>
      <c r="O31" s="188"/>
      <c r="P31" s="188"/>
      <c r="Q31" s="188"/>
      <c r="R31" s="188"/>
      <c r="S31" s="188"/>
      <c r="T31" s="188"/>
      <c r="U31" s="188"/>
      <c r="V31" s="188"/>
      <c r="W31" s="188"/>
      <c r="X31" s="188"/>
      <c r="Y31" s="188"/>
      <c r="Z31" s="188"/>
      <c r="AA31" s="188"/>
      <c r="AB31" s="188"/>
      <c r="AC31" s="188"/>
      <c r="AD31" s="4"/>
    </row>
    <row r="32" spans="1:30">
      <c r="A32" s="144"/>
      <c r="B32" s="135" t="s">
        <v>1031</v>
      </c>
      <c r="C32" s="135"/>
      <c r="D32" s="135"/>
      <c r="E32" s="131"/>
      <c r="F32" s="748"/>
      <c r="G32" s="749"/>
      <c r="H32" s="749"/>
      <c r="I32" s="749"/>
      <c r="J32" s="750"/>
      <c r="K32" s="188"/>
      <c r="L32" s="135" t="s">
        <v>1032</v>
      </c>
      <c r="M32" s="188"/>
      <c r="N32" s="188"/>
      <c r="O32" s="748"/>
      <c r="P32" s="749"/>
      <c r="Q32" s="749"/>
      <c r="R32" s="749"/>
      <c r="S32" s="750"/>
      <c r="T32" s="188"/>
      <c r="U32" s="186" t="s">
        <v>435</v>
      </c>
      <c r="V32" s="188"/>
      <c r="W32" s="188"/>
      <c r="X32" s="188"/>
      <c r="Y32" s="757"/>
      <c r="Z32" s="758"/>
      <c r="AA32" s="758"/>
      <c r="AB32" s="758"/>
      <c r="AC32" s="759"/>
      <c r="AD32" s="4"/>
    </row>
    <row r="33" spans="1:30" ht="5.0999999999999996" customHeight="1">
      <c r="A33" s="144"/>
      <c r="B33" s="145"/>
      <c r="C33" s="145"/>
      <c r="D33" s="145"/>
      <c r="E33" s="131"/>
      <c r="F33" s="131"/>
      <c r="G33" s="131"/>
      <c r="H33" s="131"/>
      <c r="I33" s="131"/>
      <c r="J33" s="131"/>
      <c r="K33" s="131"/>
      <c r="L33" s="131"/>
      <c r="M33" s="131"/>
      <c r="N33" s="131"/>
      <c r="O33" s="131"/>
      <c r="P33" s="131"/>
      <c r="Q33" s="131"/>
      <c r="R33" s="131"/>
      <c r="S33" s="148"/>
      <c r="T33" s="148"/>
      <c r="U33" s="148"/>
      <c r="V33" s="148"/>
      <c r="W33" s="148"/>
      <c r="X33" s="148"/>
      <c r="Y33" s="148"/>
      <c r="Z33" s="148"/>
      <c r="AA33" s="4"/>
      <c r="AB33" s="4"/>
      <c r="AC33" s="4"/>
      <c r="AD33" s="4"/>
    </row>
    <row r="34" spans="1:30">
      <c r="A34" s="144"/>
      <c r="B34" s="679" t="s">
        <v>791</v>
      </c>
      <c r="C34" s="679"/>
      <c r="D34" s="679"/>
      <c r="E34" s="679"/>
      <c r="F34" s="137" t="s">
        <v>795</v>
      </c>
      <c r="G34" s="138"/>
      <c r="H34" s="754"/>
      <c r="I34" s="755"/>
      <c r="J34" s="756"/>
      <c r="L34" s="139" t="s">
        <v>796</v>
      </c>
      <c r="M34" s="140"/>
      <c r="N34" s="149"/>
      <c r="O34" s="751"/>
      <c r="P34" s="752"/>
      <c r="Q34" s="753"/>
      <c r="R34" s="33" t="s">
        <v>798</v>
      </c>
      <c r="T34" s="136"/>
      <c r="U34" s="136"/>
      <c r="V34" s="136"/>
      <c r="W34" s="4"/>
      <c r="Y34" s="4"/>
      <c r="Z34" s="33"/>
      <c r="AA34" s="26"/>
      <c r="AB34" s="26"/>
      <c r="AC34" s="4"/>
      <c r="AD34" s="4"/>
    </row>
    <row r="35" spans="1:30" ht="5.0999999999999996" customHeight="1">
      <c r="A35" s="144"/>
      <c r="B35" s="146"/>
      <c r="C35" s="146"/>
      <c r="D35" s="146"/>
      <c r="E35" s="146"/>
      <c r="F35" s="34"/>
      <c r="G35" s="34"/>
      <c r="H35" s="34"/>
      <c r="I35" s="34"/>
      <c r="J35" s="54"/>
      <c r="K35" s="54"/>
      <c r="L35" s="54"/>
      <c r="M35" s="136"/>
      <c r="N35" s="136"/>
      <c r="O35" s="136"/>
      <c r="P35" s="4"/>
      <c r="Q35" s="42"/>
      <c r="R35" s="42"/>
      <c r="S35" s="42"/>
      <c r="T35" s="136"/>
      <c r="U35" s="136"/>
      <c r="V35" s="136"/>
      <c r="W35" s="4"/>
      <c r="X35" s="33"/>
      <c r="Y35" s="4"/>
      <c r="Z35" s="33"/>
      <c r="AA35" s="26"/>
      <c r="AB35" s="26"/>
      <c r="AC35" s="4"/>
      <c r="AD35" s="4"/>
    </row>
    <row r="36" spans="1:30">
      <c r="A36" s="144"/>
      <c r="B36" s="746" t="s">
        <v>277</v>
      </c>
      <c r="C36" s="746"/>
      <c r="D36" s="746"/>
      <c r="E36" s="746"/>
      <c r="F36" s="743"/>
      <c r="G36" s="744"/>
      <c r="H36" s="744"/>
      <c r="I36" s="745"/>
      <c r="K36" s="679" t="s">
        <v>971</v>
      </c>
      <c r="L36" s="679"/>
      <c r="M36" s="679"/>
      <c r="N36" s="679"/>
      <c r="O36" s="743"/>
      <c r="P36" s="744"/>
      <c r="Q36" s="744"/>
      <c r="R36" s="745"/>
      <c r="S36" s="42"/>
      <c r="T36" s="136"/>
      <c r="U36" s="136"/>
      <c r="V36" s="136"/>
      <c r="W36" s="4"/>
      <c r="X36" s="33"/>
      <c r="Y36" s="4"/>
      <c r="Z36" s="33"/>
      <c r="AA36" s="26"/>
      <c r="AB36" s="26"/>
      <c r="AC36" s="4"/>
      <c r="AD36" s="4"/>
    </row>
    <row r="37" spans="1:30" ht="5.0999999999999996" customHeight="1">
      <c r="A37" s="144"/>
      <c r="B37" s="145"/>
      <c r="C37" s="145"/>
      <c r="D37" s="145"/>
      <c r="E37" s="131"/>
      <c r="F37" s="131"/>
      <c r="G37" s="131"/>
      <c r="H37" s="131"/>
      <c r="I37" s="131"/>
      <c r="J37" s="131"/>
      <c r="K37" s="131"/>
      <c r="L37" s="131"/>
      <c r="M37" s="131"/>
      <c r="N37" s="131"/>
      <c r="O37" s="131"/>
      <c r="P37" s="131"/>
      <c r="Q37" s="131"/>
      <c r="R37" s="131"/>
      <c r="S37" s="148"/>
      <c r="T37" s="148"/>
      <c r="U37" s="148"/>
      <c r="V37" s="148"/>
      <c r="W37" s="148"/>
      <c r="X37" s="148"/>
      <c r="Y37" s="148"/>
      <c r="Z37" s="148"/>
      <c r="AA37" s="4"/>
      <c r="AB37" s="4"/>
      <c r="AC37" s="4"/>
      <c r="AD37" s="4"/>
    </row>
    <row r="38" spans="1:30" ht="5.0999999999999996" customHeight="1">
      <c r="A38" s="144"/>
      <c r="B38" s="145"/>
      <c r="C38" s="145"/>
      <c r="D38" s="145"/>
      <c r="E38" s="131"/>
      <c r="F38" s="131"/>
      <c r="G38" s="131"/>
      <c r="H38" s="131"/>
      <c r="I38" s="131"/>
      <c r="J38" s="131"/>
      <c r="K38" s="131"/>
      <c r="L38" s="131"/>
      <c r="M38" s="131"/>
      <c r="N38" s="131"/>
      <c r="O38" s="131"/>
      <c r="P38" s="131"/>
      <c r="Q38" s="131"/>
      <c r="R38" s="131"/>
      <c r="S38" s="148"/>
      <c r="T38" s="148"/>
      <c r="U38" s="148"/>
      <c r="V38" s="148"/>
      <c r="W38" s="148"/>
      <c r="X38" s="148"/>
      <c r="Y38" s="148"/>
      <c r="Z38" s="148"/>
      <c r="AA38" s="4"/>
      <c r="AB38" s="4"/>
      <c r="AC38" s="4"/>
      <c r="AD38" s="4"/>
    </row>
    <row r="39" spans="1:30">
      <c r="A39" s="144"/>
      <c r="B39" s="34"/>
      <c r="C39" s="34"/>
      <c r="D39" s="34"/>
      <c r="E39" s="34"/>
      <c r="F39" s="747" t="s">
        <v>809</v>
      </c>
      <c r="G39" s="747"/>
      <c r="H39" s="747"/>
      <c r="I39" s="747"/>
      <c r="J39" s="747"/>
      <c r="K39" s="42"/>
      <c r="L39" s="747" t="s">
        <v>774</v>
      </c>
      <c r="M39" s="747"/>
      <c r="N39" s="144"/>
      <c r="O39" s="144"/>
      <c r="P39" s="144"/>
      <c r="Q39" s="144"/>
      <c r="R39" s="144"/>
      <c r="S39" s="148"/>
      <c r="T39" s="144"/>
      <c r="U39" s="148"/>
      <c r="V39" s="148"/>
      <c r="W39" s="148"/>
      <c r="X39" s="148"/>
      <c r="Y39" s="148"/>
      <c r="Z39" s="148"/>
      <c r="AA39" s="4"/>
      <c r="AB39" s="4"/>
      <c r="AC39" s="4"/>
      <c r="AD39" s="4"/>
    </row>
    <row r="40" spans="1:30">
      <c r="A40" s="144"/>
      <c r="B40" s="679" t="s">
        <v>964</v>
      </c>
      <c r="C40" s="679"/>
      <c r="D40" s="679"/>
      <c r="E40" s="679"/>
      <c r="F40" s="680" t="str">
        <f>'MEM. DESC. I'!J92</f>
        <v>Departamento Flat</v>
      </c>
      <c r="G40" s="681"/>
      <c r="H40" s="681"/>
      <c r="I40" s="681"/>
      <c r="J40" s="682"/>
      <c r="K40" s="42"/>
      <c r="L40" s="711">
        <f>+'MEM. DESC. I'!Q92</f>
        <v>100</v>
      </c>
      <c r="M40" s="712"/>
      <c r="N40" s="144"/>
      <c r="O40" s="763" t="s">
        <v>966</v>
      </c>
      <c r="P40" s="763"/>
      <c r="Q40" s="763"/>
      <c r="R40" s="763"/>
      <c r="S40" s="680"/>
      <c r="T40" s="682"/>
      <c r="U40" s="42"/>
      <c r="V40" s="763" t="s">
        <v>58</v>
      </c>
      <c r="W40" s="763"/>
      <c r="X40" s="763"/>
      <c r="Y40" s="763"/>
      <c r="Z40" s="763"/>
      <c r="AA40" s="764"/>
      <c r="AB40" s="613"/>
      <c r="AC40" s="615"/>
      <c r="AD40" s="4"/>
    </row>
    <row r="41" spans="1:30">
      <c r="A41" s="144"/>
      <c r="B41" s="34"/>
      <c r="C41" s="34"/>
      <c r="D41" s="34"/>
      <c r="E41" s="34"/>
      <c r="F41" s="680">
        <f>'MEM. DESC. I'!J93</f>
        <v>0</v>
      </c>
      <c r="G41" s="681"/>
      <c r="H41" s="681"/>
      <c r="I41" s="681"/>
      <c r="J41" s="682"/>
      <c r="K41" s="42"/>
      <c r="L41" s="711">
        <f>+'MEM. DESC. I'!Q93</f>
        <v>0</v>
      </c>
      <c r="M41" s="712"/>
      <c r="N41" s="148"/>
      <c r="O41" s="144"/>
      <c r="P41" s="144"/>
      <c r="Q41" s="144"/>
      <c r="R41" s="144"/>
      <c r="S41" s="148"/>
      <c r="T41" s="148"/>
      <c r="U41" s="148"/>
      <c r="V41" s="148"/>
      <c r="W41" s="148"/>
      <c r="X41" s="148"/>
      <c r="Y41" s="148"/>
      <c r="Z41" s="148"/>
      <c r="AA41" s="4"/>
      <c r="AB41" s="4"/>
      <c r="AC41" s="4"/>
      <c r="AD41" s="4"/>
    </row>
    <row r="42" spans="1:30">
      <c r="A42" s="144"/>
      <c r="B42" s="4"/>
      <c r="C42" s="4"/>
      <c r="D42" s="4"/>
      <c r="E42" s="4"/>
      <c r="F42" s="680"/>
      <c r="G42" s="681"/>
      <c r="H42" s="681"/>
      <c r="I42" s="681"/>
      <c r="J42" s="682"/>
      <c r="K42" s="5"/>
      <c r="L42" s="711"/>
      <c r="M42" s="712"/>
      <c r="N42" s="144"/>
      <c r="O42" s="144"/>
      <c r="P42" s="144"/>
      <c r="Q42" s="144"/>
      <c r="R42" s="144"/>
      <c r="S42" s="144"/>
      <c r="T42" s="5"/>
      <c r="U42" s="5"/>
      <c r="V42" s="4"/>
      <c r="W42" s="4"/>
      <c r="X42" s="4"/>
      <c r="Y42" s="4"/>
      <c r="Z42" s="4"/>
      <c r="AA42" s="4"/>
      <c r="AB42" s="4"/>
      <c r="AC42" s="4"/>
      <c r="AD42" s="4"/>
    </row>
    <row r="43" spans="1:30" ht="5.0999999999999996" customHeight="1">
      <c r="A43" s="144"/>
      <c r="B43" s="4"/>
      <c r="C43" s="4"/>
      <c r="D43" s="4"/>
      <c r="E43" s="4"/>
      <c r="F43" s="42"/>
      <c r="G43" s="42"/>
      <c r="H43" s="42"/>
      <c r="I43" s="42"/>
      <c r="J43" s="42"/>
      <c r="K43" s="5"/>
      <c r="L43" s="53"/>
      <c r="M43" s="53"/>
      <c r="N43" s="144"/>
      <c r="O43" s="144"/>
      <c r="P43" s="144"/>
      <c r="Q43" s="144"/>
      <c r="R43" s="144"/>
      <c r="S43" s="144"/>
      <c r="T43" s="5"/>
      <c r="U43" s="5"/>
      <c r="V43" s="4"/>
      <c r="W43" s="4"/>
      <c r="X43" s="4"/>
      <c r="Y43" s="4"/>
      <c r="Z43" s="4"/>
      <c r="AA43" s="4"/>
      <c r="AB43" s="4"/>
      <c r="AC43" s="4"/>
      <c r="AD43" s="4"/>
    </row>
    <row r="44" spans="1:30" ht="15.75" customHeight="1">
      <c r="A44" s="144"/>
      <c r="B44" s="609" t="s">
        <v>284</v>
      </c>
      <c r="C44" s="609"/>
      <c r="D44" s="609"/>
      <c r="E44" s="609"/>
      <c r="F44" s="680"/>
      <c r="G44" s="681"/>
      <c r="H44" s="681"/>
      <c r="I44" s="681"/>
      <c r="J44" s="682"/>
      <c r="K44" s="5"/>
      <c r="L44" s="609" t="s">
        <v>972</v>
      </c>
      <c r="M44" s="609"/>
      <c r="N44" s="609"/>
      <c r="O44" s="609"/>
      <c r="P44" s="609"/>
      <c r="Q44" s="609"/>
      <c r="R44" s="771"/>
      <c r="S44" s="772"/>
      <c r="T44" s="772"/>
      <c r="U44" s="772"/>
      <c r="V44" s="772"/>
      <c r="W44" s="772"/>
      <c r="X44" s="772"/>
      <c r="Y44" s="772"/>
      <c r="Z44" s="772"/>
      <c r="AA44" s="772"/>
      <c r="AB44" s="772"/>
      <c r="AC44" s="773"/>
      <c r="AD44" s="4"/>
    </row>
    <row r="45" spans="1:30" ht="5.0999999999999996" customHeight="1">
      <c r="A45" s="144"/>
      <c r="B45" s="4"/>
      <c r="C45" s="4"/>
      <c r="D45" s="4"/>
      <c r="E45" s="4"/>
      <c r="F45" s="42"/>
      <c r="G45" s="42"/>
      <c r="H45" s="42"/>
      <c r="I45" s="42"/>
      <c r="J45" s="42"/>
      <c r="K45" s="5"/>
      <c r="L45" s="53"/>
      <c r="M45" s="53"/>
      <c r="N45" s="144"/>
      <c r="O45" s="144"/>
      <c r="P45" s="144"/>
      <c r="Q45" s="144"/>
      <c r="R45" s="144"/>
      <c r="S45" s="144"/>
      <c r="T45" s="5"/>
      <c r="U45" s="5"/>
      <c r="V45" s="4"/>
      <c r="W45" s="4"/>
      <c r="X45" s="4"/>
      <c r="Y45" s="4"/>
      <c r="Z45" s="4"/>
      <c r="AA45" s="4"/>
      <c r="AB45" s="4"/>
      <c r="AC45" s="4"/>
      <c r="AD45" s="4"/>
    </row>
    <row r="46" spans="1:30" ht="15.75" customHeight="1">
      <c r="A46" s="144"/>
      <c r="B46" s="765" t="s">
        <v>973</v>
      </c>
      <c r="C46" s="765"/>
      <c r="D46" s="765"/>
      <c r="E46" s="765"/>
      <c r="F46" s="765"/>
      <c r="G46" s="765"/>
      <c r="H46" s="765"/>
      <c r="I46" s="765"/>
      <c r="J46" s="765"/>
      <c r="K46" s="765"/>
      <c r="L46" s="765"/>
      <c r="M46" s="765"/>
      <c r="N46" s="766" t="s">
        <v>347</v>
      </c>
      <c r="O46" s="767"/>
      <c r="P46" s="134"/>
      <c r="Q46" s="144"/>
      <c r="R46" s="144"/>
      <c r="S46" s="144"/>
      <c r="T46" s="5"/>
      <c r="U46" s="5"/>
      <c r="V46" s="4"/>
      <c r="W46" s="4"/>
      <c r="X46" s="4"/>
      <c r="Y46" s="4"/>
      <c r="Z46" s="4"/>
      <c r="AA46" s="4"/>
      <c r="AB46" s="4"/>
      <c r="AC46" s="4"/>
      <c r="AD46" s="4"/>
    </row>
    <row r="47" spans="1:30">
      <c r="A47" s="144"/>
      <c r="B47" s="142" t="s">
        <v>767</v>
      </c>
      <c r="C47" s="142"/>
      <c r="D47" s="142"/>
      <c r="E47" s="142"/>
      <c r="F47" s="143"/>
      <c r="G47" s="143"/>
      <c r="H47" s="143"/>
      <c r="I47" s="143"/>
      <c r="J47" s="143"/>
      <c r="K47" s="143"/>
      <c r="L47" s="143"/>
      <c r="M47" s="143"/>
      <c r="N47" s="134"/>
      <c r="O47" s="134"/>
      <c r="P47" s="134"/>
      <c r="Q47" s="144"/>
      <c r="R47" s="144"/>
      <c r="S47" s="144"/>
      <c r="T47" s="5"/>
      <c r="U47" s="5"/>
      <c r="V47" s="4"/>
      <c r="W47" s="4"/>
      <c r="X47" s="4"/>
      <c r="Y47" s="4"/>
      <c r="Z47" s="4"/>
      <c r="AA47" s="4"/>
      <c r="AB47" s="4"/>
      <c r="AC47" s="4"/>
      <c r="AD47" s="4"/>
    </row>
    <row r="48" spans="1:30" ht="15.75" customHeight="1">
      <c r="A48" s="144"/>
      <c r="B48" s="765" t="s">
        <v>768</v>
      </c>
      <c r="C48" s="765"/>
      <c r="D48" s="765"/>
      <c r="E48" s="765"/>
      <c r="F48" s="765"/>
      <c r="G48" s="765"/>
      <c r="H48" s="765"/>
      <c r="I48" s="765"/>
      <c r="J48" s="765"/>
      <c r="K48" s="765"/>
      <c r="L48" s="765"/>
      <c r="M48" s="765"/>
      <c r="N48" s="766" t="s">
        <v>347</v>
      </c>
      <c r="O48" s="767"/>
      <c r="P48" s="134"/>
      <c r="Q48" s="609" t="s">
        <v>769</v>
      </c>
      <c r="R48" s="609"/>
      <c r="S48" s="609"/>
      <c r="T48" s="609"/>
      <c r="U48" s="609"/>
      <c r="V48" s="609"/>
      <c r="W48" s="766"/>
      <c r="X48" s="767"/>
      <c r="Y48" s="147"/>
      <c r="Z48" s="147"/>
      <c r="AA48" s="147"/>
      <c r="AB48" s="4"/>
      <c r="AC48" s="4"/>
      <c r="AD48" s="4"/>
    </row>
    <row r="49" spans="1:30">
      <c r="A49" s="144"/>
      <c r="B49" s="142" t="s">
        <v>767</v>
      </c>
      <c r="C49" s="142"/>
      <c r="D49" s="142"/>
      <c r="E49" s="142"/>
      <c r="F49" s="143"/>
      <c r="G49" s="143"/>
      <c r="H49" s="143"/>
      <c r="I49" s="143"/>
      <c r="J49" s="143"/>
      <c r="K49" s="143"/>
      <c r="L49" s="143"/>
      <c r="M49" s="143"/>
      <c r="N49" s="134"/>
      <c r="O49" s="134"/>
      <c r="P49" s="134"/>
      <c r="Q49" s="142" t="s">
        <v>767</v>
      </c>
      <c r="R49" s="142"/>
      <c r="S49" s="142"/>
      <c r="T49" s="142"/>
      <c r="U49" s="143"/>
      <c r="V49" s="143"/>
      <c r="W49" s="143"/>
      <c r="X49" s="143"/>
      <c r="Y49" s="143"/>
      <c r="Z49" s="143"/>
      <c r="AA49" s="143"/>
      <c r="AB49" s="4"/>
      <c r="AC49" s="4"/>
      <c r="AD49" s="4"/>
    </row>
    <row r="50" spans="1:30" ht="5.0999999999999996" customHeight="1">
      <c r="A50" s="144"/>
      <c r="B50" s="144"/>
      <c r="C50" s="144"/>
      <c r="D50" s="144"/>
      <c r="E50" s="144"/>
      <c r="F50" s="144"/>
      <c r="G50" s="144"/>
      <c r="H50" s="144"/>
      <c r="I50" s="144"/>
      <c r="J50" s="144"/>
      <c r="K50" s="144"/>
      <c r="L50" s="144"/>
      <c r="M50" s="144"/>
      <c r="N50" s="144"/>
      <c r="O50" s="144"/>
      <c r="P50" s="134"/>
      <c r="Q50" s="144"/>
      <c r="R50" s="144"/>
      <c r="S50" s="144"/>
      <c r="T50" s="5"/>
      <c r="U50" s="5"/>
      <c r="V50" s="4"/>
      <c r="W50" s="4"/>
      <c r="X50" s="4"/>
      <c r="Y50" s="4"/>
      <c r="Z50" s="4"/>
      <c r="AA50" s="4"/>
      <c r="AB50" s="4"/>
      <c r="AC50" s="4"/>
      <c r="AD50" s="4"/>
    </row>
    <row r="51" spans="1:30" ht="15.75" customHeight="1">
      <c r="A51" s="144"/>
      <c r="B51" s="679" t="s">
        <v>56</v>
      </c>
      <c r="C51" s="679"/>
      <c r="D51" s="679"/>
      <c r="E51" s="679"/>
      <c r="F51" s="741"/>
      <c r="G51" s="680">
        <v>2</v>
      </c>
      <c r="H51" s="682"/>
      <c r="I51" s="144"/>
      <c r="J51" s="679" t="s">
        <v>287</v>
      </c>
      <c r="K51" s="679"/>
      <c r="L51" s="679"/>
      <c r="M51" s="679"/>
      <c r="N51" s="679"/>
      <c r="O51" s="741"/>
      <c r="P51" s="766" t="s">
        <v>341</v>
      </c>
      <c r="Q51" s="768"/>
      <c r="R51" s="768"/>
      <c r="S51" s="767"/>
      <c r="T51" s="5"/>
      <c r="U51" s="5"/>
      <c r="V51" s="4"/>
      <c r="W51" s="4"/>
      <c r="X51" s="4"/>
      <c r="Y51" s="4"/>
      <c r="Z51" s="4"/>
      <c r="AA51" s="4"/>
      <c r="AB51" s="4"/>
      <c r="AC51" s="4"/>
      <c r="AD51" s="4"/>
    </row>
    <row r="52" spans="1:30" ht="5.0999999999999996" customHeight="1">
      <c r="A52" s="144"/>
      <c r="B52" s="4"/>
      <c r="C52" s="4"/>
      <c r="D52" s="4"/>
      <c r="E52" s="4"/>
      <c r="F52" s="42"/>
      <c r="G52" s="42"/>
      <c r="H52" s="42"/>
      <c r="I52" s="42"/>
      <c r="J52" s="42"/>
      <c r="K52" s="5"/>
      <c r="L52" s="53"/>
      <c r="M52" s="53"/>
      <c r="N52" s="144"/>
      <c r="O52" s="144"/>
      <c r="P52" s="144"/>
      <c r="Q52" s="144"/>
      <c r="R52" s="144"/>
      <c r="S52" s="144"/>
      <c r="T52" s="5"/>
      <c r="U52" s="5"/>
      <c r="V52" s="4"/>
      <c r="W52" s="4"/>
      <c r="X52" s="4"/>
      <c r="Y52" s="4"/>
      <c r="Z52" s="4"/>
      <c r="AA52" s="4"/>
      <c r="AB52" s="4"/>
      <c r="AC52" s="4"/>
      <c r="AD52" s="4"/>
    </row>
    <row r="53" spans="1:30" ht="16.5" customHeight="1">
      <c r="A53" s="144"/>
      <c r="B53" s="609" t="s">
        <v>974</v>
      </c>
      <c r="C53" s="609"/>
      <c r="D53" s="609"/>
      <c r="E53" s="609"/>
      <c r="F53" s="609"/>
      <c r="G53" s="609"/>
      <c r="H53" s="734">
        <v>2</v>
      </c>
      <c r="I53" s="735"/>
      <c r="J53" s="133"/>
      <c r="K53" s="609" t="s">
        <v>771</v>
      </c>
      <c r="L53" s="609"/>
      <c r="M53" s="609"/>
      <c r="N53" s="609"/>
      <c r="O53" s="734">
        <v>0</v>
      </c>
      <c r="P53" s="735"/>
      <c r="Q53" s="133"/>
      <c r="R53" s="609" t="s">
        <v>772</v>
      </c>
      <c r="S53" s="609"/>
      <c r="T53" s="609"/>
      <c r="U53" s="734">
        <v>2</v>
      </c>
      <c r="V53" s="735"/>
      <c r="W53" s="144"/>
      <c r="X53" s="144"/>
      <c r="Y53" s="144"/>
      <c r="Z53" s="144"/>
      <c r="AA53" s="144"/>
      <c r="AB53" s="144"/>
      <c r="AC53" s="144"/>
      <c r="AD53" s="144"/>
    </row>
    <row r="54" spans="1:30" ht="5.0999999999999996" customHeight="1">
      <c r="A54" s="144"/>
      <c r="B54" s="145"/>
      <c r="C54" s="145"/>
      <c r="D54" s="145"/>
      <c r="E54" s="145"/>
      <c r="F54" s="134"/>
      <c r="G54" s="134"/>
      <c r="H54" s="134"/>
      <c r="I54" s="134"/>
      <c r="J54" s="134"/>
      <c r="K54" s="134"/>
      <c r="L54" s="134"/>
      <c r="M54" s="134"/>
      <c r="N54" s="134"/>
      <c r="O54" s="134"/>
      <c r="P54" s="134"/>
      <c r="Q54" s="134"/>
      <c r="R54" s="134"/>
      <c r="S54" s="144"/>
      <c r="T54" s="144"/>
      <c r="U54" s="144"/>
      <c r="V54" s="144"/>
      <c r="W54" s="144"/>
      <c r="X54" s="144"/>
      <c r="Y54" s="144"/>
      <c r="Z54" s="144"/>
      <c r="AA54" s="144"/>
      <c r="AB54" s="144"/>
      <c r="AC54" s="144"/>
      <c r="AD54" s="144"/>
    </row>
    <row r="55" spans="1:30" ht="16.5" customHeight="1">
      <c r="A55" s="144"/>
      <c r="B55" s="609" t="s">
        <v>770</v>
      </c>
      <c r="C55" s="609"/>
      <c r="D55" s="609"/>
      <c r="E55" s="609"/>
      <c r="F55" s="609"/>
      <c r="G55" s="609"/>
      <c r="H55" s="606" t="s">
        <v>448</v>
      </c>
      <c r="I55" s="607"/>
      <c r="J55" s="607"/>
      <c r="K55" s="608"/>
      <c r="L55" s="183"/>
      <c r="M55" s="184" t="s">
        <v>774</v>
      </c>
      <c r="N55" s="604">
        <v>20</v>
      </c>
      <c r="O55" s="605"/>
      <c r="P55" s="144"/>
      <c r="Q55" s="609" t="s">
        <v>975</v>
      </c>
      <c r="R55" s="609"/>
      <c r="S55" s="609"/>
      <c r="T55" s="609"/>
      <c r="U55" s="606" t="s">
        <v>394</v>
      </c>
      <c r="V55" s="607"/>
      <c r="W55" s="607"/>
      <c r="X55" s="608"/>
      <c r="Y55" s="183"/>
      <c r="Z55" s="185" t="s">
        <v>774</v>
      </c>
      <c r="AA55" s="604">
        <v>20</v>
      </c>
      <c r="AB55" s="605"/>
      <c r="AC55" s="144"/>
    </row>
    <row r="56" spans="1:30" ht="5.0999999999999996" customHeight="1">
      <c r="A56" s="144"/>
      <c r="B56" s="145"/>
      <c r="C56" s="145"/>
      <c r="D56" s="145"/>
      <c r="E56" s="145"/>
      <c r="F56" s="131"/>
      <c r="G56" s="131"/>
      <c r="H56" s="131"/>
      <c r="I56" s="131"/>
      <c r="J56" s="131"/>
      <c r="K56" s="131"/>
      <c r="L56" s="131"/>
      <c r="M56" s="131"/>
      <c r="N56" s="131"/>
      <c r="O56" s="131"/>
      <c r="P56" s="131"/>
      <c r="Q56" s="131"/>
      <c r="R56" s="131"/>
      <c r="S56" s="144"/>
      <c r="T56" s="144"/>
      <c r="U56" s="144"/>
      <c r="V56" s="144"/>
      <c r="W56" s="144"/>
      <c r="X56" s="144"/>
      <c r="Y56" s="144"/>
      <c r="Z56" s="144"/>
      <c r="AA56" s="144"/>
      <c r="AB56" s="144"/>
      <c r="AC56" s="144"/>
      <c r="AD56" s="144"/>
    </row>
    <row r="57" spans="1:30" ht="15.75" customHeight="1">
      <c r="A57" s="144"/>
      <c r="B57" s="609" t="s">
        <v>59</v>
      </c>
      <c r="C57" s="609"/>
      <c r="D57" s="734" t="s">
        <v>395</v>
      </c>
      <c r="E57" s="735"/>
      <c r="F57" s="144"/>
      <c r="G57" s="736" t="s">
        <v>60</v>
      </c>
      <c r="H57" s="736"/>
      <c r="I57" s="736"/>
      <c r="J57" s="737" t="s">
        <v>395</v>
      </c>
      <c r="K57" s="738"/>
      <c r="L57" s="175"/>
      <c r="M57" s="739" t="s">
        <v>1026</v>
      </c>
      <c r="N57" s="739"/>
      <c r="O57" s="739"/>
      <c r="P57" s="739"/>
      <c r="Q57" s="739"/>
      <c r="R57" s="740"/>
      <c r="S57" s="723"/>
      <c r="T57" s="724"/>
      <c r="U57" s="724"/>
      <c r="V57" s="724"/>
      <c r="W57" s="724"/>
      <c r="X57" s="724"/>
      <c r="Y57" s="724"/>
      <c r="Z57" s="724"/>
      <c r="AA57" s="724"/>
      <c r="AB57" s="724"/>
      <c r="AC57" s="725"/>
      <c r="AD57" s="4"/>
    </row>
    <row r="58" spans="1:30">
      <c r="A58" s="144"/>
      <c r="B58" s="4"/>
      <c r="C58" s="4"/>
      <c r="D58" s="4"/>
      <c r="E58" s="4"/>
      <c r="F58" s="42"/>
      <c r="G58" s="42"/>
      <c r="H58" s="42"/>
      <c r="I58" s="42"/>
      <c r="J58" s="42"/>
      <c r="K58" s="5"/>
      <c r="L58" s="175"/>
      <c r="M58" s="739"/>
      <c r="N58" s="739"/>
      <c r="O58" s="739"/>
      <c r="P58" s="739"/>
      <c r="Q58" s="739"/>
      <c r="R58" s="740"/>
      <c r="S58" s="726"/>
      <c r="T58" s="727"/>
      <c r="U58" s="727"/>
      <c r="V58" s="727"/>
      <c r="W58" s="727"/>
      <c r="X58" s="727"/>
      <c r="Y58" s="727"/>
      <c r="Z58" s="727"/>
      <c r="AA58" s="727"/>
      <c r="AB58" s="727"/>
      <c r="AC58" s="728"/>
      <c r="AD58" s="4"/>
    </row>
    <row r="59" spans="1:30" ht="5.0999999999999996" customHeight="1">
      <c r="A59" s="144"/>
      <c r="B59" s="4"/>
      <c r="C59" s="4"/>
      <c r="D59" s="4"/>
      <c r="E59" s="4"/>
      <c r="F59" s="42"/>
      <c r="G59" s="42"/>
      <c r="H59" s="42"/>
      <c r="I59" s="42"/>
      <c r="J59" s="42"/>
      <c r="K59" s="5"/>
      <c r="L59" s="53"/>
      <c r="M59" s="53"/>
      <c r="N59" s="144"/>
      <c r="O59" s="144"/>
      <c r="P59" s="144"/>
      <c r="Q59" s="144"/>
      <c r="R59" s="144"/>
      <c r="S59" s="144"/>
      <c r="T59" s="5"/>
      <c r="U59" s="5"/>
      <c r="V59" s="4"/>
      <c r="W59" s="8"/>
      <c r="X59" s="4"/>
      <c r="Y59" s="4"/>
      <c r="Z59" s="4"/>
      <c r="AA59" s="4"/>
      <c r="AB59" s="4"/>
      <c r="AC59" s="4"/>
      <c r="AD59" s="4"/>
    </row>
    <row r="60" spans="1:30" ht="15.75" customHeight="1">
      <c r="A60" s="144"/>
      <c r="B60" s="609" t="s">
        <v>977</v>
      </c>
      <c r="C60" s="609"/>
      <c r="D60" s="609"/>
      <c r="E60" s="722"/>
      <c r="F60" s="713"/>
      <c r="G60" s="714"/>
      <c r="H60" s="714"/>
      <c r="I60" s="714"/>
      <c r="J60" s="714"/>
      <c r="K60" s="714"/>
      <c r="L60" s="714"/>
      <c r="M60" s="714"/>
      <c r="N60" s="714"/>
      <c r="O60" s="714"/>
      <c r="P60" s="714"/>
      <c r="Q60" s="714"/>
      <c r="R60" s="714"/>
      <c r="S60" s="714"/>
      <c r="T60" s="714"/>
      <c r="U60" s="714"/>
      <c r="V60" s="714"/>
      <c r="W60" s="714"/>
      <c r="X60" s="714"/>
      <c r="Y60" s="714"/>
      <c r="Z60" s="714"/>
      <c r="AA60" s="714"/>
      <c r="AB60" s="714"/>
      <c r="AC60" s="715"/>
      <c r="AD60" s="4"/>
    </row>
    <row r="61" spans="1:30">
      <c r="A61" s="144"/>
      <c r="B61" s="609"/>
      <c r="C61" s="609"/>
      <c r="D61" s="609"/>
      <c r="E61" s="722"/>
      <c r="F61" s="716"/>
      <c r="G61" s="717"/>
      <c r="H61" s="717"/>
      <c r="I61" s="717"/>
      <c r="J61" s="717"/>
      <c r="K61" s="717"/>
      <c r="L61" s="717"/>
      <c r="M61" s="717"/>
      <c r="N61" s="717"/>
      <c r="O61" s="717"/>
      <c r="P61" s="717"/>
      <c r="Q61" s="717"/>
      <c r="R61" s="717"/>
      <c r="S61" s="717"/>
      <c r="T61" s="717"/>
      <c r="U61" s="717"/>
      <c r="V61" s="717"/>
      <c r="W61" s="717"/>
      <c r="X61" s="717"/>
      <c r="Y61" s="717"/>
      <c r="Z61" s="717"/>
      <c r="AA61" s="717"/>
      <c r="AB61" s="717"/>
      <c r="AC61" s="718"/>
      <c r="AD61" s="4"/>
    </row>
    <row r="62" spans="1:30">
      <c r="A62" s="144"/>
      <c r="B62" s="4"/>
      <c r="C62" s="4"/>
      <c r="D62" s="4"/>
      <c r="E62" s="4"/>
      <c r="F62" s="719"/>
      <c r="G62" s="720"/>
      <c r="H62" s="720"/>
      <c r="I62" s="720"/>
      <c r="J62" s="720"/>
      <c r="K62" s="720"/>
      <c r="L62" s="720"/>
      <c r="M62" s="720"/>
      <c r="N62" s="720"/>
      <c r="O62" s="720"/>
      <c r="P62" s="720"/>
      <c r="Q62" s="720"/>
      <c r="R62" s="720"/>
      <c r="S62" s="720"/>
      <c r="T62" s="720"/>
      <c r="U62" s="720"/>
      <c r="V62" s="720"/>
      <c r="W62" s="720"/>
      <c r="X62" s="720"/>
      <c r="Y62" s="720"/>
      <c r="Z62" s="720"/>
      <c r="AA62" s="720"/>
      <c r="AB62" s="720"/>
      <c r="AC62" s="721"/>
      <c r="AD62" s="4"/>
    </row>
    <row r="63" spans="1:30" ht="5.0999999999999996" customHeight="1">
      <c r="A63" s="144"/>
      <c r="B63" s="4"/>
      <c r="C63" s="4"/>
      <c r="D63" s="4"/>
      <c r="E63" s="4"/>
      <c r="F63" s="42"/>
      <c r="G63" s="42"/>
      <c r="H63" s="42"/>
      <c r="I63" s="42"/>
      <c r="J63" s="42"/>
      <c r="K63" s="5"/>
      <c r="L63" s="53"/>
      <c r="M63" s="53"/>
      <c r="N63" s="144"/>
      <c r="O63" s="144"/>
      <c r="P63" s="144"/>
      <c r="Q63" s="144"/>
      <c r="R63" s="144"/>
      <c r="S63" s="144"/>
      <c r="T63" s="5"/>
      <c r="U63" s="5"/>
      <c r="V63" s="4"/>
      <c r="W63" s="4"/>
      <c r="X63" s="4"/>
      <c r="Y63" s="4"/>
      <c r="Z63" s="4"/>
      <c r="AA63" s="4"/>
      <c r="AB63" s="4"/>
      <c r="AC63" s="4"/>
      <c r="AD63" s="4"/>
    </row>
    <row r="64" spans="1:30" ht="15.75" customHeight="1">
      <c r="A64" s="144"/>
      <c r="B64" s="152" t="s">
        <v>983</v>
      </c>
      <c r="C64" s="4"/>
      <c r="D64" s="4"/>
      <c r="E64" s="4"/>
      <c r="F64" s="42"/>
      <c r="G64" s="42"/>
      <c r="H64" s="42"/>
      <c r="I64" s="42"/>
      <c r="J64" s="42"/>
      <c r="K64" s="5"/>
      <c r="L64" s="53"/>
      <c r="M64" s="53"/>
      <c r="N64" s="144"/>
      <c r="O64" s="144"/>
      <c r="P64" s="144"/>
      <c r="Q64" s="144"/>
      <c r="R64" s="144"/>
      <c r="S64" s="144"/>
      <c r="T64" s="5"/>
      <c r="U64" s="5"/>
      <c r="V64" s="4"/>
      <c r="W64" s="4"/>
      <c r="X64" s="4"/>
      <c r="Y64" s="4"/>
      <c r="Z64" s="4"/>
      <c r="AA64" s="4"/>
      <c r="AB64" s="4"/>
      <c r="AC64" s="4"/>
      <c r="AD64" s="4"/>
    </row>
    <row r="65" spans="1:31" ht="5.0999999999999996" customHeight="1">
      <c r="A65" s="144"/>
      <c r="B65" s="4"/>
      <c r="C65" s="4"/>
      <c r="D65" s="4"/>
      <c r="E65" s="4"/>
      <c r="F65" s="42"/>
      <c r="G65" s="42"/>
      <c r="H65" s="42"/>
      <c r="I65" s="42"/>
      <c r="J65" s="42"/>
      <c r="K65" s="5"/>
      <c r="L65" s="53"/>
      <c r="M65" s="53"/>
      <c r="N65" s="144"/>
      <c r="O65" s="144"/>
      <c r="P65" s="144"/>
      <c r="Q65" s="144"/>
      <c r="R65" s="144"/>
      <c r="S65" s="144"/>
      <c r="T65" s="5"/>
      <c r="U65" s="5"/>
      <c r="V65" s="4"/>
      <c r="W65" s="4"/>
      <c r="X65" s="4"/>
      <c r="Y65" s="4"/>
      <c r="Z65" s="4"/>
      <c r="AA65" s="4"/>
      <c r="AB65" s="4"/>
      <c r="AC65" s="4"/>
      <c r="AD65" s="4"/>
    </row>
    <row r="66" spans="1:31" ht="15.75" customHeight="1">
      <c r="A66" s="144"/>
      <c r="B66" s="679" t="s">
        <v>984</v>
      </c>
      <c r="C66" s="679"/>
      <c r="D66" s="679"/>
      <c r="E66" s="679"/>
      <c r="F66" s="680"/>
      <c r="G66" s="681"/>
      <c r="H66" s="681"/>
      <c r="I66" s="682"/>
      <c r="J66" s="42"/>
      <c r="K66" s="679" t="s">
        <v>991</v>
      </c>
      <c r="L66" s="679"/>
      <c r="M66" s="679"/>
      <c r="N66" s="679"/>
      <c r="O66" s="679"/>
      <c r="P66" s="679"/>
      <c r="Q66" s="679"/>
      <c r="R66" s="679"/>
      <c r="S66" s="679"/>
      <c r="T66" s="679"/>
      <c r="U66" s="679"/>
      <c r="V66" s="613"/>
      <c r="W66" s="615"/>
      <c r="X66" s="4"/>
      <c r="Y66" s="4"/>
      <c r="Z66" s="4"/>
      <c r="AA66" s="4"/>
      <c r="AB66" s="4"/>
      <c r="AC66" s="4"/>
      <c r="AD66" s="4"/>
    </row>
    <row r="67" spans="1:31" ht="5.0999999999999996" customHeight="1">
      <c r="A67" s="144"/>
      <c r="B67" s="4"/>
      <c r="C67" s="4"/>
      <c r="D67" s="4"/>
      <c r="E67" s="4"/>
      <c r="F67" s="42"/>
      <c r="G67" s="42"/>
      <c r="H67" s="42"/>
      <c r="I67" s="42"/>
      <c r="J67" s="42"/>
      <c r="K67" s="5"/>
      <c r="L67" s="53"/>
      <c r="M67" s="53"/>
      <c r="N67" s="144"/>
      <c r="O67" s="144"/>
      <c r="P67" s="144"/>
      <c r="Q67" s="144"/>
      <c r="R67" s="144"/>
      <c r="S67" s="144"/>
      <c r="T67" s="5"/>
      <c r="U67" s="5"/>
      <c r="V67" s="4"/>
      <c r="W67" s="4"/>
      <c r="X67" s="4"/>
      <c r="Y67" s="4"/>
      <c r="Z67" s="4"/>
      <c r="AA67" s="4"/>
      <c r="AB67" s="4"/>
      <c r="AC67" s="4"/>
      <c r="AD67" s="4"/>
    </row>
    <row r="68" spans="1:31" ht="15.75" customHeight="1">
      <c r="A68" s="144"/>
      <c r="B68" s="34" t="s">
        <v>992</v>
      </c>
      <c r="C68" s="4"/>
      <c r="D68" s="4"/>
      <c r="E68" s="4"/>
      <c r="F68" s="42"/>
      <c r="G68" s="42"/>
      <c r="H68" s="42"/>
      <c r="I68" s="42"/>
      <c r="J68" s="42"/>
      <c r="K68" s="5"/>
      <c r="L68" s="53"/>
      <c r="M68" s="53"/>
      <c r="N68" s="144"/>
      <c r="O68" s="144"/>
      <c r="P68" s="144"/>
      <c r="Q68" s="144"/>
      <c r="R68" s="144"/>
      <c r="S68" s="144"/>
      <c r="T68" s="5"/>
      <c r="U68" s="5"/>
      <c r="V68" s="4"/>
      <c r="W68" s="4"/>
      <c r="X68" s="4"/>
      <c r="Y68" s="4"/>
      <c r="Z68" s="4"/>
      <c r="AA68" s="4"/>
      <c r="AB68" s="4"/>
      <c r="AC68" s="4"/>
      <c r="AD68" s="4"/>
    </row>
    <row r="69" spans="1:31" ht="5.0999999999999996" customHeight="1">
      <c r="A69" s="144"/>
      <c r="B69" s="4"/>
      <c r="C69" s="4"/>
      <c r="D69" s="4"/>
      <c r="E69" s="4"/>
      <c r="F69" s="42"/>
      <c r="G69" s="42"/>
      <c r="H69" s="42"/>
      <c r="I69" s="42"/>
      <c r="J69" s="42"/>
      <c r="K69" s="5"/>
      <c r="L69" s="53"/>
      <c r="M69" s="53"/>
      <c r="N69" s="144"/>
      <c r="O69" s="144"/>
      <c r="P69" s="144"/>
      <c r="Q69" s="144"/>
      <c r="R69" s="144"/>
      <c r="S69" s="144"/>
      <c r="T69" s="5"/>
      <c r="U69" s="5"/>
      <c r="V69" s="4"/>
      <c r="W69" s="4"/>
      <c r="X69" s="4"/>
      <c r="Y69" s="4"/>
      <c r="Z69" s="4"/>
      <c r="AA69" s="4"/>
      <c r="AB69" s="4"/>
      <c r="AC69" s="4"/>
      <c r="AD69" s="4"/>
    </row>
    <row r="70" spans="1:31" ht="15.75" customHeight="1">
      <c r="A70" s="144"/>
      <c r="B70" s="636" t="s">
        <v>993</v>
      </c>
      <c r="C70" s="636"/>
      <c r="D70" s="636"/>
      <c r="E70" s="636"/>
      <c r="F70" s="636"/>
      <c r="G70" s="636"/>
      <c r="H70" s="636"/>
      <c r="I70" s="636" t="s">
        <v>996</v>
      </c>
      <c r="J70" s="636"/>
      <c r="K70" s="636"/>
      <c r="L70" s="636"/>
      <c r="M70" s="637" t="s">
        <v>994</v>
      </c>
      <c r="N70" s="637"/>
      <c r="O70" s="637"/>
      <c r="P70" s="637"/>
      <c r="Q70" s="637"/>
      <c r="R70" s="637"/>
      <c r="S70" s="637"/>
      <c r="T70" s="637"/>
      <c r="U70" s="637"/>
      <c r="V70" s="636" t="s">
        <v>995</v>
      </c>
      <c r="W70" s="636"/>
      <c r="X70" s="636"/>
      <c r="Y70" s="636"/>
      <c r="Z70" s="4"/>
      <c r="AA70" s="4"/>
      <c r="AB70" s="4"/>
      <c r="AC70" s="4"/>
      <c r="AD70" s="4"/>
    </row>
    <row r="71" spans="1:31" ht="15.75" customHeight="1">
      <c r="A71" s="144"/>
      <c r="B71" s="638"/>
      <c r="C71" s="638"/>
      <c r="D71" s="638"/>
      <c r="E71" s="638"/>
      <c r="F71" s="638"/>
      <c r="G71" s="638"/>
      <c r="H71" s="638"/>
      <c r="I71" s="638"/>
      <c r="J71" s="638"/>
      <c r="K71" s="638"/>
      <c r="L71" s="638"/>
      <c r="M71" s="638"/>
      <c r="N71" s="638"/>
      <c r="O71" s="638"/>
      <c r="P71" s="638"/>
      <c r="Q71" s="638"/>
      <c r="R71" s="638"/>
      <c r="S71" s="638"/>
      <c r="T71" s="638"/>
      <c r="U71" s="638"/>
      <c r="V71" s="638"/>
      <c r="W71" s="638"/>
      <c r="X71" s="638"/>
      <c r="Y71" s="638"/>
      <c r="Z71" s="4"/>
      <c r="AA71" s="4"/>
      <c r="AB71" s="4"/>
      <c r="AC71" s="4"/>
      <c r="AD71" s="4"/>
      <c r="AE71" s="174"/>
    </row>
    <row r="72" spans="1:31" ht="15.75" customHeight="1">
      <c r="A72" s="144"/>
      <c r="B72" s="638"/>
      <c r="C72" s="638"/>
      <c r="D72" s="638"/>
      <c r="E72" s="638"/>
      <c r="F72" s="638"/>
      <c r="G72" s="638"/>
      <c r="H72" s="638"/>
      <c r="I72" s="638"/>
      <c r="J72" s="638"/>
      <c r="K72" s="638"/>
      <c r="L72" s="638"/>
      <c r="M72" s="638"/>
      <c r="N72" s="638"/>
      <c r="O72" s="638"/>
      <c r="P72" s="638"/>
      <c r="Q72" s="638"/>
      <c r="R72" s="638"/>
      <c r="S72" s="638"/>
      <c r="T72" s="638"/>
      <c r="U72" s="638"/>
      <c r="V72" s="638"/>
      <c r="W72" s="638"/>
      <c r="X72" s="638"/>
      <c r="Y72" s="638"/>
      <c r="Z72" s="4"/>
      <c r="AA72" s="4"/>
      <c r="AB72" s="4"/>
      <c r="AC72" s="4"/>
      <c r="AD72" s="4"/>
      <c r="AE72" s="174"/>
    </row>
    <row r="73" spans="1:31" ht="15.75" customHeight="1">
      <c r="A73" s="144"/>
      <c r="B73" s="638"/>
      <c r="C73" s="638"/>
      <c r="D73" s="638"/>
      <c r="E73" s="638"/>
      <c r="F73" s="638"/>
      <c r="G73" s="638"/>
      <c r="H73" s="638"/>
      <c r="I73" s="638"/>
      <c r="J73" s="638"/>
      <c r="K73" s="638"/>
      <c r="L73" s="638"/>
      <c r="M73" s="638"/>
      <c r="N73" s="638"/>
      <c r="O73" s="638"/>
      <c r="P73" s="638"/>
      <c r="Q73" s="638"/>
      <c r="R73" s="638"/>
      <c r="S73" s="638"/>
      <c r="T73" s="638"/>
      <c r="U73" s="638"/>
      <c r="V73" s="638"/>
      <c r="W73" s="638"/>
      <c r="X73" s="638"/>
      <c r="Y73" s="638"/>
      <c r="Z73" s="4"/>
      <c r="AA73" s="4"/>
      <c r="AB73" s="4"/>
      <c r="AC73" s="4"/>
      <c r="AD73" s="4"/>
      <c r="AE73" s="174" t="s">
        <v>1006</v>
      </c>
    </row>
    <row r="74" spans="1:31" ht="15.75" customHeight="1">
      <c r="A74" s="144"/>
      <c r="B74" s="638"/>
      <c r="C74" s="638"/>
      <c r="D74" s="638"/>
      <c r="E74" s="638"/>
      <c r="F74" s="638"/>
      <c r="G74" s="638"/>
      <c r="H74" s="638"/>
      <c r="I74" s="638"/>
      <c r="J74" s="638"/>
      <c r="K74" s="638"/>
      <c r="L74" s="638"/>
      <c r="M74" s="638"/>
      <c r="N74" s="638"/>
      <c r="O74" s="638"/>
      <c r="P74" s="638"/>
      <c r="Q74" s="638"/>
      <c r="R74" s="638"/>
      <c r="S74" s="638"/>
      <c r="T74" s="638"/>
      <c r="U74" s="638"/>
      <c r="V74" s="638"/>
      <c r="W74" s="638"/>
      <c r="X74" s="638"/>
      <c r="Y74" s="638"/>
      <c r="Z74" s="4"/>
      <c r="AA74" s="4"/>
      <c r="AB74" s="4"/>
      <c r="AC74" s="4"/>
      <c r="AD74" s="4"/>
    </row>
    <row r="75" spans="1:31" ht="5.0999999999999996" customHeight="1">
      <c r="A75" s="144"/>
      <c r="B75" s="4"/>
      <c r="C75" s="4"/>
      <c r="D75" s="4"/>
      <c r="E75" s="4"/>
      <c r="F75" s="42"/>
      <c r="G75" s="42"/>
      <c r="H75" s="42"/>
      <c r="I75" s="42"/>
      <c r="J75" s="42"/>
      <c r="K75" s="5"/>
      <c r="L75" s="53"/>
      <c r="M75" s="53"/>
      <c r="N75" s="144"/>
      <c r="O75" s="144"/>
      <c r="P75" s="144"/>
      <c r="Q75" s="144"/>
      <c r="R75" s="144"/>
      <c r="S75" s="144"/>
      <c r="T75" s="5"/>
      <c r="U75" s="5"/>
      <c r="V75" s="4"/>
      <c r="W75" s="4"/>
      <c r="X75" s="4"/>
      <c r="Y75" s="4"/>
      <c r="Z75" s="4"/>
      <c r="AA75" s="4"/>
      <c r="AB75" s="4"/>
      <c r="AC75" s="4"/>
      <c r="AD75" s="4"/>
    </row>
    <row r="76" spans="1:31" ht="19.5" customHeight="1">
      <c r="A76" s="144"/>
      <c r="B76" s="639" t="s">
        <v>1007</v>
      </c>
      <c r="C76" s="639"/>
      <c r="D76" s="639"/>
      <c r="E76" s="639"/>
      <c r="F76" s="639"/>
      <c r="G76" s="639"/>
      <c r="H76" s="639"/>
      <c r="I76" s="639"/>
      <c r="J76" s="639"/>
      <c r="K76" s="639"/>
      <c r="L76" s="639"/>
      <c r="M76" s="639"/>
      <c r="N76" s="639"/>
      <c r="O76" s="639"/>
      <c r="P76" s="639"/>
      <c r="Q76" s="639"/>
      <c r="R76" s="639"/>
      <c r="S76" s="639"/>
      <c r="T76" s="639"/>
      <c r="U76" s="639"/>
      <c r="V76" s="639"/>
      <c r="W76" s="639"/>
      <c r="X76" s="639"/>
      <c r="Y76" s="639"/>
      <c r="Z76" s="639"/>
      <c r="AA76" s="639"/>
      <c r="AB76" s="639"/>
      <c r="AC76" s="639"/>
      <c r="AD76" s="4"/>
    </row>
    <row r="77" spans="1:31" ht="19.5" customHeight="1">
      <c r="A77" s="144"/>
      <c r="B77" s="639"/>
      <c r="C77" s="639"/>
      <c r="D77" s="639"/>
      <c r="E77" s="639"/>
      <c r="F77" s="639"/>
      <c r="G77" s="639"/>
      <c r="H77" s="639"/>
      <c r="I77" s="639"/>
      <c r="J77" s="639"/>
      <c r="K77" s="639"/>
      <c r="L77" s="639"/>
      <c r="M77" s="639"/>
      <c r="N77" s="639"/>
      <c r="O77" s="639"/>
      <c r="P77" s="639"/>
      <c r="Q77" s="639"/>
      <c r="R77" s="639"/>
      <c r="S77" s="639"/>
      <c r="T77" s="639"/>
      <c r="U77" s="639"/>
      <c r="V77" s="639"/>
      <c r="W77" s="639"/>
      <c r="X77" s="639"/>
      <c r="Y77" s="639"/>
      <c r="Z77" s="639"/>
      <c r="AA77" s="639"/>
      <c r="AB77" s="639"/>
      <c r="AC77" s="639"/>
      <c r="AD77" s="4"/>
    </row>
    <row r="78" spans="1:31" ht="5.0999999999999996" customHeight="1">
      <c r="A78" s="144"/>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c r="AA78" s="156"/>
      <c r="AB78" s="156"/>
      <c r="AC78" s="156"/>
      <c r="AD78" s="4"/>
    </row>
    <row r="79" spans="1:31">
      <c r="A79" s="144"/>
      <c r="B79" s="152" t="s">
        <v>979</v>
      </c>
      <c r="C79" s="130"/>
      <c r="D79" s="131"/>
      <c r="E79" s="131"/>
      <c r="F79" s="131"/>
      <c r="G79" s="131"/>
      <c r="H79" s="131"/>
      <c r="I79" s="131"/>
      <c r="J79" s="131"/>
      <c r="K79" s="131"/>
      <c r="L79" s="131"/>
      <c r="M79" s="131"/>
      <c r="N79" s="131"/>
      <c r="O79" s="131"/>
      <c r="P79" s="131"/>
      <c r="Q79" s="131"/>
      <c r="R79" s="131"/>
      <c r="S79" s="144"/>
      <c r="T79" s="5"/>
      <c r="U79" s="5"/>
      <c r="V79" s="4"/>
      <c r="W79" s="4"/>
      <c r="X79" s="4"/>
      <c r="Y79" s="4"/>
      <c r="Z79" s="4"/>
      <c r="AA79" s="4"/>
      <c r="AB79" s="4"/>
      <c r="AC79" s="4"/>
      <c r="AD79" s="4"/>
    </row>
    <row r="80" spans="1:31" ht="5.0999999999999996" customHeight="1" thickBot="1">
      <c r="A80" s="144"/>
      <c r="B80" s="131"/>
      <c r="C80" s="131"/>
      <c r="D80" s="131"/>
      <c r="E80" s="131"/>
      <c r="F80" s="131"/>
      <c r="G80" s="131"/>
      <c r="H80" s="131"/>
      <c r="I80" s="131"/>
      <c r="J80" s="131"/>
      <c r="K80" s="131"/>
      <c r="L80" s="131"/>
      <c r="M80" s="131"/>
      <c r="N80" s="131"/>
      <c r="O80" s="131"/>
      <c r="P80" s="131"/>
      <c r="Q80" s="131"/>
      <c r="R80" s="131"/>
      <c r="S80" s="144"/>
      <c r="T80" s="5"/>
      <c r="U80" s="5"/>
      <c r="V80" s="4"/>
      <c r="W80" s="4"/>
      <c r="X80" s="4"/>
      <c r="Y80" s="4"/>
      <c r="Z80" s="4"/>
      <c r="AA80" s="4"/>
      <c r="AB80" s="4"/>
      <c r="AC80" s="4"/>
      <c r="AD80" s="4"/>
    </row>
    <row r="81" spans="1:30" ht="17.25" thickBot="1">
      <c r="A81" s="4"/>
      <c r="B81" s="686" t="s">
        <v>61</v>
      </c>
      <c r="C81" s="687"/>
      <c r="D81" s="687"/>
      <c r="E81" s="687"/>
      <c r="F81" s="687"/>
      <c r="G81" s="687"/>
      <c r="H81" s="688"/>
      <c r="I81" s="12"/>
      <c r="J81" s="647" t="s">
        <v>62</v>
      </c>
      <c r="K81" s="648"/>
      <c r="L81" s="649"/>
      <c r="M81" s="650" t="s">
        <v>63</v>
      </c>
      <c r="N81" s="651"/>
      <c r="O81" s="651"/>
      <c r="P81" s="651"/>
      <c r="Q81" s="651"/>
      <c r="R81" s="651"/>
      <c r="S81" s="652"/>
      <c r="T81" s="651" t="s">
        <v>777</v>
      </c>
      <c r="U81" s="651"/>
      <c r="V81" s="651"/>
      <c r="W81" s="651"/>
      <c r="X81" s="651"/>
      <c r="Y81" s="650" t="s">
        <v>980</v>
      </c>
      <c r="Z81" s="651"/>
      <c r="AA81" s="651"/>
      <c r="AB81" s="651"/>
      <c r="AC81" s="652"/>
      <c r="AD81" s="4"/>
    </row>
    <row r="82" spans="1:30" ht="15" customHeight="1">
      <c r="A82" s="4"/>
      <c r="B82" s="774" t="s">
        <v>65</v>
      </c>
      <c r="C82" s="775"/>
      <c r="D82" s="775"/>
      <c r="E82" s="775"/>
      <c r="F82" s="775"/>
      <c r="G82" s="775"/>
      <c r="H82" s="776"/>
      <c r="I82" s="13"/>
      <c r="J82" s="659" t="s">
        <v>66</v>
      </c>
      <c r="K82" s="631"/>
      <c r="L82" s="660"/>
      <c r="M82" s="777">
        <f>T82+Y82</f>
        <v>0</v>
      </c>
      <c r="N82" s="778"/>
      <c r="O82" s="778"/>
      <c r="P82" s="778"/>
      <c r="Q82" s="778"/>
      <c r="R82" s="778"/>
      <c r="S82" s="779"/>
      <c r="T82" s="780">
        <f>+REPOSICIÓN!X25</f>
        <v>0</v>
      </c>
      <c r="U82" s="780"/>
      <c r="V82" s="780"/>
      <c r="W82" s="780"/>
      <c r="X82" s="780"/>
      <c r="Y82" s="781">
        <v>0</v>
      </c>
      <c r="Z82" s="581"/>
      <c r="AA82" s="581"/>
      <c r="AB82" s="581"/>
      <c r="AC82" s="582"/>
      <c r="AD82" s="4"/>
    </row>
    <row r="83" spans="1:30" ht="15" customHeight="1" thickBot="1">
      <c r="A83" s="4"/>
      <c r="B83" s="598"/>
      <c r="C83" s="599"/>
      <c r="D83" s="599"/>
      <c r="E83" s="599"/>
      <c r="F83" s="599"/>
      <c r="G83" s="599"/>
      <c r="H83" s="600"/>
      <c r="I83" s="13"/>
      <c r="J83" s="539" t="s">
        <v>67</v>
      </c>
      <c r="K83" s="540"/>
      <c r="L83" s="541"/>
      <c r="M83" s="542">
        <f>SUM(T83:AC83)</f>
        <v>0</v>
      </c>
      <c r="N83" s="543"/>
      <c r="O83" s="543"/>
      <c r="P83" s="543"/>
      <c r="Q83" s="543"/>
      <c r="R83" s="543"/>
      <c r="S83" s="544"/>
      <c r="T83" s="548">
        <f>+T82*$J$104</f>
        <v>0</v>
      </c>
      <c r="U83" s="549"/>
      <c r="V83" s="549"/>
      <c r="W83" s="549"/>
      <c r="X83" s="550"/>
      <c r="Y83" s="548">
        <f>+Y82*$J$104</f>
        <v>0</v>
      </c>
      <c r="Z83" s="549"/>
      <c r="AA83" s="549"/>
      <c r="AB83" s="549"/>
      <c r="AC83" s="550"/>
      <c r="AD83" s="4"/>
    </row>
    <row r="84" spans="1:30" ht="15" customHeight="1">
      <c r="A84" s="4"/>
      <c r="B84" s="595" t="s">
        <v>68</v>
      </c>
      <c r="C84" s="596"/>
      <c r="D84" s="596"/>
      <c r="E84" s="596"/>
      <c r="F84" s="596"/>
      <c r="G84" s="596"/>
      <c r="H84" s="597"/>
      <c r="I84" s="13"/>
      <c r="J84" s="601" t="s">
        <v>66</v>
      </c>
      <c r="K84" s="602"/>
      <c r="L84" s="603"/>
      <c r="M84" s="683">
        <f>SUM(T84:AC84)</f>
        <v>0</v>
      </c>
      <c r="N84" s="684"/>
      <c r="O84" s="684"/>
      <c r="P84" s="684"/>
      <c r="Q84" s="684"/>
      <c r="R84" s="684"/>
      <c r="S84" s="685"/>
      <c r="T84" s="689">
        <f>+T82*(1-RESULTADOS!$R$54)</f>
        <v>0</v>
      </c>
      <c r="U84" s="690"/>
      <c r="V84" s="690"/>
      <c r="W84" s="690"/>
      <c r="X84" s="691"/>
      <c r="Y84" s="537">
        <f>+Y82*(1-RESULTADOS!$R$54)</f>
        <v>0</v>
      </c>
      <c r="Z84" s="536"/>
      <c r="AA84" s="536"/>
      <c r="AB84" s="536"/>
      <c r="AC84" s="538"/>
      <c r="AD84" s="4"/>
    </row>
    <row r="85" spans="1:30" ht="15" customHeight="1" thickBot="1">
      <c r="A85" s="4"/>
      <c r="B85" s="598"/>
      <c r="C85" s="599"/>
      <c r="D85" s="599"/>
      <c r="E85" s="599"/>
      <c r="F85" s="599"/>
      <c r="G85" s="599"/>
      <c r="H85" s="600"/>
      <c r="I85" s="13"/>
      <c r="J85" s="539" t="s">
        <v>67</v>
      </c>
      <c r="K85" s="540"/>
      <c r="L85" s="541"/>
      <c r="M85" s="542">
        <f>SUM(T85:AC85)</f>
        <v>0</v>
      </c>
      <c r="N85" s="543"/>
      <c r="O85" s="543"/>
      <c r="P85" s="543"/>
      <c r="Q85" s="543"/>
      <c r="R85" s="543"/>
      <c r="S85" s="544"/>
      <c r="T85" s="545">
        <f>+T84*J104</f>
        <v>0</v>
      </c>
      <c r="U85" s="546"/>
      <c r="V85" s="546"/>
      <c r="W85" s="546"/>
      <c r="X85" s="547"/>
      <c r="Y85" s="548">
        <f>+Y84*J104</f>
        <v>0</v>
      </c>
      <c r="Z85" s="549"/>
      <c r="AA85" s="549"/>
      <c r="AB85" s="549"/>
      <c r="AC85" s="550"/>
      <c r="AD85" s="4"/>
    </row>
    <row r="86" spans="1:30" ht="5.0999999999999996" customHeight="1" thickBot="1">
      <c r="A86" s="4"/>
      <c r="B86" s="35"/>
      <c r="C86" s="35"/>
      <c r="D86" s="35"/>
      <c r="E86" s="35"/>
      <c r="F86" s="35"/>
      <c r="G86" s="35"/>
      <c r="H86" s="35"/>
      <c r="I86" s="4"/>
      <c r="J86" s="15"/>
      <c r="K86" s="15"/>
      <c r="L86" s="15"/>
      <c r="M86" s="15"/>
      <c r="N86" s="16"/>
      <c r="O86" s="16"/>
      <c r="P86" s="16"/>
      <c r="Q86" s="16"/>
      <c r="R86" s="16"/>
      <c r="S86" s="15"/>
      <c r="T86" s="15"/>
      <c r="U86" s="15"/>
      <c r="V86" s="15"/>
      <c r="W86" s="15"/>
      <c r="X86" s="15"/>
      <c r="Y86" s="15"/>
      <c r="Z86" s="15"/>
      <c r="AA86" s="15"/>
      <c r="AB86" s="15"/>
      <c r="AC86" s="15"/>
      <c r="AD86" s="4"/>
    </row>
    <row r="87" spans="1:30" ht="17.25" thickBot="1">
      <c r="A87" s="4"/>
      <c r="B87" s="644" t="s">
        <v>69</v>
      </c>
      <c r="C87" s="645"/>
      <c r="D87" s="645"/>
      <c r="E87" s="645"/>
      <c r="F87" s="645"/>
      <c r="G87" s="645"/>
      <c r="H87" s="646"/>
      <c r="I87" s="12"/>
      <c r="J87" s="692" t="s">
        <v>62</v>
      </c>
      <c r="K87" s="693"/>
      <c r="L87" s="694"/>
      <c r="M87" s="695" t="s">
        <v>63</v>
      </c>
      <c r="N87" s="696"/>
      <c r="O87" s="696"/>
      <c r="P87" s="696"/>
      <c r="Q87" s="696"/>
      <c r="R87" s="696"/>
      <c r="S87" s="697"/>
      <c r="T87" s="698"/>
      <c r="U87" s="696"/>
      <c r="V87" s="696"/>
      <c r="W87" s="696"/>
      <c r="X87" s="699"/>
      <c r="Y87" s="695" t="s">
        <v>980</v>
      </c>
      <c r="Z87" s="696"/>
      <c r="AA87" s="696"/>
      <c r="AB87" s="696"/>
      <c r="AC87" s="697"/>
      <c r="AD87" s="4"/>
    </row>
    <row r="88" spans="1:30" ht="15" customHeight="1">
      <c r="A88" s="4"/>
      <c r="B88" s="595" t="s">
        <v>65</v>
      </c>
      <c r="C88" s="596"/>
      <c r="D88" s="596"/>
      <c r="E88" s="596"/>
      <c r="F88" s="596"/>
      <c r="G88" s="596"/>
      <c r="H88" s="597"/>
      <c r="I88" s="13"/>
      <c r="J88" s="700" t="s">
        <v>66</v>
      </c>
      <c r="K88" s="701"/>
      <c r="L88" s="702"/>
      <c r="M88" s="703">
        <f>SUM(T88:AC88)</f>
        <v>0</v>
      </c>
      <c r="N88" s="704"/>
      <c r="O88" s="704"/>
      <c r="P88" s="704"/>
      <c r="Q88" s="704"/>
      <c r="R88" s="704"/>
      <c r="S88" s="705"/>
      <c r="T88" s="706">
        <v>0</v>
      </c>
      <c r="U88" s="704"/>
      <c r="V88" s="704"/>
      <c r="W88" s="704"/>
      <c r="X88" s="707"/>
      <c r="Y88" s="703"/>
      <c r="Z88" s="704"/>
      <c r="AA88" s="704"/>
      <c r="AB88" s="704"/>
      <c r="AC88" s="705"/>
      <c r="AD88" s="4"/>
    </row>
    <row r="89" spans="1:30" ht="15" customHeight="1" thickBot="1">
      <c r="A89" s="4"/>
      <c r="B89" s="598"/>
      <c r="C89" s="599"/>
      <c r="D89" s="599"/>
      <c r="E89" s="599"/>
      <c r="F89" s="599"/>
      <c r="G89" s="599"/>
      <c r="H89" s="600"/>
      <c r="I89" s="13"/>
      <c r="J89" s="708" t="s">
        <v>67</v>
      </c>
      <c r="K89" s="709"/>
      <c r="L89" s="710"/>
      <c r="M89" s="674">
        <f>SUM(T89:AC89)</f>
        <v>0</v>
      </c>
      <c r="N89" s="675"/>
      <c r="O89" s="675"/>
      <c r="P89" s="675"/>
      <c r="Q89" s="675"/>
      <c r="R89" s="675"/>
      <c r="S89" s="676"/>
      <c r="T89" s="677">
        <f>+T88*J104</f>
        <v>0</v>
      </c>
      <c r="U89" s="675"/>
      <c r="V89" s="675"/>
      <c r="W89" s="675"/>
      <c r="X89" s="678"/>
      <c r="Y89" s="674">
        <f>+Y88*J104</f>
        <v>0</v>
      </c>
      <c r="Z89" s="675"/>
      <c r="AA89" s="675"/>
      <c r="AB89" s="675"/>
      <c r="AC89" s="676"/>
      <c r="AD89" s="4"/>
    </row>
    <row r="90" spans="1:30" ht="15" customHeight="1">
      <c r="A90" s="4"/>
      <c r="B90" s="595" t="s">
        <v>68</v>
      </c>
      <c r="C90" s="596"/>
      <c r="D90" s="596"/>
      <c r="E90" s="596"/>
      <c r="F90" s="596"/>
      <c r="G90" s="596"/>
      <c r="H90" s="597"/>
      <c r="I90" s="13"/>
      <c r="J90" s="601" t="s">
        <v>66</v>
      </c>
      <c r="K90" s="602"/>
      <c r="L90" s="603"/>
      <c r="M90" s="683">
        <f>SUM(T90:AC90)</f>
        <v>0</v>
      </c>
      <c r="N90" s="684"/>
      <c r="O90" s="684"/>
      <c r="P90" s="684"/>
      <c r="Q90" s="684"/>
      <c r="R90" s="684"/>
      <c r="S90" s="685"/>
      <c r="T90" s="536">
        <f>+T88*(1-RESULTADOS!$R$54)</f>
        <v>0</v>
      </c>
      <c r="U90" s="536"/>
      <c r="V90" s="536"/>
      <c r="W90" s="536"/>
      <c r="X90" s="536"/>
      <c r="Y90" s="537">
        <f>+Y88*(1-RESULTADOS!$R$54)</f>
        <v>0</v>
      </c>
      <c r="Z90" s="536"/>
      <c r="AA90" s="536"/>
      <c r="AB90" s="536"/>
      <c r="AC90" s="538"/>
      <c r="AD90" s="4"/>
    </row>
    <row r="91" spans="1:30" ht="15" customHeight="1" thickBot="1">
      <c r="A91" s="4"/>
      <c r="B91" s="598"/>
      <c r="C91" s="599"/>
      <c r="D91" s="599"/>
      <c r="E91" s="599"/>
      <c r="F91" s="599"/>
      <c r="G91" s="599"/>
      <c r="H91" s="600"/>
      <c r="I91" s="13"/>
      <c r="J91" s="539" t="s">
        <v>67</v>
      </c>
      <c r="K91" s="540"/>
      <c r="L91" s="541"/>
      <c r="M91" s="542">
        <f>SUM(T91:AC91)</f>
        <v>0</v>
      </c>
      <c r="N91" s="543"/>
      <c r="O91" s="543"/>
      <c r="P91" s="543"/>
      <c r="Q91" s="543"/>
      <c r="R91" s="543"/>
      <c r="S91" s="544"/>
      <c r="T91" s="545">
        <f>+T90*J104</f>
        <v>0</v>
      </c>
      <c r="U91" s="546"/>
      <c r="V91" s="546"/>
      <c r="W91" s="546"/>
      <c r="X91" s="547"/>
      <c r="Y91" s="548">
        <f>+Y90*J104</f>
        <v>0</v>
      </c>
      <c r="Z91" s="549"/>
      <c r="AA91" s="549"/>
      <c r="AB91" s="549"/>
      <c r="AC91" s="550"/>
      <c r="AD91" s="4"/>
    </row>
    <row r="92" spans="1:30" ht="5.0999999999999996" customHeight="1" thickBot="1">
      <c r="A92" s="4"/>
      <c r="B92" s="191"/>
      <c r="C92" s="191"/>
      <c r="D92" s="191"/>
      <c r="E92" s="191"/>
      <c r="F92" s="191"/>
      <c r="G92" s="191"/>
      <c r="H92" s="191"/>
      <c r="I92" s="4"/>
      <c r="J92" s="15"/>
      <c r="K92" s="15"/>
      <c r="L92" s="15"/>
      <c r="M92" s="15"/>
      <c r="N92" s="15"/>
      <c r="O92" s="15"/>
      <c r="P92" s="15"/>
      <c r="Q92" s="15"/>
      <c r="R92" s="15"/>
      <c r="S92" s="15"/>
      <c r="T92" s="15"/>
      <c r="U92" s="15"/>
      <c r="V92" s="15"/>
      <c r="W92" s="15"/>
      <c r="X92" s="15"/>
      <c r="Y92" s="15"/>
      <c r="Z92" s="15"/>
      <c r="AA92" s="15"/>
      <c r="AB92" s="15"/>
      <c r="AC92" s="15"/>
      <c r="AD92" s="4"/>
    </row>
    <row r="93" spans="1:30" ht="18" thickTop="1" thickBot="1">
      <c r="A93" s="189"/>
      <c r="B93" s="668" t="s">
        <v>70</v>
      </c>
      <c r="C93" s="669"/>
      <c r="D93" s="669"/>
      <c r="E93" s="669"/>
      <c r="F93" s="669"/>
      <c r="G93" s="669"/>
      <c r="H93" s="670"/>
      <c r="I93" s="190"/>
      <c r="J93" s="671" t="s">
        <v>62</v>
      </c>
      <c r="K93" s="672"/>
      <c r="L93" s="673"/>
      <c r="M93" s="622" t="s">
        <v>63</v>
      </c>
      <c r="N93" s="623"/>
      <c r="O93" s="623"/>
      <c r="P93" s="623"/>
      <c r="Q93" s="623"/>
      <c r="R93" s="623"/>
      <c r="S93" s="624"/>
      <c r="T93" s="623" t="s">
        <v>71</v>
      </c>
      <c r="U93" s="623"/>
      <c r="V93" s="623"/>
      <c r="W93" s="623"/>
      <c r="X93" s="623"/>
      <c r="Y93" s="622" t="s">
        <v>72</v>
      </c>
      <c r="Z93" s="623"/>
      <c r="AA93" s="623"/>
      <c r="AB93" s="623"/>
      <c r="AC93" s="624"/>
      <c r="AD93" s="4"/>
    </row>
    <row r="94" spans="1:30" ht="15" customHeight="1" thickTop="1">
      <c r="A94" s="189"/>
      <c r="B94" s="625" t="s">
        <v>1033</v>
      </c>
      <c r="C94" s="596"/>
      <c r="D94" s="596"/>
      <c r="E94" s="596"/>
      <c r="F94" s="596"/>
      <c r="G94" s="596"/>
      <c r="H94" s="626"/>
      <c r="I94" s="193"/>
      <c r="J94" s="630" t="s">
        <v>66</v>
      </c>
      <c r="K94" s="631"/>
      <c r="L94" s="632"/>
      <c r="M94" s="578">
        <f>SUM(T94:AC94)</f>
        <v>0</v>
      </c>
      <c r="N94" s="579"/>
      <c r="O94" s="579"/>
      <c r="P94" s="579"/>
      <c r="Q94" s="579"/>
      <c r="R94" s="579"/>
      <c r="S94" s="580"/>
      <c r="T94" s="581">
        <f>M82</f>
        <v>0</v>
      </c>
      <c r="U94" s="581"/>
      <c r="V94" s="581"/>
      <c r="W94" s="581"/>
      <c r="X94" s="582"/>
      <c r="Y94" s="583">
        <f>M88</f>
        <v>0</v>
      </c>
      <c r="Z94" s="584"/>
      <c r="AA94" s="584"/>
      <c r="AB94" s="584"/>
      <c r="AC94" s="585"/>
      <c r="AD94" s="4"/>
    </row>
    <row r="95" spans="1:30" ht="15" customHeight="1" thickBot="1">
      <c r="A95" s="189"/>
      <c r="B95" s="627"/>
      <c r="C95" s="628"/>
      <c r="D95" s="628"/>
      <c r="E95" s="628"/>
      <c r="F95" s="628"/>
      <c r="G95" s="628"/>
      <c r="H95" s="629"/>
      <c r="I95" s="193"/>
      <c r="J95" s="586" t="s">
        <v>67</v>
      </c>
      <c r="K95" s="587"/>
      <c r="L95" s="588"/>
      <c r="M95" s="589">
        <f>SUM(T95:AC95)</f>
        <v>0</v>
      </c>
      <c r="N95" s="590"/>
      <c r="O95" s="590"/>
      <c r="P95" s="590"/>
      <c r="Q95" s="590"/>
      <c r="R95" s="590"/>
      <c r="S95" s="591"/>
      <c r="T95" s="592">
        <f>+M83</f>
        <v>0</v>
      </c>
      <c r="U95" s="592"/>
      <c r="V95" s="592"/>
      <c r="W95" s="592"/>
      <c r="X95" s="593"/>
      <c r="Y95" s="592">
        <f>+M89</f>
        <v>0</v>
      </c>
      <c r="Z95" s="592"/>
      <c r="AA95" s="592"/>
      <c r="AB95" s="592"/>
      <c r="AC95" s="594"/>
      <c r="AD95" s="4"/>
    </row>
    <row r="96" spans="1:30" ht="15" customHeight="1" thickTop="1">
      <c r="A96" s="189"/>
      <c r="B96" s="551" t="s">
        <v>68</v>
      </c>
      <c r="C96" s="552"/>
      <c r="D96" s="552"/>
      <c r="E96" s="552"/>
      <c r="F96" s="552"/>
      <c r="G96" s="552"/>
      <c r="H96" s="553"/>
      <c r="I96" s="193"/>
      <c r="J96" s="557" t="s">
        <v>66</v>
      </c>
      <c r="K96" s="558"/>
      <c r="L96" s="559"/>
      <c r="M96" s="560">
        <f>SUM(T96:AC96)</f>
        <v>0</v>
      </c>
      <c r="N96" s="561"/>
      <c r="O96" s="561"/>
      <c r="P96" s="561"/>
      <c r="Q96" s="561"/>
      <c r="R96" s="561"/>
      <c r="S96" s="562"/>
      <c r="T96" s="563">
        <f>+M84</f>
        <v>0</v>
      </c>
      <c r="U96" s="563"/>
      <c r="V96" s="563"/>
      <c r="W96" s="563"/>
      <c r="X96" s="563"/>
      <c r="Y96" s="564">
        <f>+M90</f>
        <v>0</v>
      </c>
      <c r="Z96" s="563"/>
      <c r="AA96" s="563"/>
      <c r="AB96" s="563"/>
      <c r="AC96" s="565"/>
      <c r="AD96" s="4"/>
    </row>
    <row r="97" spans="1:30" ht="15" customHeight="1" thickBot="1">
      <c r="A97" s="189"/>
      <c r="B97" s="554"/>
      <c r="C97" s="555"/>
      <c r="D97" s="555"/>
      <c r="E97" s="555"/>
      <c r="F97" s="555"/>
      <c r="G97" s="555"/>
      <c r="H97" s="556"/>
      <c r="I97" s="13"/>
      <c r="J97" s="566" t="s">
        <v>67</v>
      </c>
      <c r="K97" s="567"/>
      <c r="L97" s="568"/>
      <c r="M97" s="569">
        <f>SUM(T97:AC97)</f>
        <v>0</v>
      </c>
      <c r="N97" s="570"/>
      <c r="O97" s="570"/>
      <c r="P97" s="570"/>
      <c r="Q97" s="570"/>
      <c r="R97" s="570"/>
      <c r="S97" s="571"/>
      <c r="T97" s="572">
        <f>+M85</f>
        <v>0</v>
      </c>
      <c r="U97" s="573"/>
      <c r="V97" s="573"/>
      <c r="W97" s="573"/>
      <c r="X97" s="574"/>
      <c r="Y97" s="575">
        <f>+M91</f>
        <v>0</v>
      </c>
      <c r="Z97" s="576"/>
      <c r="AA97" s="576"/>
      <c r="AB97" s="576"/>
      <c r="AC97" s="577"/>
      <c r="AD97" s="4"/>
    </row>
    <row r="98" spans="1:30" ht="5.0999999999999996" customHeight="1" thickTop="1" thickBot="1">
      <c r="A98" s="4"/>
      <c r="B98" s="35"/>
      <c r="C98" s="35"/>
      <c r="D98" s="35"/>
      <c r="E98" s="35"/>
      <c r="F98" s="35"/>
      <c r="G98" s="35"/>
      <c r="H98" s="192"/>
      <c r="I98" s="4"/>
      <c r="J98" s="15"/>
      <c r="K98" s="15"/>
      <c r="L98" s="15"/>
      <c r="M98" s="15"/>
      <c r="N98" s="15"/>
      <c r="O98" s="15"/>
      <c r="P98" s="15"/>
      <c r="Q98" s="15"/>
      <c r="R98" s="15"/>
      <c r="S98" s="15"/>
      <c r="T98" s="15"/>
      <c r="U98" s="15"/>
      <c r="V98" s="15"/>
      <c r="W98" s="15"/>
      <c r="X98" s="15"/>
      <c r="Y98" s="15"/>
      <c r="Z98" s="15"/>
      <c r="AA98" s="15"/>
      <c r="AB98" s="15"/>
      <c r="AC98" s="15"/>
      <c r="AD98" s="4"/>
    </row>
    <row r="99" spans="1:30" ht="31.5" customHeight="1" thickBot="1">
      <c r="A99" s="4"/>
      <c r="B99" s="644" t="s">
        <v>1037</v>
      </c>
      <c r="C99" s="645"/>
      <c r="D99" s="645"/>
      <c r="E99" s="645"/>
      <c r="F99" s="645"/>
      <c r="G99" s="645"/>
      <c r="H99" s="646"/>
      <c r="I99" s="12"/>
      <c r="J99" s="647" t="s">
        <v>62</v>
      </c>
      <c r="K99" s="648"/>
      <c r="L99" s="649"/>
      <c r="M99" s="650" t="s">
        <v>63</v>
      </c>
      <c r="N99" s="651"/>
      <c r="O99" s="651"/>
      <c r="P99" s="651"/>
      <c r="Q99" s="651"/>
      <c r="R99" s="651"/>
      <c r="S99" s="652"/>
      <c r="T99" s="651" t="s">
        <v>981</v>
      </c>
      <c r="U99" s="651"/>
      <c r="V99" s="651"/>
      <c r="W99" s="651"/>
      <c r="X99" s="651"/>
      <c r="Y99" s="650" t="s">
        <v>982</v>
      </c>
      <c r="Z99" s="651"/>
      <c r="AA99" s="651"/>
      <c r="AB99" s="651"/>
      <c r="AC99" s="652"/>
      <c r="AD99" s="4"/>
    </row>
    <row r="100" spans="1:30">
      <c r="A100" s="4"/>
      <c r="B100" s="653" t="s">
        <v>978</v>
      </c>
      <c r="C100" s="654"/>
      <c r="D100" s="654"/>
      <c r="E100" s="654"/>
      <c r="F100" s="654"/>
      <c r="G100" s="654"/>
      <c r="H100" s="655"/>
      <c r="I100" s="13"/>
      <c r="J100" s="659" t="s">
        <v>66</v>
      </c>
      <c r="K100" s="631"/>
      <c r="L100" s="660"/>
      <c r="M100" s="661">
        <f>SUM(T100:AC100)</f>
        <v>0</v>
      </c>
      <c r="N100" s="579"/>
      <c r="O100" s="579"/>
      <c r="P100" s="579"/>
      <c r="Q100" s="579"/>
      <c r="R100" s="579"/>
      <c r="S100" s="662"/>
      <c r="T100" s="581">
        <f>+REPOSICIÓN!M61</f>
        <v>0</v>
      </c>
      <c r="U100" s="581"/>
      <c r="V100" s="581"/>
      <c r="W100" s="581"/>
      <c r="X100" s="581"/>
      <c r="Y100" s="663">
        <f>+REPOSICIÓN!O85</f>
        <v>0</v>
      </c>
      <c r="Z100" s="584"/>
      <c r="AA100" s="584"/>
      <c r="AB100" s="584"/>
      <c r="AC100" s="664"/>
      <c r="AD100" s="4"/>
    </row>
    <row r="101" spans="1:30" ht="17.25" thickBot="1">
      <c r="A101" s="4"/>
      <c r="B101" s="656"/>
      <c r="C101" s="657"/>
      <c r="D101" s="657"/>
      <c r="E101" s="657"/>
      <c r="F101" s="657"/>
      <c r="G101" s="657"/>
      <c r="H101" s="658"/>
      <c r="I101" s="13"/>
      <c r="J101" s="539" t="s">
        <v>67</v>
      </c>
      <c r="K101" s="540"/>
      <c r="L101" s="541"/>
      <c r="M101" s="665">
        <f>SUM(T101:AC101)</f>
        <v>0</v>
      </c>
      <c r="N101" s="666"/>
      <c r="O101" s="666"/>
      <c r="P101" s="666"/>
      <c r="Q101" s="666"/>
      <c r="R101" s="666"/>
      <c r="S101" s="667"/>
      <c r="T101" s="549">
        <f>+T100*J104</f>
        <v>0</v>
      </c>
      <c r="U101" s="549"/>
      <c r="V101" s="549"/>
      <c r="W101" s="549"/>
      <c r="X101" s="549"/>
      <c r="Y101" s="548">
        <f>+Y100*J104</f>
        <v>0</v>
      </c>
      <c r="Z101" s="549"/>
      <c r="AA101" s="549"/>
      <c r="AB101" s="549"/>
      <c r="AC101" s="550"/>
      <c r="AD101" s="4"/>
    </row>
    <row r="102" spans="1:30">
      <c r="B102" s="633" t="s">
        <v>997</v>
      </c>
      <c r="C102" s="633"/>
      <c r="D102" s="633"/>
      <c r="E102" s="633"/>
      <c r="F102" s="633"/>
      <c r="G102" s="633"/>
      <c r="H102" s="633"/>
      <c r="I102" s="633"/>
      <c r="J102" s="633"/>
      <c r="K102" s="633"/>
      <c r="L102" s="633"/>
      <c r="M102" s="633"/>
      <c r="N102" s="633"/>
      <c r="O102" s="633"/>
      <c r="P102" s="633"/>
      <c r="Q102" s="633"/>
      <c r="R102" s="633"/>
      <c r="S102" s="633"/>
      <c r="T102" s="633"/>
      <c r="U102" s="633"/>
      <c r="V102" s="633"/>
      <c r="W102" s="633"/>
      <c r="X102" s="633"/>
      <c r="Y102" s="633"/>
      <c r="Z102" s="633"/>
      <c r="AA102" s="633"/>
      <c r="AB102" s="633"/>
      <c r="AC102" s="633"/>
    </row>
    <row r="103" spans="1:30" s="144" customFormat="1" ht="5.0999999999999996" customHeight="1">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5"/>
      <c r="AB103" s="155"/>
      <c r="AC103" s="155"/>
    </row>
    <row r="104" spans="1:30">
      <c r="A104" s="144"/>
      <c r="B104" s="640" t="s">
        <v>73</v>
      </c>
      <c r="C104" s="640"/>
      <c r="D104" s="640"/>
      <c r="E104" s="640"/>
      <c r="F104" s="640"/>
      <c r="G104" s="640"/>
      <c r="H104" s="640"/>
      <c r="I104" s="153" t="s">
        <v>0</v>
      </c>
      <c r="J104" s="641">
        <v>3.58</v>
      </c>
      <c r="K104" s="642"/>
      <c r="L104" s="643"/>
      <c r="M104" s="39" t="s">
        <v>74</v>
      </c>
      <c r="N104" s="73"/>
      <c r="O104" s="73"/>
      <c r="P104" s="73"/>
      <c r="R104" s="144"/>
      <c r="S104" s="144"/>
      <c r="T104" s="5"/>
      <c r="U104" s="5"/>
      <c r="V104" s="4"/>
      <c r="W104" s="4"/>
      <c r="X104" s="4"/>
      <c r="Y104" s="4"/>
      <c r="Z104" s="4"/>
      <c r="AA104" s="4"/>
      <c r="AB104" s="4"/>
      <c r="AC104" s="4"/>
      <c r="AD104" s="4"/>
    </row>
    <row r="105" spans="1:30" ht="5.0999999999999996" customHeight="1">
      <c r="A105" s="144"/>
      <c r="B105" s="152"/>
      <c r="C105" s="4"/>
      <c r="D105" s="4"/>
      <c r="E105" s="4"/>
      <c r="F105" s="42"/>
      <c r="G105" s="42"/>
      <c r="H105" s="42"/>
      <c r="I105" s="42"/>
      <c r="J105" s="42"/>
      <c r="K105" s="5"/>
      <c r="L105" s="53"/>
      <c r="M105" s="53"/>
      <c r="N105" s="144"/>
      <c r="O105" s="144"/>
      <c r="P105" s="144"/>
      <c r="Q105" s="144"/>
      <c r="R105" s="144"/>
      <c r="S105" s="144"/>
      <c r="T105" s="5"/>
      <c r="U105" s="5"/>
      <c r="V105" s="4"/>
      <c r="W105" s="4"/>
      <c r="X105" s="4"/>
      <c r="Y105" s="4"/>
      <c r="Z105" s="4"/>
      <c r="AA105" s="4"/>
      <c r="AB105" s="4"/>
      <c r="AC105" s="4"/>
      <c r="AD105" s="4"/>
    </row>
    <row r="106" spans="1:30" ht="15.75" customHeight="1">
      <c r="A106" s="144"/>
      <c r="B106" s="152" t="s">
        <v>1005</v>
      </c>
      <c r="C106" s="4"/>
      <c r="D106" s="4"/>
      <c r="E106" s="4"/>
      <c r="F106" s="42"/>
      <c r="G106" s="42"/>
      <c r="H106" s="42"/>
      <c r="I106" s="42"/>
      <c r="J106" s="42"/>
      <c r="K106" s="5"/>
      <c r="L106" s="53"/>
      <c r="M106" s="53"/>
      <c r="N106" s="144"/>
      <c r="O106" s="144"/>
      <c r="P106" s="144"/>
      <c r="Q106" s="144"/>
      <c r="R106" s="144"/>
      <c r="S106" s="144"/>
      <c r="T106" s="5"/>
      <c r="U106" s="5"/>
      <c r="V106" s="4"/>
      <c r="W106" s="4"/>
      <c r="X106" s="4"/>
      <c r="Y106" s="4"/>
      <c r="Z106" s="4"/>
      <c r="AA106" s="4"/>
      <c r="AB106" s="4"/>
      <c r="AC106" s="4"/>
      <c r="AD106" s="4"/>
    </row>
    <row r="107" spans="1:30" ht="5.0999999999999996" customHeight="1">
      <c r="A107" s="144"/>
      <c r="B107" s="152"/>
      <c r="C107" s="4"/>
      <c r="D107" s="4"/>
      <c r="E107" s="4"/>
      <c r="F107" s="42"/>
      <c r="G107" s="42"/>
      <c r="H107" s="42"/>
      <c r="I107" s="42"/>
      <c r="J107" s="42"/>
      <c r="K107" s="5"/>
      <c r="L107" s="53"/>
      <c r="M107" s="53"/>
      <c r="N107" s="144"/>
      <c r="O107" s="144"/>
      <c r="P107" s="144"/>
      <c r="Q107" s="144"/>
      <c r="R107" s="144"/>
      <c r="S107" s="144"/>
      <c r="T107" s="5"/>
      <c r="U107" s="5"/>
      <c r="V107" s="4"/>
      <c r="W107" s="4"/>
      <c r="X107" s="4"/>
      <c r="Y107" s="4"/>
      <c r="Z107" s="4"/>
      <c r="AA107" s="4"/>
      <c r="AB107" s="4"/>
      <c r="AC107" s="4"/>
      <c r="AD107" s="4"/>
    </row>
    <row r="108" spans="1:30" ht="15.75" customHeight="1">
      <c r="A108" s="144"/>
      <c r="B108" s="634"/>
      <c r="C108" s="634"/>
      <c r="D108" s="634"/>
      <c r="E108" s="4"/>
      <c r="F108" s="635" t="s">
        <v>999</v>
      </c>
      <c r="G108" s="635"/>
      <c r="H108" s="635"/>
      <c r="I108" s="635"/>
      <c r="J108" s="636" t="s">
        <v>1000</v>
      </c>
      <c r="K108" s="636"/>
      <c r="L108" s="636"/>
      <c r="M108" s="636"/>
      <c r="N108" s="636"/>
      <c r="O108" s="636" t="s">
        <v>1001</v>
      </c>
      <c r="P108" s="636"/>
      <c r="Q108" s="636"/>
      <c r="R108" s="636"/>
      <c r="S108" s="637" t="s">
        <v>1002</v>
      </c>
      <c r="T108" s="637"/>
      <c r="U108" s="637"/>
      <c r="V108" s="636" t="s">
        <v>1003</v>
      </c>
      <c r="W108" s="636"/>
      <c r="X108" s="636"/>
      <c r="Y108" s="636"/>
      <c r="Z108" s="636"/>
      <c r="AA108" s="636" t="s">
        <v>1004</v>
      </c>
      <c r="AB108" s="636"/>
      <c r="AC108" s="636"/>
      <c r="AD108" s="4"/>
    </row>
    <row r="109" spans="1:30">
      <c r="A109" s="144"/>
      <c r="B109" s="769" t="s">
        <v>775</v>
      </c>
      <c r="C109" s="769"/>
      <c r="D109" s="769"/>
      <c r="E109" s="769"/>
      <c r="F109" s="616" t="s">
        <v>1091</v>
      </c>
      <c r="G109" s="617"/>
      <c r="H109" s="617"/>
      <c r="I109" s="618"/>
      <c r="J109" s="619"/>
      <c r="K109" s="620"/>
      <c r="L109" s="620"/>
      <c r="M109" s="620"/>
      <c r="N109" s="621"/>
      <c r="O109" s="619"/>
      <c r="P109" s="620"/>
      <c r="Q109" s="620"/>
      <c r="R109" s="621"/>
      <c r="S109" s="610">
        <f>+J109-O109</f>
        <v>0</v>
      </c>
      <c r="T109" s="611"/>
      <c r="U109" s="612"/>
      <c r="V109" s="610"/>
      <c r="W109" s="611"/>
      <c r="X109" s="611"/>
      <c r="Y109" s="611"/>
      <c r="Z109" s="612"/>
      <c r="AA109" s="613"/>
      <c r="AB109" s="614"/>
      <c r="AC109" s="615"/>
      <c r="AD109" s="4"/>
    </row>
    <row r="110" spans="1:30">
      <c r="A110" s="144"/>
      <c r="B110" s="769" t="s">
        <v>776</v>
      </c>
      <c r="C110" s="769"/>
      <c r="D110" s="769"/>
      <c r="E110" s="769"/>
      <c r="F110" s="616" t="s">
        <v>1249</v>
      </c>
      <c r="G110" s="617"/>
      <c r="H110" s="617"/>
      <c r="I110" s="618"/>
      <c r="J110" s="619"/>
      <c r="K110" s="620"/>
      <c r="L110" s="620"/>
      <c r="M110" s="620"/>
      <c r="N110" s="621"/>
      <c r="O110" s="619"/>
      <c r="P110" s="620"/>
      <c r="Q110" s="620"/>
      <c r="R110" s="621"/>
      <c r="S110" s="610">
        <f t="shared" ref="S110:S111" si="0">+J110-O110</f>
        <v>0</v>
      </c>
      <c r="T110" s="611"/>
      <c r="U110" s="612"/>
      <c r="V110" s="610"/>
      <c r="W110" s="611"/>
      <c r="X110" s="611"/>
      <c r="Y110" s="611"/>
      <c r="Z110" s="612"/>
      <c r="AA110" s="613"/>
      <c r="AB110" s="614"/>
      <c r="AC110" s="615"/>
      <c r="AD110" s="4"/>
    </row>
    <row r="111" spans="1:30">
      <c r="A111" s="144"/>
      <c r="B111" s="769" t="s">
        <v>57</v>
      </c>
      <c r="C111" s="769"/>
      <c r="D111" s="769"/>
      <c r="E111" s="769"/>
      <c r="F111" s="616" t="s">
        <v>1250</v>
      </c>
      <c r="G111" s="617"/>
      <c r="H111" s="617"/>
      <c r="I111" s="618"/>
      <c r="J111" s="619"/>
      <c r="K111" s="620"/>
      <c r="L111" s="620"/>
      <c r="M111" s="620"/>
      <c r="N111" s="621"/>
      <c r="O111" s="619"/>
      <c r="P111" s="620"/>
      <c r="Q111" s="620"/>
      <c r="R111" s="621"/>
      <c r="S111" s="610">
        <f t="shared" si="0"/>
        <v>0</v>
      </c>
      <c r="T111" s="611"/>
      <c r="U111" s="612"/>
      <c r="V111" s="610"/>
      <c r="W111" s="611"/>
      <c r="X111" s="611"/>
      <c r="Y111" s="611"/>
      <c r="Z111" s="612"/>
      <c r="AA111" s="613"/>
      <c r="AB111" s="614"/>
      <c r="AC111" s="615"/>
      <c r="AD111" s="4"/>
    </row>
    <row r="112" spans="1:30">
      <c r="B112" s="769" t="s">
        <v>998</v>
      </c>
      <c r="C112" s="769"/>
      <c r="D112" s="769"/>
      <c r="E112" s="769"/>
      <c r="F112" s="616"/>
      <c r="G112" s="617"/>
      <c r="H112" s="617"/>
      <c r="I112" s="618"/>
      <c r="J112" s="616"/>
      <c r="K112" s="617"/>
      <c r="L112" s="617"/>
      <c r="M112" s="617"/>
      <c r="N112" s="618"/>
      <c r="O112" s="616"/>
      <c r="P112" s="617"/>
      <c r="Q112" s="617"/>
      <c r="R112" s="618"/>
      <c r="S112" s="613"/>
      <c r="T112" s="614"/>
      <c r="U112" s="615"/>
      <c r="V112" s="613"/>
      <c r="W112" s="614"/>
      <c r="X112" s="614"/>
      <c r="Y112" s="614"/>
      <c r="Z112" s="615"/>
      <c r="AA112" s="613"/>
      <c r="AB112" s="614"/>
      <c r="AC112" s="615"/>
      <c r="AD112" s="4"/>
    </row>
    <row r="113" spans="1:30">
      <c r="A113" s="144"/>
      <c r="B113" s="9"/>
      <c r="C113" s="10"/>
      <c r="D113" s="10"/>
      <c r="E113" s="10"/>
      <c r="F113" s="10"/>
      <c r="G113" s="10"/>
      <c r="H113" s="10"/>
      <c r="I113" s="10"/>
      <c r="J113" s="10"/>
      <c r="K113" s="9"/>
      <c r="L113" s="9"/>
      <c r="M113" s="9"/>
      <c r="N113" s="9"/>
      <c r="O113" s="9"/>
      <c r="P113" s="9"/>
      <c r="Q113" s="9"/>
      <c r="R113" s="9"/>
      <c r="S113" s="9"/>
      <c r="T113" s="9"/>
      <c r="U113" s="9"/>
      <c r="V113" s="9"/>
      <c r="W113" s="9"/>
      <c r="X113" s="9"/>
      <c r="Y113" s="9"/>
      <c r="Z113" s="9"/>
      <c r="AA113" s="9"/>
      <c r="AB113" s="9"/>
      <c r="AC113" s="9"/>
      <c r="AD113" s="9"/>
    </row>
    <row r="114" spans="1:30">
      <c r="A114" s="144"/>
      <c r="B114" s="9"/>
      <c r="C114" s="10"/>
      <c r="D114" s="10"/>
      <c r="E114" s="10"/>
      <c r="F114" s="10"/>
      <c r="G114" s="10"/>
      <c r="H114" s="10"/>
      <c r="I114" s="10"/>
      <c r="J114" s="10"/>
      <c r="K114" s="9"/>
      <c r="L114" s="9"/>
      <c r="M114" s="9"/>
      <c r="N114" s="9"/>
      <c r="O114" s="9"/>
      <c r="P114" s="9"/>
      <c r="Q114" s="9"/>
      <c r="R114" s="9"/>
      <c r="S114" s="9"/>
      <c r="T114" s="9"/>
      <c r="U114" s="9"/>
      <c r="V114" s="9"/>
      <c r="W114" s="9"/>
      <c r="X114" s="9"/>
      <c r="Y114" s="9"/>
      <c r="Z114" s="9"/>
      <c r="AA114" s="9"/>
      <c r="AB114" s="9"/>
      <c r="AC114" s="9"/>
      <c r="AD114" s="9"/>
    </row>
    <row r="115" spans="1:30" ht="63" customHeight="1">
      <c r="A115" s="144"/>
      <c r="B115" s="9"/>
      <c r="C115" s="10"/>
      <c r="D115" s="10"/>
      <c r="E115" s="10"/>
      <c r="F115" s="10"/>
      <c r="G115" s="10"/>
      <c r="H115" s="10"/>
      <c r="I115" s="10"/>
      <c r="J115" s="10"/>
      <c r="K115" s="9"/>
      <c r="L115" s="9"/>
      <c r="M115" s="9"/>
      <c r="N115" s="9"/>
      <c r="O115" s="9"/>
      <c r="P115" s="9"/>
      <c r="Q115" s="9"/>
      <c r="R115" s="9"/>
      <c r="S115" s="9"/>
      <c r="T115" s="9"/>
      <c r="U115" s="9"/>
      <c r="V115" s="9"/>
      <c r="W115" s="9"/>
      <c r="X115" s="9"/>
      <c r="Y115" s="9"/>
      <c r="Z115" s="9"/>
      <c r="AA115" s="9"/>
      <c r="AB115" s="9"/>
      <c r="AC115" s="9"/>
      <c r="AD115" s="9"/>
    </row>
    <row r="116" spans="1:30">
      <c r="A116" s="144"/>
      <c r="B116" s="9"/>
      <c r="C116" s="10"/>
      <c r="D116" s="10"/>
      <c r="E116" s="10"/>
      <c r="F116" s="10"/>
      <c r="G116" s="10"/>
      <c r="H116" s="10"/>
      <c r="I116" s="10"/>
      <c r="J116" s="10"/>
      <c r="K116" s="9"/>
      <c r="L116" s="9"/>
      <c r="M116" s="9"/>
      <c r="N116" s="9"/>
      <c r="O116" s="9"/>
      <c r="P116" s="9"/>
      <c r="Q116" s="9"/>
      <c r="R116" s="9"/>
      <c r="S116" s="9"/>
      <c r="T116" s="9"/>
      <c r="U116" s="9"/>
      <c r="V116" s="9"/>
      <c r="W116" s="9"/>
      <c r="X116" s="9"/>
      <c r="Y116" s="9"/>
      <c r="Z116" s="9"/>
      <c r="AA116" s="9"/>
      <c r="AB116" s="9"/>
      <c r="AC116" s="9"/>
      <c r="AD116" s="9"/>
    </row>
    <row r="117" spans="1:30" ht="15.75" customHeight="1">
      <c r="A117" s="144"/>
      <c r="B117" s="144"/>
      <c r="C117" s="144"/>
      <c r="D117" s="144"/>
      <c r="E117" s="144"/>
      <c r="F117" s="144"/>
      <c r="G117" s="144"/>
      <c r="H117" s="144"/>
      <c r="I117" s="144"/>
      <c r="J117" s="144"/>
      <c r="K117" s="144"/>
      <c r="L117" s="144"/>
      <c r="M117" s="144"/>
      <c r="N117" s="144"/>
      <c r="O117" s="144"/>
      <c r="P117" s="6"/>
      <c r="Q117" s="6"/>
      <c r="R117" s="6"/>
      <c r="S117" s="6"/>
      <c r="T117" s="760" t="s">
        <v>75</v>
      </c>
      <c r="U117" s="760"/>
      <c r="V117" s="770" t="s">
        <v>1114</v>
      </c>
      <c r="W117" s="770"/>
      <c r="X117" s="770"/>
      <c r="Y117" s="770"/>
      <c r="Z117" s="770"/>
      <c r="AA117" s="770"/>
      <c r="AB117" s="770"/>
      <c r="AC117" s="770"/>
      <c r="AD117" s="770"/>
    </row>
    <row r="118" spans="1:30">
      <c r="A118" s="144"/>
      <c r="B118" s="144"/>
      <c r="C118" s="144"/>
      <c r="D118" s="144"/>
      <c r="E118" s="144"/>
      <c r="F118" s="144"/>
      <c r="G118" s="144"/>
      <c r="H118" s="144"/>
      <c r="I118" s="144"/>
      <c r="J118" s="144"/>
      <c r="K118" s="144"/>
      <c r="L118" s="144"/>
      <c r="M118" s="144"/>
      <c r="N118" s="144"/>
      <c r="O118" s="144"/>
      <c r="P118" s="6"/>
      <c r="Q118" s="6"/>
      <c r="R118" s="6"/>
      <c r="S118" s="6"/>
      <c r="T118" s="760" t="s">
        <v>76</v>
      </c>
      <c r="U118" s="760"/>
      <c r="V118" s="761" t="s">
        <v>1113</v>
      </c>
      <c r="W118" s="761"/>
      <c r="X118" s="761"/>
      <c r="Y118" s="761"/>
      <c r="Z118" s="761"/>
      <c r="AA118" s="761"/>
      <c r="AB118" s="761"/>
      <c r="AC118" s="761"/>
      <c r="AD118" s="761"/>
    </row>
  </sheetData>
  <mergeCells count="224">
    <mergeCell ref="F42:J42"/>
    <mergeCell ref="B51:F51"/>
    <mergeCell ref="B109:E109"/>
    <mergeCell ref="B110:E110"/>
    <mergeCell ref="B111:E111"/>
    <mergeCell ref="B112:E112"/>
    <mergeCell ref="F109:I109"/>
    <mergeCell ref="T117:U117"/>
    <mergeCell ref="V117:AD117"/>
    <mergeCell ref="L44:Q44"/>
    <mergeCell ref="R44:AC44"/>
    <mergeCell ref="L42:M42"/>
    <mergeCell ref="B44:E44"/>
    <mergeCell ref="T81:X81"/>
    <mergeCell ref="Y81:AC81"/>
    <mergeCell ref="B82:H83"/>
    <mergeCell ref="J82:L82"/>
    <mergeCell ref="M82:S82"/>
    <mergeCell ref="T82:X82"/>
    <mergeCell ref="Y82:AC82"/>
    <mergeCell ref="J83:L83"/>
    <mergeCell ref="M83:S83"/>
    <mergeCell ref="T83:X83"/>
    <mergeCell ref="Y83:AC83"/>
    <mergeCell ref="T118:U118"/>
    <mergeCell ref="V118:AD118"/>
    <mergeCell ref="G17:L17"/>
    <mergeCell ref="S17:Z17"/>
    <mergeCell ref="S40:T40"/>
    <mergeCell ref="V40:AA40"/>
    <mergeCell ref="AB40:AC40"/>
    <mergeCell ref="O36:R36"/>
    <mergeCell ref="F24:R24"/>
    <mergeCell ref="F26:H26"/>
    <mergeCell ref="L39:M39"/>
    <mergeCell ref="L40:M40"/>
    <mergeCell ref="O40:R40"/>
    <mergeCell ref="B46:M46"/>
    <mergeCell ref="B48:M48"/>
    <mergeCell ref="N46:O46"/>
    <mergeCell ref="N48:O48"/>
    <mergeCell ref="R53:T53"/>
    <mergeCell ref="X20:AC20"/>
    <mergeCell ref="W48:X48"/>
    <mergeCell ref="Q48:V48"/>
    <mergeCell ref="G51:H51"/>
    <mergeCell ref="P51:S51"/>
    <mergeCell ref="F44:J44"/>
    <mergeCell ref="B34:E34"/>
    <mergeCell ref="F36:I36"/>
    <mergeCell ref="B36:E36"/>
    <mergeCell ref="B40:E40"/>
    <mergeCell ref="F40:J40"/>
    <mergeCell ref="F39:J39"/>
    <mergeCell ref="B26:E26"/>
    <mergeCell ref="F20:R20"/>
    <mergeCell ref="F22:G22"/>
    <mergeCell ref="I22:L22"/>
    <mergeCell ref="F30:AC30"/>
    <mergeCell ref="O34:Q34"/>
    <mergeCell ref="H34:J34"/>
    <mergeCell ref="K36:N36"/>
    <mergeCell ref="F32:J32"/>
    <mergeCell ref="O32:S32"/>
    <mergeCell ref="Y32:AC32"/>
    <mergeCell ref="F41:J41"/>
    <mergeCell ref="L41:M41"/>
    <mergeCell ref="F60:AC62"/>
    <mergeCell ref="B60:E61"/>
    <mergeCell ref="S57:AC58"/>
    <mergeCell ref="A1:AD1"/>
    <mergeCell ref="A2:AD2"/>
    <mergeCell ref="J26:M26"/>
    <mergeCell ref="N26:P26"/>
    <mergeCell ref="U53:V53"/>
    <mergeCell ref="B55:G55"/>
    <mergeCell ref="D57:E57"/>
    <mergeCell ref="G57:I57"/>
    <mergeCell ref="J57:K57"/>
    <mergeCell ref="B57:C57"/>
    <mergeCell ref="M57:R58"/>
    <mergeCell ref="J51:O51"/>
    <mergeCell ref="B53:G53"/>
    <mergeCell ref="H53:I53"/>
    <mergeCell ref="K53:N53"/>
    <mergeCell ref="O53:P53"/>
    <mergeCell ref="B20:E20"/>
    <mergeCell ref="B22:E22"/>
    <mergeCell ref="B24:E24"/>
    <mergeCell ref="M90:S90"/>
    <mergeCell ref="B81:H81"/>
    <mergeCell ref="J81:L81"/>
    <mergeCell ref="M81:S81"/>
    <mergeCell ref="B84:H85"/>
    <mergeCell ref="J84:L84"/>
    <mergeCell ref="M84:S84"/>
    <mergeCell ref="T84:X84"/>
    <mergeCell ref="Y84:AC84"/>
    <mergeCell ref="J85:L85"/>
    <mergeCell ref="M85:S85"/>
    <mergeCell ref="T85:X85"/>
    <mergeCell ref="Y85:AC85"/>
    <mergeCell ref="B87:H87"/>
    <mergeCell ref="J87:L87"/>
    <mergeCell ref="M87:S87"/>
    <mergeCell ref="T87:X87"/>
    <mergeCell ref="Y87:AC87"/>
    <mergeCell ref="B88:H89"/>
    <mergeCell ref="J88:L88"/>
    <mergeCell ref="M88:S88"/>
    <mergeCell ref="T88:X88"/>
    <mergeCell ref="Y88:AC88"/>
    <mergeCell ref="J89:L89"/>
    <mergeCell ref="M89:S89"/>
    <mergeCell ref="T89:X89"/>
    <mergeCell ref="Y89:AC89"/>
    <mergeCell ref="B66:E66"/>
    <mergeCell ref="F66:I66"/>
    <mergeCell ref="K66:U66"/>
    <mergeCell ref="V66:W66"/>
    <mergeCell ref="B70:H70"/>
    <mergeCell ref="B71:H71"/>
    <mergeCell ref="B72:H72"/>
    <mergeCell ref="B73:H73"/>
    <mergeCell ref="B74:H74"/>
    <mergeCell ref="I70:L70"/>
    <mergeCell ref="I71:L71"/>
    <mergeCell ref="I72:L72"/>
    <mergeCell ref="I73:L73"/>
    <mergeCell ref="I74:L74"/>
    <mergeCell ref="M70:U70"/>
    <mergeCell ref="M71:U71"/>
    <mergeCell ref="M72:U72"/>
    <mergeCell ref="M73:U73"/>
    <mergeCell ref="M74:U74"/>
    <mergeCell ref="V70:Y70"/>
    <mergeCell ref="V71:Y71"/>
    <mergeCell ref="V72:Y72"/>
    <mergeCell ref="V73:Y73"/>
    <mergeCell ref="V74:Y74"/>
    <mergeCell ref="B76:AC77"/>
    <mergeCell ref="B104:H104"/>
    <mergeCell ref="J104:L104"/>
    <mergeCell ref="B99:H99"/>
    <mergeCell ref="J99:L99"/>
    <mergeCell ref="M99:S99"/>
    <mergeCell ref="T99:X99"/>
    <mergeCell ref="Y99:AC99"/>
    <mergeCell ref="B100:H101"/>
    <mergeCell ref="J100:L100"/>
    <mergeCell ref="M100:S100"/>
    <mergeCell ref="T100:X100"/>
    <mergeCell ref="Y100:AC100"/>
    <mergeCell ref="J101:L101"/>
    <mergeCell ref="M101:S101"/>
    <mergeCell ref="T101:X101"/>
    <mergeCell ref="Y101:AC101"/>
    <mergeCell ref="B93:H93"/>
    <mergeCell ref="J93:L93"/>
    <mergeCell ref="M93:S93"/>
    <mergeCell ref="T93:X93"/>
    <mergeCell ref="Y93:AC93"/>
    <mergeCell ref="B94:H95"/>
    <mergeCell ref="J94:L94"/>
    <mergeCell ref="O109:R109"/>
    <mergeCell ref="O110:R110"/>
    <mergeCell ref="O111:R111"/>
    <mergeCell ref="O112:R112"/>
    <mergeCell ref="B102:AC102"/>
    <mergeCell ref="B108:D108"/>
    <mergeCell ref="F108:I108"/>
    <mergeCell ref="O108:R108"/>
    <mergeCell ref="J108:N108"/>
    <mergeCell ref="S108:U108"/>
    <mergeCell ref="AA108:AC108"/>
    <mergeCell ref="V108:Z108"/>
    <mergeCell ref="AA55:AB55"/>
    <mergeCell ref="H55:K55"/>
    <mergeCell ref="N55:O55"/>
    <mergeCell ref="Q55:T55"/>
    <mergeCell ref="U55:X55"/>
    <mergeCell ref="V109:Z109"/>
    <mergeCell ref="V110:Z110"/>
    <mergeCell ref="V111:Z111"/>
    <mergeCell ref="V112:Z112"/>
    <mergeCell ref="AA109:AC109"/>
    <mergeCell ref="AA110:AC110"/>
    <mergeCell ref="AA111:AC111"/>
    <mergeCell ref="AA112:AC112"/>
    <mergeCell ref="S109:U109"/>
    <mergeCell ref="S110:U110"/>
    <mergeCell ref="S111:U111"/>
    <mergeCell ref="S112:U112"/>
    <mergeCell ref="F110:I110"/>
    <mergeCell ref="F111:I111"/>
    <mergeCell ref="F112:I112"/>
    <mergeCell ref="J109:N109"/>
    <mergeCell ref="J110:N110"/>
    <mergeCell ref="J111:N111"/>
    <mergeCell ref="J112:N112"/>
    <mergeCell ref="T90:X90"/>
    <mergeCell ref="Y90:AC90"/>
    <mergeCell ref="J91:L91"/>
    <mergeCell ref="M91:S91"/>
    <mergeCell ref="T91:X91"/>
    <mergeCell ref="Y91:AC91"/>
    <mergeCell ref="B96:H97"/>
    <mergeCell ref="J96:L96"/>
    <mergeCell ref="M96:S96"/>
    <mergeCell ref="T96:X96"/>
    <mergeCell ref="Y96:AC96"/>
    <mergeCell ref="J97:L97"/>
    <mergeCell ref="M97:S97"/>
    <mergeCell ref="T97:X97"/>
    <mergeCell ref="Y97:AC97"/>
    <mergeCell ref="M94:S94"/>
    <mergeCell ref="T94:X94"/>
    <mergeCell ref="Y94:AC94"/>
    <mergeCell ref="J95:L95"/>
    <mergeCell ref="M95:S95"/>
    <mergeCell ref="T95:X95"/>
    <mergeCell ref="Y95:AC95"/>
    <mergeCell ref="B90:H91"/>
    <mergeCell ref="J90:L90"/>
  </mergeCells>
  <conditionalFormatting sqref="F36">
    <cfRule type="expression" dxfId="36" priority="3">
      <formula>NOT(ISBLANK($K$27))</formula>
    </cfRule>
  </conditionalFormatting>
  <conditionalFormatting sqref="O34 T34:V36 M35:O35">
    <cfRule type="expression" dxfId="35" priority="4">
      <formula>NOT(ISBLANK($N$29))</formula>
    </cfRule>
  </conditionalFormatting>
  <conditionalFormatting sqref="O36">
    <cfRule type="expression" dxfId="34" priority="1">
      <formula>NOT(ISBLANK($K$27))</formula>
    </cfRule>
  </conditionalFormatting>
  <dataValidations count="3">
    <dataValidation type="list" allowBlank="1" showInputMessage="1" showErrorMessage="1" sqref="K48" xr:uid="{00000000-0002-0000-0000-000000000000}">
      <formula1>INDIRECT($AB$42)</formula1>
    </dataValidation>
    <dataValidation type="list" allowBlank="1" showInputMessage="1" showErrorMessage="1" sqref="F42:J42" xr:uid="{00000000-0002-0000-0000-000001000000}">
      <formula1>$E$3:$E$26</formula1>
    </dataValidation>
    <dataValidation type="list" allowBlank="1" showInputMessage="1" showErrorMessage="1" sqref="S40:T40" xr:uid="{00000000-0002-0000-0000-000002000000}">
      <formula1>$BP$3:$BP$4</formula1>
    </dataValidation>
  </dataValidations>
  <printOptions horizontalCentered="1"/>
  <pageMargins left="0.70866141732283472" right="0.70866141732283472" top="0.74803149606299213" bottom="0.74803149606299213" header="0.31496062992125984" footer="0.31496062992125984"/>
  <pageSetup paperSize="9" scale="46" orientation="portrait" r:id="rId1"/>
  <drawing r:id="rId2"/>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000-000003000000}">
          <x14:formula1>
            <xm:f>'Lista-Data'!$BP$3:$BP$4</xm:f>
          </x14:formula1>
          <xm:sqref>J57:K57 V66:W66 V71:Y74 N46:O46 N48:O48 W48:X48</xm:sqref>
        </x14:dataValidation>
        <x14:dataValidation type="list" allowBlank="1" showInputMessage="1" showErrorMessage="1" xr:uid="{00000000-0002-0000-0000-000004000000}">
          <x14:formula1>
            <xm:f>'Lista-Data'!$H$3:$H$7</xm:f>
          </x14:formula1>
          <xm:sqref>F36:I36</xm:sqref>
        </x14:dataValidation>
        <x14:dataValidation type="list" allowBlank="1" showInputMessage="1" showErrorMessage="1" xr:uid="{00000000-0002-0000-0000-000005000000}">
          <x14:formula1>
            <xm:f>'Lista-Data'!$E$3:$E$26</xm:f>
          </x14:formula1>
          <xm:sqref>F48:J48</xm:sqref>
        </x14:dataValidation>
        <x14:dataValidation type="list" allowBlank="1" showInputMessage="1" showErrorMessage="1" xr:uid="{00000000-0002-0000-0000-000006000000}">
          <x14:formula1>
            <xm:f>'Lista-Data'!$BS$3:$BS$5</xm:f>
          </x14:formula1>
          <xm:sqref>AB40:AC40</xm:sqref>
        </x14:dataValidation>
        <x14:dataValidation type="list" allowBlank="1" showInputMessage="1" showErrorMessage="1" xr:uid="{00000000-0002-0000-0000-000007000000}">
          <x14:formula1>
            <xm:f>'Lista-Data'!$O$3:$O$31</xm:f>
          </x14:formula1>
          <xm:sqref>F44:J44</xm:sqref>
        </x14:dataValidation>
        <x14:dataValidation type="list" allowBlank="1" showInputMessage="1" showErrorMessage="1" xr:uid="{00000000-0002-0000-0000-000008000000}">
          <x14:formula1>
            <xm:f>'Lista-Data'!$R$3:$R$6</xm:f>
          </x14:formula1>
          <xm:sqref>P51:S51</xm:sqref>
        </x14:dataValidation>
        <x14:dataValidation type="list" allowBlank="1" showInputMessage="1" showErrorMessage="1" xr:uid="{00000000-0002-0000-0000-000009000000}">
          <x14:formula1>
            <xm:f>'Lista-Data'!$V$3:$V$7</xm:f>
          </x14:formula1>
          <xm:sqref>H55</xm:sqref>
        </x14:dataValidation>
        <x14:dataValidation type="list" allowBlank="1" showInputMessage="1" showErrorMessage="1" xr:uid="{00000000-0002-0000-0000-00000A000000}">
          <x14:formula1>
            <xm:f>'Lista-Data'!$X$3:$X$4</xm:f>
          </x14:formula1>
          <xm:sqref>D57:E57</xm:sqref>
        </x14:dataValidation>
        <x14:dataValidation type="list" allowBlank="1" showInputMessage="1" showErrorMessage="1" xr:uid="{00000000-0002-0000-0000-00000B000000}">
          <x14:formula1>
            <xm:f>'Lista-Data'!$BZ$3:$BZ$8</xm:f>
          </x14:formula1>
          <xm:sqref>F66:I66</xm:sqref>
        </x14:dataValidation>
        <x14:dataValidation type="list" allowBlank="1" showInputMessage="1" showErrorMessage="1" xr:uid="{00000000-0002-0000-0000-00000C000000}">
          <x14:formula1>
            <xm:f>'Lista-Data'!$AC$3:$AC$5</xm:f>
          </x14:formula1>
          <xm:sqref>F109:I112</xm:sqref>
        </x14:dataValidation>
        <x14:dataValidation type="list" allowBlank="1" showInputMessage="1" showErrorMessage="1" xr:uid="{00000000-0002-0000-0000-00000D000000}">
          <x14:formula1>
            <xm:f>'Lista-Data'!$B$3:$B$5</xm:f>
          </x14:formula1>
          <xm:sqref>N26:P26</xm:sqref>
        </x14:dataValidation>
        <x14:dataValidation type="list" allowBlank="1" showInputMessage="1" showErrorMessage="1" xr:uid="{00000000-0002-0000-0000-00000E000000}">
          <x14:formula1>
            <xm:f>'Lista-Data'!#REF!</xm:f>
          </x14:formula1>
          <xm:sqref>O36:R36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T123"/>
  <sheetViews>
    <sheetView workbookViewId="0"/>
  </sheetViews>
  <sheetFormatPr baseColWidth="10" defaultRowHeight="12.75"/>
  <cols>
    <col min="1" max="1" width="1.42578125" style="272" customWidth="1"/>
    <col min="2" max="4" width="1.7109375" style="272" customWidth="1"/>
    <col min="5" max="5" width="1.85546875" style="272" customWidth="1"/>
    <col min="6" max="6" width="2" style="272" customWidth="1"/>
    <col min="7" max="7" width="1.28515625" style="272" customWidth="1"/>
    <col min="8" max="9" width="1.7109375" style="272" customWidth="1"/>
    <col min="10" max="10" width="5.140625" style="272" customWidth="1"/>
    <col min="11" max="12" width="1" style="272" customWidth="1"/>
    <col min="13" max="13" width="2.28515625" style="272" customWidth="1"/>
    <col min="14" max="15" width="1.7109375" style="272" customWidth="1"/>
    <col min="16" max="19" width="1" style="272" customWidth="1"/>
    <col min="20" max="25" width="1.5703125" style="272" customWidth="1"/>
    <col min="26" max="27" width="1" style="272" customWidth="1"/>
    <col min="28" max="53" width="1.7109375" style="272" customWidth="1"/>
    <col min="54" max="55" width="3" style="272" customWidth="1"/>
    <col min="56" max="56" width="1.7109375" style="272" customWidth="1"/>
    <col min="57" max="57" width="3.85546875" style="272" customWidth="1"/>
    <col min="58" max="59" width="1.7109375" style="272" customWidth="1"/>
    <col min="60" max="60" width="27.7109375" style="272" hidden="1" customWidth="1"/>
    <col min="61" max="61" width="13.85546875" style="272" hidden="1" customWidth="1"/>
    <col min="62" max="62" width="25.140625" style="272" hidden="1" customWidth="1"/>
    <col min="63" max="63" width="23.28515625" style="272" hidden="1" customWidth="1"/>
    <col min="64" max="64" width="11.5703125" style="272" hidden="1" customWidth="1"/>
    <col min="65" max="65" width="9.28515625" style="272" hidden="1" customWidth="1"/>
    <col min="66" max="66" width="8.85546875" style="272" hidden="1" customWidth="1"/>
    <col min="67" max="67" width="11" style="272" hidden="1" customWidth="1"/>
    <col min="68" max="68" width="16" style="272" hidden="1" customWidth="1"/>
    <col min="69" max="69" width="8.28515625" style="272" hidden="1" customWidth="1"/>
    <col min="70" max="72" width="1.7109375" style="272" hidden="1" customWidth="1"/>
    <col min="73" max="73" width="1.7109375" style="272" customWidth="1"/>
    <col min="74" max="81" width="10.7109375" style="272" customWidth="1"/>
    <col min="82" max="256" width="11.42578125" style="272"/>
    <col min="257" max="257" width="1.42578125" style="272" customWidth="1"/>
    <col min="258" max="260" width="1.7109375" style="272" customWidth="1"/>
    <col min="261" max="261" width="1.85546875" style="272" customWidth="1"/>
    <col min="262" max="262" width="2" style="272" customWidth="1"/>
    <col min="263" max="263" width="1.28515625" style="272" customWidth="1"/>
    <col min="264" max="265" width="1.7109375" style="272" customWidth="1"/>
    <col min="266" max="266" width="5.140625" style="272" customWidth="1"/>
    <col min="267" max="268" width="1" style="272" customWidth="1"/>
    <col min="269" max="269" width="2.28515625" style="272" customWidth="1"/>
    <col min="270" max="271" width="1.7109375" style="272" customWidth="1"/>
    <col min="272" max="275" width="1" style="272" customWidth="1"/>
    <col min="276" max="281" width="1.5703125" style="272" customWidth="1"/>
    <col min="282" max="283" width="1" style="272" customWidth="1"/>
    <col min="284" max="309" width="1.7109375" style="272" customWidth="1"/>
    <col min="310" max="311" width="3" style="272" customWidth="1"/>
    <col min="312" max="312" width="1.7109375" style="272" customWidth="1"/>
    <col min="313" max="313" width="3.85546875" style="272" customWidth="1"/>
    <col min="314" max="315" width="1.7109375" style="272" customWidth="1"/>
    <col min="316" max="328" width="0" style="272" hidden="1" customWidth="1"/>
    <col min="329" max="329" width="1.7109375" style="272" customWidth="1"/>
    <col min="330" max="337" width="10.7109375" style="272" customWidth="1"/>
    <col min="338" max="512" width="11.42578125" style="272"/>
    <col min="513" max="513" width="1.42578125" style="272" customWidth="1"/>
    <col min="514" max="516" width="1.7109375" style="272" customWidth="1"/>
    <col min="517" max="517" width="1.85546875" style="272" customWidth="1"/>
    <col min="518" max="518" width="2" style="272" customWidth="1"/>
    <col min="519" max="519" width="1.28515625" style="272" customWidth="1"/>
    <col min="520" max="521" width="1.7109375" style="272" customWidth="1"/>
    <col min="522" max="522" width="5.140625" style="272" customWidth="1"/>
    <col min="523" max="524" width="1" style="272" customWidth="1"/>
    <col min="525" max="525" width="2.28515625" style="272" customWidth="1"/>
    <col min="526" max="527" width="1.7109375" style="272" customWidth="1"/>
    <col min="528" max="531" width="1" style="272" customWidth="1"/>
    <col min="532" max="537" width="1.5703125" style="272" customWidth="1"/>
    <col min="538" max="539" width="1" style="272" customWidth="1"/>
    <col min="540" max="565" width="1.7109375" style="272" customWidth="1"/>
    <col min="566" max="567" width="3" style="272" customWidth="1"/>
    <col min="568" max="568" width="1.7109375" style="272" customWidth="1"/>
    <col min="569" max="569" width="3.85546875" style="272" customWidth="1"/>
    <col min="570" max="571" width="1.7109375" style="272" customWidth="1"/>
    <col min="572" max="584" width="0" style="272" hidden="1" customWidth="1"/>
    <col min="585" max="585" width="1.7109375" style="272" customWidth="1"/>
    <col min="586" max="593" width="10.7109375" style="272" customWidth="1"/>
    <col min="594" max="768" width="11.42578125" style="272"/>
    <col min="769" max="769" width="1.42578125" style="272" customWidth="1"/>
    <col min="770" max="772" width="1.7109375" style="272" customWidth="1"/>
    <col min="773" max="773" width="1.85546875" style="272" customWidth="1"/>
    <col min="774" max="774" width="2" style="272" customWidth="1"/>
    <col min="775" max="775" width="1.28515625" style="272" customWidth="1"/>
    <col min="776" max="777" width="1.7109375" style="272" customWidth="1"/>
    <col min="778" max="778" width="5.140625" style="272" customWidth="1"/>
    <col min="779" max="780" width="1" style="272" customWidth="1"/>
    <col min="781" max="781" width="2.28515625" style="272" customWidth="1"/>
    <col min="782" max="783" width="1.7109375" style="272" customWidth="1"/>
    <col min="784" max="787" width="1" style="272" customWidth="1"/>
    <col min="788" max="793" width="1.5703125" style="272" customWidth="1"/>
    <col min="794" max="795" width="1" style="272" customWidth="1"/>
    <col min="796" max="821" width="1.7109375" style="272" customWidth="1"/>
    <col min="822" max="823" width="3" style="272" customWidth="1"/>
    <col min="824" max="824" width="1.7109375" style="272" customWidth="1"/>
    <col min="825" max="825" width="3.85546875" style="272" customWidth="1"/>
    <col min="826" max="827" width="1.7109375" style="272" customWidth="1"/>
    <col min="828" max="840" width="0" style="272" hidden="1" customWidth="1"/>
    <col min="841" max="841" width="1.7109375" style="272" customWidth="1"/>
    <col min="842" max="849" width="10.7109375" style="272" customWidth="1"/>
    <col min="850" max="1024" width="11.42578125" style="272"/>
    <col min="1025" max="1025" width="1.42578125" style="272" customWidth="1"/>
    <col min="1026" max="1028" width="1.7109375" style="272" customWidth="1"/>
    <col min="1029" max="1029" width="1.85546875" style="272" customWidth="1"/>
    <col min="1030" max="1030" width="2" style="272" customWidth="1"/>
    <col min="1031" max="1031" width="1.28515625" style="272" customWidth="1"/>
    <col min="1032" max="1033" width="1.7109375" style="272" customWidth="1"/>
    <col min="1034" max="1034" width="5.140625" style="272" customWidth="1"/>
    <col min="1035" max="1036" width="1" style="272" customWidth="1"/>
    <col min="1037" max="1037" width="2.28515625" style="272" customWidth="1"/>
    <col min="1038" max="1039" width="1.7109375" style="272" customWidth="1"/>
    <col min="1040" max="1043" width="1" style="272" customWidth="1"/>
    <col min="1044" max="1049" width="1.5703125" style="272" customWidth="1"/>
    <col min="1050" max="1051" width="1" style="272" customWidth="1"/>
    <col min="1052" max="1077" width="1.7109375" style="272" customWidth="1"/>
    <col min="1078" max="1079" width="3" style="272" customWidth="1"/>
    <col min="1080" max="1080" width="1.7109375" style="272" customWidth="1"/>
    <col min="1081" max="1081" width="3.85546875" style="272" customWidth="1"/>
    <col min="1082" max="1083" width="1.7109375" style="272" customWidth="1"/>
    <col min="1084" max="1096" width="0" style="272" hidden="1" customWidth="1"/>
    <col min="1097" max="1097" width="1.7109375" style="272" customWidth="1"/>
    <col min="1098" max="1105" width="10.7109375" style="272" customWidth="1"/>
    <col min="1106" max="1280" width="11.42578125" style="272"/>
    <col min="1281" max="1281" width="1.42578125" style="272" customWidth="1"/>
    <col min="1282" max="1284" width="1.7109375" style="272" customWidth="1"/>
    <col min="1285" max="1285" width="1.85546875" style="272" customWidth="1"/>
    <col min="1286" max="1286" width="2" style="272" customWidth="1"/>
    <col min="1287" max="1287" width="1.28515625" style="272" customWidth="1"/>
    <col min="1288" max="1289" width="1.7109375" style="272" customWidth="1"/>
    <col min="1290" max="1290" width="5.140625" style="272" customWidth="1"/>
    <col min="1291" max="1292" width="1" style="272" customWidth="1"/>
    <col min="1293" max="1293" width="2.28515625" style="272" customWidth="1"/>
    <col min="1294" max="1295" width="1.7109375" style="272" customWidth="1"/>
    <col min="1296" max="1299" width="1" style="272" customWidth="1"/>
    <col min="1300" max="1305" width="1.5703125" style="272" customWidth="1"/>
    <col min="1306" max="1307" width="1" style="272" customWidth="1"/>
    <col min="1308" max="1333" width="1.7109375" style="272" customWidth="1"/>
    <col min="1334" max="1335" width="3" style="272" customWidth="1"/>
    <col min="1336" max="1336" width="1.7109375" style="272" customWidth="1"/>
    <col min="1337" max="1337" width="3.85546875" style="272" customWidth="1"/>
    <col min="1338" max="1339" width="1.7109375" style="272" customWidth="1"/>
    <col min="1340" max="1352" width="0" style="272" hidden="1" customWidth="1"/>
    <col min="1353" max="1353" width="1.7109375" style="272" customWidth="1"/>
    <col min="1354" max="1361" width="10.7109375" style="272" customWidth="1"/>
    <col min="1362" max="1536" width="11.42578125" style="272"/>
    <col min="1537" max="1537" width="1.42578125" style="272" customWidth="1"/>
    <col min="1538" max="1540" width="1.7109375" style="272" customWidth="1"/>
    <col min="1541" max="1541" width="1.85546875" style="272" customWidth="1"/>
    <col min="1542" max="1542" width="2" style="272" customWidth="1"/>
    <col min="1543" max="1543" width="1.28515625" style="272" customWidth="1"/>
    <col min="1544" max="1545" width="1.7109375" style="272" customWidth="1"/>
    <col min="1546" max="1546" width="5.140625" style="272" customWidth="1"/>
    <col min="1547" max="1548" width="1" style="272" customWidth="1"/>
    <col min="1549" max="1549" width="2.28515625" style="272" customWidth="1"/>
    <col min="1550" max="1551" width="1.7109375" style="272" customWidth="1"/>
    <col min="1552" max="1555" width="1" style="272" customWidth="1"/>
    <col min="1556" max="1561" width="1.5703125" style="272" customWidth="1"/>
    <col min="1562" max="1563" width="1" style="272" customWidth="1"/>
    <col min="1564" max="1589" width="1.7109375" style="272" customWidth="1"/>
    <col min="1590" max="1591" width="3" style="272" customWidth="1"/>
    <col min="1592" max="1592" width="1.7109375" style="272" customWidth="1"/>
    <col min="1593" max="1593" width="3.85546875" style="272" customWidth="1"/>
    <col min="1594" max="1595" width="1.7109375" style="272" customWidth="1"/>
    <col min="1596" max="1608" width="0" style="272" hidden="1" customWidth="1"/>
    <col min="1609" max="1609" width="1.7109375" style="272" customWidth="1"/>
    <col min="1610" max="1617" width="10.7109375" style="272" customWidth="1"/>
    <col min="1618" max="1792" width="11.42578125" style="272"/>
    <col min="1793" max="1793" width="1.42578125" style="272" customWidth="1"/>
    <col min="1794" max="1796" width="1.7109375" style="272" customWidth="1"/>
    <col min="1797" max="1797" width="1.85546875" style="272" customWidth="1"/>
    <col min="1798" max="1798" width="2" style="272" customWidth="1"/>
    <col min="1799" max="1799" width="1.28515625" style="272" customWidth="1"/>
    <col min="1800" max="1801" width="1.7109375" style="272" customWidth="1"/>
    <col min="1802" max="1802" width="5.140625" style="272" customWidth="1"/>
    <col min="1803" max="1804" width="1" style="272" customWidth="1"/>
    <col min="1805" max="1805" width="2.28515625" style="272" customWidth="1"/>
    <col min="1806" max="1807" width="1.7109375" style="272" customWidth="1"/>
    <col min="1808" max="1811" width="1" style="272" customWidth="1"/>
    <col min="1812" max="1817" width="1.5703125" style="272" customWidth="1"/>
    <col min="1818" max="1819" width="1" style="272" customWidth="1"/>
    <col min="1820" max="1845" width="1.7109375" style="272" customWidth="1"/>
    <col min="1846" max="1847" width="3" style="272" customWidth="1"/>
    <col min="1848" max="1848" width="1.7109375" style="272" customWidth="1"/>
    <col min="1849" max="1849" width="3.85546875" style="272" customWidth="1"/>
    <col min="1850" max="1851" width="1.7109375" style="272" customWidth="1"/>
    <col min="1852" max="1864" width="0" style="272" hidden="1" customWidth="1"/>
    <col min="1865" max="1865" width="1.7109375" style="272" customWidth="1"/>
    <col min="1866" max="1873" width="10.7109375" style="272" customWidth="1"/>
    <col min="1874" max="2048" width="11.42578125" style="272"/>
    <col min="2049" max="2049" width="1.42578125" style="272" customWidth="1"/>
    <col min="2050" max="2052" width="1.7109375" style="272" customWidth="1"/>
    <col min="2053" max="2053" width="1.85546875" style="272" customWidth="1"/>
    <col min="2054" max="2054" width="2" style="272" customWidth="1"/>
    <col min="2055" max="2055" width="1.28515625" style="272" customWidth="1"/>
    <col min="2056" max="2057" width="1.7109375" style="272" customWidth="1"/>
    <col min="2058" max="2058" width="5.140625" style="272" customWidth="1"/>
    <col min="2059" max="2060" width="1" style="272" customWidth="1"/>
    <col min="2061" max="2061" width="2.28515625" style="272" customWidth="1"/>
    <col min="2062" max="2063" width="1.7109375" style="272" customWidth="1"/>
    <col min="2064" max="2067" width="1" style="272" customWidth="1"/>
    <col min="2068" max="2073" width="1.5703125" style="272" customWidth="1"/>
    <col min="2074" max="2075" width="1" style="272" customWidth="1"/>
    <col min="2076" max="2101" width="1.7109375" style="272" customWidth="1"/>
    <col min="2102" max="2103" width="3" style="272" customWidth="1"/>
    <col min="2104" max="2104" width="1.7109375" style="272" customWidth="1"/>
    <col min="2105" max="2105" width="3.85546875" style="272" customWidth="1"/>
    <col min="2106" max="2107" width="1.7109375" style="272" customWidth="1"/>
    <col min="2108" max="2120" width="0" style="272" hidden="1" customWidth="1"/>
    <col min="2121" max="2121" width="1.7109375" style="272" customWidth="1"/>
    <col min="2122" max="2129" width="10.7109375" style="272" customWidth="1"/>
    <col min="2130" max="2304" width="11.42578125" style="272"/>
    <col min="2305" max="2305" width="1.42578125" style="272" customWidth="1"/>
    <col min="2306" max="2308" width="1.7109375" style="272" customWidth="1"/>
    <col min="2309" max="2309" width="1.85546875" style="272" customWidth="1"/>
    <col min="2310" max="2310" width="2" style="272" customWidth="1"/>
    <col min="2311" max="2311" width="1.28515625" style="272" customWidth="1"/>
    <col min="2312" max="2313" width="1.7109375" style="272" customWidth="1"/>
    <col min="2314" max="2314" width="5.140625" style="272" customWidth="1"/>
    <col min="2315" max="2316" width="1" style="272" customWidth="1"/>
    <col min="2317" max="2317" width="2.28515625" style="272" customWidth="1"/>
    <col min="2318" max="2319" width="1.7109375" style="272" customWidth="1"/>
    <col min="2320" max="2323" width="1" style="272" customWidth="1"/>
    <col min="2324" max="2329" width="1.5703125" style="272" customWidth="1"/>
    <col min="2330" max="2331" width="1" style="272" customWidth="1"/>
    <col min="2332" max="2357" width="1.7109375" style="272" customWidth="1"/>
    <col min="2358" max="2359" width="3" style="272" customWidth="1"/>
    <col min="2360" max="2360" width="1.7109375" style="272" customWidth="1"/>
    <col min="2361" max="2361" width="3.85546875" style="272" customWidth="1"/>
    <col min="2362" max="2363" width="1.7109375" style="272" customWidth="1"/>
    <col min="2364" max="2376" width="0" style="272" hidden="1" customWidth="1"/>
    <col min="2377" max="2377" width="1.7109375" style="272" customWidth="1"/>
    <col min="2378" max="2385" width="10.7109375" style="272" customWidth="1"/>
    <col min="2386" max="2560" width="11.42578125" style="272"/>
    <col min="2561" max="2561" width="1.42578125" style="272" customWidth="1"/>
    <col min="2562" max="2564" width="1.7109375" style="272" customWidth="1"/>
    <col min="2565" max="2565" width="1.85546875" style="272" customWidth="1"/>
    <col min="2566" max="2566" width="2" style="272" customWidth="1"/>
    <col min="2567" max="2567" width="1.28515625" style="272" customWidth="1"/>
    <col min="2568" max="2569" width="1.7109375" style="272" customWidth="1"/>
    <col min="2570" max="2570" width="5.140625" style="272" customWidth="1"/>
    <col min="2571" max="2572" width="1" style="272" customWidth="1"/>
    <col min="2573" max="2573" width="2.28515625" style="272" customWidth="1"/>
    <col min="2574" max="2575" width="1.7109375" style="272" customWidth="1"/>
    <col min="2576" max="2579" width="1" style="272" customWidth="1"/>
    <col min="2580" max="2585" width="1.5703125" style="272" customWidth="1"/>
    <col min="2586" max="2587" width="1" style="272" customWidth="1"/>
    <col min="2588" max="2613" width="1.7109375" style="272" customWidth="1"/>
    <col min="2614" max="2615" width="3" style="272" customWidth="1"/>
    <col min="2616" max="2616" width="1.7109375" style="272" customWidth="1"/>
    <col min="2617" max="2617" width="3.85546875" style="272" customWidth="1"/>
    <col min="2618" max="2619" width="1.7109375" style="272" customWidth="1"/>
    <col min="2620" max="2632" width="0" style="272" hidden="1" customWidth="1"/>
    <col min="2633" max="2633" width="1.7109375" style="272" customWidth="1"/>
    <col min="2634" max="2641" width="10.7109375" style="272" customWidth="1"/>
    <col min="2642" max="2816" width="11.42578125" style="272"/>
    <col min="2817" max="2817" width="1.42578125" style="272" customWidth="1"/>
    <col min="2818" max="2820" width="1.7109375" style="272" customWidth="1"/>
    <col min="2821" max="2821" width="1.85546875" style="272" customWidth="1"/>
    <col min="2822" max="2822" width="2" style="272" customWidth="1"/>
    <col min="2823" max="2823" width="1.28515625" style="272" customWidth="1"/>
    <col min="2824" max="2825" width="1.7109375" style="272" customWidth="1"/>
    <col min="2826" max="2826" width="5.140625" style="272" customWidth="1"/>
    <col min="2827" max="2828" width="1" style="272" customWidth="1"/>
    <col min="2829" max="2829" width="2.28515625" style="272" customWidth="1"/>
    <col min="2830" max="2831" width="1.7109375" style="272" customWidth="1"/>
    <col min="2832" max="2835" width="1" style="272" customWidth="1"/>
    <col min="2836" max="2841" width="1.5703125" style="272" customWidth="1"/>
    <col min="2842" max="2843" width="1" style="272" customWidth="1"/>
    <col min="2844" max="2869" width="1.7109375" style="272" customWidth="1"/>
    <col min="2870" max="2871" width="3" style="272" customWidth="1"/>
    <col min="2872" max="2872" width="1.7109375" style="272" customWidth="1"/>
    <col min="2873" max="2873" width="3.85546875" style="272" customWidth="1"/>
    <col min="2874" max="2875" width="1.7109375" style="272" customWidth="1"/>
    <col min="2876" max="2888" width="0" style="272" hidden="1" customWidth="1"/>
    <col min="2889" max="2889" width="1.7109375" style="272" customWidth="1"/>
    <col min="2890" max="2897" width="10.7109375" style="272" customWidth="1"/>
    <col min="2898" max="3072" width="11.42578125" style="272"/>
    <col min="3073" max="3073" width="1.42578125" style="272" customWidth="1"/>
    <col min="3074" max="3076" width="1.7109375" style="272" customWidth="1"/>
    <col min="3077" max="3077" width="1.85546875" style="272" customWidth="1"/>
    <col min="3078" max="3078" width="2" style="272" customWidth="1"/>
    <col min="3079" max="3079" width="1.28515625" style="272" customWidth="1"/>
    <col min="3080" max="3081" width="1.7109375" style="272" customWidth="1"/>
    <col min="3082" max="3082" width="5.140625" style="272" customWidth="1"/>
    <col min="3083" max="3084" width="1" style="272" customWidth="1"/>
    <col min="3085" max="3085" width="2.28515625" style="272" customWidth="1"/>
    <col min="3086" max="3087" width="1.7109375" style="272" customWidth="1"/>
    <col min="3088" max="3091" width="1" style="272" customWidth="1"/>
    <col min="3092" max="3097" width="1.5703125" style="272" customWidth="1"/>
    <col min="3098" max="3099" width="1" style="272" customWidth="1"/>
    <col min="3100" max="3125" width="1.7109375" style="272" customWidth="1"/>
    <col min="3126" max="3127" width="3" style="272" customWidth="1"/>
    <col min="3128" max="3128" width="1.7109375" style="272" customWidth="1"/>
    <col min="3129" max="3129" width="3.85546875" style="272" customWidth="1"/>
    <col min="3130" max="3131" width="1.7109375" style="272" customWidth="1"/>
    <col min="3132" max="3144" width="0" style="272" hidden="1" customWidth="1"/>
    <col min="3145" max="3145" width="1.7109375" style="272" customWidth="1"/>
    <col min="3146" max="3153" width="10.7109375" style="272" customWidth="1"/>
    <col min="3154" max="3328" width="11.42578125" style="272"/>
    <col min="3329" max="3329" width="1.42578125" style="272" customWidth="1"/>
    <col min="3330" max="3332" width="1.7109375" style="272" customWidth="1"/>
    <col min="3333" max="3333" width="1.85546875" style="272" customWidth="1"/>
    <col min="3334" max="3334" width="2" style="272" customWidth="1"/>
    <col min="3335" max="3335" width="1.28515625" style="272" customWidth="1"/>
    <col min="3336" max="3337" width="1.7109375" style="272" customWidth="1"/>
    <col min="3338" max="3338" width="5.140625" style="272" customWidth="1"/>
    <col min="3339" max="3340" width="1" style="272" customWidth="1"/>
    <col min="3341" max="3341" width="2.28515625" style="272" customWidth="1"/>
    <col min="3342" max="3343" width="1.7109375" style="272" customWidth="1"/>
    <col min="3344" max="3347" width="1" style="272" customWidth="1"/>
    <col min="3348" max="3353" width="1.5703125" style="272" customWidth="1"/>
    <col min="3354" max="3355" width="1" style="272" customWidth="1"/>
    <col min="3356" max="3381" width="1.7109375" style="272" customWidth="1"/>
    <col min="3382" max="3383" width="3" style="272" customWidth="1"/>
    <col min="3384" max="3384" width="1.7109375" style="272" customWidth="1"/>
    <col min="3385" max="3385" width="3.85546875" style="272" customWidth="1"/>
    <col min="3386" max="3387" width="1.7109375" style="272" customWidth="1"/>
    <col min="3388" max="3400" width="0" style="272" hidden="1" customWidth="1"/>
    <col min="3401" max="3401" width="1.7109375" style="272" customWidth="1"/>
    <col min="3402" max="3409" width="10.7109375" style="272" customWidth="1"/>
    <col min="3410" max="3584" width="11.42578125" style="272"/>
    <col min="3585" max="3585" width="1.42578125" style="272" customWidth="1"/>
    <col min="3586" max="3588" width="1.7109375" style="272" customWidth="1"/>
    <col min="3589" max="3589" width="1.85546875" style="272" customWidth="1"/>
    <col min="3590" max="3590" width="2" style="272" customWidth="1"/>
    <col min="3591" max="3591" width="1.28515625" style="272" customWidth="1"/>
    <col min="3592" max="3593" width="1.7109375" style="272" customWidth="1"/>
    <col min="3594" max="3594" width="5.140625" style="272" customWidth="1"/>
    <col min="3595" max="3596" width="1" style="272" customWidth="1"/>
    <col min="3597" max="3597" width="2.28515625" style="272" customWidth="1"/>
    <col min="3598" max="3599" width="1.7109375" style="272" customWidth="1"/>
    <col min="3600" max="3603" width="1" style="272" customWidth="1"/>
    <col min="3604" max="3609" width="1.5703125" style="272" customWidth="1"/>
    <col min="3610" max="3611" width="1" style="272" customWidth="1"/>
    <col min="3612" max="3637" width="1.7109375" style="272" customWidth="1"/>
    <col min="3638" max="3639" width="3" style="272" customWidth="1"/>
    <col min="3640" max="3640" width="1.7109375" style="272" customWidth="1"/>
    <col min="3641" max="3641" width="3.85546875" style="272" customWidth="1"/>
    <col min="3642" max="3643" width="1.7109375" style="272" customWidth="1"/>
    <col min="3644" max="3656" width="0" style="272" hidden="1" customWidth="1"/>
    <col min="3657" max="3657" width="1.7109375" style="272" customWidth="1"/>
    <col min="3658" max="3665" width="10.7109375" style="272" customWidth="1"/>
    <col min="3666" max="3840" width="11.42578125" style="272"/>
    <col min="3841" max="3841" width="1.42578125" style="272" customWidth="1"/>
    <col min="3842" max="3844" width="1.7109375" style="272" customWidth="1"/>
    <col min="3845" max="3845" width="1.85546875" style="272" customWidth="1"/>
    <col min="3846" max="3846" width="2" style="272" customWidth="1"/>
    <col min="3847" max="3847" width="1.28515625" style="272" customWidth="1"/>
    <col min="3848" max="3849" width="1.7109375" style="272" customWidth="1"/>
    <col min="3850" max="3850" width="5.140625" style="272" customWidth="1"/>
    <col min="3851" max="3852" width="1" style="272" customWidth="1"/>
    <col min="3853" max="3853" width="2.28515625" style="272" customWidth="1"/>
    <col min="3854" max="3855" width="1.7109375" style="272" customWidth="1"/>
    <col min="3856" max="3859" width="1" style="272" customWidth="1"/>
    <col min="3860" max="3865" width="1.5703125" style="272" customWidth="1"/>
    <col min="3866" max="3867" width="1" style="272" customWidth="1"/>
    <col min="3868" max="3893" width="1.7109375" style="272" customWidth="1"/>
    <col min="3894" max="3895" width="3" style="272" customWidth="1"/>
    <col min="3896" max="3896" width="1.7109375" style="272" customWidth="1"/>
    <col min="3897" max="3897" width="3.85546875" style="272" customWidth="1"/>
    <col min="3898" max="3899" width="1.7109375" style="272" customWidth="1"/>
    <col min="3900" max="3912" width="0" style="272" hidden="1" customWidth="1"/>
    <col min="3913" max="3913" width="1.7109375" style="272" customWidth="1"/>
    <col min="3914" max="3921" width="10.7109375" style="272" customWidth="1"/>
    <col min="3922" max="4096" width="11.42578125" style="272"/>
    <col min="4097" max="4097" width="1.42578125" style="272" customWidth="1"/>
    <col min="4098" max="4100" width="1.7109375" style="272" customWidth="1"/>
    <col min="4101" max="4101" width="1.85546875" style="272" customWidth="1"/>
    <col min="4102" max="4102" width="2" style="272" customWidth="1"/>
    <col min="4103" max="4103" width="1.28515625" style="272" customWidth="1"/>
    <col min="4104" max="4105" width="1.7109375" style="272" customWidth="1"/>
    <col min="4106" max="4106" width="5.140625" style="272" customWidth="1"/>
    <col min="4107" max="4108" width="1" style="272" customWidth="1"/>
    <col min="4109" max="4109" width="2.28515625" style="272" customWidth="1"/>
    <col min="4110" max="4111" width="1.7109375" style="272" customWidth="1"/>
    <col min="4112" max="4115" width="1" style="272" customWidth="1"/>
    <col min="4116" max="4121" width="1.5703125" style="272" customWidth="1"/>
    <col min="4122" max="4123" width="1" style="272" customWidth="1"/>
    <col min="4124" max="4149" width="1.7109375" style="272" customWidth="1"/>
    <col min="4150" max="4151" width="3" style="272" customWidth="1"/>
    <col min="4152" max="4152" width="1.7109375" style="272" customWidth="1"/>
    <col min="4153" max="4153" width="3.85546875" style="272" customWidth="1"/>
    <col min="4154" max="4155" width="1.7109375" style="272" customWidth="1"/>
    <col min="4156" max="4168" width="0" style="272" hidden="1" customWidth="1"/>
    <col min="4169" max="4169" width="1.7109375" style="272" customWidth="1"/>
    <col min="4170" max="4177" width="10.7109375" style="272" customWidth="1"/>
    <col min="4178" max="4352" width="11.42578125" style="272"/>
    <col min="4353" max="4353" width="1.42578125" style="272" customWidth="1"/>
    <col min="4354" max="4356" width="1.7109375" style="272" customWidth="1"/>
    <col min="4357" max="4357" width="1.85546875" style="272" customWidth="1"/>
    <col min="4358" max="4358" width="2" style="272" customWidth="1"/>
    <col min="4359" max="4359" width="1.28515625" style="272" customWidth="1"/>
    <col min="4360" max="4361" width="1.7109375" style="272" customWidth="1"/>
    <col min="4362" max="4362" width="5.140625" style="272" customWidth="1"/>
    <col min="4363" max="4364" width="1" style="272" customWidth="1"/>
    <col min="4365" max="4365" width="2.28515625" style="272" customWidth="1"/>
    <col min="4366" max="4367" width="1.7109375" style="272" customWidth="1"/>
    <col min="4368" max="4371" width="1" style="272" customWidth="1"/>
    <col min="4372" max="4377" width="1.5703125" style="272" customWidth="1"/>
    <col min="4378" max="4379" width="1" style="272" customWidth="1"/>
    <col min="4380" max="4405" width="1.7109375" style="272" customWidth="1"/>
    <col min="4406" max="4407" width="3" style="272" customWidth="1"/>
    <col min="4408" max="4408" width="1.7109375" style="272" customWidth="1"/>
    <col min="4409" max="4409" width="3.85546875" style="272" customWidth="1"/>
    <col min="4410" max="4411" width="1.7109375" style="272" customWidth="1"/>
    <col min="4412" max="4424" width="0" style="272" hidden="1" customWidth="1"/>
    <col min="4425" max="4425" width="1.7109375" style="272" customWidth="1"/>
    <col min="4426" max="4433" width="10.7109375" style="272" customWidth="1"/>
    <col min="4434" max="4608" width="11.42578125" style="272"/>
    <col min="4609" max="4609" width="1.42578125" style="272" customWidth="1"/>
    <col min="4610" max="4612" width="1.7109375" style="272" customWidth="1"/>
    <col min="4613" max="4613" width="1.85546875" style="272" customWidth="1"/>
    <col min="4614" max="4614" width="2" style="272" customWidth="1"/>
    <col min="4615" max="4615" width="1.28515625" style="272" customWidth="1"/>
    <col min="4616" max="4617" width="1.7109375" style="272" customWidth="1"/>
    <col min="4618" max="4618" width="5.140625" style="272" customWidth="1"/>
    <col min="4619" max="4620" width="1" style="272" customWidth="1"/>
    <col min="4621" max="4621" width="2.28515625" style="272" customWidth="1"/>
    <col min="4622" max="4623" width="1.7109375" style="272" customWidth="1"/>
    <col min="4624" max="4627" width="1" style="272" customWidth="1"/>
    <col min="4628" max="4633" width="1.5703125" style="272" customWidth="1"/>
    <col min="4634" max="4635" width="1" style="272" customWidth="1"/>
    <col min="4636" max="4661" width="1.7109375" style="272" customWidth="1"/>
    <col min="4662" max="4663" width="3" style="272" customWidth="1"/>
    <col min="4664" max="4664" width="1.7109375" style="272" customWidth="1"/>
    <col min="4665" max="4665" width="3.85546875" style="272" customWidth="1"/>
    <col min="4666" max="4667" width="1.7109375" style="272" customWidth="1"/>
    <col min="4668" max="4680" width="0" style="272" hidden="1" customWidth="1"/>
    <col min="4681" max="4681" width="1.7109375" style="272" customWidth="1"/>
    <col min="4682" max="4689" width="10.7109375" style="272" customWidth="1"/>
    <col min="4690" max="4864" width="11.42578125" style="272"/>
    <col min="4865" max="4865" width="1.42578125" style="272" customWidth="1"/>
    <col min="4866" max="4868" width="1.7109375" style="272" customWidth="1"/>
    <col min="4869" max="4869" width="1.85546875" style="272" customWidth="1"/>
    <col min="4870" max="4870" width="2" style="272" customWidth="1"/>
    <col min="4871" max="4871" width="1.28515625" style="272" customWidth="1"/>
    <col min="4872" max="4873" width="1.7109375" style="272" customWidth="1"/>
    <col min="4874" max="4874" width="5.140625" style="272" customWidth="1"/>
    <col min="4875" max="4876" width="1" style="272" customWidth="1"/>
    <col min="4877" max="4877" width="2.28515625" style="272" customWidth="1"/>
    <col min="4878" max="4879" width="1.7109375" style="272" customWidth="1"/>
    <col min="4880" max="4883" width="1" style="272" customWidth="1"/>
    <col min="4884" max="4889" width="1.5703125" style="272" customWidth="1"/>
    <col min="4890" max="4891" width="1" style="272" customWidth="1"/>
    <col min="4892" max="4917" width="1.7109375" style="272" customWidth="1"/>
    <col min="4918" max="4919" width="3" style="272" customWidth="1"/>
    <col min="4920" max="4920" width="1.7109375" style="272" customWidth="1"/>
    <col min="4921" max="4921" width="3.85546875" style="272" customWidth="1"/>
    <col min="4922" max="4923" width="1.7109375" style="272" customWidth="1"/>
    <col min="4924" max="4936" width="0" style="272" hidden="1" customWidth="1"/>
    <col min="4937" max="4937" width="1.7109375" style="272" customWidth="1"/>
    <col min="4938" max="4945" width="10.7109375" style="272" customWidth="1"/>
    <col min="4946" max="5120" width="11.42578125" style="272"/>
    <col min="5121" max="5121" width="1.42578125" style="272" customWidth="1"/>
    <col min="5122" max="5124" width="1.7109375" style="272" customWidth="1"/>
    <col min="5125" max="5125" width="1.85546875" style="272" customWidth="1"/>
    <col min="5126" max="5126" width="2" style="272" customWidth="1"/>
    <col min="5127" max="5127" width="1.28515625" style="272" customWidth="1"/>
    <col min="5128" max="5129" width="1.7109375" style="272" customWidth="1"/>
    <col min="5130" max="5130" width="5.140625" style="272" customWidth="1"/>
    <col min="5131" max="5132" width="1" style="272" customWidth="1"/>
    <col min="5133" max="5133" width="2.28515625" style="272" customWidth="1"/>
    <col min="5134" max="5135" width="1.7109375" style="272" customWidth="1"/>
    <col min="5136" max="5139" width="1" style="272" customWidth="1"/>
    <col min="5140" max="5145" width="1.5703125" style="272" customWidth="1"/>
    <col min="5146" max="5147" width="1" style="272" customWidth="1"/>
    <col min="5148" max="5173" width="1.7109375" style="272" customWidth="1"/>
    <col min="5174" max="5175" width="3" style="272" customWidth="1"/>
    <col min="5176" max="5176" width="1.7109375" style="272" customWidth="1"/>
    <col min="5177" max="5177" width="3.85546875" style="272" customWidth="1"/>
    <col min="5178" max="5179" width="1.7109375" style="272" customWidth="1"/>
    <col min="5180" max="5192" width="0" style="272" hidden="1" customWidth="1"/>
    <col min="5193" max="5193" width="1.7109375" style="272" customWidth="1"/>
    <col min="5194" max="5201" width="10.7109375" style="272" customWidth="1"/>
    <col min="5202" max="5376" width="11.42578125" style="272"/>
    <col min="5377" max="5377" width="1.42578125" style="272" customWidth="1"/>
    <col min="5378" max="5380" width="1.7109375" style="272" customWidth="1"/>
    <col min="5381" max="5381" width="1.85546875" style="272" customWidth="1"/>
    <col min="5382" max="5382" width="2" style="272" customWidth="1"/>
    <col min="5383" max="5383" width="1.28515625" style="272" customWidth="1"/>
    <col min="5384" max="5385" width="1.7109375" style="272" customWidth="1"/>
    <col min="5386" max="5386" width="5.140625" style="272" customWidth="1"/>
    <col min="5387" max="5388" width="1" style="272" customWidth="1"/>
    <col min="5389" max="5389" width="2.28515625" style="272" customWidth="1"/>
    <col min="5390" max="5391" width="1.7109375" style="272" customWidth="1"/>
    <col min="5392" max="5395" width="1" style="272" customWidth="1"/>
    <col min="5396" max="5401" width="1.5703125" style="272" customWidth="1"/>
    <col min="5402" max="5403" width="1" style="272" customWidth="1"/>
    <col min="5404" max="5429" width="1.7109375" style="272" customWidth="1"/>
    <col min="5430" max="5431" width="3" style="272" customWidth="1"/>
    <col min="5432" max="5432" width="1.7109375" style="272" customWidth="1"/>
    <col min="5433" max="5433" width="3.85546875" style="272" customWidth="1"/>
    <col min="5434" max="5435" width="1.7109375" style="272" customWidth="1"/>
    <col min="5436" max="5448" width="0" style="272" hidden="1" customWidth="1"/>
    <col min="5449" max="5449" width="1.7109375" style="272" customWidth="1"/>
    <col min="5450" max="5457" width="10.7109375" style="272" customWidth="1"/>
    <col min="5458" max="5632" width="11.42578125" style="272"/>
    <col min="5633" max="5633" width="1.42578125" style="272" customWidth="1"/>
    <col min="5634" max="5636" width="1.7109375" style="272" customWidth="1"/>
    <col min="5637" max="5637" width="1.85546875" style="272" customWidth="1"/>
    <col min="5638" max="5638" width="2" style="272" customWidth="1"/>
    <col min="5639" max="5639" width="1.28515625" style="272" customWidth="1"/>
    <col min="5640" max="5641" width="1.7109375" style="272" customWidth="1"/>
    <col min="5642" max="5642" width="5.140625" style="272" customWidth="1"/>
    <col min="5643" max="5644" width="1" style="272" customWidth="1"/>
    <col min="5645" max="5645" width="2.28515625" style="272" customWidth="1"/>
    <col min="5646" max="5647" width="1.7109375" style="272" customWidth="1"/>
    <col min="5648" max="5651" width="1" style="272" customWidth="1"/>
    <col min="5652" max="5657" width="1.5703125" style="272" customWidth="1"/>
    <col min="5658" max="5659" width="1" style="272" customWidth="1"/>
    <col min="5660" max="5685" width="1.7109375" style="272" customWidth="1"/>
    <col min="5686" max="5687" width="3" style="272" customWidth="1"/>
    <col min="5688" max="5688" width="1.7109375" style="272" customWidth="1"/>
    <col min="5689" max="5689" width="3.85546875" style="272" customWidth="1"/>
    <col min="5690" max="5691" width="1.7109375" style="272" customWidth="1"/>
    <col min="5692" max="5704" width="0" style="272" hidden="1" customWidth="1"/>
    <col min="5705" max="5705" width="1.7109375" style="272" customWidth="1"/>
    <col min="5706" max="5713" width="10.7109375" style="272" customWidth="1"/>
    <col min="5714" max="5888" width="11.42578125" style="272"/>
    <col min="5889" max="5889" width="1.42578125" style="272" customWidth="1"/>
    <col min="5890" max="5892" width="1.7109375" style="272" customWidth="1"/>
    <col min="5893" max="5893" width="1.85546875" style="272" customWidth="1"/>
    <col min="5894" max="5894" width="2" style="272" customWidth="1"/>
    <col min="5895" max="5895" width="1.28515625" style="272" customWidth="1"/>
    <col min="5896" max="5897" width="1.7109375" style="272" customWidth="1"/>
    <col min="5898" max="5898" width="5.140625" style="272" customWidth="1"/>
    <col min="5899" max="5900" width="1" style="272" customWidth="1"/>
    <col min="5901" max="5901" width="2.28515625" style="272" customWidth="1"/>
    <col min="5902" max="5903" width="1.7109375" style="272" customWidth="1"/>
    <col min="5904" max="5907" width="1" style="272" customWidth="1"/>
    <col min="5908" max="5913" width="1.5703125" style="272" customWidth="1"/>
    <col min="5914" max="5915" width="1" style="272" customWidth="1"/>
    <col min="5916" max="5941" width="1.7109375" style="272" customWidth="1"/>
    <col min="5942" max="5943" width="3" style="272" customWidth="1"/>
    <col min="5944" max="5944" width="1.7109375" style="272" customWidth="1"/>
    <col min="5945" max="5945" width="3.85546875" style="272" customWidth="1"/>
    <col min="5946" max="5947" width="1.7109375" style="272" customWidth="1"/>
    <col min="5948" max="5960" width="0" style="272" hidden="1" customWidth="1"/>
    <col min="5961" max="5961" width="1.7109375" style="272" customWidth="1"/>
    <col min="5962" max="5969" width="10.7109375" style="272" customWidth="1"/>
    <col min="5970" max="6144" width="11.42578125" style="272"/>
    <col min="6145" max="6145" width="1.42578125" style="272" customWidth="1"/>
    <col min="6146" max="6148" width="1.7109375" style="272" customWidth="1"/>
    <col min="6149" max="6149" width="1.85546875" style="272" customWidth="1"/>
    <col min="6150" max="6150" width="2" style="272" customWidth="1"/>
    <col min="6151" max="6151" width="1.28515625" style="272" customWidth="1"/>
    <col min="6152" max="6153" width="1.7109375" style="272" customWidth="1"/>
    <col min="6154" max="6154" width="5.140625" style="272" customWidth="1"/>
    <col min="6155" max="6156" width="1" style="272" customWidth="1"/>
    <col min="6157" max="6157" width="2.28515625" style="272" customWidth="1"/>
    <col min="6158" max="6159" width="1.7109375" style="272" customWidth="1"/>
    <col min="6160" max="6163" width="1" style="272" customWidth="1"/>
    <col min="6164" max="6169" width="1.5703125" style="272" customWidth="1"/>
    <col min="6170" max="6171" width="1" style="272" customWidth="1"/>
    <col min="6172" max="6197" width="1.7109375" style="272" customWidth="1"/>
    <col min="6198" max="6199" width="3" style="272" customWidth="1"/>
    <col min="6200" max="6200" width="1.7109375" style="272" customWidth="1"/>
    <col min="6201" max="6201" width="3.85546875" style="272" customWidth="1"/>
    <col min="6202" max="6203" width="1.7109375" style="272" customWidth="1"/>
    <col min="6204" max="6216" width="0" style="272" hidden="1" customWidth="1"/>
    <col min="6217" max="6217" width="1.7109375" style="272" customWidth="1"/>
    <col min="6218" max="6225" width="10.7109375" style="272" customWidth="1"/>
    <col min="6226" max="6400" width="11.42578125" style="272"/>
    <col min="6401" max="6401" width="1.42578125" style="272" customWidth="1"/>
    <col min="6402" max="6404" width="1.7109375" style="272" customWidth="1"/>
    <col min="6405" max="6405" width="1.85546875" style="272" customWidth="1"/>
    <col min="6406" max="6406" width="2" style="272" customWidth="1"/>
    <col min="6407" max="6407" width="1.28515625" style="272" customWidth="1"/>
    <col min="6408" max="6409" width="1.7109375" style="272" customWidth="1"/>
    <col min="6410" max="6410" width="5.140625" style="272" customWidth="1"/>
    <col min="6411" max="6412" width="1" style="272" customWidth="1"/>
    <col min="6413" max="6413" width="2.28515625" style="272" customWidth="1"/>
    <col min="6414" max="6415" width="1.7109375" style="272" customWidth="1"/>
    <col min="6416" max="6419" width="1" style="272" customWidth="1"/>
    <col min="6420" max="6425" width="1.5703125" style="272" customWidth="1"/>
    <col min="6426" max="6427" width="1" style="272" customWidth="1"/>
    <col min="6428" max="6453" width="1.7109375" style="272" customWidth="1"/>
    <col min="6454" max="6455" width="3" style="272" customWidth="1"/>
    <col min="6456" max="6456" width="1.7109375" style="272" customWidth="1"/>
    <col min="6457" max="6457" width="3.85546875" style="272" customWidth="1"/>
    <col min="6458" max="6459" width="1.7109375" style="272" customWidth="1"/>
    <col min="6460" max="6472" width="0" style="272" hidden="1" customWidth="1"/>
    <col min="6473" max="6473" width="1.7109375" style="272" customWidth="1"/>
    <col min="6474" max="6481" width="10.7109375" style="272" customWidth="1"/>
    <col min="6482" max="6656" width="11.42578125" style="272"/>
    <col min="6657" max="6657" width="1.42578125" style="272" customWidth="1"/>
    <col min="6658" max="6660" width="1.7109375" style="272" customWidth="1"/>
    <col min="6661" max="6661" width="1.85546875" style="272" customWidth="1"/>
    <col min="6662" max="6662" width="2" style="272" customWidth="1"/>
    <col min="6663" max="6663" width="1.28515625" style="272" customWidth="1"/>
    <col min="6664" max="6665" width="1.7109375" style="272" customWidth="1"/>
    <col min="6666" max="6666" width="5.140625" style="272" customWidth="1"/>
    <col min="6667" max="6668" width="1" style="272" customWidth="1"/>
    <col min="6669" max="6669" width="2.28515625" style="272" customWidth="1"/>
    <col min="6670" max="6671" width="1.7109375" style="272" customWidth="1"/>
    <col min="6672" max="6675" width="1" style="272" customWidth="1"/>
    <col min="6676" max="6681" width="1.5703125" style="272" customWidth="1"/>
    <col min="6682" max="6683" width="1" style="272" customWidth="1"/>
    <col min="6684" max="6709" width="1.7109375" style="272" customWidth="1"/>
    <col min="6710" max="6711" width="3" style="272" customWidth="1"/>
    <col min="6712" max="6712" width="1.7109375" style="272" customWidth="1"/>
    <col min="6713" max="6713" width="3.85546875" style="272" customWidth="1"/>
    <col min="6714" max="6715" width="1.7109375" style="272" customWidth="1"/>
    <col min="6716" max="6728" width="0" style="272" hidden="1" customWidth="1"/>
    <col min="6729" max="6729" width="1.7109375" style="272" customWidth="1"/>
    <col min="6730" max="6737" width="10.7109375" style="272" customWidth="1"/>
    <col min="6738" max="6912" width="11.42578125" style="272"/>
    <col min="6913" max="6913" width="1.42578125" style="272" customWidth="1"/>
    <col min="6914" max="6916" width="1.7109375" style="272" customWidth="1"/>
    <col min="6917" max="6917" width="1.85546875" style="272" customWidth="1"/>
    <col min="6918" max="6918" width="2" style="272" customWidth="1"/>
    <col min="6919" max="6919" width="1.28515625" style="272" customWidth="1"/>
    <col min="6920" max="6921" width="1.7109375" style="272" customWidth="1"/>
    <col min="6922" max="6922" width="5.140625" style="272" customWidth="1"/>
    <col min="6923" max="6924" width="1" style="272" customWidth="1"/>
    <col min="6925" max="6925" width="2.28515625" style="272" customWidth="1"/>
    <col min="6926" max="6927" width="1.7109375" style="272" customWidth="1"/>
    <col min="6928" max="6931" width="1" style="272" customWidth="1"/>
    <col min="6932" max="6937" width="1.5703125" style="272" customWidth="1"/>
    <col min="6938" max="6939" width="1" style="272" customWidth="1"/>
    <col min="6940" max="6965" width="1.7109375" style="272" customWidth="1"/>
    <col min="6966" max="6967" width="3" style="272" customWidth="1"/>
    <col min="6968" max="6968" width="1.7109375" style="272" customWidth="1"/>
    <col min="6969" max="6969" width="3.85546875" style="272" customWidth="1"/>
    <col min="6970" max="6971" width="1.7109375" style="272" customWidth="1"/>
    <col min="6972" max="6984" width="0" style="272" hidden="1" customWidth="1"/>
    <col min="6985" max="6985" width="1.7109375" style="272" customWidth="1"/>
    <col min="6986" max="6993" width="10.7109375" style="272" customWidth="1"/>
    <col min="6994" max="7168" width="11.42578125" style="272"/>
    <col min="7169" max="7169" width="1.42578125" style="272" customWidth="1"/>
    <col min="7170" max="7172" width="1.7109375" style="272" customWidth="1"/>
    <col min="7173" max="7173" width="1.85546875" style="272" customWidth="1"/>
    <col min="7174" max="7174" width="2" style="272" customWidth="1"/>
    <col min="7175" max="7175" width="1.28515625" style="272" customWidth="1"/>
    <col min="7176" max="7177" width="1.7109375" style="272" customWidth="1"/>
    <col min="7178" max="7178" width="5.140625" style="272" customWidth="1"/>
    <col min="7179" max="7180" width="1" style="272" customWidth="1"/>
    <col min="7181" max="7181" width="2.28515625" style="272" customWidth="1"/>
    <col min="7182" max="7183" width="1.7109375" style="272" customWidth="1"/>
    <col min="7184" max="7187" width="1" style="272" customWidth="1"/>
    <col min="7188" max="7193" width="1.5703125" style="272" customWidth="1"/>
    <col min="7194" max="7195" width="1" style="272" customWidth="1"/>
    <col min="7196" max="7221" width="1.7109375" style="272" customWidth="1"/>
    <col min="7222" max="7223" width="3" style="272" customWidth="1"/>
    <col min="7224" max="7224" width="1.7109375" style="272" customWidth="1"/>
    <col min="7225" max="7225" width="3.85546875" style="272" customWidth="1"/>
    <col min="7226" max="7227" width="1.7109375" style="272" customWidth="1"/>
    <col min="7228" max="7240" width="0" style="272" hidden="1" customWidth="1"/>
    <col min="7241" max="7241" width="1.7109375" style="272" customWidth="1"/>
    <col min="7242" max="7249" width="10.7109375" style="272" customWidth="1"/>
    <col min="7250" max="7424" width="11.42578125" style="272"/>
    <col min="7425" max="7425" width="1.42578125" style="272" customWidth="1"/>
    <col min="7426" max="7428" width="1.7109375" style="272" customWidth="1"/>
    <col min="7429" max="7429" width="1.85546875" style="272" customWidth="1"/>
    <col min="7430" max="7430" width="2" style="272" customWidth="1"/>
    <col min="7431" max="7431" width="1.28515625" style="272" customWidth="1"/>
    <col min="7432" max="7433" width="1.7109375" style="272" customWidth="1"/>
    <col min="7434" max="7434" width="5.140625" style="272" customWidth="1"/>
    <col min="7435" max="7436" width="1" style="272" customWidth="1"/>
    <col min="7437" max="7437" width="2.28515625" style="272" customWidth="1"/>
    <col min="7438" max="7439" width="1.7109375" style="272" customWidth="1"/>
    <col min="7440" max="7443" width="1" style="272" customWidth="1"/>
    <col min="7444" max="7449" width="1.5703125" style="272" customWidth="1"/>
    <col min="7450" max="7451" width="1" style="272" customWidth="1"/>
    <col min="7452" max="7477" width="1.7109375" style="272" customWidth="1"/>
    <col min="7478" max="7479" width="3" style="272" customWidth="1"/>
    <col min="7480" max="7480" width="1.7109375" style="272" customWidth="1"/>
    <col min="7481" max="7481" width="3.85546875" style="272" customWidth="1"/>
    <col min="7482" max="7483" width="1.7109375" style="272" customWidth="1"/>
    <col min="7484" max="7496" width="0" style="272" hidden="1" customWidth="1"/>
    <col min="7497" max="7497" width="1.7109375" style="272" customWidth="1"/>
    <col min="7498" max="7505" width="10.7109375" style="272" customWidth="1"/>
    <col min="7506" max="7680" width="11.42578125" style="272"/>
    <col min="7681" max="7681" width="1.42578125" style="272" customWidth="1"/>
    <col min="7682" max="7684" width="1.7109375" style="272" customWidth="1"/>
    <col min="7685" max="7685" width="1.85546875" style="272" customWidth="1"/>
    <col min="7686" max="7686" width="2" style="272" customWidth="1"/>
    <col min="7687" max="7687" width="1.28515625" style="272" customWidth="1"/>
    <col min="7688" max="7689" width="1.7109375" style="272" customWidth="1"/>
    <col min="7690" max="7690" width="5.140625" style="272" customWidth="1"/>
    <col min="7691" max="7692" width="1" style="272" customWidth="1"/>
    <col min="7693" max="7693" width="2.28515625" style="272" customWidth="1"/>
    <col min="7694" max="7695" width="1.7109375" style="272" customWidth="1"/>
    <col min="7696" max="7699" width="1" style="272" customWidth="1"/>
    <col min="7700" max="7705" width="1.5703125" style="272" customWidth="1"/>
    <col min="7706" max="7707" width="1" style="272" customWidth="1"/>
    <col min="7708" max="7733" width="1.7109375" style="272" customWidth="1"/>
    <col min="7734" max="7735" width="3" style="272" customWidth="1"/>
    <col min="7736" max="7736" width="1.7109375" style="272" customWidth="1"/>
    <col min="7737" max="7737" width="3.85546875" style="272" customWidth="1"/>
    <col min="7738" max="7739" width="1.7109375" style="272" customWidth="1"/>
    <col min="7740" max="7752" width="0" style="272" hidden="1" customWidth="1"/>
    <col min="7753" max="7753" width="1.7109375" style="272" customWidth="1"/>
    <col min="7754" max="7761" width="10.7109375" style="272" customWidth="1"/>
    <col min="7762" max="7936" width="11.42578125" style="272"/>
    <col min="7937" max="7937" width="1.42578125" style="272" customWidth="1"/>
    <col min="7938" max="7940" width="1.7109375" style="272" customWidth="1"/>
    <col min="7941" max="7941" width="1.85546875" style="272" customWidth="1"/>
    <col min="7942" max="7942" width="2" style="272" customWidth="1"/>
    <col min="7943" max="7943" width="1.28515625" style="272" customWidth="1"/>
    <col min="7944" max="7945" width="1.7109375" style="272" customWidth="1"/>
    <col min="7946" max="7946" width="5.140625" style="272" customWidth="1"/>
    <col min="7947" max="7948" width="1" style="272" customWidth="1"/>
    <col min="7949" max="7949" width="2.28515625" style="272" customWidth="1"/>
    <col min="7950" max="7951" width="1.7109375" style="272" customWidth="1"/>
    <col min="7952" max="7955" width="1" style="272" customWidth="1"/>
    <col min="7956" max="7961" width="1.5703125" style="272" customWidth="1"/>
    <col min="7962" max="7963" width="1" style="272" customWidth="1"/>
    <col min="7964" max="7989" width="1.7109375" style="272" customWidth="1"/>
    <col min="7990" max="7991" width="3" style="272" customWidth="1"/>
    <col min="7992" max="7992" width="1.7109375" style="272" customWidth="1"/>
    <col min="7993" max="7993" width="3.85546875" style="272" customWidth="1"/>
    <col min="7994" max="7995" width="1.7109375" style="272" customWidth="1"/>
    <col min="7996" max="8008" width="0" style="272" hidden="1" customWidth="1"/>
    <col min="8009" max="8009" width="1.7109375" style="272" customWidth="1"/>
    <col min="8010" max="8017" width="10.7109375" style="272" customWidth="1"/>
    <col min="8018" max="8192" width="11.42578125" style="272"/>
    <col min="8193" max="8193" width="1.42578125" style="272" customWidth="1"/>
    <col min="8194" max="8196" width="1.7109375" style="272" customWidth="1"/>
    <col min="8197" max="8197" width="1.85546875" style="272" customWidth="1"/>
    <col min="8198" max="8198" width="2" style="272" customWidth="1"/>
    <col min="8199" max="8199" width="1.28515625" style="272" customWidth="1"/>
    <col min="8200" max="8201" width="1.7109375" style="272" customWidth="1"/>
    <col min="8202" max="8202" width="5.140625" style="272" customWidth="1"/>
    <col min="8203" max="8204" width="1" style="272" customWidth="1"/>
    <col min="8205" max="8205" width="2.28515625" style="272" customWidth="1"/>
    <col min="8206" max="8207" width="1.7109375" style="272" customWidth="1"/>
    <col min="8208" max="8211" width="1" style="272" customWidth="1"/>
    <col min="8212" max="8217" width="1.5703125" style="272" customWidth="1"/>
    <col min="8218" max="8219" width="1" style="272" customWidth="1"/>
    <col min="8220" max="8245" width="1.7109375" style="272" customWidth="1"/>
    <col min="8246" max="8247" width="3" style="272" customWidth="1"/>
    <col min="8248" max="8248" width="1.7109375" style="272" customWidth="1"/>
    <col min="8249" max="8249" width="3.85546875" style="272" customWidth="1"/>
    <col min="8250" max="8251" width="1.7109375" style="272" customWidth="1"/>
    <col min="8252" max="8264" width="0" style="272" hidden="1" customWidth="1"/>
    <col min="8265" max="8265" width="1.7109375" style="272" customWidth="1"/>
    <col min="8266" max="8273" width="10.7109375" style="272" customWidth="1"/>
    <col min="8274" max="8448" width="11.42578125" style="272"/>
    <col min="8449" max="8449" width="1.42578125" style="272" customWidth="1"/>
    <col min="8450" max="8452" width="1.7109375" style="272" customWidth="1"/>
    <col min="8453" max="8453" width="1.85546875" style="272" customWidth="1"/>
    <col min="8454" max="8454" width="2" style="272" customWidth="1"/>
    <col min="8455" max="8455" width="1.28515625" style="272" customWidth="1"/>
    <col min="8456" max="8457" width="1.7109375" style="272" customWidth="1"/>
    <col min="8458" max="8458" width="5.140625" style="272" customWidth="1"/>
    <col min="8459" max="8460" width="1" style="272" customWidth="1"/>
    <col min="8461" max="8461" width="2.28515625" style="272" customWidth="1"/>
    <col min="8462" max="8463" width="1.7109375" style="272" customWidth="1"/>
    <col min="8464" max="8467" width="1" style="272" customWidth="1"/>
    <col min="8468" max="8473" width="1.5703125" style="272" customWidth="1"/>
    <col min="8474" max="8475" width="1" style="272" customWidth="1"/>
    <col min="8476" max="8501" width="1.7109375" style="272" customWidth="1"/>
    <col min="8502" max="8503" width="3" style="272" customWidth="1"/>
    <col min="8504" max="8504" width="1.7109375" style="272" customWidth="1"/>
    <col min="8505" max="8505" width="3.85546875" style="272" customWidth="1"/>
    <col min="8506" max="8507" width="1.7109375" style="272" customWidth="1"/>
    <col min="8508" max="8520" width="0" style="272" hidden="1" customWidth="1"/>
    <col min="8521" max="8521" width="1.7109375" style="272" customWidth="1"/>
    <col min="8522" max="8529" width="10.7109375" style="272" customWidth="1"/>
    <col min="8530" max="8704" width="11.42578125" style="272"/>
    <col min="8705" max="8705" width="1.42578125" style="272" customWidth="1"/>
    <col min="8706" max="8708" width="1.7109375" style="272" customWidth="1"/>
    <col min="8709" max="8709" width="1.85546875" style="272" customWidth="1"/>
    <col min="8710" max="8710" width="2" style="272" customWidth="1"/>
    <col min="8711" max="8711" width="1.28515625" style="272" customWidth="1"/>
    <col min="8712" max="8713" width="1.7109375" style="272" customWidth="1"/>
    <col min="8714" max="8714" width="5.140625" style="272" customWidth="1"/>
    <col min="8715" max="8716" width="1" style="272" customWidth="1"/>
    <col min="8717" max="8717" width="2.28515625" style="272" customWidth="1"/>
    <col min="8718" max="8719" width="1.7109375" style="272" customWidth="1"/>
    <col min="8720" max="8723" width="1" style="272" customWidth="1"/>
    <col min="8724" max="8729" width="1.5703125" style="272" customWidth="1"/>
    <col min="8730" max="8731" width="1" style="272" customWidth="1"/>
    <col min="8732" max="8757" width="1.7109375" style="272" customWidth="1"/>
    <col min="8758" max="8759" width="3" style="272" customWidth="1"/>
    <col min="8760" max="8760" width="1.7109375" style="272" customWidth="1"/>
    <col min="8761" max="8761" width="3.85546875" style="272" customWidth="1"/>
    <col min="8762" max="8763" width="1.7109375" style="272" customWidth="1"/>
    <col min="8764" max="8776" width="0" style="272" hidden="1" customWidth="1"/>
    <col min="8777" max="8777" width="1.7109375" style="272" customWidth="1"/>
    <col min="8778" max="8785" width="10.7109375" style="272" customWidth="1"/>
    <col min="8786" max="8960" width="11.42578125" style="272"/>
    <col min="8961" max="8961" width="1.42578125" style="272" customWidth="1"/>
    <col min="8962" max="8964" width="1.7109375" style="272" customWidth="1"/>
    <col min="8965" max="8965" width="1.85546875" style="272" customWidth="1"/>
    <col min="8966" max="8966" width="2" style="272" customWidth="1"/>
    <col min="8967" max="8967" width="1.28515625" style="272" customWidth="1"/>
    <col min="8968" max="8969" width="1.7109375" style="272" customWidth="1"/>
    <col min="8970" max="8970" width="5.140625" style="272" customWidth="1"/>
    <col min="8971" max="8972" width="1" style="272" customWidth="1"/>
    <col min="8973" max="8973" width="2.28515625" style="272" customWidth="1"/>
    <col min="8974" max="8975" width="1.7109375" style="272" customWidth="1"/>
    <col min="8976" max="8979" width="1" style="272" customWidth="1"/>
    <col min="8980" max="8985" width="1.5703125" style="272" customWidth="1"/>
    <col min="8986" max="8987" width="1" style="272" customWidth="1"/>
    <col min="8988" max="9013" width="1.7109375" style="272" customWidth="1"/>
    <col min="9014" max="9015" width="3" style="272" customWidth="1"/>
    <col min="9016" max="9016" width="1.7109375" style="272" customWidth="1"/>
    <col min="9017" max="9017" width="3.85546875" style="272" customWidth="1"/>
    <col min="9018" max="9019" width="1.7109375" style="272" customWidth="1"/>
    <col min="9020" max="9032" width="0" style="272" hidden="1" customWidth="1"/>
    <col min="9033" max="9033" width="1.7109375" style="272" customWidth="1"/>
    <col min="9034" max="9041" width="10.7109375" style="272" customWidth="1"/>
    <col min="9042" max="9216" width="11.42578125" style="272"/>
    <col min="9217" max="9217" width="1.42578125" style="272" customWidth="1"/>
    <col min="9218" max="9220" width="1.7109375" style="272" customWidth="1"/>
    <col min="9221" max="9221" width="1.85546875" style="272" customWidth="1"/>
    <col min="9222" max="9222" width="2" style="272" customWidth="1"/>
    <col min="9223" max="9223" width="1.28515625" style="272" customWidth="1"/>
    <col min="9224" max="9225" width="1.7109375" style="272" customWidth="1"/>
    <col min="9226" max="9226" width="5.140625" style="272" customWidth="1"/>
    <col min="9227" max="9228" width="1" style="272" customWidth="1"/>
    <col min="9229" max="9229" width="2.28515625" style="272" customWidth="1"/>
    <col min="9230" max="9231" width="1.7109375" style="272" customWidth="1"/>
    <col min="9232" max="9235" width="1" style="272" customWidth="1"/>
    <col min="9236" max="9241" width="1.5703125" style="272" customWidth="1"/>
    <col min="9242" max="9243" width="1" style="272" customWidth="1"/>
    <col min="9244" max="9269" width="1.7109375" style="272" customWidth="1"/>
    <col min="9270" max="9271" width="3" style="272" customWidth="1"/>
    <col min="9272" max="9272" width="1.7109375" style="272" customWidth="1"/>
    <col min="9273" max="9273" width="3.85546875" style="272" customWidth="1"/>
    <col min="9274" max="9275" width="1.7109375" style="272" customWidth="1"/>
    <col min="9276" max="9288" width="0" style="272" hidden="1" customWidth="1"/>
    <col min="9289" max="9289" width="1.7109375" style="272" customWidth="1"/>
    <col min="9290" max="9297" width="10.7109375" style="272" customWidth="1"/>
    <col min="9298" max="9472" width="11.42578125" style="272"/>
    <col min="9473" max="9473" width="1.42578125" style="272" customWidth="1"/>
    <col min="9474" max="9476" width="1.7109375" style="272" customWidth="1"/>
    <col min="9477" max="9477" width="1.85546875" style="272" customWidth="1"/>
    <col min="9478" max="9478" width="2" style="272" customWidth="1"/>
    <col min="9479" max="9479" width="1.28515625" style="272" customWidth="1"/>
    <col min="9480" max="9481" width="1.7109375" style="272" customWidth="1"/>
    <col min="9482" max="9482" width="5.140625" style="272" customWidth="1"/>
    <col min="9483" max="9484" width="1" style="272" customWidth="1"/>
    <col min="9485" max="9485" width="2.28515625" style="272" customWidth="1"/>
    <col min="9486" max="9487" width="1.7109375" style="272" customWidth="1"/>
    <col min="9488" max="9491" width="1" style="272" customWidth="1"/>
    <col min="9492" max="9497" width="1.5703125" style="272" customWidth="1"/>
    <col min="9498" max="9499" width="1" style="272" customWidth="1"/>
    <col min="9500" max="9525" width="1.7109375" style="272" customWidth="1"/>
    <col min="9526" max="9527" width="3" style="272" customWidth="1"/>
    <col min="9528" max="9528" width="1.7109375" style="272" customWidth="1"/>
    <col min="9529" max="9529" width="3.85546875" style="272" customWidth="1"/>
    <col min="9530" max="9531" width="1.7109375" style="272" customWidth="1"/>
    <col min="9532" max="9544" width="0" style="272" hidden="1" customWidth="1"/>
    <col min="9545" max="9545" width="1.7109375" style="272" customWidth="1"/>
    <col min="9546" max="9553" width="10.7109375" style="272" customWidth="1"/>
    <col min="9554" max="9728" width="11.42578125" style="272"/>
    <col min="9729" max="9729" width="1.42578125" style="272" customWidth="1"/>
    <col min="9730" max="9732" width="1.7109375" style="272" customWidth="1"/>
    <col min="9733" max="9733" width="1.85546875" style="272" customWidth="1"/>
    <col min="9734" max="9734" width="2" style="272" customWidth="1"/>
    <col min="9735" max="9735" width="1.28515625" style="272" customWidth="1"/>
    <col min="9736" max="9737" width="1.7109375" style="272" customWidth="1"/>
    <col min="9738" max="9738" width="5.140625" style="272" customWidth="1"/>
    <col min="9739" max="9740" width="1" style="272" customWidth="1"/>
    <col min="9741" max="9741" width="2.28515625" style="272" customWidth="1"/>
    <col min="9742" max="9743" width="1.7109375" style="272" customWidth="1"/>
    <col min="9744" max="9747" width="1" style="272" customWidth="1"/>
    <col min="9748" max="9753" width="1.5703125" style="272" customWidth="1"/>
    <col min="9754" max="9755" width="1" style="272" customWidth="1"/>
    <col min="9756" max="9781" width="1.7109375" style="272" customWidth="1"/>
    <col min="9782" max="9783" width="3" style="272" customWidth="1"/>
    <col min="9784" max="9784" width="1.7109375" style="272" customWidth="1"/>
    <col min="9785" max="9785" width="3.85546875" style="272" customWidth="1"/>
    <col min="9786" max="9787" width="1.7109375" style="272" customWidth="1"/>
    <col min="9788" max="9800" width="0" style="272" hidden="1" customWidth="1"/>
    <col min="9801" max="9801" width="1.7109375" style="272" customWidth="1"/>
    <col min="9802" max="9809" width="10.7109375" style="272" customWidth="1"/>
    <col min="9810" max="9984" width="11.42578125" style="272"/>
    <col min="9985" max="9985" width="1.42578125" style="272" customWidth="1"/>
    <col min="9986" max="9988" width="1.7109375" style="272" customWidth="1"/>
    <col min="9989" max="9989" width="1.85546875" style="272" customWidth="1"/>
    <col min="9990" max="9990" width="2" style="272" customWidth="1"/>
    <col min="9991" max="9991" width="1.28515625" style="272" customWidth="1"/>
    <col min="9992" max="9993" width="1.7109375" style="272" customWidth="1"/>
    <col min="9994" max="9994" width="5.140625" style="272" customWidth="1"/>
    <col min="9995" max="9996" width="1" style="272" customWidth="1"/>
    <col min="9997" max="9997" width="2.28515625" style="272" customWidth="1"/>
    <col min="9998" max="9999" width="1.7109375" style="272" customWidth="1"/>
    <col min="10000" max="10003" width="1" style="272" customWidth="1"/>
    <col min="10004" max="10009" width="1.5703125" style="272" customWidth="1"/>
    <col min="10010" max="10011" width="1" style="272" customWidth="1"/>
    <col min="10012" max="10037" width="1.7109375" style="272" customWidth="1"/>
    <col min="10038" max="10039" width="3" style="272" customWidth="1"/>
    <col min="10040" max="10040" width="1.7109375" style="272" customWidth="1"/>
    <col min="10041" max="10041" width="3.85546875" style="272" customWidth="1"/>
    <col min="10042" max="10043" width="1.7109375" style="272" customWidth="1"/>
    <col min="10044" max="10056" width="0" style="272" hidden="1" customWidth="1"/>
    <col min="10057" max="10057" width="1.7109375" style="272" customWidth="1"/>
    <col min="10058" max="10065" width="10.7109375" style="272" customWidth="1"/>
    <col min="10066" max="10240" width="11.42578125" style="272"/>
    <col min="10241" max="10241" width="1.42578125" style="272" customWidth="1"/>
    <col min="10242" max="10244" width="1.7109375" style="272" customWidth="1"/>
    <col min="10245" max="10245" width="1.85546875" style="272" customWidth="1"/>
    <col min="10246" max="10246" width="2" style="272" customWidth="1"/>
    <col min="10247" max="10247" width="1.28515625" style="272" customWidth="1"/>
    <col min="10248" max="10249" width="1.7109375" style="272" customWidth="1"/>
    <col min="10250" max="10250" width="5.140625" style="272" customWidth="1"/>
    <col min="10251" max="10252" width="1" style="272" customWidth="1"/>
    <col min="10253" max="10253" width="2.28515625" style="272" customWidth="1"/>
    <col min="10254" max="10255" width="1.7109375" style="272" customWidth="1"/>
    <col min="10256" max="10259" width="1" style="272" customWidth="1"/>
    <col min="10260" max="10265" width="1.5703125" style="272" customWidth="1"/>
    <col min="10266" max="10267" width="1" style="272" customWidth="1"/>
    <col min="10268" max="10293" width="1.7109375" style="272" customWidth="1"/>
    <col min="10294" max="10295" width="3" style="272" customWidth="1"/>
    <col min="10296" max="10296" width="1.7109375" style="272" customWidth="1"/>
    <col min="10297" max="10297" width="3.85546875" style="272" customWidth="1"/>
    <col min="10298" max="10299" width="1.7109375" style="272" customWidth="1"/>
    <col min="10300" max="10312" width="0" style="272" hidden="1" customWidth="1"/>
    <col min="10313" max="10313" width="1.7109375" style="272" customWidth="1"/>
    <col min="10314" max="10321" width="10.7109375" style="272" customWidth="1"/>
    <col min="10322" max="10496" width="11.42578125" style="272"/>
    <col min="10497" max="10497" width="1.42578125" style="272" customWidth="1"/>
    <col min="10498" max="10500" width="1.7109375" style="272" customWidth="1"/>
    <col min="10501" max="10501" width="1.85546875" style="272" customWidth="1"/>
    <col min="10502" max="10502" width="2" style="272" customWidth="1"/>
    <col min="10503" max="10503" width="1.28515625" style="272" customWidth="1"/>
    <col min="10504" max="10505" width="1.7109375" style="272" customWidth="1"/>
    <col min="10506" max="10506" width="5.140625" style="272" customWidth="1"/>
    <col min="10507" max="10508" width="1" style="272" customWidth="1"/>
    <col min="10509" max="10509" width="2.28515625" style="272" customWidth="1"/>
    <col min="10510" max="10511" width="1.7109375" style="272" customWidth="1"/>
    <col min="10512" max="10515" width="1" style="272" customWidth="1"/>
    <col min="10516" max="10521" width="1.5703125" style="272" customWidth="1"/>
    <col min="10522" max="10523" width="1" style="272" customWidth="1"/>
    <col min="10524" max="10549" width="1.7109375" style="272" customWidth="1"/>
    <col min="10550" max="10551" width="3" style="272" customWidth="1"/>
    <col min="10552" max="10552" width="1.7109375" style="272" customWidth="1"/>
    <col min="10553" max="10553" width="3.85546875" style="272" customWidth="1"/>
    <col min="10554" max="10555" width="1.7109375" style="272" customWidth="1"/>
    <col min="10556" max="10568" width="0" style="272" hidden="1" customWidth="1"/>
    <col min="10569" max="10569" width="1.7109375" style="272" customWidth="1"/>
    <col min="10570" max="10577" width="10.7109375" style="272" customWidth="1"/>
    <col min="10578" max="10752" width="11.42578125" style="272"/>
    <col min="10753" max="10753" width="1.42578125" style="272" customWidth="1"/>
    <col min="10754" max="10756" width="1.7109375" style="272" customWidth="1"/>
    <col min="10757" max="10757" width="1.85546875" style="272" customWidth="1"/>
    <col min="10758" max="10758" width="2" style="272" customWidth="1"/>
    <col min="10759" max="10759" width="1.28515625" style="272" customWidth="1"/>
    <col min="10760" max="10761" width="1.7109375" style="272" customWidth="1"/>
    <col min="10762" max="10762" width="5.140625" style="272" customWidth="1"/>
    <col min="10763" max="10764" width="1" style="272" customWidth="1"/>
    <col min="10765" max="10765" width="2.28515625" style="272" customWidth="1"/>
    <col min="10766" max="10767" width="1.7109375" style="272" customWidth="1"/>
    <col min="10768" max="10771" width="1" style="272" customWidth="1"/>
    <col min="10772" max="10777" width="1.5703125" style="272" customWidth="1"/>
    <col min="10778" max="10779" width="1" style="272" customWidth="1"/>
    <col min="10780" max="10805" width="1.7109375" style="272" customWidth="1"/>
    <col min="10806" max="10807" width="3" style="272" customWidth="1"/>
    <col min="10808" max="10808" width="1.7109375" style="272" customWidth="1"/>
    <col min="10809" max="10809" width="3.85546875" style="272" customWidth="1"/>
    <col min="10810" max="10811" width="1.7109375" style="272" customWidth="1"/>
    <col min="10812" max="10824" width="0" style="272" hidden="1" customWidth="1"/>
    <col min="10825" max="10825" width="1.7109375" style="272" customWidth="1"/>
    <col min="10826" max="10833" width="10.7109375" style="272" customWidth="1"/>
    <col min="10834" max="11008" width="11.42578125" style="272"/>
    <col min="11009" max="11009" width="1.42578125" style="272" customWidth="1"/>
    <col min="11010" max="11012" width="1.7109375" style="272" customWidth="1"/>
    <col min="11013" max="11013" width="1.85546875" style="272" customWidth="1"/>
    <col min="11014" max="11014" width="2" style="272" customWidth="1"/>
    <col min="11015" max="11015" width="1.28515625" style="272" customWidth="1"/>
    <col min="11016" max="11017" width="1.7109375" style="272" customWidth="1"/>
    <col min="11018" max="11018" width="5.140625" style="272" customWidth="1"/>
    <col min="11019" max="11020" width="1" style="272" customWidth="1"/>
    <col min="11021" max="11021" width="2.28515625" style="272" customWidth="1"/>
    <col min="11022" max="11023" width="1.7109375" style="272" customWidth="1"/>
    <col min="11024" max="11027" width="1" style="272" customWidth="1"/>
    <col min="11028" max="11033" width="1.5703125" style="272" customWidth="1"/>
    <col min="11034" max="11035" width="1" style="272" customWidth="1"/>
    <col min="11036" max="11061" width="1.7109375" style="272" customWidth="1"/>
    <col min="11062" max="11063" width="3" style="272" customWidth="1"/>
    <col min="11064" max="11064" width="1.7109375" style="272" customWidth="1"/>
    <col min="11065" max="11065" width="3.85546875" style="272" customWidth="1"/>
    <col min="11066" max="11067" width="1.7109375" style="272" customWidth="1"/>
    <col min="11068" max="11080" width="0" style="272" hidden="1" customWidth="1"/>
    <col min="11081" max="11081" width="1.7109375" style="272" customWidth="1"/>
    <col min="11082" max="11089" width="10.7109375" style="272" customWidth="1"/>
    <col min="11090" max="11264" width="11.42578125" style="272"/>
    <col min="11265" max="11265" width="1.42578125" style="272" customWidth="1"/>
    <col min="11266" max="11268" width="1.7109375" style="272" customWidth="1"/>
    <col min="11269" max="11269" width="1.85546875" style="272" customWidth="1"/>
    <col min="11270" max="11270" width="2" style="272" customWidth="1"/>
    <col min="11271" max="11271" width="1.28515625" style="272" customWidth="1"/>
    <col min="11272" max="11273" width="1.7109375" style="272" customWidth="1"/>
    <col min="11274" max="11274" width="5.140625" style="272" customWidth="1"/>
    <col min="11275" max="11276" width="1" style="272" customWidth="1"/>
    <col min="11277" max="11277" width="2.28515625" style="272" customWidth="1"/>
    <col min="11278" max="11279" width="1.7109375" style="272" customWidth="1"/>
    <col min="11280" max="11283" width="1" style="272" customWidth="1"/>
    <col min="11284" max="11289" width="1.5703125" style="272" customWidth="1"/>
    <col min="11290" max="11291" width="1" style="272" customWidth="1"/>
    <col min="11292" max="11317" width="1.7109375" style="272" customWidth="1"/>
    <col min="11318" max="11319" width="3" style="272" customWidth="1"/>
    <col min="11320" max="11320" width="1.7109375" style="272" customWidth="1"/>
    <col min="11321" max="11321" width="3.85546875" style="272" customWidth="1"/>
    <col min="11322" max="11323" width="1.7109375" style="272" customWidth="1"/>
    <col min="11324" max="11336" width="0" style="272" hidden="1" customWidth="1"/>
    <col min="11337" max="11337" width="1.7109375" style="272" customWidth="1"/>
    <col min="11338" max="11345" width="10.7109375" style="272" customWidth="1"/>
    <col min="11346" max="11520" width="11.42578125" style="272"/>
    <col min="11521" max="11521" width="1.42578125" style="272" customWidth="1"/>
    <col min="11522" max="11524" width="1.7109375" style="272" customWidth="1"/>
    <col min="11525" max="11525" width="1.85546875" style="272" customWidth="1"/>
    <col min="11526" max="11526" width="2" style="272" customWidth="1"/>
    <col min="11527" max="11527" width="1.28515625" style="272" customWidth="1"/>
    <col min="11528" max="11529" width="1.7109375" style="272" customWidth="1"/>
    <col min="11530" max="11530" width="5.140625" style="272" customWidth="1"/>
    <col min="11531" max="11532" width="1" style="272" customWidth="1"/>
    <col min="11533" max="11533" width="2.28515625" style="272" customWidth="1"/>
    <col min="11534" max="11535" width="1.7109375" style="272" customWidth="1"/>
    <col min="11536" max="11539" width="1" style="272" customWidth="1"/>
    <col min="11540" max="11545" width="1.5703125" style="272" customWidth="1"/>
    <col min="11546" max="11547" width="1" style="272" customWidth="1"/>
    <col min="11548" max="11573" width="1.7109375" style="272" customWidth="1"/>
    <col min="11574" max="11575" width="3" style="272" customWidth="1"/>
    <col min="11576" max="11576" width="1.7109375" style="272" customWidth="1"/>
    <col min="11577" max="11577" width="3.85546875" style="272" customWidth="1"/>
    <col min="11578" max="11579" width="1.7109375" style="272" customWidth="1"/>
    <col min="11580" max="11592" width="0" style="272" hidden="1" customWidth="1"/>
    <col min="11593" max="11593" width="1.7109375" style="272" customWidth="1"/>
    <col min="11594" max="11601" width="10.7109375" style="272" customWidth="1"/>
    <col min="11602" max="11776" width="11.42578125" style="272"/>
    <col min="11777" max="11777" width="1.42578125" style="272" customWidth="1"/>
    <col min="11778" max="11780" width="1.7109375" style="272" customWidth="1"/>
    <col min="11781" max="11781" width="1.85546875" style="272" customWidth="1"/>
    <col min="11782" max="11782" width="2" style="272" customWidth="1"/>
    <col min="11783" max="11783" width="1.28515625" style="272" customWidth="1"/>
    <col min="11784" max="11785" width="1.7109375" style="272" customWidth="1"/>
    <col min="11786" max="11786" width="5.140625" style="272" customWidth="1"/>
    <col min="11787" max="11788" width="1" style="272" customWidth="1"/>
    <col min="11789" max="11789" width="2.28515625" style="272" customWidth="1"/>
    <col min="11790" max="11791" width="1.7109375" style="272" customWidth="1"/>
    <col min="11792" max="11795" width="1" style="272" customWidth="1"/>
    <col min="11796" max="11801" width="1.5703125" style="272" customWidth="1"/>
    <col min="11802" max="11803" width="1" style="272" customWidth="1"/>
    <col min="11804" max="11829" width="1.7109375" style="272" customWidth="1"/>
    <col min="11830" max="11831" width="3" style="272" customWidth="1"/>
    <col min="11832" max="11832" width="1.7109375" style="272" customWidth="1"/>
    <col min="11833" max="11833" width="3.85546875" style="272" customWidth="1"/>
    <col min="11834" max="11835" width="1.7109375" style="272" customWidth="1"/>
    <col min="11836" max="11848" width="0" style="272" hidden="1" customWidth="1"/>
    <col min="11849" max="11849" width="1.7109375" style="272" customWidth="1"/>
    <col min="11850" max="11857" width="10.7109375" style="272" customWidth="1"/>
    <col min="11858" max="12032" width="11.42578125" style="272"/>
    <col min="12033" max="12033" width="1.42578125" style="272" customWidth="1"/>
    <col min="12034" max="12036" width="1.7109375" style="272" customWidth="1"/>
    <col min="12037" max="12037" width="1.85546875" style="272" customWidth="1"/>
    <col min="12038" max="12038" width="2" style="272" customWidth="1"/>
    <col min="12039" max="12039" width="1.28515625" style="272" customWidth="1"/>
    <col min="12040" max="12041" width="1.7109375" style="272" customWidth="1"/>
    <col min="12042" max="12042" width="5.140625" style="272" customWidth="1"/>
    <col min="12043" max="12044" width="1" style="272" customWidth="1"/>
    <col min="12045" max="12045" width="2.28515625" style="272" customWidth="1"/>
    <col min="12046" max="12047" width="1.7109375" style="272" customWidth="1"/>
    <col min="12048" max="12051" width="1" style="272" customWidth="1"/>
    <col min="12052" max="12057" width="1.5703125" style="272" customWidth="1"/>
    <col min="12058" max="12059" width="1" style="272" customWidth="1"/>
    <col min="12060" max="12085" width="1.7109375" style="272" customWidth="1"/>
    <col min="12086" max="12087" width="3" style="272" customWidth="1"/>
    <col min="12088" max="12088" width="1.7109375" style="272" customWidth="1"/>
    <col min="12089" max="12089" width="3.85546875" style="272" customWidth="1"/>
    <col min="12090" max="12091" width="1.7109375" style="272" customWidth="1"/>
    <col min="12092" max="12104" width="0" style="272" hidden="1" customWidth="1"/>
    <col min="12105" max="12105" width="1.7109375" style="272" customWidth="1"/>
    <col min="12106" max="12113" width="10.7109375" style="272" customWidth="1"/>
    <col min="12114" max="12288" width="11.42578125" style="272"/>
    <col min="12289" max="12289" width="1.42578125" style="272" customWidth="1"/>
    <col min="12290" max="12292" width="1.7109375" style="272" customWidth="1"/>
    <col min="12293" max="12293" width="1.85546875" style="272" customWidth="1"/>
    <col min="12294" max="12294" width="2" style="272" customWidth="1"/>
    <col min="12295" max="12295" width="1.28515625" style="272" customWidth="1"/>
    <col min="12296" max="12297" width="1.7109375" style="272" customWidth="1"/>
    <col min="12298" max="12298" width="5.140625" style="272" customWidth="1"/>
    <col min="12299" max="12300" width="1" style="272" customWidth="1"/>
    <col min="12301" max="12301" width="2.28515625" style="272" customWidth="1"/>
    <col min="12302" max="12303" width="1.7109375" style="272" customWidth="1"/>
    <col min="12304" max="12307" width="1" style="272" customWidth="1"/>
    <col min="12308" max="12313" width="1.5703125" style="272" customWidth="1"/>
    <col min="12314" max="12315" width="1" style="272" customWidth="1"/>
    <col min="12316" max="12341" width="1.7109375" style="272" customWidth="1"/>
    <col min="12342" max="12343" width="3" style="272" customWidth="1"/>
    <col min="12344" max="12344" width="1.7109375" style="272" customWidth="1"/>
    <col min="12345" max="12345" width="3.85546875" style="272" customWidth="1"/>
    <col min="12346" max="12347" width="1.7109375" style="272" customWidth="1"/>
    <col min="12348" max="12360" width="0" style="272" hidden="1" customWidth="1"/>
    <col min="12361" max="12361" width="1.7109375" style="272" customWidth="1"/>
    <col min="12362" max="12369" width="10.7109375" style="272" customWidth="1"/>
    <col min="12370" max="12544" width="11.42578125" style="272"/>
    <col min="12545" max="12545" width="1.42578125" style="272" customWidth="1"/>
    <col min="12546" max="12548" width="1.7109375" style="272" customWidth="1"/>
    <col min="12549" max="12549" width="1.85546875" style="272" customWidth="1"/>
    <col min="12550" max="12550" width="2" style="272" customWidth="1"/>
    <col min="12551" max="12551" width="1.28515625" style="272" customWidth="1"/>
    <col min="12552" max="12553" width="1.7109375" style="272" customWidth="1"/>
    <col min="12554" max="12554" width="5.140625" style="272" customWidth="1"/>
    <col min="12555" max="12556" width="1" style="272" customWidth="1"/>
    <col min="12557" max="12557" width="2.28515625" style="272" customWidth="1"/>
    <col min="12558" max="12559" width="1.7109375" style="272" customWidth="1"/>
    <col min="12560" max="12563" width="1" style="272" customWidth="1"/>
    <col min="12564" max="12569" width="1.5703125" style="272" customWidth="1"/>
    <col min="12570" max="12571" width="1" style="272" customWidth="1"/>
    <col min="12572" max="12597" width="1.7109375" style="272" customWidth="1"/>
    <col min="12598" max="12599" width="3" style="272" customWidth="1"/>
    <col min="12600" max="12600" width="1.7109375" style="272" customWidth="1"/>
    <col min="12601" max="12601" width="3.85546875" style="272" customWidth="1"/>
    <col min="12602" max="12603" width="1.7109375" style="272" customWidth="1"/>
    <col min="12604" max="12616" width="0" style="272" hidden="1" customWidth="1"/>
    <col min="12617" max="12617" width="1.7109375" style="272" customWidth="1"/>
    <col min="12618" max="12625" width="10.7109375" style="272" customWidth="1"/>
    <col min="12626" max="12800" width="11.42578125" style="272"/>
    <col min="12801" max="12801" width="1.42578125" style="272" customWidth="1"/>
    <col min="12802" max="12804" width="1.7109375" style="272" customWidth="1"/>
    <col min="12805" max="12805" width="1.85546875" style="272" customWidth="1"/>
    <col min="12806" max="12806" width="2" style="272" customWidth="1"/>
    <col min="12807" max="12807" width="1.28515625" style="272" customWidth="1"/>
    <col min="12808" max="12809" width="1.7109375" style="272" customWidth="1"/>
    <col min="12810" max="12810" width="5.140625" style="272" customWidth="1"/>
    <col min="12811" max="12812" width="1" style="272" customWidth="1"/>
    <col min="12813" max="12813" width="2.28515625" style="272" customWidth="1"/>
    <col min="12814" max="12815" width="1.7109375" style="272" customWidth="1"/>
    <col min="12816" max="12819" width="1" style="272" customWidth="1"/>
    <col min="12820" max="12825" width="1.5703125" style="272" customWidth="1"/>
    <col min="12826" max="12827" width="1" style="272" customWidth="1"/>
    <col min="12828" max="12853" width="1.7109375" style="272" customWidth="1"/>
    <col min="12854" max="12855" width="3" style="272" customWidth="1"/>
    <col min="12856" max="12856" width="1.7109375" style="272" customWidth="1"/>
    <col min="12857" max="12857" width="3.85546875" style="272" customWidth="1"/>
    <col min="12858" max="12859" width="1.7109375" style="272" customWidth="1"/>
    <col min="12860" max="12872" width="0" style="272" hidden="1" customWidth="1"/>
    <col min="12873" max="12873" width="1.7109375" style="272" customWidth="1"/>
    <col min="12874" max="12881" width="10.7109375" style="272" customWidth="1"/>
    <col min="12882" max="13056" width="11.42578125" style="272"/>
    <col min="13057" max="13057" width="1.42578125" style="272" customWidth="1"/>
    <col min="13058" max="13060" width="1.7109375" style="272" customWidth="1"/>
    <col min="13061" max="13061" width="1.85546875" style="272" customWidth="1"/>
    <col min="13062" max="13062" width="2" style="272" customWidth="1"/>
    <col min="13063" max="13063" width="1.28515625" style="272" customWidth="1"/>
    <col min="13064" max="13065" width="1.7109375" style="272" customWidth="1"/>
    <col min="13066" max="13066" width="5.140625" style="272" customWidth="1"/>
    <col min="13067" max="13068" width="1" style="272" customWidth="1"/>
    <col min="13069" max="13069" width="2.28515625" style="272" customWidth="1"/>
    <col min="13070" max="13071" width="1.7109375" style="272" customWidth="1"/>
    <col min="13072" max="13075" width="1" style="272" customWidth="1"/>
    <col min="13076" max="13081" width="1.5703125" style="272" customWidth="1"/>
    <col min="13082" max="13083" width="1" style="272" customWidth="1"/>
    <col min="13084" max="13109" width="1.7109375" style="272" customWidth="1"/>
    <col min="13110" max="13111" width="3" style="272" customWidth="1"/>
    <col min="13112" max="13112" width="1.7109375" style="272" customWidth="1"/>
    <col min="13113" max="13113" width="3.85546875" style="272" customWidth="1"/>
    <col min="13114" max="13115" width="1.7109375" style="272" customWidth="1"/>
    <col min="13116" max="13128" width="0" style="272" hidden="1" customWidth="1"/>
    <col min="13129" max="13129" width="1.7109375" style="272" customWidth="1"/>
    <col min="13130" max="13137" width="10.7109375" style="272" customWidth="1"/>
    <col min="13138" max="13312" width="11.42578125" style="272"/>
    <col min="13313" max="13313" width="1.42578125" style="272" customWidth="1"/>
    <col min="13314" max="13316" width="1.7109375" style="272" customWidth="1"/>
    <col min="13317" max="13317" width="1.85546875" style="272" customWidth="1"/>
    <col min="13318" max="13318" width="2" style="272" customWidth="1"/>
    <col min="13319" max="13319" width="1.28515625" style="272" customWidth="1"/>
    <col min="13320" max="13321" width="1.7109375" style="272" customWidth="1"/>
    <col min="13322" max="13322" width="5.140625" style="272" customWidth="1"/>
    <col min="13323" max="13324" width="1" style="272" customWidth="1"/>
    <col min="13325" max="13325" width="2.28515625" style="272" customWidth="1"/>
    <col min="13326" max="13327" width="1.7109375" style="272" customWidth="1"/>
    <col min="13328" max="13331" width="1" style="272" customWidth="1"/>
    <col min="13332" max="13337" width="1.5703125" style="272" customWidth="1"/>
    <col min="13338" max="13339" width="1" style="272" customWidth="1"/>
    <col min="13340" max="13365" width="1.7109375" style="272" customWidth="1"/>
    <col min="13366" max="13367" width="3" style="272" customWidth="1"/>
    <col min="13368" max="13368" width="1.7109375" style="272" customWidth="1"/>
    <col min="13369" max="13369" width="3.85546875" style="272" customWidth="1"/>
    <col min="13370" max="13371" width="1.7109375" style="272" customWidth="1"/>
    <col min="13372" max="13384" width="0" style="272" hidden="1" customWidth="1"/>
    <col min="13385" max="13385" width="1.7109375" style="272" customWidth="1"/>
    <col min="13386" max="13393" width="10.7109375" style="272" customWidth="1"/>
    <col min="13394" max="13568" width="11.42578125" style="272"/>
    <col min="13569" max="13569" width="1.42578125" style="272" customWidth="1"/>
    <col min="13570" max="13572" width="1.7109375" style="272" customWidth="1"/>
    <col min="13573" max="13573" width="1.85546875" style="272" customWidth="1"/>
    <col min="13574" max="13574" width="2" style="272" customWidth="1"/>
    <col min="13575" max="13575" width="1.28515625" style="272" customWidth="1"/>
    <col min="13576" max="13577" width="1.7109375" style="272" customWidth="1"/>
    <col min="13578" max="13578" width="5.140625" style="272" customWidth="1"/>
    <col min="13579" max="13580" width="1" style="272" customWidth="1"/>
    <col min="13581" max="13581" width="2.28515625" style="272" customWidth="1"/>
    <col min="13582" max="13583" width="1.7109375" style="272" customWidth="1"/>
    <col min="13584" max="13587" width="1" style="272" customWidth="1"/>
    <col min="13588" max="13593" width="1.5703125" style="272" customWidth="1"/>
    <col min="13594" max="13595" width="1" style="272" customWidth="1"/>
    <col min="13596" max="13621" width="1.7109375" style="272" customWidth="1"/>
    <col min="13622" max="13623" width="3" style="272" customWidth="1"/>
    <col min="13624" max="13624" width="1.7109375" style="272" customWidth="1"/>
    <col min="13625" max="13625" width="3.85546875" style="272" customWidth="1"/>
    <col min="13626" max="13627" width="1.7109375" style="272" customWidth="1"/>
    <col min="13628" max="13640" width="0" style="272" hidden="1" customWidth="1"/>
    <col min="13641" max="13641" width="1.7109375" style="272" customWidth="1"/>
    <col min="13642" max="13649" width="10.7109375" style="272" customWidth="1"/>
    <col min="13650" max="13824" width="11.42578125" style="272"/>
    <col min="13825" max="13825" width="1.42578125" style="272" customWidth="1"/>
    <col min="13826" max="13828" width="1.7109375" style="272" customWidth="1"/>
    <col min="13829" max="13829" width="1.85546875" style="272" customWidth="1"/>
    <col min="13830" max="13830" width="2" style="272" customWidth="1"/>
    <col min="13831" max="13831" width="1.28515625" style="272" customWidth="1"/>
    <col min="13832" max="13833" width="1.7109375" style="272" customWidth="1"/>
    <col min="13834" max="13834" width="5.140625" style="272" customWidth="1"/>
    <col min="13835" max="13836" width="1" style="272" customWidth="1"/>
    <col min="13837" max="13837" width="2.28515625" style="272" customWidth="1"/>
    <col min="13838" max="13839" width="1.7109375" style="272" customWidth="1"/>
    <col min="13840" max="13843" width="1" style="272" customWidth="1"/>
    <col min="13844" max="13849" width="1.5703125" style="272" customWidth="1"/>
    <col min="13850" max="13851" width="1" style="272" customWidth="1"/>
    <col min="13852" max="13877" width="1.7109375" style="272" customWidth="1"/>
    <col min="13878" max="13879" width="3" style="272" customWidth="1"/>
    <col min="13880" max="13880" width="1.7109375" style="272" customWidth="1"/>
    <col min="13881" max="13881" width="3.85546875" style="272" customWidth="1"/>
    <col min="13882" max="13883" width="1.7109375" style="272" customWidth="1"/>
    <col min="13884" max="13896" width="0" style="272" hidden="1" customWidth="1"/>
    <col min="13897" max="13897" width="1.7109375" style="272" customWidth="1"/>
    <col min="13898" max="13905" width="10.7109375" style="272" customWidth="1"/>
    <col min="13906" max="14080" width="11.42578125" style="272"/>
    <col min="14081" max="14081" width="1.42578125" style="272" customWidth="1"/>
    <col min="14082" max="14084" width="1.7109375" style="272" customWidth="1"/>
    <col min="14085" max="14085" width="1.85546875" style="272" customWidth="1"/>
    <col min="14086" max="14086" width="2" style="272" customWidth="1"/>
    <col min="14087" max="14087" width="1.28515625" style="272" customWidth="1"/>
    <col min="14088" max="14089" width="1.7109375" style="272" customWidth="1"/>
    <col min="14090" max="14090" width="5.140625" style="272" customWidth="1"/>
    <col min="14091" max="14092" width="1" style="272" customWidth="1"/>
    <col min="14093" max="14093" width="2.28515625" style="272" customWidth="1"/>
    <col min="14094" max="14095" width="1.7109375" style="272" customWidth="1"/>
    <col min="14096" max="14099" width="1" style="272" customWidth="1"/>
    <col min="14100" max="14105" width="1.5703125" style="272" customWidth="1"/>
    <col min="14106" max="14107" width="1" style="272" customWidth="1"/>
    <col min="14108" max="14133" width="1.7109375" style="272" customWidth="1"/>
    <col min="14134" max="14135" width="3" style="272" customWidth="1"/>
    <col min="14136" max="14136" width="1.7109375" style="272" customWidth="1"/>
    <col min="14137" max="14137" width="3.85546875" style="272" customWidth="1"/>
    <col min="14138" max="14139" width="1.7109375" style="272" customWidth="1"/>
    <col min="14140" max="14152" width="0" style="272" hidden="1" customWidth="1"/>
    <col min="14153" max="14153" width="1.7109375" style="272" customWidth="1"/>
    <col min="14154" max="14161" width="10.7109375" style="272" customWidth="1"/>
    <col min="14162" max="14336" width="11.42578125" style="272"/>
    <col min="14337" max="14337" width="1.42578125" style="272" customWidth="1"/>
    <col min="14338" max="14340" width="1.7109375" style="272" customWidth="1"/>
    <col min="14341" max="14341" width="1.85546875" style="272" customWidth="1"/>
    <col min="14342" max="14342" width="2" style="272" customWidth="1"/>
    <col min="14343" max="14343" width="1.28515625" style="272" customWidth="1"/>
    <col min="14344" max="14345" width="1.7109375" style="272" customWidth="1"/>
    <col min="14346" max="14346" width="5.140625" style="272" customWidth="1"/>
    <col min="14347" max="14348" width="1" style="272" customWidth="1"/>
    <col min="14349" max="14349" width="2.28515625" style="272" customWidth="1"/>
    <col min="14350" max="14351" width="1.7109375" style="272" customWidth="1"/>
    <col min="14352" max="14355" width="1" style="272" customWidth="1"/>
    <col min="14356" max="14361" width="1.5703125" style="272" customWidth="1"/>
    <col min="14362" max="14363" width="1" style="272" customWidth="1"/>
    <col min="14364" max="14389" width="1.7109375" style="272" customWidth="1"/>
    <col min="14390" max="14391" width="3" style="272" customWidth="1"/>
    <col min="14392" max="14392" width="1.7109375" style="272" customWidth="1"/>
    <col min="14393" max="14393" width="3.85546875" style="272" customWidth="1"/>
    <col min="14394" max="14395" width="1.7109375" style="272" customWidth="1"/>
    <col min="14396" max="14408" width="0" style="272" hidden="1" customWidth="1"/>
    <col min="14409" max="14409" width="1.7109375" style="272" customWidth="1"/>
    <col min="14410" max="14417" width="10.7109375" style="272" customWidth="1"/>
    <col min="14418" max="14592" width="11.42578125" style="272"/>
    <col min="14593" max="14593" width="1.42578125" style="272" customWidth="1"/>
    <col min="14594" max="14596" width="1.7109375" style="272" customWidth="1"/>
    <col min="14597" max="14597" width="1.85546875" style="272" customWidth="1"/>
    <col min="14598" max="14598" width="2" style="272" customWidth="1"/>
    <col min="14599" max="14599" width="1.28515625" style="272" customWidth="1"/>
    <col min="14600" max="14601" width="1.7109375" style="272" customWidth="1"/>
    <col min="14602" max="14602" width="5.140625" style="272" customWidth="1"/>
    <col min="14603" max="14604" width="1" style="272" customWidth="1"/>
    <col min="14605" max="14605" width="2.28515625" style="272" customWidth="1"/>
    <col min="14606" max="14607" width="1.7109375" style="272" customWidth="1"/>
    <col min="14608" max="14611" width="1" style="272" customWidth="1"/>
    <col min="14612" max="14617" width="1.5703125" style="272" customWidth="1"/>
    <col min="14618" max="14619" width="1" style="272" customWidth="1"/>
    <col min="14620" max="14645" width="1.7109375" style="272" customWidth="1"/>
    <col min="14646" max="14647" width="3" style="272" customWidth="1"/>
    <col min="14648" max="14648" width="1.7109375" style="272" customWidth="1"/>
    <col min="14649" max="14649" width="3.85546875" style="272" customWidth="1"/>
    <col min="14650" max="14651" width="1.7109375" style="272" customWidth="1"/>
    <col min="14652" max="14664" width="0" style="272" hidden="1" customWidth="1"/>
    <col min="14665" max="14665" width="1.7109375" style="272" customWidth="1"/>
    <col min="14666" max="14673" width="10.7109375" style="272" customWidth="1"/>
    <col min="14674" max="14848" width="11.42578125" style="272"/>
    <col min="14849" max="14849" width="1.42578125" style="272" customWidth="1"/>
    <col min="14850" max="14852" width="1.7109375" style="272" customWidth="1"/>
    <col min="14853" max="14853" width="1.85546875" style="272" customWidth="1"/>
    <col min="14854" max="14854" width="2" style="272" customWidth="1"/>
    <col min="14855" max="14855" width="1.28515625" style="272" customWidth="1"/>
    <col min="14856" max="14857" width="1.7109375" style="272" customWidth="1"/>
    <col min="14858" max="14858" width="5.140625" style="272" customWidth="1"/>
    <col min="14859" max="14860" width="1" style="272" customWidth="1"/>
    <col min="14861" max="14861" width="2.28515625" style="272" customWidth="1"/>
    <col min="14862" max="14863" width="1.7109375" style="272" customWidth="1"/>
    <col min="14864" max="14867" width="1" style="272" customWidth="1"/>
    <col min="14868" max="14873" width="1.5703125" style="272" customWidth="1"/>
    <col min="14874" max="14875" width="1" style="272" customWidth="1"/>
    <col min="14876" max="14901" width="1.7109375" style="272" customWidth="1"/>
    <col min="14902" max="14903" width="3" style="272" customWidth="1"/>
    <col min="14904" max="14904" width="1.7109375" style="272" customWidth="1"/>
    <col min="14905" max="14905" width="3.85546875" style="272" customWidth="1"/>
    <col min="14906" max="14907" width="1.7109375" style="272" customWidth="1"/>
    <col min="14908" max="14920" width="0" style="272" hidden="1" customWidth="1"/>
    <col min="14921" max="14921" width="1.7109375" style="272" customWidth="1"/>
    <col min="14922" max="14929" width="10.7109375" style="272" customWidth="1"/>
    <col min="14930" max="15104" width="11.42578125" style="272"/>
    <col min="15105" max="15105" width="1.42578125" style="272" customWidth="1"/>
    <col min="15106" max="15108" width="1.7109375" style="272" customWidth="1"/>
    <col min="15109" max="15109" width="1.85546875" style="272" customWidth="1"/>
    <col min="15110" max="15110" width="2" style="272" customWidth="1"/>
    <col min="15111" max="15111" width="1.28515625" style="272" customWidth="1"/>
    <col min="15112" max="15113" width="1.7109375" style="272" customWidth="1"/>
    <col min="15114" max="15114" width="5.140625" style="272" customWidth="1"/>
    <col min="15115" max="15116" width="1" style="272" customWidth="1"/>
    <col min="15117" max="15117" width="2.28515625" style="272" customWidth="1"/>
    <col min="15118" max="15119" width="1.7109375" style="272" customWidth="1"/>
    <col min="15120" max="15123" width="1" style="272" customWidth="1"/>
    <col min="15124" max="15129" width="1.5703125" style="272" customWidth="1"/>
    <col min="15130" max="15131" width="1" style="272" customWidth="1"/>
    <col min="15132" max="15157" width="1.7109375" style="272" customWidth="1"/>
    <col min="15158" max="15159" width="3" style="272" customWidth="1"/>
    <col min="15160" max="15160" width="1.7109375" style="272" customWidth="1"/>
    <col min="15161" max="15161" width="3.85546875" style="272" customWidth="1"/>
    <col min="15162" max="15163" width="1.7109375" style="272" customWidth="1"/>
    <col min="15164" max="15176" width="0" style="272" hidden="1" customWidth="1"/>
    <col min="15177" max="15177" width="1.7109375" style="272" customWidth="1"/>
    <col min="15178" max="15185" width="10.7109375" style="272" customWidth="1"/>
    <col min="15186" max="15360" width="11.42578125" style="272"/>
    <col min="15361" max="15361" width="1.42578125" style="272" customWidth="1"/>
    <col min="15362" max="15364" width="1.7109375" style="272" customWidth="1"/>
    <col min="15365" max="15365" width="1.85546875" style="272" customWidth="1"/>
    <col min="15366" max="15366" width="2" style="272" customWidth="1"/>
    <col min="15367" max="15367" width="1.28515625" style="272" customWidth="1"/>
    <col min="15368" max="15369" width="1.7109375" style="272" customWidth="1"/>
    <col min="15370" max="15370" width="5.140625" style="272" customWidth="1"/>
    <col min="15371" max="15372" width="1" style="272" customWidth="1"/>
    <col min="15373" max="15373" width="2.28515625" style="272" customWidth="1"/>
    <col min="15374" max="15375" width="1.7109375" style="272" customWidth="1"/>
    <col min="15376" max="15379" width="1" style="272" customWidth="1"/>
    <col min="15380" max="15385" width="1.5703125" style="272" customWidth="1"/>
    <col min="15386" max="15387" width="1" style="272" customWidth="1"/>
    <col min="15388" max="15413" width="1.7109375" style="272" customWidth="1"/>
    <col min="15414" max="15415" width="3" style="272" customWidth="1"/>
    <col min="15416" max="15416" width="1.7109375" style="272" customWidth="1"/>
    <col min="15417" max="15417" width="3.85546875" style="272" customWidth="1"/>
    <col min="15418" max="15419" width="1.7109375" style="272" customWidth="1"/>
    <col min="15420" max="15432" width="0" style="272" hidden="1" customWidth="1"/>
    <col min="15433" max="15433" width="1.7109375" style="272" customWidth="1"/>
    <col min="15434" max="15441" width="10.7109375" style="272" customWidth="1"/>
    <col min="15442" max="15616" width="11.42578125" style="272"/>
    <col min="15617" max="15617" width="1.42578125" style="272" customWidth="1"/>
    <col min="15618" max="15620" width="1.7109375" style="272" customWidth="1"/>
    <col min="15621" max="15621" width="1.85546875" style="272" customWidth="1"/>
    <col min="15622" max="15622" width="2" style="272" customWidth="1"/>
    <col min="15623" max="15623" width="1.28515625" style="272" customWidth="1"/>
    <col min="15624" max="15625" width="1.7109375" style="272" customWidth="1"/>
    <col min="15626" max="15626" width="5.140625" style="272" customWidth="1"/>
    <col min="15627" max="15628" width="1" style="272" customWidth="1"/>
    <col min="15629" max="15629" width="2.28515625" style="272" customWidth="1"/>
    <col min="15630" max="15631" width="1.7109375" style="272" customWidth="1"/>
    <col min="15632" max="15635" width="1" style="272" customWidth="1"/>
    <col min="15636" max="15641" width="1.5703125" style="272" customWidth="1"/>
    <col min="15642" max="15643" width="1" style="272" customWidth="1"/>
    <col min="15644" max="15669" width="1.7109375" style="272" customWidth="1"/>
    <col min="15670" max="15671" width="3" style="272" customWidth="1"/>
    <col min="15672" max="15672" width="1.7109375" style="272" customWidth="1"/>
    <col min="15673" max="15673" width="3.85546875" style="272" customWidth="1"/>
    <col min="15674" max="15675" width="1.7109375" style="272" customWidth="1"/>
    <col min="15676" max="15688" width="0" style="272" hidden="1" customWidth="1"/>
    <col min="15689" max="15689" width="1.7109375" style="272" customWidth="1"/>
    <col min="15690" max="15697" width="10.7109375" style="272" customWidth="1"/>
    <col min="15698" max="15872" width="11.42578125" style="272"/>
    <col min="15873" max="15873" width="1.42578125" style="272" customWidth="1"/>
    <col min="15874" max="15876" width="1.7109375" style="272" customWidth="1"/>
    <col min="15877" max="15877" width="1.85546875" style="272" customWidth="1"/>
    <col min="15878" max="15878" width="2" style="272" customWidth="1"/>
    <col min="15879" max="15879" width="1.28515625" style="272" customWidth="1"/>
    <col min="15880" max="15881" width="1.7109375" style="272" customWidth="1"/>
    <col min="15882" max="15882" width="5.140625" style="272" customWidth="1"/>
    <col min="15883" max="15884" width="1" style="272" customWidth="1"/>
    <col min="15885" max="15885" width="2.28515625" style="272" customWidth="1"/>
    <col min="15886" max="15887" width="1.7109375" style="272" customWidth="1"/>
    <col min="15888" max="15891" width="1" style="272" customWidth="1"/>
    <col min="15892" max="15897" width="1.5703125" style="272" customWidth="1"/>
    <col min="15898" max="15899" width="1" style="272" customWidth="1"/>
    <col min="15900" max="15925" width="1.7109375" style="272" customWidth="1"/>
    <col min="15926" max="15927" width="3" style="272" customWidth="1"/>
    <col min="15928" max="15928" width="1.7109375" style="272" customWidth="1"/>
    <col min="15929" max="15929" width="3.85546875" style="272" customWidth="1"/>
    <col min="15930" max="15931" width="1.7109375" style="272" customWidth="1"/>
    <col min="15932" max="15944" width="0" style="272" hidden="1" customWidth="1"/>
    <col min="15945" max="15945" width="1.7109375" style="272" customWidth="1"/>
    <col min="15946" max="15953" width="10.7109375" style="272" customWidth="1"/>
    <col min="15954" max="16128" width="11.42578125" style="272"/>
    <col min="16129" max="16129" width="1.42578125" style="272" customWidth="1"/>
    <col min="16130" max="16132" width="1.7109375" style="272" customWidth="1"/>
    <col min="16133" max="16133" width="1.85546875" style="272" customWidth="1"/>
    <col min="16134" max="16134" width="2" style="272" customWidth="1"/>
    <col min="16135" max="16135" width="1.28515625" style="272" customWidth="1"/>
    <col min="16136" max="16137" width="1.7109375" style="272" customWidth="1"/>
    <col min="16138" max="16138" width="5.140625" style="272" customWidth="1"/>
    <col min="16139" max="16140" width="1" style="272" customWidth="1"/>
    <col min="16141" max="16141" width="2.28515625" style="272" customWidth="1"/>
    <col min="16142" max="16143" width="1.7109375" style="272" customWidth="1"/>
    <col min="16144" max="16147" width="1" style="272" customWidth="1"/>
    <col min="16148" max="16153" width="1.5703125" style="272" customWidth="1"/>
    <col min="16154" max="16155" width="1" style="272" customWidth="1"/>
    <col min="16156" max="16181" width="1.7109375" style="272" customWidth="1"/>
    <col min="16182" max="16183" width="3" style="272" customWidth="1"/>
    <col min="16184" max="16184" width="1.7109375" style="272" customWidth="1"/>
    <col min="16185" max="16185" width="3.85546875" style="272" customWidth="1"/>
    <col min="16186" max="16187" width="1.7109375" style="272" customWidth="1"/>
    <col min="16188" max="16200" width="0" style="272" hidden="1" customWidth="1"/>
    <col min="16201" max="16201" width="1.7109375" style="272" customWidth="1"/>
    <col min="16202" max="16209" width="10.7109375" style="272" customWidth="1"/>
    <col min="16210" max="16384" width="11.42578125" style="272"/>
  </cols>
  <sheetData>
    <row r="1" spans="2:69" ht="47.25" customHeight="1">
      <c r="BH1" s="273" t="s">
        <v>1124</v>
      </c>
      <c r="BI1" s="273" t="s">
        <v>998</v>
      </c>
      <c r="BJ1" s="273" t="s">
        <v>1125</v>
      </c>
      <c r="BK1" s="273" t="s">
        <v>1126</v>
      </c>
      <c r="BL1" s="274" t="s">
        <v>1127</v>
      </c>
      <c r="BM1" s="273" t="s">
        <v>313</v>
      </c>
      <c r="BN1" s="273" t="s">
        <v>1128</v>
      </c>
      <c r="BO1" s="274" t="s">
        <v>1129</v>
      </c>
      <c r="BP1" s="274" t="s">
        <v>1130</v>
      </c>
      <c r="BQ1" s="275" t="s">
        <v>1131</v>
      </c>
    </row>
    <row r="3" spans="2:69">
      <c r="BH3" s="272" t="s">
        <v>1132</v>
      </c>
      <c r="BI3" s="272" t="s">
        <v>1133</v>
      </c>
      <c r="BJ3" s="272" t="s">
        <v>769</v>
      </c>
      <c r="BK3" s="272" t="s">
        <v>1134</v>
      </c>
      <c r="BL3" s="272">
        <v>1950</v>
      </c>
      <c r="BM3" s="272">
        <v>1</v>
      </c>
      <c r="BN3" s="272">
        <v>1</v>
      </c>
      <c r="BO3" s="272">
        <v>1000</v>
      </c>
      <c r="BP3" s="272" t="s">
        <v>341</v>
      </c>
      <c r="BQ3" s="276">
        <v>0.1</v>
      </c>
    </row>
    <row r="4" spans="2:69">
      <c r="BH4" s="272" t="s">
        <v>1135</v>
      </c>
      <c r="BI4" s="272" t="s">
        <v>1136</v>
      </c>
      <c r="BJ4" s="272" t="s">
        <v>1137</v>
      </c>
      <c r="BK4" s="272" t="s">
        <v>1138</v>
      </c>
      <c r="BL4" s="272">
        <v>1951</v>
      </c>
      <c r="BM4" s="272">
        <v>2</v>
      </c>
      <c r="BN4" s="272">
        <v>2</v>
      </c>
      <c r="BO4" s="272">
        <v>2000</v>
      </c>
      <c r="BP4" s="272" t="s">
        <v>390</v>
      </c>
      <c r="BQ4" s="276">
        <v>0.2</v>
      </c>
    </row>
    <row r="5" spans="2:69">
      <c r="BH5" s="272" t="s">
        <v>765</v>
      </c>
      <c r="BI5" s="272" t="s">
        <v>1139</v>
      </c>
      <c r="BJ5" s="272" t="s">
        <v>1140</v>
      </c>
      <c r="BK5" s="272" t="s">
        <v>1141</v>
      </c>
      <c r="BL5" s="272">
        <v>1952</v>
      </c>
      <c r="BM5" s="272">
        <v>3</v>
      </c>
      <c r="BN5" s="272">
        <v>3</v>
      </c>
      <c r="BO5" s="272">
        <v>3000</v>
      </c>
      <c r="BP5" s="272" t="s">
        <v>42</v>
      </c>
      <c r="BQ5" s="276">
        <v>0.3</v>
      </c>
    </row>
    <row r="6" spans="2:69">
      <c r="BH6" s="272" t="s">
        <v>1142</v>
      </c>
      <c r="BI6" s="272" t="s">
        <v>569</v>
      </c>
      <c r="BJ6" s="272" t="s">
        <v>768</v>
      </c>
      <c r="BK6" s="272" t="s">
        <v>1143</v>
      </c>
      <c r="BL6" s="272">
        <v>1953</v>
      </c>
      <c r="BM6" s="272">
        <v>4</v>
      </c>
      <c r="BN6" s="272">
        <v>4</v>
      </c>
      <c r="BO6" s="272">
        <v>4000</v>
      </c>
      <c r="BP6" s="272" t="s">
        <v>498</v>
      </c>
      <c r="BQ6" s="276">
        <v>0.4</v>
      </c>
    </row>
    <row r="7" spans="2:69">
      <c r="BH7" s="272" t="s">
        <v>1144</v>
      </c>
      <c r="BI7" s="272" t="s">
        <v>1137</v>
      </c>
      <c r="BK7" s="272" t="s">
        <v>1137</v>
      </c>
      <c r="BL7" s="272">
        <v>1954</v>
      </c>
      <c r="BM7" s="272">
        <v>5</v>
      </c>
      <c r="BN7" s="272">
        <v>5</v>
      </c>
      <c r="BO7" s="272">
        <v>5000</v>
      </c>
      <c r="BQ7" s="276">
        <v>0.5</v>
      </c>
    </row>
    <row r="8" spans="2:69">
      <c r="BH8" s="272" t="s">
        <v>1145</v>
      </c>
      <c r="BI8" s="272" t="s">
        <v>1146</v>
      </c>
      <c r="BK8" s="272" t="s">
        <v>1147</v>
      </c>
      <c r="BL8" s="272">
        <v>1955</v>
      </c>
      <c r="BM8" s="272">
        <v>6</v>
      </c>
      <c r="BN8" s="272">
        <v>6</v>
      </c>
      <c r="BO8" s="272">
        <v>6000</v>
      </c>
      <c r="BQ8" s="276">
        <v>0.6</v>
      </c>
    </row>
    <row r="9" spans="2:69">
      <c r="BK9" s="272" t="s">
        <v>1148</v>
      </c>
      <c r="BL9" s="272">
        <v>1956</v>
      </c>
      <c r="BM9" s="272">
        <v>7</v>
      </c>
      <c r="BN9" s="272">
        <v>7</v>
      </c>
      <c r="BO9" s="272">
        <v>7000</v>
      </c>
      <c r="BQ9" s="276">
        <v>0.7</v>
      </c>
    </row>
    <row r="10" spans="2:69" ht="3.75" customHeight="1">
      <c r="BL10" s="272">
        <v>1957</v>
      </c>
      <c r="BM10" s="272">
        <v>8</v>
      </c>
      <c r="BN10" s="272">
        <v>8</v>
      </c>
      <c r="BO10" s="272">
        <v>8000</v>
      </c>
      <c r="BQ10" s="276">
        <v>0.8</v>
      </c>
    </row>
    <row r="11" spans="2:69">
      <c r="B11" s="782" t="s">
        <v>1149</v>
      </c>
      <c r="C11" s="782"/>
      <c r="D11" s="782"/>
      <c r="E11" s="782"/>
      <c r="F11" s="782"/>
      <c r="G11" s="782"/>
      <c r="H11" s="782"/>
      <c r="I11" s="782"/>
      <c r="J11" s="782"/>
      <c r="K11" s="782"/>
      <c r="L11" s="782"/>
      <c r="M11" s="782"/>
      <c r="N11" s="782"/>
      <c r="O11" s="782"/>
      <c r="P11" s="782"/>
      <c r="Q11" s="782"/>
      <c r="R11" s="782"/>
      <c r="S11" s="782"/>
      <c r="T11" s="782"/>
      <c r="U11" s="782"/>
      <c r="V11" s="782"/>
      <c r="W11" s="782"/>
      <c r="X11" s="782"/>
      <c r="Y11" s="782"/>
      <c r="Z11" s="782"/>
      <c r="AA11" s="782"/>
      <c r="AB11" s="782"/>
      <c r="AC11" s="782"/>
      <c r="AD11" s="782"/>
      <c r="AE11" s="782"/>
      <c r="AF11" s="782"/>
      <c r="AG11" s="782"/>
      <c r="AH11" s="782"/>
      <c r="AI11" s="783" t="str">
        <f>+'MEM. DESC. I'!Z13</f>
        <v>XXXX-26</v>
      </c>
      <c r="AJ11" s="783"/>
      <c r="AK11" s="783"/>
      <c r="AL11" s="783"/>
      <c r="BL11" s="272">
        <v>1958</v>
      </c>
      <c r="BM11" s="272">
        <v>9</v>
      </c>
      <c r="BN11" s="272">
        <v>9</v>
      </c>
      <c r="BO11" s="272">
        <v>9000</v>
      </c>
      <c r="BQ11" s="276">
        <v>0.9</v>
      </c>
    </row>
    <row r="12" spans="2:69" ht="30.75" customHeight="1">
      <c r="B12" s="784" t="s">
        <v>1150</v>
      </c>
      <c r="C12" s="785"/>
      <c r="D12" s="785"/>
      <c r="E12" s="785"/>
      <c r="F12" s="785"/>
      <c r="G12" s="785"/>
      <c r="H12" s="785"/>
      <c r="I12" s="785"/>
      <c r="J12" s="785"/>
      <c r="K12" s="785"/>
      <c r="L12" s="785"/>
      <c r="M12" s="785"/>
      <c r="N12" s="785"/>
      <c r="O12" s="785"/>
      <c r="P12" s="785"/>
      <c r="Q12" s="785"/>
      <c r="R12" s="785"/>
      <c r="S12" s="785"/>
      <c r="T12" s="785"/>
      <c r="U12" s="785"/>
      <c r="V12" s="785"/>
      <c r="W12" s="785"/>
      <c r="X12" s="785"/>
      <c r="Y12" s="785"/>
      <c r="Z12" s="785"/>
      <c r="AA12" s="785"/>
      <c r="AB12" s="785"/>
      <c r="AC12" s="785"/>
      <c r="AD12" s="785"/>
      <c r="AE12" s="785"/>
      <c r="AF12" s="785"/>
      <c r="AG12" s="785"/>
      <c r="AH12" s="785"/>
      <c r="AI12" s="785"/>
      <c r="AJ12" s="785"/>
      <c r="AK12" s="785"/>
      <c r="AL12" s="785"/>
      <c r="AM12" s="785"/>
      <c r="AN12" s="785"/>
      <c r="AO12" s="785"/>
      <c r="AP12" s="785"/>
      <c r="AQ12" s="785"/>
      <c r="AR12" s="785"/>
      <c r="AS12" s="785"/>
      <c r="AT12" s="785"/>
      <c r="AU12" s="785"/>
      <c r="AV12" s="785"/>
      <c r="AW12" s="785"/>
      <c r="AX12" s="785"/>
      <c r="AY12" s="785"/>
      <c r="AZ12" s="785"/>
      <c r="BA12" s="785"/>
      <c r="BB12" s="785"/>
      <c r="BC12" s="785"/>
      <c r="BD12" s="785"/>
      <c r="BE12" s="785"/>
      <c r="BF12" s="785"/>
      <c r="BL12" s="272">
        <v>1959</v>
      </c>
      <c r="BM12" s="272">
        <v>10</v>
      </c>
      <c r="BN12" s="272">
        <v>10</v>
      </c>
      <c r="BO12" s="272">
        <v>10000</v>
      </c>
      <c r="BQ12" s="276">
        <v>1</v>
      </c>
    </row>
    <row r="13" spans="2:69" ht="16.5" customHeight="1" thickBot="1">
      <c r="B13" s="277" t="s">
        <v>761</v>
      </c>
      <c r="C13" s="278"/>
      <c r="D13" s="278"/>
      <c r="E13" s="278"/>
      <c r="F13" s="278"/>
      <c r="G13" s="278"/>
      <c r="H13" s="278"/>
      <c r="I13" s="278"/>
      <c r="J13" s="278"/>
      <c r="K13" s="278"/>
      <c r="L13" s="278"/>
      <c r="M13" s="278"/>
      <c r="N13" s="278"/>
      <c r="O13" s="278"/>
      <c r="P13" s="278"/>
      <c r="Q13" s="278"/>
      <c r="R13" s="278"/>
      <c r="S13" s="278"/>
      <c r="BO13" s="272">
        <v>96000</v>
      </c>
    </row>
    <row r="14" spans="2:69" ht="13.5">
      <c r="B14" s="279" t="s">
        <v>762</v>
      </c>
      <c r="C14" s="280"/>
      <c r="D14" s="280"/>
      <c r="E14" s="280"/>
      <c r="F14" s="280"/>
      <c r="G14" s="280"/>
      <c r="H14" s="280"/>
      <c r="I14" s="280"/>
      <c r="J14" s="280"/>
      <c r="K14" s="786">
        <f>+'HR-COMÚN TERMINADO'!F35</f>
        <v>0</v>
      </c>
      <c r="L14" s="787"/>
      <c r="M14" s="787"/>
      <c r="N14" s="787"/>
      <c r="O14" s="787"/>
      <c r="P14" s="787"/>
      <c r="Q14" s="787"/>
      <c r="R14" s="787"/>
      <c r="S14" s="787"/>
      <c r="T14" s="787"/>
      <c r="U14" s="787"/>
      <c r="V14" s="787"/>
      <c r="W14" s="787"/>
      <c r="X14" s="787"/>
      <c r="Y14" s="787"/>
      <c r="Z14" s="787"/>
      <c r="AA14" s="787"/>
      <c r="AB14" s="787"/>
      <c r="AC14" s="787"/>
      <c r="AD14" s="787"/>
      <c r="AE14" s="787"/>
      <c r="AF14" s="787"/>
      <c r="AG14" s="787"/>
      <c r="AH14" s="787"/>
      <c r="AI14" s="787"/>
      <c r="AJ14" s="787"/>
      <c r="AK14" s="787"/>
      <c r="AL14" s="787"/>
      <c r="AM14" s="787"/>
      <c r="AN14" s="787"/>
      <c r="AO14" s="787"/>
      <c r="AP14" s="787"/>
      <c r="AQ14" s="281" t="s">
        <v>1151</v>
      </c>
      <c r="AR14" s="282"/>
      <c r="AS14" s="282"/>
      <c r="AT14" s="282"/>
      <c r="AU14" s="282"/>
      <c r="AV14" s="788"/>
      <c r="AW14" s="789"/>
      <c r="AX14" s="789"/>
      <c r="AY14" s="789"/>
      <c r="AZ14" s="789"/>
      <c r="BA14" s="789"/>
      <c r="BB14" s="789"/>
      <c r="BC14" s="789"/>
      <c r="BD14" s="789"/>
      <c r="BE14" s="789"/>
      <c r="BF14" s="790"/>
      <c r="BL14" s="272">
        <v>1961</v>
      </c>
      <c r="BM14" s="272">
        <v>12</v>
      </c>
      <c r="BO14" s="272">
        <v>12000</v>
      </c>
      <c r="BQ14" s="276"/>
    </row>
    <row r="15" spans="2:69" ht="13.5">
      <c r="B15" s="283" t="s">
        <v>1152</v>
      </c>
      <c r="C15" s="284"/>
      <c r="D15" s="284"/>
      <c r="E15" s="284"/>
      <c r="F15" s="284"/>
      <c r="G15" s="284"/>
      <c r="H15" s="284"/>
      <c r="I15" s="284"/>
      <c r="J15" s="284"/>
      <c r="K15" s="791">
        <f>+'HR-COMÚN TERMINADO'!F37</f>
        <v>0</v>
      </c>
      <c r="L15" s="792"/>
      <c r="M15" s="792"/>
      <c r="N15" s="793"/>
      <c r="O15" s="285" t="s">
        <v>1065</v>
      </c>
      <c r="P15" s="791">
        <f>+'HR-COMÚN TERMINADO'!I37</f>
        <v>0</v>
      </c>
      <c r="Q15" s="792"/>
      <c r="R15" s="792"/>
      <c r="S15" s="792"/>
      <c r="T15" s="792"/>
      <c r="U15" s="792"/>
      <c r="V15" s="792"/>
      <c r="W15" s="792"/>
      <c r="X15" s="792"/>
      <c r="Y15" s="792"/>
      <c r="Z15" s="793"/>
      <c r="AA15" s="285"/>
      <c r="AB15" s="285"/>
      <c r="AC15" s="285"/>
      <c r="AD15" s="285"/>
      <c r="AE15" s="285"/>
      <c r="AF15" s="285"/>
      <c r="AG15" s="285"/>
      <c r="AH15" s="285"/>
      <c r="AI15" s="285"/>
      <c r="AJ15" s="285"/>
      <c r="AK15" s="285"/>
      <c r="AL15" s="285"/>
      <c r="AM15" s="285"/>
      <c r="AN15" s="285"/>
      <c r="AO15" s="285"/>
      <c r="AP15" s="285"/>
      <c r="AQ15" s="286"/>
      <c r="AR15" s="285"/>
      <c r="AS15" s="285"/>
      <c r="AT15" s="285"/>
      <c r="AU15" s="285"/>
      <c r="AV15" s="285"/>
      <c r="AW15" s="285"/>
      <c r="AX15" s="285"/>
      <c r="AY15" s="285"/>
      <c r="AZ15" s="285"/>
      <c r="BA15" s="285"/>
      <c r="BB15" s="285"/>
      <c r="BC15" s="285"/>
      <c r="BD15" s="285"/>
      <c r="BE15" s="285"/>
      <c r="BF15" s="287"/>
      <c r="BL15" s="272">
        <v>1962</v>
      </c>
      <c r="BM15" s="272">
        <v>13</v>
      </c>
      <c r="BO15" s="272">
        <v>13000</v>
      </c>
      <c r="BQ15" s="276"/>
    </row>
    <row r="16" spans="2:69" ht="14.25" customHeight="1">
      <c r="B16" s="288" t="s">
        <v>765</v>
      </c>
      <c r="C16" s="284"/>
      <c r="D16" s="284"/>
      <c r="E16" s="284"/>
      <c r="F16" s="284"/>
      <c r="G16" s="284"/>
      <c r="H16" s="284"/>
      <c r="I16" s="284"/>
      <c r="J16" s="284"/>
      <c r="K16" s="803">
        <f>+'HR-COMÚN TERMINADO'!F39</f>
        <v>0</v>
      </c>
      <c r="L16" s="804"/>
      <c r="M16" s="804"/>
      <c r="N16" s="804"/>
      <c r="O16" s="804"/>
      <c r="P16" s="804"/>
      <c r="Q16" s="804"/>
      <c r="R16" s="804"/>
      <c r="S16" s="804"/>
      <c r="T16" s="804"/>
      <c r="U16" s="804"/>
      <c r="V16" s="804"/>
      <c r="W16" s="804"/>
      <c r="X16" s="804"/>
      <c r="Y16" s="804"/>
      <c r="Z16" s="804"/>
      <c r="AA16" s="804"/>
      <c r="AB16" s="804"/>
      <c r="AC16" s="804"/>
      <c r="AD16" s="804"/>
      <c r="AE16" s="804"/>
      <c r="AF16" s="804"/>
      <c r="AG16" s="804"/>
      <c r="AH16" s="804"/>
      <c r="AI16" s="804"/>
      <c r="AJ16" s="804"/>
      <c r="AK16" s="804"/>
      <c r="AL16" s="804"/>
      <c r="AM16" s="804"/>
      <c r="AN16" s="804"/>
      <c r="AO16" s="804"/>
      <c r="AP16" s="804"/>
      <c r="AQ16" s="804"/>
      <c r="AR16" s="804"/>
      <c r="AS16" s="804"/>
      <c r="AT16" s="804"/>
      <c r="AU16" s="804"/>
      <c r="AV16" s="804"/>
      <c r="AW16" s="804"/>
      <c r="AX16" s="804"/>
      <c r="AY16" s="804"/>
      <c r="AZ16" s="804"/>
      <c r="BA16" s="804"/>
      <c r="BB16" s="804"/>
      <c r="BC16" s="804"/>
      <c r="BD16" s="804"/>
      <c r="BE16" s="804"/>
      <c r="BF16" s="805"/>
      <c r="BL16" s="272">
        <v>1963</v>
      </c>
      <c r="BM16" s="272">
        <v>14</v>
      </c>
      <c r="BO16" s="272">
        <v>14000</v>
      </c>
      <c r="BQ16" s="276"/>
    </row>
    <row r="17" spans="2:71" ht="15">
      <c r="B17" s="289" t="s">
        <v>1153</v>
      </c>
      <c r="C17" s="290"/>
      <c r="D17" s="290"/>
      <c r="E17" s="290"/>
      <c r="F17" s="290"/>
      <c r="G17" s="290"/>
      <c r="H17" s="290"/>
      <c r="I17" s="290"/>
      <c r="J17" s="290"/>
      <c r="K17" s="806">
        <f>+'HR-COMÚN TERMINADO'!F41</f>
        <v>0</v>
      </c>
      <c r="L17" s="807"/>
      <c r="M17" s="807"/>
      <c r="N17" s="807"/>
      <c r="O17" s="807"/>
      <c r="P17" s="807"/>
      <c r="Q17" s="807"/>
      <c r="R17" s="807"/>
      <c r="S17" s="807"/>
      <c r="T17" s="807"/>
      <c r="U17" s="807"/>
      <c r="V17" s="807"/>
      <c r="W17" s="807"/>
      <c r="X17" s="807"/>
      <c r="Y17" s="807"/>
      <c r="Z17" s="808"/>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1"/>
      <c r="BD17" s="291"/>
      <c r="BE17" s="291"/>
      <c r="BF17" s="292"/>
      <c r="BH17" s="273" t="s">
        <v>1154</v>
      </c>
      <c r="BI17" s="272" t="s">
        <v>1155</v>
      </c>
      <c r="BJ17" s="272" t="s">
        <v>966</v>
      </c>
      <c r="BK17" s="272" t="s">
        <v>1156</v>
      </c>
      <c r="BL17" s="272">
        <v>1964</v>
      </c>
      <c r="BM17" s="272">
        <v>15</v>
      </c>
      <c r="BO17" s="272">
        <v>15000</v>
      </c>
    </row>
    <row r="18" spans="2:71" ht="3" customHeight="1">
      <c r="B18" s="293"/>
      <c r="C18" s="294"/>
      <c r="D18" s="294"/>
      <c r="E18" s="294"/>
      <c r="F18" s="294"/>
      <c r="G18" s="294"/>
      <c r="H18" s="294"/>
      <c r="I18" s="294"/>
      <c r="J18" s="294"/>
      <c r="K18" s="295"/>
      <c r="L18" s="295"/>
      <c r="M18" s="295"/>
      <c r="N18" s="295"/>
      <c r="O18" s="295"/>
      <c r="P18" s="295"/>
      <c r="Q18" s="295"/>
      <c r="R18" s="295"/>
      <c r="S18" s="295"/>
      <c r="T18" s="295"/>
      <c r="U18" s="295"/>
      <c r="V18" s="295"/>
      <c r="W18" s="295"/>
      <c r="X18" s="295"/>
      <c r="Y18" s="295"/>
      <c r="Z18" s="295"/>
      <c r="AA18" s="295"/>
      <c r="AB18" s="295"/>
      <c r="AC18" s="295"/>
      <c r="AD18" s="295"/>
      <c r="AE18" s="295"/>
      <c r="AF18" s="295"/>
      <c r="AG18" s="295"/>
      <c r="AH18" s="295"/>
      <c r="AI18" s="295"/>
      <c r="AJ18" s="295"/>
      <c r="AK18" s="295"/>
      <c r="AL18" s="295"/>
      <c r="AM18" s="295"/>
      <c r="AN18" s="295"/>
      <c r="AO18" s="295"/>
      <c r="AP18" s="295"/>
      <c r="AQ18" s="295"/>
      <c r="AR18" s="295"/>
      <c r="AS18" s="295"/>
      <c r="AT18" s="295"/>
      <c r="AU18" s="295"/>
      <c r="AV18" s="295"/>
      <c r="AW18" s="295"/>
      <c r="AX18" s="295"/>
      <c r="AY18" s="295"/>
      <c r="AZ18" s="295"/>
      <c r="BA18" s="295"/>
      <c r="BB18" s="295"/>
      <c r="BC18" s="295"/>
      <c r="BD18" s="295"/>
      <c r="BE18" s="295"/>
      <c r="BF18" s="296"/>
      <c r="BH18" s="272" t="s">
        <v>1157</v>
      </c>
      <c r="BL18" s="272">
        <v>1968</v>
      </c>
      <c r="BM18" s="272">
        <v>19</v>
      </c>
      <c r="BO18" s="272">
        <v>19000</v>
      </c>
      <c r="BR18" s="297"/>
      <c r="BS18" s="297"/>
    </row>
    <row r="19" spans="2:71" ht="16.5">
      <c r="B19" s="298" t="s">
        <v>766</v>
      </c>
      <c r="C19" s="278"/>
      <c r="D19" s="278"/>
      <c r="E19" s="278"/>
      <c r="F19" s="278"/>
      <c r="G19" s="278"/>
      <c r="H19" s="278"/>
      <c r="I19" s="278"/>
      <c r="J19" s="278"/>
      <c r="K19" s="278"/>
      <c r="L19" s="278"/>
      <c r="M19" s="278"/>
      <c r="N19" s="278"/>
      <c r="O19" s="278"/>
      <c r="P19" s="278"/>
      <c r="Q19" s="278"/>
      <c r="R19" s="278"/>
      <c r="S19" s="278"/>
      <c r="BO19" s="272">
        <v>96000</v>
      </c>
    </row>
    <row r="20" spans="2:71" ht="28.5" customHeight="1">
      <c r="B20" s="299" t="s">
        <v>1158</v>
      </c>
      <c r="C20" s="284"/>
      <c r="D20" s="284"/>
      <c r="E20" s="284"/>
      <c r="F20" s="284"/>
      <c r="G20" s="284"/>
      <c r="H20" s="284"/>
      <c r="I20" s="284"/>
      <c r="J20" s="284"/>
      <c r="K20" s="809">
        <f>+'HR-COMÚN TERMINADO'!F45</f>
        <v>0</v>
      </c>
      <c r="L20" s="809"/>
      <c r="M20" s="809"/>
      <c r="N20" s="809"/>
      <c r="O20" s="809"/>
      <c r="P20" s="809"/>
      <c r="Q20" s="809"/>
      <c r="R20" s="809"/>
      <c r="S20" s="809"/>
      <c r="T20" s="809"/>
      <c r="U20" s="809"/>
      <c r="V20" s="809"/>
      <c r="W20" s="809"/>
      <c r="X20" s="809"/>
      <c r="Y20" s="809"/>
      <c r="Z20" s="809"/>
      <c r="AA20" s="809"/>
      <c r="AB20" s="809"/>
      <c r="AC20" s="809"/>
      <c r="AD20" s="809"/>
      <c r="AE20" s="809"/>
      <c r="AF20" s="809"/>
      <c r="AG20" s="809"/>
      <c r="AH20" s="809"/>
      <c r="AI20" s="809"/>
      <c r="AJ20" s="809"/>
      <c r="AK20" s="809"/>
      <c r="AL20" s="809"/>
      <c r="AM20" s="809"/>
      <c r="AN20" s="809"/>
      <c r="AO20" s="809"/>
      <c r="AP20" s="809"/>
      <c r="AQ20" s="809"/>
      <c r="AR20" s="809"/>
      <c r="AS20" s="809"/>
      <c r="AT20" s="809"/>
      <c r="AU20" s="809"/>
      <c r="AV20" s="809"/>
      <c r="AW20" s="809"/>
      <c r="AX20" s="809"/>
      <c r="AY20" s="809"/>
      <c r="AZ20" s="809"/>
      <c r="BA20" s="809"/>
      <c r="BB20" s="809"/>
      <c r="BC20" s="809"/>
      <c r="BD20" s="809"/>
      <c r="BE20" s="809"/>
      <c r="BF20" s="810"/>
      <c r="BH20" s="272" t="s">
        <v>1159</v>
      </c>
      <c r="BI20" s="272" t="s">
        <v>1160</v>
      </c>
      <c r="BL20" s="272">
        <v>1970</v>
      </c>
      <c r="BM20" s="272">
        <v>21</v>
      </c>
      <c r="BO20" s="272">
        <v>21000</v>
      </c>
      <c r="BR20" s="297"/>
      <c r="BS20" s="297"/>
    </row>
    <row r="21" spans="2:71" ht="13.5">
      <c r="B21" s="300" t="s">
        <v>1161</v>
      </c>
      <c r="C21" s="284"/>
      <c r="D21" s="284"/>
      <c r="E21" s="284"/>
      <c r="F21" s="284"/>
      <c r="G21" s="284"/>
      <c r="H21" s="284"/>
      <c r="I21" s="284"/>
      <c r="J21" s="284"/>
      <c r="K21" s="811">
        <f>+'HR-COMÚN TERMINADO'!F47</f>
        <v>0</v>
      </c>
      <c r="L21" s="812"/>
      <c r="M21" s="812"/>
      <c r="N21" s="812"/>
      <c r="O21" s="812"/>
      <c r="P21" s="812"/>
      <c r="Q21" s="812"/>
      <c r="R21" s="812"/>
      <c r="S21" s="812"/>
      <c r="T21" s="812"/>
      <c r="U21" s="812"/>
      <c r="V21" s="812"/>
      <c r="W21" s="812"/>
      <c r="X21" s="812"/>
      <c r="Y21" s="812"/>
      <c r="Z21" s="813"/>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5"/>
      <c r="BD21" s="285"/>
      <c r="BE21" s="285"/>
      <c r="BF21" s="287"/>
      <c r="BH21" s="272" t="s">
        <v>1162</v>
      </c>
      <c r="BI21" s="272" t="s">
        <v>1163</v>
      </c>
      <c r="BJ21" s="272" t="s">
        <v>1164</v>
      </c>
      <c r="BL21" s="272">
        <v>1971</v>
      </c>
      <c r="BM21" s="272">
        <v>22</v>
      </c>
      <c r="BO21" s="272">
        <v>22000</v>
      </c>
      <c r="BR21" s="297"/>
      <c r="BS21" s="297"/>
    </row>
    <row r="22" spans="2:71" ht="13.5">
      <c r="B22" s="300" t="s">
        <v>435</v>
      </c>
      <c r="C22" s="284"/>
      <c r="D22" s="284"/>
      <c r="E22" s="284"/>
      <c r="F22" s="284"/>
      <c r="G22" s="284"/>
      <c r="H22" s="284"/>
      <c r="I22" s="284"/>
      <c r="J22" s="284"/>
      <c r="K22" s="811">
        <f>+'HR-COMÚN TERMINADO'!Y47</f>
        <v>0</v>
      </c>
      <c r="L22" s="812"/>
      <c r="M22" s="812"/>
      <c r="N22" s="812"/>
      <c r="O22" s="812"/>
      <c r="P22" s="812"/>
      <c r="Q22" s="812"/>
      <c r="R22" s="812"/>
      <c r="S22" s="812"/>
      <c r="T22" s="812"/>
      <c r="U22" s="812"/>
      <c r="V22" s="812"/>
      <c r="W22" s="812"/>
      <c r="X22" s="812"/>
      <c r="Y22" s="812"/>
      <c r="Z22" s="813"/>
      <c r="AA22" s="285"/>
      <c r="AB22" s="285"/>
      <c r="AC22" s="301" t="s">
        <v>1165</v>
      </c>
      <c r="AD22" s="285"/>
      <c r="AE22" s="285"/>
      <c r="AF22" s="285"/>
      <c r="AG22" s="285"/>
      <c r="AH22" s="285"/>
      <c r="AI22" s="285"/>
      <c r="AJ22" s="285"/>
      <c r="AK22" s="285"/>
      <c r="AL22" s="285"/>
      <c r="AM22" s="285"/>
      <c r="AN22" s="811">
        <f>+'HR-COMÚN TERMINADO'!O47</f>
        <v>0</v>
      </c>
      <c r="AO22" s="812"/>
      <c r="AP22" s="812"/>
      <c r="AQ22" s="812"/>
      <c r="AR22" s="812"/>
      <c r="AS22" s="812"/>
      <c r="AT22" s="812"/>
      <c r="AU22" s="812"/>
      <c r="AV22" s="812"/>
      <c r="AW22" s="812"/>
      <c r="AX22" s="812"/>
      <c r="AY22" s="812"/>
      <c r="AZ22" s="812"/>
      <c r="BA22" s="812"/>
      <c r="BB22" s="812"/>
      <c r="BC22" s="813"/>
      <c r="BD22" s="285"/>
      <c r="BE22" s="285"/>
      <c r="BF22" s="287"/>
      <c r="BL22" s="272">
        <v>1972</v>
      </c>
      <c r="BM22" s="272">
        <v>23</v>
      </c>
      <c r="BO22" s="272">
        <v>23000</v>
      </c>
      <c r="BR22" s="297"/>
      <c r="BS22" s="297"/>
    </row>
    <row r="23" spans="2:71" ht="13.5">
      <c r="B23" s="794" t="s">
        <v>1166</v>
      </c>
      <c r="C23" s="795"/>
      <c r="D23" s="795"/>
      <c r="E23" s="795"/>
      <c r="F23" s="795"/>
      <c r="G23" s="795"/>
      <c r="H23" s="795"/>
      <c r="I23" s="795"/>
      <c r="J23" s="796"/>
      <c r="K23" s="797"/>
      <c r="L23" s="798"/>
      <c r="M23" s="798"/>
      <c r="N23" s="798"/>
      <c r="O23" s="798"/>
      <c r="P23" s="798"/>
      <c r="Q23" s="798"/>
      <c r="R23" s="798"/>
      <c r="S23" s="798"/>
      <c r="T23" s="798"/>
      <c r="U23" s="798"/>
      <c r="V23" s="798"/>
      <c r="W23" s="798"/>
      <c r="X23" s="798"/>
      <c r="Y23" s="798"/>
      <c r="Z23" s="799"/>
      <c r="AA23" s="285"/>
      <c r="AB23" s="285"/>
      <c r="AC23" s="285"/>
      <c r="AD23" s="285"/>
      <c r="AE23" s="285"/>
      <c r="AF23" s="285"/>
      <c r="AG23" s="285"/>
      <c r="AH23" s="285"/>
      <c r="AI23" s="285"/>
      <c r="AJ23" s="285"/>
      <c r="AK23" s="285"/>
      <c r="AL23" s="285"/>
      <c r="AM23" s="285"/>
      <c r="AN23" s="285"/>
      <c r="AO23" s="285"/>
      <c r="AP23" s="285"/>
      <c r="AQ23" s="285"/>
      <c r="AR23" s="285"/>
      <c r="AS23" s="285"/>
      <c r="AT23" s="285"/>
      <c r="AU23" s="285"/>
      <c r="AV23" s="285"/>
      <c r="AW23" s="285"/>
      <c r="AX23" s="285"/>
      <c r="AY23" s="285"/>
      <c r="AZ23" s="285"/>
      <c r="BA23" s="285"/>
      <c r="BB23" s="285"/>
      <c r="BC23" s="285"/>
      <c r="BD23" s="285"/>
      <c r="BE23" s="285"/>
      <c r="BF23" s="287"/>
      <c r="BJ23" s="272" t="s">
        <v>1117</v>
      </c>
      <c r="BL23" s="272">
        <v>1973</v>
      </c>
      <c r="BM23" s="272">
        <v>24</v>
      </c>
      <c r="BO23" s="272">
        <v>24000</v>
      </c>
      <c r="BR23" s="297"/>
      <c r="BS23" s="297"/>
    </row>
    <row r="24" spans="2:71" ht="3.75" customHeight="1">
      <c r="B24" s="302"/>
      <c r="K24" s="303"/>
      <c r="L24" s="304"/>
      <c r="M24" s="304"/>
      <c r="N24" s="304"/>
      <c r="O24" s="304"/>
      <c r="P24" s="304"/>
      <c r="Q24" s="304"/>
      <c r="R24" s="304"/>
      <c r="S24" s="304"/>
      <c r="T24" s="304"/>
      <c r="U24" s="304"/>
      <c r="V24" s="304"/>
      <c r="W24" s="304"/>
      <c r="X24" s="304"/>
      <c r="Y24" s="304"/>
      <c r="Z24" s="305"/>
      <c r="AA24" s="306"/>
      <c r="AB24" s="306"/>
      <c r="AC24" s="306"/>
      <c r="AD24" s="306"/>
      <c r="AE24" s="306"/>
      <c r="AF24" s="306"/>
      <c r="AG24" s="306"/>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6"/>
      <c r="BD24" s="306"/>
      <c r="BE24" s="306"/>
      <c r="BF24" s="307"/>
      <c r="BJ24" s="272" t="s">
        <v>1167</v>
      </c>
      <c r="BL24" s="272">
        <v>1974</v>
      </c>
      <c r="BM24" s="272">
        <v>25</v>
      </c>
      <c r="BO24" s="272">
        <v>25000</v>
      </c>
      <c r="BR24" s="297"/>
      <c r="BS24" s="297"/>
    </row>
    <row r="25" spans="2:71" ht="13.5">
      <c r="B25" s="340" t="s">
        <v>1168</v>
      </c>
      <c r="C25" s="312"/>
      <c r="D25" s="312"/>
      <c r="E25" s="312"/>
      <c r="F25" s="312"/>
      <c r="G25" s="312"/>
      <c r="H25" s="312"/>
      <c r="I25" s="312"/>
      <c r="J25" s="312"/>
      <c r="K25" s="800" t="s">
        <v>1169</v>
      </c>
      <c r="L25" s="800"/>
      <c r="M25" s="800"/>
      <c r="N25" s="800"/>
      <c r="O25" s="800"/>
      <c r="P25" s="800"/>
      <c r="Q25" s="800"/>
      <c r="R25" s="800"/>
      <c r="S25" s="800"/>
      <c r="T25" s="800" t="s">
        <v>774</v>
      </c>
      <c r="U25" s="800"/>
      <c r="V25" s="800"/>
      <c r="W25" s="800"/>
      <c r="X25" s="800"/>
      <c r="Y25" s="800"/>
      <c r="Z25" s="800"/>
      <c r="AA25" s="306"/>
      <c r="AB25" s="306"/>
      <c r="AC25" s="306"/>
      <c r="AD25" s="306"/>
      <c r="AE25" s="306"/>
      <c r="AF25" s="306"/>
      <c r="AG25" s="306"/>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6"/>
      <c r="BD25" s="306"/>
      <c r="BE25" s="306"/>
      <c r="BF25" s="307"/>
      <c r="BJ25" s="272" t="s">
        <v>1170</v>
      </c>
      <c r="BL25" s="272">
        <v>1975</v>
      </c>
      <c r="BM25" s="272">
        <v>26</v>
      </c>
      <c r="BO25" s="272">
        <v>26000</v>
      </c>
      <c r="BR25" s="297"/>
      <c r="BS25" s="297"/>
    </row>
    <row r="26" spans="2:71" ht="13.5">
      <c r="B26" s="308"/>
      <c r="K26" s="801" t="s">
        <v>1133</v>
      </c>
      <c r="L26" s="801"/>
      <c r="M26" s="801"/>
      <c r="N26" s="801"/>
      <c r="O26" s="801"/>
      <c r="P26" s="801"/>
      <c r="Q26" s="801"/>
      <c r="R26" s="801"/>
      <c r="S26" s="801"/>
      <c r="T26" s="802"/>
      <c r="U26" s="802"/>
      <c r="V26" s="802"/>
      <c r="W26" s="802"/>
      <c r="X26" s="802"/>
      <c r="Y26" s="802"/>
      <c r="Z26" s="802"/>
      <c r="AA26" s="306"/>
      <c r="AB26" s="306"/>
      <c r="AC26" s="306"/>
      <c r="AD26" s="306"/>
      <c r="AE26" s="306"/>
      <c r="AF26" s="306"/>
      <c r="AG26" s="306"/>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6"/>
      <c r="BD26" s="306"/>
      <c r="BE26" s="306"/>
      <c r="BF26" s="307"/>
      <c r="BL26" s="272">
        <v>1976</v>
      </c>
      <c r="BM26" s="272">
        <v>27</v>
      </c>
      <c r="BO26" s="272">
        <v>27000</v>
      </c>
      <c r="BR26" s="297"/>
      <c r="BS26" s="297"/>
    </row>
    <row r="27" spans="2:71" ht="13.5">
      <c r="B27" s="308"/>
      <c r="K27" s="801" t="s">
        <v>1136</v>
      </c>
      <c r="L27" s="801"/>
      <c r="M27" s="801"/>
      <c r="N27" s="801"/>
      <c r="O27" s="801"/>
      <c r="P27" s="801"/>
      <c r="Q27" s="801"/>
      <c r="R27" s="801"/>
      <c r="S27" s="801"/>
      <c r="T27" s="802"/>
      <c r="U27" s="802"/>
      <c r="V27" s="802"/>
      <c r="W27" s="802"/>
      <c r="X27" s="802"/>
      <c r="Y27" s="802"/>
      <c r="Z27" s="802"/>
      <c r="AA27" s="306"/>
      <c r="AB27" s="306"/>
      <c r="AC27" s="306"/>
      <c r="AD27" s="306"/>
      <c r="AE27" s="306"/>
      <c r="AF27" s="306"/>
      <c r="AG27" s="306"/>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6"/>
      <c r="BD27" s="306"/>
      <c r="BE27" s="306"/>
      <c r="BF27" s="307"/>
      <c r="BL27" s="272">
        <v>1977</v>
      </c>
      <c r="BM27" s="272">
        <v>28</v>
      </c>
      <c r="BO27" s="272">
        <v>28000</v>
      </c>
      <c r="BR27" s="297"/>
      <c r="BS27" s="297"/>
    </row>
    <row r="28" spans="2:71" ht="13.5">
      <c r="B28" s="308"/>
      <c r="K28" s="801" t="s">
        <v>1139</v>
      </c>
      <c r="L28" s="801"/>
      <c r="M28" s="801"/>
      <c r="N28" s="801"/>
      <c r="O28" s="801"/>
      <c r="P28" s="801"/>
      <c r="Q28" s="801"/>
      <c r="R28" s="801"/>
      <c r="S28" s="801"/>
      <c r="T28" s="802"/>
      <c r="U28" s="802"/>
      <c r="V28" s="802"/>
      <c r="W28" s="802"/>
      <c r="X28" s="802"/>
      <c r="Y28" s="802"/>
      <c r="Z28" s="802"/>
      <c r="AA28" s="306"/>
      <c r="AB28" s="306"/>
      <c r="AC28" s="306"/>
      <c r="AD28" s="306"/>
      <c r="AE28" s="306"/>
      <c r="AF28" s="306"/>
      <c r="AG28" s="306"/>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6"/>
      <c r="BD28" s="306"/>
      <c r="BE28" s="306"/>
      <c r="BF28" s="307"/>
      <c r="BL28" s="272">
        <v>1978</v>
      </c>
      <c r="BM28" s="272">
        <v>29</v>
      </c>
      <c r="BO28" s="272">
        <v>29000</v>
      </c>
      <c r="BR28" s="297"/>
      <c r="BS28" s="297"/>
    </row>
    <row r="29" spans="2:71" ht="13.5">
      <c r="B29" s="308"/>
      <c r="K29" s="801" t="s">
        <v>569</v>
      </c>
      <c r="L29" s="801"/>
      <c r="M29" s="801"/>
      <c r="N29" s="801"/>
      <c r="O29" s="801"/>
      <c r="P29" s="801"/>
      <c r="Q29" s="801"/>
      <c r="R29" s="801"/>
      <c r="S29" s="801"/>
      <c r="T29" s="802"/>
      <c r="U29" s="802"/>
      <c r="V29" s="802"/>
      <c r="W29" s="802"/>
      <c r="X29" s="802"/>
      <c r="Y29" s="802"/>
      <c r="Z29" s="802"/>
      <c r="AA29" s="306"/>
      <c r="AB29" s="306"/>
      <c r="AC29" s="306"/>
      <c r="AD29" s="306"/>
      <c r="AE29" s="306"/>
      <c r="AF29" s="306"/>
      <c r="AG29" s="306"/>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6"/>
      <c r="BD29" s="306"/>
      <c r="BE29" s="306"/>
      <c r="BF29" s="307"/>
      <c r="BL29" s="272">
        <v>1979</v>
      </c>
      <c r="BM29" s="272">
        <v>30</v>
      </c>
      <c r="BO29" s="272">
        <v>30000</v>
      </c>
      <c r="BR29" s="297"/>
      <c r="BS29" s="297"/>
    </row>
    <row r="30" spans="2:71" ht="13.5">
      <c r="B30" s="308"/>
      <c r="K30" s="801" t="s">
        <v>1146</v>
      </c>
      <c r="L30" s="801"/>
      <c r="M30" s="801"/>
      <c r="N30" s="801"/>
      <c r="O30" s="801"/>
      <c r="P30" s="801"/>
      <c r="Q30" s="801"/>
      <c r="R30" s="801"/>
      <c r="S30" s="801"/>
      <c r="T30" s="802"/>
      <c r="U30" s="802"/>
      <c r="V30" s="802"/>
      <c r="W30" s="802"/>
      <c r="X30" s="802"/>
      <c r="Y30" s="802"/>
      <c r="Z30" s="802"/>
      <c r="AA30" s="306"/>
      <c r="AB30" s="306"/>
      <c r="AC30" s="306"/>
      <c r="AD30" s="306"/>
      <c r="AE30" s="306"/>
      <c r="AF30" s="306"/>
      <c r="AG30" s="306"/>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6"/>
      <c r="BD30" s="306"/>
      <c r="BE30" s="306"/>
      <c r="BF30" s="307"/>
      <c r="BL30" s="272">
        <v>1980</v>
      </c>
      <c r="BM30" s="272">
        <v>31</v>
      </c>
      <c r="BO30" s="272">
        <v>31000</v>
      </c>
      <c r="BR30" s="297"/>
      <c r="BS30" s="297"/>
    </row>
    <row r="31" spans="2:71" ht="32.25" customHeight="1">
      <c r="B31" s="308"/>
      <c r="K31" s="814" t="s">
        <v>1171</v>
      </c>
      <c r="L31" s="814"/>
      <c r="M31" s="814"/>
      <c r="N31" s="814"/>
      <c r="O31" s="814"/>
      <c r="P31" s="814"/>
      <c r="Q31" s="814"/>
      <c r="R31" s="814"/>
      <c r="S31" s="814"/>
      <c r="T31" s="802"/>
      <c r="U31" s="802"/>
      <c r="V31" s="802"/>
      <c r="W31" s="802"/>
      <c r="X31" s="802"/>
      <c r="Y31" s="802"/>
      <c r="Z31" s="802"/>
      <c r="AA31" s="306"/>
      <c r="AB31" s="306"/>
      <c r="AC31" s="306"/>
      <c r="AD31" s="306"/>
      <c r="AE31" s="306"/>
      <c r="AF31" s="306"/>
      <c r="AG31" s="306"/>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6"/>
      <c r="BD31" s="306"/>
      <c r="BE31" s="306"/>
      <c r="BF31" s="307"/>
      <c r="BL31" s="272">
        <v>1981</v>
      </c>
      <c r="BM31" s="272">
        <v>32</v>
      </c>
      <c r="BO31" s="272">
        <v>32000</v>
      </c>
      <c r="BR31" s="297"/>
      <c r="BS31" s="297"/>
    </row>
    <row r="32" spans="2:71" ht="13.5">
      <c r="B32" s="308"/>
      <c r="K32" s="801" t="s">
        <v>1172</v>
      </c>
      <c r="L32" s="801"/>
      <c r="M32" s="801"/>
      <c r="N32" s="801"/>
      <c r="O32" s="801"/>
      <c r="P32" s="801"/>
      <c r="Q32" s="801"/>
      <c r="R32" s="801"/>
      <c r="S32" s="801"/>
      <c r="T32" s="802"/>
      <c r="U32" s="802"/>
      <c r="V32" s="802"/>
      <c r="W32" s="802"/>
      <c r="X32" s="802"/>
      <c r="Y32" s="802"/>
      <c r="Z32" s="802"/>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7"/>
      <c r="BL32" s="272">
        <v>1982</v>
      </c>
      <c r="BM32" s="272">
        <v>33</v>
      </c>
      <c r="BO32" s="272">
        <v>33000</v>
      </c>
      <c r="BR32" s="297"/>
      <c r="BS32" s="297"/>
    </row>
    <row r="33" spans="2:71" ht="10.5" customHeight="1">
      <c r="B33" s="308"/>
      <c r="K33" s="306"/>
      <c r="L33" s="306"/>
      <c r="M33" s="306"/>
      <c r="N33" s="306"/>
      <c r="O33" s="306"/>
      <c r="P33" s="306"/>
      <c r="Q33" s="306"/>
      <c r="R33" s="306"/>
      <c r="S33" s="306"/>
      <c r="T33" s="306"/>
      <c r="U33" s="306"/>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7"/>
      <c r="BL33" s="272">
        <v>1983</v>
      </c>
      <c r="BM33" s="272">
        <v>34</v>
      </c>
      <c r="BO33" s="272">
        <v>34000</v>
      </c>
      <c r="BR33" s="297"/>
      <c r="BS33" s="297"/>
    </row>
    <row r="34" spans="2:71" ht="24.75" customHeight="1">
      <c r="B34" s="825" t="s">
        <v>966</v>
      </c>
      <c r="C34" s="826"/>
      <c r="D34" s="826"/>
      <c r="E34" s="826"/>
      <c r="F34" s="826"/>
      <c r="G34" s="826"/>
      <c r="H34" s="826"/>
      <c r="I34" s="826"/>
      <c r="J34" s="827"/>
      <c r="K34" s="818" t="str">
        <f>+'HR-COMÚN TERMINADO'!S55</f>
        <v>Sí</v>
      </c>
      <c r="L34" s="818"/>
      <c r="M34" s="818"/>
      <c r="N34" s="818"/>
      <c r="O34" s="818"/>
      <c r="P34" s="818"/>
      <c r="Q34" s="818"/>
      <c r="R34" s="818"/>
      <c r="S34" s="285"/>
      <c r="T34" s="285"/>
      <c r="U34" s="285"/>
      <c r="V34" s="285"/>
      <c r="W34" s="285"/>
      <c r="X34" s="285"/>
      <c r="Y34" s="285"/>
      <c r="Z34" s="285"/>
      <c r="AA34" s="309"/>
      <c r="AB34" s="828" t="s">
        <v>1164</v>
      </c>
      <c r="AC34" s="828"/>
      <c r="AD34" s="828"/>
      <c r="AE34" s="828"/>
      <c r="AF34" s="828"/>
      <c r="AG34" s="828"/>
      <c r="AH34" s="828"/>
      <c r="AI34" s="828"/>
      <c r="AJ34" s="828"/>
      <c r="AK34" s="828"/>
      <c r="AL34" s="828"/>
      <c r="AM34" s="828"/>
      <c r="AN34" s="828"/>
      <c r="AO34" s="818"/>
      <c r="AP34" s="818"/>
      <c r="AQ34" s="818"/>
      <c r="AR34" s="818"/>
      <c r="AS34" s="818"/>
      <c r="AT34" s="818"/>
      <c r="AU34" s="818"/>
      <c r="AV34" s="818"/>
      <c r="AW34" s="818"/>
      <c r="AX34" s="818"/>
      <c r="AY34" s="818"/>
      <c r="AZ34" s="285"/>
      <c r="BA34" s="285"/>
      <c r="BB34" s="285"/>
      <c r="BC34" s="285"/>
      <c r="BD34" s="285"/>
      <c r="BE34" s="285"/>
      <c r="BF34" s="287"/>
      <c r="BL34" s="272">
        <v>1984</v>
      </c>
      <c r="BR34" s="297"/>
      <c r="BS34" s="297"/>
    </row>
    <row r="35" spans="2:71" ht="24.75" customHeight="1">
      <c r="B35" s="794" t="s">
        <v>1173</v>
      </c>
      <c r="C35" s="795"/>
      <c r="D35" s="795"/>
      <c r="E35" s="795"/>
      <c r="F35" s="795"/>
      <c r="G35" s="795"/>
      <c r="H35" s="795"/>
      <c r="I35" s="795"/>
      <c r="J35" s="796"/>
      <c r="K35" s="817">
        <f>+'HR-COMÚN TERMINADO'!F59</f>
        <v>0</v>
      </c>
      <c r="L35" s="818"/>
      <c r="M35" s="818"/>
      <c r="N35" s="818"/>
      <c r="O35" s="818"/>
      <c r="P35" s="818"/>
      <c r="Q35" s="818"/>
      <c r="R35" s="818"/>
      <c r="S35" s="818"/>
      <c r="T35" s="818"/>
      <c r="U35" s="818"/>
      <c r="V35" s="818"/>
      <c r="W35" s="818"/>
      <c r="X35" s="818"/>
      <c r="Y35" s="818"/>
      <c r="Z35" s="818"/>
      <c r="AA35" s="285"/>
      <c r="AB35" s="341" t="s">
        <v>1174</v>
      </c>
      <c r="AC35" s="284"/>
      <c r="AD35" s="285"/>
      <c r="AE35" s="285"/>
      <c r="AF35" s="285"/>
      <c r="AG35" s="285"/>
      <c r="AH35" s="285"/>
      <c r="AI35" s="285"/>
      <c r="AJ35" s="285"/>
      <c r="AK35" s="285"/>
      <c r="AL35" s="285"/>
      <c r="AM35" s="285"/>
      <c r="AN35" s="285"/>
      <c r="AO35" s="285"/>
      <c r="AP35" s="285"/>
      <c r="AQ35" s="285"/>
      <c r="AR35" s="285"/>
      <c r="AS35" s="792">
        <f>+'HR-COMÚN TERMINADO'!R59</f>
        <v>0</v>
      </c>
      <c r="AT35" s="792"/>
      <c r="AU35" s="792"/>
      <c r="AV35" s="792"/>
      <c r="AW35" s="792"/>
      <c r="AX35" s="792"/>
      <c r="AY35" s="792"/>
      <c r="AZ35" s="792"/>
      <c r="BA35" s="792"/>
      <c r="BB35" s="792"/>
      <c r="BC35" s="792"/>
      <c r="BD35" s="792"/>
      <c r="BE35" s="792"/>
      <c r="BF35" s="829"/>
      <c r="BL35" s="272">
        <v>1985</v>
      </c>
      <c r="BM35" s="272">
        <v>36</v>
      </c>
      <c r="BO35" s="272">
        <v>36000</v>
      </c>
      <c r="BR35" s="297"/>
      <c r="BS35" s="297"/>
    </row>
    <row r="36" spans="2:71" ht="13.5">
      <c r="B36" s="300" t="s">
        <v>1175</v>
      </c>
      <c r="C36" s="285"/>
      <c r="D36" s="285"/>
      <c r="E36" s="285"/>
      <c r="F36" s="285"/>
      <c r="G36" s="285"/>
      <c r="H36" s="285"/>
      <c r="I36" s="285"/>
      <c r="J36" s="285"/>
      <c r="K36" s="815" t="s">
        <v>1137</v>
      </c>
      <c r="L36" s="816"/>
      <c r="M36" s="816"/>
      <c r="N36" s="816"/>
      <c r="O36" s="816"/>
      <c r="P36" s="816"/>
      <c r="Q36" s="816"/>
      <c r="R36" s="816"/>
      <c r="S36" s="816"/>
      <c r="T36" s="816"/>
      <c r="U36" s="816"/>
      <c r="V36" s="816"/>
      <c r="W36" s="816"/>
      <c r="X36" s="816"/>
      <c r="Y36" s="816"/>
      <c r="Z36" s="816"/>
      <c r="AA36" s="816"/>
      <c r="AB36" s="816"/>
      <c r="AC36" s="816"/>
      <c r="AD36" s="816"/>
      <c r="AE36" s="816"/>
      <c r="AF36" s="816"/>
      <c r="AG36" s="816"/>
      <c r="AH36" s="816"/>
      <c r="AI36" s="816"/>
      <c r="AJ36" s="816"/>
      <c r="AK36" s="816"/>
      <c r="AL36" s="816"/>
      <c r="AM36" s="816"/>
      <c r="AN36" s="816"/>
      <c r="AO36" s="816"/>
      <c r="AP36" s="816"/>
      <c r="AQ36" s="285"/>
      <c r="AR36" s="285"/>
      <c r="AS36" s="285"/>
      <c r="AT36" s="285"/>
      <c r="AU36" s="285"/>
      <c r="AV36" s="285"/>
      <c r="AW36" s="285"/>
      <c r="AX36" s="285"/>
      <c r="AY36" s="285"/>
      <c r="AZ36" s="285"/>
      <c r="BA36" s="285"/>
      <c r="BB36" s="285"/>
      <c r="BC36" s="285"/>
      <c r="BD36" s="285"/>
      <c r="BE36" s="285"/>
      <c r="BF36" s="287"/>
      <c r="BL36" s="272">
        <v>1986</v>
      </c>
      <c r="BM36" s="272">
        <v>38</v>
      </c>
      <c r="BO36" s="272">
        <v>38000</v>
      </c>
      <c r="BR36" s="297"/>
      <c r="BS36" s="297"/>
    </row>
    <row r="37" spans="2:71" ht="21.75" customHeight="1">
      <c r="B37" s="300" t="s">
        <v>1176</v>
      </c>
      <c r="C37" s="285"/>
      <c r="D37" s="285"/>
      <c r="E37" s="285"/>
      <c r="F37" s="285"/>
      <c r="G37" s="285"/>
      <c r="H37" s="285"/>
      <c r="I37" s="285"/>
      <c r="J37" s="285"/>
      <c r="K37" s="817">
        <f>2020-'[9]MEMORIA Y VAL'!C171</f>
        <v>2020</v>
      </c>
      <c r="L37" s="818"/>
      <c r="M37" s="818"/>
      <c r="N37" s="818"/>
      <c r="O37" s="818"/>
      <c r="P37" s="818"/>
      <c r="Q37" s="818"/>
      <c r="R37" s="818"/>
      <c r="S37" s="818"/>
      <c r="T37" s="818"/>
      <c r="U37" s="819"/>
      <c r="V37" s="285"/>
      <c r="W37" s="285"/>
      <c r="X37" s="285"/>
      <c r="Y37" s="285"/>
      <c r="Z37" s="285"/>
      <c r="AA37" s="285"/>
      <c r="AB37" s="310" t="s">
        <v>1177</v>
      </c>
      <c r="AC37" s="284"/>
      <c r="AD37" s="285"/>
      <c r="AE37" s="285"/>
      <c r="AF37" s="285"/>
      <c r="AG37" s="285"/>
      <c r="AH37" s="285"/>
      <c r="AI37" s="285"/>
      <c r="AJ37" s="285"/>
      <c r="AK37" s="285"/>
      <c r="AL37" s="285"/>
      <c r="AM37" s="285"/>
      <c r="AN37" s="817">
        <f>+'MEM. DESC. I'!X99</f>
        <v>0</v>
      </c>
      <c r="AO37" s="818"/>
      <c r="AP37" s="818"/>
      <c r="AQ37" s="818"/>
      <c r="AR37" s="818"/>
      <c r="AS37" s="818"/>
      <c r="AT37" s="818"/>
      <c r="AU37" s="818"/>
      <c r="AV37" s="818"/>
      <c r="AW37" s="818"/>
      <c r="AX37" s="818"/>
      <c r="AY37" s="818"/>
      <c r="AZ37" s="818"/>
      <c r="BA37" s="818"/>
      <c r="BB37" s="818"/>
      <c r="BC37" s="819"/>
      <c r="BD37" s="285"/>
      <c r="BE37" s="285"/>
      <c r="BF37" s="287"/>
      <c r="BL37" s="272">
        <v>1987</v>
      </c>
      <c r="BM37" s="272">
        <v>39</v>
      </c>
      <c r="BO37" s="272">
        <v>39000</v>
      </c>
      <c r="BR37" s="297"/>
      <c r="BS37" s="297"/>
    </row>
    <row r="38" spans="2:71" ht="26.25" customHeight="1">
      <c r="B38" s="820" t="s">
        <v>1178</v>
      </c>
      <c r="C38" s="821"/>
      <c r="D38" s="821"/>
      <c r="E38" s="821"/>
      <c r="F38" s="821"/>
      <c r="G38" s="821"/>
      <c r="H38" s="821"/>
      <c r="I38" s="821"/>
      <c r="J38" s="822"/>
      <c r="K38" s="817"/>
      <c r="L38" s="818"/>
      <c r="M38" s="818"/>
      <c r="N38" s="818"/>
      <c r="O38" s="818"/>
      <c r="P38" s="818"/>
      <c r="Q38" s="818"/>
      <c r="R38" s="818"/>
      <c r="S38" s="818"/>
      <c r="T38" s="818"/>
      <c r="U38" s="818"/>
      <c r="V38" s="818"/>
      <c r="W38" s="818"/>
      <c r="X38" s="818"/>
      <c r="Y38" s="818"/>
      <c r="Z38" s="818"/>
      <c r="AA38" s="818"/>
      <c r="AB38" s="818"/>
      <c r="AC38" s="818"/>
      <c r="AD38" s="818"/>
      <c r="AE38" s="818"/>
      <c r="AF38" s="818"/>
      <c r="AG38" s="818"/>
      <c r="AH38" s="818"/>
      <c r="AI38" s="818"/>
      <c r="AJ38" s="795" t="s">
        <v>1179</v>
      </c>
      <c r="AK38" s="795"/>
      <c r="AL38" s="795"/>
      <c r="AM38" s="795"/>
      <c r="AN38" s="795"/>
      <c r="AO38" s="795"/>
      <c r="AP38" s="795"/>
      <c r="AQ38" s="795"/>
      <c r="AR38" s="823"/>
      <c r="AS38" s="823"/>
      <c r="AT38" s="823"/>
      <c r="AU38" s="823"/>
      <c r="AV38" s="823"/>
      <c r="AW38" s="823"/>
      <c r="AX38" s="823"/>
      <c r="AY38" s="823"/>
      <c r="AZ38" s="823"/>
      <c r="BA38" s="823"/>
      <c r="BB38" s="823"/>
      <c r="BC38" s="823"/>
      <c r="BD38" s="823"/>
      <c r="BE38" s="823"/>
      <c r="BF38" s="824"/>
      <c r="BL38" s="272">
        <v>1988</v>
      </c>
      <c r="BM38" s="272">
        <v>40</v>
      </c>
      <c r="BO38" s="272">
        <v>40000</v>
      </c>
      <c r="BR38" s="297"/>
      <c r="BS38" s="297"/>
    </row>
    <row r="39" spans="2:71" ht="23.25" customHeight="1">
      <c r="B39" s="825" t="s">
        <v>1180</v>
      </c>
      <c r="C39" s="826"/>
      <c r="D39" s="826"/>
      <c r="E39" s="826"/>
      <c r="F39" s="826"/>
      <c r="G39" s="826"/>
      <c r="H39" s="826"/>
      <c r="I39" s="826"/>
      <c r="J39" s="827"/>
      <c r="K39" s="791"/>
      <c r="L39" s="792"/>
      <c r="M39" s="792"/>
      <c r="N39" s="792"/>
      <c r="O39" s="792"/>
      <c r="P39" s="792"/>
      <c r="Q39" s="792"/>
      <c r="R39" s="792"/>
      <c r="S39" s="792"/>
      <c r="T39" s="792"/>
      <c r="U39" s="793"/>
      <c r="V39" s="285"/>
      <c r="W39" s="834" t="s">
        <v>1181</v>
      </c>
      <c r="X39" s="834"/>
      <c r="Y39" s="834"/>
      <c r="Z39" s="834"/>
      <c r="AA39" s="834"/>
      <c r="AB39" s="834"/>
      <c r="AC39" s="834"/>
      <c r="AD39" s="834"/>
      <c r="AE39" s="834"/>
      <c r="AF39" s="834"/>
      <c r="AG39" s="818"/>
      <c r="AH39" s="818"/>
      <c r="AI39" s="818"/>
      <c r="AJ39" s="818"/>
      <c r="AK39" s="818"/>
      <c r="AL39" s="818"/>
      <c r="AM39" s="818"/>
      <c r="AN39" s="301" t="s">
        <v>1182</v>
      </c>
      <c r="AO39" s="285"/>
      <c r="AP39" s="285"/>
      <c r="AQ39" s="285"/>
      <c r="AR39" s="285"/>
      <c r="AS39" s="285"/>
      <c r="AT39" s="818"/>
      <c r="AU39" s="818"/>
      <c r="AV39" s="818"/>
      <c r="AW39" s="818"/>
      <c r="AX39" s="818"/>
      <c r="AY39" s="818"/>
      <c r="AZ39" s="818"/>
      <c r="BA39" s="818"/>
      <c r="BB39" s="285"/>
      <c r="BC39" s="285"/>
      <c r="BD39" s="285"/>
      <c r="BE39" s="285"/>
      <c r="BF39" s="287"/>
      <c r="BL39" s="272">
        <v>1989</v>
      </c>
      <c r="BM39" s="272">
        <v>41</v>
      </c>
      <c r="BO39" s="272">
        <v>41000</v>
      </c>
      <c r="BR39" s="297"/>
      <c r="BS39" s="297"/>
    </row>
    <row r="40" spans="2:71" ht="3" customHeight="1">
      <c r="B40" s="283"/>
      <c r="C40" s="284"/>
      <c r="D40" s="284"/>
      <c r="E40" s="284"/>
      <c r="F40" s="284"/>
      <c r="G40" s="284"/>
      <c r="H40" s="284"/>
      <c r="I40" s="284"/>
      <c r="J40" s="284"/>
      <c r="K40" s="311"/>
      <c r="L40" s="311"/>
      <c r="M40" s="311"/>
      <c r="N40" s="311"/>
      <c r="O40" s="311"/>
      <c r="P40" s="311"/>
      <c r="Q40" s="311"/>
      <c r="R40" s="311"/>
      <c r="S40" s="311"/>
      <c r="T40" s="311"/>
      <c r="U40" s="311"/>
      <c r="V40" s="285"/>
      <c r="W40" s="301"/>
      <c r="X40" s="285"/>
      <c r="Y40" s="285"/>
      <c r="Z40" s="285"/>
      <c r="AA40" s="285"/>
      <c r="AB40" s="311"/>
      <c r="AC40" s="311"/>
      <c r="AD40" s="311"/>
      <c r="AE40" s="311"/>
      <c r="AF40" s="311"/>
      <c r="AG40" s="311"/>
      <c r="AH40" s="311"/>
      <c r="AI40" s="311"/>
      <c r="AJ40" s="311"/>
      <c r="AK40" s="311"/>
      <c r="AL40" s="311"/>
      <c r="AM40" s="285"/>
      <c r="AN40" s="301"/>
      <c r="AO40" s="285"/>
      <c r="AP40" s="285"/>
      <c r="AQ40" s="285"/>
      <c r="AR40" s="285"/>
      <c r="AS40" s="285"/>
      <c r="AT40" s="311"/>
      <c r="AU40" s="311"/>
      <c r="AV40" s="311"/>
      <c r="AW40" s="311"/>
      <c r="AX40" s="311"/>
      <c r="AY40" s="311"/>
      <c r="AZ40" s="311"/>
      <c r="BA40" s="311"/>
      <c r="BB40" s="311"/>
      <c r="BC40" s="311"/>
      <c r="BD40" s="311"/>
      <c r="BE40" s="285"/>
      <c r="BF40" s="287"/>
      <c r="BL40" s="272">
        <v>1990</v>
      </c>
      <c r="BM40" s="272">
        <v>42</v>
      </c>
      <c r="BO40" s="272">
        <v>42000</v>
      </c>
      <c r="BR40" s="297"/>
      <c r="BS40" s="297"/>
    </row>
    <row r="41" spans="2:71" s="312" customFormat="1" ht="41.25" customHeight="1">
      <c r="B41" s="835" t="s">
        <v>1183</v>
      </c>
      <c r="C41" s="836"/>
      <c r="D41" s="836"/>
      <c r="E41" s="836"/>
      <c r="F41" s="836"/>
      <c r="G41" s="836"/>
      <c r="H41" s="836"/>
      <c r="I41" s="836"/>
      <c r="J41" s="837"/>
      <c r="K41" s="841" t="s">
        <v>1218</v>
      </c>
      <c r="L41" s="842"/>
      <c r="M41" s="842"/>
      <c r="N41" s="842"/>
      <c r="O41" s="842"/>
      <c r="P41" s="842"/>
      <c r="Q41" s="842"/>
      <c r="R41" s="842"/>
      <c r="S41" s="842"/>
      <c r="T41" s="842"/>
      <c r="U41" s="842"/>
      <c r="V41" s="842"/>
      <c r="W41" s="842"/>
      <c r="X41" s="842"/>
      <c r="Y41" s="842"/>
      <c r="Z41" s="842"/>
      <c r="AA41" s="842"/>
      <c r="AB41" s="842"/>
      <c r="AC41" s="842"/>
      <c r="AD41" s="842"/>
      <c r="AE41" s="842"/>
      <c r="AF41" s="842"/>
      <c r="AG41" s="842"/>
      <c r="AH41" s="842"/>
      <c r="AI41" s="842"/>
      <c r="AJ41" s="842"/>
      <c r="AK41" s="842"/>
      <c r="AL41" s="842"/>
      <c r="AM41" s="842"/>
      <c r="AN41" s="842"/>
      <c r="AO41" s="842"/>
      <c r="AP41" s="842"/>
      <c r="AQ41" s="842"/>
      <c r="AR41" s="842"/>
      <c r="AS41" s="842"/>
      <c r="AT41" s="842"/>
      <c r="AU41" s="842"/>
      <c r="AV41" s="842"/>
      <c r="AW41" s="842"/>
      <c r="AX41" s="842"/>
      <c r="AY41" s="842"/>
      <c r="AZ41" s="842"/>
      <c r="BA41" s="842"/>
      <c r="BB41" s="842"/>
      <c r="BC41" s="842"/>
      <c r="BD41" s="842"/>
      <c r="BE41" s="842"/>
      <c r="BF41" s="843"/>
      <c r="BL41" s="312">
        <v>1991</v>
      </c>
      <c r="BM41" s="312">
        <v>46</v>
      </c>
      <c r="BO41" s="312">
        <v>46000</v>
      </c>
      <c r="BR41" s="313"/>
      <c r="BS41" s="313"/>
    </row>
    <row r="42" spans="2:71" s="312" customFormat="1" ht="41.25" customHeight="1">
      <c r="B42" s="838"/>
      <c r="C42" s="839"/>
      <c r="D42" s="839"/>
      <c r="E42" s="839"/>
      <c r="F42" s="839"/>
      <c r="G42" s="839"/>
      <c r="H42" s="839"/>
      <c r="I42" s="839"/>
      <c r="J42" s="840"/>
      <c r="K42" s="841" t="s">
        <v>1219</v>
      </c>
      <c r="L42" s="842"/>
      <c r="M42" s="842"/>
      <c r="N42" s="842"/>
      <c r="O42" s="842"/>
      <c r="P42" s="842"/>
      <c r="Q42" s="842"/>
      <c r="R42" s="842"/>
      <c r="S42" s="842"/>
      <c r="T42" s="842"/>
      <c r="U42" s="842"/>
      <c r="V42" s="842"/>
      <c r="W42" s="842"/>
      <c r="X42" s="842"/>
      <c r="Y42" s="842"/>
      <c r="Z42" s="842"/>
      <c r="AA42" s="842"/>
      <c r="AB42" s="842"/>
      <c r="AC42" s="842"/>
      <c r="AD42" s="842"/>
      <c r="AE42" s="842"/>
      <c r="AF42" s="842"/>
      <c r="AG42" s="842"/>
      <c r="AH42" s="842"/>
      <c r="AI42" s="842"/>
      <c r="AJ42" s="842"/>
      <c r="AK42" s="842"/>
      <c r="AL42" s="842"/>
      <c r="AM42" s="842"/>
      <c r="AN42" s="842"/>
      <c r="AO42" s="842"/>
      <c r="AP42" s="842"/>
      <c r="AQ42" s="842"/>
      <c r="AR42" s="842"/>
      <c r="AS42" s="842"/>
      <c r="AT42" s="842"/>
      <c r="AU42" s="842"/>
      <c r="AV42" s="842"/>
      <c r="AW42" s="842"/>
      <c r="AX42" s="842"/>
      <c r="AY42" s="842"/>
      <c r="AZ42" s="842"/>
      <c r="BA42" s="842"/>
      <c r="BB42" s="842"/>
      <c r="BC42" s="842"/>
      <c r="BD42" s="842"/>
      <c r="BE42" s="842"/>
      <c r="BF42" s="843"/>
      <c r="BL42" s="312">
        <v>1991</v>
      </c>
      <c r="BM42" s="312">
        <v>46</v>
      </c>
      <c r="BO42" s="312">
        <v>46000</v>
      </c>
      <c r="BR42" s="313"/>
      <c r="BS42" s="313"/>
    </row>
    <row r="43" spans="2:71" ht="41.25" customHeight="1">
      <c r="B43" s="838"/>
      <c r="C43" s="839"/>
      <c r="D43" s="839"/>
      <c r="E43" s="839"/>
      <c r="F43" s="839"/>
      <c r="G43" s="839"/>
      <c r="H43" s="839"/>
      <c r="I43" s="839"/>
      <c r="J43" s="840"/>
      <c r="K43" s="844">
        <f>+'HR-COMÚN TERMINADO'!F75</f>
        <v>0</v>
      </c>
      <c r="L43" s="845"/>
      <c r="M43" s="845"/>
      <c r="N43" s="845"/>
      <c r="O43" s="845"/>
      <c r="P43" s="845"/>
      <c r="Q43" s="845"/>
      <c r="R43" s="845"/>
      <c r="S43" s="845"/>
      <c r="T43" s="845"/>
      <c r="U43" s="845"/>
      <c r="V43" s="845"/>
      <c r="W43" s="845"/>
      <c r="X43" s="845"/>
      <c r="Y43" s="845"/>
      <c r="Z43" s="845"/>
      <c r="AA43" s="845"/>
      <c r="AB43" s="845"/>
      <c r="AC43" s="845"/>
      <c r="AD43" s="845"/>
      <c r="AE43" s="845"/>
      <c r="AF43" s="845"/>
      <c r="AG43" s="845"/>
      <c r="AH43" s="845"/>
      <c r="AI43" s="845"/>
      <c r="AJ43" s="845"/>
      <c r="AK43" s="845"/>
      <c r="AL43" s="845"/>
      <c r="AM43" s="845"/>
      <c r="AN43" s="845"/>
      <c r="AO43" s="845"/>
      <c r="AP43" s="845"/>
      <c r="AQ43" s="845"/>
      <c r="AR43" s="845"/>
      <c r="AS43" s="845"/>
      <c r="AT43" s="845"/>
      <c r="AU43" s="845"/>
      <c r="AV43" s="845"/>
      <c r="AW43" s="845"/>
      <c r="AX43" s="845"/>
      <c r="AY43" s="845"/>
      <c r="AZ43" s="845"/>
      <c r="BA43" s="845"/>
      <c r="BB43" s="845"/>
      <c r="BC43" s="845"/>
      <c r="BD43" s="845"/>
      <c r="BE43" s="845"/>
      <c r="BF43" s="846"/>
      <c r="BL43" s="272">
        <v>1992</v>
      </c>
      <c r="BM43" s="272">
        <v>46</v>
      </c>
      <c r="BO43" s="272">
        <v>46000</v>
      </c>
      <c r="BR43" s="297"/>
      <c r="BS43" s="297"/>
    </row>
    <row r="44" spans="2:71" ht="3.75" customHeight="1" thickBot="1">
      <c r="B44" s="314"/>
      <c r="C44" s="315"/>
      <c r="D44" s="315"/>
      <c r="E44" s="315"/>
      <c r="F44" s="315"/>
      <c r="G44" s="315"/>
      <c r="H44" s="315"/>
      <c r="I44" s="315"/>
      <c r="J44" s="316"/>
      <c r="K44" s="317"/>
      <c r="L44" s="318"/>
      <c r="M44" s="318"/>
      <c r="N44" s="318"/>
      <c r="O44" s="318"/>
      <c r="P44" s="318"/>
      <c r="Q44" s="318"/>
      <c r="R44" s="318"/>
      <c r="S44" s="318"/>
      <c r="T44" s="318"/>
      <c r="U44" s="318"/>
      <c r="V44" s="318"/>
      <c r="W44" s="318"/>
      <c r="X44" s="318"/>
      <c r="Y44" s="318"/>
      <c r="Z44" s="318"/>
      <c r="AA44" s="318"/>
      <c r="AB44" s="318"/>
      <c r="AC44" s="318"/>
      <c r="AD44" s="318"/>
      <c r="AE44" s="318"/>
      <c r="AF44" s="318"/>
      <c r="AG44" s="318"/>
      <c r="AH44" s="318"/>
      <c r="AI44" s="318"/>
      <c r="AJ44" s="318"/>
      <c r="AK44" s="318"/>
      <c r="AL44" s="318"/>
      <c r="AM44" s="318"/>
      <c r="AN44" s="318"/>
      <c r="AO44" s="318"/>
      <c r="AP44" s="318"/>
      <c r="AQ44" s="318"/>
      <c r="AR44" s="318"/>
      <c r="AS44" s="318"/>
      <c r="AT44" s="318"/>
      <c r="AU44" s="318"/>
      <c r="AV44" s="318"/>
      <c r="AW44" s="318"/>
      <c r="AX44" s="318"/>
      <c r="AY44" s="318"/>
      <c r="AZ44" s="318"/>
      <c r="BA44" s="318"/>
      <c r="BB44" s="318"/>
      <c r="BC44" s="318"/>
      <c r="BD44" s="318"/>
      <c r="BE44" s="318"/>
      <c r="BF44" s="319"/>
      <c r="BL44" s="272">
        <v>1993</v>
      </c>
      <c r="BM44" s="272">
        <v>47</v>
      </c>
      <c r="BO44" s="272">
        <v>47000</v>
      </c>
      <c r="BR44" s="297"/>
      <c r="BS44" s="297"/>
    </row>
    <row r="45" spans="2:71" ht="2.25" customHeight="1">
      <c r="BL45" s="272">
        <v>1994</v>
      </c>
      <c r="BM45" s="272">
        <v>48</v>
      </c>
      <c r="BO45" s="272">
        <v>48000</v>
      </c>
      <c r="BR45" s="297"/>
      <c r="BS45" s="297"/>
    </row>
    <row r="46" spans="2:71" ht="12.75" customHeight="1">
      <c r="B46" s="320" t="s">
        <v>1184</v>
      </c>
      <c r="BL46" s="272">
        <v>1995</v>
      </c>
      <c r="BM46" s="272">
        <v>49</v>
      </c>
      <c r="BO46" s="272">
        <v>49000</v>
      </c>
      <c r="BR46" s="297"/>
      <c r="BS46" s="297"/>
    </row>
    <row r="47" spans="2:71" ht="1.5" customHeight="1">
      <c r="B47" s="321"/>
      <c r="BL47" s="272">
        <v>1996</v>
      </c>
      <c r="BM47" s="272">
        <v>50</v>
      </c>
      <c r="BO47" s="272">
        <v>50000</v>
      </c>
      <c r="BR47" s="297"/>
      <c r="BS47" s="297"/>
    </row>
    <row r="48" spans="2:71" ht="14.25" customHeight="1">
      <c r="B48" s="830" t="s">
        <v>1185</v>
      </c>
      <c r="C48" s="831"/>
      <c r="D48" s="831"/>
      <c r="E48" s="831"/>
      <c r="F48" s="831"/>
      <c r="G48" s="831"/>
      <c r="H48" s="831"/>
      <c r="I48" s="831"/>
      <c r="J48" s="831"/>
      <c r="K48" s="831"/>
      <c r="L48" s="831"/>
      <c r="M48" s="831"/>
      <c r="N48" s="831"/>
      <c r="O48" s="831"/>
      <c r="P48" s="831"/>
      <c r="Q48" s="831"/>
      <c r="R48" s="831"/>
      <c r="S48" s="831"/>
      <c r="T48" s="831"/>
      <c r="U48" s="831"/>
      <c r="V48" s="831"/>
      <c r="W48" s="831"/>
      <c r="X48" s="831"/>
      <c r="Y48" s="831"/>
      <c r="Z48" s="831"/>
      <c r="AA48" s="831"/>
      <c r="AB48" s="831"/>
      <c r="AC48" s="831"/>
      <c r="AD48" s="831"/>
      <c r="AE48" s="831"/>
      <c r="AF48" s="831"/>
      <c r="AG48" s="831"/>
      <c r="AH48" s="831"/>
      <c r="AI48" s="831"/>
      <c r="AJ48" s="831"/>
      <c r="AK48" s="831"/>
      <c r="AL48" s="831"/>
      <c r="AM48" s="831"/>
      <c r="AN48" s="831"/>
      <c r="AO48" s="831"/>
      <c r="AP48" s="831"/>
      <c r="AQ48" s="831"/>
      <c r="AR48" s="831"/>
      <c r="AS48" s="831"/>
      <c r="AT48" s="831"/>
      <c r="AU48" s="831"/>
      <c r="AV48" s="831"/>
      <c r="AW48" s="831"/>
      <c r="AX48" s="831"/>
      <c r="AY48" s="831"/>
      <c r="AZ48" s="831"/>
      <c r="BA48" s="831"/>
      <c r="BB48" s="831"/>
      <c r="BC48" s="831"/>
      <c r="BD48" s="831"/>
      <c r="BE48" s="831"/>
      <c r="BF48" s="831"/>
      <c r="BL48" s="272">
        <v>1997</v>
      </c>
      <c r="BO48" s="272">
        <v>51000</v>
      </c>
      <c r="BR48" s="297"/>
      <c r="BS48" s="297"/>
    </row>
    <row r="49" spans="2:71" ht="33.75" customHeight="1">
      <c r="B49" s="831"/>
      <c r="C49" s="831"/>
      <c r="D49" s="831"/>
      <c r="E49" s="831"/>
      <c r="F49" s="831"/>
      <c r="G49" s="831"/>
      <c r="H49" s="831"/>
      <c r="I49" s="831"/>
      <c r="J49" s="831"/>
      <c r="K49" s="831"/>
      <c r="L49" s="831"/>
      <c r="M49" s="831"/>
      <c r="N49" s="831"/>
      <c r="O49" s="831"/>
      <c r="P49" s="831"/>
      <c r="Q49" s="831"/>
      <c r="R49" s="831"/>
      <c r="S49" s="831"/>
      <c r="T49" s="831"/>
      <c r="U49" s="831"/>
      <c r="V49" s="831"/>
      <c r="W49" s="831"/>
      <c r="X49" s="831"/>
      <c r="Y49" s="831"/>
      <c r="Z49" s="831"/>
      <c r="AA49" s="831"/>
      <c r="AB49" s="831"/>
      <c r="AC49" s="831"/>
      <c r="AD49" s="831"/>
      <c r="AE49" s="831"/>
      <c r="AF49" s="831"/>
      <c r="AG49" s="831"/>
      <c r="AH49" s="831"/>
      <c r="AI49" s="831"/>
      <c r="AJ49" s="831"/>
      <c r="AK49" s="831"/>
      <c r="AL49" s="831"/>
      <c r="AM49" s="831"/>
      <c r="AN49" s="831"/>
      <c r="AO49" s="831"/>
      <c r="AP49" s="831"/>
      <c r="AQ49" s="831"/>
      <c r="AR49" s="831"/>
      <c r="AS49" s="831"/>
      <c r="AT49" s="831"/>
      <c r="AU49" s="831"/>
      <c r="AV49" s="831"/>
      <c r="AW49" s="831"/>
      <c r="AX49" s="831"/>
      <c r="AY49" s="831"/>
      <c r="AZ49" s="831"/>
      <c r="BA49" s="831"/>
      <c r="BB49" s="831"/>
      <c r="BC49" s="831"/>
      <c r="BD49" s="831"/>
      <c r="BE49" s="831"/>
      <c r="BF49" s="831"/>
      <c r="BL49" s="272">
        <v>1998</v>
      </c>
      <c r="BO49" s="272">
        <v>52000</v>
      </c>
      <c r="BR49" s="297"/>
      <c r="BS49" s="297"/>
    </row>
    <row r="50" spans="2:71" ht="17.25" customHeight="1">
      <c r="B50" s="831"/>
      <c r="C50" s="831"/>
      <c r="D50" s="831"/>
      <c r="E50" s="831"/>
      <c r="F50" s="831"/>
      <c r="G50" s="831"/>
      <c r="H50" s="831"/>
      <c r="I50" s="831"/>
      <c r="J50" s="831"/>
      <c r="K50" s="831"/>
      <c r="L50" s="831"/>
      <c r="M50" s="831"/>
      <c r="N50" s="831"/>
      <c r="O50" s="831"/>
      <c r="P50" s="831"/>
      <c r="Q50" s="831"/>
      <c r="R50" s="831"/>
      <c r="S50" s="831"/>
      <c r="T50" s="831"/>
      <c r="U50" s="831"/>
      <c r="V50" s="831"/>
      <c r="W50" s="831"/>
      <c r="X50" s="831"/>
      <c r="Y50" s="831"/>
      <c r="Z50" s="831"/>
      <c r="AA50" s="831"/>
      <c r="AB50" s="831"/>
      <c r="AC50" s="831"/>
      <c r="AD50" s="831"/>
      <c r="AE50" s="831"/>
      <c r="AF50" s="831"/>
      <c r="AG50" s="831"/>
      <c r="AH50" s="831"/>
      <c r="AI50" s="831"/>
      <c r="AJ50" s="831"/>
      <c r="AK50" s="831"/>
      <c r="AL50" s="831"/>
      <c r="AM50" s="831"/>
      <c r="AN50" s="831"/>
      <c r="AO50" s="831"/>
      <c r="AP50" s="831"/>
      <c r="AQ50" s="831"/>
      <c r="AR50" s="831"/>
      <c r="AS50" s="831"/>
      <c r="AT50" s="831"/>
      <c r="AU50" s="831"/>
      <c r="AV50" s="831"/>
      <c r="AW50" s="831"/>
      <c r="AX50" s="831"/>
      <c r="AY50" s="831"/>
      <c r="AZ50" s="831"/>
      <c r="BA50" s="831"/>
      <c r="BB50" s="831"/>
      <c r="BC50" s="831"/>
      <c r="BD50" s="831"/>
      <c r="BE50" s="831"/>
      <c r="BF50" s="831"/>
      <c r="BL50" s="272">
        <v>1999</v>
      </c>
      <c r="BO50" s="272">
        <v>53000</v>
      </c>
      <c r="BR50" s="297"/>
      <c r="BS50" s="297"/>
    </row>
    <row r="51" spans="2:71" ht="3.75" customHeight="1">
      <c r="B51" s="321"/>
      <c r="BL51" s="272">
        <v>2000</v>
      </c>
      <c r="BO51" s="272">
        <v>54000</v>
      </c>
      <c r="BR51" s="297"/>
      <c r="BS51" s="297"/>
    </row>
    <row r="52" spans="2:71">
      <c r="B52" s="322" t="s">
        <v>1105</v>
      </c>
      <c r="L52" s="321" t="s">
        <v>66</v>
      </c>
      <c r="O52" s="832">
        <f>+REPOSICIÓN!X25</f>
        <v>0</v>
      </c>
      <c r="P52" s="832"/>
      <c r="Q52" s="832"/>
      <c r="R52" s="832"/>
      <c r="S52" s="832"/>
      <c r="T52" s="832"/>
      <c r="U52" s="832"/>
      <c r="V52" s="832"/>
      <c r="W52" s="832"/>
      <c r="X52" s="832"/>
      <c r="Y52" s="832"/>
      <c r="Z52" s="832"/>
      <c r="AA52" s="832"/>
      <c r="AB52" s="832"/>
      <c r="AC52" s="323"/>
      <c r="AD52" s="323"/>
      <c r="AE52" s="324"/>
      <c r="AF52" s="324"/>
      <c r="AG52" s="323" t="s">
        <v>1186</v>
      </c>
      <c r="AH52" s="324"/>
      <c r="AJ52" s="324"/>
      <c r="AK52" s="324"/>
      <c r="AL52" s="832">
        <f>+O52*O66</f>
        <v>0</v>
      </c>
      <c r="AM52" s="832"/>
      <c r="AN52" s="832"/>
      <c r="AO52" s="832"/>
      <c r="AP52" s="832"/>
      <c r="AQ52" s="832"/>
      <c r="AR52" s="832"/>
      <c r="AS52" s="832"/>
      <c r="AT52" s="832"/>
      <c r="AU52" s="832"/>
      <c r="AV52" s="832"/>
      <c r="AW52" s="832"/>
      <c r="AX52" s="832"/>
      <c r="AY52" s="832"/>
      <c r="AZ52" s="325"/>
      <c r="BL52" s="272">
        <v>2001</v>
      </c>
      <c r="BO52" s="272">
        <v>55000</v>
      </c>
      <c r="BR52" s="297"/>
      <c r="BS52" s="297"/>
    </row>
    <row r="53" spans="2:71" ht="3" customHeight="1">
      <c r="C53" s="322"/>
      <c r="F53" s="326"/>
      <c r="H53" s="322"/>
      <c r="I53" s="327"/>
      <c r="L53" s="321"/>
      <c r="T53" s="321"/>
      <c r="U53" s="321"/>
      <c r="V53" s="321"/>
      <c r="W53" s="321"/>
      <c r="X53" s="321"/>
      <c r="Y53" s="321"/>
      <c r="Z53" s="321"/>
      <c r="AA53" s="321"/>
      <c r="AG53" s="321"/>
      <c r="AR53" s="328"/>
      <c r="BL53" s="272">
        <v>2002</v>
      </c>
      <c r="BO53" s="272">
        <v>56000</v>
      </c>
      <c r="BR53" s="297"/>
      <c r="BS53" s="297"/>
    </row>
    <row r="54" spans="2:71" ht="25.5" customHeight="1">
      <c r="B54" s="833" t="s">
        <v>1187</v>
      </c>
      <c r="C54" s="833"/>
      <c r="D54" s="833"/>
      <c r="E54" s="833"/>
      <c r="F54" s="833"/>
      <c r="G54" s="833"/>
      <c r="H54" s="833"/>
      <c r="I54" s="833"/>
      <c r="J54" s="833"/>
      <c r="L54" s="321" t="s">
        <v>66</v>
      </c>
      <c r="O54" s="832">
        <f>+BA64</f>
        <v>0</v>
      </c>
      <c r="P54" s="832"/>
      <c r="Q54" s="832"/>
      <c r="R54" s="832"/>
      <c r="S54" s="832"/>
      <c r="T54" s="832"/>
      <c r="U54" s="832"/>
      <c r="V54" s="832"/>
      <c r="W54" s="832"/>
      <c r="X54" s="832"/>
      <c r="Y54" s="832"/>
      <c r="Z54" s="832"/>
      <c r="AA54" s="832"/>
      <c r="AB54" s="832"/>
      <c r="AC54" s="323"/>
      <c r="AD54" s="323"/>
      <c r="AG54" s="323" t="s">
        <v>1186</v>
      </c>
      <c r="AL54" s="832">
        <f>+BA64*O66</f>
        <v>0</v>
      </c>
      <c r="AM54" s="832"/>
      <c r="AN54" s="832"/>
      <c r="AO54" s="832"/>
      <c r="AP54" s="832"/>
      <c r="AQ54" s="832"/>
      <c r="AR54" s="832"/>
      <c r="AS54" s="832"/>
      <c r="AT54" s="832"/>
      <c r="AU54" s="832"/>
      <c r="AV54" s="832"/>
      <c r="AW54" s="832"/>
      <c r="AX54" s="832"/>
      <c r="AY54" s="832"/>
      <c r="AZ54" s="325"/>
      <c r="BL54" s="272">
        <v>2003</v>
      </c>
      <c r="BO54" s="272">
        <v>57000</v>
      </c>
      <c r="BR54" s="297"/>
      <c r="BS54" s="297"/>
    </row>
    <row r="55" spans="2:71" ht="3.75" customHeight="1" thickBot="1">
      <c r="BL55" s="272">
        <v>2004</v>
      </c>
      <c r="BO55" s="272">
        <v>58000</v>
      </c>
      <c r="BR55" s="297"/>
      <c r="BS55" s="297"/>
    </row>
    <row r="56" spans="2:71" ht="50.25" customHeight="1" thickBot="1">
      <c r="B56" s="857" t="s">
        <v>1188</v>
      </c>
      <c r="C56" s="858"/>
      <c r="D56" s="858"/>
      <c r="E56" s="858"/>
      <c r="F56" s="858"/>
      <c r="G56" s="858"/>
      <c r="H56" s="858"/>
      <c r="I56" s="858"/>
      <c r="J56" s="858"/>
      <c r="K56" s="858"/>
      <c r="L56" s="858"/>
      <c r="M56" s="858"/>
      <c r="N56" s="858"/>
      <c r="O56" s="858"/>
      <c r="P56" s="858"/>
      <c r="Q56" s="858"/>
      <c r="R56" s="859"/>
      <c r="S56" s="860" t="s">
        <v>1189</v>
      </c>
      <c r="T56" s="861"/>
      <c r="U56" s="861"/>
      <c r="V56" s="861"/>
      <c r="W56" s="861"/>
      <c r="X56" s="861"/>
      <c r="Y56" s="861"/>
      <c r="Z56" s="860" t="s">
        <v>1190</v>
      </c>
      <c r="AA56" s="860"/>
      <c r="AB56" s="860"/>
      <c r="AC56" s="860"/>
      <c r="AD56" s="860"/>
      <c r="AE56" s="860"/>
      <c r="AF56" s="860"/>
      <c r="AG56" s="860"/>
      <c r="AH56" s="860"/>
      <c r="AI56" s="860"/>
      <c r="AJ56" s="860"/>
      <c r="AK56" s="862" t="s">
        <v>1191</v>
      </c>
      <c r="AL56" s="862"/>
      <c r="AM56" s="862"/>
      <c r="AN56" s="862"/>
      <c r="AO56" s="862"/>
      <c r="AP56" s="862"/>
      <c r="AQ56" s="862"/>
      <c r="AR56" s="862"/>
      <c r="AS56" s="862"/>
      <c r="AT56" s="863" t="s">
        <v>1192</v>
      </c>
      <c r="AU56" s="864"/>
      <c r="AV56" s="864"/>
      <c r="AW56" s="864"/>
      <c r="AX56" s="864"/>
      <c r="AY56" s="864"/>
      <c r="AZ56" s="865"/>
      <c r="BA56" s="864" t="s">
        <v>66</v>
      </c>
      <c r="BB56" s="864"/>
      <c r="BC56" s="864"/>
      <c r="BD56" s="864"/>
      <c r="BE56" s="864"/>
      <c r="BF56" s="866"/>
      <c r="BL56" s="272">
        <v>2005</v>
      </c>
      <c r="BO56" s="272">
        <v>59000</v>
      </c>
      <c r="BR56" s="297"/>
      <c r="BS56" s="297"/>
    </row>
    <row r="57" spans="2:71" ht="13.5">
      <c r="B57" s="847" t="s">
        <v>1220</v>
      </c>
      <c r="C57" s="848"/>
      <c r="D57" s="848"/>
      <c r="E57" s="848"/>
      <c r="F57" s="848"/>
      <c r="G57" s="848"/>
      <c r="H57" s="848"/>
      <c r="I57" s="848"/>
      <c r="J57" s="848"/>
      <c r="K57" s="848"/>
      <c r="L57" s="848"/>
      <c r="M57" s="848"/>
      <c r="N57" s="848"/>
      <c r="O57" s="848"/>
      <c r="P57" s="848"/>
      <c r="Q57" s="848"/>
      <c r="R57" s="848"/>
      <c r="S57" s="849"/>
      <c r="T57" s="850"/>
      <c r="U57" s="850"/>
      <c r="V57" s="850"/>
      <c r="W57" s="850"/>
      <c r="X57" s="850"/>
      <c r="Y57" s="850"/>
      <c r="Z57" s="849"/>
      <c r="AA57" s="850"/>
      <c r="AB57" s="850"/>
      <c r="AC57" s="850"/>
      <c r="AD57" s="850"/>
      <c r="AE57" s="850"/>
      <c r="AF57" s="850"/>
      <c r="AG57" s="850"/>
      <c r="AH57" s="850"/>
      <c r="AI57" s="850"/>
      <c r="AJ57" s="850"/>
      <c r="AK57" s="849"/>
      <c r="AL57" s="849"/>
      <c r="AM57" s="849"/>
      <c r="AN57" s="849"/>
      <c r="AO57" s="849"/>
      <c r="AP57" s="849"/>
      <c r="AQ57" s="849"/>
      <c r="AR57" s="849"/>
      <c r="AS57" s="849"/>
      <c r="AT57" s="851">
        <v>1</v>
      </c>
      <c r="AU57" s="852"/>
      <c r="AV57" s="852"/>
      <c r="AW57" s="852"/>
      <c r="AX57" s="852"/>
      <c r="AY57" s="852"/>
      <c r="AZ57" s="853"/>
      <c r="BA57" s="854"/>
      <c r="BB57" s="855"/>
      <c r="BC57" s="855"/>
      <c r="BD57" s="855"/>
      <c r="BE57" s="855"/>
      <c r="BF57" s="856"/>
      <c r="BL57" s="272">
        <v>2006</v>
      </c>
      <c r="BO57" s="272">
        <v>60000</v>
      </c>
      <c r="BR57" s="297"/>
      <c r="BS57" s="297"/>
    </row>
    <row r="58" spans="2:71" ht="13.5">
      <c r="B58" s="875" t="s">
        <v>1221</v>
      </c>
      <c r="C58" s="876"/>
      <c r="D58" s="876"/>
      <c r="E58" s="876"/>
      <c r="F58" s="876"/>
      <c r="G58" s="876"/>
      <c r="H58" s="876"/>
      <c r="I58" s="876"/>
      <c r="J58" s="876"/>
      <c r="K58" s="876"/>
      <c r="L58" s="876"/>
      <c r="M58" s="876"/>
      <c r="N58" s="876"/>
      <c r="O58" s="876"/>
      <c r="P58" s="876"/>
      <c r="Q58" s="876"/>
      <c r="R58" s="876"/>
      <c r="S58" s="869"/>
      <c r="T58" s="870"/>
      <c r="U58" s="870"/>
      <c r="V58" s="870"/>
      <c r="W58" s="870"/>
      <c r="X58" s="870"/>
      <c r="Y58" s="870"/>
      <c r="Z58" s="869"/>
      <c r="AA58" s="870"/>
      <c r="AB58" s="870"/>
      <c r="AC58" s="870"/>
      <c r="AD58" s="870"/>
      <c r="AE58" s="870"/>
      <c r="AF58" s="870"/>
      <c r="AG58" s="870"/>
      <c r="AH58" s="870"/>
      <c r="AI58" s="870"/>
      <c r="AJ58" s="870"/>
      <c r="AK58" s="869"/>
      <c r="AL58" s="869"/>
      <c r="AM58" s="869"/>
      <c r="AN58" s="869"/>
      <c r="AO58" s="869"/>
      <c r="AP58" s="869"/>
      <c r="AQ58" s="869"/>
      <c r="AR58" s="869"/>
      <c r="AS58" s="869"/>
      <c r="AT58" s="877">
        <v>1</v>
      </c>
      <c r="AU58" s="878"/>
      <c r="AV58" s="878"/>
      <c r="AW58" s="878"/>
      <c r="AX58" s="878"/>
      <c r="AY58" s="878"/>
      <c r="AZ58" s="879"/>
      <c r="BA58" s="871"/>
      <c r="BB58" s="872"/>
      <c r="BC58" s="872"/>
      <c r="BD58" s="872"/>
      <c r="BE58" s="872"/>
      <c r="BF58" s="874"/>
      <c r="BL58" s="272">
        <v>2007</v>
      </c>
      <c r="BO58" s="272">
        <v>60000</v>
      </c>
      <c r="BR58" s="297"/>
      <c r="BS58" s="297"/>
    </row>
    <row r="59" spans="2:71" ht="13.5">
      <c r="B59" s="867" t="s">
        <v>1193</v>
      </c>
      <c r="C59" s="868"/>
      <c r="D59" s="868"/>
      <c r="E59" s="868"/>
      <c r="F59" s="868"/>
      <c r="G59" s="868"/>
      <c r="H59" s="868"/>
      <c r="I59" s="868"/>
      <c r="J59" s="868"/>
      <c r="K59" s="868"/>
      <c r="L59" s="868"/>
      <c r="M59" s="868"/>
      <c r="N59" s="868"/>
      <c r="O59" s="868"/>
      <c r="P59" s="868"/>
      <c r="Q59" s="868"/>
      <c r="R59" s="868"/>
      <c r="S59" s="869"/>
      <c r="T59" s="870"/>
      <c r="U59" s="870"/>
      <c r="V59" s="870"/>
      <c r="W59" s="870"/>
      <c r="X59" s="870"/>
      <c r="Y59" s="870"/>
      <c r="Z59" s="870"/>
      <c r="AA59" s="870"/>
      <c r="AB59" s="870"/>
      <c r="AC59" s="870"/>
      <c r="AD59" s="870"/>
      <c r="AE59" s="870"/>
      <c r="AF59" s="870"/>
      <c r="AG59" s="870"/>
      <c r="AH59" s="870"/>
      <c r="AI59" s="870"/>
      <c r="AJ59" s="870"/>
      <c r="AK59" s="869"/>
      <c r="AL59" s="869"/>
      <c r="AM59" s="869"/>
      <c r="AN59" s="869"/>
      <c r="AO59" s="869"/>
      <c r="AP59" s="869"/>
      <c r="AQ59" s="869"/>
      <c r="AR59" s="869"/>
      <c r="AS59" s="869"/>
      <c r="AT59" s="871"/>
      <c r="AU59" s="872"/>
      <c r="AV59" s="872"/>
      <c r="AW59" s="872"/>
      <c r="AX59" s="872"/>
      <c r="AY59" s="872"/>
      <c r="AZ59" s="873"/>
      <c r="BA59" s="871">
        <f>+'[9]MEMORIA Y VAL'!AO356</f>
        <v>0</v>
      </c>
      <c r="BB59" s="872"/>
      <c r="BC59" s="872"/>
      <c r="BD59" s="872"/>
      <c r="BE59" s="872"/>
      <c r="BF59" s="874"/>
      <c r="BL59" s="272">
        <v>2008</v>
      </c>
      <c r="BO59" s="272">
        <v>60000</v>
      </c>
      <c r="BR59" s="297"/>
      <c r="BS59" s="297"/>
    </row>
    <row r="60" spans="2:71" ht="27.75" customHeight="1">
      <c r="B60" s="880" t="s">
        <v>1194</v>
      </c>
      <c r="C60" s="881"/>
      <c r="D60" s="881"/>
      <c r="E60" s="881"/>
      <c r="F60" s="881"/>
      <c r="G60" s="881"/>
      <c r="H60" s="881"/>
      <c r="I60" s="881"/>
      <c r="J60" s="881"/>
      <c r="K60" s="881"/>
      <c r="L60" s="881"/>
      <c r="M60" s="881"/>
      <c r="N60" s="881"/>
      <c r="O60" s="881"/>
      <c r="P60" s="881"/>
      <c r="Q60" s="881"/>
      <c r="R60" s="881"/>
      <c r="S60" s="869"/>
      <c r="T60" s="870"/>
      <c r="U60" s="870"/>
      <c r="V60" s="870"/>
      <c r="W60" s="870"/>
      <c r="X60" s="870"/>
      <c r="Y60" s="870"/>
      <c r="Z60" s="870"/>
      <c r="AA60" s="870"/>
      <c r="AB60" s="870"/>
      <c r="AC60" s="870"/>
      <c r="AD60" s="870"/>
      <c r="AE60" s="870"/>
      <c r="AF60" s="870"/>
      <c r="AG60" s="870"/>
      <c r="AH60" s="870"/>
      <c r="AI60" s="870"/>
      <c r="AJ60" s="870"/>
      <c r="AK60" s="869"/>
      <c r="AL60" s="869"/>
      <c r="AM60" s="869"/>
      <c r="AN60" s="869"/>
      <c r="AO60" s="869"/>
      <c r="AP60" s="869"/>
      <c r="AQ60" s="869"/>
      <c r="AR60" s="869"/>
      <c r="AS60" s="869"/>
      <c r="AT60" s="871"/>
      <c r="AU60" s="872"/>
      <c r="AV60" s="872"/>
      <c r="AW60" s="872"/>
      <c r="AX60" s="872"/>
      <c r="AY60" s="872"/>
      <c r="AZ60" s="873"/>
      <c r="BA60" s="871">
        <f>+'[9]MEMORIA Y VAL'!AO365</f>
        <v>0</v>
      </c>
      <c r="BB60" s="872"/>
      <c r="BC60" s="872"/>
      <c r="BD60" s="872"/>
      <c r="BE60" s="872"/>
      <c r="BF60" s="874"/>
      <c r="BL60" s="272">
        <v>2009</v>
      </c>
      <c r="BO60" s="272">
        <v>60000</v>
      </c>
      <c r="BR60" s="297"/>
      <c r="BS60" s="297"/>
    </row>
    <row r="61" spans="2:71" ht="13.5">
      <c r="B61" s="867"/>
      <c r="C61" s="868"/>
      <c r="D61" s="868"/>
      <c r="E61" s="868"/>
      <c r="F61" s="868"/>
      <c r="G61" s="868"/>
      <c r="H61" s="868"/>
      <c r="I61" s="868"/>
      <c r="J61" s="868"/>
      <c r="K61" s="868"/>
      <c r="L61" s="868"/>
      <c r="M61" s="868"/>
      <c r="N61" s="868"/>
      <c r="O61" s="868"/>
      <c r="P61" s="868"/>
      <c r="Q61" s="868"/>
      <c r="R61" s="868"/>
      <c r="S61" s="869"/>
      <c r="T61" s="870"/>
      <c r="U61" s="870"/>
      <c r="V61" s="870"/>
      <c r="W61" s="870"/>
      <c r="X61" s="870"/>
      <c r="Y61" s="870"/>
      <c r="Z61" s="870"/>
      <c r="AA61" s="870"/>
      <c r="AB61" s="870"/>
      <c r="AC61" s="870"/>
      <c r="AD61" s="870"/>
      <c r="AE61" s="870"/>
      <c r="AF61" s="870"/>
      <c r="AG61" s="870"/>
      <c r="AH61" s="870"/>
      <c r="AI61" s="870"/>
      <c r="AJ61" s="870"/>
      <c r="AK61" s="869"/>
      <c r="AL61" s="869"/>
      <c r="AM61" s="869"/>
      <c r="AN61" s="869"/>
      <c r="AO61" s="869"/>
      <c r="AP61" s="869"/>
      <c r="AQ61" s="869"/>
      <c r="AR61" s="869"/>
      <c r="AS61" s="869"/>
      <c r="AT61" s="871"/>
      <c r="AU61" s="872"/>
      <c r="AV61" s="872"/>
      <c r="AW61" s="872"/>
      <c r="AX61" s="872"/>
      <c r="AY61" s="872"/>
      <c r="AZ61" s="873"/>
      <c r="BA61" s="871"/>
      <c r="BB61" s="872"/>
      <c r="BC61" s="872"/>
      <c r="BD61" s="872"/>
      <c r="BE61" s="872"/>
      <c r="BF61" s="874"/>
      <c r="BL61" s="272">
        <v>2010</v>
      </c>
      <c r="BO61" s="272">
        <v>60000</v>
      </c>
      <c r="BR61" s="297"/>
      <c r="BS61" s="297"/>
    </row>
    <row r="62" spans="2:71" ht="13.5">
      <c r="B62" s="867" t="str">
        <f>+'[9]MEMORIA Y VAL'!$C$366</f>
        <v xml:space="preserve">VALOR DEL ESTACIONAMIENTO Nº </v>
      </c>
      <c r="C62" s="868"/>
      <c r="D62" s="868"/>
      <c r="E62" s="868"/>
      <c r="F62" s="868"/>
      <c r="G62" s="868"/>
      <c r="H62" s="868"/>
      <c r="I62" s="868"/>
      <c r="J62" s="868"/>
      <c r="K62" s="868"/>
      <c r="L62" s="868"/>
      <c r="M62" s="868"/>
      <c r="N62" s="868"/>
      <c r="O62" s="868"/>
      <c r="P62" s="868"/>
      <c r="Q62" s="868"/>
      <c r="R62" s="868"/>
      <c r="S62" s="869"/>
      <c r="T62" s="870"/>
      <c r="U62" s="870"/>
      <c r="V62" s="870"/>
      <c r="W62" s="870"/>
      <c r="X62" s="870"/>
      <c r="Y62" s="870"/>
      <c r="Z62" s="870"/>
      <c r="AA62" s="870"/>
      <c r="AB62" s="870"/>
      <c r="AC62" s="870"/>
      <c r="AD62" s="870"/>
      <c r="AE62" s="870"/>
      <c r="AF62" s="870"/>
      <c r="AG62" s="870"/>
      <c r="AH62" s="870"/>
      <c r="AI62" s="870"/>
      <c r="AJ62" s="870"/>
      <c r="AK62" s="869"/>
      <c r="AL62" s="869"/>
      <c r="AM62" s="869"/>
      <c r="AN62" s="869"/>
      <c r="AO62" s="869"/>
      <c r="AP62" s="869"/>
      <c r="AQ62" s="869"/>
      <c r="AR62" s="869"/>
      <c r="AS62" s="869"/>
      <c r="AT62" s="871"/>
      <c r="AU62" s="872"/>
      <c r="AV62" s="872"/>
      <c r="AW62" s="872"/>
      <c r="AX62" s="872"/>
      <c r="AY62" s="872"/>
      <c r="AZ62" s="873"/>
      <c r="BA62" s="871">
        <f>+'[9]MEMORIA Y VAL'!AO368</f>
        <v>0</v>
      </c>
      <c r="BB62" s="872"/>
      <c r="BC62" s="872"/>
      <c r="BD62" s="872"/>
      <c r="BE62" s="872"/>
      <c r="BF62" s="874"/>
      <c r="BL62" s="272">
        <v>2011</v>
      </c>
      <c r="BO62" s="272">
        <v>60000</v>
      </c>
      <c r="BR62" s="297"/>
      <c r="BS62" s="297"/>
    </row>
    <row r="63" spans="2:71" ht="13.5">
      <c r="B63" s="867" t="str">
        <f>+'[9]MEMORIA Y VAL'!$C$369</f>
        <v>VALOR DEL DEPOSITO Nº</v>
      </c>
      <c r="C63" s="868"/>
      <c r="D63" s="868"/>
      <c r="E63" s="868"/>
      <c r="F63" s="868"/>
      <c r="G63" s="868"/>
      <c r="H63" s="868"/>
      <c r="I63" s="868"/>
      <c r="J63" s="868"/>
      <c r="K63" s="868"/>
      <c r="L63" s="868"/>
      <c r="M63" s="868"/>
      <c r="N63" s="868"/>
      <c r="O63" s="868"/>
      <c r="P63" s="868"/>
      <c r="Q63" s="868"/>
      <c r="R63" s="868"/>
      <c r="S63" s="869"/>
      <c r="T63" s="870"/>
      <c r="U63" s="870"/>
      <c r="V63" s="870"/>
      <c r="W63" s="870"/>
      <c r="X63" s="870"/>
      <c r="Y63" s="870"/>
      <c r="Z63" s="870"/>
      <c r="AA63" s="870"/>
      <c r="AB63" s="870"/>
      <c r="AC63" s="870"/>
      <c r="AD63" s="870"/>
      <c r="AE63" s="870"/>
      <c r="AF63" s="870"/>
      <c r="AG63" s="870"/>
      <c r="AH63" s="870"/>
      <c r="AI63" s="870"/>
      <c r="AJ63" s="870"/>
      <c r="AK63" s="869"/>
      <c r="AL63" s="869"/>
      <c r="AM63" s="869"/>
      <c r="AN63" s="869"/>
      <c r="AO63" s="869"/>
      <c r="AP63" s="869"/>
      <c r="AQ63" s="869"/>
      <c r="AR63" s="869"/>
      <c r="AS63" s="869"/>
      <c r="AT63" s="871"/>
      <c r="AU63" s="872"/>
      <c r="AV63" s="872"/>
      <c r="AW63" s="872"/>
      <c r="AX63" s="872"/>
      <c r="AY63" s="872"/>
      <c r="AZ63" s="873"/>
      <c r="BA63" s="871">
        <f>+'[9]MEMORIA Y VAL'!AO371</f>
        <v>0</v>
      </c>
      <c r="BB63" s="872"/>
      <c r="BC63" s="872"/>
      <c r="BD63" s="872"/>
      <c r="BE63" s="872"/>
      <c r="BF63" s="874"/>
      <c r="BL63" s="272">
        <v>2012</v>
      </c>
      <c r="BO63" s="272">
        <v>60000</v>
      </c>
      <c r="BR63" s="297"/>
      <c r="BS63" s="297"/>
    </row>
    <row r="64" spans="2:71" ht="24.75" customHeight="1" thickBot="1">
      <c r="B64" s="888"/>
      <c r="C64" s="889"/>
      <c r="D64" s="889"/>
      <c r="E64" s="889"/>
      <c r="F64" s="889"/>
      <c r="G64" s="889"/>
      <c r="H64" s="889"/>
      <c r="I64" s="889"/>
      <c r="J64" s="889"/>
      <c r="K64" s="889"/>
      <c r="L64" s="889"/>
      <c r="M64" s="889"/>
      <c r="N64" s="889"/>
      <c r="O64" s="889"/>
      <c r="P64" s="889"/>
      <c r="Q64" s="889"/>
      <c r="R64" s="890"/>
      <c r="S64" s="891"/>
      <c r="T64" s="892"/>
      <c r="U64" s="892"/>
      <c r="V64" s="892"/>
      <c r="W64" s="892"/>
      <c r="X64" s="892"/>
      <c r="Y64" s="893"/>
      <c r="Z64" s="891"/>
      <c r="AA64" s="892"/>
      <c r="AB64" s="892"/>
      <c r="AC64" s="892"/>
      <c r="AD64" s="892"/>
      <c r="AE64" s="892"/>
      <c r="AF64" s="892"/>
      <c r="AG64" s="892"/>
      <c r="AH64" s="892"/>
      <c r="AI64" s="892"/>
      <c r="AJ64" s="893"/>
      <c r="AK64" s="971" t="s">
        <v>1195</v>
      </c>
      <c r="AL64" s="972"/>
      <c r="AM64" s="972"/>
      <c r="AN64" s="972"/>
      <c r="AO64" s="972"/>
      <c r="AP64" s="972"/>
      <c r="AQ64" s="972"/>
      <c r="AR64" s="972"/>
      <c r="AS64" s="972"/>
      <c r="AT64" s="972"/>
      <c r="AU64" s="972"/>
      <c r="AV64" s="972"/>
      <c r="AW64" s="972"/>
      <c r="AX64" s="972"/>
      <c r="AY64" s="972"/>
      <c r="AZ64" s="973"/>
      <c r="BA64" s="882">
        <f>SUM(BA57:BF63)</f>
        <v>0</v>
      </c>
      <c r="BB64" s="883"/>
      <c r="BC64" s="883"/>
      <c r="BD64" s="883"/>
      <c r="BE64" s="883"/>
      <c r="BF64" s="884"/>
      <c r="BL64" s="272">
        <v>2016</v>
      </c>
      <c r="BO64" s="272">
        <v>63000</v>
      </c>
      <c r="BR64" s="297"/>
      <c r="BS64" s="297"/>
    </row>
    <row r="65" spans="2:71" ht="8.25" customHeight="1">
      <c r="BL65" s="272">
        <v>2017</v>
      </c>
      <c r="BO65" s="272">
        <v>68000</v>
      </c>
    </row>
    <row r="66" spans="2:71" ht="13.5">
      <c r="B66" s="329" t="s">
        <v>1196</v>
      </c>
      <c r="O66" s="885">
        <f>+'HR-COMÚN TERMINADO'!J104</f>
        <v>3.48</v>
      </c>
      <c r="P66" s="886"/>
      <c r="Q66" s="886"/>
      <c r="R66" s="886"/>
      <c r="S66" s="886"/>
      <c r="T66" s="886"/>
      <c r="U66" s="886"/>
      <c r="V66" s="886"/>
      <c r="W66" s="887"/>
      <c r="BL66" s="272">
        <v>2018</v>
      </c>
      <c r="BO66" s="272">
        <v>69000</v>
      </c>
    </row>
    <row r="67" spans="2:71" ht="9" customHeight="1">
      <c r="BL67" s="272">
        <v>2019</v>
      </c>
      <c r="BO67" s="272">
        <v>70000</v>
      </c>
    </row>
    <row r="68" spans="2:71">
      <c r="B68" s="322" t="s">
        <v>1197</v>
      </c>
      <c r="O68" s="321" t="s">
        <v>66</v>
      </c>
      <c r="P68" s="321"/>
      <c r="S68" s="832">
        <f>+RESULTADOS!X39</f>
        <v>0</v>
      </c>
      <c r="T68" s="832"/>
      <c r="U68" s="832"/>
      <c r="V68" s="832"/>
      <c r="W68" s="832"/>
      <c r="X68" s="832"/>
      <c r="Y68" s="832"/>
      <c r="Z68" s="832"/>
      <c r="AA68" s="832"/>
      <c r="AB68" s="832"/>
      <c r="AC68" s="832"/>
      <c r="AD68" s="832"/>
      <c r="AE68" s="832"/>
      <c r="AF68" s="832"/>
      <c r="AG68" s="324"/>
      <c r="AH68" s="323" t="s">
        <v>1186</v>
      </c>
      <c r="AJ68" s="323"/>
      <c r="AK68" s="324"/>
      <c r="AM68" s="832">
        <f>+S68*O66</f>
        <v>0</v>
      </c>
      <c r="AN68" s="832"/>
      <c r="AO68" s="832"/>
      <c r="AP68" s="832"/>
      <c r="AQ68" s="832"/>
      <c r="AR68" s="832"/>
      <c r="AS68" s="832"/>
      <c r="AT68" s="832"/>
      <c r="AU68" s="832"/>
      <c r="AV68" s="832"/>
      <c r="AW68" s="832"/>
      <c r="AX68" s="832"/>
      <c r="AY68" s="832"/>
      <c r="AZ68" s="832"/>
      <c r="BA68" s="325"/>
      <c r="BL68" s="272">
        <v>2020</v>
      </c>
      <c r="BO68" s="272">
        <v>55000</v>
      </c>
      <c r="BR68" s="297"/>
      <c r="BS68" s="297"/>
    </row>
    <row r="69" spans="2:71" ht="3" customHeight="1">
      <c r="C69" s="322"/>
      <c r="F69" s="326"/>
      <c r="H69" s="322"/>
      <c r="I69" s="327"/>
      <c r="O69" s="321"/>
      <c r="P69" s="321"/>
      <c r="T69" s="321"/>
      <c r="U69" s="321"/>
      <c r="V69" s="321"/>
      <c r="W69" s="321"/>
      <c r="X69" s="321"/>
      <c r="Y69" s="321"/>
      <c r="Z69" s="321"/>
      <c r="AA69" s="321"/>
      <c r="AH69" s="321"/>
      <c r="AJ69" s="321"/>
      <c r="AR69" s="328"/>
      <c r="BL69" s="272">
        <v>2021</v>
      </c>
      <c r="BO69" s="272">
        <v>56000</v>
      </c>
      <c r="BR69" s="297"/>
      <c r="BS69" s="297"/>
    </row>
    <row r="70" spans="2:71">
      <c r="B70" s="322" t="s">
        <v>1198</v>
      </c>
      <c r="C70" s="322"/>
      <c r="D70" s="322"/>
      <c r="E70" s="322"/>
      <c r="F70" s="322"/>
      <c r="G70" s="322"/>
      <c r="H70" s="322"/>
      <c r="I70" s="322"/>
      <c r="J70" s="322"/>
      <c r="O70" s="321" t="s">
        <v>66</v>
      </c>
      <c r="P70" s="321"/>
      <c r="S70" s="832">
        <f>+RESULTADOS!X58</f>
        <v>0</v>
      </c>
      <c r="T70" s="832"/>
      <c r="U70" s="832"/>
      <c r="V70" s="832"/>
      <c r="W70" s="832"/>
      <c r="X70" s="832"/>
      <c r="Y70" s="832"/>
      <c r="Z70" s="832"/>
      <c r="AA70" s="832"/>
      <c r="AB70" s="832"/>
      <c r="AC70" s="832"/>
      <c r="AD70" s="832"/>
      <c r="AE70" s="832"/>
      <c r="AF70" s="832"/>
      <c r="AG70" s="324"/>
      <c r="AH70" s="323" t="s">
        <v>1186</v>
      </c>
      <c r="AJ70" s="321"/>
      <c r="AM70" s="832">
        <f>+S70*O66</f>
        <v>0</v>
      </c>
      <c r="AN70" s="832"/>
      <c r="AO70" s="832"/>
      <c r="AP70" s="832"/>
      <c r="AQ70" s="832"/>
      <c r="AR70" s="832"/>
      <c r="AS70" s="832"/>
      <c r="AT70" s="832"/>
      <c r="AU70" s="832"/>
      <c r="AV70" s="832"/>
      <c r="AW70" s="832"/>
      <c r="AX70" s="832"/>
      <c r="AY70" s="832"/>
      <c r="AZ70" s="832"/>
      <c r="BA70" s="325"/>
      <c r="BL70" s="272">
        <v>2022</v>
      </c>
      <c r="BO70" s="272">
        <v>57000</v>
      </c>
      <c r="BR70" s="297"/>
      <c r="BS70" s="297"/>
    </row>
    <row r="71" spans="2:71" ht="6" customHeight="1">
      <c r="B71" s="322"/>
      <c r="O71" s="321"/>
      <c r="P71" s="321"/>
      <c r="R71" s="330"/>
      <c r="S71" s="330"/>
      <c r="T71" s="330"/>
      <c r="U71" s="330"/>
      <c r="V71" s="330"/>
      <c r="W71" s="330"/>
      <c r="X71" s="330"/>
      <c r="Y71" s="330"/>
      <c r="Z71" s="330"/>
      <c r="AA71" s="330"/>
      <c r="AB71" s="330"/>
      <c r="AC71" s="330"/>
      <c r="AD71" s="330"/>
      <c r="AH71" s="321"/>
      <c r="AJ71" s="321"/>
      <c r="BL71" s="272">
        <v>2023</v>
      </c>
      <c r="BO71" s="272">
        <v>78000</v>
      </c>
    </row>
    <row r="72" spans="2:71" ht="22.5" customHeight="1">
      <c r="B72" s="331" t="s">
        <v>1199</v>
      </c>
      <c r="C72" s="278"/>
      <c r="D72" s="278"/>
      <c r="E72" s="278"/>
      <c r="F72" s="278"/>
      <c r="G72" s="278"/>
      <c r="H72" s="278"/>
      <c r="I72" s="278"/>
      <c r="J72" s="278"/>
      <c r="K72" s="278"/>
      <c r="L72" s="278"/>
      <c r="M72" s="278"/>
      <c r="N72" s="278"/>
      <c r="O72" s="278"/>
      <c r="P72" s="278"/>
      <c r="Q72" s="278"/>
      <c r="R72" s="278"/>
      <c r="S72" s="278"/>
      <c r="BO72" s="272">
        <v>96000</v>
      </c>
    </row>
    <row r="73" spans="2:71" ht="2.25" customHeight="1">
      <c r="B73" s="321"/>
      <c r="O73" s="321"/>
      <c r="P73" s="321"/>
      <c r="AH73" s="321"/>
      <c r="AJ73" s="321"/>
      <c r="BL73" s="272">
        <v>2025</v>
      </c>
      <c r="BO73" s="272">
        <v>80000</v>
      </c>
    </row>
    <row r="74" spans="2:71">
      <c r="B74" s="297" t="s">
        <v>1039</v>
      </c>
      <c r="O74" s="321" t="s">
        <v>66</v>
      </c>
      <c r="P74" s="321"/>
      <c r="S74" s="832">
        <f>+AT84</f>
        <v>0</v>
      </c>
      <c r="T74" s="832"/>
      <c r="U74" s="832"/>
      <c r="V74" s="832"/>
      <c r="W74" s="832"/>
      <c r="X74" s="832"/>
      <c r="Y74" s="832"/>
      <c r="Z74" s="832"/>
      <c r="AA74" s="832"/>
      <c r="AB74" s="832"/>
      <c r="AC74" s="832"/>
      <c r="AD74" s="832"/>
      <c r="AE74" s="832"/>
      <c r="AF74" s="832"/>
      <c r="AG74" s="324"/>
      <c r="AH74" s="323" t="s">
        <v>1186</v>
      </c>
      <c r="AJ74" s="323"/>
      <c r="AK74" s="324"/>
      <c r="AM74" s="832">
        <f>+S74*O66</f>
        <v>0</v>
      </c>
      <c r="AN74" s="832"/>
      <c r="AO74" s="832"/>
      <c r="AP74" s="832"/>
      <c r="AQ74" s="832"/>
      <c r="AR74" s="832"/>
      <c r="AS74" s="832"/>
      <c r="AT74" s="832"/>
      <c r="AU74" s="832"/>
      <c r="AV74" s="832"/>
      <c r="AW74" s="832"/>
      <c r="AX74" s="832"/>
      <c r="AY74" s="832"/>
      <c r="AZ74" s="832"/>
      <c r="BA74" s="325"/>
      <c r="BL74" s="272">
        <v>2026</v>
      </c>
      <c r="BO74" s="272">
        <v>55000</v>
      </c>
      <c r="BR74" s="297"/>
      <c r="BS74" s="297"/>
    </row>
    <row r="75" spans="2:71" ht="3" customHeight="1" thickBot="1">
      <c r="BL75" s="272">
        <v>2027</v>
      </c>
      <c r="BO75" s="272">
        <v>82000</v>
      </c>
    </row>
    <row r="76" spans="2:71" ht="53.25" customHeight="1">
      <c r="B76" s="894" t="s">
        <v>1188</v>
      </c>
      <c r="C76" s="895"/>
      <c r="D76" s="895"/>
      <c r="E76" s="895"/>
      <c r="F76" s="895"/>
      <c r="G76" s="895"/>
      <c r="H76" s="895"/>
      <c r="I76" s="895"/>
      <c r="J76" s="895"/>
      <c r="K76" s="895"/>
      <c r="L76" s="895"/>
      <c r="M76" s="895"/>
      <c r="N76" s="895"/>
      <c r="O76" s="895"/>
      <c r="P76" s="895"/>
      <c r="Q76" s="895"/>
      <c r="R76" s="896"/>
      <c r="S76" s="897" t="s">
        <v>1189</v>
      </c>
      <c r="T76" s="898"/>
      <c r="U76" s="898"/>
      <c r="V76" s="898"/>
      <c r="W76" s="898"/>
      <c r="X76" s="898"/>
      <c r="Y76" s="898"/>
      <c r="Z76" s="899" t="s">
        <v>1223</v>
      </c>
      <c r="AA76" s="897"/>
      <c r="AB76" s="897"/>
      <c r="AC76" s="897"/>
      <c r="AD76" s="897"/>
      <c r="AE76" s="897"/>
      <c r="AF76" s="897"/>
      <c r="AG76" s="897"/>
      <c r="AH76" s="897"/>
      <c r="AI76" s="897"/>
      <c r="AJ76" s="897"/>
      <c r="AK76" s="900" t="s">
        <v>1191</v>
      </c>
      <c r="AL76" s="900"/>
      <c r="AM76" s="900"/>
      <c r="AN76" s="900"/>
      <c r="AO76" s="900"/>
      <c r="AP76" s="900"/>
      <c r="AQ76" s="900"/>
      <c r="AR76" s="900"/>
      <c r="AS76" s="900"/>
      <c r="AT76" s="901" t="s">
        <v>66</v>
      </c>
      <c r="AU76" s="902"/>
      <c r="AV76" s="902"/>
      <c r="AW76" s="902"/>
      <c r="AX76" s="902"/>
      <c r="AY76" s="902"/>
      <c r="AZ76" s="902"/>
      <c r="BA76" s="902"/>
      <c r="BB76" s="902"/>
      <c r="BC76" s="902"/>
      <c r="BD76" s="902"/>
      <c r="BE76" s="902"/>
      <c r="BF76" s="903"/>
      <c r="BL76" s="272">
        <v>2028</v>
      </c>
      <c r="BO76" s="272">
        <v>59000</v>
      </c>
      <c r="BR76" s="297"/>
      <c r="BS76" s="297"/>
    </row>
    <row r="77" spans="2:71" ht="14.25">
      <c r="B77" s="875" t="str">
        <f>+B57</f>
        <v>Área techada</v>
      </c>
      <c r="C77" s="876"/>
      <c r="D77" s="876"/>
      <c r="E77" s="876"/>
      <c r="F77" s="876"/>
      <c r="G77" s="876"/>
      <c r="H77" s="876"/>
      <c r="I77" s="876"/>
      <c r="J77" s="876"/>
      <c r="K77" s="876"/>
      <c r="L77" s="876"/>
      <c r="M77" s="876"/>
      <c r="N77" s="876"/>
      <c r="O77" s="876"/>
      <c r="P77" s="876"/>
      <c r="Q77" s="876"/>
      <c r="R77" s="876"/>
      <c r="S77" s="904">
        <f>+'[9]MEMORIA Y VAL'!C305</f>
        <v>0</v>
      </c>
      <c r="T77" s="905"/>
      <c r="U77" s="905"/>
      <c r="V77" s="905"/>
      <c r="W77" s="905"/>
      <c r="X77" s="905"/>
      <c r="Y77" s="906"/>
      <c r="Z77" s="907">
        <f>+'[9]MEMORIA Y VAL'!N305</f>
        <v>0</v>
      </c>
      <c r="AA77" s="908"/>
      <c r="AB77" s="908"/>
      <c r="AC77" s="908"/>
      <c r="AD77" s="908"/>
      <c r="AE77" s="908"/>
      <c r="AF77" s="908"/>
      <c r="AG77" s="908"/>
      <c r="AH77" s="908"/>
      <c r="AI77" s="908"/>
      <c r="AJ77" s="909"/>
      <c r="AK77" s="904">
        <f>+'[9]MEMORIA Y VAL'!AA305</f>
        <v>1</v>
      </c>
      <c r="AL77" s="910"/>
      <c r="AM77" s="910"/>
      <c r="AN77" s="910"/>
      <c r="AO77" s="910"/>
      <c r="AP77" s="910"/>
      <c r="AQ77" s="910"/>
      <c r="AR77" s="910"/>
      <c r="AS77" s="911"/>
      <c r="AT77" s="912">
        <f>+'[9]MEMORIA Y VAL'!AO305</f>
        <v>0</v>
      </c>
      <c r="AU77" s="912"/>
      <c r="AV77" s="912"/>
      <c r="AW77" s="912"/>
      <c r="AX77" s="912"/>
      <c r="AY77" s="912"/>
      <c r="AZ77" s="912"/>
      <c r="BA77" s="912"/>
      <c r="BB77" s="912"/>
      <c r="BC77" s="912"/>
      <c r="BD77" s="912"/>
      <c r="BE77" s="912"/>
      <c r="BF77" s="913"/>
      <c r="BO77" s="272">
        <v>84000</v>
      </c>
    </row>
    <row r="78" spans="2:71" ht="14.25">
      <c r="B78" s="875" t="str">
        <f>+B58</f>
        <v>Área sin  techar</v>
      </c>
      <c r="C78" s="876"/>
      <c r="D78" s="876"/>
      <c r="E78" s="876"/>
      <c r="F78" s="876"/>
      <c r="G78" s="876"/>
      <c r="H78" s="876"/>
      <c r="I78" s="876"/>
      <c r="J78" s="876"/>
      <c r="K78" s="876"/>
      <c r="L78" s="876"/>
      <c r="M78" s="876"/>
      <c r="N78" s="876"/>
      <c r="O78" s="876"/>
      <c r="P78" s="876"/>
      <c r="Q78" s="876"/>
      <c r="R78" s="876"/>
      <c r="S78" s="904">
        <f>+'[9]MEMORIA Y VAL'!C307</f>
        <v>0</v>
      </c>
      <c r="T78" s="905"/>
      <c r="U78" s="905"/>
      <c r="V78" s="905"/>
      <c r="W78" s="905"/>
      <c r="X78" s="905"/>
      <c r="Y78" s="906"/>
      <c r="Z78" s="907">
        <f>+'[9]MEMORIA Y VAL'!N307</f>
        <v>200</v>
      </c>
      <c r="AA78" s="908"/>
      <c r="AB78" s="908"/>
      <c r="AC78" s="908"/>
      <c r="AD78" s="908"/>
      <c r="AE78" s="908"/>
      <c r="AF78" s="908"/>
      <c r="AG78" s="908"/>
      <c r="AH78" s="908"/>
      <c r="AI78" s="908"/>
      <c r="AJ78" s="909"/>
      <c r="AK78" s="904">
        <f>+'[9]MEMORIA Y VAL'!AA307</f>
        <v>1</v>
      </c>
      <c r="AL78" s="910"/>
      <c r="AM78" s="910"/>
      <c r="AN78" s="910"/>
      <c r="AO78" s="910"/>
      <c r="AP78" s="910"/>
      <c r="AQ78" s="910"/>
      <c r="AR78" s="910"/>
      <c r="AS78" s="911"/>
      <c r="AT78" s="912">
        <f>+'[9]MEMORIA Y VAL'!AO307</f>
        <v>0</v>
      </c>
      <c r="AU78" s="912"/>
      <c r="AV78" s="912"/>
      <c r="AW78" s="912"/>
      <c r="AX78" s="912"/>
      <c r="AY78" s="912"/>
      <c r="AZ78" s="912"/>
      <c r="BA78" s="912"/>
      <c r="BB78" s="912"/>
      <c r="BC78" s="912"/>
      <c r="BD78" s="912"/>
      <c r="BE78" s="912"/>
      <c r="BF78" s="913"/>
      <c r="BO78" s="272">
        <v>84000</v>
      </c>
    </row>
    <row r="79" spans="2:71" ht="13.5">
      <c r="B79" s="914" t="str">
        <f>+B59</f>
        <v>VALOR DE LAS ÁREAS COMUNES</v>
      </c>
      <c r="C79" s="915"/>
      <c r="D79" s="915"/>
      <c r="E79" s="915"/>
      <c r="F79" s="915"/>
      <c r="G79" s="915"/>
      <c r="H79" s="915"/>
      <c r="I79" s="915"/>
      <c r="J79" s="915"/>
      <c r="K79" s="915"/>
      <c r="L79" s="915"/>
      <c r="M79" s="915"/>
      <c r="N79" s="915"/>
      <c r="O79" s="915"/>
      <c r="P79" s="915"/>
      <c r="Q79" s="915"/>
      <c r="R79" s="915"/>
      <c r="S79" s="904"/>
      <c r="T79" s="905"/>
      <c r="U79" s="905"/>
      <c r="V79" s="905"/>
      <c r="W79" s="905"/>
      <c r="X79" s="905"/>
      <c r="Y79" s="906"/>
      <c r="Z79" s="916"/>
      <c r="AA79" s="910"/>
      <c r="AB79" s="910"/>
      <c r="AC79" s="910"/>
      <c r="AD79" s="910"/>
      <c r="AE79" s="910"/>
      <c r="AF79" s="910"/>
      <c r="AG79" s="910"/>
      <c r="AH79" s="910"/>
      <c r="AI79" s="910"/>
      <c r="AJ79" s="911"/>
      <c r="AK79" s="917"/>
      <c r="AL79" s="918"/>
      <c r="AM79" s="918"/>
      <c r="AN79" s="918"/>
      <c r="AO79" s="918"/>
      <c r="AP79" s="918"/>
      <c r="AQ79" s="918"/>
      <c r="AR79" s="918"/>
      <c r="AS79" s="919"/>
      <c r="AT79" s="912">
        <f>+'[9]MEMORIA Y VAL'!AO311</f>
        <v>0</v>
      </c>
      <c r="AU79" s="912"/>
      <c r="AV79" s="912"/>
      <c r="AW79" s="912"/>
      <c r="AX79" s="912"/>
      <c r="AY79" s="912"/>
      <c r="AZ79" s="912"/>
      <c r="BA79" s="912"/>
      <c r="BB79" s="912"/>
      <c r="BC79" s="912"/>
      <c r="BD79" s="912"/>
      <c r="BE79" s="912"/>
      <c r="BF79" s="913"/>
      <c r="BO79" s="272">
        <v>84000</v>
      </c>
    </row>
    <row r="80" spans="2:71" ht="13.5">
      <c r="B80" s="914" t="str">
        <f>+B60</f>
        <v>VALOR DE LAS OBRAS COMPLEMENTARIAS</v>
      </c>
      <c r="C80" s="915"/>
      <c r="D80" s="915"/>
      <c r="E80" s="915"/>
      <c r="F80" s="915"/>
      <c r="G80" s="915"/>
      <c r="H80" s="915"/>
      <c r="I80" s="915"/>
      <c r="J80" s="915"/>
      <c r="K80" s="915"/>
      <c r="L80" s="915"/>
      <c r="M80" s="915"/>
      <c r="N80" s="915"/>
      <c r="O80" s="915"/>
      <c r="P80" s="915"/>
      <c r="Q80" s="915"/>
      <c r="R80" s="915"/>
      <c r="S80" s="904"/>
      <c r="T80" s="905"/>
      <c r="U80" s="905"/>
      <c r="V80" s="905"/>
      <c r="W80" s="905"/>
      <c r="X80" s="905"/>
      <c r="Y80" s="906"/>
      <c r="Z80" s="916"/>
      <c r="AA80" s="910"/>
      <c r="AB80" s="910"/>
      <c r="AC80" s="910"/>
      <c r="AD80" s="910"/>
      <c r="AE80" s="910"/>
      <c r="AF80" s="910"/>
      <c r="AG80" s="910"/>
      <c r="AH80" s="910"/>
      <c r="AI80" s="910"/>
      <c r="AJ80" s="911"/>
      <c r="AK80" s="917"/>
      <c r="AL80" s="918"/>
      <c r="AM80" s="918"/>
      <c r="AN80" s="918"/>
      <c r="AO80" s="918"/>
      <c r="AP80" s="918"/>
      <c r="AQ80" s="918"/>
      <c r="AR80" s="918"/>
      <c r="AS80" s="919"/>
      <c r="AT80" s="912">
        <f>+'[9]MEMORIA Y VAL'!AO320</f>
        <v>0</v>
      </c>
      <c r="AU80" s="912"/>
      <c r="AV80" s="912"/>
      <c r="AW80" s="912"/>
      <c r="AX80" s="912"/>
      <c r="AY80" s="912"/>
      <c r="AZ80" s="912"/>
      <c r="BA80" s="912"/>
      <c r="BB80" s="912"/>
      <c r="BC80" s="912"/>
      <c r="BD80" s="912"/>
      <c r="BE80" s="912"/>
      <c r="BF80" s="913"/>
      <c r="BO80" s="272">
        <v>84000</v>
      </c>
    </row>
    <row r="81" spans="2:67" ht="13.5">
      <c r="B81" s="914"/>
      <c r="C81" s="915"/>
      <c r="D81" s="915"/>
      <c r="E81" s="915"/>
      <c r="F81" s="915"/>
      <c r="G81" s="915"/>
      <c r="H81" s="915"/>
      <c r="I81" s="915"/>
      <c r="J81" s="915"/>
      <c r="K81" s="915"/>
      <c r="L81" s="915"/>
      <c r="M81" s="915"/>
      <c r="N81" s="915"/>
      <c r="O81" s="915"/>
      <c r="P81" s="915"/>
      <c r="Q81" s="915"/>
      <c r="R81" s="915"/>
      <c r="S81" s="904"/>
      <c r="T81" s="905"/>
      <c r="U81" s="905"/>
      <c r="V81" s="905"/>
      <c r="W81" s="905"/>
      <c r="X81" s="905"/>
      <c r="Y81" s="906"/>
      <c r="Z81" s="916"/>
      <c r="AA81" s="910"/>
      <c r="AB81" s="910"/>
      <c r="AC81" s="910"/>
      <c r="AD81" s="910"/>
      <c r="AE81" s="910"/>
      <c r="AF81" s="910"/>
      <c r="AG81" s="910"/>
      <c r="AH81" s="910"/>
      <c r="AI81" s="910"/>
      <c r="AJ81" s="911"/>
      <c r="AK81" s="917"/>
      <c r="AL81" s="918"/>
      <c r="AM81" s="918"/>
      <c r="AN81" s="918"/>
      <c r="AO81" s="918"/>
      <c r="AP81" s="918"/>
      <c r="AQ81" s="918"/>
      <c r="AR81" s="918"/>
      <c r="AS81" s="919"/>
      <c r="AT81" s="912"/>
      <c r="AU81" s="912"/>
      <c r="AV81" s="912"/>
      <c r="AW81" s="912"/>
      <c r="AX81" s="912"/>
      <c r="AY81" s="912"/>
      <c r="AZ81" s="912"/>
      <c r="BA81" s="912"/>
      <c r="BB81" s="912"/>
      <c r="BC81" s="912"/>
      <c r="BD81" s="912"/>
      <c r="BE81" s="912"/>
      <c r="BF81" s="913"/>
      <c r="BO81" s="272">
        <v>84000</v>
      </c>
    </row>
    <row r="82" spans="2:67" ht="26.25" customHeight="1">
      <c r="B82" s="926" t="str">
        <f>+'[9]MEMORIA Y VAL'!$C$330</f>
        <v xml:space="preserve">VALOR DE RECONSTRUCCION DEL ESTACIONAMIENTO Nº </v>
      </c>
      <c r="C82" s="927"/>
      <c r="D82" s="927"/>
      <c r="E82" s="927"/>
      <c r="F82" s="927"/>
      <c r="G82" s="927"/>
      <c r="H82" s="927"/>
      <c r="I82" s="927"/>
      <c r="J82" s="927"/>
      <c r="K82" s="927"/>
      <c r="L82" s="927"/>
      <c r="M82" s="927"/>
      <c r="N82" s="927"/>
      <c r="O82" s="927"/>
      <c r="P82" s="927"/>
      <c r="Q82" s="927"/>
      <c r="R82" s="927"/>
      <c r="S82" s="904"/>
      <c r="T82" s="905"/>
      <c r="U82" s="905"/>
      <c r="V82" s="905"/>
      <c r="W82" s="905"/>
      <c r="X82" s="905"/>
      <c r="Y82" s="906"/>
      <c r="Z82" s="916"/>
      <c r="AA82" s="910"/>
      <c r="AB82" s="910"/>
      <c r="AC82" s="910"/>
      <c r="AD82" s="910"/>
      <c r="AE82" s="910"/>
      <c r="AF82" s="910"/>
      <c r="AG82" s="910"/>
      <c r="AH82" s="910"/>
      <c r="AI82" s="910"/>
      <c r="AJ82" s="911"/>
      <c r="AK82" s="917"/>
      <c r="AL82" s="918"/>
      <c r="AM82" s="918"/>
      <c r="AN82" s="918"/>
      <c r="AO82" s="918"/>
      <c r="AP82" s="918"/>
      <c r="AQ82" s="918"/>
      <c r="AR82" s="918"/>
      <c r="AS82" s="919"/>
      <c r="AT82" s="912">
        <f>+'[9]MEMORIA Y VAL'!AO330</f>
        <v>0</v>
      </c>
      <c r="AU82" s="912"/>
      <c r="AV82" s="912"/>
      <c r="AW82" s="912"/>
      <c r="AX82" s="912"/>
      <c r="AY82" s="912"/>
      <c r="AZ82" s="912"/>
      <c r="BA82" s="912"/>
      <c r="BB82" s="912"/>
      <c r="BC82" s="912"/>
      <c r="BD82" s="912"/>
      <c r="BE82" s="912"/>
      <c r="BF82" s="913"/>
      <c r="BO82" s="272">
        <v>84000</v>
      </c>
    </row>
    <row r="83" spans="2:67" ht="26.25" customHeight="1">
      <c r="B83" s="926" t="str">
        <f>+'[9]MEMORIA Y VAL'!$C$330</f>
        <v xml:space="preserve">VALOR DE RECONSTRUCCION DEL ESTACIONAMIENTO Nº </v>
      </c>
      <c r="C83" s="927"/>
      <c r="D83" s="927"/>
      <c r="E83" s="927"/>
      <c r="F83" s="927"/>
      <c r="G83" s="927"/>
      <c r="H83" s="927"/>
      <c r="I83" s="927"/>
      <c r="J83" s="927"/>
      <c r="K83" s="927"/>
      <c r="L83" s="927"/>
      <c r="M83" s="927"/>
      <c r="N83" s="927"/>
      <c r="O83" s="927"/>
      <c r="P83" s="927"/>
      <c r="Q83" s="927"/>
      <c r="R83" s="927"/>
      <c r="S83" s="904"/>
      <c r="T83" s="905"/>
      <c r="U83" s="905"/>
      <c r="V83" s="905"/>
      <c r="W83" s="905"/>
      <c r="X83" s="905"/>
      <c r="Y83" s="906"/>
      <c r="Z83" s="916"/>
      <c r="AA83" s="910"/>
      <c r="AB83" s="910"/>
      <c r="AC83" s="910"/>
      <c r="AD83" s="910"/>
      <c r="AE83" s="910"/>
      <c r="AF83" s="910"/>
      <c r="AG83" s="910"/>
      <c r="AH83" s="910"/>
      <c r="AI83" s="910"/>
      <c r="AJ83" s="911"/>
      <c r="AK83" s="917"/>
      <c r="AL83" s="918"/>
      <c r="AM83" s="918"/>
      <c r="AN83" s="918"/>
      <c r="AO83" s="918"/>
      <c r="AP83" s="918"/>
      <c r="AQ83" s="918"/>
      <c r="AR83" s="918"/>
      <c r="AS83" s="919"/>
      <c r="AT83" s="912">
        <f>+'[9]MEMORIA Y VAL'!AO340</f>
        <v>0</v>
      </c>
      <c r="AU83" s="912"/>
      <c r="AV83" s="912"/>
      <c r="AW83" s="912"/>
      <c r="AX83" s="912"/>
      <c r="AY83" s="912"/>
      <c r="AZ83" s="912"/>
      <c r="BA83" s="912"/>
      <c r="BB83" s="912"/>
      <c r="BC83" s="912"/>
      <c r="BD83" s="912"/>
      <c r="BE83" s="912"/>
      <c r="BF83" s="913"/>
      <c r="BO83" s="272">
        <v>84000</v>
      </c>
    </row>
    <row r="84" spans="2:67" ht="27.75" customHeight="1" thickBot="1">
      <c r="B84" s="932"/>
      <c r="C84" s="933"/>
      <c r="D84" s="933"/>
      <c r="E84" s="933"/>
      <c r="F84" s="933"/>
      <c r="G84" s="933"/>
      <c r="H84" s="933"/>
      <c r="I84" s="933"/>
      <c r="J84" s="933"/>
      <c r="K84" s="933"/>
      <c r="L84" s="933"/>
      <c r="M84" s="933"/>
      <c r="N84" s="933"/>
      <c r="O84" s="933"/>
      <c r="P84" s="933"/>
      <c r="Q84" s="933"/>
      <c r="R84" s="934"/>
      <c r="S84" s="935"/>
      <c r="T84" s="936"/>
      <c r="U84" s="936"/>
      <c r="V84" s="936"/>
      <c r="W84" s="936"/>
      <c r="X84" s="936"/>
      <c r="Y84" s="937"/>
      <c r="Z84" s="968" t="s">
        <v>1200</v>
      </c>
      <c r="AA84" s="969"/>
      <c r="AB84" s="969"/>
      <c r="AC84" s="969"/>
      <c r="AD84" s="969"/>
      <c r="AE84" s="969"/>
      <c r="AF84" s="969"/>
      <c r="AG84" s="969"/>
      <c r="AH84" s="969"/>
      <c r="AI84" s="969"/>
      <c r="AJ84" s="969"/>
      <c r="AK84" s="969"/>
      <c r="AL84" s="969"/>
      <c r="AM84" s="969"/>
      <c r="AN84" s="969"/>
      <c r="AO84" s="969"/>
      <c r="AP84" s="969"/>
      <c r="AQ84" s="969"/>
      <c r="AR84" s="969"/>
      <c r="AS84" s="970"/>
      <c r="AT84" s="920">
        <f>SUM(AT77:BF83)</f>
        <v>0</v>
      </c>
      <c r="AU84" s="920"/>
      <c r="AV84" s="920"/>
      <c r="AW84" s="920"/>
      <c r="AX84" s="920"/>
      <c r="AY84" s="920"/>
      <c r="AZ84" s="920"/>
      <c r="BA84" s="920"/>
      <c r="BB84" s="920"/>
      <c r="BC84" s="920"/>
      <c r="BD84" s="920"/>
      <c r="BE84" s="920"/>
      <c r="BF84" s="921"/>
      <c r="BO84" s="272">
        <v>87000</v>
      </c>
    </row>
    <row r="85" spans="2:67" ht="4.5" customHeight="1">
      <c r="B85" s="332"/>
      <c r="BO85" s="272">
        <v>92000</v>
      </c>
    </row>
    <row r="86" spans="2:67" ht="15.75" customHeight="1">
      <c r="B86" s="332" t="s">
        <v>1201</v>
      </c>
      <c r="BO86" s="272">
        <v>93000</v>
      </c>
    </row>
    <row r="87" spans="2:67" ht="2.25" customHeight="1">
      <c r="B87" s="332"/>
      <c r="BO87" s="272">
        <v>94000</v>
      </c>
    </row>
    <row r="88" spans="2:67" ht="15" customHeight="1">
      <c r="B88" s="329" t="s">
        <v>1202</v>
      </c>
      <c r="O88" s="922">
        <f>1-'[9]MEMORIA Y VAL'!C200</f>
        <v>1</v>
      </c>
      <c r="P88" s="923"/>
      <c r="Q88" s="923"/>
      <c r="R88" s="923"/>
      <c r="S88" s="923"/>
      <c r="T88" s="923"/>
      <c r="U88" s="923"/>
      <c r="V88" s="923"/>
      <c r="W88" s="924"/>
      <c r="Y88" s="925" t="s">
        <v>774</v>
      </c>
      <c r="Z88" s="925"/>
      <c r="AX88" s="333"/>
      <c r="AZ88" s="333"/>
    </row>
    <row r="89" spans="2:67" ht="6" customHeight="1">
      <c r="B89" s="329"/>
      <c r="O89" s="334"/>
      <c r="P89" s="326"/>
      <c r="Q89" s="326"/>
      <c r="R89" s="326"/>
      <c r="S89" s="326"/>
      <c r="T89" s="326"/>
      <c r="U89" s="326"/>
      <c r="V89" s="326"/>
      <c r="W89" s="326"/>
      <c r="Y89" s="335"/>
      <c r="Z89" s="335"/>
      <c r="AX89" s="333"/>
      <c r="AZ89" s="333"/>
    </row>
    <row r="90" spans="2:67" ht="25.5" customHeight="1">
      <c r="B90" s="928" t="s">
        <v>1203</v>
      </c>
      <c r="C90" s="928"/>
      <c r="D90" s="928"/>
      <c r="E90" s="928"/>
      <c r="F90" s="928"/>
      <c r="G90" s="928"/>
      <c r="H90" s="928"/>
      <c r="I90" s="928"/>
      <c r="J90" s="928"/>
      <c r="K90" s="928"/>
      <c r="L90" s="928"/>
      <c r="M90" s="928"/>
      <c r="N90" s="928"/>
      <c r="O90" s="928"/>
      <c r="P90" s="928"/>
      <c r="Q90" s="928"/>
      <c r="R90" s="928"/>
      <c r="S90" s="928"/>
      <c r="T90" s="929"/>
      <c r="U90" s="929"/>
      <c r="V90" s="929"/>
      <c r="W90" s="929"/>
      <c r="X90" s="929"/>
      <c r="Y90" s="929"/>
      <c r="Z90" s="929"/>
      <c r="AA90" s="929"/>
      <c r="AB90" s="929"/>
      <c r="AC90" s="929"/>
      <c r="AD90" s="929"/>
      <c r="AE90" s="929"/>
      <c r="AF90" s="929"/>
      <c r="AG90" s="929"/>
      <c r="AH90" s="929"/>
      <c r="AI90" s="929"/>
      <c r="AJ90" s="929"/>
      <c r="AX90" s="333"/>
      <c r="AZ90" s="333"/>
    </row>
    <row r="91" spans="2:67" ht="28.5" customHeight="1">
      <c r="B91" s="928" t="s">
        <v>1204</v>
      </c>
      <c r="C91" s="928"/>
      <c r="D91" s="928"/>
      <c r="E91" s="928"/>
      <c r="F91" s="928"/>
      <c r="G91" s="928"/>
      <c r="H91" s="928"/>
      <c r="I91" s="928"/>
      <c r="J91" s="928"/>
      <c r="K91" s="928"/>
      <c r="L91" s="928"/>
      <c r="M91" s="928"/>
      <c r="N91" s="928"/>
      <c r="O91" s="928"/>
      <c r="P91" s="928"/>
      <c r="Q91" s="928"/>
      <c r="R91" s="928"/>
      <c r="S91" s="928"/>
      <c r="T91" s="925"/>
      <c r="U91" s="925"/>
      <c r="V91" s="925"/>
      <c r="W91" s="925"/>
      <c r="X91" s="925"/>
      <c r="Y91" s="335"/>
      <c r="Z91" s="335"/>
      <c r="AX91" s="333"/>
      <c r="AZ91" s="333"/>
    </row>
    <row r="92" spans="2:67" ht="22.5" customHeight="1">
      <c r="B92" s="331" t="s">
        <v>1205</v>
      </c>
      <c r="C92" s="278"/>
      <c r="D92" s="278"/>
      <c r="E92" s="278"/>
      <c r="F92" s="278"/>
      <c r="G92" s="278"/>
      <c r="H92" s="278"/>
      <c r="I92" s="278"/>
      <c r="J92" s="278"/>
      <c r="K92" s="278"/>
      <c r="L92" s="278"/>
      <c r="M92" s="278"/>
      <c r="N92" s="278"/>
      <c r="O92" s="278"/>
      <c r="P92" s="278"/>
      <c r="Q92" s="278"/>
      <c r="R92" s="278"/>
      <c r="S92" s="278"/>
      <c r="BO92" s="272">
        <v>96000</v>
      </c>
    </row>
    <row r="93" spans="2:67" ht="3" customHeight="1" thickBot="1">
      <c r="BO93" s="272">
        <v>104000</v>
      </c>
    </row>
    <row r="94" spans="2:67" ht="30" customHeight="1">
      <c r="B94" s="930" t="s">
        <v>1206</v>
      </c>
      <c r="C94" s="900"/>
      <c r="D94" s="900"/>
      <c r="E94" s="900"/>
      <c r="F94" s="900"/>
      <c r="G94" s="900"/>
      <c r="H94" s="900"/>
      <c r="I94" s="900"/>
      <c r="J94" s="900"/>
      <c r="K94" s="900"/>
      <c r="L94" s="900"/>
      <c r="M94" s="900"/>
      <c r="N94" s="900"/>
      <c r="O94" s="900"/>
      <c r="P94" s="900"/>
      <c r="Q94" s="900"/>
      <c r="R94" s="900"/>
      <c r="S94" s="931" t="s">
        <v>1207</v>
      </c>
      <c r="T94" s="931"/>
      <c r="U94" s="931"/>
      <c r="V94" s="931"/>
      <c r="W94" s="931"/>
      <c r="X94" s="931"/>
      <c r="Y94" s="931"/>
      <c r="Z94" s="931"/>
      <c r="AA94" s="931"/>
      <c r="AB94" s="931"/>
      <c r="AC94" s="931"/>
      <c r="AD94" s="931"/>
      <c r="AE94" s="931"/>
      <c r="AF94" s="931"/>
      <c r="AG94" s="931" t="s">
        <v>1208</v>
      </c>
      <c r="AH94" s="931"/>
      <c r="AI94" s="931"/>
      <c r="AJ94" s="931"/>
      <c r="AK94" s="931"/>
      <c r="AL94" s="931"/>
      <c r="AM94" s="931"/>
      <c r="AN94" s="931"/>
      <c r="AO94" s="931"/>
      <c r="AP94" s="931"/>
      <c r="AQ94" s="931"/>
      <c r="AR94" s="931"/>
      <c r="AS94" s="931"/>
      <c r="AT94" s="931" t="s">
        <v>1209</v>
      </c>
      <c r="AU94" s="900"/>
      <c r="AV94" s="900"/>
      <c r="AW94" s="900"/>
      <c r="AX94" s="900"/>
      <c r="AY94" s="900"/>
      <c r="AZ94" s="900"/>
      <c r="BA94" s="900"/>
      <c r="BB94" s="900"/>
      <c r="BC94" s="900"/>
      <c r="BD94" s="900"/>
      <c r="BE94" s="900"/>
      <c r="BF94" s="946"/>
      <c r="BO94" s="272">
        <v>105000</v>
      </c>
    </row>
    <row r="95" spans="2:67" ht="13.5">
      <c r="B95" s="938"/>
      <c r="C95" s="939"/>
      <c r="D95" s="939"/>
      <c r="E95" s="939"/>
      <c r="F95" s="939"/>
      <c r="G95" s="939"/>
      <c r="H95" s="939"/>
      <c r="I95" s="939"/>
      <c r="J95" s="939"/>
      <c r="K95" s="939"/>
      <c r="L95" s="939"/>
      <c r="M95" s="939"/>
      <c r="N95" s="939"/>
      <c r="O95" s="939"/>
      <c r="P95" s="939"/>
      <c r="Q95" s="939"/>
      <c r="R95" s="939"/>
      <c r="S95" s="947"/>
      <c r="T95" s="947"/>
      <c r="U95" s="947"/>
      <c r="V95" s="947"/>
      <c r="W95" s="947"/>
      <c r="X95" s="947"/>
      <c r="Y95" s="947"/>
      <c r="Z95" s="947"/>
      <c r="AA95" s="947"/>
      <c r="AB95" s="947"/>
      <c r="AC95" s="947"/>
      <c r="AD95" s="947"/>
      <c r="AE95" s="947"/>
      <c r="AF95" s="947"/>
      <c r="AG95" s="947"/>
      <c r="AH95" s="947"/>
      <c r="AI95" s="947"/>
      <c r="AJ95" s="947"/>
      <c r="AK95" s="947"/>
      <c r="AL95" s="947"/>
      <c r="AM95" s="947"/>
      <c r="AN95" s="947"/>
      <c r="AO95" s="947"/>
      <c r="AP95" s="947"/>
      <c r="AQ95" s="947"/>
      <c r="AR95" s="947"/>
      <c r="AS95" s="947"/>
      <c r="AT95" s="940"/>
      <c r="AU95" s="940"/>
      <c r="AV95" s="940"/>
      <c r="AW95" s="940"/>
      <c r="AX95" s="940"/>
      <c r="AY95" s="940"/>
      <c r="AZ95" s="940"/>
      <c r="BA95" s="940"/>
      <c r="BB95" s="940"/>
      <c r="BC95" s="940"/>
      <c r="BD95" s="940"/>
      <c r="BE95" s="940"/>
      <c r="BF95" s="941"/>
      <c r="BO95" s="272">
        <v>106000</v>
      </c>
    </row>
    <row r="96" spans="2:67" ht="13.5">
      <c r="B96" s="938"/>
      <c r="C96" s="939"/>
      <c r="D96" s="939"/>
      <c r="E96" s="939"/>
      <c r="F96" s="939"/>
      <c r="G96" s="939"/>
      <c r="H96" s="939"/>
      <c r="I96" s="939"/>
      <c r="J96" s="939"/>
      <c r="K96" s="939"/>
      <c r="L96" s="939"/>
      <c r="M96" s="939"/>
      <c r="N96" s="939"/>
      <c r="O96" s="939"/>
      <c r="P96" s="939"/>
      <c r="Q96" s="939"/>
      <c r="R96" s="939"/>
      <c r="S96" s="939"/>
      <c r="T96" s="939"/>
      <c r="U96" s="939"/>
      <c r="V96" s="939"/>
      <c r="W96" s="939"/>
      <c r="X96" s="939"/>
      <c r="Y96" s="939"/>
      <c r="Z96" s="939"/>
      <c r="AA96" s="939"/>
      <c r="AB96" s="939"/>
      <c r="AC96" s="939"/>
      <c r="AD96" s="939"/>
      <c r="AE96" s="939"/>
      <c r="AF96" s="939"/>
      <c r="AG96" s="939"/>
      <c r="AH96" s="939"/>
      <c r="AI96" s="939"/>
      <c r="AJ96" s="939"/>
      <c r="AK96" s="939"/>
      <c r="AL96" s="939"/>
      <c r="AM96" s="939"/>
      <c r="AN96" s="939"/>
      <c r="AO96" s="939"/>
      <c r="AP96" s="939"/>
      <c r="AQ96" s="939"/>
      <c r="AR96" s="939"/>
      <c r="AS96" s="939"/>
      <c r="AT96" s="940"/>
      <c r="AU96" s="940"/>
      <c r="AV96" s="940"/>
      <c r="AW96" s="940"/>
      <c r="AX96" s="940"/>
      <c r="AY96" s="940"/>
      <c r="AZ96" s="940"/>
      <c r="BA96" s="940"/>
      <c r="BB96" s="940"/>
      <c r="BC96" s="940"/>
      <c r="BD96" s="940"/>
      <c r="BE96" s="940"/>
      <c r="BF96" s="941"/>
      <c r="BO96" s="272">
        <v>107000</v>
      </c>
    </row>
    <row r="97" spans="2:67" ht="13.5">
      <c r="B97" s="938"/>
      <c r="C97" s="939"/>
      <c r="D97" s="939"/>
      <c r="E97" s="939"/>
      <c r="F97" s="939"/>
      <c r="G97" s="939"/>
      <c r="H97" s="939"/>
      <c r="I97" s="939"/>
      <c r="J97" s="939"/>
      <c r="K97" s="939"/>
      <c r="L97" s="939"/>
      <c r="M97" s="939"/>
      <c r="N97" s="939"/>
      <c r="O97" s="939"/>
      <c r="P97" s="939"/>
      <c r="Q97" s="939"/>
      <c r="R97" s="939"/>
      <c r="S97" s="939"/>
      <c r="T97" s="939"/>
      <c r="U97" s="939"/>
      <c r="V97" s="939"/>
      <c r="W97" s="939"/>
      <c r="X97" s="939"/>
      <c r="Y97" s="939"/>
      <c r="Z97" s="939"/>
      <c r="AA97" s="939"/>
      <c r="AB97" s="939"/>
      <c r="AC97" s="939"/>
      <c r="AD97" s="939"/>
      <c r="AE97" s="939"/>
      <c r="AF97" s="939"/>
      <c r="AG97" s="939"/>
      <c r="AH97" s="939"/>
      <c r="AI97" s="939"/>
      <c r="AJ97" s="939"/>
      <c r="AK97" s="939"/>
      <c r="AL97" s="939"/>
      <c r="AM97" s="939"/>
      <c r="AN97" s="939"/>
      <c r="AO97" s="939"/>
      <c r="AP97" s="939"/>
      <c r="AQ97" s="939"/>
      <c r="AR97" s="939"/>
      <c r="AS97" s="939"/>
      <c r="AT97" s="940"/>
      <c r="AU97" s="940"/>
      <c r="AV97" s="940"/>
      <c r="AW97" s="940"/>
      <c r="AX97" s="940"/>
      <c r="AY97" s="940"/>
      <c r="AZ97" s="940"/>
      <c r="BA97" s="940"/>
      <c r="BB97" s="940"/>
      <c r="BC97" s="940"/>
      <c r="BD97" s="940"/>
      <c r="BE97" s="940"/>
      <c r="BF97" s="941"/>
      <c r="BO97" s="272">
        <v>107000</v>
      </c>
    </row>
    <row r="98" spans="2:67" ht="14.25" thickBot="1">
      <c r="B98" s="942"/>
      <c r="C98" s="943"/>
      <c r="D98" s="943"/>
      <c r="E98" s="943"/>
      <c r="F98" s="943"/>
      <c r="G98" s="943"/>
      <c r="H98" s="943"/>
      <c r="I98" s="943"/>
      <c r="J98" s="943"/>
      <c r="K98" s="943"/>
      <c r="L98" s="943"/>
      <c r="M98" s="943"/>
      <c r="N98" s="943"/>
      <c r="O98" s="943"/>
      <c r="P98" s="943"/>
      <c r="Q98" s="943"/>
      <c r="R98" s="943"/>
      <c r="S98" s="943"/>
      <c r="T98" s="943"/>
      <c r="U98" s="943"/>
      <c r="V98" s="943"/>
      <c r="W98" s="943"/>
      <c r="X98" s="943"/>
      <c r="Y98" s="943"/>
      <c r="Z98" s="943"/>
      <c r="AA98" s="943"/>
      <c r="AB98" s="943"/>
      <c r="AC98" s="943"/>
      <c r="AD98" s="943"/>
      <c r="AE98" s="943"/>
      <c r="AF98" s="943"/>
      <c r="AG98" s="943"/>
      <c r="AH98" s="943"/>
      <c r="AI98" s="943"/>
      <c r="AJ98" s="943"/>
      <c r="AK98" s="943"/>
      <c r="AL98" s="943"/>
      <c r="AM98" s="943"/>
      <c r="AN98" s="943"/>
      <c r="AO98" s="943"/>
      <c r="AP98" s="943"/>
      <c r="AQ98" s="943"/>
      <c r="AR98" s="943"/>
      <c r="AS98" s="943"/>
      <c r="AT98" s="944"/>
      <c r="AU98" s="944"/>
      <c r="AV98" s="944"/>
      <c r="AW98" s="944"/>
      <c r="AX98" s="944"/>
      <c r="AY98" s="944"/>
      <c r="AZ98" s="944"/>
      <c r="BA98" s="944"/>
      <c r="BB98" s="944"/>
      <c r="BC98" s="944"/>
      <c r="BD98" s="944"/>
      <c r="BE98" s="944"/>
      <c r="BF98" s="945"/>
      <c r="BO98" s="272">
        <v>108000</v>
      </c>
    </row>
    <row r="99" spans="2:67" ht="8.25" customHeight="1">
      <c r="B99" s="332"/>
      <c r="AT99" s="336"/>
      <c r="AU99" s="336"/>
      <c r="AV99" s="336"/>
      <c r="AW99" s="336"/>
      <c r="AX99" s="336"/>
      <c r="AY99" s="336"/>
      <c r="AZ99" s="336"/>
      <c r="BA99" s="336"/>
      <c r="BB99" s="336"/>
      <c r="BC99" s="336"/>
      <c r="BD99" s="336"/>
      <c r="BE99" s="336"/>
      <c r="BF99" s="336"/>
      <c r="BO99" s="272">
        <v>109000</v>
      </c>
    </row>
    <row r="100" spans="2:67" ht="16.5">
      <c r="B100" s="331" t="s">
        <v>1210</v>
      </c>
      <c r="C100" s="278"/>
      <c r="D100" s="278"/>
      <c r="E100" s="278"/>
      <c r="F100" s="278"/>
      <c r="G100" s="278"/>
      <c r="H100" s="278"/>
      <c r="I100" s="278"/>
      <c r="J100" s="278"/>
      <c r="K100" s="278"/>
      <c r="L100" s="278"/>
      <c r="M100" s="278"/>
      <c r="N100" s="278"/>
      <c r="O100" s="278"/>
      <c r="P100" s="278"/>
      <c r="Q100" s="278"/>
      <c r="R100" s="278"/>
      <c r="S100" s="278"/>
      <c r="BO100" s="272">
        <v>96000</v>
      </c>
    </row>
    <row r="101" spans="2:67" ht="3" customHeight="1" thickBot="1">
      <c r="AU101" s="297"/>
      <c r="AV101" s="297"/>
      <c r="AW101" s="297"/>
      <c r="AX101" s="297"/>
      <c r="AY101" s="297"/>
      <c r="AZ101" s="297"/>
      <c r="BA101" s="297"/>
      <c r="BB101" s="297"/>
      <c r="BC101" s="297"/>
      <c r="BD101" s="297"/>
      <c r="BE101" s="297"/>
      <c r="BF101" s="297"/>
      <c r="BO101" s="272">
        <v>110000</v>
      </c>
    </row>
    <row r="102" spans="2:67" ht="28.5" customHeight="1">
      <c r="B102" s="956"/>
      <c r="C102" s="957"/>
      <c r="D102" s="957"/>
      <c r="E102" s="957"/>
      <c r="F102" s="957"/>
      <c r="G102" s="957"/>
      <c r="H102" s="957"/>
      <c r="I102" s="957"/>
      <c r="J102" s="957"/>
      <c r="K102" s="957"/>
      <c r="L102" s="957"/>
      <c r="M102" s="957"/>
      <c r="N102" s="931" t="s">
        <v>1222</v>
      </c>
      <c r="O102" s="931"/>
      <c r="P102" s="931"/>
      <c r="Q102" s="931"/>
      <c r="R102" s="931"/>
      <c r="S102" s="931"/>
      <c r="T102" s="900" t="s">
        <v>1211</v>
      </c>
      <c r="U102" s="900"/>
      <c r="V102" s="900"/>
      <c r="W102" s="900"/>
      <c r="X102" s="900"/>
      <c r="Y102" s="900"/>
      <c r="Z102" s="958" t="s">
        <v>1212</v>
      </c>
      <c r="AA102" s="958"/>
      <c r="AB102" s="958"/>
      <c r="AC102" s="958"/>
      <c r="AD102" s="958"/>
      <c r="AE102" s="958"/>
      <c r="AF102" s="958"/>
      <c r="AG102" s="900" t="s">
        <v>1213</v>
      </c>
      <c r="AH102" s="900"/>
      <c r="AI102" s="900"/>
      <c r="AJ102" s="900"/>
      <c r="AK102" s="900"/>
      <c r="AL102" s="900"/>
      <c r="AM102" s="900"/>
      <c r="AN102" s="931" t="s">
        <v>1214</v>
      </c>
      <c r="AO102" s="900"/>
      <c r="AP102" s="900"/>
      <c r="AQ102" s="900"/>
      <c r="AR102" s="900"/>
      <c r="AS102" s="900"/>
      <c r="AT102" s="900"/>
      <c r="AU102" s="900"/>
      <c r="AV102" s="900"/>
      <c r="AW102" s="900"/>
      <c r="AX102" s="948" t="s">
        <v>1215</v>
      </c>
      <c r="AY102" s="948"/>
      <c r="AZ102" s="948"/>
      <c r="BA102" s="948"/>
      <c r="BB102" s="948"/>
      <c r="BC102" s="948"/>
      <c r="BD102" s="948"/>
      <c r="BE102" s="948"/>
      <c r="BF102" s="949"/>
    </row>
    <row r="103" spans="2:67" ht="15" customHeight="1">
      <c r="B103" s="950" t="s">
        <v>775</v>
      </c>
      <c r="C103" s="951"/>
      <c r="D103" s="951"/>
      <c r="E103" s="951"/>
      <c r="F103" s="951"/>
      <c r="G103" s="951"/>
      <c r="H103" s="951"/>
      <c r="I103" s="951"/>
      <c r="J103" s="951"/>
      <c r="K103" s="951"/>
      <c r="L103" s="951"/>
      <c r="M103" s="951"/>
      <c r="N103" s="947"/>
      <c r="O103" s="947"/>
      <c r="P103" s="947"/>
      <c r="Q103" s="947"/>
      <c r="R103" s="947"/>
      <c r="S103" s="947"/>
      <c r="T103" s="939"/>
      <c r="U103" s="939"/>
      <c r="V103" s="939"/>
      <c r="W103" s="939"/>
      <c r="X103" s="939"/>
      <c r="Y103" s="939"/>
      <c r="Z103" s="952"/>
      <c r="AA103" s="952"/>
      <c r="AB103" s="952"/>
      <c r="AC103" s="952"/>
      <c r="AD103" s="952"/>
      <c r="AE103" s="952"/>
      <c r="AF103" s="952"/>
      <c r="AG103" s="953"/>
      <c r="AH103" s="954"/>
      <c r="AI103" s="954"/>
      <c r="AJ103" s="954"/>
      <c r="AK103" s="954"/>
      <c r="AL103" s="954"/>
      <c r="AM103" s="954"/>
      <c r="AN103" s="955"/>
      <c r="AO103" s="955"/>
      <c r="AP103" s="955"/>
      <c r="AQ103" s="955"/>
      <c r="AR103" s="955"/>
      <c r="AS103" s="955"/>
      <c r="AT103" s="955"/>
      <c r="AU103" s="955"/>
      <c r="AV103" s="955"/>
      <c r="AW103" s="955"/>
      <c r="AX103" s="940"/>
      <c r="AY103" s="940"/>
      <c r="AZ103" s="940"/>
      <c r="BA103" s="940"/>
      <c r="BB103" s="940"/>
      <c r="BC103" s="940"/>
      <c r="BD103" s="940"/>
      <c r="BE103" s="940"/>
      <c r="BF103" s="941"/>
    </row>
    <row r="104" spans="2:67" ht="14.25">
      <c r="B104" s="961" t="str">
        <f>+'MEM. DESC. II'!B39</f>
        <v>Departamento N°</v>
      </c>
      <c r="C104" s="962"/>
      <c r="D104" s="962"/>
      <c r="E104" s="962"/>
      <c r="F104" s="962"/>
      <c r="G104" s="962"/>
      <c r="H104" s="962"/>
      <c r="I104" s="962"/>
      <c r="J104" s="962"/>
      <c r="K104" s="962"/>
      <c r="L104" s="962"/>
      <c r="M104" s="962"/>
      <c r="N104" s="955" t="s">
        <v>1091</v>
      </c>
      <c r="O104" s="955"/>
      <c r="P104" s="955"/>
      <c r="Q104" s="955"/>
      <c r="R104" s="955"/>
      <c r="S104" s="955"/>
      <c r="T104" s="963"/>
      <c r="U104" s="963"/>
      <c r="V104" s="963"/>
      <c r="W104" s="963"/>
      <c r="X104" s="963"/>
      <c r="Y104" s="963"/>
      <c r="Z104" s="964"/>
      <c r="AA104" s="964"/>
      <c r="AB104" s="964"/>
      <c r="AC104" s="964"/>
      <c r="AD104" s="964"/>
      <c r="AE104" s="964"/>
      <c r="AF104" s="964"/>
      <c r="AG104" s="965">
        <f>(T104-Z104)</f>
        <v>0</v>
      </c>
      <c r="AH104" s="966"/>
      <c r="AI104" s="966"/>
      <c r="AJ104" s="966"/>
      <c r="AK104" s="966"/>
      <c r="AL104" s="966"/>
      <c r="AM104" s="966"/>
      <c r="AN104" s="869">
        <f>+'[9]MEMORIA Y VAL'!AO135</f>
        <v>0</v>
      </c>
      <c r="AO104" s="869"/>
      <c r="AP104" s="869"/>
      <c r="AQ104" s="869"/>
      <c r="AR104" s="869"/>
      <c r="AS104" s="869"/>
      <c r="AT104" s="869"/>
      <c r="AU104" s="869"/>
      <c r="AV104" s="869"/>
      <c r="AW104" s="869"/>
      <c r="AX104" s="959"/>
      <c r="AY104" s="959"/>
      <c r="AZ104" s="959"/>
      <c r="BA104" s="959"/>
      <c r="BB104" s="959"/>
      <c r="BC104" s="959"/>
      <c r="BD104" s="959"/>
      <c r="BE104" s="959"/>
      <c r="BF104" s="960"/>
    </row>
    <row r="105" spans="2:67" ht="14.25">
      <c r="B105" s="961" t="str">
        <f>+'MEM. DESC. II'!B40</f>
        <v>Estacionamiento N°</v>
      </c>
      <c r="C105" s="962"/>
      <c r="D105" s="962"/>
      <c r="E105" s="962"/>
      <c r="F105" s="962"/>
      <c r="G105" s="962"/>
      <c r="H105" s="962"/>
      <c r="I105" s="962"/>
      <c r="J105" s="962"/>
      <c r="K105" s="962"/>
      <c r="L105" s="962"/>
      <c r="M105" s="962"/>
      <c r="N105" s="955" t="s">
        <v>1091</v>
      </c>
      <c r="O105" s="955"/>
      <c r="P105" s="955"/>
      <c r="Q105" s="955"/>
      <c r="R105" s="955"/>
      <c r="S105" s="955"/>
      <c r="T105" s="963"/>
      <c r="U105" s="963"/>
      <c r="V105" s="963"/>
      <c r="W105" s="963"/>
      <c r="X105" s="963"/>
      <c r="Y105" s="963"/>
      <c r="Z105" s="964"/>
      <c r="AA105" s="964"/>
      <c r="AB105" s="964"/>
      <c r="AC105" s="964"/>
      <c r="AD105" s="964"/>
      <c r="AE105" s="964"/>
      <c r="AF105" s="964"/>
      <c r="AG105" s="965">
        <f>(T105-Z105)</f>
        <v>0</v>
      </c>
      <c r="AH105" s="966"/>
      <c r="AI105" s="966"/>
      <c r="AJ105" s="966"/>
      <c r="AK105" s="966"/>
      <c r="AL105" s="966"/>
      <c r="AM105" s="966"/>
      <c r="AN105" s="869">
        <f>+'[9]MEMORIA Y VAL'!AO136</f>
        <v>0</v>
      </c>
      <c r="AO105" s="869"/>
      <c r="AP105" s="869"/>
      <c r="AQ105" s="869"/>
      <c r="AR105" s="869"/>
      <c r="AS105" s="869"/>
      <c r="AT105" s="869"/>
      <c r="AU105" s="869"/>
      <c r="AV105" s="869"/>
      <c r="AW105" s="869"/>
      <c r="AX105" s="959"/>
      <c r="AY105" s="959"/>
      <c r="AZ105" s="959"/>
      <c r="BA105" s="959"/>
      <c r="BB105" s="959"/>
      <c r="BC105" s="959"/>
      <c r="BD105" s="959"/>
      <c r="BE105" s="959"/>
      <c r="BF105" s="960"/>
    </row>
    <row r="106" spans="2:67" ht="14.25">
      <c r="B106" s="961" t="str">
        <f>+'MEM. DESC. II'!B41</f>
        <v>Depósito N°</v>
      </c>
      <c r="C106" s="962"/>
      <c r="D106" s="962"/>
      <c r="E106" s="962"/>
      <c r="F106" s="962"/>
      <c r="G106" s="962"/>
      <c r="H106" s="962"/>
      <c r="I106" s="962"/>
      <c r="J106" s="962"/>
      <c r="K106" s="962"/>
      <c r="L106" s="962"/>
      <c r="M106" s="962"/>
      <c r="N106" s="955" t="s">
        <v>1091</v>
      </c>
      <c r="O106" s="955"/>
      <c r="P106" s="955"/>
      <c r="Q106" s="955"/>
      <c r="R106" s="955"/>
      <c r="S106" s="955"/>
      <c r="T106" s="963"/>
      <c r="U106" s="963"/>
      <c r="V106" s="963"/>
      <c r="W106" s="963"/>
      <c r="X106" s="963"/>
      <c r="Y106" s="963"/>
      <c r="Z106" s="964"/>
      <c r="AA106" s="964"/>
      <c r="AB106" s="964"/>
      <c r="AC106" s="964"/>
      <c r="AD106" s="964"/>
      <c r="AE106" s="964"/>
      <c r="AF106" s="964"/>
      <c r="AG106" s="965">
        <f>(T106-Z106)</f>
        <v>0</v>
      </c>
      <c r="AH106" s="966"/>
      <c r="AI106" s="966"/>
      <c r="AJ106" s="966"/>
      <c r="AK106" s="966"/>
      <c r="AL106" s="966"/>
      <c r="AM106" s="966"/>
      <c r="AN106" s="869">
        <f>+'[9]MEMORIA Y VAL'!AO137</f>
        <v>0</v>
      </c>
      <c r="AO106" s="869"/>
      <c r="AP106" s="869"/>
      <c r="AQ106" s="869"/>
      <c r="AR106" s="869"/>
      <c r="AS106" s="869"/>
      <c r="AT106" s="869"/>
      <c r="AU106" s="869"/>
      <c r="AV106" s="869"/>
      <c r="AW106" s="869"/>
      <c r="AX106" s="959"/>
      <c r="AY106" s="959"/>
      <c r="AZ106" s="959"/>
      <c r="BA106" s="959"/>
      <c r="BB106" s="959"/>
      <c r="BC106" s="959"/>
      <c r="BD106" s="959"/>
      <c r="BE106" s="959"/>
      <c r="BF106" s="960"/>
    </row>
    <row r="107" spans="2:67" ht="15" customHeight="1">
      <c r="B107" s="950" t="s">
        <v>776</v>
      </c>
      <c r="C107" s="951"/>
      <c r="D107" s="951"/>
      <c r="E107" s="951"/>
      <c r="F107" s="951"/>
      <c r="G107" s="951"/>
      <c r="H107" s="951"/>
      <c r="I107" s="951"/>
      <c r="J107" s="951"/>
      <c r="K107" s="951"/>
      <c r="L107" s="951"/>
      <c r="M107" s="951"/>
      <c r="N107" s="955"/>
      <c r="O107" s="955"/>
      <c r="P107" s="955"/>
      <c r="Q107" s="955"/>
      <c r="R107" s="955"/>
      <c r="S107" s="955"/>
      <c r="T107" s="939"/>
      <c r="U107" s="939"/>
      <c r="V107" s="939"/>
      <c r="W107" s="939"/>
      <c r="X107" s="939"/>
      <c r="Y107" s="939"/>
      <c r="Z107" s="952"/>
      <c r="AA107" s="952"/>
      <c r="AB107" s="952"/>
      <c r="AC107" s="952"/>
      <c r="AD107" s="952"/>
      <c r="AE107" s="952"/>
      <c r="AF107" s="952"/>
      <c r="AG107" s="953"/>
      <c r="AH107" s="954"/>
      <c r="AI107" s="954"/>
      <c r="AJ107" s="954"/>
      <c r="AK107" s="954"/>
      <c r="AL107" s="954"/>
      <c r="AM107" s="954"/>
      <c r="AN107" s="955"/>
      <c r="AO107" s="955"/>
      <c r="AP107" s="955"/>
      <c r="AQ107" s="955"/>
      <c r="AR107" s="955"/>
      <c r="AS107" s="955"/>
      <c r="AT107" s="955"/>
      <c r="AU107" s="955"/>
      <c r="AV107" s="955"/>
      <c r="AW107" s="955"/>
      <c r="AX107" s="940"/>
      <c r="AY107" s="940"/>
      <c r="AZ107" s="940"/>
      <c r="BA107" s="940"/>
      <c r="BB107" s="940"/>
      <c r="BC107" s="940"/>
      <c r="BD107" s="940"/>
      <c r="BE107" s="940"/>
      <c r="BF107" s="941"/>
    </row>
    <row r="108" spans="2:67" ht="14.25">
      <c r="B108" s="961" t="str">
        <f>+B104</f>
        <v>Departamento N°</v>
      </c>
      <c r="C108" s="962"/>
      <c r="D108" s="962"/>
      <c r="E108" s="962"/>
      <c r="F108" s="962"/>
      <c r="G108" s="962"/>
      <c r="H108" s="962"/>
      <c r="I108" s="962"/>
      <c r="J108" s="962"/>
      <c r="K108" s="962"/>
      <c r="L108" s="962"/>
      <c r="M108" s="962"/>
      <c r="N108" s="955" t="s">
        <v>1091</v>
      </c>
      <c r="O108" s="955"/>
      <c r="P108" s="955"/>
      <c r="Q108" s="955"/>
      <c r="R108" s="955"/>
      <c r="S108" s="955"/>
      <c r="T108" s="963"/>
      <c r="U108" s="963"/>
      <c r="V108" s="963"/>
      <c r="W108" s="963"/>
      <c r="X108" s="963"/>
      <c r="Y108" s="963"/>
      <c r="Z108" s="964"/>
      <c r="AA108" s="964"/>
      <c r="AB108" s="964"/>
      <c r="AC108" s="964"/>
      <c r="AD108" s="964"/>
      <c r="AE108" s="964"/>
      <c r="AF108" s="964"/>
      <c r="AG108" s="965">
        <f>(T108-Z108)</f>
        <v>0</v>
      </c>
      <c r="AH108" s="966"/>
      <c r="AI108" s="966"/>
      <c r="AJ108" s="966"/>
      <c r="AK108" s="966"/>
      <c r="AL108" s="966"/>
      <c r="AM108" s="966"/>
      <c r="AN108" s="869">
        <f>+'[9]MEMORIA Y VAL'!AO139</f>
        <v>0</v>
      </c>
      <c r="AO108" s="869"/>
      <c r="AP108" s="869"/>
      <c r="AQ108" s="869"/>
      <c r="AR108" s="869"/>
      <c r="AS108" s="869"/>
      <c r="AT108" s="869"/>
      <c r="AU108" s="869"/>
      <c r="AV108" s="869"/>
      <c r="AW108" s="869"/>
      <c r="AX108" s="959"/>
      <c r="AY108" s="959"/>
      <c r="AZ108" s="959"/>
      <c r="BA108" s="959"/>
      <c r="BB108" s="959"/>
      <c r="BC108" s="959"/>
      <c r="BD108" s="959"/>
      <c r="BE108" s="959"/>
      <c r="BF108" s="960"/>
    </row>
    <row r="109" spans="2:67" ht="14.25">
      <c r="B109" s="961" t="str">
        <f t="shared" ref="B109:B110" si="0">+B105</f>
        <v>Estacionamiento N°</v>
      </c>
      <c r="C109" s="962"/>
      <c r="D109" s="962"/>
      <c r="E109" s="962"/>
      <c r="F109" s="962"/>
      <c r="G109" s="962"/>
      <c r="H109" s="962"/>
      <c r="I109" s="962"/>
      <c r="J109" s="962"/>
      <c r="K109" s="962"/>
      <c r="L109" s="962"/>
      <c r="M109" s="962"/>
      <c r="N109" s="955" t="s">
        <v>1091</v>
      </c>
      <c r="O109" s="955"/>
      <c r="P109" s="955"/>
      <c r="Q109" s="955"/>
      <c r="R109" s="955"/>
      <c r="S109" s="955"/>
      <c r="T109" s="963"/>
      <c r="U109" s="963"/>
      <c r="V109" s="963"/>
      <c r="W109" s="963"/>
      <c r="X109" s="963"/>
      <c r="Y109" s="963"/>
      <c r="Z109" s="964"/>
      <c r="AA109" s="964"/>
      <c r="AB109" s="964"/>
      <c r="AC109" s="964"/>
      <c r="AD109" s="964"/>
      <c r="AE109" s="964"/>
      <c r="AF109" s="964"/>
      <c r="AG109" s="965">
        <f>(T109-Z109)</f>
        <v>0</v>
      </c>
      <c r="AH109" s="966"/>
      <c r="AI109" s="966"/>
      <c r="AJ109" s="966"/>
      <c r="AK109" s="966"/>
      <c r="AL109" s="966"/>
      <c r="AM109" s="966"/>
      <c r="AN109" s="869">
        <f>+'[9]MEMORIA Y VAL'!AO140</f>
        <v>0</v>
      </c>
      <c r="AO109" s="869"/>
      <c r="AP109" s="869"/>
      <c r="AQ109" s="869"/>
      <c r="AR109" s="869"/>
      <c r="AS109" s="869"/>
      <c r="AT109" s="869"/>
      <c r="AU109" s="869"/>
      <c r="AV109" s="869"/>
      <c r="AW109" s="869"/>
      <c r="AX109" s="959"/>
      <c r="AY109" s="959"/>
      <c r="AZ109" s="959"/>
      <c r="BA109" s="959"/>
      <c r="BB109" s="959"/>
      <c r="BC109" s="959"/>
      <c r="BD109" s="959"/>
      <c r="BE109" s="959"/>
      <c r="BF109" s="960"/>
    </row>
    <row r="110" spans="2:67" ht="14.25">
      <c r="B110" s="961" t="str">
        <f t="shared" si="0"/>
        <v>Depósito N°</v>
      </c>
      <c r="C110" s="962"/>
      <c r="D110" s="962"/>
      <c r="E110" s="962"/>
      <c r="F110" s="962"/>
      <c r="G110" s="962"/>
      <c r="H110" s="962"/>
      <c r="I110" s="962"/>
      <c r="J110" s="962"/>
      <c r="K110" s="962"/>
      <c r="L110" s="962"/>
      <c r="M110" s="962"/>
      <c r="N110" s="955" t="s">
        <v>1091</v>
      </c>
      <c r="O110" s="955"/>
      <c r="P110" s="955"/>
      <c r="Q110" s="955"/>
      <c r="R110" s="955"/>
      <c r="S110" s="955"/>
      <c r="T110" s="963"/>
      <c r="U110" s="963"/>
      <c r="V110" s="963"/>
      <c r="W110" s="963"/>
      <c r="X110" s="963"/>
      <c r="Y110" s="963"/>
      <c r="Z110" s="964"/>
      <c r="AA110" s="964"/>
      <c r="AB110" s="964"/>
      <c r="AC110" s="964"/>
      <c r="AD110" s="964"/>
      <c r="AE110" s="964"/>
      <c r="AF110" s="964"/>
      <c r="AG110" s="965">
        <f>(T110-Z110)</f>
        <v>0</v>
      </c>
      <c r="AH110" s="966"/>
      <c r="AI110" s="966"/>
      <c r="AJ110" s="966"/>
      <c r="AK110" s="966"/>
      <c r="AL110" s="966"/>
      <c r="AM110" s="966"/>
      <c r="AN110" s="869">
        <f>+'[9]MEMORIA Y VAL'!AO141</f>
        <v>0</v>
      </c>
      <c r="AO110" s="869"/>
      <c r="AP110" s="869"/>
      <c r="AQ110" s="869"/>
      <c r="AR110" s="869"/>
      <c r="AS110" s="869"/>
      <c r="AT110" s="869"/>
      <c r="AU110" s="869"/>
      <c r="AV110" s="869"/>
      <c r="AW110" s="869"/>
      <c r="AX110" s="959"/>
      <c r="AY110" s="959"/>
      <c r="AZ110" s="959"/>
      <c r="BA110" s="959"/>
      <c r="BB110" s="959"/>
      <c r="BC110" s="959"/>
      <c r="BD110" s="959"/>
      <c r="BE110" s="959"/>
      <c r="BF110" s="960"/>
    </row>
    <row r="111" spans="2:67" ht="15" customHeight="1">
      <c r="B111" s="950" t="s">
        <v>57</v>
      </c>
      <c r="C111" s="951"/>
      <c r="D111" s="951"/>
      <c r="E111" s="951"/>
      <c r="F111" s="951"/>
      <c r="G111" s="951"/>
      <c r="H111" s="951"/>
      <c r="I111" s="951"/>
      <c r="J111" s="951"/>
      <c r="K111" s="951"/>
      <c r="L111" s="951"/>
      <c r="M111" s="951"/>
      <c r="N111" s="955"/>
      <c r="O111" s="955"/>
      <c r="P111" s="955"/>
      <c r="Q111" s="955"/>
      <c r="R111" s="955"/>
      <c r="S111" s="955"/>
      <c r="T111" s="939"/>
      <c r="U111" s="939"/>
      <c r="V111" s="939"/>
      <c r="W111" s="939"/>
      <c r="X111" s="939"/>
      <c r="Y111" s="939"/>
      <c r="Z111" s="952"/>
      <c r="AA111" s="952"/>
      <c r="AB111" s="952"/>
      <c r="AC111" s="952"/>
      <c r="AD111" s="952"/>
      <c r="AE111" s="952"/>
      <c r="AF111" s="952"/>
      <c r="AG111" s="953"/>
      <c r="AH111" s="954"/>
      <c r="AI111" s="954"/>
      <c r="AJ111" s="954"/>
      <c r="AK111" s="954"/>
      <c r="AL111" s="954"/>
      <c r="AM111" s="954"/>
      <c r="AN111" s="955"/>
      <c r="AO111" s="955"/>
      <c r="AP111" s="955"/>
      <c r="AQ111" s="955"/>
      <c r="AR111" s="955"/>
      <c r="AS111" s="955"/>
      <c r="AT111" s="955"/>
      <c r="AU111" s="955"/>
      <c r="AV111" s="955"/>
      <c r="AW111" s="955"/>
      <c r="AX111" s="940"/>
      <c r="AY111" s="940"/>
      <c r="AZ111" s="940"/>
      <c r="BA111" s="940"/>
      <c r="BB111" s="940"/>
      <c r="BC111" s="940"/>
      <c r="BD111" s="940"/>
      <c r="BE111" s="940"/>
      <c r="BF111" s="941"/>
    </row>
    <row r="112" spans="2:67" ht="14.25">
      <c r="B112" s="961" t="str">
        <f>+B104</f>
        <v>Departamento N°</v>
      </c>
      <c r="C112" s="962"/>
      <c r="D112" s="962"/>
      <c r="E112" s="962"/>
      <c r="F112" s="962"/>
      <c r="G112" s="962"/>
      <c r="H112" s="962"/>
      <c r="I112" s="962"/>
      <c r="J112" s="962"/>
      <c r="K112" s="962"/>
      <c r="L112" s="962"/>
      <c r="M112" s="962"/>
      <c r="N112" s="955" t="s">
        <v>1091</v>
      </c>
      <c r="O112" s="955"/>
      <c r="P112" s="955"/>
      <c r="Q112" s="955"/>
      <c r="R112" s="955"/>
      <c r="S112" s="955"/>
      <c r="T112" s="963"/>
      <c r="U112" s="963"/>
      <c r="V112" s="963"/>
      <c r="W112" s="963"/>
      <c r="X112" s="963"/>
      <c r="Y112" s="963"/>
      <c r="Z112" s="964"/>
      <c r="AA112" s="964"/>
      <c r="AB112" s="964"/>
      <c r="AC112" s="964"/>
      <c r="AD112" s="964"/>
      <c r="AE112" s="964"/>
      <c r="AF112" s="964"/>
      <c r="AG112" s="965">
        <f>(T112-Z112)</f>
        <v>0</v>
      </c>
      <c r="AH112" s="966"/>
      <c r="AI112" s="966"/>
      <c r="AJ112" s="966"/>
      <c r="AK112" s="966"/>
      <c r="AL112" s="966"/>
      <c r="AM112" s="966"/>
      <c r="AN112" s="869">
        <f>+'[9]MEMORIA Y VAL'!AO143</f>
        <v>0</v>
      </c>
      <c r="AO112" s="869"/>
      <c r="AP112" s="869"/>
      <c r="AQ112" s="869"/>
      <c r="AR112" s="869"/>
      <c r="AS112" s="869"/>
      <c r="AT112" s="869"/>
      <c r="AU112" s="869"/>
      <c r="AV112" s="869"/>
      <c r="AW112" s="869"/>
      <c r="AX112" s="959"/>
      <c r="AY112" s="959"/>
      <c r="AZ112" s="959"/>
      <c r="BA112" s="959"/>
      <c r="BB112" s="959"/>
      <c r="BC112" s="959"/>
      <c r="BD112" s="959"/>
      <c r="BE112" s="959"/>
      <c r="BF112" s="960"/>
    </row>
    <row r="113" spans="2:58" ht="14.25">
      <c r="B113" s="961" t="str">
        <f t="shared" ref="B113:B114" si="1">+B105</f>
        <v>Estacionamiento N°</v>
      </c>
      <c r="C113" s="962"/>
      <c r="D113" s="962"/>
      <c r="E113" s="962"/>
      <c r="F113" s="962"/>
      <c r="G113" s="962"/>
      <c r="H113" s="962"/>
      <c r="I113" s="962"/>
      <c r="J113" s="962"/>
      <c r="K113" s="962"/>
      <c r="L113" s="962"/>
      <c r="M113" s="962"/>
      <c r="N113" s="955" t="s">
        <v>1091</v>
      </c>
      <c r="O113" s="955"/>
      <c r="P113" s="955"/>
      <c r="Q113" s="955"/>
      <c r="R113" s="955"/>
      <c r="S113" s="955"/>
      <c r="T113" s="963"/>
      <c r="U113" s="963"/>
      <c r="V113" s="963"/>
      <c r="W113" s="963"/>
      <c r="X113" s="963"/>
      <c r="Y113" s="963"/>
      <c r="Z113" s="964"/>
      <c r="AA113" s="964"/>
      <c r="AB113" s="964"/>
      <c r="AC113" s="964"/>
      <c r="AD113" s="964"/>
      <c r="AE113" s="964"/>
      <c r="AF113" s="964"/>
      <c r="AG113" s="965">
        <f>(T113-Z113)</f>
        <v>0</v>
      </c>
      <c r="AH113" s="966"/>
      <c r="AI113" s="966"/>
      <c r="AJ113" s="966"/>
      <c r="AK113" s="966"/>
      <c r="AL113" s="966"/>
      <c r="AM113" s="966"/>
      <c r="AN113" s="869">
        <f>+'[9]MEMORIA Y VAL'!AO144</f>
        <v>0</v>
      </c>
      <c r="AO113" s="869"/>
      <c r="AP113" s="869"/>
      <c r="AQ113" s="869"/>
      <c r="AR113" s="869"/>
      <c r="AS113" s="869"/>
      <c r="AT113" s="869"/>
      <c r="AU113" s="869"/>
      <c r="AV113" s="869"/>
      <c r="AW113" s="869"/>
      <c r="AX113" s="959"/>
      <c r="AY113" s="959"/>
      <c r="AZ113" s="959"/>
      <c r="BA113" s="959"/>
      <c r="BB113" s="959"/>
      <c r="BC113" s="959"/>
      <c r="BD113" s="959"/>
      <c r="BE113" s="959"/>
      <c r="BF113" s="960"/>
    </row>
    <row r="114" spans="2:58" ht="14.25">
      <c r="B114" s="961" t="str">
        <f t="shared" si="1"/>
        <v>Depósito N°</v>
      </c>
      <c r="C114" s="962"/>
      <c r="D114" s="962"/>
      <c r="E114" s="962"/>
      <c r="F114" s="962"/>
      <c r="G114" s="962"/>
      <c r="H114" s="962"/>
      <c r="I114" s="962"/>
      <c r="J114" s="962"/>
      <c r="K114" s="962"/>
      <c r="L114" s="962"/>
      <c r="M114" s="962"/>
      <c r="N114" s="955" t="s">
        <v>1091</v>
      </c>
      <c r="O114" s="955"/>
      <c r="P114" s="955"/>
      <c r="Q114" s="955"/>
      <c r="R114" s="955"/>
      <c r="S114" s="955"/>
      <c r="T114" s="963"/>
      <c r="U114" s="963"/>
      <c r="V114" s="963"/>
      <c r="W114" s="963"/>
      <c r="X114" s="963"/>
      <c r="Y114" s="963"/>
      <c r="Z114" s="964"/>
      <c r="AA114" s="964"/>
      <c r="AB114" s="964"/>
      <c r="AC114" s="964"/>
      <c r="AD114" s="964"/>
      <c r="AE114" s="964"/>
      <c r="AF114" s="964"/>
      <c r="AG114" s="965">
        <f>(T114-Z114)</f>
        <v>0</v>
      </c>
      <c r="AH114" s="966"/>
      <c r="AI114" s="966"/>
      <c r="AJ114" s="966"/>
      <c r="AK114" s="966"/>
      <c r="AL114" s="966"/>
      <c r="AM114" s="966"/>
      <c r="AN114" s="869">
        <f>+'[9]MEMORIA Y VAL'!AO145</f>
        <v>0</v>
      </c>
      <c r="AO114" s="869"/>
      <c r="AP114" s="869"/>
      <c r="AQ114" s="869"/>
      <c r="AR114" s="869"/>
      <c r="AS114" s="869"/>
      <c r="AT114" s="869"/>
      <c r="AU114" s="869"/>
      <c r="AV114" s="869"/>
      <c r="AW114" s="869"/>
      <c r="AX114" s="959"/>
      <c r="AY114" s="959"/>
      <c r="AZ114" s="959"/>
      <c r="BA114" s="959"/>
      <c r="BB114" s="959"/>
      <c r="BC114" s="959"/>
      <c r="BD114" s="959"/>
      <c r="BE114" s="959"/>
      <c r="BF114" s="960"/>
    </row>
    <row r="115" spans="2:58" ht="15" customHeight="1" thickBot="1">
      <c r="B115" s="974" t="s">
        <v>998</v>
      </c>
      <c r="C115" s="975"/>
      <c r="D115" s="975"/>
      <c r="E115" s="975"/>
      <c r="F115" s="975"/>
      <c r="G115" s="975"/>
      <c r="H115" s="975"/>
      <c r="I115" s="975"/>
      <c r="J115" s="975"/>
      <c r="K115" s="975"/>
      <c r="L115" s="975"/>
      <c r="M115" s="975"/>
      <c r="N115" s="976"/>
      <c r="O115" s="976"/>
      <c r="P115" s="976"/>
      <c r="Q115" s="976"/>
      <c r="R115" s="976"/>
      <c r="S115" s="976"/>
      <c r="T115" s="977"/>
      <c r="U115" s="977"/>
      <c r="V115" s="977"/>
      <c r="W115" s="977"/>
      <c r="X115" s="977"/>
      <c r="Y115" s="977"/>
      <c r="Z115" s="978"/>
      <c r="AA115" s="978"/>
      <c r="AB115" s="978"/>
      <c r="AC115" s="978"/>
      <c r="AD115" s="978"/>
      <c r="AE115" s="978"/>
      <c r="AF115" s="978"/>
      <c r="AG115" s="979"/>
      <c r="AH115" s="980"/>
      <c r="AI115" s="980"/>
      <c r="AJ115" s="980"/>
      <c r="AK115" s="980"/>
      <c r="AL115" s="980"/>
      <c r="AM115" s="980"/>
      <c r="AN115" s="981"/>
      <c r="AO115" s="981"/>
      <c r="AP115" s="981"/>
      <c r="AQ115" s="981"/>
      <c r="AR115" s="981"/>
      <c r="AS115" s="981"/>
      <c r="AT115" s="981"/>
      <c r="AU115" s="981"/>
      <c r="AV115" s="981"/>
      <c r="AW115" s="981"/>
      <c r="AX115" s="982"/>
      <c r="AY115" s="982"/>
      <c r="AZ115" s="982"/>
      <c r="BA115" s="982"/>
      <c r="BB115" s="982"/>
      <c r="BC115" s="982"/>
      <c r="BD115" s="982"/>
      <c r="BE115" s="982"/>
      <c r="BF115" s="983"/>
    </row>
    <row r="116" spans="2:58" ht="6.75" customHeight="1">
      <c r="B116" s="337"/>
      <c r="S116" s="335"/>
      <c r="T116" s="335"/>
      <c r="U116" s="335"/>
      <c r="V116" s="335"/>
      <c r="W116" s="335"/>
      <c r="X116" s="335"/>
      <c r="Y116" s="335"/>
      <c r="Z116" s="335"/>
      <c r="AA116" s="335"/>
      <c r="AB116" s="335"/>
      <c r="AC116" s="335"/>
      <c r="AD116" s="335"/>
      <c r="AE116" s="335"/>
      <c r="AF116" s="335"/>
      <c r="AG116" s="335"/>
      <c r="AH116" s="335"/>
      <c r="AI116" s="335"/>
      <c r="AJ116" s="335"/>
      <c r="AK116" s="335"/>
      <c r="AL116" s="335"/>
      <c r="AM116" s="335"/>
      <c r="AN116" s="335"/>
      <c r="AO116" s="335"/>
      <c r="AQ116" s="325"/>
      <c r="AR116" s="335"/>
      <c r="AS116" s="335"/>
      <c r="AT116" s="335"/>
      <c r="AU116" s="335"/>
      <c r="AV116" s="335"/>
      <c r="AW116" s="335"/>
      <c r="AX116" s="335"/>
      <c r="AY116" s="335"/>
      <c r="AZ116" s="335"/>
      <c r="BA116" s="335"/>
      <c r="BB116" s="335"/>
      <c r="BC116" s="335"/>
      <c r="BD116" s="335"/>
      <c r="BE116" s="335"/>
    </row>
    <row r="117" spans="2:58">
      <c r="B117" s="337" t="s">
        <v>1216</v>
      </c>
      <c r="C117" s="297"/>
    </row>
    <row r="118" spans="2:58" ht="9.75" customHeight="1">
      <c r="B118" s="967" t="s">
        <v>1217</v>
      </c>
      <c r="C118" s="967"/>
      <c r="D118" s="967"/>
      <c r="E118" s="967"/>
      <c r="F118" s="967"/>
      <c r="G118" s="967"/>
      <c r="H118" s="967"/>
      <c r="I118" s="967"/>
      <c r="J118" s="967"/>
      <c r="K118" s="967"/>
      <c r="L118" s="967"/>
      <c r="M118" s="967"/>
      <c r="N118" s="967"/>
      <c r="O118" s="967"/>
      <c r="P118" s="967"/>
      <c r="Q118" s="967"/>
      <c r="R118" s="967"/>
      <c r="S118" s="967"/>
      <c r="T118" s="967"/>
      <c r="U118" s="967"/>
      <c r="V118" s="967"/>
      <c r="W118" s="967"/>
      <c r="X118" s="967"/>
      <c r="Y118" s="967"/>
      <c r="Z118" s="967"/>
      <c r="AA118" s="967"/>
      <c r="AB118" s="967"/>
      <c r="AC118" s="967"/>
      <c r="AD118" s="967"/>
      <c r="AE118" s="967"/>
      <c r="AF118" s="967"/>
      <c r="AG118" s="967"/>
      <c r="AH118" s="967"/>
      <c r="AI118" s="967"/>
      <c r="AJ118" s="967"/>
      <c r="AK118" s="967"/>
      <c r="AL118" s="967"/>
      <c r="AM118" s="967"/>
      <c r="AN118" s="967"/>
      <c r="AO118" s="967"/>
      <c r="AP118" s="967"/>
      <c r="AQ118" s="967"/>
      <c r="AR118" s="967"/>
      <c r="AS118" s="967"/>
      <c r="AT118" s="967"/>
      <c r="AU118" s="967"/>
      <c r="AV118" s="967"/>
      <c r="AW118" s="967"/>
      <c r="AX118" s="967"/>
      <c r="AY118" s="967"/>
      <c r="AZ118" s="967"/>
      <c r="BA118" s="967"/>
      <c r="BB118" s="967"/>
      <c r="BC118" s="967"/>
      <c r="BD118" s="967"/>
      <c r="BE118" s="967"/>
      <c r="BF118" s="967"/>
    </row>
    <row r="119" spans="2:58" ht="17.25" customHeight="1">
      <c r="B119" s="967"/>
      <c r="C119" s="967"/>
      <c r="D119" s="967"/>
      <c r="E119" s="967"/>
      <c r="F119" s="967"/>
      <c r="G119" s="967"/>
      <c r="H119" s="967"/>
      <c r="I119" s="967"/>
      <c r="J119" s="967"/>
      <c r="K119" s="967"/>
      <c r="L119" s="967"/>
      <c r="M119" s="967"/>
      <c r="N119" s="967"/>
      <c r="O119" s="967"/>
      <c r="P119" s="967"/>
      <c r="Q119" s="967"/>
      <c r="R119" s="967"/>
      <c r="S119" s="967"/>
      <c r="T119" s="967"/>
      <c r="U119" s="967"/>
      <c r="V119" s="967"/>
      <c r="W119" s="967"/>
      <c r="X119" s="967"/>
      <c r="Y119" s="967"/>
      <c r="Z119" s="967"/>
      <c r="AA119" s="967"/>
      <c r="AB119" s="967"/>
      <c r="AC119" s="967"/>
      <c r="AD119" s="967"/>
      <c r="AE119" s="967"/>
      <c r="AF119" s="967"/>
      <c r="AG119" s="967"/>
      <c r="AH119" s="967"/>
      <c r="AI119" s="967"/>
      <c r="AJ119" s="967"/>
      <c r="AK119" s="967"/>
      <c r="AL119" s="967"/>
      <c r="AM119" s="967"/>
      <c r="AN119" s="967"/>
      <c r="AO119" s="967"/>
      <c r="AP119" s="967"/>
      <c r="AQ119" s="967"/>
      <c r="AR119" s="967"/>
      <c r="AS119" s="967"/>
      <c r="AT119" s="967"/>
      <c r="AU119" s="967"/>
      <c r="AV119" s="967"/>
      <c r="AW119" s="967"/>
      <c r="AX119" s="967"/>
      <c r="AY119" s="967"/>
      <c r="AZ119" s="967"/>
      <c r="BA119" s="967"/>
      <c r="BB119" s="967"/>
      <c r="BC119" s="967"/>
      <c r="BD119" s="967"/>
      <c r="BE119" s="967"/>
      <c r="BF119" s="967"/>
    </row>
    <row r="120" spans="2:58" ht="33" customHeight="1">
      <c r="B120" s="338"/>
      <c r="C120" s="338"/>
      <c r="D120" s="338"/>
      <c r="E120" s="338"/>
      <c r="F120" s="338"/>
      <c r="G120" s="338"/>
      <c r="H120" s="338"/>
      <c r="I120" s="338"/>
      <c r="J120" s="338"/>
      <c r="K120" s="338"/>
      <c r="L120" s="338"/>
      <c r="M120" s="338"/>
      <c r="N120" s="338"/>
      <c r="O120" s="338"/>
      <c r="P120" s="338"/>
      <c r="Q120" s="338"/>
      <c r="R120" s="338"/>
      <c r="S120" s="338"/>
      <c r="T120" s="338"/>
      <c r="U120" s="338"/>
      <c r="V120" s="338"/>
      <c r="W120" s="338"/>
      <c r="X120" s="338"/>
      <c r="Y120" s="338"/>
      <c r="Z120" s="338"/>
      <c r="AA120" s="338"/>
      <c r="AB120" s="338"/>
      <c r="AC120" s="338"/>
      <c r="AD120" s="338"/>
      <c r="AE120" s="338"/>
      <c r="AF120" s="338"/>
      <c r="AG120" s="338"/>
      <c r="AH120" s="338"/>
      <c r="AI120" s="338"/>
      <c r="AJ120" s="338"/>
      <c r="AK120" s="338"/>
      <c r="AL120" s="338"/>
      <c r="AM120" s="338"/>
      <c r="AN120" s="338"/>
      <c r="AO120" s="338"/>
      <c r="AP120" s="338"/>
      <c r="AQ120" s="338"/>
      <c r="AR120" s="338"/>
      <c r="AS120" s="338"/>
      <c r="AT120" s="338"/>
      <c r="AU120" s="338"/>
      <c r="AV120" s="338"/>
      <c r="AW120" s="338"/>
      <c r="AX120" s="338"/>
      <c r="AY120" s="338"/>
      <c r="AZ120" s="338"/>
      <c r="BA120" s="338"/>
      <c r="BB120" s="338"/>
      <c r="BC120" s="338"/>
      <c r="BD120" s="338"/>
      <c r="BE120" s="338"/>
      <c r="BF120" s="338"/>
    </row>
    <row r="121" spans="2:58" ht="27" customHeight="1"/>
    <row r="122" spans="2:58" ht="18" customHeight="1"/>
    <row r="123" spans="2:58" ht="18" customHeight="1"/>
  </sheetData>
  <autoFilter ref="BH1:BQ1" xr:uid="{00000000-0009-0000-0000-000001000000}"/>
  <dataConsolidate/>
  <mergeCells count="289">
    <mergeCell ref="B118:BF119"/>
    <mergeCell ref="Z84:AS84"/>
    <mergeCell ref="AK64:AZ64"/>
    <mergeCell ref="AX114:BF114"/>
    <mergeCell ref="B115:M115"/>
    <mergeCell ref="N115:S115"/>
    <mergeCell ref="T115:Y115"/>
    <mergeCell ref="Z115:AF115"/>
    <mergeCell ref="AG115:AM115"/>
    <mergeCell ref="AN115:AW115"/>
    <mergeCell ref="AX115:BF115"/>
    <mergeCell ref="B114:M114"/>
    <mergeCell ref="N114:S114"/>
    <mergeCell ref="T114:Y114"/>
    <mergeCell ref="Z114:AF114"/>
    <mergeCell ref="AG114:AM114"/>
    <mergeCell ref="AN114:AW114"/>
    <mergeCell ref="AX112:BF112"/>
    <mergeCell ref="B113:M113"/>
    <mergeCell ref="N113:S113"/>
    <mergeCell ref="T113:Y113"/>
    <mergeCell ref="Z113:AF113"/>
    <mergeCell ref="AG113:AM113"/>
    <mergeCell ref="AN113:AW113"/>
    <mergeCell ref="AX113:BF113"/>
    <mergeCell ref="B112:M112"/>
    <mergeCell ref="N112:S112"/>
    <mergeCell ref="T112:Y112"/>
    <mergeCell ref="Z112:AF112"/>
    <mergeCell ref="AG112:AM112"/>
    <mergeCell ref="AN112:AW112"/>
    <mergeCell ref="AX110:BF110"/>
    <mergeCell ref="B111:M111"/>
    <mergeCell ref="N111:S111"/>
    <mergeCell ref="T111:Y111"/>
    <mergeCell ref="Z111:AF111"/>
    <mergeCell ref="AG111:AM111"/>
    <mergeCell ref="AN111:AW111"/>
    <mergeCell ref="AX111:BF111"/>
    <mergeCell ref="B110:M110"/>
    <mergeCell ref="N110:S110"/>
    <mergeCell ref="T110:Y110"/>
    <mergeCell ref="Z110:AF110"/>
    <mergeCell ref="AG110:AM110"/>
    <mergeCell ref="AN110:AW110"/>
    <mergeCell ref="AX108:BF108"/>
    <mergeCell ref="B109:M109"/>
    <mergeCell ref="N109:S109"/>
    <mergeCell ref="T109:Y109"/>
    <mergeCell ref="Z109:AF109"/>
    <mergeCell ref="AG109:AM109"/>
    <mergeCell ref="AN109:AW109"/>
    <mergeCell ref="AX109:BF109"/>
    <mergeCell ref="B108:M108"/>
    <mergeCell ref="N108:S108"/>
    <mergeCell ref="T108:Y108"/>
    <mergeCell ref="Z108:AF108"/>
    <mergeCell ref="AG108:AM108"/>
    <mergeCell ref="AN108:AW108"/>
    <mergeCell ref="AX106:BF106"/>
    <mergeCell ref="B107:M107"/>
    <mergeCell ref="N107:S107"/>
    <mergeCell ref="T107:Y107"/>
    <mergeCell ref="Z107:AF107"/>
    <mergeCell ref="AG107:AM107"/>
    <mergeCell ref="AN107:AW107"/>
    <mergeCell ref="AX107:BF107"/>
    <mergeCell ref="B106:M106"/>
    <mergeCell ref="N106:S106"/>
    <mergeCell ref="T106:Y106"/>
    <mergeCell ref="Z106:AF106"/>
    <mergeCell ref="AG106:AM106"/>
    <mergeCell ref="AN106:AW106"/>
    <mergeCell ref="AX104:BF104"/>
    <mergeCell ref="B105:M105"/>
    <mergeCell ref="N105:S105"/>
    <mergeCell ref="T105:Y105"/>
    <mergeCell ref="Z105:AF105"/>
    <mergeCell ref="AG105:AM105"/>
    <mergeCell ref="AN105:AW105"/>
    <mergeCell ref="AX105:BF105"/>
    <mergeCell ref="B104:M104"/>
    <mergeCell ref="N104:S104"/>
    <mergeCell ref="T104:Y104"/>
    <mergeCell ref="Z104:AF104"/>
    <mergeCell ref="AG104:AM104"/>
    <mergeCell ref="AN104:AW104"/>
    <mergeCell ref="AX102:BF102"/>
    <mergeCell ref="B103:M103"/>
    <mergeCell ref="N103:S103"/>
    <mergeCell ref="T103:Y103"/>
    <mergeCell ref="Z103:AF103"/>
    <mergeCell ref="AG103:AM103"/>
    <mergeCell ref="AN103:AW103"/>
    <mergeCell ref="AX103:BF103"/>
    <mergeCell ref="B102:M102"/>
    <mergeCell ref="N102:S102"/>
    <mergeCell ref="T102:Y102"/>
    <mergeCell ref="Z102:AF102"/>
    <mergeCell ref="AG102:AM102"/>
    <mergeCell ref="AN102:AW102"/>
    <mergeCell ref="B97:R97"/>
    <mergeCell ref="S97:AF97"/>
    <mergeCell ref="AG97:AS97"/>
    <mergeCell ref="AT97:BF97"/>
    <mergeCell ref="B98:R98"/>
    <mergeCell ref="S98:AF98"/>
    <mergeCell ref="AG98:AS98"/>
    <mergeCell ref="AT98:BF98"/>
    <mergeCell ref="AT94:BF94"/>
    <mergeCell ref="B95:R95"/>
    <mergeCell ref="S95:AF95"/>
    <mergeCell ref="AG95:AS95"/>
    <mergeCell ref="AT95:BF95"/>
    <mergeCell ref="B96:R96"/>
    <mergeCell ref="S96:AF96"/>
    <mergeCell ref="AG96:AS96"/>
    <mergeCell ref="AT96:BF96"/>
    <mergeCell ref="B90:S90"/>
    <mergeCell ref="T90:AJ90"/>
    <mergeCell ref="B91:S91"/>
    <mergeCell ref="T91:X91"/>
    <mergeCell ref="B94:R94"/>
    <mergeCell ref="S94:AF94"/>
    <mergeCell ref="AG94:AS94"/>
    <mergeCell ref="B84:R84"/>
    <mergeCell ref="S84:Y84"/>
    <mergeCell ref="AT84:BF84"/>
    <mergeCell ref="O88:W88"/>
    <mergeCell ref="Y88:Z88"/>
    <mergeCell ref="B82:R82"/>
    <mergeCell ref="S82:Y82"/>
    <mergeCell ref="Z82:AJ82"/>
    <mergeCell ref="AK82:AS82"/>
    <mergeCell ref="AT82:BF82"/>
    <mergeCell ref="B83:R83"/>
    <mergeCell ref="S83:Y83"/>
    <mergeCell ref="Z83:AJ83"/>
    <mergeCell ref="AK83:AS83"/>
    <mergeCell ref="AT83:BF83"/>
    <mergeCell ref="B80:R80"/>
    <mergeCell ref="S80:Y80"/>
    <mergeCell ref="Z80:AJ80"/>
    <mergeCell ref="AK80:AS80"/>
    <mergeCell ref="AT80:BF80"/>
    <mergeCell ref="B81:R81"/>
    <mergeCell ref="S81:Y81"/>
    <mergeCell ref="Z81:AJ81"/>
    <mergeCell ref="AK81:AS81"/>
    <mergeCell ref="AT81:BF81"/>
    <mergeCell ref="B78:R78"/>
    <mergeCell ref="S78:Y78"/>
    <mergeCell ref="Z78:AJ78"/>
    <mergeCell ref="AK78:AS78"/>
    <mergeCell ref="AT78:BF78"/>
    <mergeCell ref="B79:R79"/>
    <mergeCell ref="S79:Y79"/>
    <mergeCell ref="Z79:AJ79"/>
    <mergeCell ref="AK79:AS79"/>
    <mergeCell ref="AT79:BF79"/>
    <mergeCell ref="B76:R76"/>
    <mergeCell ref="S76:Y76"/>
    <mergeCell ref="Z76:AJ76"/>
    <mergeCell ref="AK76:AS76"/>
    <mergeCell ref="AT76:BF76"/>
    <mergeCell ref="B77:R77"/>
    <mergeCell ref="S77:Y77"/>
    <mergeCell ref="Z77:AJ77"/>
    <mergeCell ref="AK77:AS77"/>
    <mergeCell ref="AT77:BF77"/>
    <mergeCell ref="O66:W66"/>
    <mergeCell ref="S68:AF68"/>
    <mergeCell ref="AM68:AZ68"/>
    <mergeCell ref="S70:AF70"/>
    <mergeCell ref="AM70:AZ70"/>
    <mergeCell ref="S74:AF74"/>
    <mergeCell ref="AM74:AZ74"/>
    <mergeCell ref="B64:R64"/>
    <mergeCell ref="S64:Y64"/>
    <mergeCell ref="Z64:AJ64"/>
    <mergeCell ref="BA64:BF64"/>
    <mergeCell ref="B63:R63"/>
    <mergeCell ref="S63:Y63"/>
    <mergeCell ref="Z63:AJ63"/>
    <mergeCell ref="AK63:AS63"/>
    <mergeCell ref="AT63:AZ63"/>
    <mergeCell ref="BA63:BF63"/>
    <mergeCell ref="B62:R62"/>
    <mergeCell ref="S62:Y62"/>
    <mergeCell ref="Z62:AJ62"/>
    <mergeCell ref="AK62:AS62"/>
    <mergeCell ref="AT62:AZ62"/>
    <mergeCell ref="BA62:BF62"/>
    <mergeCell ref="B61:R61"/>
    <mergeCell ref="S61:Y61"/>
    <mergeCell ref="Z61:AJ61"/>
    <mergeCell ref="AK61:AS61"/>
    <mergeCell ref="AT61:AZ61"/>
    <mergeCell ref="BA61:BF61"/>
    <mergeCell ref="B60:R60"/>
    <mergeCell ref="S60:Y60"/>
    <mergeCell ref="Z60:AJ60"/>
    <mergeCell ref="AK60:AS60"/>
    <mergeCell ref="AT60:AZ60"/>
    <mergeCell ref="BA60:BF60"/>
    <mergeCell ref="B59:R59"/>
    <mergeCell ref="S59:Y59"/>
    <mergeCell ref="Z59:AJ59"/>
    <mergeCell ref="AK59:AS59"/>
    <mergeCell ref="AT59:AZ59"/>
    <mergeCell ref="BA59:BF59"/>
    <mergeCell ref="B58:R58"/>
    <mergeCell ref="S58:Y58"/>
    <mergeCell ref="Z58:AJ58"/>
    <mergeCell ref="AK58:AS58"/>
    <mergeCell ref="AT58:AZ58"/>
    <mergeCell ref="BA58:BF58"/>
    <mergeCell ref="B57:R57"/>
    <mergeCell ref="S57:Y57"/>
    <mergeCell ref="Z57:AJ57"/>
    <mergeCell ref="AK57:AS57"/>
    <mergeCell ref="AT57:AZ57"/>
    <mergeCell ref="BA57:BF57"/>
    <mergeCell ref="B56:R56"/>
    <mergeCell ref="S56:Y56"/>
    <mergeCell ref="Z56:AJ56"/>
    <mergeCell ref="AK56:AS56"/>
    <mergeCell ref="AT56:AZ56"/>
    <mergeCell ref="BA56:BF56"/>
    <mergeCell ref="B48:BF50"/>
    <mergeCell ref="O52:AB52"/>
    <mergeCell ref="AL52:AY52"/>
    <mergeCell ref="B54:J54"/>
    <mergeCell ref="O54:AB54"/>
    <mergeCell ref="AL54:AY54"/>
    <mergeCell ref="B39:J39"/>
    <mergeCell ref="K39:U39"/>
    <mergeCell ref="W39:AF39"/>
    <mergeCell ref="AG39:AM39"/>
    <mergeCell ref="AT39:BA39"/>
    <mergeCell ref="B41:J43"/>
    <mergeCell ref="K41:BF41"/>
    <mergeCell ref="K42:BF42"/>
    <mergeCell ref="K43:BF43"/>
    <mergeCell ref="K36:AP36"/>
    <mergeCell ref="K37:U37"/>
    <mergeCell ref="AN37:BC37"/>
    <mergeCell ref="B38:J38"/>
    <mergeCell ref="K38:AI38"/>
    <mergeCell ref="AJ38:AQ38"/>
    <mergeCell ref="AR38:BF38"/>
    <mergeCell ref="B34:J34"/>
    <mergeCell ref="K34:R34"/>
    <mergeCell ref="AB34:AN34"/>
    <mergeCell ref="AO34:AY34"/>
    <mergeCell ref="B35:J35"/>
    <mergeCell ref="K35:Z35"/>
    <mergeCell ref="AS35:BF35"/>
    <mergeCell ref="K30:S30"/>
    <mergeCell ref="T30:Z30"/>
    <mergeCell ref="K31:S31"/>
    <mergeCell ref="T31:Z31"/>
    <mergeCell ref="K32:S32"/>
    <mergeCell ref="T32:Z32"/>
    <mergeCell ref="K27:S27"/>
    <mergeCell ref="T27:Z27"/>
    <mergeCell ref="K28:S28"/>
    <mergeCell ref="T28:Z28"/>
    <mergeCell ref="K29:S29"/>
    <mergeCell ref="T29:Z29"/>
    <mergeCell ref="K25:S25"/>
    <mergeCell ref="T25:Z25"/>
    <mergeCell ref="K26:S26"/>
    <mergeCell ref="T26:Z26"/>
    <mergeCell ref="K16:BF16"/>
    <mergeCell ref="K17:Z17"/>
    <mergeCell ref="K20:BF20"/>
    <mergeCell ref="K21:Z21"/>
    <mergeCell ref="K22:Z22"/>
    <mergeCell ref="AN22:BC22"/>
    <mergeCell ref="B11:AH11"/>
    <mergeCell ref="AI11:AL11"/>
    <mergeCell ref="B12:BF12"/>
    <mergeCell ref="K14:AP14"/>
    <mergeCell ref="AV14:BF14"/>
    <mergeCell ref="K15:N15"/>
    <mergeCell ref="P15:Z15"/>
    <mergeCell ref="B23:J23"/>
    <mergeCell ref="K23:Z23"/>
  </mergeCells>
  <dataValidations count="11">
    <dataValidation type="list" allowBlank="1" showInputMessage="1" showErrorMessage="1" sqref="BB39:BD39 KX39:KZ39 UT39:UV39 AEP39:AER39 AOL39:AON39 AYH39:AYJ39 BID39:BIF39 BRZ39:BSB39 CBV39:CBX39 CLR39:CLT39 CVN39:CVP39 DFJ39:DFL39 DPF39:DPH39 DZB39:DZD39 EIX39:EIZ39 EST39:ESV39 FCP39:FCR39 FML39:FMN39 FWH39:FWJ39 GGD39:GGF39 GPZ39:GQB39 GZV39:GZX39 HJR39:HJT39 HTN39:HTP39 IDJ39:IDL39 INF39:INH39 IXB39:IXD39 JGX39:JGZ39 JQT39:JQV39 KAP39:KAR39 KKL39:KKN39 KUH39:KUJ39 LED39:LEF39 LNZ39:LOB39 LXV39:LXX39 MHR39:MHT39 MRN39:MRP39 NBJ39:NBL39 NLF39:NLH39 NVB39:NVD39 OEX39:OEZ39 OOT39:OOV39 OYP39:OYR39 PIL39:PIN39 PSH39:PSJ39 QCD39:QCF39 QLZ39:QMB39 QVV39:QVX39 RFR39:RFT39 RPN39:RPP39 RZJ39:RZL39 SJF39:SJH39 STB39:STD39 TCX39:TCZ39 TMT39:TMV39 TWP39:TWR39 UGL39:UGN39 UQH39:UQJ39 VAD39:VAF39 VJZ39:VKB39 VTV39:VTX39 WDR39:WDT39 WNN39:WNP39 WXJ39:WXL39 BB65575:BD65575 KX65575:KZ65575 UT65575:UV65575 AEP65575:AER65575 AOL65575:AON65575 AYH65575:AYJ65575 BID65575:BIF65575 BRZ65575:BSB65575 CBV65575:CBX65575 CLR65575:CLT65575 CVN65575:CVP65575 DFJ65575:DFL65575 DPF65575:DPH65575 DZB65575:DZD65575 EIX65575:EIZ65575 EST65575:ESV65575 FCP65575:FCR65575 FML65575:FMN65575 FWH65575:FWJ65575 GGD65575:GGF65575 GPZ65575:GQB65575 GZV65575:GZX65575 HJR65575:HJT65575 HTN65575:HTP65575 IDJ65575:IDL65575 INF65575:INH65575 IXB65575:IXD65575 JGX65575:JGZ65575 JQT65575:JQV65575 KAP65575:KAR65575 KKL65575:KKN65575 KUH65575:KUJ65575 LED65575:LEF65575 LNZ65575:LOB65575 LXV65575:LXX65575 MHR65575:MHT65575 MRN65575:MRP65575 NBJ65575:NBL65575 NLF65575:NLH65575 NVB65575:NVD65575 OEX65575:OEZ65575 OOT65575:OOV65575 OYP65575:OYR65575 PIL65575:PIN65575 PSH65575:PSJ65575 QCD65575:QCF65575 QLZ65575:QMB65575 QVV65575:QVX65575 RFR65575:RFT65575 RPN65575:RPP65575 RZJ65575:RZL65575 SJF65575:SJH65575 STB65575:STD65575 TCX65575:TCZ65575 TMT65575:TMV65575 TWP65575:TWR65575 UGL65575:UGN65575 UQH65575:UQJ65575 VAD65575:VAF65575 VJZ65575:VKB65575 VTV65575:VTX65575 WDR65575:WDT65575 WNN65575:WNP65575 WXJ65575:WXL65575 BB131111:BD131111 KX131111:KZ131111 UT131111:UV131111 AEP131111:AER131111 AOL131111:AON131111 AYH131111:AYJ131111 BID131111:BIF131111 BRZ131111:BSB131111 CBV131111:CBX131111 CLR131111:CLT131111 CVN131111:CVP131111 DFJ131111:DFL131111 DPF131111:DPH131111 DZB131111:DZD131111 EIX131111:EIZ131111 EST131111:ESV131111 FCP131111:FCR131111 FML131111:FMN131111 FWH131111:FWJ131111 GGD131111:GGF131111 GPZ131111:GQB131111 GZV131111:GZX131111 HJR131111:HJT131111 HTN131111:HTP131111 IDJ131111:IDL131111 INF131111:INH131111 IXB131111:IXD131111 JGX131111:JGZ131111 JQT131111:JQV131111 KAP131111:KAR131111 KKL131111:KKN131111 KUH131111:KUJ131111 LED131111:LEF131111 LNZ131111:LOB131111 LXV131111:LXX131111 MHR131111:MHT131111 MRN131111:MRP131111 NBJ131111:NBL131111 NLF131111:NLH131111 NVB131111:NVD131111 OEX131111:OEZ131111 OOT131111:OOV131111 OYP131111:OYR131111 PIL131111:PIN131111 PSH131111:PSJ131111 QCD131111:QCF131111 QLZ131111:QMB131111 QVV131111:QVX131111 RFR131111:RFT131111 RPN131111:RPP131111 RZJ131111:RZL131111 SJF131111:SJH131111 STB131111:STD131111 TCX131111:TCZ131111 TMT131111:TMV131111 TWP131111:TWR131111 UGL131111:UGN131111 UQH131111:UQJ131111 VAD131111:VAF131111 VJZ131111:VKB131111 VTV131111:VTX131111 WDR131111:WDT131111 WNN131111:WNP131111 WXJ131111:WXL131111 BB196647:BD196647 KX196647:KZ196647 UT196647:UV196647 AEP196647:AER196647 AOL196647:AON196647 AYH196647:AYJ196647 BID196647:BIF196647 BRZ196647:BSB196647 CBV196647:CBX196647 CLR196647:CLT196647 CVN196647:CVP196647 DFJ196647:DFL196647 DPF196647:DPH196647 DZB196647:DZD196647 EIX196647:EIZ196647 EST196647:ESV196647 FCP196647:FCR196647 FML196647:FMN196647 FWH196647:FWJ196647 GGD196647:GGF196647 GPZ196647:GQB196647 GZV196647:GZX196647 HJR196647:HJT196647 HTN196647:HTP196647 IDJ196647:IDL196647 INF196647:INH196647 IXB196647:IXD196647 JGX196647:JGZ196647 JQT196647:JQV196647 KAP196647:KAR196647 KKL196647:KKN196647 KUH196647:KUJ196647 LED196647:LEF196647 LNZ196647:LOB196647 LXV196647:LXX196647 MHR196647:MHT196647 MRN196647:MRP196647 NBJ196647:NBL196647 NLF196647:NLH196647 NVB196647:NVD196647 OEX196647:OEZ196647 OOT196647:OOV196647 OYP196647:OYR196647 PIL196647:PIN196647 PSH196647:PSJ196647 QCD196647:QCF196647 QLZ196647:QMB196647 QVV196647:QVX196647 RFR196647:RFT196647 RPN196647:RPP196647 RZJ196647:RZL196647 SJF196647:SJH196647 STB196647:STD196647 TCX196647:TCZ196647 TMT196647:TMV196647 TWP196647:TWR196647 UGL196647:UGN196647 UQH196647:UQJ196647 VAD196647:VAF196647 VJZ196647:VKB196647 VTV196647:VTX196647 WDR196647:WDT196647 WNN196647:WNP196647 WXJ196647:WXL196647 BB262183:BD262183 KX262183:KZ262183 UT262183:UV262183 AEP262183:AER262183 AOL262183:AON262183 AYH262183:AYJ262183 BID262183:BIF262183 BRZ262183:BSB262183 CBV262183:CBX262183 CLR262183:CLT262183 CVN262183:CVP262183 DFJ262183:DFL262183 DPF262183:DPH262183 DZB262183:DZD262183 EIX262183:EIZ262183 EST262183:ESV262183 FCP262183:FCR262183 FML262183:FMN262183 FWH262183:FWJ262183 GGD262183:GGF262183 GPZ262183:GQB262183 GZV262183:GZX262183 HJR262183:HJT262183 HTN262183:HTP262183 IDJ262183:IDL262183 INF262183:INH262183 IXB262183:IXD262183 JGX262183:JGZ262183 JQT262183:JQV262183 KAP262183:KAR262183 KKL262183:KKN262183 KUH262183:KUJ262183 LED262183:LEF262183 LNZ262183:LOB262183 LXV262183:LXX262183 MHR262183:MHT262183 MRN262183:MRP262183 NBJ262183:NBL262183 NLF262183:NLH262183 NVB262183:NVD262183 OEX262183:OEZ262183 OOT262183:OOV262183 OYP262183:OYR262183 PIL262183:PIN262183 PSH262183:PSJ262183 QCD262183:QCF262183 QLZ262183:QMB262183 QVV262183:QVX262183 RFR262183:RFT262183 RPN262183:RPP262183 RZJ262183:RZL262183 SJF262183:SJH262183 STB262183:STD262183 TCX262183:TCZ262183 TMT262183:TMV262183 TWP262183:TWR262183 UGL262183:UGN262183 UQH262183:UQJ262183 VAD262183:VAF262183 VJZ262183:VKB262183 VTV262183:VTX262183 WDR262183:WDT262183 WNN262183:WNP262183 WXJ262183:WXL262183 BB327719:BD327719 KX327719:KZ327719 UT327719:UV327719 AEP327719:AER327719 AOL327719:AON327719 AYH327719:AYJ327719 BID327719:BIF327719 BRZ327719:BSB327719 CBV327719:CBX327719 CLR327719:CLT327719 CVN327719:CVP327719 DFJ327719:DFL327719 DPF327719:DPH327719 DZB327719:DZD327719 EIX327719:EIZ327719 EST327719:ESV327719 FCP327719:FCR327719 FML327719:FMN327719 FWH327719:FWJ327719 GGD327719:GGF327719 GPZ327719:GQB327719 GZV327719:GZX327719 HJR327719:HJT327719 HTN327719:HTP327719 IDJ327719:IDL327719 INF327719:INH327719 IXB327719:IXD327719 JGX327719:JGZ327719 JQT327719:JQV327719 KAP327719:KAR327719 KKL327719:KKN327719 KUH327719:KUJ327719 LED327719:LEF327719 LNZ327719:LOB327719 LXV327719:LXX327719 MHR327719:MHT327719 MRN327719:MRP327719 NBJ327719:NBL327719 NLF327719:NLH327719 NVB327719:NVD327719 OEX327719:OEZ327719 OOT327719:OOV327719 OYP327719:OYR327719 PIL327719:PIN327719 PSH327719:PSJ327719 QCD327719:QCF327719 QLZ327719:QMB327719 QVV327719:QVX327719 RFR327719:RFT327719 RPN327719:RPP327719 RZJ327719:RZL327719 SJF327719:SJH327719 STB327719:STD327719 TCX327719:TCZ327719 TMT327719:TMV327719 TWP327719:TWR327719 UGL327719:UGN327719 UQH327719:UQJ327719 VAD327719:VAF327719 VJZ327719:VKB327719 VTV327719:VTX327719 WDR327719:WDT327719 WNN327719:WNP327719 WXJ327719:WXL327719 BB393255:BD393255 KX393255:KZ393255 UT393255:UV393255 AEP393255:AER393255 AOL393255:AON393255 AYH393255:AYJ393255 BID393255:BIF393255 BRZ393255:BSB393255 CBV393255:CBX393255 CLR393255:CLT393255 CVN393255:CVP393255 DFJ393255:DFL393255 DPF393255:DPH393255 DZB393255:DZD393255 EIX393255:EIZ393255 EST393255:ESV393255 FCP393255:FCR393255 FML393255:FMN393255 FWH393255:FWJ393255 GGD393255:GGF393255 GPZ393255:GQB393255 GZV393255:GZX393255 HJR393255:HJT393255 HTN393255:HTP393255 IDJ393255:IDL393255 INF393255:INH393255 IXB393255:IXD393255 JGX393255:JGZ393255 JQT393255:JQV393255 KAP393255:KAR393255 KKL393255:KKN393255 KUH393255:KUJ393255 LED393255:LEF393255 LNZ393255:LOB393255 LXV393255:LXX393255 MHR393255:MHT393255 MRN393255:MRP393255 NBJ393255:NBL393255 NLF393255:NLH393255 NVB393255:NVD393255 OEX393255:OEZ393255 OOT393255:OOV393255 OYP393255:OYR393255 PIL393255:PIN393255 PSH393255:PSJ393255 QCD393255:QCF393255 QLZ393255:QMB393255 QVV393255:QVX393255 RFR393255:RFT393255 RPN393255:RPP393255 RZJ393255:RZL393255 SJF393255:SJH393255 STB393255:STD393255 TCX393255:TCZ393255 TMT393255:TMV393255 TWP393255:TWR393255 UGL393255:UGN393255 UQH393255:UQJ393255 VAD393255:VAF393255 VJZ393255:VKB393255 VTV393255:VTX393255 WDR393255:WDT393255 WNN393255:WNP393255 WXJ393255:WXL393255 BB458791:BD458791 KX458791:KZ458791 UT458791:UV458791 AEP458791:AER458791 AOL458791:AON458791 AYH458791:AYJ458791 BID458791:BIF458791 BRZ458791:BSB458791 CBV458791:CBX458791 CLR458791:CLT458791 CVN458791:CVP458791 DFJ458791:DFL458791 DPF458791:DPH458791 DZB458791:DZD458791 EIX458791:EIZ458791 EST458791:ESV458791 FCP458791:FCR458791 FML458791:FMN458791 FWH458791:FWJ458791 GGD458791:GGF458791 GPZ458791:GQB458791 GZV458791:GZX458791 HJR458791:HJT458791 HTN458791:HTP458791 IDJ458791:IDL458791 INF458791:INH458791 IXB458791:IXD458791 JGX458791:JGZ458791 JQT458791:JQV458791 KAP458791:KAR458791 KKL458791:KKN458791 KUH458791:KUJ458791 LED458791:LEF458791 LNZ458791:LOB458791 LXV458791:LXX458791 MHR458791:MHT458791 MRN458791:MRP458791 NBJ458791:NBL458791 NLF458791:NLH458791 NVB458791:NVD458791 OEX458791:OEZ458791 OOT458791:OOV458791 OYP458791:OYR458791 PIL458791:PIN458791 PSH458791:PSJ458791 QCD458791:QCF458791 QLZ458791:QMB458791 QVV458791:QVX458791 RFR458791:RFT458791 RPN458791:RPP458791 RZJ458791:RZL458791 SJF458791:SJH458791 STB458791:STD458791 TCX458791:TCZ458791 TMT458791:TMV458791 TWP458791:TWR458791 UGL458791:UGN458791 UQH458791:UQJ458791 VAD458791:VAF458791 VJZ458791:VKB458791 VTV458791:VTX458791 WDR458791:WDT458791 WNN458791:WNP458791 WXJ458791:WXL458791 BB524327:BD524327 KX524327:KZ524327 UT524327:UV524327 AEP524327:AER524327 AOL524327:AON524327 AYH524327:AYJ524327 BID524327:BIF524327 BRZ524327:BSB524327 CBV524327:CBX524327 CLR524327:CLT524327 CVN524327:CVP524327 DFJ524327:DFL524327 DPF524327:DPH524327 DZB524327:DZD524327 EIX524327:EIZ524327 EST524327:ESV524327 FCP524327:FCR524327 FML524327:FMN524327 FWH524327:FWJ524327 GGD524327:GGF524327 GPZ524327:GQB524327 GZV524327:GZX524327 HJR524327:HJT524327 HTN524327:HTP524327 IDJ524327:IDL524327 INF524327:INH524327 IXB524327:IXD524327 JGX524327:JGZ524327 JQT524327:JQV524327 KAP524327:KAR524327 KKL524327:KKN524327 KUH524327:KUJ524327 LED524327:LEF524327 LNZ524327:LOB524327 LXV524327:LXX524327 MHR524327:MHT524327 MRN524327:MRP524327 NBJ524327:NBL524327 NLF524327:NLH524327 NVB524327:NVD524327 OEX524327:OEZ524327 OOT524327:OOV524327 OYP524327:OYR524327 PIL524327:PIN524327 PSH524327:PSJ524327 QCD524327:QCF524327 QLZ524327:QMB524327 QVV524327:QVX524327 RFR524327:RFT524327 RPN524327:RPP524327 RZJ524327:RZL524327 SJF524327:SJH524327 STB524327:STD524327 TCX524327:TCZ524327 TMT524327:TMV524327 TWP524327:TWR524327 UGL524327:UGN524327 UQH524327:UQJ524327 VAD524327:VAF524327 VJZ524327:VKB524327 VTV524327:VTX524327 WDR524327:WDT524327 WNN524327:WNP524327 WXJ524327:WXL524327 BB589863:BD589863 KX589863:KZ589863 UT589863:UV589863 AEP589863:AER589863 AOL589863:AON589863 AYH589863:AYJ589863 BID589863:BIF589863 BRZ589863:BSB589863 CBV589863:CBX589863 CLR589863:CLT589863 CVN589863:CVP589863 DFJ589863:DFL589863 DPF589863:DPH589863 DZB589863:DZD589863 EIX589863:EIZ589863 EST589863:ESV589863 FCP589863:FCR589863 FML589863:FMN589863 FWH589863:FWJ589863 GGD589863:GGF589863 GPZ589863:GQB589863 GZV589863:GZX589863 HJR589863:HJT589863 HTN589863:HTP589863 IDJ589863:IDL589863 INF589863:INH589863 IXB589863:IXD589863 JGX589863:JGZ589863 JQT589863:JQV589863 KAP589863:KAR589863 KKL589863:KKN589863 KUH589863:KUJ589863 LED589863:LEF589863 LNZ589863:LOB589863 LXV589863:LXX589863 MHR589863:MHT589863 MRN589863:MRP589863 NBJ589863:NBL589863 NLF589863:NLH589863 NVB589863:NVD589863 OEX589863:OEZ589863 OOT589863:OOV589863 OYP589863:OYR589863 PIL589863:PIN589863 PSH589863:PSJ589863 QCD589863:QCF589863 QLZ589863:QMB589863 QVV589863:QVX589863 RFR589863:RFT589863 RPN589863:RPP589863 RZJ589863:RZL589863 SJF589863:SJH589863 STB589863:STD589863 TCX589863:TCZ589863 TMT589863:TMV589863 TWP589863:TWR589863 UGL589863:UGN589863 UQH589863:UQJ589863 VAD589863:VAF589863 VJZ589863:VKB589863 VTV589863:VTX589863 WDR589863:WDT589863 WNN589863:WNP589863 WXJ589863:WXL589863 BB655399:BD655399 KX655399:KZ655399 UT655399:UV655399 AEP655399:AER655399 AOL655399:AON655399 AYH655399:AYJ655399 BID655399:BIF655399 BRZ655399:BSB655399 CBV655399:CBX655399 CLR655399:CLT655399 CVN655399:CVP655399 DFJ655399:DFL655399 DPF655399:DPH655399 DZB655399:DZD655399 EIX655399:EIZ655399 EST655399:ESV655399 FCP655399:FCR655399 FML655399:FMN655399 FWH655399:FWJ655399 GGD655399:GGF655399 GPZ655399:GQB655399 GZV655399:GZX655399 HJR655399:HJT655399 HTN655399:HTP655399 IDJ655399:IDL655399 INF655399:INH655399 IXB655399:IXD655399 JGX655399:JGZ655399 JQT655399:JQV655399 KAP655399:KAR655399 KKL655399:KKN655399 KUH655399:KUJ655399 LED655399:LEF655399 LNZ655399:LOB655399 LXV655399:LXX655399 MHR655399:MHT655399 MRN655399:MRP655399 NBJ655399:NBL655399 NLF655399:NLH655399 NVB655399:NVD655399 OEX655399:OEZ655399 OOT655399:OOV655399 OYP655399:OYR655399 PIL655399:PIN655399 PSH655399:PSJ655399 QCD655399:QCF655399 QLZ655399:QMB655399 QVV655399:QVX655399 RFR655399:RFT655399 RPN655399:RPP655399 RZJ655399:RZL655399 SJF655399:SJH655399 STB655399:STD655399 TCX655399:TCZ655399 TMT655399:TMV655399 TWP655399:TWR655399 UGL655399:UGN655399 UQH655399:UQJ655399 VAD655399:VAF655399 VJZ655399:VKB655399 VTV655399:VTX655399 WDR655399:WDT655399 WNN655399:WNP655399 WXJ655399:WXL655399 BB720935:BD720935 KX720935:KZ720935 UT720935:UV720935 AEP720935:AER720935 AOL720935:AON720935 AYH720935:AYJ720935 BID720935:BIF720935 BRZ720935:BSB720935 CBV720935:CBX720935 CLR720935:CLT720935 CVN720935:CVP720935 DFJ720935:DFL720935 DPF720935:DPH720935 DZB720935:DZD720935 EIX720935:EIZ720935 EST720935:ESV720935 FCP720935:FCR720935 FML720935:FMN720935 FWH720935:FWJ720935 GGD720935:GGF720935 GPZ720935:GQB720935 GZV720935:GZX720935 HJR720935:HJT720935 HTN720935:HTP720935 IDJ720935:IDL720935 INF720935:INH720935 IXB720935:IXD720935 JGX720935:JGZ720935 JQT720935:JQV720935 KAP720935:KAR720935 KKL720935:KKN720935 KUH720935:KUJ720935 LED720935:LEF720935 LNZ720935:LOB720935 LXV720935:LXX720935 MHR720935:MHT720935 MRN720935:MRP720935 NBJ720935:NBL720935 NLF720935:NLH720935 NVB720935:NVD720935 OEX720935:OEZ720935 OOT720935:OOV720935 OYP720935:OYR720935 PIL720935:PIN720935 PSH720935:PSJ720935 QCD720935:QCF720935 QLZ720935:QMB720935 QVV720935:QVX720935 RFR720935:RFT720935 RPN720935:RPP720935 RZJ720935:RZL720935 SJF720935:SJH720935 STB720935:STD720935 TCX720935:TCZ720935 TMT720935:TMV720935 TWP720935:TWR720935 UGL720935:UGN720935 UQH720935:UQJ720935 VAD720935:VAF720935 VJZ720935:VKB720935 VTV720935:VTX720935 WDR720935:WDT720935 WNN720935:WNP720935 WXJ720935:WXL720935 BB786471:BD786471 KX786471:KZ786471 UT786471:UV786471 AEP786471:AER786471 AOL786471:AON786471 AYH786471:AYJ786471 BID786471:BIF786471 BRZ786471:BSB786471 CBV786471:CBX786471 CLR786471:CLT786471 CVN786471:CVP786471 DFJ786471:DFL786471 DPF786471:DPH786471 DZB786471:DZD786471 EIX786471:EIZ786471 EST786471:ESV786471 FCP786471:FCR786471 FML786471:FMN786471 FWH786471:FWJ786471 GGD786471:GGF786471 GPZ786471:GQB786471 GZV786471:GZX786471 HJR786471:HJT786471 HTN786471:HTP786471 IDJ786471:IDL786471 INF786471:INH786471 IXB786471:IXD786471 JGX786471:JGZ786471 JQT786471:JQV786471 KAP786471:KAR786471 KKL786471:KKN786471 KUH786471:KUJ786471 LED786471:LEF786471 LNZ786471:LOB786471 LXV786471:LXX786471 MHR786471:MHT786471 MRN786471:MRP786471 NBJ786471:NBL786471 NLF786471:NLH786471 NVB786471:NVD786471 OEX786471:OEZ786471 OOT786471:OOV786471 OYP786471:OYR786471 PIL786471:PIN786471 PSH786471:PSJ786471 QCD786471:QCF786471 QLZ786471:QMB786471 QVV786471:QVX786471 RFR786471:RFT786471 RPN786471:RPP786471 RZJ786471:RZL786471 SJF786471:SJH786471 STB786471:STD786471 TCX786471:TCZ786471 TMT786471:TMV786471 TWP786471:TWR786471 UGL786471:UGN786471 UQH786471:UQJ786471 VAD786471:VAF786471 VJZ786471:VKB786471 VTV786471:VTX786471 WDR786471:WDT786471 WNN786471:WNP786471 WXJ786471:WXL786471 BB852007:BD852007 KX852007:KZ852007 UT852007:UV852007 AEP852007:AER852007 AOL852007:AON852007 AYH852007:AYJ852007 BID852007:BIF852007 BRZ852007:BSB852007 CBV852007:CBX852007 CLR852007:CLT852007 CVN852007:CVP852007 DFJ852007:DFL852007 DPF852007:DPH852007 DZB852007:DZD852007 EIX852007:EIZ852007 EST852007:ESV852007 FCP852007:FCR852007 FML852007:FMN852007 FWH852007:FWJ852007 GGD852007:GGF852007 GPZ852007:GQB852007 GZV852007:GZX852007 HJR852007:HJT852007 HTN852007:HTP852007 IDJ852007:IDL852007 INF852007:INH852007 IXB852007:IXD852007 JGX852007:JGZ852007 JQT852007:JQV852007 KAP852007:KAR852007 KKL852007:KKN852007 KUH852007:KUJ852007 LED852007:LEF852007 LNZ852007:LOB852007 LXV852007:LXX852007 MHR852007:MHT852007 MRN852007:MRP852007 NBJ852007:NBL852007 NLF852007:NLH852007 NVB852007:NVD852007 OEX852007:OEZ852007 OOT852007:OOV852007 OYP852007:OYR852007 PIL852007:PIN852007 PSH852007:PSJ852007 QCD852007:QCF852007 QLZ852007:QMB852007 QVV852007:QVX852007 RFR852007:RFT852007 RPN852007:RPP852007 RZJ852007:RZL852007 SJF852007:SJH852007 STB852007:STD852007 TCX852007:TCZ852007 TMT852007:TMV852007 TWP852007:TWR852007 UGL852007:UGN852007 UQH852007:UQJ852007 VAD852007:VAF852007 VJZ852007:VKB852007 VTV852007:VTX852007 WDR852007:WDT852007 WNN852007:WNP852007 WXJ852007:WXL852007 BB917543:BD917543 KX917543:KZ917543 UT917543:UV917543 AEP917543:AER917543 AOL917543:AON917543 AYH917543:AYJ917543 BID917543:BIF917543 BRZ917543:BSB917543 CBV917543:CBX917543 CLR917543:CLT917543 CVN917543:CVP917543 DFJ917543:DFL917543 DPF917543:DPH917543 DZB917543:DZD917543 EIX917543:EIZ917543 EST917543:ESV917543 FCP917543:FCR917543 FML917543:FMN917543 FWH917543:FWJ917543 GGD917543:GGF917543 GPZ917543:GQB917543 GZV917543:GZX917543 HJR917543:HJT917543 HTN917543:HTP917543 IDJ917543:IDL917543 INF917543:INH917543 IXB917543:IXD917543 JGX917543:JGZ917543 JQT917543:JQV917543 KAP917543:KAR917543 KKL917543:KKN917543 KUH917543:KUJ917543 LED917543:LEF917543 LNZ917543:LOB917543 LXV917543:LXX917543 MHR917543:MHT917543 MRN917543:MRP917543 NBJ917543:NBL917543 NLF917543:NLH917543 NVB917543:NVD917543 OEX917543:OEZ917543 OOT917543:OOV917543 OYP917543:OYR917543 PIL917543:PIN917543 PSH917543:PSJ917543 QCD917543:QCF917543 QLZ917543:QMB917543 QVV917543:QVX917543 RFR917543:RFT917543 RPN917543:RPP917543 RZJ917543:RZL917543 SJF917543:SJH917543 STB917543:STD917543 TCX917543:TCZ917543 TMT917543:TMV917543 TWP917543:TWR917543 UGL917543:UGN917543 UQH917543:UQJ917543 VAD917543:VAF917543 VJZ917543:VKB917543 VTV917543:VTX917543 WDR917543:WDT917543 WNN917543:WNP917543 WXJ917543:WXL917543 BB983079:BD983079 KX983079:KZ983079 UT983079:UV983079 AEP983079:AER983079 AOL983079:AON983079 AYH983079:AYJ983079 BID983079:BIF983079 BRZ983079:BSB983079 CBV983079:CBX983079 CLR983079:CLT983079 CVN983079:CVP983079 DFJ983079:DFL983079 DPF983079:DPH983079 DZB983079:DZD983079 EIX983079:EIZ983079 EST983079:ESV983079 FCP983079:FCR983079 FML983079:FMN983079 FWH983079:FWJ983079 GGD983079:GGF983079 GPZ983079:GQB983079 GZV983079:GZX983079 HJR983079:HJT983079 HTN983079:HTP983079 IDJ983079:IDL983079 INF983079:INH983079 IXB983079:IXD983079 JGX983079:JGZ983079 JQT983079:JQV983079 KAP983079:KAR983079 KKL983079:KKN983079 KUH983079:KUJ983079 LED983079:LEF983079 LNZ983079:LOB983079 LXV983079:LXX983079 MHR983079:MHT983079 MRN983079:MRP983079 NBJ983079:NBL983079 NLF983079:NLH983079 NVB983079:NVD983079 OEX983079:OEZ983079 OOT983079:OOV983079 OYP983079:OYR983079 PIL983079:PIN983079 PSH983079:PSJ983079 QCD983079:QCF983079 QLZ983079:QMB983079 QVV983079:QVX983079 RFR983079:RFT983079 RPN983079:RPP983079 RZJ983079:RZL983079 SJF983079:SJH983079 STB983079:STD983079 TCX983079:TCZ983079 TMT983079:TMV983079 TWP983079:TWR983079 UGL983079:UGN983079 UQH983079:UQJ983079 VAD983079:VAF983079 VJZ983079:VKB983079 VTV983079:VTX983079 WDR983079:WDT983079 WNN983079:WNP983079 WXJ983079:WXL983079" xr:uid="{00000000-0002-0000-0100-000000000000}">
      <formula1>#REF!</formula1>
    </dataValidation>
    <dataValidation type="list" allowBlank="1" showInputMessage="1" sqref="K37:U37 JG37:JQ37 TC37:TM37 ACY37:ADI37 AMU37:ANE37 AWQ37:AXA37 BGM37:BGW37 BQI37:BQS37 CAE37:CAO37 CKA37:CKK37 CTW37:CUG37 DDS37:DEC37 DNO37:DNY37 DXK37:DXU37 EHG37:EHQ37 ERC37:ERM37 FAY37:FBI37 FKU37:FLE37 FUQ37:FVA37 GEM37:GEW37 GOI37:GOS37 GYE37:GYO37 HIA37:HIK37 HRW37:HSG37 IBS37:ICC37 ILO37:ILY37 IVK37:IVU37 JFG37:JFQ37 JPC37:JPM37 JYY37:JZI37 KIU37:KJE37 KSQ37:KTA37 LCM37:LCW37 LMI37:LMS37 LWE37:LWO37 MGA37:MGK37 MPW37:MQG37 MZS37:NAC37 NJO37:NJY37 NTK37:NTU37 ODG37:ODQ37 ONC37:ONM37 OWY37:OXI37 PGU37:PHE37 PQQ37:PRA37 QAM37:QAW37 QKI37:QKS37 QUE37:QUO37 REA37:REK37 RNW37:ROG37 RXS37:RYC37 SHO37:SHY37 SRK37:SRU37 TBG37:TBQ37 TLC37:TLM37 TUY37:TVI37 UEU37:UFE37 UOQ37:UPA37 UYM37:UYW37 VII37:VIS37 VSE37:VSO37 WCA37:WCK37 WLW37:WMG37 WVS37:WWC37 K65573:U65573 JG65573:JQ65573 TC65573:TM65573 ACY65573:ADI65573 AMU65573:ANE65573 AWQ65573:AXA65573 BGM65573:BGW65573 BQI65573:BQS65573 CAE65573:CAO65573 CKA65573:CKK65573 CTW65573:CUG65573 DDS65573:DEC65573 DNO65573:DNY65573 DXK65573:DXU65573 EHG65573:EHQ65573 ERC65573:ERM65573 FAY65573:FBI65573 FKU65573:FLE65573 FUQ65573:FVA65573 GEM65573:GEW65573 GOI65573:GOS65573 GYE65573:GYO65573 HIA65573:HIK65573 HRW65573:HSG65573 IBS65573:ICC65573 ILO65573:ILY65573 IVK65573:IVU65573 JFG65573:JFQ65573 JPC65573:JPM65573 JYY65573:JZI65573 KIU65573:KJE65573 KSQ65573:KTA65573 LCM65573:LCW65573 LMI65573:LMS65573 LWE65573:LWO65573 MGA65573:MGK65573 MPW65573:MQG65573 MZS65573:NAC65573 NJO65573:NJY65573 NTK65573:NTU65573 ODG65573:ODQ65573 ONC65573:ONM65573 OWY65573:OXI65573 PGU65573:PHE65573 PQQ65573:PRA65573 QAM65573:QAW65573 QKI65573:QKS65573 QUE65573:QUO65573 REA65573:REK65573 RNW65573:ROG65573 RXS65573:RYC65573 SHO65573:SHY65573 SRK65573:SRU65573 TBG65573:TBQ65573 TLC65573:TLM65573 TUY65573:TVI65573 UEU65573:UFE65573 UOQ65573:UPA65573 UYM65573:UYW65573 VII65573:VIS65573 VSE65573:VSO65573 WCA65573:WCK65573 WLW65573:WMG65573 WVS65573:WWC65573 K131109:U131109 JG131109:JQ131109 TC131109:TM131109 ACY131109:ADI131109 AMU131109:ANE131109 AWQ131109:AXA131109 BGM131109:BGW131109 BQI131109:BQS131109 CAE131109:CAO131109 CKA131109:CKK131109 CTW131109:CUG131109 DDS131109:DEC131109 DNO131109:DNY131109 DXK131109:DXU131109 EHG131109:EHQ131109 ERC131109:ERM131109 FAY131109:FBI131109 FKU131109:FLE131109 FUQ131109:FVA131109 GEM131109:GEW131109 GOI131109:GOS131109 GYE131109:GYO131109 HIA131109:HIK131109 HRW131109:HSG131109 IBS131109:ICC131109 ILO131109:ILY131109 IVK131109:IVU131109 JFG131109:JFQ131109 JPC131109:JPM131109 JYY131109:JZI131109 KIU131109:KJE131109 KSQ131109:KTA131109 LCM131109:LCW131109 LMI131109:LMS131109 LWE131109:LWO131109 MGA131109:MGK131109 MPW131109:MQG131109 MZS131109:NAC131109 NJO131109:NJY131109 NTK131109:NTU131109 ODG131109:ODQ131109 ONC131109:ONM131109 OWY131109:OXI131109 PGU131109:PHE131109 PQQ131109:PRA131109 QAM131109:QAW131109 QKI131109:QKS131109 QUE131109:QUO131109 REA131109:REK131109 RNW131109:ROG131109 RXS131109:RYC131109 SHO131109:SHY131109 SRK131109:SRU131109 TBG131109:TBQ131109 TLC131109:TLM131109 TUY131109:TVI131109 UEU131109:UFE131109 UOQ131109:UPA131109 UYM131109:UYW131109 VII131109:VIS131109 VSE131109:VSO131109 WCA131109:WCK131109 WLW131109:WMG131109 WVS131109:WWC131109 K196645:U196645 JG196645:JQ196645 TC196645:TM196645 ACY196645:ADI196645 AMU196645:ANE196645 AWQ196645:AXA196645 BGM196645:BGW196645 BQI196645:BQS196645 CAE196645:CAO196645 CKA196645:CKK196645 CTW196645:CUG196645 DDS196645:DEC196645 DNO196645:DNY196645 DXK196645:DXU196645 EHG196645:EHQ196645 ERC196645:ERM196645 FAY196645:FBI196645 FKU196645:FLE196645 FUQ196645:FVA196645 GEM196645:GEW196645 GOI196645:GOS196645 GYE196645:GYO196645 HIA196645:HIK196645 HRW196645:HSG196645 IBS196645:ICC196645 ILO196645:ILY196645 IVK196645:IVU196645 JFG196645:JFQ196645 JPC196645:JPM196645 JYY196645:JZI196645 KIU196645:KJE196645 KSQ196645:KTA196645 LCM196645:LCW196645 LMI196645:LMS196645 LWE196645:LWO196645 MGA196645:MGK196645 MPW196645:MQG196645 MZS196645:NAC196645 NJO196645:NJY196645 NTK196645:NTU196645 ODG196645:ODQ196645 ONC196645:ONM196645 OWY196645:OXI196645 PGU196645:PHE196645 PQQ196645:PRA196645 QAM196645:QAW196645 QKI196645:QKS196645 QUE196645:QUO196645 REA196645:REK196645 RNW196645:ROG196645 RXS196645:RYC196645 SHO196645:SHY196645 SRK196645:SRU196645 TBG196645:TBQ196645 TLC196645:TLM196645 TUY196645:TVI196645 UEU196645:UFE196645 UOQ196645:UPA196645 UYM196645:UYW196645 VII196645:VIS196645 VSE196645:VSO196645 WCA196645:WCK196645 WLW196645:WMG196645 WVS196645:WWC196645 K262181:U262181 JG262181:JQ262181 TC262181:TM262181 ACY262181:ADI262181 AMU262181:ANE262181 AWQ262181:AXA262181 BGM262181:BGW262181 BQI262181:BQS262181 CAE262181:CAO262181 CKA262181:CKK262181 CTW262181:CUG262181 DDS262181:DEC262181 DNO262181:DNY262181 DXK262181:DXU262181 EHG262181:EHQ262181 ERC262181:ERM262181 FAY262181:FBI262181 FKU262181:FLE262181 FUQ262181:FVA262181 GEM262181:GEW262181 GOI262181:GOS262181 GYE262181:GYO262181 HIA262181:HIK262181 HRW262181:HSG262181 IBS262181:ICC262181 ILO262181:ILY262181 IVK262181:IVU262181 JFG262181:JFQ262181 JPC262181:JPM262181 JYY262181:JZI262181 KIU262181:KJE262181 KSQ262181:KTA262181 LCM262181:LCW262181 LMI262181:LMS262181 LWE262181:LWO262181 MGA262181:MGK262181 MPW262181:MQG262181 MZS262181:NAC262181 NJO262181:NJY262181 NTK262181:NTU262181 ODG262181:ODQ262181 ONC262181:ONM262181 OWY262181:OXI262181 PGU262181:PHE262181 PQQ262181:PRA262181 QAM262181:QAW262181 QKI262181:QKS262181 QUE262181:QUO262181 REA262181:REK262181 RNW262181:ROG262181 RXS262181:RYC262181 SHO262181:SHY262181 SRK262181:SRU262181 TBG262181:TBQ262181 TLC262181:TLM262181 TUY262181:TVI262181 UEU262181:UFE262181 UOQ262181:UPA262181 UYM262181:UYW262181 VII262181:VIS262181 VSE262181:VSO262181 WCA262181:WCK262181 WLW262181:WMG262181 WVS262181:WWC262181 K327717:U327717 JG327717:JQ327717 TC327717:TM327717 ACY327717:ADI327717 AMU327717:ANE327717 AWQ327717:AXA327717 BGM327717:BGW327717 BQI327717:BQS327717 CAE327717:CAO327717 CKA327717:CKK327717 CTW327717:CUG327717 DDS327717:DEC327717 DNO327717:DNY327717 DXK327717:DXU327717 EHG327717:EHQ327717 ERC327717:ERM327717 FAY327717:FBI327717 FKU327717:FLE327717 FUQ327717:FVA327717 GEM327717:GEW327717 GOI327717:GOS327717 GYE327717:GYO327717 HIA327717:HIK327717 HRW327717:HSG327717 IBS327717:ICC327717 ILO327717:ILY327717 IVK327717:IVU327717 JFG327717:JFQ327717 JPC327717:JPM327717 JYY327717:JZI327717 KIU327717:KJE327717 KSQ327717:KTA327717 LCM327717:LCW327717 LMI327717:LMS327717 LWE327717:LWO327717 MGA327717:MGK327717 MPW327717:MQG327717 MZS327717:NAC327717 NJO327717:NJY327717 NTK327717:NTU327717 ODG327717:ODQ327717 ONC327717:ONM327717 OWY327717:OXI327717 PGU327717:PHE327717 PQQ327717:PRA327717 QAM327717:QAW327717 QKI327717:QKS327717 QUE327717:QUO327717 REA327717:REK327717 RNW327717:ROG327717 RXS327717:RYC327717 SHO327717:SHY327717 SRK327717:SRU327717 TBG327717:TBQ327717 TLC327717:TLM327717 TUY327717:TVI327717 UEU327717:UFE327717 UOQ327717:UPA327717 UYM327717:UYW327717 VII327717:VIS327717 VSE327717:VSO327717 WCA327717:WCK327717 WLW327717:WMG327717 WVS327717:WWC327717 K393253:U393253 JG393253:JQ393253 TC393253:TM393253 ACY393253:ADI393253 AMU393253:ANE393253 AWQ393253:AXA393253 BGM393253:BGW393253 BQI393253:BQS393253 CAE393253:CAO393253 CKA393253:CKK393253 CTW393253:CUG393253 DDS393253:DEC393253 DNO393253:DNY393253 DXK393253:DXU393253 EHG393253:EHQ393253 ERC393253:ERM393253 FAY393253:FBI393253 FKU393253:FLE393253 FUQ393253:FVA393253 GEM393253:GEW393253 GOI393253:GOS393253 GYE393253:GYO393253 HIA393253:HIK393253 HRW393253:HSG393253 IBS393253:ICC393253 ILO393253:ILY393253 IVK393253:IVU393253 JFG393253:JFQ393253 JPC393253:JPM393253 JYY393253:JZI393253 KIU393253:KJE393253 KSQ393253:KTA393253 LCM393253:LCW393253 LMI393253:LMS393253 LWE393253:LWO393253 MGA393253:MGK393253 MPW393253:MQG393253 MZS393253:NAC393253 NJO393253:NJY393253 NTK393253:NTU393253 ODG393253:ODQ393253 ONC393253:ONM393253 OWY393253:OXI393253 PGU393253:PHE393253 PQQ393253:PRA393253 QAM393253:QAW393253 QKI393253:QKS393253 QUE393253:QUO393253 REA393253:REK393253 RNW393253:ROG393253 RXS393253:RYC393253 SHO393253:SHY393253 SRK393253:SRU393253 TBG393253:TBQ393253 TLC393253:TLM393253 TUY393253:TVI393253 UEU393253:UFE393253 UOQ393253:UPA393253 UYM393253:UYW393253 VII393253:VIS393253 VSE393253:VSO393253 WCA393253:WCK393253 WLW393253:WMG393253 WVS393253:WWC393253 K458789:U458789 JG458789:JQ458789 TC458789:TM458789 ACY458789:ADI458789 AMU458789:ANE458789 AWQ458789:AXA458789 BGM458789:BGW458789 BQI458789:BQS458789 CAE458789:CAO458789 CKA458789:CKK458789 CTW458789:CUG458789 DDS458789:DEC458789 DNO458789:DNY458789 DXK458789:DXU458789 EHG458789:EHQ458789 ERC458789:ERM458789 FAY458789:FBI458789 FKU458789:FLE458789 FUQ458789:FVA458789 GEM458789:GEW458789 GOI458789:GOS458789 GYE458789:GYO458789 HIA458789:HIK458789 HRW458789:HSG458789 IBS458789:ICC458789 ILO458789:ILY458789 IVK458789:IVU458789 JFG458789:JFQ458789 JPC458789:JPM458789 JYY458789:JZI458789 KIU458789:KJE458789 KSQ458789:KTA458789 LCM458789:LCW458789 LMI458789:LMS458789 LWE458789:LWO458789 MGA458789:MGK458789 MPW458789:MQG458789 MZS458789:NAC458789 NJO458789:NJY458789 NTK458789:NTU458789 ODG458789:ODQ458789 ONC458789:ONM458789 OWY458789:OXI458789 PGU458789:PHE458789 PQQ458789:PRA458789 QAM458789:QAW458789 QKI458789:QKS458789 QUE458789:QUO458789 REA458789:REK458789 RNW458789:ROG458789 RXS458789:RYC458789 SHO458789:SHY458789 SRK458789:SRU458789 TBG458789:TBQ458789 TLC458789:TLM458789 TUY458789:TVI458789 UEU458789:UFE458789 UOQ458789:UPA458789 UYM458789:UYW458789 VII458789:VIS458789 VSE458789:VSO458789 WCA458789:WCK458789 WLW458789:WMG458789 WVS458789:WWC458789 K524325:U524325 JG524325:JQ524325 TC524325:TM524325 ACY524325:ADI524325 AMU524325:ANE524325 AWQ524325:AXA524325 BGM524325:BGW524325 BQI524325:BQS524325 CAE524325:CAO524325 CKA524325:CKK524325 CTW524325:CUG524325 DDS524325:DEC524325 DNO524325:DNY524325 DXK524325:DXU524325 EHG524325:EHQ524325 ERC524325:ERM524325 FAY524325:FBI524325 FKU524325:FLE524325 FUQ524325:FVA524325 GEM524325:GEW524325 GOI524325:GOS524325 GYE524325:GYO524325 HIA524325:HIK524325 HRW524325:HSG524325 IBS524325:ICC524325 ILO524325:ILY524325 IVK524325:IVU524325 JFG524325:JFQ524325 JPC524325:JPM524325 JYY524325:JZI524325 KIU524325:KJE524325 KSQ524325:KTA524325 LCM524325:LCW524325 LMI524325:LMS524325 LWE524325:LWO524325 MGA524325:MGK524325 MPW524325:MQG524325 MZS524325:NAC524325 NJO524325:NJY524325 NTK524325:NTU524325 ODG524325:ODQ524325 ONC524325:ONM524325 OWY524325:OXI524325 PGU524325:PHE524325 PQQ524325:PRA524325 QAM524325:QAW524325 QKI524325:QKS524325 QUE524325:QUO524325 REA524325:REK524325 RNW524325:ROG524325 RXS524325:RYC524325 SHO524325:SHY524325 SRK524325:SRU524325 TBG524325:TBQ524325 TLC524325:TLM524325 TUY524325:TVI524325 UEU524325:UFE524325 UOQ524325:UPA524325 UYM524325:UYW524325 VII524325:VIS524325 VSE524325:VSO524325 WCA524325:WCK524325 WLW524325:WMG524325 WVS524325:WWC524325 K589861:U589861 JG589861:JQ589861 TC589861:TM589861 ACY589861:ADI589861 AMU589861:ANE589861 AWQ589861:AXA589861 BGM589861:BGW589861 BQI589861:BQS589861 CAE589861:CAO589861 CKA589861:CKK589861 CTW589861:CUG589861 DDS589861:DEC589861 DNO589861:DNY589861 DXK589861:DXU589861 EHG589861:EHQ589861 ERC589861:ERM589861 FAY589861:FBI589861 FKU589861:FLE589861 FUQ589861:FVA589861 GEM589861:GEW589861 GOI589861:GOS589861 GYE589861:GYO589861 HIA589861:HIK589861 HRW589861:HSG589861 IBS589861:ICC589861 ILO589861:ILY589861 IVK589861:IVU589861 JFG589861:JFQ589861 JPC589861:JPM589861 JYY589861:JZI589861 KIU589861:KJE589861 KSQ589861:KTA589861 LCM589861:LCW589861 LMI589861:LMS589861 LWE589861:LWO589861 MGA589861:MGK589861 MPW589861:MQG589861 MZS589861:NAC589861 NJO589861:NJY589861 NTK589861:NTU589861 ODG589861:ODQ589861 ONC589861:ONM589861 OWY589861:OXI589861 PGU589861:PHE589861 PQQ589861:PRA589861 QAM589861:QAW589861 QKI589861:QKS589861 QUE589861:QUO589861 REA589861:REK589861 RNW589861:ROG589861 RXS589861:RYC589861 SHO589861:SHY589861 SRK589861:SRU589861 TBG589861:TBQ589861 TLC589861:TLM589861 TUY589861:TVI589861 UEU589861:UFE589861 UOQ589861:UPA589861 UYM589861:UYW589861 VII589861:VIS589861 VSE589861:VSO589861 WCA589861:WCK589861 WLW589861:WMG589861 WVS589861:WWC589861 K655397:U655397 JG655397:JQ655397 TC655397:TM655397 ACY655397:ADI655397 AMU655397:ANE655397 AWQ655397:AXA655397 BGM655397:BGW655397 BQI655397:BQS655397 CAE655397:CAO655397 CKA655397:CKK655397 CTW655397:CUG655397 DDS655397:DEC655397 DNO655397:DNY655397 DXK655397:DXU655397 EHG655397:EHQ655397 ERC655397:ERM655397 FAY655397:FBI655397 FKU655397:FLE655397 FUQ655397:FVA655397 GEM655397:GEW655397 GOI655397:GOS655397 GYE655397:GYO655397 HIA655397:HIK655397 HRW655397:HSG655397 IBS655397:ICC655397 ILO655397:ILY655397 IVK655397:IVU655397 JFG655397:JFQ655397 JPC655397:JPM655397 JYY655397:JZI655397 KIU655397:KJE655397 KSQ655397:KTA655397 LCM655397:LCW655397 LMI655397:LMS655397 LWE655397:LWO655397 MGA655397:MGK655397 MPW655397:MQG655397 MZS655397:NAC655397 NJO655397:NJY655397 NTK655397:NTU655397 ODG655397:ODQ655397 ONC655397:ONM655397 OWY655397:OXI655397 PGU655397:PHE655397 PQQ655397:PRA655397 QAM655397:QAW655397 QKI655397:QKS655397 QUE655397:QUO655397 REA655397:REK655397 RNW655397:ROG655397 RXS655397:RYC655397 SHO655397:SHY655397 SRK655397:SRU655397 TBG655397:TBQ655397 TLC655397:TLM655397 TUY655397:TVI655397 UEU655397:UFE655397 UOQ655397:UPA655397 UYM655397:UYW655397 VII655397:VIS655397 VSE655397:VSO655397 WCA655397:WCK655397 WLW655397:WMG655397 WVS655397:WWC655397 K720933:U720933 JG720933:JQ720933 TC720933:TM720933 ACY720933:ADI720933 AMU720933:ANE720933 AWQ720933:AXA720933 BGM720933:BGW720933 BQI720933:BQS720933 CAE720933:CAO720933 CKA720933:CKK720933 CTW720933:CUG720933 DDS720933:DEC720933 DNO720933:DNY720933 DXK720933:DXU720933 EHG720933:EHQ720933 ERC720933:ERM720933 FAY720933:FBI720933 FKU720933:FLE720933 FUQ720933:FVA720933 GEM720933:GEW720933 GOI720933:GOS720933 GYE720933:GYO720933 HIA720933:HIK720933 HRW720933:HSG720933 IBS720933:ICC720933 ILO720933:ILY720933 IVK720933:IVU720933 JFG720933:JFQ720933 JPC720933:JPM720933 JYY720933:JZI720933 KIU720933:KJE720933 KSQ720933:KTA720933 LCM720933:LCW720933 LMI720933:LMS720933 LWE720933:LWO720933 MGA720933:MGK720933 MPW720933:MQG720933 MZS720933:NAC720933 NJO720933:NJY720933 NTK720933:NTU720933 ODG720933:ODQ720933 ONC720933:ONM720933 OWY720933:OXI720933 PGU720933:PHE720933 PQQ720933:PRA720933 QAM720933:QAW720933 QKI720933:QKS720933 QUE720933:QUO720933 REA720933:REK720933 RNW720933:ROG720933 RXS720933:RYC720933 SHO720933:SHY720933 SRK720933:SRU720933 TBG720933:TBQ720933 TLC720933:TLM720933 TUY720933:TVI720933 UEU720933:UFE720933 UOQ720933:UPA720933 UYM720933:UYW720933 VII720933:VIS720933 VSE720933:VSO720933 WCA720933:WCK720933 WLW720933:WMG720933 WVS720933:WWC720933 K786469:U786469 JG786469:JQ786469 TC786469:TM786469 ACY786469:ADI786469 AMU786469:ANE786469 AWQ786469:AXA786469 BGM786469:BGW786469 BQI786469:BQS786469 CAE786469:CAO786469 CKA786469:CKK786469 CTW786469:CUG786469 DDS786469:DEC786469 DNO786469:DNY786469 DXK786469:DXU786469 EHG786469:EHQ786469 ERC786469:ERM786469 FAY786469:FBI786469 FKU786469:FLE786469 FUQ786469:FVA786469 GEM786469:GEW786469 GOI786469:GOS786469 GYE786469:GYO786469 HIA786469:HIK786469 HRW786469:HSG786469 IBS786469:ICC786469 ILO786469:ILY786469 IVK786469:IVU786469 JFG786469:JFQ786469 JPC786469:JPM786469 JYY786469:JZI786469 KIU786469:KJE786469 KSQ786469:KTA786469 LCM786469:LCW786469 LMI786469:LMS786469 LWE786469:LWO786469 MGA786469:MGK786469 MPW786469:MQG786469 MZS786469:NAC786469 NJO786469:NJY786469 NTK786469:NTU786469 ODG786469:ODQ786469 ONC786469:ONM786469 OWY786469:OXI786469 PGU786469:PHE786469 PQQ786469:PRA786469 QAM786469:QAW786469 QKI786469:QKS786469 QUE786469:QUO786469 REA786469:REK786469 RNW786469:ROG786469 RXS786469:RYC786469 SHO786469:SHY786469 SRK786469:SRU786469 TBG786469:TBQ786469 TLC786469:TLM786469 TUY786469:TVI786469 UEU786469:UFE786469 UOQ786469:UPA786469 UYM786469:UYW786469 VII786469:VIS786469 VSE786469:VSO786469 WCA786469:WCK786469 WLW786469:WMG786469 WVS786469:WWC786469 K852005:U852005 JG852005:JQ852005 TC852005:TM852005 ACY852005:ADI852005 AMU852005:ANE852005 AWQ852005:AXA852005 BGM852005:BGW852005 BQI852005:BQS852005 CAE852005:CAO852005 CKA852005:CKK852005 CTW852005:CUG852005 DDS852005:DEC852005 DNO852005:DNY852005 DXK852005:DXU852005 EHG852005:EHQ852005 ERC852005:ERM852005 FAY852005:FBI852005 FKU852005:FLE852005 FUQ852005:FVA852005 GEM852005:GEW852005 GOI852005:GOS852005 GYE852005:GYO852005 HIA852005:HIK852005 HRW852005:HSG852005 IBS852005:ICC852005 ILO852005:ILY852005 IVK852005:IVU852005 JFG852005:JFQ852005 JPC852005:JPM852005 JYY852005:JZI852005 KIU852005:KJE852005 KSQ852005:KTA852005 LCM852005:LCW852005 LMI852005:LMS852005 LWE852005:LWO852005 MGA852005:MGK852005 MPW852005:MQG852005 MZS852005:NAC852005 NJO852005:NJY852005 NTK852005:NTU852005 ODG852005:ODQ852005 ONC852005:ONM852005 OWY852005:OXI852005 PGU852005:PHE852005 PQQ852005:PRA852005 QAM852005:QAW852005 QKI852005:QKS852005 QUE852005:QUO852005 REA852005:REK852005 RNW852005:ROG852005 RXS852005:RYC852005 SHO852005:SHY852005 SRK852005:SRU852005 TBG852005:TBQ852005 TLC852005:TLM852005 TUY852005:TVI852005 UEU852005:UFE852005 UOQ852005:UPA852005 UYM852005:UYW852005 VII852005:VIS852005 VSE852005:VSO852005 WCA852005:WCK852005 WLW852005:WMG852005 WVS852005:WWC852005 K917541:U917541 JG917541:JQ917541 TC917541:TM917541 ACY917541:ADI917541 AMU917541:ANE917541 AWQ917541:AXA917541 BGM917541:BGW917541 BQI917541:BQS917541 CAE917541:CAO917541 CKA917541:CKK917541 CTW917541:CUG917541 DDS917541:DEC917541 DNO917541:DNY917541 DXK917541:DXU917541 EHG917541:EHQ917541 ERC917541:ERM917541 FAY917541:FBI917541 FKU917541:FLE917541 FUQ917541:FVA917541 GEM917541:GEW917541 GOI917541:GOS917541 GYE917541:GYO917541 HIA917541:HIK917541 HRW917541:HSG917541 IBS917541:ICC917541 ILO917541:ILY917541 IVK917541:IVU917541 JFG917541:JFQ917541 JPC917541:JPM917541 JYY917541:JZI917541 KIU917541:KJE917541 KSQ917541:KTA917541 LCM917541:LCW917541 LMI917541:LMS917541 LWE917541:LWO917541 MGA917541:MGK917541 MPW917541:MQG917541 MZS917541:NAC917541 NJO917541:NJY917541 NTK917541:NTU917541 ODG917541:ODQ917541 ONC917541:ONM917541 OWY917541:OXI917541 PGU917541:PHE917541 PQQ917541:PRA917541 QAM917541:QAW917541 QKI917541:QKS917541 QUE917541:QUO917541 REA917541:REK917541 RNW917541:ROG917541 RXS917541:RYC917541 SHO917541:SHY917541 SRK917541:SRU917541 TBG917541:TBQ917541 TLC917541:TLM917541 TUY917541:TVI917541 UEU917541:UFE917541 UOQ917541:UPA917541 UYM917541:UYW917541 VII917541:VIS917541 VSE917541:VSO917541 WCA917541:WCK917541 WLW917541:WMG917541 WVS917541:WWC917541 K983077:U983077 JG983077:JQ983077 TC983077:TM983077 ACY983077:ADI983077 AMU983077:ANE983077 AWQ983077:AXA983077 BGM983077:BGW983077 BQI983077:BQS983077 CAE983077:CAO983077 CKA983077:CKK983077 CTW983077:CUG983077 DDS983077:DEC983077 DNO983077:DNY983077 DXK983077:DXU983077 EHG983077:EHQ983077 ERC983077:ERM983077 FAY983077:FBI983077 FKU983077:FLE983077 FUQ983077:FVA983077 GEM983077:GEW983077 GOI983077:GOS983077 GYE983077:GYO983077 HIA983077:HIK983077 HRW983077:HSG983077 IBS983077:ICC983077 ILO983077:ILY983077 IVK983077:IVU983077 JFG983077:JFQ983077 JPC983077:JPM983077 JYY983077:JZI983077 KIU983077:KJE983077 KSQ983077:KTA983077 LCM983077:LCW983077 LMI983077:LMS983077 LWE983077:LWO983077 MGA983077:MGK983077 MPW983077:MQG983077 MZS983077:NAC983077 NJO983077:NJY983077 NTK983077:NTU983077 ODG983077:ODQ983077 ONC983077:ONM983077 OWY983077:OXI983077 PGU983077:PHE983077 PQQ983077:PRA983077 QAM983077:QAW983077 QKI983077:QKS983077 QUE983077:QUO983077 REA983077:REK983077 RNW983077:ROG983077 RXS983077:RYC983077 SHO983077:SHY983077 SRK983077:SRU983077 TBG983077:TBQ983077 TLC983077:TLM983077 TUY983077:TVI983077 UEU983077:UFE983077 UOQ983077:UPA983077 UYM983077:UYW983077 VII983077:VIS983077 VSE983077:VSO983077 WCA983077:WCK983077 WLW983077:WMG983077 WVS983077:WWC983077" xr:uid="{00000000-0002-0000-0100-000001000000}">
      <formula1>$BL$3:$BL$76</formula1>
    </dataValidation>
    <dataValidation type="list" allowBlank="1" showInputMessage="1" showErrorMessage="1" sqref="T90:AJ90 JP90:KF90 TL90:UB90 ADH90:ADX90 AND90:ANT90 AWZ90:AXP90 BGV90:BHL90 BQR90:BRH90 CAN90:CBD90 CKJ90:CKZ90 CUF90:CUV90 DEB90:DER90 DNX90:DON90 DXT90:DYJ90 EHP90:EIF90 ERL90:ESB90 FBH90:FBX90 FLD90:FLT90 FUZ90:FVP90 GEV90:GFL90 GOR90:GPH90 GYN90:GZD90 HIJ90:HIZ90 HSF90:HSV90 ICB90:ICR90 ILX90:IMN90 IVT90:IWJ90 JFP90:JGF90 JPL90:JQB90 JZH90:JZX90 KJD90:KJT90 KSZ90:KTP90 LCV90:LDL90 LMR90:LNH90 LWN90:LXD90 MGJ90:MGZ90 MQF90:MQV90 NAB90:NAR90 NJX90:NKN90 NTT90:NUJ90 ODP90:OEF90 ONL90:OOB90 OXH90:OXX90 PHD90:PHT90 PQZ90:PRP90 QAV90:QBL90 QKR90:QLH90 QUN90:QVD90 REJ90:REZ90 ROF90:ROV90 RYB90:RYR90 SHX90:SIN90 SRT90:SSJ90 TBP90:TCF90 TLL90:TMB90 TVH90:TVX90 UFD90:UFT90 UOZ90:UPP90 UYV90:UZL90 VIR90:VJH90 VSN90:VTD90 WCJ90:WCZ90 WMF90:WMV90 WWB90:WWR90 T65626:AJ65626 JP65626:KF65626 TL65626:UB65626 ADH65626:ADX65626 AND65626:ANT65626 AWZ65626:AXP65626 BGV65626:BHL65626 BQR65626:BRH65626 CAN65626:CBD65626 CKJ65626:CKZ65626 CUF65626:CUV65626 DEB65626:DER65626 DNX65626:DON65626 DXT65626:DYJ65626 EHP65626:EIF65626 ERL65626:ESB65626 FBH65626:FBX65626 FLD65626:FLT65626 FUZ65626:FVP65626 GEV65626:GFL65626 GOR65626:GPH65626 GYN65626:GZD65626 HIJ65626:HIZ65626 HSF65626:HSV65626 ICB65626:ICR65626 ILX65626:IMN65626 IVT65626:IWJ65626 JFP65626:JGF65626 JPL65626:JQB65626 JZH65626:JZX65626 KJD65626:KJT65626 KSZ65626:KTP65626 LCV65626:LDL65626 LMR65626:LNH65626 LWN65626:LXD65626 MGJ65626:MGZ65626 MQF65626:MQV65626 NAB65626:NAR65626 NJX65626:NKN65626 NTT65626:NUJ65626 ODP65626:OEF65626 ONL65626:OOB65626 OXH65626:OXX65626 PHD65626:PHT65626 PQZ65626:PRP65626 QAV65626:QBL65626 QKR65626:QLH65626 QUN65626:QVD65626 REJ65626:REZ65626 ROF65626:ROV65626 RYB65626:RYR65626 SHX65626:SIN65626 SRT65626:SSJ65626 TBP65626:TCF65626 TLL65626:TMB65626 TVH65626:TVX65626 UFD65626:UFT65626 UOZ65626:UPP65626 UYV65626:UZL65626 VIR65626:VJH65626 VSN65626:VTD65626 WCJ65626:WCZ65626 WMF65626:WMV65626 WWB65626:WWR65626 T131162:AJ131162 JP131162:KF131162 TL131162:UB131162 ADH131162:ADX131162 AND131162:ANT131162 AWZ131162:AXP131162 BGV131162:BHL131162 BQR131162:BRH131162 CAN131162:CBD131162 CKJ131162:CKZ131162 CUF131162:CUV131162 DEB131162:DER131162 DNX131162:DON131162 DXT131162:DYJ131162 EHP131162:EIF131162 ERL131162:ESB131162 FBH131162:FBX131162 FLD131162:FLT131162 FUZ131162:FVP131162 GEV131162:GFL131162 GOR131162:GPH131162 GYN131162:GZD131162 HIJ131162:HIZ131162 HSF131162:HSV131162 ICB131162:ICR131162 ILX131162:IMN131162 IVT131162:IWJ131162 JFP131162:JGF131162 JPL131162:JQB131162 JZH131162:JZX131162 KJD131162:KJT131162 KSZ131162:KTP131162 LCV131162:LDL131162 LMR131162:LNH131162 LWN131162:LXD131162 MGJ131162:MGZ131162 MQF131162:MQV131162 NAB131162:NAR131162 NJX131162:NKN131162 NTT131162:NUJ131162 ODP131162:OEF131162 ONL131162:OOB131162 OXH131162:OXX131162 PHD131162:PHT131162 PQZ131162:PRP131162 QAV131162:QBL131162 QKR131162:QLH131162 QUN131162:QVD131162 REJ131162:REZ131162 ROF131162:ROV131162 RYB131162:RYR131162 SHX131162:SIN131162 SRT131162:SSJ131162 TBP131162:TCF131162 TLL131162:TMB131162 TVH131162:TVX131162 UFD131162:UFT131162 UOZ131162:UPP131162 UYV131162:UZL131162 VIR131162:VJH131162 VSN131162:VTD131162 WCJ131162:WCZ131162 WMF131162:WMV131162 WWB131162:WWR131162 T196698:AJ196698 JP196698:KF196698 TL196698:UB196698 ADH196698:ADX196698 AND196698:ANT196698 AWZ196698:AXP196698 BGV196698:BHL196698 BQR196698:BRH196698 CAN196698:CBD196698 CKJ196698:CKZ196698 CUF196698:CUV196698 DEB196698:DER196698 DNX196698:DON196698 DXT196698:DYJ196698 EHP196698:EIF196698 ERL196698:ESB196698 FBH196698:FBX196698 FLD196698:FLT196698 FUZ196698:FVP196698 GEV196698:GFL196698 GOR196698:GPH196698 GYN196698:GZD196698 HIJ196698:HIZ196698 HSF196698:HSV196698 ICB196698:ICR196698 ILX196698:IMN196698 IVT196698:IWJ196698 JFP196698:JGF196698 JPL196698:JQB196698 JZH196698:JZX196698 KJD196698:KJT196698 KSZ196698:KTP196698 LCV196698:LDL196698 LMR196698:LNH196698 LWN196698:LXD196698 MGJ196698:MGZ196698 MQF196698:MQV196698 NAB196698:NAR196698 NJX196698:NKN196698 NTT196698:NUJ196698 ODP196698:OEF196698 ONL196698:OOB196698 OXH196698:OXX196698 PHD196698:PHT196698 PQZ196698:PRP196698 QAV196698:QBL196698 QKR196698:QLH196698 QUN196698:QVD196698 REJ196698:REZ196698 ROF196698:ROV196698 RYB196698:RYR196698 SHX196698:SIN196698 SRT196698:SSJ196698 TBP196698:TCF196698 TLL196698:TMB196698 TVH196698:TVX196698 UFD196698:UFT196698 UOZ196698:UPP196698 UYV196698:UZL196698 VIR196698:VJH196698 VSN196698:VTD196698 WCJ196698:WCZ196698 WMF196698:WMV196698 WWB196698:WWR196698 T262234:AJ262234 JP262234:KF262234 TL262234:UB262234 ADH262234:ADX262234 AND262234:ANT262234 AWZ262234:AXP262234 BGV262234:BHL262234 BQR262234:BRH262234 CAN262234:CBD262234 CKJ262234:CKZ262234 CUF262234:CUV262234 DEB262234:DER262234 DNX262234:DON262234 DXT262234:DYJ262234 EHP262234:EIF262234 ERL262234:ESB262234 FBH262234:FBX262234 FLD262234:FLT262234 FUZ262234:FVP262234 GEV262234:GFL262234 GOR262234:GPH262234 GYN262234:GZD262234 HIJ262234:HIZ262234 HSF262234:HSV262234 ICB262234:ICR262234 ILX262234:IMN262234 IVT262234:IWJ262234 JFP262234:JGF262234 JPL262234:JQB262234 JZH262234:JZX262234 KJD262234:KJT262234 KSZ262234:KTP262234 LCV262234:LDL262234 LMR262234:LNH262234 LWN262234:LXD262234 MGJ262234:MGZ262234 MQF262234:MQV262234 NAB262234:NAR262234 NJX262234:NKN262234 NTT262234:NUJ262234 ODP262234:OEF262234 ONL262234:OOB262234 OXH262234:OXX262234 PHD262234:PHT262234 PQZ262234:PRP262234 QAV262234:QBL262234 QKR262234:QLH262234 QUN262234:QVD262234 REJ262234:REZ262234 ROF262234:ROV262234 RYB262234:RYR262234 SHX262234:SIN262234 SRT262234:SSJ262234 TBP262234:TCF262234 TLL262234:TMB262234 TVH262234:TVX262234 UFD262234:UFT262234 UOZ262234:UPP262234 UYV262234:UZL262234 VIR262234:VJH262234 VSN262234:VTD262234 WCJ262234:WCZ262234 WMF262234:WMV262234 WWB262234:WWR262234 T327770:AJ327770 JP327770:KF327770 TL327770:UB327770 ADH327770:ADX327770 AND327770:ANT327770 AWZ327770:AXP327770 BGV327770:BHL327770 BQR327770:BRH327770 CAN327770:CBD327770 CKJ327770:CKZ327770 CUF327770:CUV327770 DEB327770:DER327770 DNX327770:DON327770 DXT327770:DYJ327770 EHP327770:EIF327770 ERL327770:ESB327770 FBH327770:FBX327770 FLD327770:FLT327770 FUZ327770:FVP327770 GEV327770:GFL327770 GOR327770:GPH327770 GYN327770:GZD327770 HIJ327770:HIZ327770 HSF327770:HSV327770 ICB327770:ICR327770 ILX327770:IMN327770 IVT327770:IWJ327770 JFP327770:JGF327770 JPL327770:JQB327770 JZH327770:JZX327770 KJD327770:KJT327770 KSZ327770:KTP327770 LCV327770:LDL327770 LMR327770:LNH327770 LWN327770:LXD327770 MGJ327770:MGZ327770 MQF327770:MQV327770 NAB327770:NAR327770 NJX327770:NKN327770 NTT327770:NUJ327770 ODP327770:OEF327770 ONL327770:OOB327770 OXH327770:OXX327770 PHD327770:PHT327770 PQZ327770:PRP327770 QAV327770:QBL327770 QKR327770:QLH327770 QUN327770:QVD327770 REJ327770:REZ327770 ROF327770:ROV327770 RYB327770:RYR327770 SHX327770:SIN327770 SRT327770:SSJ327770 TBP327770:TCF327770 TLL327770:TMB327770 TVH327770:TVX327770 UFD327770:UFT327770 UOZ327770:UPP327770 UYV327770:UZL327770 VIR327770:VJH327770 VSN327770:VTD327770 WCJ327770:WCZ327770 WMF327770:WMV327770 WWB327770:WWR327770 T393306:AJ393306 JP393306:KF393306 TL393306:UB393306 ADH393306:ADX393306 AND393306:ANT393306 AWZ393306:AXP393306 BGV393306:BHL393306 BQR393306:BRH393306 CAN393306:CBD393306 CKJ393306:CKZ393306 CUF393306:CUV393306 DEB393306:DER393306 DNX393306:DON393306 DXT393306:DYJ393306 EHP393306:EIF393306 ERL393306:ESB393306 FBH393306:FBX393306 FLD393306:FLT393306 FUZ393306:FVP393306 GEV393306:GFL393306 GOR393306:GPH393306 GYN393306:GZD393306 HIJ393306:HIZ393306 HSF393306:HSV393306 ICB393306:ICR393306 ILX393306:IMN393306 IVT393306:IWJ393306 JFP393306:JGF393306 JPL393306:JQB393306 JZH393306:JZX393306 KJD393306:KJT393306 KSZ393306:KTP393306 LCV393306:LDL393306 LMR393306:LNH393306 LWN393306:LXD393306 MGJ393306:MGZ393306 MQF393306:MQV393306 NAB393306:NAR393306 NJX393306:NKN393306 NTT393306:NUJ393306 ODP393306:OEF393306 ONL393306:OOB393306 OXH393306:OXX393306 PHD393306:PHT393306 PQZ393306:PRP393306 QAV393306:QBL393306 QKR393306:QLH393306 QUN393306:QVD393306 REJ393306:REZ393306 ROF393306:ROV393306 RYB393306:RYR393306 SHX393306:SIN393306 SRT393306:SSJ393306 TBP393306:TCF393306 TLL393306:TMB393306 TVH393306:TVX393306 UFD393306:UFT393306 UOZ393306:UPP393306 UYV393306:UZL393306 VIR393306:VJH393306 VSN393306:VTD393306 WCJ393306:WCZ393306 WMF393306:WMV393306 WWB393306:WWR393306 T458842:AJ458842 JP458842:KF458842 TL458842:UB458842 ADH458842:ADX458842 AND458842:ANT458842 AWZ458842:AXP458842 BGV458842:BHL458842 BQR458842:BRH458842 CAN458842:CBD458842 CKJ458842:CKZ458842 CUF458842:CUV458842 DEB458842:DER458842 DNX458842:DON458842 DXT458842:DYJ458842 EHP458842:EIF458842 ERL458842:ESB458842 FBH458842:FBX458842 FLD458842:FLT458842 FUZ458842:FVP458842 GEV458842:GFL458842 GOR458842:GPH458842 GYN458842:GZD458842 HIJ458842:HIZ458842 HSF458842:HSV458842 ICB458842:ICR458842 ILX458842:IMN458842 IVT458842:IWJ458842 JFP458842:JGF458842 JPL458842:JQB458842 JZH458842:JZX458842 KJD458842:KJT458842 KSZ458842:KTP458842 LCV458842:LDL458842 LMR458842:LNH458842 LWN458842:LXD458842 MGJ458842:MGZ458842 MQF458842:MQV458842 NAB458842:NAR458842 NJX458842:NKN458842 NTT458842:NUJ458842 ODP458842:OEF458842 ONL458842:OOB458842 OXH458842:OXX458842 PHD458842:PHT458842 PQZ458842:PRP458842 QAV458842:QBL458842 QKR458842:QLH458842 QUN458842:QVD458842 REJ458842:REZ458842 ROF458842:ROV458842 RYB458842:RYR458842 SHX458842:SIN458842 SRT458842:SSJ458842 TBP458842:TCF458842 TLL458842:TMB458842 TVH458842:TVX458842 UFD458842:UFT458842 UOZ458842:UPP458842 UYV458842:UZL458842 VIR458842:VJH458842 VSN458842:VTD458842 WCJ458842:WCZ458842 WMF458842:WMV458842 WWB458842:WWR458842 T524378:AJ524378 JP524378:KF524378 TL524378:UB524378 ADH524378:ADX524378 AND524378:ANT524378 AWZ524378:AXP524378 BGV524378:BHL524378 BQR524378:BRH524378 CAN524378:CBD524378 CKJ524378:CKZ524378 CUF524378:CUV524378 DEB524378:DER524378 DNX524378:DON524378 DXT524378:DYJ524378 EHP524378:EIF524378 ERL524378:ESB524378 FBH524378:FBX524378 FLD524378:FLT524378 FUZ524378:FVP524378 GEV524378:GFL524378 GOR524378:GPH524378 GYN524378:GZD524378 HIJ524378:HIZ524378 HSF524378:HSV524378 ICB524378:ICR524378 ILX524378:IMN524378 IVT524378:IWJ524378 JFP524378:JGF524378 JPL524378:JQB524378 JZH524378:JZX524378 KJD524378:KJT524378 KSZ524378:KTP524378 LCV524378:LDL524378 LMR524378:LNH524378 LWN524378:LXD524378 MGJ524378:MGZ524378 MQF524378:MQV524378 NAB524378:NAR524378 NJX524378:NKN524378 NTT524378:NUJ524378 ODP524378:OEF524378 ONL524378:OOB524378 OXH524378:OXX524378 PHD524378:PHT524378 PQZ524378:PRP524378 QAV524378:QBL524378 QKR524378:QLH524378 QUN524378:QVD524378 REJ524378:REZ524378 ROF524378:ROV524378 RYB524378:RYR524378 SHX524378:SIN524378 SRT524378:SSJ524378 TBP524378:TCF524378 TLL524378:TMB524378 TVH524378:TVX524378 UFD524378:UFT524378 UOZ524378:UPP524378 UYV524378:UZL524378 VIR524378:VJH524378 VSN524378:VTD524378 WCJ524378:WCZ524378 WMF524378:WMV524378 WWB524378:WWR524378 T589914:AJ589914 JP589914:KF589914 TL589914:UB589914 ADH589914:ADX589914 AND589914:ANT589914 AWZ589914:AXP589914 BGV589914:BHL589914 BQR589914:BRH589914 CAN589914:CBD589914 CKJ589914:CKZ589914 CUF589914:CUV589914 DEB589914:DER589914 DNX589914:DON589914 DXT589914:DYJ589914 EHP589914:EIF589914 ERL589914:ESB589914 FBH589914:FBX589914 FLD589914:FLT589914 FUZ589914:FVP589914 GEV589914:GFL589914 GOR589914:GPH589914 GYN589914:GZD589914 HIJ589914:HIZ589914 HSF589914:HSV589914 ICB589914:ICR589914 ILX589914:IMN589914 IVT589914:IWJ589914 JFP589914:JGF589914 JPL589914:JQB589914 JZH589914:JZX589914 KJD589914:KJT589914 KSZ589914:KTP589914 LCV589914:LDL589914 LMR589914:LNH589914 LWN589914:LXD589914 MGJ589914:MGZ589914 MQF589914:MQV589914 NAB589914:NAR589914 NJX589914:NKN589914 NTT589914:NUJ589914 ODP589914:OEF589914 ONL589914:OOB589914 OXH589914:OXX589914 PHD589914:PHT589914 PQZ589914:PRP589914 QAV589914:QBL589914 QKR589914:QLH589914 QUN589914:QVD589914 REJ589914:REZ589914 ROF589914:ROV589914 RYB589914:RYR589914 SHX589914:SIN589914 SRT589914:SSJ589914 TBP589914:TCF589914 TLL589914:TMB589914 TVH589914:TVX589914 UFD589914:UFT589914 UOZ589914:UPP589914 UYV589914:UZL589914 VIR589914:VJH589914 VSN589914:VTD589914 WCJ589914:WCZ589914 WMF589914:WMV589914 WWB589914:WWR589914 T655450:AJ655450 JP655450:KF655450 TL655450:UB655450 ADH655450:ADX655450 AND655450:ANT655450 AWZ655450:AXP655450 BGV655450:BHL655450 BQR655450:BRH655450 CAN655450:CBD655450 CKJ655450:CKZ655450 CUF655450:CUV655450 DEB655450:DER655450 DNX655450:DON655450 DXT655450:DYJ655450 EHP655450:EIF655450 ERL655450:ESB655450 FBH655450:FBX655450 FLD655450:FLT655450 FUZ655450:FVP655450 GEV655450:GFL655450 GOR655450:GPH655450 GYN655450:GZD655450 HIJ655450:HIZ655450 HSF655450:HSV655450 ICB655450:ICR655450 ILX655450:IMN655450 IVT655450:IWJ655450 JFP655450:JGF655450 JPL655450:JQB655450 JZH655450:JZX655450 KJD655450:KJT655450 KSZ655450:KTP655450 LCV655450:LDL655450 LMR655450:LNH655450 LWN655450:LXD655450 MGJ655450:MGZ655450 MQF655450:MQV655450 NAB655450:NAR655450 NJX655450:NKN655450 NTT655450:NUJ655450 ODP655450:OEF655450 ONL655450:OOB655450 OXH655450:OXX655450 PHD655450:PHT655450 PQZ655450:PRP655450 QAV655450:QBL655450 QKR655450:QLH655450 QUN655450:QVD655450 REJ655450:REZ655450 ROF655450:ROV655450 RYB655450:RYR655450 SHX655450:SIN655450 SRT655450:SSJ655450 TBP655450:TCF655450 TLL655450:TMB655450 TVH655450:TVX655450 UFD655450:UFT655450 UOZ655450:UPP655450 UYV655450:UZL655450 VIR655450:VJH655450 VSN655450:VTD655450 WCJ655450:WCZ655450 WMF655450:WMV655450 WWB655450:WWR655450 T720986:AJ720986 JP720986:KF720986 TL720986:UB720986 ADH720986:ADX720986 AND720986:ANT720986 AWZ720986:AXP720986 BGV720986:BHL720986 BQR720986:BRH720986 CAN720986:CBD720986 CKJ720986:CKZ720986 CUF720986:CUV720986 DEB720986:DER720986 DNX720986:DON720986 DXT720986:DYJ720986 EHP720986:EIF720986 ERL720986:ESB720986 FBH720986:FBX720986 FLD720986:FLT720986 FUZ720986:FVP720986 GEV720986:GFL720986 GOR720986:GPH720986 GYN720986:GZD720986 HIJ720986:HIZ720986 HSF720986:HSV720986 ICB720986:ICR720986 ILX720986:IMN720986 IVT720986:IWJ720986 JFP720986:JGF720986 JPL720986:JQB720986 JZH720986:JZX720986 KJD720986:KJT720986 KSZ720986:KTP720986 LCV720986:LDL720986 LMR720986:LNH720986 LWN720986:LXD720986 MGJ720986:MGZ720986 MQF720986:MQV720986 NAB720986:NAR720986 NJX720986:NKN720986 NTT720986:NUJ720986 ODP720986:OEF720986 ONL720986:OOB720986 OXH720986:OXX720986 PHD720986:PHT720986 PQZ720986:PRP720986 QAV720986:QBL720986 QKR720986:QLH720986 QUN720986:QVD720986 REJ720986:REZ720986 ROF720986:ROV720986 RYB720986:RYR720986 SHX720986:SIN720986 SRT720986:SSJ720986 TBP720986:TCF720986 TLL720986:TMB720986 TVH720986:TVX720986 UFD720986:UFT720986 UOZ720986:UPP720986 UYV720986:UZL720986 VIR720986:VJH720986 VSN720986:VTD720986 WCJ720986:WCZ720986 WMF720986:WMV720986 WWB720986:WWR720986 T786522:AJ786522 JP786522:KF786522 TL786522:UB786522 ADH786522:ADX786522 AND786522:ANT786522 AWZ786522:AXP786522 BGV786522:BHL786522 BQR786522:BRH786522 CAN786522:CBD786522 CKJ786522:CKZ786522 CUF786522:CUV786522 DEB786522:DER786522 DNX786522:DON786522 DXT786522:DYJ786522 EHP786522:EIF786522 ERL786522:ESB786522 FBH786522:FBX786522 FLD786522:FLT786522 FUZ786522:FVP786522 GEV786522:GFL786522 GOR786522:GPH786522 GYN786522:GZD786522 HIJ786522:HIZ786522 HSF786522:HSV786522 ICB786522:ICR786522 ILX786522:IMN786522 IVT786522:IWJ786522 JFP786522:JGF786522 JPL786522:JQB786522 JZH786522:JZX786522 KJD786522:KJT786522 KSZ786522:KTP786522 LCV786522:LDL786522 LMR786522:LNH786522 LWN786522:LXD786522 MGJ786522:MGZ786522 MQF786522:MQV786522 NAB786522:NAR786522 NJX786522:NKN786522 NTT786522:NUJ786522 ODP786522:OEF786522 ONL786522:OOB786522 OXH786522:OXX786522 PHD786522:PHT786522 PQZ786522:PRP786522 QAV786522:QBL786522 QKR786522:QLH786522 QUN786522:QVD786522 REJ786522:REZ786522 ROF786522:ROV786522 RYB786522:RYR786522 SHX786522:SIN786522 SRT786522:SSJ786522 TBP786522:TCF786522 TLL786522:TMB786522 TVH786522:TVX786522 UFD786522:UFT786522 UOZ786522:UPP786522 UYV786522:UZL786522 VIR786522:VJH786522 VSN786522:VTD786522 WCJ786522:WCZ786522 WMF786522:WMV786522 WWB786522:WWR786522 T852058:AJ852058 JP852058:KF852058 TL852058:UB852058 ADH852058:ADX852058 AND852058:ANT852058 AWZ852058:AXP852058 BGV852058:BHL852058 BQR852058:BRH852058 CAN852058:CBD852058 CKJ852058:CKZ852058 CUF852058:CUV852058 DEB852058:DER852058 DNX852058:DON852058 DXT852058:DYJ852058 EHP852058:EIF852058 ERL852058:ESB852058 FBH852058:FBX852058 FLD852058:FLT852058 FUZ852058:FVP852058 GEV852058:GFL852058 GOR852058:GPH852058 GYN852058:GZD852058 HIJ852058:HIZ852058 HSF852058:HSV852058 ICB852058:ICR852058 ILX852058:IMN852058 IVT852058:IWJ852058 JFP852058:JGF852058 JPL852058:JQB852058 JZH852058:JZX852058 KJD852058:KJT852058 KSZ852058:KTP852058 LCV852058:LDL852058 LMR852058:LNH852058 LWN852058:LXD852058 MGJ852058:MGZ852058 MQF852058:MQV852058 NAB852058:NAR852058 NJX852058:NKN852058 NTT852058:NUJ852058 ODP852058:OEF852058 ONL852058:OOB852058 OXH852058:OXX852058 PHD852058:PHT852058 PQZ852058:PRP852058 QAV852058:QBL852058 QKR852058:QLH852058 QUN852058:QVD852058 REJ852058:REZ852058 ROF852058:ROV852058 RYB852058:RYR852058 SHX852058:SIN852058 SRT852058:SSJ852058 TBP852058:TCF852058 TLL852058:TMB852058 TVH852058:TVX852058 UFD852058:UFT852058 UOZ852058:UPP852058 UYV852058:UZL852058 VIR852058:VJH852058 VSN852058:VTD852058 WCJ852058:WCZ852058 WMF852058:WMV852058 WWB852058:WWR852058 T917594:AJ917594 JP917594:KF917594 TL917594:UB917594 ADH917594:ADX917594 AND917594:ANT917594 AWZ917594:AXP917594 BGV917594:BHL917594 BQR917594:BRH917594 CAN917594:CBD917594 CKJ917594:CKZ917594 CUF917594:CUV917594 DEB917594:DER917594 DNX917594:DON917594 DXT917594:DYJ917594 EHP917594:EIF917594 ERL917594:ESB917594 FBH917594:FBX917594 FLD917594:FLT917594 FUZ917594:FVP917594 GEV917594:GFL917594 GOR917594:GPH917594 GYN917594:GZD917594 HIJ917594:HIZ917594 HSF917594:HSV917594 ICB917594:ICR917594 ILX917594:IMN917594 IVT917594:IWJ917594 JFP917594:JGF917594 JPL917594:JQB917594 JZH917594:JZX917594 KJD917594:KJT917594 KSZ917594:KTP917594 LCV917594:LDL917594 LMR917594:LNH917594 LWN917594:LXD917594 MGJ917594:MGZ917594 MQF917594:MQV917594 NAB917594:NAR917594 NJX917594:NKN917594 NTT917594:NUJ917594 ODP917594:OEF917594 ONL917594:OOB917594 OXH917594:OXX917594 PHD917594:PHT917594 PQZ917594:PRP917594 QAV917594:QBL917594 QKR917594:QLH917594 QUN917594:QVD917594 REJ917594:REZ917594 ROF917594:ROV917594 RYB917594:RYR917594 SHX917594:SIN917594 SRT917594:SSJ917594 TBP917594:TCF917594 TLL917594:TMB917594 TVH917594:TVX917594 UFD917594:UFT917594 UOZ917594:UPP917594 UYV917594:UZL917594 VIR917594:VJH917594 VSN917594:VTD917594 WCJ917594:WCZ917594 WMF917594:WMV917594 WWB917594:WWR917594 T983130:AJ983130 JP983130:KF983130 TL983130:UB983130 ADH983130:ADX983130 AND983130:ANT983130 AWZ983130:AXP983130 BGV983130:BHL983130 BQR983130:BRH983130 CAN983130:CBD983130 CKJ983130:CKZ983130 CUF983130:CUV983130 DEB983130:DER983130 DNX983130:DON983130 DXT983130:DYJ983130 EHP983130:EIF983130 ERL983130:ESB983130 FBH983130:FBX983130 FLD983130:FLT983130 FUZ983130:FVP983130 GEV983130:GFL983130 GOR983130:GPH983130 GYN983130:GZD983130 HIJ983130:HIZ983130 HSF983130:HSV983130 ICB983130:ICR983130 ILX983130:IMN983130 IVT983130:IWJ983130 JFP983130:JGF983130 JPL983130:JQB983130 JZH983130:JZX983130 KJD983130:KJT983130 KSZ983130:KTP983130 LCV983130:LDL983130 LMR983130:LNH983130 LWN983130:LXD983130 MGJ983130:MGZ983130 MQF983130:MQV983130 NAB983130:NAR983130 NJX983130:NKN983130 NTT983130:NUJ983130 ODP983130:OEF983130 ONL983130:OOB983130 OXH983130:OXX983130 PHD983130:PHT983130 PQZ983130:PRP983130 QAV983130:QBL983130 QKR983130:QLH983130 QUN983130:QVD983130 REJ983130:REZ983130 ROF983130:ROV983130 RYB983130:RYR983130 SHX983130:SIN983130 SRT983130:SSJ983130 TBP983130:TCF983130 TLL983130:TMB983130 TVH983130:TVX983130 UFD983130:UFT983130 UOZ983130:UPP983130 UYV983130:UZL983130 VIR983130:VJH983130 VSN983130:VTD983130 WCJ983130:WCZ983130 WMF983130:WMV983130 WWB983130:WWR983130" xr:uid="{00000000-0002-0000-0100-000002000000}">
      <formula1>$BH$20:$BH$21</formula1>
    </dataValidation>
    <dataValidation type="list" allowBlank="1" showInputMessage="1" showErrorMessage="1" sqref="AT39:BA39 KP39:KW39 UL39:US39 AEH39:AEO39 AOD39:AOK39 AXZ39:AYG39 BHV39:BIC39 BRR39:BRY39 CBN39:CBU39 CLJ39:CLQ39 CVF39:CVM39 DFB39:DFI39 DOX39:DPE39 DYT39:DZA39 EIP39:EIW39 ESL39:ESS39 FCH39:FCO39 FMD39:FMK39 FVZ39:FWG39 GFV39:GGC39 GPR39:GPY39 GZN39:GZU39 HJJ39:HJQ39 HTF39:HTM39 IDB39:IDI39 IMX39:INE39 IWT39:IXA39 JGP39:JGW39 JQL39:JQS39 KAH39:KAO39 KKD39:KKK39 KTZ39:KUG39 LDV39:LEC39 LNR39:LNY39 LXN39:LXU39 MHJ39:MHQ39 MRF39:MRM39 NBB39:NBI39 NKX39:NLE39 NUT39:NVA39 OEP39:OEW39 OOL39:OOS39 OYH39:OYO39 PID39:PIK39 PRZ39:PSG39 QBV39:QCC39 QLR39:QLY39 QVN39:QVU39 RFJ39:RFQ39 RPF39:RPM39 RZB39:RZI39 SIX39:SJE39 SST39:STA39 TCP39:TCW39 TML39:TMS39 TWH39:TWO39 UGD39:UGK39 UPZ39:UQG39 UZV39:VAC39 VJR39:VJY39 VTN39:VTU39 WDJ39:WDQ39 WNF39:WNM39 WXB39:WXI39 AT65575:BA65575 KP65575:KW65575 UL65575:US65575 AEH65575:AEO65575 AOD65575:AOK65575 AXZ65575:AYG65575 BHV65575:BIC65575 BRR65575:BRY65575 CBN65575:CBU65575 CLJ65575:CLQ65575 CVF65575:CVM65575 DFB65575:DFI65575 DOX65575:DPE65575 DYT65575:DZA65575 EIP65575:EIW65575 ESL65575:ESS65575 FCH65575:FCO65575 FMD65575:FMK65575 FVZ65575:FWG65575 GFV65575:GGC65575 GPR65575:GPY65575 GZN65575:GZU65575 HJJ65575:HJQ65575 HTF65575:HTM65575 IDB65575:IDI65575 IMX65575:INE65575 IWT65575:IXA65575 JGP65575:JGW65575 JQL65575:JQS65575 KAH65575:KAO65575 KKD65575:KKK65575 KTZ65575:KUG65575 LDV65575:LEC65575 LNR65575:LNY65575 LXN65575:LXU65575 MHJ65575:MHQ65575 MRF65575:MRM65575 NBB65575:NBI65575 NKX65575:NLE65575 NUT65575:NVA65575 OEP65575:OEW65575 OOL65575:OOS65575 OYH65575:OYO65575 PID65575:PIK65575 PRZ65575:PSG65575 QBV65575:QCC65575 QLR65575:QLY65575 QVN65575:QVU65575 RFJ65575:RFQ65575 RPF65575:RPM65575 RZB65575:RZI65575 SIX65575:SJE65575 SST65575:STA65575 TCP65575:TCW65575 TML65575:TMS65575 TWH65575:TWO65575 UGD65575:UGK65575 UPZ65575:UQG65575 UZV65575:VAC65575 VJR65575:VJY65575 VTN65575:VTU65575 WDJ65575:WDQ65575 WNF65575:WNM65575 WXB65575:WXI65575 AT131111:BA131111 KP131111:KW131111 UL131111:US131111 AEH131111:AEO131111 AOD131111:AOK131111 AXZ131111:AYG131111 BHV131111:BIC131111 BRR131111:BRY131111 CBN131111:CBU131111 CLJ131111:CLQ131111 CVF131111:CVM131111 DFB131111:DFI131111 DOX131111:DPE131111 DYT131111:DZA131111 EIP131111:EIW131111 ESL131111:ESS131111 FCH131111:FCO131111 FMD131111:FMK131111 FVZ131111:FWG131111 GFV131111:GGC131111 GPR131111:GPY131111 GZN131111:GZU131111 HJJ131111:HJQ131111 HTF131111:HTM131111 IDB131111:IDI131111 IMX131111:INE131111 IWT131111:IXA131111 JGP131111:JGW131111 JQL131111:JQS131111 KAH131111:KAO131111 KKD131111:KKK131111 KTZ131111:KUG131111 LDV131111:LEC131111 LNR131111:LNY131111 LXN131111:LXU131111 MHJ131111:MHQ131111 MRF131111:MRM131111 NBB131111:NBI131111 NKX131111:NLE131111 NUT131111:NVA131111 OEP131111:OEW131111 OOL131111:OOS131111 OYH131111:OYO131111 PID131111:PIK131111 PRZ131111:PSG131111 QBV131111:QCC131111 QLR131111:QLY131111 QVN131111:QVU131111 RFJ131111:RFQ131111 RPF131111:RPM131111 RZB131111:RZI131111 SIX131111:SJE131111 SST131111:STA131111 TCP131111:TCW131111 TML131111:TMS131111 TWH131111:TWO131111 UGD131111:UGK131111 UPZ131111:UQG131111 UZV131111:VAC131111 VJR131111:VJY131111 VTN131111:VTU131111 WDJ131111:WDQ131111 WNF131111:WNM131111 WXB131111:WXI131111 AT196647:BA196647 KP196647:KW196647 UL196647:US196647 AEH196647:AEO196647 AOD196647:AOK196647 AXZ196647:AYG196647 BHV196647:BIC196647 BRR196647:BRY196647 CBN196647:CBU196647 CLJ196647:CLQ196647 CVF196647:CVM196647 DFB196647:DFI196647 DOX196647:DPE196647 DYT196647:DZA196647 EIP196647:EIW196647 ESL196647:ESS196647 FCH196647:FCO196647 FMD196647:FMK196647 FVZ196647:FWG196647 GFV196647:GGC196647 GPR196647:GPY196647 GZN196647:GZU196647 HJJ196647:HJQ196647 HTF196647:HTM196647 IDB196647:IDI196647 IMX196647:INE196647 IWT196647:IXA196647 JGP196647:JGW196647 JQL196647:JQS196647 KAH196647:KAO196647 KKD196647:KKK196647 KTZ196647:KUG196647 LDV196647:LEC196647 LNR196647:LNY196647 LXN196647:LXU196647 MHJ196647:MHQ196647 MRF196647:MRM196647 NBB196647:NBI196647 NKX196647:NLE196647 NUT196647:NVA196647 OEP196647:OEW196647 OOL196647:OOS196647 OYH196647:OYO196647 PID196647:PIK196647 PRZ196647:PSG196647 QBV196647:QCC196647 QLR196647:QLY196647 QVN196647:QVU196647 RFJ196647:RFQ196647 RPF196647:RPM196647 RZB196647:RZI196647 SIX196647:SJE196647 SST196647:STA196647 TCP196647:TCW196647 TML196647:TMS196647 TWH196647:TWO196647 UGD196647:UGK196647 UPZ196647:UQG196647 UZV196647:VAC196647 VJR196647:VJY196647 VTN196647:VTU196647 WDJ196647:WDQ196647 WNF196647:WNM196647 WXB196647:WXI196647 AT262183:BA262183 KP262183:KW262183 UL262183:US262183 AEH262183:AEO262183 AOD262183:AOK262183 AXZ262183:AYG262183 BHV262183:BIC262183 BRR262183:BRY262183 CBN262183:CBU262183 CLJ262183:CLQ262183 CVF262183:CVM262183 DFB262183:DFI262183 DOX262183:DPE262183 DYT262183:DZA262183 EIP262183:EIW262183 ESL262183:ESS262183 FCH262183:FCO262183 FMD262183:FMK262183 FVZ262183:FWG262183 GFV262183:GGC262183 GPR262183:GPY262183 GZN262183:GZU262183 HJJ262183:HJQ262183 HTF262183:HTM262183 IDB262183:IDI262183 IMX262183:INE262183 IWT262183:IXA262183 JGP262183:JGW262183 JQL262183:JQS262183 KAH262183:KAO262183 KKD262183:KKK262183 KTZ262183:KUG262183 LDV262183:LEC262183 LNR262183:LNY262183 LXN262183:LXU262183 MHJ262183:MHQ262183 MRF262183:MRM262183 NBB262183:NBI262183 NKX262183:NLE262183 NUT262183:NVA262183 OEP262183:OEW262183 OOL262183:OOS262183 OYH262183:OYO262183 PID262183:PIK262183 PRZ262183:PSG262183 QBV262183:QCC262183 QLR262183:QLY262183 QVN262183:QVU262183 RFJ262183:RFQ262183 RPF262183:RPM262183 RZB262183:RZI262183 SIX262183:SJE262183 SST262183:STA262183 TCP262183:TCW262183 TML262183:TMS262183 TWH262183:TWO262183 UGD262183:UGK262183 UPZ262183:UQG262183 UZV262183:VAC262183 VJR262183:VJY262183 VTN262183:VTU262183 WDJ262183:WDQ262183 WNF262183:WNM262183 WXB262183:WXI262183 AT327719:BA327719 KP327719:KW327719 UL327719:US327719 AEH327719:AEO327719 AOD327719:AOK327719 AXZ327719:AYG327719 BHV327719:BIC327719 BRR327719:BRY327719 CBN327719:CBU327719 CLJ327719:CLQ327719 CVF327719:CVM327719 DFB327719:DFI327719 DOX327719:DPE327719 DYT327719:DZA327719 EIP327719:EIW327719 ESL327719:ESS327719 FCH327719:FCO327719 FMD327719:FMK327719 FVZ327719:FWG327719 GFV327719:GGC327719 GPR327719:GPY327719 GZN327719:GZU327719 HJJ327719:HJQ327719 HTF327719:HTM327719 IDB327719:IDI327719 IMX327719:INE327719 IWT327719:IXA327719 JGP327719:JGW327719 JQL327719:JQS327719 KAH327719:KAO327719 KKD327719:KKK327719 KTZ327719:KUG327719 LDV327719:LEC327719 LNR327719:LNY327719 LXN327719:LXU327719 MHJ327719:MHQ327719 MRF327719:MRM327719 NBB327719:NBI327719 NKX327719:NLE327719 NUT327719:NVA327719 OEP327719:OEW327719 OOL327719:OOS327719 OYH327719:OYO327719 PID327719:PIK327719 PRZ327719:PSG327719 QBV327719:QCC327719 QLR327719:QLY327719 QVN327719:QVU327719 RFJ327719:RFQ327719 RPF327719:RPM327719 RZB327719:RZI327719 SIX327719:SJE327719 SST327719:STA327719 TCP327719:TCW327719 TML327719:TMS327719 TWH327719:TWO327719 UGD327719:UGK327719 UPZ327719:UQG327719 UZV327719:VAC327719 VJR327719:VJY327719 VTN327719:VTU327719 WDJ327719:WDQ327719 WNF327719:WNM327719 WXB327719:WXI327719 AT393255:BA393255 KP393255:KW393255 UL393255:US393255 AEH393255:AEO393255 AOD393255:AOK393255 AXZ393255:AYG393255 BHV393255:BIC393255 BRR393255:BRY393255 CBN393255:CBU393255 CLJ393255:CLQ393255 CVF393255:CVM393255 DFB393255:DFI393255 DOX393255:DPE393255 DYT393255:DZA393255 EIP393255:EIW393255 ESL393255:ESS393255 FCH393255:FCO393255 FMD393255:FMK393255 FVZ393255:FWG393255 GFV393255:GGC393255 GPR393255:GPY393255 GZN393255:GZU393255 HJJ393255:HJQ393255 HTF393255:HTM393255 IDB393255:IDI393255 IMX393255:INE393255 IWT393255:IXA393255 JGP393255:JGW393255 JQL393255:JQS393255 KAH393255:KAO393255 KKD393255:KKK393255 KTZ393255:KUG393255 LDV393255:LEC393255 LNR393255:LNY393255 LXN393255:LXU393255 MHJ393255:MHQ393255 MRF393255:MRM393255 NBB393255:NBI393255 NKX393255:NLE393255 NUT393255:NVA393255 OEP393255:OEW393255 OOL393255:OOS393255 OYH393255:OYO393255 PID393255:PIK393255 PRZ393255:PSG393255 QBV393255:QCC393255 QLR393255:QLY393255 QVN393255:QVU393255 RFJ393255:RFQ393255 RPF393255:RPM393255 RZB393255:RZI393255 SIX393255:SJE393255 SST393255:STA393255 TCP393255:TCW393255 TML393255:TMS393255 TWH393255:TWO393255 UGD393255:UGK393255 UPZ393255:UQG393255 UZV393255:VAC393255 VJR393255:VJY393255 VTN393255:VTU393255 WDJ393255:WDQ393255 WNF393255:WNM393255 WXB393255:WXI393255 AT458791:BA458791 KP458791:KW458791 UL458791:US458791 AEH458791:AEO458791 AOD458791:AOK458791 AXZ458791:AYG458791 BHV458791:BIC458791 BRR458791:BRY458791 CBN458791:CBU458791 CLJ458791:CLQ458791 CVF458791:CVM458791 DFB458791:DFI458791 DOX458791:DPE458791 DYT458791:DZA458791 EIP458791:EIW458791 ESL458791:ESS458791 FCH458791:FCO458791 FMD458791:FMK458791 FVZ458791:FWG458791 GFV458791:GGC458791 GPR458791:GPY458791 GZN458791:GZU458791 HJJ458791:HJQ458791 HTF458791:HTM458791 IDB458791:IDI458791 IMX458791:INE458791 IWT458791:IXA458791 JGP458791:JGW458791 JQL458791:JQS458791 KAH458791:KAO458791 KKD458791:KKK458791 KTZ458791:KUG458791 LDV458791:LEC458791 LNR458791:LNY458791 LXN458791:LXU458791 MHJ458791:MHQ458791 MRF458791:MRM458791 NBB458791:NBI458791 NKX458791:NLE458791 NUT458791:NVA458791 OEP458791:OEW458791 OOL458791:OOS458791 OYH458791:OYO458791 PID458791:PIK458791 PRZ458791:PSG458791 QBV458791:QCC458791 QLR458791:QLY458791 QVN458791:QVU458791 RFJ458791:RFQ458791 RPF458791:RPM458791 RZB458791:RZI458791 SIX458791:SJE458791 SST458791:STA458791 TCP458791:TCW458791 TML458791:TMS458791 TWH458791:TWO458791 UGD458791:UGK458791 UPZ458791:UQG458791 UZV458791:VAC458791 VJR458791:VJY458791 VTN458791:VTU458791 WDJ458791:WDQ458791 WNF458791:WNM458791 WXB458791:WXI458791 AT524327:BA524327 KP524327:KW524327 UL524327:US524327 AEH524327:AEO524327 AOD524327:AOK524327 AXZ524327:AYG524327 BHV524327:BIC524327 BRR524327:BRY524327 CBN524327:CBU524327 CLJ524327:CLQ524327 CVF524327:CVM524327 DFB524327:DFI524327 DOX524327:DPE524327 DYT524327:DZA524327 EIP524327:EIW524327 ESL524327:ESS524327 FCH524327:FCO524327 FMD524327:FMK524327 FVZ524327:FWG524327 GFV524327:GGC524327 GPR524327:GPY524327 GZN524327:GZU524327 HJJ524327:HJQ524327 HTF524327:HTM524327 IDB524327:IDI524327 IMX524327:INE524327 IWT524327:IXA524327 JGP524327:JGW524327 JQL524327:JQS524327 KAH524327:KAO524327 KKD524327:KKK524327 KTZ524327:KUG524327 LDV524327:LEC524327 LNR524327:LNY524327 LXN524327:LXU524327 MHJ524327:MHQ524327 MRF524327:MRM524327 NBB524327:NBI524327 NKX524327:NLE524327 NUT524327:NVA524327 OEP524327:OEW524327 OOL524327:OOS524327 OYH524327:OYO524327 PID524327:PIK524327 PRZ524327:PSG524327 QBV524327:QCC524327 QLR524327:QLY524327 QVN524327:QVU524327 RFJ524327:RFQ524327 RPF524327:RPM524327 RZB524327:RZI524327 SIX524327:SJE524327 SST524327:STA524327 TCP524327:TCW524327 TML524327:TMS524327 TWH524327:TWO524327 UGD524327:UGK524327 UPZ524327:UQG524327 UZV524327:VAC524327 VJR524327:VJY524327 VTN524327:VTU524327 WDJ524327:WDQ524327 WNF524327:WNM524327 WXB524327:WXI524327 AT589863:BA589863 KP589863:KW589863 UL589863:US589863 AEH589863:AEO589863 AOD589863:AOK589863 AXZ589863:AYG589863 BHV589863:BIC589863 BRR589863:BRY589863 CBN589863:CBU589863 CLJ589863:CLQ589863 CVF589863:CVM589863 DFB589863:DFI589863 DOX589863:DPE589863 DYT589863:DZA589863 EIP589863:EIW589863 ESL589863:ESS589863 FCH589863:FCO589863 FMD589863:FMK589863 FVZ589863:FWG589863 GFV589863:GGC589863 GPR589863:GPY589863 GZN589863:GZU589863 HJJ589863:HJQ589863 HTF589863:HTM589863 IDB589863:IDI589863 IMX589863:INE589863 IWT589863:IXA589863 JGP589863:JGW589863 JQL589863:JQS589863 KAH589863:KAO589863 KKD589863:KKK589863 KTZ589863:KUG589863 LDV589863:LEC589863 LNR589863:LNY589863 LXN589863:LXU589863 MHJ589863:MHQ589863 MRF589863:MRM589863 NBB589863:NBI589863 NKX589863:NLE589863 NUT589863:NVA589863 OEP589863:OEW589863 OOL589863:OOS589863 OYH589863:OYO589863 PID589863:PIK589863 PRZ589863:PSG589863 QBV589863:QCC589863 QLR589863:QLY589863 QVN589863:QVU589863 RFJ589863:RFQ589863 RPF589863:RPM589863 RZB589863:RZI589863 SIX589863:SJE589863 SST589863:STA589863 TCP589863:TCW589863 TML589863:TMS589863 TWH589863:TWO589863 UGD589863:UGK589863 UPZ589863:UQG589863 UZV589863:VAC589863 VJR589863:VJY589863 VTN589863:VTU589863 WDJ589863:WDQ589863 WNF589863:WNM589863 WXB589863:WXI589863 AT655399:BA655399 KP655399:KW655399 UL655399:US655399 AEH655399:AEO655399 AOD655399:AOK655399 AXZ655399:AYG655399 BHV655399:BIC655399 BRR655399:BRY655399 CBN655399:CBU655399 CLJ655399:CLQ655399 CVF655399:CVM655399 DFB655399:DFI655399 DOX655399:DPE655399 DYT655399:DZA655399 EIP655399:EIW655399 ESL655399:ESS655399 FCH655399:FCO655399 FMD655399:FMK655399 FVZ655399:FWG655399 GFV655399:GGC655399 GPR655399:GPY655399 GZN655399:GZU655399 HJJ655399:HJQ655399 HTF655399:HTM655399 IDB655399:IDI655399 IMX655399:INE655399 IWT655399:IXA655399 JGP655399:JGW655399 JQL655399:JQS655399 KAH655399:KAO655399 KKD655399:KKK655399 KTZ655399:KUG655399 LDV655399:LEC655399 LNR655399:LNY655399 LXN655399:LXU655399 MHJ655399:MHQ655399 MRF655399:MRM655399 NBB655399:NBI655399 NKX655399:NLE655399 NUT655399:NVA655399 OEP655399:OEW655399 OOL655399:OOS655399 OYH655399:OYO655399 PID655399:PIK655399 PRZ655399:PSG655399 QBV655399:QCC655399 QLR655399:QLY655399 QVN655399:QVU655399 RFJ655399:RFQ655399 RPF655399:RPM655399 RZB655399:RZI655399 SIX655399:SJE655399 SST655399:STA655399 TCP655399:TCW655399 TML655399:TMS655399 TWH655399:TWO655399 UGD655399:UGK655399 UPZ655399:UQG655399 UZV655399:VAC655399 VJR655399:VJY655399 VTN655399:VTU655399 WDJ655399:WDQ655399 WNF655399:WNM655399 WXB655399:WXI655399 AT720935:BA720935 KP720935:KW720935 UL720935:US720935 AEH720935:AEO720935 AOD720935:AOK720935 AXZ720935:AYG720935 BHV720935:BIC720935 BRR720935:BRY720935 CBN720935:CBU720935 CLJ720935:CLQ720935 CVF720935:CVM720935 DFB720935:DFI720935 DOX720935:DPE720935 DYT720935:DZA720935 EIP720935:EIW720935 ESL720935:ESS720935 FCH720935:FCO720935 FMD720935:FMK720935 FVZ720935:FWG720935 GFV720935:GGC720935 GPR720935:GPY720935 GZN720935:GZU720935 HJJ720935:HJQ720935 HTF720935:HTM720935 IDB720935:IDI720935 IMX720935:INE720935 IWT720935:IXA720935 JGP720935:JGW720935 JQL720935:JQS720935 KAH720935:KAO720935 KKD720935:KKK720935 KTZ720935:KUG720935 LDV720935:LEC720935 LNR720935:LNY720935 LXN720935:LXU720935 MHJ720935:MHQ720935 MRF720935:MRM720935 NBB720935:NBI720935 NKX720935:NLE720935 NUT720935:NVA720935 OEP720935:OEW720935 OOL720935:OOS720935 OYH720935:OYO720935 PID720935:PIK720935 PRZ720935:PSG720935 QBV720935:QCC720935 QLR720935:QLY720935 QVN720935:QVU720935 RFJ720935:RFQ720935 RPF720935:RPM720935 RZB720935:RZI720935 SIX720935:SJE720935 SST720935:STA720935 TCP720935:TCW720935 TML720935:TMS720935 TWH720935:TWO720935 UGD720935:UGK720935 UPZ720935:UQG720935 UZV720935:VAC720935 VJR720935:VJY720935 VTN720935:VTU720935 WDJ720935:WDQ720935 WNF720935:WNM720935 WXB720935:WXI720935 AT786471:BA786471 KP786471:KW786471 UL786471:US786471 AEH786471:AEO786471 AOD786471:AOK786471 AXZ786471:AYG786471 BHV786471:BIC786471 BRR786471:BRY786471 CBN786471:CBU786471 CLJ786471:CLQ786471 CVF786471:CVM786471 DFB786471:DFI786471 DOX786471:DPE786471 DYT786471:DZA786471 EIP786471:EIW786471 ESL786471:ESS786471 FCH786471:FCO786471 FMD786471:FMK786471 FVZ786471:FWG786471 GFV786471:GGC786471 GPR786471:GPY786471 GZN786471:GZU786471 HJJ786471:HJQ786471 HTF786471:HTM786471 IDB786471:IDI786471 IMX786471:INE786471 IWT786471:IXA786471 JGP786471:JGW786471 JQL786471:JQS786471 KAH786471:KAO786471 KKD786471:KKK786471 KTZ786471:KUG786471 LDV786471:LEC786471 LNR786471:LNY786471 LXN786471:LXU786471 MHJ786471:MHQ786471 MRF786471:MRM786471 NBB786471:NBI786471 NKX786471:NLE786471 NUT786471:NVA786471 OEP786471:OEW786471 OOL786471:OOS786471 OYH786471:OYO786471 PID786471:PIK786471 PRZ786471:PSG786471 QBV786471:QCC786471 QLR786471:QLY786471 QVN786471:QVU786471 RFJ786471:RFQ786471 RPF786471:RPM786471 RZB786471:RZI786471 SIX786471:SJE786471 SST786471:STA786471 TCP786471:TCW786471 TML786471:TMS786471 TWH786471:TWO786471 UGD786471:UGK786471 UPZ786471:UQG786471 UZV786471:VAC786471 VJR786471:VJY786471 VTN786471:VTU786471 WDJ786471:WDQ786471 WNF786471:WNM786471 WXB786471:WXI786471 AT852007:BA852007 KP852007:KW852007 UL852007:US852007 AEH852007:AEO852007 AOD852007:AOK852007 AXZ852007:AYG852007 BHV852007:BIC852007 BRR852007:BRY852007 CBN852007:CBU852007 CLJ852007:CLQ852007 CVF852007:CVM852007 DFB852007:DFI852007 DOX852007:DPE852007 DYT852007:DZA852007 EIP852007:EIW852007 ESL852007:ESS852007 FCH852007:FCO852007 FMD852007:FMK852007 FVZ852007:FWG852007 GFV852007:GGC852007 GPR852007:GPY852007 GZN852007:GZU852007 HJJ852007:HJQ852007 HTF852007:HTM852007 IDB852007:IDI852007 IMX852007:INE852007 IWT852007:IXA852007 JGP852007:JGW852007 JQL852007:JQS852007 KAH852007:KAO852007 KKD852007:KKK852007 KTZ852007:KUG852007 LDV852007:LEC852007 LNR852007:LNY852007 LXN852007:LXU852007 MHJ852007:MHQ852007 MRF852007:MRM852007 NBB852007:NBI852007 NKX852007:NLE852007 NUT852007:NVA852007 OEP852007:OEW852007 OOL852007:OOS852007 OYH852007:OYO852007 PID852007:PIK852007 PRZ852007:PSG852007 QBV852007:QCC852007 QLR852007:QLY852007 QVN852007:QVU852007 RFJ852007:RFQ852007 RPF852007:RPM852007 RZB852007:RZI852007 SIX852007:SJE852007 SST852007:STA852007 TCP852007:TCW852007 TML852007:TMS852007 TWH852007:TWO852007 UGD852007:UGK852007 UPZ852007:UQG852007 UZV852007:VAC852007 VJR852007:VJY852007 VTN852007:VTU852007 WDJ852007:WDQ852007 WNF852007:WNM852007 WXB852007:WXI852007 AT917543:BA917543 KP917543:KW917543 UL917543:US917543 AEH917543:AEO917543 AOD917543:AOK917543 AXZ917543:AYG917543 BHV917543:BIC917543 BRR917543:BRY917543 CBN917543:CBU917543 CLJ917543:CLQ917543 CVF917543:CVM917543 DFB917543:DFI917543 DOX917543:DPE917543 DYT917543:DZA917543 EIP917543:EIW917543 ESL917543:ESS917543 FCH917543:FCO917543 FMD917543:FMK917543 FVZ917543:FWG917543 GFV917543:GGC917543 GPR917543:GPY917543 GZN917543:GZU917543 HJJ917543:HJQ917543 HTF917543:HTM917543 IDB917543:IDI917543 IMX917543:INE917543 IWT917543:IXA917543 JGP917543:JGW917543 JQL917543:JQS917543 KAH917543:KAO917543 KKD917543:KKK917543 KTZ917543:KUG917543 LDV917543:LEC917543 LNR917543:LNY917543 LXN917543:LXU917543 MHJ917543:MHQ917543 MRF917543:MRM917543 NBB917543:NBI917543 NKX917543:NLE917543 NUT917543:NVA917543 OEP917543:OEW917543 OOL917543:OOS917543 OYH917543:OYO917543 PID917543:PIK917543 PRZ917543:PSG917543 QBV917543:QCC917543 QLR917543:QLY917543 QVN917543:QVU917543 RFJ917543:RFQ917543 RPF917543:RPM917543 RZB917543:RZI917543 SIX917543:SJE917543 SST917543:STA917543 TCP917543:TCW917543 TML917543:TMS917543 TWH917543:TWO917543 UGD917543:UGK917543 UPZ917543:UQG917543 UZV917543:VAC917543 VJR917543:VJY917543 VTN917543:VTU917543 WDJ917543:WDQ917543 WNF917543:WNM917543 WXB917543:WXI917543 AT983079:BA983079 KP983079:KW983079 UL983079:US983079 AEH983079:AEO983079 AOD983079:AOK983079 AXZ983079:AYG983079 BHV983079:BIC983079 BRR983079:BRY983079 CBN983079:CBU983079 CLJ983079:CLQ983079 CVF983079:CVM983079 DFB983079:DFI983079 DOX983079:DPE983079 DYT983079:DZA983079 EIP983079:EIW983079 ESL983079:ESS983079 FCH983079:FCO983079 FMD983079:FMK983079 FVZ983079:FWG983079 GFV983079:GGC983079 GPR983079:GPY983079 GZN983079:GZU983079 HJJ983079:HJQ983079 HTF983079:HTM983079 IDB983079:IDI983079 IMX983079:INE983079 IWT983079:IXA983079 JGP983079:JGW983079 JQL983079:JQS983079 KAH983079:KAO983079 KKD983079:KKK983079 KTZ983079:KUG983079 LDV983079:LEC983079 LNR983079:LNY983079 LXN983079:LXU983079 MHJ983079:MHQ983079 MRF983079:MRM983079 NBB983079:NBI983079 NKX983079:NLE983079 NUT983079:NVA983079 OEP983079:OEW983079 OOL983079:OOS983079 OYH983079:OYO983079 PID983079:PIK983079 PRZ983079:PSG983079 QBV983079:QCC983079 QLR983079:QLY983079 QVN983079:QVU983079 RFJ983079:RFQ983079 RPF983079:RPM983079 RZB983079:RZI983079 SIX983079:SJE983079 SST983079:STA983079 TCP983079:TCW983079 TML983079:TMS983079 TWH983079:TWO983079 UGD983079:UGK983079 UPZ983079:UQG983079 UZV983079:VAC983079 VJR983079:VJY983079 VTN983079:VTU983079 WDJ983079:WDQ983079 WNF983079:WNM983079 WXB983079:WXI983079" xr:uid="{00000000-0002-0000-0100-000003000000}">
      <formula1>$BM$3:$BM$46</formula1>
    </dataValidation>
    <dataValidation type="list" allowBlank="1" showInputMessage="1" showErrorMessage="1" sqref="AG39:AM39 KC39:KI39 TY39:UE39 ADU39:AEA39 ANQ39:ANW39 AXM39:AXS39 BHI39:BHO39 BRE39:BRK39 CBA39:CBG39 CKW39:CLC39 CUS39:CUY39 DEO39:DEU39 DOK39:DOQ39 DYG39:DYM39 EIC39:EII39 ERY39:ESE39 FBU39:FCA39 FLQ39:FLW39 FVM39:FVS39 GFI39:GFO39 GPE39:GPK39 GZA39:GZG39 HIW39:HJC39 HSS39:HSY39 ICO39:ICU39 IMK39:IMQ39 IWG39:IWM39 JGC39:JGI39 JPY39:JQE39 JZU39:KAA39 KJQ39:KJW39 KTM39:KTS39 LDI39:LDO39 LNE39:LNK39 LXA39:LXG39 MGW39:MHC39 MQS39:MQY39 NAO39:NAU39 NKK39:NKQ39 NUG39:NUM39 OEC39:OEI39 ONY39:OOE39 OXU39:OYA39 PHQ39:PHW39 PRM39:PRS39 QBI39:QBO39 QLE39:QLK39 QVA39:QVG39 REW39:RFC39 ROS39:ROY39 RYO39:RYU39 SIK39:SIQ39 SSG39:SSM39 TCC39:TCI39 TLY39:TME39 TVU39:TWA39 UFQ39:UFW39 UPM39:UPS39 UZI39:UZO39 VJE39:VJK39 VTA39:VTG39 WCW39:WDC39 WMS39:WMY39 WWO39:WWU39 AG65575:AM65575 KC65575:KI65575 TY65575:UE65575 ADU65575:AEA65575 ANQ65575:ANW65575 AXM65575:AXS65575 BHI65575:BHO65575 BRE65575:BRK65575 CBA65575:CBG65575 CKW65575:CLC65575 CUS65575:CUY65575 DEO65575:DEU65575 DOK65575:DOQ65575 DYG65575:DYM65575 EIC65575:EII65575 ERY65575:ESE65575 FBU65575:FCA65575 FLQ65575:FLW65575 FVM65575:FVS65575 GFI65575:GFO65575 GPE65575:GPK65575 GZA65575:GZG65575 HIW65575:HJC65575 HSS65575:HSY65575 ICO65575:ICU65575 IMK65575:IMQ65575 IWG65575:IWM65575 JGC65575:JGI65575 JPY65575:JQE65575 JZU65575:KAA65575 KJQ65575:KJW65575 KTM65575:KTS65575 LDI65575:LDO65575 LNE65575:LNK65575 LXA65575:LXG65575 MGW65575:MHC65575 MQS65575:MQY65575 NAO65575:NAU65575 NKK65575:NKQ65575 NUG65575:NUM65575 OEC65575:OEI65575 ONY65575:OOE65575 OXU65575:OYA65575 PHQ65575:PHW65575 PRM65575:PRS65575 QBI65575:QBO65575 QLE65575:QLK65575 QVA65575:QVG65575 REW65575:RFC65575 ROS65575:ROY65575 RYO65575:RYU65575 SIK65575:SIQ65575 SSG65575:SSM65575 TCC65575:TCI65575 TLY65575:TME65575 TVU65575:TWA65575 UFQ65575:UFW65575 UPM65575:UPS65575 UZI65575:UZO65575 VJE65575:VJK65575 VTA65575:VTG65575 WCW65575:WDC65575 WMS65575:WMY65575 WWO65575:WWU65575 AG131111:AM131111 KC131111:KI131111 TY131111:UE131111 ADU131111:AEA131111 ANQ131111:ANW131111 AXM131111:AXS131111 BHI131111:BHO131111 BRE131111:BRK131111 CBA131111:CBG131111 CKW131111:CLC131111 CUS131111:CUY131111 DEO131111:DEU131111 DOK131111:DOQ131111 DYG131111:DYM131111 EIC131111:EII131111 ERY131111:ESE131111 FBU131111:FCA131111 FLQ131111:FLW131111 FVM131111:FVS131111 GFI131111:GFO131111 GPE131111:GPK131111 GZA131111:GZG131111 HIW131111:HJC131111 HSS131111:HSY131111 ICO131111:ICU131111 IMK131111:IMQ131111 IWG131111:IWM131111 JGC131111:JGI131111 JPY131111:JQE131111 JZU131111:KAA131111 KJQ131111:KJW131111 KTM131111:KTS131111 LDI131111:LDO131111 LNE131111:LNK131111 LXA131111:LXG131111 MGW131111:MHC131111 MQS131111:MQY131111 NAO131111:NAU131111 NKK131111:NKQ131111 NUG131111:NUM131111 OEC131111:OEI131111 ONY131111:OOE131111 OXU131111:OYA131111 PHQ131111:PHW131111 PRM131111:PRS131111 QBI131111:QBO131111 QLE131111:QLK131111 QVA131111:QVG131111 REW131111:RFC131111 ROS131111:ROY131111 RYO131111:RYU131111 SIK131111:SIQ131111 SSG131111:SSM131111 TCC131111:TCI131111 TLY131111:TME131111 TVU131111:TWA131111 UFQ131111:UFW131111 UPM131111:UPS131111 UZI131111:UZO131111 VJE131111:VJK131111 VTA131111:VTG131111 WCW131111:WDC131111 WMS131111:WMY131111 WWO131111:WWU131111 AG196647:AM196647 KC196647:KI196647 TY196647:UE196647 ADU196647:AEA196647 ANQ196647:ANW196647 AXM196647:AXS196647 BHI196647:BHO196647 BRE196647:BRK196647 CBA196647:CBG196647 CKW196647:CLC196647 CUS196647:CUY196647 DEO196647:DEU196647 DOK196647:DOQ196647 DYG196647:DYM196647 EIC196647:EII196647 ERY196647:ESE196647 FBU196647:FCA196647 FLQ196647:FLW196647 FVM196647:FVS196647 GFI196647:GFO196647 GPE196647:GPK196647 GZA196647:GZG196647 HIW196647:HJC196647 HSS196647:HSY196647 ICO196647:ICU196647 IMK196647:IMQ196647 IWG196647:IWM196647 JGC196647:JGI196647 JPY196647:JQE196647 JZU196647:KAA196647 KJQ196647:KJW196647 KTM196647:KTS196647 LDI196647:LDO196647 LNE196647:LNK196647 LXA196647:LXG196647 MGW196647:MHC196647 MQS196647:MQY196647 NAO196647:NAU196647 NKK196647:NKQ196647 NUG196647:NUM196647 OEC196647:OEI196647 ONY196647:OOE196647 OXU196647:OYA196647 PHQ196647:PHW196647 PRM196647:PRS196647 QBI196647:QBO196647 QLE196647:QLK196647 QVA196647:QVG196647 REW196647:RFC196647 ROS196647:ROY196647 RYO196647:RYU196647 SIK196647:SIQ196647 SSG196647:SSM196647 TCC196647:TCI196647 TLY196647:TME196647 TVU196647:TWA196647 UFQ196647:UFW196647 UPM196647:UPS196647 UZI196647:UZO196647 VJE196647:VJK196647 VTA196647:VTG196647 WCW196647:WDC196647 WMS196647:WMY196647 WWO196647:WWU196647 AG262183:AM262183 KC262183:KI262183 TY262183:UE262183 ADU262183:AEA262183 ANQ262183:ANW262183 AXM262183:AXS262183 BHI262183:BHO262183 BRE262183:BRK262183 CBA262183:CBG262183 CKW262183:CLC262183 CUS262183:CUY262183 DEO262183:DEU262183 DOK262183:DOQ262183 DYG262183:DYM262183 EIC262183:EII262183 ERY262183:ESE262183 FBU262183:FCA262183 FLQ262183:FLW262183 FVM262183:FVS262183 GFI262183:GFO262183 GPE262183:GPK262183 GZA262183:GZG262183 HIW262183:HJC262183 HSS262183:HSY262183 ICO262183:ICU262183 IMK262183:IMQ262183 IWG262183:IWM262183 JGC262183:JGI262183 JPY262183:JQE262183 JZU262183:KAA262183 KJQ262183:KJW262183 KTM262183:KTS262183 LDI262183:LDO262183 LNE262183:LNK262183 LXA262183:LXG262183 MGW262183:MHC262183 MQS262183:MQY262183 NAO262183:NAU262183 NKK262183:NKQ262183 NUG262183:NUM262183 OEC262183:OEI262183 ONY262183:OOE262183 OXU262183:OYA262183 PHQ262183:PHW262183 PRM262183:PRS262183 QBI262183:QBO262183 QLE262183:QLK262183 QVA262183:QVG262183 REW262183:RFC262183 ROS262183:ROY262183 RYO262183:RYU262183 SIK262183:SIQ262183 SSG262183:SSM262183 TCC262183:TCI262183 TLY262183:TME262183 TVU262183:TWA262183 UFQ262183:UFW262183 UPM262183:UPS262183 UZI262183:UZO262183 VJE262183:VJK262183 VTA262183:VTG262183 WCW262183:WDC262183 WMS262183:WMY262183 WWO262183:WWU262183 AG327719:AM327719 KC327719:KI327719 TY327719:UE327719 ADU327719:AEA327719 ANQ327719:ANW327719 AXM327719:AXS327719 BHI327719:BHO327719 BRE327719:BRK327719 CBA327719:CBG327719 CKW327719:CLC327719 CUS327719:CUY327719 DEO327719:DEU327719 DOK327719:DOQ327719 DYG327719:DYM327719 EIC327719:EII327719 ERY327719:ESE327719 FBU327719:FCA327719 FLQ327719:FLW327719 FVM327719:FVS327719 GFI327719:GFO327719 GPE327719:GPK327719 GZA327719:GZG327719 HIW327719:HJC327719 HSS327719:HSY327719 ICO327719:ICU327719 IMK327719:IMQ327719 IWG327719:IWM327719 JGC327719:JGI327719 JPY327719:JQE327719 JZU327719:KAA327719 KJQ327719:KJW327719 KTM327719:KTS327719 LDI327719:LDO327719 LNE327719:LNK327719 LXA327719:LXG327719 MGW327719:MHC327719 MQS327719:MQY327719 NAO327719:NAU327719 NKK327719:NKQ327719 NUG327719:NUM327719 OEC327719:OEI327719 ONY327719:OOE327719 OXU327719:OYA327719 PHQ327719:PHW327719 PRM327719:PRS327719 QBI327719:QBO327719 QLE327719:QLK327719 QVA327719:QVG327719 REW327719:RFC327719 ROS327719:ROY327719 RYO327719:RYU327719 SIK327719:SIQ327719 SSG327719:SSM327719 TCC327719:TCI327719 TLY327719:TME327719 TVU327719:TWA327719 UFQ327719:UFW327719 UPM327719:UPS327719 UZI327719:UZO327719 VJE327719:VJK327719 VTA327719:VTG327719 WCW327719:WDC327719 WMS327719:WMY327719 WWO327719:WWU327719 AG393255:AM393255 KC393255:KI393255 TY393255:UE393255 ADU393255:AEA393255 ANQ393255:ANW393255 AXM393255:AXS393255 BHI393255:BHO393255 BRE393255:BRK393255 CBA393255:CBG393255 CKW393255:CLC393255 CUS393255:CUY393255 DEO393255:DEU393255 DOK393255:DOQ393255 DYG393255:DYM393255 EIC393255:EII393255 ERY393255:ESE393255 FBU393255:FCA393255 FLQ393255:FLW393255 FVM393255:FVS393255 GFI393255:GFO393255 GPE393255:GPK393255 GZA393255:GZG393255 HIW393255:HJC393255 HSS393255:HSY393255 ICO393255:ICU393255 IMK393255:IMQ393255 IWG393255:IWM393255 JGC393255:JGI393255 JPY393255:JQE393255 JZU393255:KAA393255 KJQ393255:KJW393255 KTM393255:KTS393255 LDI393255:LDO393255 LNE393255:LNK393255 LXA393255:LXG393255 MGW393255:MHC393255 MQS393255:MQY393255 NAO393255:NAU393255 NKK393255:NKQ393255 NUG393255:NUM393255 OEC393255:OEI393255 ONY393255:OOE393255 OXU393255:OYA393255 PHQ393255:PHW393255 PRM393255:PRS393255 QBI393255:QBO393255 QLE393255:QLK393255 QVA393255:QVG393255 REW393255:RFC393255 ROS393255:ROY393255 RYO393255:RYU393255 SIK393255:SIQ393255 SSG393255:SSM393255 TCC393255:TCI393255 TLY393255:TME393255 TVU393255:TWA393255 UFQ393255:UFW393255 UPM393255:UPS393255 UZI393255:UZO393255 VJE393255:VJK393255 VTA393255:VTG393255 WCW393255:WDC393255 WMS393255:WMY393255 WWO393255:WWU393255 AG458791:AM458791 KC458791:KI458791 TY458791:UE458791 ADU458791:AEA458791 ANQ458791:ANW458791 AXM458791:AXS458791 BHI458791:BHO458791 BRE458791:BRK458791 CBA458791:CBG458791 CKW458791:CLC458791 CUS458791:CUY458791 DEO458791:DEU458791 DOK458791:DOQ458791 DYG458791:DYM458791 EIC458791:EII458791 ERY458791:ESE458791 FBU458791:FCA458791 FLQ458791:FLW458791 FVM458791:FVS458791 GFI458791:GFO458791 GPE458791:GPK458791 GZA458791:GZG458791 HIW458791:HJC458791 HSS458791:HSY458791 ICO458791:ICU458791 IMK458791:IMQ458791 IWG458791:IWM458791 JGC458791:JGI458791 JPY458791:JQE458791 JZU458791:KAA458791 KJQ458791:KJW458791 KTM458791:KTS458791 LDI458791:LDO458791 LNE458791:LNK458791 LXA458791:LXG458791 MGW458791:MHC458791 MQS458791:MQY458791 NAO458791:NAU458791 NKK458791:NKQ458791 NUG458791:NUM458791 OEC458791:OEI458791 ONY458791:OOE458791 OXU458791:OYA458791 PHQ458791:PHW458791 PRM458791:PRS458791 QBI458791:QBO458791 QLE458791:QLK458791 QVA458791:QVG458791 REW458791:RFC458791 ROS458791:ROY458791 RYO458791:RYU458791 SIK458791:SIQ458791 SSG458791:SSM458791 TCC458791:TCI458791 TLY458791:TME458791 TVU458791:TWA458791 UFQ458791:UFW458791 UPM458791:UPS458791 UZI458791:UZO458791 VJE458791:VJK458791 VTA458791:VTG458791 WCW458791:WDC458791 WMS458791:WMY458791 WWO458791:WWU458791 AG524327:AM524327 KC524327:KI524327 TY524327:UE524327 ADU524327:AEA524327 ANQ524327:ANW524327 AXM524327:AXS524327 BHI524327:BHO524327 BRE524327:BRK524327 CBA524327:CBG524327 CKW524327:CLC524327 CUS524327:CUY524327 DEO524327:DEU524327 DOK524327:DOQ524327 DYG524327:DYM524327 EIC524327:EII524327 ERY524327:ESE524327 FBU524327:FCA524327 FLQ524327:FLW524327 FVM524327:FVS524327 GFI524327:GFO524327 GPE524327:GPK524327 GZA524327:GZG524327 HIW524327:HJC524327 HSS524327:HSY524327 ICO524327:ICU524327 IMK524327:IMQ524327 IWG524327:IWM524327 JGC524327:JGI524327 JPY524327:JQE524327 JZU524327:KAA524327 KJQ524327:KJW524327 KTM524327:KTS524327 LDI524327:LDO524327 LNE524327:LNK524327 LXA524327:LXG524327 MGW524327:MHC524327 MQS524327:MQY524327 NAO524327:NAU524327 NKK524327:NKQ524327 NUG524327:NUM524327 OEC524327:OEI524327 ONY524327:OOE524327 OXU524327:OYA524327 PHQ524327:PHW524327 PRM524327:PRS524327 QBI524327:QBO524327 QLE524327:QLK524327 QVA524327:QVG524327 REW524327:RFC524327 ROS524327:ROY524327 RYO524327:RYU524327 SIK524327:SIQ524327 SSG524327:SSM524327 TCC524327:TCI524327 TLY524327:TME524327 TVU524327:TWA524327 UFQ524327:UFW524327 UPM524327:UPS524327 UZI524327:UZO524327 VJE524327:VJK524327 VTA524327:VTG524327 WCW524327:WDC524327 WMS524327:WMY524327 WWO524327:WWU524327 AG589863:AM589863 KC589863:KI589863 TY589863:UE589863 ADU589863:AEA589863 ANQ589863:ANW589863 AXM589863:AXS589863 BHI589863:BHO589863 BRE589863:BRK589863 CBA589863:CBG589863 CKW589863:CLC589863 CUS589863:CUY589863 DEO589863:DEU589863 DOK589863:DOQ589863 DYG589863:DYM589863 EIC589863:EII589863 ERY589863:ESE589863 FBU589863:FCA589863 FLQ589863:FLW589863 FVM589863:FVS589863 GFI589863:GFO589863 GPE589863:GPK589863 GZA589863:GZG589863 HIW589863:HJC589863 HSS589863:HSY589863 ICO589863:ICU589863 IMK589863:IMQ589863 IWG589863:IWM589863 JGC589863:JGI589863 JPY589863:JQE589863 JZU589863:KAA589863 KJQ589863:KJW589863 KTM589863:KTS589863 LDI589863:LDO589863 LNE589863:LNK589863 LXA589863:LXG589863 MGW589863:MHC589863 MQS589863:MQY589863 NAO589863:NAU589863 NKK589863:NKQ589863 NUG589863:NUM589863 OEC589863:OEI589863 ONY589863:OOE589863 OXU589863:OYA589863 PHQ589863:PHW589863 PRM589863:PRS589863 QBI589863:QBO589863 QLE589863:QLK589863 QVA589863:QVG589863 REW589863:RFC589863 ROS589863:ROY589863 RYO589863:RYU589863 SIK589863:SIQ589863 SSG589863:SSM589863 TCC589863:TCI589863 TLY589863:TME589863 TVU589863:TWA589863 UFQ589863:UFW589863 UPM589863:UPS589863 UZI589863:UZO589863 VJE589863:VJK589863 VTA589863:VTG589863 WCW589863:WDC589863 WMS589863:WMY589863 WWO589863:WWU589863 AG655399:AM655399 KC655399:KI655399 TY655399:UE655399 ADU655399:AEA655399 ANQ655399:ANW655399 AXM655399:AXS655399 BHI655399:BHO655399 BRE655399:BRK655399 CBA655399:CBG655399 CKW655399:CLC655399 CUS655399:CUY655399 DEO655399:DEU655399 DOK655399:DOQ655399 DYG655399:DYM655399 EIC655399:EII655399 ERY655399:ESE655399 FBU655399:FCA655399 FLQ655399:FLW655399 FVM655399:FVS655399 GFI655399:GFO655399 GPE655399:GPK655399 GZA655399:GZG655399 HIW655399:HJC655399 HSS655399:HSY655399 ICO655399:ICU655399 IMK655399:IMQ655399 IWG655399:IWM655399 JGC655399:JGI655399 JPY655399:JQE655399 JZU655399:KAA655399 KJQ655399:KJW655399 KTM655399:KTS655399 LDI655399:LDO655399 LNE655399:LNK655399 LXA655399:LXG655399 MGW655399:MHC655399 MQS655399:MQY655399 NAO655399:NAU655399 NKK655399:NKQ655399 NUG655399:NUM655399 OEC655399:OEI655399 ONY655399:OOE655399 OXU655399:OYA655399 PHQ655399:PHW655399 PRM655399:PRS655399 QBI655399:QBO655399 QLE655399:QLK655399 QVA655399:QVG655399 REW655399:RFC655399 ROS655399:ROY655399 RYO655399:RYU655399 SIK655399:SIQ655399 SSG655399:SSM655399 TCC655399:TCI655399 TLY655399:TME655399 TVU655399:TWA655399 UFQ655399:UFW655399 UPM655399:UPS655399 UZI655399:UZO655399 VJE655399:VJK655399 VTA655399:VTG655399 WCW655399:WDC655399 WMS655399:WMY655399 WWO655399:WWU655399 AG720935:AM720935 KC720935:KI720935 TY720935:UE720935 ADU720935:AEA720935 ANQ720935:ANW720935 AXM720935:AXS720935 BHI720935:BHO720935 BRE720935:BRK720935 CBA720935:CBG720935 CKW720935:CLC720935 CUS720935:CUY720935 DEO720935:DEU720935 DOK720935:DOQ720935 DYG720935:DYM720935 EIC720935:EII720935 ERY720935:ESE720935 FBU720935:FCA720935 FLQ720935:FLW720935 FVM720935:FVS720935 GFI720935:GFO720935 GPE720935:GPK720935 GZA720935:GZG720935 HIW720935:HJC720935 HSS720935:HSY720935 ICO720935:ICU720935 IMK720935:IMQ720935 IWG720935:IWM720935 JGC720935:JGI720935 JPY720935:JQE720935 JZU720935:KAA720935 KJQ720935:KJW720935 KTM720935:KTS720935 LDI720935:LDO720935 LNE720935:LNK720935 LXA720935:LXG720935 MGW720935:MHC720935 MQS720935:MQY720935 NAO720935:NAU720935 NKK720935:NKQ720935 NUG720935:NUM720935 OEC720935:OEI720935 ONY720935:OOE720935 OXU720935:OYA720935 PHQ720935:PHW720935 PRM720935:PRS720935 QBI720935:QBO720935 QLE720935:QLK720935 QVA720935:QVG720935 REW720935:RFC720935 ROS720935:ROY720935 RYO720935:RYU720935 SIK720935:SIQ720935 SSG720935:SSM720935 TCC720935:TCI720935 TLY720935:TME720935 TVU720935:TWA720935 UFQ720935:UFW720935 UPM720935:UPS720935 UZI720935:UZO720935 VJE720935:VJK720935 VTA720935:VTG720935 WCW720935:WDC720935 WMS720935:WMY720935 WWO720935:WWU720935 AG786471:AM786471 KC786471:KI786471 TY786471:UE786471 ADU786471:AEA786471 ANQ786471:ANW786471 AXM786471:AXS786471 BHI786471:BHO786471 BRE786471:BRK786471 CBA786471:CBG786471 CKW786471:CLC786471 CUS786471:CUY786471 DEO786471:DEU786471 DOK786471:DOQ786471 DYG786471:DYM786471 EIC786471:EII786471 ERY786471:ESE786471 FBU786471:FCA786471 FLQ786471:FLW786471 FVM786471:FVS786471 GFI786471:GFO786471 GPE786471:GPK786471 GZA786471:GZG786471 HIW786471:HJC786471 HSS786471:HSY786471 ICO786471:ICU786471 IMK786471:IMQ786471 IWG786471:IWM786471 JGC786471:JGI786471 JPY786471:JQE786471 JZU786471:KAA786471 KJQ786471:KJW786471 KTM786471:KTS786471 LDI786471:LDO786471 LNE786471:LNK786471 LXA786471:LXG786471 MGW786471:MHC786471 MQS786471:MQY786471 NAO786471:NAU786471 NKK786471:NKQ786471 NUG786471:NUM786471 OEC786471:OEI786471 ONY786471:OOE786471 OXU786471:OYA786471 PHQ786471:PHW786471 PRM786471:PRS786471 QBI786471:QBO786471 QLE786471:QLK786471 QVA786471:QVG786471 REW786471:RFC786471 ROS786471:ROY786471 RYO786471:RYU786471 SIK786471:SIQ786471 SSG786471:SSM786471 TCC786471:TCI786471 TLY786471:TME786471 TVU786471:TWA786471 UFQ786471:UFW786471 UPM786471:UPS786471 UZI786471:UZO786471 VJE786471:VJK786471 VTA786471:VTG786471 WCW786471:WDC786471 WMS786471:WMY786471 WWO786471:WWU786471 AG852007:AM852007 KC852007:KI852007 TY852007:UE852007 ADU852007:AEA852007 ANQ852007:ANW852007 AXM852007:AXS852007 BHI852007:BHO852007 BRE852007:BRK852007 CBA852007:CBG852007 CKW852007:CLC852007 CUS852007:CUY852007 DEO852007:DEU852007 DOK852007:DOQ852007 DYG852007:DYM852007 EIC852007:EII852007 ERY852007:ESE852007 FBU852007:FCA852007 FLQ852007:FLW852007 FVM852007:FVS852007 GFI852007:GFO852007 GPE852007:GPK852007 GZA852007:GZG852007 HIW852007:HJC852007 HSS852007:HSY852007 ICO852007:ICU852007 IMK852007:IMQ852007 IWG852007:IWM852007 JGC852007:JGI852007 JPY852007:JQE852007 JZU852007:KAA852007 KJQ852007:KJW852007 KTM852007:KTS852007 LDI852007:LDO852007 LNE852007:LNK852007 LXA852007:LXG852007 MGW852007:MHC852007 MQS852007:MQY852007 NAO852007:NAU852007 NKK852007:NKQ852007 NUG852007:NUM852007 OEC852007:OEI852007 ONY852007:OOE852007 OXU852007:OYA852007 PHQ852007:PHW852007 PRM852007:PRS852007 QBI852007:QBO852007 QLE852007:QLK852007 QVA852007:QVG852007 REW852007:RFC852007 ROS852007:ROY852007 RYO852007:RYU852007 SIK852007:SIQ852007 SSG852007:SSM852007 TCC852007:TCI852007 TLY852007:TME852007 TVU852007:TWA852007 UFQ852007:UFW852007 UPM852007:UPS852007 UZI852007:UZO852007 VJE852007:VJK852007 VTA852007:VTG852007 WCW852007:WDC852007 WMS852007:WMY852007 WWO852007:WWU852007 AG917543:AM917543 KC917543:KI917543 TY917543:UE917543 ADU917543:AEA917543 ANQ917543:ANW917543 AXM917543:AXS917543 BHI917543:BHO917543 BRE917543:BRK917543 CBA917543:CBG917543 CKW917543:CLC917543 CUS917543:CUY917543 DEO917543:DEU917543 DOK917543:DOQ917543 DYG917543:DYM917543 EIC917543:EII917543 ERY917543:ESE917543 FBU917543:FCA917543 FLQ917543:FLW917543 FVM917543:FVS917543 GFI917543:GFO917543 GPE917543:GPK917543 GZA917543:GZG917543 HIW917543:HJC917543 HSS917543:HSY917543 ICO917543:ICU917543 IMK917543:IMQ917543 IWG917543:IWM917543 JGC917543:JGI917543 JPY917543:JQE917543 JZU917543:KAA917543 KJQ917543:KJW917543 KTM917543:KTS917543 LDI917543:LDO917543 LNE917543:LNK917543 LXA917543:LXG917543 MGW917543:MHC917543 MQS917543:MQY917543 NAO917543:NAU917543 NKK917543:NKQ917543 NUG917543:NUM917543 OEC917543:OEI917543 ONY917543:OOE917543 OXU917543:OYA917543 PHQ917543:PHW917543 PRM917543:PRS917543 QBI917543:QBO917543 QLE917543:QLK917543 QVA917543:QVG917543 REW917543:RFC917543 ROS917543:ROY917543 RYO917543:RYU917543 SIK917543:SIQ917543 SSG917543:SSM917543 TCC917543:TCI917543 TLY917543:TME917543 TVU917543:TWA917543 UFQ917543:UFW917543 UPM917543:UPS917543 UZI917543:UZO917543 VJE917543:VJK917543 VTA917543:VTG917543 WCW917543:WDC917543 WMS917543:WMY917543 WWO917543:WWU917543 AG983079:AM983079 KC983079:KI983079 TY983079:UE983079 ADU983079:AEA983079 ANQ983079:ANW983079 AXM983079:AXS983079 BHI983079:BHO983079 BRE983079:BRK983079 CBA983079:CBG983079 CKW983079:CLC983079 CUS983079:CUY983079 DEO983079:DEU983079 DOK983079:DOQ983079 DYG983079:DYM983079 EIC983079:EII983079 ERY983079:ESE983079 FBU983079:FCA983079 FLQ983079:FLW983079 FVM983079:FVS983079 GFI983079:GFO983079 GPE983079:GPK983079 GZA983079:GZG983079 HIW983079:HJC983079 HSS983079:HSY983079 ICO983079:ICU983079 IMK983079:IMQ983079 IWG983079:IWM983079 JGC983079:JGI983079 JPY983079:JQE983079 JZU983079:KAA983079 KJQ983079:KJW983079 KTM983079:KTS983079 LDI983079:LDO983079 LNE983079:LNK983079 LXA983079:LXG983079 MGW983079:MHC983079 MQS983079:MQY983079 NAO983079:NAU983079 NKK983079:NKQ983079 NUG983079:NUM983079 OEC983079:OEI983079 ONY983079:OOE983079 OXU983079:OYA983079 PHQ983079:PHW983079 PRM983079:PRS983079 QBI983079:QBO983079 QLE983079:QLK983079 QVA983079:QVG983079 REW983079:RFC983079 ROS983079:ROY983079 RYO983079:RYU983079 SIK983079:SIQ983079 SSG983079:SSM983079 TCC983079:TCI983079 TLY983079:TME983079 TVU983079:TWA983079 UFQ983079:UFW983079 UPM983079:UPS983079 UZI983079:UZO983079 VJE983079:VJK983079 VTA983079:VTG983079 WCW983079:WDC983079 WMS983079:WMY983079 WWO983079:WWU983079" xr:uid="{00000000-0002-0000-0100-000004000000}">
      <formula1>$BN$3:$BN$12</formula1>
    </dataValidation>
    <dataValidation type="list" allowBlank="1" showInputMessage="1" showErrorMessage="1" sqref="K38:AI38 JG38:KE38 TC38:UA38 ACY38:ADW38 AMU38:ANS38 AWQ38:AXO38 BGM38:BHK38 BQI38:BRG38 CAE38:CBC38 CKA38:CKY38 CTW38:CUU38 DDS38:DEQ38 DNO38:DOM38 DXK38:DYI38 EHG38:EIE38 ERC38:ESA38 FAY38:FBW38 FKU38:FLS38 FUQ38:FVO38 GEM38:GFK38 GOI38:GPG38 GYE38:GZC38 HIA38:HIY38 HRW38:HSU38 IBS38:ICQ38 ILO38:IMM38 IVK38:IWI38 JFG38:JGE38 JPC38:JQA38 JYY38:JZW38 KIU38:KJS38 KSQ38:KTO38 LCM38:LDK38 LMI38:LNG38 LWE38:LXC38 MGA38:MGY38 MPW38:MQU38 MZS38:NAQ38 NJO38:NKM38 NTK38:NUI38 ODG38:OEE38 ONC38:OOA38 OWY38:OXW38 PGU38:PHS38 PQQ38:PRO38 QAM38:QBK38 QKI38:QLG38 QUE38:QVC38 REA38:REY38 RNW38:ROU38 RXS38:RYQ38 SHO38:SIM38 SRK38:SSI38 TBG38:TCE38 TLC38:TMA38 TUY38:TVW38 UEU38:UFS38 UOQ38:UPO38 UYM38:UZK38 VII38:VJG38 VSE38:VTC38 WCA38:WCY38 WLW38:WMU38 WVS38:WWQ38 K65574:AI65574 JG65574:KE65574 TC65574:UA65574 ACY65574:ADW65574 AMU65574:ANS65574 AWQ65574:AXO65574 BGM65574:BHK65574 BQI65574:BRG65574 CAE65574:CBC65574 CKA65574:CKY65574 CTW65574:CUU65574 DDS65574:DEQ65574 DNO65574:DOM65574 DXK65574:DYI65574 EHG65574:EIE65574 ERC65574:ESA65574 FAY65574:FBW65574 FKU65574:FLS65574 FUQ65574:FVO65574 GEM65574:GFK65574 GOI65574:GPG65574 GYE65574:GZC65574 HIA65574:HIY65574 HRW65574:HSU65574 IBS65574:ICQ65574 ILO65574:IMM65574 IVK65574:IWI65574 JFG65574:JGE65574 JPC65574:JQA65574 JYY65574:JZW65574 KIU65574:KJS65574 KSQ65574:KTO65574 LCM65574:LDK65574 LMI65574:LNG65574 LWE65574:LXC65574 MGA65574:MGY65574 MPW65574:MQU65574 MZS65574:NAQ65574 NJO65574:NKM65574 NTK65574:NUI65574 ODG65574:OEE65574 ONC65574:OOA65574 OWY65574:OXW65574 PGU65574:PHS65574 PQQ65574:PRO65574 QAM65574:QBK65574 QKI65574:QLG65574 QUE65574:QVC65574 REA65574:REY65574 RNW65574:ROU65574 RXS65574:RYQ65574 SHO65574:SIM65574 SRK65574:SSI65574 TBG65574:TCE65574 TLC65574:TMA65574 TUY65574:TVW65574 UEU65574:UFS65574 UOQ65574:UPO65574 UYM65574:UZK65574 VII65574:VJG65574 VSE65574:VTC65574 WCA65574:WCY65574 WLW65574:WMU65574 WVS65574:WWQ65574 K131110:AI131110 JG131110:KE131110 TC131110:UA131110 ACY131110:ADW131110 AMU131110:ANS131110 AWQ131110:AXO131110 BGM131110:BHK131110 BQI131110:BRG131110 CAE131110:CBC131110 CKA131110:CKY131110 CTW131110:CUU131110 DDS131110:DEQ131110 DNO131110:DOM131110 DXK131110:DYI131110 EHG131110:EIE131110 ERC131110:ESA131110 FAY131110:FBW131110 FKU131110:FLS131110 FUQ131110:FVO131110 GEM131110:GFK131110 GOI131110:GPG131110 GYE131110:GZC131110 HIA131110:HIY131110 HRW131110:HSU131110 IBS131110:ICQ131110 ILO131110:IMM131110 IVK131110:IWI131110 JFG131110:JGE131110 JPC131110:JQA131110 JYY131110:JZW131110 KIU131110:KJS131110 KSQ131110:KTO131110 LCM131110:LDK131110 LMI131110:LNG131110 LWE131110:LXC131110 MGA131110:MGY131110 MPW131110:MQU131110 MZS131110:NAQ131110 NJO131110:NKM131110 NTK131110:NUI131110 ODG131110:OEE131110 ONC131110:OOA131110 OWY131110:OXW131110 PGU131110:PHS131110 PQQ131110:PRO131110 QAM131110:QBK131110 QKI131110:QLG131110 QUE131110:QVC131110 REA131110:REY131110 RNW131110:ROU131110 RXS131110:RYQ131110 SHO131110:SIM131110 SRK131110:SSI131110 TBG131110:TCE131110 TLC131110:TMA131110 TUY131110:TVW131110 UEU131110:UFS131110 UOQ131110:UPO131110 UYM131110:UZK131110 VII131110:VJG131110 VSE131110:VTC131110 WCA131110:WCY131110 WLW131110:WMU131110 WVS131110:WWQ131110 K196646:AI196646 JG196646:KE196646 TC196646:UA196646 ACY196646:ADW196646 AMU196646:ANS196646 AWQ196646:AXO196646 BGM196646:BHK196646 BQI196646:BRG196646 CAE196646:CBC196646 CKA196646:CKY196646 CTW196646:CUU196646 DDS196646:DEQ196646 DNO196646:DOM196646 DXK196646:DYI196646 EHG196646:EIE196646 ERC196646:ESA196646 FAY196646:FBW196646 FKU196646:FLS196646 FUQ196646:FVO196646 GEM196646:GFK196646 GOI196646:GPG196646 GYE196646:GZC196646 HIA196646:HIY196646 HRW196646:HSU196646 IBS196646:ICQ196646 ILO196646:IMM196646 IVK196646:IWI196646 JFG196646:JGE196646 JPC196646:JQA196646 JYY196646:JZW196646 KIU196646:KJS196646 KSQ196646:KTO196646 LCM196646:LDK196646 LMI196646:LNG196646 LWE196646:LXC196646 MGA196646:MGY196646 MPW196646:MQU196646 MZS196646:NAQ196646 NJO196646:NKM196646 NTK196646:NUI196646 ODG196646:OEE196646 ONC196646:OOA196646 OWY196646:OXW196646 PGU196646:PHS196646 PQQ196646:PRO196646 QAM196646:QBK196646 QKI196646:QLG196646 QUE196646:QVC196646 REA196646:REY196646 RNW196646:ROU196646 RXS196646:RYQ196646 SHO196646:SIM196646 SRK196646:SSI196646 TBG196646:TCE196646 TLC196646:TMA196646 TUY196646:TVW196646 UEU196646:UFS196646 UOQ196646:UPO196646 UYM196646:UZK196646 VII196646:VJG196646 VSE196646:VTC196646 WCA196646:WCY196646 WLW196646:WMU196646 WVS196646:WWQ196646 K262182:AI262182 JG262182:KE262182 TC262182:UA262182 ACY262182:ADW262182 AMU262182:ANS262182 AWQ262182:AXO262182 BGM262182:BHK262182 BQI262182:BRG262182 CAE262182:CBC262182 CKA262182:CKY262182 CTW262182:CUU262182 DDS262182:DEQ262182 DNO262182:DOM262182 DXK262182:DYI262182 EHG262182:EIE262182 ERC262182:ESA262182 FAY262182:FBW262182 FKU262182:FLS262182 FUQ262182:FVO262182 GEM262182:GFK262182 GOI262182:GPG262182 GYE262182:GZC262182 HIA262182:HIY262182 HRW262182:HSU262182 IBS262182:ICQ262182 ILO262182:IMM262182 IVK262182:IWI262182 JFG262182:JGE262182 JPC262182:JQA262182 JYY262182:JZW262182 KIU262182:KJS262182 KSQ262182:KTO262182 LCM262182:LDK262182 LMI262182:LNG262182 LWE262182:LXC262182 MGA262182:MGY262182 MPW262182:MQU262182 MZS262182:NAQ262182 NJO262182:NKM262182 NTK262182:NUI262182 ODG262182:OEE262182 ONC262182:OOA262182 OWY262182:OXW262182 PGU262182:PHS262182 PQQ262182:PRO262182 QAM262182:QBK262182 QKI262182:QLG262182 QUE262182:QVC262182 REA262182:REY262182 RNW262182:ROU262182 RXS262182:RYQ262182 SHO262182:SIM262182 SRK262182:SSI262182 TBG262182:TCE262182 TLC262182:TMA262182 TUY262182:TVW262182 UEU262182:UFS262182 UOQ262182:UPO262182 UYM262182:UZK262182 VII262182:VJG262182 VSE262182:VTC262182 WCA262182:WCY262182 WLW262182:WMU262182 WVS262182:WWQ262182 K327718:AI327718 JG327718:KE327718 TC327718:UA327718 ACY327718:ADW327718 AMU327718:ANS327718 AWQ327718:AXO327718 BGM327718:BHK327718 BQI327718:BRG327718 CAE327718:CBC327718 CKA327718:CKY327718 CTW327718:CUU327718 DDS327718:DEQ327718 DNO327718:DOM327718 DXK327718:DYI327718 EHG327718:EIE327718 ERC327718:ESA327718 FAY327718:FBW327718 FKU327718:FLS327718 FUQ327718:FVO327718 GEM327718:GFK327718 GOI327718:GPG327718 GYE327718:GZC327718 HIA327718:HIY327718 HRW327718:HSU327718 IBS327718:ICQ327718 ILO327718:IMM327718 IVK327718:IWI327718 JFG327718:JGE327718 JPC327718:JQA327718 JYY327718:JZW327718 KIU327718:KJS327718 KSQ327718:KTO327718 LCM327718:LDK327718 LMI327718:LNG327718 LWE327718:LXC327718 MGA327718:MGY327718 MPW327718:MQU327718 MZS327718:NAQ327718 NJO327718:NKM327718 NTK327718:NUI327718 ODG327718:OEE327718 ONC327718:OOA327718 OWY327718:OXW327718 PGU327718:PHS327718 PQQ327718:PRO327718 QAM327718:QBK327718 QKI327718:QLG327718 QUE327718:QVC327718 REA327718:REY327718 RNW327718:ROU327718 RXS327718:RYQ327718 SHO327718:SIM327718 SRK327718:SSI327718 TBG327718:TCE327718 TLC327718:TMA327718 TUY327718:TVW327718 UEU327718:UFS327718 UOQ327718:UPO327718 UYM327718:UZK327718 VII327718:VJG327718 VSE327718:VTC327718 WCA327718:WCY327718 WLW327718:WMU327718 WVS327718:WWQ327718 K393254:AI393254 JG393254:KE393254 TC393254:UA393254 ACY393254:ADW393254 AMU393254:ANS393254 AWQ393254:AXO393254 BGM393254:BHK393254 BQI393254:BRG393254 CAE393254:CBC393254 CKA393254:CKY393254 CTW393254:CUU393254 DDS393254:DEQ393254 DNO393254:DOM393254 DXK393254:DYI393254 EHG393254:EIE393254 ERC393254:ESA393254 FAY393254:FBW393254 FKU393254:FLS393254 FUQ393254:FVO393254 GEM393254:GFK393254 GOI393254:GPG393254 GYE393254:GZC393254 HIA393254:HIY393254 HRW393254:HSU393254 IBS393254:ICQ393254 ILO393254:IMM393254 IVK393254:IWI393254 JFG393254:JGE393254 JPC393254:JQA393254 JYY393254:JZW393254 KIU393254:KJS393254 KSQ393254:KTO393254 LCM393254:LDK393254 LMI393254:LNG393254 LWE393254:LXC393254 MGA393254:MGY393254 MPW393254:MQU393254 MZS393254:NAQ393254 NJO393254:NKM393254 NTK393254:NUI393254 ODG393254:OEE393254 ONC393254:OOA393254 OWY393254:OXW393254 PGU393254:PHS393254 PQQ393254:PRO393254 QAM393254:QBK393254 QKI393254:QLG393254 QUE393254:QVC393254 REA393254:REY393254 RNW393254:ROU393254 RXS393254:RYQ393254 SHO393254:SIM393254 SRK393254:SSI393254 TBG393254:TCE393254 TLC393254:TMA393254 TUY393254:TVW393254 UEU393254:UFS393254 UOQ393254:UPO393254 UYM393254:UZK393254 VII393254:VJG393254 VSE393254:VTC393254 WCA393254:WCY393254 WLW393254:WMU393254 WVS393254:WWQ393254 K458790:AI458790 JG458790:KE458790 TC458790:UA458790 ACY458790:ADW458790 AMU458790:ANS458790 AWQ458790:AXO458790 BGM458790:BHK458790 BQI458790:BRG458790 CAE458790:CBC458790 CKA458790:CKY458790 CTW458790:CUU458790 DDS458790:DEQ458790 DNO458790:DOM458790 DXK458790:DYI458790 EHG458790:EIE458790 ERC458790:ESA458790 FAY458790:FBW458790 FKU458790:FLS458790 FUQ458790:FVO458790 GEM458790:GFK458790 GOI458790:GPG458790 GYE458790:GZC458790 HIA458790:HIY458790 HRW458790:HSU458790 IBS458790:ICQ458790 ILO458790:IMM458790 IVK458790:IWI458790 JFG458790:JGE458790 JPC458790:JQA458790 JYY458790:JZW458790 KIU458790:KJS458790 KSQ458790:KTO458790 LCM458790:LDK458790 LMI458790:LNG458790 LWE458790:LXC458790 MGA458790:MGY458790 MPW458790:MQU458790 MZS458790:NAQ458790 NJO458790:NKM458790 NTK458790:NUI458790 ODG458790:OEE458790 ONC458790:OOA458790 OWY458790:OXW458790 PGU458790:PHS458790 PQQ458790:PRO458790 QAM458790:QBK458790 QKI458790:QLG458790 QUE458790:QVC458790 REA458790:REY458790 RNW458790:ROU458790 RXS458790:RYQ458790 SHO458790:SIM458790 SRK458790:SSI458790 TBG458790:TCE458790 TLC458790:TMA458790 TUY458790:TVW458790 UEU458790:UFS458790 UOQ458790:UPO458790 UYM458790:UZK458790 VII458790:VJG458790 VSE458790:VTC458790 WCA458790:WCY458790 WLW458790:WMU458790 WVS458790:WWQ458790 K524326:AI524326 JG524326:KE524326 TC524326:UA524326 ACY524326:ADW524326 AMU524326:ANS524326 AWQ524326:AXO524326 BGM524326:BHK524326 BQI524326:BRG524326 CAE524326:CBC524326 CKA524326:CKY524326 CTW524326:CUU524326 DDS524326:DEQ524326 DNO524326:DOM524326 DXK524326:DYI524326 EHG524326:EIE524326 ERC524326:ESA524326 FAY524326:FBW524326 FKU524326:FLS524326 FUQ524326:FVO524326 GEM524326:GFK524326 GOI524326:GPG524326 GYE524326:GZC524326 HIA524326:HIY524326 HRW524326:HSU524326 IBS524326:ICQ524326 ILO524326:IMM524326 IVK524326:IWI524326 JFG524326:JGE524326 JPC524326:JQA524326 JYY524326:JZW524326 KIU524326:KJS524326 KSQ524326:KTO524326 LCM524326:LDK524326 LMI524326:LNG524326 LWE524326:LXC524326 MGA524326:MGY524326 MPW524326:MQU524326 MZS524326:NAQ524326 NJO524326:NKM524326 NTK524326:NUI524326 ODG524326:OEE524326 ONC524326:OOA524326 OWY524326:OXW524326 PGU524326:PHS524326 PQQ524326:PRO524326 QAM524326:QBK524326 QKI524326:QLG524326 QUE524326:QVC524326 REA524326:REY524326 RNW524326:ROU524326 RXS524326:RYQ524326 SHO524326:SIM524326 SRK524326:SSI524326 TBG524326:TCE524326 TLC524326:TMA524326 TUY524326:TVW524326 UEU524326:UFS524326 UOQ524326:UPO524326 UYM524326:UZK524326 VII524326:VJG524326 VSE524326:VTC524326 WCA524326:WCY524326 WLW524326:WMU524326 WVS524326:WWQ524326 K589862:AI589862 JG589862:KE589862 TC589862:UA589862 ACY589862:ADW589862 AMU589862:ANS589862 AWQ589862:AXO589862 BGM589862:BHK589862 BQI589862:BRG589862 CAE589862:CBC589862 CKA589862:CKY589862 CTW589862:CUU589862 DDS589862:DEQ589862 DNO589862:DOM589862 DXK589862:DYI589862 EHG589862:EIE589862 ERC589862:ESA589862 FAY589862:FBW589862 FKU589862:FLS589862 FUQ589862:FVO589862 GEM589862:GFK589862 GOI589862:GPG589862 GYE589862:GZC589862 HIA589862:HIY589862 HRW589862:HSU589862 IBS589862:ICQ589862 ILO589862:IMM589862 IVK589862:IWI589862 JFG589862:JGE589862 JPC589862:JQA589862 JYY589862:JZW589862 KIU589862:KJS589862 KSQ589862:KTO589862 LCM589862:LDK589862 LMI589862:LNG589862 LWE589862:LXC589862 MGA589862:MGY589862 MPW589862:MQU589862 MZS589862:NAQ589862 NJO589862:NKM589862 NTK589862:NUI589862 ODG589862:OEE589862 ONC589862:OOA589862 OWY589862:OXW589862 PGU589862:PHS589862 PQQ589862:PRO589862 QAM589862:QBK589862 QKI589862:QLG589862 QUE589862:QVC589862 REA589862:REY589862 RNW589862:ROU589862 RXS589862:RYQ589862 SHO589862:SIM589862 SRK589862:SSI589862 TBG589862:TCE589862 TLC589862:TMA589862 TUY589862:TVW589862 UEU589862:UFS589862 UOQ589862:UPO589862 UYM589862:UZK589862 VII589862:VJG589862 VSE589862:VTC589862 WCA589862:WCY589862 WLW589862:WMU589862 WVS589862:WWQ589862 K655398:AI655398 JG655398:KE655398 TC655398:UA655398 ACY655398:ADW655398 AMU655398:ANS655398 AWQ655398:AXO655398 BGM655398:BHK655398 BQI655398:BRG655398 CAE655398:CBC655398 CKA655398:CKY655398 CTW655398:CUU655398 DDS655398:DEQ655398 DNO655398:DOM655398 DXK655398:DYI655398 EHG655398:EIE655398 ERC655398:ESA655398 FAY655398:FBW655398 FKU655398:FLS655398 FUQ655398:FVO655398 GEM655398:GFK655398 GOI655398:GPG655398 GYE655398:GZC655398 HIA655398:HIY655398 HRW655398:HSU655398 IBS655398:ICQ655398 ILO655398:IMM655398 IVK655398:IWI655398 JFG655398:JGE655398 JPC655398:JQA655398 JYY655398:JZW655398 KIU655398:KJS655398 KSQ655398:KTO655398 LCM655398:LDK655398 LMI655398:LNG655398 LWE655398:LXC655398 MGA655398:MGY655398 MPW655398:MQU655398 MZS655398:NAQ655398 NJO655398:NKM655398 NTK655398:NUI655398 ODG655398:OEE655398 ONC655398:OOA655398 OWY655398:OXW655398 PGU655398:PHS655398 PQQ655398:PRO655398 QAM655398:QBK655398 QKI655398:QLG655398 QUE655398:QVC655398 REA655398:REY655398 RNW655398:ROU655398 RXS655398:RYQ655398 SHO655398:SIM655398 SRK655398:SSI655398 TBG655398:TCE655398 TLC655398:TMA655398 TUY655398:TVW655398 UEU655398:UFS655398 UOQ655398:UPO655398 UYM655398:UZK655398 VII655398:VJG655398 VSE655398:VTC655398 WCA655398:WCY655398 WLW655398:WMU655398 WVS655398:WWQ655398 K720934:AI720934 JG720934:KE720934 TC720934:UA720934 ACY720934:ADW720934 AMU720934:ANS720934 AWQ720934:AXO720934 BGM720934:BHK720934 BQI720934:BRG720934 CAE720934:CBC720934 CKA720934:CKY720934 CTW720934:CUU720934 DDS720934:DEQ720934 DNO720934:DOM720934 DXK720934:DYI720934 EHG720934:EIE720934 ERC720934:ESA720934 FAY720934:FBW720934 FKU720934:FLS720934 FUQ720934:FVO720934 GEM720934:GFK720934 GOI720934:GPG720934 GYE720934:GZC720934 HIA720934:HIY720934 HRW720934:HSU720934 IBS720934:ICQ720934 ILO720934:IMM720934 IVK720934:IWI720934 JFG720934:JGE720934 JPC720934:JQA720934 JYY720934:JZW720934 KIU720934:KJS720934 KSQ720934:KTO720934 LCM720934:LDK720934 LMI720934:LNG720934 LWE720934:LXC720934 MGA720934:MGY720934 MPW720934:MQU720934 MZS720934:NAQ720934 NJO720934:NKM720934 NTK720934:NUI720934 ODG720934:OEE720934 ONC720934:OOA720934 OWY720934:OXW720934 PGU720934:PHS720934 PQQ720934:PRO720934 QAM720934:QBK720934 QKI720934:QLG720934 QUE720934:QVC720934 REA720934:REY720934 RNW720934:ROU720934 RXS720934:RYQ720934 SHO720934:SIM720934 SRK720934:SSI720934 TBG720934:TCE720934 TLC720934:TMA720934 TUY720934:TVW720934 UEU720934:UFS720934 UOQ720934:UPO720934 UYM720934:UZK720934 VII720934:VJG720934 VSE720934:VTC720934 WCA720934:WCY720934 WLW720934:WMU720934 WVS720934:WWQ720934 K786470:AI786470 JG786470:KE786470 TC786470:UA786470 ACY786470:ADW786470 AMU786470:ANS786470 AWQ786470:AXO786470 BGM786470:BHK786470 BQI786470:BRG786470 CAE786470:CBC786470 CKA786470:CKY786470 CTW786470:CUU786470 DDS786470:DEQ786470 DNO786470:DOM786470 DXK786470:DYI786470 EHG786470:EIE786470 ERC786470:ESA786470 FAY786470:FBW786470 FKU786470:FLS786470 FUQ786470:FVO786470 GEM786470:GFK786470 GOI786470:GPG786470 GYE786470:GZC786470 HIA786470:HIY786470 HRW786470:HSU786470 IBS786470:ICQ786470 ILO786470:IMM786470 IVK786470:IWI786470 JFG786470:JGE786470 JPC786470:JQA786470 JYY786470:JZW786470 KIU786470:KJS786470 KSQ786470:KTO786470 LCM786470:LDK786470 LMI786470:LNG786470 LWE786470:LXC786470 MGA786470:MGY786470 MPW786470:MQU786470 MZS786470:NAQ786470 NJO786470:NKM786470 NTK786470:NUI786470 ODG786470:OEE786470 ONC786470:OOA786470 OWY786470:OXW786470 PGU786470:PHS786470 PQQ786470:PRO786470 QAM786470:QBK786470 QKI786470:QLG786470 QUE786470:QVC786470 REA786470:REY786470 RNW786470:ROU786470 RXS786470:RYQ786470 SHO786470:SIM786470 SRK786470:SSI786470 TBG786470:TCE786470 TLC786470:TMA786470 TUY786470:TVW786470 UEU786470:UFS786470 UOQ786470:UPO786470 UYM786470:UZK786470 VII786470:VJG786470 VSE786470:VTC786470 WCA786470:WCY786470 WLW786470:WMU786470 WVS786470:WWQ786470 K852006:AI852006 JG852006:KE852006 TC852006:UA852006 ACY852006:ADW852006 AMU852006:ANS852006 AWQ852006:AXO852006 BGM852006:BHK852006 BQI852006:BRG852006 CAE852006:CBC852006 CKA852006:CKY852006 CTW852006:CUU852006 DDS852006:DEQ852006 DNO852006:DOM852006 DXK852006:DYI852006 EHG852006:EIE852006 ERC852006:ESA852006 FAY852006:FBW852006 FKU852006:FLS852006 FUQ852006:FVO852006 GEM852006:GFK852006 GOI852006:GPG852006 GYE852006:GZC852006 HIA852006:HIY852006 HRW852006:HSU852006 IBS852006:ICQ852006 ILO852006:IMM852006 IVK852006:IWI852006 JFG852006:JGE852006 JPC852006:JQA852006 JYY852006:JZW852006 KIU852006:KJS852006 KSQ852006:KTO852006 LCM852006:LDK852006 LMI852006:LNG852006 LWE852006:LXC852006 MGA852006:MGY852006 MPW852006:MQU852006 MZS852006:NAQ852006 NJO852006:NKM852006 NTK852006:NUI852006 ODG852006:OEE852006 ONC852006:OOA852006 OWY852006:OXW852006 PGU852006:PHS852006 PQQ852006:PRO852006 QAM852006:QBK852006 QKI852006:QLG852006 QUE852006:QVC852006 REA852006:REY852006 RNW852006:ROU852006 RXS852006:RYQ852006 SHO852006:SIM852006 SRK852006:SSI852006 TBG852006:TCE852006 TLC852006:TMA852006 TUY852006:TVW852006 UEU852006:UFS852006 UOQ852006:UPO852006 UYM852006:UZK852006 VII852006:VJG852006 VSE852006:VTC852006 WCA852006:WCY852006 WLW852006:WMU852006 WVS852006:WWQ852006 K917542:AI917542 JG917542:KE917542 TC917542:UA917542 ACY917542:ADW917542 AMU917542:ANS917542 AWQ917542:AXO917542 BGM917542:BHK917542 BQI917542:BRG917542 CAE917542:CBC917542 CKA917542:CKY917542 CTW917542:CUU917542 DDS917542:DEQ917542 DNO917542:DOM917542 DXK917542:DYI917542 EHG917542:EIE917542 ERC917542:ESA917542 FAY917542:FBW917542 FKU917542:FLS917542 FUQ917542:FVO917542 GEM917542:GFK917542 GOI917542:GPG917542 GYE917542:GZC917542 HIA917542:HIY917542 HRW917542:HSU917542 IBS917542:ICQ917542 ILO917542:IMM917542 IVK917542:IWI917542 JFG917542:JGE917542 JPC917542:JQA917542 JYY917542:JZW917542 KIU917542:KJS917542 KSQ917542:KTO917542 LCM917542:LDK917542 LMI917542:LNG917542 LWE917542:LXC917542 MGA917542:MGY917542 MPW917542:MQU917542 MZS917542:NAQ917542 NJO917542:NKM917542 NTK917542:NUI917542 ODG917542:OEE917542 ONC917542:OOA917542 OWY917542:OXW917542 PGU917542:PHS917542 PQQ917542:PRO917542 QAM917542:QBK917542 QKI917542:QLG917542 QUE917542:QVC917542 REA917542:REY917542 RNW917542:ROU917542 RXS917542:RYQ917542 SHO917542:SIM917542 SRK917542:SSI917542 TBG917542:TCE917542 TLC917542:TMA917542 TUY917542:TVW917542 UEU917542:UFS917542 UOQ917542:UPO917542 UYM917542:UZK917542 VII917542:VJG917542 VSE917542:VTC917542 WCA917542:WCY917542 WLW917542:WMU917542 WVS917542:WWQ917542 K983078:AI983078 JG983078:KE983078 TC983078:UA983078 ACY983078:ADW983078 AMU983078:ANS983078 AWQ983078:AXO983078 BGM983078:BHK983078 BQI983078:BRG983078 CAE983078:CBC983078 CKA983078:CKY983078 CTW983078:CUU983078 DDS983078:DEQ983078 DNO983078:DOM983078 DXK983078:DYI983078 EHG983078:EIE983078 ERC983078:ESA983078 FAY983078:FBW983078 FKU983078:FLS983078 FUQ983078:FVO983078 GEM983078:GFK983078 GOI983078:GPG983078 GYE983078:GZC983078 HIA983078:HIY983078 HRW983078:HSU983078 IBS983078:ICQ983078 ILO983078:IMM983078 IVK983078:IWI983078 JFG983078:JGE983078 JPC983078:JQA983078 JYY983078:JZW983078 KIU983078:KJS983078 KSQ983078:KTO983078 LCM983078:LDK983078 LMI983078:LNG983078 LWE983078:LXC983078 MGA983078:MGY983078 MPW983078:MQU983078 MZS983078:NAQ983078 NJO983078:NKM983078 NTK983078:NUI983078 ODG983078:OEE983078 ONC983078:OOA983078 OWY983078:OXW983078 PGU983078:PHS983078 PQQ983078:PRO983078 QAM983078:QBK983078 QKI983078:QLG983078 QUE983078:QVC983078 REA983078:REY983078 RNW983078:ROU983078 RXS983078:RYQ983078 SHO983078:SIM983078 SRK983078:SSI983078 TBG983078:TCE983078 TLC983078:TMA983078 TUY983078:TVW983078 UEU983078:UFS983078 UOQ983078:UPO983078 UYM983078:UZK983078 VII983078:VJG983078 VSE983078:VTC983078 WCA983078:WCY983078 WLW983078:WMU983078 WVS983078:WWQ983078" xr:uid="{00000000-0002-0000-0100-000005000000}">
      <formula1>$BK$3:$BK$10</formula1>
    </dataValidation>
    <dataValidation type="list" allowBlank="1" showInputMessage="1" showErrorMessage="1" sqref="AO34:AY34 KK34:KU34 UG34:UQ34 AEC34:AEM34 ANY34:AOI34 AXU34:AYE34 BHQ34:BIA34 BRM34:BRW34 CBI34:CBS34 CLE34:CLO34 CVA34:CVK34 DEW34:DFG34 DOS34:DPC34 DYO34:DYY34 EIK34:EIU34 ESG34:ESQ34 FCC34:FCM34 FLY34:FMI34 FVU34:FWE34 GFQ34:GGA34 GPM34:GPW34 GZI34:GZS34 HJE34:HJO34 HTA34:HTK34 ICW34:IDG34 IMS34:INC34 IWO34:IWY34 JGK34:JGU34 JQG34:JQQ34 KAC34:KAM34 KJY34:KKI34 KTU34:KUE34 LDQ34:LEA34 LNM34:LNW34 LXI34:LXS34 MHE34:MHO34 MRA34:MRK34 NAW34:NBG34 NKS34:NLC34 NUO34:NUY34 OEK34:OEU34 OOG34:OOQ34 OYC34:OYM34 PHY34:PII34 PRU34:PSE34 QBQ34:QCA34 QLM34:QLW34 QVI34:QVS34 RFE34:RFO34 RPA34:RPK34 RYW34:RZG34 SIS34:SJC34 SSO34:SSY34 TCK34:TCU34 TMG34:TMQ34 TWC34:TWM34 UFY34:UGI34 UPU34:UQE34 UZQ34:VAA34 VJM34:VJW34 VTI34:VTS34 WDE34:WDO34 WNA34:WNK34 WWW34:WXG34 AO65570:AY65570 KK65570:KU65570 UG65570:UQ65570 AEC65570:AEM65570 ANY65570:AOI65570 AXU65570:AYE65570 BHQ65570:BIA65570 BRM65570:BRW65570 CBI65570:CBS65570 CLE65570:CLO65570 CVA65570:CVK65570 DEW65570:DFG65570 DOS65570:DPC65570 DYO65570:DYY65570 EIK65570:EIU65570 ESG65570:ESQ65570 FCC65570:FCM65570 FLY65570:FMI65570 FVU65570:FWE65570 GFQ65570:GGA65570 GPM65570:GPW65570 GZI65570:GZS65570 HJE65570:HJO65570 HTA65570:HTK65570 ICW65570:IDG65570 IMS65570:INC65570 IWO65570:IWY65570 JGK65570:JGU65570 JQG65570:JQQ65570 KAC65570:KAM65570 KJY65570:KKI65570 KTU65570:KUE65570 LDQ65570:LEA65570 LNM65570:LNW65570 LXI65570:LXS65570 MHE65570:MHO65570 MRA65570:MRK65570 NAW65570:NBG65570 NKS65570:NLC65570 NUO65570:NUY65570 OEK65570:OEU65570 OOG65570:OOQ65570 OYC65570:OYM65570 PHY65570:PII65570 PRU65570:PSE65570 QBQ65570:QCA65570 QLM65570:QLW65570 QVI65570:QVS65570 RFE65570:RFO65570 RPA65570:RPK65570 RYW65570:RZG65570 SIS65570:SJC65570 SSO65570:SSY65570 TCK65570:TCU65570 TMG65570:TMQ65570 TWC65570:TWM65570 UFY65570:UGI65570 UPU65570:UQE65570 UZQ65570:VAA65570 VJM65570:VJW65570 VTI65570:VTS65570 WDE65570:WDO65570 WNA65570:WNK65570 WWW65570:WXG65570 AO131106:AY131106 KK131106:KU131106 UG131106:UQ131106 AEC131106:AEM131106 ANY131106:AOI131106 AXU131106:AYE131106 BHQ131106:BIA131106 BRM131106:BRW131106 CBI131106:CBS131106 CLE131106:CLO131106 CVA131106:CVK131106 DEW131106:DFG131106 DOS131106:DPC131106 DYO131106:DYY131106 EIK131106:EIU131106 ESG131106:ESQ131106 FCC131106:FCM131106 FLY131106:FMI131106 FVU131106:FWE131106 GFQ131106:GGA131106 GPM131106:GPW131106 GZI131106:GZS131106 HJE131106:HJO131106 HTA131106:HTK131106 ICW131106:IDG131106 IMS131106:INC131106 IWO131106:IWY131106 JGK131106:JGU131106 JQG131106:JQQ131106 KAC131106:KAM131106 KJY131106:KKI131106 KTU131106:KUE131106 LDQ131106:LEA131106 LNM131106:LNW131106 LXI131106:LXS131106 MHE131106:MHO131106 MRA131106:MRK131106 NAW131106:NBG131106 NKS131106:NLC131106 NUO131106:NUY131106 OEK131106:OEU131106 OOG131106:OOQ131106 OYC131106:OYM131106 PHY131106:PII131106 PRU131106:PSE131106 QBQ131106:QCA131106 QLM131106:QLW131106 QVI131106:QVS131106 RFE131106:RFO131106 RPA131106:RPK131106 RYW131106:RZG131106 SIS131106:SJC131106 SSO131106:SSY131106 TCK131106:TCU131106 TMG131106:TMQ131106 TWC131106:TWM131106 UFY131106:UGI131106 UPU131106:UQE131106 UZQ131106:VAA131106 VJM131106:VJW131106 VTI131106:VTS131106 WDE131106:WDO131106 WNA131106:WNK131106 WWW131106:WXG131106 AO196642:AY196642 KK196642:KU196642 UG196642:UQ196642 AEC196642:AEM196642 ANY196642:AOI196642 AXU196642:AYE196642 BHQ196642:BIA196642 BRM196642:BRW196642 CBI196642:CBS196642 CLE196642:CLO196642 CVA196642:CVK196642 DEW196642:DFG196642 DOS196642:DPC196642 DYO196642:DYY196642 EIK196642:EIU196642 ESG196642:ESQ196642 FCC196642:FCM196642 FLY196642:FMI196642 FVU196642:FWE196642 GFQ196642:GGA196642 GPM196642:GPW196642 GZI196642:GZS196642 HJE196642:HJO196642 HTA196642:HTK196642 ICW196642:IDG196642 IMS196642:INC196642 IWO196642:IWY196642 JGK196642:JGU196642 JQG196642:JQQ196642 KAC196642:KAM196642 KJY196642:KKI196642 KTU196642:KUE196642 LDQ196642:LEA196642 LNM196642:LNW196642 LXI196642:LXS196642 MHE196642:MHO196642 MRA196642:MRK196642 NAW196642:NBG196642 NKS196642:NLC196642 NUO196642:NUY196642 OEK196642:OEU196642 OOG196642:OOQ196642 OYC196642:OYM196642 PHY196642:PII196642 PRU196642:PSE196642 QBQ196642:QCA196642 QLM196642:QLW196642 QVI196642:QVS196642 RFE196642:RFO196642 RPA196642:RPK196642 RYW196642:RZG196642 SIS196642:SJC196642 SSO196642:SSY196642 TCK196642:TCU196642 TMG196642:TMQ196642 TWC196642:TWM196642 UFY196642:UGI196642 UPU196642:UQE196642 UZQ196642:VAA196642 VJM196642:VJW196642 VTI196642:VTS196642 WDE196642:WDO196642 WNA196642:WNK196642 WWW196642:WXG196642 AO262178:AY262178 KK262178:KU262178 UG262178:UQ262178 AEC262178:AEM262178 ANY262178:AOI262178 AXU262178:AYE262178 BHQ262178:BIA262178 BRM262178:BRW262178 CBI262178:CBS262178 CLE262178:CLO262178 CVA262178:CVK262178 DEW262178:DFG262178 DOS262178:DPC262178 DYO262178:DYY262178 EIK262178:EIU262178 ESG262178:ESQ262178 FCC262178:FCM262178 FLY262178:FMI262178 FVU262178:FWE262178 GFQ262178:GGA262178 GPM262178:GPW262178 GZI262178:GZS262178 HJE262178:HJO262178 HTA262178:HTK262178 ICW262178:IDG262178 IMS262178:INC262178 IWO262178:IWY262178 JGK262178:JGU262178 JQG262178:JQQ262178 KAC262178:KAM262178 KJY262178:KKI262178 KTU262178:KUE262178 LDQ262178:LEA262178 LNM262178:LNW262178 LXI262178:LXS262178 MHE262178:MHO262178 MRA262178:MRK262178 NAW262178:NBG262178 NKS262178:NLC262178 NUO262178:NUY262178 OEK262178:OEU262178 OOG262178:OOQ262178 OYC262178:OYM262178 PHY262178:PII262178 PRU262178:PSE262178 QBQ262178:QCA262178 QLM262178:QLW262178 QVI262178:QVS262178 RFE262178:RFO262178 RPA262178:RPK262178 RYW262178:RZG262178 SIS262178:SJC262178 SSO262178:SSY262178 TCK262178:TCU262178 TMG262178:TMQ262178 TWC262178:TWM262178 UFY262178:UGI262178 UPU262178:UQE262178 UZQ262178:VAA262178 VJM262178:VJW262178 VTI262178:VTS262178 WDE262178:WDO262178 WNA262178:WNK262178 WWW262178:WXG262178 AO327714:AY327714 KK327714:KU327714 UG327714:UQ327714 AEC327714:AEM327714 ANY327714:AOI327714 AXU327714:AYE327714 BHQ327714:BIA327714 BRM327714:BRW327714 CBI327714:CBS327714 CLE327714:CLO327714 CVA327714:CVK327714 DEW327714:DFG327714 DOS327714:DPC327714 DYO327714:DYY327714 EIK327714:EIU327714 ESG327714:ESQ327714 FCC327714:FCM327714 FLY327714:FMI327714 FVU327714:FWE327714 GFQ327714:GGA327714 GPM327714:GPW327714 GZI327714:GZS327714 HJE327714:HJO327714 HTA327714:HTK327714 ICW327714:IDG327714 IMS327714:INC327714 IWO327714:IWY327714 JGK327714:JGU327714 JQG327714:JQQ327714 KAC327714:KAM327714 KJY327714:KKI327714 KTU327714:KUE327714 LDQ327714:LEA327714 LNM327714:LNW327714 LXI327714:LXS327714 MHE327714:MHO327714 MRA327714:MRK327714 NAW327714:NBG327714 NKS327714:NLC327714 NUO327714:NUY327714 OEK327714:OEU327714 OOG327714:OOQ327714 OYC327714:OYM327714 PHY327714:PII327714 PRU327714:PSE327714 QBQ327714:QCA327714 QLM327714:QLW327714 QVI327714:QVS327714 RFE327714:RFO327714 RPA327714:RPK327714 RYW327714:RZG327714 SIS327714:SJC327714 SSO327714:SSY327714 TCK327714:TCU327714 TMG327714:TMQ327714 TWC327714:TWM327714 UFY327714:UGI327714 UPU327714:UQE327714 UZQ327714:VAA327714 VJM327714:VJW327714 VTI327714:VTS327714 WDE327714:WDO327714 WNA327714:WNK327714 WWW327714:WXG327714 AO393250:AY393250 KK393250:KU393250 UG393250:UQ393250 AEC393250:AEM393250 ANY393250:AOI393250 AXU393250:AYE393250 BHQ393250:BIA393250 BRM393250:BRW393250 CBI393250:CBS393250 CLE393250:CLO393250 CVA393250:CVK393250 DEW393250:DFG393250 DOS393250:DPC393250 DYO393250:DYY393250 EIK393250:EIU393250 ESG393250:ESQ393250 FCC393250:FCM393250 FLY393250:FMI393250 FVU393250:FWE393250 GFQ393250:GGA393250 GPM393250:GPW393250 GZI393250:GZS393250 HJE393250:HJO393250 HTA393250:HTK393250 ICW393250:IDG393250 IMS393250:INC393250 IWO393250:IWY393250 JGK393250:JGU393250 JQG393250:JQQ393250 KAC393250:KAM393250 KJY393250:KKI393250 KTU393250:KUE393250 LDQ393250:LEA393250 LNM393250:LNW393250 LXI393250:LXS393250 MHE393250:MHO393250 MRA393250:MRK393250 NAW393250:NBG393250 NKS393250:NLC393250 NUO393250:NUY393250 OEK393250:OEU393250 OOG393250:OOQ393250 OYC393250:OYM393250 PHY393250:PII393250 PRU393250:PSE393250 QBQ393250:QCA393250 QLM393250:QLW393250 QVI393250:QVS393250 RFE393250:RFO393250 RPA393250:RPK393250 RYW393250:RZG393250 SIS393250:SJC393250 SSO393250:SSY393250 TCK393250:TCU393250 TMG393250:TMQ393250 TWC393250:TWM393250 UFY393250:UGI393250 UPU393250:UQE393250 UZQ393250:VAA393250 VJM393250:VJW393250 VTI393250:VTS393250 WDE393250:WDO393250 WNA393250:WNK393250 WWW393250:WXG393250 AO458786:AY458786 KK458786:KU458786 UG458786:UQ458786 AEC458786:AEM458786 ANY458786:AOI458786 AXU458786:AYE458786 BHQ458786:BIA458786 BRM458786:BRW458786 CBI458786:CBS458786 CLE458786:CLO458786 CVA458786:CVK458786 DEW458786:DFG458786 DOS458786:DPC458786 DYO458786:DYY458786 EIK458786:EIU458786 ESG458786:ESQ458786 FCC458786:FCM458786 FLY458786:FMI458786 FVU458786:FWE458786 GFQ458786:GGA458786 GPM458786:GPW458786 GZI458786:GZS458786 HJE458786:HJO458786 HTA458786:HTK458786 ICW458786:IDG458786 IMS458786:INC458786 IWO458786:IWY458786 JGK458786:JGU458786 JQG458786:JQQ458786 KAC458786:KAM458786 KJY458786:KKI458786 KTU458786:KUE458786 LDQ458786:LEA458786 LNM458786:LNW458786 LXI458786:LXS458786 MHE458786:MHO458786 MRA458786:MRK458786 NAW458786:NBG458786 NKS458786:NLC458786 NUO458786:NUY458786 OEK458786:OEU458786 OOG458786:OOQ458786 OYC458786:OYM458786 PHY458786:PII458786 PRU458786:PSE458786 QBQ458786:QCA458786 QLM458786:QLW458786 QVI458786:QVS458786 RFE458786:RFO458786 RPA458786:RPK458786 RYW458786:RZG458786 SIS458786:SJC458786 SSO458786:SSY458786 TCK458786:TCU458786 TMG458786:TMQ458786 TWC458786:TWM458786 UFY458786:UGI458786 UPU458786:UQE458786 UZQ458786:VAA458786 VJM458786:VJW458786 VTI458786:VTS458786 WDE458786:WDO458786 WNA458786:WNK458786 WWW458786:WXG458786 AO524322:AY524322 KK524322:KU524322 UG524322:UQ524322 AEC524322:AEM524322 ANY524322:AOI524322 AXU524322:AYE524322 BHQ524322:BIA524322 BRM524322:BRW524322 CBI524322:CBS524322 CLE524322:CLO524322 CVA524322:CVK524322 DEW524322:DFG524322 DOS524322:DPC524322 DYO524322:DYY524322 EIK524322:EIU524322 ESG524322:ESQ524322 FCC524322:FCM524322 FLY524322:FMI524322 FVU524322:FWE524322 GFQ524322:GGA524322 GPM524322:GPW524322 GZI524322:GZS524322 HJE524322:HJO524322 HTA524322:HTK524322 ICW524322:IDG524322 IMS524322:INC524322 IWO524322:IWY524322 JGK524322:JGU524322 JQG524322:JQQ524322 KAC524322:KAM524322 KJY524322:KKI524322 KTU524322:KUE524322 LDQ524322:LEA524322 LNM524322:LNW524322 LXI524322:LXS524322 MHE524322:MHO524322 MRA524322:MRK524322 NAW524322:NBG524322 NKS524322:NLC524322 NUO524322:NUY524322 OEK524322:OEU524322 OOG524322:OOQ524322 OYC524322:OYM524322 PHY524322:PII524322 PRU524322:PSE524322 QBQ524322:QCA524322 QLM524322:QLW524322 QVI524322:QVS524322 RFE524322:RFO524322 RPA524322:RPK524322 RYW524322:RZG524322 SIS524322:SJC524322 SSO524322:SSY524322 TCK524322:TCU524322 TMG524322:TMQ524322 TWC524322:TWM524322 UFY524322:UGI524322 UPU524322:UQE524322 UZQ524322:VAA524322 VJM524322:VJW524322 VTI524322:VTS524322 WDE524322:WDO524322 WNA524322:WNK524322 WWW524322:WXG524322 AO589858:AY589858 KK589858:KU589858 UG589858:UQ589858 AEC589858:AEM589858 ANY589858:AOI589858 AXU589858:AYE589858 BHQ589858:BIA589858 BRM589858:BRW589858 CBI589858:CBS589858 CLE589858:CLO589858 CVA589858:CVK589858 DEW589858:DFG589858 DOS589858:DPC589858 DYO589858:DYY589858 EIK589858:EIU589858 ESG589858:ESQ589858 FCC589858:FCM589858 FLY589858:FMI589858 FVU589858:FWE589858 GFQ589858:GGA589858 GPM589858:GPW589858 GZI589858:GZS589858 HJE589858:HJO589858 HTA589858:HTK589858 ICW589858:IDG589858 IMS589858:INC589858 IWO589858:IWY589858 JGK589858:JGU589858 JQG589858:JQQ589858 KAC589858:KAM589858 KJY589858:KKI589858 KTU589858:KUE589858 LDQ589858:LEA589858 LNM589858:LNW589858 LXI589858:LXS589858 MHE589858:MHO589858 MRA589858:MRK589858 NAW589858:NBG589858 NKS589858:NLC589858 NUO589858:NUY589858 OEK589858:OEU589858 OOG589858:OOQ589858 OYC589858:OYM589858 PHY589858:PII589858 PRU589858:PSE589858 QBQ589858:QCA589858 QLM589858:QLW589858 QVI589858:QVS589858 RFE589858:RFO589858 RPA589858:RPK589858 RYW589858:RZG589858 SIS589858:SJC589858 SSO589858:SSY589858 TCK589858:TCU589858 TMG589858:TMQ589858 TWC589858:TWM589858 UFY589858:UGI589858 UPU589858:UQE589858 UZQ589858:VAA589858 VJM589858:VJW589858 VTI589858:VTS589858 WDE589858:WDO589858 WNA589858:WNK589858 WWW589858:WXG589858 AO655394:AY655394 KK655394:KU655394 UG655394:UQ655394 AEC655394:AEM655394 ANY655394:AOI655394 AXU655394:AYE655394 BHQ655394:BIA655394 BRM655394:BRW655394 CBI655394:CBS655394 CLE655394:CLO655394 CVA655394:CVK655394 DEW655394:DFG655394 DOS655394:DPC655394 DYO655394:DYY655394 EIK655394:EIU655394 ESG655394:ESQ655394 FCC655394:FCM655394 FLY655394:FMI655394 FVU655394:FWE655394 GFQ655394:GGA655394 GPM655394:GPW655394 GZI655394:GZS655394 HJE655394:HJO655394 HTA655394:HTK655394 ICW655394:IDG655394 IMS655394:INC655394 IWO655394:IWY655394 JGK655394:JGU655394 JQG655394:JQQ655394 KAC655394:KAM655394 KJY655394:KKI655394 KTU655394:KUE655394 LDQ655394:LEA655394 LNM655394:LNW655394 LXI655394:LXS655394 MHE655394:MHO655394 MRA655394:MRK655394 NAW655394:NBG655394 NKS655394:NLC655394 NUO655394:NUY655394 OEK655394:OEU655394 OOG655394:OOQ655394 OYC655394:OYM655394 PHY655394:PII655394 PRU655394:PSE655394 QBQ655394:QCA655394 QLM655394:QLW655394 QVI655394:QVS655394 RFE655394:RFO655394 RPA655394:RPK655394 RYW655394:RZG655394 SIS655394:SJC655394 SSO655394:SSY655394 TCK655394:TCU655394 TMG655394:TMQ655394 TWC655394:TWM655394 UFY655394:UGI655394 UPU655394:UQE655394 UZQ655394:VAA655394 VJM655394:VJW655394 VTI655394:VTS655394 WDE655394:WDO655394 WNA655394:WNK655394 WWW655394:WXG655394 AO720930:AY720930 KK720930:KU720930 UG720930:UQ720930 AEC720930:AEM720930 ANY720930:AOI720930 AXU720930:AYE720930 BHQ720930:BIA720930 BRM720930:BRW720930 CBI720930:CBS720930 CLE720930:CLO720930 CVA720930:CVK720930 DEW720930:DFG720930 DOS720930:DPC720930 DYO720930:DYY720930 EIK720930:EIU720930 ESG720930:ESQ720930 FCC720930:FCM720930 FLY720930:FMI720930 FVU720930:FWE720930 GFQ720930:GGA720930 GPM720930:GPW720930 GZI720930:GZS720930 HJE720930:HJO720930 HTA720930:HTK720930 ICW720930:IDG720930 IMS720930:INC720930 IWO720930:IWY720930 JGK720930:JGU720930 JQG720930:JQQ720930 KAC720930:KAM720930 KJY720930:KKI720930 KTU720930:KUE720930 LDQ720930:LEA720930 LNM720930:LNW720930 LXI720930:LXS720930 MHE720930:MHO720930 MRA720930:MRK720930 NAW720930:NBG720930 NKS720930:NLC720930 NUO720930:NUY720930 OEK720930:OEU720930 OOG720930:OOQ720930 OYC720930:OYM720930 PHY720930:PII720930 PRU720930:PSE720930 QBQ720930:QCA720930 QLM720930:QLW720930 QVI720930:QVS720930 RFE720930:RFO720930 RPA720930:RPK720930 RYW720930:RZG720930 SIS720930:SJC720930 SSO720930:SSY720930 TCK720930:TCU720930 TMG720930:TMQ720930 TWC720930:TWM720930 UFY720930:UGI720930 UPU720930:UQE720930 UZQ720930:VAA720930 VJM720930:VJW720930 VTI720930:VTS720930 WDE720930:WDO720930 WNA720930:WNK720930 WWW720930:WXG720930 AO786466:AY786466 KK786466:KU786466 UG786466:UQ786466 AEC786466:AEM786466 ANY786466:AOI786466 AXU786466:AYE786466 BHQ786466:BIA786466 BRM786466:BRW786466 CBI786466:CBS786466 CLE786466:CLO786466 CVA786466:CVK786466 DEW786466:DFG786466 DOS786466:DPC786466 DYO786466:DYY786466 EIK786466:EIU786466 ESG786466:ESQ786466 FCC786466:FCM786466 FLY786466:FMI786466 FVU786466:FWE786466 GFQ786466:GGA786466 GPM786466:GPW786466 GZI786466:GZS786466 HJE786466:HJO786466 HTA786466:HTK786466 ICW786466:IDG786466 IMS786466:INC786466 IWO786466:IWY786466 JGK786466:JGU786466 JQG786466:JQQ786466 KAC786466:KAM786466 KJY786466:KKI786466 KTU786466:KUE786466 LDQ786466:LEA786466 LNM786466:LNW786466 LXI786466:LXS786466 MHE786466:MHO786466 MRA786466:MRK786466 NAW786466:NBG786466 NKS786466:NLC786466 NUO786466:NUY786466 OEK786466:OEU786466 OOG786466:OOQ786466 OYC786466:OYM786466 PHY786466:PII786466 PRU786466:PSE786466 QBQ786466:QCA786466 QLM786466:QLW786466 QVI786466:QVS786466 RFE786466:RFO786466 RPA786466:RPK786466 RYW786466:RZG786466 SIS786466:SJC786466 SSO786466:SSY786466 TCK786466:TCU786466 TMG786466:TMQ786466 TWC786466:TWM786466 UFY786466:UGI786466 UPU786466:UQE786466 UZQ786466:VAA786466 VJM786466:VJW786466 VTI786466:VTS786466 WDE786466:WDO786466 WNA786466:WNK786466 WWW786466:WXG786466 AO852002:AY852002 KK852002:KU852002 UG852002:UQ852002 AEC852002:AEM852002 ANY852002:AOI852002 AXU852002:AYE852002 BHQ852002:BIA852002 BRM852002:BRW852002 CBI852002:CBS852002 CLE852002:CLO852002 CVA852002:CVK852002 DEW852002:DFG852002 DOS852002:DPC852002 DYO852002:DYY852002 EIK852002:EIU852002 ESG852002:ESQ852002 FCC852002:FCM852002 FLY852002:FMI852002 FVU852002:FWE852002 GFQ852002:GGA852002 GPM852002:GPW852002 GZI852002:GZS852002 HJE852002:HJO852002 HTA852002:HTK852002 ICW852002:IDG852002 IMS852002:INC852002 IWO852002:IWY852002 JGK852002:JGU852002 JQG852002:JQQ852002 KAC852002:KAM852002 KJY852002:KKI852002 KTU852002:KUE852002 LDQ852002:LEA852002 LNM852002:LNW852002 LXI852002:LXS852002 MHE852002:MHO852002 MRA852002:MRK852002 NAW852002:NBG852002 NKS852002:NLC852002 NUO852002:NUY852002 OEK852002:OEU852002 OOG852002:OOQ852002 OYC852002:OYM852002 PHY852002:PII852002 PRU852002:PSE852002 QBQ852002:QCA852002 QLM852002:QLW852002 QVI852002:QVS852002 RFE852002:RFO852002 RPA852002:RPK852002 RYW852002:RZG852002 SIS852002:SJC852002 SSO852002:SSY852002 TCK852002:TCU852002 TMG852002:TMQ852002 TWC852002:TWM852002 UFY852002:UGI852002 UPU852002:UQE852002 UZQ852002:VAA852002 VJM852002:VJW852002 VTI852002:VTS852002 WDE852002:WDO852002 WNA852002:WNK852002 WWW852002:WXG852002 AO917538:AY917538 KK917538:KU917538 UG917538:UQ917538 AEC917538:AEM917538 ANY917538:AOI917538 AXU917538:AYE917538 BHQ917538:BIA917538 BRM917538:BRW917538 CBI917538:CBS917538 CLE917538:CLO917538 CVA917538:CVK917538 DEW917538:DFG917538 DOS917538:DPC917538 DYO917538:DYY917538 EIK917538:EIU917538 ESG917538:ESQ917538 FCC917538:FCM917538 FLY917538:FMI917538 FVU917538:FWE917538 GFQ917538:GGA917538 GPM917538:GPW917538 GZI917538:GZS917538 HJE917538:HJO917538 HTA917538:HTK917538 ICW917538:IDG917538 IMS917538:INC917538 IWO917538:IWY917538 JGK917538:JGU917538 JQG917538:JQQ917538 KAC917538:KAM917538 KJY917538:KKI917538 KTU917538:KUE917538 LDQ917538:LEA917538 LNM917538:LNW917538 LXI917538:LXS917538 MHE917538:MHO917538 MRA917538:MRK917538 NAW917538:NBG917538 NKS917538:NLC917538 NUO917538:NUY917538 OEK917538:OEU917538 OOG917538:OOQ917538 OYC917538:OYM917538 PHY917538:PII917538 PRU917538:PSE917538 QBQ917538:QCA917538 QLM917538:QLW917538 QVI917538:QVS917538 RFE917538:RFO917538 RPA917538:RPK917538 RYW917538:RZG917538 SIS917538:SJC917538 SSO917538:SSY917538 TCK917538:TCU917538 TMG917538:TMQ917538 TWC917538:TWM917538 UFY917538:UGI917538 UPU917538:UQE917538 UZQ917538:VAA917538 VJM917538:VJW917538 VTI917538:VTS917538 WDE917538:WDO917538 WNA917538:WNK917538 WWW917538:WXG917538 AO983074:AY983074 KK983074:KU983074 UG983074:UQ983074 AEC983074:AEM983074 ANY983074:AOI983074 AXU983074:AYE983074 BHQ983074:BIA983074 BRM983074:BRW983074 CBI983074:CBS983074 CLE983074:CLO983074 CVA983074:CVK983074 DEW983074:DFG983074 DOS983074:DPC983074 DYO983074:DYY983074 EIK983074:EIU983074 ESG983074:ESQ983074 FCC983074:FCM983074 FLY983074:FMI983074 FVU983074:FWE983074 GFQ983074:GGA983074 GPM983074:GPW983074 GZI983074:GZS983074 HJE983074:HJO983074 HTA983074:HTK983074 ICW983074:IDG983074 IMS983074:INC983074 IWO983074:IWY983074 JGK983074:JGU983074 JQG983074:JQQ983074 KAC983074:KAM983074 KJY983074:KKI983074 KTU983074:KUE983074 LDQ983074:LEA983074 LNM983074:LNW983074 LXI983074:LXS983074 MHE983074:MHO983074 MRA983074:MRK983074 NAW983074:NBG983074 NKS983074:NLC983074 NUO983074:NUY983074 OEK983074:OEU983074 OOG983074:OOQ983074 OYC983074:OYM983074 PHY983074:PII983074 PRU983074:PSE983074 QBQ983074:QCA983074 QLM983074:QLW983074 QVI983074:QVS983074 RFE983074:RFO983074 RPA983074:RPK983074 RYW983074:RZG983074 SIS983074:SJC983074 SSO983074:SSY983074 TCK983074:TCU983074 TMG983074:TMQ983074 TWC983074:TWM983074 UFY983074:UGI983074 UPU983074:UQE983074 UZQ983074:VAA983074 VJM983074:VJW983074 VTI983074:VTS983074 WDE983074:WDO983074 WNA983074:WNK983074 WWW983074:WXG983074" xr:uid="{00000000-0002-0000-0100-000006000000}">
      <formula1>$BJ$23:$BJ$25</formula1>
    </dataValidation>
    <dataValidation type="list" allowBlank="1" showInputMessage="1" showErrorMessage="1" sqref="WVS983074:WVZ983074 JG34:JN34 TC34:TJ34 ACY34:ADF34 AMU34:ANB34 AWQ34:AWX34 BGM34:BGT34 BQI34:BQP34 CAE34:CAL34 CKA34:CKH34 CTW34:CUD34 DDS34:DDZ34 DNO34:DNV34 DXK34:DXR34 EHG34:EHN34 ERC34:ERJ34 FAY34:FBF34 FKU34:FLB34 FUQ34:FUX34 GEM34:GET34 GOI34:GOP34 GYE34:GYL34 HIA34:HIH34 HRW34:HSD34 IBS34:IBZ34 ILO34:ILV34 IVK34:IVR34 JFG34:JFN34 JPC34:JPJ34 JYY34:JZF34 KIU34:KJB34 KSQ34:KSX34 LCM34:LCT34 LMI34:LMP34 LWE34:LWL34 MGA34:MGH34 MPW34:MQD34 MZS34:MZZ34 NJO34:NJV34 NTK34:NTR34 ODG34:ODN34 ONC34:ONJ34 OWY34:OXF34 PGU34:PHB34 PQQ34:PQX34 QAM34:QAT34 QKI34:QKP34 QUE34:QUL34 REA34:REH34 RNW34:ROD34 RXS34:RXZ34 SHO34:SHV34 SRK34:SRR34 TBG34:TBN34 TLC34:TLJ34 TUY34:TVF34 UEU34:UFB34 UOQ34:UOX34 UYM34:UYT34 VII34:VIP34 VSE34:VSL34 WCA34:WCH34 WLW34:WMD34 WVS34:WVZ34 K65570:R65570 JG65570:JN65570 TC65570:TJ65570 ACY65570:ADF65570 AMU65570:ANB65570 AWQ65570:AWX65570 BGM65570:BGT65570 BQI65570:BQP65570 CAE65570:CAL65570 CKA65570:CKH65570 CTW65570:CUD65570 DDS65570:DDZ65570 DNO65570:DNV65570 DXK65570:DXR65570 EHG65570:EHN65570 ERC65570:ERJ65570 FAY65570:FBF65570 FKU65570:FLB65570 FUQ65570:FUX65570 GEM65570:GET65570 GOI65570:GOP65570 GYE65570:GYL65570 HIA65570:HIH65570 HRW65570:HSD65570 IBS65570:IBZ65570 ILO65570:ILV65570 IVK65570:IVR65570 JFG65570:JFN65570 JPC65570:JPJ65570 JYY65570:JZF65570 KIU65570:KJB65570 KSQ65570:KSX65570 LCM65570:LCT65570 LMI65570:LMP65570 LWE65570:LWL65570 MGA65570:MGH65570 MPW65570:MQD65570 MZS65570:MZZ65570 NJO65570:NJV65570 NTK65570:NTR65570 ODG65570:ODN65570 ONC65570:ONJ65570 OWY65570:OXF65570 PGU65570:PHB65570 PQQ65570:PQX65570 QAM65570:QAT65570 QKI65570:QKP65570 QUE65570:QUL65570 REA65570:REH65570 RNW65570:ROD65570 RXS65570:RXZ65570 SHO65570:SHV65570 SRK65570:SRR65570 TBG65570:TBN65570 TLC65570:TLJ65570 TUY65570:TVF65570 UEU65570:UFB65570 UOQ65570:UOX65570 UYM65570:UYT65570 VII65570:VIP65570 VSE65570:VSL65570 WCA65570:WCH65570 WLW65570:WMD65570 WVS65570:WVZ65570 K131106:R131106 JG131106:JN131106 TC131106:TJ131106 ACY131106:ADF131106 AMU131106:ANB131106 AWQ131106:AWX131106 BGM131106:BGT131106 BQI131106:BQP131106 CAE131106:CAL131106 CKA131106:CKH131106 CTW131106:CUD131106 DDS131106:DDZ131106 DNO131106:DNV131106 DXK131106:DXR131106 EHG131106:EHN131106 ERC131106:ERJ131106 FAY131106:FBF131106 FKU131106:FLB131106 FUQ131106:FUX131106 GEM131106:GET131106 GOI131106:GOP131106 GYE131106:GYL131106 HIA131106:HIH131106 HRW131106:HSD131106 IBS131106:IBZ131106 ILO131106:ILV131106 IVK131106:IVR131106 JFG131106:JFN131106 JPC131106:JPJ131106 JYY131106:JZF131106 KIU131106:KJB131106 KSQ131106:KSX131106 LCM131106:LCT131106 LMI131106:LMP131106 LWE131106:LWL131106 MGA131106:MGH131106 MPW131106:MQD131106 MZS131106:MZZ131106 NJO131106:NJV131106 NTK131106:NTR131106 ODG131106:ODN131106 ONC131106:ONJ131106 OWY131106:OXF131106 PGU131106:PHB131106 PQQ131106:PQX131106 QAM131106:QAT131106 QKI131106:QKP131106 QUE131106:QUL131106 REA131106:REH131106 RNW131106:ROD131106 RXS131106:RXZ131106 SHO131106:SHV131106 SRK131106:SRR131106 TBG131106:TBN131106 TLC131106:TLJ131106 TUY131106:TVF131106 UEU131106:UFB131106 UOQ131106:UOX131106 UYM131106:UYT131106 VII131106:VIP131106 VSE131106:VSL131106 WCA131106:WCH131106 WLW131106:WMD131106 WVS131106:WVZ131106 K196642:R196642 JG196642:JN196642 TC196642:TJ196642 ACY196642:ADF196642 AMU196642:ANB196642 AWQ196642:AWX196642 BGM196642:BGT196642 BQI196642:BQP196642 CAE196642:CAL196642 CKA196642:CKH196642 CTW196642:CUD196642 DDS196642:DDZ196642 DNO196642:DNV196642 DXK196642:DXR196642 EHG196642:EHN196642 ERC196642:ERJ196642 FAY196642:FBF196642 FKU196642:FLB196642 FUQ196642:FUX196642 GEM196642:GET196642 GOI196642:GOP196642 GYE196642:GYL196642 HIA196642:HIH196642 HRW196642:HSD196642 IBS196642:IBZ196642 ILO196642:ILV196642 IVK196642:IVR196642 JFG196642:JFN196642 JPC196642:JPJ196642 JYY196642:JZF196642 KIU196642:KJB196642 KSQ196642:KSX196642 LCM196642:LCT196642 LMI196642:LMP196642 LWE196642:LWL196642 MGA196642:MGH196642 MPW196642:MQD196642 MZS196642:MZZ196642 NJO196642:NJV196642 NTK196642:NTR196642 ODG196642:ODN196642 ONC196642:ONJ196642 OWY196642:OXF196642 PGU196642:PHB196642 PQQ196642:PQX196642 QAM196642:QAT196642 QKI196642:QKP196642 QUE196642:QUL196642 REA196642:REH196642 RNW196642:ROD196642 RXS196642:RXZ196642 SHO196642:SHV196642 SRK196642:SRR196642 TBG196642:TBN196642 TLC196642:TLJ196642 TUY196642:TVF196642 UEU196642:UFB196642 UOQ196642:UOX196642 UYM196642:UYT196642 VII196642:VIP196642 VSE196642:VSL196642 WCA196642:WCH196642 WLW196642:WMD196642 WVS196642:WVZ196642 K262178:R262178 JG262178:JN262178 TC262178:TJ262178 ACY262178:ADF262178 AMU262178:ANB262178 AWQ262178:AWX262178 BGM262178:BGT262178 BQI262178:BQP262178 CAE262178:CAL262178 CKA262178:CKH262178 CTW262178:CUD262178 DDS262178:DDZ262178 DNO262178:DNV262178 DXK262178:DXR262178 EHG262178:EHN262178 ERC262178:ERJ262178 FAY262178:FBF262178 FKU262178:FLB262178 FUQ262178:FUX262178 GEM262178:GET262178 GOI262178:GOP262178 GYE262178:GYL262178 HIA262178:HIH262178 HRW262178:HSD262178 IBS262178:IBZ262178 ILO262178:ILV262178 IVK262178:IVR262178 JFG262178:JFN262178 JPC262178:JPJ262178 JYY262178:JZF262178 KIU262178:KJB262178 KSQ262178:KSX262178 LCM262178:LCT262178 LMI262178:LMP262178 LWE262178:LWL262178 MGA262178:MGH262178 MPW262178:MQD262178 MZS262178:MZZ262178 NJO262178:NJV262178 NTK262178:NTR262178 ODG262178:ODN262178 ONC262178:ONJ262178 OWY262178:OXF262178 PGU262178:PHB262178 PQQ262178:PQX262178 QAM262178:QAT262178 QKI262178:QKP262178 QUE262178:QUL262178 REA262178:REH262178 RNW262178:ROD262178 RXS262178:RXZ262178 SHO262178:SHV262178 SRK262178:SRR262178 TBG262178:TBN262178 TLC262178:TLJ262178 TUY262178:TVF262178 UEU262178:UFB262178 UOQ262178:UOX262178 UYM262178:UYT262178 VII262178:VIP262178 VSE262178:VSL262178 WCA262178:WCH262178 WLW262178:WMD262178 WVS262178:WVZ262178 K327714:R327714 JG327714:JN327714 TC327714:TJ327714 ACY327714:ADF327714 AMU327714:ANB327714 AWQ327714:AWX327714 BGM327714:BGT327714 BQI327714:BQP327714 CAE327714:CAL327714 CKA327714:CKH327714 CTW327714:CUD327714 DDS327714:DDZ327714 DNO327714:DNV327714 DXK327714:DXR327714 EHG327714:EHN327714 ERC327714:ERJ327714 FAY327714:FBF327714 FKU327714:FLB327714 FUQ327714:FUX327714 GEM327714:GET327714 GOI327714:GOP327714 GYE327714:GYL327714 HIA327714:HIH327714 HRW327714:HSD327714 IBS327714:IBZ327714 ILO327714:ILV327714 IVK327714:IVR327714 JFG327714:JFN327714 JPC327714:JPJ327714 JYY327714:JZF327714 KIU327714:KJB327714 KSQ327714:KSX327714 LCM327714:LCT327714 LMI327714:LMP327714 LWE327714:LWL327714 MGA327714:MGH327714 MPW327714:MQD327714 MZS327714:MZZ327714 NJO327714:NJV327714 NTK327714:NTR327714 ODG327714:ODN327714 ONC327714:ONJ327714 OWY327714:OXF327714 PGU327714:PHB327714 PQQ327714:PQX327714 QAM327714:QAT327714 QKI327714:QKP327714 QUE327714:QUL327714 REA327714:REH327714 RNW327714:ROD327714 RXS327714:RXZ327714 SHO327714:SHV327714 SRK327714:SRR327714 TBG327714:TBN327714 TLC327714:TLJ327714 TUY327714:TVF327714 UEU327714:UFB327714 UOQ327714:UOX327714 UYM327714:UYT327714 VII327714:VIP327714 VSE327714:VSL327714 WCA327714:WCH327714 WLW327714:WMD327714 WVS327714:WVZ327714 K393250:R393250 JG393250:JN393250 TC393250:TJ393250 ACY393250:ADF393250 AMU393250:ANB393250 AWQ393250:AWX393250 BGM393250:BGT393250 BQI393250:BQP393250 CAE393250:CAL393250 CKA393250:CKH393250 CTW393250:CUD393250 DDS393250:DDZ393250 DNO393250:DNV393250 DXK393250:DXR393250 EHG393250:EHN393250 ERC393250:ERJ393250 FAY393250:FBF393250 FKU393250:FLB393250 FUQ393250:FUX393250 GEM393250:GET393250 GOI393250:GOP393250 GYE393250:GYL393250 HIA393250:HIH393250 HRW393250:HSD393250 IBS393250:IBZ393250 ILO393250:ILV393250 IVK393250:IVR393250 JFG393250:JFN393250 JPC393250:JPJ393250 JYY393250:JZF393250 KIU393250:KJB393250 KSQ393250:KSX393250 LCM393250:LCT393250 LMI393250:LMP393250 LWE393250:LWL393250 MGA393250:MGH393250 MPW393250:MQD393250 MZS393250:MZZ393250 NJO393250:NJV393250 NTK393250:NTR393250 ODG393250:ODN393250 ONC393250:ONJ393250 OWY393250:OXF393250 PGU393250:PHB393250 PQQ393250:PQX393250 QAM393250:QAT393250 QKI393250:QKP393250 QUE393250:QUL393250 REA393250:REH393250 RNW393250:ROD393250 RXS393250:RXZ393250 SHO393250:SHV393250 SRK393250:SRR393250 TBG393250:TBN393250 TLC393250:TLJ393250 TUY393250:TVF393250 UEU393250:UFB393250 UOQ393250:UOX393250 UYM393250:UYT393250 VII393250:VIP393250 VSE393250:VSL393250 WCA393250:WCH393250 WLW393250:WMD393250 WVS393250:WVZ393250 K458786:R458786 JG458786:JN458786 TC458786:TJ458786 ACY458786:ADF458786 AMU458786:ANB458786 AWQ458786:AWX458786 BGM458786:BGT458786 BQI458786:BQP458786 CAE458786:CAL458786 CKA458786:CKH458786 CTW458786:CUD458786 DDS458786:DDZ458786 DNO458786:DNV458786 DXK458786:DXR458786 EHG458786:EHN458786 ERC458786:ERJ458786 FAY458786:FBF458786 FKU458786:FLB458786 FUQ458786:FUX458786 GEM458786:GET458786 GOI458786:GOP458786 GYE458786:GYL458786 HIA458786:HIH458786 HRW458786:HSD458786 IBS458786:IBZ458786 ILO458786:ILV458786 IVK458786:IVR458786 JFG458786:JFN458786 JPC458786:JPJ458786 JYY458786:JZF458786 KIU458786:KJB458786 KSQ458786:KSX458786 LCM458786:LCT458786 LMI458786:LMP458786 LWE458786:LWL458786 MGA458786:MGH458786 MPW458786:MQD458786 MZS458786:MZZ458786 NJO458786:NJV458786 NTK458786:NTR458786 ODG458786:ODN458786 ONC458786:ONJ458786 OWY458786:OXF458786 PGU458786:PHB458786 PQQ458786:PQX458786 QAM458786:QAT458786 QKI458786:QKP458786 QUE458786:QUL458786 REA458786:REH458786 RNW458786:ROD458786 RXS458786:RXZ458786 SHO458786:SHV458786 SRK458786:SRR458786 TBG458786:TBN458786 TLC458786:TLJ458786 TUY458786:TVF458786 UEU458786:UFB458786 UOQ458786:UOX458786 UYM458786:UYT458786 VII458786:VIP458786 VSE458786:VSL458786 WCA458786:WCH458786 WLW458786:WMD458786 WVS458786:WVZ458786 K524322:R524322 JG524322:JN524322 TC524322:TJ524322 ACY524322:ADF524322 AMU524322:ANB524322 AWQ524322:AWX524322 BGM524322:BGT524322 BQI524322:BQP524322 CAE524322:CAL524322 CKA524322:CKH524322 CTW524322:CUD524322 DDS524322:DDZ524322 DNO524322:DNV524322 DXK524322:DXR524322 EHG524322:EHN524322 ERC524322:ERJ524322 FAY524322:FBF524322 FKU524322:FLB524322 FUQ524322:FUX524322 GEM524322:GET524322 GOI524322:GOP524322 GYE524322:GYL524322 HIA524322:HIH524322 HRW524322:HSD524322 IBS524322:IBZ524322 ILO524322:ILV524322 IVK524322:IVR524322 JFG524322:JFN524322 JPC524322:JPJ524322 JYY524322:JZF524322 KIU524322:KJB524322 KSQ524322:KSX524322 LCM524322:LCT524322 LMI524322:LMP524322 LWE524322:LWL524322 MGA524322:MGH524322 MPW524322:MQD524322 MZS524322:MZZ524322 NJO524322:NJV524322 NTK524322:NTR524322 ODG524322:ODN524322 ONC524322:ONJ524322 OWY524322:OXF524322 PGU524322:PHB524322 PQQ524322:PQX524322 QAM524322:QAT524322 QKI524322:QKP524322 QUE524322:QUL524322 REA524322:REH524322 RNW524322:ROD524322 RXS524322:RXZ524322 SHO524322:SHV524322 SRK524322:SRR524322 TBG524322:TBN524322 TLC524322:TLJ524322 TUY524322:TVF524322 UEU524322:UFB524322 UOQ524322:UOX524322 UYM524322:UYT524322 VII524322:VIP524322 VSE524322:VSL524322 WCA524322:WCH524322 WLW524322:WMD524322 WVS524322:WVZ524322 K589858:R589858 JG589858:JN589858 TC589858:TJ589858 ACY589858:ADF589858 AMU589858:ANB589858 AWQ589858:AWX589858 BGM589858:BGT589858 BQI589858:BQP589858 CAE589858:CAL589858 CKA589858:CKH589858 CTW589858:CUD589858 DDS589858:DDZ589858 DNO589858:DNV589858 DXK589858:DXR589858 EHG589858:EHN589858 ERC589858:ERJ589858 FAY589858:FBF589858 FKU589858:FLB589858 FUQ589858:FUX589858 GEM589858:GET589858 GOI589858:GOP589858 GYE589858:GYL589858 HIA589858:HIH589858 HRW589858:HSD589858 IBS589858:IBZ589858 ILO589858:ILV589858 IVK589858:IVR589858 JFG589858:JFN589858 JPC589858:JPJ589858 JYY589858:JZF589858 KIU589858:KJB589858 KSQ589858:KSX589858 LCM589858:LCT589858 LMI589858:LMP589858 LWE589858:LWL589858 MGA589858:MGH589858 MPW589858:MQD589858 MZS589858:MZZ589858 NJO589858:NJV589858 NTK589858:NTR589858 ODG589858:ODN589858 ONC589858:ONJ589858 OWY589858:OXF589858 PGU589858:PHB589858 PQQ589858:PQX589858 QAM589858:QAT589858 QKI589858:QKP589858 QUE589858:QUL589858 REA589858:REH589858 RNW589858:ROD589858 RXS589858:RXZ589858 SHO589858:SHV589858 SRK589858:SRR589858 TBG589858:TBN589858 TLC589858:TLJ589858 TUY589858:TVF589858 UEU589858:UFB589858 UOQ589858:UOX589858 UYM589858:UYT589858 VII589858:VIP589858 VSE589858:VSL589858 WCA589858:WCH589858 WLW589858:WMD589858 WVS589858:WVZ589858 K655394:R655394 JG655394:JN655394 TC655394:TJ655394 ACY655394:ADF655394 AMU655394:ANB655394 AWQ655394:AWX655394 BGM655394:BGT655394 BQI655394:BQP655394 CAE655394:CAL655394 CKA655394:CKH655394 CTW655394:CUD655394 DDS655394:DDZ655394 DNO655394:DNV655394 DXK655394:DXR655394 EHG655394:EHN655394 ERC655394:ERJ655394 FAY655394:FBF655394 FKU655394:FLB655394 FUQ655394:FUX655394 GEM655394:GET655394 GOI655394:GOP655394 GYE655394:GYL655394 HIA655394:HIH655394 HRW655394:HSD655394 IBS655394:IBZ655394 ILO655394:ILV655394 IVK655394:IVR655394 JFG655394:JFN655394 JPC655394:JPJ655394 JYY655394:JZF655394 KIU655394:KJB655394 KSQ655394:KSX655394 LCM655394:LCT655394 LMI655394:LMP655394 LWE655394:LWL655394 MGA655394:MGH655394 MPW655394:MQD655394 MZS655394:MZZ655394 NJO655394:NJV655394 NTK655394:NTR655394 ODG655394:ODN655394 ONC655394:ONJ655394 OWY655394:OXF655394 PGU655394:PHB655394 PQQ655394:PQX655394 QAM655394:QAT655394 QKI655394:QKP655394 QUE655394:QUL655394 REA655394:REH655394 RNW655394:ROD655394 RXS655394:RXZ655394 SHO655394:SHV655394 SRK655394:SRR655394 TBG655394:TBN655394 TLC655394:TLJ655394 TUY655394:TVF655394 UEU655394:UFB655394 UOQ655394:UOX655394 UYM655394:UYT655394 VII655394:VIP655394 VSE655394:VSL655394 WCA655394:WCH655394 WLW655394:WMD655394 WVS655394:WVZ655394 K720930:R720930 JG720930:JN720930 TC720930:TJ720930 ACY720930:ADF720930 AMU720930:ANB720930 AWQ720930:AWX720930 BGM720930:BGT720930 BQI720930:BQP720930 CAE720930:CAL720930 CKA720930:CKH720930 CTW720930:CUD720930 DDS720930:DDZ720930 DNO720930:DNV720930 DXK720930:DXR720930 EHG720930:EHN720930 ERC720930:ERJ720930 FAY720930:FBF720930 FKU720930:FLB720930 FUQ720930:FUX720930 GEM720930:GET720930 GOI720930:GOP720930 GYE720930:GYL720930 HIA720930:HIH720930 HRW720930:HSD720930 IBS720930:IBZ720930 ILO720930:ILV720930 IVK720930:IVR720930 JFG720930:JFN720930 JPC720930:JPJ720930 JYY720930:JZF720930 KIU720930:KJB720930 KSQ720930:KSX720930 LCM720930:LCT720930 LMI720930:LMP720930 LWE720930:LWL720930 MGA720930:MGH720930 MPW720930:MQD720930 MZS720930:MZZ720930 NJO720930:NJV720930 NTK720930:NTR720930 ODG720930:ODN720930 ONC720930:ONJ720930 OWY720930:OXF720930 PGU720930:PHB720930 PQQ720930:PQX720930 QAM720930:QAT720930 QKI720930:QKP720930 QUE720930:QUL720930 REA720930:REH720930 RNW720930:ROD720930 RXS720930:RXZ720930 SHO720930:SHV720930 SRK720930:SRR720930 TBG720930:TBN720930 TLC720930:TLJ720930 TUY720930:TVF720930 UEU720930:UFB720930 UOQ720930:UOX720930 UYM720930:UYT720930 VII720930:VIP720930 VSE720930:VSL720930 WCA720930:WCH720930 WLW720930:WMD720930 WVS720930:WVZ720930 K786466:R786466 JG786466:JN786466 TC786466:TJ786466 ACY786466:ADF786466 AMU786466:ANB786466 AWQ786466:AWX786466 BGM786466:BGT786466 BQI786466:BQP786466 CAE786466:CAL786466 CKA786466:CKH786466 CTW786466:CUD786466 DDS786466:DDZ786466 DNO786466:DNV786466 DXK786466:DXR786466 EHG786466:EHN786466 ERC786466:ERJ786466 FAY786466:FBF786466 FKU786466:FLB786466 FUQ786466:FUX786466 GEM786466:GET786466 GOI786466:GOP786466 GYE786466:GYL786466 HIA786466:HIH786466 HRW786466:HSD786466 IBS786466:IBZ786466 ILO786466:ILV786466 IVK786466:IVR786466 JFG786466:JFN786466 JPC786466:JPJ786466 JYY786466:JZF786466 KIU786466:KJB786466 KSQ786466:KSX786466 LCM786466:LCT786466 LMI786466:LMP786466 LWE786466:LWL786466 MGA786466:MGH786466 MPW786466:MQD786466 MZS786466:MZZ786466 NJO786466:NJV786466 NTK786466:NTR786466 ODG786466:ODN786466 ONC786466:ONJ786466 OWY786466:OXF786466 PGU786466:PHB786466 PQQ786466:PQX786466 QAM786466:QAT786466 QKI786466:QKP786466 QUE786466:QUL786466 REA786466:REH786466 RNW786466:ROD786466 RXS786466:RXZ786466 SHO786466:SHV786466 SRK786466:SRR786466 TBG786466:TBN786466 TLC786466:TLJ786466 TUY786466:TVF786466 UEU786466:UFB786466 UOQ786466:UOX786466 UYM786466:UYT786466 VII786466:VIP786466 VSE786466:VSL786466 WCA786466:WCH786466 WLW786466:WMD786466 WVS786466:WVZ786466 K852002:R852002 JG852002:JN852002 TC852002:TJ852002 ACY852002:ADF852002 AMU852002:ANB852002 AWQ852002:AWX852002 BGM852002:BGT852002 BQI852002:BQP852002 CAE852002:CAL852002 CKA852002:CKH852002 CTW852002:CUD852002 DDS852002:DDZ852002 DNO852002:DNV852002 DXK852002:DXR852002 EHG852002:EHN852002 ERC852002:ERJ852002 FAY852002:FBF852002 FKU852002:FLB852002 FUQ852002:FUX852002 GEM852002:GET852002 GOI852002:GOP852002 GYE852002:GYL852002 HIA852002:HIH852002 HRW852002:HSD852002 IBS852002:IBZ852002 ILO852002:ILV852002 IVK852002:IVR852002 JFG852002:JFN852002 JPC852002:JPJ852002 JYY852002:JZF852002 KIU852002:KJB852002 KSQ852002:KSX852002 LCM852002:LCT852002 LMI852002:LMP852002 LWE852002:LWL852002 MGA852002:MGH852002 MPW852002:MQD852002 MZS852002:MZZ852002 NJO852002:NJV852002 NTK852002:NTR852002 ODG852002:ODN852002 ONC852002:ONJ852002 OWY852002:OXF852002 PGU852002:PHB852002 PQQ852002:PQX852002 QAM852002:QAT852002 QKI852002:QKP852002 QUE852002:QUL852002 REA852002:REH852002 RNW852002:ROD852002 RXS852002:RXZ852002 SHO852002:SHV852002 SRK852002:SRR852002 TBG852002:TBN852002 TLC852002:TLJ852002 TUY852002:TVF852002 UEU852002:UFB852002 UOQ852002:UOX852002 UYM852002:UYT852002 VII852002:VIP852002 VSE852002:VSL852002 WCA852002:WCH852002 WLW852002:WMD852002 WVS852002:WVZ852002 K917538:R917538 JG917538:JN917538 TC917538:TJ917538 ACY917538:ADF917538 AMU917538:ANB917538 AWQ917538:AWX917538 BGM917538:BGT917538 BQI917538:BQP917538 CAE917538:CAL917538 CKA917538:CKH917538 CTW917538:CUD917538 DDS917538:DDZ917538 DNO917538:DNV917538 DXK917538:DXR917538 EHG917538:EHN917538 ERC917538:ERJ917538 FAY917538:FBF917538 FKU917538:FLB917538 FUQ917538:FUX917538 GEM917538:GET917538 GOI917538:GOP917538 GYE917538:GYL917538 HIA917538:HIH917538 HRW917538:HSD917538 IBS917538:IBZ917538 ILO917538:ILV917538 IVK917538:IVR917538 JFG917538:JFN917538 JPC917538:JPJ917538 JYY917538:JZF917538 KIU917538:KJB917538 KSQ917538:KSX917538 LCM917538:LCT917538 LMI917538:LMP917538 LWE917538:LWL917538 MGA917538:MGH917538 MPW917538:MQD917538 MZS917538:MZZ917538 NJO917538:NJV917538 NTK917538:NTR917538 ODG917538:ODN917538 ONC917538:ONJ917538 OWY917538:OXF917538 PGU917538:PHB917538 PQQ917538:PQX917538 QAM917538:QAT917538 QKI917538:QKP917538 QUE917538:QUL917538 REA917538:REH917538 RNW917538:ROD917538 RXS917538:RXZ917538 SHO917538:SHV917538 SRK917538:SRR917538 TBG917538:TBN917538 TLC917538:TLJ917538 TUY917538:TVF917538 UEU917538:UFB917538 UOQ917538:UOX917538 UYM917538:UYT917538 VII917538:VIP917538 VSE917538:VSL917538 WCA917538:WCH917538 WLW917538:WMD917538 WVS917538:WVZ917538 K983074:R983074 JG983074:JN983074 TC983074:TJ983074 ACY983074:ADF983074 AMU983074:ANB983074 AWQ983074:AWX983074 BGM983074:BGT983074 BQI983074:BQP983074 CAE983074:CAL983074 CKA983074:CKH983074 CTW983074:CUD983074 DDS983074:DDZ983074 DNO983074:DNV983074 DXK983074:DXR983074 EHG983074:EHN983074 ERC983074:ERJ983074 FAY983074:FBF983074 FKU983074:FLB983074 FUQ983074:FUX983074 GEM983074:GET983074 GOI983074:GOP983074 GYE983074:GYL983074 HIA983074:HIH983074 HRW983074:HSD983074 IBS983074:IBZ983074 ILO983074:ILV983074 IVK983074:IVR983074 JFG983074:JFN983074 JPC983074:JPJ983074 JYY983074:JZF983074 KIU983074:KJB983074 KSQ983074:KSX983074 LCM983074:LCT983074 LMI983074:LMP983074 LWE983074:LWL983074 MGA983074:MGH983074 MPW983074:MQD983074 MZS983074:MZZ983074 NJO983074:NJV983074 NTK983074:NTR983074 ODG983074:ODN983074 ONC983074:ONJ983074 OWY983074:OXF983074 PGU983074:PHB983074 PQQ983074:PQX983074 QAM983074:QAT983074 QKI983074:QKP983074 QUE983074:QUL983074 REA983074:REH983074 RNW983074:ROD983074 RXS983074:RXZ983074 SHO983074:SHV983074 SRK983074:SRR983074 TBG983074:TBN983074 TLC983074:TLJ983074 TUY983074:TVF983074 UEU983074:UFB983074 UOQ983074:UOX983074 UYM983074:UYT983074 VII983074:VIP983074 VSE983074:VSL983074 WCA983074:WCH983074 WLW983074:WMD983074" xr:uid="{00000000-0002-0000-0100-000007000000}">
      <formula1>$BI$20:$BI$22</formula1>
    </dataValidation>
    <dataValidation type="list" allowBlank="1" showInputMessage="1" showErrorMessage="1" sqref="K23:Z23 JG23:JV23 TC23:TR23 ACY23:ADN23 AMU23:ANJ23 AWQ23:AXF23 BGM23:BHB23 BQI23:BQX23 CAE23:CAT23 CKA23:CKP23 CTW23:CUL23 DDS23:DEH23 DNO23:DOD23 DXK23:DXZ23 EHG23:EHV23 ERC23:ERR23 FAY23:FBN23 FKU23:FLJ23 FUQ23:FVF23 GEM23:GFB23 GOI23:GOX23 GYE23:GYT23 HIA23:HIP23 HRW23:HSL23 IBS23:ICH23 ILO23:IMD23 IVK23:IVZ23 JFG23:JFV23 JPC23:JPR23 JYY23:JZN23 KIU23:KJJ23 KSQ23:KTF23 LCM23:LDB23 LMI23:LMX23 LWE23:LWT23 MGA23:MGP23 MPW23:MQL23 MZS23:NAH23 NJO23:NKD23 NTK23:NTZ23 ODG23:ODV23 ONC23:ONR23 OWY23:OXN23 PGU23:PHJ23 PQQ23:PRF23 QAM23:QBB23 QKI23:QKX23 QUE23:QUT23 REA23:REP23 RNW23:ROL23 RXS23:RYH23 SHO23:SID23 SRK23:SRZ23 TBG23:TBV23 TLC23:TLR23 TUY23:TVN23 UEU23:UFJ23 UOQ23:UPF23 UYM23:UZB23 VII23:VIX23 VSE23:VST23 WCA23:WCP23 WLW23:WML23 WVS23:WWH23 K65559:Z65559 JG65559:JV65559 TC65559:TR65559 ACY65559:ADN65559 AMU65559:ANJ65559 AWQ65559:AXF65559 BGM65559:BHB65559 BQI65559:BQX65559 CAE65559:CAT65559 CKA65559:CKP65559 CTW65559:CUL65559 DDS65559:DEH65559 DNO65559:DOD65559 DXK65559:DXZ65559 EHG65559:EHV65559 ERC65559:ERR65559 FAY65559:FBN65559 FKU65559:FLJ65559 FUQ65559:FVF65559 GEM65559:GFB65559 GOI65559:GOX65559 GYE65559:GYT65559 HIA65559:HIP65559 HRW65559:HSL65559 IBS65559:ICH65559 ILO65559:IMD65559 IVK65559:IVZ65559 JFG65559:JFV65559 JPC65559:JPR65559 JYY65559:JZN65559 KIU65559:KJJ65559 KSQ65559:KTF65559 LCM65559:LDB65559 LMI65559:LMX65559 LWE65559:LWT65559 MGA65559:MGP65559 MPW65559:MQL65559 MZS65559:NAH65559 NJO65559:NKD65559 NTK65559:NTZ65559 ODG65559:ODV65559 ONC65559:ONR65559 OWY65559:OXN65559 PGU65559:PHJ65559 PQQ65559:PRF65559 QAM65559:QBB65559 QKI65559:QKX65559 QUE65559:QUT65559 REA65559:REP65559 RNW65559:ROL65559 RXS65559:RYH65559 SHO65559:SID65559 SRK65559:SRZ65559 TBG65559:TBV65559 TLC65559:TLR65559 TUY65559:TVN65559 UEU65559:UFJ65559 UOQ65559:UPF65559 UYM65559:UZB65559 VII65559:VIX65559 VSE65559:VST65559 WCA65559:WCP65559 WLW65559:WML65559 WVS65559:WWH65559 K131095:Z131095 JG131095:JV131095 TC131095:TR131095 ACY131095:ADN131095 AMU131095:ANJ131095 AWQ131095:AXF131095 BGM131095:BHB131095 BQI131095:BQX131095 CAE131095:CAT131095 CKA131095:CKP131095 CTW131095:CUL131095 DDS131095:DEH131095 DNO131095:DOD131095 DXK131095:DXZ131095 EHG131095:EHV131095 ERC131095:ERR131095 FAY131095:FBN131095 FKU131095:FLJ131095 FUQ131095:FVF131095 GEM131095:GFB131095 GOI131095:GOX131095 GYE131095:GYT131095 HIA131095:HIP131095 HRW131095:HSL131095 IBS131095:ICH131095 ILO131095:IMD131095 IVK131095:IVZ131095 JFG131095:JFV131095 JPC131095:JPR131095 JYY131095:JZN131095 KIU131095:KJJ131095 KSQ131095:KTF131095 LCM131095:LDB131095 LMI131095:LMX131095 LWE131095:LWT131095 MGA131095:MGP131095 MPW131095:MQL131095 MZS131095:NAH131095 NJO131095:NKD131095 NTK131095:NTZ131095 ODG131095:ODV131095 ONC131095:ONR131095 OWY131095:OXN131095 PGU131095:PHJ131095 PQQ131095:PRF131095 QAM131095:QBB131095 QKI131095:QKX131095 QUE131095:QUT131095 REA131095:REP131095 RNW131095:ROL131095 RXS131095:RYH131095 SHO131095:SID131095 SRK131095:SRZ131095 TBG131095:TBV131095 TLC131095:TLR131095 TUY131095:TVN131095 UEU131095:UFJ131095 UOQ131095:UPF131095 UYM131095:UZB131095 VII131095:VIX131095 VSE131095:VST131095 WCA131095:WCP131095 WLW131095:WML131095 WVS131095:WWH131095 K196631:Z196631 JG196631:JV196631 TC196631:TR196631 ACY196631:ADN196631 AMU196631:ANJ196631 AWQ196631:AXF196631 BGM196631:BHB196631 BQI196631:BQX196631 CAE196631:CAT196631 CKA196631:CKP196631 CTW196631:CUL196631 DDS196631:DEH196631 DNO196631:DOD196631 DXK196631:DXZ196631 EHG196631:EHV196631 ERC196631:ERR196631 FAY196631:FBN196631 FKU196631:FLJ196631 FUQ196631:FVF196631 GEM196631:GFB196631 GOI196631:GOX196631 GYE196631:GYT196631 HIA196631:HIP196631 HRW196631:HSL196631 IBS196631:ICH196631 ILO196631:IMD196631 IVK196631:IVZ196631 JFG196631:JFV196631 JPC196631:JPR196631 JYY196631:JZN196631 KIU196631:KJJ196631 KSQ196631:KTF196631 LCM196631:LDB196631 LMI196631:LMX196631 LWE196631:LWT196631 MGA196631:MGP196631 MPW196631:MQL196631 MZS196631:NAH196631 NJO196631:NKD196631 NTK196631:NTZ196631 ODG196631:ODV196631 ONC196631:ONR196631 OWY196631:OXN196631 PGU196631:PHJ196631 PQQ196631:PRF196631 QAM196631:QBB196631 QKI196631:QKX196631 QUE196631:QUT196631 REA196631:REP196631 RNW196631:ROL196631 RXS196631:RYH196631 SHO196631:SID196631 SRK196631:SRZ196631 TBG196631:TBV196631 TLC196631:TLR196631 TUY196631:TVN196631 UEU196631:UFJ196631 UOQ196631:UPF196631 UYM196631:UZB196631 VII196631:VIX196631 VSE196631:VST196631 WCA196631:WCP196631 WLW196631:WML196631 WVS196631:WWH196631 K262167:Z262167 JG262167:JV262167 TC262167:TR262167 ACY262167:ADN262167 AMU262167:ANJ262167 AWQ262167:AXF262167 BGM262167:BHB262167 BQI262167:BQX262167 CAE262167:CAT262167 CKA262167:CKP262167 CTW262167:CUL262167 DDS262167:DEH262167 DNO262167:DOD262167 DXK262167:DXZ262167 EHG262167:EHV262167 ERC262167:ERR262167 FAY262167:FBN262167 FKU262167:FLJ262167 FUQ262167:FVF262167 GEM262167:GFB262167 GOI262167:GOX262167 GYE262167:GYT262167 HIA262167:HIP262167 HRW262167:HSL262167 IBS262167:ICH262167 ILO262167:IMD262167 IVK262167:IVZ262167 JFG262167:JFV262167 JPC262167:JPR262167 JYY262167:JZN262167 KIU262167:KJJ262167 KSQ262167:KTF262167 LCM262167:LDB262167 LMI262167:LMX262167 LWE262167:LWT262167 MGA262167:MGP262167 MPW262167:MQL262167 MZS262167:NAH262167 NJO262167:NKD262167 NTK262167:NTZ262167 ODG262167:ODV262167 ONC262167:ONR262167 OWY262167:OXN262167 PGU262167:PHJ262167 PQQ262167:PRF262167 QAM262167:QBB262167 QKI262167:QKX262167 QUE262167:QUT262167 REA262167:REP262167 RNW262167:ROL262167 RXS262167:RYH262167 SHO262167:SID262167 SRK262167:SRZ262167 TBG262167:TBV262167 TLC262167:TLR262167 TUY262167:TVN262167 UEU262167:UFJ262167 UOQ262167:UPF262167 UYM262167:UZB262167 VII262167:VIX262167 VSE262167:VST262167 WCA262167:WCP262167 WLW262167:WML262167 WVS262167:WWH262167 K327703:Z327703 JG327703:JV327703 TC327703:TR327703 ACY327703:ADN327703 AMU327703:ANJ327703 AWQ327703:AXF327703 BGM327703:BHB327703 BQI327703:BQX327703 CAE327703:CAT327703 CKA327703:CKP327703 CTW327703:CUL327703 DDS327703:DEH327703 DNO327703:DOD327703 DXK327703:DXZ327703 EHG327703:EHV327703 ERC327703:ERR327703 FAY327703:FBN327703 FKU327703:FLJ327703 FUQ327703:FVF327703 GEM327703:GFB327703 GOI327703:GOX327703 GYE327703:GYT327703 HIA327703:HIP327703 HRW327703:HSL327703 IBS327703:ICH327703 ILO327703:IMD327703 IVK327703:IVZ327703 JFG327703:JFV327703 JPC327703:JPR327703 JYY327703:JZN327703 KIU327703:KJJ327703 KSQ327703:KTF327703 LCM327703:LDB327703 LMI327703:LMX327703 LWE327703:LWT327703 MGA327703:MGP327703 MPW327703:MQL327703 MZS327703:NAH327703 NJO327703:NKD327703 NTK327703:NTZ327703 ODG327703:ODV327703 ONC327703:ONR327703 OWY327703:OXN327703 PGU327703:PHJ327703 PQQ327703:PRF327703 QAM327703:QBB327703 QKI327703:QKX327703 QUE327703:QUT327703 REA327703:REP327703 RNW327703:ROL327703 RXS327703:RYH327703 SHO327703:SID327703 SRK327703:SRZ327703 TBG327703:TBV327703 TLC327703:TLR327703 TUY327703:TVN327703 UEU327703:UFJ327703 UOQ327703:UPF327703 UYM327703:UZB327703 VII327703:VIX327703 VSE327703:VST327703 WCA327703:WCP327703 WLW327703:WML327703 WVS327703:WWH327703 K393239:Z393239 JG393239:JV393239 TC393239:TR393239 ACY393239:ADN393239 AMU393239:ANJ393239 AWQ393239:AXF393239 BGM393239:BHB393239 BQI393239:BQX393239 CAE393239:CAT393239 CKA393239:CKP393239 CTW393239:CUL393239 DDS393239:DEH393239 DNO393239:DOD393239 DXK393239:DXZ393239 EHG393239:EHV393239 ERC393239:ERR393239 FAY393239:FBN393239 FKU393239:FLJ393239 FUQ393239:FVF393239 GEM393239:GFB393239 GOI393239:GOX393239 GYE393239:GYT393239 HIA393239:HIP393239 HRW393239:HSL393239 IBS393239:ICH393239 ILO393239:IMD393239 IVK393239:IVZ393239 JFG393239:JFV393239 JPC393239:JPR393239 JYY393239:JZN393239 KIU393239:KJJ393239 KSQ393239:KTF393239 LCM393239:LDB393239 LMI393239:LMX393239 LWE393239:LWT393239 MGA393239:MGP393239 MPW393239:MQL393239 MZS393239:NAH393239 NJO393239:NKD393239 NTK393239:NTZ393239 ODG393239:ODV393239 ONC393239:ONR393239 OWY393239:OXN393239 PGU393239:PHJ393239 PQQ393239:PRF393239 QAM393239:QBB393239 QKI393239:QKX393239 QUE393239:QUT393239 REA393239:REP393239 RNW393239:ROL393239 RXS393239:RYH393239 SHO393239:SID393239 SRK393239:SRZ393239 TBG393239:TBV393239 TLC393239:TLR393239 TUY393239:TVN393239 UEU393239:UFJ393239 UOQ393239:UPF393239 UYM393239:UZB393239 VII393239:VIX393239 VSE393239:VST393239 WCA393239:WCP393239 WLW393239:WML393239 WVS393239:WWH393239 K458775:Z458775 JG458775:JV458775 TC458775:TR458775 ACY458775:ADN458775 AMU458775:ANJ458775 AWQ458775:AXF458775 BGM458775:BHB458775 BQI458775:BQX458775 CAE458775:CAT458775 CKA458775:CKP458775 CTW458775:CUL458775 DDS458775:DEH458775 DNO458775:DOD458775 DXK458775:DXZ458775 EHG458775:EHV458775 ERC458775:ERR458775 FAY458775:FBN458775 FKU458775:FLJ458775 FUQ458775:FVF458775 GEM458775:GFB458775 GOI458775:GOX458775 GYE458775:GYT458775 HIA458775:HIP458775 HRW458775:HSL458775 IBS458775:ICH458775 ILO458775:IMD458775 IVK458775:IVZ458775 JFG458775:JFV458775 JPC458775:JPR458775 JYY458775:JZN458775 KIU458775:KJJ458775 KSQ458775:KTF458775 LCM458775:LDB458775 LMI458775:LMX458775 LWE458775:LWT458775 MGA458775:MGP458775 MPW458775:MQL458775 MZS458775:NAH458775 NJO458775:NKD458775 NTK458775:NTZ458775 ODG458775:ODV458775 ONC458775:ONR458775 OWY458775:OXN458775 PGU458775:PHJ458775 PQQ458775:PRF458775 QAM458775:QBB458775 QKI458775:QKX458775 QUE458775:QUT458775 REA458775:REP458775 RNW458775:ROL458775 RXS458775:RYH458775 SHO458775:SID458775 SRK458775:SRZ458775 TBG458775:TBV458775 TLC458775:TLR458775 TUY458775:TVN458775 UEU458775:UFJ458775 UOQ458775:UPF458775 UYM458775:UZB458775 VII458775:VIX458775 VSE458775:VST458775 WCA458775:WCP458775 WLW458775:WML458775 WVS458775:WWH458775 K524311:Z524311 JG524311:JV524311 TC524311:TR524311 ACY524311:ADN524311 AMU524311:ANJ524311 AWQ524311:AXF524311 BGM524311:BHB524311 BQI524311:BQX524311 CAE524311:CAT524311 CKA524311:CKP524311 CTW524311:CUL524311 DDS524311:DEH524311 DNO524311:DOD524311 DXK524311:DXZ524311 EHG524311:EHV524311 ERC524311:ERR524311 FAY524311:FBN524311 FKU524311:FLJ524311 FUQ524311:FVF524311 GEM524311:GFB524311 GOI524311:GOX524311 GYE524311:GYT524311 HIA524311:HIP524311 HRW524311:HSL524311 IBS524311:ICH524311 ILO524311:IMD524311 IVK524311:IVZ524311 JFG524311:JFV524311 JPC524311:JPR524311 JYY524311:JZN524311 KIU524311:KJJ524311 KSQ524311:KTF524311 LCM524311:LDB524311 LMI524311:LMX524311 LWE524311:LWT524311 MGA524311:MGP524311 MPW524311:MQL524311 MZS524311:NAH524311 NJO524311:NKD524311 NTK524311:NTZ524311 ODG524311:ODV524311 ONC524311:ONR524311 OWY524311:OXN524311 PGU524311:PHJ524311 PQQ524311:PRF524311 QAM524311:QBB524311 QKI524311:QKX524311 QUE524311:QUT524311 REA524311:REP524311 RNW524311:ROL524311 RXS524311:RYH524311 SHO524311:SID524311 SRK524311:SRZ524311 TBG524311:TBV524311 TLC524311:TLR524311 TUY524311:TVN524311 UEU524311:UFJ524311 UOQ524311:UPF524311 UYM524311:UZB524311 VII524311:VIX524311 VSE524311:VST524311 WCA524311:WCP524311 WLW524311:WML524311 WVS524311:WWH524311 K589847:Z589847 JG589847:JV589847 TC589847:TR589847 ACY589847:ADN589847 AMU589847:ANJ589847 AWQ589847:AXF589847 BGM589847:BHB589847 BQI589847:BQX589847 CAE589847:CAT589847 CKA589847:CKP589847 CTW589847:CUL589847 DDS589847:DEH589847 DNO589847:DOD589847 DXK589847:DXZ589847 EHG589847:EHV589847 ERC589847:ERR589847 FAY589847:FBN589847 FKU589847:FLJ589847 FUQ589847:FVF589847 GEM589847:GFB589847 GOI589847:GOX589847 GYE589847:GYT589847 HIA589847:HIP589847 HRW589847:HSL589847 IBS589847:ICH589847 ILO589847:IMD589847 IVK589847:IVZ589847 JFG589847:JFV589847 JPC589847:JPR589847 JYY589847:JZN589847 KIU589847:KJJ589847 KSQ589847:KTF589847 LCM589847:LDB589847 LMI589847:LMX589847 LWE589847:LWT589847 MGA589847:MGP589847 MPW589847:MQL589847 MZS589847:NAH589847 NJO589847:NKD589847 NTK589847:NTZ589847 ODG589847:ODV589847 ONC589847:ONR589847 OWY589847:OXN589847 PGU589847:PHJ589847 PQQ589847:PRF589847 QAM589847:QBB589847 QKI589847:QKX589847 QUE589847:QUT589847 REA589847:REP589847 RNW589847:ROL589847 RXS589847:RYH589847 SHO589847:SID589847 SRK589847:SRZ589847 TBG589847:TBV589847 TLC589847:TLR589847 TUY589847:TVN589847 UEU589847:UFJ589847 UOQ589847:UPF589847 UYM589847:UZB589847 VII589847:VIX589847 VSE589847:VST589847 WCA589847:WCP589847 WLW589847:WML589847 WVS589847:WWH589847 K655383:Z655383 JG655383:JV655383 TC655383:TR655383 ACY655383:ADN655383 AMU655383:ANJ655383 AWQ655383:AXF655383 BGM655383:BHB655383 BQI655383:BQX655383 CAE655383:CAT655383 CKA655383:CKP655383 CTW655383:CUL655383 DDS655383:DEH655383 DNO655383:DOD655383 DXK655383:DXZ655383 EHG655383:EHV655383 ERC655383:ERR655383 FAY655383:FBN655383 FKU655383:FLJ655383 FUQ655383:FVF655383 GEM655383:GFB655383 GOI655383:GOX655383 GYE655383:GYT655383 HIA655383:HIP655383 HRW655383:HSL655383 IBS655383:ICH655383 ILO655383:IMD655383 IVK655383:IVZ655383 JFG655383:JFV655383 JPC655383:JPR655383 JYY655383:JZN655383 KIU655383:KJJ655383 KSQ655383:KTF655383 LCM655383:LDB655383 LMI655383:LMX655383 LWE655383:LWT655383 MGA655383:MGP655383 MPW655383:MQL655383 MZS655383:NAH655383 NJO655383:NKD655383 NTK655383:NTZ655383 ODG655383:ODV655383 ONC655383:ONR655383 OWY655383:OXN655383 PGU655383:PHJ655383 PQQ655383:PRF655383 QAM655383:QBB655383 QKI655383:QKX655383 QUE655383:QUT655383 REA655383:REP655383 RNW655383:ROL655383 RXS655383:RYH655383 SHO655383:SID655383 SRK655383:SRZ655383 TBG655383:TBV655383 TLC655383:TLR655383 TUY655383:TVN655383 UEU655383:UFJ655383 UOQ655383:UPF655383 UYM655383:UZB655383 VII655383:VIX655383 VSE655383:VST655383 WCA655383:WCP655383 WLW655383:WML655383 WVS655383:WWH655383 K720919:Z720919 JG720919:JV720919 TC720919:TR720919 ACY720919:ADN720919 AMU720919:ANJ720919 AWQ720919:AXF720919 BGM720919:BHB720919 BQI720919:BQX720919 CAE720919:CAT720919 CKA720919:CKP720919 CTW720919:CUL720919 DDS720919:DEH720919 DNO720919:DOD720919 DXK720919:DXZ720919 EHG720919:EHV720919 ERC720919:ERR720919 FAY720919:FBN720919 FKU720919:FLJ720919 FUQ720919:FVF720919 GEM720919:GFB720919 GOI720919:GOX720919 GYE720919:GYT720919 HIA720919:HIP720919 HRW720919:HSL720919 IBS720919:ICH720919 ILO720919:IMD720919 IVK720919:IVZ720919 JFG720919:JFV720919 JPC720919:JPR720919 JYY720919:JZN720919 KIU720919:KJJ720919 KSQ720919:KTF720919 LCM720919:LDB720919 LMI720919:LMX720919 LWE720919:LWT720919 MGA720919:MGP720919 MPW720919:MQL720919 MZS720919:NAH720919 NJO720919:NKD720919 NTK720919:NTZ720919 ODG720919:ODV720919 ONC720919:ONR720919 OWY720919:OXN720919 PGU720919:PHJ720919 PQQ720919:PRF720919 QAM720919:QBB720919 QKI720919:QKX720919 QUE720919:QUT720919 REA720919:REP720919 RNW720919:ROL720919 RXS720919:RYH720919 SHO720919:SID720919 SRK720919:SRZ720919 TBG720919:TBV720919 TLC720919:TLR720919 TUY720919:TVN720919 UEU720919:UFJ720919 UOQ720919:UPF720919 UYM720919:UZB720919 VII720919:VIX720919 VSE720919:VST720919 WCA720919:WCP720919 WLW720919:WML720919 WVS720919:WWH720919 K786455:Z786455 JG786455:JV786455 TC786455:TR786455 ACY786455:ADN786455 AMU786455:ANJ786455 AWQ786455:AXF786455 BGM786455:BHB786455 BQI786455:BQX786455 CAE786455:CAT786455 CKA786455:CKP786455 CTW786455:CUL786455 DDS786455:DEH786455 DNO786455:DOD786455 DXK786455:DXZ786455 EHG786455:EHV786455 ERC786455:ERR786455 FAY786455:FBN786455 FKU786455:FLJ786455 FUQ786455:FVF786455 GEM786455:GFB786455 GOI786455:GOX786455 GYE786455:GYT786455 HIA786455:HIP786455 HRW786455:HSL786455 IBS786455:ICH786455 ILO786455:IMD786455 IVK786455:IVZ786455 JFG786455:JFV786455 JPC786455:JPR786455 JYY786455:JZN786455 KIU786455:KJJ786455 KSQ786455:KTF786455 LCM786455:LDB786455 LMI786455:LMX786455 LWE786455:LWT786455 MGA786455:MGP786455 MPW786455:MQL786455 MZS786455:NAH786455 NJO786455:NKD786455 NTK786455:NTZ786455 ODG786455:ODV786455 ONC786455:ONR786455 OWY786455:OXN786455 PGU786455:PHJ786455 PQQ786455:PRF786455 QAM786455:QBB786455 QKI786455:QKX786455 QUE786455:QUT786455 REA786455:REP786455 RNW786455:ROL786455 RXS786455:RYH786455 SHO786455:SID786455 SRK786455:SRZ786455 TBG786455:TBV786455 TLC786455:TLR786455 TUY786455:TVN786455 UEU786455:UFJ786455 UOQ786455:UPF786455 UYM786455:UZB786455 VII786455:VIX786455 VSE786455:VST786455 WCA786455:WCP786455 WLW786455:WML786455 WVS786455:WWH786455 K851991:Z851991 JG851991:JV851991 TC851991:TR851991 ACY851991:ADN851991 AMU851991:ANJ851991 AWQ851991:AXF851991 BGM851991:BHB851991 BQI851991:BQX851991 CAE851991:CAT851991 CKA851991:CKP851991 CTW851991:CUL851991 DDS851991:DEH851991 DNO851991:DOD851991 DXK851991:DXZ851991 EHG851991:EHV851991 ERC851991:ERR851991 FAY851991:FBN851991 FKU851991:FLJ851991 FUQ851991:FVF851991 GEM851991:GFB851991 GOI851991:GOX851991 GYE851991:GYT851991 HIA851991:HIP851991 HRW851991:HSL851991 IBS851991:ICH851991 ILO851991:IMD851991 IVK851991:IVZ851991 JFG851991:JFV851991 JPC851991:JPR851991 JYY851991:JZN851991 KIU851991:KJJ851991 KSQ851991:KTF851991 LCM851991:LDB851991 LMI851991:LMX851991 LWE851991:LWT851991 MGA851991:MGP851991 MPW851991:MQL851991 MZS851991:NAH851991 NJO851991:NKD851991 NTK851991:NTZ851991 ODG851991:ODV851991 ONC851991:ONR851991 OWY851991:OXN851991 PGU851991:PHJ851991 PQQ851991:PRF851991 QAM851991:QBB851991 QKI851991:QKX851991 QUE851991:QUT851991 REA851991:REP851991 RNW851991:ROL851991 RXS851991:RYH851991 SHO851991:SID851991 SRK851991:SRZ851991 TBG851991:TBV851991 TLC851991:TLR851991 TUY851991:TVN851991 UEU851991:UFJ851991 UOQ851991:UPF851991 UYM851991:UZB851991 VII851991:VIX851991 VSE851991:VST851991 WCA851991:WCP851991 WLW851991:WML851991 WVS851991:WWH851991 K917527:Z917527 JG917527:JV917527 TC917527:TR917527 ACY917527:ADN917527 AMU917527:ANJ917527 AWQ917527:AXF917527 BGM917527:BHB917527 BQI917527:BQX917527 CAE917527:CAT917527 CKA917527:CKP917527 CTW917527:CUL917527 DDS917527:DEH917527 DNO917527:DOD917527 DXK917527:DXZ917527 EHG917527:EHV917527 ERC917527:ERR917527 FAY917527:FBN917527 FKU917527:FLJ917527 FUQ917527:FVF917527 GEM917527:GFB917527 GOI917527:GOX917527 GYE917527:GYT917527 HIA917527:HIP917527 HRW917527:HSL917527 IBS917527:ICH917527 ILO917527:IMD917527 IVK917527:IVZ917527 JFG917527:JFV917527 JPC917527:JPR917527 JYY917527:JZN917527 KIU917527:KJJ917527 KSQ917527:KTF917527 LCM917527:LDB917527 LMI917527:LMX917527 LWE917527:LWT917527 MGA917527:MGP917527 MPW917527:MQL917527 MZS917527:NAH917527 NJO917527:NKD917527 NTK917527:NTZ917527 ODG917527:ODV917527 ONC917527:ONR917527 OWY917527:OXN917527 PGU917527:PHJ917527 PQQ917527:PRF917527 QAM917527:QBB917527 QKI917527:QKX917527 QUE917527:QUT917527 REA917527:REP917527 RNW917527:ROL917527 RXS917527:RYH917527 SHO917527:SID917527 SRK917527:SRZ917527 TBG917527:TBV917527 TLC917527:TLR917527 TUY917527:TVN917527 UEU917527:UFJ917527 UOQ917527:UPF917527 UYM917527:UZB917527 VII917527:VIX917527 VSE917527:VST917527 WCA917527:WCP917527 WLW917527:WML917527 WVS917527:WWH917527 K983063:Z983063 JG983063:JV983063 TC983063:TR983063 ACY983063:ADN983063 AMU983063:ANJ983063 AWQ983063:AXF983063 BGM983063:BHB983063 BQI983063:BQX983063 CAE983063:CAT983063 CKA983063:CKP983063 CTW983063:CUL983063 DDS983063:DEH983063 DNO983063:DOD983063 DXK983063:DXZ983063 EHG983063:EHV983063 ERC983063:ERR983063 FAY983063:FBN983063 FKU983063:FLJ983063 FUQ983063:FVF983063 GEM983063:GFB983063 GOI983063:GOX983063 GYE983063:GYT983063 HIA983063:HIP983063 HRW983063:HSL983063 IBS983063:ICH983063 ILO983063:IMD983063 IVK983063:IVZ983063 JFG983063:JFV983063 JPC983063:JPR983063 JYY983063:JZN983063 KIU983063:KJJ983063 KSQ983063:KTF983063 LCM983063:LDB983063 LMI983063:LMX983063 LWE983063:LWT983063 MGA983063:MGP983063 MPW983063:MQL983063 MZS983063:NAH983063 NJO983063:NKD983063 NTK983063:NTZ983063 ODG983063:ODV983063 ONC983063:ONR983063 OWY983063:OXN983063 PGU983063:PHJ983063 PQQ983063:PRF983063 QAM983063:QBB983063 QKI983063:QKX983063 QUE983063:QUT983063 REA983063:REP983063 RNW983063:ROL983063 RXS983063:RYH983063 SHO983063:SID983063 SRK983063:SRZ983063 TBG983063:TBV983063 TLC983063:TLR983063 TUY983063:TVN983063 UEU983063:UFJ983063 UOQ983063:UPF983063 UYM983063:UZB983063 VII983063:VIX983063 VSE983063:VST983063 WCA983063:WCP983063 WLW983063:WML983063 WVS983063:WWH983063" xr:uid="{00000000-0002-0000-0100-000008000000}">
      <formula1>$BH$3:$BH$9</formula1>
    </dataValidation>
    <dataValidation type="list" allowBlank="1" showInputMessage="1" showErrorMessage="1" sqref="K36:AP36 JG36:KL36 TC36:UH36 ACY36:AED36 AMU36:ANZ36 AWQ36:AXV36 BGM36:BHR36 BQI36:BRN36 CAE36:CBJ36 CKA36:CLF36 CTW36:CVB36 DDS36:DEX36 DNO36:DOT36 DXK36:DYP36 EHG36:EIL36 ERC36:ESH36 FAY36:FCD36 FKU36:FLZ36 FUQ36:FVV36 GEM36:GFR36 GOI36:GPN36 GYE36:GZJ36 HIA36:HJF36 HRW36:HTB36 IBS36:ICX36 ILO36:IMT36 IVK36:IWP36 JFG36:JGL36 JPC36:JQH36 JYY36:KAD36 KIU36:KJZ36 KSQ36:KTV36 LCM36:LDR36 LMI36:LNN36 LWE36:LXJ36 MGA36:MHF36 MPW36:MRB36 MZS36:NAX36 NJO36:NKT36 NTK36:NUP36 ODG36:OEL36 ONC36:OOH36 OWY36:OYD36 PGU36:PHZ36 PQQ36:PRV36 QAM36:QBR36 QKI36:QLN36 QUE36:QVJ36 REA36:RFF36 RNW36:RPB36 RXS36:RYX36 SHO36:SIT36 SRK36:SSP36 TBG36:TCL36 TLC36:TMH36 TUY36:TWD36 UEU36:UFZ36 UOQ36:UPV36 UYM36:UZR36 VII36:VJN36 VSE36:VTJ36 WCA36:WDF36 WLW36:WNB36 WVS36:WWX36 K65572:AP65572 JG65572:KL65572 TC65572:UH65572 ACY65572:AED65572 AMU65572:ANZ65572 AWQ65572:AXV65572 BGM65572:BHR65572 BQI65572:BRN65572 CAE65572:CBJ65572 CKA65572:CLF65572 CTW65572:CVB65572 DDS65572:DEX65572 DNO65572:DOT65572 DXK65572:DYP65572 EHG65572:EIL65572 ERC65572:ESH65572 FAY65572:FCD65572 FKU65572:FLZ65572 FUQ65572:FVV65572 GEM65572:GFR65572 GOI65572:GPN65572 GYE65572:GZJ65572 HIA65572:HJF65572 HRW65572:HTB65572 IBS65572:ICX65572 ILO65572:IMT65572 IVK65572:IWP65572 JFG65572:JGL65572 JPC65572:JQH65572 JYY65572:KAD65572 KIU65572:KJZ65572 KSQ65572:KTV65572 LCM65572:LDR65572 LMI65572:LNN65572 LWE65572:LXJ65572 MGA65572:MHF65572 MPW65572:MRB65572 MZS65572:NAX65572 NJO65572:NKT65572 NTK65572:NUP65572 ODG65572:OEL65572 ONC65572:OOH65572 OWY65572:OYD65572 PGU65572:PHZ65572 PQQ65572:PRV65572 QAM65572:QBR65572 QKI65572:QLN65572 QUE65572:QVJ65572 REA65572:RFF65572 RNW65572:RPB65572 RXS65572:RYX65572 SHO65572:SIT65572 SRK65572:SSP65572 TBG65572:TCL65572 TLC65572:TMH65572 TUY65572:TWD65572 UEU65572:UFZ65572 UOQ65572:UPV65572 UYM65572:UZR65572 VII65572:VJN65572 VSE65572:VTJ65572 WCA65572:WDF65572 WLW65572:WNB65572 WVS65572:WWX65572 K131108:AP131108 JG131108:KL131108 TC131108:UH131108 ACY131108:AED131108 AMU131108:ANZ131108 AWQ131108:AXV131108 BGM131108:BHR131108 BQI131108:BRN131108 CAE131108:CBJ131108 CKA131108:CLF131108 CTW131108:CVB131108 DDS131108:DEX131108 DNO131108:DOT131108 DXK131108:DYP131108 EHG131108:EIL131108 ERC131108:ESH131108 FAY131108:FCD131108 FKU131108:FLZ131108 FUQ131108:FVV131108 GEM131108:GFR131108 GOI131108:GPN131108 GYE131108:GZJ131108 HIA131108:HJF131108 HRW131108:HTB131108 IBS131108:ICX131108 ILO131108:IMT131108 IVK131108:IWP131108 JFG131108:JGL131108 JPC131108:JQH131108 JYY131108:KAD131108 KIU131108:KJZ131108 KSQ131108:KTV131108 LCM131108:LDR131108 LMI131108:LNN131108 LWE131108:LXJ131108 MGA131108:MHF131108 MPW131108:MRB131108 MZS131108:NAX131108 NJO131108:NKT131108 NTK131108:NUP131108 ODG131108:OEL131108 ONC131108:OOH131108 OWY131108:OYD131108 PGU131108:PHZ131108 PQQ131108:PRV131108 QAM131108:QBR131108 QKI131108:QLN131108 QUE131108:QVJ131108 REA131108:RFF131108 RNW131108:RPB131108 RXS131108:RYX131108 SHO131108:SIT131108 SRK131108:SSP131108 TBG131108:TCL131108 TLC131108:TMH131108 TUY131108:TWD131108 UEU131108:UFZ131108 UOQ131108:UPV131108 UYM131108:UZR131108 VII131108:VJN131108 VSE131108:VTJ131108 WCA131108:WDF131108 WLW131108:WNB131108 WVS131108:WWX131108 K196644:AP196644 JG196644:KL196644 TC196644:UH196644 ACY196644:AED196644 AMU196644:ANZ196644 AWQ196644:AXV196644 BGM196644:BHR196644 BQI196644:BRN196644 CAE196644:CBJ196644 CKA196644:CLF196644 CTW196644:CVB196644 DDS196644:DEX196644 DNO196644:DOT196644 DXK196644:DYP196644 EHG196644:EIL196644 ERC196644:ESH196644 FAY196644:FCD196644 FKU196644:FLZ196644 FUQ196644:FVV196644 GEM196644:GFR196644 GOI196644:GPN196644 GYE196644:GZJ196644 HIA196644:HJF196644 HRW196644:HTB196644 IBS196644:ICX196644 ILO196644:IMT196644 IVK196644:IWP196644 JFG196644:JGL196644 JPC196644:JQH196644 JYY196644:KAD196644 KIU196644:KJZ196644 KSQ196644:KTV196644 LCM196644:LDR196644 LMI196644:LNN196644 LWE196644:LXJ196644 MGA196644:MHF196644 MPW196644:MRB196644 MZS196644:NAX196644 NJO196644:NKT196644 NTK196644:NUP196644 ODG196644:OEL196644 ONC196644:OOH196644 OWY196644:OYD196644 PGU196644:PHZ196644 PQQ196644:PRV196644 QAM196644:QBR196644 QKI196644:QLN196644 QUE196644:QVJ196644 REA196644:RFF196644 RNW196644:RPB196644 RXS196644:RYX196644 SHO196644:SIT196644 SRK196644:SSP196644 TBG196644:TCL196644 TLC196644:TMH196644 TUY196644:TWD196644 UEU196644:UFZ196644 UOQ196644:UPV196644 UYM196644:UZR196644 VII196644:VJN196644 VSE196644:VTJ196644 WCA196644:WDF196644 WLW196644:WNB196644 WVS196644:WWX196644 K262180:AP262180 JG262180:KL262180 TC262180:UH262180 ACY262180:AED262180 AMU262180:ANZ262180 AWQ262180:AXV262180 BGM262180:BHR262180 BQI262180:BRN262180 CAE262180:CBJ262180 CKA262180:CLF262180 CTW262180:CVB262180 DDS262180:DEX262180 DNO262180:DOT262180 DXK262180:DYP262180 EHG262180:EIL262180 ERC262180:ESH262180 FAY262180:FCD262180 FKU262180:FLZ262180 FUQ262180:FVV262180 GEM262180:GFR262180 GOI262180:GPN262180 GYE262180:GZJ262180 HIA262180:HJF262180 HRW262180:HTB262180 IBS262180:ICX262180 ILO262180:IMT262180 IVK262180:IWP262180 JFG262180:JGL262180 JPC262180:JQH262180 JYY262180:KAD262180 KIU262180:KJZ262180 KSQ262180:KTV262180 LCM262180:LDR262180 LMI262180:LNN262180 LWE262180:LXJ262180 MGA262180:MHF262180 MPW262180:MRB262180 MZS262180:NAX262180 NJO262180:NKT262180 NTK262180:NUP262180 ODG262180:OEL262180 ONC262180:OOH262180 OWY262180:OYD262180 PGU262180:PHZ262180 PQQ262180:PRV262180 QAM262180:QBR262180 QKI262180:QLN262180 QUE262180:QVJ262180 REA262180:RFF262180 RNW262180:RPB262180 RXS262180:RYX262180 SHO262180:SIT262180 SRK262180:SSP262180 TBG262180:TCL262180 TLC262180:TMH262180 TUY262180:TWD262180 UEU262180:UFZ262180 UOQ262180:UPV262180 UYM262180:UZR262180 VII262180:VJN262180 VSE262180:VTJ262180 WCA262180:WDF262180 WLW262180:WNB262180 WVS262180:WWX262180 K327716:AP327716 JG327716:KL327716 TC327716:UH327716 ACY327716:AED327716 AMU327716:ANZ327716 AWQ327716:AXV327716 BGM327716:BHR327716 BQI327716:BRN327716 CAE327716:CBJ327716 CKA327716:CLF327716 CTW327716:CVB327716 DDS327716:DEX327716 DNO327716:DOT327716 DXK327716:DYP327716 EHG327716:EIL327716 ERC327716:ESH327716 FAY327716:FCD327716 FKU327716:FLZ327716 FUQ327716:FVV327716 GEM327716:GFR327716 GOI327716:GPN327716 GYE327716:GZJ327716 HIA327716:HJF327716 HRW327716:HTB327716 IBS327716:ICX327716 ILO327716:IMT327716 IVK327716:IWP327716 JFG327716:JGL327716 JPC327716:JQH327716 JYY327716:KAD327716 KIU327716:KJZ327716 KSQ327716:KTV327716 LCM327716:LDR327716 LMI327716:LNN327716 LWE327716:LXJ327716 MGA327716:MHF327716 MPW327716:MRB327716 MZS327716:NAX327716 NJO327716:NKT327716 NTK327716:NUP327716 ODG327716:OEL327716 ONC327716:OOH327716 OWY327716:OYD327716 PGU327716:PHZ327716 PQQ327716:PRV327716 QAM327716:QBR327716 QKI327716:QLN327716 QUE327716:QVJ327716 REA327716:RFF327716 RNW327716:RPB327716 RXS327716:RYX327716 SHO327716:SIT327716 SRK327716:SSP327716 TBG327716:TCL327716 TLC327716:TMH327716 TUY327716:TWD327716 UEU327716:UFZ327716 UOQ327716:UPV327716 UYM327716:UZR327716 VII327716:VJN327716 VSE327716:VTJ327716 WCA327716:WDF327716 WLW327716:WNB327716 WVS327716:WWX327716 K393252:AP393252 JG393252:KL393252 TC393252:UH393252 ACY393252:AED393252 AMU393252:ANZ393252 AWQ393252:AXV393252 BGM393252:BHR393252 BQI393252:BRN393252 CAE393252:CBJ393252 CKA393252:CLF393252 CTW393252:CVB393252 DDS393252:DEX393252 DNO393252:DOT393252 DXK393252:DYP393252 EHG393252:EIL393252 ERC393252:ESH393252 FAY393252:FCD393252 FKU393252:FLZ393252 FUQ393252:FVV393252 GEM393252:GFR393252 GOI393252:GPN393252 GYE393252:GZJ393252 HIA393252:HJF393252 HRW393252:HTB393252 IBS393252:ICX393252 ILO393252:IMT393252 IVK393252:IWP393252 JFG393252:JGL393252 JPC393252:JQH393252 JYY393252:KAD393252 KIU393252:KJZ393252 KSQ393252:KTV393252 LCM393252:LDR393252 LMI393252:LNN393252 LWE393252:LXJ393252 MGA393252:MHF393252 MPW393252:MRB393252 MZS393252:NAX393252 NJO393252:NKT393252 NTK393252:NUP393252 ODG393252:OEL393252 ONC393252:OOH393252 OWY393252:OYD393252 PGU393252:PHZ393252 PQQ393252:PRV393252 QAM393252:QBR393252 QKI393252:QLN393252 QUE393252:QVJ393252 REA393252:RFF393252 RNW393252:RPB393252 RXS393252:RYX393252 SHO393252:SIT393252 SRK393252:SSP393252 TBG393252:TCL393252 TLC393252:TMH393252 TUY393252:TWD393252 UEU393252:UFZ393252 UOQ393252:UPV393252 UYM393252:UZR393252 VII393252:VJN393252 VSE393252:VTJ393252 WCA393252:WDF393252 WLW393252:WNB393252 WVS393252:WWX393252 K458788:AP458788 JG458788:KL458788 TC458788:UH458788 ACY458788:AED458788 AMU458788:ANZ458788 AWQ458788:AXV458788 BGM458788:BHR458788 BQI458788:BRN458788 CAE458788:CBJ458788 CKA458788:CLF458788 CTW458788:CVB458788 DDS458788:DEX458788 DNO458788:DOT458788 DXK458788:DYP458788 EHG458788:EIL458788 ERC458788:ESH458788 FAY458788:FCD458788 FKU458788:FLZ458788 FUQ458788:FVV458788 GEM458788:GFR458788 GOI458788:GPN458788 GYE458788:GZJ458788 HIA458788:HJF458788 HRW458788:HTB458788 IBS458788:ICX458788 ILO458788:IMT458788 IVK458788:IWP458788 JFG458788:JGL458788 JPC458788:JQH458788 JYY458788:KAD458788 KIU458788:KJZ458788 KSQ458788:KTV458788 LCM458788:LDR458788 LMI458788:LNN458788 LWE458788:LXJ458788 MGA458788:MHF458788 MPW458788:MRB458788 MZS458788:NAX458788 NJO458788:NKT458788 NTK458788:NUP458788 ODG458788:OEL458788 ONC458788:OOH458788 OWY458788:OYD458788 PGU458788:PHZ458788 PQQ458788:PRV458788 QAM458788:QBR458788 QKI458788:QLN458788 QUE458788:QVJ458788 REA458788:RFF458788 RNW458788:RPB458788 RXS458788:RYX458788 SHO458788:SIT458788 SRK458788:SSP458788 TBG458788:TCL458788 TLC458788:TMH458788 TUY458788:TWD458788 UEU458788:UFZ458788 UOQ458788:UPV458788 UYM458788:UZR458788 VII458788:VJN458788 VSE458788:VTJ458788 WCA458788:WDF458788 WLW458788:WNB458788 WVS458788:WWX458788 K524324:AP524324 JG524324:KL524324 TC524324:UH524324 ACY524324:AED524324 AMU524324:ANZ524324 AWQ524324:AXV524324 BGM524324:BHR524324 BQI524324:BRN524324 CAE524324:CBJ524324 CKA524324:CLF524324 CTW524324:CVB524324 DDS524324:DEX524324 DNO524324:DOT524324 DXK524324:DYP524324 EHG524324:EIL524324 ERC524324:ESH524324 FAY524324:FCD524324 FKU524324:FLZ524324 FUQ524324:FVV524324 GEM524324:GFR524324 GOI524324:GPN524324 GYE524324:GZJ524324 HIA524324:HJF524324 HRW524324:HTB524324 IBS524324:ICX524324 ILO524324:IMT524324 IVK524324:IWP524324 JFG524324:JGL524324 JPC524324:JQH524324 JYY524324:KAD524324 KIU524324:KJZ524324 KSQ524324:KTV524324 LCM524324:LDR524324 LMI524324:LNN524324 LWE524324:LXJ524324 MGA524324:MHF524324 MPW524324:MRB524324 MZS524324:NAX524324 NJO524324:NKT524324 NTK524324:NUP524324 ODG524324:OEL524324 ONC524324:OOH524324 OWY524324:OYD524324 PGU524324:PHZ524324 PQQ524324:PRV524324 QAM524324:QBR524324 QKI524324:QLN524324 QUE524324:QVJ524324 REA524324:RFF524324 RNW524324:RPB524324 RXS524324:RYX524324 SHO524324:SIT524324 SRK524324:SSP524324 TBG524324:TCL524324 TLC524324:TMH524324 TUY524324:TWD524324 UEU524324:UFZ524324 UOQ524324:UPV524324 UYM524324:UZR524324 VII524324:VJN524324 VSE524324:VTJ524324 WCA524324:WDF524324 WLW524324:WNB524324 WVS524324:WWX524324 K589860:AP589860 JG589860:KL589860 TC589860:UH589860 ACY589860:AED589860 AMU589860:ANZ589860 AWQ589860:AXV589860 BGM589860:BHR589860 BQI589860:BRN589860 CAE589860:CBJ589860 CKA589860:CLF589860 CTW589860:CVB589860 DDS589860:DEX589860 DNO589860:DOT589860 DXK589860:DYP589860 EHG589860:EIL589860 ERC589860:ESH589860 FAY589860:FCD589860 FKU589860:FLZ589860 FUQ589860:FVV589860 GEM589860:GFR589860 GOI589860:GPN589860 GYE589860:GZJ589860 HIA589860:HJF589860 HRW589860:HTB589860 IBS589860:ICX589860 ILO589860:IMT589860 IVK589860:IWP589860 JFG589860:JGL589860 JPC589860:JQH589860 JYY589860:KAD589860 KIU589860:KJZ589860 KSQ589860:KTV589860 LCM589860:LDR589860 LMI589860:LNN589860 LWE589860:LXJ589860 MGA589860:MHF589860 MPW589860:MRB589860 MZS589860:NAX589860 NJO589860:NKT589860 NTK589860:NUP589860 ODG589860:OEL589860 ONC589860:OOH589860 OWY589860:OYD589860 PGU589860:PHZ589860 PQQ589860:PRV589860 QAM589860:QBR589860 QKI589860:QLN589860 QUE589860:QVJ589860 REA589860:RFF589860 RNW589860:RPB589860 RXS589860:RYX589860 SHO589860:SIT589860 SRK589860:SSP589860 TBG589860:TCL589860 TLC589860:TMH589860 TUY589860:TWD589860 UEU589860:UFZ589860 UOQ589860:UPV589860 UYM589860:UZR589860 VII589860:VJN589860 VSE589860:VTJ589860 WCA589860:WDF589860 WLW589860:WNB589860 WVS589860:WWX589860 K655396:AP655396 JG655396:KL655396 TC655396:UH655396 ACY655396:AED655396 AMU655396:ANZ655396 AWQ655396:AXV655396 BGM655396:BHR655396 BQI655396:BRN655396 CAE655396:CBJ655396 CKA655396:CLF655396 CTW655396:CVB655396 DDS655396:DEX655396 DNO655396:DOT655396 DXK655396:DYP655396 EHG655396:EIL655396 ERC655396:ESH655396 FAY655396:FCD655396 FKU655396:FLZ655396 FUQ655396:FVV655396 GEM655396:GFR655396 GOI655396:GPN655396 GYE655396:GZJ655396 HIA655396:HJF655396 HRW655396:HTB655396 IBS655396:ICX655396 ILO655396:IMT655396 IVK655396:IWP655396 JFG655396:JGL655396 JPC655396:JQH655396 JYY655396:KAD655396 KIU655396:KJZ655396 KSQ655396:KTV655396 LCM655396:LDR655396 LMI655396:LNN655396 LWE655396:LXJ655396 MGA655396:MHF655396 MPW655396:MRB655396 MZS655396:NAX655396 NJO655396:NKT655396 NTK655396:NUP655396 ODG655396:OEL655396 ONC655396:OOH655396 OWY655396:OYD655396 PGU655396:PHZ655396 PQQ655396:PRV655396 QAM655396:QBR655396 QKI655396:QLN655396 QUE655396:QVJ655396 REA655396:RFF655396 RNW655396:RPB655396 RXS655396:RYX655396 SHO655396:SIT655396 SRK655396:SSP655396 TBG655396:TCL655396 TLC655396:TMH655396 TUY655396:TWD655396 UEU655396:UFZ655396 UOQ655396:UPV655396 UYM655396:UZR655396 VII655396:VJN655396 VSE655396:VTJ655396 WCA655396:WDF655396 WLW655396:WNB655396 WVS655396:WWX655396 K720932:AP720932 JG720932:KL720932 TC720932:UH720932 ACY720932:AED720932 AMU720932:ANZ720932 AWQ720932:AXV720932 BGM720932:BHR720932 BQI720932:BRN720932 CAE720932:CBJ720932 CKA720932:CLF720932 CTW720932:CVB720932 DDS720932:DEX720932 DNO720932:DOT720932 DXK720932:DYP720932 EHG720932:EIL720932 ERC720932:ESH720932 FAY720932:FCD720932 FKU720932:FLZ720932 FUQ720932:FVV720932 GEM720932:GFR720932 GOI720932:GPN720932 GYE720932:GZJ720932 HIA720932:HJF720932 HRW720932:HTB720932 IBS720932:ICX720932 ILO720932:IMT720932 IVK720932:IWP720932 JFG720932:JGL720932 JPC720932:JQH720932 JYY720932:KAD720932 KIU720932:KJZ720932 KSQ720932:KTV720932 LCM720932:LDR720932 LMI720932:LNN720932 LWE720932:LXJ720932 MGA720932:MHF720932 MPW720932:MRB720932 MZS720932:NAX720932 NJO720932:NKT720932 NTK720932:NUP720932 ODG720932:OEL720932 ONC720932:OOH720932 OWY720932:OYD720932 PGU720932:PHZ720932 PQQ720932:PRV720932 QAM720932:QBR720932 QKI720932:QLN720932 QUE720932:QVJ720932 REA720932:RFF720932 RNW720932:RPB720932 RXS720932:RYX720932 SHO720932:SIT720932 SRK720932:SSP720932 TBG720932:TCL720932 TLC720932:TMH720932 TUY720932:TWD720932 UEU720932:UFZ720932 UOQ720932:UPV720932 UYM720932:UZR720932 VII720932:VJN720932 VSE720932:VTJ720932 WCA720932:WDF720932 WLW720932:WNB720932 WVS720932:WWX720932 K786468:AP786468 JG786468:KL786468 TC786468:UH786468 ACY786468:AED786468 AMU786468:ANZ786468 AWQ786468:AXV786468 BGM786468:BHR786468 BQI786468:BRN786468 CAE786468:CBJ786468 CKA786468:CLF786468 CTW786468:CVB786468 DDS786468:DEX786468 DNO786468:DOT786468 DXK786468:DYP786468 EHG786468:EIL786468 ERC786468:ESH786468 FAY786468:FCD786468 FKU786468:FLZ786468 FUQ786468:FVV786468 GEM786468:GFR786468 GOI786468:GPN786468 GYE786468:GZJ786468 HIA786468:HJF786468 HRW786468:HTB786468 IBS786468:ICX786468 ILO786468:IMT786468 IVK786468:IWP786468 JFG786468:JGL786468 JPC786468:JQH786468 JYY786468:KAD786468 KIU786468:KJZ786468 KSQ786468:KTV786468 LCM786468:LDR786468 LMI786468:LNN786468 LWE786468:LXJ786468 MGA786468:MHF786468 MPW786468:MRB786468 MZS786468:NAX786468 NJO786468:NKT786468 NTK786468:NUP786468 ODG786468:OEL786468 ONC786468:OOH786468 OWY786468:OYD786468 PGU786468:PHZ786468 PQQ786468:PRV786468 QAM786468:QBR786468 QKI786468:QLN786468 QUE786468:QVJ786468 REA786468:RFF786468 RNW786468:RPB786468 RXS786468:RYX786468 SHO786468:SIT786468 SRK786468:SSP786468 TBG786468:TCL786468 TLC786468:TMH786468 TUY786468:TWD786468 UEU786468:UFZ786468 UOQ786468:UPV786468 UYM786468:UZR786468 VII786468:VJN786468 VSE786468:VTJ786468 WCA786468:WDF786468 WLW786468:WNB786468 WVS786468:WWX786468 K852004:AP852004 JG852004:KL852004 TC852004:UH852004 ACY852004:AED852004 AMU852004:ANZ852004 AWQ852004:AXV852004 BGM852004:BHR852004 BQI852004:BRN852004 CAE852004:CBJ852004 CKA852004:CLF852004 CTW852004:CVB852004 DDS852004:DEX852004 DNO852004:DOT852004 DXK852004:DYP852004 EHG852004:EIL852004 ERC852004:ESH852004 FAY852004:FCD852004 FKU852004:FLZ852004 FUQ852004:FVV852004 GEM852004:GFR852004 GOI852004:GPN852004 GYE852004:GZJ852004 HIA852004:HJF852004 HRW852004:HTB852004 IBS852004:ICX852004 ILO852004:IMT852004 IVK852004:IWP852004 JFG852004:JGL852004 JPC852004:JQH852004 JYY852004:KAD852004 KIU852004:KJZ852004 KSQ852004:KTV852004 LCM852004:LDR852004 LMI852004:LNN852004 LWE852004:LXJ852004 MGA852004:MHF852004 MPW852004:MRB852004 MZS852004:NAX852004 NJO852004:NKT852004 NTK852004:NUP852004 ODG852004:OEL852004 ONC852004:OOH852004 OWY852004:OYD852004 PGU852004:PHZ852004 PQQ852004:PRV852004 QAM852004:QBR852004 QKI852004:QLN852004 QUE852004:QVJ852004 REA852004:RFF852004 RNW852004:RPB852004 RXS852004:RYX852004 SHO852004:SIT852004 SRK852004:SSP852004 TBG852004:TCL852004 TLC852004:TMH852004 TUY852004:TWD852004 UEU852004:UFZ852004 UOQ852004:UPV852004 UYM852004:UZR852004 VII852004:VJN852004 VSE852004:VTJ852004 WCA852004:WDF852004 WLW852004:WNB852004 WVS852004:WWX852004 K917540:AP917540 JG917540:KL917540 TC917540:UH917540 ACY917540:AED917540 AMU917540:ANZ917540 AWQ917540:AXV917540 BGM917540:BHR917540 BQI917540:BRN917540 CAE917540:CBJ917540 CKA917540:CLF917540 CTW917540:CVB917540 DDS917540:DEX917540 DNO917540:DOT917540 DXK917540:DYP917540 EHG917540:EIL917540 ERC917540:ESH917540 FAY917540:FCD917540 FKU917540:FLZ917540 FUQ917540:FVV917540 GEM917540:GFR917540 GOI917540:GPN917540 GYE917540:GZJ917540 HIA917540:HJF917540 HRW917540:HTB917540 IBS917540:ICX917540 ILO917540:IMT917540 IVK917540:IWP917540 JFG917540:JGL917540 JPC917540:JQH917540 JYY917540:KAD917540 KIU917540:KJZ917540 KSQ917540:KTV917540 LCM917540:LDR917540 LMI917540:LNN917540 LWE917540:LXJ917540 MGA917540:MHF917540 MPW917540:MRB917540 MZS917540:NAX917540 NJO917540:NKT917540 NTK917540:NUP917540 ODG917540:OEL917540 ONC917540:OOH917540 OWY917540:OYD917540 PGU917540:PHZ917540 PQQ917540:PRV917540 QAM917540:QBR917540 QKI917540:QLN917540 QUE917540:QVJ917540 REA917540:RFF917540 RNW917540:RPB917540 RXS917540:RYX917540 SHO917540:SIT917540 SRK917540:SSP917540 TBG917540:TCL917540 TLC917540:TMH917540 TUY917540:TWD917540 UEU917540:UFZ917540 UOQ917540:UPV917540 UYM917540:UZR917540 VII917540:VJN917540 VSE917540:VTJ917540 WCA917540:WDF917540 WLW917540:WNB917540 WVS917540:WWX917540 K983076:AP983076 JG983076:KL983076 TC983076:UH983076 ACY983076:AED983076 AMU983076:ANZ983076 AWQ983076:AXV983076 BGM983076:BHR983076 BQI983076:BRN983076 CAE983076:CBJ983076 CKA983076:CLF983076 CTW983076:CVB983076 DDS983076:DEX983076 DNO983076:DOT983076 DXK983076:DYP983076 EHG983076:EIL983076 ERC983076:ESH983076 FAY983076:FCD983076 FKU983076:FLZ983076 FUQ983076:FVV983076 GEM983076:GFR983076 GOI983076:GPN983076 GYE983076:GZJ983076 HIA983076:HJF983076 HRW983076:HTB983076 IBS983076:ICX983076 ILO983076:IMT983076 IVK983076:IWP983076 JFG983076:JGL983076 JPC983076:JQH983076 JYY983076:KAD983076 KIU983076:KJZ983076 KSQ983076:KTV983076 LCM983076:LDR983076 LMI983076:LNN983076 LWE983076:LXJ983076 MGA983076:MHF983076 MPW983076:MRB983076 MZS983076:NAX983076 NJO983076:NKT983076 NTK983076:NUP983076 ODG983076:OEL983076 ONC983076:OOH983076 OWY983076:OYD983076 PGU983076:PHZ983076 PQQ983076:PRV983076 QAM983076:QBR983076 QKI983076:QLN983076 QUE983076:QVJ983076 REA983076:RFF983076 RNW983076:RPB983076 RXS983076:RYX983076 SHO983076:SIT983076 SRK983076:SSP983076 TBG983076:TCL983076 TLC983076:TMH983076 TUY983076:TWD983076 UEU983076:UFZ983076 UOQ983076:UPV983076 UYM983076:UZR983076 VII983076:VJN983076 VSE983076:VTJ983076 WCA983076:WDF983076 WLW983076:WNB983076 WVS983076:WWX983076" xr:uid="{00000000-0002-0000-0100-000009000000}">
      <formula1>$BJ$3:$BJ$7</formula1>
    </dataValidation>
    <dataValidation type="list" allowBlank="1" showInputMessage="1" showErrorMessage="1" sqref="T91:X91 JP91:JT91 TL91:TP91 ADH91:ADL91 AND91:ANH91 AWZ91:AXD91 BGV91:BGZ91 BQR91:BQV91 CAN91:CAR91 CKJ91:CKN91 CUF91:CUJ91 DEB91:DEF91 DNX91:DOB91 DXT91:DXX91 EHP91:EHT91 ERL91:ERP91 FBH91:FBL91 FLD91:FLH91 FUZ91:FVD91 GEV91:GEZ91 GOR91:GOV91 GYN91:GYR91 HIJ91:HIN91 HSF91:HSJ91 ICB91:ICF91 ILX91:IMB91 IVT91:IVX91 JFP91:JFT91 JPL91:JPP91 JZH91:JZL91 KJD91:KJH91 KSZ91:KTD91 LCV91:LCZ91 LMR91:LMV91 LWN91:LWR91 MGJ91:MGN91 MQF91:MQJ91 NAB91:NAF91 NJX91:NKB91 NTT91:NTX91 ODP91:ODT91 ONL91:ONP91 OXH91:OXL91 PHD91:PHH91 PQZ91:PRD91 QAV91:QAZ91 QKR91:QKV91 QUN91:QUR91 REJ91:REN91 ROF91:ROJ91 RYB91:RYF91 SHX91:SIB91 SRT91:SRX91 TBP91:TBT91 TLL91:TLP91 TVH91:TVL91 UFD91:UFH91 UOZ91:UPD91 UYV91:UYZ91 VIR91:VIV91 VSN91:VSR91 WCJ91:WCN91 WMF91:WMJ91 WWB91:WWF91 T65627:X65627 JP65627:JT65627 TL65627:TP65627 ADH65627:ADL65627 AND65627:ANH65627 AWZ65627:AXD65627 BGV65627:BGZ65627 BQR65627:BQV65627 CAN65627:CAR65627 CKJ65627:CKN65627 CUF65627:CUJ65627 DEB65627:DEF65627 DNX65627:DOB65627 DXT65627:DXX65627 EHP65627:EHT65627 ERL65627:ERP65627 FBH65627:FBL65627 FLD65627:FLH65627 FUZ65627:FVD65627 GEV65627:GEZ65627 GOR65627:GOV65627 GYN65627:GYR65627 HIJ65627:HIN65627 HSF65627:HSJ65627 ICB65627:ICF65627 ILX65627:IMB65627 IVT65627:IVX65627 JFP65627:JFT65627 JPL65627:JPP65627 JZH65627:JZL65627 KJD65627:KJH65627 KSZ65627:KTD65627 LCV65627:LCZ65627 LMR65627:LMV65627 LWN65627:LWR65627 MGJ65627:MGN65627 MQF65627:MQJ65627 NAB65627:NAF65627 NJX65627:NKB65627 NTT65627:NTX65627 ODP65627:ODT65627 ONL65627:ONP65627 OXH65627:OXL65627 PHD65627:PHH65627 PQZ65627:PRD65627 QAV65627:QAZ65627 QKR65627:QKV65627 QUN65627:QUR65627 REJ65627:REN65627 ROF65627:ROJ65627 RYB65627:RYF65627 SHX65627:SIB65627 SRT65627:SRX65627 TBP65627:TBT65627 TLL65627:TLP65627 TVH65627:TVL65627 UFD65627:UFH65627 UOZ65627:UPD65627 UYV65627:UYZ65627 VIR65627:VIV65627 VSN65627:VSR65627 WCJ65627:WCN65627 WMF65627:WMJ65627 WWB65627:WWF65627 T131163:X131163 JP131163:JT131163 TL131163:TP131163 ADH131163:ADL131163 AND131163:ANH131163 AWZ131163:AXD131163 BGV131163:BGZ131163 BQR131163:BQV131163 CAN131163:CAR131163 CKJ131163:CKN131163 CUF131163:CUJ131163 DEB131163:DEF131163 DNX131163:DOB131163 DXT131163:DXX131163 EHP131163:EHT131163 ERL131163:ERP131163 FBH131163:FBL131163 FLD131163:FLH131163 FUZ131163:FVD131163 GEV131163:GEZ131163 GOR131163:GOV131163 GYN131163:GYR131163 HIJ131163:HIN131163 HSF131163:HSJ131163 ICB131163:ICF131163 ILX131163:IMB131163 IVT131163:IVX131163 JFP131163:JFT131163 JPL131163:JPP131163 JZH131163:JZL131163 KJD131163:KJH131163 KSZ131163:KTD131163 LCV131163:LCZ131163 LMR131163:LMV131163 LWN131163:LWR131163 MGJ131163:MGN131163 MQF131163:MQJ131163 NAB131163:NAF131163 NJX131163:NKB131163 NTT131163:NTX131163 ODP131163:ODT131163 ONL131163:ONP131163 OXH131163:OXL131163 PHD131163:PHH131163 PQZ131163:PRD131163 QAV131163:QAZ131163 QKR131163:QKV131163 QUN131163:QUR131163 REJ131163:REN131163 ROF131163:ROJ131163 RYB131163:RYF131163 SHX131163:SIB131163 SRT131163:SRX131163 TBP131163:TBT131163 TLL131163:TLP131163 TVH131163:TVL131163 UFD131163:UFH131163 UOZ131163:UPD131163 UYV131163:UYZ131163 VIR131163:VIV131163 VSN131163:VSR131163 WCJ131163:WCN131163 WMF131163:WMJ131163 WWB131163:WWF131163 T196699:X196699 JP196699:JT196699 TL196699:TP196699 ADH196699:ADL196699 AND196699:ANH196699 AWZ196699:AXD196699 BGV196699:BGZ196699 BQR196699:BQV196699 CAN196699:CAR196699 CKJ196699:CKN196699 CUF196699:CUJ196699 DEB196699:DEF196699 DNX196699:DOB196699 DXT196699:DXX196699 EHP196699:EHT196699 ERL196699:ERP196699 FBH196699:FBL196699 FLD196699:FLH196699 FUZ196699:FVD196699 GEV196699:GEZ196699 GOR196699:GOV196699 GYN196699:GYR196699 HIJ196699:HIN196699 HSF196699:HSJ196699 ICB196699:ICF196699 ILX196699:IMB196699 IVT196699:IVX196699 JFP196699:JFT196699 JPL196699:JPP196699 JZH196699:JZL196699 KJD196699:KJH196699 KSZ196699:KTD196699 LCV196699:LCZ196699 LMR196699:LMV196699 LWN196699:LWR196699 MGJ196699:MGN196699 MQF196699:MQJ196699 NAB196699:NAF196699 NJX196699:NKB196699 NTT196699:NTX196699 ODP196699:ODT196699 ONL196699:ONP196699 OXH196699:OXL196699 PHD196699:PHH196699 PQZ196699:PRD196699 QAV196699:QAZ196699 QKR196699:QKV196699 QUN196699:QUR196699 REJ196699:REN196699 ROF196699:ROJ196699 RYB196699:RYF196699 SHX196699:SIB196699 SRT196699:SRX196699 TBP196699:TBT196699 TLL196699:TLP196699 TVH196699:TVL196699 UFD196699:UFH196699 UOZ196699:UPD196699 UYV196699:UYZ196699 VIR196699:VIV196699 VSN196699:VSR196699 WCJ196699:WCN196699 WMF196699:WMJ196699 WWB196699:WWF196699 T262235:X262235 JP262235:JT262235 TL262235:TP262235 ADH262235:ADL262235 AND262235:ANH262235 AWZ262235:AXD262235 BGV262235:BGZ262235 BQR262235:BQV262235 CAN262235:CAR262235 CKJ262235:CKN262235 CUF262235:CUJ262235 DEB262235:DEF262235 DNX262235:DOB262235 DXT262235:DXX262235 EHP262235:EHT262235 ERL262235:ERP262235 FBH262235:FBL262235 FLD262235:FLH262235 FUZ262235:FVD262235 GEV262235:GEZ262235 GOR262235:GOV262235 GYN262235:GYR262235 HIJ262235:HIN262235 HSF262235:HSJ262235 ICB262235:ICF262235 ILX262235:IMB262235 IVT262235:IVX262235 JFP262235:JFT262235 JPL262235:JPP262235 JZH262235:JZL262235 KJD262235:KJH262235 KSZ262235:KTD262235 LCV262235:LCZ262235 LMR262235:LMV262235 LWN262235:LWR262235 MGJ262235:MGN262235 MQF262235:MQJ262235 NAB262235:NAF262235 NJX262235:NKB262235 NTT262235:NTX262235 ODP262235:ODT262235 ONL262235:ONP262235 OXH262235:OXL262235 PHD262235:PHH262235 PQZ262235:PRD262235 QAV262235:QAZ262235 QKR262235:QKV262235 QUN262235:QUR262235 REJ262235:REN262235 ROF262235:ROJ262235 RYB262235:RYF262235 SHX262235:SIB262235 SRT262235:SRX262235 TBP262235:TBT262235 TLL262235:TLP262235 TVH262235:TVL262235 UFD262235:UFH262235 UOZ262235:UPD262235 UYV262235:UYZ262235 VIR262235:VIV262235 VSN262235:VSR262235 WCJ262235:WCN262235 WMF262235:WMJ262235 WWB262235:WWF262235 T327771:X327771 JP327771:JT327771 TL327771:TP327771 ADH327771:ADL327771 AND327771:ANH327771 AWZ327771:AXD327771 BGV327771:BGZ327771 BQR327771:BQV327771 CAN327771:CAR327771 CKJ327771:CKN327771 CUF327771:CUJ327771 DEB327771:DEF327771 DNX327771:DOB327771 DXT327771:DXX327771 EHP327771:EHT327771 ERL327771:ERP327771 FBH327771:FBL327771 FLD327771:FLH327771 FUZ327771:FVD327771 GEV327771:GEZ327771 GOR327771:GOV327771 GYN327771:GYR327771 HIJ327771:HIN327771 HSF327771:HSJ327771 ICB327771:ICF327771 ILX327771:IMB327771 IVT327771:IVX327771 JFP327771:JFT327771 JPL327771:JPP327771 JZH327771:JZL327771 KJD327771:KJH327771 KSZ327771:KTD327771 LCV327771:LCZ327771 LMR327771:LMV327771 LWN327771:LWR327771 MGJ327771:MGN327771 MQF327771:MQJ327771 NAB327771:NAF327771 NJX327771:NKB327771 NTT327771:NTX327771 ODP327771:ODT327771 ONL327771:ONP327771 OXH327771:OXL327771 PHD327771:PHH327771 PQZ327771:PRD327771 QAV327771:QAZ327771 QKR327771:QKV327771 QUN327771:QUR327771 REJ327771:REN327771 ROF327771:ROJ327771 RYB327771:RYF327771 SHX327771:SIB327771 SRT327771:SRX327771 TBP327771:TBT327771 TLL327771:TLP327771 TVH327771:TVL327771 UFD327771:UFH327771 UOZ327771:UPD327771 UYV327771:UYZ327771 VIR327771:VIV327771 VSN327771:VSR327771 WCJ327771:WCN327771 WMF327771:WMJ327771 WWB327771:WWF327771 T393307:X393307 JP393307:JT393307 TL393307:TP393307 ADH393307:ADL393307 AND393307:ANH393307 AWZ393307:AXD393307 BGV393307:BGZ393307 BQR393307:BQV393307 CAN393307:CAR393307 CKJ393307:CKN393307 CUF393307:CUJ393307 DEB393307:DEF393307 DNX393307:DOB393307 DXT393307:DXX393307 EHP393307:EHT393307 ERL393307:ERP393307 FBH393307:FBL393307 FLD393307:FLH393307 FUZ393307:FVD393307 GEV393307:GEZ393307 GOR393307:GOV393307 GYN393307:GYR393307 HIJ393307:HIN393307 HSF393307:HSJ393307 ICB393307:ICF393307 ILX393307:IMB393307 IVT393307:IVX393307 JFP393307:JFT393307 JPL393307:JPP393307 JZH393307:JZL393307 KJD393307:KJH393307 KSZ393307:KTD393307 LCV393307:LCZ393307 LMR393307:LMV393307 LWN393307:LWR393307 MGJ393307:MGN393307 MQF393307:MQJ393307 NAB393307:NAF393307 NJX393307:NKB393307 NTT393307:NTX393307 ODP393307:ODT393307 ONL393307:ONP393307 OXH393307:OXL393307 PHD393307:PHH393307 PQZ393307:PRD393307 QAV393307:QAZ393307 QKR393307:QKV393307 QUN393307:QUR393307 REJ393307:REN393307 ROF393307:ROJ393307 RYB393307:RYF393307 SHX393307:SIB393307 SRT393307:SRX393307 TBP393307:TBT393307 TLL393307:TLP393307 TVH393307:TVL393307 UFD393307:UFH393307 UOZ393307:UPD393307 UYV393307:UYZ393307 VIR393307:VIV393307 VSN393307:VSR393307 WCJ393307:WCN393307 WMF393307:WMJ393307 WWB393307:WWF393307 T458843:X458843 JP458843:JT458843 TL458843:TP458843 ADH458843:ADL458843 AND458843:ANH458843 AWZ458843:AXD458843 BGV458843:BGZ458843 BQR458843:BQV458843 CAN458843:CAR458843 CKJ458843:CKN458843 CUF458843:CUJ458843 DEB458843:DEF458843 DNX458843:DOB458843 DXT458843:DXX458843 EHP458843:EHT458843 ERL458843:ERP458843 FBH458843:FBL458843 FLD458843:FLH458843 FUZ458843:FVD458843 GEV458843:GEZ458843 GOR458843:GOV458843 GYN458843:GYR458843 HIJ458843:HIN458843 HSF458843:HSJ458843 ICB458843:ICF458843 ILX458843:IMB458843 IVT458843:IVX458843 JFP458843:JFT458843 JPL458843:JPP458843 JZH458843:JZL458843 KJD458843:KJH458843 KSZ458843:KTD458843 LCV458843:LCZ458843 LMR458843:LMV458843 LWN458843:LWR458843 MGJ458843:MGN458843 MQF458843:MQJ458843 NAB458843:NAF458843 NJX458843:NKB458843 NTT458843:NTX458843 ODP458843:ODT458843 ONL458843:ONP458843 OXH458843:OXL458843 PHD458843:PHH458843 PQZ458843:PRD458843 QAV458843:QAZ458843 QKR458843:QKV458843 QUN458843:QUR458843 REJ458843:REN458843 ROF458843:ROJ458843 RYB458843:RYF458843 SHX458843:SIB458843 SRT458843:SRX458843 TBP458843:TBT458843 TLL458843:TLP458843 TVH458843:TVL458843 UFD458843:UFH458843 UOZ458843:UPD458843 UYV458843:UYZ458843 VIR458843:VIV458843 VSN458843:VSR458843 WCJ458843:WCN458843 WMF458843:WMJ458843 WWB458843:WWF458843 T524379:X524379 JP524379:JT524379 TL524379:TP524379 ADH524379:ADL524379 AND524379:ANH524379 AWZ524379:AXD524379 BGV524379:BGZ524379 BQR524379:BQV524379 CAN524379:CAR524379 CKJ524379:CKN524379 CUF524379:CUJ524379 DEB524379:DEF524379 DNX524379:DOB524379 DXT524379:DXX524379 EHP524379:EHT524379 ERL524379:ERP524379 FBH524379:FBL524379 FLD524379:FLH524379 FUZ524379:FVD524379 GEV524379:GEZ524379 GOR524379:GOV524379 GYN524379:GYR524379 HIJ524379:HIN524379 HSF524379:HSJ524379 ICB524379:ICF524379 ILX524379:IMB524379 IVT524379:IVX524379 JFP524379:JFT524379 JPL524379:JPP524379 JZH524379:JZL524379 KJD524379:KJH524379 KSZ524379:KTD524379 LCV524379:LCZ524379 LMR524379:LMV524379 LWN524379:LWR524379 MGJ524379:MGN524379 MQF524379:MQJ524379 NAB524379:NAF524379 NJX524379:NKB524379 NTT524379:NTX524379 ODP524379:ODT524379 ONL524379:ONP524379 OXH524379:OXL524379 PHD524379:PHH524379 PQZ524379:PRD524379 QAV524379:QAZ524379 QKR524379:QKV524379 QUN524379:QUR524379 REJ524379:REN524379 ROF524379:ROJ524379 RYB524379:RYF524379 SHX524379:SIB524379 SRT524379:SRX524379 TBP524379:TBT524379 TLL524379:TLP524379 TVH524379:TVL524379 UFD524379:UFH524379 UOZ524379:UPD524379 UYV524379:UYZ524379 VIR524379:VIV524379 VSN524379:VSR524379 WCJ524379:WCN524379 WMF524379:WMJ524379 WWB524379:WWF524379 T589915:X589915 JP589915:JT589915 TL589915:TP589915 ADH589915:ADL589915 AND589915:ANH589915 AWZ589915:AXD589915 BGV589915:BGZ589915 BQR589915:BQV589915 CAN589915:CAR589915 CKJ589915:CKN589915 CUF589915:CUJ589915 DEB589915:DEF589915 DNX589915:DOB589915 DXT589915:DXX589915 EHP589915:EHT589915 ERL589915:ERP589915 FBH589915:FBL589915 FLD589915:FLH589915 FUZ589915:FVD589915 GEV589915:GEZ589915 GOR589915:GOV589915 GYN589915:GYR589915 HIJ589915:HIN589915 HSF589915:HSJ589915 ICB589915:ICF589915 ILX589915:IMB589915 IVT589915:IVX589915 JFP589915:JFT589915 JPL589915:JPP589915 JZH589915:JZL589915 KJD589915:KJH589915 KSZ589915:KTD589915 LCV589915:LCZ589915 LMR589915:LMV589915 LWN589915:LWR589915 MGJ589915:MGN589915 MQF589915:MQJ589915 NAB589915:NAF589915 NJX589915:NKB589915 NTT589915:NTX589915 ODP589915:ODT589915 ONL589915:ONP589915 OXH589915:OXL589915 PHD589915:PHH589915 PQZ589915:PRD589915 QAV589915:QAZ589915 QKR589915:QKV589915 QUN589915:QUR589915 REJ589915:REN589915 ROF589915:ROJ589915 RYB589915:RYF589915 SHX589915:SIB589915 SRT589915:SRX589915 TBP589915:TBT589915 TLL589915:TLP589915 TVH589915:TVL589915 UFD589915:UFH589915 UOZ589915:UPD589915 UYV589915:UYZ589915 VIR589915:VIV589915 VSN589915:VSR589915 WCJ589915:WCN589915 WMF589915:WMJ589915 WWB589915:WWF589915 T655451:X655451 JP655451:JT655451 TL655451:TP655451 ADH655451:ADL655451 AND655451:ANH655451 AWZ655451:AXD655451 BGV655451:BGZ655451 BQR655451:BQV655451 CAN655451:CAR655451 CKJ655451:CKN655451 CUF655451:CUJ655451 DEB655451:DEF655451 DNX655451:DOB655451 DXT655451:DXX655451 EHP655451:EHT655451 ERL655451:ERP655451 FBH655451:FBL655451 FLD655451:FLH655451 FUZ655451:FVD655451 GEV655451:GEZ655451 GOR655451:GOV655451 GYN655451:GYR655451 HIJ655451:HIN655451 HSF655451:HSJ655451 ICB655451:ICF655451 ILX655451:IMB655451 IVT655451:IVX655451 JFP655451:JFT655451 JPL655451:JPP655451 JZH655451:JZL655451 KJD655451:KJH655451 KSZ655451:KTD655451 LCV655451:LCZ655451 LMR655451:LMV655451 LWN655451:LWR655451 MGJ655451:MGN655451 MQF655451:MQJ655451 NAB655451:NAF655451 NJX655451:NKB655451 NTT655451:NTX655451 ODP655451:ODT655451 ONL655451:ONP655451 OXH655451:OXL655451 PHD655451:PHH655451 PQZ655451:PRD655451 QAV655451:QAZ655451 QKR655451:QKV655451 QUN655451:QUR655451 REJ655451:REN655451 ROF655451:ROJ655451 RYB655451:RYF655451 SHX655451:SIB655451 SRT655451:SRX655451 TBP655451:TBT655451 TLL655451:TLP655451 TVH655451:TVL655451 UFD655451:UFH655451 UOZ655451:UPD655451 UYV655451:UYZ655451 VIR655451:VIV655451 VSN655451:VSR655451 WCJ655451:WCN655451 WMF655451:WMJ655451 WWB655451:WWF655451 T720987:X720987 JP720987:JT720987 TL720987:TP720987 ADH720987:ADL720987 AND720987:ANH720987 AWZ720987:AXD720987 BGV720987:BGZ720987 BQR720987:BQV720987 CAN720987:CAR720987 CKJ720987:CKN720987 CUF720987:CUJ720987 DEB720987:DEF720987 DNX720987:DOB720987 DXT720987:DXX720987 EHP720987:EHT720987 ERL720987:ERP720987 FBH720987:FBL720987 FLD720987:FLH720987 FUZ720987:FVD720987 GEV720987:GEZ720987 GOR720987:GOV720987 GYN720987:GYR720987 HIJ720987:HIN720987 HSF720987:HSJ720987 ICB720987:ICF720987 ILX720987:IMB720987 IVT720987:IVX720987 JFP720987:JFT720987 JPL720987:JPP720987 JZH720987:JZL720987 KJD720987:KJH720987 KSZ720987:KTD720987 LCV720987:LCZ720987 LMR720987:LMV720987 LWN720987:LWR720987 MGJ720987:MGN720987 MQF720987:MQJ720987 NAB720987:NAF720987 NJX720987:NKB720987 NTT720987:NTX720987 ODP720987:ODT720987 ONL720987:ONP720987 OXH720987:OXL720987 PHD720987:PHH720987 PQZ720987:PRD720987 QAV720987:QAZ720987 QKR720987:QKV720987 QUN720987:QUR720987 REJ720987:REN720987 ROF720987:ROJ720987 RYB720987:RYF720987 SHX720987:SIB720987 SRT720987:SRX720987 TBP720987:TBT720987 TLL720987:TLP720987 TVH720987:TVL720987 UFD720987:UFH720987 UOZ720987:UPD720987 UYV720987:UYZ720987 VIR720987:VIV720987 VSN720987:VSR720987 WCJ720987:WCN720987 WMF720987:WMJ720987 WWB720987:WWF720987 T786523:X786523 JP786523:JT786523 TL786523:TP786523 ADH786523:ADL786523 AND786523:ANH786523 AWZ786523:AXD786523 BGV786523:BGZ786523 BQR786523:BQV786523 CAN786523:CAR786523 CKJ786523:CKN786523 CUF786523:CUJ786523 DEB786523:DEF786523 DNX786523:DOB786523 DXT786523:DXX786523 EHP786523:EHT786523 ERL786523:ERP786523 FBH786523:FBL786523 FLD786523:FLH786523 FUZ786523:FVD786523 GEV786523:GEZ786523 GOR786523:GOV786523 GYN786523:GYR786523 HIJ786523:HIN786523 HSF786523:HSJ786523 ICB786523:ICF786523 ILX786523:IMB786523 IVT786523:IVX786523 JFP786523:JFT786523 JPL786523:JPP786523 JZH786523:JZL786523 KJD786523:KJH786523 KSZ786523:KTD786523 LCV786523:LCZ786523 LMR786523:LMV786523 LWN786523:LWR786523 MGJ786523:MGN786523 MQF786523:MQJ786523 NAB786523:NAF786523 NJX786523:NKB786523 NTT786523:NTX786523 ODP786523:ODT786523 ONL786523:ONP786523 OXH786523:OXL786523 PHD786523:PHH786523 PQZ786523:PRD786523 QAV786523:QAZ786523 QKR786523:QKV786523 QUN786523:QUR786523 REJ786523:REN786523 ROF786523:ROJ786523 RYB786523:RYF786523 SHX786523:SIB786523 SRT786523:SRX786523 TBP786523:TBT786523 TLL786523:TLP786523 TVH786523:TVL786523 UFD786523:UFH786523 UOZ786523:UPD786523 UYV786523:UYZ786523 VIR786523:VIV786523 VSN786523:VSR786523 WCJ786523:WCN786523 WMF786523:WMJ786523 WWB786523:WWF786523 T852059:X852059 JP852059:JT852059 TL852059:TP852059 ADH852059:ADL852059 AND852059:ANH852059 AWZ852059:AXD852059 BGV852059:BGZ852059 BQR852059:BQV852059 CAN852059:CAR852059 CKJ852059:CKN852059 CUF852059:CUJ852059 DEB852059:DEF852059 DNX852059:DOB852059 DXT852059:DXX852059 EHP852059:EHT852059 ERL852059:ERP852059 FBH852059:FBL852059 FLD852059:FLH852059 FUZ852059:FVD852059 GEV852059:GEZ852059 GOR852059:GOV852059 GYN852059:GYR852059 HIJ852059:HIN852059 HSF852059:HSJ852059 ICB852059:ICF852059 ILX852059:IMB852059 IVT852059:IVX852059 JFP852059:JFT852059 JPL852059:JPP852059 JZH852059:JZL852059 KJD852059:KJH852059 KSZ852059:KTD852059 LCV852059:LCZ852059 LMR852059:LMV852059 LWN852059:LWR852059 MGJ852059:MGN852059 MQF852059:MQJ852059 NAB852059:NAF852059 NJX852059:NKB852059 NTT852059:NTX852059 ODP852059:ODT852059 ONL852059:ONP852059 OXH852059:OXL852059 PHD852059:PHH852059 PQZ852059:PRD852059 QAV852059:QAZ852059 QKR852059:QKV852059 QUN852059:QUR852059 REJ852059:REN852059 ROF852059:ROJ852059 RYB852059:RYF852059 SHX852059:SIB852059 SRT852059:SRX852059 TBP852059:TBT852059 TLL852059:TLP852059 TVH852059:TVL852059 UFD852059:UFH852059 UOZ852059:UPD852059 UYV852059:UYZ852059 VIR852059:VIV852059 VSN852059:VSR852059 WCJ852059:WCN852059 WMF852059:WMJ852059 WWB852059:WWF852059 T917595:X917595 JP917595:JT917595 TL917595:TP917595 ADH917595:ADL917595 AND917595:ANH917595 AWZ917595:AXD917595 BGV917595:BGZ917595 BQR917595:BQV917595 CAN917595:CAR917595 CKJ917595:CKN917595 CUF917595:CUJ917595 DEB917595:DEF917595 DNX917595:DOB917595 DXT917595:DXX917595 EHP917595:EHT917595 ERL917595:ERP917595 FBH917595:FBL917595 FLD917595:FLH917595 FUZ917595:FVD917595 GEV917595:GEZ917595 GOR917595:GOV917595 GYN917595:GYR917595 HIJ917595:HIN917595 HSF917595:HSJ917595 ICB917595:ICF917595 ILX917595:IMB917595 IVT917595:IVX917595 JFP917595:JFT917595 JPL917595:JPP917595 JZH917595:JZL917595 KJD917595:KJH917595 KSZ917595:KTD917595 LCV917595:LCZ917595 LMR917595:LMV917595 LWN917595:LWR917595 MGJ917595:MGN917595 MQF917595:MQJ917595 NAB917595:NAF917595 NJX917595:NKB917595 NTT917595:NTX917595 ODP917595:ODT917595 ONL917595:ONP917595 OXH917595:OXL917595 PHD917595:PHH917595 PQZ917595:PRD917595 QAV917595:QAZ917595 QKR917595:QKV917595 QUN917595:QUR917595 REJ917595:REN917595 ROF917595:ROJ917595 RYB917595:RYF917595 SHX917595:SIB917595 SRT917595:SRX917595 TBP917595:TBT917595 TLL917595:TLP917595 TVH917595:TVL917595 UFD917595:UFH917595 UOZ917595:UPD917595 UYV917595:UYZ917595 VIR917595:VIV917595 VSN917595:VSR917595 WCJ917595:WCN917595 WMF917595:WMJ917595 WWB917595:WWF917595 T983131:X983131 JP983131:JT983131 TL983131:TP983131 ADH983131:ADL983131 AND983131:ANH983131 AWZ983131:AXD983131 BGV983131:BGZ983131 BQR983131:BQV983131 CAN983131:CAR983131 CKJ983131:CKN983131 CUF983131:CUJ983131 DEB983131:DEF983131 DNX983131:DOB983131 DXT983131:DXX983131 EHP983131:EHT983131 ERL983131:ERP983131 FBH983131:FBL983131 FLD983131:FLH983131 FUZ983131:FVD983131 GEV983131:GEZ983131 GOR983131:GOV983131 GYN983131:GYR983131 HIJ983131:HIN983131 HSF983131:HSJ983131 ICB983131:ICF983131 ILX983131:IMB983131 IVT983131:IVX983131 JFP983131:JFT983131 JPL983131:JPP983131 JZH983131:JZL983131 KJD983131:KJH983131 KSZ983131:KTD983131 LCV983131:LCZ983131 LMR983131:LMV983131 LWN983131:LWR983131 MGJ983131:MGN983131 MQF983131:MQJ983131 NAB983131:NAF983131 NJX983131:NKB983131 NTT983131:NTX983131 ODP983131:ODT983131 ONL983131:ONP983131 OXH983131:OXL983131 PHD983131:PHH983131 PQZ983131:PRD983131 QAV983131:QAZ983131 QKR983131:QKV983131 QUN983131:QUR983131 REJ983131:REN983131 ROF983131:ROJ983131 RYB983131:RYF983131 SHX983131:SIB983131 SRT983131:SRX983131 TBP983131:TBT983131 TLL983131:TLP983131 TVH983131:TVL983131 UFD983131:UFH983131 UOZ983131:UPD983131 UYV983131:UYZ983131 VIR983131:VIV983131 VSN983131:VSR983131 WCJ983131:WCN983131 WMF983131:WMJ983131 WWB983131:WWF983131" xr:uid="{00000000-0002-0000-0100-00000A000000}">
      <formula1>$BI$20:$BI$21</formula1>
    </dataValidation>
  </dataValidations>
  <printOptions horizontalCentered="1"/>
  <pageMargins left="0.70866141732283472" right="0.70866141732283472" top="0.74803149606299213" bottom="0.74803149606299213" header="0.31496062992125984" footer="0.31496062992125984"/>
  <pageSetup paperSize="9" scale="83" fitToHeight="0" orientation="portrait" r:id="rId1"/>
  <rowBreaks count="1" manualBreakCount="1">
    <brk id="55" max="57" man="1"/>
  </rowBreaks>
  <drawing r:id="rId2"/>
  <legacyDrawing r:id="rId3"/>
  <mc:AlternateContent xmlns:mc="http://schemas.openxmlformats.org/markup-compatibility/2006">
    <mc:Choice Requires="x14">
      <controls>
        <mc:AlternateContent xmlns:mc="http://schemas.openxmlformats.org/markup-compatibility/2006">
          <mc:Choice Requires="x14">
            <control shapeId="20481" r:id="rId4" name="Drop Down 328">
              <controlPr locked="0" defaultSize="0" autoLine="0" autoPict="0">
                <anchor moveWithCells="1">
                  <from>
                    <xdr:col>9</xdr:col>
                    <xdr:colOff>76200</xdr:colOff>
                    <xdr:row>33</xdr:row>
                    <xdr:rowOff>190500</xdr:rowOff>
                  </from>
                  <to>
                    <xdr:col>12</xdr:col>
                    <xdr:colOff>85725</xdr:colOff>
                    <xdr:row>33</xdr:row>
                    <xdr:rowOff>190500</xdr:rowOff>
                  </to>
                </anchor>
              </controlPr>
            </control>
          </mc:Choice>
        </mc:AlternateContent>
        <mc:AlternateContent xmlns:mc="http://schemas.openxmlformats.org/markup-compatibility/2006">
          <mc:Choice Requires="x14">
            <control shapeId="20482" r:id="rId5" name="Label 111">
              <controlPr defaultSize="0" autoFill="0" autoLine="0" autoPict="0">
                <anchor moveWithCells="1" sizeWithCells="1">
                  <from>
                    <xdr:col>18</xdr:col>
                    <xdr:colOff>28575</xdr:colOff>
                    <xdr:row>122</xdr:row>
                    <xdr:rowOff>9525</xdr:rowOff>
                  </from>
                  <to>
                    <xdr:col>40</xdr:col>
                    <xdr:colOff>104775</xdr:colOff>
                    <xdr:row>123</xdr:row>
                    <xdr:rowOff>66675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0AB8-5B18-4DE0-ADD3-AE7CBC4BF4EF}">
  <dimension ref="A1:AR106"/>
  <sheetViews>
    <sheetView topLeftCell="A45" workbookViewId="0">
      <selection activeCell="AV80" sqref="AV80"/>
    </sheetView>
  </sheetViews>
  <sheetFormatPr baseColWidth="10" defaultColWidth="11.42578125" defaultRowHeight="12.75"/>
  <cols>
    <col min="1" max="1" width="3.42578125" style="485" customWidth="1"/>
    <col min="2" max="2" width="5.42578125" style="485" customWidth="1"/>
    <col min="3" max="3" width="2.28515625" style="485" customWidth="1"/>
    <col min="4" max="5" width="3.42578125" style="485" customWidth="1"/>
    <col min="6" max="7" width="3.28515625" style="485" customWidth="1"/>
    <col min="8" max="9" width="3.140625" style="485" customWidth="1"/>
    <col min="10" max="10" width="2.7109375" style="485" customWidth="1"/>
    <col min="11" max="11" width="1.42578125" style="485" customWidth="1"/>
    <col min="12" max="12" width="3.28515625" style="485" customWidth="1"/>
    <col min="13" max="13" width="3.42578125" style="485" customWidth="1"/>
    <col min="14" max="14" width="3" style="485" customWidth="1"/>
    <col min="15" max="15" width="3.140625" style="485" customWidth="1"/>
    <col min="16" max="16" width="2.85546875" style="485" customWidth="1"/>
    <col min="17" max="17" width="2.42578125" style="485" customWidth="1"/>
    <col min="18" max="18" width="2.7109375" style="485" customWidth="1"/>
    <col min="19" max="19" width="4.140625" style="485" customWidth="1"/>
    <col min="20" max="20" width="3.42578125" style="485" customWidth="1"/>
    <col min="21" max="21" width="3" style="485" customWidth="1"/>
    <col min="22" max="22" width="3.42578125" style="485" customWidth="1"/>
    <col min="23" max="23" width="3.85546875" style="485" customWidth="1"/>
    <col min="24" max="24" width="2.7109375" style="485" customWidth="1"/>
    <col min="25" max="25" width="2.85546875" style="485" customWidth="1"/>
    <col min="26" max="26" width="3.42578125" style="485" customWidth="1"/>
    <col min="27" max="27" width="2.28515625" style="485" customWidth="1"/>
    <col min="28" max="28" width="1.7109375" style="485" customWidth="1"/>
    <col min="29" max="29" width="3.42578125" style="485" customWidth="1"/>
    <col min="30" max="30" width="2.85546875" style="485" customWidth="1"/>
    <col min="31" max="32" width="1.7109375" style="485" customWidth="1"/>
    <col min="33" max="33" width="2.42578125" style="485" customWidth="1"/>
    <col min="34" max="35" width="2.140625" style="485" customWidth="1"/>
    <col min="36" max="36" width="3.28515625" style="485" customWidth="1"/>
    <col min="37" max="37" width="4.140625" style="485" customWidth="1"/>
    <col min="38" max="38" width="2.7109375" style="485" customWidth="1"/>
    <col min="39" max="39" width="3.42578125" style="485" customWidth="1"/>
    <col min="40" max="40" width="4.140625" style="485" customWidth="1"/>
    <col min="41" max="41" width="3.85546875" style="485" customWidth="1"/>
    <col min="42" max="42" width="2.28515625" style="485" customWidth="1"/>
    <col min="43" max="43" width="2" style="485" customWidth="1"/>
    <col min="44" max="44" width="3.140625" style="485" customWidth="1"/>
    <col min="45" max="16384" width="11.42578125" style="489"/>
  </cols>
  <sheetData>
    <row r="1" spans="1:44" s="485" customFormat="1" ht="12.75" customHeight="1" thickBot="1"/>
    <row r="2" spans="1:44" s="485" customFormat="1" ht="16.5" thickBot="1">
      <c r="C2" s="1038" t="s">
        <v>1416</v>
      </c>
      <c r="D2" s="1039"/>
      <c r="E2" s="1039"/>
      <c r="F2" s="1039"/>
      <c r="G2" s="1039"/>
      <c r="H2" s="1039"/>
      <c r="I2" s="1039"/>
      <c r="J2" s="1039"/>
      <c r="K2" s="1039"/>
      <c r="L2" s="1039"/>
      <c r="M2" s="1039"/>
      <c r="N2" s="1039"/>
      <c r="O2" s="1039"/>
      <c r="P2" s="1039"/>
      <c r="Q2" s="1039"/>
      <c r="R2" s="1039"/>
      <c r="S2" s="1039"/>
      <c r="T2" s="1039"/>
      <c r="U2" s="1039"/>
      <c r="V2" s="1039"/>
      <c r="W2" s="1039"/>
      <c r="X2" s="1039"/>
      <c r="Y2" s="1039"/>
      <c r="Z2" s="1039"/>
      <c r="AA2" s="1039"/>
      <c r="AB2" s="1039"/>
      <c r="AC2" s="1039"/>
      <c r="AD2" s="1039"/>
      <c r="AE2" s="1039"/>
      <c r="AF2" s="1039"/>
      <c r="AG2" s="1039"/>
      <c r="AH2" s="1039"/>
      <c r="AI2" s="1039"/>
      <c r="AJ2" s="1039"/>
      <c r="AK2" s="1039"/>
      <c r="AL2" s="1039"/>
      <c r="AM2" s="1040"/>
    </row>
    <row r="3" spans="1:44" s="485" customFormat="1" ht="6" customHeight="1"/>
    <row r="4" spans="1:44" s="485" customFormat="1" ht="11.25">
      <c r="A4" s="485" t="s">
        <v>1417</v>
      </c>
      <c r="G4" s="1041"/>
      <c r="H4" s="1042"/>
      <c r="I4" s="1043" t="s">
        <v>1418</v>
      </c>
      <c r="J4" s="1043"/>
      <c r="K4" s="488"/>
      <c r="L4" s="1042"/>
      <c r="M4" s="1042"/>
      <c r="N4" s="1042"/>
      <c r="O4" s="1042"/>
      <c r="P4" s="1042"/>
      <c r="Q4" s="1042"/>
      <c r="R4" s="1042"/>
      <c r="S4" s="1042"/>
      <c r="T4" s="1043" t="s">
        <v>1418</v>
      </c>
      <c r="U4" s="1043"/>
      <c r="V4" s="1042">
        <v>2026</v>
      </c>
      <c r="W4" s="1042"/>
      <c r="X4" s="1042"/>
      <c r="Y4" s="1042"/>
      <c r="Z4" s="1042"/>
    </row>
    <row r="5" spans="1:44" ht="5.0999999999999996" customHeight="1" thickBot="1"/>
    <row r="6" spans="1:44" ht="15.75" customHeight="1" thickBot="1">
      <c r="A6" s="485" t="s">
        <v>1419</v>
      </c>
      <c r="G6" s="1057" t="s">
        <v>1420</v>
      </c>
      <c r="H6" s="1058"/>
      <c r="I6" s="1058"/>
      <c r="J6" s="1058"/>
      <c r="K6" s="1058"/>
      <c r="L6" s="1058"/>
      <c r="M6" s="1058"/>
      <c r="N6" s="1058"/>
      <c r="O6" s="1058"/>
      <c r="P6" s="1058"/>
      <c r="Q6" s="1058"/>
      <c r="R6" s="1058"/>
      <c r="S6" s="1058"/>
      <c r="T6" s="1059"/>
      <c r="Z6" s="490" t="s">
        <v>765</v>
      </c>
      <c r="AA6" s="1044">
        <f>+'MEM. DESC. I'!J44</f>
        <v>0</v>
      </c>
      <c r="AB6" s="1045"/>
      <c r="AC6" s="1045"/>
      <c r="AD6" s="1045"/>
      <c r="AE6" s="1045"/>
      <c r="AF6" s="1045"/>
      <c r="AG6" s="1045"/>
      <c r="AH6" s="1045"/>
      <c r="AI6" s="1045"/>
      <c r="AJ6" s="1045"/>
      <c r="AK6" s="1045"/>
      <c r="AL6" s="1045"/>
      <c r="AM6" s="1045"/>
      <c r="AN6" s="1045"/>
      <c r="AO6" s="1045"/>
      <c r="AP6" s="1045"/>
      <c r="AQ6" s="1045"/>
      <c r="AR6" s="1046"/>
    </row>
    <row r="7" spans="1:44" ht="5.0999999999999996" customHeight="1" thickBot="1"/>
    <row r="8" spans="1:44" ht="13.5" thickBot="1">
      <c r="A8" s="485" t="s">
        <v>1421</v>
      </c>
      <c r="G8" s="1057">
        <f>+'MEM. DESC. I'!J42</f>
        <v>0</v>
      </c>
      <c r="H8" s="1058"/>
      <c r="I8" s="1058"/>
      <c r="J8" s="1058"/>
      <c r="K8" s="1058"/>
      <c r="L8" s="1058"/>
      <c r="M8" s="1058"/>
      <c r="N8" s="1058"/>
      <c r="O8" s="1058"/>
      <c r="P8" s="1058"/>
      <c r="Q8" s="1058"/>
      <c r="R8" s="1058"/>
      <c r="S8" s="1058"/>
      <c r="T8" s="1058"/>
      <c r="U8" s="1058"/>
      <c r="V8" s="1058"/>
      <c r="W8" s="1058"/>
      <c r="X8" s="1058"/>
      <c r="Y8" s="1058"/>
      <c r="Z8" s="1058"/>
      <c r="AA8" s="1058"/>
      <c r="AB8" s="1058"/>
      <c r="AC8" s="1058"/>
      <c r="AD8" s="1059"/>
      <c r="AE8" s="1060" t="s">
        <v>1422</v>
      </c>
      <c r="AF8" s="1061"/>
      <c r="AG8" s="1061"/>
      <c r="AH8" s="1061"/>
      <c r="AI8" s="1061"/>
      <c r="AJ8" s="1062"/>
      <c r="AK8" s="1054"/>
      <c r="AL8" s="1055"/>
      <c r="AM8" s="1055"/>
      <c r="AN8" s="1055"/>
      <c r="AO8" s="1055"/>
      <c r="AP8" s="1055"/>
      <c r="AQ8" s="1055"/>
      <c r="AR8" s="1056"/>
    </row>
    <row r="9" spans="1:44" ht="5.0999999999999996" customHeight="1" thickBot="1"/>
    <row r="10" spans="1:44" ht="13.5" thickBot="1">
      <c r="A10" s="485" t="s">
        <v>1412</v>
      </c>
      <c r="G10" s="1057" t="s">
        <v>1114</v>
      </c>
      <c r="H10" s="1058"/>
      <c r="I10" s="1058"/>
      <c r="J10" s="1058"/>
      <c r="K10" s="1058"/>
      <c r="L10" s="1058"/>
      <c r="M10" s="1058"/>
      <c r="N10" s="1058"/>
      <c r="O10" s="1058"/>
      <c r="P10" s="1058"/>
      <c r="Q10" s="1058"/>
      <c r="R10" s="1058"/>
      <c r="S10" s="1058"/>
      <c r="T10" s="1058"/>
      <c r="U10" s="1058"/>
      <c r="V10" s="1058"/>
      <c r="W10" s="1058"/>
      <c r="X10" s="1058"/>
      <c r="Y10" s="1058"/>
      <c r="Z10" s="1058"/>
      <c r="AA10" s="1058"/>
      <c r="AB10" s="1058"/>
      <c r="AC10" s="1058"/>
      <c r="AD10" s="1059"/>
      <c r="AF10" s="1061" t="s">
        <v>1423</v>
      </c>
      <c r="AG10" s="1061"/>
      <c r="AH10" s="1061"/>
      <c r="AI10" s="1061"/>
      <c r="AJ10" s="1062"/>
      <c r="AK10" s="1057" t="s">
        <v>1424</v>
      </c>
      <c r="AL10" s="1058"/>
      <c r="AM10" s="1058"/>
      <c r="AN10" s="1058"/>
      <c r="AO10" s="1058"/>
      <c r="AP10" s="1058"/>
      <c r="AQ10" s="1058"/>
      <c r="AR10" s="1059"/>
    </row>
    <row r="11" spans="1:44" ht="5.0999999999999996" customHeight="1" thickBot="1"/>
    <row r="12" spans="1:44" ht="27" customHeight="1" thickBot="1">
      <c r="A12" s="485" t="s">
        <v>1425</v>
      </c>
      <c r="G12" s="492" t="s">
        <v>1426</v>
      </c>
      <c r="H12" s="492"/>
      <c r="I12" s="492" t="s">
        <v>1427</v>
      </c>
      <c r="J12" s="492"/>
      <c r="K12" s="493" t="s">
        <v>1428</v>
      </c>
      <c r="L12" s="492"/>
      <c r="M12" s="492" t="s">
        <v>1429</v>
      </c>
      <c r="N12" s="492"/>
      <c r="O12" s="492" t="s">
        <v>1430</v>
      </c>
      <c r="P12" s="492"/>
      <c r="Q12" s="492"/>
      <c r="S12" s="1044">
        <f>+'MEM. DESC. I'!J48</f>
        <v>0</v>
      </c>
      <c r="T12" s="1045"/>
      <c r="U12" s="1045"/>
      <c r="V12" s="1045"/>
      <c r="W12" s="1045"/>
      <c r="X12" s="1045"/>
      <c r="Y12" s="1045"/>
      <c r="Z12" s="1045"/>
      <c r="AA12" s="1045"/>
      <c r="AB12" s="1045"/>
      <c r="AC12" s="1045"/>
      <c r="AD12" s="1045"/>
      <c r="AE12" s="1045"/>
      <c r="AF12" s="1045"/>
      <c r="AG12" s="1045"/>
      <c r="AH12" s="1045"/>
      <c r="AI12" s="1045"/>
      <c r="AJ12" s="1045"/>
      <c r="AK12" s="1045"/>
      <c r="AL12" s="1045"/>
      <c r="AM12" s="1045"/>
      <c r="AN12" s="1045"/>
      <c r="AO12" s="1045"/>
      <c r="AP12" s="1045"/>
      <c r="AQ12" s="1045"/>
      <c r="AR12" s="1046"/>
    </row>
    <row r="13" spans="1:44" ht="5.0999999999999996" customHeight="1" thickBot="1"/>
    <row r="14" spans="1:44" ht="13.5" thickBot="1">
      <c r="A14" s="1047" t="s">
        <v>1431</v>
      </c>
      <c r="B14" s="1048"/>
      <c r="C14" s="1049"/>
      <c r="D14" s="1050"/>
      <c r="F14" s="1047" t="s">
        <v>1432</v>
      </c>
      <c r="G14" s="1051"/>
      <c r="H14" s="1051"/>
      <c r="I14" s="1052"/>
      <c r="J14" s="1053"/>
      <c r="N14" s="490" t="s">
        <v>1433</v>
      </c>
      <c r="O14" s="490"/>
      <c r="P14" s="1054"/>
      <c r="Q14" s="1055"/>
      <c r="R14" s="1055"/>
      <c r="S14" s="1055"/>
      <c r="T14" s="1055"/>
      <c r="U14" s="1055"/>
      <c r="V14" s="1055"/>
      <c r="W14" s="1055"/>
      <c r="X14" s="1055"/>
      <c r="Y14" s="1055"/>
      <c r="Z14" s="1055"/>
      <c r="AA14" s="1055"/>
      <c r="AB14" s="1055"/>
      <c r="AC14" s="1055"/>
      <c r="AD14" s="1055"/>
      <c r="AE14" s="1055"/>
      <c r="AF14" s="1055"/>
      <c r="AG14" s="1055"/>
      <c r="AH14" s="1055"/>
      <c r="AI14" s="1055"/>
      <c r="AJ14" s="1055"/>
      <c r="AK14" s="1055"/>
      <c r="AL14" s="1055"/>
      <c r="AM14" s="1055"/>
      <c r="AN14" s="1055"/>
      <c r="AO14" s="1055"/>
      <c r="AP14" s="1055"/>
      <c r="AQ14" s="1055"/>
      <c r="AR14" s="1056"/>
    </row>
    <row r="15" spans="1:44" ht="5.0999999999999996" customHeight="1" thickBot="1"/>
    <row r="16" spans="1:44" ht="13.5" thickBot="1">
      <c r="A16" s="494" t="s">
        <v>1434</v>
      </c>
      <c r="B16" s="494"/>
      <c r="C16" s="494"/>
      <c r="D16" s="1054">
        <f>+'HR-COMÚN TERMINADO'!Y47</f>
        <v>0</v>
      </c>
      <c r="E16" s="1055"/>
      <c r="F16" s="1055"/>
      <c r="G16" s="1055"/>
      <c r="H16" s="1055"/>
      <c r="I16" s="1055"/>
      <c r="J16" s="1056"/>
      <c r="K16" s="494"/>
      <c r="L16" s="494"/>
      <c r="M16" s="494" t="s">
        <v>1435</v>
      </c>
      <c r="N16" s="494"/>
      <c r="O16" s="494"/>
      <c r="P16" s="1054">
        <f>+'HR-COMÚN TERMINADO'!O47</f>
        <v>0</v>
      </c>
      <c r="Q16" s="1055"/>
      <c r="R16" s="1055"/>
      <c r="S16" s="1055"/>
      <c r="T16" s="1056"/>
      <c r="U16" s="494"/>
      <c r="V16" s="494"/>
      <c r="W16" s="494"/>
      <c r="X16" s="494"/>
      <c r="Y16" s="494"/>
      <c r="Z16" s="1043" t="s">
        <v>1436</v>
      </c>
      <c r="AA16" s="1043"/>
      <c r="AB16" s="1043"/>
      <c r="AC16" s="1043"/>
      <c r="AD16" s="1043"/>
      <c r="AE16" s="1043"/>
      <c r="AF16" s="1063"/>
      <c r="AG16" s="1054">
        <f>+'HR-COMÚN TERMINADO'!F47</f>
        <v>0</v>
      </c>
      <c r="AH16" s="1055"/>
      <c r="AI16" s="1055"/>
      <c r="AJ16" s="1055"/>
      <c r="AK16" s="1055"/>
      <c r="AL16" s="1055"/>
      <c r="AM16" s="1055"/>
      <c r="AN16" s="1056"/>
      <c r="AO16" s="494"/>
      <c r="AP16" s="494"/>
      <c r="AQ16" s="494"/>
      <c r="AR16" s="494"/>
    </row>
    <row r="17" spans="1:44" ht="6" customHeight="1" thickBot="1"/>
    <row r="18" spans="1:44" ht="13.5" thickBot="1">
      <c r="A18" s="485" t="s">
        <v>1437</v>
      </c>
      <c r="F18" s="1064" t="s">
        <v>1438</v>
      </c>
      <c r="G18" s="1065"/>
      <c r="H18" s="1065"/>
      <c r="I18" s="1065"/>
      <c r="J18" s="1057"/>
      <c r="K18" s="1058"/>
      <c r="L18" s="1059"/>
      <c r="M18" s="1066" t="s">
        <v>1439</v>
      </c>
      <c r="N18" s="1066"/>
      <c r="O18" s="1066"/>
      <c r="P18" s="1066"/>
      <c r="Q18" s="1066"/>
      <c r="R18" s="1066"/>
      <c r="S18" s="495"/>
      <c r="T18" s="1067" t="s">
        <v>1440</v>
      </c>
      <c r="U18" s="1068"/>
      <c r="V18" s="1068"/>
      <c r="W18" s="1068"/>
      <c r="X18" s="1068"/>
      <c r="Y18" s="1068"/>
      <c r="Z18" s="1069"/>
      <c r="AA18" s="1057"/>
      <c r="AB18" s="1059"/>
      <c r="AC18" s="1067" t="s">
        <v>1441</v>
      </c>
      <c r="AD18" s="1068"/>
      <c r="AE18" s="1068"/>
      <c r="AF18" s="1068"/>
      <c r="AG18" s="1068"/>
      <c r="AH18" s="1068"/>
      <c r="AI18" s="1068"/>
      <c r="AJ18" s="1069"/>
      <c r="AK18" s="495"/>
      <c r="AL18" s="1067" t="s">
        <v>1442</v>
      </c>
      <c r="AM18" s="1068"/>
      <c r="AN18" s="1068"/>
      <c r="AO18" s="1068"/>
      <c r="AP18" s="1068"/>
      <c r="AQ18" s="1069"/>
      <c r="AR18" s="495"/>
    </row>
    <row r="19" spans="1:44" ht="13.5" thickBot="1">
      <c r="E19" s="496"/>
      <c r="G19" s="496" t="s">
        <v>1443</v>
      </c>
    </row>
    <row r="20" spans="1:44" ht="13.5" thickBot="1">
      <c r="F20" s="1064" t="s">
        <v>1444</v>
      </c>
      <c r="G20" s="1065"/>
      <c r="H20" s="1065"/>
      <c r="I20" s="1065"/>
      <c r="J20" s="1086"/>
      <c r="K20" s="1087"/>
      <c r="L20" s="1087"/>
      <c r="M20" s="1087" t="s">
        <v>1445</v>
      </c>
      <c r="N20" s="1087"/>
      <c r="O20" s="1087"/>
      <c r="P20" s="1087"/>
      <c r="Q20" s="1087"/>
      <c r="R20" s="1088"/>
      <c r="S20" s="495"/>
      <c r="T20" s="1079" t="s">
        <v>1446</v>
      </c>
      <c r="U20" s="1089"/>
      <c r="V20" s="495"/>
      <c r="W20" s="1090" t="s">
        <v>1447</v>
      </c>
      <c r="X20" s="1091"/>
      <c r="Y20" s="1057"/>
      <c r="Z20" s="1059"/>
      <c r="AA20" s="1092" t="s">
        <v>1448</v>
      </c>
      <c r="AB20" s="1066"/>
      <c r="AC20" s="1089"/>
      <c r="AD20" s="1057"/>
      <c r="AE20" s="1059"/>
      <c r="AF20" s="1092" t="s">
        <v>165</v>
      </c>
      <c r="AG20" s="1066"/>
      <c r="AH20" s="1066"/>
      <c r="AI20" s="1066"/>
      <c r="AJ20" s="1089"/>
      <c r="AK20" s="497"/>
      <c r="AL20" s="498" t="s">
        <v>1449</v>
      </c>
      <c r="AM20" s="1075">
        <f>+'MEM. DESC. I'!S34</f>
        <v>0</v>
      </c>
      <c r="AN20" s="1055"/>
      <c r="AO20" s="1055"/>
      <c r="AP20" s="1055"/>
      <c r="AQ20" s="1055"/>
      <c r="AR20" s="1056"/>
    </row>
    <row r="21" spans="1:44">
      <c r="E21" s="496"/>
      <c r="F21" s="496" t="s">
        <v>1450</v>
      </c>
    </row>
    <row r="22" spans="1:44" ht="4.5" customHeight="1"/>
    <row r="23" spans="1:44">
      <c r="A23" s="1076" t="s">
        <v>1451</v>
      </c>
      <c r="B23" s="1077"/>
      <c r="C23" s="1077"/>
      <c r="D23" s="1077"/>
      <c r="E23" s="1077"/>
      <c r="F23" s="1077"/>
      <c r="G23" s="1077"/>
      <c r="H23" s="1077"/>
      <c r="I23" s="1077"/>
      <c r="J23" s="1077"/>
      <c r="K23" s="1077"/>
      <c r="L23" s="1077"/>
      <c r="M23" s="1077"/>
      <c r="N23" s="1077"/>
      <c r="O23" s="1077"/>
      <c r="P23" s="1077"/>
      <c r="Q23" s="1077"/>
      <c r="R23" s="1077"/>
      <c r="S23" s="1077"/>
      <c r="T23" s="1077"/>
      <c r="U23" s="1077"/>
      <c r="V23" s="1077"/>
      <c r="W23" s="1077"/>
      <c r="X23" s="1077"/>
      <c r="Y23" s="1077"/>
      <c r="Z23" s="1077"/>
      <c r="AA23" s="1077"/>
      <c r="AB23" s="1077"/>
      <c r="AC23" s="1077"/>
      <c r="AD23" s="1077"/>
      <c r="AE23" s="1077"/>
      <c r="AF23" s="1077"/>
      <c r="AG23" s="1077"/>
      <c r="AH23" s="1077"/>
      <c r="AI23" s="1077"/>
      <c r="AJ23" s="1077"/>
      <c r="AK23" s="1077"/>
      <c r="AL23" s="1077"/>
      <c r="AM23" s="1077"/>
      <c r="AN23" s="1077"/>
      <c r="AO23" s="1077"/>
      <c r="AP23" s="1077"/>
      <c r="AQ23" s="1077"/>
      <c r="AR23" s="1078"/>
    </row>
    <row r="24" spans="1:44" ht="4.5" customHeight="1">
      <c r="A24" s="499"/>
      <c r="B24" s="499"/>
      <c r="C24" s="499"/>
      <c r="D24" s="499"/>
      <c r="E24" s="499"/>
      <c r="F24" s="499"/>
      <c r="G24" s="499"/>
      <c r="H24" s="499"/>
      <c r="I24" s="499"/>
      <c r="J24" s="499"/>
      <c r="K24" s="499"/>
      <c r="L24" s="499"/>
      <c r="M24" s="499"/>
      <c r="N24" s="499"/>
      <c r="O24" s="499"/>
      <c r="P24" s="499"/>
      <c r="Q24" s="499"/>
      <c r="R24" s="499"/>
      <c r="S24" s="499"/>
      <c r="T24" s="499"/>
      <c r="U24" s="499"/>
      <c r="V24" s="499"/>
      <c r="W24" s="499"/>
      <c r="X24" s="499"/>
      <c r="Y24" s="499"/>
      <c r="Z24" s="499"/>
      <c r="AA24" s="499"/>
      <c r="AB24" s="499"/>
      <c r="AC24" s="499"/>
      <c r="AD24" s="499"/>
      <c r="AE24" s="499"/>
      <c r="AF24" s="499"/>
      <c r="AG24" s="499"/>
      <c r="AH24" s="499"/>
      <c r="AI24" s="499"/>
      <c r="AJ24" s="499"/>
      <c r="AK24" s="499"/>
      <c r="AL24" s="499"/>
      <c r="AM24" s="499"/>
      <c r="AN24" s="499"/>
      <c r="AO24" s="499"/>
      <c r="AP24" s="499"/>
      <c r="AQ24" s="499"/>
    </row>
    <row r="25" spans="1:44">
      <c r="A25" s="505" t="s">
        <v>273</v>
      </c>
      <c r="L25" s="491" t="s">
        <v>1452</v>
      </c>
      <c r="O25" s="1079"/>
      <c r="P25" s="1050"/>
      <c r="R25" s="507"/>
      <c r="S25" s="507"/>
      <c r="T25" s="501"/>
      <c r="U25" s="501"/>
      <c r="V25" s="502"/>
      <c r="W25" s="487" t="s">
        <v>435</v>
      </c>
      <c r="X25" s="502"/>
      <c r="Y25" s="502"/>
      <c r="Z25" s="502"/>
      <c r="AA25" s="1052" t="s">
        <v>1244</v>
      </c>
      <c r="AB25" s="1053"/>
      <c r="AC25" s="502"/>
      <c r="AD25" s="494" t="s">
        <v>1453</v>
      </c>
      <c r="AE25" s="502"/>
      <c r="AF25" s="494"/>
      <c r="AG25" s="503"/>
      <c r="AH25" s="494"/>
      <c r="AI25" s="504"/>
      <c r="AJ25" s="504"/>
      <c r="AK25" s="504"/>
      <c r="AL25" s="504"/>
      <c r="AM25" s="504"/>
      <c r="AN25" s="504"/>
      <c r="AO25" s="502"/>
      <c r="AP25" s="1052"/>
      <c r="AQ25" s="1053"/>
      <c r="AR25" s="489"/>
    </row>
    <row r="26" spans="1:44" ht="6.75" customHeight="1" thickBot="1">
      <c r="Z26" s="489"/>
      <c r="AA26" s="489"/>
      <c r="AP26" s="489"/>
      <c r="AQ26" s="489"/>
    </row>
    <row r="27" spans="1:44" ht="13.5" thickBot="1">
      <c r="A27" s="505" t="s">
        <v>1454</v>
      </c>
      <c r="P27" s="490" t="s">
        <v>1455</v>
      </c>
      <c r="R27" s="1080">
        <f>+'MEM. DESC. II'!S44</f>
        <v>0</v>
      </c>
      <c r="S27" s="1081"/>
      <c r="T27" s="1082"/>
      <c r="U27" s="506" t="s">
        <v>1456</v>
      </c>
      <c r="V27" s="507"/>
      <c r="W27" s="507"/>
      <c r="Y27" s="489"/>
      <c r="Z27" s="506"/>
      <c r="AA27" s="506"/>
      <c r="AG27" s="490" t="s">
        <v>1457</v>
      </c>
      <c r="AI27" s="489"/>
      <c r="AJ27" s="489"/>
      <c r="AK27" s="489"/>
      <c r="AL27" s="1083">
        <f>+'MEM. DESC. II'!K56</f>
        <v>0</v>
      </c>
      <c r="AM27" s="1084"/>
      <c r="AN27" s="1085"/>
      <c r="AO27" s="506" t="s">
        <v>1456</v>
      </c>
      <c r="AP27" s="489"/>
      <c r="AQ27" s="490"/>
    </row>
    <row r="28" spans="1:44" ht="2.25" customHeight="1">
      <c r="AO28" s="506"/>
    </row>
    <row r="29" spans="1:44" ht="5.25" customHeight="1" thickBot="1">
      <c r="A29" s="508"/>
      <c r="B29" s="509"/>
      <c r="C29" s="509"/>
      <c r="D29" s="509"/>
      <c r="E29" s="509"/>
      <c r="F29" s="509"/>
      <c r="G29" s="509"/>
      <c r="H29" s="509"/>
      <c r="I29" s="509"/>
      <c r="J29" s="509"/>
      <c r="K29" s="509"/>
      <c r="L29" s="509"/>
      <c r="M29" s="509"/>
      <c r="N29" s="509"/>
      <c r="O29" s="509"/>
      <c r="P29" s="509"/>
      <c r="Q29" s="509"/>
      <c r="R29" s="509"/>
      <c r="S29" s="509"/>
      <c r="T29" s="509"/>
      <c r="U29" s="509"/>
      <c r="V29" s="510"/>
      <c r="AO29" s="506"/>
    </row>
    <row r="30" spans="1:44" s="502" customFormat="1" ht="13.5" thickBot="1">
      <c r="A30" s="511" t="s">
        <v>287</v>
      </c>
      <c r="B30" s="494"/>
      <c r="C30" s="494"/>
      <c r="D30" s="494"/>
      <c r="E30" s="494"/>
      <c r="F30" s="494"/>
      <c r="G30" s="494"/>
      <c r="H30" s="494"/>
      <c r="I30" s="494"/>
      <c r="J30" s="503" t="s">
        <v>390</v>
      </c>
      <c r="K30" s="494"/>
      <c r="L30" s="497"/>
      <c r="M30" s="494"/>
      <c r="N30" s="494"/>
      <c r="O30" s="503" t="s">
        <v>42</v>
      </c>
      <c r="P30" s="494"/>
      <c r="Q30" s="512"/>
      <c r="R30" s="494"/>
      <c r="S30" s="503" t="s">
        <v>498</v>
      </c>
      <c r="T30" s="494"/>
      <c r="U30" s="512"/>
      <c r="V30" s="513"/>
      <c r="W30" s="494"/>
      <c r="Y30" s="494"/>
      <c r="AA30" s="494" t="s">
        <v>1458</v>
      </c>
      <c r="AB30" s="494"/>
      <c r="AC30" s="494"/>
      <c r="AD30" s="494"/>
      <c r="AE30" s="494"/>
      <c r="AF30" s="494"/>
      <c r="AG30" s="494"/>
      <c r="AH30" s="494"/>
      <c r="AL30" s="1070">
        <f>+'MEM. DESC. I'!Q99</f>
        <v>0</v>
      </c>
      <c r="AM30" s="1071"/>
      <c r="AN30" s="1072"/>
      <c r="AO30" s="514" t="s">
        <v>1459</v>
      </c>
      <c r="AP30" s="494"/>
      <c r="AQ30" s="503"/>
      <c r="AR30" s="494"/>
    </row>
    <row r="31" spans="1:44" s="502" customFormat="1" ht="3.75" customHeight="1">
      <c r="A31" s="515"/>
      <c r="B31" s="488"/>
      <c r="C31" s="488"/>
      <c r="D31" s="488"/>
      <c r="E31" s="488"/>
      <c r="F31" s="488"/>
      <c r="G31" s="488"/>
      <c r="H31" s="488"/>
      <c r="I31" s="488"/>
      <c r="J31" s="488"/>
      <c r="K31" s="488"/>
      <c r="L31" s="488"/>
      <c r="M31" s="488"/>
      <c r="N31" s="488"/>
      <c r="O31" s="488"/>
      <c r="P31" s="488"/>
      <c r="Q31" s="488"/>
      <c r="R31" s="488"/>
      <c r="S31" s="488"/>
      <c r="T31" s="488"/>
      <c r="U31" s="488"/>
      <c r="V31" s="516"/>
      <c r="W31" s="494"/>
      <c r="X31" s="494"/>
      <c r="Y31" s="494"/>
      <c r="Z31" s="494"/>
      <c r="AA31" s="494"/>
      <c r="AB31" s="494"/>
      <c r="AC31" s="494"/>
      <c r="AD31" s="494"/>
      <c r="AE31" s="494"/>
      <c r="AF31" s="494"/>
      <c r="AG31" s="494"/>
      <c r="AH31" s="494"/>
      <c r="AI31" s="494"/>
      <c r="AJ31" s="494"/>
      <c r="AK31" s="494"/>
      <c r="AL31" s="494"/>
      <c r="AM31" s="494"/>
      <c r="AN31" s="494"/>
      <c r="AO31" s="494"/>
      <c r="AP31" s="494"/>
      <c r="AQ31" s="494"/>
      <c r="AR31" s="494"/>
    </row>
    <row r="32" spans="1:44" s="502" customFormat="1" ht="3.75" hidden="1" customHeight="1">
      <c r="A32" s="494"/>
      <c r="B32" s="494"/>
      <c r="C32" s="494"/>
      <c r="D32" s="494"/>
      <c r="E32" s="494"/>
      <c r="F32" s="494"/>
      <c r="G32" s="494"/>
      <c r="H32" s="494"/>
      <c r="I32" s="494"/>
      <c r="J32" s="494"/>
      <c r="K32" s="494"/>
      <c r="L32" s="494"/>
      <c r="M32" s="494"/>
      <c r="N32" s="494"/>
      <c r="O32" s="494"/>
      <c r="P32" s="494"/>
      <c r="Q32" s="494"/>
      <c r="R32" s="494"/>
      <c r="S32" s="494"/>
      <c r="T32" s="494"/>
      <c r="U32" s="494"/>
      <c r="V32" s="494"/>
      <c r="W32" s="494"/>
      <c r="X32" s="494"/>
      <c r="Y32" s="494"/>
      <c r="Z32" s="494"/>
      <c r="AA32" s="494"/>
      <c r="AB32" s="494"/>
      <c r="AC32" s="494"/>
      <c r="AD32" s="494"/>
      <c r="AE32" s="494"/>
      <c r="AF32" s="494"/>
      <c r="AG32" s="494"/>
      <c r="AH32" s="494"/>
      <c r="AI32" s="494"/>
      <c r="AJ32" s="494"/>
      <c r="AK32" s="494"/>
      <c r="AL32" s="494"/>
      <c r="AM32" s="494"/>
      <c r="AN32" s="494"/>
      <c r="AO32" s="494"/>
      <c r="AP32" s="494"/>
      <c r="AQ32" s="494"/>
      <c r="AR32" s="494"/>
    </row>
    <row r="33" spans="1:44" s="502" customFormat="1" ht="5.25" customHeight="1">
      <c r="A33" s="494"/>
      <c r="B33" s="494"/>
      <c r="C33" s="494"/>
      <c r="D33" s="494"/>
      <c r="E33" s="494"/>
      <c r="F33" s="494"/>
      <c r="G33" s="494"/>
      <c r="H33" s="494"/>
      <c r="I33" s="494"/>
      <c r="J33" s="494"/>
      <c r="K33" s="494"/>
      <c r="L33" s="494"/>
      <c r="M33" s="494"/>
      <c r="N33" s="494"/>
      <c r="O33" s="494"/>
      <c r="P33" s="494"/>
      <c r="Q33" s="494"/>
      <c r="R33" s="494"/>
      <c r="S33" s="494"/>
      <c r="T33" s="494"/>
      <c r="U33" s="494"/>
      <c r="V33" s="494"/>
      <c r="W33" s="494"/>
      <c r="X33" s="494"/>
      <c r="Y33" s="494"/>
      <c r="Z33" s="494"/>
      <c r="AA33" s="494"/>
      <c r="AB33" s="494"/>
      <c r="AC33" s="494"/>
      <c r="AD33" s="494"/>
      <c r="AE33" s="494"/>
      <c r="AF33" s="494"/>
      <c r="AG33" s="494"/>
      <c r="AH33" s="494"/>
      <c r="AI33" s="494"/>
      <c r="AJ33" s="494"/>
      <c r="AK33" s="494"/>
      <c r="AL33" s="494"/>
      <c r="AM33" s="494"/>
      <c r="AN33" s="494"/>
      <c r="AO33" s="494"/>
      <c r="AP33" s="494"/>
      <c r="AQ33" s="494"/>
      <c r="AR33" s="494"/>
    </row>
    <row r="34" spans="1:44" s="502" customFormat="1">
      <c r="A34" s="494" t="s">
        <v>1460</v>
      </c>
      <c r="B34" s="494"/>
      <c r="C34" s="494"/>
      <c r="D34" s="494"/>
      <c r="E34" s="494"/>
      <c r="F34" s="494" t="s">
        <v>1160</v>
      </c>
      <c r="G34" s="517"/>
      <c r="H34" s="494" t="s">
        <v>1163</v>
      </c>
      <c r="I34" s="518"/>
      <c r="L34" s="494" t="s">
        <v>1461</v>
      </c>
      <c r="M34" s="494"/>
      <c r="N34" s="494"/>
      <c r="O34" s="494"/>
      <c r="P34" s="494"/>
      <c r="Q34" s="494"/>
      <c r="R34" s="494"/>
      <c r="T34" s="1052"/>
      <c r="U34" s="1073"/>
      <c r="V34" s="1053"/>
      <c r="W34" s="494"/>
      <c r="Y34" s="494" t="s">
        <v>1462</v>
      </c>
      <c r="Z34" s="487"/>
      <c r="AE34" s="494"/>
      <c r="AF34" s="494"/>
      <c r="AG34" s="494"/>
      <c r="AH34" s="1052"/>
      <c r="AI34" s="1073"/>
      <c r="AJ34" s="1073"/>
      <c r="AK34" s="1053"/>
    </row>
    <row r="35" spans="1:44" s="502" customFormat="1">
      <c r="A35" s="494" t="s">
        <v>407</v>
      </c>
      <c r="B35" s="494"/>
      <c r="C35" s="494"/>
      <c r="D35" s="494"/>
      <c r="E35" s="494"/>
      <c r="F35" s="494" t="s">
        <v>1160</v>
      </c>
      <c r="G35" s="517"/>
      <c r="H35" s="494" t="s">
        <v>1163</v>
      </c>
      <c r="I35" s="519"/>
      <c r="L35" s="494" t="s">
        <v>1463</v>
      </c>
      <c r="M35" s="494"/>
      <c r="N35" s="494"/>
      <c r="O35" s="494"/>
      <c r="P35" s="494"/>
      <c r="Q35" s="494"/>
      <c r="S35" s="494" t="s">
        <v>1160</v>
      </c>
      <c r="T35" s="518"/>
      <c r="U35" s="494" t="s">
        <v>1163</v>
      </c>
      <c r="V35" s="517"/>
      <c r="W35" s="494"/>
      <c r="Y35" s="494" t="s">
        <v>1464</v>
      </c>
      <c r="AE35" s="494"/>
      <c r="AF35" s="494" t="s">
        <v>1160</v>
      </c>
      <c r="AG35" s="494"/>
      <c r="AH35" s="1074"/>
      <c r="AI35" s="1074"/>
      <c r="AJ35" s="494" t="s">
        <v>1163</v>
      </c>
      <c r="AK35" s="517"/>
    </row>
    <row r="36" spans="1:44" s="502" customFormat="1">
      <c r="A36" s="494" t="s">
        <v>1465</v>
      </c>
      <c r="B36" s="494"/>
      <c r="C36" s="494"/>
      <c r="D36" s="494"/>
      <c r="E36" s="494"/>
      <c r="F36" s="494"/>
      <c r="G36" s="1052"/>
      <c r="H36" s="1073"/>
      <c r="I36" s="1053"/>
      <c r="L36" s="494" t="s">
        <v>1466</v>
      </c>
      <c r="M36" s="494"/>
      <c r="N36" s="494"/>
      <c r="O36" s="494"/>
      <c r="P36" s="494"/>
      <c r="Q36" s="494"/>
      <c r="S36" s="494" t="s">
        <v>1160</v>
      </c>
      <c r="T36" s="517"/>
      <c r="U36" s="494" t="s">
        <v>1163</v>
      </c>
      <c r="V36" s="517"/>
      <c r="W36" s="494"/>
      <c r="Y36" s="494" t="s">
        <v>707</v>
      </c>
      <c r="AE36" s="494"/>
      <c r="AF36" s="494" t="s">
        <v>1160</v>
      </c>
      <c r="AG36" s="494"/>
      <c r="AH36" s="1074"/>
      <c r="AI36" s="1074"/>
      <c r="AJ36" s="494" t="s">
        <v>1163</v>
      </c>
      <c r="AK36" s="517"/>
    </row>
    <row r="37" spans="1:44" s="502" customFormat="1">
      <c r="A37" s="494" t="s">
        <v>1467</v>
      </c>
      <c r="B37" s="494"/>
      <c r="C37" s="494"/>
      <c r="D37" s="494"/>
      <c r="E37" s="494"/>
      <c r="F37" s="494" t="s">
        <v>1160</v>
      </c>
      <c r="G37" s="518"/>
      <c r="H37" s="494" t="s">
        <v>1163</v>
      </c>
      <c r="I37" s="517"/>
      <c r="L37" s="494" t="s">
        <v>1269</v>
      </c>
      <c r="M37" s="494"/>
      <c r="N37" s="494"/>
      <c r="O37" s="494"/>
      <c r="P37" s="494"/>
      <c r="Q37" s="494"/>
      <c r="S37" s="494" t="s">
        <v>1160</v>
      </c>
      <c r="T37" s="517"/>
      <c r="U37" s="494" t="s">
        <v>1163</v>
      </c>
      <c r="V37" s="517"/>
      <c r="W37" s="494"/>
      <c r="Y37" s="494" t="s">
        <v>1468</v>
      </c>
      <c r="Z37" s="494"/>
      <c r="AA37" s="494"/>
      <c r="AB37" s="494"/>
      <c r="AC37" s="494"/>
      <c r="AD37" s="494"/>
      <c r="AE37" s="494"/>
      <c r="AF37" s="494" t="s">
        <v>1160</v>
      </c>
      <c r="AG37" s="494"/>
      <c r="AH37" s="1074"/>
      <c r="AI37" s="1074"/>
      <c r="AJ37" s="494" t="s">
        <v>1163</v>
      </c>
      <c r="AK37" s="517"/>
      <c r="AO37" s="520"/>
    </row>
    <row r="38" spans="1:44" s="502" customFormat="1">
      <c r="A38" s="494"/>
      <c r="B38" s="494"/>
      <c r="C38" s="494"/>
      <c r="D38" s="494"/>
      <c r="E38" s="494"/>
      <c r="F38" s="494"/>
      <c r="G38" s="521"/>
      <c r="H38" s="494"/>
      <c r="I38" s="522"/>
      <c r="L38" s="494" t="s">
        <v>1469</v>
      </c>
      <c r="M38" s="494"/>
      <c r="N38" s="494"/>
      <c r="O38" s="494"/>
      <c r="P38" s="494"/>
      <c r="Q38" s="494"/>
      <c r="S38" s="494" t="s">
        <v>1160</v>
      </c>
      <c r="T38" s="517"/>
      <c r="U38" s="523" t="s">
        <v>1163</v>
      </c>
      <c r="V38" s="517"/>
      <c r="W38" s="494"/>
      <c r="Y38" s="494" t="s">
        <v>1470</v>
      </c>
      <c r="Z38" s="494"/>
      <c r="AA38" s="494"/>
      <c r="AB38" s="494"/>
      <c r="AC38" s="494"/>
      <c r="AD38" s="494"/>
      <c r="AE38" s="494"/>
      <c r="AF38" s="494" t="s">
        <v>1160</v>
      </c>
      <c r="AG38" s="494"/>
      <c r="AH38" s="1074"/>
      <c r="AI38" s="1074"/>
      <c r="AJ38" s="494" t="s">
        <v>1163</v>
      </c>
      <c r="AK38" s="517"/>
      <c r="AO38" s="520"/>
    </row>
    <row r="39" spans="1:44" s="502" customFormat="1">
      <c r="A39" s="494"/>
      <c r="B39" s="494"/>
      <c r="C39" s="494"/>
      <c r="D39" s="494"/>
      <c r="E39" s="494"/>
      <c r="F39" s="494"/>
      <c r="G39" s="494"/>
      <c r="H39" s="494"/>
      <c r="I39" s="487"/>
      <c r="J39" s="494"/>
      <c r="K39" s="494"/>
      <c r="L39" s="494"/>
      <c r="M39" s="494"/>
      <c r="N39" s="494"/>
      <c r="O39" s="494"/>
      <c r="P39" s="494"/>
      <c r="Q39" s="494"/>
      <c r="R39" s="494"/>
      <c r="S39" s="487"/>
      <c r="T39" s="494"/>
      <c r="U39" s="487"/>
      <c r="W39" s="494"/>
      <c r="Y39" s="494" t="s">
        <v>1471</v>
      </c>
      <c r="Z39" s="494"/>
      <c r="AA39" s="494"/>
      <c r="AB39" s="494"/>
      <c r="AC39" s="494"/>
      <c r="AD39" s="494"/>
      <c r="AE39" s="494"/>
      <c r="AF39" s="494" t="s">
        <v>1160</v>
      </c>
      <c r="AG39" s="494"/>
      <c r="AH39" s="1074"/>
      <c r="AI39" s="1074"/>
      <c r="AJ39" s="494" t="s">
        <v>1163</v>
      </c>
      <c r="AK39" s="517"/>
      <c r="AO39" s="520"/>
      <c r="AP39" s="494"/>
      <c r="AQ39" s="494"/>
      <c r="AR39" s="494"/>
    </row>
    <row r="40" spans="1:44" s="502" customFormat="1">
      <c r="A40" s="494"/>
      <c r="B40" s="494"/>
      <c r="C40" s="494"/>
      <c r="D40" s="494"/>
      <c r="E40" s="494"/>
      <c r="F40" s="494"/>
      <c r="G40" s="494"/>
      <c r="H40" s="494"/>
      <c r="I40" s="487"/>
      <c r="J40" s="494"/>
      <c r="K40" s="494"/>
      <c r="L40" s="494"/>
      <c r="M40" s="494"/>
      <c r="N40" s="494"/>
      <c r="O40" s="494"/>
      <c r="P40" s="494"/>
      <c r="Q40" s="494"/>
      <c r="R40" s="494"/>
      <c r="S40" s="487"/>
      <c r="T40" s="494"/>
      <c r="U40" s="487"/>
      <c r="W40" s="494"/>
      <c r="Y40" s="494" t="s">
        <v>1472</v>
      </c>
      <c r="Z40" s="494"/>
      <c r="AA40" s="494"/>
      <c r="AB40" s="494"/>
      <c r="AC40" s="494"/>
      <c r="AD40" s="494"/>
      <c r="AE40" s="494"/>
      <c r="AF40" s="494" t="s">
        <v>1160</v>
      </c>
      <c r="AG40" s="494"/>
      <c r="AH40" s="1074"/>
      <c r="AI40" s="1074"/>
      <c r="AJ40" s="494" t="s">
        <v>1163</v>
      </c>
      <c r="AK40" s="517"/>
      <c r="AL40" s="520"/>
      <c r="AM40" s="520"/>
      <c r="AN40" s="520"/>
      <c r="AO40" s="520"/>
      <c r="AP40" s="494"/>
      <c r="AQ40" s="494"/>
      <c r="AR40" s="494"/>
    </row>
    <row r="41" spans="1:44" ht="6" hidden="1" customHeight="1"/>
    <row r="42" spans="1:44" ht="6" customHeight="1"/>
    <row r="43" spans="1:44">
      <c r="A43" s="1076" t="s">
        <v>1473</v>
      </c>
      <c r="B43" s="1077"/>
      <c r="C43" s="1077"/>
      <c r="D43" s="1077"/>
      <c r="E43" s="1077"/>
      <c r="F43" s="1077"/>
      <c r="G43" s="1077"/>
      <c r="H43" s="1077"/>
      <c r="I43" s="1077"/>
      <c r="J43" s="1077"/>
      <c r="K43" s="1077"/>
      <c r="L43" s="1077"/>
      <c r="M43" s="1077"/>
      <c r="N43" s="1077"/>
      <c r="O43" s="1077"/>
      <c r="P43" s="1077"/>
      <c r="Q43" s="1077"/>
      <c r="R43" s="1077"/>
      <c r="S43" s="1077"/>
      <c r="T43" s="1077"/>
      <c r="U43" s="1077"/>
      <c r="V43" s="1077"/>
      <c r="W43" s="1077"/>
      <c r="X43" s="1077"/>
      <c r="Y43" s="1077"/>
      <c r="Z43" s="1077"/>
      <c r="AA43" s="1077"/>
      <c r="AB43" s="1077"/>
      <c r="AC43" s="1077"/>
      <c r="AD43" s="1077"/>
      <c r="AE43" s="1077"/>
      <c r="AF43" s="1077"/>
      <c r="AG43" s="1077"/>
      <c r="AH43" s="1077"/>
      <c r="AI43" s="1077"/>
      <c r="AJ43" s="1077"/>
      <c r="AK43" s="1077"/>
      <c r="AL43" s="1077"/>
      <c r="AM43" s="1077"/>
      <c r="AN43" s="1077"/>
      <c r="AO43" s="1077"/>
      <c r="AP43" s="1077"/>
      <c r="AQ43" s="1077"/>
      <c r="AR43" s="1078"/>
    </row>
    <row r="44" spans="1:44" ht="3.75" customHeight="1"/>
    <row r="45" spans="1:44" s="502" customFormat="1">
      <c r="A45" s="500" t="s">
        <v>1474</v>
      </c>
      <c r="B45" s="494"/>
      <c r="C45" s="494"/>
      <c r="D45" s="494"/>
      <c r="E45" s="494"/>
      <c r="F45" s="494"/>
      <c r="G45" s="494"/>
      <c r="H45" s="494"/>
      <c r="I45" s="494"/>
      <c r="J45" s="494"/>
      <c r="K45" s="494"/>
      <c r="L45" s="494"/>
      <c r="M45" s="494"/>
      <c r="N45" s="494"/>
      <c r="O45" s="494"/>
      <c r="P45" s="494"/>
      <c r="Q45" s="494"/>
      <c r="R45" s="494"/>
      <c r="S45" s="494"/>
      <c r="T45" s="494"/>
      <c r="U45" s="494"/>
      <c r="V45" s="494"/>
      <c r="W45" s="494"/>
      <c r="X45" s="494"/>
      <c r="Y45" s="494"/>
      <c r="Z45" s="494"/>
      <c r="AA45" s="494"/>
      <c r="AB45" s="494"/>
      <c r="AC45" s="494"/>
      <c r="AD45" s="494"/>
      <c r="AE45" s="494"/>
      <c r="AF45" s="494"/>
      <c r="AG45" s="494"/>
      <c r="AH45" s="494"/>
      <c r="AI45" s="494"/>
      <c r="AJ45" s="494"/>
      <c r="AK45" s="494"/>
      <c r="AL45" s="494"/>
      <c r="AM45" s="494"/>
      <c r="AN45" s="494"/>
      <c r="AO45" s="494"/>
      <c r="AP45" s="494"/>
      <c r="AQ45" s="494"/>
      <c r="AR45" s="494"/>
    </row>
    <row r="46" spans="1:44" s="502" customFormat="1">
      <c r="A46" s="524" t="s">
        <v>299</v>
      </c>
      <c r="B46" s="521"/>
      <c r="C46" s="521"/>
      <c r="D46" s="521"/>
      <c r="E46" s="521"/>
      <c r="F46" s="521"/>
      <c r="G46" s="521"/>
      <c r="H46" s="521"/>
      <c r="I46" s="521"/>
      <c r="J46" s="524" t="s">
        <v>1475</v>
      </c>
      <c r="K46" s="521"/>
      <c r="L46" s="521"/>
      <c r="M46" s="521"/>
      <c r="N46" s="521"/>
      <c r="O46" s="521"/>
      <c r="P46" s="521"/>
      <c r="Q46" s="524" t="s">
        <v>1476</v>
      </c>
      <c r="R46" s="521"/>
      <c r="S46" s="521"/>
      <c r="T46" s="521"/>
      <c r="U46" s="521"/>
      <c r="V46" s="521"/>
      <c r="W46" s="521"/>
      <c r="X46" s="524" t="s">
        <v>302</v>
      </c>
      <c r="Y46" s="521"/>
      <c r="Z46" s="521"/>
      <c r="AA46" s="521"/>
      <c r="AB46" s="521"/>
      <c r="AC46" s="521"/>
      <c r="AD46" s="521"/>
      <c r="AE46" s="524" t="s">
        <v>301</v>
      </c>
      <c r="AF46" s="521"/>
      <c r="AG46" s="521"/>
      <c r="AH46" s="521"/>
      <c r="AI46" s="521"/>
      <c r="AJ46" s="521"/>
      <c r="AK46" s="521"/>
      <c r="AL46" s="521"/>
      <c r="AM46" s="521"/>
      <c r="AN46" s="521"/>
      <c r="AO46" s="521"/>
      <c r="AP46" s="521"/>
      <c r="AQ46" s="521"/>
      <c r="AR46" s="525"/>
    </row>
    <row r="47" spans="1:44" s="502" customFormat="1">
      <c r="A47" s="511" t="s">
        <v>1477</v>
      </c>
      <c r="B47" s="494"/>
      <c r="C47" s="494"/>
      <c r="D47" s="494"/>
      <c r="E47" s="494"/>
      <c r="F47" s="494"/>
      <c r="G47" s="494"/>
      <c r="H47" s="517"/>
      <c r="I47" s="494"/>
      <c r="J47" s="511" t="s">
        <v>1478</v>
      </c>
      <c r="K47" s="494"/>
      <c r="L47" s="494"/>
      <c r="M47" s="494"/>
      <c r="N47" s="494"/>
      <c r="O47" s="517"/>
      <c r="P47" s="494"/>
      <c r="Q47" s="511" t="s">
        <v>1478</v>
      </c>
      <c r="R47" s="494"/>
      <c r="S47" s="494"/>
      <c r="T47" s="494"/>
      <c r="U47" s="494"/>
      <c r="V47" s="517"/>
      <c r="W47" s="494"/>
      <c r="X47" s="511" t="s">
        <v>1479</v>
      </c>
      <c r="Y47" s="494"/>
      <c r="Z47" s="494"/>
      <c r="AA47" s="494"/>
      <c r="AB47" s="494"/>
      <c r="AC47" s="517"/>
      <c r="AD47" s="494"/>
      <c r="AE47" s="511" t="s">
        <v>394</v>
      </c>
      <c r="AF47" s="494"/>
      <c r="AG47" s="494"/>
      <c r="AH47" s="494"/>
      <c r="AI47" s="494"/>
      <c r="AJ47" s="517"/>
      <c r="AK47" s="494"/>
      <c r="AL47" s="494"/>
      <c r="AM47" s="494" t="s">
        <v>1480</v>
      </c>
      <c r="AN47" s="494"/>
      <c r="AO47" s="494"/>
      <c r="AP47" s="494"/>
      <c r="AQ47" s="494"/>
      <c r="AR47" s="526"/>
    </row>
    <row r="48" spans="1:44" s="502" customFormat="1">
      <c r="A48" s="511" t="s">
        <v>1481</v>
      </c>
      <c r="B48" s="494"/>
      <c r="C48" s="494"/>
      <c r="D48" s="494"/>
      <c r="E48" s="494"/>
      <c r="F48" s="494"/>
      <c r="G48" s="494"/>
      <c r="H48" s="517"/>
      <c r="I48" s="494"/>
      <c r="J48" s="511" t="s">
        <v>1482</v>
      </c>
      <c r="K48" s="494"/>
      <c r="L48" s="494"/>
      <c r="M48" s="494"/>
      <c r="N48" s="494"/>
      <c r="O48" s="518"/>
      <c r="P48" s="494"/>
      <c r="Q48" s="511" t="s">
        <v>1482</v>
      </c>
      <c r="R48" s="494"/>
      <c r="S48" s="494"/>
      <c r="T48" s="494"/>
      <c r="U48" s="494"/>
      <c r="V48" s="518"/>
      <c r="W48" s="494"/>
      <c r="X48" s="511" t="s">
        <v>1483</v>
      </c>
      <c r="Y48" s="494"/>
      <c r="Z48" s="494"/>
      <c r="AA48" s="494"/>
      <c r="AB48" s="494"/>
      <c r="AC48" s="517"/>
      <c r="AD48" s="494"/>
      <c r="AE48" s="511" t="s">
        <v>555</v>
      </c>
      <c r="AF48" s="494"/>
      <c r="AG48" s="494"/>
      <c r="AH48" s="494"/>
      <c r="AI48" s="494"/>
      <c r="AJ48" s="517"/>
      <c r="AK48" s="494" t="s">
        <v>1484</v>
      </c>
      <c r="AL48" s="494"/>
      <c r="AM48" s="494"/>
      <c r="AN48" s="517"/>
      <c r="AO48" s="494" t="s">
        <v>394</v>
      </c>
      <c r="AP48" s="494"/>
      <c r="AQ48" s="494"/>
      <c r="AR48" s="517"/>
    </row>
    <row r="49" spans="1:44" s="502" customFormat="1">
      <c r="A49" s="515" t="s">
        <v>1485</v>
      </c>
      <c r="B49" s="488"/>
      <c r="C49" s="488"/>
      <c r="D49" s="488"/>
      <c r="E49" s="488"/>
      <c r="F49" s="488"/>
      <c r="G49" s="488"/>
      <c r="H49" s="517"/>
      <c r="I49" s="488"/>
      <c r="J49" s="515" t="s">
        <v>1486</v>
      </c>
      <c r="K49" s="488"/>
      <c r="L49" s="488"/>
      <c r="M49" s="488"/>
      <c r="N49" s="488"/>
      <c r="O49" s="517"/>
      <c r="P49" s="488"/>
      <c r="Q49" s="515" t="s">
        <v>1486</v>
      </c>
      <c r="R49" s="488"/>
      <c r="S49" s="488"/>
      <c r="T49" s="488"/>
      <c r="U49" s="486"/>
      <c r="V49" s="517"/>
      <c r="W49" s="488"/>
      <c r="X49" s="515"/>
      <c r="Y49" s="488"/>
      <c r="Z49" s="488"/>
      <c r="AA49" s="488"/>
      <c r="AB49" s="488"/>
      <c r="AC49" s="488"/>
      <c r="AD49" s="488"/>
      <c r="AE49" s="515"/>
      <c r="AF49" s="488"/>
      <c r="AG49" s="488"/>
      <c r="AH49" s="488"/>
      <c r="AI49" s="488"/>
      <c r="AJ49" s="488"/>
      <c r="AK49" s="488" t="s">
        <v>1487</v>
      </c>
      <c r="AL49" s="488"/>
      <c r="AM49" s="488"/>
      <c r="AN49" s="517"/>
      <c r="AO49" s="488" t="s">
        <v>355</v>
      </c>
      <c r="AP49" s="488"/>
      <c r="AQ49" s="488"/>
      <c r="AR49" s="518"/>
    </row>
    <row r="50" spans="1:44" s="502" customFormat="1" ht="5.0999999999999996" customHeight="1">
      <c r="A50" s="494"/>
      <c r="B50" s="494"/>
      <c r="C50" s="494"/>
      <c r="D50" s="494"/>
      <c r="E50" s="494"/>
      <c r="F50" s="494"/>
      <c r="G50" s="494"/>
      <c r="H50" s="494"/>
      <c r="I50" s="494"/>
      <c r="J50" s="494"/>
      <c r="K50" s="494"/>
      <c r="L50" s="494"/>
      <c r="M50" s="494"/>
      <c r="N50" s="494"/>
      <c r="O50" s="494"/>
      <c r="P50" s="494"/>
      <c r="Q50" s="494"/>
      <c r="R50" s="494"/>
      <c r="S50" s="494"/>
      <c r="T50" s="494"/>
      <c r="U50" s="494"/>
      <c r="V50" s="494"/>
      <c r="W50" s="494"/>
      <c r="X50" s="494"/>
      <c r="Y50" s="494"/>
      <c r="Z50" s="494"/>
      <c r="AA50" s="494"/>
      <c r="AB50" s="494"/>
      <c r="AC50" s="494"/>
      <c r="AD50" s="494"/>
      <c r="AE50" s="494"/>
      <c r="AF50" s="494"/>
      <c r="AG50" s="494"/>
      <c r="AH50" s="494"/>
      <c r="AI50" s="494"/>
      <c r="AJ50" s="494"/>
      <c r="AK50" s="494"/>
      <c r="AL50" s="494"/>
      <c r="AM50" s="494"/>
      <c r="AN50" s="494"/>
      <c r="AO50" s="494"/>
      <c r="AP50" s="494"/>
      <c r="AQ50" s="494"/>
      <c r="AR50" s="494"/>
    </row>
    <row r="51" spans="1:44" s="502" customFormat="1">
      <c r="A51" s="500" t="s">
        <v>835</v>
      </c>
      <c r="B51" s="494"/>
      <c r="C51" s="494"/>
      <c r="D51" s="494"/>
      <c r="E51" s="494"/>
      <c r="F51" s="494"/>
      <c r="G51" s="494"/>
      <c r="H51" s="494"/>
      <c r="I51" s="494"/>
      <c r="J51" s="494"/>
      <c r="K51" s="494"/>
      <c r="L51" s="494"/>
      <c r="M51" s="494"/>
      <c r="N51" s="494"/>
      <c r="O51" s="494"/>
      <c r="P51" s="494"/>
      <c r="Q51" s="494"/>
      <c r="R51" s="494"/>
      <c r="S51" s="494"/>
      <c r="T51" s="494"/>
      <c r="U51" s="494"/>
      <c r="V51" s="494"/>
      <c r="W51" s="494"/>
      <c r="X51" s="494"/>
      <c r="Y51" s="494"/>
      <c r="Z51" s="494"/>
      <c r="AA51" s="494"/>
      <c r="AB51" s="494"/>
      <c r="AC51" s="494"/>
      <c r="AD51" s="494"/>
      <c r="AE51" s="494"/>
      <c r="AF51" s="494"/>
      <c r="AG51" s="494"/>
      <c r="AH51" s="494"/>
      <c r="AI51" s="494"/>
      <c r="AJ51" s="494"/>
      <c r="AK51" s="494"/>
      <c r="AL51" s="494"/>
      <c r="AM51" s="494"/>
      <c r="AN51" s="494"/>
      <c r="AO51" s="494"/>
      <c r="AP51" s="494"/>
      <c r="AQ51" s="494"/>
      <c r="AR51" s="494"/>
    </row>
    <row r="52" spans="1:44" s="502" customFormat="1" ht="5.0999999999999996" hidden="1" customHeight="1">
      <c r="A52" s="500"/>
      <c r="B52" s="494"/>
      <c r="C52" s="494"/>
      <c r="D52" s="494"/>
      <c r="E52" s="494"/>
      <c r="F52" s="494"/>
      <c r="G52" s="494"/>
      <c r="H52" s="494"/>
      <c r="I52" s="494"/>
      <c r="J52" s="494"/>
      <c r="K52" s="494"/>
      <c r="L52" s="494"/>
      <c r="M52" s="494"/>
      <c r="N52" s="494"/>
      <c r="O52" s="494"/>
      <c r="P52" s="494"/>
      <c r="Q52" s="494"/>
      <c r="R52" s="494"/>
      <c r="S52" s="494"/>
      <c r="T52" s="494"/>
      <c r="U52" s="494"/>
      <c r="V52" s="494"/>
      <c r="W52" s="494"/>
      <c r="X52" s="494"/>
      <c r="Y52" s="494"/>
      <c r="Z52" s="494"/>
      <c r="AA52" s="494"/>
      <c r="AB52" s="494"/>
      <c r="AC52" s="494"/>
      <c r="AD52" s="494"/>
      <c r="AE52" s="494"/>
      <c r="AF52" s="494"/>
      <c r="AG52" s="494"/>
      <c r="AH52" s="494"/>
      <c r="AI52" s="494"/>
      <c r="AJ52" s="494"/>
      <c r="AK52" s="494"/>
      <c r="AL52" s="494"/>
      <c r="AM52" s="494"/>
      <c r="AN52" s="494"/>
      <c r="AO52" s="494"/>
      <c r="AP52" s="494"/>
      <c r="AQ52" s="494"/>
      <c r="AR52" s="494"/>
    </row>
    <row r="53" spans="1:44" s="502" customFormat="1" ht="5.0999999999999996" customHeight="1">
      <c r="A53" s="494"/>
      <c r="B53" s="494"/>
      <c r="C53" s="494"/>
      <c r="D53" s="494"/>
      <c r="E53" s="494"/>
      <c r="F53" s="494"/>
      <c r="G53" s="494"/>
      <c r="H53" s="494"/>
      <c r="I53" s="494"/>
      <c r="J53" s="494"/>
      <c r="K53" s="494"/>
      <c r="L53" s="494"/>
      <c r="M53" s="494"/>
      <c r="N53" s="494"/>
      <c r="O53" s="494"/>
      <c r="P53" s="494"/>
      <c r="Q53" s="494"/>
      <c r="R53" s="494"/>
      <c r="S53" s="494"/>
      <c r="T53" s="494"/>
      <c r="U53" s="494"/>
      <c r="V53" s="494"/>
      <c r="W53" s="494"/>
      <c r="X53" s="494"/>
      <c r="Y53" s="494"/>
      <c r="Z53" s="494"/>
      <c r="AA53" s="494"/>
      <c r="AB53" s="494"/>
      <c r="AC53" s="494"/>
      <c r="AD53" s="494"/>
      <c r="AE53" s="494"/>
      <c r="AF53" s="494"/>
      <c r="AG53" s="494"/>
      <c r="AH53" s="494"/>
      <c r="AI53" s="494"/>
      <c r="AJ53" s="494"/>
      <c r="AK53" s="494"/>
      <c r="AL53" s="494"/>
      <c r="AM53" s="494"/>
      <c r="AN53" s="494"/>
      <c r="AO53" s="494"/>
      <c r="AP53" s="494"/>
      <c r="AQ53" s="494"/>
      <c r="AR53" s="494"/>
    </row>
    <row r="54" spans="1:44" s="502" customFormat="1">
      <c r="A54" s="521"/>
      <c r="B54" s="527" t="s">
        <v>307</v>
      </c>
      <c r="C54" s="527"/>
      <c r="D54" s="521"/>
      <c r="E54" s="521" t="s">
        <v>1169</v>
      </c>
      <c r="F54" s="521"/>
      <c r="G54" s="521"/>
      <c r="H54" s="521"/>
      <c r="I54" s="521" t="s">
        <v>1488</v>
      </c>
      <c r="J54" s="521"/>
      <c r="K54" s="521"/>
      <c r="L54" s="521"/>
      <c r="M54" s="1052"/>
      <c r="N54" s="1053"/>
      <c r="O54" s="521" t="s">
        <v>1489</v>
      </c>
      <c r="P54" s="521"/>
      <c r="Q54" s="521"/>
      <c r="R54" s="1052"/>
      <c r="S54" s="1053"/>
      <c r="T54" s="521" t="s">
        <v>1490</v>
      </c>
      <c r="U54" s="521"/>
      <c r="V54" s="521"/>
      <c r="W54" s="521"/>
      <c r="X54" s="1052"/>
      <c r="Y54" s="1053"/>
      <c r="Z54" s="494"/>
      <c r="AA54" s="494"/>
      <c r="AB54" s="528" t="s">
        <v>308</v>
      </c>
      <c r="AC54" s="521"/>
      <c r="AD54" s="521"/>
      <c r="AE54" s="521"/>
      <c r="AF54" s="521"/>
      <c r="AG54" s="521"/>
      <c r="AH54" s="521" t="s">
        <v>412</v>
      </c>
      <c r="AI54" s="521"/>
      <c r="AJ54" s="521"/>
      <c r="AK54" s="518"/>
      <c r="AL54" s="521" t="s">
        <v>464</v>
      </c>
      <c r="AM54" s="521"/>
      <c r="AN54" s="521"/>
      <c r="AO54" s="517"/>
      <c r="AP54" s="521"/>
      <c r="AQ54" s="521"/>
      <c r="AR54" s="525"/>
    </row>
    <row r="55" spans="1:44" s="502" customFormat="1">
      <c r="A55" s="488"/>
      <c r="B55" s="488"/>
      <c r="C55" s="488"/>
      <c r="D55" s="488"/>
      <c r="E55" s="488" t="s">
        <v>1126</v>
      </c>
      <c r="F55" s="488"/>
      <c r="G55" s="488"/>
      <c r="H55" s="488"/>
      <c r="I55" s="488" t="s">
        <v>1491</v>
      </c>
      <c r="J55" s="488"/>
      <c r="K55" s="488"/>
      <c r="L55" s="488"/>
      <c r="M55" s="1052"/>
      <c r="N55" s="1053"/>
      <c r="O55" s="488" t="s">
        <v>1492</v>
      </c>
      <c r="P55" s="488"/>
      <c r="Q55" s="488"/>
      <c r="R55" s="1052"/>
      <c r="S55" s="1053"/>
      <c r="T55" s="488" t="s">
        <v>1493</v>
      </c>
      <c r="U55" s="488"/>
      <c r="V55" s="488"/>
      <c r="W55" s="518"/>
      <c r="X55" s="1052"/>
      <c r="Y55" s="1053"/>
      <c r="Z55" s="511"/>
      <c r="AA55" s="494"/>
      <c r="AB55" s="515"/>
      <c r="AC55" s="488"/>
      <c r="AD55" s="488"/>
      <c r="AE55" s="488"/>
      <c r="AF55" s="488"/>
      <c r="AG55" s="488"/>
      <c r="AH55" s="488" t="s">
        <v>410</v>
      </c>
      <c r="AI55" s="488"/>
      <c r="AJ55" s="488"/>
      <c r="AK55" s="518"/>
      <c r="AL55" s="488" t="s">
        <v>11</v>
      </c>
      <c r="AM55" s="488"/>
      <c r="AN55" s="488"/>
      <c r="AO55" s="518"/>
      <c r="AP55" s="488"/>
      <c r="AQ55" s="488"/>
      <c r="AR55" s="516"/>
    </row>
    <row r="56" spans="1:44" s="502" customFormat="1" ht="5.0999999999999996" customHeight="1">
      <c r="A56" s="494"/>
      <c r="B56" s="494"/>
      <c r="C56" s="494"/>
      <c r="D56" s="494"/>
      <c r="E56" s="494"/>
      <c r="F56" s="494"/>
      <c r="G56" s="494"/>
      <c r="H56" s="494"/>
      <c r="I56" s="494"/>
      <c r="J56" s="494"/>
      <c r="K56" s="494"/>
      <c r="L56" s="494"/>
      <c r="M56" s="494"/>
      <c r="N56" s="494"/>
      <c r="O56" s="494"/>
      <c r="P56" s="494"/>
      <c r="Q56" s="494"/>
      <c r="R56" s="494"/>
      <c r="S56" s="494"/>
      <c r="T56" s="494"/>
      <c r="U56" s="494"/>
      <c r="V56" s="494"/>
      <c r="W56" s="494"/>
      <c r="X56" s="494"/>
      <c r="Y56" s="494"/>
      <c r="Z56" s="494"/>
      <c r="AA56" s="494"/>
      <c r="AB56" s="494"/>
      <c r="AC56" s="494"/>
      <c r="AD56" s="494"/>
      <c r="AE56" s="494"/>
      <c r="AF56" s="494"/>
      <c r="AG56" s="494"/>
      <c r="AH56" s="494"/>
      <c r="AI56" s="494"/>
      <c r="AJ56" s="494"/>
      <c r="AK56" s="494"/>
      <c r="AL56" s="494"/>
      <c r="AM56" s="494"/>
      <c r="AN56" s="494"/>
      <c r="AO56" s="494"/>
      <c r="AP56" s="494"/>
      <c r="AQ56" s="494"/>
      <c r="AR56" s="494"/>
    </row>
    <row r="57" spans="1:44" s="502" customFormat="1" ht="5.25" hidden="1" customHeight="1">
      <c r="A57" s="494"/>
      <c r="B57" s="494"/>
      <c r="C57" s="494"/>
      <c r="D57" s="494"/>
      <c r="E57" s="494"/>
      <c r="F57" s="494"/>
      <c r="G57" s="494"/>
      <c r="H57" s="494"/>
      <c r="I57" s="494"/>
      <c r="J57" s="494"/>
      <c r="K57" s="494"/>
      <c r="L57" s="494"/>
      <c r="M57" s="494"/>
      <c r="N57" s="494"/>
      <c r="O57" s="494"/>
      <c r="P57" s="494"/>
      <c r="Q57" s="494"/>
      <c r="R57" s="494"/>
      <c r="S57" s="494"/>
      <c r="T57" s="494"/>
      <c r="U57" s="494"/>
      <c r="V57" s="494"/>
      <c r="W57" s="494"/>
      <c r="X57" s="494"/>
      <c r="Y57" s="494"/>
      <c r="Z57" s="494"/>
      <c r="AA57" s="494"/>
      <c r="AB57" s="494"/>
      <c r="AC57" s="494"/>
      <c r="AD57" s="494"/>
      <c r="AE57" s="494"/>
      <c r="AF57" s="494"/>
      <c r="AG57" s="494"/>
      <c r="AH57" s="494"/>
      <c r="AI57" s="494"/>
      <c r="AJ57" s="494"/>
      <c r="AK57" s="494"/>
      <c r="AL57" s="494"/>
      <c r="AM57" s="494"/>
      <c r="AN57" s="494"/>
      <c r="AO57" s="494"/>
      <c r="AP57" s="494"/>
      <c r="AQ57" s="494"/>
      <c r="AR57" s="494"/>
    </row>
    <row r="58" spans="1:44" s="502" customFormat="1">
      <c r="A58" s="528" t="s">
        <v>310</v>
      </c>
      <c r="B58" s="521"/>
      <c r="C58" s="521"/>
      <c r="D58" s="521"/>
      <c r="E58" s="521"/>
      <c r="F58" s="521"/>
      <c r="G58" s="521"/>
      <c r="H58" s="521"/>
      <c r="I58" s="521"/>
      <c r="J58" s="521"/>
      <c r="K58" s="521"/>
      <c r="L58" s="521"/>
      <c r="M58" s="521"/>
      <c r="N58" s="521"/>
      <c r="O58" s="521"/>
      <c r="P58" s="521"/>
      <c r="Q58" s="521"/>
      <c r="R58" s="521"/>
      <c r="S58" s="521"/>
      <c r="T58" s="521"/>
      <c r="U58" s="521"/>
      <c r="V58" s="521"/>
      <c r="W58" s="521"/>
      <c r="X58" s="521"/>
      <c r="Y58" s="525"/>
      <c r="Z58" s="494"/>
      <c r="AA58" s="494"/>
      <c r="AB58" s="528" t="s">
        <v>1494</v>
      </c>
      <c r="AC58" s="521"/>
      <c r="AD58" s="521"/>
      <c r="AE58" s="521"/>
      <c r="AF58" s="521"/>
      <c r="AG58" s="521"/>
      <c r="AH58" s="521"/>
      <c r="AI58" s="521"/>
      <c r="AJ58" s="521"/>
      <c r="AK58" s="521"/>
      <c r="AL58" s="521"/>
      <c r="AM58" s="521"/>
      <c r="AN58" s="521"/>
      <c r="AO58" s="521"/>
      <c r="AP58" s="521"/>
      <c r="AQ58" s="521"/>
      <c r="AR58" s="525"/>
    </row>
    <row r="59" spans="1:44" s="502" customFormat="1" ht="15" customHeight="1">
      <c r="A59" s="515" t="s">
        <v>1495</v>
      </c>
      <c r="B59" s="488"/>
      <c r="C59" s="488"/>
      <c r="D59" s="488"/>
      <c r="E59" s="1052"/>
      <c r="F59" s="1053"/>
      <c r="G59" s="488"/>
      <c r="H59" s="488"/>
      <c r="I59" s="488"/>
      <c r="J59" s="488" t="s">
        <v>1496</v>
      </c>
      <c r="K59" s="488"/>
      <c r="L59" s="488"/>
      <c r="M59" s="488"/>
      <c r="N59" s="488"/>
      <c r="O59" s="1052"/>
      <c r="P59" s="1053"/>
      <c r="Q59" s="488"/>
      <c r="R59" s="488"/>
      <c r="S59" s="488"/>
      <c r="T59" s="488"/>
      <c r="U59" s="488"/>
      <c r="V59" s="488"/>
      <c r="W59" s="488"/>
      <c r="X59" s="488"/>
      <c r="Y59" s="516"/>
      <c r="Z59" s="494"/>
      <c r="AA59" s="494"/>
      <c r="AB59" s="515"/>
      <c r="AC59" s="488"/>
      <c r="AD59" s="488"/>
      <c r="AE59" s="488"/>
      <c r="AF59" s="529" t="s">
        <v>1497</v>
      </c>
      <c r="AG59" s="488"/>
      <c r="AH59" s="1052"/>
      <c r="AI59" s="1053"/>
      <c r="AJ59" s="488"/>
      <c r="AK59" s="529" t="s">
        <v>1498</v>
      </c>
      <c r="AL59" s="488"/>
      <c r="AM59" s="517"/>
      <c r="AN59" s="488"/>
      <c r="AO59" s="488"/>
      <c r="AP59" s="488"/>
      <c r="AQ59" s="488"/>
      <c r="AR59" s="516"/>
    </row>
    <row r="60" spans="1:44" s="502" customFormat="1" ht="5.0999999999999996" customHeight="1">
      <c r="A60" s="494"/>
      <c r="B60" s="494"/>
      <c r="C60" s="494"/>
      <c r="D60" s="494"/>
      <c r="E60" s="494"/>
      <c r="F60" s="494"/>
      <c r="G60" s="494"/>
      <c r="H60" s="494"/>
      <c r="I60" s="494"/>
      <c r="J60" s="494"/>
      <c r="K60" s="494"/>
      <c r="L60" s="494"/>
      <c r="M60" s="494"/>
      <c r="N60" s="494"/>
      <c r="O60" s="494"/>
      <c r="P60" s="494"/>
      <c r="Q60" s="494"/>
      <c r="R60" s="494"/>
      <c r="S60" s="494"/>
      <c r="T60" s="494"/>
      <c r="U60" s="494"/>
      <c r="V60" s="494"/>
      <c r="W60" s="494"/>
      <c r="X60" s="494"/>
      <c r="Y60" s="494"/>
      <c r="Z60" s="494"/>
      <c r="AA60" s="494"/>
      <c r="AB60" s="494"/>
      <c r="AC60" s="494"/>
      <c r="AD60" s="494"/>
      <c r="AE60" s="494"/>
      <c r="AF60" s="494"/>
      <c r="AG60" s="494"/>
      <c r="AH60" s="494"/>
      <c r="AI60" s="494"/>
      <c r="AJ60" s="494"/>
      <c r="AK60" s="494"/>
      <c r="AL60" s="494"/>
      <c r="AM60" s="494"/>
      <c r="AN60" s="494"/>
      <c r="AO60" s="494"/>
      <c r="AP60" s="494"/>
      <c r="AQ60" s="494"/>
      <c r="AR60" s="494"/>
    </row>
    <row r="61" spans="1:44" s="502" customFormat="1">
      <c r="A61" s="530" t="s">
        <v>313</v>
      </c>
      <c r="B61" s="494"/>
      <c r="C61" s="494"/>
      <c r="D61" s="494"/>
      <c r="E61" s="494"/>
      <c r="F61" s="494"/>
      <c r="G61" s="494"/>
      <c r="H61" s="494"/>
      <c r="I61" s="494"/>
      <c r="J61" s="494"/>
      <c r="K61" s="494"/>
      <c r="L61" s="494"/>
      <c r="M61" s="494"/>
      <c r="N61" s="494"/>
      <c r="O61" s="494"/>
      <c r="P61" s="494"/>
      <c r="Q61" s="494"/>
      <c r="R61" s="494"/>
      <c r="S61" s="494"/>
      <c r="T61" s="494"/>
      <c r="U61" s="494"/>
      <c r="V61" s="494"/>
      <c r="W61" s="494"/>
      <c r="X61" s="494"/>
      <c r="Y61" s="494"/>
      <c r="Z61" s="494"/>
      <c r="AA61" s="494"/>
      <c r="AB61" s="494"/>
      <c r="AC61" s="494"/>
      <c r="AD61" s="494"/>
      <c r="AE61" s="494"/>
      <c r="AF61" s="494"/>
      <c r="AG61" s="494"/>
      <c r="AH61" s="494"/>
      <c r="AI61" s="494"/>
      <c r="AJ61" s="494"/>
      <c r="AK61" s="494"/>
      <c r="AL61" s="494"/>
      <c r="AM61" s="494"/>
      <c r="AN61" s="494"/>
      <c r="AO61" s="494"/>
      <c r="AP61" s="494"/>
      <c r="AQ61" s="494"/>
      <c r="AR61" s="526"/>
    </row>
    <row r="62" spans="1:44" s="502" customFormat="1">
      <c r="A62" s="511"/>
      <c r="B62" s="1093" t="s">
        <v>1499</v>
      </c>
      <c r="C62" s="1094"/>
      <c r="D62" s="1094"/>
      <c r="E62" s="1094"/>
      <c r="F62" s="1094"/>
      <c r="G62" s="1095"/>
      <c r="H62" s="1074" t="s">
        <v>1500</v>
      </c>
      <c r="I62" s="1074"/>
      <c r="J62" s="1074"/>
      <c r="K62" s="1074"/>
      <c r="L62" s="1074"/>
      <c r="M62" s="1074" t="s">
        <v>661</v>
      </c>
      <c r="N62" s="1074"/>
      <c r="O62" s="1074"/>
      <c r="P62" s="1074"/>
      <c r="Q62" s="1074"/>
      <c r="R62" s="1074" t="s">
        <v>1501</v>
      </c>
      <c r="S62" s="1074"/>
      <c r="T62" s="1074"/>
      <c r="U62" s="1074"/>
      <c r="V62" s="1074"/>
      <c r="W62" s="1052" t="s">
        <v>1502</v>
      </c>
      <c r="X62" s="1073"/>
      <c r="Y62" s="1073"/>
      <c r="Z62" s="1073"/>
      <c r="AA62" s="1073"/>
      <c r="AB62" s="1052" t="s">
        <v>557</v>
      </c>
      <c r="AC62" s="1073"/>
      <c r="AD62" s="1073"/>
      <c r="AE62" s="1073"/>
      <c r="AF62" s="1073"/>
      <c r="AG62" s="1053"/>
      <c r="AH62" s="1052" t="s">
        <v>492</v>
      </c>
      <c r="AI62" s="1073"/>
      <c r="AJ62" s="1073"/>
      <c r="AK62" s="1073"/>
      <c r="AL62" s="1073"/>
      <c r="AM62" s="1053"/>
      <c r="AP62" s="494"/>
      <c r="AQ62" s="494"/>
      <c r="AR62" s="526"/>
    </row>
    <row r="63" spans="1:44" s="502" customFormat="1">
      <c r="A63" s="511"/>
      <c r="B63" s="1093" t="s">
        <v>1460</v>
      </c>
      <c r="C63" s="1094"/>
      <c r="D63" s="1094"/>
      <c r="E63" s="1094"/>
      <c r="F63" s="1094"/>
      <c r="G63" s="1095"/>
      <c r="H63" s="1052"/>
      <c r="I63" s="1073"/>
      <c r="J63" s="1073"/>
      <c r="K63" s="1073"/>
      <c r="L63" s="1053"/>
      <c r="M63" s="1052"/>
      <c r="N63" s="1073"/>
      <c r="O63" s="1073"/>
      <c r="P63" s="1073"/>
      <c r="Q63" s="1053"/>
      <c r="R63" s="1052"/>
      <c r="S63" s="1073"/>
      <c r="T63" s="1073"/>
      <c r="U63" s="1073"/>
      <c r="V63" s="1053"/>
      <c r="W63" s="1052"/>
      <c r="X63" s="1073"/>
      <c r="Y63" s="1073"/>
      <c r="Z63" s="1073"/>
      <c r="AA63" s="1053"/>
      <c r="AB63" s="1052"/>
      <c r="AC63" s="1073"/>
      <c r="AD63" s="1073"/>
      <c r="AE63" s="1073"/>
      <c r="AF63" s="1073"/>
      <c r="AG63" s="1053"/>
      <c r="AH63" s="1052"/>
      <c r="AI63" s="1073"/>
      <c r="AJ63" s="1073"/>
      <c r="AK63" s="1073"/>
      <c r="AL63" s="1073"/>
      <c r="AM63" s="1053"/>
      <c r="AP63" s="494"/>
      <c r="AQ63" s="494"/>
      <c r="AR63" s="526"/>
    </row>
    <row r="64" spans="1:44" s="502" customFormat="1">
      <c r="A64" s="511"/>
      <c r="B64" s="1093" t="s">
        <v>112</v>
      </c>
      <c r="C64" s="1094"/>
      <c r="D64" s="1094"/>
      <c r="E64" s="1094"/>
      <c r="F64" s="1094"/>
      <c r="G64" s="1095"/>
      <c r="H64" s="1052"/>
      <c r="I64" s="1073"/>
      <c r="J64" s="1073"/>
      <c r="K64" s="1073"/>
      <c r="L64" s="1053"/>
      <c r="M64" s="1052"/>
      <c r="N64" s="1073"/>
      <c r="O64" s="1073"/>
      <c r="P64" s="1073"/>
      <c r="Q64" s="1053"/>
      <c r="R64" s="1052"/>
      <c r="S64" s="1073"/>
      <c r="T64" s="1073"/>
      <c r="U64" s="1073"/>
      <c r="V64" s="1053"/>
      <c r="W64" s="1052"/>
      <c r="X64" s="1073"/>
      <c r="Y64" s="1073"/>
      <c r="Z64" s="1073"/>
      <c r="AA64" s="1053"/>
      <c r="AB64" s="1052"/>
      <c r="AC64" s="1073"/>
      <c r="AD64" s="1073"/>
      <c r="AE64" s="1073"/>
      <c r="AF64" s="1073"/>
      <c r="AG64" s="1053"/>
      <c r="AH64" s="1052"/>
      <c r="AI64" s="1073"/>
      <c r="AJ64" s="1073"/>
      <c r="AK64" s="1073"/>
      <c r="AL64" s="1073"/>
      <c r="AM64" s="1053"/>
      <c r="AP64" s="494"/>
      <c r="AQ64" s="494"/>
      <c r="AR64" s="526"/>
    </row>
    <row r="65" spans="1:44" s="502" customFormat="1">
      <c r="A65" s="511"/>
      <c r="B65" s="1093" t="s">
        <v>629</v>
      </c>
      <c r="C65" s="1094"/>
      <c r="D65" s="1094"/>
      <c r="E65" s="1094"/>
      <c r="F65" s="1094"/>
      <c r="G65" s="1095"/>
      <c r="H65" s="1052"/>
      <c r="I65" s="1073"/>
      <c r="J65" s="1073"/>
      <c r="K65" s="1073"/>
      <c r="L65" s="1053"/>
      <c r="M65" s="1052"/>
      <c r="N65" s="1073"/>
      <c r="O65" s="1073"/>
      <c r="P65" s="1073"/>
      <c r="Q65" s="1053"/>
      <c r="R65" s="1052"/>
      <c r="S65" s="1073"/>
      <c r="T65" s="1073"/>
      <c r="U65" s="1073"/>
      <c r="V65" s="1053"/>
      <c r="W65" s="1052"/>
      <c r="X65" s="1073"/>
      <c r="Y65" s="1073"/>
      <c r="Z65" s="1073"/>
      <c r="AA65" s="1053"/>
      <c r="AB65" s="1052"/>
      <c r="AC65" s="1073"/>
      <c r="AD65" s="1073"/>
      <c r="AE65" s="1073"/>
      <c r="AF65" s="1073"/>
      <c r="AG65" s="1053"/>
      <c r="AH65" s="1052"/>
      <c r="AI65" s="1073"/>
      <c r="AJ65" s="1073"/>
      <c r="AK65" s="1073"/>
      <c r="AL65" s="1073"/>
      <c r="AM65" s="1053"/>
      <c r="AP65" s="494"/>
      <c r="AQ65" s="494"/>
      <c r="AR65" s="526"/>
    </row>
    <row r="66" spans="1:44" ht="5.0999999999999996" customHeight="1"/>
    <row r="67" spans="1:44">
      <c r="A67" s="1076" t="s">
        <v>1503</v>
      </c>
      <c r="B67" s="1077"/>
      <c r="C67" s="1077"/>
      <c r="D67" s="1077"/>
      <c r="E67" s="1077"/>
      <c r="F67" s="1077"/>
      <c r="G67" s="1077"/>
      <c r="H67" s="1077"/>
      <c r="I67" s="1077"/>
      <c r="J67" s="1077"/>
      <c r="K67" s="1077"/>
      <c r="L67" s="1077"/>
      <c r="M67" s="1077"/>
      <c r="N67" s="1077"/>
      <c r="O67" s="1077"/>
      <c r="P67" s="1077"/>
      <c r="Q67" s="1077"/>
      <c r="R67" s="1077"/>
      <c r="S67" s="1077"/>
      <c r="T67" s="1077"/>
      <c r="U67" s="1077"/>
      <c r="V67" s="1077"/>
      <c r="W67" s="1077"/>
      <c r="X67" s="1077"/>
      <c r="Y67" s="1077"/>
      <c r="Z67" s="1077"/>
      <c r="AA67" s="1077"/>
      <c r="AB67" s="1077"/>
      <c r="AC67" s="1077"/>
      <c r="AD67" s="1077"/>
      <c r="AE67" s="1077"/>
      <c r="AF67" s="1077"/>
      <c r="AG67" s="1077"/>
      <c r="AH67" s="1077"/>
      <c r="AI67" s="1077"/>
      <c r="AJ67" s="1077"/>
      <c r="AK67" s="1077"/>
      <c r="AL67" s="1077"/>
      <c r="AM67" s="1077"/>
      <c r="AN67" s="1077"/>
      <c r="AO67" s="1077"/>
      <c r="AP67" s="1077"/>
      <c r="AQ67" s="1077"/>
      <c r="AR67" s="1078"/>
    </row>
    <row r="68" spans="1:44" ht="5.0999999999999996" customHeight="1" thickBot="1"/>
    <row r="69" spans="1:44">
      <c r="A69" s="531" t="s">
        <v>1449</v>
      </c>
      <c r="B69" s="1096" t="s">
        <v>321</v>
      </c>
      <c r="C69" s="1096"/>
      <c r="D69" s="1096"/>
      <c r="E69" s="1096"/>
      <c r="F69" s="1096"/>
      <c r="G69" s="1096"/>
      <c r="H69" s="1096"/>
      <c r="I69" s="1096"/>
      <c r="J69" s="1096"/>
      <c r="K69" s="1096"/>
      <c r="L69" s="1096"/>
      <c r="M69" s="1096"/>
      <c r="N69" s="1096"/>
      <c r="O69" s="1096"/>
      <c r="P69" s="1096" t="s">
        <v>1504</v>
      </c>
      <c r="Q69" s="1096"/>
      <c r="R69" s="1096"/>
      <c r="S69" s="1096"/>
      <c r="T69" s="1096"/>
      <c r="U69" s="1096" t="s">
        <v>1505</v>
      </c>
      <c r="V69" s="1096"/>
      <c r="W69" s="1096"/>
      <c r="X69" s="1096"/>
      <c r="Y69" s="1096"/>
      <c r="Z69" s="1096" t="s">
        <v>1506</v>
      </c>
      <c r="AA69" s="1096"/>
      <c r="AB69" s="1096"/>
      <c r="AC69" s="1096"/>
      <c r="AD69" s="1096"/>
      <c r="AE69" s="1096"/>
      <c r="AF69" s="1096"/>
      <c r="AG69" s="1096"/>
      <c r="AH69" s="1096" t="s">
        <v>1507</v>
      </c>
      <c r="AI69" s="1096"/>
      <c r="AJ69" s="1096"/>
      <c r="AK69" s="1096"/>
      <c r="AL69" s="1096"/>
      <c r="AM69" s="1096"/>
      <c r="AN69" s="1096"/>
      <c r="AO69" s="1096"/>
      <c r="AP69" s="1096"/>
      <c r="AQ69" s="1096"/>
      <c r="AR69" s="1097"/>
    </row>
    <row r="70" spans="1:44" ht="54.75" customHeight="1">
      <c r="A70" s="532">
        <v>1</v>
      </c>
      <c r="B70" s="1098" t="str">
        <f>+'EST. MERCADO TERRENOS'!B22</f>
        <v>Área Construida: 156.00/m2
Valor de venta total = US$ 640,000.00
Para determinar el valor de terreno se ha descontado el valor de la construcción = US$ 60,000.00</v>
      </c>
      <c r="C70" s="1099"/>
      <c r="D70" s="1099"/>
      <c r="E70" s="1099"/>
      <c r="F70" s="1099"/>
      <c r="G70" s="1099"/>
      <c r="H70" s="1099"/>
      <c r="I70" s="1099"/>
      <c r="J70" s="1099"/>
      <c r="K70" s="1099"/>
      <c r="L70" s="1099"/>
      <c r="M70" s="1099"/>
      <c r="N70" s="1099"/>
      <c r="O70" s="1099"/>
      <c r="P70" s="1100">
        <f>+'EST. MERCADO TERRENOS'!BA22</f>
        <v>0</v>
      </c>
      <c r="Q70" s="1087"/>
      <c r="R70" s="1087"/>
      <c r="S70" s="1087"/>
      <c r="T70" s="1087"/>
      <c r="U70" s="1100">
        <f>+'EST. MERCADO TERRENOS'!BD22</f>
        <v>0</v>
      </c>
      <c r="V70" s="1087"/>
      <c r="W70" s="1087"/>
      <c r="X70" s="1087"/>
      <c r="Y70" s="1087"/>
      <c r="Z70" s="1101" t="e">
        <f>+'EST. MERCADO TERRENOS'!BV22</f>
        <v>#DIV/0!</v>
      </c>
      <c r="AA70" s="1101"/>
      <c r="AB70" s="1101"/>
      <c r="AC70" s="1101"/>
      <c r="AD70" s="1101"/>
      <c r="AE70" s="1101"/>
      <c r="AF70" s="1101"/>
      <c r="AG70" s="1101"/>
      <c r="AH70" s="1102">
        <f>+'EST. MERCADO TERRENOS'!I22</f>
        <v>0</v>
      </c>
      <c r="AI70" s="1103"/>
      <c r="AJ70" s="1103"/>
      <c r="AK70" s="1103"/>
      <c r="AL70" s="1103"/>
      <c r="AM70" s="1103"/>
      <c r="AN70" s="1103"/>
      <c r="AO70" s="1103"/>
      <c r="AP70" s="1103"/>
      <c r="AQ70" s="1103"/>
      <c r="AR70" s="1104"/>
    </row>
    <row r="71" spans="1:44" ht="54.75" customHeight="1">
      <c r="A71" s="532">
        <v>2</v>
      </c>
      <c r="B71" s="1098">
        <f>+'EST. MERCADO TERRENOS'!B23</f>
        <v>0</v>
      </c>
      <c r="C71" s="1099"/>
      <c r="D71" s="1099"/>
      <c r="E71" s="1099"/>
      <c r="F71" s="1099"/>
      <c r="G71" s="1099"/>
      <c r="H71" s="1099"/>
      <c r="I71" s="1099"/>
      <c r="J71" s="1099"/>
      <c r="K71" s="1099"/>
      <c r="L71" s="1099"/>
      <c r="M71" s="1099"/>
      <c r="N71" s="1099"/>
      <c r="O71" s="1099"/>
      <c r="P71" s="1100">
        <f>+'EST. MERCADO TERRENOS'!BA23</f>
        <v>0</v>
      </c>
      <c r="Q71" s="1087"/>
      <c r="R71" s="1087"/>
      <c r="S71" s="1087"/>
      <c r="T71" s="1087"/>
      <c r="U71" s="1100">
        <f>+'EST. MERCADO TERRENOS'!BD23</f>
        <v>0</v>
      </c>
      <c r="V71" s="1087"/>
      <c r="W71" s="1087"/>
      <c r="X71" s="1087"/>
      <c r="Y71" s="1087"/>
      <c r="Z71" s="1101" t="e">
        <f>+'EST. MERCADO TERRENOS'!BV23</f>
        <v>#DIV/0!</v>
      </c>
      <c r="AA71" s="1101"/>
      <c r="AB71" s="1101"/>
      <c r="AC71" s="1101"/>
      <c r="AD71" s="1101"/>
      <c r="AE71" s="1101"/>
      <c r="AF71" s="1101"/>
      <c r="AG71" s="1101"/>
      <c r="AH71" s="1102">
        <f>+'EST. MERCADO TERRENOS'!I23</f>
        <v>0</v>
      </c>
      <c r="AI71" s="1103"/>
      <c r="AJ71" s="1103"/>
      <c r="AK71" s="1103"/>
      <c r="AL71" s="1103"/>
      <c r="AM71" s="1103"/>
      <c r="AN71" s="1103"/>
      <c r="AO71" s="1103"/>
      <c r="AP71" s="1103"/>
      <c r="AQ71" s="1103"/>
      <c r="AR71" s="1104"/>
    </row>
    <row r="72" spans="1:44" ht="54.75" customHeight="1">
      <c r="A72" s="532">
        <v>3</v>
      </c>
      <c r="B72" s="1098">
        <f>+'EST. MERCADO TERRENOS'!B24</f>
        <v>0</v>
      </c>
      <c r="C72" s="1099"/>
      <c r="D72" s="1099"/>
      <c r="E72" s="1099"/>
      <c r="F72" s="1099"/>
      <c r="G72" s="1099"/>
      <c r="H72" s="1099"/>
      <c r="I72" s="1099"/>
      <c r="J72" s="1099"/>
      <c r="K72" s="1099"/>
      <c r="L72" s="1099"/>
      <c r="M72" s="1099"/>
      <c r="N72" s="1099"/>
      <c r="O72" s="1099"/>
      <c r="P72" s="1100">
        <f>+'EST. MERCADO TERRENOS'!BA24</f>
        <v>0</v>
      </c>
      <c r="Q72" s="1087"/>
      <c r="R72" s="1087"/>
      <c r="S72" s="1087"/>
      <c r="T72" s="1087"/>
      <c r="U72" s="1100">
        <f>+'EST. MERCADO TERRENOS'!BD24</f>
        <v>0</v>
      </c>
      <c r="V72" s="1087"/>
      <c r="W72" s="1087"/>
      <c r="X72" s="1087"/>
      <c r="Y72" s="1087"/>
      <c r="Z72" s="1101" t="e">
        <f>+'EST. MERCADO TERRENOS'!BV24</f>
        <v>#DIV/0!</v>
      </c>
      <c r="AA72" s="1101"/>
      <c r="AB72" s="1101"/>
      <c r="AC72" s="1101"/>
      <c r="AD72" s="1101"/>
      <c r="AE72" s="1101"/>
      <c r="AF72" s="1101"/>
      <c r="AG72" s="1101"/>
      <c r="AH72" s="1102">
        <f>+'EST. MERCADO TERRENOS'!I24</f>
        <v>0</v>
      </c>
      <c r="AI72" s="1103"/>
      <c r="AJ72" s="1103"/>
      <c r="AK72" s="1103"/>
      <c r="AL72" s="1103"/>
      <c r="AM72" s="1103"/>
      <c r="AN72" s="1103"/>
      <c r="AO72" s="1103"/>
      <c r="AP72" s="1103"/>
      <c r="AQ72" s="1103"/>
      <c r="AR72" s="1104"/>
    </row>
    <row r="73" spans="1:44" ht="37.5" customHeight="1">
      <c r="A73" s="532">
        <v>4</v>
      </c>
      <c r="B73" s="1098">
        <f>+COMPARACIÓN!B20</f>
        <v>0</v>
      </c>
      <c r="C73" s="1099"/>
      <c r="D73" s="1099"/>
      <c r="E73" s="1099"/>
      <c r="F73" s="1099"/>
      <c r="G73" s="1099"/>
      <c r="H73" s="1099"/>
      <c r="I73" s="1099"/>
      <c r="J73" s="1099"/>
      <c r="K73" s="1099"/>
      <c r="L73" s="1099"/>
      <c r="M73" s="1099"/>
      <c r="N73" s="1099"/>
      <c r="O73" s="1099"/>
      <c r="P73" s="1100">
        <f>+COMPARACIÓN!BA20</f>
        <v>0</v>
      </c>
      <c r="Q73" s="1087"/>
      <c r="R73" s="1087"/>
      <c r="S73" s="1087"/>
      <c r="T73" s="1087"/>
      <c r="U73" s="1100">
        <f>+COMPARACIÓN!BD20</f>
        <v>0</v>
      </c>
      <c r="V73" s="1087"/>
      <c r="W73" s="1087"/>
      <c r="X73" s="1087"/>
      <c r="Y73" s="1087"/>
      <c r="Z73" s="1101" t="e">
        <f>+COMPARACIÓN!BV20</f>
        <v>#DIV/0!</v>
      </c>
      <c r="AA73" s="1101"/>
      <c r="AB73" s="1101"/>
      <c r="AC73" s="1101"/>
      <c r="AD73" s="1101"/>
      <c r="AE73" s="1101"/>
      <c r="AF73" s="1101"/>
      <c r="AG73" s="1101"/>
      <c r="AH73" s="1102">
        <f>+COMPARACIÓN!I20</f>
        <v>0</v>
      </c>
      <c r="AI73" s="1103"/>
      <c r="AJ73" s="1103"/>
      <c r="AK73" s="1103"/>
      <c r="AL73" s="1103"/>
      <c r="AM73" s="1103"/>
      <c r="AN73" s="1103"/>
      <c r="AO73" s="1103"/>
      <c r="AP73" s="1103"/>
      <c r="AQ73" s="1103"/>
      <c r="AR73" s="1104"/>
    </row>
    <row r="74" spans="1:44" ht="37.5" customHeight="1">
      <c r="A74" s="532">
        <v>5</v>
      </c>
      <c r="B74" s="1098">
        <f>+COMPARACIÓN!B21</f>
        <v>0</v>
      </c>
      <c r="C74" s="1099"/>
      <c r="D74" s="1099"/>
      <c r="E74" s="1099"/>
      <c r="F74" s="1099"/>
      <c r="G74" s="1099"/>
      <c r="H74" s="1099"/>
      <c r="I74" s="1099"/>
      <c r="J74" s="1099"/>
      <c r="K74" s="1099"/>
      <c r="L74" s="1099"/>
      <c r="M74" s="1099"/>
      <c r="N74" s="1099"/>
      <c r="O74" s="1099"/>
      <c r="P74" s="1100">
        <f>+COMPARACIÓN!BA21</f>
        <v>0</v>
      </c>
      <c r="Q74" s="1087"/>
      <c r="R74" s="1087"/>
      <c r="S74" s="1087"/>
      <c r="T74" s="1087"/>
      <c r="U74" s="1100">
        <f>+COMPARACIÓN!BD21</f>
        <v>0</v>
      </c>
      <c r="V74" s="1087"/>
      <c r="W74" s="1087"/>
      <c r="X74" s="1087"/>
      <c r="Y74" s="1087"/>
      <c r="Z74" s="1101" t="e">
        <f>+COMPARACIÓN!BV21</f>
        <v>#DIV/0!</v>
      </c>
      <c r="AA74" s="1101"/>
      <c r="AB74" s="1101"/>
      <c r="AC74" s="1101"/>
      <c r="AD74" s="1101"/>
      <c r="AE74" s="1101"/>
      <c r="AF74" s="1101"/>
      <c r="AG74" s="1101"/>
      <c r="AH74" s="1102">
        <f>+COMPARACIÓN!I21</f>
        <v>0</v>
      </c>
      <c r="AI74" s="1103"/>
      <c r="AJ74" s="1103"/>
      <c r="AK74" s="1103"/>
      <c r="AL74" s="1103"/>
      <c r="AM74" s="1103"/>
      <c r="AN74" s="1103"/>
      <c r="AO74" s="1103"/>
      <c r="AP74" s="1103"/>
      <c r="AQ74" s="1103"/>
      <c r="AR74" s="1104"/>
    </row>
    <row r="75" spans="1:44" ht="37.5" customHeight="1">
      <c r="A75" s="532">
        <v>6</v>
      </c>
      <c r="B75" s="1098">
        <f>+COMPARACIÓN!B22</f>
        <v>0</v>
      </c>
      <c r="C75" s="1099"/>
      <c r="D75" s="1099"/>
      <c r="E75" s="1099"/>
      <c r="F75" s="1099"/>
      <c r="G75" s="1099"/>
      <c r="H75" s="1099"/>
      <c r="I75" s="1099"/>
      <c r="J75" s="1099"/>
      <c r="K75" s="1099"/>
      <c r="L75" s="1099"/>
      <c r="M75" s="1099"/>
      <c r="N75" s="1099"/>
      <c r="O75" s="1099"/>
      <c r="P75" s="1100">
        <f>+COMPARACIÓN!BA22</f>
        <v>0</v>
      </c>
      <c r="Q75" s="1087"/>
      <c r="R75" s="1087"/>
      <c r="S75" s="1087"/>
      <c r="T75" s="1087"/>
      <c r="U75" s="1100">
        <f>+COMPARACIÓN!BD22</f>
        <v>0</v>
      </c>
      <c r="V75" s="1087"/>
      <c r="W75" s="1087"/>
      <c r="X75" s="1087"/>
      <c r="Y75" s="1087"/>
      <c r="Z75" s="1101" t="e">
        <f>+COMPARACIÓN!BV22</f>
        <v>#DIV/0!</v>
      </c>
      <c r="AA75" s="1101"/>
      <c r="AB75" s="1101"/>
      <c r="AC75" s="1101"/>
      <c r="AD75" s="1101"/>
      <c r="AE75" s="1101"/>
      <c r="AF75" s="1101"/>
      <c r="AG75" s="1101"/>
      <c r="AH75" s="1102">
        <f>+COMPARACIÓN!I22</f>
        <v>0</v>
      </c>
      <c r="AI75" s="1103"/>
      <c r="AJ75" s="1103"/>
      <c r="AK75" s="1103"/>
      <c r="AL75" s="1103"/>
      <c r="AM75" s="1103"/>
      <c r="AN75" s="1103"/>
      <c r="AO75" s="1103"/>
      <c r="AP75" s="1103"/>
      <c r="AQ75" s="1103"/>
      <c r="AR75" s="1104"/>
    </row>
    <row r="76" spans="1:44" ht="4.5" customHeight="1"/>
    <row r="77" spans="1:44">
      <c r="A77" s="1076" t="s">
        <v>1508</v>
      </c>
      <c r="B77" s="1077"/>
      <c r="C77" s="1077"/>
      <c r="D77" s="1077"/>
      <c r="E77" s="1077"/>
      <c r="F77" s="1077"/>
      <c r="G77" s="1077"/>
      <c r="H77" s="1077"/>
      <c r="I77" s="1077"/>
      <c r="J77" s="1077"/>
      <c r="K77" s="1077"/>
      <c r="L77" s="1077"/>
      <c r="M77" s="1077"/>
      <c r="N77" s="1077"/>
      <c r="O77" s="1077"/>
      <c r="P77" s="1077"/>
      <c r="Q77" s="1077"/>
      <c r="R77" s="1077"/>
      <c r="S77" s="1077"/>
      <c r="T77" s="1077"/>
      <c r="U77" s="1077"/>
      <c r="V77" s="1077"/>
      <c r="W77" s="1077"/>
      <c r="X77" s="1077"/>
      <c r="Y77" s="1077"/>
      <c r="Z77" s="1077"/>
      <c r="AA77" s="1077"/>
      <c r="AB77" s="1077"/>
      <c r="AC77" s="1077"/>
      <c r="AD77" s="1077"/>
      <c r="AE77" s="1077"/>
      <c r="AF77" s="1077"/>
      <c r="AG77" s="1077"/>
      <c r="AH77" s="1077"/>
      <c r="AI77" s="1077"/>
      <c r="AJ77" s="1077"/>
      <c r="AK77" s="1077"/>
      <c r="AL77" s="1077"/>
      <c r="AM77" s="1077"/>
      <c r="AN77" s="1077"/>
      <c r="AO77" s="1077"/>
      <c r="AP77" s="1077"/>
      <c r="AQ77" s="1077"/>
      <c r="AR77" s="1078"/>
    </row>
    <row r="78" spans="1:44" ht="5.0999999999999996" customHeight="1" thickBot="1"/>
    <row r="79" spans="1:44" ht="13.5" thickBot="1">
      <c r="A79" s="485" t="s">
        <v>1509</v>
      </c>
      <c r="N79" s="1111">
        <f>+REPOSICIÓN!X25*'HR-COMÚN TERMINADO'!J104</f>
        <v>0</v>
      </c>
      <c r="O79" s="1112"/>
      <c r="P79" s="1112"/>
      <c r="Q79" s="1112"/>
      <c r="R79" s="1112"/>
      <c r="S79" s="1112"/>
      <c r="T79" s="1112"/>
      <c r="U79" s="1112"/>
      <c r="V79" s="1112"/>
      <c r="W79" s="1112"/>
      <c r="X79" s="1112"/>
      <c r="Y79" s="1113"/>
      <c r="AC79" s="1114" t="s">
        <v>1510</v>
      </c>
      <c r="AD79" s="1115"/>
      <c r="AE79" s="1115"/>
      <c r="AF79" s="1115"/>
      <c r="AG79" s="1115"/>
      <c r="AH79" s="1115"/>
      <c r="AI79" s="1115"/>
      <c r="AJ79" s="1115"/>
      <c r="AK79" s="1115"/>
      <c r="AL79" s="1115"/>
      <c r="AM79" s="1115"/>
      <c r="AN79" s="1115"/>
      <c r="AO79" s="1115"/>
      <c r="AP79" s="1115"/>
      <c r="AQ79" s="1115"/>
      <c r="AR79" s="1116"/>
    </row>
    <row r="80" spans="1:44" ht="5.0999999999999996" customHeight="1" thickBot="1">
      <c r="N80" s="501"/>
      <c r="O80" s="501"/>
      <c r="P80" s="501"/>
      <c r="Q80" s="501"/>
      <c r="R80" s="501"/>
      <c r="S80" s="501"/>
      <c r="T80" s="501"/>
      <c r="U80" s="501"/>
      <c r="V80" s="501"/>
      <c r="W80" s="501"/>
      <c r="X80" s="501"/>
      <c r="Y80" s="501"/>
      <c r="AC80" s="1117"/>
      <c r="AD80" s="1118"/>
      <c r="AE80" s="1118"/>
      <c r="AF80" s="1118"/>
      <c r="AG80" s="1118"/>
      <c r="AH80" s="1118"/>
      <c r="AI80" s="1118"/>
      <c r="AJ80" s="1118"/>
      <c r="AK80" s="1118"/>
      <c r="AL80" s="1118"/>
      <c r="AM80" s="1118"/>
      <c r="AN80" s="1118"/>
      <c r="AO80" s="1118"/>
      <c r="AP80" s="1118"/>
      <c r="AQ80" s="1118"/>
      <c r="AR80" s="1119"/>
    </row>
    <row r="81" spans="1:44" ht="13.5" thickBot="1">
      <c r="A81" s="485" t="s">
        <v>1511</v>
      </c>
      <c r="N81" s="1111">
        <f>+REPOSICIÓN!AH47*'HR-COMÚN TERMINADO'!J104</f>
        <v>0</v>
      </c>
      <c r="O81" s="1112"/>
      <c r="P81" s="1112"/>
      <c r="Q81" s="1112"/>
      <c r="R81" s="1112"/>
      <c r="S81" s="1112"/>
      <c r="T81" s="1112"/>
      <c r="U81" s="1112"/>
      <c r="V81" s="1112"/>
      <c r="W81" s="1112"/>
      <c r="X81" s="1112"/>
      <c r="Y81" s="1113"/>
      <c r="AC81" s="1117"/>
      <c r="AD81" s="1118"/>
      <c r="AE81" s="1118"/>
      <c r="AF81" s="1118"/>
      <c r="AG81" s="1118"/>
      <c r="AH81" s="1118"/>
      <c r="AI81" s="1118"/>
      <c r="AJ81" s="1118"/>
      <c r="AK81" s="1118"/>
      <c r="AL81" s="1118"/>
      <c r="AM81" s="1118"/>
      <c r="AN81" s="1118"/>
      <c r="AO81" s="1118"/>
      <c r="AP81" s="1118"/>
      <c r="AQ81" s="1118"/>
      <c r="AR81" s="1119"/>
    </row>
    <row r="82" spans="1:44" ht="5.0999999999999996" customHeight="1" thickBot="1">
      <c r="N82" s="501"/>
      <c r="O82" s="501"/>
      <c r="P82" s="501"/>
      <c r="Q82" s="501"/>
      <c r="R82" s="501"/>
      <c r="S82" s="501"/>
      <c r="T82" s="501"/>
      <c r="U82" s="501"/>
      <c r="V82" s="501"/>
      <c r="W82" s="501"/>
      <c r="X82" s="501"/>
      <c r="Y82" s="501"/>
      <c r="AC82" s="1117"/>
      <c r="AD82" s="1118"/>
      <c r="AE82" s="1118"/>
      <c r="AF82" s="1118"/>
      <c r="AG82" s="1118"/>
      <c r="AH82" s="1118"/>
      <c r="AI82" s="1118"/>
      <c r="AJ82" s="1118"/>
      <c r="AK82" s="1118"/>
      <c r="AL82" s="1118"/>
      <c r="AM82" s="1118"/>
      <c r="AN82" s="1118"/>
      <c r="AO82" s="1118"/>
      <c r="AP82" s="1118"/>
      <c r="AQ82" s="1118"/>
      <c r="AR82" s="1119"/>
    </row>
    <row r="83" spans="1:44" ht="13.5" thickBot="1">
      <c r="A83" s="485" t="s">
        <v>1512</v>
      </c>
      <c r="N83" s="1111">
        <f>+'HR-COMÚN TERMINADO'!V89</f>
        <v>0</v>
      </c>
      <c r="O83" s="1112"/>
      <c r="P83" s="1112"/>
      <c r="Q83" s="1112"/>
      <c r="R83" s="1112"/>
      <c r="S83" s="1112"/>
      <c r="T83" s="1112"/>
      <c r="U83" s="1112"/>
      <c r="V83" s="1112"/>
      <c r="W83" s="1112"/>
      <c r="X83" s="1112"/>
      <c r="Y83" s="1113"/>
      <c r="AC83" s="1117"/>
      <c r="AD83" s="1118"/>
      <c r="AE83" s="1118"/>
      <c r="AF83" s="1118"/>
      <c r="AG83" s="1118"/>
      <c r="AH83" s="1118"/>
      <c r="AI83" s="1118"/>
      <c r="AJ83" s="1118"/>
      <c r="AK83" s="1118"/>
      <c r="AL83" s="1118"/>
      <c r="AM83" s="1118"/>
      <c r="AN83" s="1118"/>
      <c r="AO83" s="1118"/>
      <c r="AP83" s="1118"/>
      <c r="AQ83" s="1118"/>
      <c r="AR83" s="1119"/>
    </row>
    <row r="84" spans="1:44" ht="5.0999999999999996" customHeight="1" thickBot="1">
      <c r="N84" s="501"/>
      <c r="O84" s="501"/>
      <c r="P84" s="501"/>
      <c r="Q84" s="501"/>
      <c r="R84" s="501"/>
      <c r="S84" s="501"/>
      <c r="T84" s="501"/>
      <c r="U84" s="501"/>
      <c r="V84" s="501"/>
      <c r="W84" s="501"/>
      <c r="X84" s="501"/>
      <c r="Y84" s="501"/>
      <c r="AC84" s="1117"/>
      <c r="AD84" s="1118"/>
      <c r="AE84" s="1118"/>
      <c r="AF84" s="1118"/>
      <c r="AG84" s="1118"/>
      <c r="AH84" s="1118"/>
      <c r="AI84" s="1118"/>
      <c r="AJ84" s="1118"/>
      <c r="AK84" s="1118"/>
      <c r="AL84" s="1118"/>
      <c r="AM84" s="1118"/>
      <c r="AN84" s="1118"/>
      <c r="AO84" s="1118"/>
      <c r="AP84" s="1118"/>
      <c r="AQ84" s="1118"/>
      <c r="AR84" s="1119"/>
    </row>
    <row r="85" spans="1:44" ht="13.5" thickBot="1">
      <c r="A85" s="485" t="s">
        <v>1513</v>
      </c>
      <c r="N85" s="1111">
        <f>+'HR-COMÚN TERMINADO'!Z89</f>
        <v>0</v>
      </c>
      <c r="O85" s="1112"/>
      <c r="P85" s="1112"/>
      <c r="Q85" s="1112"/>
      <c r="R85" s="1112"/>
      <c r="S85" s="1112"/>
      <c r="T85" s="1112"/>
      <c r="U85" s="1112"/>
      <c r="V85" s="1112"/>
      <c r="W85" s="1112"/>
      <c r="X85" s="1112"/>
      <c r="Y85" s="1113"/>
      <c r="AC85" s="1117"/>
      <c r="AD85" s="1118"/>
      <c r="AE85" s="1118"/>
      <c r="AF85" s="1118"/>
      <c r="AG85" s="1118"/>
      <c r="AH85" s="1118"/>
      <c r="AI85" s="1118"/>
      <c r="AJ85" s="1118"/>
      <c r="AK85" s="1118"/>
      <c r="AL85" s="1118"/>
      <c r="AM85" s="1118"/>
      <c r="AN85" s="1118"/>
      <c r="AO85" s="1118"/>
      <c r="AP85" s="1118"/>
      <c r="AQ85" s="1118"/>
      <c r="AR85" s="1119"/>
    </row>
    <row r="86" spans="1:44" ht="5.0999999999999996" customHeight="1" thickBot="1">
      <c r="N86" s="501"/>
      <c r="O86" s="501"/>
      <c r="P86" s="501"/>
      <c r="Q86" s="501"/>
      <c r="R86" s="501"/>
      <c r="S86" s="501"/>
      <c r="T86" s="501"/>
      <c r="U86" s="501"/>
      <c r="V86" s="501"/>
      <c r="W86" s="501"/>
      <c r="X86" s="501"/>
      <c r="Y86" s="501"/>
      <c r="AC86" s="1117"/>
      <c r="AD86" s="1118"/>
      <c r="AE86" s="1118"/>
      <c r="AF86" s="1118"/>
      <c r="AG86" s="1118"/>
      <c r="AH86" s="1118"/>
      <c r="AI86" s="1118"/>
      <c r="AJ86" s="1118"/>
      <c r="AK86" s="1118"/>
      <c r="AL86" s="1118"/>
      <c r="AM86" s="1118"/>
      <c r="AN86" s="1118"/>
      <c r="AO86" s="1118"/>
      <c r="AP86" s="1118"/>
      <c r="AQ86" s="1118"/>
      <c r="AR86" s="1119"/>
    </row>
    <row r="87" spans="1:44" ht="13.5" thickBot="1">
      <c r="A87" s="485" t="s">
        <v>1514</v>
      </c>
      <c r="N87" s="1111">
        <f>+'HR-COMÚN TERMINADO'!M95</f>
        <v>0</v>
      </c>
      <c r="O87" s="1112"/>
      <c r="P87" s="1112"/>
      <c r="Q87" s="1112"/>
      <c r="R87" s="1112"/>
      <c r="S87" s="1112"/>
      <c r="T87" s="1112"/>
      <c r="U87" s="1112"/>
      <c r="V87" s="1112"/>
      <c r="W87" s="1112"/>
      <c r="X87" s="1112"/>
      <c r="Y87" s="1113"/>
      <c r="AC87" s="1117"/>
      <c r="AD87" s="1118"/>
      <c r="AE87" s="1118"/>
      <c r="AF87" s="1118"/>
      <c r="AG87" s="1118"/>
      <c r="AH87" s="1118"/>
      <c r="AI87" s="1118"/>
      <c r="AJ87" s="1118"/>
      <c r="AK87" s="1118"/>
      <c r="AL87" s="1118"/>
      <c r="AM87" s="1118"/>
      <c r="AN87" s="1118"/>
      <c r="AO87" s="1118"/>
      <c r="AP87" s="1118"/>
      <c r="AQ87" s="1118"/>
      <c r="AR87" s="1119"/>
    </row>
    <row r="88" spans="1:44" ht="5.0999999999999996" customHeight="1" thickBot="1">
      <c r="N88" s="501"/>
      <c r="O88" s="501"/>
      <c r="P88" s="501"/>
      <c r="Q88" s="501"/>
      <c r="R88" s="501"/>
      <c r="S88" s="501"/>
      <c r="T88" s="501"/>
      <c r="U88" s="501"/>
      <c r="V88" s="501"/>
      <c r="W88" s="501"/>
      <c r="X88" s="501"/>
      <c r="Y88" s="501"/>
      <c r="AC88" s="1117"/>
      <c r="AD88" s="1118"/>
      <c r="AE88" s="1118"/>
      <c r="AF88" s="1118"/>
      <c r="AG88" s="1118"/>
      <c r="AH88" s="1118"/>
      <c r="AI88" s="1118"/>
      <c r="AJ88" s="1118"/>
      <c r="AK88" s="1118"/>
      <c r="AL88" s="1118"/>
      <c r="AM88" s="1118"/>
      <c r="AN88" s="1118"/>
      <c r="AO88" s="1118"/>
      <c r="AP88" s="1118"/>
      <c r="AQ88" s="1118"/>
      <c r="AR88" s="1119"/>
    </row>
    <row r="89" spans="1:44" ht="13.5" thickBot="1">
      <c r="A89" s="485" t="s">
        <v>1515</v>
      </c>
      <c r="N89" s="1111">
        <f>+'HR-COMÚN TERMINADO'!M97</f>
        <v>0</v>
      </c>
      <c r="O89" s="1112"/>
      <c r="P89" s="1112"/>
      <c r="Q89" s="1112"/>
      <c r="R89" s="1112"/>
      <c r="S89" s="1112"/>
      <c r="T89" s="1112"/>
      <c r="U89" s="1112"/>
      <c r="V89" s="1112"/>
      <c r="W89" s="1112"/>
      <c r="X89" s="1112"/>
      <c r="Y89" s="1113"/>
      <c r="AC89" s="1120"/>
      <c r="AD89" s="1121"/>
      <c r="AE89" s="1121"/>
      <c r="AF89" s="1121"/>
      <c r="AG89" s="1121"/>
      <c r="AH89" s="1121"/>
      <c r="AI89" s="1121"/>
      <c r="AJ89" s="1121"/>
      <c r="AK89" s="1121"/>
      <c r="AL89" s="1121"/>
      <c r="AM89" s="1121"/>
      <c r="AN89" s="1121"/>
      <c r="AO89" s="1121"/>
      <c r="AP89" s="1121"/>
      <c r="AQ89" s="1121"/>
      <c r="AR89" s="1122"/>
    </row>
    <row r="90" spans="1:44" ht="7.5" customHeight="1"/>
    <row r="91" spans="1:44">
      <c r="A91" s="1076" t="s">
        <v>1516</v>
      </c>
      <c r="B91" s="1077"/>
      <c r="C91" s="1077"/>
      <c r="D91" s="1077"/>
      <c r="E91" s="1077"/>
      <c r="F91" s="1077"/>
      <c r="G91" s="1077"/>
      <c r="H91" s="1077"/>
      <c r="I91" s="1077"/>
      <c r="J91" s="1077"/>
      <c r="K91" s="1077"/>
      <c r="L91" s="1077"/>
      <c r="M91" s="1077"/>
      <c r="N91" s="1077"/>
      <c r="O91" s="1077"/>
      <c r="P91" s="1077"/>
      <c r="Q91" s="1077"/>
      <c r="R91" s="1077"/>
      <c r="S91" s="1077"/>
      <c r="T91" s="1077"/>
      <c r="U91" s="1077"/>
      <c r="V91" s="1077"/>
      <c r="W91" s="1077"/>
      <c r="X91" s="1077"/>
      <c r="Y91" s="1077"/>
      <c r="Z91" s="1077"/>
      <c r="AA91" s="1077"/>
      <c r="AB91" s="1077"/>
      <c r="AC91" s="1077"/>
      <c r="AD91" s="1077"/>
      <c r="AE91" s="1077"/>
      <c r="AF91" s="1077"/>
      <c r="AG91" s="1077"/>
      <c r="AH91" s="1077"/>
      <c r="AI91" s="1077"/>
      <c r="AJ91" s="1077"/>
      <c r="AK91" s="1077"/>
      <c r="AL91" s="1077"/>
      <c r="AM91" s="1077"/>
      <c r="AN91" s="1077"/>
      <c r="AO91" s="1077"/>
      <c r="AP91" s="1077"/>
      <c r="AQ91" s="1077"/>
      <c r="AR91" s="1078"/>
    </row>
    <row r="92" spans="1:44" ht="5.0999999999999996" customHeight="1" thickBot="1"/>
    <row r="93" spans="1:44" ht="9" customHeight="1">
      <c r="A93" s="1105"/>
      <c r="B93" s="1106"/>
      <c r="C93" s="1106"/>
      <c r="D93" s="1106"/>
      <c r="E93" s="1106"/>
      <c r="F93" s="1106"/>
      <c r="G93" s="1106"/>
      <c r="H93" s="1106"/>
      <c r="I93" s="1106"/>
      <c r="J93" s="1106"/>
      <c r="K93" s="1106"/>
      <c r="L93" s="1106"/>
      <c r="M93" s="1106"/>
      <c r="N93" s="1106"/>
      <c r="O93" s="1106"/>
      <c r="P93" s="1106"/>
      <c r="Q93" s="1106"/>
      <c r="R93" s="1106"/>
      <c r="S93" s="1106"/>
      <c r="T93" s="1106"/>
      <c r="U93" s="1106"/>
      <c r="V93" s="1106"/>
      <c r="W93" s="1106"/>
      <c r="X93" s="1106"/>
      <c r="Y93" s="1106"/>
      <c r="Z93" s="1106"/>
      <c r="AA93" s="1106"/>
      <c r="AB93" s="1106"/>
      <c r="AC93" s="1106"/>
      <c r="AD93" s="1106"/>
      <c r="AE93" s="1106"/>
      <c r="AF93" s="1106"/>
      <c r="AG93" s="1106"/>
      <c r="AH93" s="1106"/>
      <c r="AI93" s="1106"/>
      <c r="AJ93" s="1106"/>
      <c r="AK93" s="1106"/>
      <c r="AL93" s="1106"/>
      <c r="AM93" s="1106"/>
      <c r="AN93" s="1106"/>
      <c r="AO93" s="1106"/>
      <c r="AP93" s="1106"/>
      <c r="AQ93" s="1106"/>
      <c r="AR93" s="1107"/>
    </row>
    <row r="94" spans="1:44" ht="6.75" customHeight="1" thickBot="1">
      <c r="A94" s="1108"/>
      <c r="B94" s="1109"/>
      <c r="C94" s="1109"/>
      <c r="D94" s="1109"/>
      <c r="E94" s="1109"/>
      <c r="F94" s="1109"/>
      <c r="G94" s="1109"/>
      <c r="H94" s="1109"/>
      <c r="I94" s="1109"/>
      <c r="J94" s="1109"/>
      <c r="K94" s="1109"/>
      <c r="L94" s="1109"/>
      <c r="M94" s="1109"/>
      <c r="N94" s="1109"/>
      <c r="O94" s="1109"/>
      <c r="P94" s="1109"/>
      <c r="Q94" s="1109"/>
      <c r="R94" s="1109"/>
      <c r="S94" s="1109"/>
      <c r="T94" s="1109"/>
      <c r="U94" s="1109"/>
      <c r="V94" s="1109"/>
      <c r="W94" s="1109"/>
      <c r="X94" s="1109"/>
      <c r="Y94" s="1109"/>
      <c r="Z94" s="1109"/>
      <c r="AA94" s="1109"/>
      <c r="AB94" s="1109"/>
      <c r="AC94" s="1109"/>
      <c r="AD94" s="1109"/>
      <c r="AE94" s="1109"/>
      <c r="AF94" s="1109"/>
      <c r="AG94" s="1109"/>
      <c r="AH94" s="1109"/>
      <c r="AI94" s="1109"/>
      <c r="AJ94" s="1109"/>
      <c r="AK94" s="1109"/>
      <c r="AL94" s="1109"/>
      <c r="AM94" s="1109"/>
      <c r="AN94" s="1109"/>
      <c r="AO94" s="1109"/>
      <c r="AP94" s="1109"/>
      <c r="AQ94" s="1109"/>
      <c r="AR94" s="1110"/>
    </row>
    <row r="95" spans="1:44" ht="5.0999999999999996" customHeight="1"/>
    <row r="96" spans="1:44">
      <c r="AC96" s="485" t="s">
        <v>1517</v>
      </c>
    </row>
    <row r="97" spans="1:40" ht="5.0999999999999996" customHeight="1"/>
    <row r="98" spans="1:40" s="485" customFormat="1" ht="11.25">
      <c r="A98" s="496" t="s">
        <v>1518</v>
      </c>
    </row>
    <row r="99" spans="1:40" s="485" customFormat="1" ht="11.25">
      <c r="A99" s="496" t="s">
        <v>1519</v>
      </c>
    </row>
    <row r="100" spans="1:40" s="485" customFormat="1" ht="11.25">
      <c r="A100" s="496" t="s">
        <v>1520</v>
      </c>
    </row>
    <row r="101" spans="1:40" s="485" customFormat="1" ht="11.25">
      <c r="A101" s="496" t="s">
        <v>1521</v>
      </c>
    </row>
    <row r="104" spans="1:40" s="485" customFormat="1" ht="11.25">
      <c r="AC104" s="509" t="s">
        <v>1522</v>
      </c>
      <c r="AD104" s="509"/>
      <c r="AE104" s="509"/>
      <c r="AF104" s="509"/>
      <c r="AG104" s="509"/>
      <c r="AH104" s="509"/>
      <c r="AI104" s="509"/>
      <c r="AJ104" s="509"/>
      <c r="AK104" s="509"/>
      <c r="AL104" s="509"/>
      <c r="AM104" s="509"/>
      <c r="AN104" s="509"/>
    </row>
    <row r="105" spans="1:40" s="485" customFormat="1" ht="11.25">
      <c r="AC105" s="485" t="s">
        <v>1523</v>
      </c>
    </row>
    <row r="106" spans="1:40" s="485" customFormat="1" ht="11.25">
      <c r="AC106" s="485" t="s">
        <v>1524</v>
      </c>
    </row>
  </sheetData>
  <mergeCells count="141">
    <mergeCell ref="Z75:AG75"/>
    <mergeCell ref="AH75:AR75"/>
    <mergeCell ref="A91:AR91"/>
    <mergeCell ref="A93:AR94"/>
    <mergeCell ref="B74:O74"/>
    <mergeCell ref="P74:T74"/>
    <mergeCell ref="U74:Y74"/>
    <mergeCell ref="Z74:AG74"/>
    <mergeCell ref="AH74:AR74"/>
    <mergeCell ref="B75:O75"/>
    <mergeCell ref="P75:T75"/>
    <mergeCell ref="U75:Y75"/>
    <mergeCell ref="A77:AR77"/>
    <mergeCell ref="N79:Y79"/>
    <mergeCell ref="AC79:AR89"/>
    <mergeCell ref="N81:Y81"/>
    <mergeCell ref="N83:Y83"/>
    <mergeCell ref="N85:Y85"/>
    <mergeCell ref="N87:Y87"/>
    <mergeCell ref="N89:Y89"/>
    <mergeCell ref="B72:O72"/>
    <mergeCell ref="P72:T72"/>
    <mergeCell ref="U72:Y72"/>
    <mergeCell ref="Z72:AG72"/>
    <mergeCell ref="AH72:AR72"/>
    <mergeCell ref="B73:O73"/>
    <mergeCell ref="P73:T73"/>
    <mergeCell ref="U73:Y73"/>
    <mergeCell ref="Z73:AG73"/>
    <mergeCell ref="AH73:AR73"/>
    <mergeCell ref="B70:O70"/>
    <mergeCell ref="P70:T70"/>
    <mergeCell ref="U70:Y70"/>
    <mergeCell ref="Z70:AG70"/>
    <mergeCell ref="AH70:AR70"/>
    <mergeCell ref="B71:O71"/>
    <mergeCell ref="P71:T71"/>
    <mergeCell ref="U71:Y71"/>
    <mergeCell ref="Z71:AG71"/>
    <mergeCell ref="AH71:AR71"/>
    <mergeCell ref="A67:AR67"/>
    <mergeCell ref="B69:O69"/>
    <mergeCell ref="P69:T69"/>
    <mergeCell ref="U69:Y69"/>
    <mergeCell ref="Z69:AG69"/>
    <mergeCell ref="AH69:AR69"/>
    <mergeCell ref="AH64:AM64"/>
    <mergeCell ref="B65:G65"/>
    <mergeCell ref="H65:L65"/>
    <mergeCell ref="M65:Q65"/>
    <mergeCell ref="R65:V65"/>
    <mergeCell ref="W65:AA65"/>
    <mergeCell ref="AB65:AG65"/>
    <mergeCell ref="AH65:AM65"/>
    <mergeCell ref="B64:G64"/>
    <mergeCell ref="H64:L64"/>
    <mergeCell ref="M64:Q64"/>
    <mergeCell ref="R64:V64"/>
    <mergeCell ref="W64:AA64"/>
    <mergeCell ref="AB64:AG64"/>
    <mergeCell ref="AH62:AM62"/>
    <mergeCell ref="B63:G63"/>
    <mergeCell ref="H63:L63"/>
    <mergeCell ref="M63:Q63"/>
    <mergeCell ref="R63:V63"/>
    <mergeCell ref="W63:AA63"/>
    <mergeCell ref="AB63:AG63"/>
    <mergeCell ref="AH63:AM63"/>
    <mergeCell ref="B62:G62"/>
    <mergeCell ref="H62:L62"/>
    <mergeCell ref="M62:Q62"/>
    <mergeCell ref="R62:V62"/>
    <mergeCell ref="W62:AA62"/>
    <mergeCell ref="AB62:AG62"/>
    <mergeCell ref="M55:N55"/>
    <mergeCell ref="R55:S55"/>
    <mergeCell ref="X55:Y55"/>
    <mergeCell ref="E59:F59"/>
    <mergeCell ref="O59:P59"/>
    <mergeCell ref="AH59:AI59"/>
    <mergeCell ref="AH37:AI37"/>
    <mergeCell ref="AH38:AI38"/>
    <mergeCell ref="AH39:AI39"/>
    <mergeCell ref="AH40:AI40"/>
    <mergeCell ref="A43:AR43"/>
    <mergeCell ref="M54:N54"/>
    <mergeCell ref="R54:S54"/>
    <mergeCell ref="X54:Y54"/>
    <mergeCell ref="AL30:AN30"/>
    <mergeCell ref="T34:V34"/>
    <mergeCell ref="AH34:AK34"/>
    <mergeCell ref="AH35:AI35"/>
    <mergeCell ref="G36:I36"/>
    <mergeCell ref="AH36:AI36"/>
    <mergeCell ref="AM20:AR20"/>
    <mergeCell ref="A23:AR23"/>
    <mergeCell ref="O25:P25"/>
    <mergeCell ref="AA25:AB25"/>
    <mergeCell ref="AP25:AQ25"/>
    <mergeCell ref="R27:T27"/>
    <mergeCell ref="AL27:AN27"/>
    <mergeCell ref="F20:I20"/>
    <mergeCell ref="J20:L20"/>
    <mergeCell ref="M20:R20"/>
    <mergeCell ref="T20:U20"/>
    <mergeCell ref="W20:X20"/>
    <mergeCell ref="Y20:Z20"/>
    <mergeCell ref="AA20:AC20"/>
    <mergeCell ref="AD20:AE20"/>
    <mergeCell ref="AF20:AJ20"/>
    <mergeCell ref="D16:J16"/>
    <mergeCell ref="P16:T16"/>
    <mergeCell ref="Z16:AF16"/>
    <mergeCell ref="AG16:AN16"/>
    <mergeCell ref="F18:I18"/>
    <mergeCell ref="J18:L18"/>
    <mergeCell ref="M18:R18"/>
    <mergeCell ref="T18:Z18"/>
    <mergeCell ref="AA18:AB18"/>
    <mergeCell ref="AC18:AJ18"/>
    <mergeCell ref="AL18:AQ18"/>
    <mergeCell ref="C2:AM2"/>
    <mergeCell ref="G4:H4"/>
    <mergeCell ref="I4:J4"/>
    <mergeCell ref="L4:S4"/>
    <mergeCell ref="T4:U4"/>
    <mergeCell ref="V4:Z4"/>
    <mergeCell ref="S12:AR12"/>
    <mergeCell ref="A14:B14"/>
    <mergeCell ref="C14:D14"/>
    <mergeCell ref="F14:H14"/>
    <mergeCell ref="I14:J14"/>
    <mergeCell ref="P14:AR14"/>
    <mergeCell ref="G6:T6"/>
    <mergeCell ref="AA6:AR6"/>
    <mergeCell ref="G8:AD8"/>
    <mergeCell ref="AE8:AJ8"/>
    <mergeCell ref="AK8:AR8"/>
    <mergeCell ref="G10:AD10"/>
    <mergeCell ref="AF10:AJ10"/>
    <mergeCell ref="AK10:AR10"/>
  </mergeCells>
  <printOptions horizontalCentered="1"/>
  <pageMargins left="0" right="0" top="0.78740157480314965" bottom="0" header="0" footer="0"/>
  <pageSetup paperSize="9" scale="65" orientation="portrait" horizontalDpi="4294967294" verticalDpi="1200" r:id="rId1"/>
  <headerFooter alignWithMargins="0">
    <oddFooter>&amp;L&amp;G&amp;R&amp;G</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D504-C185-4F33-87F1-6700B5E2D8B6}">
  <sheetPr codeName="Hoja17">
    <pageSetUpPr fitToPage="1"/>
  </sheetPr>
  <dimension ref="B1:AF77"/>
  <sheetViews>
    <sheetView workbookViewId="0"/>
  </sheetViews>
  <sheetFormatPr baseColWidth="10" defaultColWidth="11.42578125" defaultRowHeight="15"/>
  <cols>
    <col min="1" max="32" width="4.28515625" customWidth="1"/>
  </cols>
  <sheetData>
    <row r="1" spans="26:30">
      <c r="Z1" s="109"/>
      <c r="AA1" s="109"/>
      <c r="AB1" s="109"/>
      <c r="AC1" s="109"/>
      <c r="AD1" s="109"/>
    </row>
    <row r="2" spans="26:30">
      <c r="Z2" s="109"/>
      <c r="AA2" s="109"/>
      <c r="AB2" s="109"/>
      <c r="AC2" s="109"/>
      <c r="AD2" s="109"/>
    </row>
    <row r="3" spans="26:30">
      <c r="Z3" s="109"/>
      <c r="AA3" s="109"/>
      <c r="AB3" s="109"/>
      <c r="AC3" s="109"/>
      <c r="AD3" s="109"/>
    </row>
    <row r="4" spans="26:30">
      <c r="Z4" s="109"/>
      <c r="AA4" s="109"/>
      <c r="AB4" s="109"/>
      <c r="AC4" s="109"/>
      <c r="AD4" s="109"/>
    </row>
    <row r="76" spans="2:32">
      <c r="B76" s="477"/>
      <c r="C76" s="477"/>
      <c r="D76" s="477"/>
      <c r="E76" s="477"/>
      <c r="F76" s="477"/>
      <c r="G76" s="477"/>
      <c r="H76" s="477"/>
      <c r="I76" s="477"/>
      <c r="J76" s="477"/>
      <c r="K76" s="477"/>
      <c r="L76" s="477"/>
      <c r="M76" s="477"/>
      <c r="N76" s="477"/>
      <c r="O76" s="477"/>
      <c r="P76" s="477"/>
      <c r="Q76" s="477"/>
      <c r="R76" s="477"/>
      <c r="S76" s="477"/>
      <c r="T76" s="477"/>
      <c r="U76" s="477"/>
      <c r="V76" s="477"/>
      <c r="W76" s="477"/>
      <c r="X76" s="477"/>
      <c r="Y76" s="477"/>
      <c r="Z76" s="477"/>
      <c r="AA76" s="477"/>
      <c r="AB76" s="477"/>
      <c r="AC76" s="477"/>
      <c r="AD76" s="477"/>
      <c r="AE76" s="477"/>
      <c r="AF76" s="477"/>
    </row>
    <row r="77" spans="2:32">
      <c r="B77" s="478"/>
      <c r="C77" s="478"/>
      <c r="D77" s="478"/>
      <c r="E77" s="478"/>
      <c r="F77" s="478"/>
      <c r="G77" s="478"/>
      <c r="H77" s="478"/>
      <c r="I77" s="478"/>
      <c r="J77" s="478"/>
      <c r="K77" s="478"/>
      <c r="L77" s="478"/>
      <c r="M77" s="478"/>
      <c r="N77" s="478"/>
      <c r="O77" s="478"/>
      <c r="P77" s="478"/>
      <c r="Q77" s="478"/>
      <c r="R77" s="478"/>
      <c r="S77" s="478"/>
      <c r="T77" s="478"/>
      <c r="U77" s="478"/>
      <c r="V77" s="478"/>
      <c r="W77" s="478"/>
      <c r="X77" s="478"/>
      <c r="Y77" s="478"/>
      <c r="Z77" s="478"/>
      <c r="AA77" s="478"/>
      <c r="AB77" s="478"/>
      <c r="AC77" s="478"/>
      <c r="AD77" s="478"/>
      <c r="AE77" s="478"/>
      <c r="AF77" s="478"/>
    </row>
  </sheetData>
  <pageMargins left="0.7" right="0.7" top="0.75" bottom="0.75" header="0.3" footer="0.3"/>
  <pageSetup paperSize="9" scale="63"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9">
    <tabColor rgb="FF002060"/>
  </sheetPr>
  <dimension ref="A12:AD119"/>
  <sheetViews>
    <sheetView topLeftCell="A67" workbookViewId="0">
      <selection activeCell="AI87" sqref="AI87"/>
    </sheetView>
  </sheetViews>
  <sheetFormatPr baseColWidth="10" defaultRowHeight="15"/>
  <cols>
    <col min="1" max="28" width="5.140625" customWidth="1"/>
    <col min="29" max="29" width="5.85546875" customWidth="1"/>
    <col min="30" max="30" width="5.140625" customWidth="1"/>
  </cols>
  <sheetData>
    <row r="12" spans="1:30" ht="15.75">
      <c r="A12" s="24"/>
      <c r="B12" s="24"/>
      <c r="C12" s="24"/>
      <c r="D12" s="24"/>
      <c r="E12" s="24"/>
      <c r="F12" s="24"/>
      <c r="G12" s="24"/>
      <c r="H12" s="24"/>
      <c r="I12" s="24"/>
      <c r="J12" s="24"/>
      <c r="K12" s="24"/>
      <c r="L12" s="24"/>
      <c r="M12" s="24"/>
      <c r="N12" s="24"/>
      <c r="O12" s="24"/>
      <c r="P12" s="24"/>
      <c r="Q12" s="24"/>
      <c r="R12" s="24"/>
      <c r="S12" s="24"/>
      <c r="T12" s="1023" t="s">
        <v>815</v>
      </c>
      <c r="U12" s="1023"/>
      <c r="V12" s="1023"/>
      <c r="W12" s="1023"/>
      <c r="X12" s="1023"/>
      <c r="Y12" s="30" t="s">
        <v>0</v>
      </c>
      <c r="Z12" s="1024">
        <f>+'MEM. DESC. I'!Z12</f>
        <v>0</v>
      </c>
      <c r="AA12" s="1025"/>
      <c r="AB12" s="1025"/>
      <c r="AC12" s="1025"/>
      <c r="AD12" s="1025"/>
    </row>
    <row r="13" spans="1:30" ht="15.75">
      <c r="A13" s="24"/>
      <c r="B13" s="24"/>
      <c r="C13" s="24"/>
      <c r="D13" s="24"/>
      <c r="E13" s="24"/>
      <c r="F13" s="24"/>
      <c r="G13" s="24"/>
      <c r="H13" s="24"/>
      <c r="I13" s="24"/>
      <c r="J13" s="24"/>
      <c r="K13" s="24"/>
      <c r="L13" s="24"/>
      <c r="M13" s="24"/>
      <c r="N13" s="24"/>
      <c r="O13" s="24"/>
      <c r="P13" s="24"/>
      <c r="Q13" s="24"/>
      <c r="R13" s="24"/>
      <c r="S13" s="24"/>
      <c r="T13" s="1023" t="s">
        <v>1</v>
      </c>
      <c r="U13" s="1023"/>
      <c r="V13" s="1023"/>
      <c r="W13" s="1023"/>
      <c r="X13" s="1023"/>
      <c r="Y13" s="30" t="s">
        <v>0</v>
      </c>
      <c r="Z13" s="1024" t="str">
        <f>+'MEM. DESC. I'!Z13</f>
        <v>XXXX-26</v>
      </c>
      <c r="AA13" s="1025"/>
      <c r="AB13" s="1025"/>
      <c r="AC13" s="1025"/>
      <c r="AD13" s="1025"/>
    </row>
    <row r="14" spans="1:30" ht="15.75">
      <c r="A14" s="24"/>
      <c r="B14" s="24"/>
      <c r="C14" s="24"/>
      <c r="D14" s="24"/>
      <c r="E14" s="24"/>
      <c r="F14" s="24"/>
      <c r="G14" s="24"/>
      <c r="H14" s="24"/>
      <c r="I14" s="24"/>
      <c r="J14" s="24"/>
      <c r="K14" s="24"/>
      <c r="L14" s="24"/>
      <c r="M14" s="24"/>
      <c r="N14" s="24"/>
      <c r="O14" s="24"/>
      <c r="P14" s="24"/>
      <c r="Q14" s="24"/>
      <c r="R14" s="24"/>
      <c r="S14" s="24"/>
      <c r="T14" s="1023" t="s">
        <v>52</v>
      </c>
      <c r="U14" s="1023"/>
      <c r="V14" s="1023"/>
      <c r="W14" s="1023"/>
      <c r="X14" s="1023"/>
      <c r="Y14" s="30" t="s">
        <v>0</v>
      </c>
      <c r="Z14" s="1026">
        <f>+'MEM. DESC. I'!Z14</f>
        <v>0</v>
      </c>
      <c r="AA14" s="1026"/>
      <c r="AB14" s="1026"/>
      <c r="AC14" s="1026"/>
      <c r="AD14" s="1026"/>
    </row>
    <row r="15" spans="1:30" ht="15.75">
      <c r="A15" s="24"/>
      <c r="B15" s="24"/>
      <c r="C15" s="24"/>
      <c r="D15" s="24"/>
      <c r="E15" s="24"/>
      <c r="F15" s="24"/>
      <c r="G15" s="24"/>
      <c r="H15" s="24"/>
      <c r="I15" s="24"/>
      <c r="J15" s="24"/>
      <c r="K15" s="24"/>
      <c r="L15" s="24"/>
      <c r="M15" s="24"/>
      <c r="N15" s="24"/>
      <c r="O15" s="24"/>
      <c r="P15" s="24"/>
      <c r="Q15" s="24"/>
      <c r="R15" s="24"/>
      <c r="S15" s="24"/>
      <c r="T15" s="1023" t="s">
        <v>816</v>
      </c>
      <c r="U15" s="1023"/>
      <c r="V15" s="1023"/>
      <c r="W15" s="1023"/>
      <c r="X15" s="1023"/>
      <c r="Y15" s="30" t="s">
        <v>0</v>
      </c>
      <c r="Z15" s="1026">
        <f>+'MEM. DESC. I'!Z15</f>
        <v>365</v>
      </c>
      <c r="AA15" s="1026"/>
      <c r="AB15" s="1026"/>
      <c r="AC15" s="1026"/>
      <c r="AD15" s="1026"/>
    </row>
    <row r="16" spans="1:30" ht="20.25" customHeight="1">
      <c r="A16" s="729" t="s">
        <v>1395</v>
      </c>
      <c r="B16" s="729"/>
      <c r="C16" s="729"/>
      <c r="D16" s="729"/>
      <c r="E16" s="729"/>
      <c r="F16" s="729"/>
      <c r="G16" s="729"/>
      <c r="H16" s="729"/>
      <c r="I16" s="729"/>
      <c r="J16" s="729"/>
      <c r="K16" s="729"/>
      <c r="L16" s="729"/>
      <c r="M16" s="729"/>
      <c r="N16" s="729"/>
      <c r="O16" s="729"/>
      <c r="P16" s="729"/>
      <c r="Q16" s="729"/>
      <c r="R16" s="729"/>
      <c r="S16" s="729"/>
      <c r="T16" s="729"/>
      <c r="U16" s="729"/>
      <c r="V16" s="729"/>
      <c r="W16" s="729"/>
      <c r="X16" s="729"/>
      <c r="Y16" s="729"/>
      <c r="Z16" s="729"/>
      <c r="AA16" s="729"/>
      <c r="AB16" s="729"/>
      <c r="AC16" s="729"/>
      <c r="AD16" s="729"/>
    </row>
    <row r="17" spans="1:30" ht="20.25" customHeight="1">
      <c r="A17" s="729" t="s">
        <v>962</v>
      </c>
      <c r="B17" s="729"/>
      <c r="C17" s="729"/>
      <c r="D17" s="729"/>
      <c r="E17" s="729"/>
      <c r="F17" s="729"/>
      <c r="G17" s="729"/>
      <c r="H17" s="729"/>
      <c r="I17" s="729"/>
      <c r="J17" s="729"/>
      <c r="K17" s="729"/>
      <c r="L17" s="729"/>
      <c r="M17" s="729"/>
      <c r="N17" s="729"/>
      <c r="O17" s="729"/>
      <c r="P17" s="729"/>
      <c r="Q17" s="729"/>
      <c r="R17" s="729"/>
      <c r="S17" s="729"/>
      <c r="T17" s="729"/>
      <c r="U17" s="729"/>
      <c r="V17" s="729"/>
      <c r="W17" s="729"/>
      <c r="X17" s="729"/>
      <c r="Y17" s="729"/>
      <c r="Z17" s="729"/>
      <c r="AA17" s="729"/>
      <c r="AB17" s="729"/>
      <c r="AC17" s="729"/>
      <c r="AD17" s="729"/>
    </row>
    <row r="18" spans="1:30" ht="15.75">
      <c r="A18" s="24"/>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spans="1:30" ht="15.75">
      <c r="A19" s="24"/>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spans="1:30" ht="15.75">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30" ht="15.75">
      <c r="A21" s="24"/>
      <c r="B21" s="4"/>
      <c r="C21" s="4"/>
      <c r="D21" s="4"/>
      <c r="E21" s="4"/>
      <c r="F21" s="4"/>
      <c r="G21" s="4"/>
      <c r="H21" s="4"/>
      <c r="I21" s="4"/>
      <c r="J21" s="5"/>
      <c r="K21" s="5"/>
      <c r="L21" s="5"/>
      <c r="M21" s="5"/>
      <c r="N21" s="5"/>
      <c r="O21" s="5"/>
      <c r="P21" s="5"/>
      <c r="Q21" s="5"/>
      <c r="R21" s="5"/>
      <c r="S21" s="5"/>
      <c r="T21" s="5"/>
      <c r="U21" s="5"/>
      <c r="V21" s="4"/>
      <c r="W21" s="4"/>
      <c r="X21" s="4"/>
      <c r="Y21" s="4"/>
      <c r="Z21" s="4"/>
      <c r="AA21" s="4"/>
      <c r="AB21" s="4"/>
      <c r="AC21" s="4"/>
      <c r="AD21" s="4"/>
    </row>
    <row r="22" spans="1:30" ht="15.75">
      <c r="A22" s="24"/>
      <c r="B22" s="4"/>
      <c r="C22" s="4"/>
      <c r="D22" s="4"/>
      <c r="E22" s="4"/>
      <c r="F22" s="4"/>
      <c r="G22" s="4"/>
      <c r="H22" s="4"/>
      <c r="I22" s="4"/>
      <c r="J22" s="5"/>
      <c r="K22" s="5"/>
      <c r="L22" s="5"/>
      <c r="M22" s="5"/>
      <c r="N22" s="5"/>
      <c r="O22" s="5"/>
      <c r="P22" s="5"/>
      <c r="Q22" s="5"/>
      <c r="R22" s="5"/>
      <c r="S22" s="5"/>
      <c r="T22" s="5"/>
      <c r="U22" s="5"/>
      <c r="V22" s="4"/>
      <c r="W22" s="4"/>
      <c r="X22" s="4"/>
      <c r="Y22" s="4"/>
      <c r="Z22" s="4"/>
      <c r="AA22" s="4"/>
      <c r="AB22" s="4"/>
      <c r="AC22" s="4"/>
      <c r="AD22" s="4"/>
    </row>
    <row r="23" spans="1:30" ht="15.75">
      <c r="A23" s="24"/>
      <c r="B23" s="4"/>
      <c r="C23" s="4"/>
      <c r="D23" s="4"/>
      <c r="E23" s="4"/>
      <c r="F23" s="4"/>
      <c r="G23" s="4"/>
      <c r="H23" s="4"/>
      <c r="I23" s="4"/>
      <c r="J23" s="5"/>
      <c r="K23" s="5"/>
      <c r="L23" s="5"/>
      <c r="M23" s="5"/>
      <c r="N23" s="5"/>
      <c r="O23" s="5"/>
      <c r="P23" s="5"/>
      <c r="Q23" s="5"/>
      <c r="R23" s="5"/>
      <c r="S23" s="5"/>
      <c r="T23" s="5"/>
      <c r="U23" s="5"/>
      <c r="V23" s="4"/>
      <c r="W23" s="4"/>
      <c r="X23" s="4"/>
      <c r="Y23" s="4"/>
      <c r="Z23" s="4"/>
      <c r="AA23" s="4"/>
      <c r="AB23" s="4"/>
      <c r="AC23" s="4"/>
      <c r="AD23" s="4"/>
    </row>
    <row r="24" spans="1:30" ht="15.75">
      <c r="A24" s="24"/>
      <c r="B24" s="4"/>
      <c r="C24" s="4"/>
      <c r="D24" s="4"/>
      <c r="E24" s="4"/>
      <c r="F24" s="4"/>
      <c r="G24" s="4"/>
      <c r="H24" s="4"/>
      <c r="I24" s="4"/>
      <c r="J24" s="5"/>
      <c r="K24" s="5"/>
      <c r="L24" s="5"/>
      <c r="M24" s="5"/>
      <c r="N24" s="5"/>
      <c r="O24" s="5"/>
      <c r="P24" s="5"/>
      <c r="Q24" s="5"/>
      <c r="R24" s="5"/>
      <c r="S24" s="5"/>
      <c r="T24" s="5"/>
      <c r="U24" s="5"/>
      <c r="V24" s="4"/>
      <c r="W24" s="4"/>
      <c r="X24" s="4"/>
      <c r="Y24" s="4"/>
      <c r="Z24" s="4"/>
      <c r="AA24" s="4"/>
      <c r="AB24" s="4"/>
      <c r="AC24" s="4"/>
      <c r="AD24" s="4"/>
    </row>
    <row r="25" spans="1:30" ht="15.75">
      <c r="A25" s="24"/>
      <c r="B25" s="4"/>
      <c r="C25" s="4"/>
      <c r="D25" s="4"/>
      <c r="E25" s="4"/>
      <c r="F25" s="4"/>
      <c r="G25" s="4"/>
      <c r="H25" s="4"/>
      <c r="I25" s="4"/>
      <c r="J25" s="5"/>
      <c r="K25" s="5"/>
      <c r="L25" s="5"/>
      <c r="M25" s="5"/>
      <c r="N25" s="5"/>
      <c r="O25" s="5"/>
      <c r="P25" s="5"/>
      <c r="Q25" s="5"/>
      <c r="R25" s="5"/>
      <c r="S25" s="5"/>
      <c r="T25" s="5"/>
      <c r="U25" s="5"/>
      <c r="V25" s="4"/>
      <c r="W25" s="4"/>
      <c r="X25" s="4"/>
      <c r="Y25" s="4"/>
      <c r="Z25" s="4"/>
      <c r="AA25" s="4"/>
      <c r="AB25" s="4"/>
      <c r="AC25" s="4"/>
      <c r="AD25" s="4"/>
    </row>
    <row r="26" spans="1:30" ht="15.75">
      <c r="A26" s="24"/>
      <c r="B26" s="4"/>
      <c r="C26" s="4"/>
      <c r="D26" s="4"/>
      <c r="E26" s="4"/>
      <c r="F26" s="4"/>
      <c r="G26" s="4"/>
      <c r="H26" s="4"/>
      <c r="I26" s="4"/>
      <c r="J26" s="5"/>
      <c r="K26" s="5"/>
      <c r="L26" s="5"/>
      <c r="M26" s="5"/>
      <c r="N26" s="5"/>
      <c r="O26" s="5"/>
      <c r="P26" s="5"/>
      <c r="Q26" s="5"/>
      <c r="R26" s="5"/>
      <c r="S26" s="5"/>
      <c r="T26" s="5"/>
      <c r="U26" s="5"/>
      <c r="V26" s="4"/>
      <c r="W26" s="4"/>
      <c r="X26" s="4"/>
      <c r="Y26" s="4"/>
      <c r="Z26" s="4"/>
      <c r="AA26" s="4"/>
      <c r="AB26" s="4"/>
      <c r="AC26" s="4"/>
      <c r="AD26" s="4"/>
    </row>
    <row r="27" spans="1:30" ht="15.75">
      <c r="A27" s="24"/>
      <c r="B27" s="4"/>
      <c r="C27" s="4"/>
      <c r="D27" s="4"/>
      <c r="E27" s="4"/>
      <c r="F27" s="4"/>
      <c r="G27" s="4"/>
      <c r="H27" s="4"/>
      <c r="I27" s="4"/>
      <c r="J27" s="5"/>
      <c r="K27" s="5"/>
      <c r="L27" s="5"/>
      <c r="M27" s="5"/>
      <c r="N27" s="5"/>
      <c r="O27" s="5"/>
      <c r="P27" s="5"/>
      <c r="Q27" s="5"/>
      <c r="R27" s="5"/>
      <c r="S27" s="5"/>
      <c r="T27" s="5"/>
      <c r="U27" s="5"/>
      <c r="V27" s="4"/>
      <c r="W27" s="4"/>
      <c r="X27" s="4"/>
      <c r="Y27" s="4"/>
      <c r="Z27" s="4"/>
      <c r="AA27" s="4"/>
      <c r="AB27" s="4"/>
      <c r="AC27" s="4"/>
      <c r="AD27" s="4"/>
    </row>
    <row r="28" spans="1:30" ht="15.75">
      <c r="A28" s="24"/>
      <c r="B28" s="4"/>
      <c r="C28" s="4"/>
      <c r="D28" s="4"/>
      <c r="E28" s="4"/>
      <c r="F28" s="4"/>
      <c r="G28" s="4"/>
      <c r="H28" s="4"/>
      <c r="I28" s="4"/>
      <c r="J28" s="5"/>
      <c r="K28" s="5"/>
      <c r="L28" s="5"/>
      <c r="M28" s="5"/>
      <c r="N28" s="5"/>
      <c r="O28" s="5"/>
      <c r="P28" s="5"/>
      <c r="Q28" s="5"/>
      <c r="R28" s="5"/>
      <c r="S28" s="5"/>
      <c r="T28" s="5"/>
      <c r="U28" s="5"/>
      <c r="V28" s="4"/>
      <c r="W28" s="4"/>
      <c r="X28" s="4"/>
      <c r="Y28" s="4"/>
      <c r="Z28" s="4"/>
      <c r="AA28" s="4"/>
      <c r="AB28" s="4"/>
      <c r="AC28" s="4"/>
      <c r="AD28" s="4"/>
    </row>
    <row r="29" spans="1:30" ht="15.75">
      <c r="A29" s="24"/>
      <c r="B29" s="4"/>
      <c r="C29" s="4"/>
      <c r="D29" s="4"/>
      <c r="E29" s="4"/>
      <c r="F29" s="4"/>
      <c r="G29" s="4"/>
      <c r="H29" s="4"/>
      <c r="I29" s="4"/>
      <c r="J29" s="5"/>
      <c r="K29" s="5"/>
      <c r="L29" s="5"/>
      <c r="M29" s="5"/>
      <c r="N29" s="5"/>
      <c r="O29" s="5"/>
      <c r="P29" s="5"/>
      <c r="Q29" s="5"/>
      <c r="R29" s="5"/>
      <c r="S29" s="5"/>
      <c r="T29" s="5"/>
      <c r="U29" s="5"/>
      <c r="V29" s="4"/>
      <c r="W29" s="4"/>
      <c r="X29" s="4"/>
      <c r="Y29" s="4"/>
      <c r="Z29" s="4"/>
      <c r="AA29" s="4"/>
      <c r="AB29" s="4"/>
      <c r="AC29" s="4"/>
      <c r="AD29" s="4"/>
    </row>
    <row r="30" spans="1:30" ht="15.75">
      <c r="A30" s="24"/>
      <c r="B30" s="4"/>
      <c r="C30" s="4"/>
      <c r="D30" s="4"/>
      <c r="E30" s="4"/>
      <c r="F30" s="4"/>
      <c r="G30" s="4"/>
      <c r="H30" s="4"/>
      <c r="I30" s="4"/>
      <c r="J30" s="5"/>
      <c r="K30" s="5"/>
      <c r="L30" s="5"/>
      <c r="M30" s="5"/>
      <c r="N30" s="5"/>
      <c r="O30" s="5"/>
      <c r="P30" s="5"/>
      <c r="Q30" s="5"/>
      <c r="R30" s="5"/>
      <c r="S30" s="5"/>
      <c r="T30" s="5"/>
      <c r="U30" s="5"/>
      <c r="V30" s="4"/>
      <c r="W30" s="4"/>
      <c r="X30" s="4"/>
      <c r="Y30" s="4"/>
      <c r="Z30" s="4"/>
      <c r="AA30" s="4"/>
      <c r="AB30" s="4"/>
      <c r="AC30" s="4"/>
      <c r="AD30" s="4"/>
    </row>
    <row r="31" spans="1:30" ht="15.75">
      <c r="A31" s="24"/>
      <c r="B31" s="4"/>
      <c r="C31" s="4"/>
      <c r="D31" s="4"/>
      <c r="E31" s="4"/>
      <c r="F31" s="4"/>
      <c r="G31" s="4"/>
      <c r="H31" s="4"/>
      <c r="I31" s="4"/>
      <c r="J31" s="5"/>
      <c r="K31" s="5"/>
      <c r="L31" s="5"/>
      <c r="M31" s="5"/>
      <c r="N31" s="5"/>
      <c r="O31" s="5"/>
      <c r="P31" s="5"/>
      <c r="Q31" s="5"/>
      <c r="R31" s="5"/>
      <c r="S31" s="5"/>
      <c r="T31" s="5"/>
      <c r="U31" s="5"/>
      <c r="V31" s="4"/>
      <c r="W31" s="4"/>
      <c r="X31" s="4"/>
      <c r="Y31" s="4"/>
      <c r="Z31" s="4"/>
      <c r="AA31" s="4"/>
      <c r="AB31" s="4"/>
      <c r="AC31" s="4"/>
      <c r="AD31" s="4"/>
    </row>
    <row r="32" spans="1:30" ht="15.75">
      <c r="A32" s="24"/>
      <c r="B32" s="4"/>
      <c r="C32" s="4"/>
      <c r="D32" s="4"/>
      <c r="E32" s="4"/>
      <c r="F32" s="4"/>
      <c r="G32" s="762" t="s">
        <v>963</v>
      </c>
      <c r="H32" s="762"/>
      <c r="I32" s="762"/>
      <c r="J32" s="762"/>
      <c r="K32" s="762"/>
      <c r="L32" s="762"/>
      <c r="M32" s="5"/>
      <c r="N32" s="5"/>
      <c r="O32" s="5"/>
      <c r="P32" s="5"/>
      <c r="Q32" s="5"/>
      <c r="R32" s="5"/>
      <c r="S32" s="762" t="s">
        <v>53</v>
      </c>
      <c r="T32" s="762"/>
      <c r="U32" s="762"/>
      <c r="V32" s="762"/>
      <c r="W32" s="762"/>
      <c r="X32" s="762"/>
      <c r="Y32" s="762"/>
      <c r="Z32" s="762"/>
      <c r="AA32" s="4"/>
      <c r="AB32" s="4"/>
      <c r="AC32" s="4"/>
      <c r="AD32" s="4"/>
    </row>
    <row r="33" spans="1:30" ht="15.75">
      <c r="A33" s="24"/>
      <c r="B33" s="152" t="s">
        <v>761</v>
      </c>
      <c r="C33" s="130"/>
      <c r="D33" s="131"/>
      <c r="E33" s="131"/>
      <c r="F33" s="131"/>
      <c r="G33" s="131"/>
      <c r="H33" s="131"/>
      <c r="I33" s="131"/>
      <c r="J33" s="131"/>
      <c r="K33" s="131"/>
      <c r="L33" s="131"/>
      <c r="M33" s="131"/>
      <c r="N33" s="131"/>
      <c r="O33" s="131"/>
      <c r="P33" s="131"/>
      <c r="Q33" s="131"/>
      <c r="R33" s="131"/>
      <c r="S33" s="148"/>
      <c r="T33" s="148"/>
      <c r="U33" s="148"/>
      <c r="V33" s="148"/>
      <c r="W33" s="148"/>
      <c r="X33" s="148"/>
      <c r="Y33" s="148"/>
      <c r="Z33" s="148"/>
      <c r="AA33" s="4"/>
      <c r="AB33" s="4"/>
      <c r="AC33" s="4"/>
      <c r="AD33" s="4"/>
    </row>
    <row r="34" spans="1:30" ht="5.0999999999999996" customHeight="1">
      <c r="A34" s="24"/>
      <c r="B34" s="131"/>
      <c r="C34" s="131"/>
      <c r="D34" s="131"/>
      <c r="E34" s="131"/>
      <c r="F34" s="131"/>
      <c r="G34" s="131"/>
      <c r="H34" s="131"/>
      <c r="I34" s="131"/>
      <c r="J34" s="131"/>
      <c r="K34" s="131"/>
      <c r="L34" s="131"/>
      <c r="M34" s="131"/>
      <c r="N34" s="131"/>
      <c r="O34" s="131"/>
      <c r="P34" s="131"/>
      <c r="Q34" s="131"/>
      <c r="R34" s="131"/>
      <c r="S34" s="148"/>
      <c r="T34" s="148"/>
      <c r="U34" s="148"/>
      <c r="V34" s="148"/>
      <c r="W34" s="148"/>
      <c r="X34" s="148"/>
      <c r="Y34" s="148"/>
      <c r="Z34" s="148"/>
      <c r="AA34" s="4"/>
      <c r="AB34" s="4"/>
      <c r="AC34" s="4"/>
      <c r="AD34" s="4"/>
    </row>
    <row r="35" spans="1:30" ht="15.75">
      <c r="A35" s="24"/>
      <c r="B35" s="730" t="s">
        <v>762</v>
      </c>
      <c r="C35" s="730"/>
      <c r="D35" s="730"/>
      <c r="E35" s="730"/>
      <c r="F35" s="748">
        <f>+'MEM. DESC. I'!J42</f>
        <v>0</v>
      </c>
      <c r="G35" s="749"/>
      <c r="H35" s="749"/>
      <c r="I35" s="749"/>
      <c r="J35" s="749"/>
      <c r="K35" s="749"/>
      <c r="L35" s="749"/>
      <c r="M35" s="749"/>
      <c r="N35" s="749"/>
      <c r="O35" s="749"/>
      <c r="P35" s="749"/>
      <c r="Q35" s="749"/>
      <c r="R35" s="750"/>
      <c r="T35" s="148"/>
      <c r="U35" s="135" t="s">
        <v>763</v>
      </c>
      <c r="V35" s="135"/>
      <c r="W35" s="54"/>
      <c r="X35" s="754"/>
      <c r="Y35" s="755"/>
      <c r="Z35" s="755"/>
      <c r="AA35" s="755"/>
      <c r="AB35" s="755"/>
      <c r="AC35" s="756"/>
      <c r="AD35" s="4"/>
    </row>
    <row r="36" spans="1:30" ht="5.0999999999999996" customHeight="1">
      <c r="A36" s="24"/>
      <c r="B36" s="145"/>
      <c r="C36" s="131"/>
      <c r="D36" s="131"/>
      <c r="E36" s="131"/>
      <c r="F36" s="131"/>
      <c r="G36" s="131"/>
      <c r="H36" s="131"/>
      <c r="I36" s="131"/>
      <c r="J36" s="131"/>
      <c r="K36" s="131"/>
      <c r="L36" s="131"/>
      <c r="M36" s="132"/>
      <c r="N36" s="131"/>
      <c r="O36" s="131"/>
      <c r="P36" s="131"/>
      <c r="Q36" s="131"/>
      <c r="R36" s="131"/>
      <c r="S36" s="148"/>
      <c r="T36" s="148"/>
      <c r="U36" s="148"/>
      <c r="V36" s="148"/>
      <c r="W36" s="148"/>
      <c r="X36" s="148"/>
      <c r="Y36" s="148"/>
      <c r="Z36" s="148"/>
      <c r="AA36" s="4"/>
      <c r="AB36" s="4"/>
      <c r="AC36" s="4"/>
      <c r="AD36" s="4"/>
    </row>
    <row r="37" spans="1:30" ht="15.75">
      <c r="A37" s="24"/>
      <c r="B37" s="730" t="s">
        <v>764</v>
      </c>
      <c r="C37" s="730"/>
      <c r="D37" s="730"/>
      <c r="E37" s="730"/>
      <c r="F37" s="606"/>
      <c r="G37" s="608"/>
      <c r="H37" s="132"/>
      <c r="I37" s="606"/>
      <c r="J37" s="607"/>
      <c r="K37" s="607"/>
      <c r="L37" s="608"/>
      <c r="M37" s="141" t="s">
        <v>967</v>
      </c>
      <c r="N37" s="132"/>
      <c r="O37" s="131"/>
      <c r="P37" s="131"/>
      <c r="Q37" s="131"/>
      <c r="R37" s="131"/>
      <c r="S37" s="148"/>
      <c r="T37" s="148"/>
      <c r="U37" s="141" t="s">
        <v>968</v>
      </c>
      <c r="V37" s="148"/>
      <c r="W37" s="148"/>
      <c r="X37" s="148"/>
      <c r="Y37" s="148"/>
      <c r="Z37" s="148"/>
      <c r="AA37" s="4"/>
      <c r="AB37" s="4"/>
      <c r="AC37" s="4"/>
      <c r="AD37" s="4"/>
    </row>
    <row r="38" spans="1:30" ht="5.0999999999999996" customHeight="1">
      <c r="A38" s="24"/>
      <c r="B38" s="145"/>
      <c r="C38" s="131"/>
      <c r="D38" s="131"/>
      <c r="E38" s="131"/>
      <c r="F38" s="131"/>
      <c r="G38" s="131"/>
      <c r="H38" s="131"/>
      <c r="I38" s="131"/>
      <c r="J38" s="131"/>
      <c r="K38" s="131"/>
      <c r="L38" s="131"/>
      <c r="M38" s="131"/>
      <c r="N38" s="131"/>
      <c r="O38" s="131"/>
      <c r="P38" s="131"/>
      <c r="Q38" s="131"/>
      <c r="R38" s="131"/>
      <c r="S38" s="148"/>
      <c r="T38" s="148"/>
      <c r="U38" s="148"/>
      <c r="V38" s="148"/>
      <c r="W38" s="148"/>
      <c r="X38" s="148"/>
      <c r="Y38" s="148"/>
      <c r="Z38" s="148"/>
      <c r="AA38" s="4"/>
      <c r="AB38" s="4"/>
      <c r="AC38" s="4"/>
      <c r="AD38" s="4"/>
    </row>
    <row r="39" spans="1:30" ht="15.75">
      <c r="A39" s="24"/>
      <c r="B39" s="730" t="s">
        <v>765</v>
      </c>
      <c r="C39" s="730"/>
      <c r="D39" s="730"/>
      <c r="E39" s="742"/>
      <c r="F39" s="748">
        <f>+'MEM. DESC. I'!J44</f>
        <v>0</v>
      </c>
      <c r="G39" s="749"/>
      <c r="H39" s="749"/>
      <c r="I39" s="749"/>
      <c r="J39" s="749"/>
      <c r="K39" s="749"/>
      <c r="L39" s="749"/>
      <c r="M39" s="749"/>
      <c r="N39" s="749"/>
      <c r="O39" s="749"/>
      <c r="P39" s="749"/>
      <c r="Q39" s="749"/>
      <c r="R39" s="750"/>
      <c r="S39" s="148"/>
      <c r="T39" s="148"/>
      <c r="U39" s="148"/>
      <c r="V39" s="148"/>
      <c r="W39" s="148"/>
      <c r="X39" s="148"/>
      <c r="Y39" s="148"/>
      <c r="Z39" s="148"/>
      <c r="AA39" s="4"/>
      <c r="AB39" s="4"/>
      <c r="AC39" s="4"/>
      <c r="AD39" s="4"/>
    </row>
    <row r="40" spans="1:30" ht="5.0999999999999996" customHeight="1">
      <c r="A40" s="24"/>
      <c r="B40" s="145"/>
      <c r="C40" s="131"/>
      <c r="D40" s="131"/>
      <c r="E40" s="131"/>
      <c r="F40" s="131"/>
      <c r="G40" s="131"/>
      <c r="H40" s="131"/>
      <c r="I40" s="131"/>
      <c r="J40" s="131"/>
      <c r="K40" s="131"/>
      <c r="L40" s="131"/>
      <c r="M40" s="131"/>
      <c r="N40" s="131"/>
      <c r="O40" s="131"/>
      <c r="P40" s="131"/>
      <c r="Q40" s="131"/>
      <c r="R40" s="131"/>
      <c r="S40" s="148"/>
      <c r="T40" s="148"/>
      <c r="U40" s="148"/>
      <c r="V40" s="148"/>
      <c r="W40" s="148"/>
      <c r="X40" s="148"/>
      <c r="Y40" s="148"/>
      <c r="Z40" s="148"/>
      <c r="AA40" s="4"/>
      <c r="AB40" s="4"/>
      <c r="AC40" s="4"/>
      <c r="AD40" s="4"/>
    </row>
    <row r="41" spans="1:30" ht="15.75">
      <c r="A41" s="24"/>
      <c r="B41" s="730" t="s">
        <v>1020</v>
      </c>
      <c r="C41" s="730"/>
      <c r="D41" s="730"/>
      <c r="E41" s="730"/>
      <c r="F41" s="731"/>
      <c r="G41" s="732"/>
      <c r="H41" s="733"/>
      <c r="I41" s="132"/>
      <c r="J41" s="131"/>
      <c r="K41" s="131"/>
      <c r="L41" s="131"/>
      <c r="M41" s="131"/>
      <c r="N41" s="131"/>
      <c r="O41" s="131"/>
      <c r="P41" s="131"/>
      <c r="Q41" s="131"/>
      <c r="R41" s="131"/>
      <c r="S41" s="148"/>
      <c r="T41" s="148"/>
      <c r="U41" s="148"/>
      <c r="V41" s="148"/>
      <c r="W41" s="148"/>
      <c r="X41" s="148"/>
      <c r="Y41" s="148"/>
      <c r="Z41" s="148"/>
      <c r="AA41" s="4"/>
      <c r="AB41" s="4"/>
      <c r="AC41" s="4"/>
      <c r="AD41" s="4"/>
    </row>
    <row r="42" spans="1:30" ht="5.0999999999999996" customHeight="1">
      <c r="A42" s="24"/>
      <c r="B42" s="131"/>
      <c r="C42" s="131"/>
      <c r="D42" s="131"/>
      <c r="E42" s="131"/>
      <c r="F42" s="131"/>
      <c r="G42" s="131"/>
      <c r="H42" s="131"/>
      <c r="I42" s="131"/>
      <c r="J42" s="131"/>
      <c r="K42" s="131"/>
      <c r="L42" s="131"/>
      <c r="M42" s="131"/>
      <c r="N42" s="131"/>
      <c r="O42" s="131"/>
      <c r="P42" s="131"/>
      <c r="Q42" s="131"/>
      <c r="R42" s="131"/>
      <c r="S42" s="148"/>
      <c r="T42" s="148"/>
      <c r="U42" s="148"/>
      <c r="V42" s="148"/>
      <c r="W42" s="148"/>
      <c r="X42" s="148"/>
      <c r="Y42" s="148"/>
      <c r="Z42" s="148"/>
      <c r="AA42" s="4"/>
      <c r="AB42" s="4"/>
      <c r="AC42" s="4"/>
      <c r="AD42" s="4"/>
    </row>
    <row r="43" spans="1:30" ht="15.75">
      <c r="A43" s="24"/>
      <c r="B43" s="152" t="s">
        <v>766</v>
      </c>
      <c r="C43" s="130"/>
      <c r="D43" s="131"/>
      <c r="E43" s="131"/>
      <c r="F43" s="131"/>
      <c r="G43" s="131"/>
      <c r="H43" s="131"/>
      <c r="I43" s="131"/>
      <c r="J43" s="131"/>
      <c r="K43" s="131"/>
      <c r="L43" s="131"/>
      <c r="M43" s="131"/>
      <c r="N43" s="131"/>
      <c r="O43" s="131"/>
      <c r="P43" s="131"/>
      <c r="Q43" s="131"/>
      <c r="R43" s="131"/>
      <c r="S43" s="148"/>
      <c r="T43" s="148"/>
      <c r="U43" s="148"/>
      <c r="V43" s="148"/>
      <c r="W43" s="148"/>
      <c r="X43" s="148"/>
      <c r="Y43" s="148"/>
      <c r="Z43" s="148"/>
      <c r="AA43" s="4"/>
      <c r="AB43" s="4"/>
      <c r="AC43" s="4"/>
      <c r="AD43" s="4"/>
    </row>
    <row r="44" spans="1:30" ht="5.0999999999999996" customHeight="1">
      <c r="A44" s="24"/>
      <c r="B44" s="131"/>
      <c r="C44" s="131"/>
      <c r="D44" s="131"/>
      <c r="E44" s="131"/>
      <c r="F44" s="131"/>
      <c r="G44" s="131"/>
      <c r="H44" s="131"/>
      <c r="I44" s="131"/>
      <c r="J44" s="131"/>
      <c r="K44" s="131"/>
      <c r="L44" s="131"/>
      <c r="M44" s="131"/>
      <c r="N44" s="131"/>
      <c r="O44" s="131"/>
      <c r="P44" s="131"/>
      <c r="Q44" s="131"/>
      <c r="R44" s="131"/>
      <c r="S44" s="148"/>
      <c r="T44" s="148"/>
      <c r="U44" s="148"/>
      <c r="V44" s="148"/>
      <c r="W44" s="148"/>
      <c r="X44" s="148"/>
      <c r="Y44" s="148"/>
      <c r="Z44" s="148"/>
      <c r="AA44" s="4"/>
      <c r="AB44" s="4"/>
      <c r="AC44" s="4"/>
      <c r="AD44" s="4"/>
    </row>
    <row r="45" spans="1:30" ht="34.5" customHeight="1">
      <c r="A45" s="24"/>
      <c r="B45" s="1027" t="s">
        <v>1529</v>
      </c>
      <c r="C45" s="1027"/>
      <c r="D45" s="1027"/>
      <c r="E45" s="1028"/>
      <c r="F45" s="1029">
        <f>+'MEM. DESC. I'!J48</f>
        <v>0</v>
      </c>
      <c r="G45" s="1030"/>
      <c r="H45" s="1030"/>
      <c r="I45" s="1030"/>
      <c r="J45" s="1030"/>
      <c r="K45" s="1030"/>
      <c r="L45" s="1030"/>
      <c r="M45" s="1030"/>
      <c r="N45" s="1030"/>
      <c r="O45" s="1030"/>
      <c r="P45" s="1030"/>
      <c r="Q45" s="1030"/>
      <c r="R45" s="1030"/>
      <c r="S45" s="1030"/>
      <c r="T45" s="1030"/>
      <c r="U45" s="1030"/>
      <c r="V45" s="1030"/>
      <c r="W45" s="1030"/>
      <c r="X45" s="1030"/>
      <c r="Y45" s="1030"/>
      <c r="Z45" s="1030"/>
      <c r="AA45" s="1030"/>
      <c r="AB45" s="1030"/>
      <c r="AC45" s="1031"/>
      <c r="AD45" s="4"/>
    </row>
    <row r="46" spans="1:30" ht="5.0999999999999996" customHeight="1">
      <c r="A46" s="24"/>
      <c r="B46" s="135"/>
      <c r="C46" s="135"/>
      <c r="D46" s="135"/>
      <c r="E46" s="131"/>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4"/>
    </row>
    <row r="47" spans="1:30" s="129" customFormat="1" ht="16.5">
      <c r="A47" s="144"/>
      <c r="B47" s="135" t="s">
        <v>1031</v>
      </c>
      <c r="C47" s="135"/>
      <c r="D47" s="135"/>
      <c r="E47" s="131"/>
      <c r="F47" s="748">
        <f>+'HR-COMÚN TERMINADO'!F47</f>
        <v>0</v>
      </c>
      <c r="G47" s="749"/>
      <c r="H47" s="749"/>
      <c r="I47" s="749"/>
      <c r="J47" s="750"/>
      <c r="K47" s="188"/>
      <c r="L47" s="135" t="s">
        <v>1032</v>
      </c>
      <c r="M47" s="188"/>
      <c r="N47" s="188"/>
      <c r="O47" s="748">
        <f>+'HR-COMÚN TERMINADO'!O47</f>
        <v>0</v>
      </c>
      <c r="P47" s="749"/>
      <c r="Q47" s="749"/>
      <c r="R47" s="749"/>
      <c r="S47" s="750"/>
      <c r="T47" s="188"/>
      <c r="U47" s="186" t="s">
        <v>435</v>
      </c>
      <c r="V47" s="188"/>
      <c r="W47" s="188"/>
      <c r="X47" s="188"/>
      <c r="Y47" s="757">
        <f>+'HR-COMÚN TERMINADO'!Y47</f>
        <v>0</v>
      </c>
      <c r="Z47" s="758"/>
      <c r="AA47" s="758"/>
      <c r="AB47" s="758"/>
      <c r="AC47" s="759"/>
      <c r="AD47" s="4"/>
    </row>
    <row r="48" spans="1:30" ht="5.0999999999999996" customHeight="1">
      <c r="A48" s="24"/>
      <c r="B48" s="145"/>
      <c r="C48" s="145"/>
      <c r="D48" s="145"/>
      <c r="E48" s="131"/>
      <c r="F48" s="131"/>
      <c r="G48" s="131"/>
      <c r="H48" s="131"/>
      <c r="I48" s="131"/>
      <c r="J48" s="131"/>
      <c r="K48" s="131"/>
      <c r="L48" s="131"/>
      <c r="M48" s="131"/>
      <c r="N48" s="131"/>
      <c r="O48" s="131"/>
      <c r="P48" s="131"/>
      <c r="Q48" s="131"/>
      <c r="R48" s="131"/>
      <c r="S48" s="148"/>
      <c r="T48" s="148"/>
      <c r="U48" s="148"/>
      <c r="V48" s="148"/>
      <c r="W48" s="148"/>
      <c r="X48" s="148"/>
      <c r="Y48" s="148"/>
      <c r="Z48" s="148"/>
      <c r="AA48" s="4"/>
      <c r="AB48" s="4"/>
      <c r="AC48" s="4"/>
      <c r="AD48" s="4"/>
    </row>
    <row r="49" spans="1:30" ht="15.75">
      <c r="A49" s="24"/>
      <c r="B49" s="679" t="s">
        <v>791</v>
      </c>
      <c r="C49" s="679"/>
      <c r="D49" s="679"/>
      <c r="E49" s="679"/>
      <c r="F49" s="137" t="s">
        <v>795</v>
      </c>
      <c r="G49" s="138"/>
      <c r="H49" s="680">
        <f>+'HR-COMÚN TERMINADO'!H49</f>
        <v>0</v>
      </c>
      <c r="I49" s="681"/>
      <c r="J49" s="682"/>
      <c r="L49" s="139" t="s">
        <v>796</v>
      </c>
      <c r="M49" s="140"/>
      <c r="N49" s="149"/>
      <c r="O49" s="751">
        <f>+'HR-COMÚN TERMINADO'!O49</f>
        <v>0</v>
      </c>
      <c r="P49" s="1021"/>
      <c r="Q49" s="1022"/>
      <c r="R49" s="33" t="s">
        <v>798</v>
      </c>
      <c r="T49" s="136"/>
      <c r="U49" s="136"/>
      <c r="V49" s="136"/>
      <c r="W49" s="4"/>
      <c r="Y49" s="4"/>
      <c r="Z49" s="33"/>
      <c r="AA49" s="26"/>
      <c r="AB49" s="26"/>
      <c r="AC49" s="4"/>
      <c r="AD49" s="4"/>
    </row>
    <row r="50" spans="1:30" ht="5.0999999999999996" customHeight="1">
      <c r="A50" s="24"/>
      <c r="B50" s="146"/>
      <c r="C50" s="146"/>
      <c r="D50" s="146"/>
      <c r="E50" s="146"/>
      <c r="F50" s="34"/>
      <c r="G50" s="34"/>
      <c r="H50" s="34"/>
      <c r="I50" s="34"/>
      <c r="J50" s="54"/>
      <c r="K50" s="54"/>
      <c r="L50" s="54"/>
      <c r="M50" s="136"/>
      <c r="N50" s="136"/>
      <c r="O50" s="136"/>
      <c r="P50" s="4"/>
      <c r="Q50" s="42"/>
      <c r="R50" s="42"/>
      <c r="S50" s="42"/>
      <c r="T50" s="136"/>
      <c r="U50" s="136"/>
      <c r="V50" s="136"/>
      <c r="W50" s="4"/>
      <c r="X50" s="33"/>
      <c r="Y50" s="4"/>
      <c r="Z50" s="33"/>
      <c r="AA50" s="26"/>
      <c r="AB50" s="26"/>
      <c r="AC50" s="4"/>
      <c r="AD50" s="4"/>
    </row>
    <row r="51" spans="1:30" ht="15.75">
      <c r="A51" s="24"/>
      <c r="B51" s="746" t="s">
        <v>277</v>
      </c>
      <c r="C51" s="746"/>
      <c r="D51" s="746"/>
      <c r="E51" s="746"/>
      <c r="F51" s="743"/>
      <c r="G51" s="744"/>
      <c r="H51" s="744"/>
      <c r="I51" s="745"/>
      <c r="K51" s="679" t="s">
        <v>971</v>
      </c>
      <c r="L51" s="679"/>
      <c r="M51" s="679"/>
      <c r="N51" s="679"/>
      <c r="O51" s="743"/>
      <c r="P51" s="744"/>
      <c r="Q51" s="744"/>
      <c r="R51" s="745"/>
      <c r="S51" s="42"/>
      <c r="T51" s="136"/>
      <c r="U51" s="136"/>
      <c r="V51" s="136"/>
      <c r="W51" s="4"/>
      <c r="X51" s="33"/>
      <c r="Y51" s="4"/>
      <c r="Z51" s="33"/>
      <c r="AA51" s="26"/>
      <c r="AB51" s="26"/>
      <c r="AC51" s="4"/>
      <c r="AD51" s="4"/>
    </row>
    <row r="52" spans="1:30" ht="5.0999999999999996" customHeight="1">
      <c r="A52" s="24"/>
      <c r="B52" s="145"/>
      <c r="C52" s="145"/>
      <c r="D52" s="145"/>
      <c r="E52" s="131"/>
      <c r="F52" s="131"/>
      <c r="G52" s="131"/>
      <c r="H52" s="131"/>
      <c r="I52" s="131"/>
      <c r="J52" s="131"/>
      <c r="K52" s="131"/>
      <c r="L52" s="131"/>
      <c r="M52" s="131"/>
      <c r="N52" s="131"/>
      <c r="O52" s="131"/>
      <c r="P52" s="131"/>
      <c r="Q52" s="131"/>
      <c r="R52" s="131"/>
      <c r="S52" s="148"/>
      <c r="T52" s="148"/>
      <c r="U52" s="148"/>
      <c r="V52" s="148"/>
      <c r="W52" s="148"/>
      <c r="X52" s="148"/>
      <c r="Y52" s="148"/>
      <c r="Z52" s="148"/>
      <c r="AA52" s="4"/>
      <c r="AB52" s="4"/>
      <c r="AC52" s="4"/>
      <c r="AD52" s="4"/>
    </row>
    <row r="53" spans="1:30" ht="5.0999999999999996" customHeight="1">
      <c r="A53" s="24"/>
      <c r="B53" s="145"/>
      <c r="C53" s="145"/>
      <c r="D53" s="145"/>
      <c r="E53" s="131"/>
      <c r="F53" s="131"/>
      <c r="G53" s="131"/>
      <c r="H53" s="131"/>
      <c r="I53" s="131"/>
      <c r="J53" s="131"/>
      <c r="K53" s="131"/>
      <c r="L53" s="131"/>
      <c r="M53" s="131"/>
      <c r="N53" s="131"/>
      <c r="O53" s="131"/>
      <c r="P53" s="131"/>
      <c r="Q53" s="131"/>
      <c r="R53" s="131"/>
      <c r="S53" s="148"/>
      <c r="T53" s="148"/>
      <c r="U53" s="148"/>
      <c r="V53" s="148"/>
      <c r="W53" s="148"/>
      <c r="X53" s="148"/>
      <c r="Y53" s="148"/>
      <c r="Z53" s="148"/>
      <c r="AA53" s="4"/>
      <c r="AB53" s="4"/>
      <c r="AC53" s="4"/>
      <c r="AD53" s="4"/>
    </row>
    <row r="54" spans="1:30" ht="15.75">
      <c r="A54" s="24"/>
      <c r="B54" s="34"/>
      <c r="C54" s="34"/>
      <c r="D54" s="34"/>
      <c r="E54" s="34"/>
      <c r="F54" s="747" t="s">
        <v>809</v>
      </c>
      <c r="G54" s="747"/>
      <c r="H54" s="747"/>
      <c r="I54" s="747"/>
      <c r="J54" s="747"/>
      <c r="K54" s="42"/>
      <c r="L54" s="747" t="s">
        <v>774</v>
      </c>
      <c r="M54" s="747"/>
      <c r="N54" s="24"/>
      <c r="O54" s="24"/>
      <c r="P54" s="24"/>
      <c r="Q54" s="24"/>
      <c r="R54" s="24"/>
      <c r="S54" s="148"/>
      <c r="T54" s="24"/>
      <c r="U54" s="148"/>
      <c r="V54" s="148"/>
      <c r="W54" s="148"/>
      <c r="X54" s="148"/>
      <c r="Y54" s="148"/>
      <c r="Z54" s="148"/>
      <c r="AA54" s="4"/>
      <c r="AB54" s="4"/>
      <c r="AC54" s="4"/>
      <c r="AD54" s="4"/>
    </row>
    <row r="55" spans="1:30" ht="15.75">
      <c r="A55" s="24"/>
      <c r="B55" s="679" t="s">
        <v>964</v>
      </c>
      <c r="C55" s="679"/>
      <c r="D55" s="679"/>
      <c r="E55" s="679"/>
      <c r="F55" s="680"/>
      <c r="G55" s="681"/>
      <c r="H55" s="681"/>
      <c r="I55" s="681"/>
      <c r="J55" s="682"/>
      <c r="K55" s="42"/>
      <c r="L55" s="711"/>
      <c r="M55" s="712"/>
      <c r="N55" s="24"/>
      <c r="O55" s="763" t="s">
        <v>966</v>
      </c>
      <c r="P55" s="763"/>
      <c r="Q55" s="763"/>
      <c r="R55" s="763"/>
      <c r="S55" s="680"/>
      <c r="T55" s="682"/>
      <c r="U55" s="42"/>
      <c r="V55" s="763" t="s">
        <v>58</v>
      </c>
      <c r="W55" s="763"/>
      <c r="X55" s="763"/>
      <c r="Y55" s="763"/>
      <c r="Z55" s="763"/>
      <c r="AA55" s="764"/>
      <c r="AB55" s="613"/>
      <c r="AC55" s="615"/>
      <c r="AD55" s="4"/>
    </row>
    <row r="56" spans="1:30" ht="15.75">
      <c r="A56" s="24"/>
      <c r="B56" s="34"/>
      <c r="C56" s="34"/>
      <c r="D56" s="34"/>
      <c r="E56" s="34"/>
      <c r="F56" s="680"/>
      <c r="G56" s="681"/>
      <c r="H56" s="681"/>
      <c r="I56" s="681"/>
      <c r="J56" s="682"/>
      <c r="K56" s="42"/>
      <c r="L56" s="711"/>
      <c r="M56" s="712"/>
      <c r="N56" s="148"/>
      <c r="O56" s="24"/>
      <c r="P56" s="24"/>
      <c r="Q56" s="24"/>
      <c r="R56" s="24"/>
      <c r="S56" s="148"/>
      <c r="T56" s="148"/>
      <c r="U56" s="148"/>
      <c r="V56" s="148"/>
      <c r="W56" s="148"/>
      <c r="X56" s="148"/>
      <c r="Y56" s="148"/>
      <c r="Z56" s="148"/>
      <c r="AA56" s="4"/>
      <c r="AB56" s="4"/>
      <c r="AC56" s="4"/>
      <c r="AD56" s="4"/>
    </row>
    <row r="57" spans="1:30" ht="15.75">
      <c r="A57" s="24"/>
      <c r="B57" s="4"/>
      <c r="C57" s="4"/>
      <c r="D57" s="4"/>
      <c r="E57" s="4"/>
      <c r="F57" s="680"/>
      <c r="G57" s="681"/>
      <c r="H57" s="681"/>
      <c r="I57" s="681"/>
      <c r="J57" s="682"/>
      <c r="K57" s="5"/>
      <c r="L57" s="711"/>
      <c r="M57" s="712"/>
      <c r="N57" s="24"/>
      <c r="O57" s="24"/>
      <c r="P57" s="24"/>
      <c r="Q57" s="24"/>
      <c r="R57" s="24"/>
      <c r="S57" s="24"/>
      <c r="T57" s="5"/>
      <c r="U57" s="5"/>
      <c r="V57" s="4"/>
      <c r="W57" s="4"/>
      <c r="X57" s="4"/>
      <c r="Y57" s="4"/>
      <c r="Z57" s="4"/>
      <c r="AA57" s="4"/>
      <c r="AB57" s="4"/>
      <c r="AC57" s="4"/>
      <c r="AD57" s="4"/>
    </row>
    <row r="58" spans="1:30" ht="5.0999999999999996" customHeight="1">
      <c r="A58" s="24"/>
      <c r="B58" s="4"/>
      <c r="C58" s="4"/>
      <c r="D58" s="4"/>
      <c r="E58" s="4"/>
      <c r="F58" s="42"/>
      <c r="G58" s="42"/>
      <c r="H58" s="42"/>
      <c r="I58" s="42"/>
      <c r="J58" s="42"/>
      <c r="K58" s="5"/>
      <c r="L58" s="53"/>
      <c r="M58" s="53"/>
      <c r="N58" s="24"/>
      <c r="O58" s="24"/>
      <c r="P58" s="24"/>
      <c r="Q58" s="24"/>
      <c r="R58" s="24"/>
      <c r="S58" s="24"/>
      <c r="T58" s="5"/>
      <c r="U58" s="5"/>
      <c r="V58" s="4"/>
      <c r="W58" s="4"/>
      <c r="X58" s="4"/>
      <c r="Y58" s="4"/>
      <c r="Z58" s="4"/>
      <c r="AA58" s="4"/>
      <c r="AB58" s="4"/>
      <c r="AC58" s="4"/>
      <c r="AD58" s="4"/>
    </row>
    <row r="59" spans="1:30" ht="15.75" customHeight="1">
      <c r="A59" s="24"/>
      <c r="B59" s="609" t="s">
        <v>284</v>
      </c>
      <c r="C59" s="609"/>
      <c r="D59" s="609"/>
      <c r="E59" s="609"/>
      <c r="F59" s="680"/>
      <c r="G59" s="681"/>
      <c r="H59" s="681"/>
      <c r="I59" s="681"/>
      <c r="J59" s="682"/>
      <c r="K59" s="5"/>
      <c r="L59" s="609" t="s">
        <v>972</v>
      </c>
      <c r="M59" s="609"/>
      <c r="N59" s="609"/>
      <c r="O59" s="609"/>
      <c r="P59" s="609"/>
      <c r="Q59" s="609"/>
      <c r="R59" s="771"/>
      <c r="S59" s="772"/>
      <c r="T59" s="772"/>
      <c r="U59" s="772"/>
      <c r="V59" s="772"/>
      <c r="W59" s="772"/>
      <c r="X59" s="772"/>
      <c r="Y59" s="772"/>
      <c r="Z59" s="772"/>
      <c r="AA59" s="772"/>
      <c r="AB59" s="772"/>
      <c r="AC59" s="773"/>
      <c r="AD59" s="4"/>
    </row>
    <row r="60" spans="1:30" ht="5.0999999999999996" customHeight="1">
      <c r="A60" s="24"/>
      <c r="B60" s="4"/>
      <c r="C60" s="4"/>
      <c r="D60" s="4"/>
      <c r="E60" s="4"/>
      <c r="F60" s="42"/>
      <c r="G60" s="42"/>
      <c r="H60" s="42"/>
      <c r="I60" s="42"/>
      <c r="J60" s="42"/>
      <c r="K60" s="5"/>
      <c r="L60" s="53"/>
      <c r="M60" s="53"/>
      <c r="N60" s="24"/>
      <c r="O60" s="24"/>
      <c r="P60" s="24"/>
      <c r="Q60" s="24"/>
      <c r="R60" s="24"/>
      <c r="S60" s="24"/>
      <c r="T60" s="5"/>
      <c r="U60" s="5"/>
      <c r="V60" s="4"/>
      <c r="W60" s="4"/>
      <c r="X60" s="4"/>
      <c r="Y60" s="4"/>
      <c r="Z60" s="4"/>
      <c r="AA60" s="4"/>
      <c r="AB60" s="4"/>
      <c r="AC60" s="4"/>
      <c r="AD60" s="4"/>
    </row>
    <row r="61" spans="1:30" ht="15.75" customHeight="1">
      <c r="A61" s="24"/>
      <c r="B61" s="765" t="s">
        <v>973</v>
      </c>
      <c r="C61" s="765"/>
      <c r="D61" s="765"/>
      <c r="E61" s="765"/>
      <c r="F61" s="765"/>
      <c r="G61" s="765"/>
      <c r="H61" s="765"/>
      <c r="I61" s="765"/>
      <c r="J61" s="765"/>
      <c r="K61" s="765"/>
      <c r="L61" s="765"/>
      <c r="M61" s="765"/>
      <c r="N61" s="766"/>
      <c r="O61" s="767"/>
      <c r="P61" s="134"/>
      <c r="Q61" s="24"/>
      <c r="R61" s="24"/>
      <c r="S61" s="24"/>
      <c r="T61" s="5"/>
      <c r="U61" s="5"/>
      <c r="V61" s="4"/>
      <c r="W61" s="4"/>
      <c r="X61" s="4"/>
      <c r="Y61" s="4"/>
      <c r="Z61" s="4"/>
      <c r="AA61" s="4"/>
      <c r="AB61" s="4"/>
      <c r="AC61" s="4"/>
      <c r="AD61" s="4"/>
    </row>
    <row r="62" spans="1:30" ht="15.75">
      <c r="A62" s="24"/>
      <c r="B62" s="142" t="s">
        <v>767</v>
      </c>
      <c r="C62" s="142"/>
      <c r="D62" s="142"/>
      <c r="E62" s="142"/>
      <c r="F62" s="143"/>
      <c r="G62" s="143"/>
      <c r="H62" s="143"/>
      <c r="I62" s="143"/>
      <c r="J62" s="143"/>
      <c r="K62" s="143"/>
      <c r="L62" s="143"/>
      <c r="M62" s="143"/>
      <c r="N62" s="134"/>
      <c r="O62" s="134"/>
      <c r="P62" s="134"/>
      <c r="Q62" s="24"/>
      <c r="R62" s="24"/>
      <c r="S62" s="24"/>
      <c r="T62" s="5"/>
      <c r="U62" s="5"/>
      <c r="V62" s="4"/>
      <c r="W62" s="4"/>
      <c r="X62" s="4"/>
      <c r="Y62" s="4"/>
      <c r="Z62" s="4"/>
      <c r="AA62" s="4"/>
      <c r="AB62" s="4"/>
      <c r="AC62" s="4"/>
      <c r="AD62" s="4"/>
    </row>
    <row r="63" spans="1:30" ht="15.75" customHeight="1">
      <c r="A63" s="24"/>
      <c r="B63" s="765" t="s">
        <v>768</v>
      </c>
      <c r="C63" s="765"/>
      <c r="D63" s="765"/>
      <c r="E63" s="765"/>
      <c r="F63" s="765"/>
      <c r="G63" s="765"/>
      <c r="H63" s="765"/>
      <c r="I63" s="765"/>
      <c r="J63" s="765"/>
      <c r="K63" s="765"/>
      <c r="L63" s="765"/>
      <c r="M63" s="765"/>
      <c r="N63" s="766"/>
      <c r="O63" s="767"/>
      <c r="P63" s="134"/>
      <c r="Q63" s="609" t="s">
        <v>769</v>
      </c>
      <c r="R63" s="609"/>
      <c r="S63" s="609"/>
      <c r="T63" s="609"/>
      <c r="U63" s="609"/>
      <c r="V63" s="609"/>
      <c r="W63" s="766"/>
      <c r="X63" s="767"/>
      <c r="Y63" s="147"/>
      <c r="Z63" s="147"/>
      <c r="AA63" s="147"/>
      <c r="AB63" s="4"/>
      <c r="AC63" s="4"/>
      <c r="AD63" s="4"/>
    </row>
    <row r="64" spans="1:30" ht="15.75">
      <c r="A64" s="24"/>
      <c r="B64" s="142" t="s">
        <v>767</v>
      </c>
      <c r="C64" s="142"/>
      <c r="D64" s="142"/>
      <c r="E64" s="142"/>
      <c r="F64" s="143"/>
      <c r="G64" s="143"/>
      <c r="H64" s="143"/>
      <c r="I64" s="143"/>
      <c r="J64" s="143"/>
      <c r="K64" s="143"/>
      <c r="L64" s="143"/>
      <c r="M64" s="143"/>
      <c r="N64" s="134"/>
      <c r="O64" s="134"/>
      <c r="P64" s="134"/>
      <c r="Q64" s="142" t="s">
        <v>767</v>
      </c>
      <c r="R64" s="142"/>
      <c r="S64" s="142"/>
      <c r="T64" s="142"/>
      <c r="U64" s="143"/>
      <c r="V64" s="143"/>
      <c r="W64" s="143"/>
      <c r="X64" s="143"/>
      <c r="Y64" s="143"/>
      <c r="Z64" s="143"/>
      <c r="AA64" s="143"/>
      <c r="AB64" s="4"/>
      <c r="AC64" s="4"/>
      <c r="AD64" s="4"/>
    </row>
    <row r="65" spans="1:30" ht="5.0999999999999996" customHeight="1">
      <c r="A65" s="24"/>
      <c r="B65" s="24"/>
      <c r="C65" s="24"/>
      <c r="D65" s="24"/>
      <c r="E65" s="24"/>
      <c r="F65" s="24"/>
      <c r="G65" s="24"/>
      <c r="H65" s="24"/>
      <c r="I65" s="24"/>
      <c r="J65" s="24"/>
      <c r="K65" s="24"/>
      <c r="L65" s="24"/>
      <c r="M65" s="24"/>
      <c r="N65" s="24"/>
      <c r="O65" s="24"/>
      <c r="P65" s="134"/>
      <c r="Q65" s="24"/>
      <c r="R65" s="24"/>
      <c r="S65" s="24"/>
      <c r="T65" s="5"/>
      <c r="U65" s="5"/>
      <c r="V65" s="4"/>
      <c r="W65" s="4"/>
      <c r="X65" s="4"/>
      <c r="Y65" s="4"/>
      <c r="Z65" s="4"/>
      <c r="AA65" s="4"/>
      <c r="AB65" s="4"/>
      <c r="AC65" s="4"/>
      <c r="AD65" s="4"/>
    </row>
    <row r="66" spans="1:30" ht="15.75" customHeight="1">
      <c r="A66" s="24"/>
      <c r="B66" s="679" t="s">
        <v>56</v>
      </c>
      <c r="C66" s="679"/>
      <c r="D66" s="679"/>
      <c r="E66" s="679"/>
      <c r="F66" s="741"/>
      <c r="G66" s="680"/>
      <c r="H66" s="682"/>
      <c r="I66" s="24"/>
      <c r="J66" s="679" t="s">
        <v>287</v>
      </c>
      <c r="K66" s="679"/>
      <c r="L66" s="679"/>
      <c r="M66" s="679"/>
      <c r="N66" s="679"/>
      <c r="O66" s="741"/>
      <c r="P66" s="766"/>
      <c r="Q66" s="768"/>
      <c r="R66" s="768"/>
      <c r="S66" s="767"/>
      <c r="T66" s="5"/>
      <c r="U66" s="5"/>
      <c r="V66" s="4"/>
      <c r="W66" s="4"/>
      <c r="X66" s="4"/>
      <c r="Y66" s="4"/>
      <c r="Z66" s="4"/>
      <c r="AA66" s="4"/>
      <c r="AB66" s="4"/>
      <c r="AC66" s="4"/>
      <c r="AD66" s="4"/>
    </row>
    <row r="67" spans="1:30" ht="5.0999999999999996" customHeight="1">
      <c r="A67" s="24"/>
      <c r="B67" s="4"/>
      <c r="C67" s="4"/>
      <c r="D67" s="4"/>
      <c r="E67" s="4"/>
      <c r="F67" s="42"/>
      <c r="G67" s="42"/>
      <c r="H67" s="42"/>
      <c r="I67" s="42"/>
      <c r="J67" s="42"/>
      <c r="K67" s="5"/>
      <c r="L67" s="53"/>
      <c r="M67" s="53"/>
      <c r="N67" s="24"/>
      <c r="O67" s="24"/>
      <c r="P67" s="24"/>
      <c r="Q67" s="24"/>
      <c r="R67" s="24"/>
      <c r="S67" s="24"/>
      <c r="T67" s="5"/>
      <c r="U67" s="5"/>
      <c r="V67" s="4"/>
      <c r="W67" s="4"/>
      <c r="X67" s="4"/>
      <c r="Y67" s="4"/>
      <c r="Z67" s="4"/>
      <c r="AA67" s="4"/>
      <c r="AB67" s="4"/>
      <c r="AC67" s="4"/>
      <c r="AD67" s="4"/>
    </row>
    <row r="68" spans="1:30" s="129" customFormat="1" ht="16.5" customHeight="1">
      <c r="A68" s="144"/>
      <c r="B68" s="609" t="s">
        <v>974</v>
      </c>
      <c r="C68" s="609"/>
      <c r="D68" s="609"/>
      <c r="E68" s="609"/>
      <c r="F68" s="609"/>
      <c r="G68" s="609"/>
      <c r="H68" s="734"/>
      <c r="I68" s="735"/>
      <c r="J68" s="133"/>
      <c r="K68" s="609" t="s">
        <v>771</v>
      </c>
      <c r="L68" s="609"/>
      <c r="M68" s="609"/>
      <c r="N68" s="609"/>
      <c r="O68" s="734"/>
      <c r="P68" s="735"/>
      <c r="Q68" s="133"/>
      <c r="R68" s="609" t="s">
        <v>772</v>
      </c>
      <c r="S68" s="609"/>
      <c r="T68" s="609"/>
      <c r="U68" s="734"/>
      <c r="V68" s="735"/>
      <c r="W68" s="144"/>
      <c r="X68" s="144"/>
      <c r="Y68" s="144"/>
      <c r="Z68" s="144"/>
      <c r="AA68" s="144"/>
      <c r="AB68" s="144"/>
      <c r="AC68" s="144"/>
      <c r="AD68" s="144"/>
    </row>
    <row r="69" spans="1:30" s="129" customFormat="1" ht="5.0999999999999996" customHeight="1">
      <c r="A69" s="144"/>
      <c r="B69" s="145"/>
      <c r="C69" s="145"/>
      <c r="D69" s="145"/>
      <c r="E69" s="145"/>
      <c r="F69" s="134"/>
      <c r="G69" s="134"/>
      <c r="H69" s="134"/>
      <c r="I69" s="134"/>
      <c r="J69" s="134"/>
      <c r="K69" s="134"/>
      <c r="L69" s="134"/>
      <c r="M69" s="134"/>
      <c r="N69" s="134"/>
      <c r="O69" s="134"/>
      <c r="P69" s="134"/>
      <c r="Q69" s="134"/>
      <c r="R69" s="134"/>
      <c r="S69" s="144"/>
      <c r="T69" s="144"/>
      <c r="U69" s="144"/>
      <c r="V69" s="144"/>
      <c r="W69" s="144"/>
      <c r="X69" s="144"/>
      <c r="Y69" s="144"/>
      <c r="Z69" s="144"/>
      <c r="AA69" s="144"/>
      <c r="AB69" s="144"/>
      <c r="AC69" s="144"/>
      <c r="AD69" s="144"/>
    </row>
    <row r="70" spans="1:30" s="129" customFormat="1" ht="16.5">
      <c r="A70" s="144"/>
      <c r="B70" s="609" t="s">
        <v>770</v>
      </c>
      <c r="C70" s="609"/>
      <c r="D70" s="609"/>
      <c r="E70" s="609"/>
      <c r="F70" s="609"/>
      <c r="G70" s="609"/>
      <c r="H70" s="606" t="s">
        <v>448</v>
      </c>
      <c r="I70" s="607"/>
      <c r="J70" s="607"/>
      <c r="K70" s="608"/>
      <c r="L70" s="183"/>
      <c r="M70" s="184" t="s">
        <v>774</v>
      </c>
      <c r="N70" s="604">
        <v>20</v>
      </c>
      <c r="O70" s="605"/>
      <c r="P70" s="144"/>
      <c r="Q70" s="609" t="s">
        <v>975</v>
      </c>
      <c r="R70" s="609"/>
      <c r="S70" s="609"/>
      <c r="T70" s="609"/>
      <c r="U70" s="606" t="s">
        <v>394</v>
      </c>
      <c r="V70" s="607"/>
      <c r="W70" s="607"/>
      <c r="X70" s="608"/>
      <c r="Y70" s="183"/>
      <c r="Z70" s="185" t="s">
        <v>774</v>
      </c>
      <c r="AA70" s="604">
        <v>20</v>
      </c>
      <c r="AB70" s="605"/>
      <c r="AC70" s="144"/>
      <c r="AD70" s="144"/>
    </row>
    <row r="71" spans="1:30" s="129" customFormat="1" ht="5.0999999999999996" customHeight="1">
      <c r="A71" s="144"/>
      <c r="B71" s="145"/>
      <c r="C71" s="145"/>
      <c r="D71" s="145"/>
      <c r="E71" s="145"/>
      <c r="F71" s="131"/>
      <c r="G71" s="131"/>
      <c r="H71" s="131"/>
      <c r="I71" s="131"/>
      <c r="J71" s="131"/>
      <c r="K71" s="131"/>
      <c r="L71" s="131"/>
      <c r="M71" s="131"/>
      <c r="N71" s="131"/>
      <c r="O71" s="131"/>
      <c r="P71" s="131"/>
      <c r="Q71" s="131"/>
      <c r="R71" s="131"/>
      <c r="S71" s="144"/>
      <c r="T71" s="144"/>
      <c r="U71" s="144"/>
      <c r="V71" s="144"/>
      <c r="W71" s="144"/>
      <c r="X71" s="144"/>
      <c r="Y71" s="144"/>
      <c r="Z71" s="144"/>
      <c r="AA71" s="144"/>
      <c r="AB71" s="144"/>
      <c r="AC71" s="144"/>
      <c r="AD71" s="144"/>
    </row>
    <row r="72" spans="1:30" ht="15.75" customHeight="1">
      <c r="A72" s="24"/>
      <c r="B72" s="609" t="s">
        <v>59</v>
      </c>
      <c r="C72" s="609"/>
      <c r="D72" s="734"/>
      <c r="E72" s="735"/>
      <c r="F72" s="24"/>
      <c r="G72" s="736" t="s">
        <v>60</v>
      </c>
      <c r="H72" s="736"/>
      <c r="I72" s="736"/>
      <c r="J72" s="737"/>
      <c r="K72" s="738"/>
      <c r="L72" s="24"/>
      <c r="M72" s="739" t="s">
        <v>976</v>
      </c>
      <c r="N72" s="739"/>
      <c r="O72" s="739"/>
      <c r="P72" s="739"/>
      <c r="Q72" s="739"/>
      <c r="R72" s="739"/>
      <c r="S72" s="723"/>
      <c r="T72" s="724"/>
      <c r="U72" s="724"/>
      <c r="V72" s="724"/>
      <c r="W72" s="724"/>
      <c r="X72" s="724"/>
      <c r="Y72" s="724"/>
      <c r="Z72" s="724"/>
      <c r="AA72" s="724"/>
      <c r="AB72" s="724"/>
      <c r="AC72" s="725"/>
      <c r="AD72" s="4"/>
    </row>
    <row r="73" spans="1:30" ht="15.75">
      <c r="A73" s="24"/>
      <c r="B73" s="4"/>
      <c r="C73" s="4"/>
      <c r="D73" s="4"/>
      <c r="E73" s="4"/>
      <c r="F73" s="42"/>
      <c r="G73" s="42"/>
      <c r="H73" s="42"/>
      <c r="I73" s="42"/>
      <c r="J73" s="42"/>
      <c r="K73" s="5"/>
      <c r="L73" s="53"/>
      <c r="M73" s="739"/>
      <c r="N73" s="739"/>
      <c r="O73" s="739"/>
      <c r="P73" s="739"/>
      <c r="Q73" s="739"/>
      <c r="R73" s="739"/>
      <c r="S73" s="726"/>
      <c r="T73" s="727"/>
      <c r="U73" s="727"/>
      <c r="V73" s="727"/>
      <c r="W73" s="727"/>
      <c r="X73" s="727"/>
      <c r="Y73" s="727"/>
      <c r="Z73" s="727"/>
      <c r="AA73" s="727"/>
      <c r="AB73" s="727"/>
      <c r="AC73" s="728"/>
      <c r="AD73" s="4"/>
    </row>
    <row r="74" spans="1:30" ht="5.0999999999999996" customHeight="1">
      <c r="A74" s="24"/>
      <c r="B74" s="4"/>
      <c r="C74" s="4"/>
      <c r="D74" s="4"/>
      <c r="E74" s="4"/>
      <c r="F74" s="42"/>
      <c r="G74" s="42"/>
      <c r="H74" s="42"/>
      <c r="I74" s="42"/>
      <c r="J74" s="42"/>
      <c r="K74" s="5"/>
      <c r="L74" s="53"/>
      <c r="M74" s="53"/>
      <c r="N74" s="24"/>
      <c r="O74" s="24"/>
      <c r="P74" s="24"/>
      <c r="Q74" s="24"/>
      <c r="R74" s="24"/>
      <c r="S74" s="24"/>
      <c r="T74" s="5"/>
      <c r="U74" s="5"/>
      <c r="V74" s="4"/>
      <c r="W74" s="8"/>
      <c r="X74" s="4"/>
      <c r="Y74" s="4"/>
      <c r="Z74" s="4"/>
      <c r="AA74" s="4"/>
      <c r="AB74" s="4"/>
      <c r="AC74" s="4"/>
      <c r="AD74" s="4"/>
    </row>
    <row r="75" spans="1:30" ht="15.75" customHeight="1">
      <c r="A75" s="24"/>
      <c r="B75" s="609" t="s">
        <v>977</v>
      </c>
      <c r="C75" s="609"/>
      <c r="D75" s="609"/>
      <c r="E75" s="722"/>
      <c r="F75" s="713"/>
      <c r="G75" s="714"/>
      <c r="H75" s="714"/>
      <c r="I75" s="714"/>
      <c r="J75" s="714"/>
      <c r="K75" s="714"/>
      <c r="L75" s="714"/>
      <c r="M75" s="714"/>
      <c r="N75" s="714"/>
      <c r="O75" s="714"/>
      <c r="P75" s="714"/>
      <c r="Q75" s="714"/>
      <c r="R75" s="714"/>
      <c r="S75" s="714"/>
      <c r="T75" s="714"/>
      <c r="U75" s="714"/>
      <c r="V75" s="714"/>
      <c r="W75" s="714"/>
      <c r="X75" s="714"/>
      <c r="Y75" s="714"/>
      <c r="Z75" s="714"/>
      <c r="AA75" s="714"/>
      <c r="AB75" s="714"/>
      <c r="AC75" s="715"/>
      <c r="AD75" s="4"/>
    </row>
    <row r="76" spans="1:30" ht="15.75">
      <c r="A76" s="24"/>
      <c r="B76" s="609"/>
      <c r="C76" s="609"/>
      <c r="D76" s="609"/>
      <c r="E76" s="722"/>
      <c r="F76" s="716"/>
      <c r="G76" s="717"/>
      <c r="H76" s="717"/>
      <c r="I76" s="717"/>
      <c r="J76" s="717"/>
      <c r="K76" s="717"/>
      <c r="L76" s="717"/>
      <c r="M76" s="717"/>
      <c r="N76" s="717"/>
      <c r="O76" s="717"/>
      <c r="P76" s="717"/>
      <c r="Q76" s="717"/>
      <c r="R76" s="717"/>
      <c r="S76" s="717"/>
      <c r="T76" s="717"/>
      <c r="U76" s="717"/>
      <c r="V76" s="717"/>
      <c r="W76" s="717"/>
      <c r="X76" s="717"/>
      <c r="Y76" s="717"/>
      <c r="Z76" s="717"/>
      <c r="AA76" s="717"/>
      <c r="AB76" s="717"/>
      <c r="AC76" s="718"/>
      <c r="AD76" s="4"/>
    </row>
    <row r="77" spans="1:30" ht="15.75">
      <c r="A77" s="24"/>
      <c r="B77" s="4"/>
      <c r="C77" s="4"/>
      <c r="D77" s="4"/>
      <c r="E77" s="4"/>
      <c r="F77" s="719"/>
      <c r="G77" s="720"/>
      <c r="H77" s="720"/>
      <c r="I77" s="720"/>
      <c r="J77" s="720"/>
      <c r="K77" s="720"/>
      <c r="L77" s="720"/>
      <c r="M77" s="720"/>
      <c r="N77" s="720"/>
      <c r="O77" s="720"/>
      <c r="P77" s="720"/>
      <c r="Q77" s="720"/>
      <c r="R77" s="720"/>
      <c r="S77" s="720"/>
      <c r="T77" s="720"/>
      <c r="U77" s="720"/>
      <c r="V77" s="720"/>
      <c r="W77" s="720"/>
      <c r="X77" s="720"/>
      <c r="Y77" s="720"/>
      <c r="Z77" s="720"/>
      <c r="AA77" s="720"/>
      <c r="AB77" s="720"/>
      <c r="AC77" s="721"/>
      <c r="AD77" s="4"/>
    </row>
    <row r="78" spans="1:30" ht="5.0999999999999996" customHeight="1">
      <c r="A78" s="24"/>
      <c r="B78" s="4"/>
      <c r="C78" s="4"/>
      <c r="D78" s="4"/>
      <c r="E78" s="4"/>
      <c r="F78" s="42"/>
      <c r="G78" s="42"/>
      <c r="H78" s="42"/>
      <c r="I78" s="42"/>
      <c r="J78" s="42"/>
      <c r="K78" s="5"/>
      <c r="L78" s="53"/>
      <c r="M78" s="53"/>
      <c r="N78" s="24"/>
      <c r="O78" s="24"/>
      <c r="P78" s="24"/>
      <c r="Q78" s="24"/>
      <c r="R78" s="24"/>
      <c r="S78" s="24"/>
      <c r="T78" s="5"/>
      <c r="U78" s="5"/>
      <c r="V78" s="4"/>
      <c r="W78" s="4"/>
      <c r="X78" s="4"/>
      <c r="Y78" s="4"/>
      <c r="Z78" s="4"/>
      <c r="AA78" s="4"/>
      <c r="AB78" s="4"/>
      <c r="AC78" s="4"/>
      <c r="AD78" s="4"/>
    </row>
    <row r="79" spans="1:30" ht="15.75">
      <c r="A79" s="24"/>
      <c r="B79" s="152" t="s">
        <v>979</v>
      </c>
      <c r="C79" s="130"/>
      <c r="D79" s="131"/>
      <c r="E79" s="131"/>
      <c r="F79" s="131"/>
      <c r="G79" s="131"/>
      <c r="H79" s="131"/>
      <c r="I79" s="131"/>
      <c r="J79" s="131"/>
      <c r="K79" s="131"/>
      <c r="L79" s="131"/>
      <c r="M79" s="131"/>
      <c r="N79" s="131"/>
      <c r="O79" s="131"/>
      <c r="P79" s="131"/>
      <c r="Q79" s="131"/>
      <c r="R79" s="131"/>
      <c r="S79" s="24"/>
      <c r="T79" s="5"/>
      <c r="U79" s="5"/>
      <c r="V79" s="4"/>
      <c r="W79" s="4"/>
      <c r="X79" s="4"/>
      <c r="Y79" s="4"/>
      <c r="Z79" s="4"/>
      <c r="AA79" s="4"/>
      <c r="AB79" s="4"/>
      <c r="AC79" s="4"/>
      <c r="AD79" s="4"/>
    </row>
    <row r="80" spans="1:30" ht="5.0999999999999996" customHeight="1" thickBot="1">
      <c r="A80" s="24"/>
      <c r="B80" s="131"/>
      <c r="C80" s="131"/>
      <c r="D80" s="131"/>
      <c r="E80" s="131"/>
      <c r="F80" s="131"/>
      <c r="G80" s="131"/>
      <c r="H80" s="131"/>
      <c r="I80" s="131"/>
      <c r="J80" s="131"/>
      <c r="K80" s="131"/>
      <c r="L80" s="131"/>
      <c r="M80" s="131"/>
      <c r="N80" s="131"/>
      <c r="O80" s="131"/>
      <c r="P80" s="131"/>
      <c r="Q80" s="131"/>
      <c r="R80" s="131"/>
      <c r="S80" s="24"/>
      <c r="T80" s="5"/>
      <c r="U80" s="5"/>
      <c r="V80" s="4"/>
      <c r="W80" s="4"/>
      <c r="X80" s="4"/>
      <c r="Y80" s="4"/>
      <c r="Z80" s="4"/>
      <c r="AA80" s="4"/>
      <c r="AB80" s="4"/>
      <c r="AC80" s="4"/>
      <c r="AD80" s="4"/>
    </row>
    <row r="81" spans="1:30" ht="45.75" customHeight="1" thickTop="1" thickBot="1">
      <c r="A81" s="4"/>
      <c r="B81" s="622" t="s">
        <v>1010</v>
      </c>
      <c r="C81" s="623"/>
      <c r="D81" s="623"/>
      <c r="E81" s="623"/>
      <c r="F81" s="623"/>
      <c r="G81" s="623"/>
      <c r="H81" s="624"/>
      <c r="I81" s="12"/>
      <c r="J81" s="671" t="s">
        <v>62</v>
      </c>
      <c r="K81" s="672"/>
      <c r="L81" s="984"/>
      <c r="M81" s="668" t="s">
        <v>756</v>
      </c>
      <c r="N81" s="669"/>
      <c r="O81" s="669"/>
      <c r="P81" s="669"/>
      <c r="Q81" s="670"/>
      <c r="R81" s="1019" t="s">
        <v>435</v>
      </c>
      <c r="S81" s="669"/>
      <c r="T81" s="669"/>
      <c r="U81" s="1020"/>
      <c r="V81" s="668" t="s">
        <v>488</v>
      </c>
      <c r="W81" s="669"/>
      <c r="X81" s="669"/>
      <c r="Y81" s="670"/>
      <c r="Z81" s="668" t="s">
        <v>757</v>
      </c>
      <c r="AA81" s="669"/>
      <c r="AB81" s="669"/>
      <c r="AC81" s="670"/>
      <c r="AD81" s="4"/>
    </row>
    <row r="82" spans="1:30" ht="16.5" thickTop="1">
      <c r="A82" s="4"/>
      <c r="B82" s="551" t="s">
        <v>65</v>
      </c>
      <c r="C82" s="552"/>
      <c r="D82" s="552"/>
      <c r="E82" s="552"/>
      <c r="F82" s="552"/>
      <c r="G82" s="552"/>
      <c r="H82" s="553"/>
      <c r="I82" s="13"/>
      <c r="J82" s="557" t="s">
        <v>66</v>
      </c>
      <c r="K82" s="558"/>
      <c r="L82" s="995"/>
      <c r="M82" s="578">
        <f>SUM(R82:AC82)</f>
        <v>0</v>
      </c>
      <c r="N82" s="579"/>
      <c r="O82" s="579"/>
      <c r="P82" s="579"/>
      <c r="Q82" s="580"/>
      <c r="R82" s="997">
        <v>0</v>
      </c>
      <c r="S82" s="990"/>
      <c r="T82" s="990"/>
      <c r="U82" s="998"/>
      <c r="V82" s="989">
        <v>0</v>
      </c>
      <c r="W82" s="990"/>
      <c r="X82" s="990"/>
      <c r="Y82" s="991"/>
      <c r="Z82" s="989">
        <v>0</v>
      </c>
      <c r="AA82" s="990"/>
      <c r="AB82" s="990"/>
      <c r="AC82" s="991"/>
      <c r="AD82" s="4"/>
    </row>
    <row r="83" spans="1:30" ht="16.5" thickBot="1">
      <c r="A83" s="4"/>
      <c r="B83" s="554"/>
      <c r="C83" s="555"/>
      <c r="D83" s="555"/>
      <c r="E83" s="555"/>
      <c r="F83" s="555"/>
      <c r="G83" s="555"/>
      <c r="H83" s="556"/>
      <c r="I83" s="13"/>
      <c r="J83" s="566" t="s">
        <v>67</v>
      </c>
      <c r="K83" s="567"/>
      <c r="L83" s="996"/>
      <c r="M83" s="992">
        <f>SUM(R83:AC83)</f>
        <v>0</v>
      </c>
      <c r="N83" s="993"/>
      <c r="O83" s="993"/>
      <c r="P83" s="993"/>
      <c r="Q83" s="994"/>
      <c r="R83" s="2000">
        <f>+R82*$J$93</f>
        <v>0</v>
      </c>
      <c r="S83" s="2001"/>
      <c r="T83" s="2001"/>
      <c r="U83" s="2002"/>
      <c r="V83" s="1999">
        <f t="shared" ref="V83" si="0">+V82*$J$93</f>
        <v>0</v>
      </c>
      <c r="W83" s="1999"/>
      <c r="X83" s="1999"/>
      <c r="Y83" s="1999"/>
      <c r="Z83" s="1999">
        <f t="shared" ref="Z83" si="1">+Z82*$J$93</f>
        <v>0</v>
      </c>
      <c r="AA83" s="1999"/>
      <c r="AB83" s="1999"/>
      <c r="AC83" s="1999"/>
      <c r="AD83" s="4"/>
    </row>
    <row r="84" spans="1:30" ht="16.5" thickTop="1">
      <c r="A84" s="4"/>
      <c r="B84" s="999" t="s">
        <v>68</v>
      </c>
      <c r="C84" s="596"/>
      <c r="D84" s="596"/>
      <c r="E84" s="596"/>
      <c r="F84" s="596"/>
      <c r="G84" s="596"/>
      <c r="H84" s="626"/>
      <c r="I84" s="13"/>
      <c r="J84" s="630" t="s">
        <v>66</v>
      </c>
      <c r="K84" s="631"/>
      <c r="L84" s="660"/>
      <c r="M84" s="1006">
        <f>SUM(R84:AC84)</f>
        <v>0</v>
      </c>
      <c r="N84" s="1007"/>
      <c r="O84" s="1007"/>
      <c r="P84" s="1007"/>
      <c r="Q84" s="1008"/>
      <c r="R84" s="2003">
        <f>+R82*(100%-RESULTADOS!$R$54)</f>
        <v>0</v>
      </c>
      <c r="S84" s="986"/>
      <c r="T84" s="986"/>
      <c r="U84" s="2004"/>
      <c r="V84" s="1010">
        <f>+V82*(100%-RESULTADOS!$R$54)</f>
        <v>0</v>
      </c>
      <c r="W84" s="584"/>
      <c r="X84" s="584"/>
      <c r="Y84" s="585"/>
      <c r="Z84" s="1010">
        <f>+Z82*(100%-RESULTADOS!$R$54)</f>
        <v>0</v>
      </c>
      <c r="AA84" s="584"/>
      <c r="AB84" s="584"/>
      <c r="AC84" s="585"/>
      <c r="AD84" s="4"/>
    </row>
    <row r="85" spans="1:30" ht="16.5" thickBot="1">
      <c r="A85" s="4"/>
      <c r="B85" s="1000"/>
      <c r="C85" s="1001"/>
      <c r="D85" s="1001"/>
      <c r="E85" s="1001"/>
      <c r="F85" s="1001"/>
      <c r="G85" s="1001"/>
      <c r="H85" s="1002"/>
      <c r="I85" s="13"/>
      <c r="J85" s="1003" t="s">
        <v>67</v>
      </c>
      <c r="K85" s="1004"/>
      <c r="L85" s="1005"/>
      <c r="M85" s="992">
        <f>SUM(R85:AC85)</f>
        <v>0</v>
      </c>
      <c r="N85" s="993"/>
      <c r="O85" s="993"/>
      <c r="P85" s="993"/>
      <c r="Q85" s="994"/>
      <c r="R85" s="572">
        <f>+R84*$J$93</f>
        <v>0</v>
      </c>
      <c r="S85" s="573"/>
      <c r="T85" s="573"/>
      <c r="U85" s="574"/>
      <c r="V85" s="1996">
        <f>+V84*$J$930</f>
        <v>0</v>
      </c>
      <c r="W85" s="1997"/>
      <c r="X85" s="1997"/>
      <c r="Y85" s="1998"/>
      <c r="Z85" s="1996">
        <f>+Z84*$J$93</f>
        <v>0</v>
      </c>
      <c r="AA85" s="1997"/>
      <c r="AB85" s="1997"/>
      <c r="AC85" s="1998"/>
      <c r="AD85" s="4"/>
    </row>
    <row r="86" spans="1:30" ht="5.0999999999999996" customHeight="1" thickTop="1" thickBot="1">
      <c r="A86" s="4"/>
      <c r="B86" s="35"/>
      <c r="C86" s="54"/>
      <c r="D86" s="54"/>
      <c r="E86" s="54"/>
      <c r="F86" s="54"/>
      <c r="G86" s="54"/>
      <c r="H86" s="54"/>
      <c r="I86" s="13"/>
      <c r="J86" s="39"/>
      <c r="K86" s="35"/>
      <c r="L86" s="158"/>
      <c r="M86" s="4"/>
      <c r="N86" s="14"/>
      <c r="O86" s="14"/>
      <c r="P86" s="14"/>
      <c r="Q86" s="14"/>
      <c r="R86" s="14"/>
      <c r="S86" s="4"/>
      <c r="T86" s="4"/>
      <c r="U86" s="4"/>
      <c r="V86" s="4"/>
      <c r="W86" s="4"/>
      <c r="X86" s="4"/>
      <c r="Y86" s="4"/>
      <c r="Z86" s="4"/>
      <c r="AA86" s="4"/>
      <c r="AB86" s="4"/>
      <c r="AC86" s="4"/>
      <c r="AD86" s="4"/>
    </row>
    <row r="87" spans="1:30" ht="35.25" customHeight="1" thickBot="1">
      <c r="A87" s="4"/>
      <c r="B87" s="650" t="s">
        <v>1039</v>
      </c>
      <c r="C87" s="651"/>
      <c r="D87" s="651"/>
      <c r="E87" s="651"/>
      <c r="F87" s="651"/>
      <c r="G87" s="651"/>
      <c r="H87" s="652"/>
      <c r="I87" s="12"/>
      <c r="J87" s="1014" t="s">
        <v>62</v>
      </c>
      <c r="K87" s="1015"/>
      <c r="L87" s="1015"/>
      <c r="M87" s="644" t="s">
        <v>756</v>
      </c>
      <c r="N87" s="645"/>
      <c r="O87" s="645"/>
      <c r="P87" s="645"/>
      <c r="Q87" s="646"/>
      <c r="R87" s="651" t="s">
        <v>759</v>
      </c>
      <c r="S87" s="651"/>
      <c r="T87" s="651"/>
      <c r="U87" s="651"/>
      <c r="V87" s="650" t="s">
        <v>293</v>
      </c>
      <c r="W87" s="651"/>
      <c r="X87" s="651"/>
      <c r="Y87" s="652"/>
      <c r="Z87" s="651" t="s">
        <v>760</v>
      </c>
      <c r="AA87" s="651"/>
      <c r="AB87" s="651"/>
      <c r="AC87" s="652"/>
      <c r="AD87" s="4"/>
    </row>
    <row r="88" spans="1:30" ht="15.75">
      <c r="A88" s="4"/>
      <c r="B88" s="1016" t="s">
        <v>1009</v>
      </c>
      <c r="C88" s="1017"/>
      <c r="D88" s="1017"/>
      <c r="E88" s="1017"/>
      <c r="F88" s="1017"/>
      <c r="G88" s="1017"/>
      <c r="H88" s="1018"/>
      <c r="I88" s="13"/>
      <c r="J88" s="601" t="s">
        <v>66</v>
      </c>
      <c r="K88" s="602"/>
      <c r="L88" s="603"/>
      <c r="M88" s="985">
        <f>SUM(R88:AC88)</f>
        <v>0</v>
      </c>
      <c r="N88" s="986"/>
      <c r="O88" s="986"/>
      <c r="P88" s="986"/>
      <c r="Q88" s="987"/>
      <c r="R88" s="690">
        <f>+REPOSICIÓN!M61</f>
        <v>0</v>
      </c>
      <c r="S88" s="690"/>
      <c r="T88" s="690"/>
      <c r="U88" s="690"/>
      <c r="V88" s="689">
        <f>+REPOSICIÓN!R75</f>
        <v>0</v>
      </c>
      <c r="W88" s="690"/>
      <c r="X88" s="690"/>
      <c r="Y88" s="691"/>
      <c r="Z88" s="988">
        <f>+REPOSICIÓN!R96</f>
        <v>0</v>
      </c>
      <c r="AA88" s="986"/>
      <c r="AB88" s="986"/>
      <c r="AC88" s="987"/>
      <c r="AD88" s="4"/>
    </row>
    <row r="89" spans="1:30" ht="16.5" thickBot="1">
      <c r="A89" s="4"/>
      <c r="B89" s="656"/>
      <c r="C89" s="657"/>
      <c r="D89" s="657"/>
      <c r="E89" s="657"/>
      <c r="F89" s="657"/>
      <c r="G89" s="657"/>
      <c r="H89" s="658"/>
      <c r="I89" s="13"/>
      <c r="J89" s="539" t="s">
        <v>67</v>
      </c>
      <c r="K89" s="540"/>
      <c r="L89" s="541"/>
      <c r="M89" s="1012">
        <f>SUM(R89:AC89)</f>
        <v>0</v>
      </c>
      <c r="N89" s="546"/>
      <c r="O89" s="546"/>
      <c r="P89" s="546"/>
      <c r="Q89" s="1013"/>
      <c r="R89" s="545">
        <f>+R88*J93</f>
        <v>0</v>
      </c>
      <c r="S89" s="546"/>
      <c r="T89" s="546"/>
      <c r="U89" s="547"/>
      <c r="V89" s="1012">
        <f>+V88*J93</f>
        <v>0</v>
      </c>
      <c r="W89" s="546"/>
      <c r="X89" s="546"/>
      <c r="Y89" s="1013"/>
      <c r="Z89" s="545">
        <f>+Z88*J93</f>
        <v>0</v>
      </c>
      <c r="AA89" s="546"/>
      <c r="AB89" s="546"/>
      <c r="AC89" s="1013"/>
      <c r="AD89" s="4"/>
    </row>
    <row r="90" spans="1:30" ht="5.0999999999999996" customHeight="1">
      <c r="A90" s="4"/>
      <c r="B90" s="35"/>
      <c r="C90" s="35"/>
      <c r="D90" s="35"/>
      <c r="E90" s="35"/>
      <c r="F90" s="35"/>
      <c r="G90" s="35"/>
      <c r="H90" s="35"/>
      <c r="I90" s="4"/>
      <c r="J90" s="15"/>
      <c r="K90" s="15"/>
      <c r="L90" s="15"/>
      <c r="M90" s="15"/>
      <c r="N90" s="15"/>
      <c r="O90" s="15"/>
      <c r="P90" s="15"/>
      <c r="Q90" s="15"/>
      <c r="R90" s="15"/>
      <c r="S90" s="15"/>
      <c r="T90" s="15"/>
      <c r="U90" s="15"/>
      <c r="V90" s="15"/>
      <c r="W90" s="15"/>
      <c r="X90" s="15"/>
      <c r="Y90" s="15"/>
      <c r="Z90" s="15"/>
      <c r="AA90" s="15"/>
      <c r="AB90" s="15"/>
      <c r="AC90" s="15"/>
      <c r="AD90" s="4"/>
    </row>
    <row r="91" spans="1:30">
      <c r="B91" s="633" t="s">
        <v>997</v>
      </c>
      <c r="C91" s="633"/>
      <c r="D91" s="633"/>
      <c r="E91" s="633"/>
      <c r="F91" s="633"/>
      <c r="G91" s="633"/>
      <c r="H91" s="633"/>
      <c r="I91" s="633"/>
      <c r="J91" s="633"/>
      <c r="K91" s="633"/>
      <c r="L91" s="633"/>
      <c r="M91" s="633"/>
      <c r="N91" s="633"/>
      <c r="O91" s="633"/>
      <c r="P91" s="633"/>
      <c r="Q91" s="633"/>
      <c r="R91" s="633"/>
      <c r="S91" s="633"/>
      <c r="T91" s="633"/>
      <c r="U91" s="633"/>
      <c r="V91" s="633"/>
      <c r="W91" s="633"/>
      <c r="X91" s="633"/>
      <c r="Y91" s="633"/>
      <c r="Z91" s="633"/>
      <c r="AA91" s="633"/>
      <c r="AB91" s="633"/>
      <c r="AC91" s="633"/>
    </row>
    <row r="92" spans="1:30" s="24" customFormat="1" ht="5.0999999999999996" customHeight="1">
      <c r="B92" s="155"/>
      <c r="C92" s="155"/>
      <c r="D92" s="155"/>
      <c r="E92" s="155"/>
      <c r="F92" s="155"/>
      <c r="G92" s="155"/>
      <c r="H92" s="155"/>
      <c r="I92" s="155"/>
      <c r="J92" s="155"/>
      <c r="K92" s="155"/>
      <c r="L92" s="155"/>
      <c r="M92" s="155"/>
      <c r="N92" s="155"/>
      <c r="O92" s="155"/>
      <c r="P92" s="155"/>
      <c r="Q92" s="155"/>
      <c r="R92" s="155"/>
      <c r="S92" s="155"/>
      <c r="T92" s="155"/>
      <c r="U92" s="155"/>
      <c r="V92" s="155"/>
      <c r="W92" s="155"/>
      <c r="X92" s="155"/>
      <c r="Y92" s="155"/>
      <c r="Z92" s="155"/>
      <c r="AA92" s="155"/>
      <c r="AB92" s="155"/>
      <c r="AC92" s="155"/>
    </row>
    <row r="93" spans="1:30" ht="15.75">
      <c r="A93" s="24"/>
      <c r="B93" s="640" t="s">
        <v>73</v>
      </c>
      <c r="C93" s="640"/>
      <c r="D93" s="640"/>
      <c r="E93" s="640"/>
      <c r="F93" s="640"/>
      <c r="G93" s="640"/>
      <c r="H93" s="640"/>
      <c r="I93" s="153" t="s">
        <v>0</v>
      </c>
      <c r="J93" s="1011">
        <f>+'HR-COMÚN TERMINADO'!$J$104</f>
        <v>3.48</v>
      </c>
      <c r="K93" s="642"/>
      <c r="L93" s="643"/>
      <c r="M93" s="39" t="s">
        <v>74</v>
      </c>
      <c r="N93" s="73"/>
      <c r="O93" s="73"/>
      <c r="P93" s="73"/>
      <c r="R93" s="24"/>
      <c r="S93" s="24"/>
      <c r="T93" s="5"/>
      <c r="U93" s="5"/>
      <c r="V93" s="4"/>
      <c r="W93" s="4"/>
      <c r="X93" s="4"/>
      <c r="Y93" s="4"/>
      <c r="Z93" s="4"/>
      <c r="AA93" s="4"/>
      <c r="AB93" s="4"/>
      <c r="AC93" s="4"/>
      <c r="AD93" s="4"/>
    </row>
    <row r="94" spans="1:30" ht="5.0999999999999996" customHeight="1">
      <c r="A94" s="24"/>
      <c r="B94" s="152"/>
      <c r="C94" s="4"/>
      <c r="D94" s="4"/>
      <c r="E94" s="4"/>
      <c r="F94" s="42"/>
      <c r="G94" s="42"/>
      <c r="H94" s="42"/>
      <c r="I94" s="42"/>
      <c r="J94" s="42"/>
      <c r="K94" s="5"/>
      <c r="L94" s="53"/>
      <c r="M94" s="53"/>
      <c r="N94" s="24"/>
      <c r="O94" s="24"/>
      <c r="P94" s="24"/>
      <c r="Q94" s="24"/>
      <c r="R94" s="24"/>
      <c r="S94" s="24"/>
      <c r="T94" s="5"/>
      <c r="U94" s="5"/>
      <c r="V94" s="4"/>
      <c r="W94" s="4"/>
      <c r="X94" s="4"/>
      <c r="Y94" s="4"/>
      <c r="Z94" s="4"/>
      <c r="AA94" s="4"/>
      <c r="AB94" s="4"/>
      <c r="AC94" s="4"/>
      <c r="AD94" s="4"/>
    </row>
    <row r="95" spans="1:30" ht="15.75" customHeight="1">
      <c r="A95" s="24"/>
      <c r="B95" s="152" t="s">
        <v>1005</v>
      </c>
      <c r="C95" s="4"/>
      <c r="D95" s="4"/>
      <c r="E95" s="4"/>
      <c r="F95" s="42"/>
      <c r="G95" s="42"/>
      <c r="H95" s="42"/>
      <c r="I95" s="42"/>
      <c r="J95" s="42"/>
      <c r="K95" s="5"/>
      <c r="L95" s="53"/>
      <c r="M95" s="53"/>
      <c r="N95" s="24"/>
      <c r="O95" s="24"/>
      <c r="P95" s="24"/>
      <c r="Q95" s="24"/>
      <c r="R95" s="24"/>
      <c r="S95" s="24"/>
      <c r="T95" s="5"/>
      <c r="U95" s="5"/>
      <c r="V95" s="4"/>
      <c r="W95" s="4"/>
      <c r="X95" s="4"/>
      <c r="Y95" s="4"/>
      <c r="Z95" s="4"/>
      <c r="AA95" s="4"/>
      <c r="AB95" s="4"/>
      <c r="AC95" s="4"/>
      <c r="AD95" s="4"/>
    </row>
    <row r="96" spans="1:30" ht="5.0999999999999996" customHeight="1">
      <c r="A96" s="24"/>
      <c r="B96" s="152"/>
      <c r="C96" s="4"/>
      <c r="D96" s="4"/>
      <c r="E96" s="4"/>
      <c r="F96" s="42"/>
      <c r="G96" s="42"/>
      <c r="H96" s="42"/>
      <c r="I96" s="42"/>
      <c r="J96" s="42"/>
      <c r="K96" s="5"/>
      <c r="L96" s="53"/>
      <c r="M96" s="53"/>
      <c r="N96" s="24"/>
      <c r="O96" s="24"/>
      <c r="P96" s="24"/>
      <c r="Q96" s="24"/>
      <c r="R96" s="24"/>
      <c r="S96" s="24"/>
      <c r="T96" s="5"/>
      <c r="U96" s="5"/>
      <c r="V96" s="4"/>
      <c r="W96" s="4"/>
      <c r="X96" s="4"/>
      <c r="Y96" s="4"/>
      <c r="Z96" s="4"/>
      <c r="AA96" s="4"/>
      <c r="AB96" s="4"/>
      <c r="AC96" s="4"/>
      <c r="AD96" s="4"/>
    </row>
    <row r="97" spans="1:30" ht="15.75" customHeight="1">
      <c r="A97" s="24"/>
      <c r="B97" s="634" t="str">
        <f>+R81</f>
        <v>DEPARTAMENTO</v>
      </c>
      <c r="C97" s="634"/>
      <c r="D97" s="634"/>
      <c r="E97" s="4"/>
      <c r="F97" s="635" t="s">
        <v>999</v>
      </c>
      <c r="G97" s="635"/>
      <c r="H97" s="635"/>
      <c r="I97" s="635"/>
      <c r="J97" s="636" t="s">
        <v>1000</v>
      </c>
      <c r="K97" s="636"/>
      <c r="L97" s="636"/>
      <c r="M97" s="636"/>
      <c r="N97" s="636"/>
      <c r="O97" s="636" t="s">
        <v>1001</v>
      </c>
      <c r="P97" s="636"/>
      <c r="Q97" s="636"/>
      <c r="R97" s="636"/>
      <c r="S97" s="637" t="s">
        <v>1002</v>
      </c>
      <c r="T97" s="637"/>
      <c r="U97" s="637"/>
      <c r="V97" s="636" t="s">
        <v>1003</v>
      </c>
      <c r="W97" s="636"/>
      <c r="X97" s="636"/>
      <c r="Y97" s="636"/>
      <c r="Z97" s="636"/>
      <c r="AA97" s="636" t="s">
        <v>1004</v>
      </c>
      <c r="AB97" s="636"/>
      <c r="AC97" s="636"/>
      <c r="AD97" s="4"/>
    </row>
    <row r="98" spans="1:30" ht="15.75">
      <c r="A98" s="24"/>
      <c r="B98" s="769" t="s">
        <v>775</v>
      </c>
      <c r="C98" s="769"/>
      <c r="D98" s="769"/>
      <c r="E98" s="769"/>
      <c r="F98" s="616"/>
      <c r="G98" s="617"/>
      <c r="H98" s="617"/>
      <c r="I98" s="618"/>
      <c r="J98" s="619"/>
      <c r="K98" s="620"/>
      <c r="L98" s="620"/>
      <c r="M98" s="620"/>
      <c r="N98" s="621"/>
      <c r="O98" s="619"/>
      <c r="P98" s="620"/>
      <c r="Q98" s="620"/>
      <c r="R98" s="621"/>
      <c r="S98" s="610"/>
      <c r="T98" s="611"/>
      <c r="U98" s="612"/>
      <c r="V98" s="610"/>
      <c r="W98" s="611"/>
      <c r="X98" s="611"/>
      <c r="Y98" s="611"/>
      <c r="Z98" s="612"/>
      <c r="AA98" s="613"/>
      <c r="AB98" s="614"/>
      <c r="AC98" s="615"/>
      <c r="AD98" s="4"/>
    </row>
    <row r="99" spans="1:30" ht="15.75">
      <c r="A99" s="24"/>
      <c r="B99" s="769" t="s">
        <v>776</v>
      </c>
      <c r="C99" s="769"/>
      <c r="D99" s="769"/>
      <c r="E99" s="769"/>
      <c r="F99" s="616"/>
      <c r="G99" s="617"/>
      <c r="H99" s="617"/>
      <c r="I99" s="618"/>
      <c r="J99" s="619"/>
      <c r="K99" s="620"/>
      <c r="L99" s="620"/>
      <c r="M99" s="620"/>
      <c r="N99" s="621"/>
      <c r="O99" s="619"/>
      <c r="P99" s="620"/>
      <c r="Q99" s="620"/>
      <c r="R99" s="621"/>
      <c r="S99" s="610"/>
      <c r="T99" s="611"/>
      <c r="U99" s="612"/>
      <c r="V99" s="610"/>
      <c r="W99" s="611"/>
      <c r="X99" s="611"/>
      <c r="Y99" s="611"/>
      <c r="Z99" s="612"/>
      <c r="AA99" s="613"/>
      <c r="AB99" s="614"/>
      <c r="AC99" s="615"/>
      <c r="AD99" s="4"/>
    </row>
    <row r="100" spans="1:30" ht="15.75">
      <c r="A100" s="24"/>
      <c r="B100" s="769" t="s">
        <v>57</v>
      </c>
      <c r="C100" s="769"/>
      <c r="D100" s="769"/>
      <c r="E100" s="769"/>
      <c r="F100" s="616"/>
      <c r="G100" s="617"/>
      <c r="H100" s="617"/>
      <c r="I100" s="618"/>
      <c r="J100" s="619"/>
      <c r="K100" s="620"/>
      <c r="L100" s="620"/>
      <c r="M100" s="620"/>
      <c r="N100" s="621"/>
      <c r="O100" s="619"/>
      <c r="P100" s="620"/>
      <c r="Q100" s="620"/>
      <c r="R100" s="621"/>
      <c r="S100" s="610"/>
      <c r="T100" s="611"/>
      <c r="U100" s="612"/>
      <c r="V100" s="610"/>
      <c r="W100" s="611"/>
      <c r="X100" s="611"/>
      <c r="Y100" s="611"/>
      <c r="Z100" s="612"/>
      <c r="AA100" s="613"/>
      <c r="AB100" s="614"/>
      <c r="AC100" s="615"/>
      <c r="AD100" s="4"/>
    </row>
    <row r="101" spans="1:30" ht="15.75">
      <c r="B101" s="769" t="s">
        <v>998</v>
      </c>
      <c r="C101" s="769"/>
      <c r="D101" s="769"/>
      <c r="E101" s="769"/>
      <c r="F101" s="616"/>
      <c r="G101" s="617"/>
      <c r="H101" s="617"/>
      <c r="I101" s="618"/>
      <c r="J101" s="616"/>
      <c r="K101" s="617"/>
      <c r="L101" s="617"/>
      <c r="M101" s="617"/>
      <c r="N101" s="618"/>
      <c r="O101" s="616"/>
      <c r="P101" s="617"/>
      <c r="Q101" s="617"/>
      <c r="R101" s="618"/>
      <c r="S101" s="613"/>
      <c r="T101" s="614"/>
      <c r="U101" s="615"/>
      <c r="V101" s="613"/>
      <c r="W101" s="614"/>
      <c r="X101" s="614"/>
      <c r="Y101" s="614"/>
      <c r="Z101" s="615"/>
      <c r="AA101" s="613"/>
      <c r="AB101" s="614"/>
      <c r="AC101" s="615"/>
      <c r="AD101" s="4"/>
    </row>
    <row r="102" spans="1:30" ht="15.75" customHeight="1">
      <c r="A102" s="24"/>
      <c r="B102" s="1032" t="str">
        <f>+V81</f>
        <v>ESTACIONAMIENTO</v>
      </c>
      <c r="C102" s="1032"/>
      <c r="D102" s="1032"/>
      <c r="E102" s="1033"/>
      <c r="F102" s="635" t="s">
        <v>999</v>
      </c>
      <c r="G102" s="635"/>
      <c r="H102" s="635"/>
      <c r="I102" s="635"/>
      <c r="J102" s="636" t="s">
        <v>1000</v>
      </c>
      <c r="K102" s="636"/>
      <c r="L102" s="636"/>
      <c r="M102" s="636"/>
      <c r="N102" s="636"/>
      <c r="O102" s="636" t="s">
        <v>1001</v>
      </c>
      <c r="P102" s="636"/>
      <c r="Q102" s="636"/>
      <c r="R102" s="636"/>
      <c r="S102" s="637" t="s">
        <v>1002</v>
      </c>
      <c r="T102" s="637"/>
      <c r="U102" s="637"/>
      <c r="V102" s="636" t="s">
        <v>1003</v>
      </c>
      <c r="W102" s="636"/>
      <c r="X102" s="636"/>
      <c r="Y102" s="636"/>
      <c r="Z102" s="636"/>
      <c r="AA102" s="636" t="s">
        <v>1004</v>
      </c>
      <c r="AB102" s="636"/>
      <c r="AC102" s="636"/>
      <c r="AD102" s="4"/>
    </row>
    <row r="103" spans="1:30" ht="15.75">
      <c r="A103" s="24"/>
      <c r="B103" s="769" t="s">
        <v>775</v>
      </c>
      <c r="C103" s="769"/>
      <c r="D103" s="769"/>
      <c r="E103" s="769"/>
      <c r="F103" s="616" t="s">
        <v>1091</v>
      </c>
      <c r="G103" s="617"/>
      <c r="H103" s="617"/>
      <c r="I103" s="618"/>
      <c r="J103" s="619"/>
      <c r="K103" s="620"/>
      <c r="L103" s="620"/>
      <c r="M103" s="620"/>
      <c r="N103" s="621"/>
      <c r="O103" s="619">
        <v>0</v>
      </c>
      <c r="P103" s="620"/>
      <c r="Q103" s="620"/>
      <c r="R103" s="621"/>
      <c r="S103" s="619"/>
      <c r="T103" s="620"/>
      <c r="U103" s="621"/>
      <c r="V103" s="619"/>
      <c r="W103" s="620"/>
      <c r="X103" s="620"/>
      <c r="Y103" s="620"/>
      <c r="Z103" s="621"/>
      <c r="AA103" s="613"/>
      <c r="AB103" s="614"/>
      <c r="AC103" s="615"/>
      <c r="AD103" s="4"/>
    </row>
    <row r="104" spans="1:30" ht="15.75" customHeight="1">
      <c r="A104" s="24"/>
      <c r="B104" s="769" t="s">
        <v>776</v>
      </c>
      <c r="C104" s="769"/>
      <c r="D104" s="769"/>
      <c r="E104" s="769"/>
      <c r="F104" s="616" t="s">
        <v>1091</v>
      </c>
      <c r="G104" s="617"/>
      <c r="H104" s="617"/>
      <c r="I104" s="618"/>
      <c r="J104" s="619"/>
      <c r="K104" s="620"/>
      <c r="L104" s="620"/>
      <c r="M104" s="620"/>
      <c r="N104" s="621"/>
      <c r="O104" s="619">
        <v>0</v>
      </c>
      <c r="P104" s="620"/>
      <c r="Q104" s="620"/>
      <c r="R104" s="621"/>
      <c r="S104" s="619"/>
      <c r="T104" s="620"/>
      <c r="U104" s="621"/>
      <c r="V104" s="619"/>
      <c r="W104" s="620"/>
      <c r="X104" s="620"/>
      <c r="Y104" s="620"/>
      <c r="Z104" s="621"/>
      <c r="AA104" s="613"/>
      <c r="AB104" s="614"/>
      <c r="AC104" s="615"/>
      <c r="AD104" s="4"/>
    </row>
    <row r="105" spans="1:30" ht="15.75">
      <c r="A105" s="24"/>
      <c r="B105" s="769" t="s">
        <v>57</v>
      </c>
      <c r="C105" s="769"/>
      <c r="D105" s="769"/>
      <c r="E105" s="769"/>
      <c r="F105" s="616" t="s">
        <v>1091</v>
      </c>
      <c r="G105" s="617"/>
      <c r="H105" s="617"/>
      <c r="I105" s="618"/>
      <c r="J105" s="619"/>
      <c r="K105" s="620"/>
      <c r="L105" s="620"/>
      <c r="M105" s="620"/>
      <c r="N105" s="621"/>
      <c r="O105" s="619">
        <v>0</v>
      </c>
      <c r="P105" s="620"/>
      <c r="Q105" s="620"/>
      <c r="R105" s="621"/>
      <c r="S105" s="619"/>
      <c r="T105" s="620"/>
      <c r="U105" s="621"/>
      <c r="V105" s="619"/>
      <c r="W105" s="620"/>
      <c r="X105" s="620"/>
      <c r="Y105" s="620"/>
      <c r="Z105" s="621"/>
      <c r="AA105" s="613"/>
      <c r="AB105" s="614"/>
      <c r="AC105" s="615"/>
      <c r="AD105" s="4"/>
    </row>
    <row r="106" spans="1:30" ht="15.75">
      <c r="B106" s="769" t="s">
        <v>998</v>
      </c>
      <c r="C106" s="769"/>
      <c r="D106" s="769"/>
      <c r="E106" s="769"/>
      <c r="F106" s="616"/>
      <c r="G106" s="617"/>
      <c r="H106" s="617"/>
      <c r="I106" s="618"/>
      <c r="J106" s="1034"/>
      <c r="K106" s="1035"/>
      <c r="L106" s="1035"/>
      <c r="M106" s="1035"/>
      <c r="N106" s="1036"/>
      <c r="O106" s="1034"/>
      <c r="P106" s="1035"/>
      <c r="Q106" s="1035"/>
      <c r="R106" s="1036"/>
      <c r="S106" s="1034"/>
      <c r="T106" s="1035"/>
      <c r="U106" s="1036"/>
      <c r="V106" s="1034"/>
      <c r="W106" s="1035"/>
      <c r="X106" s="1035"/>
      <c r="Y106" s="1035"/>
      <c r="Z106" s="1036"/>
      <c r="AA106" s="613"/>
      <c r="AB106" s="614"/>
      <c r="AC106" s="615"/>
      <c r="AD106" s="4"/>
    </row>
    <row r="107" spans="1:30" ht="15.75" customHeight="1">
      <c r="A107" s="24"/>
      <c r="B107" s="1032" t="str">
        <f>+Z81</f>
        <v>DEPÓSITO</v>
      </c>
      <c r="C107" s="1032"/>
      <c r="D107" s="1032"/>
      <c r="E107" s="1033"/>
      <c r="F107" s="635" t="s">
        <v>999</v>
      </c>
      <c r="G107" s="635"/>
      <c r="H107" s="635"/>
      <c r="I107" s="635"/>
      <c r="J107" s="636" t="s">
        <v>1000</v>
      </c>
      <c r="K107" s="636"/>
      <c r="L107" s="636"/>
      <c r="M107" s="636"/>
      <c r="N107" s="636"/>
      <c r="O107" s="636" t="s">
        <v>1001</v>
      </c>
      <c r="P107" s="636"/>
      <c r="Q107" s="636"/>
      <c r="R107" s="636"/>
      <c r="S107" s="637" t="s">
        <v>1002</v>
      </c>
      <c r="T107" s="637"/>
      <c r="U107" s="637"/>
      <c r="V107" s="636" t="s">
        <v>1003</v>
      </c>
      <c r="W107" s="636"/>
      <c r="X107" s="636"/>
      <c r="Y107" s="636"/>
      <c r="Z107" s="636"/>
      <c r="AA107" s="636" t="s">
        <v>1004</v>
      </c>
      <c r="AB107" s="636"/>
      <c r="AC107" s="636"/>
      <c r="AD107" s="4"/>
    </row>
    <row r="108" spans="1:30" ht="15.75">
      <c r="A108" s="24"/>
      <c r="B108" s="769" t="s">
        <v>775</v>
      </c>
      <c r="C108" s="769"/>
      <c r="D108" s="769"/>
      <c r="E108" s="769"/>
      <c r="F108" s="616" t="s">
        <v>1091</v>
      </c>
      <c r="G108" s="617"/>
      <c r="H108" s="617"/>
      <c r="I108" s="618"/>
      <c r="J108" s="619"/>
      <c r="K108" s="620"/>
      <c r="L108" s="620"/>
      <c r="M108" s="620"/>
      <c r="N108" s="621"/>
      <c r="O108" s="619">
        <v>0</v>
      </c>
      <c r="P108" s="620"/>
      <c r="Q108" s="620"/>
      <c r="R108" s="621"/>
      <c r="S108" s="619"/>
      <c r="T108" s="620"/>
      <c r="U108" s="621"/>
      <c r="V108" s="619"/>
      <c r="W108" s="620"/>
      <c r="X108" s="620"/>
      <c r="Y108" s="620"/>
      <c r="Z108" s="621"/>
      <c r="AA108" s="613"/>
      <c r="AB108" s="614"/>
      <c r="AC108" s="615"/>
      <c r="AD108" s="4"/>
    </row>
    <row r="109" spans="1:30" ht="15.75" customHeight="1">
      <c r="A109" s="24"/>
      <c r="B109" s="769" t="s">
        <v>776</v>
      </c>
      <c r="C109" s="769"/>
      <c r="D109" s="769"/>
      <c r="E109" s="769"/>
      <c r="F109" s="616" t="s">
        <v>1091</v>
      </c>
      <c r="G109" s="617"/>
      <c r="H109" s="617"/>
      <c r="I109" s="618"/>
      <c r="J109" s="619"/>
      <c r="K109" s="620"/>
      <c r="L109" s="620"/>
      <c r="M109" s="620"/>
      <c r="N109" s="621"/>
      <c r="O109" s="619">
        <v>0</v>
      </c>
      <c r="P109" s="620"/>
      <c r="Q109" s="620"/>
      <c r="R109" s="621"/>
      <c r="S109" s="619"/>
      <c r="T109" s="620"/>
      <c r="U109" s="621"/>
      <c r="V109" s="619"/>
      <c r="W109" s="620"/>
      <c r="X109" s="620"/>
      <c r="Y109" s="620"/>
      <c r="Z109" s="621"/>
      <c r="AA109" s="613"/>
      <c r="AB109" s="614"/>
      <c r="AC109" s="615"/>
      <c r="AD109" s="4"/>
    </row>
    <row r="110" spans="1:30" ht="15.75">
      <c r="A110" s="24"/>
      <c r="B110" s="769" t="s">
        <v>57</v>
      </c>
      <c r="C110" s="769"/>
      <c r="D110" s="769"/>
      <c r="E110" s="769"/>
      <c r="F110" s="616" t="s">
        <v>1091</v>
      </c>
      <c r="G110" s="617"/>
      <c r="H110" s="617"/>
      <c r="I110" s="618"/>
      <c r="J110" s="619"/>
      <c r="K110" s="620"/>
      <c r="L110" s="620"/>
      <c r="M110" s="620"/>
      <c r="N110" s="621"/>
      <c r="O110" s="619">
        <v>0</v>
      </c>
      <c r="P110" s="620"/>
      <c r="Q110" s="620"/>
      <c r="R110" s="621"/>
      <c r="S110" s="619"/>
      <c r="T110" s="620"/>
      <c r="U110" s="621"/>
      <c r="V110" s="619"/>
      <c r="W110" s="620"/>
      <c r="X110" s="620"/>
      <c r="Y110" s="620"/>
      <c r="Z110" s="621"/>
      <c r="AA110" s="613"/>
      <c r="AB110" s="614"/>
      <c r="AC110" s="615"/>
      <c r="AD110" s="4"/>
    </row>
    <row r="111" spans="1:30" ht="15.75">
      <c r="B111" s="769" t="s">
        <v>998</v>
      </c>
      <c r="C111" s="769"/>
      <c r="D111" s="769"/>
      <c r="E111" s="769"/>
      <c r="F111" s="616"/>
      <c r="G111" s="617"/>
      <c r="H111" s="617"/>
      <c r="I111" s="618"/>
      <c r="J111" s="1034"/>
      <c r="K111" s="1035"/>
      <c r="L111" s="1035"/>
      <c r="M111" s="1035"/>
      <c r="N111" s="1036"/>
      <c r="O111" s="1034"/>
      <c r="P111" s="1035"/>
      <c r="Q111" s="1035"/>
      <c r="R111" s="1036"/>
      <c r="S111" s="1034"/>
      <c r="T111" s="1035"/>
      <c r="U111" s="1036"/>
      <c r="V111" s="1034"/>
      <c r="W111" s="1035"/>
      <c r="X111" s="1035"/>
      <c r="Y111" s="1035"/>
      <c r="Z111" s="1036"/>
      <c r="AA111" s="613"/>
      <c r="AB111" s="614"/>
      <c r="AC111" s="615"/>
      <c r="AD111" s="4"/>
    </row>
    <row r="112" spans="1:30" ht="15.75">
      <c r="A112" s="24"/>
      <c r="B112" s="9"/>
      <c r="C112" s="10"/>
      <c r="D112" s="10"/>
      <c r="E112" s="10"/>
      <c r="F112" s="10"/>
      <c r="G112" s="10"/>
      <c r="H112" s="10"/>
      <c r="I112" s="10"/>
      <c r="J112" s="10"/>
      <c r="K112" s="9"/>
      <c r="L112" s="9"/>
      <c r="M112" s="9"/>
      <c r="N112" s="9"/>
      <c r="O112" s="9"/>
      <c r="P112" s="9"/>
      <c r="Q112" s="9"/>
      <c r="R112" s="9"/>
      <c r="S112" s="9"/>
      <c r="T112" s="9"/>
      <c r="U112" s="9"/>
      <c r="V112" s="9"/>
      <c r="W112" s="9"/>
      <c r="X112" s="9"/>
      <c r="Y112" s="9"/>
      <c r="Z112" s="9"/>
      <c r="AA112" s="9"/>
      <c r="AB112" s="9"/>
      <c r="AC112" s="9"/>
      <c r="AD112" s="9"/>
    </row>
    <row r="113" spans="1:30" ht="15.75">
      <c r="A113" s="24"/>
      <c r="B113" s="9"/>
      <c r="C113" s="10"/>
      <c r="D113" s="10"/>
      <c r="E113" s="10"/>
      <c r="F113" s="10"/>
      <c r="G113" s="10"/>
      <c r="H113" s="10"/>
      <c r="I113" s="10"/>
      <c r="J113" s="10"/>
      <c r="K113" s="9"/>
      <c r="L113" s="9"/>
      <c r="M113" s="9"/>
      <c r="N113" s="9"/>
      <c r="O113" s="9"/>
      <c r="P113" s="9"/>
      <c r="Q113" s="9"/>
      <c r="R113" s="9"/>
      <c r="S113" s="9"/>
      <c r="T113" s="9"/>
      <c r="U113" s="9"/>
      <c r="V113" s="9"/>
      <c r="W113" s="9"/>
      <c r="X113" s="9"/>
      <c r="Y113" s="9"/>
      <c r="Z113" s="9"/>
      <c r="AA113" s="9"/>
      <c r="AB113" s="9"/>
      <c r="AC113" s="9"/>
      <c r="AD113" s="9"/>
    </row>
    <row r="114" spans="1:30" ht="75.75" customHeight="1">
      <c r="A114" s="24"/>
      <c r="B114" s="9"/>
      <c r="C114" s="10"/>
      <c r="D114" s="10"/>
      <c r="E114" s="10"/>
      <c r="F114" s="10"/>
      <c r="G114" s="10"/>
      <c r="H114" s="10"/>
      <c r="I114" s="10"/>
      <c r="J114" s="10"/>
      <c r="K114" s="9"/>
      <c r="L114" s="9"/>
      <c r="M114" s="9"/>
      <c r="N114" s="9"/>
      <c r="O114" s="9"/>
      <c r="P114" s="9"/>
      <c r="Q114" s="9"/>
      <c r="R114" s="9"/>
      <c r="S114" s="9"/>
      <c r="T114" s="9"/>
      <c r="U114" s="9"/>
      <c r="V114" s="9"/>
      <c r="W114" s="9"/>
      <c r="X114" s="9"/>
      <c r="Y114" s="9"/>
      <c r="Z114" s="9"/>
      <c r="AA114" s="9"/>
      <c r="AB114" s="9"/>
      <c r="AC114" s="9"/>
      <c r="AD114" s="9"/>
    </row>
    <row r="115" spans="1:30" ht="15.75">
      <c r="A115" s="24"/>
      <c r="B115" s="9"/>
      <c r="C115" s="10"/>
      <c r="D115" s="10"/>
      <c r="E115" s="10"/>
      <c r="F115" s="10"/>
      <c r="G115" s="10"/>
      <c r="H115" s="10"/>
      <c r="I115" s="10"/>
      <c r="J115" s="10"/>
      <c r="K115" s="9"/>
      <c r="L115" s="9"/>
      <c r="M115" s="9"/>
      <c r="N115" s="9"/>
      <c r="O115" s="9"/>
      <c r="P115" s="9"/>
      <c r="Q115" s="9"/>
      <c r="R115" s="9"/>
      <c r="S115" s="9"/>
      <c r="T115" s="9"/>
      <c r="U115" s="9"/>
      <c r="V115" s="9"/>
      <c r="W115" s="9"/>
      <c r="X115" s="9"/>
      <c r="Y115" s="9"/>
      <c r="Z115" s="9"/>
      <c r="AA115" s="9"/>
      <c r="AB115" s="9"/>
      <c r="AC115" s="9"/>
      <c r="AD115" s="9"/>
    </row>
    <row r="116" spans="1:30" ht="15.75">
      <c r="A116" s="24"/>
      <c r="B116" s="9"/>
      <c r="C116" s="10"/>
      <c r="D116" s="10"/>
      <c r="E116" s="10"/>
      <c r="F116" s="10"/>
      <c r="G116" s="10"/>
      <c r="H116" s="10"/>
      <c r="I116" s="10"/>
      <c r="J116" s="10"/>
      <c r="K116" s="9"/>
      <c r="L116" s="9"/>
      <c r="M116" s="9"/>
      <c r="N116" s="9"/>
      <c r="O116" s="9"/>
      <c r="P116" s="9"/>
      <c r="Q116" s="9"/>
      <c r="R116" s="9"/>
      <c r="S116" s="9"/>
      <c r="T116" s="1037" t="s">
        <v>1260</v>
      </c>
      <c r="U116" s="1037"/>
      <c r="V116" s="770" t="str">
        <f>+'HR-COMÚN TERMINADO'!$V$128:$AD$128</f>
        <v>/ / JT</v>
      </c>
      <c r="W116" s="770"/>
      <c r="X116" s="770"/>
      <c r="Y116" s="770"/>
      <c r="Z116" s="770"/>
      <c r="AA116" s="770"/>
      <c r="AB116" s="770"/>
      <c r="AC116" s="770"/>
      <c r="AD116" s="770"/>
    </row>
    <row r="117" spans="1:30" ht="15.75" customHeight="1">
      <c r="A117" s="24"/>
      <c r="B117" s="24"/>
      <c r="C117" s="24"/>
      <c r="D117" s="24"/>
      <c r="E117" s="24"/>
      <c r="F117" s="24"/>
      <c r="G117" s="24"/>
      <c r="H117" s="24"/>
      <c r="I117" s="24"/>
      <c r="J117" s="24"/>
      <c r="K117" s="24"/>
      <c r="L117" s="24"/>
      <c r="M117" s="24"/>
      <c r="N117" s="24"/>
      <c r="O117" s="24"/>
      <c r="P117" s="6"/>
      <c r="Q117" s="6"/>
      <c r="R117" s="6"/>
      <c r="S117" s="6"/>
      <c r="T117" s="760" t="s">
        <v>75</v>
      </c>
      <c r="U117" s="760"/>
      <c r="V117" s="770"/>
      <c r="W117" s="770"/>
      <c r="X117" s="770"/>
      <c r="Y117" s="770"/>
      <c r="Z117" s="770"/>
      <c r="AA117" s="770"/>
      <c r="AB117" s="770"/>
      <c r="AC117" s="770"/>
      <c r="AD117" s="770"/>
    </row>
    <row r="118" spans="1:30" ht="15.75">
      <c r="A118" s="24"/>
      <c r="B118" s="24"/>
      <c r="C118" s="24"/>
      <c r="D118" s="24"/>
      <c r="E118" s="24"/>
      <c r="F118" s="24"/>
      <c r="G118" s="24"/>
      <c r="H118" s="24"/>
      <c r="I118" s="24"/>
      <c r="J118" s="24"/>
      <c r="K118" s="24"/>
      <c r="L118" s="24"/>
      <c r="M118" s="24"/>
      <c r="N118" s="24"/>
      <c r="O118" s="24"/>
      <c r="P118" s="6"/>
      <c r="Q118" s="6"/>
      <c r="R118" s="6"/>
      <c r="S118" s="6"/>
      <c r="T118" s="760" t="s">
        <v>76</v>
      </c>
      <c r="U118" s="760"/>
      <c r="V118" s="761"/>
      <c r="W118" s="761"/>
      <c r="X118" s="761"/>
      <c r="Y118" s="761"/>
      <c r="Z118" s="761"/>
      <c r="AA118" s="761"/>
      <c r="AB118" s="761"/>
      <c r="AC118" s="761"/>
      <c r="AD118" s="761"/>
    </row>
    <row r="119" spans="1:30">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row>
  </sheetData>
  <mergeCells count="240">
    <mergeCell ref="T116:U116"/>
    <mergeCell ref="V116:AD116"/>
    <mergeCell ref="B110:E110"/>
    <mergeCell ref="F110:I110"/>
    <mergeCell ref="J110:N110"/>
    <mergeCell ref="O110:R110"/>
    <mergeCell ref="S110:U110"/>
    <mergeCell ref="V110:Z110"/>
    <mergeCell ref="AA110:AC110"/>
    <mergeCell ref="B111:E111"/>
    <mergeCell ref="F111:I111"/>
    <mergeCell ref="J111:N111"/>
    <mergeCell ref="O111:R111"/>
    <mergeCell ref="S111:U111"/>
    <mergeCell ref="V111:Z111"/>
    <mergeCell ref="AA111:AC111"/>
    <mergeCell ref="B108:E108"/>
    <mergeCell ref="F108:I108"/>
    <mergeCell ref="J108:N108"/>
    <mergeCell ref="O108:R108"/>
    <mergeCell ref="S108:U108"/>
    <mergeCell ref="V108:Z108"/>
    <mergeCell ref="AA108:AC108"/>
    <mergeCell ref="B109:E109"/>
    <mergeCell ref="F109:I109"/>
    <mergeCell ref="J109:N109"/>
    <mergeCell ref="O109:R109"/>
    <mergeCell ref="S109:U109"/>
    <mergeCell ref="V109:Z109"/>
    <mergeCell ref="AA109:AC109"/>
    <mergeCell ref="B106:E106"/>
    <mergeCell ref="F106:I106"/>
    <mergeCell ref="J106:N106"/>
    <mergeCell ref="O106:R106"/>
    <mergeCell ref="S106:U106"/>
    <mergeCell ref="V106:Z106"/>
    <mergeCell ref="AA106:AC106"/>
    <mergeCell ref="B107:E107"/>
    <mergeCell ref="F107:I107"/>
    <mergeCell ref="J107:N107"/>
    <mergeCell ref="O107:R107"/>
    <mergeCell ref="S107:U107"/>
    <mergeCell ref="V107:Z107"/>
    <mergeCell ref="AA107:AC107"/>
    <mergeCell ref="B104:E104"/>
    <mergeCell ref="F104:I104"/>
    <mergeCell ref="J104:N104"/>
    <mergeCell ref="O104:R104"/>
    <mergeCell ref="S104:U104"/>
    <mergeCell ref="V104:Z104"/>
    <mergeCell ref="AA104:AC104"/>
    <mergeCell ref="B105:E105"/>
    <mergeCell ref="F105:I105"/>
    <mergeCell ref="J105:N105"/>
    <mergeCell ref="O105:R105"/>
    <mergeCell ref="S105:U105"/>
    <mergeCell ref="V105:Z105"/>
    <mergeCell ref="AA105:AC105"/>
    <mergeCell ref="B102:E102"/>
    <mergeCell ref="F102:I102"/>
    <mergeCell ref="J102:N102"/>
    <mergeCell ref="O102:R102"/>
    <mergeCell ref="S102:U102"/>
    <mergeCell ref="V102:Z102"/>
    <mergeCell ref="AA102:AC102"/>
    <mergeCell ref="B103:E103"/>
    <mergeCell ref="F103:I103"/>
    <mergeCell ref="J103:N103"/>
    <mergeCell ref="O103:R103"/>
    <mergeCell ref="S103:U103"/>
    <mergeCell ref="V103:Z103"/>
    <mergeCell ref="AA103:AC103"/>
    <mergeCell ref="T12:X12"/>
    <mergeCell ref="Z12:AD12"/>
    <mergeCell ref="T13:X13"/>
    <mergeCell ref="Z13:AD13"/>
    <mergeCell ref="T14:X14"/>
    <mergeCell ref="Z14:AD14"/>
    <mergeCell ref="T15:X15"/>
    <mergeCell ref="Z15:AD15"/>
    <mergeCell ref="B45:E45"/>
    <mergeCell ref="B37:E37"/>
    <mergeCell ref="F37:G37"/>
    <mergeCell ref="I37:L37"/>
    <mergeCell ref="B39:E39"/>
    <mergeCell ref="F39:R39"/>
    <mergeCell ref="B41:E41"/>
    <mergeCell ref="F41:H41"/>
    <mergeCell ref="A16:AD16"/>
    <mergeCell ref="A17:AD17"/>
    <mergeCell ref="G32:L32"/>
    <mergeCell ref="S32:Z32"/>
    <mergeCell ref="B35:E35"/>
    <mergeCell ref="F35:R35"/>
    <mergeCell ref="X35:AC35"/>
    <mergeCell ref="F45:AC45"/>
    <mergeCell ref="B49:E49"/>
    <mergeCell ref="H49:J49"/>
    <mergeCell ref="O49:Q49"/>
    <mergeCell ref="B51:E51"/>
    <mergeCell ref="F51:I51"/>
    <mergeCell ref="K51:N51"/>
    <mergeCell ref="O51:R51"/>
    <mergeCell ref="S55:T55"/>
    <mergeCell ref="V55:AA55"/>
    <mergeCell ref="AB55:AC55"/>
    <mergeCell ref="O55:R55"/>
    <mergeCell ref="F55:J55"/>
    <mergeCell ref="L55:M55"/>
    <mergeCell ref="W63:X63"/>
    <mergeCell ref="B66:F66"/>
    <mergeCell ref="G66:H66"/>
    <mergeCell ref="J66:O66"/>
    <mergeCell ref="P66:S66"/>
    <mergeCell ref="B59:E59"/>
    <mergeCell ref="F59:J59"/>
    <mergeCell ref="L59:Q59"/>
    <mergeCell ref="R59:AC59"/>
    <mergeCell ref="B61:M61"/>
    <mergeCell ref="N61:O61"/>
    <mergeCell ref="B63:M63"/>
    <mergeCell ref="N63:O63"/>
    <mergeCell ref="Q63:V63"/>
    <mergeCell ref="B98:E98"/>
    <mergeCell ref="F98:I98"/>
    <mergeCell ref="J98:N98"/>
    <mergeCell ref="O98:R98"/>
    <mergeCell ref="S98:U98"/>
    <mergeCell ref="M81:Q81"/>
    <mergeCell ref="R81:U81"/>
    <mergeCell ref="B75:E76"/>
    <mergeCell ref="F75:AC77"/>
    <mergeCell ref="V98:Z98"/>
    <mergeCell ref="AA98:AC98"/>
    <mergeCell ref="B97:D97"/>
    <mergeCell ref="F97:I97"/>
    <mergeCell ref="J97:N97"/>
    <mergeCell ref="O97:R97"/>
    <mergeCell ref="S97:U97"/>
    <mergeCell ref="V97:Z97"/>
    <mergeCell ref="J88:L88"/>
    <mergeCell ref="R89:U89"/>
    <mergeCell ref="V89:Y89"/>
    <mergeCell ref="Z89:AC89"/>
    <mergeCell ref="M87:Q87"/>
    <mergeCell ref="R87:U87"/>
    <mergeCell ref="V87:Y87"/>
    <mergeCell ref="B101:E101"/>
    <mergeCell ref="F101:I101"/>
    <mergeCell ref="J101:N101"/>
    <mergeCell ref="O101:R101"/>
    <mergeCell ref="S101:U101"/>
    <mergeCell ref="V101:Z101"/>
    <mergeCell ref="AA99:AC99"/>
    <mergeCell ref="B100:E100"/>
    <mergeCell ref="F100:I100"/>
    <mergeCell ref="J100:N100"/>
    <mergeCell ref="O100:R100"/>
    <mergeCell ref="S100:U100"/>
    <mergeCell ref="V100:Z100"/>
    <mergeCell ref="AA100:AC100"/>
    <mergeCell ref="B99:E99"/>
    <mergeCell ref="F99:I99"/>
    <mergeCell ref="J99:N99"/>
    <mergeCell ref="O99:R99"/>
    <mergeCell ref="S99:U99"/>
    <mergeCell ref="V99:Z99"/>
    <mergeCell ref="AA101:AC101"/>
    <mergeCell ref="T117:U117"/>
    <mergeCell ref="V117:AD117"/>
    <mergeCell ref="T118:U118"/>
    <mergeCell ref="V118:AD118"/>
    <mergeCell ref="B84:H85"/>
    <mergeCell ref="J84:L84"/>
    <mergeCell ref="J85:L85"/>
    <mergeCell ref="M84:Q84"/>
    <mergeCell ref="R84:U84"/>
    <mergeCell ref="V84:Y84"/>
    <mergeCell ref="Z84:AC84"/>
    <mergeCell ref="M85:Q85"/>
    <mergeCell ref="R85:U85"/>
    <mergeCell ref="V85:Y85"/>
    <mergeCell ref="Z85:AC85"/>
    <mergeCell ref="AA97:AC97"/>
    <mergeCell ref="B91:AC91"/>
    <mergeCell ref="B93:H93"/>
    <mergeCell ref="J93:L93"/>
    <mergeCell ref="J89:L89"/>
    <mergeCell ref="M89:Q89"/>
    <mergeCell ref="B87:H87"/>
    <mergeCell ref="J87:L87"/>
    <mergeCell ref="B88:H89"/>
    <mergeCell ref="M88:Q88"/>
    <mergeCell ref="R88:U88"/>
    <mergeCell ref="V88:Y88"/>
    <mergeCell ref="Z88:AC88"/>
    <mergeCell ref="B70:G70"/>
    <mergeCell ref="H70:K70"/>
    <mergeCell ref="N70:O70"/>
    <mergeCell ref="Q70:T70"/>
    <mergeCell ref="U70:X70"/>
    <mergeCell ref="AA70:AB70"/>
    <mergeCell ref="V82:Y82"/>
    <mergeCell ref="Z82:AC82"/>
    <mergeCell ref="M83:Q83"/>
    <mergeCell ref="R83:U83"/>
    <mergeCell ref="V83:Y83"/>
    <mergeCell ref="Z83:AC83"/>
    <mergeCell ref="V81:Y81"/>
    <mergeCell ref="Z81:AC81"/>
    <mergeCell ref="M82:Q82"/>
    <mergeCell ref="B82:H83"/>
    <mergeCell ref="J82:L82"/>
    <mergeCell ref="J83:L83"/>
    <mergeCell ref="R82:U82"/>
    <mergeCell ref="J72:K72"/>
    <mergeCell ref="B81:H81"/>
    <mergeCell ref="J81:L81"/>
    <mergeCell ref="B72:C72"/>
    <mergeCell ref="D72:E72"/>
    <mergeCell ref="G72:I72"/>
    <mergeCell ref="F47:J47"/>
    <mergeCell ref="O47:S47"/>
    <mergeCell ref="Y47:AC47"/>
    <mergeCell ref="Z87:AC87"/>
    <mergeCell ref="M72:R73"/>
    <mergeCell ref="S72:AC73"/>
    <mergeCell ref="B68:G68"/>
    <mergeCell ref="H68:I68"/>
    <mergeCell ref="K68:N68"/>
    <mergeCell ref="O68:P68"/>
    <mergeCell ref="R68:T68"/>
    <mergeCell ref="U68:V68"/>
    <mergeCell ref="F56:J56"/>
    <mergeCell ref="L56:M56"/>
    <mergeCell ref="F57:J57"/>
    <mergeCell ref="L57:M57"/>
    <mergeCell ref="F54:J54"/>
    <mergeCell ref="L54:M54"/>
    <mergeCell ref="B55:E55"/>
  </mergeCells>
  <conditionalFormatting sqref="F51">
    <cfRule type="expression" dxfId="33" priority="2">
      <formula>NOT(ISBLANK($K$42))</formula>
    </cfRule>
  </conditionalFormatting>
  <conditionalFormatting sqref="O49 T49:V51 M50:O50">
    <cfRule type="expression" dxfId="32" priority="3">
      <formula>NOT(ISBLANK($N$44))</formula>
    </cfRule>
  </conditionalFormatting>
  <conditionalFormatting sqref="O51">
    <cfRule type="expression" dxfId="31" priority="1">
      <formula>NOT(ISBLANK($K$42))</formula>
    </cfRule>
  </conditionalFormatting>
  <dataValidations count="5">
    <dataValidation type="list" allowBlank="1" showInputMessage="1" showErrorMessage="1" sqref="K63" xr:uid="{00000000-0002-0000-0200-000000000000}">
      <formula1>INDIRECT($AB$57)</formula1>
    </dataValidation>
    <dataValidation type="list" allowBlank="1" showInputMessage="1" showErrorMessage="1" sqref="F63:J63" xr:uid="{00000000-0002-0000-0200-000001000000}">
      <formula1>$E$18:$E$41</formula1>
    </dataValidation>
    <dataValidation type="list" allowBlank="1" showInputMessage="1" showErrorMessage="1" sqref="N63:O63 W63:X63 S55:T55" xr:uid="{00000000-0002-0000-0200-000002000000}">
      <formula1>$BP$18:$BP$19</formula1>
    </dataValidation>
    <dataValidation type="list" allowBlank="1" showInputMessage="1" showErrorMessage="1" sqref="J72:K72" xr:uid="{00000000-0002-0000-0200-000003000000}">
      <formula1>$X$18:$X$19</formula1>
    </dataValidation>
    <dataValidation type="list" allowBlank="1" showInputMessage="1" showErrorMessage="1" sqref="U70" xr:uid="{00000000-0002-0000-0200-000004000000}">
      <formula1>$V$18:$V$22</formula1>
    </dataValidation>
  </dataValidations>
  <printOptions horizontalCentered="1"/>
  <pageMargins left="0.70866141732283472" right="0.70866141732283472" top="0.74803149606299213" bottom="0.74803149606299213" header="0.31496062992125984" footer="0.31496062992125984"/>
  <pageSetup paperSize="9" scale="56" orientation="portrait"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200-000005000000}">
          <x14:formula1>
            <xm:f>'Lista-Data'!$H$3:$H$7</xm:f>
          </x14:formula1>
          <xm:sqref>F51:I51</xm:sqref>
        </x14:dataValidation>
        <x14:dataValidation type="list" allowBlank="1" showInputMessage="1" showErrorMessage="1" xr:uid="{00000000-0002-0000-0200-000006000000}">
          <x14:formula1>
            <xm:f>'Lista-Data'!$E$3:$E$26</xm:f>
          </x14:formula1>
          <xm:sqref>F55:J57</xm:sqref>
        </x14:dataValidation>
        <x14:dataValidation type="list" allowBlank="1" showInputMessage="1" showErrorMessage="1" xr:uid="{00000000-0002-0000-0200-000007000000}">
          <x14:formula1>
            <xm:f>'Lista-Data'!$BP$3:$BP$4</xm:f>
          </x14:formula1>
          <xm:sqref>N61:O61</xm:sqref>
        </x14:dataValidation>
        <x14:dataValidation type="list" allowBlank="1" showInputMessage="1" showErrorMessage="1" xr:uid="{00000000-0002-0000-0200-000008000000}">
          <x14:formula1>
            <xm:f>'Lista-Data'!$BS$3:$BS$5</xm:f>
          </x14:formula1>
          <xm:sqref>AB55:AC55</xm:sqref>
        </x14:dataValidation>
        <x14:dataValidation type="list" allowBlank="1" showInputMessage="1" showErrorMessage="1" xr:uid="{00000000-0002-0000-0200-000009000000}">
          <x14:formula1>
            <xm:f>'Lista-Data'!$O$3:$O$31</xm:f>
          </x14:formula1>
          <xm:sqref>F59:J59</xm:sqref>
        </x14:dataValidation>
        <x14:dataValidation type="list" allowBlank="1" showInputMessage="1" showErrorMessage="1" xr:uid="{00000000-0002-0000-0200-00000A000000}">
          <x14:formula1>
            <xm:f>'Lista-Data'!$R$3:$R$6</xm:f>
          </x14:formula1>
          <xm:sqref>P66:S66</xm:sqref>
        </x14:dataValidation>
        <x14:dataValidation type="list" allowBlank="1" showInputMessage="1" showErrorMessage="1" xr:uid="{00000000-0002-0000-0200-00000B000000}">
          <x14:formula1>
            <xm:f>'Lista-Data'!$X$3:$X$4</xm:f>
          </x14:formula1>
          <xm:sqref>D72:E72</xm:sqref>
        </x14:dataValidation>
        <x14:dataValidation type="list" allowBlank="1" showInputMessage="1" showErrorMessage="1" xr:uid="{00000000-0002-0000-0200-00000C000000}">
          <x14:formula1>
            <xm:f>'Lista-Data'!$AC$3:$AC$5</xm:f>
          </x14:formula1>
          <xm:sqref>F98:I100</xm:sqref>
        </x14:dataValidation>
        <x14:dataValidation type="list" allowBlank="1" showInputMessage="1" showErrorMessage="1" xr:uid="{00000000-0002-0000-0200-00000D000000}">
          <x14:formula1>
            <xm:f>'Lista-Data'!$V$3:$V$7</xm:f>
          </x14:formula1>
          <xm:sqref>H70</xm:sqref>
        </x14:dataValidation>
        <x14:dataValidation type="list" allowBlank="1" showInputMessage="1" showErrorMessage="1" xr:uid="{00000000-0002-0000-0200-00000E000000}">
          <x14:formula1>
            <xm:f>'Lista-Data'!#REF!</xm:f>
          </x14:formula1>
          <xm:sqref>O51:R51</xm:sqref>
        </x14:dataValidation>
        <x14:dataValidation type="list" allowBlank="1" showInputMessage="1" showErrorMessage="1" xr:uid="{30B5B0FC-03D1-4916-8366-799602221B1B}">
          <x14:formula1>
            <xm:f>'Lista-Data'!$AC$3:$AC$9</xm:f>
          </x14:formula1>
          <xm:sqref>F103:I105 F108:I110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2">
    <tabColor rgb="FF002060"/>
  </sheetPr>
  <dimension ref="A12:AD130"/>
  <sheetViews>
    <sheetView tabSelected="1" topLeftCell="A61" workbookViewId="0">
      <selection activeCell="AL66" sqref="AL66"/>
    </sheetView>
  </sheetViews>
  <sheetFormatPr baseColWidth="10" defaultRowHeight="15"/>
  <cols>
    <col min="1" max="28" width="5.140625" customWidth="1"/>
    <col min="29" max="29" width="5.85546875" customWidth="1"/>
    <col min="30" max="30" width="5.140625" customWidth="1"/>
  </cols>
  <sheetData>
    <row r="12" spans="1:30" ht="15.75">
      <c r="A12" s="24"/>
      <c r="B12" s="24"/>
      <c r="C12" s="24"/>
      <c r="D12" s="24"/>
      <c r="E12" s="24"/>
      <c r="F12" s="24"/>
      <c r="G12" s="24"/>
      <c r="H12" s="24"/>
      <c r="I12" s="24"/>
      <c r="J12" s="24"/>
      <c r="K12" s="24"/>
      <c r="L12" s="24"/>
      <c r="M12" s="24"/>
      <c r="N12" s="24"/>
      <c r="O12" s="24"/>
      <c r="P12" s="24"/>
      <c r="Q12" s="24"/>
      <c r="R12" s="24"/>
      <c r="S12" s="24"/>
      <c r="T12" s="1023" t="s">
        <v>815</v>
      </c>
      <c r="U12" s="1023"/>
      <c r="V12" s="1023"/>
      <c r="W12" s="1023"/>
      <c r="X12" s="1023"/>
      <c r="Y12" s="30" t="s">
        <v>0</v>
      </c>
      <c r="Z12" s="1024">
        <f>+'MEM. DESC. I'!Z12</f>
        <v>0</v>
      </c>
      <c r="AA12" s="1025"/>
      <c r="AB12" s="1025"/>
      <c r="AC12" s="1025"/>
      <c r="AD12" s="1025"/>
    </row>
    <row r="13" spans="1:30" ht="15.75">
      <c r="A13" s="24"/>
      <c r="B13" s="24"/>
      <c r="C13" s="24"/>
      <c r="D13" s="24"/>
      <c r="E13" s="24"/>
      <c r="F13" s="24"/>
      <c r="G13" s="24"/>
      <c r="H13" s="24"/>
      <c r="I13" s="24"/>
      <c r="J13" s="24"/>
      <c r="K13" s="24"/>
      <c r="L13" s="24"/>
      <c r="M13" s="24"/>
      <c r="N13" s="24"/>
      <c r="O13" s="24"/>
      <c r="P13" s="24"/>
      <c r="Q13" s="24"/>
      <c r="R13" s="24"/>
      <c r="S13" s="24"/>
      <c r="T13" s="1023" t="s">
        <v>1</v>
      </c>
      <c r="U13" s="1023"/>
      <c r="V13" s="1023"/>
      <c r="W13" s="1023"/>
      <c r="X13" s="1023"/>
      <c r="Y13" s="30" t="s">
        <v>0</v>
      </c>
      <c r="Z13" s="1024" t="str">
        <f>+'MEM. DESC. I'!Z13:AD13</f>
        <v>XXXX-26</v>
      </c>
      <c r="AA13" s="1025"/>
      <c r="AB13" s="1025"/>
      <c r="AC13" s="1025"/>
      <c r="AD13" s="1025"/>
    </row>
    <row r="14" spans="1:30" ht="15.75">
      <c r="A14" s="24"/>
      <c r="B14" s="24"/>
      <c r="C14" s="24"/>
      <c r="D14" s="24"/>
      <c r="E14" s="24"/>
      <c r="F14" s="24"/>
      <c r="G14" s="24"/>
      <c r="H14" s="24"/>
      <c r="I14" s="24"/>
      <c r="J14" s="24"/>
      <c r="K14" s="24"/>
      <c r="L14" s="24"/>
      <c r="M14" s="24"/>
      <c r="N14" s="24"/>
      <c r="O14" s="24"/>
      <c r="P14" s="24"/>
      <c r="Q14" s="24"/>
      <c r="R14" s="24"/>
      <c r="S14" s="24"/>
      <c r="T14" s="1023" t="s">
        <v>52</v>
      </c>
      <c r="U14" s="1023"/>
      <c r="V14" s="1023"/>
      <c r="W14" s="1023"/>
      <c r="X14" s="1023"/>
      <c r="Y14" s="30" t="s">
        <v>0</v>
      </c>
      <c r="Z14" s="1026">
        <f>+'MEM. DESC. I'!Z14:AD14</f>
        <v>0</v>
      </c>
      <c r="AA14" s="1026"/>
      <c r="AB14" s="1026"/>
      <c r="AC14" s="1026"/>
      <c r="AD14" s="1026"/>
    </row>
    <row r="15" spans="1:30" ht="15.75">
      <c r="A15" s="24"/>
      <c r="B15" s="24"/>
      <c r="C15" s="24"/>
      <c r="D15" s="24"/>
      <c r="E15" s="24"/>
      <c r="F15" s="24"/>
      <c r="G15" s="24"/>
      <c r="H15" s="24"/>
      <c r="I15" s="24"/>
      <c r="J15" s="24"/>
      <c r="K15" s="24"/>
      <c r="L15" s="24"/>
      <c r="M15" s="24"/>
      <c r="N15" s="24"/>
      <c r="O15" s="24"/>
      <c r="P15" s="24"/>
      <c r="Q15" s="24"/>
      <c r="R15" s="24"/>
      <c r="S15" s="24"/>
      <c r="T15" s="1023" t="s">
        <v>816</v>
      </c>
      <c r="U15" s="1023"/>
      <c r="V15" s="1023"/>
      <c r="W15" s="1023"/>
      <c r="X15" s="1023"/>
      <c r="Y15" s="30" t="s">
        <v>0</v>
      </c>
      <c r="Z15" s="1026">
        <f>+'MEM. DESC. I'!Z15:AD15</f>
        <v>365</v>
      </c>
      <c r="AA15" s="1026"/>
      <c r="AB15" s="1026"/>
      <c r="AC15" s="1026"/>
      <c r="AD15" s="1026"/>
    </row>
    <row r="16" spans="1:30" ht="20.25" customHeight="1">
      <c r="A16" s="729" t="s">
        <v>1395</v>
      </c>
      <c r="B16" s="729"/>
      <c r="C16" s="729"/>
      <c r="D16" s="729"/>
      <c r="E16" s="729"/>
      <c r="F16" s="729"/>
      <c r="G16" s="729"/>
      <c r="H16" s="729"/>
      <c r="I16" s="729"/>
      <c r="J16" s="729"/>
      <c r="K16" s="729"/>
      <c r="L16" s="729"/>
      <c r="M16" s="729"/>
      <c r="N16" s="729"/>
      <c r="O16" s="729"/>
      <c r="P16" s="729"/>
      <c r="Q16" s="729"/>
      <c r="R16" s="729"/>
      <c r="S16" s="729"/>
      <c r="T16" s="729"/>
      <c r="U16" s="729"/>
      <c r="V16" s="729"/>
      <c r="W16" s="729"/>
      <c r="X16" s="729"/>
      <c r="Y16" s="729"/>
      <c r="Z16" s="729"/>
      <c r="AA16" s="729"/>
      <c r="AB16" s="729"/>
      <c r="AC16" s="729"/>
      <c r="AD16" s="729"/>
    </row>
    <row r="17" spans="1:30" ht="20.25" customHeight="1">
      <c r="A17" s="729" t="s">
        <v>962</v>
      </c>
      <c r="B17" s="729"/>
      <c r="C17" s="729"/>
      <c r="D17" s="729"/>
      <c r="E17" s="729"/>
      <c r="F17" s="729"/>
      <c r="G17" s="729"/>
      <c r="H17" s="729"/>
      <c r="I17" s="729"/>
      <c r="J17" s="729"/>
      <c r="K17" s="729"/>
      <c r="L17" s="729"/>
      <c r="M17" s="729"/>
      <c r="N17" s="729"/>
      <c r="O17" s="729"/>
      <c r="P17" s="729"/>
      <c r="Q17" s="729"/>
      <c r="R17" s="729"/>
      <c r="S17" s="729"/>
      <c r="T17" s="729"/>
      <c r="U17" s="729"/>
      <c r="V17" s="729"/>
      <c r="W17" s="729"/>
      <c r="X17" s="729"/>
      <c r="Y17" s="729"/>
      <c r="Z17" s="729"/>
      <c r="AA17" s="729"/>
      <c r="AB17" s="729"/>
      <c r="AC17" s="729"/>
      <c r="AD17" s="729"/>
    </row>
    <row r="18" spans="1:30" ht="15.75">
      <c r="A18" s="24"/>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spans="1:30" ht="15.75">
      <c r="A19" s="24"/>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spans="1:30" ht="15.75">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30" ht="15.75">
      <c r="A21" s="24"/>
      <c r="B21" s="4"/>
      <c r="C21" s="4"/>
      <c r="D21" s="4"/>
      <c r="E21" s="4"/>
      <c r="F21" s="4"/>
      <c r="G21" s="4"/>
      <c r="H21" s="4"/>
      <c r="I21" s="4"/>
      <c r="J21" s="5"/>
      <c r="K21" s="5"/>
      <c r="L21" s="5"/>
      <c r="M21" s="5"/>
      <c r="N21" s="5"/>
      <c r="O21" s="5"/>
      <c r="P21" s="5"/>
      <c r="Q21" s="5"/>
      <c r="R21" s="5"/>
      <c r="S21" s="5"/>
      <c r="T21" s="5"/>
      <c r="U21" s="5"/>
      <c r="V21" s="4"/>
      <c r="W21" s="4"/>
      <c r="X21" s="4"/>
      <c r="Y21" s="4"/>
      <c r="Z21" s="4"/>
      <c r="AA21" s="4"/>
      <c r="AB21" s="4"/>
      <c r="AC21" s="4"/>
      <c r="AD21" s="4"/>
    </row>
    <row r="22" spans="1:30" ht="15.75">
      <c r="A22" s="24"/>
      <c r="B22" s="4"/>
      <c r="C22" s="4"/>
      <c r="D22" s="4"/>
      <c r="E22" s="4"/>
      <c r="F22" s="4"/>
      <c r="G22" s="4"/>
      <c r="H22" s="4"/>
      <c r="I22" s="4"/>
      <c r="J22" s="5"/>
      <c r="K22" s="5"/>
      <c r="L22" s="5"/>
      <c r="M22" s="5"/>
      <c r="N22" s="5"/>
      <c r="O22" s="5"/>
      <c r="P22" s="5"/>
      <c r="Q22" s="5"/>
      <c r="R22" s="5"/>
      <c r="S22" s="5"/>
      <c r="T22" s="5"/>
      <c r="U22" s="5"/>
      <c r="V22" s="4"/>
      <c r="W22" s="4"/>
      <c r="X22" s="4"/>
      <c r="Y22" s="4"/>
      <c r="Z22" s="4"/>
      <c r="AA22" s="4"/>
      <c r="AB22" s="4"/>
      <c r="AC22" s="4"/>
      <c r="AD22" s="4"/>
    </row>
    <row r="23" spans="1:30" ht="15.75">
      <c r="A23" s="24"/>
      <c r="B23" s="4"/>
      <c r="C23" s="4"/>
      <c r="D23" s="4"/>
      <c r="E23" s="4"/>
      <c r="F23" s="4"/>
      <c r="G23" s="4"/>
      <c r="H23" s="4"/>
      <c r="I23" s="4"/>
      <c r="J23" s="5"/>
      <c r="K23" s="5"/>
      <c r="L23" s="5"/>
      <c r="M23" s="5"/>
      <c r="N23" s="5"/>
      <c r="O23" s="5"/>
      <c r="P23" s="5"/>
      <c r="Q23" s="5"/>
      <c r="R23" s="5"/>
      <c r="S23" s="5"/>
      <c r="T23" s="5"/>
      <c r="U23" s="5"/>
      <c r="V23" s="4"/>
      <c r="W23" s="4"/>
      <c r="X23" s="4"/>
      <c r="Y23" s="4"/>
      <c r="Z23" s="4"/>
      <c r="AA23" s="4"/>
      <c r="AB23" s="4"/>
      <c r="AC23" s="4"/>
      <c r="AD23" s="4"/>
    </row>
    <row r="24" spans="1:30" ht="15.75">
      <c r="A24" s="24"/>
      <c r="B24" s="4"/>
      <c r="C24" s="4"/>
      <c r="D24" s="4"/>
      <c r="E24" s="4"/>
      <c r="F24" s="4"/>
      <c r="G24" s="4"/>
      <c r="H24" s="4"/>
      <c r="I24" s="4"/>
      <c r="J24" s="5"/>
      <c r="K24" s="5"/>
      <c r="L24" s="5"/>
      <c r="M24" s="5"/>
      <c r="N24" s="5"/>
      <c r="O24" s="5"/>
      <c r="P24" s="5"/>
      <c r="Q24" s="5"/>
      <c r="R24" s="5"/>
      <c r="S24" s="5"/>
      <c r="T24" s="5"/>
      <c r="U24" s="5"/>
      <c r="V24" s="4"/>
      <c r="W24" s="4"/>
      <c r="X24" s="4"/>
      <c r="Y24" s="4"/>
      <c r="Z24" s="4"/>
      <c r="AA24" s="4"/>
      <c r="AB24" s="4"/>
      <c r="AC24" s="4"/>
      <c r="AD24" s="4"/>
    </row>
    <row r="25" spans="1:30" ht="15.75">
      <c r="A25" s="24"/>
      <c r="B25" s="4"/>
      <c r="C25" s="4"/>
      <c r="D25" s="4"/>
      <c r="E25" s="4"/>
      <c r="F25" s="4"/>
      <c r="G25" s="4"/>
      <c r="H25" s="4"/>
      <c r="I25" s="4"/>
      <c r="J25" s="5"/>
      <c r="K25" s="5"/>
      <c r="L25" s="5"/>
      <c r="M25" s="5"/>
      <c r="N25" s="5"/>
      <c r="O25" s="5"/>
      <c r="P25" s="5"/>
      <c r="Q25" s="5"/>
      <c r="R25" s="5"/>
      <c r="S25" s="5"/>
      <c r="T25" s="5"/>
      <c r="U25" s="5"/>
      <c r="V25" s="4"/>
      <c r="W25" s="4"/>
      <c r="X25" s="4"/>
      <c r="Y25" s="4"/>
      <c r="Z25" s="4"/>
      <c r="AA25" s="4"/>
      <c r="AB25" s="4"/>
      <c r="AC25" s="4"/>
      <c r="AD25" s="4"/>
    </row>
    <row r="26" spans="1:30" ht="15.75">
      <c r="A26" s="24"/>
      <c r="B26" s="4"/>
      <c r="C26" s="4"/>
      <c r="D26" s="4"/>
      <c r="E26" s="4"/>
      <c r="F26" s="4"/>
      <c r="G26" s="4"/>
      <c r="H26" s="4"/>
      <c r="I26" s="4"/>
      <c r="J26" s="5"/>
      <c r="K26" s="5"/>
      <c r="L26" s="5"/>
      <c r="M26" s="5"/>
      <c r="N26" s="5"/>
      <c r="O26" s="5"/>
      <c r="P26" s="5"/>
      <c r="Q26" s="5"/>
      <c r="R26" s="5"/>
      <c r="S26" s="5"/>
      <c r="T26" s="5"/>
      <c r="U26" s="5"/>
      <c r="V26" s="4"/>
      <c r="W26" s="4"/>
      <c r="X26" s="4"/>
      <c r="Y26" s="4"/>
      <c r="Z26" s="4"/>
      <c r="AA26" s="4"/>
      <c r="AB26" s="4"/>
      <c r="AC26" s="4"/>
      <c r="AD26" s="4"/>
    </row>
    <row r="27" spans="1:30" ht="15.75">
      <c r="A27" s="24"/>
      <c r="B27" s="4"/>
      <c r="C27" s="4"/>
      <c r="D27" s="4"/>
      <c r="E27" s="4"/>
      <c r="F27" s="4"/>
      <c r="G27" s="4"/>
      <c r="H27" s="4"/>
      <c r="I27" s="4"/>
      <c r="J27" s="5"/>
      <c r="K27" s="5"/>
      <c r="L27" s="5"/>
      <c r="M27" s="5"/>
      <c r="N27" s="5"/>
      <c r="O27" s="5"/>
      <c r="P27" s="5"/>
      <c r="Q27" s="5"/>
      <c r="R27" s="5"/>
      <c r="S27" s="5"/>
      <c r="T27" s="5"/>
      <c r="U27" s="5"/>
      <c r="V27" s="4"/>
      <c r="W27" s="4"/>
      <c r="X27" s="4"/>
      <c r="Y27" s="4"/>
      <c r="Z27" s="4"/>
      <c r="AA27" s="4"/>
      <c r="AB27" s="4"/>
      <c r="AC27" s="4"/>
      <c r="AD27" s="4"/>
    </row>
    <row r="28" spans="1:30" ht="15.75">
      <c r="A28" s="24"/>
      <c r="B28" s="4"/>
      <c r="C28" s="4"/>
      <c r="D28" s="4"/>
      <c r="E28" s="4"/>
      <c r="F28" s="4"/>
      <c r="G28" s="4"/>
      <c r="H28" s="4"/>
      <c r="I28" s="4"/>
      <c r="J28" s="5"/>
      <c r="K28" s="5"/>
      <c r="L28" s="5"/>
      <c r="M28" s="5"/>
      <c r="N28" s="5"/>
      <c r="O28" s="5"/>
      <c r="P28" s="5"/>
      <c r="Q28" s="5"/>
      <c r="R28" s="5"/>
      <c r="S28" s="5"/>
      <c r="T28" s="5"/>
      <c r="U28" s="5"/>
      <c r="V28" s="4"/>
      <c r="W28" s="4"/>
      <c r="X28" s="4"/>
      <c r="Y28" s="4"/>
      <c r="Z28" s="4"/>
      <c r="AA28" s="4"/>
      <c r="AB28" s="4"/>
      <c r="AC28" s="4"/>
      <c r="AD28" s="4"/>
    </row>
    <row r="29" spans="1:30" ht="15.75">
      <c r="A29" s="24"/>
      <c r="B29" s="4"/>
      <c r="C29" s="4"/>
      <c r="D29" s="4"/>
      <c r="E29" s="4"/>
      <c r="F29" s="4"/>
      <c r="G29" s="4"/>
      <c r="H29" s="4"/>
      <c r="I29" s="4"/>
      <c r="J29" s="5"/>
      <c r="K29" s="5"/>
      <c r="L29" s="5"/>
      <c r="M29" s="5"/>
      <c r="N29" s="5"/>
      <c r="O29" s="5"/>
      <c r="P29" s="5"/>
      <c r="Q29" s="5"/>
      <c r="R29" s="5"/>
      <c r="S29" s="5"/>
      <c r="T29" s="5"/>
      <c r="U29" s="5"/>
      <c r="V29" s="4"/>
      <c r="W29" s="4"/>
      <c r="X29" s="4"/>
      <c r="Y29" s="4"/>
      <c r="Z29" s="4"/>
      <c r="AA29" s="4"/>
      <c r="AB29" s="4"/>
      <c r="AC29" s="4"/>
      <c r="AD29" s="4"/>
    </row>
    <row r="30" spans="1:30" ht="15.75">
      <c r="A30" s="24"/>
      <c r="B30" s="4"/>
      <c r="C30" s="4"/>
      <c r="D30" s="4"/>
      <c r="E30" s="4"/>
      <c r="F30" s="4"/>
      <c r="G30" s="4"/>
      <c r="H30" s="4"/>
      <c r="I30" s="4"/>
      <c r="J30" s="5"/>
      <c r="K30" s="5"/>
      <c r="L30" s="5"/>
      <c r="M30" s="5"/>
      <c r="N30" s="5"/>
      <c r="O30" s="5"/>
      <c r="P30" s="5"/>
      <c r="Q30" s="5"/>
      <c r="R30" s="5"/>
      <c r="S30" s="5"/>
      <c r="T30" s="5"/>
      <c r="U30" s="5"/>
      <c r="V30" s="4"/>
      <c r="W30" s="4"/>
      <c r="X30" s="4"/>
      <c r="Y30" s="4"/>
      <c r="Z30" s="4"/>
      <c r="AA30" s="4"/>
      <c r="AB30" s="4"/>
      <c r="AC30" s="4"/>
      <c r="AD30" s="4"/>
    </row>
    <row r="31" spans="1:30" ht="15.75">
      <c r="A31" s="24"/>
      <c r="B31" s="4"/>
      <c r="C31" s="4"/>
      <c r="D31" s="4"/>
      <c r="E31" s="4"/>
      <c r="F31" s="4"/>
      <c r="G31" s="4"/>
      <c r="H31" s="4"/>
      <c r="I31" s="4"/>
      <c r="J31" s="5"/>
      <c r="K31" s="5"/>
      <c r="L31" s="5"/>
      <c r="M31" s="5"/>
      <c r="N31" s="5"/>
      <c r="O31" s="5"/>
      <c r="P31" s="5"/>
      <c r="Q31" s="5"/>
      <c r="R31" s="5"/>
      <c r="S31" s="5"/>
      <c r="T31" s="5"/>
      <c r="U31" s="5"/>
      <c r="V31" s="4"/>
      <c r="W31" s="4"/>
      <c r="X31" s="4"/>
      <c r="Y31" s="4"/>
      <c r="Z31" s="4"/>
      <c r="AA31" s="4"/>
      <c r="AB31" s="4"/>
      <c r="AC31" s="4"/>
      <c r="AD31" s="4"/>
    </row>
    <row r="32" spans="1:30" ht="15.75">
      <c r="A32" s="24"/>
      <c r="B32" s="4"/>
      <c r="C32" s="4"/>
      <c r="D32" s="4"/>
      <c r="E32" s="4"/>
      <c r="F32" s="4"/>
      <c r="G32" s="762" t="s">
        <v>963</v>
      </c>
      <c r="H32" s="762"/>
      <c r="I32" s="762"/>
      <c r="J32" s="762"/>
      <c r="K32" s="762"/>
      <c r="L32" s="762"/>
      <c r="M32" s="5"/>
      <c r="N32" s="5"/>
      <c r="O32" s="5"/>
      <c r="P32" s="5"/>
      <c r="Q32" s="5"/>
      <c r="R32" s="5"/>
      <c r="S32" s="762" t="s">
        <v>53</v>
      </c>
      <c r="T32" s="762"/>
      <c r="U32" s="762"/>
      <c r="V32" s="762"/>
      <c r="W32" s="762"/>
      <c r="X32" s="762"/>
      <c r="Y32" s="762"/>
      <c r="Z32" s="762"/>
      <c r="AA32" s="4"/>
      <c r="AB32" s="4"/>
      <c r="AC32" s="4"/>
      <c r="AD32" s="4"/>
    </row>
    <row r="33" spans="1:30" ht="15.75">
      <c r="A33" s="24"/>
      <c r="B33" s="152" t="s">
        <v>761</v>
      </c>
      <c r="C33" s="130"/>
      <c r="D33" s="131"/>
      <c r="E33" s="131"/>
      <c r="F33" s="131"/>
      <c r="G33" s="131"/>
      <c r="H33" s="131"/>
      <c r="I33" s="131"/>
      <c r="J33" s="131"/>
      <c r="K33" s="131"/>
      <c r="L33" s="131"/>
      <c r="M33" s="131"/>
      <c r="N33" s="131"/>
      <c r="O33" s="131"/>
      <c r="P33" s="131"/>
      <c r="Q33" s="131"/>
      <c r="R33" s="131"/>
      <c r="S33" s="148"/>
      <c r="T33" s="148"/>
      <c r="U33" s="148"/>
      <c r="V33" s="148"/>
      <c r="W33" s="148"/>
      <c r="X33" s="148"/>
      <c r="Y33" s="148"/>
      <c r="Z33" s="148"/>
      <c r="AA33" s="4"/>
      <c r="AB33" s="4"/>
      <c r="AC33" s="4"/>
      <c r="AD33" s="4"/>
    </row>
    <row r="34" spans="1:30" ht="5.0999999999999996" customHeight="1">
      <c r="A34" s="24"/>
      <c r="B34" s="131"/>
      <c r="C34" s="131"/>
      <c r="D34" s="131"/>
      <c r="E34" s="131"/>
      <c r="F34" s="131"/>
      <c r="G34" s="131"/>
      <c r="H34" s="131"/>
      <c r="I34" s="131"/>
      <c r="J34" s="131"/>
      <c r="K34" s="131"/>
      <c r="L34" s="131"/>
      <c r="M34" s="131"/>
      <c r="N34" s="131"/>
      <c r="O34" s="131"/>
      <c r="P34" s="131"/>
      <c r="Q34" s="131"/>
      <c r="R34" s="131"/>
      <c r="S34" s="148"/>
      <c r="T34" s="148"/>
      <c r="U34" s="148"/>
      <c r="V34" s="148"/>
      <c r="W34" s="148"/>
      <c r="X34" s="148"/>
      <c r="Y34" s="148"/>
      <c r="Z34" s="148"/>
      <c r="AA34" s="4"/>
      <c r="AB34" s="4"/>
      <c r="AC34" s="4"/>
      <c r="AD34" s="4"/>
    </row>
    <row r="35" spans="1:30" ht="15.75">
      <c r="A35" s="24"/>
      <c r="B35" s="730" t="s">
        <v>762</v>
      </c>
      <c r="C35" s="730"/>
      <c r="D35" s="730"/>
      <c r="E35" s="730"/>
      <c r="F35" s="748">
        <f>+'MEM. DESC. I'!J42</f>
        <v>0</v>
      </c>
      <c r="G35" s="749"/>
      <c r="H35" s="749"/>
      <c r="I35" s="749"/>
      <c r="J35" s="749"/>
      <c r="K35" s="749"/>
      <c r="L35" s="749"/>
      <c r="M35" s="749"/>
      <c r="N35" s="749"/>
      <c r="O35" s="749"/>
      <c r="P35" s="749"/>
      <c r="Q35" s="749"/>
      <c r="R35" s="750"/>
      <c r="T35" s="148"/>
      <c r="U35" s="135" t="s">
        <v>763</v>
      </c>
      <c r="V35" s="135"/>
      <c r="W35" s="54"/>
      <c r="X35" s="754"/>
      <c r="Y35" s="755"/>
      <c r="Z35" s="755"/>
      <c r="AA35" s="755"/>
      <c r="AB35" s="755"/>
      <c r="AC35" s="756"/>
      <c r="AD35" s="4"/>
    </row>
    <row r="36" spans="1:30" ht="5.0999999999999996" customHeight="1">
      <c r="A36" s="24"/>
      <c r="B36" s="145"/>
      <c r="C36" s="131"/>
      <c r="D36" s="131"/>
      <c r="E36" s="131"/>
      <c r="F36" s="131"/>
      <c r="G36" s="131"/>
      <c r="H36" s="131"/>
      <c r="I36" s="131"/>
      <c r="J36" s="131"/>
      <c r="K36" s="131"/>
      <c r="L36" s="131"/>
      <c r="M36" s="132"/>
      <c r="N36" s="131"/>
      <c r="O36" s="131"/>
      <c r="P36" s="131"/>
      <c r="Q36" s="131"/>
      <c r="R36" s="131"/>
      <c r="S36" s="148"/>
      <c r="T36" s="148"/>
      <c r="U36" s="148"/>
      <c r="V36" s="148"/>
      <c r="W36" s="148"/>
      <c r="X36" s="148"/>
      <c r="Y36" s="148"/>
      <c r="Z36" s="148"/>
      <c r="AA36" s="4"/>
      <c r="AB36" s="4"/>
      <c r="AC36" s="4"/>
      <c r="AD36" s="4"/>
    </row>
    <row r="37" spans="1:30" ht="15.75">
      <c r="A37" s="24"/>
      <c r="B37" s="1245" t="s">
        <v>764</v>
      </c>
      <c r="C37" s="1245"/>
      <c r="D37" s="1245"/>
      <c r="E37" s="1245"/>
      <c r="F37" s="1246"/>
      <c r="G37" s="1247"/>
      <c r="H37" s="348"/>
      <c r="I37" s="1246"/>
      <c r="J37" s="1248"/>
      <c r="K37" s="1248"/>
      <c r="L37" s="1247"/>
      <c r="M37" s="347" t="s">
        <v>967</v>
      </c>
      <c r="N37" s="348"/>
      <c r="O37" s="349"/>
      <c r="P37" s="131"/>
      <c r="Q37" s="131"/>
      <c r="R37" s="131"/>
      <c r="S37" s="148"/>
      <c r="T37" s="148"/>
      <c r="U37" s="141" t="s">
        <v>968</v>
      </c>
      <c r="V37" s="148"/>
      <c r="W37" s="148"/>
      <c r="X37" s="148"/>
      <c r="Y37" s="148"/>
      <c r="Z37" s="148"/>
      <c r="AA37" s="4"/>
      <c r="AB37" s="4"/>
      <c r="AC37" s="4"/>
      <c r="AD37" s="4"/>
    </row>
    <row r="38" spans="1:30" ht="5.0999999999999996" customHeight="1">
      <c r="A38" s="24"/>
      <c r="B38" s="145"/>
      <c r="C38" s="131"/>
      <c r="D38" s="131"/>
      <c r="E38" s="131"/>
      <c r="F38" s="131"/>
      <c r="G38" s="131"/>
      <c r="H38" s="131"/>
      <c r="I38" s="131"/>
      <c r="J38" s="131"/>
      <c r="K38" s="131"/>
      <c r="L38" s="131"/>
      <c r="M38" s="131"/>
      <c r="N38" s="131"/>
      <c r="O38" s="131"/>
      <c r="P38" s="131"/>
      <c r="Q38" s="131"/>
      <c r="R38" s="131"/>
      <c r="S38" s="148"/>
      <c r="T38" s="148"/>
      <c r="U38" s="148"/>
      <c r="V38" s="148"/>
      <c r="W38" s="148"/>
      <c r="X38" s="148"/>
      <c r="Y38" s="148"/>
      <c r="Z38" s="148"/>
      <c r="AA38" s="4"/>
      <c r="AB38" s="4"/>
      <c r="AC38" s="4"/>
      <c r="AD38" s="4"/>
    </row>
    <row r="39" spans="1:30" ht="15.75">
      <c r="A39" s="24"/>
      <c r="B39" s="730" t="s">
        <v>765</v>
      </c>
      <c r="C39" s="730"/>
      <c r="D39" s="730"/>
      <c r="E39" s="742"/>
      <c r="F39" s="1252">
        <f>+'MEM. DESC. I'!J44</f>
        <v>0</v>
      </c>
      <c r="G39" s="1253"/>
      <c r="H39" s="1253"/>
      <c r="I39" s="1253"/>
      <c r="J39" s="1253"/>
      <c r="K39" s="1253"/>
      <c r="L39" s="1253"/>
      <c r="M39" s="1253"/>
      <c r="N39" s="1253"/>
      <c r="O39" s="1253"/>
      <c r="P39" s="1253"/>
      <c r="Q39" s="1253"/>
      <c r="R39" s="1253"/>
      <c r="S39" s="1253"/>
      <c r="T39" s="1253"/>
      <c r="U39" s="1253"/>
      <c r="V39" s="1253"/>
      <c r="W39" s="1253"/>
      <c r="X39" s="1253"/>
      <c r="Y39" s="1253"/>
      <c r="Z39" s="1253"/>
      <c r="AA39" s="1253"/>
      <c r="AB39" s="1253"/>
      <c r="AC39" s="1254"/>
      <c r="AD39" s="4"/>
    </row>
    <row r="40" spans="1:30" ht="5.0999999999999996" customHeight="1">
      <c r="A40" s="24"/>
      <c r="B40" s="145"/>
      <c r="C40" s="131"/>
      <c r="D40" s="131"/>
      <c r="E40" s="131"/>
      <c r="F40" s="131"/>
      <c r="G40" s="131"/>
      <c r="H40" s="131"/>
      <c r="I40" s="131"/>
      <c r="J40" s="131"/>
      <c r="K40" s="131"/>
      <c r="L40" s="131"/>
      <c r="M40" s="131"/>
      <c r="N40" s="131"/>
      <c r="O40" s="131"/>
      <c r="P40" s="131"/>
      <c r="Q40" s="131"/>
      <c r="R40" s="131"/>
      <c r="S40" s="148"/>
      <c r="T40" s="148"/>
      <c r="U40" s="148"/>
      <c r="V40" s="148"/>
      <c r="W40" s="148"/>
      <c r="X40" s="148"/>
      <c r="Y40" s="148"/>
      <c r="Z40" s="148"/>
      <c r="AA40" s="4"/>
      <c r="AB40" s="4"/>
      <c r="AC40" s="4"/>
      <c r="AD40" s="4"/>
    </row>
    <row r="41" spans="1:30" ht="15.75">
      <c r="A41" s="24"/>
      <c r="B41" s="1245" t="s">
        <v>1020</v>
      </c>
      <c r="C41" s="1245"/>
      <c r="D41" s="1245"/>
      <c r="E41" s="1245"/>
      <c r="F41" s="1249"/>
      <c r="G41" s="1250"/>
      <c r="H41" s="1251"/>
      <c r="I41" s="132"/>
      <c r="J41" s="131"/>
      <c r="K41" s="131"/>
      <c r="L41" s="131"/>
      <c r="M41" s="131"/>
      <c r="N41" s="131"/>
      <c r="O41" s="131"/>
      <c r="P41" s="131"/>
      <c r="Q41" s="131"/>
      <c r="R41" s="131"/>
      <c r="S41" s="148"/>
      <c r="T41" s="148"/>
      <c r="U41" s="148"/>
      <c r="V41" s="148"/>
      <c r="W41" s="148"/>
      <c r="X41" s="148"/>
      <c r="Y41" s="148"/>
      <c r="Z41" s="148"/>
      <c r="AA41" s="4"/>
      <c r="AB41" s="4"/>
      <c r="AC41" s="4"/>
      <c r="AD41" s="4"/>
    </row>
    <row r="42" spans="1:30" ht="5.0999999999999996" customHeight="1">
      <c r="A42" s="24"/>
      <c r="B42" s="131"/>
      <c r="C42" s="131"/>
      <c r="D42" s="131"/>
      <c r="E42" s="131"/>
      <c r="F42" s="131"/>
      <c r="G42" s="131"/>
      <c r="H42" s="131"/>
      <c r="I42" s="131"/>
      <c r="J42" s="131"/>
      <c r="K42" s="131"/>
      <c r="L42" s="131"/>
      <c r="M42" s="131"/>
      <c r="N42" s="131"/>
      <c r="O42" s="131"/>
      <c r="P42" s="131"/>
      <c r="Q42" s="131"/>
      <c r="R42" s="131"/>
      <c r="S42" s="148"/>
      <c r="T42" s="148"/>
      <c r="U42" s="148"/>
      <c r="V42" s="148"/>
      <c r="W42" s="148"/>
      <c r="X42" s="148"/>
      <c r="Y42" s="148"/>
      <c r="Z42" s="148"/>
      <c r="AA42" s="4"/>
      <c r="AB42" s="4"/>
      <c r="AC42" s="4"/>
      <c r="AD42" s="4"/>
    </row>
    <row r="43" spans="1:30" ht="15.75">
      <c r="A43" s="24"/>
      <c r="B43" s="152" t="s">
        <v>766</v>
      </c>
      <c r="C43" s="130"/>
      <c r="D43" s="131"/>
      <c r="E43" s="131"/>
      <c r="F43" s="131"/>
      <c r="G43" s="131"/>
      <c r="H43" s="131"/>
      <c r="I43" s="131"/>
      <c r="J43" s="131"/>
      <c r="K43" s="131"/>
      <c r="L43" s="131"/>
      <c r="M43" s="131"/>
      <c r="N43" s="131"/>
      <c r="O43" s="131"/>
      <c r="P43" s="131"/>
      <c r="Q43" s="131"/>
      <c r="R43" s="131"/>
      <c r="S43" s="148"/>
      <c r="T43" s="148"/>
      <c r="U43" s="148"/>
      <c r="V43" s="148"/>
      <c r="W43" s="148"/>
      <c r="X43" s="148"/>
      <c r="Y43" s="148"/>
      <c r="Z43" s="148"/>
      <c r="AA43" s="4"/>
      <c r="AB43" s="4"/>
      <c r="AC43" s="4"/>
      <c r="AD43" s="4"/>
    </row>
    <row r="44" spans="1:30" ht="5.0999999999999996" customHeight="1">
      <c r="A44" s="24"/>
      <c r="B44" s="131"/>
      <c r="C44" s="131"/>
      <c r="D44" s="131"/>
      <c r="E44" s="131"/>
      <c r="F44" s="131"/>
      <c r="G44" s="131"/>
      <c r="H44" s="131"/>
      <c r="I44" s="131"/>
      <c r="J44" s="131"/>
      <c r="K44" s="131"/>
      <c r="L44" s="131"/>
      <c r="M44" s="131"/>
      <c r="N44" s="131"/>
      <c r="O44" s="131"/>
      <c r="P44" s="131"/>
      <c r="Q44" s="131"/>
      <c r="R44" s="131"/>
      <c r="S44" s="148"/>
      <c r="T44" s="148"/>
      <c r="U44" s="148"/>
      <c r="V44" s="148"/>
      <c r="W44" s="148"/>
      <c r="X44" s="148"/>
      <c r="Y44" s="148"/>
      <c r="Z44" s="148"/>
      <c r="AA44" s="4"/>
      <c r="AB44" s="4"/>
      <c r="AC44" s="4"/>
      <c r="AD44" s="4"/>
    </row>
    <row r="45" spans="1:30" s="223" customFormat="1" ht="50.25" customHeight="1">
      <c r="A45" s="242"/>
      <c r="B45" s="1123" t="s">
        <v>55</v>
      </c>
      <c r="C45" s="1123"/>
      <c r="D45" s="1123"/>
      <c r="E45" s="1124"/>
      <c r="F45" s="1255">
        <f>+'MEM. DESC. I'!J48</f>
        <v>0</v>
      </c>
      <c r="G45" s="1256"/>
      <c r="H45" s="1256"/>
      <c r="I45" s="1256"/>
      <c r="J45" s="1256"/>
      <c r="K45" s="1256"/>
      <c r="L45" s="1256"/>
      <c r="M45" s="1256"/>
      <c r="N45" s="1256"/>
      <c r="O45" s="1256"/>
      <c r="P45" s="1256"/>
      <c r="Q45" s="1256"/>
      <c r="R45" s="1256"/>
      <c r="S45" s="1256"/>
      <c r="T45" s="1256"/>
      <c r="U45" s="1256"/>
      <c r="V45" s="1256"/>
      <c r="W45" s="1256"/>
      <c r="X45" s="1256"/>
      <c r="Y45" s="1256"/>
      <c r="Z45" s="1256"/>
      <c r="AA45" s="1256"/>
      <c r="AB45" s="1256"/>
      <c r="AC45" s="1257"/>
      <c r="AD45" s="6"/>
    </row>
    <row r="46" spans="1:30" ht="5.0999999999999996" customHeight="1">
      <c r="A46" s="24"/>
      <c r="B46" s="135"/>
      <c r="C46" s="135"/>
      <c r="D46" s="135"/>
      <c r="E46" s="131"/>
      <c r="F46" s="188"/>
      <c r="G46" s="188"/>
      <c r="H46" s="188"/>
      <c r="I46" s="188"/>
      <c r="J46" s="188"/>
      <c r="K46" s="188"/>
      <c r="L46" s="188"/>
      <c r="M46" s="188"/>
      <c r="N46" s="188"/>
      <c r="O46" s="188"/>
      <c r="P46" s="188"/>
      <c r="Q46" s="188"/>
      <c r="R46" s="188"/>
      <c r="S46" s="188"/>
      <c r="T46" s="188"/>
      <c r="U46" s="188"/>
      <c r="V46" s="188"/>
      <c r="W46" s="188"/>
      <c r="X46" s="188"/>
      <c r="Y46" s="188"/>
      <c r="Z46" s="188"/>
      <c r="AA46" s="188"/>
      <c r="AB46" s="188"/>
      <c r="AC46" s="188"/>
      <c r="AD46" s="4"/>
    </row>
    <row r="47" spans="1:30" s="129" customFormat="1" ht="16.5">
      <c r="A47" s="144"/>
      <c r="B47" s="249" t="s">
        <v>1031</v>
      </c>
      <c r="C47" s="249"/>
      <c r="D47" s="249"/>
      <c r="E47" s="349"/>
      <c r="F47" s="748"/>
      <c r="G47" s="749"/>
      <c r="H47" s="749"/>
      <c r="I47" s="749"/>
      <c r="J47" s="750"/>
      <c r="K47" s="188"/>
      <c r="L47" s="135" t="s">
        <v>1032</v>
      </c>
      <c r="M47" s="250"/>
      <c r="N47" s="188"/>
      <c r="O47" s="748"/>
      <c r="P47" s="749"/>
      <c r="Q47" s="749"/>
      <c r="R47" s="749"/>
      <c r="S47" s="750"/>
      <c r="T47" s="188"/>
      <c r="U47" s="186" t="s">
        <v>435</v>
      </c>
      <c r="V47" s="250"/>
      <c r="W47" s="188"/>
      <c r="X47" s="188"/>
      <c r="Y47" s="757"/>
      <c r="Z47" s="758"/>
      <c r="AA47" s="758"/>
      <c r="AB47" s="758"/>
      <c r="AC47" s="759"/>
      <c r="AD47" s="4"/>
    </row>
    <row r="48" spans="1:30" ht="5.0999999999999996" customHeight="1">
      <c r="A48" s="24"/>
      <c r="B48" s="145"/>
      <c r="C48" s="145"/>
      <c r="D48" s="145"/>
      <c r="E48" s="131"/>
      <c r="F48" s="131"/>
      <c r="G48" s="131"/>
      <c r="H48" s="131"/>
      <c r="I48" s="131"/>
      <c r="J48" s="131"/>
      <c r="K48" s="131"/>
      <c r="L48" s="131"/>
      <c r="M48" s="131"/>
      <c r="N48" s="131"/>
      <c r="O48" s="131"/>
      <c r="P48" s="131"/>
      <c r="Q48" s="131"/>
      <c r="R48" s="131"/>
      <c r="S48" s="148"/>
      <c r="T48" s="148"/>
      <c r="U48" s="148"/>
      <c r="V48" s="148"/>
      <c r="W48" s="148"/>
      <c r="X48" s="148"/>
      <c r="Y48" s="148"/>
      <c r="Z48" s="148"/>
      <c r="AA48" s="4"/>
      <c r="AB48" s="4"/>
      <c r="AC48" s="4"/>
      <c r="AD48" s="4"/>
    </row>
    <row r="49" spans="1:30" ht="15.75">
      <c r="A49" s="246"/>
      <c r="B49" s="1236" t="s">
        <v>791</v>
      </c>
      <c r="C49" s="1236"/>
      <c r="D49" s="1236"/>
      <c r="E49" s="1236"/>
      <c r="F49" s="247" t="s">
        <v>795</v>
      </c>
      <c r="G49" s="248"/>
      <c r="H49" s="680"/>
      <c r="I49" s="681"/>
      <c r="J49" s="682"/>
      <c r="L49" s="139" t="s">
        <v>796</v>
      </c>
      <c r="M49" s="140"/>
      <c r="N49" s="149"/>
      <c r="O49" s="751"/>
      <c r="P49" s="752"/>
      <c r="Q49" s="753"/>
      <c r="R49" s="33" t="s">
        <v>798</v>
      </c>
      <c r="T49" s="136"/>
      <c r="U49" s="136"/>
      <c r="V49" s="136"/>
      <c r="W49" s="4"/>
      <c r="Y49" s="4"/>
      <c r="Z49" s="33"/>
      <c r="AA49" s="26"/>
      <c r="AB49" s="26"/>
      <c r="AC49" s="4"/>
      <c r="AD49" s="4"/>
    </row>
    <row r="50" spans="1:30" ht="5.0999999999999996" customHeight="1">
      <c r="A50" s="24"/>
      <c r="B50" s="146"/>
      <c r="C50" s="146"/>
      <c r="D50" s="146"/>
      <c r="E50" s="146"/>
      <c r="F50" s="34"/>
      <c r="G50" s="34"/>
      <c r="H50" s="34"/>
      <c r="I50" s="34"/>
      <c r="J50" s="54"/>
      <c r="K50" s="54"/>
      <c r="L50" s="54"/>
      <c r="M50" s="136"/>
      <c r="N50" s="136"/>
      <c r="O50" s="136"/>
      <c r="P50" s="4"/>
      <c r="Q50" s="42"/>
      <c r="R50" s="42"/>
      <c r="S50" s="42"/>
      <c r="T50" s="136"/>
      <c r="U50" s="136"/>
      <c r="V50" s="136"/>
      <c r="W50" s="4"/>
      <c r="X50" s="33"/>
      <c r="Y50" s="4"/>
      <c r="Z50" s="33"/>
      <c r="AA50" s="26"/>
      <c r="AB50" s="26"/>
      <c r="AC50" s="4"/>
      <c r="AD50" s="4"/>
    </row>
    <row r="51" spans="1:30" ht="15.75">
      <c r="A51" s="24"/>
      <c r="B51" s="1239" t="s">
        <v>277</v>
      </c>
      <c r="C51" s="1239"/>
      <c r="D51" s="1239"/>
      <c r="E51" s="1239"/>
      <c r="F51" s="1240">
        <f>+'MEM. DESC. I'!J46</f>
        <v>0</v>
      </c>
      <c r="G51" s="1241"/>
      <c r="H51" s="1241"/>
      <c r="I51" s="1242"/>
      <c r="K51" s="1236" t="s">
        <v>971</v>
      </c>
      <c r="L51" s="1236"/>
      <c r="M51" s="1236"/>
      <c r="N51" s="1236"/>
      <c r="O51" s="1240">
        <f>+'MEM. DESC. I'!J60</f>
        <v>0</v>
      </c>
      <c r="P51" s="1241"/>
      <c r="Q51" s="1241"/>
      <c r="R51" s="1242"/>
      <c r="S51" s="42"/>
      <c r="T51" s="136"/>
      <c r="U51" s="136"/>
      <c r="V51" s="136"/>
      <c r="W51" s="4"/>
      <c r="X51" s="33"/>
      <c r="Y51" s="4"/>
      <c r="Z51" s="33"/>
      <c r="AA51" s="26"/>
      <c r="AB51" s="26"/>
      <c r="AC51" s="4"/>
      <c r="AD51" s="4"/>
    </row>
    <row r="52" spans="1:30" ht="5.0999999999999996" customHeight="1">
      <c r="A52" s="24"/>
      <c r="B52" s="145"/>
      <c r="C52" s="145"/>
      <c r="D52" s="145"/>
      <c r="E52" s="131"/>
      <c r="F52" s="131"/>
      <c r="G52" s="131"/>
      <c r="H52" s="131"/>
      <c r="I52" s="131"/>
      <c r="J52" s="131"/>
      <c r="K52" s="131"/>
      <c r="L52" s="131"/>
      <c r="M52" s="131"/>
      <c r="N52" s="131"/>
      <c r="O52" s="131"/>
      <c r="P52" s="131"/>
      <c r="Q52" s="131"/>
      <c r="R52" s="131"/>
      <c r="S52" s="148"/>
      <c r="T52" s="148"/>
      <c r="U52" s="148"/>
      <c r="V52" s="148"/>
      <c r="W52" s="148"/>
      <c r="X52" s="148"/>
      <c r="Y52" s="148"/>
      <c r="Z52" s="148"/>
      <c r="AA52" s="4"/>
      <c r="AB52" s="4"/>
      <c r="AC52" s="4"/>
      <c r="AD52" s="4"/>
    </row>
    <row r="53" spans="1:30" ht="5.0999999999999996" hidden="1" customHeight="1">
      <c r="A53" s="24"/>
      <c r="B53" s="145"/>
      <c r="C53" s="145"/>
      <c r="D53" s="145"/>
      <c r="E53" s="131"/>
      <c r="F53" s="131"/>
      <c r="G53" s="131"/>
      <c r="H53" s="131"/>
      <c r="I53" s="131"/>
      <c r="J53" s="131"/>
      <c r="K53" s="131"/>
      <c r="L53" s="131"/>
      <c r="M53" s="131"/>
      <c r="N53" s="131"/>
      <c r="O53" s="131"/>
      <c r="P53" s="131"/>
      <c r="Q53" s="131"/>
      <c r="R53" s="131"/>
      <c r="S53" s="148"/>
      <c r="T53" s="148"/>
      <c r="U53" s="148"/>
      <c r="V53" s="148"/>
      <c r="W53" s="148"/>
      <c r="X53" s="148"/>
      <c r="Y53" s="148"/>
      <c r="Z53" s="148"/>
      <c r="AA53" s="4"/>
      <c r="AB53" s="4"/>
      <c r="AC53" s="4"/>
      <c r="AD53" s="4"/>
    </row>
    <row r="54" spans="1:30" ht="15.75">
      <c r="A54" s="24"/>
      <c r="B54" s="34"/>
      <c r="C54" s="34"/>
      <c r="D54" s="34"/>
      <c r="E54" s="34"/>
      <c r="F54" s="747" t="s">
        <v>809</v>
      </c>
      <c r="G54" s="747"/>
      <c r="H54" s="747"/>
      <c r="I54" s="747"/>
      <c r="J54" s="747"/>
      <c r="K54" s="42"/>
      <c r="L54" s="747" t="s">
        <v>774</v>
      </c>
      <c r="M54" s="747"/>
      <c r="N54" s="24"/>
      <c r="O54" s="24"/>
      <c r="P54" s="24"/>
      <c r="Q54" s="24"/>
      <c r="R54" s="24"/>
      <c r="S54" s="148"/>
      <c r="T54" s="24"/>
      <c r="U54" s="148"/>
      <c r="V54" s="148"/>
      <c r="W54" s="148"/>
      <c r="X54" s="148"/>
      <c r="Y54" s="148"/>
      <c r="Z54" s="148"/>
      <c r="AA54" s="4"/>
      <c r="AB54" s="4"/>
      <c r="AC54" s="4"/>
      <c r="AD54" s="4"/>
    </row>
    <row r="55" spans="1:30" ht="15.75">
      <c r="A55" s="24"/>
      <c r="B55" s="1236" t="s">
        <v>964</v>
      </c>
      <c r="C55" s="1236"/>
      <c r="D55" s="1236"/>
      <c r="E55" s="1236"/>
      <c r="F55" s="680" t="str">
        <f>+'MEM. DESC. I'!J92</f>
        <v>Departamento Flat</v>
      </c>
      <c r="G55" s="681"/>
      <c r="H55" s="681"/>
      <c r="I55" s="681"/>
      <c r="J55" s="682"/>
      <c r="K55" s="42"/>
      <c r="L55" s="1237">
        <f>+'MEM. DESC. I'!Q92</f>
        <v>100</v>
      </c>
      <c r="M55" s="1238"/>
      <c r="N55" s="24"/>
      <c r="O55" s="763" t="s">
        <v>966</v>
      </c>
      <c r="P55" s="763"/>
      <c r="Q55" s="763"/>
      <c r="R55" s="763"/>
      <c r="S55" s="766" t="s">
        <v>347</v>
      </c>
      <c r="T55" s="767"/>
      <c r="U55" s="42"/>
      <c r="V55" s="1243" t="s">
        <v>58</v>
      </c>
      <c r="W55" s="1243"/>
      <c r="X55" s="1243"/>
      <c r="Y55" s="1243"/>
      <c r="Z55" s="1243"/>
      <c r="AA55" s="1244"/>
      <c r="AB55" s="613"/>
      <c r="AC55" s="615"/>
      <c r="AD55" s="4"/>
    </row>
    <row r="56" spans="1:30" ht="15.75">
      <c r="A56" s="24"/>
      <c r="B56" s="34"/>
      <c r="C56" s="34"/>
      <c r="D56" s="34"/>
      <c r="E56" s="34"/>
      <c r="F56" s="680">
        <f>+'MEM. DESC. I'!U92</f>
        <v>0</v>
      </c>
      <c r="G56" s="681"/>
      <c r="H56" s="681"/>
      <c r="I56" s="681"/>
      <c r="J56" s="682"/>
      <c r="K56" s="42"/>
      <c r="L56" s="1237">
        <f>+'MEM. DESC. I'!AB92</f>
        <v>0</v>
      </c>
      <c r="M56" s="1238"/>
      <c r="N56" s="148"/>
      <c r="O56" s="24"/>
      <c r="P56" s="24"/>
      <c r="Q56" s="24"/>
      <c r="R56" s="24"/>
      <c r="S56" s="148"/>
      <c r="T56" s="148"/>
      <c r="U56" s="148"/>
      <c r="V56" s="148"/>
      <c r="W56" s="148"/>
      <c r="X56" s="148"/>
      <c r="Y56" s="148"/>
      <c r="Z56" s="148"/>
      <c r="AA56" s="4"/>
      <c r="AB56" s="4"/>
      <c r="AC56" s="4"/>
      <c r="AD56" s="4"/>
    </row>
    <row r="57" spans="1:30" ht="15.75">
      <c r="A57" s="24"/>
      <c r="B57" s="4"/>
      <c r="C57" s="4"/>
      <c r="D57" s="4"/>
      <c r="E57" s="4"/>
      <c r="F57" s="680">
        <f>+'MEM. DESC. I'!J93</f>
        <v>0</v>
      </c>
      <c r="G57" s="681"/>
      <c r="H57" s="681"/>
      <c r="I57" s="681"/>
      <c r="J57" s="682"/>
      <c r="K57" s="5"/>
      <c r="L57" s="1237">
        <f>+'MEM. DESC. I'!Q93</f>
        <v>0</v>
      </c>
      <c r="M57" s="1238"/>
      <c r="N57" s="24"/>
      <c r="O57" s="24"/>
      <c r="P57" s="24"/>
      <c r="Q57" s="24"/>
      <c r="R57" s="24"/>
      <c r="S57" s="24"/>
      <c r="T57" s="5"/>
      <c r="U57" s="5"/>
      <c r="V57" s="4"/>
      <c r="W57" s="4"/>
      <c r="X57" s="4"/>
      <c r="Y57" s="4"/>
      <c r="Z57" s="4"/>
      <c r="AA57" s="4"/>
      <c r="AB57" s="4"/>
      <c r="AC57" s="4"/>
      <c r="AD57" s="4"/>
    </row>
    <row r="58" spans="1:30" ht="5.0999999999999996" customHeight="1">
      <c r="A58" s="24"/>
      <c r="B58" s="4"/>
      <c r="C58" s="4"/>
      <c r="D58" s="4"/>
      <c r="E58" s="4"/>
      <c r="F58" s="42"/>
      <c r="G58" s="42"/>
      <c r="H58" s="42"/>
      <c r="I58" s="42"/>
      <c r="J58" s="42"/>
      <c r="K58" s="5"/>
      <c r="L58" s="53"/>
      <c r="M58" s="53"/>
      <c r="N58" s="24"/>
      <c r="O58" s="24"/>
      <c r="P58" s="24"/>
      <c r="Q58" s="24"/>
      <c r="R58" s="24"/>
      <c r="S58" s="24"/>
      <c r="T58" s="5"/>
      <c r="U58" s="5"/>
      <c r="V58" s="4"/>
      <c r="W58" s="4"/>
      <c r="X58" s="4"/>
      <c r="Y58" s="4"/>
      <c r="Z58" s="4"/>
      <c r="AA58" s="4"/>
      <c r="AB58" s="4"/>
      <c r="AC58" s="4"/>
      <c r="AD58" s="4"/>
    </row>
    <row r="59" spans="1:30" ht="15.75" customHeight="1">
      <c r="A59" s="24"/>
      <c r="B59" s="1192" t="s">
        <v>284</v>
      </c>
      <c r="C59" s="1192"/>
      <c r="D59" s="1192"/>
      <c r="E59" s="1192"/>
      <c r="F59" s="1228">
        <f>+'MEM. DESC. I'!Y61</f>
        <v>0</v>
      </c>
      <c r="G59" s="1229"/>
      <c r="H59" s="1229"/>
      <c r="I59" s="1229"/>
      <c r="J59" s="1230"/>
      <c r="K59" s="5"/>
      <c r="L59" s="1192" t="s">
        <v>972</v>
      </c>
      <c r="M59" s="1192"/>
      <c r="N59" s="1192"/>
      <c r="O59" s="1192"/>
      <c r="P59" s="1192"/>
      <c r="Q59" s="1192"/>
      <c r="R59" s="1231"/>
      <c r="S59" s="1232"/>
      <c r="T59" s="1232"/>
      <c r="U59" s="1232"/>
      <c r="V59" s="1232"/>
      <c r="W59" s="1232"/>
      <c r="X59" s="1232"/>
      <c r="Y59" s="1232"/>
      <c r="Z59" s="1232"/>
      <c r="AA59" s="1232"/>
      <c r="AB59" s="1232"/>
      <c r="AC59" s="1233"/>
      <c r="AD59" s="4"/>
    </row>
    <row r="60" spans="1:30" ht="5.0999999999999996" customHeight="1">
      <c r="A60" s="24"/>
      <c r="B60" s="4"/>
      <c r="C60" s="4"/>
      <c r="D60" s="4"/>
      <c r="E60" s="4"/>
      <c r="F60" s="42"/>
      <c r="G60" s="42"/>
      <c r="H60" s="42"/>
      <c r="I60" s="42"/>
      <c r="J60" s="42"/>
      <c r="K60" s="5"/>
      <c r="L60" s="53"/>
      <c r="M60" s="53"/>
      <c r="N60" s="24"/>
      <c r="O60" s="24"/>
      <c r="P60" s="24"/>
      <c r="Q60" s="24"/>
      <c r="R60" s="24"/>
      <c r="S60" s="24"/>
      <c r="T60" s="5"/>
      <c r="U60" s="5"/>
      <c r="V60" s="4"/>
      <c r="W60" s="4"/>
      <c r="X60" s="4"/>
      <c r="Y60" s="4"/>
      <c r="Z60" s="4"/>
      <c r="AA60" s="4"/>
      <c r="AB60" s="4"/>
      <c r="AC60" s="4"/>
      <c r="AD60" s="4"/>
    </row>
    <row r="61" spans="1:30" ht="15.75" customHeight="1">
      <c r="A61" s="24"/>
      <c r="B61" s="1227" t="s">
        <v>973</v>
      </c>
      <c r="C61" s="1227"/>
      <c r="D61" s="1227"/>
      <c r="E61" s="1227"/>
      <c r="F61" s="1227"/>
      <c r="G61" s="1227"/>
      <c r="H61" s="1227"/>
      <c r="I61" s="1227"/>
      <c r="J61" s="1227"/>
      <c r="K61" s="1227"/>
      <c r="L61" s="1227"/>
      <c r="M61" s="1227"/>
      <c r="N61" s="1234" t="s">
        <v>395</v>
      </c>
      <c r="O61" s="1235"/>
      <c r="P61" s="134"/>
      <c r="Q61" s="24"/>
      <c r="R61" s="24"/>
      <c r="S61" s="24"/>
      <c r="T61" s="5"/>
      <c r="U61" s="5"/>
      <c r="V61" s="4"/>
      <c r="W61" s="4"/>
      <c r="X61" s="4"/>
      <c r="Y61" s="4"/>
      <c r="Z61" s="4"/>
      <c r="AA61" s="4"/>
      <c r="AB61" s="4"/>
      <c r="AC61" s="4"/>
      <c r="AD61" s="4"/>
    </row>
    <row r="62" spans="1:30" s="24" customFormat="1" ht="15.75">
      <c r="B62" s="386" t="s">
        <v>767</v>
      </c>
      <c r="C62" s="386"/>
      <c r="D62" s="386"/>
      <c r="E62" s="386"/>
      <c r="F62" s="387"/>
      <c r="G62" s="387"/>
      <c r="H62" s="387"/>
      <c r="I62" s="387"/>
      <c r="J62" s="387"/>
      <c r="K62" s="387"/>
      <c r="L62" s="387"/>
      <c r="M62" s="387"/>
      <c r="N62" s="134"/>
      <c r="O62" s="134"/>
      <c r="P62" s="134"/>
      <c r="T62" s="5"/>
      <c r="U62" s="5"/>
      <c r="V62" s="4"/>
      <c r="W62" s="4"/>
      <c r="X62" s="4"/>
      <c r="Y62" s="4"/>
      <c r="Z62" s="4"/>
      <c r="AA62" s="4"/>
      <c r="AB62" s="4"/>
      <c r="AC62" s="4"/>
      <c r="AD62" s="4"/>
    </row>
    <row r="63" spans="1:30" s="24" customFormat="1" ht="15.75" customHeight="1">
      <c r="B63" s="1227" t="s">
        <v>768</v>
      </c>
      <c r="C63" s="1227"/>
      <c r="D63" s="1227"/>
      <c r="E63" s="1227"/>
      <c r="F63" s="1227"/>
      <c r="G63" s="1227"/>
      <c r="H63" s="1227"/>
      <c r="I63" s="1227"/>
      <c r="J63" s="1227"/>
      <c r="K63" s="1227"/>
      <c r="L63" s="1227"/>
      <c r="M63" s="1227"/>
      <c r="N63" s="766" t="s">
        <v>395</v>
      </c>
      <c r="O63" s="767"/>
      <c r="P63" s="134"/>
      <c r="Q63" s="609" t="s">
        <v>769</v>
      </c>
      <c r="R63" s="609"/>
      <c r="S63" s="609"/>
      <c r="T63" s="609"/>
      <c r="U63" s="609"/>
      <c r="V63" s="609"/>
      <c r="W63" s="766" t="s">
        <v>395</v>
      </c>
      <c r="X63" s="767"/>
      <c r="Y63" s="147"/>
      <c r="Z63" s="147"/>
      <c r="AA63" s="147"/>
      <c r="AB63" s="4"/>
      <c r="AC63" s="4"/>
      <c r="AD63" s="4"/>
    </row>
    <row r="64" spans="1:30" s="24" customFormat="1" ht="15.75">
      <c r="B64" s="142" t="s">
        <v>767</v>
      </c>
      <c r="C64" s="142"/>
      <c r="D64" s="142"/>
      <c r="E64" s="142"/>
      <c r="F64" s="143"/>
      <c r="G64" s="143"/>
      <c r="H64" s="143"/>
      <c r="I64" s="143"/>
      <c r="J64" s="143"/>
      <c r="K64" s="143"/>
      <c r="L64" s="143"/>
      <c r="M64" s="143"/>
      <c r="N64" s="134"/>
      <c r="O64" s="134"/>
      <c r="P64" s="134"/>
      <c r="Q64" s="142" t="s">
        <v>767</v>
      </c>
      <c r="R64" s="142"/>
      <c r="S64" s="142"/>
      <c r="T64" s="142"/>
      <c r="U64" s="143"/>
      <c r="V64" s="143"/>
      <c r="W64" s="143"/>
      <c r="X64" s="143"/>
      <c r="Y64" s="143"/>
      <c r="Z64" s="143"/>
      <c r="AA64" s="143"/>
      <c r="AB64" s="4"/>
      <c r="AC64" s="4"/>
      <c r="AD64" s="4"/>
    </row>
    <row r="65" spans="1:30" s="24" customFormat="1" ht="5.0999999999999996" customHeight="1">
      <c r="P65" s="134"/>
      <c r="T65" s="5"/>
      <c r="U65" s="5"/>
      <c r="V65" s="4"/>
      <c r="W65" s="4"/>
      <c r="X65" s="4"/>
      <c r="Y65" s="4"/>
      <c r="Z65" s="4"/>
      <c r="AA65" s="4"/>
      <c r="AB65" s="4"/>
      <c r="AC65" s="4"/>
      <c r="AD65" s="4"/>
    </row>
    <row r="66" spans="1:30" s="24" customFormat="1" ht="15.75" customHeight="1">
      <c r="B66" s="679" t="s">
        <v>56</v>
      </c>
      <c r="C66" s="679"/>
      <c r="D66" s="679"/>
      <c r="E66" s="679"/>
      <c r="F66" s="741"/>
      <c r="G66" s="1258">
        <f>2026-'MEM. DESC. I'!Q99</f>
        <v>2026</v>
      </c>
      <c r="H66" s="1259"/>
      <c r="J66" s="1260" t="s">
        <v>287</v>
      </c>
      <c r="K66" s="1260"/>
      <c r="L66" s="1260"/>
      <c r="M66" s="1260"/>
      <c r="N66" s="1260"/>
      <c r="O66" s="1261"/>
      <c r="P66" s="606">
        <f>+'MEM. DESC. I'!X99</f>
        <v>0</v>
      </c>
      <c r="Q66" s="607"/>
      <c r="R66" s="607"/>
      <c r="S66" s="608"/>
      <c r="T66" s="5"/>
      <c r="U66" s="5"/>
      <c r="V66" s="4"/>
      <c r="W66" s="4"/>
      <c r="X66" s="4"/>
      <c r="Y66" s="4"/>
      <c r="Z66" s="4"/>
      <c r="AA66" s="4"/>
      <c r="AB66" s="4"/>
      <c r="AC66" s="4"/>
      <c r="AD66" s="4"/>
    </row>
    <row r="67" spans="1:30" s="24" customFormat="1" ht="5.0999999999999996" customHeight="1">
      <c r="B67" s="4"/>
      <c r="C67" s="4"/>
      <c r="D67" s="4"/>
      <c r="E67" s="4"/>
      <c r="F67" s="42"/>
      <c r="G67" s="42"/>
      <c r="H67" s="42"/>
      <c r="I67" s="42"/>
      <c r="J67" s="42"/>
      <c r="K67" s="5"/>
      <c r="L67" s="53"/>
      <c r="M67" s="53"/>
      <c r="T67" s="5"/>
      <c r="U67" s="5"/>
      <c r="V67" s="4"/>
      <c r="W67" s="4"/>
      <c r="X67" s="4"/>
      <c r="Y67" s="4"/>
      <c r="Z67" s="4"/>
      <c r="AA67" s="4"/>
      <c r="AB67" s="4"/>
      <c r="AC67" s="4"/>
      <c r="AD67" s="4"/>
    </row>
    <row r="68" spans="1:30" s="144" customFormat="1" ht="16.5" customHeight="1">
      <c r="B68" s="1192" t="s">
        <v>974</v>
      </c>
      <c r="C68" s="1192"/>
      <c r="D68" s="1192"/>
      <c r="E68" s="1192"/>
      <c r="F68" s="1192"/>
      <c r="G68" s="1192"/>
      <c r="H68" s="1226">
        <f>+U68</f>
        <v>0</v>
      </c>
      <c r="I68" s="735"/>
      <c r="J68" s="133"/>
      <c r="K68" s="609" t="s">
        <v>771</v>
      </c>
      <c r="L68" s="609"/>
      <c r="M68" s="609"/>
      <c r="N68" s="609"/>
      <c r="O68" s="1226">
        <f>+'MEM. DESC. I'!Q102</f>
        <v>0</v>
      </c>
      <c r="P68" s="735"/>
      <c r="Q68" s="133"/>
      <c r="R68" s="609" t="s">
        <v>772</v>
      </c>
      <c r="S68" s="609"/>
      <c r="T68" s="609"/>
      <c r="U68" s="1226">
        <f>+'MEM. DESC. I'!J102</f>
        <v>0</v>
      </c>
      <c r="V68" s="735"/>
    </row>
    <row r="69" spans="1:30" s="144" customFormat="1" ht="5.0999999999999996" customHeight="1">
      <c r="B69" s="145"/>
      <c r="C69" s="145"/>
      <c r="D69" s="145"/>
      <c r="E69" s="145"/>
      <c r="F69" s="134"/>
      <c r="G69" s="134"/>
      <c r="H69" s="134"/>
      <c r="I69" s="134"/>
      <c r="J69" s="134"/>
      <c r="K69" s="134"/>
      <c r="L69" s="134"/>
      <c r="M69" s="134"/>
      <c r="N69" s="134"/>
      <c r="O69" s="134"/>
      <c r="P69" s="134"/>
      <c r="Q69" s="134"/>
      <c r="R69" s="134"/>
    </row>
    <row r="70" spans="1:30" s="144" customFormat="1" ht="16.5">
      <c r="B70" s="1211" t="s">
        <v>770</v>
      </c>
      <c r="C70" s="1211"/>
      <c r="D70" s="1211"/>
      <c r="E70" s="1211"/>
      <c r="F70" s="1211"/>
      <c r="G70" s="1211"/>
      <c r="H70" s="606">
        <f>+'MEM. DESC. I'!J99</f>
        <v>0</v>
      </c>
      <c r="I70" s="607"/>
      <c r="J70" s="607"/>
      <c r="K70" s="608"/>
      <c r="L70" s="183"/>
      <c r="M70" s="339" t="s">
        <v>774</v>
      </c>
      <c r="N70" s="1222">
        <v>100</v>
      </c>
      <c r="O70" s="1223"/>
      <c r="Q70" s="1192" t="s">
        <v>975</v>
      </c>
      <c r="R70" s="1192"/>
      <c r="S70" s="1192"/>
      <c r="T70" s="1192"/>
      <c r="U70" s="606"/>
      <c r="V70" s="607"/>
      <c r="W70" s="607"/>
      <c r="X70" s="608"/>
      <c r="Y70" s="183"/>
      <c r="Z70" s="185" t="s">
        <v>774</v>
      </c>
      <c r="AA70" s="1224"/>
      <c r="AB70" s="1225"/>
    </row>
    <row r="71" spans="1:30" s="144" customFormat="1" ht="5.0999999999999996" customHeight="1">
      <c r="B71" s="145"/>
      <c r="C71" s="145"/>
      <c r="D71" s="145"/>
      <c r="E71" s="145"/>
      <c r="F71" s="131"/>
      <c r="G71" s="131"/>
      <c r="H71" s="131"/>
      <c r="I71" s="131"/>
      <c r="J71" s="131"/>
      <c r="K71" s="131"/>
      <c r="L71" s="131"/>
      <c r="M71" s="131"/>
      <c r="N71" s="131"/>
      <c r="O71" s="131"/>
      <c r="P71" s="131"/>
      <c r="Q71" s="131"/>
      <c r="R71" s="131"/>
    </row>
    <row r="72" spans="1:30" s="24" customFormat="1" ht="15.75" customHeight="1">
      <c r="B72" s="1192" t="s">
        <v>59</v>
      </c>
      <c r="C72" s="1192"/>
      <c r="D72" s="734" t="s">
        <v>395</v>
      </c>
      <c r="E72" s="735"/>
      <c r="G72" s="1212" t="s">
        <v>60</v>
      </c>
      <c r="H72" s="1212"/>
      <c r="I72" s="1212"/>
      <c r="J72" s="1213" t="s">
        <v>395</v>
      </c>
      <c r="K72" s="1214"/>
      <c r="M72" s="1215" t="s">
        <v>976</v>
      </c>
      <c r="N72" s="1215"/>
      <c r="O72" s="1215"/>
      <c r="P72" s="1215"/>
      <c r="Q72" s="1215"/>
      <c r="R72" s="1215"/>
      <c r="S72" s="1216" t="s">
        <v>1107</v>
      </c>
      <c r="T72" s="1217"/>
      <c r="U72" s="1217"/>
      <c r="V72" s="1217"/>
      <c r="W72" s="1217"/>
      <c r="X72" s="1217"/>
      <c r="Y72" s="1217"/>
      <c r="Z72" s="1217"/>
      <c r="AA72" s="1217"/>
      <c r="AB72" s="1217"/>
      <c r="AC72" s="1218"/>
      <c r="AD72" s="4"/>
    </row>
    <row r="73" spans="1:30" s="24" customFormat="1" ht="15.75">
      <c r="B73" s="4"/>
      <c r="C73" s="4"/>
      <c r="D73" s="4"/>
      <c r="E73" s="4"/>
      <c r="F73" s="42"/>
      <c r="G73" s="42"/>
      <c r="H73" s="42"/>
      <c r="I73" s="42"/>
      <c r="J73" s="42"/>
      <c r="K73" s="5"/>
      <c r="L73" s="53"/>
      <c r="M73" s="1215"/>
      <c r="N73" s="1215"/>
      <c r="O73" s="1215"/>
      <c r="P73" s="1215"/>
      <c r="Q73" s="1215"/>
      <c r="R73" s="1215"/>
      <c r="S73" s="1219"/>
      <c r="T73" s="1220"/>
      <c r="U73" s="1220"/>
      <c r="V73" s="1220"/>
      <c r="W73" s="1220"/>
      <c r="X73" s="1220"/>
      <c r="Y73" s="1220"/>
      <c r="Z73" s="1220"/>
      <c r="AA73" s="1220"/>
      <c r="AB73" s="1220"/>
      <c r="AC73" s="1221"/>
      <c r="AD73" s="4"/>
    </row>
    <row r="74" spans="1:30" s="24" customFormat="1" ht="5.0999999999999996" customHeight="1">
      <c r="B74" s="4"/>
      <c r="C74" s="4"/>
      <c r="D74" s="4"/>
      <c r="E74" s="4"/>
      <c r="F74" s="42"/>
      <c r="G74" s="42"/>
      <c r="H74" s="42"/>
      <c r="I74" s="42"/>
      <c r="J74" s="42"/>
      <c r="K74" s="5"/>
      <c r="L74" s="53"/>
      <c r="M74" s="53"/>
      <c r="T74" s="5"/>
      <c r="U74" s="5"/>
      <c r="V74" s="4"/>
      <c r="W74" s="8"/>
      <c r="X74" s="4"/>
      <c r="Y74" s="4"/>
      <c r="Z74" s="4"/>
      <c r="AA74" s="4"/>
      <c r="AB74" s="4"/>
      <c r="AC74" s="4"/>
      <c r="AD74" s="4"/>
    </row>
    <row r="75" spans="1:30" s="24" customFormat="1" ht="26.25" customHeight="1">
      <c r="B75" s="1192" t="s">
        <v>977</v>
      </c>
      <c r="C75" s="1192"/>
      <c r="D75" s="1192"/>
      <c r="E75" s="1193"/>
      <c r="F75" s="1194"/>
      <c r="G75" s="1195"/>
      <c r="H75" s="1195"/>
      <c r="I75" s="1195"/>
      <c r="J75" s="1195"/>
      <c r="K75" s="1195"/>
      <c r="L75" s="1195"/>
      <c r="M75" s="1195"/>
      <c r="N75" s="1195"/>
      <c r="O75" s="1195"/>
      <c r="P75" s="1195"/>
      <c r="Q75" s="1195"/>
      <c r="R75" s="1195"/>
      <c r="S75" s="1195"/>
      <c r="T75" s="1195"/>
      <c r="U75" s="1195"/>
      <c r="V75" s="1195"/>
      <c r="W75" s="1195"/>
      <c r="X75" s="1195"/>
      <c r="Y75" s="1195"/>
      <c r="Z75" s="1195"/>
      <c r="AA75" s="1195"/>
      <c r="AB75" s="1195"/>
      <c r="AC75" s="1196"/>
      <c r="AD75" s="4"/>
    </row>
    <row r="76" spans="1:30" s="24" customFormat="1" ht="15.75">
      <c r="B76" s="1192"/>
      <c r="C76" s="1192"/>
      <c r="D76" s="1192"/>
      <c r="E76" s="1193"/>
      <c r="F76" s="1197"/>
      <c r="G76" s="1198"/>
      <c r="H76" s="1198"/>
      <c r="I76" s="1198"/>
      <c r="J76" s="1198"/>
      <c r="K76" s="1198"/>
      <c r="L76" s="1198"/>
      <c r="M76" s="1198"/>
      <c r="N76" s="1198"/>
      <c r="O76" s="1198"/>
      <c r="P76" s="1198"/>
      <c r="Q76" s="1198"/>
      <c r="R76" s="1198"/>
      <c r="S76" s="1198"/>
      <c r="T76" s="1198"/>
      <c r="U76" s="1198"/>
      <c r="V76" s="1198"/>
      <c r="W76" s="1198"/>
      <c r="X76" s="1198"/>
      <c r="Y76" s="1198"/>
      <c r="Z76" s="1198"/>
      <c r="AA76" s="1198"/>
      <c r="AB76" s="1198"/>
      <c r="AC76" s="1199"/>
      <c r="AD76" s="4"/>
    </row>
    <row r="77" spans="1:30" ht="15.75">
      <c r="A77" s="24"/>
      <c r="B77" s="4"/>
      <c r="C77" s="4"/>
      <c r="D77" s="4"/>
      <c r="E77" s="4"/>
      <c r="F77" s="1200"/>
      <c r="G77" s="1201"/>
      <c r="H77" s="1201"/>
      <c r="I77" s="1201"/>
      <c r="J77" s="1201"/>
      <c r="K77" s="1201"/>
      <c r="L77" s="1201"/>
      <c r="M77" s="1201"/>
      <c r="N77" s="1201"/>
      <c r="O77" s="1201"/>
      <c r="P77" s="1201"/>
      <c r="Q77" s="1201"/>
      <c r="R77" s="1201"/>
      <c r="S77" s="1201"/>
      <c r="T77" s="1201"/>
      <c r="U77" s="1201"/>
      <c r="V77" s="1201"/>
      <c r="W77" s="1201"/>
      <c r="X77" s="1201"/>
      <c r="Y77" s="1201"/>
      <c r="Z77" s="1201"/>
      <c r="AA77" s="1201"/>
      <c r="AB77" s="1201"/>
      <c r="AC77" s="1202"/>
      <c r="AD77" s="4"/>
    </row>
    <row r="78" spans="1:30" ht="5.0999999999999996" customHeight="1">
      <c r="A78" s="24"/>
      <c r="B78" s="4"/>
      <c r="C78" s="4"/>
      <c r="D78" s="4"/>
      <c r="E78" s="4"/>
      <c r="F78" s="42"/>
      <c r="G78" s="42"/>
      <c r="H78" s="42"/>
      <c r="I78" s="42"/>
      <c r="J78" s="42"/>
      <c r="K78" s="5"/>
      <c r="L78" s="53"/>
      <c r="M78" s="53"/>
      <c r="N78" s="24"/>
      <c r="O78" s="24"/>
      <c r="P78" s="24"/>
      <c r="Q78" s="24"/>
      <c r="R78" s="24"/>
      <c r="S78" s="24"/>
      <c r="T78" s="5"/>
      <c r="U78" s="5"/>
      <c r="V78" s="4"/>
      <c r="W78" s="4"/>
      <c r="X78" s="4"/>
      <c r="Y78" s="4"/>
      <c r="Z78" s="4"/>
      <c r="AA78" s="4"/>
      <c r="AB78" s="4"/>
      <c r="AC78" s="4"/>
      <c r="AD78" s="4"/>
    </row>
    <row r="79" spans="1:30" ht="39.75" customHeight="1">
      <c r="A79" s="24"/>
      <c r="B79" s="533" t="s">
        <v>979</v>
      </c>
      <c r="C79" s="534"/>
      <c r="D79" s="535"/>
      <c r="E79" s="535"/>
      <c r="F79" s="535"/>
      <c r="G79" s="535"/>
      <c r="H79" s="535"/>
      <c r="I79" s="535"/>
      <c r="J79" s="535"/>
      <c r="K79" s="535"/>
      <c r="L79" s="535"/>
      <c r="M79" s="535"/>
      <c r="N79" s="535"/>
      <c r="O79" s="535"/>
      <c r="P79" s="535"/>
      <c r="Q79" s="535"/>
      <c r="R79" s="535"/>
      <c r="S79" s="24"/>
      <c r="T79" s="5"/>
      <c r="U79" s="5"/>
      <c r="V79" s="4"/>
      <c r="W79" s="4"/>
      <c r="X79" s="4"/>
      <c r="Y79" s="4"/>
      <c r="Z79" s="4"/>
      <c r="AA79" s="4"/>
      <c r="AB79" s="4"/>
      <c r="AC79" s="4"/>
      <c r="AD79" s="4"/>
    </row>
    <row r="80" spans="1:30" s="24" customFormat="1" ht="5.25" customHeight="1" thickBot="1">
      <c r="A80" s="4"/>
      <c r="B80" s="654"/>
      <c r="C80" s="654"/>
      <c r="D80" s="654"/>
      <c r="E80" s="654"/>
      <c r="F80" s="654"/>
      <c r="G80" s="654"/>
      <c r="H80" s="654"/>
      <c r="I80" s="12"/>
      <c r="J80" s="1209"/>
      <c r="K80" s="1209"/>
      <c r="L80" s="1209"/>
      <c r="M80" s="654"/>
      <c r="N80" s="654"/>
      <c r="O80" s="654"/>
      <c r="P80" s="654"/>
      <c r="Q80" s="654"/>
      <c r="R80" s="654"/>
      <c r="S80" s="654"/>
      <c r="T80" s="654"/>
      <c r="U80" s="654"/>
      <c r="V80" s="654"/>
      <c r="W80" s="654"/>
      <c r="X80" s="654"/>
      <c r="Y80" s="654"/>
      <c r="Z80" s="654"/>
      <c r="AA80" s="654"/>
      <c r="AB80" s="654"/>
      <c r="AC80" s="654"/>
      <c r="AD80" s="4"/>
    </row>
    <row r="81" spans="1:30" s="24" customFormat="1" ht="16.5" thickBot="1">
      <c r="A81" s="4"/>
      <c r="B81" s="650" t="s">
        <v>61</v>
      </c>
      <c r="C81" s="651"/>
      <c r="D81" s="651"/>
      <c r="E81" s="651"/>
      <c r="F81" s="651"/>
      <c r="G81" s="651"/>
      <c r="H81" s="652"/>
      <c r="I81" s="12"/>
      <c r="J81" s="1203" t="s">
        <v>62</v>
      </c>
      <c r="K81" s="1204"/>
      <c r="L81" s="1205"/>
      <c r="M81" s="686" t="s">
        <v>756</v>
      </c>
      <c r="N81" s="687"/>
      <c r="O81" s="687"/>
      <c r="P81" s="687"/>
      <c r="Q81" s="688"/>
      <c r="R81" s="1182" t="s">
        <v>435</v>
      </c>
      <c r="S81" s="687"/>
      <c r="T81" s="687"/>
      <c r="U81" s="1183"/>
      <c r="V81" s="686" t="s">
        <v>488</v>
      </c>
      <c r="W81" s="687"/>
      <c r="X81" s="687"/>
      <c r="Y81" s="688"/>
      <c r="Z81" s="1182" t="s">
        <v>757</v>
      </c>
      <c r="AA81" s="687"/>
      <c r="AB81" s="687"/>
      <c r="AC81" s="688"/>
      <c r="AD81" s="4"/>
    </row>
    <row r="82" spans="1:30" s="24" customFormat="1" ht="15.75">
      <c r="A82" s="4"/>
      <c r="B82" s="774" t="s">
        <v>65</v>
      </c>
      <c r="C82" s="775"/>
      <c r="D82" s="775"/>
      <c r="E82" s="775"/>
      <c r="F82" s="775"/>
      <c r="G82" s="775"/>
      <c r="H82" s="776"/>
      <c r="I82" s="157"/>
      <c r="J82" s="601" t="s">
        <v>66</v>
      </c>
      <c r="K82" s="602"/>
      <c r="L82" s="603"/>
      <c r="M82" s="1206">
        <f>SUM(R82:AC82)</f>
        <v>0</v>
      </c>
      <c r="N82" s="1207"/>
      <c r="O82" s="1207"/>
      <c r="P82" s="1207"/>
      <c r="Q82" s="1208"/>
      <c r="R82" s="988">
        <f>+COMPARACIÓN!V90</f>
        <v>0</v>
      </c>
      <c r="S82" s="986"/>
      <c r="T82" s="986"/>
      <c r="U82" s="1210"/>
      <c r="V82" s="985">
        <f>+COMPARACIÓN!V91</f>
        <v>0</v>
      </c>
      <c r="W82" s="986"/>
      <c r="X82" s="986"/>
      <c r="Y82" s="987"/>
      <c r="Z82" s="988">
        <f>+COMPARACIÓN!V92</f>
        <v>0</v>
      </c>
      <c r="AA82" s="986"/>
      <c r="AB82" s="986"/>
      <c r="AC82" s="987"/>
      <c r="AD82" s="4"/>
    </row>
    <row r="83" spans="1:30" s="24" customFormat="1" ht="16.5" thickBot="1">
      <c r="A83" s="4"/>
      <c r="B83" s="598"/>
      <c r="C83" s="599"/>
      <c r="D83" s="599"/>
      <c r="E83" s="599"/>
      <c r="F83" s="599"/>
      <c r="G83" s="599"/>
      <c r="H83" s="600"/>
      <c r="I83" s="157"/>
      <c r="J83" s="539" t="s">
        <v>1393</v>
      </c>
      <c r="K83" s="540"/>
      <c r="L83" s="541"/>
      <c r="M83" s="1174">
        <f>SUM(R83:AC83)</f>
        <v>0</v>
      </c>
      <c r="N83" s="1175"/>
      <c r="O83" s="1175"/>
      <c r="P83" s="1175"/>
      <c r="Q83" s="1176"/>
      <c r="R83" s="545">
        <f>+R82*$J$104</f>
        <v>0</v>
      </c>
      <c r="S83" s="546"/>
      <c r="T83" s="546"/>
      <c r="U83" s="547"/>
      <c r="V83" s="1012">
        <f>+V82*$J$104</f>
        <v>0</v>
      </c>
      <c r="W83" s="546"/>
      <c r="X83" s="546"/>
      <c r="Y83" s="1013"/>
      <c r="Z83" s="545">
        <f>+Z82*$J$104</f>
        <v>0</v>
      </c>
      <c r="AA83" s="546"/>
      <c r="AB83" s="546"/>
      <c r="AC83" s="1013"/>
      <c r="AD83" s="4"/>
    </row>
    <row r="84" spans="1:30" s="24" customFormat="1" ht="15.75">
      <c r="A84" s="4"/>
      <c r="B84" s="595" t="s">
        <v>758</v>
      </c>
      <c r="C84" s="596"/>
      <c r="D84" s="596"/>
      <c r="E84" s="596"/>
      <c r="F84" s="596"/>
      <c r="G84" s="596"/>
      <c r="H84" s="597"/>
      <c r="I84" s="157"/>
      <c r="J84" s="659" t="s">
        <v>66</v>
      </c>
      <c r="K84" s="631"/>
      <c r="L84" s="660"/>
      <c r="M84" s="1186">
        <f>SUM(R84:AC84)</f>
        <v>0</v>
      </c>
      <c r="N84" s="1187"/>
      <c r="O84" s="1187"/>
      <c r="P84" s="1187"/>
      <c r="Q84" s="1188"/>
      <c r="R84" s="583">
        <f>+R82*(100%-RESULTADOS!$R$54)</f>
        <v>0</v>
      </c>
      <c r="S84" s="584"/>
      <c r="T84" s="584"/>
      <c r="U84" s="1009"/>
      <c r="V84" s="1170">
        <f>+V82*(100%-RESULTADOS!$R$54)</f>
        <v>0</v>
      </c>
      <c r="W84" s="1170"/>
      <c r="X84" s="1170"/>
      <c r="Y84" s="1170"/>
      <c r="Z84" s="1170">
        <f>+Z82*(100%-RESULTADOS!$R$54)</f>
        <v>0</v>
      </c>
      <c r="AA84" s="1170"/>
      <c r="AB84" s="1170"/>
      <c r="AC84" s="1170"/>
      <c r="AD84" s="4"/>
    </row>
    <row r="85" spans="1:30" s="24" customFormat="1" ht="16.5" thickBot="1">
      <c r="A85" s="4"/>
      <c r="B85" s="1152"/>
      <c r="C85" s="1153"/>
      <c r="D85" s="1153"/>
      <c r="E85" s="1153"/>
      <c r="F85" s="1153"/>
      <c r="G85" s="1153"/>
      <c r="H85" s="1154"/>
      <c r="I85" s="157"/>
      <c r="J85" s="1171" t="s">
        <v>1393</v>
      </c>
      <c r="K85" s="1172"/>
      <c r="L85" s="1173"/>
      <c r="M85" s="1174">
        <f>SUM(R85:AC85)</f>
        <v>0</v>
      </c>
      <c r="N85" s="1175"/>
      <c r="O85" s="1175"/>
      <c r="P85" s="1175"/>
      <c r="Q85" s="1176"/>
      <c r="R85" s="545">
        <f>+R84*$J$104</f>
        <v>0</v>
      </c>
      <c r="S85" s="546"/>
      <c r="T85" s="546"/>
      <c r="U85" s="547"/>
      <c r="V85" s="1177">
        <f>+V84*J104</f>
        <v>0</v>
      </c>
      <c r="W85" s="1178"/>
      <c r="X85" s="1178"/>
      <c r="Y85" s="1179"/>
      <c r="Z85" s="1180">
        <f>+Z84*$J$104</f>
        <v>0</v>
      </c>
      <c r="AA85" s="1178"/>
      <c r="AB85" s="1178"/>
      <c r="AC85" s="1179"/>
      <c r="AD85" s="4"/>
    </row>
    <row r="86" spans="1:30" s="24" customFormat="1" ht="5.0999999999999996" customHeight="1" thickBot="1">
      <c r="A86" s="4"/>
      <c r="B86" s="4"/>
      <c r="C86" s="23"/>
      <c r="D86" s="23"/>
      <c r="E86" s="23"/>
      <c r="F86" s="23"/>
      <c r="G86" s="23"/>
      <c r="H86" s="23"/>
      <c r="I86" s="13"/>
      <c r="J86" s="7"/>
      <c r="K86" s="4"/>
      <c r="L86" s="14"/>
      <c r="M86" s="4"/>
      <c r="N86" s="14"/>
      <c r="O86" s="14"/>
      <c r="P86" s="14"/>
      <c r="Q86" s="14"/>
      <c r="R86" s="14"/>
      <c r="S86" s="4"/>
      <c r="T86" s="4"/>
      <c r="U86" s="4"/>
      <c r="V86" s="4"/>
      <c r="W86" s="4"/>
      <c r="X86" s="4"/>
      <c r="Y86" s="4"/>
      <c r="Z86" s="4"/>
      <c r="AA86" s="4"/>
      <c r="AB86" s="4"/>
      <c r="AC86" s="4"/>
      <c r="AD86" s="4"/>
    </row>
    <row r="87" spans="1:30" s="24" customFormat="1" ht="16.5" customHeight="1" thickBot="1">
      <c r="A87" s="4"/>
      <c r="B87" s="1189" t="s">
        <v>69</v>
      </c>
      <c r="C87" s="1190"/>
      <c r="D87" s="1190"/>
      <c r="E87" s="1190"/>
      <c r="F87" s="1190"/>
      <c r="G87" s="1190"/>
      <c r="H87" s="1191"/>
      <c r="I87" s="157"/>
      <c r="J87" s="647" t="s">
        <v>62</v>
      </c>
      <c r="K87" s="648"/>
      <c r="L87" s="649"/>
      <c r="M87" s="644" t="s">
        <v>756</v>
      </c>
      <c r="N87" s="645"/>
      <c r="O87" s="645"/>
      <c r="P87" s="645"/>
      <c r="Q87" s="646"/>
      <c r="R87" s="1150" t="str">
        <f>R81</f>
        <v>DEPARTAMENTO</v>
      </c>
      <c r="S87" s="645"/>
      <c r="T87" s="645"/>
      <c r="U87" s="1151"/>
      <c r="V87" s="644" t="str">
        <f>V81</f>
        <v>ESTACIONAMIENTO</v>
      </c>
      <c r="W87" s="645"/>
      <c r="X87" s="645"/>
      <c r="Y87" s="646"/>
      <c r="Z87" s="1150" t="str">
        <f>Z81</f>
        <v>DEPÓSITO</v>
      </c>
      <c r="AA87" s="645"/>
      <c r="AB87" s="645"/>
      <c r="AC87" s="646"/>
      <c r="AD87" s="4"/>
    </row>
    <row r="88" spans="1:30" s="24" customFormat="1" ht="15.75" customHeight="1">
      <c r="A88" s="4"/>
      <c r="B88" s="774" t="s">
        <v>65</v>
      </c>
      <c r="C88" s="775"/>
      <c r="D88" s="775"/>
      <c r="E88" s="775"/>
      <c r="F88" s="775"/>
      <c r="G88" s="775"/>
      <c r="H88" s="776"/>
      <c r="I88" s="157"/>
      <c r="J88" s="659" t="s">
        <v>66</v>
      </c>
      <c r="K88" s="631"/>
      <c r="L88" s="660"/>
      <c r="M88" s="663">
        <f>SUM(R88:AC88)</f>
        <v>0</v>
      </c>
      <c r="N88" s="584"/>
      <c r="O88" s="584"/>
      <c r="P88" s="584"/>
      <c r="Q88" s="664"/>
      <c r="R88" s="1155"/>
      <c r="S88" s="1156"/>
      <c r="T88" s="1156"/>
      <c r="U88" s="1157"/>
      <c r="V88" s="1158">
        <v>0</v>
      </c>
      <c r="W88" s="1156"/>
      <c r="X88" s="1156"/>
      <c r="Y88" s="1159"/>
      <c r="Z88" s="1155">
        <v>0</v>
      </c>
      <c r="AA88" s="1156"/>
      <c r="AB88" s="1156"/>
      <c r="AC88" s="1159"/>
      <c r="AD88" s="4"/>
    </row>
    <row r="89" spans="1:30" s="24" customFormat="1" ht="16.5" thickBot="1">
      <c r="A89" s="4"/>
      <c r="B89" s="1152"/>
      <c r="C89" s="1153"/>
      <c r="D89" s="1153"/>
      <c r="E89" s="1153"/>
      <c r="F89" s="1153"/>
      <c r="G89" s="1153"/>
      <c r="H89" s="1154"/>
      <c r="I89" s="157"/>
      <c r="J89" s="539" t="s">
        <v>1393</v>
      </c>
      <c r="K89" s="540"/>
      <c r="L89" s="541"/>
      <c r="M89" s="1160">
        <f>SUM(R89:AC89)</f>
        <v>0</v>
      </c>
      <c r="N89" s="1161"/>
      <c r="O89" s="1161"/>
      <c r="P89" s="1161"/>
      <c r="Q89" s="1162"/>
      <c r="R89" s="1163">
        <f>+R88*$J$104</f>
        <v>0</v>
      </c>
      <c r="S89" s="1164"/>
      <c r="T89" s="1164"/>
      <c r="U89" s="1165"/>
      <c r="V89" s="1166">
        <f>+V88*$J$104</f>
        <v>0</v>
      </c>
      <c r="W89" s="1167"/>
      <c r="X89" s="1167"/>
      <c r="Y89" s="1168"/>
      <c r="Z89" s="1169">
        <f>+Z88*$J$104</f>
        <v>0</v>
      </c>
      <c r="AA89" s="1167"/>
      <c r="AB89" s="1167"/>
      <c r="AC89" s="1168"/>
      <c r="AD89" s="4"/>
    </row>
    <row r="90" spans="1:30" s="129" customFormat="1" ht="15" customHeight="1">
      <c r="A90" s="4"/>
      <c r="B90" s="595" t="s">
        <v>68</v>
      </c>
      <c r="C90" s="596"/>
      <c r="D90" s="596"/>
      <c r="E90" s="596"/>
      <c r="F90" s="596"/>
      <c r="G90" s="596"/>
      <c r="H90" s="597"/>
      <c r="I90" s="13"/>
      <c r="J90" s="601" t="s">
        <v>66</v>
      </c>
      <c r="K90" s="602"/>
      <c r="L90" s="603"/>
      <c r="M90" s="1137">
        <f>SUM(R90:AC90)</f>
        <v>0</v>
      </c>
      <c r="N90" s="1138"/>
      <c r="O90" s="1138"/>
      <c r="P90" s="1138"/>
      <c r="Q90" s="1139"/>
      <c r="R90" s="1132">
        <f>+R88*(100%-RESULTADOS!$R$54)</f>
        <v>0</v>
      </c>
      <c r="S90" s="1126"/>
      <c r="T90" s="1126"/>
      <c r="U90" s="1143"/>
      <c r="V90" s="1125">
        <f>+V88*(100%-RESULTADOS!$R$54)</f>
        <v>0</v>
      </c>
      <c r="W90" s="1126"/>
      <c r="X90" s="1126"/>
      <c r="Y90" s="1127"/>
      <c r="Z90" s="1132">
        <f>+Z88*(100%-RESULTADOS!$R$54)</f>
        <v>0</v>
      </c>
      <c r="AA90" s="1126"/>
      <c r="AB90" s="1126"/>
      <c r="AC90" s="1127"/>
      <c r="AD90" s="4"/>
    </row>
    <row r="91" spans="1:30" s="129" customFormat="1" ht="15" customHeight="1" thickBot="1">
      <c r="A91" s="4"/>
      <c r="B91" s="1152"/>
      <c r="C91" s="1153"/>
      <c r="D91" s="1153"/>
      <c r="E91" s="1153"/>
      <c r="F91" s="1153"/>
      <c r="G91" s="1153"/>
      <c r="H91" s="1154"/>
      <c r="I91" s="13"/>
      <c r="J91" s="539" t="s">
        <v>1393</v>
      </c>
      <c r="K91" s="540"/>
      <c r="L91" s="541"/>
      <c r="M91" s="1140">
        <f>SUM(R91:AC91)</f>
        <v>0</v>
      </c>
      <c r="N91" s="1141"/>
      <c r="O91" s="1141"/>
      <c r="P91" s="1141"/>
      <c r="Q91" s="1142"/>
      <c r="R91" s="1131">
        <f>+R90*$J$104</f>
        <v>0</v>
      </c>
      <c r="S91" s="1129"/>
      <c r="T91" s="1129"/>
      <c r="U91" s="1144"/>
      <c r="V91" s="1128">
        <f>+V90*$J$104</f>
        <v>0</v>
      </c>
      <c r="W91" s="1129"/>
      <c r="X91" s="1129"/>
      <c r="Y91" s="1130"/>
      <c r="Z91" s="1131">
        <f>+Z90*$J$104</f>
        <v>0</v>
      </c>
      <c r="AA91" s="1129"/>
      <c r="AB91" s="1129"/>
      <c r="AC91" s="1130"/>
      <c r="AD91" s="4"/>
    </row>
    <row r="92" spans="1:30" s="129" customFormat="1" ht="5.0999999999999996" customHeight="1" thickBot="1">
      <c r="A92" s="4"/>
      <c r="B92" s="196"/>
      <c r="C92" s="196"/>
      <c r="D92" s="196"/>
      <c r="E92" s="196"/>
      <c r="F92" s="196"/>
      <c r="G92" s="196"/>
      <c r="H92" s="196"/>
      <c r="I92" s="4"/>
      <c r="J92" s="15"/>
      <c r="K92" s="15"/>
      <c r="L92" s="15"/>
      <c r="M92" s="15"/>
      <c r="N92" s="15"/>
      <c r="O92" s="15"/>
      <c r="P92" s="15"/>
      <c r="Q92" s="15"/>
      <c r="R92" s="15"/>
      <c r="S92" s="15"/>
      <c r="T92" s="15"/>
      <c r="U92" s="15"/>
      <c r="V92" s="15"/>
      <c r="W92" s="15"/>
      <c r="X92" s="15"/>
      <c r="Y92" s="15"/>
      <c r="Z92" s="15"/>
      <c r="AA92" s="15"/>
      <c r="AB92" s="15"/>
      <c r="AC92" s="15"/>
      <c r="AD92" s="4"/>
    </row>
    <row r="93" spans="1:30" s="129" customFormat="1" ht="18" customHeight="1" thickTop="1" thickBot="1">
      <c r="A93" s="189"/>
      <c r="B93" s="668" t="s">
        <v>70</v>
      </c>
      <c r="C93" s="669"/>
      <c r="D93" s="669"/>
      <c r="E93" s="669"/>
      <c r="F93" s="669"/>
      <c r="G93" s="669"/>
      <c r="H93" s="670"/>
      <c r="I93" s="194"/>
      <c r="J93" s="671" t="s">
        <v>62</v>
      </c>
      <c r="K93" s="672"/>
      <c r="L93" s="984"/>
      <c r="M93" s="622" t="s">
        <v>63</v>
      </c>
      <c r="N93" s="623"/>
      <c r="O93" s="623"/>
      <c r="P93" s="623"/>
      <c r="Q93" s="624"/>
      <c r="R93" s="622" t="s">
        <v>71</v>
      </c>
      <c r="S93" s="623"/>
      <c r="T93" s="623"/>
      <c r="U93" s="624"/>
      <c r="V93" s="623" t="s">
        <v>72</v>
      </c>
      <c r="W93" s="623"/>
      <c r="X93" s="623"/>
      <c r="Y93" s="623"/>
      <c r="Z93" s="623"/>
      <c r="AA93" s="623"/>
      <c r="AB93" s="623"/>
      <c r="AC93" s="624"/>
      <c r="AD93" s="4"/>
    </row>
    <row r="94" spans="1:30" s="129" customFormat="1" ht="15" customHeight="1" thickTop="1">
      <c r="A94" s="189"/>
      <c r="B94" s="625" t="s">
        <v>1322</v>
      </c>
      <c r="C94" s="596"/>
      <c r="D94" s="596"/>
      <c r="E94" s="596"/>
      <c r="F94" s="596"/>
      <c r="G94" s="596"/>
      <c r="H94" s="626"/>
      <c r="I94" s="195"/>
      <c r="J94" s="630" t="s">
        <v>66</v>
      </c>
      <c r="K94" s="631"/>
      <c r="L94" s="660"/>
      <c r="M94" s="578">
        <f>SUM(R94:AC94)</f>
        <v>0</v>
      </c>
      <c r="N94" s="579"/>
      <c r="O94" s="579"/>
      <c r="P94" s="579"/>
      <c r="Q94" s="580"/>
      <c r="R94" s="1133">
        <f>M82</f>
        <v>0</v>
      </c>
      <c r="S94" s="1134"/>
      <c r="T94" s="1134"/>
      <c r="U94" s="1135"/>
      <c r="V94" s="1134">
        <f>M88</f>
        <v>0</v>
      </c>
      <c r="W94" s="1134"/>
      <c r="X94" s="1134"/>
      <c r="Y94" s="1134"/>
      <c r="Z94" s="1134"/>
      <c r="AA94" s="1134"/>
      <c r="AB94" s="1134"/>
      <c r="AC94" s="1135"/>
      <c r="AD94" s="4"/>
    </row>
    <row r="95" spans="1:30" s="129" customFormat="1" ht="18" customHeight="1" thickBot="1">
      <c r="A95" s="189"/>
      <c r="B95" s="627"/>
      <c r="C95" s="628"/>
      <c r="D95" s="628"/>
      <c r="E95" s="628"/>
      <c r="F95" s="628"/>
      <c r="G95" s="628"/>
      <c r="H95" s="629"/>
      <c r="I95" s="195"/>
      <c r="J95" s="586" t="s">
        <v>1393</v>
      </c>
      <c r="K95" s="587"/>
      <c r="L95" s="1181"/>
      <c r="M95" s="569">
        <f>SUM(R95:AC95)</f>
        <v>0</v>
      </c>
      <c r="N95" s="570"/>
      <c r="O95" s="570"/>
      <c r="P95" s="570"/>
      <c r="Q95" s="571"/>
      <c r="R95" s="1136">
        <f>+M83</f>
        <v>0</v>
      </c>
      <c r="S95" s="576"/>
      <c r="T95" s="576"/>
      <c r="U95" s="577"/>
      <c r="V95" s="576">
        <f>+M89</f>
        <v>0</v>
      </c>
      <c r="W95" s="576"/>
      <c r="X95" s="576"/>
      <c r="Y95" s="576"/>
      <c r="Z95" s="576"/>
      <c r="AA95" s="576"/>
      <c r="AB95" s="576"/>
      <c r="AC95" s="577"/>
      <c r="AD95" s="4"/>
    </row>
    <row r="96" spans="1:30" s="129" customFormat="1" ht="15" customHeight="1" thickTop="1">
      <c r="A96" s="189"/>
      <c r="B96" s="551" t="s">
        <v>68</v>
      </c>
      <c r="C96" s="552"/>
      <c r="D96" s="552"/>
      <c r="E96" s="552"/>
      <c r="F96" s="552"/>
      <c r="G96" s="552"/>
      <c r="H96" s="553"/>
      <c r="I96" s="195"/>
      <c r="J96" s="557" t="s">
        <v>66</v>
      </c>
      <c r="K96" s="558"/>
      <c r="L96" s="995"/>
      <c r="M96" s="560">
        <f>SUM(R96:AC96)</f>
        <v>0</v>
      </c>
      <c r="N96" s="561"/>
      <c r="O96" s="561"/>
      <c r="P96" s="561"/>
      <c r="Q96" s="562"/>
      <c r="R96" s="1133">
        <f>+M84</f>
        <v>0</v>
      </c>
      <c r="S96" s="1134"/>
      <c r="T96" s="1134"/>
      <c r="U96" s="1135"/>
      <c r="V96" s="1134">
        <f>+M90</f>
        <v>0</v>
      </c>
      <c r="W96" s="1134"/>
      <c r="X96" s="1134"/>
      <c r="Y96" s="1134"/>
      <c r="Z96" s="1134"/>
      <c r="AA96" s="1134"/>
      <c r="AB96" s="1134"/>
      <c r="AC96" s="1135"/>
      <c r="AD96" s="4"/>
    </row>
    <row r="97" spans="1:30" s="129" customFormat="1" ht="15" customHeight="1" thickBot="1">
      <c r="A97" s="189"/>
      <c r="B97" s="554"/>
      <c r="C97" s="555"/>
      <c r="D97" s="555"/>
      <c r="E97" s="555"/>
      <c r="F97" s="555"/>
      <c r="G97" s="555"/>
      <c r="H97" s="556"/>
      <c r="I97" s="13"/>
      <c r="J97" s="566" t="s">
        <v>1393</v>
      </c>
      <c r="K97" s="567"/>
      <c r="L97" s="996"/>
      <c r="M97" s="569">
        <f>SUM(R97:AC97)</f>
        <v>0</v>
      </c>
      <c r="N97" s="570"/>
      <c r="O97" s="570"/>
      <c r="P97" s="570"/>
      <c r="Q97" s="571"/>
      <c r="R97" s="1136">
        <f>+M85</f>
        <v>0</v>
      </c>
      <c r="S97" s="576"/>
      <c r="T97" s="576"/>
      <c r="U97" s="577"/>
      <c r="V97" s="576">
        <f>+M91</f>
        <v>0</v>
      </c>
      <c r="W97" s="576"/>
      <c r="X97" s="576"/>
      <c r="Y97" s="576"/>
      <c r="Z97" s="576"/>
      <c r="AA97" s="576"/>
      <c r="AB97" s="576"/>
      <c r="AC97" s="577"/>
      <c r="AD97" s="4"/>
    </row>
    <row r="98" spans="1:30" s="24" customFormat="1" ht="5.0999999999999996" customHeight="1" thickTop="1" thickBo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row>
    <row r="99" spans="1:30" s="24" customFormat="1" ht="33.75" customHeight="1" thickBot="1">
      <c r="A99" s="4"/>
      <c r="B99" s="650" t="s">
        <v>1038</v>
      </c>
      <c r="C99" s="651"/>
      <c r="D99" s="651"/>
      <c r="E99" s="651"/>
      <c r="F99" s="651"/>
      <c r="G99" s="651"/>
      <c r="H99" s="652"/>
      <c r="I99" s="12"/>
      <c r="J99" s="1014" t="s">
        <v>62</v>
      </c>
      <c r="K99" s="1015"/>
      <c r="L99" s="1015"/>
      <c r="M99" s="644" t="s">
        <v>756</v>
      </c>
      <c r="N99" s="645"/>
      <c r="O99" s="645"/>
      <c r="P99" s="645"/>
      <c r="Q99" s="646"/>
      <c r="R99" s="651" t="s">
        <v>759</v>
      </c>
      <c r="S99" s="651"/>
      <c r="T99" s="651"/>
      <c r="U99" s="651"/>
      <c r="V99" s="650" t="s">
        <v>293</v>
      </c>
      <c r="W99" s="651"/>
      <c r="X99" s="651"/>
      <c r="Y99" s="652"/>
      <c r="Z99" s="651" t="s">
        <v>760</v>
      </c>
      <c r="AA99" s="651"/>
      <c r="AB99" s="651"/>
      <c r="AC99" s="652"/>
      <c r="AD99" s="4"/>
    </row>
    <row r="100" spans="1:30" s="24" customFormat="1" ht="15.75">
      <c r="A100" s="4"/>
      <c r="B100" s="653" t="s">
        <v>1323</v>
      </c>
      <c r="C100" s="654"/>
      <c r="D100" s="654"/>
      <c r="E100" s="654"/>
      <c r="F100" s="654"/>
      <c r="G100" s="654"/>
      <c r="H100" s="655"/>
      <c r="I100" s="13"/>
      <c r="J100" s="659" t="s">
        <v>66</v>
      </c>
      <c r="K100" s="631"/>
      <c r="L100" s="660"/>
      <c r="M100" s="1145">
        <f>SUM(R100:AC100)</f>
        <v>0</v>
      </c>
      <c r="N100" s="1007"/>
      <c r="O100" s="1007"/>
      <c r="P100" s="1007"/>
      <c r="Q100" s="1146"/>
      <c r="R100" s="581">
        <f>+REPOSICIÓN!M61</f>
        <v>0</v>
      </c>
      <c r="S100" s="581"/>
      <c r="T100" s="581"/>
      <c r="U100" s="581"/>
      <c r="V100" s="781">
        <f>+REPOSICIÓN!R75</f>
        <v>0</v>
      </c>
      <c r="W100" s="581"/>
      <c r="X100" s="581"/>
      <c r="Y100" s="582"/>
      <c r="Z100" s="583">
        <f>+REPOSICIÓN!R96</f>
        <v>0</v>
      </c>
      <c r="AA100" s="584"/>
      <c r="AB100" s="584"/>
      <c r="AC100" s="664"/>
      <c r="AD100" s="4"/>
    </row>
    <row r="101" spans="1:30" s="24" customFormat="1" ht="27" customHeight="1" thickBot="1">
      <c r="A101" s="4"/>
      <c r="B101" s="656"/>
      <c r="C101" s="657"/>
      <c r="D101" s="657"/>
      <c r="E101" s="657"/>
      <c r="F101" s="657"/>
      <c r="G101" s="657"/>
      <c r="H101" s="658"/>
      <c r="I101" s="13"/>
      <c r="J101" s="539" t="s">
        <v>1393</v>
      </c>
      <c r="K101" s="540"/>
      <c r="L101" s="541"/>
      <c r="M101" s="1147">
        <f>SUM(R101:AC101)</f>
        <v>0</v>
      </c>
      <c r="N101" s="1148"/>
      <c r="O101" s="1148"/>
      <c r="P101" s="1148"/>
      <c r="Q101" s="1149"/>
      <c r="R101" s="545">
        <f>+R100*$J$104</f>
        <v>0</v>
      </c>
      <c r="S101" s="546"/>
      <c r="T101" s="546"/>
      <c r="U101" s="547"/>
      <c r="V101" s="1012">
        <f>+V100*$J$104</f>
        <v>0</v>
      </c>
      <c r="W101" s="546"/>
      <c r="X101" s="546"/>
      <c r="Y101" s="1013"/>
      <c r="Z101" s="545">
        <f>+Z100*$J$104</f>
        <v>0</v>
      </c>
      <c r="AA101" s="546"/>
      <c r="AB101" s="546"/>
      <c r="AC101" s="1013"/>
      <c r="AD101" s="4"/>
    </row>
    <row r="102" spans="1:30">
      <c r="B102" s="633" t="s">
        <v>997</v>
      </c>
      <c r="C102" s="633"/>
      <c r="D102" s="633"/>
      <c r="E102" s="633"/>
      <c r="F102" s="633"/>
      <c r="G102" s="633"/>
      <c r="H102" s="633"/>
      <c r="I102" s="633"/>
      <c r="J102" s="633"/>
      <c r="K102" s="633"/>
      <c r="L102" s="633"/>
      <c r="M102" s="633"/>
      <c r="N102" s="633"/>
      <c r="O102" s="633"/>
      <c r="P102" s="633"/>
      <c r="Q102" s="633"/>
      <c r="R102" s="633"/>
      <c r="S102" s="633"/>
      <c r="T102" s="633"/>
      <c r="U102" s="633"/>
      <c r="V102" s="633"/>
      <c r="W102" s="633"/>
      <c r="X102" s="633"/>
      <c r="Y102" s="633"/>
      <c r="Z102" s="633"/>
      <c r="AA102" s="633"/>
      <c r="AB102" s="633"/>
      <c r="AC102" s="633"/>
    </row>
    <row r="103" spans="1:30" s="24" customFormat="1" ht="6" customHeight="1">
      <c r="B103" s="155"/>
      <c r="C103" s="155"/>
      <c r="D103" s="155"/>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5"/>
      <c r="AB103" s="155"/>
      <c r="AC103" s="155"/>
    </row>
    <row r="104" spans="1:30" ht="15.75">
      <c r="A104" s="24"/>
      <c r="B104" s="640" t="s">
        <v>73</v>
      </c>
      <c r="C104" s="640"/>
      <c r="D104" s="640"/>
      <c r="E104" s="640"/>
      <c r="F104" s="640"/>
      <c r="G104" s="640"/>
      <c r="H104" s="640"/>
      <c r="I104" s="153" t="s">
        <v>0</v>
      </c>
      <c r="J104" s="1011">
        <v>3.48</v>
      </c>
      <c r="K104" s="1184"/>
      <c r="L104" s="1185"/>
      <c r="M104" s="39" t="s">
        <v>1392</v>
      </c>
      <c r="N104" s="73"/>
      <c r="O104" s="73"/>
      <c r="P104" s="73"/>
      <c r="R104" s="24"/>
      <c r="S104" s="24"/>
      <c r="T104" s="5"/>
      <c r="U104" s="5"/>
      <c r="V104" s="4"/>
      <c r="W104" s="4"/>
      <c r="X104" s="4"/>
      <c r="Y104" s="4"/>
      <c r="Z104" s="4"/>
      <c r="AA104" s="4"/>
      <c r="AB104" s="4"/>
      <c r="AC104" s="4"/>
      <c r="AD104" s="4"/>
    </row>
    <row r="105" spans="1:30" ht="5.0999999999999996" customHeight="1">
      <c r="A105" s="24"/>
      <c r="B105" s="152"/>
      <c r="C105" s="4"/>
      <c r="D105" s="4"/>
      <c r="E105" s="4"/>
      <c r="F105" s="42"/>
      <c r="G105" s="42"/>
      <c r="H105" s="42"/>
      <c r="I105" s="42"/>
      <c r="J105" s="42"/>
      <c r="K105" s="5"/>
      <c r="L105" s="53"/>
      <c r="M105" s="53"/>
      <c r="N105" s="24"/>
      <c r="O105" s="24"/>
      <c r="P105" s="24"/>
      <c r="Q105" s="24"/>
      <c r="R105" s="24"/>
      <c r="S105" s="24"/>
      <c r="T105" s="5"/>
      <c r="U105" s="5"/>
      <c r="V105" s="4"/>
      <c r="W105" s="4"/>
      <c r="X105" s="4"/>
      <c r="Y105" s="4"/>
      <c r="Z105" s="4"/>
      <c r="AA105" s="4"/>
      <c r="AB105" s="4"/>
      <c r="AC105" s="4"/>
      <c r="AD105" s="4"/>
    </row>
    <row r="106" spans="1:30" ht="15.75" customHeight="1">
      <c r="A106" s="24"/>
      <c r="B106" s="152" t="s">
        <v>1005</v>
      </c>
      <c r="C106" s="4"/>
      <c r="D106" s="4"/>
      <c r="E106" s="4"/>
      <c r="F106" s="42"/>
      <c r="G106" s="42"/>
      <c r="H106" s="42"/>
      <c r="I106" s="42"/>
      <c r="J106" s="42"/>
      <c r="K106" s="5"/>
      <c r="L106" s="53"/>
      <c r="M106" s="53"/>
      <c r="N106" s="24"/>
      <c r="O106" s="24"/>
      <c r="P106" s="24"/>
      <c r="Q106" s="24"/>
      <c r="R106" s="24"/>
      <c r="S106" s="24"/>
      <c r="T106" s="5"/>
      <c r="U106" s="5"/>
      <c r="V106" s="4"/>
      <c r="W106" s="4"/>
      <c r="X106" s="4"/>
      <c r="Y106" s="4"/>
      <c r="Z106" s="4"/>
      <c r="AA106" s="4"/>
      <c r="AB106" s="4"/>
      <c r="AC106" s="4"/>
      <c r="AD106" s="4"/>
    </row>
    <row r="107" spans="1:30" ht="5.0999999999999996" customHeight="1">
      <c r="A107" s="24"/>
      <c r="B107" s="152"/>
      <c r="C107" s="4"/>
      <c r="D107" s="4"/>
      <c r="E107" s="4"/>
      <c r="F107" s="42"/>
      <c r="G107" s="42"/>
      <c r="H107" s="42"/>
      <c r="I107" s="42"/>
      <c r="J107" s="42"/>
      <c r="K107" s="5"/>
      <c r="L107" s="53"/>
      <c r="M107" s="53"/>
      <c r="N107" s="24"/>
      <c r="O107" s="24"/>
      <c r="P107" s="24"/>
      <c r="Q107" s="24"/>
      <c r="R107" s="24"/>
      <c r="S107" s="24"/>
      <c r="T107" s="5"/>
      <c r="U107" s="5"/>
      <c r="V107" s="4"/>
      <c r="W107" s="4"/>
      <c r="X107" s="4"/>
      <c r="Y107" s="4"/>
      <c r="Z107" s="4"/>
      <c r="AA107" s="4"/>
      <c r="AB107" s="4"/>
      <c r="AC107" s="4"/>
      <c r="AD107" s="4"/>
    </row>
    <row r="108" spans="1:30" ht="15.75" customHeight="1">
      <c r="A108" s="24"/>
      <c r="B108" s="1032" t="str">
        <f>+R81</f>
        <v>DEPARTAMENTO</v>
      </c>
      <c r="C108" s="1032"/>
      <c r="D108" s="1032"/>
      <c r="E108" s="1033"/>
      <c r="F108" s="635" t="s">
        <v>999</v>
      </c>
      <c r="G108" s="635"/>
      <c r="H108" s="635"/>
      <c r="I108" s="635"/>
      <c r="J108" s="636" t="s">
        <v>1000</v>
      </c>
      <c r="K108" s="636"/>
      <c r="L108" s="636"/>
      <c r="M108" s="636"/>
      <c r="N108" s="636"/>
      <c r="O108" s="636" t="s">
        <v>1001</v>
      </c>
      <c r="P108" s="636"/>
      <c r="Q108" s="636"/>
      <c r="R108" s="636"/>
      <c r="S108" s="637" t="s">
        <v>1002</v>
      </c>
      <c r="T108" s="637"/>
      <c r="U108" s="637"/>
      <c r="V108" s="636" t="s">
        <v>1003</v>
      </c>
      <c r="W108" s="636"/>
      <c r="X108" s="636"/>
      <c r="Y108" s="636"/>
      <c r="Z108" s="636"/>
      <c r="AA108" s="636" t="s">
        <v>1004</v>
      </c>
      <c r="AB108" s="636"/>
      <c r="AC108" s="636"/>
      <c r="AD108" s="4"/>
    </row>
    <row r="109" spans="1:30" ht="15.75">
      <c r="A109" s="24"/>
      <c r="B109" s="769" t="s">
        <v>775</v>
      </c>
      <c r="C109" s="769"/>
      <c r="D109" s="769"/>
      <c r="E109" s="769"/>
      <c r="F109" s="616" t="s">
        <v>1091</v>
      </c>
      <c r="G109" s="617"/>
      <c r="H109" s="617"/>
      <c r="I109" s="618"/>
      <c r="J109" s="619"/>
      <c r="K109" s="620"/>
      <c r="L109" s="620"/>
      <c r="M109" s="620"/>
      <c r="N109" s="621"/>
      <c r="O109" s="619">
        <v>0</v>
      </c>
      <c r="P109" s="620"/>
      <c r="Q109" s="620"/>
      <c r="R109" s="621"/>
      <c r="S109" s="619"/>
      <c r="T109" s="620"/>
      <c r="U109" s="621"/>
      <c r="V109" s="619"/>
      <c r="W109" s="620"/>
      <c r="X109" s="620"/>
      <c r="Y109" s="620"/>
      <c r="Z109" s="621"/>
      <c r="AA109" s="613"/>
      <c r="AB109" s="614"/>
      <c r="AC109" s="615"/>
      <c r="AD109" s="4"/>
    </row>
    <row r="110" spans="1:30" ht="15.75" customHeight="1">
      <c r="A110" s="24"/>
      <c r="B110" s="769" t="s">
        <v>776</v>
      </c>
      <c r="C110" s="769"/>
      <c r="D110" s="769"/>
      <c r="E110" s="769"/>
      <c r="F110" s="616" t="s">
        <v>1091</v>
      </c>
      <c r="G110" s="617"/>
      <c r="H110" s="617"/>
      <c r="I110" s="618"/>
      <c r="J110" s="619"/>
      <c r="K110" s="620"/>
      <c r="L110" s="620"/>
      <c r="M110" s="620"/>
      <c r="N110" s="621"/>
      <c r="O110" s="619">
        <v>0</v>
      </c>
      <c r="P110" s="620"/>
      <c r="Q110" s="620"/>
      <c r="R110" s="621"/>
      <c r="S110" s="619"/>
      <c r="T110" s="620"/>
      <c r="U110" s="621"/>
      <c r="V110" s="619"/>
      <c r="W110" s="620"/>
      <c r="X110" s="620"/>
      <c r="Y110" s="620"/>
      <c r="Z110" s="621"/>
      <c r="AA110" s="613"/>
      <c r="AB110" s="614"/>
      <c r="AC110" s="615"/>
      <c r="AD110" s="4"/>
    </row>
    <row r="111" spans="1:30" ht="15.75">
      <c r="A111" s="24"/>
      <c r="B111" s="769" t="s">
        <v>57</v>
      </c>
      <c r="C111" s="769"/>
      <c r="D111" s="769"/>
      <c r="E111" s="769"/>
      <c r="F111" s="616" t="s">
        <v>1091</v>
      </c>
      <c r="G111" s="617"/>
      <c r="H111" s="617"/>
      <c r="I111" s="618"/>
      <c r="J111" s="619"/>
      <c r="K111" s="620"/>
      <c r="L111" s="620"/>
      <c r="M111" s="620"/>
      <c r="N111" s="621"/>
      <c r="O111" s="619">
        <v>0</v>
      </c>
      <c r="P111" s="620"/>
      <c r="Q111" s="620"/>
      <c r="R111" s="621"/>
      <c r="S111" s="619"/>
      <c r="T111" s="620"/>
      <c r="U111" s="621"/>
      <c r="V111" s="619"/>
      <c r="W111" s="620"/>
      <c r="X111" s="620"/>
      <c r="Y111" s="620"/>
      <c r="Z111" s="621"/>
      <c r="AA111" s="613"/>
      <c r="AB111" s="614"/>
      <c r="AC111" s="615"/>
      <c r="AD111" s="4"/>
    </row>
    <row r="112" spans="1:30" ht="15.75">
      <c r="B112" s="769" t="s">
        <v>998</v>
      </c>
      <c r="C112" s="769"/>
      <c r="D112" s="769"/>
      <c r="E112" s="769"/>
      <c r="F112" s="616"/>
      <c r="G112" s="617"/>
      <c r="H112" s="617"/>
      <c r="I112" s="618"/>
      <c r="J112" s="1034"/>
      <c r="K112" s="1035"/>
      <c r="L112" s="1035"/>
      <c r="M112" s="1035"/>
      <c r="N112" s="1036"/>
      <c r="O112" s="1034"/>
      <c r="P112" s="1035"/>
      <c r="Q112" s="1035"/>
      <c r="R112" s="1036"/>
      <c r="S112" s="1034"/>
      <c r="T112" s="1035"/>
      <c r="U112" s="1036"/>
      <c r="V112" s="1034"/>
      <c r="W112" s="1035"/>
      <c r="X112" s="1035"/>
      <c r="Y112" s="1035"/>
      <c r="Z112" s="1036"/>
      <c r="AA112" s="613"/>
      <c r="AB112" s="614"/>
      <c r="AC112" s="615"/>
      <c r="AD112" s="4"/>
    </row>
    <row r="113" spans="1:30" ht="15.75" customHeight="1">
      <c r="A113" s="24"/>
      <c r="B113" s="1032" t="str">
        <f>+V81</f>
        <v>ESTACIONAMIENTO</v>
      </c>
      <c r="C113" s="1032"/>
      <c r="D113" s="1032"/>
      <c r="E113" s="1033"/>
      <c r="F113" s="635" t="s">
        <v>999</v>
      </c>
      <c r="G113" s="635"/>
      <c r="H113" s="635"/>
      <c r="I113" s="635"/>
      <c r="J113" s="636" t="s">
        <v>1000</v>
      </c>
      <c r="K113" s="636"/>
      <c r="L113" s="636"/>
      <c r="M113" s="636"/>
      <c r="N113" s="636"/>
      <c r="O113" s="636" t="s">
        <v>1001</v>
      </c>
      <c r="P113" s="636"/>
      <c r="Q113" s="636"/>
      <c r="R113" s="636"/>
      <c r="S113" s="637" t="s">
        <v>1002</v>
      </c>
      <c r="T113" s="637"/>
      <c r="U113" s="637"/>
      <c r="V113" s="636" t="s">
        <v>1003</v>
      </c>
      <c r="W113" s="636"/>
      <c r="X113" s="636"/>
      <c r="Y113" s="636"/>
      <c r="Z113" s="636"/>
      <c r="AA113" s="636" t="s">
        <v>1004</v>
      </c>
      <c r="AB113" s="636"/>
      <c r="AC113" s="636"/>
      <c r="AD113" s="4"/>
    </row>
    <row r="114" spans="1:30" ht="15.75">
      <c r="A114" s="24"/>
      <c r="B114" s="769" t="s">
        <v>775</v>
      </c>
      <c r="C114" s="769"/>
      <c r="D114" s="769"/>
      <c r="E114" s="769"/>
      <c r="F114" s="616" t="s">
        <v>1091</v>
      </c>
      <c r="G114" s="617"/>
      <c r="H114" s="617"/>
      <c r="I114" s="618"/>
      <c r="J114" s="619"/>
      <c r="K114" s="620"/>
      <c r="L114" s="620"/>
      <c r="M114" s="620"/>
      <c r="N114" s="621"/>
      <c r="O114" s="619">
        <v>0</v>
      </c>
      <c r="P114" s="620"/>
      <c r="Q114" s="620"/>
      <c r="R114" s="621"/>
      <c r="S114" s="619"/>
      <c r="T114" s="620"/>
      <c r="U114" s="621"/>
      <c r="V114" s="619"/>
      <c r="W114" s="620"/>
      <c r="X114" s="620"/>
      <c r="Y114" s="620"/>
      <c r="Z114" s="621"/>
      <c r="AA114" s="613"/>
      <c r="AB114" s="614"/>
      <c r="AC114" s="615"/>
      <c r="AD114" s="4"/>
    </row>
    <row r="115" spans="1:30" ht="15.75" customHeight="1">
      <c r="A115" s="24"/>
      <c r="B115" s="769" t="s">
        <v>776</v>
      </c>
      <c r="C115" s="769"/>
      <c r="D115" s="769"/>
      <c r="E115" s="769"/>
      <c r="F115" s="616" t="s">
        <v>1091</v>
      </c>
      <c r="G115" s="617"/>
      <c r="H115" s="617"/>
      <c r="I115" s="618"/>
      <c r="J115" s="619"/>
      <c r="K115" s="620"/>
      <c r="L115" s="620"/>
      <c r="M115" s="620"/>
      <c r="N115" s="621"/>
      <c r="O115" s="619">
        <v>0</v>
      </c>
      <c r="P115" s="620"/>
      <c r="Q115" s="620"/>
      <c r="R115" s="621"/>
      <c r="S115" s="619"/>
      <c r="T115" s="620"/>
      <c r="U115" s="621"/>
      <c r="V115" s="619"/>
      <c r="W115" s="620"/>
      <c r="X115" s="620"/>
      <c r="Y115" s="620"/>
      <c r="Z115" s="621"/>
      <c r="AA115" s="613"/>
      <c r="AB115" s="614"/>
      <c r="AC115" s="615"/>
      <c r="AD115" s="4"/>
    </row>
    <row r="116" spans="1:30" ht="15.75">
      <c r="A116" s="24"/>
      <c r="B116" s="769" t="s">
        <v>57</v>
      </c>
      <c r="C116" s="769"/>
      <c r="D116" s="769"/>
      <c r="E116" s="769"/>
      <c r="F116" s="616" t="s">
        <v>1091</v>
      </c>
      <c r="G116" s="617"/>
      <c r="H116" s="617"/>
      <c r="I116" s="618"/>
      <c r="J116" s="619"/>
      <c r="K116" s="620"/>
      <c r="L116" s="620"/>
      <c r="M116" s="620"/>
      <c r="N116" s="621"/>
      <c r="O116" s="619">
        <v>0</v>
      </c>
      <c r="P116" s="620"/>
      <c r="Q116" s="620"/>
      <c r="R116" s="621"/>
      <c r="S116" s="619"/>
      <c r="T116" s="620"/>
      <c r="U116" s="621"/>
      <c r="V116" s="619"/>
      <c r="W116" s="620"/>
      <c r="X116" s="620"/>
      <c r="Y116" s="620"/>
      <c r="Z116" s="621"/>
      <c r="AA116" s="613"/>
      <c r="AB116" s="614"/>
      <c r="AC116" s="615"/>
      <c r="AD116" s="4"/>
    </row>
    <row r="117" spans="1:30" ht="15.75">
      <c r="B117" s="769" t="s">
        <v>998</v>
      </c>
      <c r="C117" s="769"/>
      <c r="D117" s="769"/>
      <c r="E117" s="769"/>
      <c r="F117" s="616"/>
      <c r="G117" s="617"/>
      <c r="H117" s="617"/>
      <c r="I117" s="618"/>
      <c r="J117" s="1034"/>
      <c r="K117" s="1035"/>
      <c r="L117" s="1035"/>
      <c r="M117" s="1035"/>
      <c r="N117" s="1036"/>
      <c r="O117" s="1034"/>
      <c r="P117" s="1035"/>
      <c r="Q117" s="1035"/>
      <c r="R117" s="1036"/>
      <c r="S117" s="1034"/>
      <c r="T117" s="1035"/>
      <c r="U117" s="1036"/>
      <c r="V117" s="1034"/>
      <c r="W117" s="1035"/>
      <c r="X117" s="1035"/>
      <c r="Y117" s="1035"/>
      <c r="Z117" s="1036"/>
      <c r="AA117" s="613"/>
      <c r="AB117" s="614"/>
      <c r="AC117" s="615"/>
      <c r="AD117" s="4"/>
    </row>
    <row r="118" spans="1:30" ht="15.75" customHeight="1">
      <c r="A118" s="24"/>
      <c r="B118" s="1032" t="str">
        <f>+Z81</f>
        <v>DEPÓSITO</v>
      </c>
      <c r="C118" s="1032"/>
      <c r="D118" s="1032"/>
      <c r="E118" s="1033"/>
      <c r="F118" s="635" t="s">
        <v>999</v>
      </c>
      <c r="G118" s="635"/>
      <c r="H118" s="635"/>
      <c r="I118" s="635"/>
      <c r="J118" s="636" t="s">
        <v>1000</v>
      </c>
      <c r="K118" s="636"/>
      <c r="L118" s="636"/>
      <c r="M118" s="636"/>
      <c r="N118" s="636"/>
      <c r="O118" s="636" t="s">
        <v>1001</v>
      </c>
      <c r="P118" s="636"/>
      <c r="Q118" s="636"/>
      <c r="R118" s="636"/>
      <c r="S118" s="637" t="s">
        <v>1002</v>
      </c>
      <c r="T118" s="637"/>
      <c r="U118" s="637"/>
      <c r="V118" s="636" t="s">
        <v>1003</v>
      </c>
      <c r="W118" s="636"/>
      <c r="X118" s="636"/>
      <c r="Y118" s="636"/>
      <c r="Z118" s="636"/>
      <c r="AA118" s="636" t="s">
        <v>1004</v>
      </c>
      <c r="AB118" s="636"/>
      <c r="AC118" s="636"/>
      <c r="AD118" s="4"/>
    </row>
    <row r="119" spans="1:30" ht="15.75">
      <c r="A119" s="24"/>
      <c r="B119" s="769" t="s">
        <v>775</v>
      </c>
      <c r="C119" s="769"/>
      <c r="D119" s="769"/>
      <c r="E119" s="769"/>
      <c r="F119" s="616" t="s">
        <v>1091</v>
      </c>
      <c r="G119" s="617"/>
      <c r="H119" s="617"/>
      <c r="I119" s="618"/>
      <c r="J119" s="619"/>
      <c r="K119" s="620"/>
      <c r="L119" s="620"/>
      <c r="M119" s="620"/>
      <c r="N119" s="621"/>
      <c r="O119" s="619">
        <v>0</v>
      </c>
      <c r="P119" s="620"/>
      <c r="Q119" s="620"/>
      <c r="R119" s="621"/>
      <c r="S119" s="619"/>
      <c r="T119" s="620"/>
      <c r="U119" s="621"/>
      <c r="V119" s="619"/>
      <c r="W119" s="620"/>
      <c r="X119" s="620"/>
      <c r="Y119" s="620"/>
      <c r="Z119" s="621"/>
      <c r="AA119" s="613"/>
      <c r="AB119" s="614"/>
      <c r="AC119" s="615"/>
      <c r="AD119" s="4"/>
    </row>
    <row r="120" spans="1:30" ht="15.75" customHeight="1">
      <c r="A120" s="24"/>
      <c r="B120" s="769" t="s">
        <v>776</v>
      </c>
      <c r="C120" s="769"/>
      <c r="D120" s="769"/>
      <c r="E120" s="769"/>
      <c r="F120" s="616" t="s">
        <v>1091</v>
      </c>
      <c r="G120" s="617"/>
      <c r="H120" s="617"/>
      <c r="I120" s="618"/>
      <c r="J120" s="619"/>
      <c r="K120" s="620"/>
      <c r="L120" s="620"/>
      <c r="M120" s="620"/>
      <c r="N120" s="621"/>
      <c r="O120" s="619">
        <v>0</v>
      </c>
      <c r="P120" s="620"/>
      <c r="Q120" s="620"/>
      <c r="R120" s="621"/>
      <c r="S120" s="619"/>
      <c r="T120" s="620"/>
      <c r="U120" s="621"/>
      <c r="V120" s="619"/>
      <c r="W120" s="620"/>
      <c r="X120" s="620"/>
      <c r="Y120" s="620"/>
      <c r="Z120" s="621"/>
      <c r="AA120" s="613"/>
      <c r="AB120" s="614"/>
      <c r="AC120" s="615"/>
      <c r="AD120" s="4"/>
    </row>
    <row r="121" spans="1:30" ht="15.75">
      <c r="A121" s="24"/>
      <c r="B121" s="769" t="s">
        <v>57</v>
      </c>
      <c r="C121" s="769"/>
      <c r="D121" s="769"/>
      <c r="E121" s="769"/>
      <c r="F121" s="616" t="s">
        <v>1091</v>
      </c>
      <c r="G121" s="617"/>
      <c r="H121" s="617"/>
      <c r="I121" s="618"/>
      <c r="J121" s="619"/>
      <c r="K121" s="620"/>
      <c r="L121" s="620"/>
      <c r="M121" s="620"/>
      <c r="N121" s="621"/>
      <c r="O121" s="619">
        <v>0</v>
      </c>
      <c r="P121" s="620"/>
      <c r="Q121" s="620"/>
      <c r="R121" s="621"/>
      <c r="S121" s="619"/>
      <c r="T121" s="620"/>
      <c r="U121" s="621"/>
      <c r="V121" s="619"/>
      <c r="W121" s="620"/>
      <c r="X121" s="620"/>
      <c r="Y121" s="620"/>
      <c r="Z121" s="621"/>
      <c r="AA121" s="613"/>
      <c r="AB121" s="614"/>
      <c r="AC121" s="615"/>
      <c r="AD121" s="4"/>
    </row>
    <row r="122" spans="1:30" ht="15.75">
      <c r="B122" s="769" t="s">
        <v>998</v>
      </c>
      <c r="C122" s="769"/>
      <c r="D122" s="769"/>
      <c r="E122" s="769"/>
      <c r="F122" s="616"/>
      <c r="G122" s="617"/>
      <c r="H122" s="617"/>
      <c r="I122" s="618"/>
      <c r="J122" s="1034"/>
      <c r="K122" s="1035"/>
      <c r="L122" s="1035"/>
      <c r="M122" s="1035"/>
      <c r="N122" s="1036"/>
      <c r="O122" s="1034"/>
      <c r="P122" s="1035"/>
      <c r="Q122" s="1035"/>
      <c r="R122" s="1036"/>
      <c r="S122" s="1034"/>
      <c r="T122" s="1035"/>
      <c r="U122" s="1036"/>
      <c r="V122" s="1034"/>
      <c r="W122" s="1035"/>
      <c r="X122" s="1035"/>
      <c r="Y122" s="1035"/>
      <c r="Z122" s="1036"/>
      <c r="AA122" s="613"/>
      <c r="AB122" s="614"/>
      <c r="AC122" s="615"/>
      <c r="AD122" s="4"/>
    </row>
    <row r="123" spans="1:30" ht="15.75">
      <c r="A123" s="24"/>
      <c r="B123" s="9"/>
      <c r="C123" s="10"/>
      <c r="D123" s="10"/>
      <c r="E123" s="10"/>
      <c r="F123" s="10"/>
      <c r="G123" s="10"/>
      <c r="H123" s="10"/>
      <c r="I123" s="10"/>
      <c r="J123" s="10"/>
      <c r="K123" s="9"/>
      <c r="L123" s="9"/>
      <c r="M123" s="9"/>
      <c r="N123" s="9"/>
      <c r="O123" s="9"/>
      <c r="P123" s="9"/>
      <c r="Q123" s="9"/>
      <c r="R123" s="9"/>
      <c r="S123" s="9"/>
      <c r="T123" s="9"/>
      <c r="U123" s="9"/>
      <c r="V123" s="9"/>
      <c r="W123" s="9"/>
      <c r="X123" s="9"/>
      <c r="Y123" s="9"/>
      <c r="Z123" s="9"/>
      <c r="AA123" s="9"/>
      <c r="AB123" s="9"/>
      <c r="AC123" s="9"/>
      <c r="AD123" s="9"/>
    </row>
    <row r="124" spans="1:30" ht="15.75">
      <c r="A124" s="24"/>
      <c r="B124" s="9"/>
      <c r="C124" s="10"/>
      <c r="D124" s="10"/>
      <c r="E124" s="10"/>
      <c r="F124" s="10"/>
      <c r="G124" s="10"/>
      <c r="H124" s="10"/>
      <c r="I124" s="10"/>
      <c r="J124" s="10"/>
      <c r="K124" s="9"/>
      <c r="L124" s="9"/>
      <c r="M124" s="9"/>
      <c r="N124" s="9"/>
      <c r="O124" s="9"/>
      <c r="P124" s="9"/>
      <c r="Q124" s="9"/>
      <c r="R124" s="9"/>
      <c r="S124" s="9"/>
      <c r="T124" s="9"/>
      <c r="U124" s="9"/>
      <c r="V124" s="9"/>
      <c r="W124" s="9"/>
      <c r="X124" s="9"/>
      <c r="Y124" s="9"/>
      <c r="Z124" s="9"/>
      <c r="AA124" s="9"/>
      <c r="AB124" s="9"/>
      <c r="AC124" s="9"/>
      <c r="AD124" s="9"/>
    </row>
    <row r="125" spans="1:30" ht="15.75">
      <c r="A125" s="24"/>
      <c r="B125" s="152"/>
      <c r="C125" s="4"/>
      <c r="D125" s="4"/>
      <c r="E125" s="4"/>
      <c r="F125" s="42"/>
      <c r="G125" s="42"/>
      <c r="H125" s="42"/>
      <c r="I125" s="42"/>
      <c r="J125" s="42"/>
      <c r="K125" s="5"/>
      <c r="L125" s="53"/>
      <c r="M125" s="53"/>
      <c r="N125" s="24"/>
      <c r="O125" s="24"/>
      <c r="P125" s="24"/>
      <c r="Q125" s="24"/>
      <c r="R125" s="24"/>
      <c r="S125" s="24"/>
      <c r="T125" s="5"/>
      <c r="U125" s="5"/>
      <c r="V125" s="4"/>
      <c r="W125" s="4"/>
      <c r="X125" s="4"/>
      <c r="Y125" s="4"/>
      <c r="Z125" s="4"/>
      <c r="AA125" s="4"/>
      <c r="AB125" s="4"/>
      <c r="AC125" s="4"/>
      <c r="AD125" s="4"/>
    </row>
    <row r="126" spans="1:30" ht="64.5" customHeight="1">
      <c r="A126" s="24"/>
      <c r="B126" s="9"/>
      <c r="C126" s="10"/>
      <c r="D126" s="10"/>
      <c r="E126" s="10"/>
      <c r="F126" s="10"/>
      <c r="G126" s="10"/>
      <c r="H126" s="10"/>
      <c r="I126" s="10"/>
      <c r="J126" s="10"/>
      <c r="K126" s="9"/>
      <c r="L126" s="9"/>
      <c r="M126" s="9"/>
      <c r="N126" s="9"/>
      <c r="O126" s="9"/>
      <c r="P126" s="9"/>
      <c r="Q126" s="9"/>
      <c r="R126" s="9"/>
      <c r="S126" s="9"/>
      <c r="T126" s="9"/>
      <c r="U126" s="9"/>
      <c r="V126" s="9"/>
      <c r="W126" s="9"/>
      <c r="X126" s="9"/>
      <c r="Y126" s="9"/>
      <c r="Z126" s="9"/>
      <c r="AA126" s="9"/>
      <c r="AB126" s="9"/>
      <c r="AC126" s="9"/>
      <c r="AD126" s="9"/>
    </row>
    <row r="127" spans="1:30" ht="15.75">
      <c r="A127" s="24"/>
      <c r="B127" s="9"/>
      <c r="C127" s="10"/>
      <c r="D127" s="10"/>
      <c r="E127" s="10"/>
      <c r="F127" s="10"/>
      <c r="G127" s="10"/>
      <c r="H127" s="10"/>
      <c r="I127" s="10"/>
      <c r="J127" s="10"/>
      <c r="K127" s="9"/>
      <c r="L127" s="9"/>
      <c r="M127" s="9"/>
      <c r="N127" s="9"/>
      <c r="O127" s="9"/>
      <c r="P127" s="9"/>
      <c r="Q127" s="9"/>
      <c r="R127" s="9"/>
      <c r="S127" s="9"/>
      <c r="T127" s="9"/>
      <c r="U127" s="9"/>
      <c r="V127" s="9"/>
      <c r="W127" s="9"/>
      <c r="X127" s="9"/>
      <c r="Y127" s="9"/>
      <c r="Z127" s="9"/>
      <c r="AA127" s="9"/>
      <c r="AB127" s="9"/>
      <c r="AC127" s="9"/>
      <c r="AD127" s="9"/>
    </row>
    <row r="128" spans="1:30" ht="15.75" customHeight="1">
      <c r="A128" s="24"/>
      <c r="B128" s="24"/>
      <c r="C128" s="24"/>
      <c r="D128" s="24"/>
      <c r="E128" s="24"/>
      <c r="F128" s="24"/>
      <c r="G128" s="24"/>
      <c r="H128" s="24"/>
      <c r="I128" s="24"/>
      <c r="J128" s="24"/>
      <c r="K128" s="24"/>
      <c r="L128" s="24"/>
      <c r="M128" s="24"/>
      <c r="N128" s="24"/>
      <c r="O128" s="24"/>
      <c r="P128" s="6"/>
      <c r="Q128" s="6"/>
      <c r="R128" s="6"/>
      <c r="S128" s="6"/>
      <c r="T128" s="1037" t="s">
        <v>1260</v>
      </c>
      <c r="U128" s="1037"/>
      <c r="V128" s="770" t="s">
        <v>1527</v>
      </c>
      <c r="W128" s="770"/>
      <c r="X128" s="770"/>
      <c r="Y128" s="770"/>
      <c r="Z128" s="770"/>
      <c r="AA128" s="770"/>
      <c r="AB128" s="770"/>
      <c r="AC128" s="770"/>
      <c r="AD128" s="770"/>
    </row>
    <row r="129" spans="1:30" ht="15.75" customHeight="1">
      <c r="A129" s="24"/>
      <c r="B129" s="24"/>
      <c r="C129" s="24"/>
      <c r="D129" s="24"/>
      <c r="E129" s="24"/>
      <c r="F129" s="24"/>
      <c r="G129" s="24"/>
      <c r="H129" s="24"/>
      <c r="I129" s="24"/>
      <c r="J129" s="24"/>
      <c r="K129" s="24"/>
      <c r="L129" s="24"/>
      <c r="M129" s="24"/>
      <c r="N129" s="24"/>
      <c r="O129" s="24"/>
      <c r="P129" s="6"/>
      <c r="Q129" s="6"/>
      <c r="R129" s="6"/>
      <c r="S129" s="6"/>
      <c r="T129" s="760" t="s">
        <v>75</v>
      </c>
      <c r="U129" s="760"/>
      <c r="V129" s="770" t="s">
        <v>1114</v>
      </c>
      <c r="W129" s="770"/>
      <c r="X129" s="770"/>
      <c r="Y129" s="770"/>
      <c r="Z129" s="770"/>
      <c r="AA129" s="770"/>
      <c r="AB129" s="770"/>
      <c r="AC129" s="770"/>
      <c r="AD129" s="770"/>
    </row>
    <row r="130" spans="1:30" ht="15.75">
      <c r="A130" s="24"/>
      <c r="B130" s="24"/>
      <c r="C130" s="24"/>
      <c r="D130" s="24"/>
      <c r="E130" s="24"/>
      <c r="F130" s="24"/>
      <c r="G130" s="24"/>
      <c r="H130" s="24"/>
      <c r="I130" s="24"/>
      <c r="J130" s="24"/>
      <c r="K130" s="24"/>
      <c r="L130" s="24"/>
      <c r="M130" s="24"/>
      <c r="N130" s="24"/>
      <c r="O130" s="24"/>
      <c r="P130" s="6"/>
      <c r="Q130" s="6"/>
      <c r="R130" s="6"/>
      <c r="S130" s="6"/>
      <c r="T130" s="760" t="s">
        <v>76</v>
      </c>
      <c r="U130" s="760"/>
      <c r="V130" s="761" t="s">
        <v>1113</v>
      </c>
      <c r="W130" s="761"/>
      <c r="X130" s="761"/>
      <c r="Y130" s="761"/>
      <c r="Z130" s="761"/>
      <c r="AA130" s="761"/>
      <c r="AB130" s="761"/>
      <c r="AC130" s="761"/>
      <c r="AD130" s="761"/>
    </row>
  </sheetData>
  <mergeCells count="296">
    <mergeCell ref="T128:U128"/>
    <mergeCell ref="V128:AD128"/>
    <mergeCell ref="T12:X12"/>
    <mergeCell ref="Z12:AD12"/>
    <mergeCell ref="T13:X13"/>
    <mergeCell ref="Z13:AD13"/>
    <mergeCell ref="T14:X14"/>
    <mergeCell ref="Z14:AD14"/>
    <mergeCell ref="T15:X15"/>
    <mergeCell ref="Z15:AD15"/>
    <mergeCell ref="F45:AC45"/>
    <mergeCell ref="AB55:AC55"/>
    <mergeCell ref="F47:J47"/>
    <mergeCell ref="O47:S47"/>
    <mergeCell ref="Y47:AC47"/>
    <mergeCell ref="F56:J56"/>
    <mergeCell ref="L56:M56"/>
    <mergeCell ref="F57:J57"/>
    <mergeCell ref="L57:M57"/>
    <mergeCell ref="W63:X63"/>
    <mergeCell ref="B66:F66"/>
    <mergeCell ref="G66:H66"/>
    <mergeCell ref="J66:O66"/>
    <mergeCell ref="P66:S66"/>
    <mergeCell ref="B37:E37"/>
    <mergeCell ref="F37:G37"/>
    <mergeCell ref="I37:L37"/>
    <mergeCell ref="B39:E39"/>
    <mergeCell ref="B41:E41"/>
    <mergeCell ref="F41:H41"/>
    <mergeCell ref="A16:AD16"/>
    <mergeCell ref="A17:AD17"/>
    <mergeCell ref="G32:L32"/>
    <mergeCell ref="S32:Z32"/>
    <mergeCell ref="B35:E35"/>
    <mergeCell ref="F35:R35"/>
    <mergeCell ref="X35:AC35"/>
    <mergeCell ref="F39:AC39"/>
    <mergeCell ref="B49:E49"/>
    <mergeCell ref="H49:J49"/>
    <mergeCell ref="O49:Q49"/>
    <mergeCell ref="B51:E51"/>
    <mergeCell ref="F51:I51"/>
    <mergeCell ref="K51:N51"/>
    <mergeCell ref="O51:R51"/>
    <mergeCell ref="S55:T55"/>
    <mergeCell ref="V55:AA55"/>
    <mergeCell ref="F54:J54"/>
    <mergeCell ref="L54:M54"/>
    <mergeCell ref="B59:E59"/>
    <mergeCell ref="F59:J59"/>
    <mergeCell ref="L59:Q59"/>
    <mergeCell ref="R59:AC59"/>
    <mergeCell ref="B61:M61"/>
    <mergeCell ref="N61:O61"/>
    <mergeCell ref="B55:E55"/>
    <mergeCell ref="F55:J55"/>
    <mergeCell ref="L55:M55"/>
    <mergeCell ref="O55:R55"/>
    <mergeCell ref="B68:G68"/>
    <mergeCell ref="H68:I68"/>
    <mergeCell ref="K68:N68"/>
    <mergeCell ref="O68:P68"/>
    <mergeCell ref="R68:T68"/>
    <mergeCell ref="U68:V68"/>
    <mergeCell ref="B63:M63"/>
    <mergeCell ref="N63:O63"/>
    <mergeCell ref="Q63:V63"/>
    <mergeCell ref="B70:G70"/>
    <mergeCell ref="B72:C72"/>
    <mergeCell ref="D72:E72"/>
    <mergeCell ref="G72:I72"/>
    <mergeCell ref="J72:K72"/>
    <mergeCell ref="M72:R73"/>
    <mergeCell ref="S72:AC73"/>
    <mergeCell ref="H70:K70"/>
    <mergeCell ref="N70:O70"/>
    <mergeCell ref="Q70:T70"/>
    <mergeCell ref="U70:X70"/>
    <mergeCell ref="AA70:AB70"/>
    <mergeCell ref="B75:E76"/>
    <mergeCell ref="F75:AC77"/>
    <mergeCell ref="R83:U83"/>
    <mergeCell ref="V83:Y83"/>
    <mergeCell ref="Z83:AC83"/>
    <mergeCell ref="J81:L81"/>
    <mergeCell ref="J82:L82"/>
    <mergeCell ref="M82:Q82"/>
    <mergeCell ref="B80:H80"/>
    <mergeCell ref="J80:L80"/>
    <mergeCell ref="M80:S80"/>
    <mergeCell ref="T80:X80"/>
    <mergeCell ref="Y80:AC80"/>
    <mergeCell ref="R82:U82"/>
    <mergeCell ref="V82:Y82"/>
    <mergeCell ref="Z82:AC82"/>
    <mergeCell ref="M83:Q83"/>
    <mergeCell ref="T130:U130"/>
    <mergeCell ref="V130:AD130"/>
    <mergeCell ref="B81:H81"/>
    <mergeCell ref="M81:Q81"/>
    <mergeCell ref="R81:U81"/>
    <mergeCell ref="V81:Y81"/>
    <mergeCell ref="Z81:AC81"/>
    <mergeCell ref="T129:U129"/>
    <mergeCell ref="V129:AD129"/>
    <mergeCell ref="B102:AC102"/>
    <mergeCell ref="B104:H104"/>
    <mergeCell ref="J104:L104"/>
    <mergeCell ref="B100:H101"/>
    <mergeCell ref="J88:L88"/>
    <mergeCell ref="J89:L89"/>
    <mergeCell ref="J87:L87"/>
    <mergeCell ref="J83:L83"/>
    <mergeCell ref="B84:H85"/>
    <mergeCell ref="M84:Q84"/>
    <mergeCell ref="B87:H87"/>
    <mergeCell ref="M87:Q87"/>
    <mergeCell ref="B99:H99"/>
    <mergeCell ref="M99:Q99"/>
    <mergeCell ref="B82:H83"/>
    <mergeCell ref="J91:L91"/>
    <mergeCell ref="J95:L95"/>
    <mergeCell ref="J96:L96"/>
    <mergeCell ref="J97:L97"/>
    <mergeCell ref="B94:H95"/>
    <mergeCell ref="B96:H97"/>
    <mergeCell ref="J94:L94"/>
    <mergeCell ref="B90:H91"/>
    <mergeCell ref="J90:L90"/>
    <mergeCell ref="B93:H93"/>
    <mergeCell ref="J93:L93"/>
    <mergeCell ref="R84:U84"/>
    <mergeCell ref="V84:Y84"/>
    <mergeCell ref="Z84:AC84"/>
    <mergeCell ref="J85:L85"/>
    <mergeCell ref="M85:Q85"/>
    <mergeCell ref="R85:U85"/>
    <mergeCell ref="V85:Y85"/>
    <mergeCell ref="Z85:AC85"/>
    <mergeCell ref="J84:L84"/>
    <mergeCell ref="R87:U87"/>
    <mergeCell ref="V87:Y87"/>
    <mergeCell ref="Z87:AC87"/>
    <mergeCell ref="B88:H89"/>
    <mergeCell ref="M88:Q88"/>
    <mergeCell ref="R88:U88"/>
    <mergeCell ref="V88:Y88"/>
    <mergeCell ref="Z88:AC88"/>
    <mergeCell ref="M89:Q89"/>
    <mergeCell ref="R89:U89"/>
    <mergeCell ref="V89:Y89"/>
    <mergeCell ref="Z89:AC89"/>
    <mergeCell ref="R99:U99"/>
    <mergeCell ref="V99:Y99"/>
    <mergeCell ref="Z99:AC99"/>
    <mergeCell ref="M100:Q100"/>
    <mergeCell ref="R100:U100"/>
    <mergeCell ref="V100:Y100"/>
    <mergeCell ref="Z100:AC100"/>
    <mergeCell ref="J101:L101"/>
    <mergeCell ref="M101:Q101"/>
    <mergeCell ref="R101:U101"/>
    <mergeCell ref="V101:Y101"/>
    <mergeCell ref="Z101:AC101"/>
    <mergeCell ref="J99:L99"/>
    <mergeCell ref="J100:L100"/>
    <mergeCell ref="V90:Y90"/>
    <mergeCell ref="V91:Y91"/>
    <mergeCell ref="Z91:AC91"/>
    <mergeCell ref="Z90:AC90"/>
    <mergeCell ref="M93:Q93"/>
    <mergeCell ref="M94:Q94"/>
    <mergeCell ref="M95:Q95"/>
    <mergeCell ref="M96:Q96"/>
    <mergeCell ref="M97:Q97"/>
    <mergeCell ref="R93:U93"/>
    <mergeCell ref="V93:AC93"/>
    <mergeCell ref="R94:U94"/>
    <mergeCell ref="R95:U95"/>
    <mergeCell ref="R96:U96"/>
    <mergeCell ref="R97:U97"/>
    <mergeCell ref="V94:AC94"/>
    <mergeCell ref="V95:AC95"/>
    <mergeCell ref="V96:AC96"/>
    <mergeCell ref="V97:AC97"/>
    <mergeCell ref="M90:Q90"/>
    <mergeCell ref="M91:Q91"/>
    <mergeCell ref="R90:U90"/>
    <mergeCell ref="R91:U91"/>
    <mergeCell ref="O108:R108"/>
    <mergeCell ref="S108:U108"/>
    <mergeCell ref="V108:Z108"/>
    <mergeCell ref="AA108:AC108"/>
    <mergeCell ref="B109:E109"/>
    <mergeCell ref="F109:I109"/>
    <mergeCell ref="J109:N109"/>
    <mergeCell ref="O109:R109"/>
    <mergeCell ref="S109:U109"/>
    <mergeCell ref="V109:Z109"/>
    <mergeCell ref="AA109:AC109"/>
    <mergeCell ref="B45:E45"/>
    <mergeCell ref="B112:E112"/>
    <mergeCell ref="F112:I112"/>
    <mergeCell ref="J112:N112"/>
    <mergeCell ref="O112:R112"/>
    <mergeCell ref="S112:U112"/>
    <mergeCell ref="V112:Z112"/>
    <mergeCell ref="AA112:AC112"/>
    <mergeCell ref="B111:E111"/>
    <mergeCell ref="F111:I111"/>
    <mergeCell ref="J111:N111"/>
    <mergeCell ref="O111:R111"/>
    <mergeCell ref="S111:U111"/>
    <mergeCell ref="V111:Z111"/>
    <mergeCell ref="AA111:AC111"/>
    <mergeCell ref="B110:E110"/>
    <mergeCell ref="F110:I110"/>
    <mergeCell ref="J110:N110"/>
    <mergeCell ref="O110:R110"/>
    <mergeCell ref="S110:U110"/>
    <mergeCell ref="V110:Z110"/>
    <mergeCell ref="AA110:AC110"/>
    <mergeCell ref="F108:I108"/>
    <mergeCell ref="J108:N108"/>
    <mergeCell ref="J113:N113"/>
    <mergeCell ref="O113:R113"/>
    <mergeCell ref="S113:U113"/>
    <mergeCell ref="V113:Z113"/>
    <mergeCell ref="AA113:AC113"/>
    <mergeCell ref="B114:E114"/>
    <mergeCell ref="F114:I114"/>
    <mergeCell ref="J114:N114"/>
    <mergeCell ref="O114:R114"/>
    <mergeCell ref="S114:U114"/>
    <mergeCell ref="V114:Z114"/>
    <mergeCell ref="AA114:AC114"/>
    <mergeCell ref="B117:E117"/>
    <mergeCell ref="F117:I117"/>
    <mergeCell ref="J117:N117"/>
    <mergeCell ref="O117:R117"/>
    <mergeCell ref="S117:U117"/>
    <mergeCell ref="V117:Z117"/>
    <mergeCell ref="AA117:AC117"/>
    <mergeCell ref="B108:E108"/>
    <mergeCell ref="B113:E113"/>
    <mergeCell ref="B115:E115"/>
    <mergeCell ref="F115:I115"/>
    <mergeCell ref="J115:N115"/>
    <mergeCell ref="O115:R115"/>
    <mergeCell ref="S115:U115"/>
    <mergeCell ref="V115:Z115"/>
    <mergeCell ref="AA115:AC115"/>
    <mergeCell ref="B116:E116"/>
    <mergeCell ref="F116:I116"/>
    <mergeCell ref="J116:N116"/>
    <mergeCell ref="O116:R116"/>
    <mergeCell ref="S116:U116"/>
    <mergeCell ref="V116:Z116"/>
    <mergeCell ref="AA116:AC116"/>
    <mergeCell ref="F113:I113"/>
    <mergeCell ref="B118:E118"/>
    <mergeCell ref="F118:I118"/>
    <mergeCell ref="J118:N118"/>
    <mergeCell ref="O118:R118"/>
    <mergeCell ref="S118:U118"/>
    <mergeCell ref="V118:Z118"/>
    <mergeCell ref="AA118:AC118"/>
    <mergeCell ref="B119:E119"/>
    <mergeCell ref="F119:I119"/>
    <mergeCell ref="J119:N119"/>
    <mergeCell ref="O119:R119"/>
    <mergeCell ref="S119:U119"/>
    <mergeCell ref="V119:Z119"/>
    <mergeCell ref="AA119:AC119"/>
    <mergeCell ref="B122:E122"/>
    <mergeCell ref="F122:I122"/>
    <mergeCell ref="J122:N122"/>
    <mergeCell ref="O122:R122"/>
    <mergeCell ref="S122:U122"/>
    <mergeCell ref="V122:Z122"/>
    <mergeCell ref="AA122:AC122"/>
    <mergeCell ref="B120:E120"/>
    <mergeCell ref="F120:I120"/>
    <mergeCell ref="J120:N120"/>
    <mergeCell ref="O120:R120"/>
    <mergeCell ref="S120:U120"/>
    <mergeCell ref="V120:Z120"/>
    <mergeCell ref="AA120:AC120"/>
    <mergeCell ref="B121:E121"/>
    <mergeCell ref="F121:I121"/>
    <mergeCell ref="J121:N121"/>
    <mergeCell ref="O121:R121"/>
    <mergeCell ref="S121:U121"/>
    <mergeCell ref="V121:Z121"/>
    <mergeCell ref="AA121:AC121"/>
  </mergeCells>
  <conditionalFormatting sqref="F51">
    <cfRule type="expression" dxfId="30" priority="3">
      <formula>NOT(ISBLANK($K$42))</formula>
    </cfRule>
  </conditionalFormatting>
  <conditionalFormatting sqref="O49 T49:V51 M50:O50">
    <cfRule type="expression" dxfId="29" priority="4">
      <formula>NOT(ISBLANK($N$44))</formula>
    </cfRule>
  </conditionalFormatting>
  <conditionalFormatting sqref="O51">
    <cfRule type="expression" dxfId="28" priority="1">
      <formula>NOT(ISBLANK($K$42))</formula>
    </cfRule>
  </conditionalFormatting>
  <dataValidations disablePrompts="1" count="2">
    <dataValidation type="list" allowBlank="1" showInputMessage="1" showErrorMessage="1" sqref="K63" xr:uid="{00000000-0002-0000-0300-000000000000}">
      <formula1>INDIRECT($AB$57)</formula1>
    </dataValidation>
    <dataValidation type="list" allowBlank="1" showInputMessage="1" showErrorMessage="1" sqref="F63:J63" xr:uid="{00000000-0002-0000-0300-000001000000}">
      <formula1>$E$18:$E$41</formula1>
    </dataValidation>
  </dataValidations>
  <printOptions horizontalCentered="1"/>
  <pageMargins left="0.70866141732283472" right="0.70866141732283472" top="0.74803149606299213" bottom="0.74803149606299213" header="0.31496062992125984" footer="0.31496062992125984"/>
  <pageSetup paperSize="9" scale="55" fitToHeight="0" orientation="portrait" r:id="rId1"/>
  <headerFooter>
    <oddFooter>&amp;L&amp;G&amp;R&amp;G
&amp;P</oddFooter>
  </headerFooter>
  <rowBreaks count="1" manualBreakCount="1">
    <brk id="77" max="29" man="1"/>
  </rowBreaks>
  <drawing r:id="rId2"/>
  <legacyDrawing r:id="rId3"/>
  <legacyDrawingHF r:id="rId4"/>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00000000-0002-0000-0300-000002000000}">
          <x14:formula1>
            <xm:f>'Lista-Data'!$BP$3:$BP$4</xm:f>
          </x14:formula1>
          <xm:sqref>J72:K72 N61:O61 N63:O63 W63:X63 S55:T55</xm:sqref>
        </x14:dataValidation>
        <x14:dataValidation type="list" allowBlank="1" showInputMessage="1" showErrorMessage="1" xr:uid="{00000000-0002-0000-0300-000003000000}">
          <x14:formula1>
            <xm:f>'Lista-Data'!$X$3:$X$4</xm:f>
          </x14:formula1>
          <xm:sqref>D72:E72</xm:sqref>
        </x14:dataValidation>
        <x14:dataValidation type="list" allowBlank="1" showInputMessage="1" showErrorMessage="1" xr:uid="{00000000-0002-0000-0300-000004000000}">
          <x14:formula1>
            <xm:f>'Lista-Data'!$BS$3:$BS$5</xm:f>
          </x14:formula1>
          <xm:sqref>AB55:AC55</xm:sqref>
        </x14:dataValidation>
        <x14:dataValidation type="list" allowBlank="1" showInputMessage="1" showErrorMessage="1" xr:uid="{00000000-0002-0000-0300-000005000000}">
          <x14:formula1>
            <xm:f>'Lista-Data'!$AC$3:$AC$9</xm:f>
          </x14:formula1>
          <xm:sqref>F109:I111 F114:I116 F119:I121</xm:sqref>
        </x14:dataValidation>
        <x14:dataValidation type="list" allowBlank="1" showInputMessage="1" showErrorMessage="1" xr:uid="{00000000-0002-0000-0300-000006000000}">
          <x14:formula1>
            <xm:f>'Lista-Data'!$V$3:$V$10</xm:f>
          </x14:formula1>
          <xm:sqref>U70:X70</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
    <tabColor theme="7" tint="0.39997558519241921"/>
  </sheetPr>
  <dimension ref="A1:AP129"/>
  <sheetViews>
    <sheetView topLeftCell="A13" zoomScale="85" zoomScaleNormal="85" workbookViewId="0">
      <selection activeCell="J92" sqref="J92:O92"/>
    </sheetView>
  </sheetViews>
  <sheetFormatPr baseColWidth="10" defaultColWidth="11.42578125" defaultRowHeight="15" zeroHeight="1"/>
  <cols>
    <col min="1" max="17" width="5.140625" customWidth="1"/>
    <col min="18" max="18" width="6.28515625" customWidth="1"/>
    <col min="19" max="28" width="5.140625" customWidth="1"/>
    <col min="29" max="29" width="7.140625" customWidth="1"/>
    <col min="30" max="30" width="5.140625" customWidth="1"/>
    <col min="31" max="31" width="11.42578125" customWidth="1"/>
  </cols>
  <sheetData>
    <row r="1" spans="1:30"/>
    <row r="2" spans="1:30"/>
    <row r="3" spans="1:30"/>
    <row r="4" spans="1:30"/>
    <row r="5" spans="1:30"/>
    <row r="6" spans="1:30"/>
    <row r="7" spans="1:30"/>
    <row r="8" spans="1:30"/>
    <row r="9" spans="1:30"/>
    <row r="10" spans="1:30"/>
    <row r="11" spans="1:30"/>
    <row r="12" spans="1:30" ht="15.75">
      <c r="A12" s="24"/>
      <c r="B12" s="24"/>
      <c r="C12" s="24"/>
      <c r="D12" s="24"/>
      <c r="E12" s="24"/>
      <c r="F12" s="24"/>
      <c r="G12" s="24"/>
      <c r="H12" s="24"/>
      <c r="I12" s="24"/>
      <c r="J12" s="24"/>
      <c r="K12" s="24"/>
      <c r="L12" s="24"/>
      <c r="M12" s="24"/>
      <c r="N12" s="24"/>
      <c r="O12" s="24"/>
      <c r="P12" s="24"/>
      <c r="Q12" s="24"/>
      <c r="R12" s="24"/>
      <c r="S12" s="24"/>
      <c r="T12" s="1023" t="s">
        <v>815</v>
      </c>
      <c r="U12" s="1023"/>
      <c r="V12" s="1023"/>
      <c r="W12" s="1023"/>
      <c r="X12" s="1023"/>
      <c r="Y12" s="30" t="s">
        <v>0</v>
      </c>
      <c r="Z12" s="1024"/>
      <c r="AA12" s="1024"/>
      <c r="AB12" s="1024"/>
      <c r="AC12" s="1024"/>
      <c r="AD12" s="1024"/>
    </row>
    <row r="13" spans="1:30" ht="15.75">
      <c r="A13" s="24"/>
      <c r="B13" s="24"/>
      <c r="C13" s="24"/>
      <c r="D13" s="24"/>
      <c r="E13" s="24"/>
      <c r="F13" s="24"/>
      <c r="G13" s="24"/>
      <c r="H13" s="24"/>
      <c r="I13" s="24"/>
      <c r="J13" s="24"/>
      <c r="K13" s="24"/>
      <c r="L13" s="24"/>
      <c r="M13" s="24"/>
      <c r="N13" s="24"/>
      <c r="O13" s="24"/>
      <c r="P13" s="24"/>
      <c r="Q13" s="24"/>
      <c r="R13" s="24"/>
      <c r="S13" s="24"/>
      <c r="T13" s="1023" t="s">
        <v>1</v>
      </c>
      <c r="U13" s="1023"/>
      <c r="V13" s="1023"/>
      <c r="W13" s="1023"/>
      <c r="X13" s="1023"/>
      <c r="Y13" s="30" t="s">
        <v>0</v>
      </c>
      <c r="Z13" s="1024" t="s">
        <v>1528</v>
      </c>
      <c r="AA13" s="1024"/>
      <c r="AB13" s="1024"/>
      <c r="AC13" s="1024"/>
      <c r="AD13" s="1024"/>
    </row>
    <row r="14" spans="1:30" ht="15.75">
      <c r="A14" s="24"/>
      <c r="B14" s="24"/>
      <c r="C14" s="24"/>
      <c r="D14" s="24"/>
      <c r="E14" s="24"/>
      <c r="F14" s="24"/>
      <c r="G14" s="24"/>
      <c r="H14" s="24"/>
      <c r="I14" s="24"/>
      <c r="J14" s="24"/>
      <c r="K14" s="24"/>
      <c r="L14" s="24"/>
      <c r="M14" s="24"/>
      <c r="N14" s="24"/>
      <c r="O14" s="24"/>
      <c r="P14" s="24"/>
      <c r="Q14" s="24"/>
      <c r="R14" s="24"/>
      <c r="S14" s="24"/>
      <c r="T14" s="1023" t="s">
        <v>52</v>
      </c>
      <c r="U14" s="1023"/>
      <c r="V14" s="1023"/>
      <c r="W14" s="1023"/>
      <c r="X14" s="1023"/>
      <c r="Y14" s="30" t="s">
        <v>0</v>
      </c>
      <c r="Z14" s="1026"/>
      <c r="AA14" s="1026"/>
      <c r="AB14" s="1026"/>
      <c r="AC14" s="1026"/>
      <c r="AD14" s="1026"/>
    </row>
    <row r="15" spans="1:30" ht="15.75">
      <c r="A15" s="24"/>
      <c r="B15" s="24"/>
      <c r="C15" s="24"/>
      <c r="D15" s="24"/>
      <c r="E15" s="24"/>
      <c r="F15" s="24"/>
      <c r="G15" s="24"/>
      <c r="H15" s="24"/>
      <c r="I15" s="24"/>
      <c r="J15" s="24"/>
      <c r="K15" s="24"/>
      <c r="L15" s="24"/>
      <c r="M15" s="24"/>
      <c r="N15" s="24"/>
      <c r="O15" s="24"/>
      <c r="P15" s="24"/>
      <c r="Q15" s="24"/>
      <c r="R15" s="24"/>
      <c r="S15" s="24"/>
      <c r="T15" s="1023" t="s">
        <v>816</v>
      </c>
      <c r="U15" s="1023"/>
      <c r="V15" s="1023"/>
      <c r="W15" s="1023"/>
      <c r="X15" s="1023"/>
      <c r="Y15" s="30" t="s">
        <v>0</v>
      </c>
      <c r="Z15" s="1026">
        <f>Z14+365</f>
        <v>365</v>
      </c>
      <c r="AA15" s="1026"/>
      <c r="AB15" s="1026"/>
      <c r="AC15" s="1026"/>
      <c r="AD15" s="1026"/>
    </row>
    <row r="16" spans="1:30" ht="18">
      <c r="A16" s="1312" t="s">
        <v>778</v>
      </c>
      <c r="B16" s="1313"/>
      <c r="C16" s="1313"/>
      <c r="D16" s="1313"/>
      <c r="E16" s="1313"/>
      <c r="F16" s="1313"/>
      <c r="G16" s="1313"/>
      <c r="H16" s="1313"/>
      <c r="I16" s="1313"/>
      <c r="J16" s="1313"/>
      <c r="K16" s="1313"/>
      <c r="L16" s="1313"/>
      <c r="M16" s="1313"/>
      <c r="N16" s="1313"/>
      <c r="O16" s="1313"/>
      <c r="P16" s="1313"/>
      <c r="Q16" s="1313"/>
      <c r="R16" s="1313"/>
      <c r="S16" s="1313"/>
      <c r="T16" s="1313"/>
      <c r="U16" s="1313"/>
      <c r="V16" s="1313"/>
      <c r="W16" s="1313"/>
      <c r="X16" s="1313"/>
      <c r="Y16" s="1313"/>
      <c r="Z16" s="1313"/>
      <c r="AA16" s="1313"/>
      <c r="AB16" s="1313"/>
      <c r="AC16" s="1313"/>
      <c r="AD16" s="1313"/>
    </row>
    <row r="17" spans="1:30" ht="15.75">
      <c r="A17" s="1292" t="s">
        <v>779</v>
      </c>
      <c r="B17" s="1293"/>
      <c r="C17" s="1293"/>
      <c r="D17" s="1293"/>
      <c r="E17" s="1293"/>
      <c r="F17" s="1293"/>
      <c r="G17" s="1293"/>
      <c r="H17" s="1293"/>
      <c r="I17" s="1293"/>
      <c r="J17" s="1293"/>
      <c r="K17" s="1293"/>
      <c r="L17" s="1293"/>
      <c r="M17" s="1293"/>
      <c r="N17" s="1293"/>
      <c r="O17" s="1293"/>
      <c r="P17" s="1293"/>
      <c r="Q17" s="1293"/>
      <c r="R17" s="1293"/>
      <c r="S17" s="1293"/>
      <c r="T17" s="1293"/>
      <c r="U17" s="1293"/>
      <c r="V17" s="1293"/>
      <c r="W17" s="1293"/>
      <c r="X17" s="1293"/>
      <c r="Y17" s="1293"/>
      <c r="Z17" s="1293"/>
      <c r="AA17" s="1293"/>
      <c r="AB17" s="1293"/>
      <c r="AC17" s="1293"/>
      <c r="AD17" s="1294"/>
    </row>
    <row r="18" spans="1:30" ht="5.0999999999999996" customHeight="1">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row>
    <row r="19" spans="1:30" ht="15.75">
      <c r="A19" s="4"/>
      <c r="B19" s="640" t="s">
        <v>780</v>
      </c>
      <c r="C19" s="640"/>
      <c r="D19" s="640"/>
      <c r="E19" s="640"/>
      <c r="F19" s="640"/>
      <c r="G19" s="640"/>
      <c r="H19" s="640"/>
      <c r="I19" s="55" t="s">
        <v>0</v>
      </c>
      <c r="J19" s="1315" t="s">
        <v>2</v>
      </c>
      <c r="K19" s="1316"/>
      <c r="L19" s="1316"/>
      <c r="M19" s="1316"/>
      <c r="N19" s="1316"/>
      <c r="O19" s="1316"/>
      <c r="P19" s="1316"/>
      <c r="Q19" s="1316"/>
      <c r="R19" s="1316"/>
      <c r="S19" s="1316"/>
      <c r="T19" s="1316"/>
      <c r="U19" s="1316"/>
      <c r="V19" s="1316"/>
      <c r="W19" s="1316"/>
      <c r="X19" s="1316"/>
      <c r="Y19" s="1316"/>
      <c r="Z19" s="1316"/>
      <c r="AA19" s="1316"/>
      <c r="AB19" s="1316"/>
      <c r="AC19" s="1317"/>
      <c r="AD19" s="4"/>
    </row>
    <row r="20" spans="1:30" ht="9.75" customHeight="1">
      <c r="A20" s="4"/>
      <c r="B20" s="34"/>
      <c r="C20" s="35"/>
      <c r="D20" s="35"/>
      <c r="E20" s="35"/>
      <c r="F20" s="35"/>
      <c r="G20" s="35"/>
      <c r="H20" s="35"/>
      <c r="I20" s="34"/>
      <c r="J20" s="5"/>
      <c r="K20" s="5"/>
      <c r="L20" s="5"/>
      <c r="M20" s="5"/>
      <c r="N20" s="5"/>
      <c r="O20" s="5"/>
      <c r="P20" s="5"/>
      <c r="Q20" s="5"/>
      <c r="R20" s="5"/>
      <c r="S20" s="5"/>
      <c r="T20" s="5"/>
      <c r="U20" s="5"/>
      <c r="V20" s="5"/>
      <c r="W20" s="5"/>
      <c r="X20" s="5"/>
      <c r="Y20" s="5"/>
      <c r="Z20" s="5"/>
      <c r="AA20" s="5"/>
      <c r="AB20" s="5"/>
      <c r="AC20" s="4"/>
      <c r="AD20" s="4"/>
    </row>
    <row r="21" spans="1:30" ht="15.75" customHeight="1">
      <c r="A21" s="4"/>
      <c r="B21" s="1283" t="s">
        <v>781</v>
      </c>
      <c r="C21" s="1283"/>
      <c r="D21" s="1283"/>
      <c r="E21" s="1283"/>
      <c r="F21" s="1283"/>
      <c r="G21" s="1283"/>
      <c r="H21" s="1283"/>
      <c r="I21" s="55" t="s">
        <v>0</v>
      </c>
      <c r="J21" s="1314" t="s">
        <v>797</v>
      </c>
      <c r="K21" s="1314"/>
      <c r="L21" s="1314"/>
      <c r="M21" s="1314"/>
      <c r="N21" s="1314"/>
      <c r="O21" s="1314"/>
      <c r="P21" s="1314"/>
      <c r="Q21" s="1314"/>
      <c r="R21" s="1314"/>
      <c r="S21" s="1314"/>
      <c r="T21" s="1314"/>
      <c r="U21" s="1314"/>
      <c r="V21" s="1314"/>
      <c r="W21" s="1314"/>
      <c r="X21" s="1314"/>
      <c r="Y21" s="1314"/>
      <c r="Z21" s="1314"/>
      <c r="AA21" s="1314"/>
      <c r="AB21" s="1314"/>
      <c r="AC21" s="1314"/>
      <c r="AD21" s="4"/>
    </row>
    <row r="22" spans="1:30" ht="12.75" customHeight="1">
      <c r="A22" s="4"/>
      <c r="B22" s="342" t="s">
        <v>805</v>
      </c>
      <c r="C22" s="343"/>
      <c r="D22" s="343"/>
      <c r="E22" s="343"/>
      <c r="F22" s="343"/>
      <c r="G22" s="343"/>
      <c r="H22" s="343"/>
      <c r="I22" s="55"/>
      <c r="J22" s="1314"/>
      <c r="K22" s="1314"/>
      <c r="L22" s="1314"/>
      <c r="M22" s="1314"/>
      <c r="N22" s="1314"/>
      <c r="O22" s="1314"/>
      <c r="P22" s="1314"/>
      <c r="Q22" s="1314"/>
      <c r="R22" s="1314"/>
      <c r="S22" s="1314"/>
      <c r="T22" s="1314"/>
      <c r="U22" s="1314"/>
      <c r="V22" s="1314"/>
      <c r="W22" s="1314"/>
      <c r="X22" s="1314"/>
      <c r="Y22" s="1314"/>
      <c r="Z22" s="1314"/>
      <c r="AA22" s="1314"/>
      <c r="AB22" s="1314"/>
      <c r="AC22" s="1314"/>
      <c r="AD22" s="4"/>
    </row>
    <row r="23" spans="1:30" ht="15.75">
      <c r="A23" s="4"/>
      <c r="B23" s="31"/>
      <c r="C23" s="31"/>
      <c r="D23" s="31"/>
      <c r="E23" s="31"/>
      <c r="F23" s="31"/>
      <c r="G23" s="31"/>
      <c r="H23" s="31"/>
      <c r="I23" s="55"/>
      <c r="J23" s="48" t="s">
        <v>347</v>
      </c>
      <c r="K23" s="36"/>
      <c r="L23" s="32"/>
      <c r="M23" s="48" t="s">
        <v>395</v>
      </c>
      <c r="N23" s="36"/>
      <c r="O23" s="32"/>
      <c r="P23" s="32"/>
      <c r="Q23" s="32"/>
      <c r="R23" s="32"/>
      <c r="S23" s="32"/>
      <c r="T23" s="32"/>
      <c r="U23" s="32"/>
      <c r="V23" s="32"/>
      <c r="W23" s="32"/>
      <c r="X23" s="32"/>
      <c r="Y23" s="32"/>
      <c r="Z23" s="32"/>
      <c r="AA23" s="32"/>
      <c r="AB23" s="32"/>
      <c r="AC23" s="32"/>
      <c r="AD23" s="4"/>
    </row>
    <row r="24" spans="1:30" ht="9" customHeight="1">
      <c r="A24" s="4"/>
      <c r="B24" s="26"/>
      <c r="C24" s="4"/>
      <c r="D24" s="4"/>
      <c r="E24" s="4"/>
      <c r="F24" s="4"/>
      <c r="G24" s="4"/>
      <c r="H24" s="4"/>
      <c r="I24" s="34"/>
      <c r="J24" s="5"/>
      <c r="K24" s="5"/>
      <c r="L24" s="5"/>
      <c r="M24" s="5"/>
      <c r="N24" s="5"/>
      <c r="O24" s="5"/>
      <c r="P24" s="5"/>
      <c r="Q24" s="5"/>
      <c r="R24" s="5"/>
      <c r="S24" s="5"/>
      <c r="T24" s="5"/>
      <c r="U24" s="5"/>
      <c r="V24" s="5"/>
      <c r="W24" s="5"/>
      <c r="X24" s="5"/>
      <c r="Y24" s="5"/>
      <c r="Z24" s="5"/>
      <c r="AA24" s="5"/>
      <c r="AB24" s="5"/>
      <c r="AC24" s="4"/>
      <c r="AD24" s="4"/>
    </row>
    <row r="25" spans="1:30" s="223" customFormat="1" ht="45" customHeight="1">
      <c r="A25" s="6"/>
      <c r="B25" s="1023" t="s">
        <v>782</v>
      </c>
      <c r="C25" s="1023"/>
      <c r="D25" s="1023"/>
      <c r="E25" s="1023"/>
      <c r="F25" s="1023"/>
      <c r="G25" s="1023"/>
      <c r="H25" s="1023"/>
      <c r="I25" s="39" t="s">
        <v>0</v>
      </c>
      <c r="J25" s="1262" t="s">
        <v>783</v>
      </c>
      <c r="K25" s="1262"/>
      <c r="L25" s="1262"/>
      <c r="M25" s="1262"/>
      <c r="N25" s="1262"/>
      <c r="O25" s="1262"/>
      <c r="P25" s="1262"/>
      <c r="Q25" s="1262"/>
      <c r="R25" s="1262"/>
      <c r="S25" s="1262"/>
      <c r="T25" s="1262"/>
      <c r="U25" s="1262"/>
      <c r="V25" s="1262"/>
      <c r="W25" s="1262"/>
      <c r="X25" s="1262"/>
      <c r="Y25" s="1262"/>
      <c r="Z25" s="1262"/>
      <c r="AA25" s="1262"/>
      <c r="AB25" s="1262"/>
      <c r="AC25" s="1262"/>
      <c r="AD25" s="6"/>
    </row>
    <row r="26" spans="1:30" ht="9" customHeight="1">
      <c r="A26" s="4"/>
      <c r="B26" s="4"/>
      <c r="C26" s="4"/>
      <c r="D26" s="4"/>
      <c r="E26" s="4"/>
      <c r="F26" s="4"/>
      <c r="G26" s="4"/>
      <c r="H26" s="4"/>
      <c r="I26" s="35"/>
      <c r="J26" s="4"/>
      <c r="K26" s="4"/>
      <c r="L26" s="4"/>
      <c r="M26" s="4"/>
      <c r="N26" s="4"/>
      <c r="O26" s="4"/>
      <c r="P26" s="4"/>
      <c r="Q26" s="4"/>
      <c r="R26" s="4"/>
      <c r="S26" s="4"/>
      <c r="T26" s="4"/>
      <c r="U26" s="4"/>
      <c r="V26" s="4"/>
      <c r="W26" s="4"/>
      <c r="X26" s="4"/>
      <c r="Y26" s="4"/>
      <c r="Z26" s="4"/>
      <c r="AA26" s="4"/>
      <c r="AB26" s="4"/>
      <c r="AC26" s="4"/>
      <c r="AD26" s="4"/>
    </row>
    <row r="27" spans="1:30" s="223" customFormat="1" ht="33" customHeight="1">
      <c r="A27" s="6"/>
      <c r="B27" s="1023" t="s">
        <v>784</v>
      </c>
      <c r="C27" s="1023"/>
      <c r="D27" s="1023"/>
      <c r="E27" s="1023"/>
      <c r="F27" s="1023"/>
      <c r="G27" s="1023"/>
      <c r="H27" s="1023"/>
      <c r="I27" s="39" t="s">
        <v>0</v>
      </c>
      <c r="J27" s="1263" t="s">
        <v>1254</v>
      </c>
      <c r="K27" s="1263"/>
      <c r="L27" s="1263"/>
      <c r="M27" s="1263"/>
      <c r="N27" s="1263"/>
      <c r="O27" s="1263"/>
      <c r="P27" s="1263"/>
      <c r="Q27" s="1263"/>
      <c r="R27" s="1263"/>
      <c r="S27" s="1263"/>
      <c r="T27" s="1263"/>
      <c r="U27" s="1263"/>
      <c r="V27" s="1263"/>
      <c r="W27" s="1263"/>
      <c r="X27" s="1263"/>
      <c r="Y27" s="1263"/>
      <c r="Z27" s="1263"/>
      <c r="AA27" s="1263"/>
      <c r="AB27" s="1263"/>
      <c r="AC27" s="1263"/>
      <c r="AD27" s="6"/>
    </row>
    <row r="28" spans="1:30" ht="9.75" customHeight="1">
      <c r="A28" s="4"/>
      <c r="B28" s="270"/>
      <c r="C28" s="239"/>
      <c r="D28" s="239"/>
      <c r="E28" s="239"/>
      <c r="F28" s="239"/>
      <c r="G28" s="239"/>
      <c r="H28" s="239"/>
      <c r="I28" s="34"/>
      <c r="J28" s="27"/>
      <c r="K28" s="27"/>
      <c r="L28" s="27"/>
      <c r="M28" s="27"/>
      <c r="N28" s="27"/>
      <c r="O28" s="27"/>
      <c r="P28" s="27"/>
      <c r="Q28" s="27"/>
      <c r="R28" s="27"/>
      <c r="S28" s="27"/>
      <c r="T28" s="27"/>
      <c r="U28" s="27"/>
      <c r="V28" s="27"/>
      <c r="W28" s="27"/>
      <c r="X28" s="27"/>
      <c r="Y28" s="27"/>
      <c r="Z28" s="27"/>
      <c r="AA28" s="27"/>
      <c r="AB28" s="27"/>
      <c r="AC28" s="27"/>
      <c r="AD28" s="4"/>
    </row>
    <row r="29" spans="1:30" ht="15.75">
      <c r="A29" s="4"/>
      <c r="B29" s="1264" t="s">
        <v>1022</v>
      </c>
      <c r="C29" s="1264"/>
      <c r="D29" s="1264"/>
      <c r="E29" s="1264"/>
      <c r="F29" s="1264"/>
      <c r="G29" s="1264"/>
      <c r="H29" s="1264"/>
      <c r="I29" s="34" t="s">
        <v>0</v>
      </c>
      <c r="J29" s="37"/>
      <c r="K29" s="1268" t="s">
        <v>3</v>
      </c>
      <c r="L29" s="1268"/>
      <c r="M29" s="1268"/>
      <c r="N29" s="4"/>
      <c r="O29" s="37"/>
      <c r="P29" s="1269" t="s">
        <v>786</v>
      </c>
      <c r="Q29" s="1270"/>
      <c r="R29" s="1270"/>
      <c r="S29" s="1271"/>
      <c r="T29" s="37"/>
      <c r="U29" s="1268" t="s">
        <v>5</v>
      </c>
      <c r="V29" s="1268"/>
      <c r="W29" s="1268"/>
      <c r="X29" s="1268"/>
      <c r="Y29" s="4"/>
      <c r="Z29" s="37"/>
      <c r="AA29" s="1268" t="s">
        <v>6</v>
      </c>
      <c r="AB29" s="1268"/>
      <c r="AC29" s="1268"/>
      <c r="AD29" s="8"/>
    </row>
    <row r="30" spans="1:30" ht="15.75">
      <c r="A30" s="4"/>
      <c r="B30" s="1264" t="s">
        <v>1023</v>
      </c>
      <c r="C30" s="1264"/>
      <c r="D30" s="1264"/>
      <c r="E30" s="1264"/>
      <c r="F30" s="1264"/>
      <c r="G30" s="1264"/>
      <c r="H30" s="1264"/>
      <c r="I30" s="35"/>
      <c r="J30" s="38"/>
      <c r="K30" s="1268" t="s">
        <v>7</v>
      </c>
      <c r="L30" s="1268"/>
      <c r="M30" s="1268"/>
      <c r="N30" s="4"/>
      <c r="O30" s="38"/>
      <c r="P30" s="1268" t="s">
        <v>785</v>
      </c>
      <c r="Q30" s="1268"/>
      <c r="R30" s="1268"/>
      <c r="S30" s="4"/>
      <c r="T30" s="38"/>
      <c r="U30" s="1268" t="s">
        <v>9</v>
      </c>
      <c r="V30" s="1268"/>
      <c r="W30" s="1268"/>
      <c r="X30" s="1268"/>
      <c r="Y30" s="4"/>
      <c r="Z30" s="38"/>
      <c r="AA30" s="1268" t="s">
        <v>10</v>
      </c>
      <c r="AB30" s="1268"/>
      <c r="AC30" s="1268"/>
      <c r="AD30" s="8"/>
    </row>
    <row r="31" spans="1:30" ht="15.75">
      <c r="A31" s="4"/>
      <c r="B31" s="342" t="s">
        <v>805</v>
      </c>
      <c r="C31" s="350"/>
      <c r="D31" s="350"/>
      <c r="E31" s="350"/>
      <c r="F31" s="350"/>
      <c r="G31" s="350"/>
      <c r="H31" s="239"/>
      <c r="I31" s="35"/>
      <c r="J31" s="28"/>
      <c r="K31" s="28"/>
      <c r="L31" s="28"/>
      <c r="M31" s="28"/>
      <c r="N31" s="28"/>
      <c r="O31" s="28"/>
      <c r="P31" s="28"/>
      <c r="Q31" s="28"/>
      <c r="R31" s="28"/>
      <c r="S31" s="28"/>
      <c r="T31" s="28"/>
      <c r="U31" s="28"/>
      <c r="V31" s="28"/>
      <c r="W31" s="28"/>
      <c r="X31" s="28"/>
      <c r="Y31" s="28"/>
      <c r="Z31" s="28"/>
      <c r="AA31" s="28"/>
      <c r="AB31" s="4"/>
      <c r="AC31" s="4"/>
      <c r="AD31" s="8"/>
    </row>
    <row r="32" spans="1:30" ht="15.75">
      <c r="A32" s="4"/>
      <c r="B32" s="239"/>
      <c r="C32" s="239"/>
      <c r="D32" s="239"/>
      <c r="E32" s="239"/>
      <c r="F32" s="239"/>
      <c r="G32" s="239"/>
      <c r="H32" s="239"/>
      <c r="I32" s="35"/>
      <c r="J32" s="11"/>
      <c r="K32" s="1308" t="s">
        <v>11</v>
      </c>
      <c r="L32" s="1268"/>
      <c r="M32" s="1268"/>
      <c r="N32" s="4"/>
      <c r="O32" s="4"/>
      <c r="P32" s="1268" t="s">
        <v>12</v>
      </c>
      <c r="Q32" s="1268"/>
      <c r="R32" s="1268"/>
      <c r="S32" s="1309"/>
      <c r="T32" s="1310"/>
      <c r="U32" s="1310"/>
      <c r="V32" s="1310"/>
      <c r="W32" s="1310"/>
      <c r="X32" s="1310"/>
      <c r="Y32" s="1310"/>
      <c r="Z32" s="1310"/>
      <c r="AA32" s="1310"/>
      <c r="AB32" s="1310"/>
      <c r="AC32" s="1311"/>
      <c r="AD32" s="8"/>
    </row>
    <row r="33" spans="1:42" ht="15.75">
      <c r="A33" s="4"/>
      <c r="B33" s="239"/>
      <c r="C33" s="239"/>
      <c r="D33" s="239"/>
      <c r="E33" s="239"/>
      <c r="F33" s="239"/>
      <c r="G33" s="239"/>
      <c r="H33" s="239"/>
      <c r="I33" s="35"/>
      <c r="J33" s="4"/>
      <c r="K33" s="4"/>
      <c r="L33" s="4"/>
      <c r="M33" s="4"/>
      <c r="N33" s="4"/>
      <c r="O33" s="4"/>
      <c r="P33" s="4"/>
      <c r="Q33" s="4"/>
      <c r="R33" s="4"/>
      <c r="S33" s="4"/>
      <c r="T33" s="4"/>
      <c r="U33" s="29"/>
      <c r="V33" s="4"/>
      <c r="W33" s="4"/>
      <c r="X33" s="4"/>
      <c r="Y33" s="4"/>
      <c r="Z33" s="4"/>
      <c r="AA33" s="4"/>
      <c r="AB33" s="4"/>
      <c r="AC33" s="4"/>
      <c r="AD33" s="8"/>
    </row>
    <row r="34" spans="1:42" ht="15.75">
      <c r="A34" s="4"/>
      <c r="B34" s="1291" t="s">
        <v>1019</v>
      </c>
      <c r="C34" s="1291"/>
      <c r="D34" s="1291"/>
      <c r="E34" s="1291"/>
      <c r="F34" s="1291"/>
      <c r="G34" s="269" t="s">
        <v>13</v>
      </c>
      <c r="H34" s="270"/>
      <c r="I34" s="34" t="s">
        <v>0</v>
      </c>
      <c r="J34" s="1272" t="s">
        <v>332</v>
      </c>
      <c r="K34" s="1273"/>
      <c r="L34" s="1273"/>
      <c r="M34" s="1273"/>
      <c r="N34" s="1273"/>
      <c r="O34" s="1274"/>
      <c r="P34" s="4"/>
      <c r="Q34" s="4"/>
      <c r="R34" s="39" t="s">
        <v>14</v>
      </c>
      <c r="S34" s="1275"/>
      <c r="T34" s="1276"/>
      <c r="U34" s="1276"/>
      <c r="V34" s="1277"/>
      <c r="W34" s="4"/>
      <c r="X34" s="39" t="s">
        <v>788</v>
      </c>
      <c r="Y34" s="4"/>
      <c r="Z34" s="40"/>
      <c r="AA34" s="40"/>
      <c r="AB34" s="1281"/>
      <c r="AC34" s="1282"/>
      <c r="AD34" s="4"/>
    </row>
    <row r="35" spans="1:42" ht="15.75">
      <c r="A35" s="4"/>
      <c r="B35" s="1291"/>
      <c r="C35" s="1291"/>
      <c r="D35" s="1291"/>
      <c r="E35" s="1291"/>
      <c r="F35" s="1291"/>
      <c r="G35" s="269" t="s">
        <v>1043</v>
      </c>
      <c r="H35" s="270"/>
      <c r="I35" s="34" t="s">
        <v>0</v>
      </c>
      <c r="J35" s="1272"/>
      <c r="K35" s="1273"/>
      <c r="L35" s="1273"/>
      <c r="M35" s="1273"/>
      <c r="N35" s="1273"/>
      <c r="O35" s="1274"/>
      <c r="P35" s="4"/>
      <c r="Q35" s="4"/>
      <c r="R35" s="39" t="s">
        <v>14</v>
      </c>
      <c r="S35" s="1275"/>
      <c r="T35" s="1276"/>
      <c r="U35" s="1276"/>
      <c r="V35" s="1277"/>
      <c r="W35" s="4"/>
      <c r="X35" s="39" t="s">
        <v>788</v>
      </c>
      <c r="Y35" s="4"/>
      <c r="Z35" s="40"/>
      <c r="AA35" s="40"/>
      <c r="AB35" s="1281"/>
      <c r="AC35" s="1282"/>
      <c r="AD35" s="4"/>
    </row>
    <row r="36" spans="1:42" ht="15.75">
      <c r="A36" s="4"/>
      <c r="B36" s="199"/>
      <c r="C36" s="199"/>
      <c r="D36" s="199"/>
      <c r="E36" s="199"/>
      <c r="F36" s="199"/>
      <c r="G36" s="34" t="s">
        <v>1044</v>
      </c>
      <c r="H36" s="26"/>
      <c r="I36" s="34" t="s">
        <v>0</v>
      </c>
      <c r="J36" s="1272"/>
      <c r="K36" s="1273"/>
      <c r="L36" s="1273"/>
      <c r="M36" s="1273"/>
      <c r="N36" s="1273"/>
      <c r="O36" s="1274"/>
      <c r="P36" s="4"/>
      <c r="Q36" s="4"/>
      <c r="R36" s="39" t="s">
        <v>14</v>
      </c>
      <c r="S36" s="1275"/>
      <c r="T36" s="1276"/>
      <c r="U36" s="1276"/>
      <c r="V36" s="1277"/>
      <c r="W36" s="4"/>
      <c r="X36" s="39" t="s">
        <v>788</v>
      </c>
      <c r="Y36" s="4"/>
      <c r="Z36" s="40"/>
      <c r="AA36" s="40"/>
      <c r="AB36" s="1281"/>
      <c r="AC36" s="1282"/>
      <c r="AD36" s="4"/>
    </row>
    <row r="37" spans="1:42" ht="15.75">
      <c r="A37" s="4"/>
      <c r="B37" s="199"/>
      <c r="C37" s="199"/>
      <c r="D37" s="199"/>
      <c r="E37" s="199"/>
      <c r="F37" s="199"/>
      <c r="G37" s="34" t="s">
        <v>1045</v>
      </c>
      <c r="H37" s="26"/>
      <c r="I37" s="34" t="s">
        <v>0</v>
      </c>
      <c r="J37" s="1272"/>
      <c r="K37" s="1273"/>
      <c r="L37" s="1273"/>
      <c r="M37" s="1273"/>
      <c r="N37" s="1273"/>
      <c r="O37" s="1274"/>
      <c r="P37" s="4"/>
      <c r="Q37" s="4"/>
      <c r="R37" s="39" t="s">
        <v>14</v>
      </c>
      <c r="S37" s="1275"/>
      <c r="T37" s="1276"/>
      <c r="U37" s="1276"/>
      <c r="V37" s="1277"/>
      <c r="W37" s="4"/>
      <c r="X37" s="39" t="s">
        <v>788</v>
      </c>
      <c r="Y37" s="4"/>
      <c r="Z37" s="40"/>
      <c r="AA37" s="40"/>
      <c r="AB37" s="1281"/>
      <c r="AC37" s="1282"/>
      <c r="AD37" s="4"/>
    </row>
    <row r="38" spans="1:42" ht="15.75">
      <c r="A38" s="4"/>
      <c r="B38" s="26"/>
      <c r="C38" s="4"/>
      <c r="D38" s="4"/>
      <c r="E38" s="4"/>
      <c r="F38" s="4"/>
      <c r="G38" s="34" t="s">
        <v>787</v>
      </c>
      <c r="H38" s="26"/>
      <c r="I38" s="34" t="s">
        <v>0</v>
      </c>
      <c r="J38" s="1278"/>
      <c r="K38" s="1279"/>
      <c r="L38" s="1279"/>
      <c r="M38" s="1279"/>
      <c r="N38" s="1279"/>
      <c r="O38" s="1279"/>
      <c r="P38" s="1279"/>
      <c r="Q38" s="1279"/>
      <c r="R38" s="1279"/>
      <c r="S38" s="1279"/>
      <c r="T38" s="1279"/>
      <c r="U38" s="1279"/>
      <c r="V38" s="1279"/>
      <c r="W38" s="1279"/>
      <c r="X38" s="1279"/>
      <c r="Y38" s="1279"/>
      <c r="Z38" s="1279"/>
      <c r="AA38" s="1279"/>
      <c r="AB38" s="1279"/>
      <c r="AC38" s="1280"/>
      <c r="AD38" s="4"/>
    </row>
    <row r="39" spans="1:42" ht="8.25" customHeight="1">
      <c r="A39" s="4"/>
      <c r="B39" s="26"/>
      <c r="C39" s="4"/>
      <c r="D39" s="4"/>
      <c r="E39" s="4"/>
      <c r="F39" s="4"/>
      <c r="G39" s="34"/>
      <c r="H39" s="26"/>
      <c r="I39" s="5"/>
      <c r="J39" s="41"/>
      <c r="K39" s="41"/>
      <c r="L39" s="41"/>
      <c r="M39" s="41"/>
      <c r="N39" s="41"/>
      <c r="O39" s="41"/>
      <c r="P39" s="41"/>
      <c r="Q39" s="41"/>
      <c r="R39" s="41"/>
      <c r="S39" s="41"/>
      <c r="T39" s="41"/>
      <c r="U39" s="41"/>
      <c r="V39" s="41"/>
      <c r="W39" s="41"/>
      <c r="X39" s="41"/>
      <c r="Y39" s="41"/>
      <c r="Z39" s="41"/>
      <c r="AA39" s="41"/>
      <c r="AB39" s="41"/>
      <c r="AC39" s="41"/>
      <c r="AD39" s="4"/>
    </row>
    <row r="40" spans="1:42" ht="15.75">
      <c r="A40" s="1292" t="s">
        <v>789</v>
      </c>
      <c r="B40" s="1293"/>
      <c r="C40" s="1293"/>
      <c r="D40" s="1293"/>
      <c r="E40" s="1293"/>
      <c r="F40" s="1293"/>
      <c r="G40" s="1293"/>
      <c r="H40" s="1293"/>
      <c r="I40" s="1293"/>
      <c r="J40" s="1293"/>
      <c r="K40" s="1293"/>
      <c r="L40" s="1293"/>
      <c r="M40" s="1293"/>
      <c r="N40" s="1293"/>
      <c r="O40" s="1293"/>
      <c r="P40" s="1293"/>
      <c r="Q40" s="1293"/>
      <c r="R40" s="1293"/>
      <c r="S40" s="1293"/>
      <c r="T40" s="1293"/>
      <c r="U40" s="1293"/>
      <c r="V40" s="1293"/>
      <c r="W40" s="1293"/>
      <c r="X40" s="1293"/>
      <c r="Y40" s="1293"/>
      <c r="Z40" s="1293"/>
      <c r="AA40" s="1293"/>
      <c r="AB40" s="1293"/>
      <c r="AC40" s="1293"/>
      <c r="AD40" s="1294"/>
    </row>
    <row r="41" spans="1:42" s="24" customFormat="1" ht="5.0999999999999996"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row>
    <row r="42" spans="1:42" ht="15.75">
      <c r="A42" s="4"/>
      <c r="B42" s="1283" t="s">
        <v>762</v>
      </c>
      <c r="C42" s="1283"/>
      <c r="D42" s="1283"/>
      <c r="E42" s="1283"/>
      <c r="F42" s="1283"/>
      <c r="G42" s="1283"/>
      <c r="H42" s="1283"/>
      <c r="I42" s="55" t="s">
        <v>0</v>
      </c>
      <c r="J42" s="1305"/>
      <c r="K42" s="1306"/>
      <c r="L42" s="1306"/>
      <c r="M42" s="1306"/>
      <c r="N42" s="1306"/>
      <c r="O42" s="1306"/>
      <c r="P42" s="1306"/>
      <c r="Q42" s="1306"/>
      <c r="R42" s="1306"/>
      <c r="S42" s="1306"/>
      <c r="T42" s="1306"/>
      <c r="U42" s="1306"/>
      <c r="V42" s="1306"/>
      <c r="W42" s="1306"/>
      <c r="X42" s="1306"/>
      <c r="Y42" s="1306"/>
      <c r="Z42" s="1306"/>
      <c r="AA42" s="1306"/>
      <c r="AB42" s="1306"/>
      <c r="AC42" s="1307"/>
      <c r="AD42" s="267"/>
      <c r="AE42" s="252"/>
      <c r="AF42" s="252"/>
      <c r="AG42" s="252"/>
      <c r="AH42" s="252"/>
      <c r="AI42" s="252"/>
      <c r="AJ42" s="252"/>
      <c r="AK42" s="252"/>
      <c r="AL42" s="252"/>
      <c r="AM42" s="252"/>
      <c r="AN42" s="252"/>
      <c r="AO42" s="252"/>
      <c r="AP42" s="252"/>
    </row>
    <row r="43" spans="1:42" ht="9.75" customHeight="1">
      <c r="A43" s="24"/>
      <c r="B43" s="351"/>
      <c r="C43" s="351"/>
      <c r="D43" s="351"/>
      <c r="E43" s="351"/>
      <c r="F43" s="351"/>
      <c r="G43" s="351"/>
      <c r="H43" s="351"/>
      <c r="I43" s="45"/>
      <c r="J43" s="24"/>
      <c r="K43" s="24"/>
      <c r="L43" s="24"/>
      <c r="M43" s="24"/>
      <c r="N43" s="24"/>
      <c r="O43" s="24"/>
      <c r="P43" s="24"/>
      <c r="Q43" s="24"/>
      <c r="R43" s="24"/>
      <c r="S43" s="24"/>
      <c r="T43" s="24"/>
      <c r="U43" s="24"/>
      <c r="V43" s="24"/>
      <c r="W43" s="24"/>
      <c r="X43" s="24"/>
      <c r="Y43" s="24"/>
      <c r="Z43" s="24"/>
      <c r="AA43" s="24"/>
      <c r="AB43" s="24"/>
      <c r="AC43" s="24"/>
      <c r="AD43" s="24"/>
    </row>
    <row r="44" spans="1:42" ht="15.75">
      <c r="A44" s="4"/>
      <c r="B44" s="1283" t="s">
        <v>790</v>
      </c>
      <c r="C44" s="1283"/>
      <c r="D44" s="1283"/>
      <c r="E44" s="1283"/>
      <c r="F44" s="1283"/>
      <c r="G44" s="1283"/>
      <c r="H44" s="1283"/>
      <c r="I44" s="55" t="s">
        <v>0</v>
      </c>
      <c r="J44" s="1305"/>
      <c r="K44" s="1306"/>
      <c r="L44" s="1306"/>
      <c r="M44" s="1306"/>
      <c r="N44" s="1306"/>
      <c r="O44" s="1306"/>
      <c r="P44" s="1306"/>
      <c r="Q44" s="1306"/>
      <c r="R44" s="1306"/>
      <c r="S44" s="1306"/>
      <c r="T44" s="1306"/>
      <c r="U44" s="1306"/>
      <c r="V44" s="1306"/>
      <c r="W44" s="1306"/>
      <c r="X44" s="1306"/>
      <c r="Y44" s="1306"/>
      <c r="Z44" s="1306"/>
      <c r="AA44" s="1306"/>
      <c r="AB44" s="1306"/>
      <c r="AC44" s="1307"/>
      <c r="AD44" s="267"/>
      <c r="AE44" s="1352"/>
      <c r="AF44" s="1352"/>
      <c r="AG44" s="1352"/>
      <c r="AH44" s="1352"/>
      <c r="AI44" s="1352"/>
      <c r="AJ44" s="1352"/>
      <c r="AK44" s="1352"/>
      <c r="AL44" s="1352"/>
      <c r="AM44" s="1352"/>
      <c r="AN44" s="1352"/>
      <c r="AO44" s="1352"/>
      <c r="AP44" s="1352"/>
    </row>
    <row r="45" spans="1:42" ht="10.5" customHeight="1">
      <c r="A45" s="24"/>
      <c r="B45" s="351"/>
      <c r="C45" s="351"/>
      <c r="D45" s="351"/>
      <c r="E45" s="351"/>
      <c r="F45" s="351"/>
      <c r="G45" s="351"/>
      <c r="H45" s="351"/>
      <c r="I45" s="45"/>
      <c r="J45" s="24"/>
      <c r="K45" s="24"/>
      <c r="L45" s="24"/>
      <c r="M45" s="24"/>
      <c r="N45" s="24"/>
      <c r="O45" s="24"/>
      <c r="P45" s="24"/>
      <c r="Q45" s="24"/>
      <c r="R45" s="24"/>
      <c r="S45" s="24"/>
      <c r="T45" s="24"/>
      <c r="U45" s="24"/>
      <c r="V45" s="24"/>
      <c r="W45" s="24"/>
      <c r="X45" s="24"/>
      <c r="Y45" s="24"/>
      <c r="Z45" s="24"/>
      <c r="AA45" s="24"/>
      <c r="AB45" s="24"/>
      <c r="AC45" s="24"/>
      <c r="AD45" s="24"/>
    </row>
    <row r="46" spans="1:42" ht="15.75">
      <c r="A46" s="4"/>
      <c r="B46" s="1283" t="s">
        <v>277</v>
      </c>
      <c r="C46" s="1283"/>
      <c r="D46" s="1283"/>
      <c r="E46" s="1283"/>
      <c r="F46" s="1283"/>
      <c r="G46" s="1283"/>
      <c r="H46" s="1283"/>
      <c r="I46" s="55" t="s">
        <v>0</v>
      </c>
      <c r="J46" s="743"/>
      <c r="K46" s="744"/>
      <c r="L46" s="744"/>
      <c r="M46" s="745"/>
      <c r="N46" s="46"/>
      <c r="O46" s="1284"/>
      <c r="P46" s="1284"/>
      <c r="Q46" s="1284"/>
      <c r="R46" s="47"/>
      <c r="S46" s="47"/>
      <c r="T46" s="47"/>
      <c r="U46" s="47"/>
      <c r="V46" s="47"/>
      <c r="W46" s="47"/>
      <c r="X46" s="47"/>
      <c r="Y46" s="47"/>
      <c r="Z46" s="47"/>
      <c r="AA46" s="47"/>
      <c r="AB46" s="47"/>
      <c r="AC46" s="47"/>
      <c r="AD46" s="4"/>
    </row>
    <row r="47" spans="1:42" ht="15.75">
      <c r="A47" s="4"/>
      <c r="B47" s="269"/>
      <c r="C47" s="268"/>
      <c r="D47" s="268"/>
      <c r="E47" s="268"/>
      <c r="F47" s="268"/>
      <c r="G47" s="268"/>
      <c r="H47" s="268"/>
      <c r="I47" s="34"/>
      <c r="J47" s="26"/>
      <c r="K47" s="26"/>
      <c r="L47" s="26"/>
      <c r="M47" s="26"/>
      <c r="N47" s="26"/>
      <c r="O47" s="26"/>
      <c r="P47" s="26"/>
      <c r="Q47" s="26"/>
      <c r="R47" s="26"/>
      <c r="S47" s="26"/>
      <c r="T47" s="26"/>
      <c r="U47" s="26"/>
      <c r="V47" s="26"/>
      <c r="W47" s="26"/>
      <c r="X47" s="26"/>
      <c r="Y47" s="26"/>
      <c r="Z47" s="26"/>
      <c r="AA47" s="26"/>
      <c r="AB47" s="26"/>
      <c r="AC47" s="4"/>
      <c r="AD47" s="4"/>
    </row>
    <row r="48" spans="1:42" ht="15.75">
      <c r="A48" s="4"/>
      <c r="B48" s="1264" t="s">
        <v>321</v>
      </c>
      <c r="C48" s="1264"/>
      <c r="D48" s="1264"/>
      <c r="E48" s="1264"/>
      <c r="F48" s="1264"/>
      <c r="G48" s="1264"/>
      <c r="H48" s="1264"/>
      <c r="I48" s="34" t="s">
        <v>0</v>
      </c>
      <c r="J48" s="1318"/>
      <c r="K48" s="1319"/>
      <c r="L48" s="1319"/>
      <c r="M48" s="1319"/>
      <c r="N48" s="1319"/>
      <c r="O48" s="1319"/>
      <c r="P48" s="1319"/>
      <c r="Q48" s="1319"/>
      <c r="R48" s="1319"/>
      <c r="S48" s="1319"/>
      <c r="T48" s="1319"/>
      <c r="U48" s="1319"/>
      <c r="V48" s="1319"/>
      <c r="W48" s="1319"/>
      <c r="X48" s="1319"/>
      <c r="Y48" s="1319"/>
      <c r="Z48" s="1319"/>
      <c r="AA48" s="1319"/>
      <c r="AB48" s="1319"/>
      <c r="AC48" s="1320"/>
      <c r="AD48" s="4"/>
    </row>
    <row r="49" spans="1:30" ht="15.75">
      <c r="A49" s="4"/>
      <c r="B49" s="1264" t="s">
        <v>792</v>
      </c>
      <c r="C49" s="1264"/>
      <c r="D49" s="1264"/>
      <c r="E49" s="1264"/>
      <c r="F49" s="1264"/>
      <c r="G49" s="1264"/>
      <c r="H49" s="1264"/>
      <c r="I49" s="35"/>
      <c r="J49" s="1321"/>
      <c r="K49" s="1322"/>
      <c r="L49" s="1322"/>
      <c r="M49" s="1322"/>
      <c r="N49" s="1322"/>
      <c r="O49" s="1322"/>
      <c r="P49" s="1322"/>
      <c r="Q49" s="1322"/>
      <c r="R49" s="1322"/>
      <c r="S49" s="1322"/>
      <c r="T49" s="1322"/>
      <c r="U49" s="1322"/>
      <c r="V49" s="1322"/>
      <c r="W49" s="1322"/>
      <c r="X49" s="1322"/>
      <c r="Y49" s="1322"/>
      <c r="Z49" s="1322"/>
      <c r="AA49" s="1322"/>
      <c r="AB49" s="1322"/>
      <c r="AC49" s="1323"/>
      <c r="AD49" s="4"/>
    </row>
    <row r="50" spans="1:30" ht="15.75">
      <c r="A50" s="4"/>
      <c r="B50" s="268"/>
      <c r="C50" s="268"/>
      <c r="D50" s="268"/>
      <c r="E50" s="268"/>
      <c r="F50" s="268"/>
      <c r="G50" s="268"/>
      <c r="H50" s="268"/>
      <c r="I50" s="35"/>
      <c r="J50" s="43"/>
      <c r="K50" s="43"/>
      <c r="L50" s="43"/>
      <c r="M50" s="43"/>
      <c r="N50" s="43"/>
      <c r="O50" s="43"/>
      <c r="P50" s="43"/>
      <c r="Q50" s="43"/>
      <c r="R50" s="43"/>
      <c r="S50" s="43"/>
      <c r="T50" s="43"/>
      <c r="U50" s="44"/>
      <c r="V50" s="44"/>
      <c r="W50" s="44"/>
      <c r="X50" s="44"/>
      <c r="Y50" s="44"/>
      <c r="Z50" s="44"/>
      <c r="AA50" s="44"/>
      <c r="AB50" s="44"/>
      <c r="AC50" s="44"/>
      <c r="AD50" s="4"/>
    </row>
    <row r="51" spans="1:30" ht="15.75">
      <c r="A51" s="4"/>
      <c r="B51" s="1264" t="s">
        <v>321</v>
      </c>
      <c r="C51" s="1264"/>
      <c r="D51" s="1264"/>
      <c r="E51" s="1264"/>
      <c r="F51" s="1264"/>
      <c r="G51" s="1264"/>
      <c r="H51" s="1264"/>
      <c r="I51" s="34" t="s">
        <v>0</v>
      </c>
      <c r="J51" s="1318" t="s">
        <v>1305</v>
      </c>
      <c r="K51" s="1319"/>
      <c r="L51" s="1319"/>
      <c r="M51" s="1319"/>
      <c r="N51" s="1319"/>
      <c r="O51" s="1319"/>
      <c r="P51" s="1319"/>
      <c r="Q51" s="1319"/>
      <c r="R51" s="1319"/>
      <c r="S51" s="1319"/>
      <c r="T51" s="1319"/>
      <c r="U51" s="1319"/>
      <c r="V51" s="1319"/>
      <c r="W51" s="1319"/>
      <c r="X51" s="1319"/>
      <c r="Y51" s="1319"/>
      <c r="Z51" s="1319"/>
      <c r="AA51" s="1319"/>
      <c r="AB51" s="1319"/>
      <c r="AC51" s="1320"/>
      <c r="AD51" s="4"/>
    </row>
    <row r="52" spans="1:30" ht="15.75">
      <c r="A52" s="4"/>
      <c r="B52" s="1264" t="s">
        <v>793</v>
      </c>
      <c r="C52" s="1264"/>
      <c r="D52" s="1264"/>
      <c r="E52" s="1264"/>
      <c r="F52" s="1264"/>
      <c r="G52" s="1264"/>
      <c r="H52" s="1264"/>
      <c r="I52" s="35"/>
      <c r="J52" s="1321"/>
      <c r="K52" s="1322"/>
      <c r="L52" s="1322"/>
      <c r="M52" s="1322"/>
      <c r="N52" s="1322"/>
      <c r="O52" s="1322"/>
      <c r="P52" s="1322"/>
      <c r="Q52" s="1322"/>
      <c r="R52" s="1322"/>
      <c r="S52" s="1322"/>
      <c r="T52" s="1322"/>
      <c r="U52" s="1322"/>
      <c r="V52" s="1322"/>
      <c r="W52" s="1322"/>
      <c r="X52" s="1322"/>
      <c r="Y52" s="1322"/>
      <c r="Z52" s="1322"/>
      <c r="AA52" s="1322"/>
      <c r="AB52" s="1322"/>
      <c r="AC52" s="1323"/>
      <c r="AD52" s="4"/>
    </row>
    <row r="53" spans="1:30" ht="15.75">
      <c r="A53" s="4"/>
      <c r="B53" s="268"/>
      <c r="C53" s="268"/>
      <c r="D53" s="268"/>
      <c r="E53" s="268"/>
      <c r="F53" s="268"/>
      <c r="G53" s="268"/>
      <c r="H53" s="268"/>
      <c r="I53" s="35"/>
      <c r="J53" s="43"/>
      <c r="K53" s="43"/>
      <c r="L53" s="43"/>
      <c r="M53" s="43"/>
      <c r="N53" s="43"/>
      <c r="O53" s="43"/>
      <c r="P53" s="43"/>
      <c r="Q53" s="43"/>
      <c r="R53" s="43"/>
      <c r="S53" s="43"/>
      <c r="T53" s="43"/>
      <c r="U53" s="44"/>
      <c r="V53" s="44"/>
      <c r="W53" s="44"/>
      <c r="X53" s="44"/>
      <c r="Y53" s="44"/>
      <c r="Z53" s="44"/>
      <c r="AA53" s="44"/>
      <c r="AB53" s="44"/>
      <c r="AC53" s="44"/>
      <c r="AD53" s="4"/>
    </row>
    <row r="54" spans="1:30" ht="15.75">
      <c r="A54" s="4"/>
      <c r="B54" s="1264" t="s">
        <v>321</v>
      </c>
      <c r="C54" s="1264"/>
      <c r="D54" s="1264"/>
      <c r="E54" s="1264"/>
      <c r="F54" s="1264"/>
      <c r="G54" s="1264"/>
      <c r="H54" s="1264"/>
      <c r="I54" s="34" t="s">
        <v>0</v>
      </c>
      <c r="J54" s="1318"/>
      <c r="K54" s="1319"/>
      <c r="L54" s="1319"/>
      <c r="M54" s="1319"/>
      <c r="N54" s="1319"/>
      <c r="O54" s="1319"/>
      <c r="P54" s="1319"/>
      <c r="Q54" s="1319"/>
      <c r="R54" s="1319"/>
      <c r="S54" s="1319"/>
      <c r="T54" s="1319"/>
      <c r="U54" s="1319"/>
      <c r="V54" s="1319"/>
      <c r="W54" s="1319"/>
      <c r="X54" s="1319"/>
      <c r="Y54" s="1319"/>
      <c r="Z54" s="1319"/>
      <c r="AA54" s="1319"/>
      <c r="AB54" s="1319"/>
      <c r="AC54" s="1320"/>
      <c r="AD54" s="4"/>
    </row>
    <row r="55" spans="1:30" ht="15.75">
      <c r="A55" s="4"/>
      <c r="B55" s="1264" t="s">
        <v>794</v>
      </c>
      <c r="C55" s="1264"/>
      <c r="D55" s="1264"/>
      <c r="E55" s="1264"/>
      <c r="F55" s="1264"/>
      <c r="G55" s="1264"/>
      <c r="H55" s="1264"/>
      <c r="I55" s="35"/>
      <c r="J55" s="1321"/>
      <c r="K55" s="1322"/>
      <c r="L55" s="1322"/>
      <c r="M55" s="1322"/>
      <c r="N55" s="1322"/>
      <c r="O55" s="1322"/>
      <c r="P55" s="1322"/>
      <c r="Q55" s="1322"/>
      <c r="R55" s="1322"/>
      <c r="S55" s="1322"/>
      <c r="T55" s="1322"/>
      <c r="U55" s="1322"/>
      <c r="V55" s="1322"/>
      <c r="W55" s="1322"/>
      <c r="X55" s="1322"/>
      <c r="Y55" s="1322"/>
      <c r="Z55" s="1322"/>
      <c r="AA55" s="1322"/>
      <c r="AB55" s="1322"/>
      <c r="AC55" s="1323"/>
      <c r="AD55" s="4"/>
    </row>
    <row r="56" spans="1:30" ht="5.0999999999999996" customHeight="1">
      <c r="A56" s="4"/>
      <c r="B56" s="34"/>
      <c r="C56" s="34"/>
      <c r="D56" s="34"/>
      <c r="E56" s="34"/>
      <c r="F56" s="34"/>
      <c r="G56" s="34"/>
      <c r="H56" s="34"/>
      <c r="I56" s="35"/>
      <c r="J56" s="49"/>
      <c r="K56" s="49"/>
      <c r="L56" s="49"/>
      <c r="M56" s="49"/>
      <c r="N56" s="49"/>
      <c r="O56" s="49"/>
      <c r="P56" s="49"/>
      <c r="Q56" s="49"/>
      <c r="R56" s="49"/>
      <c r="S56" s="49"/>
      <c r="T56" s="49"/>
      <c r="U56" s="49"/>
      <c r="V56" s="49"/>
      <c r="W56" s="49"/>
      <c r="X56" s="49"/>
      <c r="Y56" s="49"/>
      <c r="Z56" s="49"/>
      <c r="AA56" s="49"/>
      <c r="AB56" s="49"/>
      <c r="AC56" s="49"/>
      <c r="AD56" s="4"/>
    </row>
    <row r="57" spans="1:30" ht="15.75">
      <c r="A57" s="1292" t="s">
        <v>799</v>
      </c>
      <c r="B57" s="1293"/>
      <c r="C57" s="1293"/>
      <c r="D57" s="1293"/>
      <c r="E57" s="1293"/>
      <c r="F57" s="1293"/>
      <c r="G57" s="1293"/>
      <c r="H57" s="1293"/>
      <c r="I57" s="1293"/>
      <c r="J57" s="1293"/>
      <c r="K57" s="1293"/>
      <c r="L57" s="1293"/>
      <c r="M57" s="1293"/>
      <c r="N57" s="1293"/>
      <c r="O57" s="1293"/>
      <c r="P57" s="1293"/>
      <c r="Q57" s="1293"/>
      <c r="R57" s="1293"/>
      <c r="S57" s="1293"/>
      <c r="T57" s="1293"/>
      <c r="U57" s="1293"/>
      <c r="V57" s="1293"/>
      <c r="W57" s="1293"/>
      <c r="X57" s="1293"/>
      <c r="Y57" s="1293"/>
      <c r="Z57" s="1293"/>
      <c r="AA57" s="1293"/>
      <c r="AB57" s="1293"/>
      <c r="AC57" s="1293"/>
      <c r="AD57" s="1294"/>
    </row>
    <row r="58" spans="1:30" s="24" customFormat="1" ht="5.0999999999999996"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row>
    <row r="59" spans="1:30" ht="15.75">
      <c r="A59" s="4"/>
      <c r="B59" s="1264" t="s">
        <v>800</v>
      </c>
      <c r="C59" s="1264"/>
      <c r="D59" s="1264"/>
      <c r="E59" s="1264"/>
      <c r="F59" s="1264"/>
      <c r="G59" s="1264"/>
      <c r="H59" s="1264"/>
      <c r="I59" s="268"/>
      <c r="J59" s="1324"/>
      <c r="K59" s="1324"/>
      <c r="L59" s="1324"/>
      <c r="M59" s="1324"/>
      <c r="N59" s="1324"/>
      <c r="O59" s="4"/>
      <c r="P59" s="4"/>
      <c r="Q59" s="4"/>
      <c r="R59" s="4"/>
      <c r="S59" s="4"/>
      <c r="T59" s="4"/>
      <c r="U59" s="4"/>
      <c r="V59" s="4"/>
      <c r="W59" s="4"/>
      <c r="X59" s="4"/>
      <c r="Y59" s="4"/>
      <c r="Z59" s="4"/>
      <c r="AA59" s="4"/>
      <c r="AB59" s="4"/>
      <c r="AC59" s="4"/>
      <c r="AD59" s="4"/>
    </row>
    <row r="60" spans="1:30" ht="15.75">
      <c r="A60" s="4"/>
      <c r="B60" s="1325" t="s">
        <v>16</v>
      </c>
      <c r="C60" s="1325"/>
      <c r="D60" s="1325"/>
      <c r="E60" s="1325"/>
      <c r="F60" s="1325"/>
      <c r="G60" s="1325"/>
      <c r="H60" s="1325"/>
      <c r="I60" s="269" t="s">
        <v>0</v>
      </c>
      <c r="J60" s="1326"/>
      <c r="K60" s="1326"/>
      <c r="L60" s="1326"/>
      <c r="M60" s="1326"/>
      <c r="N60" s="1326"/>
      <c r="O60" s="4"/>
      <c r="P60" s="4"/>
      <c r="Q60" s="34" t="s">
        <v>17</v>
      </c>
      <c r="R60" s="35"/>
      <c r="S60" s="4"/>
      <c r="T60" s="4"/>
      <c r="U60" s="4"/>
      <c r="V60" s="4"/>
      <c r="W60" s="4"/>
      <c r="X60" s="34" t="s">
        <v>0</v>
      </c>
      <c r="Y60" s="1328"/>
      <c r="Z60" s="1328"/>
      <c r="AA60" s="1328"/>
      <c r="AB60" s="1328"/>
      <c r="AC60" s="1328"/>
      <c r="AD60" s="4"/>
    </row>
    <row r="61" spans="1:30" ht="15.75">
      <c r="A61" s="4"/>
      <c r="B61" s="1325" t="s">
        <v>18</v>
      </c>
      <c r="C61" s="1325"/>
      <c r="D61" s="1325"/>
      <c r="E61" s="1325"/>
      <c r="F61" s="1325"/>
      <c r="G61" s="1325"/>
      <c r="H61" s="1325"/>
      <c r="I61" s="269" t="s">
        <v>0</v>
      </c>
      <c r="J61" s="1326"/>
      <c r="K61" s="1326"/>
      <c r="L61" s="1326"/>
      <c r="M61" s="1326"/>
      <c r="N61" s="1326"/>
      <c r="O61" s="4"/>
      <c r="P61" s="4"/>
      <c r="Q61" s="34" t="s">
        <v>19</v>
      </c>
      <c r="R61" s="35"/>
      <c r="S61" s="4"/>
      <c r="T61" s="4"/>
      <c r="U61" s="4"/>
      <c r="V61" s="4"/>
      <c r="W61" s="4"/>
      <c r="X61" s="34" t="s">
        <v>0</v>
      </c>
      <c r="Y61" s="1327"/>
      <c r="Z61" s="1327"/>
      <c r="AA61" s="1327"/>
      <c r="AB61" s="1327"/>
      <c r="AC61" s="1327"/>
      <c r="AD61" s="4"/>
    </row>
    <row r="62" spans="1:30" ht="15.75">
      <c r="A62" s="4"/>
      <c r="B62" s="1325" t="s">
        <v>20</v>
      </c>
      <c r="C62" s="1325"/>
      <c r="D62" s="1325"/>
      <c r="E62" s="1325"/>
      <c r="F62" s="1325"/>
      <c r="G62" s="1325"/>
      <c r="H62" s="1325"/>
      <c r="I62" s="269" t="s">
        <v>0</v>
      </c>
      <c r="J62" s="1326"/>
      <c r="K62" s="1326"/>
      <c r="L62" s="1326"/>
      <c r="M62" s="1326"/>
      <c r="N62" s="1326"/>
      <c r="O62" s="4"/>
      <c r="P62" s="4"/>
      <c r="Q62" s="34" t="s">
        <v>21</v>
      </c>
      <c r="R62" s="35"/>
      <c r="S62" s="4"/>
      <c r="T62" s="4"/>
      <c r="U62" s="4"/>
      <c r="V62" s="4"/>
      <c r="W62" s="4"/>
      <c r="X62" s="34" t="s">
        <v>0</v>
      </c>
      <c r="Y62" s="1328"/>
      <c r="Z62" s="1328"/>
      <c r="AA62" s="1328"/>
      <c r="AB62" s="1328"/>
      <c r="AC62" s="1328"/>
      <c r="AD62" s="4"/>
    </row>
    <row r="63" spans="1:30" ht="15.75">
      <c r="A63" s="4"/>
      <c r="B63" s="1325" t="s">
        <v>22</v>
      </c>
      <c r="C63" s="1325"/>
      <c r="D63" s="1325"/>
      <c r="E63" s="1325"/>
      <c r="F63" s="1325"/>
      <c r="G63" s="1325"/>
      <c r="H63" s="1325"/>
      <c r="I63" s="269" t="s">
        <v>0</v>
      </c>
      <c r="J63" s="1326"/>
      <c r="K63" s="1326"/>
      <c r="L63" s="1326"/>
      <c r="M63" s="1326"/>
      <c r="N63" s="1326"/>
      <c r="O63" s="4"/>
      <c r="P63" s="4"/>
      <c r="Q63" s="34" t="s">
        <v>23</v>
      </c>
      <c r="R63" s="35"/>
      <c r="S63" s="4"/>
      <c r="T63" s="4"/>
      <c r="U63" s="4"/>
      <c r="V63" s="4"/>
      <c r="W63" s="4"/>
      <c r="X63" s="34" t="s">
        <v>0</v>
      </c>
      <c r="Y63" s="1328"/>
      <c r="Z63" s="1328"/>
      <c r="AA63" s="1328"/>
      <c r="AB63" s="1328"/>
      <c r="AC63" s="1328"/>
      <c r="AD63" s="4"/>
    </row>
    <row r="64" spans="1:30" ht="15.75">
      <c r="A64" s="4"/>
      <c r="B64" s="1325" t="s">
        <v>24</v>
      </c>
      <c r="C64" s="1325"/>
      <c r="D64" s="1325"/>
      <c r="E64" s="1325"/>
      <c r="F64" s="1325"/>
      <c r="G64" s="1325"/>
      <c r="H64" s="1325"/>
      <c r="I64" s="269" t="s">
        <v>0</v>
      </c>
      <c r="J64" s="1326"/>
      <c r="K64" s="1326"/>
      <c r="L64" s="1326"/>
      <c r="M64" s="1326"/>
      <c r="N64" s="1326"/>
      <c r="O64" s="4"/>
      <c r="P64" s="4"/>
      <c r="Q64" s="34" t="s">
        <v>25</v>
      </c>
      <c r="R64" s="35"/>
      <c r="S64" s="4"/>
      <c r="T64" s="4"/>
      <c r="U64" s="4"/>
      <c r="V64" s="4"/>
      <c r="W64" s="4"/>
      <c r="X64" s="34" t="s">
        <v>0</v>
      </c>
      <c r="Y64" s="1328"/>
      <c r="Z64" s="1328"/>
      <c r="AA64" s="1328"/>
      <c r="AB64" s="1328"/>
      <c r="AC64" s="1328"/>
      <c r="AD64" s="4"/>
    </row>
    <row r="65" spans="1:30" ht="15.75">
      <c r="A65" s="4"/>
      <c r="B65" s="344"/>
      <c r="C65" s="239"/>
      <c r="D65" s="239"/>
      <c r="E65" s="239"/>
      <c r="F65" s="239"/>
      <c r="G65" s="239"/>
      <c r="H65" s="239"/>
      <c r="I65" s="268"/>
      <c r="J65" s="4"/>
      <c r="K65" s="4"/>
      <c r="L65" s="8"/>
      <c r="M65" s="4"/>
      <c r="N65" s="4"/>
      <c r="O65" s="4"/>
      <c r="P65" s="4"/>
      <c r="Q65" s="4"/>
      <c r="R65" s="4"/>
      <c r="S65" s="4"/>
      <c r="T65" s="4"/>
      <c r="U65" s="4"/>
      <c r="V65" s="4"/>
      <c r="W65" s="4"/>
      <c r="X65" s="35"/>
      <c r="Y65" s="4"/>
      <c r="Z65" s="4"/>
      <c r="AA65" s="4"/>
      <c r="AB65" s="4"/>
      <c r="AC65" s="4"/>
      <c r="AD65" s="4"/>
    </row>
    <row r="66" spans="1:30" ht="15.75">
      <c r="A66" s="4"/>
      <c r="B66" s="1264" t="s">
        <v>801</v>
      </c>
      <c r="C66" s="1264"/>
      <c r="D66" s="1264"/>
      <c r="E66" s="1264"/>
      <c r="F66" s="1264"/>
      <c r="G66" s="1264"/>
      <c r="H66" s="1264"/>
      <c r="I66" s="268"/>
      <c r="J66" s="1329" t="s">
        <v>26</v>
      </c>
      <c r="K66" s="1329"/>
      <c r="L66" s="1329"/>
      <c r="M66" s="1329"/>
      <c r="N66" s="1329"/>
      <c r="O66" s="4"/>
      <c r="P66" s="4"/>
      <c r="Q66" s="26"/>
      <c r="R66" s="26"/>
      <c r="S66" s="26"/>
      <c r="T66" s="26"/>
      <c r="U66" s="4"/>
      <c r="V66" s="4"/>
      <c r="W66" s="4"/>
      <c r="X66" s="35"/>
      <c r="Y66" s="763" t="s">
        <v>26</v>
      </c>
      <c r="Z66" s="763"/>
      <c r="AA66" s="763"/>
      <c r="AB66" s="763"/>
      <c r="AC66" s="763"/>
      <c r="AD66" s="4"/>
    </row>
    <row r="67" spans="1:30" ht="15.75">
      <c r="A67" s="4"/>
      <c r="B67" s="1325" t="s">
        <v>27</v>
      </c>
      <c r="C67" s="1325"/>
      <c r="D67" s="1325"/>
      <c r="E67" s="1325"/>
      <c r="F67" s="1325"/>
      <c r="G67" s="1325"/>
      <c r="H67" s="1325"/>
      <c r="I67" s="269" t="s">
        <v>0</v>
      </c>
      <c r="J67" s="1328"/>
      <c r="K67" s="1328"/>
      <c r="L67" s="1328"/>
      <c r="M67" s="1328"/>
      <c r="N67" s="1328"/>
      <c r="O67" s="4"/>
      <c r="P67" s="4"/>
      <c r="Q67" s="34" t="s">
        <v>28</v>
      </c>
      <c r="R67" s="34"/>
      <c r="S67" s="34"/>
      <c r="T67" s="34"/>
      <c r="U67" s="35"/>
      <c r="V67" s="35"/>
      <c r="W67" s="35"/>
      <c r="X67" s="34" t="s">
        <v>0</v>
      </c>
      <c r="Y67" s="1328"/>
      <c r="Z67" s="1328"/>
      <c r="AA67" s="1328"/>
      <c r="AB67" s="1328"/>
      <c r="AC67" s="1328"/>
      <c r="AD67" s="4"/>
    </row>
    <row r="68" spans="1:30" ht="15.75">
      <c r="A68" s="4"/>
      <c r="B68" s="1325" t="s">
        <v>29</v>
      </c>
      <c r="C68" s="1325"/>
      <c r="D68" s="1325"/>
      <c r="E68" s="1325"/>
      <c r="F68" s="1325"/>
      <c r="G68" s="1325"/>
      <c r="H68" s="1325"/>
      <c r="I68" s="269" t="s">
        <v>0</v>
      </c>
      <c r="J68" s="1328"/>
      <c r="K68" s="1328"/>
      <c r="L68" s="1328"/>
      <c r="M68" s="1328"/>
      <c r="N68" s="1328"/>
      <c r="O68" s="4"/>
      <c r="P68" s="4"/>
      <c r="Q68" s="34" t="s">
        <v>30</v>
      </c>
      <c r="R68" s="34"/>
      <c r="S68" s="34"/>
      <c r="T68" s="34"/>
      <c r="U68" s="35"/>
      <c r="V68" s="35"/>
      <c r="W68" s="35"/>
      <c r="X68" s="34" t="s">
        <v>0</v>
      </c>
      <c r="Y68" s="1328"/>
      <c r="Z68" s="1328"/>
      <c r="AA68" s="1328"/>
      <c r="AB68" s="1328"/>
      <c r="AC68" s="1328"/>
      <c r="AD68" s="4"/>
    </row>
    <row r="69" spans="1:30" ht="15.75">
      <c r="A69" s="4"/>
      <c r="B69" s="1325" t="s">
        <v>31</v>
      </c>
      <c r="C69" s="1325"/>
      <c r="D69" s="1325"/>
      <c r="E69" s="1325"/>
      <c r="F69" s="1325"/>
      <c r="G69" s="1325"/>
      <c r="H69" s="1325"/>
      <c r="I69" s="269" t="s">
        <v>0</v>
      </c>
      <c r="J69" s="1328"/>
      <c r="K69" s="1328"/>
      <c r="L69" s="1328"/>
      <c r="M69" s="1328"/>
      <c r="N69" s="1328"/>
      <c r="O69" s="4"/>
      <c r="P69" s="4"/>
      <c r="Q69" s="34" t="s">
        <v>32</v>
      </c>
      <c r="R69" s="34"/>
      <c r="S69" s="34"/>
      <c r="T69" s="34"/>
      <c r="U69" s="35"/>
      <c r="V69" s="35"/>
      <c r="W69" s="35"/>
      <c r="X69" s="34" t="s">
        <v>0</v>
      </c>
      <c r="Y69" s="1328"/>
      <c r="Z69" s="1328"/>
      <c r="AA69" s="1328"/>
      <c r="AB69" s="1328"/>
      <c r="AC69" s="1328"/>
      <c r="AD69" s="4"/>
    </row>
    <row r="70" spans="1:30" ht="9.75" customHeight="1">
      <c r="A70" s="4"/>
      <c r="B70" s="239"/>
      <c r="C70" s="239"/>
      <c r="D70" s="239"/>
      <c r="E70" s="239"/>
      <c r="F70" s="239"/>
      <c r="G70" s="239"/>
      <c r="H70" s="239"/>
      <c r="I70" s="239"/>
      <c r="J70" s="4"/>
      <c r="K70" s="4"/>
      <c r="L70" s="4"/>
      <c r="M70" s="4"/>
      <c r="N70" s="4"/>
      <c r="O70" s="4"/>
      <c r="P70" s="4"/>
      <c r="Q70" s="4"/>
      <c r="R70" s="4"/>
      <c r="S70" s="4"/>
      <c r="T70" s="4"/>
      <c r="U70" s="4"/>
      <c r="V70" s="4"/>
      <c r="W70" s="4"/>
      <c r="X70" s="4"/>
      <c r="Y70" s="4"/>
      <c r="Z70" s="4"/>
      <c r="AA70" s="4"/>
      <c r="AB70" s="4"/>
      <c r="AC70" s="4"/>
      <c r="AD70" s="4"/>
    </row>
    <row r="71" spans="1:30" ht="15.75">
      <c r="A71" s="4"/>
      <c r="B71" s="1264" t="s">
        <v>802</v>
      </c>
      <c r="C71" s="1264"/>
      <c r="D71" s="1264"/>
      <c r="E71" s="1264"/>
      <c r="F71" s="1264"/>
      <c r="G71" s="1264"/>
      <c r="H71" s="1264"/>
      <c r="I71" s="1264"/>
      <c r="J71" s="1329" t="s">
        <v>33</v>
      </c>
      <c r="K71" s="1329"/>
      <c r="L71" s="1329"/>
      <c r="M71" s="1329"/>
      <c r="N71" s="1329"/>
      <c r="O71" s="35"/>
      <c r="P71" s="35"/>
      <c r="Q71" s="1329" t="s">
        <v>34</v>
      </c>
      <c r="R71" s="1329"/>
      <c r="S71" s="1329"/>
      <c r="T71" s="1329"/>
      <c r="U71" s="1329"/>
      <c r="V71" s="1329"/>
      <c r="W71" s="35"/>
      <c r="X71" s="35"/>
      <c r="Y71" s="763" t="s">
        <v>25</v>
      </c>
      <c r="Z71" s="763"/>
      <c r="AA71" s="763"/>
      <c r="AB71" s="763"/>
      <c r="AC71" s="763"/>
      <c r="AD71" s="4"/>
    </row>
    <row r="72" spans="1:30" ht="15.75">
      <c r="A72" s="4"/>
      <c r="B72" s="1325" t="s">
        <v>1255</v>
      </c>
      <c r="C72" s="1325"/>
      <c r="D72" s="1325"/>
      <c r="E72" s="1325"/>
      <c r="F72" s="1325"/>
      <c r="G72" s="1325"/>
      <c r="H72" s="1325"/>
      <c r="I72" s="269" t="s">
        <v>0</v>
      </c>
      <c r="J72" s="1328" t="s">
        <v>343</v>
      </c>
      <c r="K72" s="1328"/>
      <c r="L72" s="1328"/>
      <c r="M72" s="1328"/>
      <c r="N72" s="1328"/>
      <c r="O72" s="4"/>
      <c r="P72" s="4"/>
      <c r="Q72" s="1328" t="s">
        <v>447</v>
      </c>
      <c r="R72" s="1328"/>
      <c r="S72" s="1328"/>
      <c r="T72" s="1328"/>
      <c r="U72" s="1328"/>
      <c r="V72" s="1328"/>
      <c r="W72" s="4"/>
      <c r="X72" s="4"/>
      <c r="Y72" s="1328" t="s">
        <v>390</v>
      </c>
      <c r="Z72" s="1328"/>
      <c r="AA72" s="1328"/>
      <c r="AB72" s="1328"/>
      <c r="AC72" s="1328"/>
      <c r="AD72" s="4"/>
    </row>
    <row r="73" spans="1:30" ht="15.75">
      <c r="A73" s="4"/>
      <c r="B73" s="1325" t="s">
        <v>35</v>
      </c>
      <c r="C73" s="1325"/>
      <c r="D73" s="1325"/>
      <c r="E73" s="1325"/>
      <c r="F73" s="1325"/>
      <c r="G73" s="1325"/>
      <c r="H73" s="1325"/>
      <c r="I73" s="269" t="s">
        <v>0</v>
      </c>
      <c r="J73" s="1328" t="s">
        <v>343</v>
      </c>
      <c r="K73" s="1328"/>
      <c r="L73" s="1328"/>
      <c r="M73" s="1328"/>
      <c r="N73" s="1328"/>
      <c r="O73" s="4"/>
      <c r="P73" s="4"/>
      <c r="Q73" s="1328" t="s">
        <v>447</v>
      </c>
      <c r="R73" s="1328"/>
      <c r="S73" s="1328"/>
      <c r="T73" s="1328"/>
      <c r="U73" s="1328"/>
      <c r="V73" s="1328"/>
      <c r="W73" s="4"/>
      <c r="X73" s="4"/>
      <c r="Y73" s="1328" t="s">
        <v>390</v>
      </c>
      <c r="Z73" s="1328"/>
      <c r="AA73" s="1328"/>
      <c r="AB73" s="1328"/>
      <c r="AC73" s="1328"/>
      <c r="AD73" s="4"/>
    </row>
    <row r="74" spans="1:30" ht="15.75">
      <c r="A74" s="4"/>
      <c r="B74" s="1325" t="s">
        <v>36</v>
      </c>
      <c r="C74" s="1325"/>
      <c r="D74" s="1325"/>
      <c r="E74" s="1325"/>
      <c r="F74" s="1325"/>
      <c r="G74" s="1325"/>
      <c r="H74" s="1325"/>
      <c r="I74" s="269" t="s">
        <v>0</v>
      </c>
      <c r="J74" s="1328" t="s">
        <v>343</v>
      </c>
      <c r="K74" s="1328"/>
      <c r="L74" s="1328"/>
      <c r="M74" s="1328"/>
      <c r="N74" s="1328"/>
      <c r="O74" s="4"/>
      <c r="P74" s="4"/>
      <c r="Q74" s="1328" t="s">
        <v>447</v>
      </c>
      <c r="R74" s="1328"/>
      <c r="S74" s="1328"/>
      <c r="T74" s="1328"/>
      <c r="U74" s="1328"/>
      <c r="V74" s="1328"/>
      <c r="W74" s="4"/>
      <c r="X74" s="4"/>
      <c r="Y74" s="1328" t="s">
        <v>390</v>
      </c>
      <c r="Z74" s="1328"/>
      <c r="AA74" s="1328"/>
      <c r="AB74" s="1328"/>
      <c r="AC74" s="1328"/>
      <c r="AD74" s="4"/>
    </row>
    <row r="75" spans="1:30" ht="15.75">
      <c r="A75" s="4"/>
      <c r="B75" s="1325" t="s">
        <v>37</v>
      </c>
      <c r="C75" s="1325"/>
      <c r="D75" s="1325"/>
      <c r="E75" s="1325"/>
      <c r="F75" s="1325"/>
      <c r="G75" s="1325"/>
      <c r="H75" s="1325"/>
      <c r="I75" s="269" t="s">
        <v>0</v>
      </c>
      <c r="J75" s="1328" t="s">
        <v>343</v>
      </c>
      <c r="K75" s="1328"/>
      <c r="L75" s="1328"/>
      <c r="M75" s="1328"/>
      <c r="N75" s="1328"/>
      <c r="O75" s="4"/>
      <c r="P75" s="4"/>
      <c r="Q75" s="1328" t="s">
        <v>447</v>
      </c>
      <c r="R75" s="1328"/>
      <c r="S75" s="1328"/>
      <c r="T75" s="1328"/>
      <c r="U75" s="1328"/>
      <c r="V75" s="1328"/>
      <c r="W75" s="4"/>
      <c r="X75" s="4"/>
      <c r="Y75" s="1328" t="s">
        <v>390</v>
      </c>
      <c r="Z75" s="1328"/>
      <c r="AA75" s="1328"/>
      <c r="AB75" s="1328"/>
      <c r="AC75" s="1328"/>
      <c r="AD75" s="4"/>
    </row>
    <row r="76" spans="1:30" ht="15.75">
      <c r="A76" s="4"/>
      <c r="B76" s="1325" t="s">
        <v>38</v>
      </c>
      <c r="C76" s="1325"/>
      <c r="D76" s="1325"/>
      <c r="E76" s="1325"/>
      <c r="F76" s="1325"/>
      <c r="G76" s="1325"/>
      <c r="H76" s="1325"/>
      <c r="I76" s="269" t="s">
        <v>0</v>
      </c>
      <c r="J76" s="1328" t="s">
        <v>343</v>
      </c>
      <c r="K76" s="1328"/>
      <c r="L76" s="1328"/>
      <c r="M76" s="1328"/>
      <c r="N76" s="1328"/>
      <c r="O76" s="4"/>
      <c r="P76" s="4"/>
      <c r="Q76" s="1328" t="s">
        <v>447</v>
      </c>
      <c r="R76" s="1328"/>
      <c r="S76" s="1328"/>
      <c r="T76" s="1328"/>
      <c r="U76" s="1328"/>
      <c r="V76" s="1328"/>
      <c r="W76" s="4"/>
      <c r="X76" s="4"/>
      <c r="Y76" s="1328" t="s">
        <v>390</v>
      </c>
      <c r="Z76" s="1328"/>
      <c r="AA76" s="1328"/>
      <c r="AB76" s="1328"/>
      <c r="AC76" s="1328"/>
      <c r="AD76" s="4"/>
    </row>
    <row r="77" spans="1:30" ht="9.75" customHeight="1">
      <c r="A77" s="4"/>
      <c r="B77" s="239"/>
      <c r="C77" s="270"/>
      <c r="D77" s="239"/>
      <c r="E77" s="239"/>
      <c r="F77" s="239"/>
      <c r="G77" s="239"/>
      <c r="H77" s="239"/>
      <c r="I77" s="239"/>
      <c r="J77" s="4"/>
      <c r="K77" s="4"/>
      <c r="L77" s="4"/>
      <c r="M77" s="4"/>
      <c r="N77" s="4"/>
      <c r="O77" s="4"/>
      <c r="P77" s="4"/>
      <c r="Q77" s="4"/>
      <c r="R77" s="4"/>
      <c r="S77" s="4"/>
      <c r="T77" s="4"/>
      <c r="U77" s="4"/>
      <c r="V77" s="4"/>
      <c r="W77" s="4"/>
      <c r="X77" s="4"/>
      <c r="Y77" s="4"/>
      <c r="Z77" s="4"/>
      <c r="AA77" s="4"/>
      <c r="AB77" s="4"/>
      <c r="AC77" s="4"/>
      <c r="AD77" s="4"/>
    </row>
    <row r="78" spans="1:30" ht="15.75">
      <c r="A78" s="4"/>
      <c r="B78" s="1264" t="s">
        <v>803</v>
      </c>
      <c r="C78" s="1264"/>
      <c r="D78" s="1264"/>
      <c r="E78" s="1264"/>
      <c r="F78" s="1264"/>
      <c r="G78" s="1264"/>
      <c r="H78" s="1264"/>
      <c r="I78" s="269" t="s">
        <v>0</v>
      </c>
      <c r="J78" s="1346"/>
      <c r="K78" s="1347"/>
      <c r="L78" s="1347"/>
      <c r="M78" s="1347"/>
      <c r="N78" s="1347"/>
      <c r="O78" s="1347"/>
      <c r="P78" s="1347"/>
      <c r="Q78" s="1347"/>
      <c r="R78" s="1347"/>
      <c r="S78" s="1347"/>
      <c r="T78" s="1347"/>
      <c r="U78" s="1347"/>
      <c r="V78" s="1347"/>
      <c r="W78" s="1347"/>
      <c r="X78" s="1347"/>
      <c r="Y78" s="1347"/>
      <c r="Z78" s="1347"/>
      <c r="AA78" s="1347"/>
      <c r="AB78" s="1347"/>
      <c r="AC78" s="1348"/>
      <c r="AD78" s="4"/>
    </row>
    <row r="79" spans="1:30" ht="5.0999999999999996" customHeight="1">
      <c r="A79" s="4"/>
      <c r="B79" s="1340"/>
      <c r="C79" s="1340"/>
      <c r="D79" s="1340"/>
      <c r="E79" s="1340"/>
      <c r="F79" s="1340"/>
      <c r="G79" s="1340"/>
      <c r="H79" s="1340"/>
      <c r="I79" s="24"/>
      <c r="J79" s="24"/>
      <c r="K79" s="24"/>
      <c r="L79" s="24"/>
      <c r="M79" s="24"/>
      <c r="N79" s="24"/>
      <c r="O79" s="4"/>
      <c r="P79" s="4"/>
      <c r="Q79" s="34"/>
      <c r="R79" s="35"/>
      <c r="S79" s="35"/>
      <c r="T79" s="4"/>
      <c r="U79" s="4"/>
      <c r="V79" s="4"/>
      <c r="W79" s="35"/>
      <c r="X79" s="34"/>
      <c r="Y79" s="1341"/>
      <c r="Z79" s="1341"/>
      <c r="AA79" s="1341"/>
      <c r="AB79" s="1341"/>
      <c r="AC79" s="1341"/>
      <c r="AD79" s="4"/>
    </row>
    <row r="80" spans="1:30" ht="15.75">
      <c r="A80" s="4"/>
      <c r="B80" s="1264" t="s">
        <v>1029</v>
      </c>
      <c r="C80" s="1264"/>
      <c r="D80" s="1264"/>
      <c r="E80" s="1264"/>
      <c r="F80" s="1264"/>
      <c r="G80" s="1264"/>
      <c r="H80" s="1264"/>
      <c r="I80" s="24"/>
      <c r="J80" s="24"/>
      <c r="K80" s="24"/>
      <c r="L80" s="24"/>
      <c r="M80" s="24"/>
      <c r="N80" s="24"/>
      <c r="O80" s="4"/>
      <c r="P80" s="4"/>
      <c r="Q80" s="34"/>
      <c r="R80" s="35"/>
      <c r="S80" s="35"/>
      <c r="T80" s="4"/>
      <c r="U80" s="4"/>
      <c r="V80" s="4"/>
      <c r="W80" s="35"/>
      <c r="X80" s="34"/>
      <c r="Y80" s="41"/>
      <c r="Z80" s="41"/>
      <c r="AA80" s="41"/>
      <c r="AB80" s="41"/>
      <c r="AC80" s="41"/>
      <c r="AD80" s="4"/>
    </row>
    <row r="81" spans="1:30" ht="15.75">
      <c r="A81" s="4"/>
      <c r="B81" s="1264" t="s">
        <v>1030</v>
      </c>
      <c r="C81" s="1264"/>
      <c r="D81" s="1264"/>
      <c r="E81" s="1264"/>
      <c r="F81" s="1264"/>
      <c r="G81" s="1264"/>
      <c r="H81" s="1264"/>
      <c r="I81" s="34" t="s">
        <v>0</v>
      </c>
      <c r="J81" s="48" t="s">
        <v>347</v>
      </c>
      <c r="K81" s="36"/>
      <c r="L81" s="32"/>
      <c r="M81" s="48" t="s">
        <v>395</v>
      </c>
      <c r="N81" s="36"/>
      <c r="O81" s="4"/>
      <c r="P81" s="4"/>
      <c r="Q81" s="34" t="s">
        <v>1028</v>
      </c>
      <c r="R81" s="35"/>
      <c r="S81" s="35" t="s">
        <v>0</v>
      </c>
      <c r="T81" s="1265"/>
      <c r="U81" s="1266"/>
      <c r="V81" s="1266"/>
      <c r="W81" s="1266"/>
      <c r="X81" s="1266"/>
      <c r="Y81" s="1266"/>
      <c r="Z81" s="1266"/>
      <c r="AA81" s="1266"/>
      <c r="AB81" s="1266"/>
      <c r="AC81" s="1267"/>
      <c r="AD81" s="4"/>
    </row>
    <row r="82" spans="1:30" ht="4.5" customHeight="1">
      <c r="A82" s="4"/>
      <c r="B82" s="103"/>
      <c r="C82" s="103"/>
      <c r="D82" s="103"/>
      <c r="E82" s="103"/>
      <c r="F82" s="103"/>
      <c r="G82" s="103"/>
      <c r="H82" s="103"/>
      <c r="I82" s="24"/>
      <c r="J82" s="24"/>
      <c r="K82" s="24"/>
      <c r="L82" s="24"/>
      <c r="M82" s="24"/>
      <c r="N82" s="24"/>
      <c r="O82" s="4"/>
      <c r="P82" s="4"/>
      <c r="Q82" s="34"/>
      <c r="R82" s="35"/>
      <c r="S82" s="35"/>
      <c r="T82" s="4"/>
      <c r="U82" s="4"/>
      <c r="V82" s="4"/>
      <c r="W82" s="35"/>
      <c r="X82" s="34"/>
      <c r="Y82" s="41"/>
      <c r="Z82" s="41"/>
      <c r="AA82" s="41"/>
      <c r="AB82" s="41"/>
      <c r="AC82" s="41"/>
      <c r="AD82" s="4"/>
    </row>
    <row r="83" spans="1:30" ht="15.75">
      <c r="A83" s="1292" t="s">
        <v>804</v>
      </c>
      <c r="B83" s="1293"/>
      <c r="C83" s="1293"/>
      <c r="D83" s="1293"/>
      <c r="E83" s="1293"/>
      <c r="F83" s="1293"/>
      <c r="G83" s="1293"/>
      <c r="H83" s="1293"/>
      <c r="I83" s="1293"/>
      <c r="J83" s="1293"/>
      <c r="K83" s="1293"/>
      <c r="L83" s="1293"/>
      <c r="M83" s="1293"/>
      <c r="N83" s="1293"/>
      <c r="O83" s="1293"/>
      <c r="P83" s="1293"/>
      <c r="Q83" s="1293"/>
      <c r="R83" s="1293"/>
      <c r="S83" s="1293"/>
      <c r="T83" s="1293"/>
      <c r="U83" s="1293"/>
      <c r="V83" s="1293"/>
      <c r="W83" s="1293"/>
      <c r="X83" s="1293"/>
      <c r="Y83" s="1293"/>
      <c r="Z83" s="1293"/>
      <c r="AA83" s="1293"/>
      <c r="AB83" s="1293"/>
      <c r="AC83" s="1293"/>
      <c r="AD83" s="1294"/>
    </row>
    <row r="84" spans="1:30" s="24" customFormat="1" ht="5.0999999999999996"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row>
    <row r="85" spans="1:30" s="24" customFormat="1" ht="15.75">
      <c r="A85" s="42"/>
      <c r="B85" s="1295" t="s">
        <v>807</v>
      </c>
      <c r="C85" s="1295"/>
      <c r="D85" s="1295"/>
      <c r="E85" s="1295"/>
      <c r="F85" s="1295"/>
      <c r="G85" s="1295"/>
      <c r="H85" s="1295"/>
      <c r="I85" s="34" t="s">
        <v>0</v>
      </c>
      <c r="J85" s="680" t="s">
        <v>1123</v>
      </c>
      <c r="K85" s="681"/>
      <c r="L85" s="681"/>
      <c r="M85" s="681"/>
      <c r="N85" s="681"/>
      <c r="O85" s="682"/>
      <c r="P85" s="42"/>
      <c r="Q85" s="42"/>
      <c r="R85" s="42"/>
      <c r="S85" s="42"/>
      <c r="T85" s="42"/>
      <c r="U85" s="42"/>
      <c r="V85" s="42"/>
      <c r="W85" s="42"/>
      <c r="X85" s="42"/>
      <c r="Y85" s="42"/>
      <c r="Z85" s="42"/>
      <c r="AA85" s="42"/>
      <c r="AB85" s="42"/>
      <c r="AC85" s="42"/>
      <c r="AD85" s="42"/>
    </row>
    <row r="86" spans="1:30" s="24" customFormat="1" ht="15.75">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row>
    <row r="87" spans="1:30" s="24" customFormat="1" ht="15.75">
      <c r="A87" s="42"/>
      <c r="B87" s="1264" t="s">
        <v>273</v>
      </c>
      <c r="C87" s="1264"/>
      <c r="D87" s="1264"/>
      <c r="E87" s="1264"/>
      <c r="F87" s="1264"/>
      <c r="G87" s="1264"/>
      <c r="H87" s="1264"/>
      <c r="I87" s="34" t="s">
        <v>0</v>
      </c>
      <c r="J87" s="680" t="s">
        <v>335</v>
      </c>
      <c r="K87" s="681"/>
      <c r="L87" s="681"/>
      <c r="M87" s="681"/>
      <c r="N87" s="681"/>
      <c r="O87" s="682"/>
      <c r="P87" s="42"/>
      <c r="Q87" s="42"/>
      <c r="R87" s="42"/>
      <c r="S87" s="42"/>
      <c r="T87" s="42"/>
      <c r="U87" s="42"/>
      <c r="V87" s="42"/>
      <c r="W87" s="42"/>
      <c r="X87" s="42"/>
      <c r="Y87" s="42"/>
      <c r="Z87" s="42"/>
      <c r="AA87" s="42"/>
      <c r="AB87" s="42"/>
      <c r="AC87" s="42"/>
      <c r="AD87" s="42"/>
    </row>
    <row r="88" spans="1:30" s="24" customFormat="1" ht="15.75">
      <c r="A88" s="42"/>
      <c r="B88" s="269"/>
      <c r="C88" s="269"/>
      <c r="D88" s="269"/>
      <c r="E88" s="269"/>
      <c r="F88" s="269"/>
      <c r="G88" s="269"/>
      <c r="H88" s="269"/>
      <c r="I88" s="34"/>
      <c r="J88" s="42"/>
      <c r="K88" s="42"/>
      <c r="L88" s="42"/>
      <c r="M88" s="42"/>
      <c r="N88" s="42"/>
      <c r="O88" s="42"/>
      <c r="P88" s="42"/>
      <c r="Q88" s="42"/>
      <c r="R88" s="42"/>
      <c r="S88" s="42"/>
      <c r="T88" s="42"/>
      <c r="U88" s="42"/>
      <c r="V88" s="42"/>
      <c r="W88" s="42"/>
      <c r="X88" s="42"/>
      <c r="Y88" s="42"/>
      <c r="Z88" s="42"/>
      <c r="AA88" s="42"/>
      <c r="AB88" s="42"/>
      <c r="AC88" s="42"/>
      <c r="AD88" s="42"/>
    </row>
    <row r="89" spans="1:30" s="24" customFormat="1" ht="15.75">
      <c r="A89" s="42"/>
      <c r="B89" s="1264" t="s">
        <v>1024</v>
      </c>
      <c r="C89" s="1264"/>
      <c r="D89" s="1264"/>
      <c r="E89" s="1264"/>
      <c r="F89" s="1264"/>
      <c r="G89" s="1264"/>
      <c r="H89" s="1264"/>
      <c r="I89" s="34" t="s">
        <v>0</v>
      </c>
      <c r="J89" s="711"/>
      <c r="K89" s="712"/>
      <c r="L89" s="1338" t="s">
        <v>1025</v>
      </c>
      <c r="M89" s="1339"/>
      <c r="N89" s="1335"/>
      <c r="O89" s="1336"/>
      <c r="P89" s="1336"/>
      <c r="Q89" s="1336"/>
      <c r="R89" s="1336"/>
      <c r="S89" s="1336"/>
      <c r="T89" s="1336"/>
      <c r="U89" s="1336"/>
      <c r="V89" s="1336"/>
      <c r="W89" s="1336"/>
      <c r="X89" s="1336"/>
      <c r="Y89" s="1336"/>
      <c r="Z89" s="1336"/>
      <c r="AA89" s="1336"/>
      <c r="AB89" s="1336"/>
      <c r="AC89" s="1337"/>
      <c r="AD89" s="42"/>
    </row>
    <row r="90" spans="1:30" s="24" customFormat="1" ht="15.75">
      <c r="A90" s="42"/>
      <c r="B90" s="342"/>
      <c r="C90" s="269"/>
      <c r="D90" s="269"/>
      <c r="E90" s="269"/>
      <c r="F90" s="269"/>
      <c r="G90" s="269"/>
      <c r="H90" s="269"/>
      <c r="I90" s="34"/>
      <c r="J90" s="42"/>
      <c r="K90" s="42"/>
      <c r="L90" s="42"/>
      <c r="M90" s="42"/>
      <c r="N90" s="42"/>
      <c r="O90" s="42"/>
      <c r="P90" s="42"/>
      <c r="Q90" s="42"/>
      <c r="R90" s="42"/>
      <c r="S90" s="42"/>
      <c r="T90" s="42"/>
      <c r="U90" s="42"/>
      <c r="V90" s="42"/>
      <c r="W90" s="42"/>
      <c r="X90" s="42"/>
      <c r="Y90" s="42"/>
      <c r="Z90" s="42"/>
      <c r="AA90" s="42"/>
      <c r="AB90" s="42"/>
      <c r="AC90" s="42"/>
      <c r="AD90" s="42"/>
    </row>
    <row r="91" spans="1:30" s="24" customFormat="1" ht="15.75">
      <c r="A91" s="42"/>
      <c r="B91" s="269"/>
      <c r="C91" s="269"/>
      <c r="D91" s="269"/>
      <c r="E91" s="269"/>
      <c r="F91" s="269"/>
      <c r="G91" s="269"/>
      <c r="H91" s="269"/>
      <c r="I91" s="34"/>
      <c r="J91" s="763" t="s">
        <v>809</v>
      </c>
      <c r="K91" s="763"/>
      <c r="L91" s="763"/>
      <c r="M91" s="763"/>
      <c r="N91" s="763"/>
      <c r="O91" s="763"/>
      <c r="P91" s="34"/>
      <c r="Q91" s="763" t="s">
        <v>774</v>
      </c>
      <c r="R91" s="763"/>
      <c r="S91" s="42"/>
      <c r="T91" s="42"/>
      <c r="U91" s="763" t="s">
        <v>809</v>
      </c>
      <c r="V91" s="763"/>
      <c r="W91" s="763"/>
      <c r="X91" s="763"/>
      <c r="Y91" s="763"/>
      <c r="Z91" s="763"/>
      <c r="AA91" s="34"/>
      <c r="AB91" s="763" t="s">
        <v>774</v>
      </c>
      <c r="AC91" s="763"/>
      <c r="AD91" s="42"/>
    </row>
    <row r="92" spans="1:30" s="24" customFormat="1" ht="15.75">
      <c r="A92" s="42"/>
      <c r="B92" s="1264" t="s">
        <v>808</v>
      </c>
      <c r="C92" s="1264"/>
      <c r="D92" s="1264"/>
      <c r="E92" s="1264"/>
      <c r="F92" s="1264"/>
      <c r="G92" s="1264"/>
      <c r="H92" s="1264"/>
      <c r="I92" s="34" t="s">
        <v>0</v>
      </c>
      <c r="J92" s="680" t="s">
        <v>379</v>
      </c>
      <c r="K92" s="681"/>
      <c r="L92" s="681"/>
      <c r="M92" s="681"/>
      <c r="N92" s="681"/>
      <c r="O92" s="682"/>
      <c r="P92" s="42"/>
      <c r="Q92" s="1296">
        <v>100</v>
      </c>
      <c r="R92" s="1297"/>
      <c r="S92" s="42"/>
      <c r="T92" s="42"/>
      <c r="U92" s="680"/>
      <c r="V92" s="681"/>
      <c r="W92" s="681"/>
      <c r="X92" s="681"/>
      <c r="Y92" s="681"/>
      <c r="Z92" s="682"/>
      <c r="AA92" s="42"/>
      <c r="AB92" s="1296"/>
      <c r="AC92" s="1297"/>
      <c r="AD92" s="42"/>
    </row>
    <row r="93" spans="1:30" s="24" customFormat="1" ht="15.75">
      <c r="A93" s="42"/>
      <c r="B93" s="269"/>
      <c r="C93" s="269"/>
      <c r="D93" s="269"/>
      <c r="E93" s="269"/>
      <c r="F93" s="269"/>
      <c r="G93" s="269"/>
      <c r="H93" s="269"/>
      <c r="I93" s="34"/>
      <c r="J93" s="680"/>
      <c r="K93" s="681"/>
      <c r="L93" s="681"/>
      <c r="M93" s="681"/>
      <c r="N93" s="681"/>
      <c r="O93" s="682"/>
      <c r="P93" s="42"/>
      <c r="Q93" s="1296"/>
      <c r="R93" s="1297"/>
      <c r="S93" s="42"/>
      <c r="T93" s="42"/>
      <c r="U93" s="680"/>
      <c r="V93" s="681"/>
      <c r="W93" s="681"/>
      <c r="X93" s="681"/>
      <c r="Y93" s="681"/>
      <c r="Z93" s="682"/>
      <c r="AA93" s="42"/>
      <c r="AB93" s="1296"/>
      <c r="AC93" s="1297"/>
      <c r="AD93" s="42"/>
    </row>
    <row r="94" spans="1:30" s="24" customFormat="1" ht="15.75">
      <c r="A94" s="42"/>
      <c r="B94" s="251"/>
      <c r="C94" s="251"/>
      <c r="D94" s="251"/>
      <c r="E94" s="251"/>
      <c r="F94" s="251"/>
      <c r="G94" s="251"/>
      <c r="H94" s="251"/>
      <c r="I94" s="42"/>
      <c r="J94" s="42"/>
      <c r="K94" s="42"/>
      <c r="L94" s="42"/>
      <c r="M94" s="42"/>
      <c r="N94" s="42"/>
      <c r="O94" s="42"/>
      <c r="P94" s="42"/>
      <c r="Q94" s="42"/>
      <c r="R94" s="42"/>
      <c r="S94" s="42"/>
      <c r="T94" s="42"/>
      <c r="U94" s="42"/>
      <c r="V94" s="42"/>
      <c r="W94" s="42"/>
      <c r="X94" s="42"/>
      <c r="Y94" s="42"/>
      <c r="Z94" s="42"/>
      <c r="AA94" s="42"/>
      <c r="AB94" s="42"/>
      <c r="AC94" s="42"/>
      <c r="AD94" s="42"/>
    </row>
    <row r="95" spans="1:30" ht="15.75">
      <c r="A95" s="4"/>
      <c r="B95" s="1264" t="s">
        <v>64</v>
      </c>
      <c r="C95" s="1264"/>
      <c r="D95" s="1264"/>
      <c r="E95" s="1264"/>
      <c r="F95" s="1264"/>
      <c r="G95" s="1264"/>
      <c r="H95" s="1264"/>
      <c r="I95" s="34" t="s">
        <v>0</v>
      </c>
      <c r="J95" s="1353" t="s">
        <v>40</v>
      </c>
      <c r="K95" s="1353"/>
      <c r="L95" s="1353"/>
      <c r="M95" s="1353"/>
      <c r="N95" s="1353"/>
      <c r="O95" s="1353"/>
      <c r="P95" s="4"/>
      <c r="Q95" s="1353" t="s">
        <v>41</v>
      </c>
      <c r="R95" s="1353"/>
      <c r="S95" s="1353"/>
      <c r="T95" s="1353"/>
      <c r="U95" s="1353"/>
      <c r="V95" s="1353"/>
      <c r="W95" s="26"/>
      <c r="X95" s="1353" t="s">
        <v>15</v>
      </c>
      <c r="Y95" s="1353"/>
      <c r="Z95" s="1353"/>
      <c r="AA95" s="1353"/>
      <c r="AB95" s="1353"/>
      <c r="AC95" s="1353"/>
      <c r="AD95" s="4"/>
    </row>
    <row r="96" spans="1:30" ht="15.75">
      <c r="A96" s="4"/>
      <c r="B96" s="342" t="s">
        <v>805</v>
      </c>
      <c r="C96" s="239"/>
      <c r="D96" s="239"/>
      <c r="E96" s="342"/>
      <c r="F96" s="342"/>
      <c r="G96" s="342"/>
      <c r="H96" s="342"/>
      <c r="I96" s="35"/>
      <c r="J96" s="1330" t="s">
        <v>42</v>
      </c>
      <c r="K96" s="1331"/>
      <c r="L96" s="176"/>
      <c r="M96" s="1330" t="s">
        <v>43</v>
      </c>
      <c r="N96" s="1331"/>
      <c r="O96" s="176"/>
      <c r="P96" s="4"/>
      <c r="Q96" s="1330" t="s">
        <v>44</v>
      </c>
      <c r="R96" s="1331"/>
      <c r="S96" s="176"/>
      <c r="T96" s="1330" t="s">
        <v>45</v>
      </c>
      <c r="U96" s="1331"/>
      <c r="V96" s="176"/>
      <c r="W96" s="4"/>
      <c r="X96" s="1349"/>
      <c r="Y96" s="1350"/>
      <c r="Z96" s="1350"/>
      <c r="AA96" s="1350"/>
      <c r="AB96" s="1350"/>
      <c r="AC96" s="1351"/>
      <c r="AD96" s="4"/>
    </row>
    <row r="97" spans="1:31" ht="10.5" customHeight="1">
      <c r="A97" s="4"/>
      <c r="B97" s="239"/>
      <c r="C97" s="239"/>
      <c r="D97" s="239"/>
      <c r="E97" s="239"/>
      <c r="F97" s="239"/>
      <c r="G97" s="239"/>
      <c r="H97" s="239"/>
      <c r="I97" s="35"/>
      <c r="J97" s="4"/>
      <c r="K97" s="4"/>
      <c r="L97" s="4"/>
      <c r="M97" s="4"/>
      <c r="N97" s="4"/>
      <c r="O97" s="4"/>
      <c r="P97" s="4"/>
      <c r="Q97" s="4"/>
      <c r="R97" s="4"/>
      <c r="S97" s="4"/>
      <c r="T97" s="4"/>
      <c r="U97" s="4"/>
      <c r="V97" s="4"/>
      <c r="W97" s="4"/>
      <c r="X97" s="4"/>
      <c r="Y97" s="4"/>
      <c r="Z97" s="4"/>
      <c r="AA97" s="4"/>
      <c r="AB97" s="4"/>
      <c r="AC97" s="4"/>
      <c r="AD97" s="4"/>
    </row>
    <row r="98" spans="1:31" ht="15.75">
      <c r="A98" s="4"/>
      <c r="B98" s="1264" t="s">
        <v>759</v>
      </c>
      <c r="C98" s="1264"/>
      <c r="D98" s="1264"/>
      <c r="E98" s="1264"/>
      <c r="F98" s="1264"/>
      <c r="G98" s="1264"/>
      <c r="H98" s="1264"/>
      <c r="I98" s="34" t="s">
        <v>0</v>
      </c>
      <c r="J98" s="1298" t="s">
        <v>1048</v>
      </c>
      <c r="K98" s="1298"/>
      <c r="L98" s="1298"/>
      <c r="M98" s="1298"/>
      <c r="N98" s="1298"/>
      <c r="O98" s="1298"/>
      <c r="P98" s="26"/>
      <c r="Q98" s="1298" t="s">
        <v>810</v>
      </c>
      <c r="R98" s="1298"/>
      <c r="S98" s="1298"/>
      <c r="T98" s="1298"/>
      <c r="U98" s="1298"/>
      <c r="V98" s="1298"/>
      <c r="W98" s="26"/>
      <c r="X98" s="1298" t="s">
        <v>25</v>
      </c>
      <c r="Y98" s="1298"/>
      <c r="Z98" s="1298"/>
      <c r="AA98" s="1298"/>
      <c r="AB98" s="1298"/>
      <c r="AC98" s="1298"/>
      <c r="AD98" s="4"/>
    </row>
    <row r="99" spans="1:31" ht="15.75">
      <c r="A99" s="4"/>
      <c r="B99" s="239"/>
      <c r="C99" s="239"/>
      <c r="D99" s="239"/>
      <c r="E99" s="239"/>
      <c r="F99" s="239"/>
      <c r="G99" s="239"/>
      <c r="H99" s="239"/>
      <c r="I99" s="35"/>
      <c r="J99" s="1301"/>
      <c r="K99" s="1302"/>
      <c r="L99" s="1302"/>
      <c r="M99" s="1302"/>
      <c r="N99" s="1302"/>
      <c r="O99" s="1303"/>
      <c r="P99" s="50"/>
      <c r="Q99" s="1332"/>
      <c r="R99" s="1333"/>
      <c r="S99" s="1333"/>
      <c r="T99" s="1333"/>
      <c r="U99" s="1333"/>
      <c r="V99" s="1334"/>
      <c r="W99" s="50"/>
      <c r="X99" s="1301"/>
      <c r="Y99" s="1302"/>
      <c r="Z99" s="1302"/>
      <c r="AA99" s="1302"/>
      <c r="AB99" s="1302"/>
      <c r="AC99" s="1303"/>
      <c r="AD99" s="4"/>
    </row>
    <row r="100" spans="1:31" ht="4.5" customHeight="1">
      <c r="A100" s="4"/>
      <c r="B100" s="239"/>
      <c r="C100" s="239"/>
      <c r="D100" s="239"/>
      <c r="E100" s="239"/>
      <c r="F100" s="239"/>
      <c r="G100" s="239"/>
      <c r="H100" s="239"/>
      <c r="I100" s="35"/>
      <c r="J100" s="4"/>
      <c r="K100" s="4"/>
      <c r="L100" s="4"/>
      <c r="M100" s="4"/>
      <c r="N100" s="4"/>
      <c r="O100" s="4"/>
      <c r="P100" s="4"/>
      <c r="Q100" s="4"/>
      <c r="R100" s="4"/>
      <c r="S100" s="4"/>
      <c r="T100" s="4"/>
      <c r="U100" s="4"/>
      <c r="V100" s="4"/>
      <c r="W100" s="4"/>
      <c r="X100" s="4"/>
      <c r="Y100" s="4"/>
      <c r="Z100" s="4"/>
      <c r="AA100" s="4"/>
      <c r="AB100" s="4"/>
      <c r="AC100" s="4"/>
      <c r="AD100" s="4"/>
    </row>
    <row r="101" spans="1:31" ht="15.75">
      <c r="A101" s="4"/>
      <c r="B101" s="1264" t="s">
        <v>806</v>
      </c>
      <c r="C101" s="1264"/>
      <c r="D101" s="1264"/>
      <c r="E101" s="1264"/>
      <c r="F101" s="1264"/>
      <c r="G101" s="1264"/>
      <c r="H101" s="1264"/>
      <c r="I101" s="34" t="s">
        <v>0</v>
      </c>
      <c r="J101" s="1298" t="s">
        <v>49</v>
      </c>
      <c r="K101" s="1298"/>
      <c r="L101" s="1298"/>
      <c r="M101" s="1298"/>
      <c r="N101" s="1298"/>
      <c r="O101" s="1298"/>
      <c r="P101" s="26"/>
      <c r="Q101" s="1298" t="s">
        <v>50</v>
      </c>
      <c r="R101" s="1298"/>
      <c r="S101" s="1298"/>
      <c r="T101" s="1298"/>
      <c r="U101" s="1298"/>
      <c r="V101" s="1298"/>
      <c r="W101" s="26"/>
      <c r="X101" s="1345" t="s">
        <v>811</v>
      </c>
      <c r="Y101" s="1345"/>
      <c r="Z101" s="1345"/>
      <c r="AA101" s="1345"/>
      <c r="AB101" s="1345"/>
      <c r="AC101" s="1345"/>
      <c r="AD101" s="4"/>
    </row>
    <row r="102" spans="1:31" ht="15.75">
      <c r="A102" s="4"/>
      <c r="B102" s="239"/>
      <c r="C102" s="239"/>
      <c r="D102" s="239"/>
      <c r="E102" s="239"/>
      <c r="F102" s="239"/>
      <c r="G102" s="239"/>
      <c r="H102" s="239"/>
      <c r="I102" s="35"/>
      <c r="J102" s="1342"/>
      <c r="K102" s="1343"/>
      <c r="L102" s="1343"/>
      <c r="M102" s="1343"/>
      <c r="N102" s="1343"/>
      <c r="O102" s="1344"/>
      <c r="P102" s="50"/>
      <c r="Q102" s="1342">
        <v>0</v>
      </c>
      <c r="R102" s="1343"/>
      <c r="S102" s="1343"/>
      <c r="T102" s="1343"/>
      <c r="U102" s="1343"/>
      <c r="V102" s="1344"/>
      <c r="W102" s="50"/>
      <c r="X102" s="1342"/>
      <c r="Y102" s="1343"/>
      <c r="Z102" s="1343"/>
      <c r="AA102" s="1343"/>
      <c r="AB102" s="1343"/>
      <c r="AC102" s="1344"/>
      <c r="AD102" s="4"/>
    </row>
    <row r="103" spans="1:31" ht="15.75">
      <c r="A103" s="4"/>
      <c r="B103" s="239"/>
      <c r="C103" s="239"/>
      <c r="D103" s="239"/>
      <c r="E103" s="239"/>
      <c r="F103" s="239"/>
      <c r="G103" s="239"/>
      <c r="H103" s="239"/>
      <c r="I103" s="35"/>
      <c r="J103" s="1300" t="s">
        <v>51</v>
      </c>
      <c r="K103" s="1300"/>
      <c r="L103" s="1300"/>
      <c r="M103" s="1300"/>
      <c r="N103" s="1300"/>
      <c r="O103" s="1300"/>
      <c r="P103" s="26"/>
      <c r="Q103" s="1300" t="s">
        <v>124</v>
      </c>
      <c r="R103" s="1300"/>
      <c r="S103" s="1300"/>
      <c r="T103" s="1300"/>
      <c r="U103" s="1300"/>
      <c r="V103" s="1300"/>
      <c r="W103" s="26"/>
      <c r="X103" s="1299" t="s">
        <v>199</v>
      </c>
      <c r="Y103" s="1299"/>
      <c r="Z103" s="1299"/>
      <c r="AA103" s="1299"/>
      <c r="AB103" s="1299"/>
      <c r="AC103" s="1299"/>
      <c r="AD103" s="4"/>
    </row>
    <row r="104" spans="1:31" ht="15.75">
      <c r="A104" s="4"/>
      <c r="B104" s="239"/>
      <c r="C104" s="239"/>
      <c r="D104" s="239"/>
      <c r="E104" s="239"/>
      <c r="F104" s="239"/>
      <c r="G104" s="239"/>
      <c r="H104" s="239"/>
      <c r="I104" s="35"/>
      <c r="J104" s="1342"/>
      <c r="K104" s="1343"/>
      <c r="L104" s="1343"/>
      <c r="M104" s="1343"/>
      <c r="N104" s="1343"/>
      <c r="O104" s="1344"/>
      <c r="P104" s="50"/>
      <c r="Q104" s="1301"/>
      <c r="R104" s="1302"/>
      <c r="S104" s="1302"/>
      <c r="T104" s="1302"/>
      <c r="U104" s="1302"/>
      <c r="V104" s="1303"/>
      <c r="W104" s="50"/>
      <c r="X104" s="1301"/>
      <c r="Y104" s="1302"/>
      <c r="Z104" s="1302"/>
      <c r="AA104" s="1302"/>
      <c r="AB104" s="1302"/>
      <c r="AC104" s="1303"/>
      <c r="AD104" s="4"/>
    </row>
    <row r="105" spans="1:31" ht="15.75">
      <c r="A105" s="4"/>
      <c r="B105" s="239"/>
      <c r="C105" s="239"/>
      <c r="D105" s="239"/>
      <c r="E105" s="239"/>
      <c r="F105" s="239"/>
      <c r="G105" s="346"/>
      <c r="H105" s="239"/>
      <c r="I105" s="35"/>
      <c r="J105" s="1299" t="s">
        <v>1040</v>
      </c>
      <c r="K105" s="1299"/>
      <c r="L105" s="1299"/>
      <c r="M105" s="1299"/>
      <c r="N105" s="1299"/>
      <c r="O105" s="1299"/>
      <c r="P105" s="26"/>
      <c r="Q105" s="1300" t="s">
        <v>812</v>
      </c>
      <c r="R105" s="1300"/>
      <c r="S105" s="1300"/>
      <c r="T105" s="1300"/>
      <c r="U105" s="1300"/>
      <c r="V105" s="1300"/>
      <c r="W105" s="26"/>
      <c r="X105" s="1300" t="s">
        <v>814</v>
      </c>
      <c r="Y105" s="1300"/>
      <c r="Z105" s="1300"/>
      <c r="AA105" s="1300"/>
      <c r="AB105" s="1300"/>
      <c r="AC105" s="1300"/>
      <c r="AD105" s="4"/>
      <c r="AE105" s="202"/>
    </row>
    <row r="106" spans="1:31" ht="15.75">
      <c r="A106" s="4"/>
      <c r="B106" s="1304"/>
      <c r="C106" s="1304"/>
      <c r="D106" s="1304"/>
      <c r="E106" s="1304"/>
      <c r="F106" s="1304"/>
      <c r="G106" s="1304"/>
      <c r="H106" s="239"/>
      <c r="I106" s="35"/>
      <c r="J106" s="1301"/>
      <c r="K106" s="1302"/>
      <c r="L106" s="1302"/>
      <c r="M106" s="1302"/>
      <c r="N106" s="1302"/>
      <c r="O106" s="1303"/>
      <c r="P106" s="50"/>
      <c r="Q106" s="1301"/>
      <c r="R106" s="1302"/>
      <c r="S106" s="1302"/>
      <c r="T106" s="1302"/>
      <c r="U106" s="1302"/>
      <c r="V106" s="1303"/>
      <c r="W106" s="50"/>
      <c r="X106" s="1301"/>
      <c r="Y106" s="1302"/>
      <c r="Z106" s="1302"/>
      <c r="AA106" s="1302"/>
      <c r="AB106" s="1302"/>
      <c r="AC106" s="1303"/>
      <c r="AD106" s="4"/>
    </row>
    <row r="107" spans="1:31" ht="6.75" customHeight="1">
      <c r="A107" s="4"/>
      <c r="B107" s="74"/>
      <c r="C107" s="4"/>
      <c r="D107" s="4"/>
      <c r="E107" s="4"/>
      <c r="F107" s="4"/>
      <c r="G107" s="4"/>
      <c r="H107" s="4"/>
      <c r="I107" s="35"/>
      <c r="J107" s="4"/>
      <c r="K107" s="4"/>
      <c r="L107" s="4"/>
      <c r="M107" s="4"/>
      <c r="N107" s="4"/>
      <c r="O107" s="4"/>
      <c r="P107" s="4"/>
      <c r="Q107" s="4"/>
      <c r="R107" s="4"/>
      <c r="S107" s="4"/>
      <c r="T107" s="4"/>
      <c r="U107" s="4"/>
      <c r="V107" s="4"/>
      <c r="W107" s="4"/>
      <c r="X107" s="4"/>
      <c r="Y107" s="4"/>
      <c r="Z107" s="4"/>
      <c r="AA107" s="4"/>
      <c r="AB107" s="4"/>
      <c r="AC107" s="4"/>
      <c r="AD107" s="4"/>
      <c r="AE107" s="202"/>
    </row>
    <row r="108" spans="1:31" ht="15.75" customHeight="1">
      <c r="A108" s="4"/>
      <c r="B108" s="1291" t="s">
        <v>813</v>
      </c>
      <c r="C108" s="1291"/>
      <c r="D108" s="1291"/>
      <c r="E108" s="1291"/>
      <c r="F108" s="1291"/>
      <c r="G108" s="1291"/>
      <c r="H108" s="1291"/>
      <c r="I108" s="55" t="s">
        <v>0</v>
      </c>
      <c r="J108" s="1285" t="s">
        <v>1415</v>
      </c>
      <c r="K108" s="1286"/>
      <c r="L108" s="1286"/>
      <c r="M108" s="1286"/>
      <c r="N108" s="1286"/>
      <c r="O108" s="1286"/>
      <c r="P108" s="1286"/>
      <c r="Q108" s="1286"/>
      <c r="R108" s="1286"/>
      <c r="S108" s="1286"/>
      <c r="T108" s="1286"/>
      <c r="U108" s="1286"/>
      <c r="V108" s="1286"/>
      <c r="W108" s="1286"/>
      <c r="X108" s="1286"/>
      <c r="Y108" s="1286"/>
      <c r="Z108" s="1286"/>
      <c r="AA108" s="1286"/>
      <c r="AB108" s="1286"/>
      <c r="AC108" s="1287"/>
      <c r="AD108" s="4"/>
    </row>
    <row r="109" spans="1:31" ht="134.25" customHeight="1">
      <c r="B109" s="1291"/>
      <c r="C109" s="1291"/>
      <c r="D109" s="1291"/>
      <c r="E109" s="1291"/>
      <c r="F109" s="1291"/>
      <c r="G109" s="1291"/>
      <c r="H109" s="1291"/>
      <c r="J109" s="1288"/>
      <c r="K109" s="1289"/>
      <c r="L109" s="1289"/>
      <c r="M109" s="1289"/>
      <c r="N109" s="1289"/>
      <c r="O109" s="1289"/>
      <c r="P109" s="1289"/>
      <c r="Q109" s="1289"/>
      <c r="R109" s="1289"/>
      <c r="S109" s="1289"/>
      <c r="T109" s="1289"/>
      <c r="U109" s="1289"/>
      <c r="V109" s="1289"/>
      <c r="W109" s="1289"/>
      <c r="X109" s="1289"/>
      <c r="Y109" s="1289"/>
      <c r="Z109" s="1289"/>
      <c r="AA109" s="1289"/>
      <c r="AB109" s="1289"/>
      <c r="AC109" s="1290"/>
    </row>
    <row r="110" spans="1:31"/>
    <row r="111" spans="1:31"/>
    <row r="112" spans="1:31"/>
    <row r="113"/>
    <row r="114"/>
    <row r="115"/>
    <row r="116"/>
    <row r="117"/>
    <row r="118"/>
    <row r="119"/>
    <row r="120"/>
    <row r="121"/>
    <row r="122"/>
    <row r="123"/>
    <row r="124"/>
    <row r="125"/>
    <row r="126"/>
    <row r="127"/>
    <row r="128"/>
    <row r="129"/>
  </sheetData>
  <mergeCells count="184">
    <mergeCell ref="J44:AC44"/>
    <mergeCell ref="J78:AC78"/>
    <mergeCell ref="X99:AC99"/>
    <mergeCell ref="X96:AC96"/>
    <mergeCell ref="AE44:AP44"/>
    <mergeCell ref="J87:O87"/>
    <mergeCell ref="J85:O85"/>
    <mergeCell ref="J93:O93"/>
    <mergeCell ref="U93:Z93"/>
    <mergeCell ref="Y73:AC73"/>
    <mergeCell ref="Y74:AC74"/>
    <mergeCell ref="Y75:AC75"/>
    <mergeCell ref="Y76:AC76"/>
    <mergeCell ref="J95:O95"/>
    <mergeCell ref="Q95:V95"/>
    <mergeCell ref="X95:AC95"/>
    <mergeCell ref="Q103:V103"/>
    <mergeCell ref="X103:AC103"/>
    <mergeCell ref="J104:O104"/>
    <mergeCell ref="Q104:V104"/>
    <mergeCell ref="X104:AC104"/>
    <mergeCell ref="B101:H101"/>
    <mergeCell ref="J101:O101"/>
    <mergeCell ref="Q101:V101"/>
    <mergeCell ref="X101:AC101"/>
    <mergeCell ref="J102:O102"/>
    <mergeCell ref="Q102:V102"/>
    <mergeCell ref="X102:AC102"/>
    <mergeCell ref="J103:O103"/>
    <mergeCell ref="B98:H98"/>
    <mergeCell ref="J96:K96"/>
    <mergeCell ref="M96:N96"/>
    <mergeCell ref="Q96:R96"/>
    <mergeCell ref="T96:U96"/>
    <mergeCell ref="J99:O99"/>
    <mergeCell ref="Q99:V99"/>
    <mergeCell ref="B95:H95"/>
    <mergeCell ref="B76:H76"/>
    <mergeCell ref="J76:N76"/>
    <mergeCell ref="Q76:V76"/>
    <mergeCell ref="B89:H89"/>
    <mergeCell ref="J89:K89"/>
    <mergeCell ref="N89:AC89"/>
    <mergeCell ref="L89:M89"/>
    <mergeCell ref="AB93:AC93"/>
    <mergeCell ref="Q93:R93"/>
    <mergeCell ref="B78:H78"/>
    <mergeCell ref="B79:H79"/>
    <mergeCell ref="Y79:AC79"/>
    <mergeCell ref="B74:H74"/>
    <mergeCell ref="J74:N74"/>
    <mergeCell ref="Q74:V74"/>
    <mergeCell ref="B75:H75"/>
    <mergeCell ref="J75:N75"/>
    <mergeCell ref="Q75:V75"/>
    <mergeCell ref="B68:H68"/>
    <mergeCell ref="J68:N68"/>
    <mergeCell ref="Y68:AC68"/>
    <mergeCell ref="B69:H69"/>
    <mergeCell ref="J69:N69"/>
    <mergeCell ref="Y69:AC69"/>
    <mergeCell ref="B71:I71"/>
    <mergeCell ref="J71:N71"/>
    <mergeCell ref="Q71:V71"/>
    <mergeCell ref="Y71:AC71"/>
    <mergeCell ref="B72:H72"/>
    <mergeCell ref="J72:N72"/>
    <mergeCell ref="Q72:V72"/>
    <mergeCell ref="Y72:AC72"/>
    <mergeCell ref="B73:H73"/>
    <mergeCell ref="J73:N73"/>
    <mergeCell ref="Q73:V73"/>
    <mergeCell ref="B66:H66"/>
    <mergeCell ref="J66:N66"/>
    <mergeCell ref="Y66:AC66"/>
    <mergeCell ref="B67:H67"/>
    <mergeCell ref="J67:N67"/>
    <mergeCell ref="Y67:AC67"/>
    <mergeCell ref="B63:H63"/>
    <mergeCell ref="J63:N63"/>
    <mergeCell ref="Y63:AC63"/>
    <mergeCell ref="B64:H64"/>
    <mergeCell ref="J64:N64"/>
    <mergeCell ref="Y64:AC64"/>
    <mergeCell ref="B61:H61"/>
    <mergeCell ref="J61:N61"/>
    <mergeCell ref="Y61:AC61"/>
    <mergeCell ref="B62:H62"/>
    <mergeCell ref="J62:N62"/>
    <mergeCell ref="Y62:AC62"/>
    <mergeCell ref="B60:H60"/>
    <mergeCell ref="J60:N60"/>
    <mergeCell ref="Y60:AC60"/>
    <mergeCell ref="B48:H48"/>
    <mergeCell ref="J48:AC49"/>
    <mergeCell ref="B49:H49"/>
    <mergeCell ref="B51:H51"/>
    <mergeCell ref="J51:AC52"/>
    <mergeCell ref="B52:H52"/>
    <mergeCell ref="A57:AD57"/>
    <mergeCell ref="J59:N59"/>
    <mergeCell ref="J54:AC55"/>
    <mergeCell ref="B55:H55"/>
    <mergeCell ref="B59:H59"/>
    <mergeCell ref="T12:X12"/>
    <mergeCell ref="Z12:AD12"/>
    <mergeCell ref="T13:X13"/>
    <mergeCell ref="Z13:AD13"/>
    <mergeCell ref="T14:X14"/>
    <mergeCell ref="Z14:AD14"/>
    <mergeCell ref="A16:AD16"/>
    <mergeCell ref="A17:AD17"/>
    <mergeCell ref="J21:AC22"/>
    <mergeCell ref="T15:X15"/>
    <mergeCell ref="Z15:AD15"/>
    <mergeCell ref="B19:H19"/>
    <mergeCell ref="J19:AC19"/>
    <mergeCell ref="B21:H21"/>
    <mergeCell ref="A40:AD40"/>
    <mergeCell ref="B34:F35"/>
    <mergeCell ref="B30:H30"/>
    <mergeCell ref="J35:O35"/>
    <mergeCell ref="S35:V35"/>
    <mergeCell ref="AB35:AC35"/>
    <mergeCell ref="J36:O36"/>
    <mergeCell ref="S36:V36"/>
    <mergeCell ref="J42:AC42"/>
    <mergeCell ref="K30:M30"/>
    <mergeCell ref="AB36:AC36"/>
    <mergeCell ref="P30:R30"/>
    <mergeCell ref="U30:X30"/>
    <mergeCell ref="AA30:AC30"/>
    <mergeCell ref="K32:M32"/>
    <mergeCell ref="P32:R32"/>
    <mergeCell ref="S32:AC32"/>
    <mergeCell ref="AB34:AC34"/>
    <mergeCell ref="J108:AC109"/>
    <mergeCell ref="B108:H109"/>
    <mergeCell ref="A83:AD83"/>
    <mergeCell ref="B85:H85"/>
    <mergeCell ref="B87:H87"/>
    <mergeCell ref="B92:H92"/>
    <mergeCell ref="J91:O91"/>
    <mergeCell ref="J92:O92"/>
    <mergeCell ref="Q91:R91"/>
    <mergeCell ref="Q92:R92"/>
    <mergeCell ref="U91:Z91"/>
    <mergeCell ref="AB91:AC91"/>
    <mergeCell ref="U92:Z92"/>
    <mergeCell ref="AB92:AC92"/>
    <mergeCell ref="J98:O98"/>
    <mergeCell ref="Q98:V98"/>
    <mergeCell ref="X98:AC98"/>
    <mergeCell ref="J105:O105"/>
    <mergeCell ref="Q105:V105"/>
    <mergeCell ref="X105:AC105"/>
    <mergeCell ref="J106:O106"/>
    <mergeCell ref="Q106:V106"/>
    <mergeCell ref="X106:AC106"/>
    <mergeCell ref="B106:G106"/>
    <mergeCell ref="B25:H25"/>
    <mergeCell ref="J25:AC25"/>
    <mergeCell ref="B27:H27"/>
    <mergeCell ref="J27:AC27"/>
    <mergeCell ref="B81:H81"/>
    <mergeCell ref="T81:AC81"/>
    <mergeCell ref="B80:H80"/>
    <mergeCell ref="B29:H29"/>
    <mergeCell ref="K29:M29"/>
    <mergeCell ref="U29:X29"/>
    <mergeCell ref="AA29:AC29"/>
    <mergeCell ref="P29:S29"/>
    <mergeCell ref="J34:O34"/>
    <mergeCell ref="S34:V34"/>
    <mergeCell ref="J38:AC38"/>
    <mergeCell ref="J37:O37"/>
    <mergeCell ref="S37:V37"/>
    <mergeCell ref="AB37:AC37"/>
    <mergeCell ref="B42:H42"/>
    <mergeCell ref="B44:H44"/>
    <mergeCell ref="B46:H46"/>
    <mergeCell ref="J46:M46"/>
    <mergeCell ref="O46:Q46"/>
    <mergeCell ref="B54:H54"/>
  </mergeCells>
  <conditionalFormatting sqref="J19">
    <cfRule type="expression" dxfId="27" priority="11">
      <formula>NOT(ISBLANK($J$19))</formula>
    </cfRule>
  </conditionalFormatting>
  <conditionalFormatting sqref="J21">
    <cfRule type="expression" dxfId="26" priority="10">
      <formula>NOT(ISBLANK($J$21))</formula>
    </cfRule>
  </conditionalFormatting>
  <conditionalFormatting sqref="J46">
    <cfRule type="expression" dxfId="25" priority="6">
      <formula>NOT(ISBLANK($J$46))</formula>
    </cfRule>
  </conditionalFormatting>
  <conditionalFormatting sqref="J108">
    <cfRule type="expression" dxfId="24" priority="9">
      <formula>NOT(ISBLANK($J$108))</formula>
    </cfRule>
  </conditionalFormatting>
  <conditionalFormatting sqref="AE44">
    <cfRule type="expression" dxfId="23" priority="1">
      <formula>NOT(ISBLANK($J$108))</formula>
    </cfRule>
    <cfRule type="expression" dxfId="22" priority="2">
      <formula>NOT(ISBLANK($J$42))</formula>
    </cfRule>
  </conditionalFormatting>
  <dataValidations xWindow="1389" yWindow="401" count="2">
    <dataValidation type="whole" allowBlank="1" showInputMessage="1" showErrorMessage="1" sqref="Q102:V102" xr:uid="{00000000-0002-0000-0400-000000000000}">
      <formula1>0</formula1>
      <formula2>10</formula2>
    </dataValidation>
    <dataValidation type="whole" allowBlank="1" showInputMessage="1" showErrorMessage="1" sqref="X102:AC102" xr:uid="{00000000-0002-0000-0400-000001000000}">
      <formula1>1</formula1>
      <formula2>500</formula2>
    </dataValidation>
  </dataValidations>
  <printOptions horizontalCentered="1"/>
  <pageMargins left="0.70866141732283472" right="0.70866141732283472" top="0.74803149606299213" bottom="0.74803149606299213" header="0.31496062992125984" footer="0.31496062992125984"/>
  <pageSetup paperSize="9" scale="55" fitToHeight="0" orientation="portrait" r:id="rId1"/>
  <headerFooter>
    <oddFooter>&amp;L&amp;G&amp;R&amp;G
&amp;P</oddFooter>
  </headerFooter>
  <rowBreaks count="1" manualBreakCount="1">
    <brk id="81" max="16383" man="1"/>
  </rowBreaks>
  <drawing r:id="rId2"/>
  <legacyDrawing r:id="rId3"/>
  <legacyDrawingHF r:id="rId4"/>
  <extLst>
    <ext xmlns:x14="http://schemas.microsoft.com/office/spreadsheetml/2009/9/main" uri="{CCE6A557-97BC-4b89-ADB6-D9C93CAAB3DF}">
      <x14:dataValidations xmlns:xm="http://schemas.microsoft.com/office/excel/2006/main" xWindow="1389" yWindow="401" count="28">
        <x14:dataValidation type="list" allowBlank="1" showInputMessage="1" showErrorMessage="1" xr:uid="{00000000-0002-0000-0400-000002000000}">
          <x14:formula1>
            <xm:f>'Lista-Data'!$AB$3:$AB$7</xm:f>
          </x14:formula1>
          <xm:sqref>X106:AC106</xm:sqref>
        </x14:dataValidation>
        <x14:dataValidation type="list" allowBlank="1" showInputMessage="1" showErrorMessage="1" xr:uid="{00000000-0002-0000-0400-000003000000}">
          <x14:formula1>
            <xm:f>'Lista-Data'!$AA$3:$AA$6</xm:f>
          </x14:formula1>
          <xm:sqref>Q106:V106</xm:sqref>
        </x14:dataValidation>
        <x14:dataValidation type="list" allowBlank="1" showInputMessage="1" showErrorMessage="1" xr:uid="{00000000-0002-0000-0400-000004000000}">
          <x14:formula1>
            <xm:f>'Lista-Data'!$BK$3:$BK$9</xm:f>
          </x14:formula1>
          <xm:sqref>J106:O106</xm:sqref>
        </x14:dataValidation>
        <x14:dataValidation type="list" allowBlank="1" showInputMessage="1" showErrorMessage="1" xr:uid="{00000000-0002-0000-0400-000005000000}">
          <x14:formula1>
            <xm:f>'Lista-Data'!$Y$3:$Y$5</xm:f>
          </x14:formula1>
          <xm:sqref>X104:AC104</xm:sqref>
        </x14:dataValidation>
        <x14:dataValidation type="list" allowBlank="1" showInputMessage="1" showErrorMessage="1" xr:uid="{00000000-0002-0000-0400-000006000000}">
          <x14:formula1>
            <xm:f>'Lista-Data'!$X$3:$X$5</xm:f>
          </x14:formula1>
          <xm:sqref>Q104:V104</xm:sqref>
        </x14:dataValidation>
        <x14:dataValidation type="list" allowBlank="1" showInputMessage="1" showErrorMessage="1" xr:uid="{00000000-0002-0000-0400-000007000000}">
          <x14:formula1>
            <xm:f>'Lista-Data'!$W$3:$W$11</xm:f>
          </x14:formula1>
          <xm:sqref>X99:AC99</xm:sqref>
        </x14:dataValidation>
        <x14:dataValidation type="list" allowBlank="1" showInputMessage="1" showErrorMessage="1" xr:uid="{00000000-0002-0000-0400-000008000000}">
          <x14:formula1>
            <xm:f>'Lista-Data'!$V$3:$V$11</xm:f>
          </x14:formula1>
          <xm:sqref>J99:O99</xm:sqref>
        </x14:dataValidation>
        <x14:dataValidation type="list" allowBlank="1" showInputMessage="1" showErrorMessage="1" xr:uid="{00000000-0002-0000-0400-000009000000}">
          <x14:formula1>
            <xm:f>'Lista-Data'!$U$3:$U$8</xm:f>
          </x14:formula1>
          <xm:sqref>Q72:V76</xm:sqref>
        </x14:dataValidation>
        <x14:dataValidation type="list" allowBlank="1" showInputMessage="1" showErrorMessage="1" xr:uid="{00000000-0002-0000-0400-00000A000000}">
          <x14:formula1>
            <xm:f>'Lista-Data'!$T$3:$T$7</xm:f>
          </x14:formula1>
          <xm:sqref>J72:N76</xm:sqref>
        </x14:dataValidation>
        <x14:dataValidation type="list" allowBlank="1" showInputMessage="1" showErrorMessage="1" xr:uid="{00000000-0002-0000-0400-00000B000000}">
          <x14:formula1>
            <xm:f>'Lista-Data'!$R$3:$R$6</xm:f>
          </x14:formula1>
          <xm:sqref>Y72:AC76 Y64:AC64</xm:sqref>
        </x14:dataValidation>
        <x14:dataValidation type="list" allowBlank="1" showInputMessage="1" showErrorMessage="1" xr:uid="{00000000-0002-0000-0400-00000C000000}">
          <x14:formula1>
            <xm:f>'Lista-Data'!$Q$3:$Q$6</xm:f>
          </x14:formula1>
          <xm:sqref>Y63:AC63</xm:sqref>
        </x14:dataValidation>
        <x14:dataValidation type="list" allowBlank="1" showInputMessage="1" showErrorMessage="1" xr:uid="{00000000-0002-0000-0400-00000D000000}">
          <x14:formula1>
            <xm:f>'Lista-Data'!$P$3:$P$6</xm:f>
          </x14:formula1>
          <xm:sqref>Y62:AC62</xm:sqref>
        </x14:dataValidation>
        <x14:dataValidation type="list" allowBlank="1" showInputMessage="1" showErrorMessage="1" xr:uid="{00000000-0002-0000-0400-00000E000000}">
          <x14:formula1>
            <xm:f>'Lista-Data'!$O$3:$O$31</xm:f>
          </x14:formula1>
          <xm:sqref>Y61:AC61</xm:sqref>
        </x14:dataValidation>
        <x14:dataValidation type="list" allowBlank="1" showInputMessage="1" showErrorMessage="1" xr:uid="{00000000-0002-0000-0400-00000F000000}">
          <x14:formula1>
            <xm:f>'Lista-Data'!$N$3:$N$6</xm:f>
          </x14:formula1>
          <xm:sqref>Y60:AC60</xm:sqref>
        </x14:dataValidation>
        <x14:dataValidation type="list" allowBlank="1" showInputMessage="1" showErrorMessage="1" xr:uid="{00000000-0002-0000-0400-000010000000}">
          <x14:formula1>
            <xm:f>'Lista-Data'!$M$3:$M$6</xm:f>
          </x14:formula1>
          <xm:sqref>J64:N64</xm:sqref>
        </x14:dataValidation>
        <x14:dataValidation type="list" allowBlank="1" showInputMessage="1" showErrorMessage="1" xr:uid="{00000000-0002-0000-0400-000011000000}">
          <x14:formula1>
            <xm:f>'Lista-Data'!$L$3:$L$9</xm:f>
          </x14:formula1>
          <xm:sqref>J63:N63</xm:sqref>
        </x14:dataValidation>
        <x14:dataValidation type="list" allowBlank="1" showInputMessage="1" showErrorMessage="1" xr:uid="{00000000-0002-0000-0400-000012000000}">
          <x14:formula1>
            <xm:f>'Lista-Data'!$K$3:$K$7</xm:f>
          </x14:formula1>
          <xm:sqref>J62:N62</xm:sqref>
        </x14:dataValidation>
        <x14:dataValidation type="list" allowBlank="1" showInputMessage="1" showErrorMessage="1" xr:uid="{00000000-0002-0000-0400-000013000000}">
          <x14:formula1>
            <xm:f>'Lista-Data'!$J$3:$J$7</xm:f>
          </x14:formula1>
          <xm:sqref>J61:N61</xm:sqref>
        </x14:dataValidation>
        <x14:dataValidation type="list" allowBlank="1" showInputMessage="1" showErrorMessage="1" xr:uid="{00000000-0002-0000-0400-000014000000}">
          <x14:formula1>
            <xm:f>'Lista-Data'!$I$3:$I$4</xm:f>
          </x14:formula1>
          <xm:sqref>J60:N60</xm:sqref>
        </x14:dataValidation>
        <x14:dataValidation type="list" allowBlank="1" showInputMessage="1" showErrorMessage="1" xr:uid="{00000000-0002-0000-0400-000015000000}">
          <x14:formula1>
            <xm:f>'Lista-Data'!$H$3:$H$9</xm:f>
          </x14:formula1>
          <xm:sqref>J46:M46</xm:sqref>
        </x14:dataValidation>
        <x14:dataValidation type="list" allowBlank="1" showInputMessage="1" showErrorMessage="1" xr:uid="{00000000-0002-0000-0400-000016000000}">
          <x14:formula1>
            <xm:f>'Lista-Data'!$G$3:$G$6</xm:f>
          </x14:formula1>
          <xm:sqref>J34:O37</xm:sqref>
        </x14:dataValidation>
        <x14:dataValidation type="list" allowBlank="1" showInputMessage="1" showErrorMessage="1" xr:uid="{00000000-0002-0000-0400-000017000000}">
          <x14:formula1>
            <xm:f>'Lista-Data'!$S$3:$S$8</xm:f>
          </x14:formula1>
          <xm:sqref>J67:N69 Y67:AC69</xm:sqref>
        </x14:dataValidation>
        <x14:dataValidation type="list" allowBlank="1" showInputMessage="1" showErrorMessage="1" xr:uid="{00000000-0002-0000-0400-000018000000}">
          <x14:formula1>
            <xm:f>'Lista-Data'!$E$3:$E$24</xm:f>
          </x14:formula1>
          <xm:sqref>J93</xm:sqref>
        </x14:dataValidation>
        <x14:dataValidation type="list" allowBlank="1" showInputMessage="1" showErrorMessage="1" xr:uid="{00000000-0002-0000-0400-000019000000}">
          <x14:formula1>
            <xm:f>'Lista-Data'!$E$3:$E$26</xm:f>
          </x14:formula1>
          <xm:sqref>J92:O92 U92:Z93</xm:sqref>
        </x14:dataValidation>
        <x14:dataValidation type="list" allowBlank="1" showInputMessage="1" showErrorMessage="1" xr:uid="{00000000-0002-0000-0400-00001A000000}">
          <x14:formula1>
            <xm:f>'Lista-Data'!$F$3:$F$4</xm:f>
          </x14:formula1>
          <xm:sqref>J19:AC19</xm:sqref>
        </x14:dataValidation>
        <x14:dataValidation type="list" allowBlank="1" showInputMessage="1" showErrorMessage="1" xr:uid="{00000000-0002-0000-0400-00001B000000}">
          <x14:formula1>
            <xm:f>'Lista-Data'!$BP$3:$BP$4</xm:f>
          </x14:formula1>
          <xm:sqref>J89:K89</xm:sqref>
        </x14:dataValidation>
        <x14:dataValidation type="list" allowBlank="1" showInputMessage="1" showErrorMessage="1" xr:uid="{00000000-0002-0000-0400-00001C000000}">
          <x14:formula1>
            <xm:f>'Lista-Data'!$BL$3:$BL$12</xm:f>
          </x14:formula1>
          <xm:sqref>X96:AC96</xm:sqref>
        </x14:dataValidation>
        <x14:dataValidation type="list" allowBlank="1" showInputMessage="1" showErrorMessage="1" xr:uid="{00000000-0002-0000-0400-00001D000000}">
          <x14:formula1>
            <xm:f>'Lista-Data'!$D$3:$D$22</xm:f>
          </x14:formula1>
          <xm:sqref>J87:O87</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tabColor theme="7" tint="0.39997558519241921"/>
  </sheetPr>
  <dimension ref="A12:AD124"/>
  <sheetViews>
    <sheetView workbookViewId="0"/>
  </sheetViews>
  <sheetFormatPr baseColWidth="10" defaultRowHeight="15"/>
  <cols>
    <col min="1" max="14" width="5.140625" customWidth="1"/>
    <col min="15" max="15" width="6.5703125" customWidth="1"/>
    <col min="16" max="30" width="5.140625" customWidth="1"/>
  </cols>
  <sheetData>
    <row r="12" spans="1:30" ht="15.75">
      <c r="A12" s="24"/>
      <c r="B12" s="24"/>
      <c r="C12" s="24"/>
      <c r="D12" s="24"/>
      <c r="E12" s="24"/>
      <c r="F12" s="24"/>
      <c r="G12" s="24"/>
      <c r="H12" s="24"/>
      <c r="I12" s="24"/>
      <c r="J12" s="24"/>
      <c r="K12" s="24"/>
      <c r="L12" s="24"/>
      <c r="M12" s="24"/>
      <c r="N12" s="24"/>
      <c r="O12" s="24"/>
      <c r="P12" s="24"/>
      <c r="Q12" s="24"/>
      <c r="R12" s="24"/>
      <c r="S12" s="24"/>
      <c r="T12" s="1023" t="s">
        <v>815</v>
      </c>
      <c r="U12" s="1023"/>
      <c r="V12" s="1023"/>
      <c r="W12" s="1023"/>
      <c r="X12" s="1023"/>
      <c r="Y12" s="30" t="s">
        <v>0</v>
      </c>
      <c r="Z12" s="1388">
        <f>+'MEM. DESC. I'!Z12:AD12</f>
        <v>0</v>
      </c>
      <c r="AA12" s="1388"/>
      <c r="AB12" s="1388"/>
      <c r="AC12" s="1388"/>
      <c r="AD12" s="1388"/>
    </row>
    <row r="13" spans="1:30" ht="15.75">
      <c r="A13" s="24"/>
      <c r="B13" s="24"/>
      <c r="C13" s="24"/>
      <c r="D13" s="24"/>
      <c r="E13" s="24"/>
      <c r="F13" s="24"/>
      <c r="G13" s="24"/>
      <c r="H13" s="24"/>
      <c r="I13" s="24"/>
      <c r="J13" s="24"/>
      <c r="K13" s="24"/>
      <c r="L13" s="24"/>
      <c r="M13" s="24"/>
      <c r="N13" s="24"/>
      <c r="O13" s="24"/>
      <c r="P13" s="24"/>
      <c r="Q13" s="24"/>
      <c r="R13" s="24"/>
      <c r="S13" s="24"/>
      <c r="T13" s="1023" t="s">
        <v>1</v>
      </c>
      <c r="U13" s="1023"/>
      <c r="V13" s="1023"/>
      <c r="W13" s="1023"/>
      <c r="X13" s="1023"/>
      <c r="Y13" s="30" t="s">
        <v>0</v>
      </c>
      <c r="Z13" s="1388" t="str">
        <f>+'MEM. DESC. I'!Z13:AD13</f>
        <v>XXXX-26</v>
      </c>
      <c r="AA13" s="1388"/>
      <c r="AB13" s="1388"/>
      <c r="AC13" s="1388"/>
      <c r="AD13" s="1388"/>
    </row>
    <row r="14" spans="1:30" ht="15.75">
      <c r="A14" s="24"/>
      <c r="B14" s="24"/>
      <c r="C14" s="24"/>
      <c r="D14" s="24"/>
      <c r="E14" s="24"/>
      <c r="F14" s="24"/>
      <c r="G14" s="24"/>
      <c r="H14" s="24"/>
      <c r="I14" s="24"/>
      <c r="J14" s="24"/>
      <c r="K14" s="24"/>
      <c r="L14" s="24"/>
      <c r="M14" s="24"/>
      <c r="N14" s="24"/>
      <c r="O14" s="24"/>
      <c r="P14" s="24"/>
      <c r="Q14" s="24"/>
      <c r="R14" s="24"/>
      <c r="S14" s="24"/>
      <c r="T14" s="1023" t="s">
        <v>52</v>
      </c>
      <c r="U14" s="1023"/>
      <c r="V14" s="1023"/>
      <c r="W14" s="1023"/>
      <c r="X14" s="1023"/>
      <c r="Y14" s="30" t="s">
        <v>0</v>
      </c>
      <c r="Z14" s="1026">
        <f>+'MEM. DESC. I'!Z14:AD14</f>
        <v>0</v>
      </c>
      <c r="AA14" s="1026"/>
      <c r="AB14" s="1026"/>
      <c r="AC14" s="1026"/>
      <c r="AD14" s="1026"/>
    </row>
    <row r="15" spans="1:30" ht="15.75">
      <c r="A15" s="24"/>
      <c r="B15" s="24"/>
      <c r="C15" s="24"/>
      <c r="D15" s="24"/>
      <c r="E15" s="24"/>
      <c r="F15" s="24"/>
      <c r="G15" s="24"/>
      <c r="H15" s="24"/>
      <c r="I15" s="24"/>
      <c r="J15" s="24"/>
      <c r="K15" s="24"/>
      <c r="L15" s="24"/>
      <c r="M15" s="24"/>
      <c r="N15" s="24"/>
      <c r="O15" s="24"/>
      <c r="P15" s="24"/>
      <c r="Q15" s="24"/>
      <c r="R15" s="24"/>
      <c r="S15" s="24"/>
      <c r="T15" s="1023" t="s">
        <v>816</v>
      </c>
      <c r="U15" s="1023"/>
      <c r="V15" s="1023"/>
      <c r="W15" s="1023"/>
      <c r="X15" s="1023"/>
      <c r="Y15" s="30" t="s">
        <v>0</v>
      </c>
      <c r="Z15" s="1026">
        <f>+'MEM. DESC. I'!Z15:AD15</f>
        <v>365</v>
      </c>
      <c r="AA15" s="1026"/>
      <c r="AB15" s="1026"/>
      <c r="AC15" s="1026"/>
      <c r="AD15" s="1026"/>
    </row>
    <row r="16" spans="1:30" ht="15.75">
      <c r="A16" s="1370" t="s">
        <v>817</v>
      </c>
      <c r="B16" s="1370"/>
      <c r="C16" s="1370"/>
      <c r="D16" s="1370"/>
      <c r="E16" s="1370"/>
      <c r="F16" s="1370"/>
      <c r="G16" s="1370"/>
      <c r="H16" s="1370"/>
      <c r="I16" s="1370"/>
      <c r="J16" s="1370"/>
      <c r="K16" s="1370"/>
      <c r="L16" s="1370"/>
      <c r="M16" s="1370"/>
      <c r="N16" s="1370"/>
      <c r="O16" s="1370"/>
      <c r="P16" s="1370"/>
      <c r="Q16" s="1370"/>
      <c r="R16" s="1370"/>
      <c r="S16" s="1370"/>
      <c r="T16" s="1370"/>
      <c r="U16" s="1370"/>
      <c r="V16" s="1370"/>
      <c r="W16" s="1370"/>
      <c r="X16" s="1370"/>
      <c r="Y16" s="1370"/>
      <c r="Z16" s="1370"/>
      <c r="AA16" s="1370"/>
      <c r="AB16" s="1370"/>
      <c r="AC16" s="1370"/>
      <c r="AD16" s="1370"/>
    </row>
    <row r="17" spans="1:30" ht="15.75">
      <c r="A17" s="39"/>
      <c r="B17" s="1386" t="s">
        <v>818</v>
      </c>
      <c r="C17" s="1386"/>
      <c r="D17" s="1386"/>
      <c r="E17" s="1386" t="s">
        <v>85</v>
      </c>
      <c r="F17" s="1386"/>
      <c r="G17" s="1386"/>
      <c r="H17" s="1386"/>
      <c r="I17" s="1386"/>
      <c r="J17" s="1386"/>
      <c r="K17" s="1386"/>
      <c r="L17" s="1386"/>
      <c r="M17" s="1386"/>
      <c r="N17" s="1386"/>
      <c r="O17" s="1386"/>
      <c r="P17" s="1386"/>
      <c r="Q17" s="1386"/>
      <c r="R17" s="1386"/>
      <c r="S17" s="1386"/>
      <c r="T17" s="1386"/>
      <c r="U17" s="1386"/>
      <c r="V17" s="1386"/>
      <c r="W17" s="1386"/>
      <c r="X17" s="1386"/>
      <c r="Y17" s="1367"/>
      <c r="Z17" s="1387" t="s">
        <v>819</v>
      </c>
      <c r="AA17" s="1387"/>
      <c r="AB17" s="1387"/>
      <c r="AC17" s="1387"/>
      <c r="AD17" s="6"/>
    </row>
    <row r="18" spans="1:30" ht="15.75">
      <c r="A18" s="240"/>
      <c r="B18" s="1361" t="str">
        <f>+B39</f>
        <v>Departamento N°</v>
      </c>
      <c r="C18" s="1362"/>
      <c r="D18" s="1362"/>
      <c r="E18" s="1362"/>
      <c r="F18" s="1362"/>
      <c r="G18" s="1362"/>
      <c r="H18" s="1362"/>
      <c r="I18" s="1362"/>
      <c r="J18" s="1362"/>
      <c r="K18" s="1362"/>
      <c r="L18" s="1362"/>
      <c r="M18" s="1362"/>
      <c r="N18" s="1362"/>
      <c r="O18" s="1362"/>
      <c r="P18" s="1362"/>
      <c r="Q18" s="1362"/>
      <c r="R18" s="1362"/>
      <c r="S18" s="1362"/>
      <c r="T18" s="1362"/>
      <c r="U18" s="1362"/>
      <c r="V18" s="1362"/>
      <c r="W18" s="1362"/>
      <c r="X18" s="1362"/>
      <c r="Y18" s="1362"/>
      <c r="Z18" s="1362"/>
      <c r="AA18" s="1362"/>
      <c r="AB18" s="1362"/>
      <c r="AC18" s="1363"/>
      <c r="AD18" s="241"/>
    </row>
    <row r="19" spans="1:30" ht="15.75">
      <c r="A19" s="55"/>
      <c r="B19" s="1354" t="s">
        <v>820</v>
      </c>
      <c r="C19" s="1354"/>
      <c r="D19" s="1354"/>
      <c r="E19" s="1355"/>
      <c r="F19" s="1355"/>
      <c r="G19" s="1355"/>
      <c r="H19" s="1355"/>
      <c r="I19" s="1355"/>
      <c r="J19" s="1355"/>
      <c r="K19" s="1355"/>
      <c r="L19" s="1355"/>
      <c r="M19" s="1355"/>
      <c r="N19" s="1355"/>
      <c r="O19" s="1355"/>
      <c r="P19" s="1355"/>
      <c r="Q19" s="1355"/>
      <c r="R19" s="1355"/>
      <c r="S19" s="1355"/>
      <c r="T19" s="1355"/>
      <c r="U19" s="1355"/>
      <c r="V19" s="1355"/>
      <c r="W19" s="1355"/>
      <c r="X19" s="1355"/>
      <c r="Y19" s="1356"/>
      <c r="Z19" s="1357"/>
      <c r="AA19" s="1357"/>
      <c r="AB19" s="1357"/>
      <c r="AC19" s="1357"/>
      <c r="AD19" s="9"/>
    </row>
    <row r="20" spans="1:30" ht="15.75">
      <c r="A20" s="55"/>
      <c r="B20" s="1354" t="s">
        <v>821</v>
      </c>
      <c r="C20" s="1354"/>
      <c r="D20" s="1354"/>
      <c r="E20" s="1355"/>
      <c r="F20" s="1355"/>
      <c r="G20" s="1355"/>
      <c r="H20" s="1355"/>
      <c r="I20" s="1355"/>
      <c r="J20" s="1355"/>
      <c r="K20" s="1355"/>
      <c r="L20" s="1355"/>
      <c r="M20" s="1355"/>
      <c r="N20" s="1355"/>
      <c r="O20" s="1355"/>
      <c r="P20" s="1355"/>
      <c r="Q20" s="1355"/>
      <c r="R20" s="1355"/>
      <c r="S20" s="1355"/>
      <c r="T20" s="1355"/>
      <c r="U20" s="1355"/>
      <c r="V20" s="1355"/>
      <c r="W20" s="1355"/>
      <c r="X20" s="1355"/>
      <c r="Y20" s="1356"/>
      <c r="Z20" s="1357"/>
      <c r="AA20" s="1357"/>
      <c r="AB20" s="1357"/>
      <c r="AC20" s="1357"/>
      <c r="AD20" s="9"/>
    </row>
    <row r="21" spans="1:30" ht="15.75">
      <c r="A21" s="55"/>
      <c r="B21" s="1354" t="s">
        <v>822</v>
      </c>
      <c r="C21" s="1354"/>
      <c r="D21" s="1354"/>
      <c r="E21" s="1355"/>
      <c r="F21" s="1355"/>
      <c r="G21" s="1355"/>
      <c r="H21" s="1355"/>
      <c r="I21" s="1355"/>
      <c r="J21" s="1355"/>
      <c r="K21" s="1355"/>
      <c r="L21" s="1355"/>
      <c r="M21" s="1355"/>
      <c r="N21" s="1355"/>
      <c r="O21" s="1355"/>
      <c r="P21" s="1355"/>
      <c r="Q21" s="1355"/>
      <c r="R21" s="1355"/>
      <c r="S21" s="1355"/>
      <c r="T21" s="1355"/>
      <c r="U21" s="1355"/>
      <c r="V21" s="1355"/>
      <c r="W21" s="1355"/>
      <c r="X21" s="1355"/>
      <c r="Y21" s="1356"/>
      <c r="Z21" s="1357"/>
      <c r="AA21" s="1357"/>
      <c r="AB21" s="1357"/>
      <c r="AC21" s="1357"/>
      <c r="AD21" s="9"/>
    </row>
    <row r="22" spans="1:30" ht="15.75">
      <c r="A22" s="55"/>
      <c r="B22" s="1354" t="s">
        <v>823</v>
      </c>
      <c r="C22" s="1354"/>
      <c r="D22" s="1354"/>
      <c r="E22" s="1355"/>
      <c r="F22" s="1355"/>
      <c r="G22" s="1355"/>
      <c r="H22" s="1355"/>
      <c r="I22" s="1355"/>
      <c r="J22" s="1355"/>
      <c r="K22" s="1355"/>
      <c r="L22" s="1355"/>
      <c r="M22" s="1355"/>
      <c r="N22" s="1355"/>
      <c r="O22" s="1355"/>
      <c r="P22" s="1355"/>
      <c r="Q22" s="1355"/>
      <c r="R22" s="1355"/>
      <c r="S22" s="1355"/>
      <c r="T22" s="1355"/>
      <c r="U22" s="1355"/>
      <c r="V22" s="1355"/>
      <c r="W22" s="1355"/>
      <c r="X22" s="1355"/>
      <c r="Y22" s="1356"/>
      <c r="Z22" s="1357"/>
      <c r="AA22" s="1357"/>
      <c r="AB22" s="1357"/>
      <c r="AC22" s="1357"/>
      <c r="AD22" s="9"/>
    </row>
    <row r="23" spans="1:30" ht="15.75">
      <c r="A23" s="4"/>
      <c r="B23" s="4"/>
      <c r="C23" s="4"/>
      <c r="D23" s="4"/>
      <c r="E23" s="4"/>
      <c r="F23" s="4"/>
      <c r="G23" s="4"/>
      <c r="H23" s="4"/>
      <c r="I23" s="4"/>
      <c r="J23" s="4"/>
      <c r="K23" s="4"/>
      <c r="L23" s="4"/>
      <c r="M23" s="4"/>
      <c r="N23" s="4"/>
      <c r="O23" s="4"/>
      <c r="P23" s="4"/>
      <c r="Q23" s="4"/>
      <c r="R23" s="4"/>
      <c r="S23" s="4"/>
      <c r="T23" s="4"/>
      <c r="U23" s="4"/>
      <c r="V23" s="4"/>
      <c r="W23" s="1358" t="s">
        <v>1021</v>
      </c>
      <c r="X23" s="1358"/>
      <c r="Y23" s="1359"/>
      <c r="Z23" s="1360">
        <f>SUM(Z19:AC22)</f>
        <v>0</v>
      </c>
      <c r="AA23" s="1360"/>
      <c r="AB23" s="1360"/>
      <c r="AC23" s="1360"/>
      <c r="AD23" s="4"/>
    </row>
    <row r="24" spans="1:30" ht="15.75">
      <c r="A24" s="240"/>
      <c r="B24" s="1361" t="str">
        <f>+B40</f>
        <v>Estacionamiento N°</v>
      </c>
      <c r="C24" s="1362"/>
      <c r="D24" s="1362"/>
      <c r="E24" s="1362"/>
      <c r="F24" s="1362"/>
      <c r="G24" s="1362"/>
      <c r="H24" s="1362"/>
      <c r="I24" s="1362"/>
      <c r="J24" s="1362"/>
      <c r="K24" s="1362"/>
      <c r="L24" s="1362"/>
      <c r="M24" s="1362"/>
      <c r="N24" s="1362"/>
      <c r="O24" s="1362"/>
      <c r="P24" s="1362"/>
      <c r="Q24" s="1362"/>
      <c r="R24" s="1362"/>
      <c r="S24" s="1362"/>
      <c r="T24" s="1362"/>
      <c r="U24" s="1362"/>
      <c r="V24" s="1362"/>
      <c r="W24" s="1362"/>
      <c r="X24" s="1362"/>
      <c r="Y24" s="1362"/>
      <c r="Z24" s="1362"/>
      <c r="AA24" s="1362"/>
      <c r="AB24" s="1362"/>
      <c r="AC24" s="1363"/>
      <c r="AD24" s="241"/>
    </row>
    <row r="25" spans="1:30" ht="15.75">
      <c r="A25" s="55"/>
      <c r="B25" s="1354" t="s">
        <v>820</v>
      </c>
      <c r="C25" s="1354"/>
      <c r="D25" s="1354"/>
      <c r="E25" s="1355"/>
      <c r="F25" s="1355"/>
      <c r="G25" s="1355"/>
      <c r="H25" s="1355"/>
      <c r="I25" s="1355"/>
      <c r="J25" s="1355"/>
      <c r="K25" s="1355"/>
      <c r="L25" s="1355"/>
      <c r="M25" s="1355"/>
      <c r="N25" s="1355"/>
      <c r="O25" s="1355"/>
      <c r="P25" s="1355"/>
      <c r="Q25" s="1355"/>
      <c r="R25" s="1355"/>
      <c r="S25" s="1355"/>
      <c r="T25" s="1355"/>
      <c r="U25" s="1355"/>
      <c r="V25" s="1355"/>
      <c r="W25" s="1355"/>
      <c r="X25" s="1355"/>
      <c r="Y25" s="1356"/>
      <c r="Z25" s="1357"/>
      <c r="AA25" s="1357"/>
      <c r="AB25" s="1357"/>
      <c r="AC25" s="1357"/>
      <c r="AD25" s="9"/>
    </row>
    <row r="26" spans="1:30" ht="15.75">
      <c r="A26" s="55"/>
      <c r="B26" s="1354" t="s">
        <v>821</v>
      </c>
      <c r="C26" s="1354"/>
      <c r="D26" s="1354"/>
      <c r="E26" s="1355"/>
      <c r="F26" s="1355"/>
      <c r="G26" s="1355"/>
      <c r="H26" s="1355"/>
      <c r="I26" s="1355"/>
      <c r="J26" s="1355"/>
      <c r="K26" s="1355"/>
      <c r="L26" s="1355"/>
      <c r="M26" s="1355"/>
      <c r="N26" s="1355"/>
      <c r="O26" s="1355"/>
      <c r="P26" s="1355"/>
      <c r="Q26" s="1355"/>
      <c r="R26" s="1355"/>
      <c r="S26" s="1355"/>
      <c r="T26" s="1355"/>
      <c r="U26" s="1355"/>
      <c r="V26" s="1355"/>
      <c r="W26" s="1355"/>
      <c r="X26" s="1355"/>
      <c r="Y26" s="1356"/>
      <c r="Z26" s="1357"/>
      <c r="AA26" s="1357"/>
      <c r="AB26" s="1357"/>
      <c r="AC26" s="1357"/>
      <c r="AD26" s="9"/>
    </row>
    <row r="27" spans="1:30" ht="15.75">
      <c r="A27" s="55"/>
      <c r="B27" s="1354" t="s">
        <v>822</v>
      </c>
      <c r="C27" s="1354"/>
      <c r="D27" s="1354"/>
      <c r="E27" s="1355"/>
      <c r="F27" s="1355"/>
      <c r="G27" s="1355"/>
      <c r="H27" s="1355"/>
      <c r="I27" s="1355"/>
      <c r="J27" s="1355"/>
      <c r="K27" s="1355"/>
      <c r="L27" s="1355"/>
      <c r="M27" s="1355"/>
      <c r="N27" s="1355"/>
      <c r="O27" s="1355"/>
      <c r="P27" s="1355"/>
      <c r="Q27" s="1355"/>
      <c r="R27" s="1355"/>
      <c r="S27" s="1355"/>
      <c r="T27" s="1355"/>
      <c r="U27" s="1355"/>
      <c r="V27" s="1355"/>
      <c r="W27" s="1355"/>
      <c r="X27" s="1355"/>
      <c r="Y27" s="1356"/>
      <c r="Z27" s="1357"/>
      <c r="AA27" s="1357"/>
      <c r="AB27" s="1357"/>
      <c r="AC27" s="1357"/>
      <c r="AD27" s="9"/>
    </row>
    <row r="28" spans="1:30" ht="15.75">
      <c r="A28" s="55"/>
      <c r="B28" s="1354" t="s">
        <v>823</v>
      </c>
      <c r="C28" s="1354"/>
      <c r="D28" s="1354"/>
      <c r="E28" s="1355"/>
      <c r="F28" s="1355"/>
      <c r="G28" s="1355"/>
      <c r="H28" s="1355"/>
      <c r="I28" s="1355"/>
      <c r="J28" s="1355"/>
      <c r="K28" s="1355"/>
      <c r="L28" s="1355"/>
      <c r="M28" s="1355"/>
      <c r="N28" s="1355"/>
      <c r="O28" s="1355"/>
      <c r="P28" s="1355"/>
      <c r="Q28" s="1355"/>
      <c r="R28" s="1355"/>
      <c r="S28" s="1355"/>
      <c r="T28" s="1355"/>
      <c r="U28" s="1355"/>
      <c r="V28" s="1355"/>
      <c r="W28" s="1355"/>
      <c r="X28" s="1355"/>
      <c r="Y28" s="1356"/>
      <c r="Z28" s="1357"/>
      <c r="AA28" s="1357"/>
      <c r="AB28" s="1357"/>
      <c r="AC28" s="1357"/>
      <c r="AD28" s="9"/>
    </row>
    <row r="29" spans="1:30" ht="15.75">
      <c r="A29" s="4"/>
      <c r="B29" s="4"/>
      <c r="C29" s="4"/>
      <c r="D29" s="4"/>
      <c r="E29" s="4"/>
      <c r="F29" s="4"/>
      <c r="G29" s="4"/>
      <c r="H29" s="4"/>
      <c r="I29" s="4"/>
      <c r="J29" s="4"/>
      <c r="K29" s="4"/>
      <c r="L29" s="4"/>
      <c r="M29" s="4"/>
      <c r="N29" s="4"/>
      <c r="O29" s="4"/>
      <c r="P29" s="4"/>
      <c r="Q29" s="4"/>
      <c r="R29" s="4"/>
      <c r="S29" s="4"/>
      <c r="T29" s="4"/>
      <c r="U29" s="4"/>
      <c r="V29" s="4"/>
      <c r="W29" s="1358" t="s">
        <v>1021</v>
      </c>
      <c r="X29" s="1358"/>
      <c r="Y29" s="1359"/>
      <c r="Z29" s="1360">
        <f>SUM(Z25:AC28)</f>
        <v>0</v>
      </c>
      <c r="AA29" s="1360"/>
      <c r="AB29" s="1360"/>
      <c r="AC29" s="1360"/>
      <c r="AD29" s="4"/>
    </row>
    <row r="30" spans="1:30" ht="15.75">
      <c r="A30" s="240"/>
      <c r="B30" s="1361" t="str">
        <f>+B41</f>
        <v>Depósito N°</v>
      </c>
      <c r="C30" s="1362"/>
      <c r="D30" s="1362"/>
      <c r="E30" s="1362"/>
      <c r="F30" s="1362"/>
      <c r="G30" s="1362"/>
      <c r="H30" s="1362"/>
      <c r="I30" s="1362"/>
      <c r="J30" s="1362"/>
      <c r="K30" s="1362"/>
      <c r="L30" s="1362"/>
      <c r="M30" s="1362"/>
      <c r="N30" s="1362"/>
      <c r="O30" s="1362"/>
      <c r="P30" s="1362"/>
      <c r="Q30" s="1362"/>
      <c r="R30" s="1362"/>
      <c r="S30" s="1362"/>
      <c r="T30" s="1362"/>
      <c r="U30" s="1362"/>
      <c r="V30" s="1362"/>
      <c r="W30" s="1362"/>
      <c r="X30" s="1362"/>
      <c r="Y30" s="1362"/>
      <c r="Z30" s="1362"/>
      <c r="AA30" s="1362"/>
      <c r="AB30" s="1362"/>
      <c r="AC30" s="1363"/>
      <c r="AD30" s="241"/>
    </row>
    <row r="31" spans="1:30" ht="15.75">
      <c r="A31" s="55"/>
      <c r="B31" s="1354" t="s">
        <v>820</v>
      </c>
      <c r="C31" s="1354"/>
      <c r="D31" s="1354"/>
      <c r="E31" s="1355"/>
      <c r="F31" s="1355"/>
      <c r="G31" s="1355"/>
      <c r="H31" s="1355"/>
      <c r="I31" s="1355"/>
      <c r="J31" s="1355"/>
      <c r="K31" s="1355"/>
      <c r="L31" s="1355"/>
      <c r="M31" s="1355"/>
      <c r="N31" s="1355"/>
      <c r="O31" s="1355"/>
      <c r="P31" s="1355"/>
      <c r="Q31" s="1355"/>
      <c r="R31" s="1355"/>
      <c r="S31" s="1355"/>
      <c r="T31" s="1355"/>
      <c r="U31" s="1355"/>
      <c r="V31" s="1355"/>
      <c r="W31" s="1355"/>
      <c r="X31" s="1355"/>
      <c r="Y31" s="1356"/>
      <c r="Z31" s="1357"/>
      <c r="AA31" s="1357"/>
      <c r="AB31" s="1357"/>
      <c r="AC31" s="1357"/>
      <c r="AD31" s="9"/>
    </row>
    <row r="32" spans="1:30" ht="15.75">
      <c r="A32" s="55"/>
      <c r="B32" s="1354" t="s">
        <v>821</v>
      </c>
      <c r="C32" s="1354"/>
      <c r="D32" s="1354"/>
      <c r="E32" s="1355"/>
      <c r="F32" s="1355"/>
      <c r="G32" s="1355"/>
      <c r="H32" s="1355"/>
      <c r="I32" s="1355"/>
      <c r="J32" s="1355"/>
      <c r="K32" s="1355"/>
      <c r="L32" s="1355"/>
      <c r="M32" s="1355"/>
      <c r="N32" s="1355"/>
      <c r="O32" s="1355"/>
      <c r="P32" s="1355"/>
      <c r="Q32" s="1355"/>
      <c r="R32" s="1355"/>
      <c r="S32" s="1355"/>
      <c r="T32" s="1355"/>
      <c r="U32" s="1355"/>
      <c r="V32" s="1355"/>
      <c r="W32" s="1355"/>
      <c r="X32" s="1355"/>
      <c r="Y32" s="1356"/>
      <c r="Z32" s="1357"/>
      <c r="AA32" s="1357"/>
      <c r="AB32" s="1357"/>
      <c r="AC32" s="1357"/>
      <c r="AD32" s="9"/>
    </row>
    <row r="33" spans="1:30" ht="15.75">
      <c r="A33" s="55"/>
      <c r="B33" s="1354" t="s">
        <v>822</v>
      </c>
      <c r="C33" s="1354"/>
      <c r="D33" s="1354"/>
      <c r="E33" s="1355"/>
      <c r="F33" s="1355"/>
      <c r="G33" s="1355"/>
      <c r="H33" s="1355"/>
      <c r="I33" s="1355"/>
      <c r="J33" s="1355"/>
      <c r="K33" s="1355"/>
      <c r="L33" s="1355"/>
      <c r="M33" s="1355"/>
      <c r="N33" s="1355"/>
      <c r="O33" s="1355"/>
      <c r="P33" s="1355"/>
      <c r="Q33" s="1355"/>
      <c r="R33" s="1355"/>
      <c r="S33" s="1355"/>
      <c r="T33" s="1355"/>
      <c r="U33" s="1355"/>
      <c r="V33" s="1355"/>
      <c r="W33" s="1355"/>
      <c r="X33" s="1355"/>
      <c r="Y33" s="1356"/>
      <c r="Z33" s="1357"/>
      <c r="AA33" s="1357"/>
      <c r="AB33" s="1357"/>
      <c r="AC33" s="1357"/>
      <c r="AD33" s="9"/>
    </row>
    <row r="34" spans="1:30" ht="15.75">
      <c r="A34" s="55"/>
      <c r="B34" s="1354" t="s">
        <v>823</v>
      </c>
      <c r="C34" s="1354"/>
      <c r="D34" s="1354"/>
      <c r="E34" s="1355"/>
      <c r="F34" s="1355"/>
      <c r="G34" s="1355"/>
      <c r="H34" s="1355"/>
      <c r="I34" s="1355"/>
      <c r="J34" s="1355"/>
      <c r="K34" s="1355"/>
      <c r="L34" s="1355"/>
      <c r="M34" s="1355"/>
      <c r="N34" s="1355"/>
      <c r="O34" s="1355"/>
      <c r="P34" s="1355"/>
      <c r="Q34" s="1355"/>
      <c r="R34" s="1355"/>
      <c r="S34" s="1355"/>
      <c r="T34" s="1355"/>
      <c r="U34" s="1355"/>
      <c r="V34" s="1355"/>
      <c r="W34" s="1355"/>
      <c r="X34" s="1355"/>
      <c r="Y34" s="1356"/>
      <c r="Z34" s="1357"/>
      <c r="AA34" s="1357"/>
      <c r="AB34" s="1357"/>
      <c r="AC34" s="1357"/>
      <c r="AD34" s="9"/>
    </row>
    <row r="35" spans="1:30" ht="15.75">
      <c r="A35" s="4"/>
      <c r="B35" s="4"/>
      <c r="C35" s="4"/>
      <c r="D35" s="4"/>
      <c r="E35" s="4"/>
      <c r="F35" s="4"/>
      <c r="G35" s="4"/>
      <c r="H35" s="4"/>
      <c r="I35" s="4"/>
      <c r="J35" s="4"/>
      <c r="K35" s="4"/>
      <c r="L35" s="4"/>
      <c r="M35" s="4"/>
      <c r="N35" s="4"/>
      <c r="O35" s="4"/>
      <c r="P35" s="4"/>
      <c r="Q35" s="4"/>
      <c r="R35" s="4"/>
      <c r="S35" s="4"/>
      <c r="T35" s="4"/>
      <c r="U35" s="4"/>
      <c r="V35" s="4"/>
      <c r="W35" s="1358" t="s">
        <v>1021</v>
      </c>
      <c r="X35" s="1358"/>
      <c r="Y35" s="1359"/>
      <c r="Z35" s="1360">
        <f>SUM(Z31:AC34)</f>
        <v>0</v>
      </c>
      <c r="AA35" s="1360"/>
      <c r="AB35" s="1360"/>
      <c r="AC35" s="1360"/>
      <c r="AD35" s="4"/>
    </row>
    <row r="36" spans="1:30" ht="9.9499999999999993" customHeight="1">
      <c r="A36" s="4"/>
      <c r="B36" s="4"/>
      <c r="C36" s="4"/>
      <c r="D36" s="4"/>
      <c r="E36" s="4"/>
      <c r="F36" s="4"/>
      <c r="G36" s="4"/>
      <c r="H36" s="4"/>
      <c r="I36" s="4"/>
      <c r="J36" s="4"/>
      <c r="K36" s="4"/>
      <c r="L36" s="4"/>
      <c r="M36" s="4"/>
      <c r="N36" s="4"/>
      <c r="O36" s="4"/>
      <c r="P36" s="4"/>
      <c r="Q36" s="4"/>
      <c r="R36" s="4"/>
      <c r="S36" s="4"/>
      <c r="T36" s="4"/>
      <c r="U36" s="4"/>
      <c r="V36" s="4"/>
      <c r="W36" s="4"/>
      <c r="X36" s="4"/>
      <c r="Y36" s="4"/>
      <c r="Z36" s="53"/>
      <c r="AA36" s="53"/>
      <c r="AB36" s="53"/>
      <c r="AC36" s="53"/>
      <c r="AD36" s="4"/>
    </row>
    <row r="37" spans="1:30" ht="15.75">
      <c r="A37" s="1370" t="s">
        <v>64</v>
      </c>
      <c r="B37" s="1370"/>
      <c r="C37" s="1370"/>
      <c r="D37" s="1370"/>
      <c r="E37" s="1370"/>
      <c r="F37" s="1370"/>
      <c r="G37" s="1370"/>
      <c r="H37" s="1370"/>
      <c r="I37" s="1370"/>
      <c r="J37" s="1370"/>
      <c r="K37" s="1370"/>
      <c r="L37" s="1370"/>
      <c r="M37" s="1370"/>
      <c r="N37" s="1370"/>
      <c r="O37" s="1370"/>
      <c r="P37" s="1370"/>
      <c r="Q37" s="1370"/>
      <c r="R37" s="1370"/>
      <c r="S37" s="1370"/>
      <c r="T37" s="1370"/>
      <c r="U37" s="1370"/>
      <c r="V37" s="1370"/>
      <c r="W37" s="1370"/>
      <c r="X37" s="1370"/>
      <c r="Y37" s="1370"/>
      <c r="Z37" s="1370"/>
      <c r="AA37" s="1370"/>
      <c r="AB37" s="1370"/>
      <c r="AC37" s="1370"/>
      <c r="AD37" s="1370"/>
    </row>
    <row r="38" spans="1:30" ht="36.75" customHeight="1">
      <c r="A38" s="54"/>
      <c r="B38" s="1386" t="s">
        <v>77</v>
      </c>
      <c r="C38" s="1386"/>
      <c r="D38" s="1386"/>
      <c r="E38" s="1386"/>
      <c r="F38" s="1386"/>
      <c r="G38" s="1386"/>
      <c r="H38" s="1386" t="s">
        <v>78</v>
      </c>
      <c r="I38" s="1386"/>
      <c r="J38" s="1386"/>
      <c r="K38" s="1389" t="s">
        <v>79</v>
      </c>
      <c r="L38" s="1389"/>
      <c r="M38" s="1389"/>
      <c r="N38" s="1389"/>
      <c r="O38" s="1386" t="s">
        <v>80</v>
      </c>
      <c r="P38" s="1386"/>
      <c r="Q38" s="1386"/>
      <c r="R38" s="1386"/>
      <c r="S38" s="1386" t="s">
        <v>81</v>
      </c>
      <c r="T38" s="1386"/>
      <c r="U38" s="1386"/>
      <c r="V38" s="1386" t="s">
        <v>82</v>
      </c>
      <c r="W38" s="1386"/>
      <c r="X38" s="1386"/>
      <c r="Y38" s="1386"/>
      <c r="Z38" s="1386" t="s">
        <v>83</v>
      </c>
      <c r="AA38" s="1386"/>
      <c r="AB38" s="1386"/>
      <c r="AC38" s="1386"/>
      <c r="AD38" s="4"/>
    </row>
    <row r="39" spans="1:30" ht="15.75">
      <c r="A39" s="39">
        <v>1</v>
      </c>
      <c r="B39" s="1390" t="s">
        <v>1118</v>
      </c>
      <c r="C39" s="1390"/>
      <c r="D39" s="1390"/>
      <c r="E39" s="1390"/>
      <c r="F39" s="1390"/>
      <c r="G39" s="1390"/>
      <c r="H39" s="1373" t="s">
        <v>1091</v>
      </c>
      <c r="I39" s="1374"/>
      <c r="J39" s="1375"/>
      <c r="K39" s="1391"/>
      <c r="L39" s="1392"/>
      <c r="M39" s="1392"/>
      <c r="N39" s="1393"/>
      <c r="O39" s="1394"/>
      <c r="P39" s="1395"/>
      <c r="Q39" s="1395"/>
      <c r="R39" s="1396"/>
      <c r="S39" s="1397"/>
      <c r="T39" s="1398"/>
      <c r="U39" s="1399"/>
      <c r="V39" s="1400"/>
      <c r="W39" s="1400"/>
      <c r="X39" s="1400"/>
      <c r="Y39" s="1400"/>
      <c r="Z39" s="1397"/>
      <c r="AA39" s="1398"/>
      <c r="AB39" s="1398"/>
      <c r="AC39" s="1399"/>
      <c r="AD39" s="4"/>
    </row>
    <row r="40" spans="1:30" ht="15.75">
      <c r="A40" s="39">
        <v>2</v>
      </c>
      <c r="B40" s="1404" t="s">
        <v>1119</v>
      </c>
      <c r="C40" s="1404"/>
      <c r="D40" s="1404"/>
      <c r="E40" s="1404"/>
      <c r="F40" s="1404"/>
      <c r="G40" s="1404"/>
      <c r="H40" s="1373" t="s">
        <v>1091</v>
      </c>
      <c r="I40" s="1374"/>
      <c r="J40" s="1375"/>
      <c r="K40" s="1405"/>
      <c r="L40" s="1406"/>
      <c r="M40" s="1406"/>
      <c r="N40" s="1407"/>
      <c r="O40" s="1408"/>
      <c r="P40" s="1409"/>
      <c r="Q40" s="1409"/>
      <c r="R40" s="1410"/>
      <c r="S40" s="1397"/>
      <c r="T40" s="1398"/>
      <c r="U40" s="1399"/>
      <c r="V40" s="1411"/>
      <c r="W40" s="1411"/>
      <c r="X40" s="1411"/>
      <c r="Y40" s="1411"/>
      <c r="Z40" s="1401"/>
      <c r="AA40" s="1402"/>
      <c r="AB40" s="1402"/>
      <c r="AC40" s="1403"/>
      <c r="AD40" s="4"/>
    </row>
    <row r="41" spans="1:30" ht="15.75">
      <c r="A41" s="39">
        <v>3</v>
      </c>
      <c r="B41" s="1404" t="s">
        <v>1120</v>
      </c>
      <c r="C41" s="1404"/>
      <c r="D41" s="1404"/>
      <c r="E41" s="1404"/>
      <c r="F41" s="1404"/>
      <c r="G41" s="1404"/>
      <c r="H41" s="1373" t="s">
        <v>1091</v>
      </c>
      <c r="I41" s="1374"/>
      <c r="J41" s="1375"/>
      <c r="K41" s="1405"/>
      <c r="L41" s="1406"/>
      <c r="M41" s="1406"/>
      <c r="N41" s="1407"/>
      <c r="O41" s="1408"/>
      <c r="P41" s="1409"/>
      <c r="Q41" s="1409"/>
      <c r="R41" s="1410"/>
      <c r="S41" s="1401"/>
      <c r="T41" s="1402"/>
      <c r="U41" s="1403"/>
      <c r="V41" s="1411"/>
      <c r="W41" s="1411"/>
      <c r="X41" s="1411"/>
      <c r="Y41" s="1411"/>
      <c r="Z41" s="1401"/>
      <c r="AA41" s="1402"/>
      <c r="AB41" s="1402"/>
      <c r="AC41" s="1403"/>
      <c r="AD41" s="4"/>
    </row>
    <row r="42" spans="1:30" ht="15.75">
      <c r="A42" s="39">
        <v>4</v>
      </c>
      <c r="B42" s="1404"/>
      <c r="C42" s="1404"/>
      <c r="D42" s="1404"/>
      <c r="E42" s="1404"/>
      <c r="F42" s="1404"/>
      <c r="G42" s="1404"/>
      <c r="H42" s="1413"/>
      <c r="I42" s="1414"/>
      <c r="J42" s="1415"/>
      <c r="K42" s="1405"/>
      <c r="L42" s="1406"/>
      <c r="M42" s="1406"/>
      <c r="N42" s="1407"/>
      <c r="O42" s="1408"/>
      <c r="P42" s="1409"/>
      <c r="Q42" s="1409"/>
      <c r="R42" s="1410"/>
      <c r="S42" s="1401"/>
      <c r="T42" s="1402"/>
      <c r="U42" s="1403"/>
      <c r="V42" s="1411"/>
      <c r="W42" s="1411"/>
      <c r="X42" s="1411"/>
      <c r="Y42" s="1411"/>
      <c r="Z42" s="1401"/>
      <c r="AA42" s="1402"/>
      <c r="AB42" s="1402"/>
      <c r="AC42" s="1403"/>
      <c r="AD42" s="4"/>
    </row>
    <row r="43" spans="1:30" ht="15.75">
      <c r="A43" s="39">
        <v>5</v>
      </c>
      <c r="B43" s="1412"/>
      <c r="C43" s="1412"/>
      <c r="D43" s="1412"/>
      <c r="E43" s="1412"/>
      <c r="F43" s="1412"/>
      <c r="G43" s="1412"/>
      <c r="H43" s="1413"/>
      <c r="I43" s="1414"/>
      <c r="J43" s="1415"/>
      <c r="K43" s="1405"/>
      <c r="L43" s="1406"/>
      <c r="M43" s="1406"/>
      <c r="N43" s="1407"/>
      <c r="O43" s="1408"/>
      <c r="P43" s="1409"/>
      <c r="Q43" s="1409"/>
      <c r="R43" s="1410"/>
      <c r="S43" s="1401"/>
      <c r="T43" s="1402"/>
      <c r="U43" s="1403"/>
      <c r="V43" s="1411"/>
      <c r="W43" s="1411"/>
      <c r="X43" s="1411"/>
      <c r="Y43" s="1411"/>
      <c r="Z43" s="1401"/>
      <c r="AA43" s="1402"/>
      <c r="AB43" s="1402"/>
      <c r="AC43" s="1403"/>
      <c r="AD43" s="4"/>
    </row>
    <row r="44" spans="1:30" ht="15.75">
      <c r="A44" s="6"/>
      <c r="B44" s="1416" t="s">
        <v>825</v>
      </c>
      <c r="C44" s="1416"/>
      <c r="D44" s="1416"/>
      <c r="E44" s="1416"/>
      <c r="F44" s="1416"/>
      <c r="G44" s="1416"/>
      <c r="H44" s="6"/>
      <c r="I44" s="6"/>
      <c r="J44" s="6"/>
      <c r="K44" s="80"/>
      <c r="L44" s="80"/>
      <c r="M44" s="80"/>
      <c r="N44" s="80"/>
      <c r="O44" s="6"/>
      <c r="P44" s="6"/>
      <c r="Q44" s="6"/>
      <c r="R44" s="6"/>
      <c r="S44" s="1417">
        <f>SUM(S39:U43)</f>
        <v>0</v>
      </c>
      <c r="T44" s="1418"/>
      <c r="U44" s="1419"/>
      <c r="V44" s="6"/>
      <c r="W44" s="6"/>
      <c r="X44" s="6"/>
      <c r="Y44" s="6"/>
      <c r="Z44" s="6"/>
      <c r="AA44" s="6"/>
      <c r="AB44" s="6"/>
      <c r="AC44" s="6"/>
      <c r="AD44" s="4"/>
    </row>
    <row r="45" spans="1:30" ht="9.9499999999999993" customHeight="1">
      <c r="A45" s="4"/>
      <c r="B45" s="51"/>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spans="1:30" ht="15.75">
      <c r="A46" s="1420" t="s">
        <v>84</v>
      </c>
      <c r="B46" s="1420"/>
      <c r="C46" s="1421"/>
      <c r="D46" s="1421"/>
      <c r="E46" s="1421"/>
      <c r="F46" s="1421"/>
      <c r="G46" s="1421"/>
      <c r="H46" s="1421"/>
      <c r="I46" s="1421"/>
      <c r="J46" s="1421"/>
      <c r="K46" s="1421"/>
      <c r="L46" s="1421"/>
      <c r="M46" s="1421"/>
      <c r="N46" s="1421"/>
      <c r="O46" s="1421"/>
      <c r="P46" s="1421"/>
      <c r="Q46" s="1421"/>
      <c r="R46" s="1421"/>
      <c r="S46" s="1421"/>
      <c r="T46" s="1421"/>
      <c r="U46" s="1421"/>
      <c r="V46" s="1421"/>
      <c r="W46" s="1421"/>
      <c r="X46" s="1421"/>
      <c r="Y46" s="1421"/>
      <c r="Z46" s="1421"/>
      <c r="AA46" s="1421"/>
      <c r="AB46" s="1421"/>
      <c r="AC46" s="1421"/>
      <c r="AD46" s="2"/>
    </row>
    <row r="47" spans="1:30" s="24" customFormat="1" ht="9.9499999999999993" customHeight="1">
      <c r="A47" s="57"/>
      <c r="B47" s="57"/>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9"/>
    </row>
    <row r="48" spans="1:30" ht="15.75">
      <c r="A48" s="1370" t="s">
        <v>824</v>
      </c>
      <c r="B48" s="1370"/>
      <c r="C48" s="1370"/>
      <c r="D48" s="1370"/>
      <c r="E48" s="1370"/>
      <c r="F48" s="1370"/>
      <c r="G48" s="1370"/>
      <c r="H48" s="1370"/>
      <c r="I48" s="1370"/>
      <c r="J48" s="1370"/>
      <c r="K48" s="1370"/>
      <c r="L48" s="1370"/>
      <c r="M48" s="1370"/>
      <c r="N48" s="1370"/>
      <c r="O48" s="1370"/>
      <c r="P48" s="1370"/>
      <c r="Q48" s="1370"/>
      <c r="R48" s="1370"/>
      <c r="S48" s="1370"/>
      <c r="T48" s="1370"/>
      <c r="U48" s="1370"/>
      <c r="V48" s="1370"/>
      <c r="W48" s="1370"/>
      <c r="X48" s="1370"/>
      <c r="Y48" s="1370"/>
      <c r="Z48" s="1370"/>
      <c r="AA48" s="1370"/>
      <c r="AB48" s="1370"/>
      <c r="AC48" s="1370"/>
      <c r="AD48" s="1370"/>
    </row>
    <row r="49" spans="1:30" s="24" customFormat="1" ht="15.75">
      <c r="A49" s="42"/>
      <c r="B49" s="679" t="s">
        <v>828</v>
      </c>
      <c r="C49" s="679"/>
      <c r="D49" s="679"/>
      <c r="E49" s="679"/>
      <c r="F49" s="679"/>
      <c r="G49" s="679"/>
      <c r="H49" s="42"/>
      <c r="I49" s="42"/>
      <c r="J49" s="42"/>
      <c r="K49" s="42"/>
      <c r="L49" s="42"/>
      <c r="M49" s="42"/>
      <c r="N49" s="42"/>
      <c r="O49" s="42"/>
      <c r="P49" s="42"/>
      <c r="Q49" s="42"/>
      <c r="R49" s="42"/>
      <c r="S49" s="42"/>
      <c r="T49" s="42"/>
      <c r="U49" s="42"/>
      <c r="V49" s="42"/>
      <c r="W49" s="42"/>
      <c r="X49" s="42"/>
      <c r="Y49" s="42"/>
      <c r="Z49" s="42"/>
      <c r="AA49" s="42"/>
      <c r="AB49" s="42"/>
      <c r="AC49" s="42"/>
      <c r="AD49" s="42"/>
    </row>
    <row r="50" spans="1:30" ht="15.75">
      <c r="A50" s="4"/>
      <c r="B50" s="1386" t="s">
        <v>85</v>
      </c>
      <c r="C50" s="1386"/>
      <c r="D50" s="1386"/>
      <c r="E50" s="1386"/>
      <c r="F50" s="1386"/>
      <c r="G50" s="1386"/>
      <c r="H50" s="1386" t="s">
        <v>78</v>
      </c>
      <c r="I50" s="1386"/>
      <c r="J50" s="1386"/>
      <c r="K50" s="1386" t="s">
        <v>86</v>
      </c>
      <c r="L50" s="1386"/>
      <c r="M50" s="1386"/>
      <c r="N50" s="1386"/>
      <c r="O50" s="1386" t="s">
        <v>87</v>
      </c>
      <c r="P50" s="1386"/>
      <c r="Q50" s="1386"/>
      <c r="R50" s="1386"/>
      <c r="S50" s="1367" t="s">
        <v>82</v>
      </c>
      <c r="T50" s="1368"/>
      <c r="U50" s="1368"/>
      <c r="V50" s="1368"/>
      <c r="W50" s="1368"/>
      <c r="X50" s="1368"/>
      <c r="Y50" s="1369"/>
      <c r="Z50" s="1386" t="s">
        <v>827</v>
      </c>
      <c r="AA50" s="1386"/>
      <c r="AB50" s="1386"/>
      <c r="AC50" s="1386"/>
      <c r="AD50" s="4"/>
    </row>
    <row r="51" spans="1:30" ht="15.75">
      <c r="A51" s="39">
        <v>1</v>
      </c>
      <c r="B51" s="1382" t="s">
        <v>1306</v>
      </c>
      <c r="C51" s="1382"/>
      <c r="D51" s="1382"/>
      <c r="E51" s="1382"/>
      <c r="F51" s="1382"/>
      <c r="G51" s="1382"/>
      <c r="H51" s="1373" t="s">
        <v>1091</v>
      </c>
      <c r="I51" s="1374"/>
      <c r="J51" s="1375"/>
      <c r="K51" s="1377"/>
      <c r="L51" s="1377"/>
      <c r="M51" s="1377"/>
      <c r="N51" s="1377"/>
      <c r="O51" s="1377"/>
      <c r="P51" s="1377"/>
      <c r="Q51" s="1377"/>
      <c r="R51" s="1377"/>
      <c r="S51" s="1364"/>
      <c r="T51" s="1365"/>
      <c r="U51" s="1365"/>
      <c r="V51" s="1365"/>
      <c r="W51" s="1365"/>
      <c r="X51" s="1365"/>
      <c r="Y51" s="1366"/>
      <c r="Z51" s="1379"/>
      <c r="AA51" s="1379"/>
      <c r="AB51" s="1379"/>
      <c r="AC51" s="1379"/>
      <c r="AD51" s="4"/>
    </row>
    <row r="52" spans="1:30" ht="15.75">
      <c r="A52" s="39">
        <v>2</v>
      </c>
      <c r="B52" s="1382" t="s">
        <v>1307</v>
      </c>
      <c r="C52" s="1382"/>
      <c r="D52" s="1382"/>
      <c r="E52" s="1382"/>
      <c r="F52" s="1382"/>
      <c r="G52" s="1382"/>
      <c r="H52" s="1373" t="s">
        <v>1091</v>
      </c>
      <c r="I52" s="1374"/>
      <c r="J52" s="1375"/>
      <c r="K52" s="1377"/>
      <c r="L52" s="1377"/>
      <c r="M52" s="1377"/>
      <c r="N52" s="1377"/>
      <c r="O52" s="1377"/>
      <c r="P52" s="1377"/>
      <c r="Q52" s="1377"/>
      <c r="R52" s="1377"/>
      <c r="S52" s="1364"/>
      <c r="T52" s="1365"/>
      <c r="U52" s="1365"/>
      <c r="V52" s="1365"/>
      <c r="W52" s="1365"/>
      <c r="X52" s="1365"/>
      <c r="Y52" s="1366"/>
      <c r="Z52" s="1379"/>
      <c r="AA52" s="1379"/>
      <c r="AB52" s="1379"/>
      <c r="AC52" s="1379"/>
      <c r="AD52" s="4"/>
    </row>
    <row r="53" spans="1:30" ht="15.75">
      <c r="A53" s="39">
        <v>3</v>
      </c>
      <c r="B53" s="1382" t="s">
        <v>1308</v>
      </c>
      <c r="C53" s="1382"/>
      <c r="D53" s="1382"/>
      <c r="E53" s="1382"/>
      <c r="F53" s="1382"/>
      <c r="G53" s="1382"/>
      <c r="H53" s="1373" t="s">
        <v>1091</v>
      </c>
      <c r="I53" s="1374"/>
      <c r="J53" s="1375"/>
      <c r="K53" s="1377"/>
      <c r="L53" s="1377"/>
      <c r="M53" s="1377"/>
      <c r="N53" s="1377"/>
      <c r="O53" s="1377"/>
      <c r="P53" s="1377"/>
      <c r="Q53" s="1377"/>
      <c r="R53" s="1377"/>
      <c r="S53" s="1364"/>
      <c r="T53" s="1365"/>
      <c r="U53" s="1365"/>
      <c r="V53" s="1365"/>
      <c r="W53" s="1365"/>
      <c r="X53" s="1365"/>
      <c r="Y53" s="1366"/>
      <c r="Z53" s="1379"/>
      <c r="AA53" s="1379"/>
      <c r="AB53" s="1379"/>
      <c r="AC53" s="1379"/>
      <c r="AD53" s="4"/>
    </row>
    <row r="54" spans="1:30" ht="15.75">
      <c r="A54" s="39">
        <v>4</v>
      </c>
      <c r="B54" s="1372"/>
      <c r="C54" s="1372"/>
      <c r="D54" s="1372"/>
      <c r="E54" s="1372"/>
      <c r="F54" s="1372"/>
      <c r="G54" s="1372"/>
      <c r="H54" s="1373" t="s">
        <v>1091</v>
      </c>
      <c r="I54" s="1374"/>
      <c r="J54" s="1375"/>
      <c r="K54" s="1377"/>
      <c r="L54" s="1377"/>
      <c r="M54" s="1377"/>
      <c r="N54" s="1377"/>
      <c r="O54" s="1377"/>
      <c r="P54" s="1377"/>
      <c r="Q54" s="1377"/>
      <c r="R54" s="1377"/>
      <c r="S54" s="1364"/>
      <c r="T54" s="1365"/>
      <c r="U54" s="1365"/>
      <c r="V54" s="1365"/>
      <c r="W54" s="1365"/>
      <c r="X54" s="1365"/>
      <c r="Y54" s="1366"/>
      <c r="Z54" s="1379"/>
      <c r="AA54" s="1379"/>
      <c r="AB54" s="1379"/>
      <c r="AC54" s="1379"/>
      <c r="AD54" s="4"/>
    </row>
    <row r="55" spans="1:30" ht="15.75">
      <c r="A55" s="39">
        <v>5</v>
      </c>
      <c r="B55" s="1372"/>
      <c r="C55" s="1372"/>
      <c r="D55" s="1372"/>
      <c r="E55" s="1372"/>
      <c r="F55" s="1372"/>
      <c r="G55" s="1372"/>
      <c r="H55" s="1373" t="s">
        <v>1091</v>
      </c>
      <c r="I55" s="1374"/>
      <c r="J55" s="1375"/>
      <c r="K55" s="1377"/>
      <c r="L55" s="1377"/>
      <c r="M55" s="1377"/>
      <c r="N55" s="1377"/>
      <c r="O55" s="1377"/>
      <c r="P55" s="1377"/>
      <c r="Q55" s="1377"/>
      <c r="R55" s="1422"/>
      <c r="S55" s="1364"/>
      <c r="T55" s="1365"/>
      <c r="U55" s="1365"/>
      <c r="V55" s="1365"/>
      <c r="W55" s="1365"/>
      <c r="X55" s="1365"/>
      <c r="Y55" s="1366"/>
      <c r="Z55" s="1366"/>
      <c r="AA55" s="1379"/>
      <c r="AB55" s="1379"/>
      <c r="AC55" s="1379"/>
      <c r="AD55" s="4"/>
    </row>
    <row r="56" spans="1:30" ht="15.75">
      <c r="A56" s="39"/>
      <c r="B56" s="39" t="s">
        <v>826</v>
      </c>
      <c r="C56" s="52"/>
      <c r="D56" s="6"/>
      <c r="E56" s="6"/>
      <c r="F56" s="6"/>
      <c r="G56" s="6"/>
      <c r="H56" s="6"/>
      <c r="I56" s="6"/>
      <c r="J56" s="6"/>
      <c r="K56" s="1383">
        <f>SUM(K51:N55)</f>
        <v>0</v>
      </c>
      <c r="L56" s="1384"/>
      <c r="M56" s="1384"/>
      <c r="N56" s="1385"/>
      <c r="O56" s="1383">
        <f>SUM(O51:R55)</f>
        <v>0</v>
      </c>
      <c r="P56" s="1384"/>
      <c r="Q56" s="1384"/>
      <c r="R56" s="1384"/>
      <c r="S56" s="205"/>
      <c r="T56" s="205"/>
      <c r="U56" s="205"/>
      <c r="V56" s="205"/>
      <c r="W56" s="205"/>
      <c r="X56" s="205"/>
      <c r="Y56" s="205"/>
      <c r="Z56" s="59"/>
      <c r="AA56" s="59"/>
      <c r="AB56" s="59"/>
      <c r="AC56" s="59"/>
      <c r="AD56" s="4"/>
    </row>
    <row r="57" spans="1:30" ht="6.75" customHeight="1">
      <c r="A57" s="39"/>
      <c r="B57" s="39"/>
      <c r="C57" s="52"/>
      <c r="D57" s="6"/>
      <c r="E57" s="6"/>
      <c r="F57" s="6"/>
      <c r="G57" s="6"/>
      <c r="H57" s="6"/>
      <c r="I57" s="6"/>
      <c r="J57" s="6"/>
      <c r="K57" s="60"/>
      <c r="L57" s="61"/>
      <c r="M57" s="61"/>
      <c r="N57" s="61"/>
      <c r="O57" s="60"/>
      <c r="P57" s="61"/>
      <c r="Q57" s="61"/>
      <c r="R57" s="61"/>
      <c r="S57" s="60"/>
      <c r="T57" s="61"/>
      <c r="U57" s="61"/>
      <c r="V57" s="59"/>
      <c r="W57" s="59"/>
      <c r="X57" s="59"/>
      <c r="Y57" s="59"/>
      <c r="Z57" s="59"/>
      <c r="AA57" s="59"/>
      <c r="AB57" s="59"/>
      <c r="AC57" s="59"/>
      <c r="AD57" s="4"/>
    </row>
    <row r="58" spans="1:30" ht="15.75">
      <c r="A58" s="39"/>
      <c r="B58" s="679" t="s">
        <v>830</v>
      </c>
      <c r="C58" s="679"/>
      <c r="D58" s="679"/>
      <c r="E58" s="679"/>
      <c r="F58" s="679"/>
      <c r="G58" s="679"/>
      <c r="H58" s="177" t="s">
        <v>829</v>
      </c>
      <c r="I58" s="33"/>
      <c r="J58" s="33"/>
      <c r="K58" s="33"/>
      <c r="L58" s="33"/>
      <c r="M58" s="33"/>
      <c r="N58" s="33"/>
      <c r="O58" s="33"/>
      <c r="P58" s="33"/>
      <c r="Q58" s="33"/>
      <c r="R58" s="33"/>
      <c r="S58" s="33"/>
      <c r="T58" s="33"/>
      <c r="U58" s="33"/>
      <c r="V58" s="33"/>
      <c r="W58" s="33"/>
      <c r="X58" s="33"/>
      <c r="Y58" s="33"/>
      <c r="Z58" s="33"/>
      <c r="AA58" s="33"/>
      <c r="AB58" s="33"/>
      <c r="AC58" s="33"/>
      <c r="AD58" s="4"/>
    </row>
    <row r="59" spans="1:30" ht="15.75">
      <c r="A59" s="39"/>
      <c r="B59" s="1386" t="s">
        <v>85</v>
      </c>
      <c r="C59" s="1386"/>
      <c r="D59" s="1386"/>
      <c r="E59" s="1386"/>
      <c r="F59" s="1386"/>
      <c r="G59" s="1386"/>
      <c r="H59" s="1386" t="s">
        <v>78</v>
      </c>
      <c r="I59" s="1386"/>
      <c r="J59" s="1386"/>
      <c r="K59" s="1386" t="s">
        <v>86</v>
      </c>
      <c r="L59" s="1386"/>
      <c r="M59" s="1386"/>
      <c r="N59" s="1386"/>
      <c r="O59" s="1386" t="s">
        <v>87</v>
      </c>
      <c r="P59" s="1386"/>
      <c r="Q59" s="1386"/>
      <c r="R59" s="1386"/>
      <c r="S59" s="1367" t="s">
        <v>82</v>
      </c>
      <c r="T59" s="1368"/>
      <c r="U59" s="1368"/>
      <c r="V59" s="1368"/>
      <c r="W59" s="1368"/>
      <c r="X59" s="1368"/>
      <c r="Y59" s="1369"/>
      <c r="Z59" s="1386" t="s">
        <v>827</v>
      </c>
      <c r="AA59" s="1386"/>
      <c r="AB59" s="1386"/>
      <c r="AC59" s="1386"/>
      <c r="AD59" s="4"/>
    </row>
    <row r="60" spans="1:30" ht="15.75">
      <c r="A60" s="39">
        <v>1</v>
      </c>
      <c r="B60" s="1382" t="str">
        <f>+B40</f>
        <v>Estacionamiento N°</v>
      </c>
      <c r="C60" s="1382"/>
      <c r="D60" s="1382"/>
      <c r="E60" s="1382"/>
      <c r="F60" s="1382"/>
      <c r="G60" s="1382"/>
      <c r="H60" s="1373" t="s">
        <v>1091</v>
      </c>
      <c r="I60" s="1374"/>
      <c r="J60" s="1375"/>
      <c r="K60" s="1377"/>
      <c r="L60" s="1377"/>
      <c r="M60" s="1377"/>
      <c r="N60" s="1377"/>
      <c r="O60" s="1377"/>
      <c r="P60" s="1377"/>
      <c r="Q60" s="1377"/>
      <c r="R60" s="1377"/>
      <c r="S60" s="1364"/>
      <c r="T60" s="1365"/>
      <c r="U60" s="1365"/>
      <c r="V60" s="1365"/>
      <c r="W60" s="1365"/>
      <c r="X60" s="1365"/>
      <c r="Y60" s="1366"/>
      <c r="Z60" s="1379"/>
      <c r="AA60" s="1379"/>
      <c r="AB60" s="1379"/>
      <c r="AC60" s="1379"/>
      <c r="AD60" s="4"/>
    </row>
    <row r="61" spans="1:30" ht="15.75">
      <c r="A61" s="39">
        <v>2</v>
      </c>
      <c r="B61" s="1382" t="str">
        <f>+B41</f>
        <v>Depósito N°</v>
      </c>
      <c r="C61" s="1382"/>
      <c r="D61" s="1382"/>
      <c r="E61" s="1382"/>
      <c r="F61" s="1382"/>
      <c r="G61" s="1382"/>
      <c r="H61" s="1373" t="s">
        <v>1091</v>
      </c>
      <c r="I61" s="1374"/>
      <c r="J61" s="1375"/>
      <c r="K61" s="1377"/>
      <c r="L61" s="1377"/>
      <c r="M61" s="1377"/>
      <c r="N61" s="1377"/>
      <c r="O61" s="1377"/>
      <c r="P61" s="1377"/>
      <c r="Q61" s="1377"/>
      <c r="R61" s="1377"/>
      <c r="S61" s="1364"/>
      <c r="T61" s="1365"/>
      <c r="U61" s="1365"/>
      <c r="V61" s="1365"/>
      <c r="W61" s="1365"/>
      <c r="X61" s="1365"/>
      <c r="Y61" s="1366"/>
      <c r="Z61" s="1379"/>
      <c r="AA61" s="1379"/>
      <c r="AB61" s="1379"/>
      <c r="AC61" s="1379"/>
      <c r="AD61" s="4"/>
    </row>
    <row r="62" spans="1:30" ht="15.75">
      <c r="A62" s="39">
        <v>3</v>
      </c>
      <c r="B62" s="1382"/>
      <c r="C62" s="1382"/>
      <c r="D62" s="1382"/>
      <c r="E62" s="1382"/>
      <c r="F62" s="1382"/>
      <c r="G62" s="1382"/>
      <c r="H62" s="1373" t="s">
        <v>1091</v>
      </c>
      <c r="I62" s="1374"/>
      <c r="J62" s="1375"/>
      <c r="K62" s="1377"/>
      <c r="L62" s="1377"/>
      <c r="M62" s="1377"/>
      <c r="N62" s="1377"/>
      <c r="O62" s="1377"/>
      <c r="P62" s="1377"/>
      <c r="Q62" s="1377"/>
      <c r="R62" s="1377"/>
      <c r="S62" s="1364"/>
      <c r="T62" s="1365"/>
      <c r="U62" s="1365"/>
      <c r="V62" s="1365"/>
      <c r="W62" s="1365"/>
      <c r="X62" s="1365"/>
      <c r="Y62" s="1366"/>
      <c r="Z62" s="1379"/>
      <c r="AA62" s="1379"/>
      <c r="AB62" s="1379"/>
      <c r="AC62" s="1379"/>
      <c r="AD62" s="4"/>
    </row>
    <row r="63" spans="1:30" ht="15.75">
      <c r="A63" s="39">
        <v>4</v>
      </c>
      <c r="B63" s="1372"/>
      <c r="C63" s="1372"/>
      <c r="D63" s="1372"/>
      <c r="E63" s="1372"/>
      <c r="F63" s="1372"/>
      <c r="G63" s="1372"/>
      <c r="H63" s="1373" t="s">
        <v>1091</v>
      </c>
      <c r="I63" s="1374"/>
      <c r="J63" s="1375"/>
      <c r="K63" s="1377"/>
      <c r="L63" s="1377"/>
      <c r="M63" s="1377"/>
      <c r="N63" s="1377"/>
      <c r="O63" s="1377"/>
      <c r="P63" s="1377"/>
      <c r="Q63" s="1377"/>
      <c r="R63" s="1377"/>
      <c r="S63" s="1364"/>
      <c r="T63" s="1365"/>
      <c r="U63" s="1365"/>
      <c r="V63" s="1365"/>
      <c r="W63" s="1365"/>
      <c r="X63" s="1365"/>
      <c r="Y63" s="1366"/>
      <c r="Z63" s="1379"/>
      <c r="AA63" s="1379"/>
      <c r="AB63" s="1379"/>
      <c r="AC63" s="1379"/>
      <c r="AD63" s="4"/>
    </row>
    <row r="64" spans="1:30" ht="15.75">
      <c r="A64" s="39">
        <v>5</v>
      </c>
      <c r="B64" s="1372"/>
      <c r="C64" s="1372"/>
      <c r="D64" s="1372"/>
      <c r="E64" s="1372"/>
      <c r="F64" s="1372"/>
      <c r="G64" s="1372"/>
      <c r="H64" s="1373" t="s">
        <v>1091</v>
      </c>
      <c r="I64" s="1374"/>
      <c r="J64" s="1375"/>
      <c r="K64" s="1377"/>
      <c r="L64" s="1377"/>
      <c r="M64" s="1377"/>
      <c r="N64" s="1377"/>
      <c r="O64" s="1377"/>
      <c r="P64" s="1377"/>
      <c r="Q64" s="1377"/>
      <c r="R64" s="1377"/>
      <c r="S64" s="1364"/>
      <c r="T64" s="1365"/>
      <c r="U64" s="1365"/>
      <c r="V64" s="1365"/>
      <c r="W64" s="1365"/>
      <c r="X64" s="1365"/>
      <c r="Y64" s="1366"/>
      <c r="Z64" s="1379"/>
      <c r="AA64" s="1379"/>
      <c r="AB64" s="1379"/>
      <c r="AC64" s="1379"/>
      <c r="AD64" s="4"/>
    </row>
    <row r="65" spans="1:30" ht="15.75">
      <c r="A65" s="6"/>
      <c r="B65" s="39" t="s">
        <v>826</v>
      </c>
      <c r="C65" s="52"/>
      <c r="D65" s="6"/>
      <c r="E65" s="6"/>
      <c r="F65" s="6"/>
      <c r="G65" s="6"/>
      <c r="H65" s="6"/>
      <c r="I65" s="6"/>
      <c r="J65" s="6"/>
      <c r="K65" s="1383">
        <f>SUM(K60:N64)</f>
        <v>0</v>
      </c>
      <c r="L65" s="1384"/>
      <c r="M65" s="1384"/>
      <c r="N65" s="1384"/>
      <c r="O65" s="1383">
        <f>SUM(O60:R64)</f>
        <v>0</v>
      </c>
      <c r="P65" s="1384"/>
      <c r="Q65" s="1384"/>
      <c r="R65" s="1384"/>
      <c r="S65" s="1423"/>
      <c r="T65" s="1424"/>
      <c r="U65" s="1425"/>
      <c r="V65" s="6"/>
      <c r="W65" s="6"/>
      <c r="X65" s="6"/>
      <c r="Y65" s="6"/>
      <c r="Z65" s="6"/>
      <c r="AA65" s="6"/>
      <c r="AB65" s="6"/>
      <c r="AC65" s="6"/>
      <c r="AD65" s="4"/>
    </row>
    <row r="66" spans="1:30" ht="15.75">
      <c r="A66" s="57"/>
      <c r="B66" s="57"/>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9"/>
    </row>
    <row r="67" spans="1:30" ht="15.75">
      <c r="A67" s="1370" t="s">
        <v>831</v>
      </c>
      <c r="B67" s="1370"/>
      <c r="C67" s="1370"/>
      <c r="D67" s="1370"/>
      <c r="E67" s="1370"/>
      <c r="F67" s="1370"/>
      <c r="G67" s="1370"/>
      <c r="H67" s="1370"/>
      <c r="I67" s="1370"/>
      <c r="J67" s="1370"/>
      <c r="K67" s="1370"/>
      <c r="L67" s="1370"/>
      <c r="M67" s="1370"/>
      <c r="N67" s="1370"/>
      <c r="O67" s="1370"/>
      <c r="P67" s="1370"/>
      <c r="Q67" s="1370"/>
      <c r="R67" s="1370"/>
      <c r="S67" s="1370"/>
      <c r="T67" s="1370"/>
      <c r="U67" s="1370"/>
      <c r="V67" s="1370"/>
      <c r="W67" s="1370"/>
      <c r="X67" s="1370"/>
      <c r="Y67" s="1370"/>
      <c r="Z67" s="1370"/>
      <c r="AA67" s="1370"/>
      <c r="AB67" s="1370"/>
      <c r="AC67" s="1370"/>
      <c r="AD67" s="1370"/>
    </row>
    <row r="68" spans="1:30" ht="15.75">
      <c r="A68" s="39"/>
      <c r="B68" s="1386" t="s">
        <v>85</v>
      </c>
      <c r="C68" s="1386"/>
      <c r="D68" s="1386"/>
      <c r="E68" s="1386"/>
      <c r="F68" s="1386"/>
      <c r="G68" s="1386"/>
      <c r="H68" s="1386" t="s">
        <v>78</v>
      </c>
      <c r="I68" s="1386"/>
      <c r="J68" s="1386"/>
      <c r="K68" s="1386" t="s">
        <v>201</v>
      </c>
      <c r="L68" s="1386"/>
      <c r="M68" s="1386"/>
      <c r="N68" s="1386"/>
      <c r="O68" s="1386" t="s">
        <v>47</v>
      </c>
      <c r="P68" s="1386"/>
      <c r="Q68" s="1386"/>
      <c r="R68" s="1386"/>
      <c r="S68" s="1386" t="s">
        <v>832</v>
      </c>
      <c r="T68" s="1386"/>
      <c r="U68" s="1386"/>
      <c r="V68" s="1386" t="s">
        <v>82</v>
      </c>
      <c r="W68" s="1386"/>
      <c r="X68" s="1386"/>
      <c r="Y68" s="1386"/>
      <c r="Z68" s="1386" t="s">
        <v>827</v>
      </c>
      <c r="AA68" s="1386"/>
      <c r="AB68" s="1386"/>
      <c r="AC68" s="1386"/>
      <c r="AD68" s="4"/>
    </row>
    <row r="69" spans="1:30" ht="15.75">
      <c r="A69" s="39">
        <v>1</v>
      </c>
      <c r="B69" s="1382"/>
      <c r="C69" s="1382"/>
      <c r="D69" s="1382"/>
      <c r="E69" s="1382"/>
      <c r="F69" s="1382"/>
      <c r="G69" s="1382"/>
      <c r="H69" s="1373" t="s">
        <v>1249</v>
      </c>
      <c r="I69" s="1374"/>
      <c r="J69" s="1375"/>
      <c r="K69" s="1376"/>
      <c r="L69" s="1376"/>
      <c r="M69" s="1376"/>
      <c r="N69" s="1376"/>
      <c r="O69" s="1427"/>
      <c r="P69" s="1427"/>
      <c r="Q69" s="1427"/>
      <c r="R69" s="1427"/>
      <c r="S69" s="1378"/>
      <c r="T69" s="1378"/>
      <c r="U69" s="1378"/>
      <c r="V69" s="1379"/>
      <c r="W69" s="1379"/>
      <c r="X69" s="1379"/>
      <c r="Y69" s="1379"/>
      <c r="Z69" s="1326"/>
      <c r="AA69" s="1326"/>
      <c r="AB69" s="1326"/>
      <c r="AC69" s="1326"/>
      <c r="AD69" s="4"/>
    </row>
    <row r="70" spans="1:30" ht="15.75">
      <c r="A70" s="39">
        <v>2</v>
      </c>
      <c r="B70" s="1382"/>
      <c r="C70" s="1382"/>
      <c r="D70" s="1382"/>
      <c r="E70" s="1382"/>
      <c r="F70" s="1382"/>
      <c r="G70" s="1382"/>
      <c r="H70" s="1373" t="s">
        <v>1091</v>
      </c>
      <c r="I70" s="1374"/>
      <c r="J70" s="1375"/>
      <c r="K70" s="1376"/>
      <c r="L70" s="1376"/>
      <c r="M70" s="1376"/>
      <c r="N70" s="1376"/>
      <c r="O70" s="1427"/>
      <c r="P70" s="1427"/>
      <c r="Q70" s="1427"/>
      <c r="R70" s="1427"/>
      <c r="S70" s="1378"/>
      <c r="T70" s="1378"/>
      <c r="U70" s="1378"/>
      <c r="V70" s="1379"/>
      <c r="W70" s="1379"/>
      <c r="X70" s="1379"/>
      <c r="Y70" s="1379"/>
      <c r="Z70" s="1326"/>
      <c r="AA70" s="1326"/>
      <c r="AB70" s="1326"/>
      <c r="AC70" s="1326"/>
      <c r="AD70" s="4"/>
    </row>
    <row r="71" spans="1:30" ht="15.75">
      <c r="A71" s="39">
        <v>3</v>
      </c>
      <c r="B71" s="1382"/>
      <c r="C71" s="1382"/>
      <c r="D71" s="1382"/>
      <c r="E71" s="1382"/>
      <c r="F71" s="1382"/>
      <c r="G71" s="1382"/>
      <c r="H71" s="1373" t="s">
        <v>1253</v>
      </c>
      <c r="I71" s="1374"/>
      <c r="J71" s="1375"/>
      <c r="K71" s="1376"/>
      <c r="L71" s="1376"/>
      <c r="M71" s="1376"/>
      <c r="N71" s="1376"/>
      <c r="O71" s="1377"/>
      <c r="P71" s="1377"/>
      <c r="Q71" s="1377"/>
      <c r="R71" s="1377"/>
      <c r="S71" s="1378"/>
      <c r="T71" s="1378"/>
      <c r="U71" s="1378"/>
      <c r="V71" s="1379"/>
      <c r="W71" s="1379"/>
      <c r="X71" s="1379"/>
      <c r="Y71" s="1379"/>
      <c r="Z71" s="1326"/>
      <c r="AA71" s="1326"/>
      <c r="AB71" s="1326"/>
      <c r="AC71" s="1326"/>
      <c r="AD71" s="4"/>
    </row>
    <row r="72" spans="1:30" ht="15.75">
      <c r="A72" s="39">
        <v>4</v>
      </c>
      <c r="B72" s="1372"/>
      <c r="C72" s="1372"/>
      <c r="D72" s="1372"/>
      <c r="E72" s="1372"/>
      <c r="F72" s="1372"/>
      <c r="G72" s="1372"/>
      <c r="H72" s="1373" t="s">
        <v>1091</v>
      </c>
      <c r="I72" s="1374"/>
      <c r="J72" s="1375"/>
      <c r="K72" s="1376"/>
      <c r="L72" s="1376"/>
      <c r="M72" s="1376"/>
      <c r="N72" s="1376"/>
      <c r="O72" s="1377"/>
      <c r="P72" s="1377"/>
      <c r="Q72" s="1377"/>
      <c r="R72" s="1377"/>
      <c r="S72" s="1378"/>
      <c r="T72" s="1378"/>
      <c r="U72" s="1378"/>
      <c r="V72" s="1379"/>
      <c r="W72" s="1379"/>
      <c r="X72" s="1379"/>
      <c r="Y72" s="1379"/>
      <c r="Z72" s="1326"/>
      <c r="AA72" s="1326"/>
      <c r="AB72" s="1326"/>
      <c r="AC72" s="1326"/>
      <c r="AD72" s="4"/>
    </row>
    <row r="73" spans="1:30" ht="15.7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spans="1:30" ht="15.75">
      <c r="A74" s="1370" t="s">
        <v>833</v>
      </c>
      <c r="B74" s="1370"/>
      <c r="C74" s="1370"/>
      <c r="D74" s="1370"/>
      <c r="E74" s="1370"/>
      <c r="F74" s="1370"/>
      <c r="G74" s="1370"/>
      <c r="H74" s="1370"/>
      <c r="I74" s="1370"/>
      <c r="J74" s="1370"/>
      <c r="K74" s="1370"/>
      <c r="L74" s="1370"/>
      <c r="M74" s="1370"/>
      <c r="N74" s="1370"/>
      <c r="O74" s="1370"/>
      <c r="P74" s="1370"/>
      <c r="Q74" s="1370"/>
      <c r="R74" s="1370"/>
      <c r="S74" s="1370"/>
      <c r="T74" s="1370"/>
      <c r="U74" s="1370"/>
      <c r="V74" s="1370"/>
      <c r="W74" s="1370"/>
      <c r="X74" s="1370"/>
      <c r="Y74" s="1370"/>
      <c r="Z74" s="1370"/>
      <c r="AA74" s="1370"/>
      <c r="AB74" s="1370"/>
      <c r="AC74" s="1370"/>
      <c r="AD74" s="1370"/>
    </row>
    <row r="75" spans="1:30" ht="7.5" customHeight="1">
      <c r="A75" s="4"/>
      <c r="B75" s="1426"/>
      <c r="C75" s="1426"/>
      <c r="D75" s="1426"/>
      <c r="E75" s="1426"/>
      <c r="F75" s="1426"/>
      <c r="G75" s="1426"/>
      <c r="H75" s="62"/>
      <c r="I75" s="1426"/>
      <c r="J75" s="1426"/>
      <c r="K75" s="1426"/>
      <c r="L75" s="1426"/>
      <c r="M75" s="24"/>
      <c r="N75" s="4"/>
      <c r="O75" s="4"/>
      <c r="P75" s="4"/>
      <c r="Q75" s="206"/>
      <c r="R75" s="206"/>
      <c r="S75" s="206"/>
      <c r="T75" s="206"/>
      <c r="U75" s="206"/>
      <c r="V75" s="206"/>
      <c r="W75" s="207"/>
      <c r="X75" s="208"/>
      <c r="Y75" s="209"/>
      <c r="Z75" s="209"/>
      <c r="AA75" s="209"/>
      <c r="AB75" s="209"/>
      <c r="AC75" s="209"/>
      <c r="AD75" s="209"/>
    </row>
    <row r="76" spans="1:30" ht="15.75">
      <c r="A76" s="4"/>
      <c r="B76" s="63"/>
      <c r="C76" s="34" t="s">
        <v>88</v>
      </c>
      <c r="D76" s="35"/>
      <c r="E76" s="35"/>
      <c r="F76" s="35"/>
      <c r="G76" s="35"/>
      <c r="H76" s="56"/>
      <c r="I76" s="34" t="s">
        <v>89</v>
      </c>
      <c r="J76" s="26"/>
      <c r="K76" s="26"/>
      <c r="L76" s="26"/>
      <c r="M76" s="4"/>
      <c r="N76" s="179"/>
      <c r="O76" s="4"/>
      <c r="P76" s="4"/>
      <c r="Q76" s="4"/>
      <c r="R76" s="34" t="s">
        <v>1052</v>
      </c>
      <c r="S76" s="268"/>
      <c r="T76" s="268"/>
      <c r="U76" s="268"/>
      <c r="V76" s="268"/>
      <c r="W76" s="239"/>
      <c r="X76" s="269" t="s">
        <v>91</v>
      </c>
      <c r="Y76" s="270"/>
      <c r="Z76" s="270"/>
      <c r="AA76" s="26"/>
      <c r="AB76" s="4"/>
      <c r="AC76" s="178"/>
      <c r="AD76" s="4"/>
    </row>
    <row r="77" spans="1:30" ht="15.75">
      <c r="A77" s="4"/>
      <c r="B77" s="352"/>
      <c r="C77" s="342" t="s">
        <v>805</v>
      </c>
      <c r="D77" s="239"/>
      <c r="E77" s="239"/>
      <c r="F77" s="239"/>
      <c r="G77" s="239"/>
      <c r="H77" s="239"/>
      <c r="I77" s="269" t="s">
        <v>90</v>
      </c>
      <c r="J77" s="270"/>
      <c r="K77" s="270"/>
      <c r="L77" s="270"/>
      <c r="M77" s="4"/>
      <c r="N77" s="178"/>
      <c r="O77" s="4"/>
      <c r="P77" s="4"/>
      <c r="Q77" s="4"/>
      <c r="R77" s="33" t="s">
        <v>805</v>
      </c>
      <c r="S77" s="239"/>
      <c r="T77" s="239"/>
      <c r="U77" s="239"/>
      <c r="V77" s="239"/>
      <c r="W77" s="239"/>
      <c r="X77" s="269" t="s">
        <v>92</v>
      </c>
      <c r="Y77" s="270"/>
      <c r="Z77" s="270"/>
      <c r="AA77" s="26"/>
      <c r="AB77" s="4"/>
      <c r="AC77" s="180"/>
      <c r="AD77" s="4"/>
    </row>
    <row r="78" spans="1:30" ht="15.75">
      <c r="A78" s="4"/>
      <c r="B78" s="268"/>
      <c r="C78" s="268"/>
      <c r="D78" s="268"/>
      <c r="E78" s="268"/>
      <c r="F78" s="268"/>
      <c r="G78" s="268"/>
      <c r="H78" s="268"/>
      <c r="I78" s="1264"/>
      <c r="J78" s="1264"/>
      <c r="K78" s="1264"/>
      <c r="L78" s="1264"/>
      <c r="M78" s="24"/>
      <c r="N78" s="4"/>
      <c r="O78" s="4"/>
      <c r="P78" s="4"/>
      <c r="Q78" s="4"/>
      <c r="R78" s="33" t="s">
        <v>1051</v>
      </c>
      <c r="S78" s="246"/>
      <c r="T78" s="246"/>
      <c r="U78" s="246"/>
      <c r="V78" s="246"/>
      <c r="W78" s="246"/>
      <c r="X78" s="246"/>
      <c r="Y78" s="246"/>
      <c r="Z78" s="246"/>
      <c r="AA78" s="24"/>
      <c r="AB78" s="24"/>
      <c r="AC78" s="24"/>
      <c r="AD78" s="4"/>
    </row>
    <row r="79" spans="1:30" ht="15.75">
      <c r="A79" s="4"/>
      <c r="B79" s="239"/>
      <c r="C79" s="239"/>
      <c r="D79" s="239"/>
      <c r="E79" s="239"/>
      <c r="F79" s="239"/>
      <c r="G79" s="239"/>
      <c r="H79" s="239"/>
      <c r="I79" s="246"/>
      <c r="J79" s="246"/>
      <c r="K79" s="246"/>
      <c r="L79" s="246"/>
      <c r="M79" s="24"/>
      <c r="N79" s="4"/>
      <c r="O79" s="4"/>
      <c r="P79" s="4"/>
      <c r="Q79" s="4"/>
      <c r="R79" s="24"/>
      <c r="S79" s="24"/>
      <c r="T79" s="24"/>
      <c r="U79" s="24"/>
      <c r="V79" s="24"/>
      <c r="W79" s="24"/>
      <c r="X79" s="24"/>
      <c r="Y79" s="24"/>
      <c r="Z79" s="24"/>
      <c r="AA79" s="24"/>
      <c r="AB79" s="24"/>
      <c r="AC79" s="24"/>
      <c r="AD79" s="4"/>
    </row>
    <row r="80" spans="1:30" ht="15.75">
      <c r="A80" s="4"/>
      <c r="B80" s="1264" t="s">
        <v>834</v>
      </c>
      <c r="C80" s="1264"/>
      <c r="D80" s="1264"/>
      <c r="E80" s="1264"/>
      <c r="F80" s="1264"/>
      <c r="G80" s="1264"/>
      <c r="H80" s="353" t="s">
        <v>0</v>
      </c>
      <c r="I80" s="1264" t="s">
        <v>93</v>
      </c>
      <c r="J80" s="1264"/>
      <c r="K80" s="1264"/>
      <c r="L80" s="1264"/>
      <c r="M80" s="1380"/>
      <c r="N80" s="1380"/>
      <c r="O80" s="1380"/>
      <c r="P80" s="1380"/>
      <c r="Q80" s="1380"/>
      <c r="R80" s="1380"/>
      <c r="S80" s="1380"/>
      <c r="T80" s="1380"/>
      <c r="U80" s="1380"/>
      <c r="V80" s="1380"/>
      <c r="W80" s="1380"/>
      <c r="X80" s="1380"/>
      <c r="Y80" s="1380"/>
      <c r="Z80" s="1380"/>
      <c r="AA80" s="1380"/>
      <c r="AB80" s="1380"/>
      <c r="AC80" s="1380"/>
      <c r="AD80" s="4"/>
    </row>
    <row r="81" spans="1:30" ht="15.75">
      <c r="A81" s="4"/>
      <c r="B81" s="239"/>
      <c r="C81" s="239"/>
      <c r="D81" s="239"/>
      <c r="E81" s="239"/>
      <c r="F81" s="239"/>
      <c r="G81" s="239"/>
      <c r="H81" s="239"/>
      <c r="I81" s="1264" t="s">
        <v>94</v>
      </c>
      <c r="J81" s="1264"/>
      <c r="K81" s="1264"/>
      <c r="L81" s="1264"/>
      <c r="M81" s="1380"/>
      <c r="N81" s="1380"/>
      <c r="O81" s="1380"/>
      <c r="P81" s="1380"/>
      <c r="Q81" s="1380"/>
      <c r="R81" s="1380"/>
      <c r="S81" s="1380"/>
      <c r="T81" s="1380"/>
      <c r="U81" s="1380"/>
      <c r="V81" s="1380"/>
      <c r="W81" s="1380"/>
      <c r="X81" s="1380"/>
      <c r="Y81" s="1380"/>
      <c r="Z81" s="1380"/>
      <c r="AA81" s="1380"/>
      <c r="AB81" s="1380"/>
      <c r="AC81" s="1380"/>
      <c r="AD81" s="4"/>
    </row>
    <row r="82" spans="1:30" ht="15.75">
      <c r="A82" s="4"/>
      <c r="B82" s="239"/>
      <c r="C82" s="239"/>
      <c r="D82" s="239"/>
      <c r="E82" s="239"/>
      <c r="F82" s="239"/>
      <c r="G82" s="239"/>
      <c r="H82" s="239"/>
      <c r="I82" s="1264" t="s">
        <v>95</v>
      </c>
      <c r="J82" s="1264"/>
      <c r="K82" s="1264"/>
      <c r="L82" s="1264"/>
      <c r="M82" s="1380"/>
      <c r="N82" s="1380"/>
      <c r="O82" s="1380"/>
      <c r="P82" s="1380"/>
      <c r="Q82" s="1380"/>
      <c r="R82" s="1380"/>
      <c r="S82" s="1380"/>
      <c r="T82" s="1380"/>
      <c r="U82" s="1380"/>
      <c r="V82" s="1380"/>
      <c r="W82" s="1380"/>
      <c r="X82" s="1380"/>
      <c r="Y82" s="1380"/>
      <c r="Z82" s="1380"/>
      <c r="AA82" s="1380"/>
      <c r="AB82" s="1380"/>
      <c r="AC82" s="1380"/>
      <c r="AD82" s="4"/>
    </row>
    <row r="83" spans="1:30" ht="15.75">
      <c r="A83" s="4"/>
      <c r="B83" s="239"/>
      <c r="C83" s="239"/>
      <c r="D83" s="239"/>
      <c r="E83" s="239"/>
      <c r="F83" s="239"/>
      <c r="G83" s="239"/>
      <c r="H83" s="239"/>
      <c r="I83" s="1264" t="s">
        <v>96</v>
      </c>
      <c r="J83" s="1264"/>
      <c r="K83" s="1264"/>
      <c r="L83" s="1264"/>
      <c r="M83" s="1380"/>
      <c r="N83" s="1380"/>
      <c r="O83" s="1380"/>
      <c r="P83" s="1380"/>
      <c r="Q83" s="1380"/>
      <c r="R83" s="1380"/>
      <c r="S83" s="1380"/>
      <c r="T83" s="1380"/>
      <c r="U83" s="1380"/>
      <c r="V83" s="1380"/>
      <c r="W83" s="1380"/>
      <c r="X83" s="1380"/>
      <c r="Y83" s="1380"/>
      <c r="Z83" s="1380"/>
      <c r="AA83" s="1380"/>
      <c r="AB83" s="1380"/>
      <c r="AC83" s="1380"/>
      <c r="AD83" s="4"/>
    </row>
    <row r="84" spans="1:30" ht="15.75">
      <c r="A84" s="4"/>
      <c r="B84" s="239"/>
      <c r="C84" s="239"/>
      <c r="D84" s="239"/>
      <c r="E84" s="239"/>
      <c r="F84" s="239"/>
      <c r="G84" s="239"/>
      <c r="H84" s="239"/>
      <c r="I84" s="1264" t="s">
        <v>97</v>
      </c>
      <c r="J84" s="1264"/>
      <c r="K84" s="1264"/>
      <c r="L84" s="1264"/>
      <c r="M84" s="1380"/>
      <c r="N84" s="1380"/>
      <c r="O84" s="1380"/>
      <c r="P84" s="1380"/>
      <c r="Q84" s="1380"/>
      <c r="R84" s="1380"/>
      <c r="S84" s="1380"/>
      <c r="T84" s="1380"/>
      <c r="U84" s="1380"/>
      <c r="V84" s="1380"/>
      <c r="W84" s="1380"/>
      <c r="X84" s="1380"/>
      <c r="Y84" s="1380"/>
      <c r="Z84" s="1380"/>
      <c r="AA84" s="1380"/>
      <c r="AB84" s="1380"/>
      <c r="AC84" s="1380"/>
      <c r="AD84" s="4"/>
    </row>
    <row r="85" spans="1:30" ht="15.75">
      <c r="A85" s="4"/>
      <c r="B85" s="239"/>
      <c r="C85" s="239"/>
      <c r="D85" s="239"/>
      <c r="E85" s="239"/>
      <c r="F85" s="239"/>
      <c r="G85" s="239"/>
      <c r="H85" s="239"/>
      <c r="I85" s="1264" t="s">
        <v>98</v>
      </c>
      <c r="J85" s="1264"/>
      <c r="K85" s="1264"/>
      <c r="L85" s="1264"/>
      <c r="M85" s="1380"/>
      <c r="N85" s="1380"/>
      <c r="O85" s="1380"/>
      <c r="P85" s="1380"/>
      <c r="Q85" s="1380"/>
      <c r="R85" s="1380"/>
      <c r="S85" s="1380"/>
      <c r="T85" s="1380"/>
      <c r="U85" s="1380"/>
      <c r="V85" s="1380"/>
      <c r="W85" s="1380"/>
      <c r="X85" s="1380"/>
      <c r="Y85" s="1380"/>
      <c r="Z85" s="1380"/>
      <c r="AA85" s="1380"/>
      <c r="AB85" s="1380"/>
      <c r="AC85" s="1380"/>
      <c r="AD85" s="4"/>
    </row>
    <row r="86" spans="1:30" ht="15.75">
      <c r="A86" s="4"/>
      <c r="B86" s="239"/>
      <c r="C86" s="239"/>
      <c r="D86" s="239"/>
      <c r="E86" s="239"/>
      <c r="F86" s="239"/>
      <c r="G86" s="239"/>
      <c r="H86" s="239"/>
      <c r="I86" s="1264" t="s">
        <v>99</v>
      </c>
      <c r="J86" s="1264"/>
      <c r="K86" s="1264"/>
      <c r="L86" s="1264"/>
      <c r="M86" s="1380"/>
      <c r="N86" s="1380"/>
      <c r="O86" s="1380"/>
      <c r="P86" s="1380"/>
      <c r="Q86" s="1380"/>
      <c r="R86" s="1380"/>
      <c r="S86" s="1380"/>
      <c r="T86" s="1380"/>
      <c r="U86" s="1380"/>
      <c r="V86" s="1380"/>
      <c r="W86" s="1380"/>
      <c r="X86" s="1380"/>
      <c r="Y86" s="1380"/>
      <c r="Z86" s="1380"/>
      <c r="AA86" s="1380"/>
      <c r="AB86" s="1380"/>
      <c r="AC86" s="1380"/>
      <c r="AD86" s="4"/>
    </row>
    <row r="87" spans="1:30" ht="15.75">
      <c r="A87" s="4"/>
      <c r="B87" s="239"/>
      <c r="C87" s="239"/>
      <c r="D87" s="239"/>
      <c r="E87" s="239"/>
      <c r="F87" s="239"/>
      <c r="G87" s="239"/>
      <c r="H87" s="239"/>
      <c r="I87" s="1264" t="s">
        <v>100</v>
      </c>
      <c r="J87" s="1264"/>
      <c r="K87" s="1264"/>
      <c r="L87" s="1264"/>
      <c r="M87" s="1380"/>
      <c r="N87" s="1380"/>
      <c r="O87" s="1380"/>
      <c r="P87" s="1380"/>
      <c r="Q87" s="1380"/>
      <c r="R87" s="1380"/>
      <c r="S87" s="1380"/>
      <c r="T87" s="1380"/>
      <c r="U87" s="1380"/>
      <c r="V87" s="1380"/>
      <c r="W87" s="1380"/>
      <c r="X87" s="1380"/>
      <c r="Y87" s="1380"/>
      <c r="Z87" s="1380"/>
      <c r="AA87" s="1380"/>
      <c r="AB87" s="1380"/>
      <c r="AC87" s="1380"/>
      <c r="AD87" s="4"/>
    </row>
    <row r="88" spans="1:30" ht="15.75">
      <c r="A88" s="4"/>
      <c r="B88" s="239"/>
      <c r="C88" s="239"/>
      <c r="D88" s="239"/>
      <c r="E88" s="239"/>
      <c r="F88" s="239"/>
      <c r="G88" s="239"/>
      <c r="H88" s="239"/>
      <c r="I88" s="269"/>
      <c r="J88" s="269"/>
      <c r="K88" s="269"/>
      <c r="L88" s="269"/>
      <c r="M88" s="65"/>
      <c r="N88" s="65"/>
      <c r="O88" s="65"/>
      <c r="P88" s="65"/>
      <c r="Q88" s="65"/>
      <c r="R88" s="65"/>
      <c r="S88" s="65"/>
      <c r="T88" s="65"/>
      <c r="U88" s="65"/>
      <c r="V88" s="65"/>
      <c r="W88" s="65"/>
      <c r="X88" s="65"/>
      <c r="Y88" s="65"/>
      <c r="Z88" s="65"/>
      <c r="AA88" s="65"/>
      <c r="AB88" s="65"/>
      <c r="AC88" s="65"/>
      <c r="AD88" s="4"/>
    </row>
    <row r="89" spans="1:30" ht="15.75">
      <c r="A89" s="1370" t="s">
        <v>835</v>
      </c>
      <c r="B89" s="1370" t="s">
        <v>835</v>
      </c>
      <c r="C89" s="1370"/>
      <c r="D89" s="1370"/>
      <c r="E89" s="1370"/>
      <c r="F89" s="1370"/>
      <c r="G89" s="1370"/>
      <c r="H89" s="1370"/>
      <c r="I89" s="1370"/>
      <c r="J89" s="1370"/>
      <c r="K89" s="1370"/>
      <c r="L89" s="1370"/>
      <c r="M89" s="1370"/>
      <c r="N89" s="1370"/>
      <c r="O89" s="1370"/>
      <c r="P89" s="1370"/>
      <c r="Q89" s="1370"/>
      <c r="R89" s="1370"/>
      <c r="S89" s="1370"/>
      <c r="T89" s="1370"/>
      <c r="U89" s="1370"/>
      <c r="V89" s="1370"/>
      <c r="W89" s="1370"/>
      <c r="X89" s="1370"/>
      <c r="Y89" s="1370"/>
      <c r="Z89" s="1370"/>
      <c r="AA89" s="1370"/>
      <c r="AB89" s="1370"/>
      <c r="AC89" s="1370"/>
      <c r="AD89" s="1370"/>
    </row>
    <row r="90" spans="1:30" ht="15.75">
      <c r="A90" s="4"/>
      <c r="B90" s="1381" t="s">
        <v>101</v>
      </c>
      <c r="C90" s="1381"/>
      <c r="D90" s="1381"/>
      <c r="E90" s="1381"/>
      <c r="F90" s="1381"/>
      <c r="G90" s="1381"/>
      <c r="H90" s="353" t="s">
        <v>0</v>
      </c>
      <c r="I90" s="1264" t="s">
        <v>102</v>
      </c>
      <c r="J90" s="1264"/>
      <c r="K90" s="1264"/>
      <c r="L90" s="1264"/>
      <c r="M90" s="1328"/>
      <c r="N90" s="1328"/>
      <c r="O90" s="1328"/>
      <c r="P90" s="1328"/>
      <c r="Q90" s="1328"/>
      <c r="R90" s="1328"/>
      <c r="S90" s="1328"/>
      <c r="T90" s="1328"/>
      <c r="U90" s="1328"/>
      <c r="V90" s="1328"/>
      <c r="W90" s="1428"/>
      <c r="X90" s="1428"/>
      <c r="Y90" s="1428"/>
      <c r="Z90" s="1428"/>
      <c r="AA90" s="1428"/>
      <c r="AB90" s="1428"/>
      <c r="AC90" s="1428"/>
      <c r="AD90" s="4"/>
    </row>
    <row r="91" spans="1:30" ht="15.75">
      <c r="A91" s="4"/>
      <c r="B91" s="354"/>
      <c r="C91" s="354"/>
      <c r="D91" s="354"/>
      <c r="E91" s="354"/>
      <c r="F91" s="354"/>
      <c r="G91" s="354"/>
      <c r="H91" s="268"/>
      <c r="I91" s="1264" t="s">
        <v>103</v>
      </c>
      <c r="J91" s="1264"/>
      <c r="K91" s="1264"/>
      <c r="L91" s="1264"/>
      <c r="M91" s="1328"/>
      <c r="N91" s="1328"/>
      <c r="O91" s="1328"/>
      <c r="P91" s="1328"/>
      <c r="Q91" s="1328"/>
      <c r="R91" s="1328"/>
      <c r="S91" s="1328"/>
      <c r="T91" s="1328"/>
      <c r="U91" s="1328"/>
      <c r="V91" s="1328"/>
      <c r="W91" s="1428"/>
      <c r="X91" s="1428"/>
      <c r="Y91" s="1428"/>
      <c r="Z91" s="1428"/>
      <c r="AA91" s="1428"/>
      <c r="AB91" s="1428"/>
      <c r="AC91" s="1428"/>
      <c r="AD91" s="4"/>
    </row>
    <row r="92" spans="1:30" ht="15.75">
      <c r="A92" s="4"/>
      <c r="B92" s="354"/>
      <c r="C92" s="354"/>
      <c r="D92" s="354"/>
      <c r="E92" s="354"/>
      <c r="F92" s="354"/>
      <c r="G92" s="354"/>
      <c r="H92" s="268"/>
      <c r="I92" s="1264" t="s">
        <v>104</v>
      </c>
      <c r="J92" s="1264"/>
      <c r="K92" s="1264"/>
      <c r="L92" s="1264"/>
      <c r="M92" s="1328"/>
      <c r="N92" s="1328"/>
      <c r="O92" s="1328"/>
      <c r="P92" s="1328"/>
      <c r="Q92" s="1328"/>
      <c r="R92" s="1328"/>
      <c r="S92" s="1328"/>
      <c r="T92" s="1328"/>
      <c r="U92" s="1328"/>
      <c r="V92" s="1328"/>
      <c r="W92" s="1380"/>
      <c r="X92" s="1380"/>
      <c r="Y92" s="1380"/>
      <c r="Z92" s="1380"/>
      <c r="AA92" s="1380"/>
      <c r="AB92" s="1380"/>
      <c r="AC92" s="1380"/>
      <c r="AD92" s="4"/>
    </row>
    <row r="93" spans="1:30" ht="9.9499999999999993" customHeight="1">
      <c r="A93" s="4"/>
      <c r="B93" s="354"/>
      <c r="C93" s="354"/>
      <c r="D93" s="354"/>
      <c r="E93" s="354"/>
      <c r="F93" s="354"/>
      <c r="G93" s="354"/>
      <c r="H93" s="268"/>
      <c r="I93" s="268"/>
      <c r="J93" s="268"/>
      <c r="K93" s="268"/>
      <c r="L93" s="268"/>
      <c r="M93" s="41"/>
      <c r="N93" s="41"/>
      <c r="O93" s="41"/>
      <c r="P93" s="41"/>
      <c r="Q93" s="41"/>
      <c r="R93" s="41"/>
      <c r="S93" s="41"/>
      <c r="T93" s="41"/>
      <c r="U93" s="41"/>
      <c r="V93" s="41"/>
      <c r="W93" s="29"/>
      <c r="X93" s="29"/>
      <c r="Y93" s="29"/>
      <c r="Z93" s="29"/>
      <c r="AA93" s="29"/>
      <c r="AB93" s="29"/>
      <c r="AC93" s="29"/>
      <c r="AD93" s="4"/>
    </row>
    <row r="94" spans="1:30" ht="15.75">
      <c r="A94" s="4"/>
      <c r="B94" s="1381" t="s">
        <v>105</v>
      </c>
      <c r="C94" s="1381"/>
      <c r="D94" s="1381"/>
      <c r="E94" s="1381"/>
      <c r="F94" s="1381"/>
      <c r="G94" s="1381"/>
      <c r="H94" s="269" t="s">
        <v>0</v>
      </c>
      <c r="I94" s="1264" t="s">
        <v>106</v>
      </c>
      <c r="J94" s="1264"/>
      <c r="K94" s="1264"/>
      <c r="L94" s="1264"/>
      <c r="M94" s="1328"/>
      <c r="N94" s="1328"/>
      <c r="O94" s="1328"/>
      <c r="P94" s="1328"/>
      <c r="Q94" s="1328"/>
      <c r="R94" s="1328"/>
      <c r="S94" s="1328"/>
      <c r="T94" s="1328"/>
      <c r="U94" s="1328"/>
      <c r="V94" s="1328"/>
      <c r="W94" s="1380"/>
      <c r="X94" s="1380"/>
      <c r="Y94" s="1380"/>
      <c r="Z94" s="1380"/>
      <c r="AA94" s="1380"/>
      <c r="AB94" s="1380"/>
      <c r="AC94" s="1380"/>
      <c r="AD94" s="4"/>
    </row>
    <row r="95" spans="1:30" ht="15.75">
      <c r="A95" s="4"/>
      <c r="B95" s="354"/>
      <c r="C95" s="354"/>
      <c r="D95" s="354"/>
      <c r="E95" s="354"/>
      <c r="F95" s="354"/>
      <c r="G95" s="354"/>
      <c r="H95" s="268"/>
      <c r="I95" s="1264" t="s">
        <v>107</v>
      </c>
      <c r="J95" s="1264"/>
      <c r="K95" s="1264"/>
      <c r="L95" s="1264"/>
      <c r="M95" s="1328"/>
      <c r="N95" s="1328"/>
      <c r="O95" s="1328"/>
      <c r="P95" s="1328"/>
      <c r="Q95" s="1328"/>
      <c r="R95" s="616"/>
      <c r="S95" s="617"/>
      <c r="T95" s="617"/>
      <c r="U95" s="617"/>
      <c r="V95" s="617"/>
      <c r="W95" s="1429"/>
      <c r="X95" s="1430"/>
      <c r="Y95" s="1430"/>
      <c r="Z95" s="1430"/>
      <c r="AA95" s="1430"/>
      <c r="AB95" s="1430"/>
      <c r="AC95" s="1431"/>
    </row>
    <row r="96" spans="1:30" ht="15.75">
      <c r="A96" s="4"/>
      <c r="B96" s="354"/>
      <c r="C96" s="354"/>
      <c r="D96" s="354"/>
      <c r="E96" s="354"/>
      <c r="F96" s="354"/>
      <c r="G96" s="354"/>
      <c r="H96" s="268"/>
      <c r="I96" s="1264" t="s">
        <v>104</v>
      </c>
      <c r="J96" s="1264"/>
      <c r="K96" s="1264"/>
      <c r="L96" s="1264"/>
      <c r="M96" s="1328"/>
      <c r="N96" s="1328"/>
      <c r="O96" s="1328"/>
      <c r="P96" s="1328"/>
      <c r="Q96" s="1328"/>
      <c r="R96" s="1328"/>
      <c r="S96" s="1328"/>
      <c r="T96" s="1328"/>
      <c r="U96" s="1328"/>
      <c r="V96" s="1328"/>
      <c r="W96" s="1380"/>
      <c r="X96" s="1380"/>
      <c r="Y96" s="1380"/>
      <c r="Z96" s="1380"/>
      <c r="AA96" s="1380"/>
      <c r="AB96" s="1380"/>
      <c r="AC96" s="1380"/>
      <c r="AD96" s="4"/>
    </row>
    <row r="97" spans="1:30" ht="9.9499999999999993" customHeight="1">
      <c r="A97" s="4"/>
      <c r="B97" s="354"/>
      <c r="C97" s="354"/>
      <c r="D97" s="354"/>
      <c r="E97" s="354"/>
      <c r="F97" s="354"/>
      <c r="G97" s="354"/>
      <c r="H97" s="268"/>
      <c r="I97" s="268"/>
      <c r="J97" s="268"/>
      <c r="K97" s="268"/>
      <c r="L97" s="268"/>
      <c r="M97" s="41"/>
      <c r="N97" s="41"/>
      <c r="O97" s="41"/>
      <c r="P97" s="41"/>
      <c r="Q97" s="41"/>
      <c r="R97" s="41"/>
      <c r="S97" s="41"/>
      <c r="T97" s="41"/>
      <c r="U97" s="41"/>
      <c r="V97" s="41"/>
      <c r="W97" s="29"/>
      <c r="X97" s="29"/>
      <c r="Y97" s="29"/>
      <c r="Z97" s="29"/>
      <c r="AA97" s="29"/>
      <c r="AB97" s="29"/>
      <c r="AC97" s="29"/>
      <c r="AD97" s="4"/>
    </row>
    <row r="98" spans="1:30" ht="15.75">
      <c r="A98" s="4"/>
      <c r="B98" s="1381" t="s">
        <v>108</v>
      </c>
      <c r="C98" s="1381"/>
      <c r="D98" s="1381"/>
      <c r="E98" s="1381"/>
      <c r="F98" s="1381"/>
      <c r="G98" s="1381"/>
      <c r="H98" s="269" t="s">
        <v>0</v>
      </c>
      <c r="I98" s="1264" t="s">
        <v>106</v>
      </c>
      <c r="J98" s="1264"/>
      <c r="K98" s="1264"/>
      <c r="L98" s="1264"/>
      <c r="M98" s="1328"/>
      <c r="N98" s="1328"/>
      <c r="O98" s="1328"/>
      <c r="P98" s="1328"/>
      <c r="Q98" s="1328"/>
      <c r="R98" s="1328"/>
      <c r="S98" s="1328"/>
      <c r="T98" s="1328"/>
      <c r="U98" s="1328"/>
      <c r="V98" s="1328"/>
      <c r="W98" s="1380"/>
      <c r="X98" s="1380"/>
      <c r="Y98" s="1380"/>
      <c r="Z98" s="1380"/>
      <c r="AA98" s="1380"/>
      <c r="AB98" s="1380"/>
      <c r="AC98" s="1380"/>
      <c r="AD98" s="4"/>
    </row>
    <row r="99" spans="1:30" ht="15.75">
      <c r="A99" s="4"/>
      <c r="B99" s="354"/>
      <c r="C99" s="354"/>
      <c r="D99" s="354"/>
      <c r="E99" s="354"/>
      <c r="F99" s="354"/>
      <c r="G99" s="354"/>
      <c r="H99" s="268"/>
      <c r="I99" s="1264" t="s">
        <v>107</v>
      </c>
      <c r="J99" s="1264"/>
      <c r="K99" s="1264"/>
      <c r="L99" s="1264"/>
      <c r="M99" s="1328"/>
      <c r="N99" s="1328"/>
      <c r="O99" s="1328"/>
      <c r="P99" s="1328"/>
      <c r="Q99" s="1328"/>
      <c r="R99" s="1328"/>
      <c r="S99" s="1328"/>
      <c r="T99" s="1328"/>
      <c r="U99" s="1328"/>
      <c r="V99" s="1328"/>
      <c r="W99" s="1380"/>
      <c r="X99" s="1380"/>
      <c r="Y99" s="1380"/>
      <c r="Z99" s="1380"/>
      <c r="AA99" s="1380"/>
      <c r="AB99" s="1380"/>
      <c r="AC99" s="1380"/>
      <c r="AD99" s="4"/>
    </row>
    <row r="100" spans="1:30" ht="15.75">
      <c r="A100" s="4"/>
      <c r="B100" s="354"/>
      <c r="C100" s="354"/>
      <c r="D100" s="354"/>
      <c r="E100" s="354"/>
      <c r="F100" s="354"/>
      <c r="G100" s="354"/>
      <c r="H100" s="268"/>
      <c r="I100" s="1264" t="s">
        <v>104</v>
      </c>
      <c r="J100" s="1264"/>
      <c r="K100" s="1264"/>
      <c r="L100" s="1264"/>
      <c r="M100" s="1328"/>
      <c r="N100" s="1328"/>
      <c r="O100" s="1328"/>
      <c r="P100" s="1328"/>
      <c r="Q100" s="1328"/>
      <c r="R100" s="1328"/>
      <c r="S100" s="1328"/>
      <c r="T100" s="1328"/>
      <c r="U100" s="1328"/>
      <c r="V100" s="1328"/>
      <c r="W100" s="1380"/>
      <c r="X100" s="1380"/>
      <c r="Y100" s="1380"/>
      <c r="Z100" s="1380"/>
      <c r="AA100" s="1380"/>
      <c r="AB100" s="1380"/>
      <c r="AC100" s="1380"/>
      <c r="AD100" s="4"/>
    </row>
    <row r="101" spans="1:30" ht="9.9499999999999993" customHeight="1">
      <c r="A101" s="4"/>
      <c r="B101" s="354"/>
      <c r="C101" s="354"/>
      <c r="D101" s="354"/>
      <c r="E101" s="354"/>
      <c r="F101" s="354"/>
      <c r="G101" s="354"/>
      <c r="H101" s="268"/>
      <c r="I101" s="269"/>
      <c r="J101" s="268"/>
      <c r="K101" s="268"/>
      <c r="L101" s="268"/>
      <c r="M101" s="41"/>
      <c r="N101" s="41"/>
      <c r="O101" s="41"/>
      <c r="P101" s="41"/>
      <c r="Q101" s="41"/>
      <c r="R101" s="41"/>
      <c r="S101" s="41"/>
      <c r="T101" s="41"/>
      <c r="U101" s="41"/>
      <c r="V101" s="41"/>
      <c r="W101" s="29"/>
      <c r="X101" s="29"/>
      <c r="Y101" s="29"/>
      <c r="Z101" s="29"/>
      <c r="AA101" s="29"/>
      <c r="AB101" s="29"/>
      <c r="AC101" s="29"/>
      <c r="AD101" s="4"/>
    </row>
    <row r="102" spans="1:30" ht="15.75">
      <c r="A102" s="4"/>
      <c r="B102" s="1381" t="s">
        <v>109</v>
      </c>
      <c r="C102" s="1381"/>
      <c r="D102" s="1381"/>
      <c r="E102" s="1381"/>
      <c r="F102" s="1381"/>
      <c r="G102" s="1381"/>
      <c r="H102" s="269" t="s">
        <v>0</v>
      </c>
      <c r="I102" s="1264" t="s">
        <v>102</v>
      </c>
      <c r="J102" s="1264"/>
      <c r="K102" s="1264"/>
      <c r="L102" s="1264"/>
      <c r="M102" s="1328"/>
      <c r="N102" s="1328"/>
      <c r="O102" s="1328"/>
      <c r="P102" s="1328"/>
      <c r="Q102" s="1328"/>
      <c r="R102" s="1328"/>
      <c r="S102" s="1328"/>
      <c r="T102" s="1328"/>
      <c r="U102" s="1328"/>
      <c r="V102" s="1328"/>
      <c r="W102" s="1380"/>
      <c r="X102" s="1380"/>
      <c r="Y102" s="1380"/>
      <c r="Z102" s="1380"/>
      <c r="AA102" s="1380"/>
      <c r="AB102" s="1380"/>
      <c r="AC102" s="1380"/>
      <c r="AD102" s="4"/>
    </row>
    <row r="103" spans="1:30" ht="15.75">
      <c r="A103" s="4"/>
      <c r="B103" s="354"/>
      <c r="C103" s="354"/>
      <c r="D103" s="354"/>
      <c r="E103" s="354"/>
      <c r="F103" s="354"/>
      <c r="G103" s="354"/>
      <c r="H103" s="268"/>
      <c r="I103" s="1264" t="s">
        <v>103</v>
      </c>
      <c r="J103" s="1264"/>
      <c r="K103" s="1264"/>
      <c r="L103" s="1264"/>
      <c r="M103" s="1328"/>
      <c r="N103" s="1328"/>
      <c r="O103" s="1328"/>
      <c r="P103" s="1328"/>
      <c r="Q103" s="1328"/>
      <c r="R103" s="1328"/>
      <c r="S103" s="1328"/>
      <c r="T103" s="1328"/>
      <c r="U103" s="1328"/>
      <c r="V103" s="1328"/>
      <c r="W103" s="1380"/>
      <c r="X103" s="1380"/>
      <c r="Y103" s="1380"/>
      <c r="Z103" s="1380"/>
      <c r="AA103" s="1380"/>
      <c r="AB103" s="1380"/>
      <c r="AC103" s="1380"/>
      <c r="AD103" s="4"/>
    </row>
    <row r="104" spans="1:30" ht="15.75">
      <c r="A104" s="4"/>
      <c r="B104" s="354"/>
      <c r="C104" s="354"/>
      <c r="D104" s="354"/>
      <c r="E104" s="354"/>
      <c r="F104" s="354"/>
      <c r="G104" s="354"/>
      <c r="H104" s="268"/>
      <c r="I104" s="1264" t="s">
        <v>110</v>
      </c>
      <c r="J104" s="1264"/>
      <c r="K104" s="1264"/>
      <c r="L104" s="1264"/>
      <c r="M104" s="1328"/>
      <c r="N104" s="1328"/>
      <c r="O104" s="1328"/>
      <c r="P104" s="1328"/>
      <c r="Q104" s="1328"/>
      <c r="R104" s="1328"/>
      <c r="S104" s="1328"/>
      <c r="T104" s="1328"/>
      <c r="U104" s="1328"/>
      <c r="V104" s="1328"/>
      <c r="W104" s="1380"/>
      <c r="X104" s="1380"/>
      <c r="Y104" s="1380"/>
      <c r="Z104" s="1380"/>
      <c r="AA104" s="1380"/>
      <c r="AB104" s="1380"/>
      <c r="AC104" s="1380"/>
      <c r="AD104" s="4"/>
    </row>
    <row r="105" spans="1:30" ht="15.75">
      <c r="A105" s="4"/>
      <c r="B105" s="354"/>
      <c r="C105" s="354"/>
      <c r="D105" s="354"/>
      <c r="E105" s="354"/>
      <c r="F105" s="354"/>
      <c r="G105" s="354"/>
      <c r="H105" s="268"/>
      <c r="I105" s="1264" t="s">
        <v>111</v>
      </c>
      <c r="J105" s="1264"/>
      <c r="K105" s="1264"/>
      <c r="L105" s="1264"/>
      <c r="M105" s="1328"/>
      <c r="N105" s="1328"/>
      <c r="O105" s="1328"/>
      <c r="P105" s="1328"/>
      <c r="Q105" s="1328"/>
      <c r="R105" s="1328"/>
      <c r="S105" s="1328"/>
      <c r="T105" s="1328"/>
      <c r="U105" s="1328"/>
      <c r="V105" s="1328"/>
      <c r="W105" s="1380"/>
      <c r="X105" s="1380"/>
      <c r="Y105" s="1380"/>
      <c r="Z105" s="1380"/>
      <c r="AA105" s="1380"/>
      <c r="AB105" s="1380"/>
      <c r="AC105" s="1380"/>
      <c r="AD105" s="4"/>
    </row>
    <row r="106" spans="1:30" ht="9.9499999999999993" customHeight="1">
      <c r="A106" s="4"/>
      <c r="B106" s="354"/>
      <c r="C106" s="354"/>
      <c r="D106" s="354"/>
      <c r="E106" s="354"/>
      <c r="F106" s="354"/>
      <c r="G106" s="354"/>
      <c r="H106" s="268"/>
      <c r="I106" s="269"/>
      <c r="J106" s="268"/>
      <c r="K106" s="268"/>
      <c r="L106" s="268"/>
      <c r="M106" s="41"/>
      <c r="N106" s="41"/>
      <c r="O106" s="41"/>
      <c r="P106" s="41"/>
      <c r="Q106" s="41"/>
      <c r="R106" s="41"/>
      <c r="S106" s="41"/>
      <c r="T106" s="41"/>
      <c r="U106" s="41"/>
      <c r="V106" s="41"/>
      <c r="W106" s="29"/>
      <c r="X106" s="29"/>
      <c r="Y106" s="29"/>
      <c r="Z106" s="29"/>
      <c r="AA106" s="29"/>
      <c r="AB106" s="29"/>
      <c r="AC106" s="29"/>
      <c r="AD106" s="4"/>
    </row>
    <row r="107" spans="1:30" ht="15.75">
      <c r="A107" s="4"/>
      <c r="B107" s="1381" t="s">
        <v>112</v>
      </c>
      <c r="C107" s="1381"/>
      <c r="D107" s="1381"/>
      <c r="E107" s="1381"/>
      <c r="F107" s="1381"/>
      <c r="G107" s="1381"/>
      <c r="H107" s="269" t="s">
        <v>0</v>
      </c>
      <c r="I107" s="1264" t="s">
        <v>102</v>
      </c>
      <c r="J107" s="1264"/>
      <c r="K107" s="1264"/>
      <c r="L107" s="1264"/>
      <c r="M107" s="1328"/>
      <c r="N107" s="1328"/>
      <c r="O107" s="1328"/>
      <c r="P107" s="1328"/>
      <c r="Q107" s="1328"/>
      <c r="R107" s="1328"/>
      <c r="S107" s="1328"/>
      <c r="T107" s="1328"/>
      <c r="U107" s="1328"/>
      <c r="V107" s="1328"/>
      <c r="W107" s="1428"/>
      <c r="X107" s="1428"/>
      <c r="Y107" s="1428"/>
      <c r="Z107" s="1428"/>
      <c r="AA107" s="1428"/>
      <c r="AB107" s="1428"/>
      <c r="AC107" s="1428"/>
      <c r="AD107" s="4"/>
    </row>
    <row r="108" spans="1:30" ht="15.75">
      <c r="A108" s="4"/>
      <c r="B108" s="354"/>
      <c r="C108" s="354"/>
      <c r="D108" s="354"/>
      <c r="E108" s="354"/>
      <c r="F108" s="354"/>
      <c r="G108" s="354"/>
      <c r="H108" s="268"/>
      <c r="I108" s="1264" t="s">
        <v>113</v>
      </c>
      <c r="J108" s="1264"/>
      <c r="K108" s="1264"/>
      <c r="L108" s="1264"/>
      <c r="M108" s="1328"/>
      <c r="N108" s="1328"/>
      <c r="O108" s="1328"/>
      <c r="P108" s="1328"/>
      <c r="Q108" s="1328"/>
      <c r="R108" s="1328"/>
      <c r="S108" s="1328"/>
      <c r="T108" s="1328"/>
      <c r="U108" s="1328"/>
      <c r="V108" s="1328"/>
      <c r="W108" s="1428"/>
      <c r="X108" s="1428"/>
      <c r="Y108" s="1428"/>
      <c r="Z108" s="1428"/>
      <c r="AA108" s="1428"/>
      <c r="AB108" s="1428"/>
      <c r="AC108" s="1428"/>
      <c r="AD108" s="4"/>
    </row>
    <row r="109" spans="1:30" ht="15.75">
      <c r="A109" s="4"/>
      <c r="B109" s="354"/>
      <c r="C109" s="354"/>
      <c r="D109" s="354"/>
      <c r="E109" s="354"/>
      <c r="F109" s="354"/>
      <c r="G109" s="354"/>
      <c r="H109" s="268"/>
      <c r="I109" s="1264" t="s">
        <v>114</v>
      </c>
      <c r="J109" s="1264"/>
      <c r="K109" s="1264"/>
      <c r="L109" s="1264"/>
      <c r="M109" s="1328"/>
      <c r="N109" s="1328"/>
      <c r="O109" s="1328"/>
      <c r="P109" s="1328"/>
      <c r="Q109" s="1328"/>
      <c r="R109" s="1328"/>
      <c r="S109" s="1328"/>
      <c r="T109" s="1328"/>
      <c r="U109" s="1328"/>
      <c r="V109" s="1328"/>
      <c r="W109" s="1428"/>
      <c r="X109" s="1428"/>
      <c r="Y109" s="1428"/>
      <c r="Z109" s="1428"/>
      <c r="AA109" s="1428"/>
      <c r="AB109" s="1428"/>
      <c r="AC109" s="1428"/>
      <c r="AD109" s="4"/>
    </row>
    <row r="110" spans="1:30" ht="9.9499999999999993" customHeight="1">
      <c r="A110" s="4"/>
      <c r="B110" s="354"/>
      <c r="C110" s="354"/>
      <c r="D110" s="354"/>
      <c r="E110" s="354"/>
      <c r="F110" s="354"/>
      <c r="G110" s="354"/>
      <c r="H110" s="268"/>
      <c r="I110" s="269"/>
      <c r="J110" s="268"/>
      <c r="K110" s="268"/>
      <c r="L110" s="268"/>
      <c r="M110" s="41"/>
      <c r="N110" s="41"/>
      <c r="O110" s="41"/>
      <c r="P110" s="41"/>
      <c r="Q110" s="41"/>
      <c r="R110" s="41"/>
      <c r="S110" s="41"/>
      <c r="T110" s="41"/>
      <c r="U110" s="41"/>
      <c r="V110" s="41"/>
      <c r="W110" s="29"/>
      <c r="X110" s="29"/>
      <c r="Y110" s="29"/>
      <c r="Z110" s="29"/>
      <c r="AA110" s="29"/>
      <c r="AB110" s="29"/>
      <c r="AC110" s="29"/>
      <c r="AD110" s="4"/>
    </row>
    <row r="111" spans="1:30" ht="15.75">
      <c r="A111" s="4"/>
      <c r="B111" s="1381" t="s">
        <v>115</v>
      </c>
      <c r="C111" s="1381"/>
      <c r="D111" s="1381"/>
      <c r="E111" s="1381"/>
      <c r="F111" s="1381"/>
      <c r="G111" s="1381"/>
      <c r="H111" s="269" t="s">
        <v>0</v>
      </c>
      <c r="I111" s="1264" t="s">
        <v>102</v>
      </c>
      <c r="J111" s="1264"/>
      <c r="K111" s="1264"/>
      <c r="L111" s="1264"/>
      <c r="M111" s="1328"/>
      <c r="N111" s="1328"/>
      <c r="O111" s="1328"/>
      <c r="P111" s="1328"/>
      <c r="Q111" s="1328"/>
      <c r="R111" s="1328"/>
      <c r="S111" s="1328"/>
      <c r="T111" s="1328"/>
      <c r="U111" s="1328"/>
      <c r="V111" s="1328"/>
      <c r="W111" s="1380"/>
      <c r="X111" s="1380"/>
      <c r="Y111" s="1380"/>
      <c r="Z111" s="1380"/>
      <c r="AA111" s="1380"/>
      <c r="AB111" s="1380"/>
      <c r="AC111" s="1380"/>
      <c r="AD111" s="4"/>
    </row>
    <row r="112" spans="1:30" ht="9.9499999999999993" customHeight="1">
      <c r="A112" s="4"/>
      <c r="B112" s="354"/>
      <c r="C112" s="354"/>
      <c r="D112" s="354"/>
      <c r="E112" s="354"/>
      <c r="F112" s="354"/>
      <c r="G112" s="354"/>
      <c r="H112" s="268"/>
      <c r="I112" s="268"/>
      <c r="J112" s="268"/>
      <c r="K112" s="268"/>
      <c r="L112" s="268"/>
      <c r="M112" s="41"/>
      <c r="N112" s="41"/>
      <c r="O112" s="41"/>
      <c r="P112" s="41"/>
      <c r="Q112" s="41"/>
      <c r="R112" s="41"/>
      <c r="S112" s="41"/>
      <c r="T112" s="41"/>
      <c r="U112" s="41"/>
      <c r="V112" s="41"/>
      <c r="W112" s="29"/>
      <c r="X112" s="29"/>
      <c r="Y112" s="29"/>
      <c r="Z112" s="29"/>
      <c r="AA112" s="29"/>
      <c r="AB112" s="29"/>
      <c r="AC112" s="29"/>
      <c r="AD112" s="4"/>
    </row>
    <row r="113" spans="1:30" ht="15.75">
      <c r="A113" s="4"/>
      <c r="B113" s="1381" t="s">
        <v>116</v>
      </c>
      <c r="C113" s="1381"/>
      <c r="D113" s="1381"/>
      <c r="E113" s="1381"/>
      <c r="F113" s="1381"/>
      <c r="G113" s="1381"/>
      <c r="H113" s="269" t="s">
        <v>0</v>
      </c>
      <c r="I113" s="268"/>
      <c r="J113" s="268"/>
      <c r="K113" s="268"/>
      <c r="L113" s="268"/>
      <c r="M113" s="1328"/>
      <c r="N113" s="1328"/>
      <c r="O113" s="1328"/>
      <c r="P113" s="1328"/>
      <c r="Q113" s="1328"/>
      <c r="R113" s="1328"/>
      <c r="S113" s="1328"/>
      <c r="T113" s="1328"/>
      <c r="U113" s="1328"/>
      <c r="V113" s="1328"/>
      <c r="W113" s="1380"/>
      <c r="X113" s="1380"/>
      <c r="Y113" s="1380"/>
      <c r="Z113" s="1380"/>
      <c r="AA113" s="1380"/>
      <c r="AB113" s="1380"/>
      <c r="AC113" s="1380"/>
      <c r="AD113" s="4"/>
    </row>
    <row r="114" spans="1:30" ht="9.9499999999999993" customHeight="1">
      <c r="A114" s="4"/>
      <c r="B114" s="355"/>
      <c r="C114" s="354"/>
      <c r="D114" s="354"/>
      <c r="E114" s="354"/>
      <c r="F114" s="354"/>
      <c r="G114" s="354"/>
      <c r="H114" s="268"/>
      <c r="I114" s="268"/>
      <c r="J114" s="268"/>
      <c r="K114" s="268"/>
      <c r="L114" s="268"/>
      <c r="M114" s="29"/>
      <c r="N114" s="29"/>
      <c r="O114" s="29"/>
      <c r="P114" s="29"/>
      <c r="Q114" s="29"/>
      <c r="R114" s="29"/>
      <c r="S114" s="29"/>
      <c r="T114" s="29"/>
      <c r="U114" s="29"/>
      <c r="V114" s="29"/>
      <c r="W114" s="29"/>
      <c r="X114" s="29"/>
      <c r="Y114" s="29"/>
      <c r="Z114" s="29"/>
      <c r="AA114" s="29"/>
      <c r="AB114" s="29"/>
      <c r="AC114" s="29"/>
      <c r="AD114" s="4"/>
    </row>
    <row r="115" spans="1:30" ht="15.75">
      <c r="A115" s="4"/>
      <c r="B115" s="1381" t="s">
        <v>117</v>
      </c>
      <c r="C115" s="1381"/>
      <c r="D115" s="1381"/>
      <c r="E115" s="1381"/>
      <c r="F115" s="1381"/>
      <c r="G115" s="1381"/>
      <c r="H115" s="269" t="s">
        <v>0</v>
      </c>
      <c r="I115" s="268"/>
      <c r="J115" s="268"/>
      <c r="K115" s="268"/>
      <c r="L115" s="268"/>
      <c r="M115" s="1380"/>
      <c r="N115" s="1380"/>
      <c r="O115" s="1380"/>
      <c r="P115" s="1380"/>
      <c r="Q115" s="1380"/>
      <c r="R115" s="1380"/>
      <c r="S115" s="1380"/>
      <c r="T115" s="1380"/>
      <c r="U115" s="1380"/>
      <c r="V115" s="1380"/>
      <c r="W115" s="1380"/>
      <c r="X115" s="1380"/>
      <c r="Y115" s="1380"/>
      <c r="Z115" s="1380"/>
      <c r="AA115" s="1380"/>
      <c r="AB115" s="1380"/>
      <c r="AC115" s="1380"/>
      <c r="AD115" s="4"/>
    </row>
    <row r="116" spans="1:30" ht="9.9499999999999993" customHeight="1">
      <c r="A116" s="4"/>
      <c r="B116" s="355"/>
      <c r="C116" s="354"/>
      <c r="D116" s="354"/>
      <c r="E116" s="354"/>
      <c r="F116" s="354"/>
      <c r="G116" s="354"/>
      <c r="H116" s="268"/>
      <c r="I116" s="268"/>
      <c r="J116" s="268"/>
      <c r="K116" s="268"/>
      <c r="L116" s="268"/>
      <c r="M116" s="29"/>
      <c r="N116" s="29"/>
      <c r="O116" s="29"/>
      <c r="P116" s="29"/>
      <c r="Q116" s="29"/>
      <c r="R116" s="29"/>
      <c r="S116" s="29"/>
      <c r="T116" s="29"/>
      <c r="U116" s="29"/>
      <c r="V116" s="29"/>
      <c r="W116" s="29"/>
      <c r="X116" s="29"/>
      <c r="Y116" s="29"/>
      <c r="Z116" s="29"/>
      <c r="AA116" s="29"/>
      <c r="AB116" s="29"/>
      <c r="AC116" s="29"/>
      <c r="AD116" s="4"/>
    </row>
    <row r="117" spans="1:30" ht="15.75">
      <c r="A117" s="4"/>
      <c r="B117" s="1381" t="s">
        <v>118</v>
      </c>
      <c r="C117" s="1381"/>
      <c r="D117" s="1381"/>
      <c r="E117" s="1381"/>
      <c r="F117" s="1381"/>
      <c r="G117" s="1381"/>
      <c r="H117" s="269" t="s">
        <v>0</v>
      </c>
      <c r="I117" s="268"/>
      <c r="J117" s="268"/>
      <c r="K117" s="268"/>
      <c r="L117" s="268"/>
      <c r="M117" s="1380"/>
      <c r="N117" s="1380"/>
      <c r="O117" s="1380"/>
      <c r="P117" s="1380"/>
      <c r="Q117" s="1380"/>
      <c r="R117" s="1380"/>
      <c r="S117" s="1380"/>
      <c r="T117" s="1380"/>
      <c r="U117" s="1380"/>
      <c r="V117" s="1380"/>
      <c r="W117" s="1380"/>
      <c r="X117" s="1380"/>
      <c r="Y117" s="1380"/>
      <c r="Z117" s="1380"/>
      <c r="AA117" s="1380"/>
      <c r="AB117" s="1380"/>
      <c r="AC117" s="1380"/>
      <c r="AD117" s="4"/>
    </row>
    <row r="118" spans="1:30" ht="15.75">
      <c r="A118" s="4"/>
      <c r="B118" s="64"/>
      <c r="C118" s="64"/>
      <c r="D118" s="64"/>
      <c r="E118" s="64"/>
      <c r="F118" s="64"/>
      <c r="G118" s="64"/>
      <c r="H118" s="4"/>
      <c r="I118" s="4"/>
      <c r="J118" s="4"/>
      <c r="K118" s="4"/>
      <c r="L118" s="4"/>
      <c r="M118" s="4"/>
      <c r="N118" s="4"/>
      <c r="O118" s="4"/>
      <c r="P118" s="4"/>
      <c r="Q118" s="4"/>
      <c r="R118" s="4"/>
      <c r="S118" s="4"/>
      <c r="T118" s="4"/>
      <c r="U118" s="4"/>
      <c r="V118" s="4"/>
      <c r="W118" s="4"/>
      <c r="X118" s="4"/>
      <c r="Y118" s="4"/>
      <c r="Z118" s="4"/>
      <c r="AA118" s="4"/>
      <c r="AB118" s="4"/>
      <c r="AC118" s="4"/>
      <c r="AD118" s="4"/>
    </row>
    <row r="119" spans="1:30" ht="15.75">
      <c r="A119" s="4"/>
      <c r="B119" s="1433" t="s">
        <v>119</v>
      </c>
      <c r="C119" s="1433"/>
      <c r="D119" s="1433"/>
      <c r="E119" s="1433"/>
      <c r="F119" s="1433"/>
      <c r="G119" s="1433"/>
      <c r="H119" s="353" t="s">
        <v>0</v>
      </c>
      <c r="I119" s="1426" t="s">
        <v>120</v>
      </c>
      <c r="J119" s="1426"/>
      <c r="K119" s="1426"/>
      <c r="L119" s="1426"/>
      <c r="M119" s="1426"/>
      <c r="N119" s="178"/>
      <c r="O119" s="4"/>
      <c r="P119" s="34" t="s">
        <v>837</v>
      </c>
      <c r="Q119" s="26"/>
      <c r="R119" s="26"/>
      <c r="S119" s="26"/>
      <c r="T119" s="26"/>
      <c r="U119" s="178"/>
      <c r="V119" s="24"/>
      <c r="W119" s="34" t="s">
        <v>121</v>
      </c>
      <c r="X119" s="4"/>
      <c r="Y119" s="4"/>
      <c r="Z119" s="4"/>
      <c r="AA119" s="4"/>
      <c r="AB119" s="178"/>
      <c r="AC119" s="4"/>
      <c r="AD119" s="4"/>
    </row>
    <row r="120" spans="1:30" ht="15.75">
      <c r="A120" s="4"/>
      <c r="B120" s="1433"/>
      <c r="C120" s="1433"/>
      <c r="D120" s="1433"/>
      <c r="E120" s="1433"/>
      <c r="F120" s="1433"/>
      <c r="G120" s="1433"/>
      <c r="H120" s="239"/>
      <c r="I120" s="1426" t="s">
        <v>122</v>
      </c>
      <c r="J120" s="1426"/>
      <c r="K120" s="1426"/>
      <c r="L120" s="1426"/>
      <c r="M120" s="1426"/>
      <c r="N120" s="178"/>
      <c r="O120" s="4"/>
      <c r="P120" s="34" t="s">
        <v>128</v>
      </c>
      <c r="Q120" s="26"/>
      <c r="R120" s="26"/>
      <c r="S120" s="26"/>
      <c r="T120" s="26"/>
      <c r="U120" s="178"/>
      <c r="V120" s="24"/>
      <c r="W120" s="34" t="s">
        <v>123</v>
      </c>
      <c r="X120" s="4"/>
      <c r="Y120" s="4"/>
      <c r="Z120" s="4"/>
      <c r="AA120" s="4"/>
      <c r="AB120" s="178"/>
      <c r="AC120" s="4"/>
      <c r="AD120" s="4"/>
    </row>
    <row r="121" spans="1:30" ht="15.75">
      <c r="A121" s="4"/>
      <c r="B121" s="239"/>
      <c r="C121" s="352" t="s">
        <v>805</v>
      </c>
      <c r="D121" s="239"/>
      <c r="E121" s="239"/>
      <c r="F121" s="239"/>
      <c r="G121" s="239"/>
      <c r="H121" s="356"/>
      <c r="I121" s="1426" t="s">
        <v>124</v>
      </c>
      <c r="J121" s="1426"/>
      <c r="K121" s="1426"/>
      <c r="L121" s="1426"/>
      <c r="M121" s="1426"/>
      <c r="N121" s="178"/>
      <c r="O121" s="4"/>
      <c r="P121" s="34" t="s">
        <v>836</v>
      </c>
      <c r="Q121" s="26"/>
      <c r="R121" s="26"/>
      <c r="S121" s="26"/>
      <c r="T121" s="26"/>
      <c r="U121" s="178"/>
      <c r="V121" s="24"/>
      <c r="W121" s="34" t="s">
        <v>125</v>
      </c>
      <c r="X121" s="4"/>
      <c r="Y121" s="4"/>
      <c r="Z121" s="4"/>
      <c r="AA121" s="4"/>
      <c r="AB121" s="178"/>
      <c r="AC121" s="4"/>
      <c r="AD121" s="4"/>
    </row>
    <row r="122" spans="1:30" ht="15.75">
      <c r="A122" s="4"/>
      <c r="B122" s="239"/>
      <c r="C122" s="239"/>
      <c r="D122" s="239"/>
      <c r="E122" s="239"/>
      <c r="F122" s="239"/>
      <c r="G122" s="239"/>
      <c r="H122" s="239"/>
      <c r="I122" s="1426" t="s">
        <v>126</v>
      </c>
      <c r="J122" s="1426"/>
      <c r="K122" s="1426"/>
      <c r="L122" s="1426"/>
      <c r="M122" s="1426"/>
      <c r="N122" s="178"/>
      <c r="O122" s="4"/>
      <c r="P122" s="34" t="s">
        <v>129</v>
      </c>
      <c r="Q122" s="26"/>
      <c r="R122" s="26"/>
      <c r="S122" s="26"/>
      <c r="T122" s="26"/>
      <c r="U122" s="178"/>
      <c r="V122" s="24"/>
      <c r="W122" s="34" t="s">
        <v>127</v>
      </c>
      <c r="X122" s="4"/>
      <c r="Y122" s="4"/>
      <c r="Z122" s="4"/>
      <c r="AA122" s="4"/>
      <c r="AB122" s="178"/>
      <c r="AC122" s="4"/>
      <c r="AD122" s="4"/>
    </row>
    <row r="123" spans="1:30" ht="15.7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row>
    <row r="124" spans="1:30" ht="29.25" customHeight="1">
      <c r="A124" s="9"/>
      <c r="B124" s="1371" t="s">
        <v>130</v>
      </c>
      <c r="C124" s="1371"/>
      <c r="D124" s="1371"/>
      <c r="E124" s="1371"/>
      <c r="F124" s="1371"/>
      <c r="G124" s="1371"/>
      <c r="H124" s="243" t="s">
        <v>0</v>
      </c>
      <c r="I124" s="1432" t="s">
        <v>1107</v>
      </c>
      <c r="J124" s="1432"/>
      <c r="K124" s="1432"/>
      <c r="L124" s="1432"/>
      <c r="M124" s="1432"/>
      <c r="N124" s="1432"/>
      <c r="O124" s="1432"/>
      <c r="P124" s="1432"/>
      <c r="Q124" s="1432"/>
      <c r="R124" s="1432"/>
      <c r="S124" s="1432"/>
      <c r="T124" s="1432"/>
      <c r="U124" s="1432"/>
      <c r="V124" s="1432"/>
      <c r="W124" s="1432"/>
      <c r="X124" s="1432"/>
      <c r="Y124" s="1432"/>
      <c r="Z124" s="1432"/>
      <c r="AA124" s="1432"/>
      <c r="AB124" s="1432"/>
      <c r="AC124" s="1432"/>
      <c r="AD124" s="9"/>
    </row>
  </sheetData>
  <mergeCells count="335">
    <mergeCell ref="B113:G113"/>
    <mergeCell ref="M113:Q113"/>
    <mergeCell ref="R113:V113"/>
    <mergeCell ref="W113:AC113"/>
    <mergeCell ref="B115:G115"/>
    <mergeCell ref="M115:Q115"/>
    <mergeCell ref="R115:V115"/>
    <mergeCell ref="W115:AC115"/>
    <mergeCell ref="I109:L109"/>
    <mergeCell ref="M109:Q109"/>
    <mergeCell ref="R109:V109"/>
    <mergeCell ref="W109:AC109"/>
    <mergeCell ref="B111:G111"/>
    <mergeCell ref="I111:L111"/>
    <mergeCell ref="M111:Q111"/>
    <mergeCell ref="R111:V111"/>
    <mergeCell ref="W111:AC111"/>
    <mergeCell ref="I124:AC124"/>
    <mergeCell ref="I121:M121"/>
    <mergeCell ref="I122:M122"/>
    <mergeCell ref="B117:G117"/>
    <mergeCell ref="M117:Q117"/>
    <mergeCell ref="R117:V117"/>
    <mergeCell ref="W117:AC117"/>
    <mergeCell ref="B119:G120"/>
    <mergeCell ref="I119:M119"/>
    <mergeCell ref="I120:M120"/>
    <mergeCell ref="B107:G107"/>
    <mergeCell ref="I107:L107"/>
    <mergeCell ref="M107:Q107"/>
    <mergeCell ref="R107:V107"/>
    <mergeCell ref="W107:AC107"/>
    <mergeCell ref="I108:L108"/>
    <mergeCell ref="M108:Q108"/>
    <mergeCell ref="R108:V108"/>
    <mergeCell ref="W108:AC108"/>
    <mergeCell ref="I104:L104"/>
    <mergeCell ref="M104:Q104"/>
    <mergeCell ref="R104:V104"/>
    <mergeCell ref="W104:AC104"/>
    <mergeCell ref="I105:L105"/>
    <mergeCell ref="M105:Q105"/>
    <mergeCell ref="R105:V105"/>
    <mergeCell ref="W105:AC105"/>
    <mergeCell ref="B102:G102"/>
    <mergeCell ref="I102:L102"/>
    <mergeCell ref="M102:Q102"/>
    <mergeCell ref="R102:V102"/>
    <mergeCell ref="W102:AC102"/>
    <mergeCell ref="I103:L103"/>
    <mergeCell ref="M103:Q103"/>
    <mergeCell ref="R103:V103"/>
    <mergeCell ref="W103:AC103"/>
    <mergeCell ref="I99:L99"/>
    <mergeCell ref="M99:Q99"/>
    <mergeCell ref="R99:V99"/>
    <mergeCell ref="W99:AC99"/>
    <mergeCell ref="I100:L100"/>
    <mergeCell ref="M100:Q100"/>
    <mergeCell ref="R100:V100"/>
    <mergeCell ref="W100:AC100"/>
    <mergeCell ref="I96:L96"/>
    <mergeCell ref="M96:Q96"/>
    <mergeCell ref="R96:V96"/>
    <mergeCell ref="W96:AC96"/>
    <mergeCell ref="I92:L92"/>
    <mergeCell ref="M92:Q92"/>
    <mergeCell ref="R92:V92"/>
    <mergeCell ref="W92:AC92"/>
    <mergeCell ref="I87:L87"/>
    <mergeCell ref="M87:AC87"/>
    <mergeCell ref="B98:G98"/>
    <mergeCell ref="I98:L98"/>
    <mergeCell ref="M98:Q98"/>
    <mergeCell ref="R98:V98"/>
    <mergeCell ref="W98:AC98"/>
    <mergeCell ref="B94:G94"/>
    <mergeCell ref="I94:L94"/>
    <mergeCell ref="M94:Q94"/>
    <mergeCell ref="R94:V94"/>
    <mergeCell ref="W94:AC94"/>
    <mergeCell ref="I95:L95"/>
    <mergeCell ref="M95:Q95"/>
    <mergeCell ref="R95:V95"/>
    <mergeCell ref="W95:AC95"/>
    <mergeCell ref="R90:V90"/>
    <mergeCell ref="W90:AC90"/>
    <mergeCell ref="M84:AC84"/>
    <mergeCell ref="I85:L85"/>
    <mergeCell ref="M85:AC85"/>
    <mergeCell ref="I86:L86"/>
    <mergeCell ref="M86:AC86"/>
    <mergeCell ref="I91:L91"/>
    <mergeCell ref="M91:Q91"/>
    <mergeCell ref="R91:V91"/>
    <mergeCell ref="W91:AC91"/>
    <mergeCell ref="K65:N65"/>
    <mergeCell ref="O65:R65"/>
    <mergeCell ref="S65:U65"/>
    <mergeCell ref="B75:G75"/>
    <mergeCell ref="I75:L75"/>
    <mergeCell ref="A67:AD67"/>
    <mergeCell ref="B68:G68"/>
    <mergeCell ref="H68:J68"/>
    <mergeCell ref="K68:N68"/>
    <mergeCell ref="O68:R68"/>
    <mergeCell ref="S68:U68"/>
    <mergeCell ref="V68:Y68"/>
    <mergeCell ref="Z68:AC68"/>
    <mergeCell ref="B69:G69"/>
    <mergeCell ref="H69:J69"/>
    <mergeCell ref="K69:N69"/>
    <mergeCell ref="O69:R69"/>
    <mergeCell ref="S69:U69"/>
    <mergeCell ref="V69:Y69"/>
    <mergeCell ref="Z69:AC69"/>
    <mergeCell ref="B70:G70"/>
    <mergeCell ref="H70:J70"/>
    <mergeCell ref="K70:N70"/>
    <mergeCell ref="O70:R70"/>
    <mergeCell ref="H62:J62"/>
    <mergeCell ref="K62:N62"/>
    <mergeCell ref="O62:R62"/>
    <mergeCell ref="Z62:AC62"/>
    <mergeCell ref="B61:G61"/>
    <mergeCell ref="H61:J61"/>
    <mergeCell ref="K61:N61"/>
    <mergeCell ref="O61:R61"/>
    <mergeCell ref="S62:Y62"/>
    <mergeCell ref="H55:J55"/>
    <mergeCell ref="K55:N55"/>
    <mergeCell ref="O55:R55"/>
    <mergeCell ref="Z55:AC55"/>
    <mergeCell ref="B54:G54"/>
    <mergeCell ref="H54:J54"/>
    <mergeCell ref="K54:N54"/>
    <mergeCell ref="O54:R54"/>
    <mergeCell ref="Z61:AC61"/>
    <mergeCell ref="Z54:AC54"/>
    <mergeCell ref="B55:G55"/>
    <mergeCell ref="B44:G44"/>
    <mergeCell ref="S44:U44"/>
    <mergeCell ref="A46:B46"/>
    <mergeCell ref="C46:AC46"/>
    <mergeCell ref="Z50:AC50"/>
    <mergeCell ref="B51:G51"/>
    <mergeCell ref="H51:J51"/>
    <mergeCell ref="K51:N51"/>
    <mergeCell ref="O51:R51"/>
    <mergeCell ref="Z51:AC51"/>
    <mergeCell ref="B50:G50"/>
    <mergeCell ref="H50:J50"/>
    <mergeCell ref="K50:N50"/>
    <mergeCell ref="O50:R50"/>
    <mergeCell ref="A48:AD48"/>
    <mergeCell ref="B49:G49"/>
    <mergeCell ref="S50:Y50"/>
    <mergeCell ref="S51:Y51"/>
    <mergeCell ref="Z42:AC42"/>
    <mergeCell ref="B43:G43"/>
    <mergeCell ref="H43:J43"/>
    <mergeCell ref="K43:N43"/>
    <mergeCell ref="O43:R43"/>
    <mergeCell ref="S43:U43"/>
    <mergeCell ref="V43:Y43"/>
    <mergeCell ref="Z43:AC43"/>
    <mergeCell ref="B42:G42"/>
    <mergeCell ref="H42:J42"/>
    <mergeCell ref="K42:N42"/>
    <mergeCell ref="O42:R42"/>
    <mergeCell ref="S42:U42"/>
    <mergeCell ref="V42:Y42"/>
    <mergeCell ref="B39:G39"/>
    <mergeCell ref="H39:J39"/>
    <mergeCell ref="K39:N39"/>
    <mergeCell ref="O39:R39"/>
    <mergeCell ref="S39:U39"/>
    <mergeCell ref="V39:Y39"/>
    <mergeCell ref="Z39:AC39"/>
    <mergeCell ref="Z40:AC40"/>
    <mergeCell ref="B41:G41"/>
    <mergeCell ref="H41:J41"/>
    <mergeCell ref="K41:N41"/>
    <mergeCell ref="O41:R41"/>
    <mergeCell ref="S41:U41"/>
    <mergeCell ref="V41:Y41"/>
    <mergeCell ref="Z41:AC41"/>
    <mergeCell ref="B40:G40"/>
    <mergeCell ref="H40:J40"/>
    <mergeCell ref="K40:N40"/>
    <mergeCell ref="O40:R40"/>
    <mergeCell ref="S40:U40"/>
    <mergeCell ref="V40:Y40"/>
    <mergeCell ref="E22:Y22"/>
    <mergeCell ref="Z22:AC22"/>
    <mergeCell ref="Z23:AC23"/>
    <mergeCell ref="B38:G38"/>
    <mergeCell ref="H38:J38"/>
    <mergeCell ref="K38:N38"/>
    <mergeCell ref="O38:R38"/>
    <mergeCell ref="S38:U38"/>
    <mergeCell ref="A37:AD37"/>
    <mergeCell ref="V38:Y38"/>
    <mergeCell ref="Z38:AC38"/>
    <mergeCell ref="W23:Y23"/>
    <mergeCell ref="B22:D22"/>
    <mergeCell ref="B24:AC24"/>
    <mergeCell ref="B25:D25"/>
    <mergeCell ref="E25:Y25"/>
    <mergeCell ref="Z25:AC25"/>
    <mergeCell ref="B26:D26"/>
    <mergeCell ref="E26:Y26"/>
    <mergeCell ref="Z26:AC26"/>
    <mergeCell ref="B27:D27"/>
    <mergeCell ref="E27:Y27"/>
    <mergeCell ref="Z27:AC27"/>
    <mergeCell ref="B28:D28"/>
    <mergeCell ref="T12:X12"/>
    <mergeCell ref="Z12:AD12"/>
    <mergeCell ref="T13:X13"/>
    <mergeCell ref="Z13:AD13"/>
    <mergeCell ref="T14:X14"/>
    <mergeCell ref="Z14:AD14"/>
    <mergeCell ref="A16:AD16"/>
    <mergeCell ref="B17:D17"/>
    <mergeCell ref="E17:Y17"/>
    <mergeCell ref="B20:D20"/>
    <mergeCell ref="E20:Y20"/>
    <mergeCell ref="Z20:AC20"/>
    <mergeCell ref="B21:D21"/>
    <mergeCell ref="E21:Y21"/>
    <mergeCell ref="Z21:AC21"/>
    <mergeCell ref="T15:X15"/>
    <mergeCell ref="Z15:AD15"/>
    <mergeCell ref="Z17:AC17"/>
    <mergeCell ref="B19:D19"/>
    <mergeCell ref="E19:Y19"/>
    <mergeCell ref="Z19:AC19"/>
    <mergeCell ref="B18:AC18"/>
    <mergeCell ref="Z52:AC52"/>
    <mergeCell ref="B53:G53"/>
    <mergeCell ref="H53:J53"/>
    <mergeCell ref="K53:N53"/>
    <mergeCell ref="O53:R53"/>
    <mergeCell ref="Z53:AC53"/>
    <mergeCell ref="B52:G52"/>
    <mergeCell ref="H52:J52"/>
    <mergeCell ref="K52:N52"/>
    <mergeCell ref="O52:R52"/>
    <mergeCell ref="B64:G64"/>
    <mergeCell ref="H64:J64"/>
    <mergeCell ref="K64:N64"/>
    <mergeCell ref="O64:R64"/>
    <mergeCell ref="Z64:AC64"/>
    <mergeCell ref="K56:N56"/>
    <mergeCell ref="O56:R56"/>
    <mergeCell ref="Z59:AC59"/>
    <mergeCell ref="B60:G60"/>
    <mergeCell ref="H60:J60"/>
    <mergeCell ref="K60:N60"/>
    <mergeCell ref="O60:R60"/>
    <mergeCell ref="Z60:AC60"/>
    <mergeCell ref="B59:G59"/>
    <mergeCell ref="H59:J59"/>
    <mergeCell ref="K59:N59"/>
    <mergeCell ref="O59:R59"/>
    <mergeCell ref="B58:G58"/>
    <mergeCell ref="B63:G63"/>
    <mergeCell ref="H63:J63"/>
    <mergeCell ref="K63:N63"/>
    <mergeCell ref="O63:R63"/>
    <mergeCell ref="Z63:AC63"/>
    <mergeCell ref="B62:G62"/>
    <mergeCell ref="S70:U70"/>
    <mergeCell ref="V70:Y70"/>
    <mergeCell ref="Z70:AC70"/>
    <mergeCell ref="B71:G71"/>
    <mergeCell ref="H71:J71"/>
    <mergeCell ref="K71:N71"/>
    <mergeCell ref="O71:R71"/>
    <mergeCell ref="S71:U71"/>
    <mergeCell ref="V71:Y71"/>
    <mergeCell ref="Z71:AC71"/>
    <mergeCell ref="A74:AD74"/>
    <mergeCell ref="B124:G124"/>
    <mergeCell ref="A89:AD89"/>
    <mergeCell ref="B72:G72"/>
    <mergeCell ref="H72:J72"/>
    <mergeCell ref="K72:N72"/>
    <mergeCell ref="O72:R72"/>
    <mergeCell ref="S72:U72"/>
    <mergeCell ref="V72:Y72"/>
    <mergeCell ref="Z72:AC72"/>
    <mergeCell ref="B80:G80"/>
    <mergeCell ref="I80:L80"/>
    <mergeCell ref="M80:AC80"/>
    <mergeCell ref="I81:L81"/>
    <mergeCell ref="M81:AC81"/>
    <mergeCell ref="I82:L82"/>
    <mergeCell ref="M82:AC82"/>
    <mergeCell ref="I83:L83"/>
    <mergeCell ref="M83:AC83"/>
    <mergeCell ref="I78:L78"/>
    <mergeCell ref="B90:G90"/>
    <mergeCell ref="I90:L90"/>
    <mergeCell ref="M90:Q90"/>
    <mergeCell ref="I84:L84"/>
    <mergeCell ref="S63:Y63"/>
    <mergeCell ref="S64:Y64"/>
    <mergeCell ref="S52:Y52"/>
    <mergeCell ref="S53:Y53"/>
    <mergeCell ref="S54:Y54"/>
    <mergeCell ref="S55:Y55"/>
    <mergeCell ref="S59:Y59"/>
    <mergeCell ref="S60:Y60"/>
    <mergeCell ref="S61:Y61"/>
    <mergeCell ref="B33:D33"/>
    <mergeCell ref="E33:Y33"/>
    <mergeCell ref="Z33:AC33"/>
    <mergeCell ref="B34:D34"/>
    <mergeCell ref="E34:Y34"/>
    <mergeCell ref="Z34:AC34"/>
    <mergeCell ref="W35:Y35"/>
    <mergeCell ref="Z35:AC35"/>
    <mergeCell ref="E28:Y28"/>
    <mergeCell ref="Z28:AC28"/>
    <mergeCell ref="W29:Y29"/>
    <mergeCell ref="Z29:AC29"/>
    <mergeCell ref="B30:AC30"/>
    <mergeCell ref="B31:D31"/>
    <mergeCell ref="E31:Y31"/>
    <mergeCell ref="Z31:AC31"/>
    <mergeCell ref="B32:D32"/>
    <mergeCell ref="E32:Y32"/>
    <mergeCell ref="Z32:AC32"/>
  </mergeCells>
  <phoneticPr fontId="82" type="noConversion"/>
  <conditionalFormatting sqref="I124">
    <cfRule type="expression" dxfId="21" priority="1">
      <formula>NOT(ISBLANK($I$124))</formula>
    </cfRule>
  </conditionalFormatting>
  <dataValidations count="2">
    <dataValidation type="decimal" allowBlank="1" showInputMessage="1" showErrorMessage="1" sqref="O39:R43" xr:uid="{00000000-0002-0000-0500-000000000000}">
      <formula1>0</formula1>
      <formula2>1</formula2>
    </dataValidation>
    <dataValidation type="decimal" allowBlank="1" showInputMessage="1" showErrorMessage="1" sqref="K39:N43 O70:R72 K51:R55 S39:U43 K69:N72 S69:U72 K60:R64" xr:uid="{00000000-0002-0000-0500-000001000000}">
      <formula1>0</formula1>
      <formula2>10000000</formula2>
    </dataValidation>
  </dataValidations>
  <printOptions horizontalCentered="1"/>
  <pageMargins left="0.70866141732283472" right="0.70866141732283472" top="0.74803149606299213" bottom="0.74803149606299213" header="0.31496062992125984" footer="0.31496062992125984"/>
  <pageSetup paperSize="9" scale="55" fitToHeight="0" orientation="portrait" r:id="rId1"/>
  <headerFooter>
    <oddFooter>&amp;L&amp;G&amp;R&amp;G
&amp;P</oddFooter>
  </headerFooter>
  <rowBreaks count="1" manualBreakCount="1">
    <brk id="87" max="29" man="1"/>
  </rowBreaks>
  <drawing r:id="rId2"/>
  <legacyDrawing r:id="rId3"/>
  <legacyDrawingHF r:id="rId4"/>
  <extLst>
    <ext xmlns:x14="http://schemas.microsoft.com/office/spreadsheetml/2009/9/main" uri="{CCE6A557-97BC-4b89-ADB6-D9C93CAAB3DF}">
      <x14:dataValidations xmlns:xm="http://schemas.microsoft.com/office/excel/2006/main" count="32">
        <x14:dataValidation type="list" allowBlank="1" showInputMessage="1" showErrorMessage="1" xr:uid="{00000000-0002-0000-0500-000002000000}">
          <x14:formula1>
            <xm:f>'Lista-Data'!$AU$4:$AU$6</xm:f>
          </x14:formula1>
          <xm:sqref>M100:V100</xm:sqref>
        </x14:dataValidation>
        <x14:dataValidation type="list" allowBlank="1" showInputMessage="1" showErrorMessage="1" xr:uid="{00000000-0002-0000-0500-000003000000}">
          <x14:formula1>
            <xm:f>'Lista-Data'!$BF$3:$BF$7</xm:f>
          </x14:formula1>
          <xm:sqref>M117:V117</xm:sqref>
        </x14:dataValidation>
        <x14:dataValidation type="list" allowBlank="1" showInputMessage="1" showErrorMessage="1" xr:uid="{00000000-0002-0000-0500-000004000000}">
          <x14:formula1>
            <xm:f>'Lista-Data'!$BE$3:$BE$9</xm:f>
          </x14:formula1>
          <xm:sqref>M115:V115</xm:sqref>
        </x14:dataValidation>
        <x14:dataValidation type="list" allowBlank="1" showInputMessage="1" showErrorMessage="1" xr:uid="{00000000-0002-0000-0500-000005000000}">
          <x14:formula1>
            <xm:f>'Lista-Data'!$BD$3:$BD$24</xm:f>
          </x14:formula1>
          <xm:sqref>M113:V113</xm:sqref>
        </x14:dataValidation>
        <x14:dataValidation type="list" allowBlank="1" showInputMessage="1" showErrorMessage="1" xr:uid="{00000000-0002-0000-0500-000006000000}">
          <x14:formula1>
            <xm:f>'Lista-Data'!$BB$4:$BB$6</xm:f>
          </x14:formula1>
          <xm:sqref>M109:V109</xm:sqref>
        </x14:dataValidation>
        <x14:dataValidation type="list" allowBlank="1" showInputMessage="1" showErrorMessage="1" xr:uid="{00000000-0002-0000-0500-000007000000}">
          <x14:formula1>
            <xm:f>'Lista-Data'!$BA$4:$BA$5</xm:f>
          </x14:formula1>
          <xm:sqref>M108:V108</xm:sqref>
        </x14:dataValidation>
        <x14:dataValidation type="list" allowBlank="1" showInputMessage="1" showErrorMessage="1" xr:uid="{00000000-0002-0000-0500-000008000000}">
          <x14:formula1>
            <xm:f>'Lista-Data'!$AZ$4:$AZ$7</xm:f>
          </x14:formula1>
          <xm:sqref>M107:V107</xm:sqref>
        </x14:dataValidation>
        <x14:dataValidation type="list" allowBlank="1" showInputMessage="1" showErrorMessage="1" xr:uid="{00000000-0002-0000-0500-000009000000}">
          <x14:formula1>
            <xm:f>'Lista-Data'!$AY$4:$AY$6</xm:f>
          </x14:formula1>
          <xm:sqref>M105:V105</xm:sqref>
        </x14:dataValidation>
        <x14:dataValidation type="list" allowBlank="1" showInputMessage="1" showErrorMessage="1" xr:uid="{00000000-0002-0000-0500-00000A000000}">
          <x14:formula1>
            <xm:f>'Lista-Data'!$AX$4:$AX$9</xm:f>
          </x14:formula1>
          <xm:sqref>M104:V104</xm:sqref>
        </x14:dataValidation>
        <x14:dataValidation type="list" allowBlank="1" showInputMessage="1" showErrorMessage="1" xr:uid="{00000000-0002-0000-0500-00000B000000}">
          <x14:formula1>
            <xm:f>'Lista-Data'!$AW$4:$AW$8</xm:f>
          </x14:formula1>
          <xm:sqref>M103:V103</xm:sqref>
        </x14:dataValidation>
        <x14:dataValidation type="list" allowBlank="1" showInputMessage="1" showErrorMessage="1" xr:uid="{00000000-0002-0000-0500-00000C000000}">
          <x14:formula1>
            <xm:f>'Lista-Data'!$AV$4:$AV$8</xm:f>
          </x14:formula1>
          <xm:sqref>M102:V102</xm:sqref>
        </x14:dataValidation>
        <x14:dataValidation type="list" allowBlank="1" showInputMessage="1" showErrorMessage="1" xr:uid="{00000000-0002-0000-0500-00000D000000}">
          <x14:formula1>
            <xm:f>'Lista-Data'!$AT$4:$AT$7</xm:f>
          </x14:formula1>
          <xm:sqref>M99:V99</xm:sqref>
        </x14:dataValidation>
        <x14:dataValidation type="list" allowBlank="1" showInputMessage="1" showErrorMessage="1" xr:uid="{00000000-0002-0000-0500-00000E000000}">
          <x14:formula1>
            <xm:f>'Lista-Data'!$AS$4:$AS$7</xm:f>
          </x14:formula1>
          <xm:sqref>M98:V98</xm:sqref>
        </x14:dataValidation>
        <x14:dataValidation type="list" allowBlank="1" showInputMessage="1" showErrorMessage="1" xr:uid="{00000000-0002-0000-0500-00000F000000}">
          <x14:formula1>
            <xm:f>'Lista-Data'!$AR$4:$AR$6</xm:f>
          </x14:formula1>
          <xm:sqref>M96:V96</xm:sqref>
        </x14:dataValidation>
        <x14:dataValidation type="list" allowBlank="1" showInputMessage="1" showErrorMessage="1" xr:uid="{00000000-0002-0000-0500-000010000000}">
          <x14:formula1>
            <xm:f>'Lista-Data'!$AQ$4:$AQ$7</xm:f>
          </x14:formula1>
          <xm:sqref>M95:V95</xm:sqref>
        </x14:dataValidation>
        <x14:dataValidation type="list" allowBlank="1" showInputMessage="1" showErrorMessage="1" xr:uid="{00000000-0002-0000-0500-000011000000}">
          <x14:formula1>
            <xm:f>'Lista-Data'!$AP$4:$AP$7</xm:f>
          </x14:formula1>
          <xm:sqref>M94:V94</xm:sqref>
        </x14:dataValidation>
        <x14:dataValidation type="list" allowBlank="1" showInputMessage="1" showErrorMessage="1" xr:uid="{00000000-0002-0000-0500-000012000000}">
          <x14:formula1>
            <xm:f>'Lista-Data'!$AO$4:$AO$7</xm:f>
          </x14:formula1>
          <xm:sqref>M92:V92</xm:sqref>
        </x14:dataValidation>
        <x14:dataValidation type="list" allowBlank="1" showInputMessage="1" showErrorMessage="1" xr:uid="{00000000-0002-0000-0500-000013000000}">
          <x14:formula1>
            <xm:f>'Lista-Data'!$AN$4:$AN$6</xm:f>
          </x14:formula1>
          <xm:sqref>M91:V91</xm:sqref>
        </x14:dataValidation>
        <x14:dataValidation type="list" allowBlank="1" showInputMessage="1" showErrorMessage="1" xr:uid="{00000000-0002-0000-0500-000014000000}">
          <x14:formula1>
            <xm:f>'Lista-Data'!$AM$4:$AM$7</xm:f>
          </x14:formula1>
          <xm:sqref>M90:V90</xm:sqref>
        </x14:dataValidation>
        <x14:dataValidation type="list" allowBlank="1" showInputMessage="1" showErrorMessage="1" xr:uid="{00000000-0002-0000-0500-000015000000}">
          <x14:formula1>
            <xm:f>'Lista-Data'!$AL$3:$AL$8</xm:f>
          </x14:formula1>
          <xm:sqref>M87:AC87</xm:sqref>
        </x14:dataValidation>
        <x14:dataValidation type="list" allowBlank="1" showInputMessage="1" showErrorMessage="1" xr:uid="{00000000-0002-0000-0500-000016000000}">
          <x14:formula1>
            <xm:f>'Lista-Data'!$AK$3:$AK$7</xm:f>
          </x14:formula1>
          <xm:sqref>M86:AC86</xm:sqref>
        </x14:dataValidation>
        <x14:dataValidation type="list" allowBlank="1" showInputMessage="1" showErrorMessage="1" xr:uid="{00000000-0002-0000-0500-000017000000}">
          <x14:formula1>
            <xm:f>'Lista-Data'!$AJ$3:$AJ$7</xm:f>
          </x14:formula1>
          <xm:sqref>M85:AC85</xm:sqref>
        </x14:dataValidation>
        <x14:dataValidation type="list" allowBlank="1" showInputMessage="1" showErrorMessage="1" xr:uid="{00000000-0002-0000-0500-000018000000}">
          <x14:formula1>
            <xm:f>'Lista-Data'!$AI$3:$AI$9</xm:f>
          </x14:formula1>
          <xm:sqref>M84:AC84</xm:sqref>
        </x14:dataValidation>
        <x14:dataValidation type="list" allowBlank="1" showInputMessage="1" showErrorMessage="1" xr:uid="{00000000-0002-0000-0500-000019000000}">
          <x14:formula1>
            <xm:f>'Lista-Data'!$AH$3:$AH$12</xm:f>
          </x14:formula1>
          <xm:sqref>M83:AC83</xm:sqref>
        </x14:dataValidation>
        <x14:dataValidation type="list" allowBlank="1" showInputMessage="1" showErrorMessage="1" xr:uid="{00000000-0002-0000-0500-00001A000000}">
          <x14:formula1>
            <xm:f>'Lista-Data'!$AG$3:$AG$11</xm:f>
          </x14:formula1>
          <xm:sqref>M82:AC82</xm:sqref>
        </x14:dataValidation>
        <x14:dataValidation type="list" allowBlank="1" showInputMessage="1" showErrorMessage="1" xr:uid="{00000000-0002-0000-0500-00001B000000}">
          <x14:formula1>
            <xm:f>'Lista-Data'!$AF$3:$AF$12</xm:f>
          </x14:formula1>
          <xm:sqref>M81:AC81</xm:sqref>
        </x14:dataValidation>
        <x14:dataValidation type="list" allowBlank="1" showInputMessage="1" showErrorMessage="1" xr:uid="{00000000-0002-0000-0500-00001C000000}">
          <x14:formula1>
            <xm:f>'Lista-Data'!$AE$3:$AE$11</xm:f>
          </x14:formula1>
          <xm:sqref>M80:AC80</xm:sqref>
        </x14:dataValidation>
        <x14:dataValidation type="list" allowBlank="1" showInputMessage="1" showErrorMessage="1" xr:uid="{00000000-0002-0000-0500-00001D000000}">
          <x14:formula1>
            <xm:f>'Lista-Data'!$AC$3:$AC$7</xm:f>
          </x14:formula1>
          <xm:sqref>H39:J43 H51:J55 H60:J64</xm:sqref>
        </x14:dataValidation>
        <x14:dataValidation type="list" allowBlank="1" showInputMessage="1" showErrorMessage="1" xr:uid="{00000000-0002-0000-0500-00001E000000}">
          <x14:formula1>
            <xm:f>'Lista-Data'!$AD$3:$AD$11</xm:f>
          </x14:formula1>
          <xm:sqref>V39:Y43 S60:Y64 S51:Y55</xm:sqref>
        </x14:dataValidation>
        <x14:dataValidation type="list" allowBlank="1" showInputMessage="1" showErrorMessage="1" xr:uid="{00000000-0002-0000-0500-00001F000000}">
          <x14:formula1>
            <xm:f>'Lista-Data'!$X$3:$X$4</xm:f>
          </x14:formula1>
          <xm:sqref>Z51:AC55 Z60:AC64 Z69:AC72</xm:sqref>
        </x14:dataValidation>
        <x14:dataValidation type="list" allowBlank="1" showInputMessage="1" showErrorMessage="1" xr:uid="{00000000-0002-0000-0500-000020000000}">
          <x14:formula1>
            <xm:f>'Lista-Data'!$BC$3:$BC$11</xm:f>
          </x14:formula1>
          <xm:sqref>M111:V111</xm:sqref>
        </x14:dataValidation>
        <x14:dataValidation type="list" allowBlank="1" showInputMessage="1" showErrorMessage="1" xr:uid="{00000000-0002-0000-0500-000021000000}">
          <x14:formula1>
            <xm:f>'Lista-Data'!$AC$3:$AC$10</xm:f>
          </x14:formula1>
          <xm:sqref>H69:J72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00B050"/>
  </sheetPr>
  <dimension ref="A12:BY85"/>
  <sheetViews>
    <sheetView topLeftCell="A16" workbookViewId="0"/>
  </sheetViews>
  <sheetFormatPr baseColWidth="10" defaultRowHeight="15"/>
  <cols>
    <col min="1" max="30" width="5.140625" customWidth="1"/>
    <col min="31" max="31" width="3" customWidth="1"/>
    <col min="32" max="46" width="2.42578125" customWidth="1"/>
    <col min="47" max="49" width="2.140625" customWidth="1"/>
    <col min="50" max="52" width="1.85546875" customWidth="1"/>
    <col min="53" max="54" width="2" customWidth="1"/>
    <col min="55" max="55" width="2.28515625" customWidth="1"/>
    <col min="56" max="58" width="1.85546875" customWidth="1"/>
    <col min="59" max="63" width="2.140625" customWidth="1"/>
    <col min="64" max="68" width="2" customWidth="1"/>
    <col min="69" max="73" width="2.85546875" customWidth="1"/>
    <col min="74" max="77" width="2.5703125" customWidth="1"/>
    <col min="78" max="78" width="5.140625" customWidth="1"/>
  </cols>
  <sheetData>
    <row r="12" spans="1:30" ht="15.75">
      <c r="A12" s="24"/>
      <c r="B12" s="24"/>
      <c r="C12" s="24"/>
      <c r="D12" s="24"/>
      <c r="E12" s="24"/>
      <c r="F12" s="24"/>
      <c r="G12" s="24"/>
      <c r="H12" s="24"/>
      <c r="I12" s="24"/>
      <c r="J12" s="24"/>
      <c r="K12" s="24"/>
      <c r="L12" s="24"/>
      <c r="M12" s="24"/>
      <c r="N12" s="24"/>
      <c r="O12" s="24"/>
      <c r="P12" s="24"/>
      <c r="Q12" s="24"/>
      <c r="R12" s="24"/>
      <c r="S12" s="24"/>
      <c r="T12" s="1023" t="s">
        <v>815</v>
      </c>
      <c r="U12" s="1023"/>
      <c r="V12" s="1023"/>
      <c r="W12" s="1023"/>
      <c r="X12" s="1023"/>
      <c r="Y12" s="67" t="s">
        <v>0</v>
      </c>
      <c r="Z12" s="1388">
        <f>+'MEM. DESC. II'!Z12:AD12</f>
        <v>0</v>
      </c>
      <c r="AA12" s="1388"/>
      <c r="AB12" s="1388"/>
      <c r="AC12" s="1388"/>
      <c r="AD12" s="1388"/>
    </row>
    <row r="13" spans="1:30" ht="15.75">
      <c r="A13" s="24"/>
      <c r="B13" s="24"/>
      <c r="C13" s="24"/>
      <c r="D13" s="24"/>
      <c r="E13" s="24"/>
      <c r="F13" s="24"/>
      <c r="G13" s="24"/>
      <c r="H13" s="24"/>
      <c r="I13" s="24"/>
      <c r="J13" s="24"/>
      <c r="K13" s="24"/>
      <c r="L13" s="24"/>
      <c r="M13" s="24"/>
      <c r="N13" s="24"/>
      <c r="O13" s="24"/>
      <c r="P13" s="24"/>
      <c r="Q13" s="24"/>
      <c r="R13" s="24"/>
      <c r="S13" s="24"/>
      <c r="T13" s="1023" t="s">
        <v>1</v>
      </c>
      <c r="U13" s="1023"/>
      <c r="V13" s="1023"/>
      <c r="W13" s="1023"/>
      <c r="X13" s="1023"/>
      <c r="Y13" s="67" t="s">
        <v>0</v>
      </c>
      <c r="Z13" s="1388" t="str">
        <f>+'MEM. DESC. II'!Z13:AD13</f>
        <v>XXXX-26</v>
      </c>
      <c r="AA13" s="1388"/>
      <c r="AB13" s="1388"/>
      <c r="AC13" s="1388"/>
      <c r="AD13" s="1388"/>
    </row>
    <row r="14" spans="1:30" ht="15.75">
      <c r="A14" s="24"/>
      <c r="B14" s="24"/>
      <c r="C14" s="24"/>
      <c r="D14" s="24"/>
      <c r="E14" s="24"/>
      <c r="F14" s="24"/>
      <c r="G14" s="24"/>
      <c r="H14" s="24"/>
      <c r="I14" s="24"/>
      <c r="J14" s="24"/>
      <c r="K14" s="24"/>
      <c r="L14" s="24"/>
      <c r="M14" s="24"/>
      <c r="N14" s="24"/>
      <c r="O14" s="24"/>
      <c r="P14" s="24"/>
      <c r="Q14" s="24"/>
      <c r="R14" s="24"/>
      <c r="S14" s="24"/>
      <c r="T14" s="1023" t="s">
        <v>52</v>
      </c>
      <c r="U14" s="1023"/>
      <c r="V14" s="1023"/>
      <c r="W14" s="1023"/>
      <c r="X14" s="1023"/>
      <c r="Y14" s="67" t="s">
        <v>0</v>
      </c>
      <c r="Z14" s="1026">
        <f>+'MEM. DESC. II'!Z14:AD14</f>
        <v>0</v>
      </c>
      <c r="AA14" s="1026"/>
      <c r="AB14" s="1026"/>
      <c r="AC14" s="1026"/>
      <c r="AD14" s="1026"/>
    </row>
    <row r="15" spans="1:30" ht="15.75">
      <c r="A15" s="24"/>
      <c r="B15" s="24"/>
      <c r="C15" s="24"/>
      <c r="D15" s="24"/>
      <c r="E15" s="24"/>
      <c r="F15" s="24"/>
      <c r="G15" s="24"/>
      <c r="H15" s="24"/>
      <c r="I15" s="24"/>
      <c r="J15" s="24"/>
      <c r="K15" s="24"/>
      <c r="L15" s="24"/>
      <c r="M15" s="24"/>
      <c r="N15" s="24"/>
      <c r="O15" s="24"/>
      <c r="P15" s="24"/>
      <c r="Q15" s="24"/>
      <c r="R15" s="24"/>
      <c r="S15" s="24"/>
      <c r="T15" s="1023" t="s">
        <v>816</v>
      </c>
      <c r="U15" s="1023"/>
      <c r="V15" s="1023"/>
      <c r="W15" s="1023"/>
      <c r="X15" s="1023"/>
      <c r="Y15" s="67" t="s">
        <v>0</v>
      </c>
      <c r="Z15" s="1026">
        <f>+'MEM. DESC. II'!Z15:AD15</f>
        <v>365</v>
      </c>
      <c r="AA15" s="1026"/>
      <c r="AB15" s="1026"/>
      <c r="AC15" s="1026"/>
      <c r="AD15" s="1026"/>
    </row>
    <row r="16" spans="1:30" ht="18">
      <c r="A16" s="1312" t="s">
        <v>838</v>
      </c>
      <c r="B16" s="1313"/>
      <c r="C16" s="1313"/>
      <c r="D16" s="1313"/>
      <c r="E16" s="1313"/>
      <c r="F16" s="1313"/>
      <c r="G16" s="1313"/>
      <c r="H16" s="1313"/>
      <c r="I16" s="1313"/>
      <c r="J16" s="1313"/>
      <c r="K16" s="1313"/>
      <c r="L16" s="1313"/>
      <c r="M16" s="1313"/>
      <c r="N16" s="1313"/>
      <c r="O16" s="1313"/>
      <c r="P16" s="1313"/>
      <c r="Q16" s="1313"/>
      <c r="R16" s="1313"/>
      <c r="S16" s="1313"/>
      <c r="T16" s="1313"/>
      <c r="U16" s="1313"/>
      <c r="V16" s="1313"/>
      <c r="W16" s="1313"/>
      <c r="X16" s="1313"/>
      <c r="Y16" s="1313"/>
      <c r="Z16" s="1313"/>
      <c r="AA16" s="1313"/>
      <c r="AB16" s="1313"/>
      <c r="AC16" s="1313"/>
      <c r="AD16" s="1313"/>
    </row>
    <row r="17" spans="1:77" ht="15.75">
      <c r="A17" s="1292" t="s">
        <v>839</v>
      </c>
      <c r="B17" s="1293"/>
      <c r="C17" s="1293"/>
      <c r="D17" s="1293"/>
      <c r="E17" s="1293"/>
      <c r="F17" s="1293"/>
      <c r="G17" s="1293"/>
      <c r="H17" s="1293"/>
      <c r="I17" s="1293"/>
      <c r="J17" s="1293"/>
      <c r="K17" s="1293"/>
      <c r="L17" s="1293"/>
      <c r="M17" s="1293"/>
      <c r="N17" s="1293"/>
      <c r="O17" s="1293"/>
      <c r="P17" s="1293"/>
      <c r="Q17" s="1293"/>
      <c r="R17" s="1293"/>
      <c r="S17" s="1293"/>
      <c r="T17" s="1293"/>
      <c r="U17" s="1293"/>
      <c r="V17" s="1293"/>
      <c r="W17" s="1293"/>
      <c r="X17" s="1293"/>
      <c r="Y17" s="1293"/>
      <c r="Z17" s="1293"/>
      <c r="AA17" s="1293"/>
      <c r="AB17" s="1293"/>
      <c r="AC17" s="1293"/>
      <c r="AD17" s="1294"/>
      <c r="AF17" s="1504" t="s">
        <v>1105</v>
      </c>
      <c r="AG17" s="1504"/>
      <c r="AH17" s="1504"/>
      <c r="AI17" s="1504"/>
      <c r="AJ17" s="1504"/>
      <c r="AK17" s="1504"/>
      <c r="AL17" s="1504"/>
      <c r="AM17" s="1504"/>
      <c r="AN17" s="1504"/>
      <c r="AO17" s="1504"/>
      <c r="AP17" s="1504"/>
      <c r="AQ17" s="1504"/>
      <c r="AR17" s="1504"/>
      <c r="AS17" s="1504"/>
      <c r="AT17" s="1504"/>
      <c r="AU17" s="1504"/>
      <c r="AV17" s="1504"/>
      <c r="AW17" s="1504"/>
      <c r="AX17" s="1504"/>
      <c r="AY17" s="1504"/>
      <c r="AZ17" s="1504"/>
      <c r="BA17" s="1504"/>
      <c r="BB17" s="1504"/>
      <c r="BC17" s="1504"/>
      <c r="BD17" s="1504"/>
      <c r="BE17" s="1504"/>
      <c r="BF17" s="1504"/>
      <c r="BG17" s="1504"/>
      <c r="BH17" s="1504"/>
      <c r="BI17" s="1504"/>
      <c r="BJ17" s="1504"/>
      <c r="BK17" s="1504"/>
      <c r="BL17" s="1504"/>
      <c r="BM17" s="1504"/>
      <c r="BN17" s="1504"/>
      <c r="BO17" s="1504"/>
      <c r="BP17" s="1504"/>
      <c r="BQ17" s="1504"/>
      <c r="BR17" s="1504"/>
      <c r="BS17" s="1504"/>
      <c r="BT17" s="1504"/>
      <c r="BU17" s="1504"/>
      <c r="BV17" s="1504"/>
      <c r="BW17" s="1504"/>
      <c r="BX17" s="1504"/>
      <c r="BY17" s="1504"/>
    </row>
    <row r="18" spans="1:77" s="24" customFormat="1" ht="6"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row>
    <row r="19" spans="1:77" ht="15.75">
      <c r="A19" s="9"/>
      <c r="B19" s="746" t="s">
        <v>950</v>
      </c>
      <c r="C19" s="746"/>
      <c r="D19" s="746"/>
      <c r="E19" s="746"/>
      <c r="F19" s="746"/>
      <c r="G19" s="746"/>
      <c r="H19" s="746"/>
      <c r="I19" s="746"/>
      <c r="J19" s="746"/>
      <c r="K19" s="33" t="s">
        <v>840</v>
      </c>
      <c r="L19" s="55"/>
      <c r="M19" s="55"/>
      <c r="N19" s="55"/>
      <c r="P19" s="9"/>
      <c r="Q19" s="9"/>
      <c r="R19" s="9"/>
      <c r="S19" s="9"/>
      <c r="T19" s="9"/>
      <c r="U19" s="9"/>
      <c r="V19" s="9"/>
      <c r="W19" s="9"/>
      <c r="X19" s="9"/>
      <c r="Y19" s="9"/>
      <c r="Z19" s="9"/>
      <c r="AA19" s="9"/>
      <c r="AB19" s="9"/>
      <c r="AC19" s="9"/>
      <c r="AD19" s="9"/>
      <c r="AF19" s="1488" t="s">
        <v>1101</v>
      </c>
      <c r="AG19" s="1489"/>
      <c r="AH19" s="1489"/>
      <c r="AI19" s="1489"/>
      <c r="AJ19" s="1489"/>
      <c r="AK19" s="1489"/>
      <c r="AL19" s="1489"/>
      <c r="AM19" s="1489"/>
      <c r="AN19" s="1489"/>
      <c r="AO19" s="1489"/>
      <c r="AP19" s="1489"/>
      <c r="AQ19" s="1489"/>
      <c r="AR19" s="1489"/>
      <c r="AS19" s="1489"/>
      <c r="AT19" s="1489"/>
      <c r="AU19" s="1489"/>
      <c r="AV19" s="1489"/>
      <c r="AW19" s="1489"/>
      <c r="AX19" s="1489"/>
      <c r="AY19" s="1489"/>
      <c r="AZ19" s="1489"/>
      <c r="BA19" s="1489"/>
      <c r="BB19" s="1489"/>
      <c r="BC19" s="1489"/>
      <c r="BD19" s="1489"/>
      <c r="BE19" s="1489"/>
      <c r="BF19" s="1489"/>
      <c r="BG19" s="1489"/>
      <c r="BH19" s="1489"/>
      <c r="BI19" s="1489"/>
      <c r="BJ19" s="1489"/>
      <c r="BK19" s="1489"/>
      <c r="BL19" s="1489"/>
      <c r="BM19" s="1489"/>
      <c r="BN19" s="1489"/>
      <c r="BO19" s="1489"/>
      <c r="BP19" s="1489"/>
      <c r="BQ19" s="1489"/>
      <c r="BR19" s="1489"/>
      <c r="BS19" s="1489"/>
      <c r="BT19" s="1489"/>
      <c r="BU19" s="1489"/>
      <c r="BV19" s="1489"/>
      <c r="BW19" s="1489"/>
      <c r="BX19" s="1489"/>
      <c r="BY19" s="1490"/>
    </row>
    <row r="20" spans="1:77" ht="32.25" customHeight="1">
      <c r="A20" s="4"/>
      <c r="B20" s="1437" t="s">
        <v>85</v>
      </c>
      <c r="C20" s="1438"/>
      <c r="D20" s="1438"/>
      <c r="E20" s="1439"/>
      <c r="F20" s="1437" t="s">
        <v>15</v>
      </c>
      <c r="G20" s="1438"/>
      <c r="H20" s="1439"/>
      <c r="I20" s="1438" t="s">
        <v>131</v>
      </c>
      <c r="J20" s="1438"/>
      <c r="K20" s="1438"/>
      <c r="L20" s="1438"/>
      <c r="M20" s="1439"/>
      <c r="N20" s="1437" t="s">
        <v>132</v>
      </c>
      <c r="O20" s="1439"/>
      <c r="P20" s="1437" t="s">
        <v>843</v>
      </c>
      <c r="Q20" s="1438"/>
      <c r="R20" s="1439"/>
      <c r="S20" s="1437" t="s">
        <v>841</v>
      </c>
      <c r="T20" s="1438"/>
      <c r="U20" s="1439"/>
      <c r="V20" s="1437" t="s">
        <v>19</v>
      </c>
      <c r="W20" s="1438"/>
      <c r="X20" s="1439"/>
      <c r="Y20" s="1437" t="s">
        <v>842</v>
      </c>
      <c r="Z20" s="1438"/>
      <c r="AA20" s="1439"/>
      <c r="AB20" s="1437" t="s">
        <v>133</v>
      </c>
      <c r="AC20" s="1439"/>
      <c r="AD20" s="4"/>
      <c r="AF20" s="1446" t="s">
        <v>321</v>
      </c>
      <c r="AG20" s="1447"/>
      <c r="AH20" s="1447"/>
      <c r="AI20" s="1447"/>
      <c r="AJ20" s="1447"/>
      <c r="AK20" s="1447"/>
      <c r="AL20" s="1447"/>
      <c r="AM20" s="1447"/>
      <c r="AN20" s="1447"/>
      <c r="AO20" s="1447"/>
      <c r="AP20" s="1447"/>
      <c r="AQ20" s="1447"/>
      <c r="AR20" s="1447"/>
      <c r="AS20" s="1447"/>
      <c r="AT20" s="1448"/>
      <c r="AU20" s="1449" t="s">
        <v>19</v>
      </c>
      <c r="AV20" s="1450"/>
      <c r="AW20" s="1451"/>
      <c r="AX20" s="1449" t="s">
        <v>832</v>
      </c>
      <c r="AY20" s="1450"/>
      <c r="AZ20" s="1451"/>
      <c r="BA20" s="1449" t="s">
        <v>1095</v>
      </c>
      <c r="BB20" s="1450"/>
      <c r="BC20" s="1451"/>
      <c r="BD20" s="1449" t="s">
        <v>1096</v>
      </c>
      <c r="BE20" s="1450"/>
      <c r="BF20" s="1451"/>
      <c r="BG20" s="1452" t="s">
        <v>1097</v>
      </c>
      <c r="BH20" s="1453"/>
      <c r="BI20" s="1453"/>
      <c r="BJ20" s="1453"/>
      <c r="BK20" s="1454"/>
      <c r="BL20" s="1452" t="s">
        <v>1098</v>
      </c>
      <c r="BM20" s="1453"/>
      <c r="BN20" s="1453"/>
      <c r="BO20" s="1453"/>
      <c r="BP20" s="1454"/>
      <c r="BQ20" s="1452" t="s">
        <v>1099</v>
      </c>
      <c r="BR20" s="1453"/>
      <c r="BS20" s="1453"/>
      <c r="BT20" s="1453"/>
      <c r="BU20" s="1454"/>
      <c r="BV20" s="1434" t="s">
        <v>1100</v>
      </c>
      <c r="BW20" s="1435"/>
      <c r="BX20" s="1435"/>
      <c r="BY20" s="1436"/>
    </row>
    <row r="21" spans="1:77" ht="18" customHeight="1">
      <c r="A21" s="4"/>
      <c r="B21" s="1437" t="s">
        <v>1314</v>
      </c>
      <c r="C21" s="1438"/>
      <c r="D21" s="1438"/>
      <c r="E21" s="1438"/>
      <c r="F21" s="1438"/>
      <c r="G21" s="1438"/>
      <c r="H21" s="1438"/>
      <c r="I21" s="1438"/>
      <c r="J21" s="1438"/>
      <c r="K21" s="1438"/>
      <c r="L21" s="1438"/>
      <c r="M21" s="1438"/>
      <c r="N21" s="1438"/>
      <c r="O21" s="1438"/>
      <c r="P21" s="1438"/>
      <c r="Q21" s="1438"/>
      <c r="R21" s="1438"/>
      <c r="S21" s="1438"/>
      <c r="T21" s="1438"/>
      <c r="U21" s="1438"/>
      <c r="V21" s="1438"/>
      <c r="W21" s="1438"/>
      <c r="X21" s="1438"/>
      <c r="Y21" s="1438"/>
      <c r="Z21" s="1438"/>
      <c r="AA21" s="1438"/>
      <c r="AB21" s="1438"/>
      <c r="AC21" s="1439"/>
      <c r="AD21" s="4"/>
      <c r="AF21" s="1485" t="str">
        <f>+B21</f>
        <v>"OFERTA EN EL MERCADO"</v>
      </c>
      <c r="AG21" s="1486"/>
      <c r="AH21" s="1486"/>
      <c r="AI21" s="1486"/>
      <c r="AJ21" s="1486"/>
      <c r="AK21" s="1486"/>
      <c r="AL21" s="1486"/>
      <c r="AM21" s="1486"/>
      <c r="AN21" s="1486"/>
      <c r="AO21" s="1486"/>
      <c r="AP21" s="1486"/>
      <c r="AQ21" s="1486"/>
      <c r="AR21" s="1486"/>
      <c r="AS21" s="1486"/>
      <c r="AT21" s="1486"/>
      <c r="AU21" s="1486"/>
      <c r="AV21" s="1486"/>
      <c r="AW21" s="1486"/>
      <c r="AX21" s="1486"/>
      <c r="AY21" s="1486"/>
      <c r="AZ21" s="1486"/>
      <c r="BA21" s="1486"/>
      <c r="BB21" s="1486"/>
      <c r="BC21" s="1486"/>
      <c r="BD21" s="1486"/>
      <c r="BE21" s="1486"/>
      <c r="BF21" s="1486"/>
      <c r="BG21" s="1486"/>
      <c r="BH21" s="1486"/>
      <c r="BI21" s="1486"/>
      <c r="BJ21" s="1486"/>
      <c r="BK21" s="1486"/>
      <c r="BL21" s="1486"/>
      <c r="BM21" s="1486"/>
      <c r="BN21" s="1486"/>
      <c r="BO21" s="1486"/>
      <c r="BP21" s="1486"/>
      <c r="BQ21" s="1486"/>
      <c r="BR21" s="1486"/>
      <c r="BS21" s="1486"/>
      <c r="BT21" s="1486"/>
      <c r="BU21" s="1486"/>
      <c r="BV21" s="1486"/>
      <c r="BW21" s="1486"/>
      <c r="BX21" s="1486"/>
      <c r="BY21" s="1487"/>
    </row>
    <row r="22" spans="1:77" ht="117" customHeight="1">
      <c r="A22" s="72">
        <v>1</v>
      </c>
      <c r="B22" s="1491" t="s">
        <v>1248</v>
      </c>
      <c r="C22" s="1476"/>
      <c r="D22" s="1476"/>
      <c r="E22" s="1476"/>
      <c r="F22" s="1476"/>
      <c r="G22" s="1476"/>
      <c r="H22" s="1476"/>
      <c r="I22" s="1497"/>
      <c r="J22" s="1442"/>
      <c r="K22" s="1442"/>
      <c r="L22" s="1442"/>
      <c r="M22" s="1442"/>
      <c r="N22" s="1442"/>
      <c r="O22" s="1442"/>
      <c r="P22" s="1442"/>
      <c r="Q22" s="1442"/>
      <c r="R22" s="1442"/>
      <c r="S22" s="1476" t="s">
        <v>1224</v>
      </c>
      <c r="T22" s="1476"/>
      <c r="U22" s="1476"/>
      <c r="V22" s="1493"/>
      <c r="W22" s="1493"/>
      <c r="X22" s="1493"/>
      <c r="Y22" s="1501"/>
      <c r="Z22" s="1501"/>
      <c r="AA22" s="1501"/>
      <c r="AB22" s="1443"/>
      <c r="AC22" s="1443"/>
      <c r="AD22" s="4"/>
      <c r="AF22" s="1444"/>
      <c r="AG22" s="1445"/>
      <c r="AH22" s="1445"/>
      <c r="AI22" s="1445"/>
      <c r="AJ22" s="1445"/>
      <c r="AK22" s="1445"/>
      <c r="AL22" s="1445"/>
      <c r="AM22" s="1445"/>
      <c r="AN22" s="1445"/>
      <c r="AO22" s="1445"/>
      <c r="AP22" s="1445"/>
      <c r="AQ22" s="1445"/>
      <c r="AR22" s="1445"/>
      <c r="AS22" s="1445"/>
      <c r="AT22" s="1445"/>
      <c r="AU22" s="1471"/>
      <c r="AV22" s="1472"/>
      <c r="AW22" s="1473"/>
      <c r="AX22" s="1471"/>
      <c r="AY22" s="1472"/>
      <c r="AZ22" s="1473"/>
      <c r="BA22" s="1471"/>
      <c r="BB22" s="1472"/>
      <c r="BC22" s="1473"/>
      <c r="BD22" s="1471"/>
      <c r="BE22" s="1472"/>
      <c r="BF22" s="1473"/>
      <c r="BG22" s="1474"/>
      <c r="BH22" s="1474"/>
      <c r="BI22" s="1475"/>
      <c r="BJ22" s="1475"/>
      <c r="BK22" s="1475"/>
      <c r="BL22" s="1466"/>
      <c r="BM22" s="1467"/>
      <c r="BN22" s="1467"/>
      <c r="BO22" s="1467"/>
      <c r="BP22" s="1468"/>
      <c r="BQ22" s="1466">
        <f>+BG22-BL22</f>
        <v>0</v>
      </c>
      <c r="BR22" s="1467"/>
      <c r="BS22" s="1467"/>
      <c r="BT22" s="1467"/>
      <c r="BU22" s="1468"/>
      <c r="BV22" s="1466" t="e">
        <f>+BQ22/BA22</f>
        <v>#DIV/0!</v>
      </c>
      <c r="BW22" s="1467"/>
      <c r="BX22" s="1467"/>
      <c r="BY22" s="1468"/>
    </row>
    <row r="23" spans="1:77" ht="81.75" customHeight="1">
      <c r="A23" s="72">
        <v>2</v>
      </c>
      <c r="B23" s="1492">
        <f>+AF23</f>
        <v>0</v>
      </c>
      <c r="C23" s="1442"/>
      <c r="D23" s="1442"/>
      <c r="E23" s="1442"/>
      <c r="F23" s="1476"/>
      <c r="G23" s="1476"/>
      <c r="H23" s="1476"/>
      <c r="I23" s="1497"/>
      <c r="J23" s="1442"/>
      <c r="K23" s="1442"/>
      <c r="L23" s="1442"/>
      <c r="M23" s="1442"/>
      <c r="N23" s="1442"/>
      <c r="O23" s="1442"/>
      <c r="P23" s="1442"/>
      <c r="Q23" s="1442"/>
      <c r="R23" s="1442"/>
      <c r="S23" s="1476" t="s">
        <v>1224</v>
      </c>
      <c r="T23" s="1476"/>
      <c r="U23" s="1476"/>
      <c r="V23" s="1494"/>
      <c r="W23" s="1495"/>
      <c r="X23" s="1496"/>
      <c r="Y23" s="1501"/>
      <c r="Z23" s="1501"/>
      <c r="AA23" s="1501"/>
      <c r="AB23" s="1443"/>
      <c r="AC23" s="1443"/>
      <c r="AD23" s="4"/>
      <c r="AF23" s="1444"/>
      <c r="AG23" s="1445"/>
      <c r="AH23" s="1445"/>
      <c r="AI23" s="1445"/>
      <c r="AJ23" s="1445"/>
      <c r="AK23" s="1445"/>
      <c r="AL23" s="1445"/>
      <c r="AM23" s="1445"/>
      <c r="AN23" s="1445"/>
      <c r="AO23" s="1445"/>
      <c r="AP23" s="1445"/>
      <c r="AQ23" s="1445"/>
      <c r="AR23" s="1445"/>
      <c r="AS23" s="1445"/>
      <c r="AT23" s="1445"/>
      <c r="AU23" s="1471"/>
      <c r="AV23" s="1472"/>
      <c r="AW23" s="1473"/>
      <c r="AX23" s="1471"/>
      <c r="AY23" s="1472"/>
      <c r="AZ23" s="1473"/>
      <c r="BA23" s="1471"/>
      <c r="BB23" s="1472"/>
      <c r="BC23" s="1473"/>
      <c r="BD23" s="1471"/>
      <c r="BE23" s="1472"/>
      <c r="BF23" s="1473"/>
      <c r="BG23" s="1474"/>
      <c r="BH23" s="1474"/>
      <c r="BI23" s="1475"/>
      <c r="BJ23" s="1475"/>
      <c r="BK23" s="1475"/>
      <c r="BL23" s="1466"/>
      <c r="BM23" s="1467"/>
      <c r="BN23" s="1467"/>
      <c r="BO23" s="1467"/>
      <c r="BP23" s="1468"/>
      <c r="BQ23" s="1466">
        <f>+BG23-BL23</f>
        <v>0</v>
      </c>
      <c r="BR23" s="1467"/>
      <c r="BS23" s="1467"/>
      <c r="BT23" s="1467"/>
      <c r="BU23" s="1468"/>
      <c r="BV23" s="1466" t="e">
        <f>+BQ23/BA23</f>
        <v>#DIV/0!</v>
      </c>
      <c r="BW23" s="1467"/>
      <c r="BX23" s="1467"/>
      <c r="BY23" s="1468"/>
    </row>
    <row r="24" spans="1:77" ht="54.95" customHeight="1" thickBot="1">
      <c r="A24" s="72">
        <v>3</v>
      </c>
      <c r="B24" s="1492">
        <f t="shared" ref="B24:B25" si="0">+AF24</f>
        <v>0</v>
      </c>
      <c r="C24" s="1442"/>
      <c r="D24" s="1442"/>
      <c r="E24" s="1442"/>
      <c r="F24" s="1476"/>
      <c r="G24" s="1476"/>
      <c r="H24" s="1476"/>
      <c r="I24" s="1442"/>
      <c r="J24" s="1442"/>
      <c r="K24" s="1442"/>
      <c r="L24" s="1442"/>
      <c r="M24" s="1442"/>
      <c r="N24" s="1442"/>
      <c r="O24" s="1442"/>
      <c r="P24" s="1442"/>
      <c r="Q24" s="1442"/>
      <c r="R24" s="1442"/>
      <c r="S24" s="1476" t="s">
        <v>1224</v>
      </c>
      <c r="T24" s="1476"/>
      <c r="U24" s="1476"/>
      <c r="V24" s="1494"/>
      <c r="W24" s="1495"/>
      <c r="X24" s="1496"/>
      <c r="Y24" s="1501"/>
      <c r="Z24" s="1501"/>
      <c r="AA24" s="1501"/>
      <c r="AB24" s="1443"/>
      <c r="AC24" s="1443"/>
      <c r="AD24" s="4"/>
      <c r="AF24" s="1477"/>
      <c r="AG24" s="1478"/>
      <c r="AH24" s="1478"/>
      <c r="AI24" s="1478"/>
      <c r="AJ24" s="1478"/>
      <c r="AK24" s="1478"/>
      <c r="AL24" s="1478"/>
      <c r="AM24" s="1478"/>
      <c r="AN24" s="1478"/>
      <c r="AO24" s="1478"/>
      <c r="AP24" s="1478"/>
      <c r="AQ24" s="1478"/>
      <c r="AR24" s="1478"/>
      <c r="AS24" s="1478"/>
      <c r="AT24" s="1479"/>
      <c r="AU24" s="1480"/>
      <c r="AV24" s="1481"/>
      <c r="AW24" s="1482"/>
      <c r="AX24" s="1480"/>
      <c r="AY24" s="1481"/>
      <c r="AZ24" s="1482"/>
      <c r="BA24" s="1480"/>
      <c r="BB24" s="1481"/>
      <c r="BC24" s="1482"/>
      <c r="BD24" s="1480"/>
      <c r="BE24" s="1481"/>
      <c r="BF24" s="1482"/>
      <c r="BG24" s="1483"/>
      <c r="BH24" s="1483"/>
      <c r="BI24" s="1484"/>
      <c r="BJ24" s="1484"/>
      <c r="BK24" s="1484"/>
      <c r="BL24" s="1466"/>
      <c r="BM24" s="1467"/>
      <c r="BN24" s="1467"/>
      <c r="BO24" s="1467"/>
      <c r="BP24" s="1468"/>
      <c r="BQ24" s="1466">
        <f t="shared" ref="BQ24:BQ25" si="1">+BG24-BL24</f>
        <v>0</v>
      </c>
      <c r="BR24" s="1467"/>
      <c r="BS24" s="1467"/>
      <c r="BT24" s="1467"/>
      <c r="BU24" s="1468"/>
      <c r="BV24" s="1466" t="e">
        <f t="shared" ref="BV24:BV27" si="2">+BQ24/BA24</f>
        <v>#DIV/0!</v>
      </c>
      <c r="BW24" s="1467"/>
      <c r="BX24" s="1467"/>
      <c r="BY24" s="1468"/>
    </row>
    <row r="25" spans="1:77" ht="54.95" customHeight="1" thickTop="1">
      <c r="A25" s="72">
        <v>4</v>
      </c>
      <c r="B25" s="1492">
        <f t="shared" si="0"/>
        <v>0</v>
      </c>
      <c r="C25" s="1442"/>
      <c r="D25" s="1442"/>
      <c r="E25" s="1442"/>
      <c r="F25" s="1476"/>
      <c r="G25" s="1476"/>
      <c r="H25" s="1476"/>
      <c r="I25" s="1442"/>
      <c r="J25" s="1442"/>
      <c r="K25" s="1442"/>
      <c r="L25" s="1442"/>
      <c r="M25" s="1442"/>
      <c r="N25" s="1442"/>
      <c r="O25" s="1442"/>
      <c r="P25" s="1442"/>
      <c r="Q25" s="1442"/>
      <c r="R25" s="1442"/>
      <c r="S25" s="1476" t="s">
        <v>1224</v>
      </c>
      <c r="T25" s="1476"/>
      <c r="U25" s="1476"/>
      <c r="V25" s="1442"/>
      <c r="W25" s="1442"/>
      <c r="X25" s="1442"/>
      <c r="Y25" s="1501"/>
      <c r="Z25" s="1501"/>
      <c r="AA25" s="1501"/>
      <c r="AB25" s="1443"/>
      <c r="AC25" s="1443"/>
      <c r="AD25" s="4"/>
      <c r="AF25" s="1469"/>
      <c r="AG25" s="1470"/>
      <c r="AH25" s="1470"/>
      <c r="AI25" s="1470"/>
      <c r="AJ25" s="1470"/>
      <c r="AK25" s="1470"/>
      <c r="AL25" s="1470"/>
      <c r="AM25" s="1470"/>
      <c r="AN25" s="1470"/>
      <c r="AO25" s="1470"/>
      <c r="AP25" s="1470"/>
      <c r="AQ25" s="1470"/>
      <c r="AR25" s="1470"/>
      <c r="AS25" s="1470"/>
      <c r="AT25" s="1470"/>
      <c r="AU25" s="1471"/>
      <c r="AV25" s="1472"/>
      <c r="AW25" s="1473"/>
      <c r="AX25" s="1471"/>
      <c r="AY25" s="1472"/>
      <c r="AZ25" s="1473"/>
      <c r="BA25" s="1471"/>
      <c r="BB25" s="1472"/>
      <c r="BC25" s="1473"/>
      <c r="BD25" s="1471"/>
      <c r="BE25" s="1472"/>
      <c r="BF25" s="1473"/>
      <c r="BG25" s="1474"/>
      <c r="BH25" s="1474"/>
      <c r="BI25" s="1475"/>
      <c r="BJ25" s="1475"/>
      <c r="BK25" s="1475"/>
      <c r="BL25" s="1465"/>
      <c r="BM25" s="1465"/>
      <c r="BN25" s="1465"/>
      <c r="BO25" s="1465"/>
      <c r="BP25" s="1465"/>
      <c r="BQ25" s="1466">
        <f t="shared" si="1"/>
        <v>0</v>
      </c>
      <c r="BR25" s="1467"/>
      <c r="BS25" s="1467"/>
      <c r="BT25" s="1467"/>
      <c r="BU25" s="1468"/>
      <c r="BV25" s="1466" t="e">
        <f t="shared" si="2"/>
        <v>#DIV/0!</v>
      </c>
      <c r="BW25" s="1467"/>
      <c r="BX25" s="1467"/>
      <c r="BY25" s="1468"/>
    </row>
    <row r="26" spans="1:77" ht="41.25" customHeight="1">
      <c r="A26" s="4"/>
      <c r="B26" s="1437" t="s">
        <v>1315</v>
      </c>
      <c r="C26" s="1438"/>
      <c r="D26" s="1438"/>
      <c r="E26" s="1438"/>
      <c r="F26" s="1438"/>
      <c r="G26" s="1438"/>
      <c r="H26" s="1438"/>
      <c r="I26" s="1438"/>
      <c r="J26" s="1438"/>
      <c r="K26" s="1438"/>
      <c r="L26" s="1438"/>
      <c r="M26" s="1438"/>
      <c r="N26" s="1438"/>
      <c r="O26" s="1438"/>
      <c r="P26" s="1438"/>
      <c r="Q26" s="1438"/>
      <c r="R26" s="1438"/>
      <c r="S26" s="1438"/>
      <c r="T26" s="1438"/>
      <c r="U26" s="1438"/>
      <c r="V26" s="1438"/>
      <c r="W26" s="1438"/>
      <c r="X26" s="1438"/>
      <c r="Y26" s="1438"/>
      <c r="Z26" s="1438"/>
      <c r="AA26" s="1438"/>
      <c r="AB26" s="1438"/>
      <c r="AC26" s="1439"/>
      <c r="AD26" s="4"/>
      <c r="AF26" s="1446"/>
      <c r="AG26" s="1447"/>
      <c r="AH26" s="1447"/>
      <c r="AI26" s="1447"/>
      <c r="AJ26" s="1447"/>
      <c r="AK26" s="1447"/>
      <c r="AL26" s="1447"/>
      <c r="AM26" s="1447"/>
      <c r="AN26" s="1447"/>
      <c r="AO26" s="1447"/>
      <c r="AP26" s="1447"/>
      <c r="AQ26" s="1447"/>
      <c r="AR26" s="1447"/>
      <c r="AS26" s="1447"/>
      <c r="AT26" s="1448"/>
      <c r="AU26" s="1449"/>
      <c r="AV26" s="1450"/>
      <c r="AW26" s="1451"/>
      <c r="AX26" s="1449"/>
      <c r="AY26" s="1450"/>
      <c r="AZ26" s="1451"/>
      <c r="BA26" s="1449"/>
      <c r="BB26" s="1450"/>
      <c r="BC26" s="1451"/>
      <c r="BD26" s="1449"/>
      <c r="BE26" s="1450"/>
      <c r="BF26" s="1451"/>
      <c r="BG26" s="1452"/>
      <c r="BH26" s="1453"/>
      <c r="BI26" s="1453"/>
      <c r="BJ26" s="1453"/>
      <c r="BK26" s="1454"/>
      <c r="BL26" s="1452"/>
      <c r="BM26" s="1453"/>
      <c r="BN26" s="1453"/>
      <c r="BO26" s="1453"/>
      <c r="BP26" s="1454"/>
      <c r="BQ26" s="1452"/>
      <c r="BR26" s="1453"/>
      <c r="BS26" s="1453"/>
      <c r="BT26" s="1453"/>
      <c r="BU26" s="1454"/>
      <c r="BV26" s="1434"/>
      <c r="BW26" s="1435"/>
      <c r="BX26" s="1435"/>
      <c r="BY26" s="1436"/>
    </row>
    <row r="27" spans="1:77" ht="54.95" customHeight="1">
      <c r="A27" s="72">
        <v>5</v>
      </c>
      <c r="B27" s="1442"/>
      <c r="C27" s="1442"/>
      <c r="D27" s="1442"/>
      <c r="E27" s="1442"/>
      <c r="F27" s="1476"/>
      <c r="G27" s="1476"/>
      <c r="H27" s="1476"/>
      <c r="I27" s="1442"/>
      <c r="J27" s="1442"/>
      <c r="K27" s="1442"/>
      <c r="L27" s="1442"/>
      <c r="M27" s="1442"/>
      <c r="N27" s="1442"/>
      <c r="O27" s="1442"/>
      <c r="P27" s="1442"/>
      <c r="Q27" s="1442"/>
      <c r="R27" s="1442"/>
      <c r="S27" s="1476" t="s">
        <v>1224</v>
      </c>
      <c r="T27" s="1476"/>
      <c r="U27" s="1476"/>
      <c r="V27" s="1442"/>
      <c r="W27" s="1442"/>
      <c r="X27" s="1442"/>
      <c r="Y27" s="1501"/>
      <c r="Z27" s="1501"/>
      <c r="AA27" s="1501"/>
      <c r="AB27" s="1443"/>
      <c r="AC27" s="1443"/>
      <c r="AD27" s="4"/>
      <c r="AF27" s="1461"/>
      <c r="AG27" s="1462"/>
      <c r="AH27" s="1462"/>
      <c r="AI27" s="1462"/>
      <c r="AJ27" s="1462"/>
      <c r="AK27" s="1462"/>
      <c r="AL27" s="1462"/>
      <c r="AM27" s="1462"/>
      <c r="AN27" s="1462"/>
      <c r="AO27" s="1462"/>
      <c r="AP27" s="1462"/>
      <c r="AQ27" s="1462"/>
      <c r="AR27" s="1462"/>
      <c r="AS27" s="1462"/>
      <c r="AT27" s="1463"/>
      <c r="AU27" s="1464"/>
      <c r="AV27" s="1464"/>
      <c r="AW27" s="1464"/>
      <c r="AX27" s="1464"/>
      <c r="AY27" s="1464"/>
      <c r="AZ27" s="1464"/>
      <c r="BA27" s="1464"/>
      <c r="BB27" s="1464"/>
      <c r="BC27" s="1464"/>
      <c r="BD27" s="1464"/>
      <c r="BE27" s="1464"/>
      <c r="BF27" s="1464"/>
      <c r="BG27" s="1464"/>
      <c r="BH27" s="1464"/>
      <c r="BI27" s="1464"/>
      <c r="BJ27" s="1464"/>
      <c r="BK27" s="1464"/>
      <c r="BL27" s="1465"/>
      <c r="BM27" s="1465"/>
      <c r="BN27" s="1465"/>
      <c r="BO27" s="1465"/>
      <c r="BP27" s="1465"/>
      <c r="BQ27" s="1466">
        <f t="shared" ref="BQ27" si="3">+BG27-BL27</f>
        <v>0</v>
      </c>
      <c r="BR27" s="1467"/>
      <c r="BS27" s="1467"/>
      <c r="BT27" s="1467"/>
      <c r="BU27" s="1468"/>
      <c r="BV27" s="1466" t="e">
        <f t="shared" si="2"/>
        <v>#DIV/0!</v>
      </c>
      <c r="BW27" s="1467"/>
      <c r="BX27" s="1467"/>
      <c r="BY27" s="1468"/>
    </row>
    <row r="28" spans="1:77" ht="9.9499999999999993" customHeight="1">
      <c r="A28" s="66"/>
      <c r="B28" s="69"/>
      <c r="C28" s="69"/>
      <c r="D28" s="69"/>
      <c r="E28" s="69"/>
      <c r="F28" s="69"/>
      <c r="G28" s="69"/>
      <c r="H28" s="69"/>
      <c r="I28" s="70"/>
      <c r="J28" s="70"/>
      <c r="K28" s="70"/>
      <c r="L28" s="70"/>
      <c r="M28" s="70"/>
      <c r="N28" s="70"/>
      <c r="O28" s="70"/>
      <c r="P28" s="70"/>
      <c r="Q28" s="70"/>
      <c r="R28" s="70"/>
      <c r="S28" s="70"/>
      <c r="T28" s="70"/>
      <c r="U28" s="70"/>
      <c r="V28" s="70"/>
      <c r="W28" s="70"/>
      <c r="X28" s="70"/>
      <c r="Y28" s="70"/>
      <c r="Z28" s="70"/>
      <c r="AA28" s="71"/>
      <c r="AB28" s="71"/>
      <c r="AC28" s="71"/>
      <c r="AD28" s="4"/>
    </row>
    <row r="29" spans="1:77" ht="15.75">
      <c r="A29" s="6"/>
      <c r="B29" s="1023" t="s">
        <v>951</v>
      </c>
      <c r="C29" s="1023"/>
      <c r="D29" s="1023"/>
      <c r="E29" s="1023"/>
      <c r="F29" s="1023"/>
      <c r="G29" s="1023"/>
      <c r="H29" s="1023"/>
      <c r="I29" s="1023"/>
      <c r="J29" s="1023"/>
      <c r="K29" s="1023"/>
      <c r="L29" s="1023"/>
      <c r="M29" s="1023"/>
      <c r="N29" s="1023"/>
      <c r="O29" s="6"/>
      <c r="P29" s="6"/>
      <c r="Q29" s="6"/>
      <c r="R29" s="6"/>
      <c r="S29" s="6"/>
      <c r="T29" s="6"/>
      <c r="U29" s="6"/>
      <c r="V29" s="6"/>
      <c r="W29" s="6"/>
      <c r="X29" s="6"/>
      <c r="Y29" s="6"/>
      <c r="Z29" s="6"/>
      <c r="AA29" s="6"/>
      <c r="AB29" s="6"/>
      <c r="AC29" s="6"/>
      <c r="AD29" s="6"/>
      <c r="AF29" s="1440" t="s">
        <v>1309</v>
      </c>
      <c r="AG29" s="1440"/>
      <c r="AH29" s="1440"/>
      <c r="AI29" s="1440"/>
      <c r="AJ29" s="1440"/>
      <c r="AK29" s="1440"/>
      <c r="AL29" s="1440"/>
      <c r="AM29" s="1440"/>
      <c r="AN29" s="1440"/>
      <c r="AO29" s="1440"/>
      <c r="AP29" s="1440"/>
      <c r="AQ29" s="1440"/>
      <c r="AR29" s="1440"/>
      <c r="AS29" s="1440"/>
      <c r="AT29" s="1440"/>
      <c r="AU29" s="1440"/>
      <c r="AV29" s="1440"/>
      <c r="AW29" s="1440"/>
      <c r="AX29" s="1440"/>
      <c r="AY29" s="1440"/>
      <c r="AZ29" s="1440"/>
      <c r="BA29" s="1440"/>
      <c r="BB29" s="1440"/>
      <c r="BC29" s="1440"/>
      <c r="BD29" s="1440"/>
      <c r="BE29" s="1440"/>
      <c r="BF29" s="1440"/>
      <c r="BG29" s="1440"/>
      <c r="BH29" s="1440"/>
      <c r="BI29" s="1440"/>
      <c r="BJ29" s="1440"/>
      <c r="BK29" s="1440"/>
      <c r="BL29" s="1440"/>
      <c r="BM29" s="1440"/>
      <c r="BN29" s="1440"/>
      <c r="BO29" s="1440"/>
      <c r="BP29" s="1440"/>
      <c r="BQ29" s="1440"/>
      <c r="BR29" s="1440"/>
      <c r="BS29" s="1440"/>
      <c r="BT29" s="1440"/>
      <c r="BU29" s="1440"/>
      <c r="BV29" s="1440"/>
      <c r="BW29" s="1440"/>
      <c r="BX29" s="1440"/>
      <c r="BY29" s="1440"/>
    </row>
    <row r="30" spans="1:77" ht="15.75">
      <c r="A30" s="6"/>
      <c r="B30" s="1389" t="s">
        <v>134</v>
      </c>
      <c r="C30" s="1389"/>
      <c r="D30" s="1389"/>
      <c r="E30" s="1389"/>
      <c r="F30" s="1389"/>
      <c r="G30" s="1389"/>
      <c r="H30" s="1389" t="s">
        <v>135</v>
      </c>
      <c r="I30" s="1389"/>
      <c r="J30" s="1389"/>
      <c r="K30" s="1389"/>
      <c r="L30" s="1389" t="s">
        <v>136</v>
      </c>
      <c r="M30" s="1389"/>
      <c r="N30" s="1389"/>
      <c r="O30" s="1389"/>
      <c r="P30" s="1389" t="s">
        <v>137</v>
      </c>
      <c r="Q30" s="1389"/>
      <c r="R30" s="1389"/>
      <c r="S30" s="1389"/>
      <c r="T30" s="1389"/>
      <c r="U30" s="1389"/>
      <c r="V30" s="1389" t="s">
        <v>138</v>
      </c>
      <c r="W30" s="1389"/>
      <c r="X30" s="1389" t="s">
        <v>139</v>
      </c>
      <c r="Y30" s="1389"/>
      <c r="Z30" s="1389"/>
      <c r="AA30" s="1389"/>
      <c r="AB30" s="1389"/>
      <c r="AC30" s="1389"/>
      <c r="AD30" s="4"/>
      <c r="AF30" s="1440"/>
      <c r="AG30" s="1440"/>
      <c r="AH30" s="1440"/>
      <c r="AI30" s="1440"/>
      <c r="AJ30" s="1440"/>
      <c r="AK30" s="1440"/>
      <c r="AL30" s="1440"/>
      <c r="AM30" s="1440"/>
      <c r="AN30" s="1440"/>
      <c r="AO30" s="1440"/>
      <c r="AP30" s="1440"/>
      <c r="AQ30" s="1440"/>
      <c r="AR30" s="1440"/>
      <c r="AS30" s="1440"/>
      <c r="AT30" s="1440"/>
      <c r="AU30" s="1440"/>
      <c r="AV30" s="1440"/>
      <c r="AW30" s="1440"/>
      <c r="AX30" s="1440"/>
      <c r="AY30" s="1440"/>
      <c r="AZ30" s="1440"/>
      <c r="BA30" s="1440"/>
      <c r="BB30" s="1440"/>
      <c r="BC30" s="1440"/>
      <c r="BD30" s="1440"/>
      <c r="BE30" s="1440"/>
      <c r="BF30" s="1440"/>
      <c r="BG30" s="1440"/>
      <c r="BH30" s="1440"/>
      <c r="BI30" s="1440"/>
      <c r="BJ30" s="1440"/>
      <c r="BK30" s="1440"/>
      <c r="BL30" s="1440"/>
      <c r="BM30" s="1440"/>
      <c r="BN30" s="1440"/>
      <c r="BO30" s="1440"/>
      <c r="BP30" s="1440"/>
      <c r="BQ30" s="1440"/>
      <c r="BR30" s="1440"/>
      <c r="BS30" s="1440"/>
      <c r="BT30" s="1440"/>
      <c r="BU30" s="1440"/>
      <c r="BV30" s="1440"/>
      <c r="BW30" s="1440"/>
      <c r="BX30" s="1440"/>
      <c r="BY30" s="1440"/>
    </row>
    <row r="31" spans="1:77" ht="15.75">
      <c r="A31" s="6"/>
      <c r="B31" s="1389"/>
      <c r="C31" s="1389"/>
      <c r="D31" s="1389"/>
      <c r="E31" s="1389"/>
      <c r="F31" s="1389"/>
      <c r="G31" s="1389"/>
      <c r="H31" s="1389"/>
      <c r="I31" s="1389"/>
      <c r="J31" s="1389"/>
      <c r="K31" s="1389"/>
      <c r="L31" s="1389"/>
      <c r="M31" s="1389"/>
      <c r="N31" s="1389"/>
      <c r="O31" s="1389"/>
      <c r="P31" s="76" t="s">
        <v>140</v>
      </c>
      <c r="Q31" s="76" t="s">
        <v>844</v>
      </c>
      <c r="R31" s="76" t="s">
        <v>142</v>
      </c>
      <c r="S31" s="76" t="s">
        <v>143</v>
      </c>
      <c r="T31" s="76" t="s">
        <v>144</v>
      </c>
      <c r="U31" s="76" t="s">
        <v>145</v>
      </c>
      <c r="V31" s="1389"/>
      <c r="W31" s="1389"/>
      <c r="X31" s="1389"/>
      <c r="Y31" s="1389"/>
      <c r="Z31" s="1389"/>
      <c r="AA31" s="1389"/>
      <c r="AB31" s="1389"/>
      <c r="AC31" s="1389"/>
      <c r="AD31" s="4"/>
      <c r="AF31" s="1440"/>
      <c r="AG31" s="1440"/>
      <c r="AH31" s="1440"/>
      <c r="AI31" s="1440"/>
      <c r="AJ31" s="1440"/>
      <c r="AK31" s="1440"/>
      <c r="AL31" s="1440"/>
      <c r="AM31" s="1440"/>
      <c r="AN31" s="1440"/>
      <c r="AO31" s="1440"/>
      <c r="AP31" s="1440"/>
      <c r="AQ31" s="1440"/>
      <c r="AR31" s="1440"/>
      <c r="AS31" s="1440"/>
      <c r="AT31" s="1440"/>
      <c r="AU31" s="1440"/>
      <c r="AV31" s="1440"/>
      <c r="AW31" s="1440"/>
      <c r="AX31" s="1440"/>
      <c r="AY31" s="1440"/>
      <c r="AZ31" s="1440"/>
      <c r="BA31" s="1440"/>
      <c r="BB31" s="1440"/>
      <c r="BC31" s="1440"/>
      <c r="BD31" s="1440"/>
      <c r="BE31" s="1440"/>
      <c r="BF31" s="1440"/>
      <c r="BG31" s="1440"/>
      <c r="BH31" s="1440"/>
      <c r="BI31" s="1440"/>
      <c r="BJ31" s="1440"/>
      <c r="BK31" s="1440"/>
      <c r="BL31" s="1440"/>
      <c r="BM31" s="1440"/>
      <c r="BN31" s="1440"/>
      <c r="BO31" s="1440"/>
      <c r="BP31" s="1440"/>
      <c r="BQ31" s="1440"/>
      <c r="BR31" s="1440"/>
      <c r="BS31" s="1440"/>
      <c r="BT31" s="1440"/>
      <c r="BU31" s="1440"/>
      <c r="BV31" s="1440"/>
      <c r="BW31" s="1440"/>
      <c r="BX31" s="1440"/>
      <c r="BY31" s="1440"/>
    </row>
    <row r="32" spans="1:77" ht="18" customHeight="1">
      <c r="A32" s="4"/>
      <c r="B32" s="1437" t="s">
        <v>1314</v>
      </c>
      <c r="C32" s="1438"/>
      <c r="D32" s="1438"/>
      <c r="E32" s="1438"/>
      <c r="F32" s="1438"/>
      <c r="G32" s="1438"/>
      <c r="H32" s="1438"/>
      <c r="I32" s="1438"/>
      <c r="J32" s="1438"/>
      <c r="K32" s="1438"/>
      <c r="L32" s="1438"/>
      <c r="M32" s="1438"/>
      <c r="N32" s="1438"/>
      <c r="O32" s="1438"/>
      <c r="P32" s="1438"/>
      <c r="Q32" s="1438"/>
      <c r="R32" s="1438"/>
      <c r="S32" s="1438"/>
      <c r="T32" s="1438"/>
      <c r="U32" s="1438"/>
      <c r="V32" s="1438"/>
      <c r="W32" s="1438"/>
      <c r="X32" s="1438"/>
      <c r="Y32" s="1438"/>
      <c r="Z32" s="1438"/>
      <c r="AA32" s="1438"/>
      <c r="AB32" s="1438"/>
      <c r="AC32" s="1439"/>
      <c r="AD32" s="4"/>
      <c r="AF32" s="1440"/>
      <c r="AG32" s="1440"/>
      <c r="AH32" s="1440"/>
      <c r="AI32" s="1440"/>
      <c r="AJ32" s="1440"/>
      <c r="AK32" s="1440"/>
      <c r="AL32" s="1440"/>
      <c r="AM32" s="1440"/>
      <c r="AN32" s="1440"/>
      <c r="AO32" s="1440"/>
      <c r="AP32" s="1440"/>
      <c r="AQ32" s="1440"/>
      <c r="AR32" s="1440"/>
      <c r="AS32" s="1440"/>
      <c r="AT32" s="1440"/>
      <c r="AU32" s="1440"/>
      <c r="AV32" s="1440"/>
      <c r="AW32" s="1440"/>
      <c r="AX32" s="1440"/>
      <c r="AY32" s="1440"/>
      <c r="AZ32" s="1440"/>
      <c r="BA32" s="1440"/>
      <c r="BB32" s="1440"/>
      <c r="BC32" s="1440"/>
      <c r="BD32" s="1440"/>
      <c r="BE32" s="1440"/>
      <c r="BF32" s="1440"/>
      <c r="BG32" s="1440"/>
      <c r="BH32" s="1440"/>
      <c r="BI32" s="1440"/>
      <c r="BJ32" s="1440"/>
      <c r="BK32" s="1440"/>
      <c r="BL32" s="1440"/>
      <c r="BM32" s="1440"/>
      <c r="BN32" s="1440"/>
      <c r="BO32" s="1440"/>
      <c r="BP32" s="1440"/>
      <c r="BQ32" s="1440"/>
      <c r="BR32" s="1440"/>
      <c r="BS32" s="1440"/>
      <c r="BT32" s="1440"/>
      <c r="BU32" s="1440"/>
      <c r="BV32" s="1440"/>
      <c r="BW32" s="1440"/>
      <c r="BX32" s="1440"/>
      <c r="BY32" s="1440"/>
    </row>
    <row r="33" spans="1:77" ht="15.75">
      <c r="A33" s="72">
        <v>1</v>
      </c>
      <c r="B33" s="1377">
        <f>+BQ22</f>
        <v>0</v>
      </c>
      <c r="C33" s="1377"/>
      <c r="D33" s="1377"/>
      <c r="E33" s="1377"/>
      <c r="F33" s="1377"/>
      <c r="G33" s="1377"/>
      <c r="H33" s="1377">
        <f>+BA22</f>
        <v>0</v>
      </c>
      <c r="I33" s="1377"/>
      <c r="J33" s="1377"/>
      <c r="K33" s="1377"/>
      <c r="L33" s="1498">
        <f>IFERROR(B33/H33,0)</f>
        <v>0</v>
      </c>
      <c r="M33" s="1498"/>
      <c r="N33" s="1498"/>
      <c r="O33" s="1498"/>
      <c r="P33" s="429">
        <v>1</v>
      </c>
      <c r="Q33" s="429">
        <v>1</v>
      </c>
      <c r="R33" s="429">
        <v>1</v>
      </c>
      <c r="S33" s="429">
        <v>1</v>
      </c>
      <c r="T33" s="429">
        <v>1</v>
      </c>
      <c r="U33" s="429">
        <v>1.05</v>
      </c>
      <c r="V33" s="1499">
        <f>PRODUCT(P33:U33)</f>
        <v>1.05</v>
      </c>
      <c r="W33" s="1499"/>
      <c r="X33" s="1500" t="str">
        <f>IFERROR(ROUND(L33^2*V33/L33,2)," ")</f>
        <v xml:space="preserve"> </v>
      </c>
      <c r="Y33" s="1500"/>
      <c r="Z33" s="1500"/>
      <c r="AA33" s="1500"/>
      <c r="AB33" s="1500"/>
      <c r="AC33" s="1500"/>
      <c r="AD33" s="4"/>
      <c r="AF33" s="1441"/>
      <c r="AG33" s="1441"/>
      <c r="AH33" s="1441"/>
      <c r="AI33" s="1441"/>
      <c r="AJ33" s="1441"/>
      <c r="AK33" s="1441"/>
      <c r="AL33" s="1441"/>
      <c r="AM33" s="1441"/>
      <c r="AN33" s="1441"/>
      <c r="AO33" s="1441"/>
      <c r="AP33" s="1441"/>
      <c r="AQ33" s="1441"/>
      <c r="AR33" s="1441"/>
      <c r="AS33" s="1441"/>
      <c r="AT33" s="1441"/>
      <c r="AU33" s="1441"/>
      <c r="AV33" s="1441"/>
      <c r="AW33" s="1441"/>
      <c r="AX33" s="1441"/>
      <c r="AY33" s="1441"/>
      <c r="AZ33" s="1441"/>
      <c r="BA33" s="1441"/>
      <c r="BB33" s="1441"/>
      <c r="BC33" s="1441"/>
      <c r="BD33" s="1441"/>
      <c r="BE33" s="1441"/>
      <c r="BF33" s="1441"/>
      <c r="BG33" s="1441"/>
      <c r="BH33" s="1441"/>
      <c r="BI33" s="1441"/>
      <c r="BJ33" s="1441"/>
      <c r="BK33" s="1441"/>
      <c r="BL33" s="1441"/>
      <c r="BM33" s="1441"/>
      <c r="BN33" s="1441"/>
      <c r="BO33" s="1441"/>
      <c r="BP33" s="1441"/>
      <c r="BQ33" s="1441"/>
      <c r="BR33" s="1441"/>
      <c r="BS33" s="1441"/>
      <c r="BT33" s="1441"/>
      <c r="BU33" s="1441"/>
      <c r="BV33" s="1441"/>
      <c r="BW33" s="1441"/>
      <c r="BX33" s="1441"/>
      <c r="BY33" s="1441"/>
    </row>
    <row r="34" spans="1:77" ht="16.5">
      <c r="A34" s="72">
        <v>2</v>
      </c>
      <c r="B34" s="1377">
        <f>+BQ23</f>
        <v>0</v>
      </c>
      <c r="C34" s="1377"/>
      <c r="D34" s="1377"/>
      <c r="E34" s="1377"/>
      <c r="F34" s="1377"/>
      <c r="G34" s="1377"/>
      <c r="H34" s="1377">
        <f>+BA23</f>
        <v>0</v>
      </c>
      <c r="I34" s="1377"/>
      <c r="J34" s="1377"/>
      <c r="K34" s="1377"/>
      <c r="L34" s="1498">
        <f>IFERROR(B34/H34,0)</f>
        <v>0</v>
      </c>
      <c r="M34" s="1498"/>
      <c r="N34" s="1498"/>
      <c r="O34" s="1498"/>
      <c r="P34" s="429">
        <v>1</v>
      </c>
      <c r="Q34" s="429">
        <v>1</v>
      </c>
      <c r="R34" s="429">
        <v>1</v>
      </c>
      <c r="S34" s="429">
        <v>1</v>
      </c>
      <c r="T34" s="429">
        <v>1</v>
      </c>
      <c r="U34" s="429">
        <v>1.05</v>
      </c>
      <c r="V34" s="1499">
        <f t="shared" ref="V34:V38" si="4">PRODUCT(P34:U34)</f>
        <v>1.05</v>
      </c>
      <c r="W34" s="1499"/>
      <c r="X34" s="1500" t="str">
        <f>IFERROR(ROUND(L34^2*V34/L34,2)," ")</f>
        <v xml:space="preserve"> </v>
      </c>
      <c r="Y34" s="1500"/>
      <c r="Z34" s="1500"/>
      <c r="AA34" s="1500"/>
      <c r="AB34" s="1500"/>
      <c r="AC34" s="1500"/>
      <c r="AD34" s="4"/>
      <c r="AF34" s="1455"/>
      <c r="AG34" s="1456"/>
      <c r="AH34" s="1456"/>
      <c r="AI34" s="1456"/>
      <c r="AJ34" s="1456"/>
      <c r="AK34" s="1456"/>
      <c r="AL34" s="1456"/>
      <c r="AM34" s="1456"/>
      <c r="AN34" s="1456"/>
      <c r="AO34" s="1456"/>
      <c r="AP34" s="1456"/>
      <c r="AQ34" s="1456"/>
      <c r="AR34" s="1456"/>
      <c r="AS34" s="1456"/>
      <c r="AT34" s="1456"/>
      <c r="AU34" s="1456"/>
      <c r="AV34" s="1456"/>
      <c r="AW34" s="1456"/>
      <c r="AX34" s="1456"/>
      <c r="AY34" s="1457"/>
      <c r="AZ34" s="1458"/>
      <c r="BA34" s="1458"/>
      <c r="BB34" s="1456"/>
      <c r="BC34" s="1456"/>
      <c r="BD34" s="1456"/>
      <c r="BE34" s="1456"/>
      <c r="BF34" s="1459" t="s">
        <v>1102</v>
      </c>
      <c r="BG34" s="1456"/>
      <c r="BH34" s="1456"/>
      <c r="BI34" s="1456"/>
      <c r="BJ34" s="1458"/>
      <c r="BK34" s="1458"/>
      <c r="BL34" s="1458"/>
      <c r="BM34" s="1458"/>
      <c r="BN34" s="1458"/>
      <c r="BO34" s="1458"/>
      <c r="BP34" s="1458"/>
      <c r="BQ34" s="1456"/>
      <c r="BR34" s="1456"/>
      <c r="BS34" s="1456"/>
      <c r="BT34" s="1456"/>
      <c r="BU34" s="1456"/>
      <c r="BV34" s="1456"/>
      <c r="BW34" s="1456"/>
      <c r="BX34" s="1456"/>
      <c r="BY34" s="1460"/>
    </row>
    <row r="35" spans="1:77" ht="15.75">
      <c r="A35" s="72">
        <v>3</v>
      </c>
      <c r="B35" s="1377">
        <f>+BQ24</f>
        <v>0</v>
      </c>
      <c r="C35" s="1377"/>
      <c r="D35" s="1377"/>
      <c r="E35" s="1377"/>
      <c r="F35" s="1377"/>
      <c r="G35" s="1377"/>
      <c r="H35" s="1377">
        <f>+BA24</f>
        <v>0</v>
      </c>
      <c r="I35" s="1377"/>
      <c r="J35" s="1377"/>
      <c r="K35" s="1377"/>
      <c r="L35" s="1498">
        <f t="shared" ref="L35" si="5">IFERROR(B35/H35,0)</f>
        <v>0</v>
      </c>
      <c r="M35" s="1498"/>
      <c r="N35" s="1498"/>
      <c r="O35" s="1498"/>
      <c r="P35" s="429">
        <v>1</v>
      </c>
      <c r="Q35" s="429">
        <v>1</v>
      </c>
      <c r="R35" s="429">
        <v>1</v>
      </c>
      <c r="S35" s="429">
        <v>1</v>
      </c>
      <c r="T35" s="429">
        <v>1</v>
      </c>
      <c r="U35" s="429">
        <v>1</v>
      </c>
      <c r="V35" s="1499">
        <f t="shared" si="4"/>
        <v>1</v>
      </c>
      <c r="W35" s="1499"/>
      <c r="X35" s="1500" t="str">
        <f>IFERROR(ROUND(L35^2*V35/L35,2)," ")</f>
        <v xml:space="preserve"> </v>
      </c>
      <c r="Y35" s="1500"/>
      <c r="Z35" s="1500"/>
      <c r="AA35" s="1500"/>
      <c r="AB35" s="1500"/>
      <c r="AC35" s="1500"/>
      <c r="AD35" s="4"/>
    </row>
    <row r="36" spans="1:77" ht="15.75">
      <c r="A36" s="72">
        <v>4</v>
      </c>
      <c r="B36" s="1377">
        <f>+BQ25</f>
        <v>0</v>
      </c>
      <c r="C36" s="1377"/>
      <c r="D36" s="1377"/>
      <c r="E36" s="1377"/>
      <c r="F36" s="1377"/>
      <c r="G36" s="1377"/>
      <c r="H36" s="1377">
        <f>+BA25</f>
        <v>0</v>
      </c>
      <c r="I36" s="1377"/>
      <c r="J36" s="1377"/>
      <c r="K36" s="1377"/>
      <c r="L36" s="1498">
        <f>IFERROR(B36/H36,0)</f>
        <v>0</v>
      </c>
      <c r="M36" s="1498"/>
      <c r="N36" s="1498"/>
      <c r="O36" s="1498"/>
      <c r="P36" s="429">
        <v>1</v>
      </c>
      <c r="Q36" s="429">
        <v>1</v>
      </c>
      <c r="R36" s="429">
        <v>1</v>
      </c>
      <c r="S36" s="429">
        <v>1</v>
      </c>
      <c r="T36" s="429">
        <v>1</v>
      </c>
      <c r="U36" s="429">
        <v>1</v>
      </c>
      <c r="V36" s="1499">
        <f t="shared" si="4"/>
        <v>1</v>
      </c>
      <c r="W36" s="1499"/>
      <c r="X36" s="1500" t="str">
        <f>IFERROR(ROUND(L36^2*V36/L36,2)," ")</f>
        <v xml:space="preserve"> </v>
      </c>
      <c r="Y36" s="1500"/>
      <c r="Z36" s="1500"/>
      <c r="AA36" s="1500"/>
      <c r="AB36" s="1500"/>
      <c r="AC36" s="1500"/>
      <c r="AD36" s="4"/>
    </row>
    <row r="37" spans="1:77" ht="41.25" customHeight="1">
      <c r="A37" s="4"/>
      <c r="B37" s="1437" t="s">
        <v>1315</v>
      </c>
      <c r="C37" s="1438"/>
      <c r="D37" s="1438"/>
      <c r="E37" s="1438"/>
      <c r="F37" s="1438"/>
      <c r="G37" s="1438"/>
      <c r="H37" s="1438"/>
      <c r="I37" s="1438"/>
      <c r="J37" s="1438"/>
      <c r="K37" s="1438"/>
      <c r="L37" s="1438"/>
      <c r="M37" s="1438"/>
      <c r="N37" s="1438"/>
      <c r="O37" s="1438"/>
      <c r="P37" s="1438"/>
      <c r="Q37" s="1438"/>
      <c r="R37" s="1438"/>
      <c r="S37" s="1438"/>
      <c r="T37" s="1438"/>
      <c r="U37" s="1438"/>
      <c r="V37" s="1438"/>
      <c r="W37" s="1438"/>
      <c r="X37" s="1438"/>
      <c r="Y37" s="1438"/>
      <c r="Z37" s="1438"/>
      <c r="AA37" s="1438"/>
      <c r="AB37" s="1438"/>
      <c r="AC37" s="1439"/>
      <c r="AD37" s="4"/>
      <c r="AF37" s="1446"/>
      <c r="AG37" s="1447"/>
      <c r="AH37" s="1447"/>
      <c r="AI37" s="1447"/>
      <c r="AJ37" s="1447"/>
      <c r="AK37" s="1447"/>
      <c r="AL37" s="1447"/>
      <c r="AM37" s="1447"/>
      <c r="AN37" s="1447"/>
      <c r="AO37" s="1447"/>
      <c r="AP37" s="1447"/>
      <c r="AQ37" s="1447"/>
      <c r="AR37" s="1447"/>
      <c r="AS37" s="1447"/>
      <c r="AT37" s="1448"/>
      <c r="AU37" s="1449"/>
      <c r="AV37" s="1450"/>
      <c r="AW37" s="1451"/>
      <c r="AX37" s="1449"/>
      <c r="AY37" s="1450"/>
      <c r="AZ37" s="1451"/>
      <c r="BA37" s="1449"/>
      <c r="BB37" s="1450"/>
      <c r="BC37" s="1451"/>
      <c r="BD37" s="1449"/>
      <c r="BE37" s="1450"/>
      <c r="BF37" s="1451"/>
      <c r="BG37" s="1452"/>
      <c r="BH37" s="1453"/>
      <c r="BI37" s="1453"/>
      <c r="BJ37" s="1453"/>
      <c r="BK37" s="1454"/>
      <c r="BL37" s="1452"/>
      <c r="BM37" s="1453"/>
      <c r="BN37" s="1453"/>
      <c r="BO37" s="1453"/>
      <c r="BP37" s="1454"/>
      <c r="BQ37" s="1452"/>
      <c r="BR37" s="1453"/>
      <c r="BS37" s="1453"/>
      <c r="BT37" s="1453"/>
      <c r="BU37" s="1454"/>
      <c r="BV37" s="1434"/>
      <c r="BW37" s="1435"/>
      <c r="BX37" s="1435"/>
      <c r="BY37" s="1436"/>
    </row>
    <row r="38" spans="1:77" ht="15.75">
      <c r="A38" s="72">
        <v>5</v>
      </c>
      <c r="B38" s="1377">
        <f t="shared" ref="B38" si="6">+BQ27</f>
        <v>0</v>
      </c>
      <c r="C38" s="1377"/>
      <c r="D38" s="1377"/>
      <c r="E38" s="1377"/>
      <c r="F38" s="1377"/>
      <c r="G38" s="1377"/>
      <c r="H38" s="1377">
        <f t="shared" ref="H38" si="7">+BA27</f>
        <v>0</v>
      </c>
      <c r="I38" s="1377"/>
      <c r="J38" s="1377"/>
      <c r="K38" s="1377"/>
      <c r="L38" s="1498">
        <f t="shared" ref="L38" si="8">IFERROR(B38/H38,0)</f>
        <v>0</v>
      </c>
      <c r="M38" s="1498"/>
      <c r="N38" s="1498"/>
      <c r="O38" s="1498"/>
      <c r="P38" s="429">
        <v>1</v>
      </c>
      <c r="Q38" s="429">
        <v>1</v>
      </c>
      <c r="R38" s="429">
        <v>1</v>
      </c>
      <c r="S38" s="429">
        <v>1</v>
      </c>
      <c r="T38" s="429">
        <v>1</v>
      </c>
      <c r="U38" s="429">
        <v>1</v>
      </c>
      <c r="V38" s="1499">
        <f t="shared" si="4"/>
        <v>1</v>
      </c>
      <c r="W38" s="1499"/>
      <c r="X38" s="1500" t="str">
        <f>IFERROR(ROUND(L38^2*V38/L38,2)," ")</f>
        <v xml:space="preserve"> </v>
      </c>
      <c r="Y38" s="1500"/>
      <c r="Z38" s="1500"/>
      <c r="AA38" s="1500"/>
      <c r="AB38" s="1500"/>
      <c r="AC38" s="1500"/>
      <c r="AD38" s="4"/>
    </row>
    <row r="39" spans="1:77" ht="15.75">
      <c r="A39" s="6"/>
      <c r="B39" s="1502" t="s">
        <v>146</v>
      </c>
      <c r="C39" s="1502"/>
      <c r="D39" s="1502"/>
      <c r="E39" s="1502"/>
      <c r="F39" s="1502"/>
      <c r="G39" s="1502"/>
      <c r="H39" s="1502"/>
      <c r="I39" s="1502"/>
      <c r="J39" s="1503">
        <f>IFERROR(AVERAGEIF(X33:AC38,"&gt;0"),0)</f>
        <v>0</v>
      </c>
      <c r="K39" s="1503"/>
      <c r="L39" s="1503"/>
      <c r="M39" s="1503"/>
      <c r="N39" s="4"/>
      <c r="O39" s="1502" t="s">
        <v>147</v>
      </c>
      <c r="P39" s="1502"/>
      <c r="Q39" s="1502"/>
      <c r="R39" s="1502"/>
      <c r="S39" s="1502"/>
      <c r="T39" s="1502"/>
      <c r="U39" s="1502"/>
      <c r="V39" s="1502"/>
      <c r="W39" s="1502"/>
      <c r="X39" s="1383">
        <f>ROUND(J39,-1)</f>
        <v>0</v>
      </c>
      <c r="Y39" s="1383"/>
      <c r="Z39" s="1383"/>
      <c r="AA39" s="1383"/>
      <c r="AB39" s="1383"/>
      <c r="AC39" s="1383"/>
      <c r="AD39" s="4"/>
      <c r="AE39" s="112"/>
    </row>
    <row r="40" spans="1:77" ht="7.5" customHeight="1">
      <c r="A40" s="6"/>
      <c r="B40" s="75"/>
      <c r="C40" s="75"/>
      <c r="D40" s="75"/>
      <c r="E40" s="75"/>
      <c r="F40" s="75"/>
      <c r="G40" s="75"/>
      <c r="H40" s="75"/>
      <c r="I40" s="75"/>
      <c r="J40" s="78"/>
      <c r="K40" s="78"/>
      <c r="L40" s="78"/>
      <c r="M40" s="78"/>
      <c r="N40" s="4"/>
      <c r="O40" s="75"/>
      <c r="P40" s="75"/>
      <c r="Q40" s="75"/>
      <c r="R40" s="75"/>
      <c r="S40" s="75"/>
      <c r="T40" s="75"/>
      <c r="U40" s="75"/>
      <c r="V40" s="75"/>
      <c r="W40" s="75"/>
      <c r="X40" s="79"/>
      <c r="Y40" s="79"/>
      <c r="Z40" s="79"/>
      <c r="AA40" s="79"/>
      <c r="AB40" s="79"/>
      <c r="AC40" s="79"/>
      <c r="AD40" s="4"/>
    </row>
    <row r="41" spans="1:77" ht="29.25" customHeight="1">
      <c r="A41" s="6"/>
      <c r="B41" s="1550" t="s">
        <v>943</v>
      </c>
      <c r="C41" s="1551"/>
      <c r="D41" s="1552"/>
      <c r="E41" s="1556" t="s">
        <v>944</v>
      </c>
      <c r="F41" s="1557"/>
      <c r="G41" s="1557"/>
      <c r="H41" s="1557"/>
      <c r="I41" s="1557"/>
      <c r="J41" s="1557"/>
      <c r="K41" s="1557"/>
      <c r="L41" s="1557"/>
      <c r="M41" s="1557"/>
      <c r="N41" s="1557"/>
      <c r="O41" s="1557"/>
      <c r="P41" s="1557"/>
      <c r="Q41" s="1557"/>
      <c r="R41" s="1557"/>
      <c r="S41" s="1557"/>
      <c r="T41" s="1557"/>
      <c r="U41" s="1557"/>
      <c r="V41" s="1557"/>
      <c r="W41" s="1557"/>
      <c r="X41" s="1557"/>
      <c r="Y41" s="1557"/>
      <c r="Z41" s="1557"/>
      <c r="AA41" s="1557"/>
      <c r="AB41" s="1557"/>
      <c r="AC41" s="1558"/>
      <c r="AD41" s="4"/>
    </row>
    <row r="42" spans="1:77" ht="29.25" customHeight="1">
      <c r="A42" s="6"/>
      <c r="B42" s="1553"/>
      <c r="C42" s="1554"/>
      <c r="D42" s="1555"/>
      <c r="E42" s="1547" t="s">
        <v>945</v>
      </c>
      <c r="F42" s="1548"/>
      <c r="G42" s="1548"/>
      <c r="H42" s="1548"/>
      <c r="I42" s="1548"/>
      <c r="J42" s="1548"/>
      <c r="K42" s="1548"/>
      <c r="L42" s="1548"/>
      <c r="M42" s="1548"/>
      <c r="N42" s="1548"/>
      <c r="O42" s="1548"/>
      <c r="P42" s="1548"/>
      <c r="Q42" s="1548"/>
      <c r="R42" s="1548"/>
      <c r="S42" s="1548"/>
      <c r="T42" s="1548"/>
      <c r="U42" s="1548"/>
      <c r="V42" s="1548"/>
      <c r="W42" s="1548"/>
      <c r="X42" s="1548"/>
      <c r="Y42" s="1548"/>
      <c r="Z42" s="1548"/>
      <c r="AA42" s="1548"/>
      <c r="AB42" s="1548"/>
      <c r="AC42" s="1549"/>
      <c r="AD42" s="4"/>
    </row>
    <row r="43" spans="1:77" s="77" customFormat="1" ht="6" customHeight="1">
      <c r="A43" s="9"/>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9"/>
      <c r="AD43" s="9"/>
    </row>
    <row r="44" spans="1:77" ht="15.75">
      <c r="A44" s="1292" t="s">
        <v>845</v>
      </c>
      <c r="B44" s="1293"/>
      <c r="C44" s="1293"/>
      <c r="D44" s="1293"/>
      <c r="E44" s="1293"/>
      <c r="F44" s="1293"/>
      <c r="G44" s="1293"/>
      <c r="H44" s="1293"/>
      <c r="I44" s="1293"/>
      <c r="J44" s="1293"/>
      <c r="K44" s="1293"/>
      <c r="L44" s="1293"/>
      <c r="M44" s="1293"/>
      <c r="N44" s="1293"/>
      <c r="O44" s="1293"/>
      <c r="P44" s="1293"/>
      <c r="Q44" s="1293"/>
      <c r="R44" s="1293"/>
      <c r="S44" s="1293"/>
      <c r="T44" s="1293"/>
      <c r="U44" s="1293"/>
      <c r="V44" s="1293"/>
      <c r="W44" s="1293"/>
      <c r="X44" s="1293"/>
      <c r="Y44" s="1293"/>
      <c r="Z44" s="1293"/>
      <c r="AA44" s="1293"/>
      <c r="AB44" s="1293"/>
      <c r="AC44" s="1293"/>
      <c r="AD44" s="1294"/>
    </row>
    <row r="45" spans="1:77" ht="9.75" customHeight="1">
      <c r="A45" s="4"/>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4"/>
      <c r="AD45" s="4"/>
    </row>
    <row r="46" spans="1:77" ht="15.75">
      <c r="A46" s="4"/>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4"/>
      <c r="AD46" s="4"/>
    </row>
    <row r="47" spans="1:77" ht="15.75">
      <c r="A47" s="4"/>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4"/>
      <c r="AD47" s="4"/>
    </row>
    <row r="48" spans="1:77" ht="15.75">
      <c r="A48" s="4"/>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4"/>
      <c r="AD48" s="4"/>
    </row>
    <row r="49" spans="1:30" ht="15.75">
      <c r="A49" s="4"/>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4"/>
      <c r="AD49" s="4"/>
    </row>
    <row r="50" spans="1:30" ht="15.75">
      <c r="A50" s="4"/>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4"/>
      <c r="AD50" s="4"/>
    </row>
    <row r="51" spans="1:30" ht="15.75">
      <c r="A51" s="4"/>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4"/>
      <c r="AD51" s="4"/>
    </row>
    <row r="52" spans="1:30" ht="15.75">
      <c r="A52" s="4"/>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4"/>
      <c r="AD52" s="4"/>
    </row>
    <row r="53" spans="1:30" ht="15.75">
      <c r="A53" s="4"/>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4"/>
      <c r="AD53" s="4"/>
    </row>
    <row r="54" spans="1:30" ht="15.75">
      <c r="A54" s="4"/>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4"/>
      <c r="AD54" s="4"/>
    </row>
    <row r="55" spans="1:30" ht="15.75">
      <c r="A55" s="4"/>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4"/>
      <c r="AD55" s="4"/>
    </row>
    <row r="56" spans="1:30" ht="15.75">
      <c r="A56" s="4"/>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4"/>
      <c r="AD56" s="4"/>
    </row>
    <row r="57" spans="1:30" ht="15.75">
      <c r="A57" s="4"/>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4"/>
      <c r="AD57" s="4"/>
    </row>
    <row r="58" spans="1:30" ht="15.75">
      <c r="A58" s="4"/>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4"/>
      <c r="AD58" s="4"/>
    </row>
    <row r="59" spans="1:30">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row>
    <row r="60" spans="1:3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row>
    <row r="61" spans="1:30" ht="15.75">
      <c r="A61" s="4"/>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4"/>
      <c r="AD61" s="4"/>
    </row>
    <row r="62" spans="1:30" ht="15.75">
      <c r="A62" s="4"/>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4"/>
      <c r="AD62" s="4"/>
    </row>
    <row r="63" spans="1:30" ht="15.75">
      <c r="A63" s="4"/>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4"/>
      <c r="AD63" s="4"/>
    </row>
    <row r="64" spans="1:30" ht="15.75">
      <c r="A64" s="4"/>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4"/>
      <c r="AD64" s="4"/>
    </row>
    <row r="65" spans="1:30" ht="15.75">
      <c r="A65" s="4"/>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4"/>
      <c r="AD65" s="4"/>
    </row>
    <row r="66" spans="1:30" ht="15.75">
      <c r="A66" s="4"/>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4"/>
      <c r="AD66" s="4"/>
    </row>
    <row r="67" spans="1:30" ht="15.75">
      <c r="A67" s="4"/>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4"/>
      <c r="AD67" s="4"/>
    </row>
    <row r="68" spans="1:30" ht="15.75">
      <c r="A68" s="4"/>
      <c r="B68" s="74"/>
      <c r="C68" s="4"/>
      <c r="D68" s="4"/>
      <c r="E68" s="4"/>
      <c r="F68" s="4"/>
      <c r="G68" s="4"/>
      <c r="H68" s="4"/>
      <c r="I68" s="4"/>
      <c r="J68" s="26"/>
      <c r="K68" s="26"/>
      <c r="L68" s="26"/>
      <c r="M68" s="26"/>
      <c r="N68" s="26"/>
      <c r="O68" s="26"/>
      <c r="P68" s="26"/>
      <c r="Q68" s="26"/>
      <c r="R68" s="4"/>
      <c r="S68" s="4"/>
      <c r="T68" s="4"/>
      <c r="U68" s="4"/>
      <c r="V68" s="4"/>
      <c r="W68" s="4"/>
      <c r="X68" s="4"/>
      <c r="Y68" s="4"/>
      <c r="Z68" s="4"/>
      <c r="AA68" s="4"/>
      <c r="AB68" s="4"/>
      <c r="AC68" s="4"/>
      <c r="AD68" s="4"/>
    </row>
    <row r="69" spans="1:30" ht="15.75">
      <c r="A69" s="4"/>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4"/>
      <c r="AD69" s="4"/>
    </row>
    <row r="70" spans="1:30" ht="15.75">
      <c r="A70" s="4"/>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4"/>
      <c r="AD70" s="4"/>
    </row>
    <row r="71" spans="1:30" ht="15.75">
      <c r="A71" s="4"/>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4"/>
      <c r="AD71" s="4"/>
    </row>
    <row r="72" spans="1:30" ht="5.25" customHeight="1">
      <c r="A72" s="4"/>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4"/>
      <c r="AD72" s="4"/>
    </row>
    <row r="73" spans="1:30" ht="16.5" thickBot="1">
      <c r="A73" s="4"/>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4"/>
      <c r="AD73" s="4"/>
    </row>
    <row r="74" spans="1:30" ht="15.75">
      <c r="A74" s="4"/>
      <c r="B74" s="1535" t="s">
        <v>148</v>
      </c>
      <c r="C74" s="1536"/>
      <c r="D74" s="1536"/>
      <c r="E74" s="1536"/>
      <c r="F74" s="1536"/>
      <c r="G74" s="1536"/>
      <c r="H74" s="1536"/>
      <c r="I74" s="1536"/>
      <c r="J74" s="1536"/>
      <c r="K74" s="1536"/>
      <c r="L74" s="1537"/>
      <c r="M74" s="26"/>
      <c r="N74" s="26"/>
      <c r="O74" s="26"/>
      <c r="P74" s="26"/>
      <c r="Q74" s="26"/>
      <c r="R74" s="26"/>
      <c r="S74" s="26"/>
      <c r="T74" s="26"/>
      <c r="U74" s="26"/>
      <c r="V74" s="26"/>
      <c r="W74" s="26"/>
      <c r="X74" s="26"/>
      <c r="Y74" s="26"/>
      <c r="Z74" s="26"/>
      <c r="AA74" s="26"/>
      <c r="AB74" s="26"/>
      <c r="AC74" s="4"/>
      <c r="AD74" s="4"/>
    </row>
    <row r="75" spans="1:30" ht="15.75">
      <c r="A75" s="4"/>
      <c r="B75" s="1538"/>
      <c r="C75" s="1539"/>
      <c r="D75" s="1539"/>
      <c r="E75" s="1539"/>
      <c r="F75" s="1539"/>
      <c r="G75" s="1539"/>
      <c r="H75" s="1539"/>
      <c r="I75" s="1539"/>
      <c r="J75" s="1539"/>
      <c r="K75" s="1539"/>
      <c r="L75" s="1540"/>
      <c r="M75" s="26"/>
      <c r="N75" s="26"/>
      <c r="O75" s="26"/>
      <c r="P75" s="26"/>
      <c r="Q75" s="26"/>
      <c r="R75" s="26"/>
      <c r="S75" s="26"/>
      <c r="T75" s="26"/>
      <c r="U75" s="26"/>
      <c r="V75" s="26"/>
      <c r="W75" s="26"/>
      <c r="X75" s="26"/>
      <c r="Y75" s="26"/>
      <c r="Z75" s="26"/>
      <c r="AA75" s="26"/>
      <c r="AB75" s="26"/>
      <c r="AC75" s="4"/>
      <c r="AD75" s="4"/>
    </row>
    <row r="76" spans="1:30" ht="15.75">
      <c r="A76" s="4"/>
      <c r="B76" s="1541" t="s">
        <v>149</v>
      </c>
      <c r="C76" s="1544" t="s">
        <v>150</v>
      </c>
      <c r="D76" s="1545"/>
      <c r="E76" s="1545"/>
      <c r="F76" s="1546"/>
      <c r="G76" s="1516" t="s">
        <v>151</v>
      </c>
      <c r="H76" s="1516"/>
      <c r="I76" s="1516"/>
      <c r="J76" s="1516" t="s">
        <v>152</v>
      </c>
      <c r="K76" s="1516"/>
      <c r="L76" s="1517"/>
      <c r="M76" s="26"/>
      <c r="N76" s="26"/>
      <c r="O76" s="26"/>
      <c r="P76" s="26"/>
      <c r="Q76" s="26"/>
      <c r="R76" s="26"/>
      <c r="S76" s="26"/>
      <c r="T76" s="26"/>
      <c r="U76" s="26"/>
      <c r="V76" s="26"/>
      <c r="W76" s="26"/>
      <c r="X76" s="26"/>
      <c r="Y76" s="26"/>
      <c r="Z76" s="26"/>
      <c r="AA76" s="26"/>
      <c r="AB76" s="26"/>
      <c r="AC76" s="4"/>
      <c r="AD76" s="4"/>
    </row>
    <row r="77" spans="1:30" ht="16.5">
      <c r="A77" s="4"/>
      <c r="B77" s="1542"/>
      <c r="C77" s="1518">
        <f>A33</f>
        <v>1</v>
      </c>
      <c r="D77" s="1519"/>
      <c r="E77" s="1519"/>
      <c r="F77" s="1520"/>
      <c r="G77" s="1521" t="str">
        <f>IF(L33=0," ",L33)</f>
        <v xml:space="preserve"> </v>
      </c>
      <c r="H77" s="1522"/>
      <c r="I77" s="1523"/>
      <c r="J77" s="1521" t="str">
        <f>X33</f>
        <v xml:space="preserve"> </v>
      </c>
      <c r="K77" s="1522"/>
      <c r="L77" s="1524"/>
      <c r="M77" s="26"/>
      <c r="N77" s="26"/>
      <c r="O77" s="26"/>
      <c r="P77" s="26"/>
      <c r="Q77" s="26"/>
      <c r="R77" s="26"/>
      <c r="S77" s="26"/>
      <c r="T77" s="26"/>
      <c r="U77" s="26"/>
      <c r="V77" s="26"/>
      <c r="W77" s="26"/>
      <c r="X77" s="26"/>
      <c r="Y77" s="26"/>
      <c r="Z77" s="26"/>
      <c r="AA77" s="26"/>
      <c r="AB77" s="26"/>
      <c r="AC77" s="4"/>
      <c r="AD77" s="4"/>
    </row>
    <row r="78" spans="1:30" ht="16.5">
      <c r="A78" s="4"/>
      <c r="B78" s="1542"/>
      <c r="C78" s="1518">
        <f>A34</f>
        <v>2</v>
      </c>
      <c r="D78" s="1519"/>
      <c r="E78" s="1519"/>
      <c r="F78" s="1520"/>
      <c r="G78" s="1521" t="str">
        <f>IF(L34=0," ",L34)</f>
        <v xml:space="preserve"> </v>
      </c>
      <c r="H78" s="1522"/>
      <c r="I78" s="1523"/>
      <c r="J78" s="1521" t="str">
        <f>X34</f>
        <v xml:space="preserve"> </v>
      </c>
      <c r="K78" s="1522"/>
      <c r="L78" s="1524"/>
      <c r="M78" s="26"/>
      <c r="N78" s="26"/>
      <c r="O78" s="26"/>
      <c r="P78" s="26"/>
      <c r="Q78" s="26"/>
      <c r="R78" s="26"/>
      <c r="S78" s="26"/>
      <c r="T78" s="26"/>
      <c r="U78" s="26"/>
      <c r="V78" s="26"/>
      <c r="W78" s="26"/>
      <c r="X78" s="26"/>
      <c r="Y78" s="26"/>
      <c r="Z78" s="26"/>
      <c r="AA78" s="26"/>
      <c r="AB78" s="26"/>
      <c r="AC78" s="4"/>
      <c r="AD78" s="4"/>
    </row>
    <row r="79" spans="1:30" ht="16.5">
      <c r="A79" s="4"/>
      <c r="B79" s="1542"/>
      <c r="C79" s="1518">
        <f>A35</f>
        <v>3</v>
      </c>
      <c r="D79" s="1519"/>
      <c r="E79" s="1519"/>
      <c r="F79" s="1520"/>
      <c r="G79" s="1521" t="str">
        <f>IF(L35=0," ",L35)</f>
        <v xml:space="preserve"> </v>
      </c>
      <c r="H79" s="1522"/>
      <c r="I79" s="1523"/>
      <c r="J79" s="1521" t="str">
        <f>X35</f>
        <v xml:space="preserve"> </v>
      </c>
      <c r="K79" s="1522"/>
      <c r="L79" s="1524"/>
      <c r="M79" s="26"/>
      <c r="N79" s="26"/>
      <c r="O79" s="26"/>
      <c r="P79" s="26"/>
      <c r="Q79" s="26"/>
      <c r="R79" s="26"/>
      <c r="S79" s="26"/>
      <c r="T79" s="26"/>
      <c r="U79" s="26"/>
      <c r="V79" s="26"/>
      <c r="W79" s="26"/>
      <c r="X79" s="26"/>
      <c r="Y79" s="26"/>
      <c r="Z79" s="26"/>
      <c r="AA79" s="26"/>
      <c r="AB79" s="26"/>
      <c r="AC79" s="4"/>
      <c r="AD79" s="4"/>
    </row>
    <row r="80" spans="1:30" ht="16.5">
      <c r="A80" s="4"/>
      <c r="B80" s="1542"/>
      <c r="C80" s="1518">
        <f>A36</f>
        <v>4</v>
      </c>
      <c r="D80" s="1519"/>
      <c r="E80" s="1519"/>
      <c r="F80" s="1520"/>
      <c r="G80" s="1521" t="str">
        <f>IF(L36=0," ",L36)</f>
        <v xml:space="preserve"> </v>
      </c>
      <c r="H80" s="1522"/>
      <c r="I80" s="1523"/>
      <c r="J80" s="1521" t="str">
        <f>X36</f>
        <v xml:space="preserve"> </v>
      </c>
      <c r="K80" s="1522"/>
      <c r="L80" s="1524"/>
      <c r="M80" s="26"/>
      <c r="N80" s="26"/>
      <c r="O80" s="26"/>
      <c r="P80" s="26"/>
      <c r="Q80" s="26"/>
      <c r="R80" s="26"/>
      <c r="S80" s="26"/>
      <c r="T80" s="26"/>
      <c r="U80" s="26"/>
      <c r="V80" s="26"/>
      <c r="W80" s="26"/>
      <c r="X80" s="26"/>
      <c r="Y80" s="26"/>
      <c r="Z80" s="26"/>
      <c r="AA80" s="26"/>
      <c r="AB80" s="26"/>
      <c r="AC80" s="4"/>
      <c r="AD80" s="4"/>
    </row>
    <row r="81" spans="1:30" ht="17.25" thickBot="1">
      <c r="A81" s="4"/>
      <c r="B81" s="1542"/>
      <c r="C81" s="1518">
        <f>A38</f>
        <v>5</v>
      </c>
      <c r="D81" s="1519"/>
      <c r="E81" s="1519"/>
      <c r="F81" s="1520"/>
      <c r="G81" s="1521" t="str">
        <f t="shared" ref="G81" si="9">IF(L38=0," ",L38)</f>
        <v xml:space="preserve"> </v>
      </c>
      <c r="H81" s="1522"/>
      <c r="I81" s="1523"/>
      <c r="J81" s="1521" t="str">
        <f>X38</f>
        <v xml:space="preserve"> </v>
      </c>
      <c r="K81" s="1522"/>
      <c r="L81" s="1524"/>
      <c r="M81" s="26"/>
      <c r="N81" s="26"/>
      <c r="O81" s="26"/>
      <c r="P81" s="26"/>
      <c r="Q81" s="26"/>
      <c r="R81" s="26"/>
      <c r="S81" s="26"/>
      <c r="T81" s="26"/>
      <c r="U81" s="26"/>
      <c r="V81" s="26"/>
      <c r="W81" s="26"/>
      <c r="X81" s="26"/>
      <c r="Y81" s="26"/>
      <c r="Z81" s="26"/>
      <c r="AA81" s="26"/>
      <c r="AB81" s="26"/>
      <c r="AC81" s="4"/>
      <c r="AD81" s="4"/>
    </row>
    <row r="82" spans="1:30" ht="16.5">
      <c r="A82" s="4"/>
      <c r="B82" s="1542"/>
      <c r="C82" s="1525" t="s">
        <v>153</v>
      </c>
      <c r="D82" s="1526"/>
      <c r="E82" s="1526"/>
      <c r="F82" s="1527"/>
      <c r="G82" s="1528" t="str">
        <f>IFERROR(AVERAGE(G77:G81),"")</f>
        <v/>
      </c>
      <c r="H82" s="1529"/>
      <c r="I82" s="1530"/>
      <c r="J82" s="1528" t="str">
        <f>IFERROR(AVERAGE(J77:J81),"")</f>
        <v/>
      </c>
      <c r="K82" s="1529"/>
      <c r="L82" s="1531"/>
      <c r="M82" s="26"/>
      <c r="N82" s="26"/>
      <c r="O82" s="26"/>
      <c r="P82" s="26"/>
      <c r="Q82" s="26"/>
      <c r="R82" s="26"/>
      <c r="S82" s="26"/>
      <c r="T82" s="26"/>
      <c r="U82" s="26"/>
      <c r="V82" s="26"/>
      <c r="W82" s="26"/>
      <c r="X82" s="26"/>
      <c r="Y82" s="26"/>
      <c r="Z82" s="26"/>
      <c r="AA82" s="26"/>
      <c r="AB82" s="26"/>
      <c r="AC82" s="4"/>
      <c r="AD82" s="4"/>
    </row>
    <row r="83" spans="1:30" ht="16.5">
      <c r="A83" s="4"/>
      <c r="B83" s="1542"/>
      <c r="C83" s="1509" t="s">
        <v>154</v>
      </c>
      <c r="D83" s="1510"/>
      <c r="E83" s="1510"/>
      <c r="F83" s="1511"/>
      <c r="G83" s="1512">
        <f>MAX(G77:G81)</f>
        <v>0</v>
      </c>
      <c r="H83" s="1513"/>
      <c r="I83" s="1514"/>
      <c r="J83" s="1512">
        <f>MAX(J77:J81)</f>
        <v>0</v>
      </c>
      <c r="K83" s="1513"/>
      <c r="L83" s="1515"/>
      <c r="M83" s="26"/>
      <c r="N83" s="26"/>
      <c r="O83" s="26"/>
      <c r="P83" s="26"/>
      <c r="Q83" s="26"/>
      <c r="R83" s="26"/>
      <c r="S83" s="26"/>
      <c r="T83" s="26"/>
      <c r="U83" s="26"/>
      <c r="V83" s="26"/>
      <c r="W83" s="26"/>
      <c r="X83" s="26"/>
      <c r="Y83" s="26"/>
      <c r="Z83" s="26"/>
      <c r="AA83" s="26"/>
      <c r="AB83" s="26"/>
      <c r="AC83" s="4"/>
      <c r="AD83" s="4"/>
    </row>
    <row r="84" spans="1:30" ht="16.5">
      <c r="A84" s="4"/>
      <c r="B84" s="1542"/>
      <c r="C84" s="1509" t="s">
        <v>155</v>
      </c>
      <c r="D84" s="1510"/>
      <c r="E84" s="1510"/>
      <c r="F84" s="1511"/>
      <c r="G84" s="1512">
        <f>MIN(G77:G81)</f>
        <v>0</v>
      </c>
      <c r="H84" s="1513"/>
      <c r="I84" s="1514"/>
      <c r="J84" s="1512">
        <f>MIN(J77:J81)</f>
        <v>0</v>
      </c>
      <c r="K84" s="1513"/>
      <c r="L84" s="1515"/>
      <c r="M84" s="26"/>
      <c r="N84" s="26"/>
      <c r="O84" s="26"/>
      <c r="P84" s="26"/>
      <c r="Q84" s="26"/>
      <c r="R84" s="26"/>
      <c r="S84" s="26"/>
      <c r="T84" s="26"/>
      <c r="U84" s="26"/>
      <c r="V84" s="26"/>
      <c r="W84" s="26"/>
      <c r="X84" s="26"/>
      <c r="Y84" s="26"/>
      <c r="Z84" s="26"/>
      <c r="AA84" s="26"/>
      <c r="AB84" s="26"/>
      <c r="AC84" s="4"/>
      <c r="AD84" s="4"/>
    </row>
    <row r="85" spans="1:30" ht="17.25" thickBot="1">
      <c r="A85" s="4"/>
      <c r="B85" s="1543"/>
      <c r="C85" s="1532" t="s">
        <v>156</v>
      </c>
      <c r="D85" s="1533"/>
      <c r="E85" s="1533"/>
      <c r="F85" s="1534"/>
      <c r="G85" s="1505">
        <f>G83-G84</f>
        <v>0</v>
      </c>
      <c r="H85" s="1506"/>
      <c r="I85" s="1507"/>
      <c r="J85" s="1505">
        <f>J83-J84</f>
        <v>0</v>
      </c>
      <c r="K85" s="1506"/>
      <c r="L85" s="1508"/>
      <c r="M85" s="26"/>
      <c r="N85" s="26"/>
      <c r="O85" s="26"/>
      <c r="P85" s="26"/>
      <c r="Q85" s="26"/>
      <c r="R85" s="26"/>
      <c r="S85" s="26"/>
      <c r="T85" s="26"/>
      <c r="U85" s="26"/>
      <c r="V85" s="26"/>
      <c r="W85" s="26"/>
      <c r="X85" s="26"/>
      <c r="Y85" s="26"/>
      <c r="Z85" s="26"/>
      <c r="AA85" s="26"/>
      <c r="AB85" s="26"/>
      <c r="AC85" s="4"/>
      <c r="AD85" s="4"/>
    </row>
  </sheetData>
  <mergeCells count="221">
    <mergeCell ref="BQ25:BU25"/>
    <mergeCell ref="BV25:BY25"/>
    <mergeCell ref="AF26:AT26"/>
    <mergeCell ref="AU26:AW26"/>
    <mergeCell ref="AX26:AZ26"/>
    <mergeCell ref="BA26:BC26"/>
    <mergeCell ref="BD26:BF26"/>
    <mergeCell ref="BG26:BK26"/>
    <mergeCell ref="BL26:BP26"/>
    <mergeCell ref="BQ26:BU26"/>
    <mergeCell ref="BV26:BY26"/>
    <mergeCell ref="G82:I82"/>
    <mergeCell ref="J82:L82"/>
    <mergeCell ref="J78:L78"/>
    <mergeCell ref="C79:F79"/>
    <mergeCell ref="G79:I79"/>
    <mergeCell ref="J79:L79"/>
    <mergeCell ref="C80:F80"/>
    <mergeCell ref="C85:F85"/>
    <mergeCell ref="B38:G38"/>
    <mergeCell ref="H38:K38"/>
    <mergeCell ref="L38:O38"/>
    <mergeCell ref="B74:L75"/>
    <mergeCell ref="B76:B85"/>
    <mergeCell ref="C76:F76"/>
    <mergeCell ref="G76:I76"/>
    <mergeCell ref="E42:AC42"/>
    <mergeCell ref="B41:D42"/>
    <mergeCell ref="E41:AC41"/>
    <mergeCell ref="A44:AD44"/>
    <mergeCell ref="G80:I80"/>
    <mergeCell ref="G81:I81"/>
    <mergeCell ref="J81:L81"/>
    <mergeCell ref="J80:L80"/>
    <mergeCell ref="V38:W38"/>
    <mergeCell ref="X38:AC38"/>
    <mergeCell ref="B39:I39"/>
    <mergeCell ref="J39:M39"/>
    <mergeCell ref="O39:W39"/>
    <mergeCell ref="X39:AC39"/>
    <mergeCell ref="X36:AC36"/>
    <mergeCell ref="AF17:BY17"/>
    <mergeCell ref="G85:I85"/>
    <mergeCell ref="J85:L85"/>
    <mergeCell ref="C83:F83"/>
    <mergeCell ref="G83:I83"/>
    <mergeCell ref="J83:L83"/>
    <mergeCell ref="C84:F84"/>
    <mergeCell ref="G84:I84"/>
    <mergeCell ref="J84:L84"/>
    <mergeCell ref="J76:L76"/>
    <mergeCell ref="C77:F77"/>
    <mergeCell ref="G77:I77"/>
    <mergeCell ref="J77:L77"/>
    <mergeCell ref="C78:F78"/>
    <mergeCell ref="G78:I78"/>
    <mergeCell ref="C81:F81"/>
    <mergeCell ref="C82:F82"/>
    <mergeCell ref="B30:G31"/>
    <mergeCell ref="B36:G36"/>
    <mergeCell ref="H36:K36"/>
    <mergeCell ref="L36:O36"/>
    <mergeCell ref="V36:W36"/>
    <mergeCell ref="H30:K31"/>
    <mergeCell ref="L30:O31"/>
    <mergeCell ref="P30:U30"/>
    <mergeCell ref="V30:W31"/>
    <mergeCell ref="X30:AC31"/>
    <mergeCell ref="B34:G34"/>
    <mergeCell ref="H34:K34"/>
    <mergeCell ref="L34:O34"/>
    <mergeCell ref="V34:W34"/>
    <mergeCell ref="X34:AC34"/>
    <mergeCell ref="B33:G33"/>
    <mergeCell ref="H33:K33"/>
    <mergeCell ref="L33:O33"/>
    <mergeCell ref="V33:W33"/>
    <mergeCell ref="X33:AC33"/>
    <mergeCell ref="P27:R27"/>
    <mergeCell ref="S22:U22"/>
    <mergeCell ref="S23:U23"/>
    <mergeCell ref="S24:U24"/>
    <mergeCell ref="B35:G35"/>
    <mergeCell ref="H35:K35"/>
    <mergeCell ref="L35:O35"/>
    <mergeCell ref="V35:W35"/>
    <mergeCell ref="X35:AC35"/>
    <mergeCell ref="AB23:AC23"/>
    <mergeCell ref="AB24:AC24"/>
    <mergeCell ref="AB25:AC25"/>
    <mergeCell ref="AB27:AC27"/>
    <mergeCell ref="Y22:AA22"/>
    <mergeCell ref="Y23:AA23"/>
    <mergeCell ref="Y24:AA24"/>
    <mergeCell ref="Y25:AA25"/>
    <mergeCell ref="Y27:AA27"/>
    <mergeCell ref="S25:U25"/>
    <mergeCell ref="S27:U27"/>
    <mergeCell ref="B26:AC26"/>
    <mergeCell ref="B25:E25"/>
    <mergeCell ref="N25:O25"/>
    <mergeCell ref="B27:E27"/>
    <mergeCell ref="T12:X12"/>
    <mergeCell ref="Z12:AD12"/>
    <mergeCell ref="T13:X13"/>
    <mergeCell ref="Z13:AD13"/>
    <mergeCell ref="T14:X14"/>
    <mergeCell ref="Z14:AD14"/>
    <mergeCell ref="T15:X15"/>
    <mergeCell ref="Z15:AD15"/>
    <mergeCell ref="V20:X20"/>
    <mergeCell ref="A16:AD16"/>
    <mergeCell ref="A17:AD17"/>
    <mergeCell ref="B19:J19"/>
    <mergeCell ref="AB20:AC20"/>
    <mergeCell ref="Y20:AA20"/>
    <mergeCell ref="S20:U20"/>
    <mergeCell ref="B20:E20"/>
    <mergeCell ref="B24:E24"/>
    <mergeCell ref="P20:R20"/>
    <mergeCell ref="P22:R22"/>
    <mergeCell ref="P23:R23"/>
    <mergeCell ref="V22:X22"/>
    <mergeCell ref="V23:X23"/>
    <mergeCell ref="V24:X24"/>
    <mergeCell ref="BV22:BY22"/>
    <mergeCell ref="N23:O23"/>
    <mergeCell ref="N24:O24"/>
    <mergeCell ref="F22:H22"/>
    <mergeCell ref="F23:H23"/>
    <mergeCell ref="F24:H24"/>
    <mergeCell ref="I22:M22"/>
    <mergeCell ref="I23:M23"/>
    <mergeCell ref="I24:M24"/>
    <mergeCell ref="BD22:BF22"/>
    <mergeCell ref="BG22:BK22"/>
    <mergeCell ref="AF19:BY19"/>
    <mergeCell ref="BV23:BY23"/>
    <mergeCell ref="N20:O20"/>
    <mergeCell ref="N22:O22"/>
    <mergeCell ref="I20:M20"/>
    <mergeCell ref="F20:H20"/>
    <mergeCell ref="B22:E22"/>
    <mergeCell ref="B23:E23"/>
    <mergeCell ref="AX22:AZ22"/>
    <mergeCell ref="BA22:BC22"/>
    <mergeCell ref="AX20:AZ20"/>
    <mergeCell ref="BA20:BC20"/>
    <mergeCell ref="BD20:BF20"/>
    <mergeCell ref="F25:H25"/>
    <mergeCell ref="F27:H27"/>
    <mergeCell ref="BL20:BP20"/>
    <mergeCell ref="BQ20:BU20"/>
    <mergeCell ref="BV20:BY20"/>
    <mergeCell ref="BV24:BY24"/>
    <mergeCell ref="AF23:AT23"/>
    <mergeCell ref="AF24:AT24"/>
    <mergeCell ref="AU23:AW23"/>
    <mergeCell ref="AX23:AZ23"/>
    <mergeCell ref="BA23:BC23"/>
    <mergeCell ref="BD23:BF23"/>
    <mergeCell ref="BG23:BK23"/>
    <mergeCell ref="BL23:BP23"/>
    <mergeCell ref="AU24:AW24"/>
    <mergeCell ref="AX24:AZ24"/>
    <mergeCell ref="BA24:BC24"/>
    <mergeCell ref="BD24:BF24"/>
    <mergeCell ref="BG24:BK24"/>
    <mergeCell ref="BL24:BP24"/>
    <mergeCell ref="BQ24:BU24"/>
    <mergeCell ref="BQ23:BU23"/>
    <mergeCell ref="B21:AC21"/>
    <mergeCell ref="AF21:BY21"/>
    <mergeCell ref="BF34:BI34"/>
    <mergeCell ref="BG20:BK20"/>
    <mergeCell ref="BJ34:BY34"/>
    <mergeCell ref="AF27:AT27"/>
    <mergeCell ref="AU27:AW27"/>
    <mergeCell ref="AX27:AZ27"/>
    <mergeCell ref="BA27:BC27"/>
    <mergeCell ref="BD27:BF27"/>
    <mergeCell ref="BG27:BK27"/>
    <mergeCell ref="BL27:BP27"/>
    <mergeCell ref="BQ27:BU27"/>
    <mergeCell ref="BV27:BY27"/>
    <mergeCell ref="BL22:BP22"/>
    <mergeCell ref="BQ22:BU22"/>
    <mergeCell ref="AF20:AT20"/>
    <mergeCell ref="AU20:AW20"/>
    <mergeCell ref="AF25:AT25"/>
    <mergeCell ref="AU25:AW25"/>
    <mergeCell ref="AU22:AW22"/>
    <mergeCell ref="AX25:AZ25"/>
    <mergeCell ref="BA25:BC25"/>
    <mergeCell ref="BD25:BF25"/>
    <mergeCell ref="BG25:BK25"/>
    <mergeCell ref="BL25:BP25"/>
    <mergeCell ref="BV37:BY37"/>
    <mergeCell ref="B32:AC32"/>
    <mergeCell ref="AF29:BY33"/>
    <mergeCell ref="V25:X25"/>
    <mergeCell ref="V27:X27"/>
    <mergeCell ref="AB22:AC22"/>
    <mergeCell ref="AF22:AT22"/>
    <mergeCell ref="B29:N29"/>
    <mergeCell ref="I25:M25"/>
    <mergeCell ref="I27:M27"/>
    <mergeCell ref="N27:O27"/>
    <mergeCell ref="P24:R24"/>
    <mergeCell ref="P25:R25"/>
    <mergeCell ref="B37:AC37"/>
    <mergeCell ref="AF37:AT37"/>
    <mergeCell ref="AU37:AW37"/>
    <mergeCell ref="AX37:AZ37"/>
    <mergeCell ref="BA37:BC37"/>
    <mergeCell ref="BD37:BF37"/>
    <mergeCell ref="BG37:BK37"/>
    <mergeCell ref="BL37:BP37"/>
    <mergeCell ref="BQ37:BU37"/>
    <mergeCell ref="AF34:AX34"/>
    <mergeCell ref="AY34:BE34"/>
  </mergeCells>
  <dataValidations count="1">
    <dataValidation allowBlank="1" showInputMessage="1" showErrorMessage="1" error="La antigüedad de la referencia debe ser menor a 180 días" sqref="AB22:AB25 AB27" xr:uid="{00000000-0002-0000-0600-000000000000}"/>
  </dataValidations>
  <printOptions horizontalCentered="1"/>
  <pageMargins left="0.70866141732283472" right="0.70866141732283472" top="0.74803149606299213" bottom="0.74803149606299213" header="0.31496062992125984" footer="0.31496062992125984"/>
  <pageSetup paperSize="9" scale="55" orientation="portrait" r:id="rId1"/>
  <headerFooter>
    <oddFooter>&amp;L&amp;G&amp;R&amp;G
&amp;P</oddFooter>
  </headerFooter>
  <rowBreaks count="1" manualBreakCount="1">
    <brk id="42" max="16383" man="1"/>
  </rowBreaks>
  <colBreaks count="1" manualBreakCount="1">
    <brk id="30" min="11" max="85" man="1"/>
  </colBreaks>
  <drawing r:id="rId2"/>
  <legacyDrawingHF r:id="rId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1000000}">
          <x14:formula1>
            <xm:f>'Lista-Data'!$O$3:$O$31</xm:f>
          </x14:formula1>
          <xm:sqref>V22:V25 V27</xm:sqref>
        </x14:dataValidation>
        <x14:dataValidation type="list" allowBlank="1" showInputMessage="1" showErrorMessage="1" xr:uid="{00000000-0002-0000-0600-000002000000}">
          <x14:formula1>
            <xm:f>'Lista-Data'!$BL$3:$BL$12</xm:f>
          </x14:formula1>
          <xm:sqref>F22:H25 F27:H27</xm:sqref>
        </x14:dataValidation>
        <x14:dataValidation type="list" allowBlank="1" showInputMessage="1" showErrorMessage="1" xr:uid="{00000000-0002-0000-0600-000003000000}">
          <x14:formula1>
            <xm:f>'Lista-Data'!$F$29:$F$38</xm:f>
          </x14:formula1>
          <xm:sqref>S22:U25 S27:U27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tabColor rgb="FF00B050"/>
  </sheetPr>
  <dimension ref="A2:AO106"/>
  <sheetViews>
    <sheetView topLeftCell="A70" workbookViewId="0">
      <selection activeCell="U37" sqref="U37"/>
    </sheetView>
  </sheetViews>
  <sheetFormatPr baseColWidth="10" defaultRowHeight="15"/>
  <cols>
    <col min="1" max="5" width="5.140625" customWidth="1"/>
    <col min="6" max="6" width="5.85546875" customWidth="1"/>
    <col min="7" max="16" width="5.140625" customWidth="1"/>
    <col min="17" max="17" width="6.42578125" customWidth="1"/>
    <col min="18" max="29" width="5.140625" customWidth="1"/>
    <col min="30" max="30" width="5.140625" style="24" customWidth="1"/>
    <col min="31" max="31" width="3.7109375" customWidth="1"/>
    <col min="32" max="46" width="2.85546875" customWidth="1"/>
    <col min="47" max="49" width="3.42578125" customWidth="1"/>
    <col min="50" max="52" width="2.140625" customWidth="1"/>
    <col min="53" max="55" width="3" customWidth="1"/>
    <col min="56" max="58" width="2.85546875" customWidth="1"/>
    <col min="59" max="63" width="3.140625" customWidth="1"/>
    <col min="64" max="68" width="2.85546875" customWidth="1"/>
    <col min="69" max="73" width="3.42578125" customWidth="1"/>
    <col min="74" max="77" width="3.5703125" customWidth="1"/>
  </cols>
  <sheetData>
    <row r="2" spans="1:30">
      <c r="AD2"/>
    </row>
    <row r="3" spans="1:30">
      <c r="AD3"/>
    </row>
    <row r="4" spans="1:30">
      <c r="AD4"/>
    </row>
    <row r="5" spans="1:30">
      <c r="AD5"/>
    </row>
    <row r="6" spans="1:30">
      <c r="AD6"/>
    </row>
    <row r="7" spans="1:30">
      <c r="AD7"/>
    </row>
    <row r="8" spans="1:30">
      <c r="AD8"/>
    </row>
    <row r="9" spans="1:30">
      <c r="AD9"/>
    </row>
    <row r="10" spans="1:30">
      <c r="AD10"/>
    </row>
    <row r="11" spans="1:30">
      <c r="AD11"/>
    </row>
    <row r="12" spans="1:30" ht="15.75">
      <c r="A12" s="24"/>
      <c r="B12" s="24"/>
      <c r="C12" s="24"/>
      <c r="D12" s="24"/>
      <c r="E12" s="24"/>
      <c r="F12" s="24"/>
      <c r="G12" s="24"/>
      <c r="H12" s="24"/>
      <c r="I12" s="24"/>
      <c r="J12" s="24"/>
      <c r="K12" s="24"/>
      <c r="L12" s="24"/>
      <c r="M12" s="24"/>
      <c r="N12" s="24"/>
      <c r="O12" s="24"/>
      <c r="P12" s="24"/>
      <c r="Q12" s="24"/>
      <c r="R12" s="24"/>
      <c r="S12" s="24"/>
      <c r="T12" s="1023" t="s">
        <v>815</v>
      </c>
      <c r="U12" s="1023"/>
      <c r="V12" s="1023"/>
      <c r="W12" s="1023"/>
      <c r="X12" s="1023"/>
      <c r="Y12" s="181" t="s">
        <v>0</v>
      </c>
      <c r="Z12" s="1388">
        <f>+'EST. MERCADO TERRENOS'!Z12:AD12</f>
        <v>0</v>
      </c>
      <c r="AA12" s="1388"/>
      <c r="AB12" s="1388"/>
      <c r="AC12" s="1388"/>
      <c r="AD12" s="217"/>
    </row>
    <row r="13" spans="1:30" ht="15.75">
      <c r="A13" s="24"/>
      <c r="B13" s="24"/>
      <c r="C13" s="24"/>
      <c r="D13" s="24"/>
      <c r="E13" s="24"/>
      <c r="F13" s="24"/>
      <c r="G13" s="24"/>
      <c r="H13" s="24"/>
      <c r="I13" s="24"/>
      <c r="J13" s="24"/>
      <c r="K13" s="24"/>
      <c r="L13" s="24"/>
      <c r="M13" s="24"/>
      <c r="N13" s="24"/>
      <c r="O13" s="24"/>
      <c r="P13" s="24"/>
      <c r="Q13" s="24"/>
      <c r="R13" s="24"/>
      <c r="S13" s="24"/>
      <c r="T13" s="1023" t="s">
        <v>1</v>
      </c>
      <c r="U13" s="1023"/>
      <c r="V13" s="1023"/>
      <c r="W13" s="1023"/>
      <c r="X13" s="1023"/>
      <c r="Y13" s="181" t="s">
        <v>0</v>
      </c>
      <c r="Z13" s="1388" t="str">
        <f>+'EST. MERCADO TERRENOS'!Z13:AD13</f>
        <v>XXXX-26</v>
      </c>
      <c r="AA13" s="1388"/>
      <c r="AB13" s="1388"/>
      <c r="AC13" s="1388"/>
      <c r="AD13" s="217"/>
    </row>
    <row r="14" spans="1:30" ht="15.75">
      <c r="A14" s="24"/>
      <c r="B14" s="24"/>
      <c r="C14" s="24"/>
      <c r="D14" s="24"/>
      <c r="E14" s="24"/>
      <c r="F14" s="24"/>
      <c r="G14" s="24"/>
      <c r="H14" s="24"/>
      <c r="I14" s="24"/>
      <c r="J14" s="24"/>
      <c r="K14" s="24"/>
      <c r="L14" s="24"/>
      <c r="M14" s="24"/>
      <c r="N14" s="24"/>
      <c r="O14" s="24"/>
      <c r="P14" s="24"/>
      <c r="Q14" s="24"/>
      <c r="R14" s="24"/>
      <c r="S14" s="24"/>
      <c r="T14" s="1023" t="s">
        <v>52</v>
      </c>
      <c r="U14" s="1023"/>
      <c r="V14" s="1023"/>
      <c r="W14" s="1023"/>
      <c r="X14" s="1023"/>
      <c r="Y14" s="181" t="s">
        <v>0</v>
      </c>
      <c r="Z14" s="1026">
        <f>+'EST. MERCADO TERRENOS'!Z14:AD14</f>
        <v>0</v>
      </c>
      <c r="AA14" s="1026"/>
      <c r="AB14" s="1026"/>
      <c r="AC14" s="1026"/>
      <c r="AD14" s="218"/>
    </row>
    <row r="15" spans="1:30" ht="15.75">
      <c r="A15" s="24"/>
      <c r="B15" s="24"/>
      <c r="C15" s="24"/>
      <c r="D15" s="24"/>
      <c r="E15" s="24"/>
      <c r="F15" s="24"/>
      <c r="G15" s="24"/>
      <c r="H15" s="24"/>
      <c r="I15" s="24"/>
      <c r="J15" s="24"/>
      <c r="K15" s="24"/>
      <c r="L15" s="24"/>
      <c r="M15" s="24"/>
      <c r="N15" s="24"/>
      <c r="O15" s="24"/>
      <c r="P15" s="24"/>
      <c r="Q15" s="24"/>
      <c r="R15" s="24"/>
      <c r="S15" s="24"/>
      <c r="T15" s="1023" t="s">
        <v>816</v>
      </c>
      <c r="U15" s="1023"/>
      <c r="V15" s="1023"/>
      <c r="W15" s="1023"/>
      <c r="X15" s="1023"/>
      <c r="Y15" s="181" t="s">
        <v>0</v>
      </c>
      <c r="Z15" s="1026">
        <f>+'EST. MERCADO TERRENOS'!Z15:AD15</f>
        <v>365</v>
      </c>
      <c r="AA15" s="1026"/>
      <c r="AB15" s="1026"/>
      <c r="AC15" s="1026"/>
      <c r="AD15" s="218"/>
    </row>
    <row r="16" spans="1:30" ht="15.75">
      <c r="A16" s="1370" t="s">
        <v>846</v>
      </c>
      <c r="B16" s="1370"/>
      <c r="C16" s="1370"/>
      <c r="D16" s="1370"/>
      <c r="E16" s="1370"/>
      <c r="F16" s="1370"/>
      <c r="G16" s="1370"/>
      <c r="H16" s="1370"/>
      <c r="I16" s="1370"/>
      <c r="J16" s="1370"/>
      <c r="K16" s="1370"/>
      <c r="L16" s="1370"/>
      <c r="M16" s="1370"/>
      <c r="N16" s="1370"/>
      <c r="O16" s="1370"/>
      <c r="P16" s="1370"/>
      <c r="Q16" s="1370"/>
      <c r="R16" s="1370"/>
      <c r="S16" s="1370"/>
      <c r="T16" s="1370"/>
      <c r="U16" s="1370"/>
      <c r="V16" s="1370"/>
      <c r="W16" s="1370"/>
      <c r="X16" s="1370"/>
      <c r="Y16" s="1370"/>
      <c r="Z16" s="1370"/>
      <c r="AA16" s="1370"/>
      <c r="AB16" s="1370"/>
      <c r="AC16" s="1370"/>
      <c r="AD16" s="42"/>
    </row>
    <row r="17" spans="1:30" ht="5.2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spans="1:30" ht="15.75">
      <c r="A18" s="6"/>
      <c r="B18" s="1580" t="s">
        <v>157</v>
      </c>
      <c r="C18" s="1580"/>
      <c r="D18" s="1580"/>
      <c r="E18" s="1580"/>
      <c r="F18" s="1580"/>
      <c r="G18" s="1580"/>
      <c r="H18" s="1580"/>
      <c r="I18" s="1580"/>
      <c r="J18" s="1580"/>
      <c r="K18" s="1580"/>
      <c r="L18" s="1580"/>
      <c r="M18" s="1580"/>
      <c r="N18" s="1580"/>
      <c r="O18" s="1580"/>
      <c r="P18" s="1580"/>
      <c r="Q18" s="1580"/>
      <c r="R18" s="1580"/>
      <c r="S18" s="1580"/>
      <c r="T18" s="1580"/>
      <c r="U18" s="1580"/>
      <c r="V18" s="1580"/>
      <c r="W18" s="1580"/>
      <c r="X18" s="1580"/>
      <c r="Y18" s="1580"/>
      <c r="Z18" s="1580"/>
      <c r="AA18" s="1580"/>
      <c r="AB18" s="1580"/>
      <c r="AC18" s="1580"/>
      <c r="AD18" s="200"/>
    </row>
    <row r="19" spans="1:30" ht="42" customHeight="1">
      <c r="A19" s="4"/>
      <c r="B19" s="1389" t="s">
        <v>77</v>
      </c>
      <c r="C19" s="1389"/>
      <c r="D19" s="1389"/>
      <c r="E19" s="1389"/>
      <c r="F19" s="1389"/>
      <c r="G19" s="1389"/>
      <c r="H19" s="1389" t="s">
        <v>158</v>
      </c>
      <c r="I19" s="1389"/>
      <c r="J19" s="1389"/>
      <c r="K19" s="1389"/>
      <c r="L19" s="1389"/>
      <c r="M19" s="1389" t="s">
        <v>1053</v>
      </c>
      <c r="N19" s="1389"/>
      <c r="O19" s="1389"/>
      <c r="P19" s="1389"/>
      <c r="Q19" s="1389" t="s">
        <v>159</v>
      </c>
      <c r="R19" s="1389"/>
      <c r="S19" s="1389"/>
      <c r="T19" s="1389"/>
      <c r="U19" s="1389" t="s">
        <v>1054</v>
      </c>
      <c r="V19" s="1389"/>
      <c r="W19" s="1389"/>
      <c r="X19" s="1389" t="s">
        <v>1079</v>
      </c>
      <c r="Y19" s="1389"/>
      <c r="Z19" s="1389"/>
      <c r="AA19" s="1389"/>
      <c r="AB19" s="1389"/>
      <c r="AC19" s="1389"/>
      <c r="AD19" s="198"/>
    </row>
    <row r="20" spans="1:30" ht="15.75">
      <c r="A20" s="34">
        <v>1</v>
      </c>
      <c r="B20" s="1573" t="str">
        <f>+'MEM. DESC. II'!B39:G39</f>
        <v>Departamento N°</v>
      </c>
      <c r="C20" s="1573"/>
      <c r="D20" s="1573"/>
      <c r="E20" s="1573"/>
      <c r="F20" s="1573"/>
      <c r="G20" s="1573"/>
      <c r="H20" s="1499">
        <f>+'MEM. DESC. II'!S39</f>
        <v>0</v>
      </c>
      <c r="I20" s="1499"/>
      <c r="J20" s="1499"/>
      <c r="K20" s="1499"/>
      <c r="L20" s="1499"/>
      <c r="M20" s="1579">
        <f>IF(B20=0,"",+'MEM. DESC. II'!O39)</f>
        <v>0</v>
      </c>
      <c r="N20" s="1579"/>
      <c r="O20" s="1579"/>
      <c r="P20" s="1579"/>
      <c r="Q20" s="1577">
        <f>IF(B20=0,"",+'EST. MERCADO TERRENOS'!$X$39)</f>
        <v>0</v>
      </c>
      <c r="R20" s="1578"/>
      <c r="S20" s="1578"/>
      <c r="T20" s="1578"/>
      <c r="U20" s="1377">
        <v>1</v>
      </c>
      <c r="V20" s="1377"/>
      <c r="W20" s="1377"/>
      <c r="X20" s="1377">
        <f>+H20*Q20*U20</f>
        <v>0</v>
      </c>
      <c r="Y20" s="1377"/>
      <c r="Z20" s="1377"/>
      <c r="AA20" s="1377"/>
      <c r="AB20" s="1377"/>
      <c r="AC20" s="1377"/>
      <c r="AD20" s="210"/>
    </row>
    <row r="21" spans="1:30" ht="15.75">
      <c r="A21" s="34">
        <v>2</v>
      </c>
      <c r="B21" s="1573" t="str">
        <f>+'MEM. DESC. II'!B40:G40</f>
        <v>Estacionamiento N°</v>
      </c>
      <c r="C21" s="1573"/>
      <c r="D21" s="1573"/>
      <c r="E21" s="1573"/>
      <c r="F21" s="1573"/>
      <c r="G21" s="1573"/>
      <c r="H21" s="1499">
        <f>+'MEM. DESC. II'!S40</f>
        <v>0</v>
      </c>
      <c r="I21" s="1499"/>
      <c r="J21" s="1499"/>
      <c r="K21" s="1499"/>
      <c r="L21" s="1499"/>
      <c r="M21" s="1579">
        <f>IF(B21=0,"",+'MEM. DESC. II'!O40)</f>
        <v>0</v>
      </c>
      <c r="N21" s="1579"/>
      <c r="O21" s="1579"/>
      <c r="P21" s="1579"/>
      <c r="Q21" s="1577">
        <f>IF(B21=0,"",+'EST. MERCADO TERRENOS'!$X$39)</f>
        <v>0</v>
      </c>
      <c r="R21" s="1578"/>
      <c r="S21" s="1578"/>
      <c r="T21" s="1578"/>
      <c r="U21" s="1377">
        <v>1</v>
      </c>
      <c r="V21" s="1377"/>
      <c r="W21" s="1377"/>
      <c r="X21" s="1377">
        <f t="shared" ref="X21:X22" si="0">+H21*Q21*U21</f>
        <v>0</v>
      </c>
      <c r="Y21" s="1377"/>
      <c r="Z21" s="1377"/>
      <c r="AA21" s="1377"/>
      <c r="AB21" s="1377"/>
      <c r="AC21" s="1377"/>
      <c r="AD21" s="210"/>
    </row>
    <row r="22" spans="1:30" ht="15.75">
      <c r="A22" s="34">
        <v>3</v>
      </c>
      <c r="B22" s="1573" t="str">
        <f>+'MEM. DESC. II'!B41:G41</f>
        <v>Depósito N°</v>
      </c>
      <c r="C22" s="1573"/>
      <c r="D22" s="1573"/>
      <c r="E22" s="1573"/>
      <c r="F22" s="1573"/>
      <c r="G22" s="1573"/>
      <c r="H22" s="1499">
        <f>+'MEM. DESC. II'!S41</f>
        <v>0</v>
      </c>
      <c r="I22" s="1499"/>
      <c r="J22" s="1499"/>
      <c r="K22" s="1499"/>
      <c r="L22" s="1499"/>
      <c r="M22" s="1579">
        <f>IF(B22=0,"",+'MEM. DESC. II'!O41)</f>
        <v>0</v>
      </c>
      <c r="N22" s="1579"/>
      <c r="O22" s="1579"/>
      <c r="P22" s="1579"/>
      <c r="Q22" s="1577">
        <f>IF(B22=0,"",+'EST. MERCADO TERRENOS'!$X$39)</f>
        <v>0</v>
      </c>
      <c r="R22" s="1578"/>
      <c r="S22" s="1578"/>
      <c r="T22" s="1578"/>
      <c r="U22" s="1377">
        <v>1</v>
      </c>
      <c r="V22" s="1377"/>
      <c r="W22" s="1377"/>
      <c r="X22" s="1377">
        <f t="shared" si="0"/>
        <v>0</v>
      </c>
      <c r="Y22" s="1377"/>
      <c r="Z22" s="1377"/>
      <c r="AA22" s="1377"/>
      <c r="AB22" s="1377"/>
      <c r="AC22" s="1377"/>
      <c r="AD22" s="210"/>
    </row>
    <row r="23" spans="1:30" ht="15.75">
      <c r="A23" s="34">
        <v>4</v>
      </c>
      <c r="B23" s="1573">
        <f>+'MEM. DESC. II'!B42:G42</f>
        <v>0</v>
      </c>
      <c r="C23" s="1573"/>
      <c r="D23" s="1573"/>
      <c r="E23" s="1573"/>
      <c r="F23" s="1573"/>
      <c r="G23" s="1573"/>
      <c r="H23" s="1499">
        <f>+'MEM. DESC. II'!S42</f>
        <v>0</v>
      </c>
      <c r="I23" s="1499"/>
      <c r="J23" s="1499"/>
      <c r="K23" s="1499"/>
      <c r="L23" s="1499"/>
      <c r="M23" s="1579" t="str">
        <f>IF(B23=0,"",+'MEM. DESC. II'!O42)</f>
        <v/>
      </c>
      <c r="N23" s="1579"/>
      <c r="O23" s="1579"/>
      <c r="P23" s="1579"/>
      <c r="Q23" s="1577">
        <f>+Q22</f>
        <v>0</v>
      </c>
      <c r="R23" s="1578"/>
      <c r="S23" s="1578"/>
      <c r="T23" s="1578"/>
      <c r="U23" s="1377">
        <v>1</v>
      </c>
      <c r="V23" s="1377"/>
      <c r="W23" s="1377"/>
      <c r="X23" s="1377">
        <f>+H23*Q23*U23</f>
        <v>0</v>
      </c>
      <c r="Y23" s="1377"/>
      <c r="Z23" s="1377"/>
      <c r="AA23" s="1377"/>
      <c r="AB23" s="1377"/>
      <c r="AC23" s="1377"/>
      <c r="AD23" s="210"/>
    </row>
    <row r="24" spans="1:30" ht="15.75">
      <c r="A24" s="34">
        <v>5</v>
      </c>
      <c r="B24" s="1573">
        <f>+'MEM. DESC. II'!B43:G43</f>
        <v>0</v>
      </c>
      <c r="C24" s="1573"/>
      <c r="D24" s="1573"/>
      <c r="E24" s="1573"/>
      <c r="F24" s="1573"/>
      <c r="G24" s="1573"/>
      <c r="H24" s="1499">
        <f>+'MEM. DESC. II'!S43</f>
        <v>0</v>
      </c>
      <c r="I24" s="1499"/>
      <c r="J24" s="1499"/>
      <c r="K24" s="1499"/>
      <c r="L24" s="1499"/>
      <c r="M24" s="1579" t="str">
        <f>IF(B24=0,"",+'MEM. DESC. II'!O43)</f>
        <v/>
      </c>
      <c r="N24" s="1579"/>
      <c r="O24" s="1579"/>
      <c r="P24" s="1579"/>
      <c r="Q24" s="1577">
        <f>+Q23</f>
        <v>0</v>
      </c>
      <c r="R24" s="1578"/>
      <c r="S24" s="1578"/>
      <c r="T24" s="1578"/>
      <c r="U24" s="1377">
        <v>1</v>
      </c>
      <c r="V24" s="1377"/>
      <c r="W24" s="1377"/>
      <c r="X24" s="1377">
        <f t="shared" ref="X24" si="1">+H24*Q24*U24</f>
        <v>0</v>
      </c>
      <c r="Y24" s="1377"/>
      <c r="Z24" s="1377"/>
      <c r="AA24" s="1377"/>
      <c r="AB24" s="1377"/>
      <c r="AC24" s="1377"/>
      <c r="AD24" s="210"/>
    </row>
    <row r="25" spans="1:30" ht="15.75">
      <c r="A25" s="4"/>
      <c r="B25" s="39" t="s">
        <v>160</v>
      </c>
      <c r="C25" s="6"/>
      <c r="D25" s="6"/>
      <c r="E25" s="6"/>
      <c r="F25" s="6"/>
      <c r="G25" s="6"/>
      <c r="H25" s="1387">
        <f>SUM(H20:L24)</f>
        <v>0</v>
      </c>
      <c r="I25" s="1387"/>
      <c r="J25" s="1387"/>
      <c r="K25" s="1387"/>
      <c r="L25" s="1387"/>
      <c r="M25" s="80"/>
      <c r="N25" s="80"/>
      <c r="O25" s="80"/>
      <c r="P25" s="80"/>
      <c r="Q25" s="80"/>
      <c r="R25" s="80"/>
      <c r="S25" s="80"/>
      <c r="T25" s="73"/>
      <c r="U25" s="73"/>
      <c r="V25" s="73"/>
      <c r="W25" s="73"/>
      <c r="X25" s="1387">
        <f>SUM(X20:AC24)</f>
        <v>0</v>
      </c>
      <c r="Y25" s="1387"/>
      <c r="Z25" s="1387"/>
      <c r="AA25" s="1387"/>
      <c r="AB25" s="1387"/>
      <c r="AC25" s="1387"/>
      <c r="AD25" s="201"/>
    </row>
    <row r="26" spans="1:30" ht="9.75" customHeight="1">
      <c r="A26" s="4"/>
      <c r="B26" s="73"/>
      <c r="C26" s="6"/>
      <c r="D26" s="6"/>
      <c r="E26" s="6"/>
      <c r="F26" s="6"/>
      <c r="G26" s="6"/>
      <c r="H26" s="60"/>
      <c r="I26" s="60"/>
      <c r="J26" s="60"/>
      <c r="K26" s="60"/>
      <c r="L26" s="60"/>
      <c r="M26" s="80"/>
      <c r="N26" s="80"/>
      <c r="O26" s="80"/>
      <c r="P26" s="80"/>
      <c r="Q26" s="80"/>
      <c r="R26" s="80"/>
      <c r="S26" s="80"/>
      <c r="T26" s="73"/>
      <c r="U26" s="73"/>
      <c r="V26" s="73"/>
      <c r="W26" s="73"/>
      <c r="X26" s="60"/>
      <c r="Y26" s="60"/>
      <c r="Z26" s="60"/>
      <c r="AA26" s="60"/>
      <c r="AB26" s="60"/>
      <c r="AC26" s="60"/>
      <c r="AD26" s="60"/>
    </row>
    <row r="27" spans="1:30" ht="15.75">
      <c r="A27" s="4"/>
      <c r="B27" s="1212" t="s">
        <v>1055</v>
      </c>
      <c r="C27" s="1212"/>
      <c r="D27" s="1212"/>
      <c r="E27" s="1212"/>
      <c r="F27" s="388" t="s">
        <v>0</v>
      </c>
      <c r="G27" s="1574"/>
      <c r="H27" s="1575"/>
      <c r="I27" s="1575"/>
      <c r="J27" s="1575"/>
      <c r="K27" s="1575"/>
      <c r="L27" s="1575"/>
      <c r="M27" s="1575"/>
      <c r="N27" s="1575"/>
      <c r="O27" s="1575"/>
      <c r="P27" s="1575"/>
      <c r="Q27" s="1575"/>
      <c r="R27" s="1575"/>
      <c r="S27" s="1575"/>
      <c r="T27" s="1575"/>
      <c r="U27" s="1575"/>
      <c r="V27" s="1575"/>
      <c r="W27" s="1575"/>
      <c r="X27" s="1575"/>
      <c r="Y27" s="1575"/>
      <c r="Z27" s="1575"/>
      <c r="AA27" s="1575"/>
      <c r="AB27" s="1575"/>
      <c r="AC27" s="1576"/>
      <c r="AD27" s="211"/>
    </row>
    <row r="28" spans="1:30" ht="5.25" customHeight="1">
      <c r="A28" s="4"/>
      <c r="B28" s="73"/>
      <c r="C28" s="6"/>
      <c r="D28" s="6"/>
      <c r="E28" s="6"/>
      <c r="F28" s="6"/>
      <c r="G28" s="6"/>
      <c r="H28" s="60"/>
      <c r="I28" s="60"/>
      <c r="J28" s="60"/>
      <c r="K28" s="60"/>
      <c r="L28" s="60"/>
      <c r="M28" s="80"/>
      <c r="N28" s="80"/>
      <c r="O28" s="80"/>
      <c r="P28" s="80"/>
      <c r="Q28" s="80"/>
      <c r="R28" s="80"/>
      <c r="S28" s="80"/>
      <c r="T28" s="73"/>
      <c r="U28" s="73"/>
      <c r="V28" s="73"/>
      <c r="W28" s="73"/>
      <c r="X28" s="60"/>
      <c r="Y28" s="60"/>
      <c r="Z28" s="60"/>
      <c r="AA28" s="60"/>
      <c r="AB28" s="60"/>
      <c r="AC28" s="60"/>
      <c r="AD28" s="60"/>
    </row>
    <row r="29" spans="1:30" ht="15.75">
      <c r="A29" s="1370" t="s">
        <v>847</v>
      </c>
      <c r="B29" s="1370"/>
      <c r="C29" s="1370"/>
      <c r="D29" s="1370"/>
      <c r="E29" s="1370"/>
      <c r="F29" s="1370"/>
      <c r="G29" s="1370"/>
      <c r="H29" s="1370"/>
      <c r="I29" s="1370"/>
      <c r="J29" s="1370"/>
      <c r="K29" s="1370"/>
      <c r="L29" s="1370"/>
      <c r="M29" s="1370"/>
      <c r="N29" s="1370"/>
      <c r="O29" s="1370"/>
      <c r="P29" s="1370"/>
      <c r="Q29" s="1370"/>
      <c r="R29" s="1370"/>
      <c r="S29" s="1370"/>
      <c r="T29" s="1370"/>
      <c r="U29" s="1370"/>
      <c r="V29" s="1370"/>
      <c r="W29" s="1370"/>
      <c r="X29" s="1370"/>
      <c r="Y29" s="1370"/>
      <c r="Z29" s="1370"/>
      <c r="AA29" s="1370"/>
      <c r="AB29" s="1370"/>
      <c r="AC29" s="1370"/>
      <c r="AD29" s="42"/>
    </row>
    <row r="30" spans="1:30" ht="6.75" customHeight="1">
      <c r="A30" s="4"/>
      <c r="B30" s="73"/>
      <c r="C30" s="73"/>
      <c r="D30" s="73"/>
      <c r="E30" s="73"/>
      <c r="F30" s="73"/>
      <c r="G30" s="73"/>
      <c r="H30" s="73"/>
      <c r="I30" s="73"/>
      <c r="J30" s="73"/>
      <c r="K30" s="73"/>
      <c r="L30" s="4"/>
      <c r="M30" s="35"/>
      <c r="N30" s="4"/>
      <c r="O30" s="4"/>
      <c r="P30" s="4"/>
      <c r="Q30" s="4"/>
      <c r="R30" s="4"/>
      <c r="S30" s="4"/>
      <c r="T30" s="4"/>
      <c r="U30" s="4"/>
      <c r="V30" s="4"/>
      <c r="W30" s="4"/>
      <c r="X30" s="4"/>
      <c r="Y30" s="4"/>
      <c r="Z30" s="4"/>
      <c r="AA30" s="4"/>
      <c r="AB30" s="4"/>
      <c r="AC30" s="4"/>
      <c r="AD30" s="4"/>
    </row>
    <row r="31" spans="1:30" ht="15.75">
      <c r="A31" s="4"/>
      <c r="B31" s="73"/>
      <c r="C31" s="73"/>
      <c r="D31" s="73"/>
      <c r="E31" s="73"/>
      <c r="F31" s="73"/>
      <c r="G31" s="73"/>
      <c r="H31" s="73"/>
      <c r="I31" s="73"/>
      <c r="J31" s="73"/>
      <c r="K31" s="73"/>
      <c r="L31" s="4"/>
      <c r="M31" s="4"/>
      <c r="N31" s="4"/>
      <c r="O31" s="4"/>
      <c r="P31" s="4"/>
      <c r="Q31" s="4"/>
      <c r="R31" s="4"/>
      <c r="S31" s="4"/>
      <c r="T31" s="4"/>
      <c r="U31" s="4"/>
      <c r="V31" s="4"/>
      <c r="W31" s="1582" t="s">
        <v>161</v>
      </c>
      <c r="X31" s="1582"/>
      <c r="Y31" s="1582"/>
      <c r="Z31" s="1582"/>
      <c r="AA31" s="1582"/>
      <c r="AB31" s="1582"/>
      <c r="AC31" s="1582"/>
      <c r="AD31" s="212"/>
    </row>
    <row r="32" spans="1:30" ht="16.5">
      <c r="A32" s="4"/>
      <c r="B32" s="1583" t="s">
        <v>162</v>
      </c>
      <c r="C32" s="1583"/>
      <c r="D32" s="1583"/>
      <c r="E32" s="1583"/>
      <c r="F32" s="1583"/>
      <c r="G32" s="1583"/>
      <c r="H32" s="1583"/>
      <c r="I32" s="1583"/>
      <c r="J32" s="1583"/>
      <c r="K32" s="1583"/>
      <c r="L32" s="1583"/>
      <c r="M32" s="1583"/>
      <c r="N32" s="1583"/>
      <c r="O32" s="1583"/>
      <c r="P32" s="1583"/>
      <c r="Q32" s="1583"/>
      <c r="R32" s="1583"/>
      <c r="S32" s="1583"/>
      <c r="T32" s="1583"/>
      <c r="U32" s="1583"/>
      <c r="V32" s="1583"/>
      <c r="W32" s="1584" t="s">
        <v>163</v>
      </c>
      <c r="X32" s="1585"/>
      <c r="Y32" s="1585"/>
      <c r="Z32" s="1585"/>
      <c r="AA32" s="1585"/>
      <c r="AB32" s="1585"/>
      <c r="AC32" s="1586"/>
      <c r="AD32"/>
    </row>
    <row r="33" spans="1:41" ht="15.75">
      <c r="A33" s="4"/>
      <c r="B33" s="81"/>
      <c r="C33" s="81"/>
      <c r="D33" s="81"/>
      <c r="E33" s="81"/>
      <c r="F33" s="81"/>
      <c r="G33" s="81"/>
      <c r="H33" s="81"/>
      <c r="I33" s="81"/>
      <c r="J33" s="81"/>
      <c r="K33" s="81"/>
      <c r="L33" s="1562"/>
      <c r="M33" s="1562"/>
      <c r="N33" s="1562"/>
      <c r="O33" s="1562"/>
      <c r="P33" s="1562"/>
      <c r="Q33" s="1562"/>
      <c r="R33" s="1562"/>
      <c r="S33" s="1562"/>
      <c r="T33" s="1562"/>
      <c r="U33" s="4"/>
      <c r="V33" s="4"/>
      <c r="W33" s="4"/>
      <c r="X33" s="4"/>
      <c r="Y33" s="4"/>
      <c r="Z33" s="4"/>
      <c r="AA33" s="4"/>
      <c r="AB33" s="4"/>
      <c r="AC33" s="4"/>
      <c r="AD33" s="4"/>
    </row>
    <row r="34" spans="1:41" ht="33" customHeight="1">
      <c r="A34" s="4"/>
      <c r="B34" s="1386" t="s">
        <v>164</v>
      </c>
      <c r="C34" s="1386"/>
      <c r="D34" s="1386"/>
      <c r="E34" s="1386" t="s">
        <v>165</v>
      </c>
      <c r="F34" s="1386"/>
      <c r="G34" s="1386"/>
      <c r="H34" s="1386"/>
      <c r="I34" s="1386"/>
      <c r="J34" s="1386"/>
      <c r="K34" s="1386"/>
      <c r="L34" s="1389" t="s">
        <v>1258</v>
      </c>
      <c r="M34" s="1386"/>
      <c r="N34" s="1386"/>
      <c r="O34" s="1389" t="s">
        <v>1257</v>
      </c>
      <c r="P34" s="1386"/>
      <c r="Q34" s="1386"/>
      <c r="R34" s="1389" t="s">
        <v>1256</v>
      </c>
      <c r="S34" s="1386"/>
      <c r="T34" s="1386"/>
      <c r="U34" s="1386" t="s">
        <v>169</v>
      </c>
      <c r="V34" s="1386"/>
      <c r="W34" s="1386"/>
      <c r="X34" s="1386" t="s">
        <v>170</v>
      </c>
      <c r="Y34" s="1386"/>
      <c r="Z34" s="1386"/>
      <c r="AA34" s="1386" t="s">
        <v>171</v>
      </c>
      <c r="AB34" s="1386"/>
      <c r="AC34" s="1386"/>
      <c r="AD34" s="54"/>
    </row>
    <row r="35" spans="1:41" ht="15.75">
      <c r="A35" s="4"/>
      <c r="B35" s="1386"/>
      <c r="C35" s="1386"/>
      <c r="D35" s="1386"/>
      <c r="E35" s="1386"/>
      <c r="F35" s="1386"/>
      <c r="G35" s="1386"/>
      <c r="H35" s="1386"/>
      <c r="I35" s="1386"/>
      <c r="J35" s="1386"/>
      <c r="K35" s="1386"/>
      <c r="L35" s="151" t="s">
        <v>172</v>
      </c>
      <c r="M35" s="182" t="s">
        <v>173</v>
      </c>
      <c r="N35" s="182"/>
      <c r="O35" s="151" t="s">
        <v>172</v>
      </c>
      <c r="P35" s="182" t="s">
        <v>173</v>
      </c>
      <c r="Q35" s="182"/>
      <c r="R35" s="151" t="s">
        <v>172</v>
      </c>
      <c r="S35" s="182" t="s">
        <v>173</v>
      </c>
      <c r="T35" s="182"/>
      <c r="U35" s="151" t="s">
        <v>172</v>
      </c>
      <c r="V35" s="182" t="s">
        <v>173</v>
      </c>
      <c r="W35" s="182"/>
      <c r="X35" s="151" t="s">
        <v>172</v>
      </c>
      <c r="Y35" s="182" t="s">
        <v>173</v>
      </c>
      <c r="Z35" s="182"/>
      <c r="AA35" s="151" t="s">
        <v>172</v>
      </c>
      <c r="AB35" s="182" t="s">
        <v>173</v>
      </c>
      <c r="AC35" s="182"/>
      <c r="AD35" s="39"/>
    </row>
    <row r="36" spans="1:41" ht="15.75">
      <c r="A36" s="4"/>
      <c r="B36" s="1587">
        <v>1</v>
      </c>
      <c r="C36" s="1587"/>
      <c r="D36" s="1587"/>
      <c r="E36" s="1588" t="s">
        <v>174</v>
      </c>
      <c r="F36" s="1588"/>
      <c r="G36" s="1588"/>
      <c r="H36" s="1588"/>
      <c r="I36" s="1588"/>
      <c r="J36" s="1588"/>
      <c r="K36" s="1588"/>
      <c r="L36" s="244"/>
      <c r="M36" s="1572"/>
      <c r="N36" s="1572"/>
      <c r="O36" s="244"/>
      <c r="P36" s="1572"/>
      <c r="Q36" s="1572"/>
      <c r="R36" s="96"/>
      <c r="S36" s="1572"/>
      <c r="T36" s="1572"/>
      <c r="U36" s="96"/>
      <c r="V36" s="1581"/>
      <c r="W36" s="1581"/>
      <c r="X36" s="96"/>
      <c r="Y36" s="1581"/>
      <c r="Z36" s="1581"/>
      <c r="AA36" s="96"/>
      <c r="AB36" s="1581"/>
      <c r="AC36" s="1581"/>
      <c r="AD36" s="213"/>
      <c r="AH36" s="1637"/>
      <c r="AI36" s="1637"/>
      <c r="AJ36" s="1637"/>
      <c r="AK36" s="1637"/>
    </row>
    <row r="37" spans="1:41" ht="15.75">
      <c r="A37" s="4"/>
      <c r="B37" s="1587">
        <v>2</v>
      </c>
      <c r="C37" s="1587"/>
      <c r="D37" s="1587"/>
      <c r="E37" s="1588" t="s">
        <v>96</v>
      </c>
      <c r="F37" s="1588"/>
      <c r="G37" s="1588"/>
      <c r="H37" s="1588"/>
      <c r="I37" s="1588"/>
      <c r="J37" s="1588"/>
      <c r="K37" s="1588"/>
      <c r="L37" s="244"/>
      <c r="M37" s="1572"/>
      <c r="N37" s="1572"/>
      <c r="O37" s="244"/>
      <c r="P37" s="1572"/>
      <c r="Q37" s="1572"/>
      <c r="R37" s="96"/>
      <c r="S37" s="1572"/>
      <c r="T37" s="1572"/>
      <c r="U37" s="96"/>
      <c r="V37" s="1581"/>
      <c r="W37" s="1581"/>
      <c r="X37" s="96"/>
      <c r="Y37" s="1581"/>
      <c r="Z37" s="1581"/>
      <c r="AA37" s="96"/>
      <c r="AB37" s="1581"/>
      <c r="AC37" s="1581"/>
      <c r="AD37" s="213"/>
      <c r="AH37" s="1638"/>
      <c r="AI37" s="1638"/>
      <c r="AJ37" s="1638"/>
      <c r="AK37" s="1638"/>
    </row>
    <row r="38" spans="1:41" ht="15.75">
      <c r="A38" s="4"/>
      <c r="B38" s="1587">
        <v>3</v>
      </c>
      <c r="C38" s="1587"/>
      <c r="D38" s="1587"/>
      <c r="E38" s="1588" t="s">
        <v>116</v>
      </c>
      <c r="F38" s="1588"/>
      <c r="G38" s="1588"/>
      <c r="H38" s="1588"/>
      <c r="I38" s="1588"/>
      <c r="J38" s="1588"/>
      <c r="K38" s="1588"/>
      <c r="L38" s="245"/>
      <c r="M38" s="1572"/>
      <c r="N38" s="1572"/>
      <c r="O38" s="245"/>
      <c r="P38" s="1572"/>
      <c r="Q38" s="1572"/>
      <c r="R38" s="96"/>
      <c r="S38" s="1572"/>
      <c r="T38" s="1572"/>
      <c r="U38" s="96"/>
      <c r="V38" s="1581"/>
      <c r="W38" s="1581"/>
      <c r="X38" s="96"/>
      <c r="Y38" s="1581"/>
      <c r="Z38" s="1581"/>
      <c r="AA38" s="96"/>
      <c r="AB38" s="1581"/>
      <c r="AC38" s="1581"/>
      <c r="AD38"/>
      <c r="AH38" s="1638"/>
      <c r="AI38" s="1638"/>
      <c r="AJ38" s="1638"/>
      <c r="AK38" s="1638"/>
    </row>
    <row r="39" spans="1:41" ht="15.75">
      <c r="A39" s="4"/>
      <c r="B39" s="1587">
        <v>4</v>
      </c>
      <c r="C39" s="1587"/>
      <c r="D39" s="1587"/>
      <c r="E39" s="1588" t="s">
        <v>177</v>
      </c>
      <c r="F39" s="1588"/>
      <c r="G39" s="1588"/>
      <c r="H39" s="1588"/>
      <c r="I39" s="1588"/>
      <c r="J39" s="1588"/>
      <c r="K39" s="1588"/>
      <c r="L39" s="244"/>
      <c r="M39" s="1572"/>
      <c r="N39" s="1572"/>
      <c r="O39" s="244"/>
      <c r="P39" s="1572"/>
      <c r="Q39" s="1572"/>
      <c r="R39" s="96"/>
      <c r="S39" s="1572"/>
      <c r="T39" s="1572"/>
      <c r="U39" s="96"/>
      <c r="V39" s="1581"/>
      <c r="W39" s="1581"/>
      <c r="X39" s="96"/>
      <c r="Y39" s="1581"/>
      <c r="Z39" s="1581"/>
      <c r="AA39" s="96"/>
      <c r="AB39" s="1581"/>
      <c r="AC39" s="1581"/>
      <c r="AD39" s="213"/>
      <c r="AH39" s="1638"/>
      <c r="AI39" s="1638"/>
      <c r="AJ39" s="1638"/>
      <c r="AK39" s="1638"/>
    </row>
    <row r="40" spans="1:41" ht="15.75">
      <c r="A40" s="4"/>
      <c r="B40" s="1587">
        <v>5</v>
      </c>
      <c r="C40" s="1587"/>
      <c r="D40" s="1587"/>
      <c r="E40" s="1588" t="s">
        <v>117</v>
      </c>
      <c r="F40" s="1588"/>
      <c r="G40" s="1588"/>
      <c r="H40" s="1588"/>
      <c r="I40" s="1588"/>
      <c r="J40" s="1588"/>
      <c r="K40" s="1588"/>
      <c r="L40" s="244"/>
      <c r="M40" s="1572"/>
      <c r="N40" s="1572"/>
      <c r="O40" s="244"/>
      <c r="P40" s="1572"/>
      <c r="Q40" s="1572"/>
      <c r="R40" s="96"/>
      <c r="S40" s="1572"/>
      <c r="T40" s="1572"/>
      <c r="U40" s="96"/>
      <c r="V40" s="1581"/>
      <c r="W40" s="1581"/>
      <c r="X40" s="96"/>
      <c r="Y40" s="1581"/>
      <c r="Z40" s="1581"/>
      <c r="AA40" s="96"/>
      <c r="AB40" s="1581"/>
      <c r="AC40" s="1581"/>
      <c r="AD40" s="213"/>
      <c r="AH40" s="1638"/>
      <c r="AI40" s="1638"/>
      <c r="AJ40" s="1638"/>
      <c r="AK40" s="1638"/>
    </row>
    <row r="41" spans="1:41" ht="15.75">
      <c r="A41" s="4"/>
      <c r="B41" s="1587">
        <v>6</v>
      </c>
      <c r="C41" s="1587"/>
      <c r="D41" s="1587"/>
      <c r="E41" s="1588" t="s">
        <v>112</v>
      </c>
      <c r="F41" s="1588"/>
      <c r="G41" s="1588"/>
      <c r="H41" s="1588"/>
      <c r="I41" s="1588"/>
      <c r="J41" s="1588"/>
      <c r="K41" s="1588"/>
      <c r="L41" s="244"/>
      <c r="M41" s="1572"/>
      <c r="N41" s="1572"/>
      <c r="O41" s="244"/>
      <c r="P41" s="1572"/>
      <c r="Q41" s="1572"/>
      <c r="R41" s="96"/>
      <c r="S41" s="1572"/>
      <c r="T41" s="1572"/>
      <c r="U41" s="96"/>
      <c r="V41" s="1581"/>
      <c r="W41" s="1581"/>
      <c r="X41" s="96"/>
      <c r="Y41" s="1581"/>
      <c r="Z41" s="1581"/>
      <c r="AA41" s="96"/>
      <c r="AB41" s="1581"/>
      <c r="AC41" s="1581"/>
      <c r="AD41" s="213"/>
      <c r="AH41" s="1638"/>
      <c r="AI41" s="1638"/>
      <c r="AJ41" s="1638"/>
      <c r="AK41" s="1638"/>
    </row>
    <row r="42" spans="1:41" ht="15.75">
      <c r="A42" s="4"/>
      <c r="B42" s="1587">
        <v>7</v>
      </c>
      <c r="C42" s="1587"/>
      <c r="D42" s="1587"/>
      <c r="E42" s="1588" t="s">
        <v>178</v>
      </c>
      <c r="F42" s="1588"/>
      <c r="G42" s="1588"/>
      <c r="H42" s="1588"/>
      <c r="I42" s="1588"/>
      <c r="J42" s="1588"/>
      <c r="K42" s="1588"/>
      <c r="L42" s="244"/>
      <c r="M42" s="1572"/>
      <c r="N42" s="1572"/>
      <c r="O42" s="244"/>
      <c r="P42" s="1572"/>
      <c r="Q42" s="1572"/>
      <c r="R42" s="96"/>
      <c r="S42" s="1572"/>
      <c r="T42" s="1572"/>
      <c r="U42" s="96"/>
      <c r="V42" s="1581"/>
      <c r="W42" s="1581"/>
      <c r="X42" s="96"/>
      <c r="Y42" s="1581"/>
      <c r="Z42" s="1581"/>
      <c r="AA42" s="96"/>
      <c r="AB42" s="1581"/>
      <c r="AC42" s="1581"/>
      <c r="AD42" s="213"/>
      <c r="AH42" s="1638"/>
      <c r="AI42" s="1638"/>
      <c r="AJ42" s="1638"/>
      <c r="AK42" s="1638"/>
    </row>
    <row r="43" spans="1:41" ht="15.75">
      <c r="A43" s="4"/>
      <c r="B43" s="1426" t="s">
        <v>1121</v>
      </c>
      <c r="C43" s="1426"/>
      <c r="D43" s="1426"/>
      <c r="E43" s="1426"/>
      <c r="F43" s="1426"/>
      <c r="G43" s="1426"/>
      <c r="H43" s="1426"/>
      <c r="I43" s="1426"/>
      <c r="J43" s="1"/>
      <c r="K43" s="4"/>
      <c r="L43" s="1592">
        <f>SUM(M36:N42)</f>
        <v>0</v>
      </c>
      <c r="M43" s="1589"/>
      <c r="N43" s="1589"/>
      <c r="O43" s="1589">
        <f>SUM(P36:Q42)</f>
        <v>0</v>
      </c>
      <c r="P43" s="1589"/>
      <c r="Q43" s="1589"/>
      <c r="R43" s="1589">
        <f>SUM(S36:T42)</f>
        <v>0</v>
      </c>
      <c r="S43" s="1589"/>
      <c r="T43" s="1589"/>
      <c r="U43" s="1589">
        <f>SUM(V36:W42)</f>
        <v>0</v>
      </c>
      <c r="V43" s="1589"/>
      <c r="W43" s="1589"/>
      <c r="X43" s="1589">
        <f>SUM(Y36:Z42)</f>
        <v>0</v>
      </c>
      <c r="Y43" s="1589"/>
      <c r="Z43" s="1589"/>
      <c r="AA43" s="1589">
        <f>SUM(AB36:AC42)</f>
        <v>0</v>
      </c>
      <c r="AB43" s="1589"/>
      <c r="AC43" s="1590"/>
      <c r="AD43" s="53"/>
      <c r="AH43" s="1639">
        <f>SUM(AH36:AK42)</f>
        <v>0</v>
      </c>
      <c r="AI43" s="1640"/>
      <c r="AJ43" s="1640"/>
      <c r="AK43" s="1640"/>
    </row>
    <row r="44" spans="1:41" ht="15.75">
      <c r="A44" s="4"/>
      <c r="B44" s="1268" t="s">
        <v>180</v>
      </c>
      <c r="C44" s="1268"/>
      <c r="D44" s="1268"/>
      <c r="E44" s="1268"/>
      <c r="F44" s="97">
        <v>0</v>
      </c>
      <c r="G44" s="1341" t="s">
        <v>181</v>
      </c>
      <c r="H44" s="1341"/>
      <c r="I44" s="1341"/>
      <c r="J44" s="4"/>
      <c r="K44" s="4"/>
      <c r="L44" s="1591"/>
      <c r="M44" s="1591"/>
      <c r="N44" s="1591"/>
      <c r="O44" s="1591"/>
      <c r="P44" s="1591"/>
      <c r="Q44" s="1591"/>
      <c r="R44" s="1591"/>
      <c r="S44" s="1591"/>
      <c r="T44" s="1591"/>
      <c r="U44" s="1591" t="str">
        <f t="shared" ref="U44" si="2">IF(U43=0,"",ROUND($F$44*U43,2))</f>
        <v/>
      </c>
      <c r="V44" s="1591"/>
      <c r="W44" s="1591"/>
      <c r="X44" s="1591" t="str">
        <f t="shared" ref="X44" si="3">IF(X43=0,"",ROUND($F$44*X43,2))</f>
        <v/>
      </c>
      <c r="Y44" s="1591"/>
      <c r="Z44" s="1591"/>
      <c r="AA44" s="1591" t="str">
        <f t="shared" ref="AA44" si="4">IF(AA43=0,"",ROUND($F$44*AA43,2))</f>
        <v/>
      </c>
      <c r="AB44" s="1591"/>
      <c r="AC44" s="1591"/>
      <c r="AD44" s="214"/>
    </row>
    <row r="45" spans="1:41" ht="15.75">
      <c r="A45" s="4"/>
      <c r="B45" s="1268" t="s">
        <v>182</v>
      </c>
      <c r="C45" s="1268"/>
      <c r="D45" s="1268"/>
      <c r="E45" s="1268"/>
      <c r="F45" s="97">
        <v>0</v>
      </c>
      <c r="G45" s="634" t="s">
        <v>183</v>
      </c>
      <c r="H45" s="634"/>
      <c r="I45" s="1595"/>
      <c r="J45" s="1596">
        <f>+'HR-COMÚN TERMINADO'!J104</f>
        <v>3.48</v>
      </c>
      <c r="K45" s="1597"/>
      <c r="L45" s="1591"/>
      <c r="M45" s="1591"/>
      <c r="N45" s="1591"/>
      <c r="O45" s="1591"/>
      <c r="P45" s="1591"/>
      <c r="Q45" s="1591"/>
      <c r="R45" s="1591"/>
      <c r="S45" s="1591"/>
      <c r="T45" s="1591"/>
      <c r="U45" s="1591" t="str">
        <f t="shared" ref="U45" si="5">IF(U43=0,"",ROUND($F$45*U43,2))</f>
        <v/>
      </c>
      <c r="V45" s="1591"/>
      <c r="W45" s="1591"/>
      <c r="X45" s="1591" t="str">
        <f t="shared" ref="X45" si="6">IF(X43=0,"",ROUND($F$45*X43,2))</f>
        <v/>
      </c>
      <c r="Y45" s="1591"/>
      <c r="Z45" s="1591"/>
      <c r="AA45" s="1591" t="str">
        <f t="shared" ref="AA45" si="7">IF(AA43=0,"",ROUND($F$45*AA43,2))</f>
        <v/>
      </c>
      <c r="AB45" s="1591"/>
      <c r="AC45" s="1591"/>
      <c r="AD45" s="214"/>
    </row>
    <row r="46" spans="1:41" ht="15.75">
      <c r="A46" s="4"/>
      <c r="B46" s="1426" t="s">
        <v>184</v>
      </c>
      <c r="C46" s="1426"/>
      <c r="D46" s="1426"/>
      <c r="E46" s="1426"/>
      <c r="F46" s="1426"/>
      <c r="G46" s="1426"/>
      <c r="H46" s="1426"/>
      <c r="I46" s="1426"/>
      <c r="J46" s="82"/>
      <c r="K46" s="82"/>
      <c r="L46" s="1593">
        <f>+L43*$J$45</f>
        <v>0</v>
      </c>
      <c r="M46" s="1594"/>
      <c r="N46" s="1594"/>
      <c r="O46" s="1593">
        <f>+O43*$J$45</f>
        <v>0</v>
      </c>
      <c r="P46" s="1594"/>
      <c r="Q46" s="1594"/>
      <c r="R46" s="1593">
        <f>+R43*$J$45</f>
        <v>0</v>
      </c>
      <c r="S46" s="1594"/>
      <c r="T46" s="1594"/>
      <c r="U46" s="1593">
        <f>+U43*$J$45</f>
        <v>0</v>
      </c>
      <c r="V46" s="1594"/>
      <c r="W46" s="1594"/>
      <c r="X46" s="1593">
        <f>+X43*$J$45</f>
        <v>0</v>
      </c>
      <c r="Y46" s="1594"/>
      <c r="Z46" s="1594"/>
      <c r="AA46" s="1593">
        <f>+AA43*$J$45</f>
        <v>0</v>
      </c>
      <c r="AB46" s="1594"/>
      <c r="AC46" s="1594"/>
      <c r="AD46" s="53"/>
    </row>
    <row r="47" spans="1:41" ht="15.75">
      <c r="A47" s="4"/>
      <c r="B47" s="1426" t="s">
        <v>185</v>
      </c>
      <c r="C47" s="1426"/>
      <c r="D47" s="1426"/>
      <c r="E47" s="1426"/>
      <c r="F47" s="1426"/>
      <c r="G47" s="1426"/>
      <c r="H47" s="1426"/>
      <c r="I47" s="1426"/>
      <c r="J47" s="1426"/>
      <c r="K47" s="1426"/>
      <c r="L47" s="1598">
        <f>L46/$J$45</f>
        <v>0</v>
      </c>
      <c r="M47" s="1599"/>
      <c r="N47" s="1599"/>
      <c r="O47" s="1598">
        <f>O46/$J$45</f>
        <v>0</v>
      </c>
      <c r="P47" s="1599"/>
      <c r="Q47" s="1599"/>
      <c r="R47" s="1598">
        <f>R46/$J$45</f>
        <v>0</v>
      </c>
      <c r="S47" s="1599"/>
      <c r="T47" s="1599"/>
      <c r="U47" s="1598">
        <f>U46/$J$45</f>
        <v>0</v>
      </c>
      <c r="V47" s="1599"/>
      <c r="W47" s="1599"/>
      <c r="X47" s="1598">
        <f>X46/$J$45</f>
        <v>0</v>
      </c>
      <c r="Y47" s="1599"/>
      <c r="Z47" s="1599"/>
      <c r="AA47" s="1598">
        <f>AA46/$J$45</f>
        <v>0</v>
      </c>
      <c r="AB47" s="1599"/>
      <c r="AC47" s="1599"/>
      <c r="AD47" s="53"/>
      <c r="AH47" s="1636">
        <f>+H52*AH43*Y52</f>
        <v>0</v>
      </c>
      <c r="AI47" s="1636"/>
      <c r="AJ47" s="1636"/>
      <c r="AK47" s="1636"/>
      <c r="AL47" s="1636"/>
      <c r="AM47" s="1636"/>
      <c r="AN47" s="1636"/>
      <c r="AO47" t="s">
        <v>1530</v>
      </c>
    </row>
    <row r="48" spans="1:41" ht="15.75">
      <c r="A48" s="4"/>
      <c r="B48" s="1426" t="s">
        <v>1230</v>
      </c>
      <c r="C48" s="1426"/>
      <c r="D48" s="1426"/>
      <c r="E48" s="1426"/>
      <c r="F48" s="1426"/>
      <c r="G48" s="1426"/>
      <c r="H48" s="1426"/>
      <c r="I48" s="1426"/>
      <c r="J48" s="1426"/>
      <c r="K48" s="1426"/>
      <c r="L48" s="95"/>
      <c r="M48" s="95"/>
      <c r="N48" s="95"/>
      <c r="O48" s="95"/>
      <c r="P48" s="95"/>
      <c r="Q48" s="95"/>
      <c r="R48" s="95"/>
      <c r="S48" s="95"/>
      <c r="T48" s="95"/>
      <c r="U48" s="95"/>
      <c r="V48" s="95"/>
      <c r="W48" s="95"/>
      <c r="X48" s="95"/>
      <c r="Y48" s="95"/>
      <c r="Z48" s="95"/>
      <c r="AA48" s="95"/>
      <c r="AB48" s="95"/>
      <c r="AC48" s="95"/>
      <c r="AD48" s="95"/>
    </row>
    <row r="49" spans="1:30" ht="6" customHeight="1">
      <c r="A49" s="4"/>
      <c r="B49" s="26"/>
      <c r="C49" s="26"/>
      <c r="D49" s="26"/>
      <c r="E49" s="26"/>
      <c r="F49" s="26"/>
      <c r="G49" s="26"/>
      <c r="H49" s="26"/>
      <c r="I49" s="26"/>
      <c r="J49" s="26"/>
      <c r="K49" s="26"/>
      <c r="L49" s="95"/>
      <c r="M49" s="95"/>
      <c r="N49" s="95"/>
      <c r="O49" s="95"/>
      <c r="P49" s="95"/>
      <c r="Q49" s="95"/>
      <c r="R49" s="95"/>
      <c r="S49" s="95"/>
      <c r="T49" s="95"/>
      <c r="U49" s="95"/>
      <c r="V49" s="95"/>
      <c r="W49" s="95"/>
      <c r="X49" s="95"/>
      <c r="Y49" s="95"/>
      <c r="Z49" s="95"/>
      <c r="AA49" s="95"/>
      <c r="AB49" s="95"/>
      <c r="AC49" s="95"/>
      <c r="AD49" s="95"/>
    </row>
    <row r="50" spans="1:30" ht="15.75">
      <c r="A50" s="6"/>
      <c r="B50" s="1023" t="s">
        <v>186</v>
      </c>
      <c r="C50" s="1023"/>
      <c r="D50" s="1023"/>
      <c r="E50" s="1023"/>
      <c r="F50" s="1023"/>
      <c r="G50" s="1023"/>
      <c r="H50" s="1023"/>
      <c r="I50" s="1023"/>
      <c r="J50" s="1023"/>
      <c r="K50" s="1023"/>
      <c r="L50" s="1023"/>
      <c r="M50" s="1023"/>
      <c r="N50" s="1023"/>
      <c r="O50" s="1023"/>
      <c r="P50" s="1023"/>
      <c r="Q50" s="1023"/>
      <c r="R50" s="1023"/>
      <c r="S50" s="1023"/>
      <c r="T50" s="1023"/>
      <c r="U50" s="1023"/>
      <c r="V50" s="1023"/>
      <c r="W50" s="1023"/>
      <c r="X50" s="1023"/>
      <c r="Y50" s="1023"/>
      <c r="Z50" s="1023"/>
      <c r="AA50" s="1023"/>
      <c r="AB50" s="1023"/>
      <c r="AC50" s="1023"/>
      <c r="AD50" s="39"/>
    </row>
    <row r="51" spans="1:30" ht="31.5">
      <c r="A51" s="6"/>
      <c r="B51" s="1600" t="s">
        <v>187</v>
      </c>
      <c r="C51" s="1600"/>
      <c r="D51" s="1600"/>
      <c r="E51" s="1600"/>
      <c r="F51" s="1600"/>
      <c r="G51" s="1600"/>
      <c r="H51" s="1600" t="s">
        <v>188</v>
      </c>
      <c r="I51" s="1600"/>
      <c r="J51" s="1600" t="s">
        <v>189</v>
      </c>
      <c r="K51" s="1600"/>
      <c r="L51" s="1600"/>
      <c r="M51" s="1600" t="s">
        <v>190</v>
      </c>
      <c r="N51" s="1600"/>
      <c r="O51" s="1600"/>
      <c r="P51" s="1600" t="s">
        <v>47</v>
      </c>
      <c r="Q51" s="1600"/>
      <c r="R51" s="1600"/>
      <c r="S51" s="1600"/>
      <c r="T51" s="1600" t="s">
        <v>48</v>
      </c>
      <c r="U51" s="1600"/>
      <c r="V51" s="1600" t="s">
        <v>25</v>
      </c>
      <c r="W51" s="1600"/>
      <c r="X51" s="1600"/>
      <c r="Y51" s="99" t="s">
        <v>191</v>
      </c>
      <c r="Z51" s="1600" t="s">
        <v>192</v>
      </c>
      <c r="AA51" s="1600"/>
      <c r="AB51" s="1600"/>
      <c r="AC51" s="1600"/>
      <c r="AD51" s="198"/>
    </row>
    <row r="52" spans="1:30" ht="15.75">
      <c r="A52" s="34">
        <v>1</v>
      </c>
      <c r="B52" s="1608" t="str">
        <f>+'MEM. DESC. II'!B51:G51</f>
        <v>Primer piso</v>
      </c>
      <c r="C52" s="1608"/>
      <c r="D52" s="1608"/>
      <c r="E52" s="1608"/>
      <c r="F52" s="1608"/>
      <c r="G52" s="1608"/>
      <c r="H52" s="1606">
        <f>+'MEM. DESC. II'!K51</f>
        <v>0</v>
      </c>
      <c r="I52" s="1606"/>
      <c r="J52" s="1609">
        <f>+L47</f>
        <v>0</v>
      </c>
      <c r="K52" s="1609"/>
      <c r="L52" s="1609"/>
      <c r="M52" s="1606">
        <f t="shared" ref="M52:M60" si="8">+H52*J52</f>
        <v>0</v>
      </c>
      <c r="N52" s="1606"/>
      <c r="O52" s="1606"/>
      <c r="P52" s="1601">
        <f>+'MEM. DESC. I'!J99</f>
        <v>0</v>
      </c>
      <c r="Q52" s="1601"/>
      <c r="R52" s="1601"/>
      <c r="S52" s="1601"/>
      <c r="T52" s="1607">
        <f>+'MEM. DESC. I'!Q99</f>
        <v>0</v>
      </c>
      <c r="U52" s="1607"/>
      <c r="V52" s="1601">
        <f>+'MEM. DESC. I'!X99</f>
        <v>0</v>
      </c>
      <c r="W52" s="1601"/>
      <c r="X52" s="1601"/>
      <c r="Y52" s="263">
        <v>0.95</v>
      </c>
      <c r="Z52" s="1602">
        <f t="shared" ref="Z52:Z60" si="9">+M52*Y52</f>
        <v>0</v>
      </c>
      <c r="AA52" s="1602"/>
      <c r="AB52" s="1602"/>
      <c r="AC52" s="1602"/>
      <c r="AD52" s="219"/>
    </row>
    <row r="53" spans="1:30" s="24" customFormat="1" ht="15.75">
      <c r="A53" s="34">
        <v>2</v>
      </c>
      <c r="B53" s="1603" t="str">
        <f>+'MEM. DESC. II'!B60</f>
        <v>Estacionamiento N°</v>
      </c>
      <c r="C53" s="1603"/>
      <c r="D53" s="1603"/>
      <c r="E53" s="1603"/>
      <c r="F53" s="1603"/>
      <c r="G53" s="1603"/>
      <c r="H53" s="1604">
        <f>+'MEM. DESC. II'!K60</f>
        <v>0</v>
      </c>
      <c r="I53" s="1604"/>
      <c r="J53" s="1605">
        <f>+O47</f>
        <v>0</v>
      </c>
      <c r="K53" s="1605"/>
      <c r="L53" s="1605"/>
      <c r="M53" s="1606">
        <f t="shared" si="8"/>
        <v>0</v>
      </c>
      <c r="N53" s="1606"/>
      <c r="O53" s="1606"/>
      <c r="P53" s="1601">
        <f>+P52</f>
        <v>0</v>
      </c>
      <c r="Q53" s="1601"/>
      <c r="R53" s="1601"/>
      <c r="S53" s="1601"/>
      <c r="T53" s="1607">
        <f>+T52</f>
        <v>0</v>
      </c>
      <c r="U53" s="1607"/>
      <c r="V53" s="1601">
        <f>+V52</f>
        <v>0</v>
      </c>
      <c r="W53" s="1601"/>
      <c r="X53" s="1601"/>
      <c r="Y53" s="271">
        <f>+Y52</f>
        <v>0.95</v>
      </c>
      <c r="Z53" s="1602">
        <f t="shared" si="9"/>
        <v>0</v>
      </c>
      <c r="AA53" s="1602"/>
      <c r="AB53" s="1602"/>
      <c r="AC53" s="1602"/>
      <c r="AD53" s="219"/>
    </row>
    <row r="54" spans="1:30" ht="15.75">
      <c r="A54" s="34">
        <v>3</v>
      </c>
      <c r="B54" s="1608" t="str">
        <f>+'MEM. DESC. II'!B61</f>
        <v>Depósito N°</v>
      </c>
      <c r="C54" s="1608"/>
      <c r="D54" s="1608"/>
      <c r="E54" s="1608"/>
      <c r="F54" s="1608"/>
      <c r="G54" s="1608"/>
      <c r="H54" s="1604">
        <f>+'MEM. DESC. II'!K61</f>
        <v>0</v>
      </c>
      <c r="I54" s="1604"/>
      <c r="J54" s="1609">
        <f>+R47</f>
        <v>0</v>
      </c>
      <c r="K54" s="1609"/>
      <c r="L54" s="1609"/>
      <c r="M54" s="1606">
        <f t="shared" si="8"/>
        <v>0</v>
      </c>
      <c r="N54" s="1606"/>
      <c r="O54" s="1606"/>
      <c r="P54" s="1601">
        <f>+P53</f>
        <v>0</v>
      </c>
      <c r="Q54" s="1601"/>
      <c r="R54" s="1601"/>
      <c r="S54" s="1601"/>
      <c r="T54" s="1607">
        <f>+T53</f>
        <v>0</v>
      </c>
      <c r="U54" s="1607"/>
      <c r="V54" s="1601">
        <f>+V53</f>
        <v>0</v>
      </c>
      <c r="W54" s="1601"/>
      <c r="X54" s="1601"/>
      <c r="Y54" s="263">
        <f>+Y53</f>
        <v>0.95</v>
      </c>
      <c r="Z54" s="1602">
        <f t="shared" si="9"/>
        <v>0</v>
      </c>
      <c r="AA54" s="1602"/>
      <c r="AB54" s="1602"/>
      <c r="AC54" s="1602"/>
      <c r="AD54" s="219"/>
    </row>
    <row r="55" spans="1:30" s="24" customFormat="1" ht="15.75">
      <c r="A55" s="34">
        <v>4</v>
      </c>
      <c r="B55" s="1603"/>
      <c r="C55" s="1603"/>
      <c r="D55" s="1603"/>
      <c r="E55" s="1603"/>
      <c r="F55" s="1603"/>
      <c r="G55" s="1603"/>
      <c r="H55" s="1604"/>
      <c r="I55" s="1604"/>
      <c r="J55" s="1605"/>
      <c r="K55" s="1605"/>
      <c r="L55" s="1605"/>
      <c r="M55" s="1606">
        <f t="shared" si="8"/>
        <v>0</v>
      </c>
      <c r="N55" s="1606"/>
      <c r="O55" s="1606"/>
      <c r="P55" s="1601">
        <f>+P54</f>
        <v>0</v>
      </c>
      <c r="Q55" s="1601"/>
      <c r="R55" s="1601"/>
      <c r="S55" s="1601"/>
      <c r="T55" s="1607"/>
      <c r="U55" s="1607"/>
      <c r="V55" s="1601"/>
      <c r="W55" s="1601"/>
      <c r="X55" s="1601"/>
      <c r="Y55" s="271">
        <f>+Y54</f>
        <v>0.95</v>
      </c>
      <c r="Z55" s="1602">
        <f t="shared" si="9"/>
        <v>0</v>
      </c>
      <c r="AA55" s="1602"/>
      <c r="AB55" s="1602"/>
      <c r="AC55" s="1602"/>
      <c r="AD55" s="219"/>
    </row>
    <row r="56" spans="1:30" s="24" customFormat="1" ht="15.75">
      <c r="A56" s="34">
        <v>5</v>
      </c>
      <c r="B56" s="1603"/>
      <c r="C56" s="1603"/>
      <c r="D56" s="1603"/>
      <c r="E56" s="1603"/>
      <c r="F56" s="1603"/>
      <c r="G56" s="1603"/>
      <c r="H56" s="1604"/>
      <c r="I56" s="1604"/>
      <c r="J56" s="1605"/>
      <c r="K56" s="1605"/>
      <c r="L56" s="1605"/>
      <c r="M56" s="1606">
        <f t="shared" si="8"/>
        <v>0</v>
      </c>
      <c r="N56" s="1606"/>
      <c r="O56" s="1606"/>
      <c r="P56" s="1601"/>
      <c r="Q56" s="1601"/>
      <c r="R56" s="1601"/>
      <c r="S56" s="1601"/>
      <c r="T56" s="1607"/>
      <c r="U56" s="1607"/>
      <c r="V56" s="1601"/>
      <c r="W56" s="1601"/>
      <c r="X56" s="1601"/>
      <c r="Y56" s="271"/>
      <c r="Z56" s="1602">
        <f t="shared" si="9"/>
        <v>0</v>
      </c>
      <c r="AA56" s="1602"/>
      <c r="AB56" s="1602"/>
      <c r="AC56" s="1602"/>
      <c r="AD56" s="219"/>
    </row>
    <row r="57" spans="1:30" s="24" customFormat="1" ht="15.75">
      <c r="A57" s="34">
        <v>6</v>
      </c>
      <c r="B57" s="1603"/>
      <c r="C57" s="1603"/>
      <c r="D57" s="1603"/>
      <c r="E57" s="1603"/>
      <c r="F57" s="1603"/>
      <c r="G57" s="1603"/>
      <c r="H57" s="1604"/>
      <c r="I57" s="1604"/>
      <c r="J57" s="1605"/>
      <c r="K57" s="1605"/>
      <c r="L57" s="1605"/>
      <c r="M57" s="1606">
        <f t="shared" si="8"/>
        <v>0</v>
      </c>
      <c r="N57" s="1606"/>
      <c r="O57" s="1606"/>
      <c r="P57" s="1601"/>
      <c r="Q57" s="1601"/>
      <c r="R57" s="1601"/>
      <c r="S57" s="1601"/>
      <c r="T57" s="1607"/>
      <c r="U57" s="1607"/>
      <c r="V57" s="1601"/>
      <c r="W57" s="1601"/>
      <c r="X57" s="1601"/>
      <c r="Y57" s="271"/>
      <c r="Z57" s="1602">
        <f t="shared" si="9"/>
        <v>0</v>
      </c>
      <c r="AA57" s="1602"/>
      <c r="AB57" s="1602"/>
      <c r="AC57" s="1602"/>
      <c r="AD57" s="219"/>
    </row>
    <row r="58" spans="1:30" ht="15.75">
      <c r="A58" s="34">
        <v>7</v>
      </c>
      <c r="B58" s="1608">
        <v>0</v>
      </c>
      <c r="C58" s="1608"/>
      <c r="D58" s="1608"/>
      <c r="E58" s="1608"/>
      <c r="F58" s="1608"/>
      <c r="G58" s="1608"/>
      <c r="H58" s="1606">
        <v>0</v>
      </c>
      <c r="I58" s="1606"/>
      <c r="J58" s="1609"/>
      <c r="K58" s="1609"/>
      <c r="L58" s="1609"/>
      <c r="M58" s="1606">
        <f t="shared" si="8"/>
        <v>0</v>
      </c>
      <c r="N58" s="1606"/>
      <c r="O58" s="1606"/>
      <c r="P58" s="1601"/>
      <c r="Q58" s="1601"/>
      <c r="R58" s="1601"/>
      <c r="S58" s="1601"/>
      <c r="T58" s="1607"/>
      <c r="U58" s="1607"/>
      <c r="V58" s="1601"/>
      <c r="W58" s="1601"/>
      <c r="X58" s="1601"/>
      <c r="Y58" s="17"/>
      <c r="Z58" s="1602">
        <f t="shared" si="9"/>
        <v>0</v>
      </c>
      <c r="AA58" s="1602"/>
      <c r="AB58" s="1602"/>
      <c r="AC58" s="1602"/>
      <c r="AD58" s="219"/>
    </row>
    <row r="59" spans="1:30" ht="15.75">
      <c r="A59" s="34">
        <v>8</v>
      </c>
      <c r="B59" s="1608">
        <v>0</v>
      </c>
      <c r="C59" s="1608"/>
      <c r="D59" s="1608"/>
      <c r="E59" s="1608"/>
      <c r="F59" s="1608"/>
      <c r="G59" s="1608"/>
      <c r="H59" s="1606">
        <v>0</v>
      </c>
      <c r="I59" s="1606"/>
      <c r="J59" s="1609"/>
      <c r="K59" s="1609"/>
      <c r="L59" s="1609"/>
      <c r="M59" s="1606">
        <f t="shared" si="8"/>
        <v>0</v>
      </c>
      <c r="N59" s="1606"/>
      <c r="O59" s="1606"/>
      <c r="P59" s="1601"/>
      <c r="Q59" s="1601"/>
      <c r="R59" s="1601"/>
      <c r="S59" s="1601"/>
      <c r="T59" s="1607"/>
      <c r="U59" s="1607"/>
      <c r="V59" s="1601"/>
      <c r="W59" s="1601"/>
      <c r="X59" s="1601"/>
      <c r="Y59" s="17"/>
      <c r="Z59" s="1602">
        <f t="shared" si="9"/>
        <v>0</v>
      </c>
      <c r="AA59" s="1602"/>
      <c r="AB59" s="1602"/>
      <c r="AC59" s="1602"/>
      <c r="AD59" s="219"/>
    </row>
    <row r="60" spans="1:30" ht="15.75">
      <c r="A60" s="34">
        <v>9</v>
      </c>
      <c r="B60" s="1608">
        <v>0</v>
      </c>
      <c r="C60" s="1608"/>
      <c r="D60" s="1608"/>
      <c r="E60" s="1608"/>
      <c r="F60" s="1608"/>
      <c r="G60" s="1608"/>
      <c r="H60" s="1606">
        <v>0</v>
      </c>
      <c r="I60" s="1606"/>
      <c r="J60" s="1609"/>
      <c r="K60" s="1609"/>
      <c r="L60" s="1609"/>
      <c r="M60" s="1606">
        <f t="shared" si="8"/>
        <v>0</v>
      </c>
      <c r="N60" s="1606"/>
      <c r="O60" s="1606"/>
      <c r="P60" s="1601"/>
      <c r="Q60" s="1601"/>
      <c r="R60" s="1601"/>
      <c r="S60" s="1601"/>
      <c r="T60" s="1607"/>
      <c r="U60" s="1607"/>
      <c r="V60" s="1601"/>
      <c r="W60" s="1601"/>
      <c r="X60" s="1601"/>
      <c r="Y60" s="17"/>
      <c r="Z60" s="1602">
        <f t="shared" si="9"/>
        <v>0</v>
      </c>
      <c r="AA60" s="1602"/>
      <c r="AB60" s="1602"/>
      <c r="AC60" s="1602"/>
      <c r="AD60" s="219"/>
    </row>
    <row r="61" spans="1:30" ht="15.75">
      <c r="A61" s="4"/>
      <c r="B61" s="1610" t="s">
        <v>193</v>
      </c>
      <c r="C61" s="1610"/>
      <c r="D61" s="1610"/>
      <c r="E61" s="1610"/>
      <c r="F61" s="1610"/>
      <c r="G61" s="1611"/>
      <c r="H61" s="1612">
        <f>SUM(H52:H60)</f>
        <v>0</v>
      </c>
      <c r="I61" s="1613"/>
      <c r="J61" s="100"/>
      <c r="L61" s="42" t="s">
        <v>66</v>
      </c>
      <c r="M61" s="1612">
        <f>SUM(M52:O60)</f>
        <v>0</v>
      </c>
      <c r="N61" s="1612"/>
      <c r="O61" s="1612"/>
      <c r="P61" s="102"/>
      <c r="Q61" s="1614" t="s">
        <v>194</v>
      </c>
      <c r="R61" s="1614"/>
      <c r="S61" s="1614"/>
      <c r="T61" s="1614"/>
      <c r="U61" s="1614"/>
      <c r="V61" s="1614"/>
      <c r="X61" s="106" t="s">
        <v>66</v>
      </c>
      <c r="Y61" s="1615">
        <f>SUM(Z52:Z60)</f>
        <v>0</v>
      </c>
      <c r="Z61" s="1616"/>
      <c r="AA61" s="1616"/>
      <c r="AB61" s="1616"/>
      <c r="AC61" s="1617"/>
      <c r="AD61" s="104"/>
    </row>
    <row r="62" spans="1:30" s="24" customFormat="1" ht="6.75" customHeight="1">
      <c r="A62" s="4"/>
      <c r="B62" s="34"/>
      <c r="C62" s="34"/>
      <c r="D62" s="34"/>
      <c r="E62" s="34"/>
      <c r="F62" s="34"/>
      <c r="G62" s="34"/>
      <c r="H62" s="53"/>
      <c r="I62" s="42"/>
      <c r="J62" s="100"/>
      <c r="K62" s="101"/>
      <c r="L62" s="100"/>
      <c r="M62" s="53"/>
      <c r="N62" s="53"/>
      <c r="O62" s="53"/>
      <c r="P62" s="102"/>
      <c r="Q62" s="103"/>
      <c r="R62" s="103"/>
      <c r="S62" s="103"/>
      <c r="T62" s="103"/>
      <c r="U62" s="103"/>
      <c r="V62" s="103"/>
      <c r="W62" s="34"/>
      <c r="X62" s="4"/>
      <c r="Y62" s="104"/>
      <c r="Z62" s="104"/>
      <c r="AA62" s="104"/>
      <c r="AB62" s="104"/>
      <c r="AC62" s="104"/>
      <c r="AD62" s="104"/>
    </row>
    <row r="63" spans="1:30" s="24" customFormat="1" ht="15.75">
      <c r="A63" s="1370" t="s">
        <v>935</v>
      </c>
      <c r="B63" s="1370"/>
      <c r="C63" s="1370"/>
      <c r="D63" s="1370"/>
      <c r="E63" s="1370"/>
      <c r="F63" s="1370"/>
      <c r="G63" s="1370"/>
      <c r="H63" s="1370"/>
      <c r="I63" s="1370"/>
      <c r="J63" s="1370"/>
      <c r="K63" s="1370"/>
      <c r="L63" s="1370"/>
      <c r="M63" s="1370"/>
      <c r="N63" s="1370"/>
      <c r="O63" s="1370"/>
      <c r="P63" s="1370"/>
      <c r="Q63" s="1370"/>
      <c r="R63" s="1370"/>
      <c r="S63" s="1370"/>
      <c r="T63" s="1370"/>
      <c r="U63" s="1370"/>
      <c r="V63" s="1370"/>
      <c r="W63" s="1370"/>
      <c r="X63" s="1370"/>
      <c r="Y63" s="1370"/>
      <c r="Z63" s="1370"/>
      <c r="AA63" s="1370"/>
      <c r="AB63" s="1370"/>
      <c r="AC63" s="1370"/>
      <c r="AD63" s="42"/>
    </row>
    <row r="64" spans="1:30" s="24" customFormat="1" ht="6.75" customHeight="1">
      <c r="A64" s="6"/>
      <c r="B64" s="73"/>
      <c r="C64" s="6"/>
      <c r="D64" s="105"/>
      <c r="E64" s="105"/>
      <c r="F64" s="105"/>
      <c r="G64" s="105"/>
      <c r="H64" s="105"/>
      <c r="I64" s="105"/>
      <c r="J64" s="73"/>
      <c r="K64" s="73"/>
      <c r="L64" s="73"/>
      <c r="M64" s="73"/>
      <c r="N64" s="73"/>
      <c r="O64" s="73"/>
      <c r="P64" s="73"/>
      <c r="Q64" s="73"/>
      <c r="R64" s="73"/>
      <c r="S64" s="73"/>
      <c r="T64" s="73"/>
      <c r="U64" s="73"/>
      <c r="V64" s="73"/>
      <c r="W64" s="73"/>
      <c r="X64" s="6"/>
      <c r="Y64" s="6"/>
      <c r="Z64" s="6"/>
      <c r="AA64" s="6"/>
      <c r="AB64" s="6"/>
      <c r="AC64" s="6"/>
      <c r="AD64" s="6"/>
    </row>
    <row r="65" spans="1:30" ht="15.75">
      <c r="A65" s="107"/>
      <c r="B65" s="1623" t="s">
        <v>936</v>
      </c>
      <c r="C65" s="1623"/>
      <c r="D65" s="1623"/>
      <c r="E65" s="1623"/>
      <c r="F65" s="1623"/>
      <c r="G65" s="1623"/>
      <c r="H65" s="1623"/>
      <c r="I65" s="1623"/>
      <c r="J65" s="1623"/>
      <c r="K65" s="1623"/>
      <c r="L65" s="1623"/>
      <c r="M65" s="1623"/>
      <c r="N65" s="1623"/>
      <c r="O65" s="1623"/>
      <c r="P65" s="1623"/>
      <c r="Q65" s="1623"/>
      <c r="R65" s="1623"/>
      <c r="S65" s="1623"/>
      <c r="T65" s="1623"/>
      <c r="U65" s="1623"/>
      <c r="V65" s="1623"/>
      <c r="W65" s="1623"/>
      <c r="X65" s="1623"/>
      <c r="Y65" s="1623"/>
      <c r="Z65" s="1623"/>
      <c r="AA65" s="1623"/>
      <c r="AB65" s="1623"/>
      <c r="AC65" s="1623"/>
      <c r="AD65" s="110"/>
    </row>
    <row r="66" spans="1:30" ht="2.25" customHeight="1">
      <c r="A66" s="107"/>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row>
    <row r="67" spans="1:30" ht="15.75">
      <c r="A67" s="107"/>
      <c r="B67" s="1600" t="s">
        <v>187</v>
      </c>
      <c r="C67" s="1600"/>
      <c r="D67" s="1600"/>
      <c r="E67" s="1600"/>
      <c r="F67" s="1600"/>
      <c r="G67" s="1600"/>
      <c r="H67" s="1624" t="s">
        <v>195</v>
      </c>
      <c r="I67" s="1624"/>
      <c r="J67" s="1624"/>
      <c r="K67" s="1624"/>
      <c r="L67" s="1624"/>
      <c r="M67" s="1600" t="s">
        <v>196</v>
      </c>
      <c r="N67" s="1600"/>
      <c r="O67" s="1600"/>
      <c r="P67" s="1600"/>
      <c r="Q67" s="1600"/>
      <c r="R67" s="1600" t="s">
        <v>197</v>
      </c>
      <c r="S67" s="1600"/>
      <c r="T67" s="1600"/>
      <c r="U67" s="1600"/>
      <c r="V67" s="1600"/>
      <c r="W67" s="1600" t="s">
        <v>191</v>
      </c>
      <c r="X67" s="1600"/>
      <c r="Y67" s="1600" t="s">
        <v>198</v>
      </c>
      <c r="Z67" s="1600"/>
      <c r="AA67" s="1600"/>
      <c r="AB67" s="1600"/>
      <c r="AC67" s="1600"/>
      <c r="AD67" s="198"/>
    </row>
    <row r="68" spans="1:30" ht="15.75">
      <c r="A68" s="107"/>
      <c r="B68" s="1600"/>
      <c r="C68" s="1600"/>
      <c r="D68" s="1600"/>
      <c r="E68" s="1600"/>
      <c r="F68" s="1600"/>
      <c r="G68" s="1600"/>
      <c r="H68" s="1624"/>
      <c r="I68" s="1624"/>
      <c r="J68" s="1624"/>
      <c r="K68" s="1624"/>
      <c r="L68" s="1624"/>
      <c r="M68" s="1600"/>
      <c r="N68" s="1600"/>
      <c r="O68" s="1600"/>
      <c r="P68" s="1600"/>
      <c r="Q68" s="1600"/>
      <c r="R68" s="1600"/>
      <c r="S68" s="1600"/>
      <c r="T68" s="1600"/>
      <c r="U68" s="1600"/>
      <c r="V68" s="1600"/>
      <c r="W68" s="1600"/>
      <c r="X68" s="1600"/>
      <c r="Y68" s="1600"/>
      <c r="Z68" s="1600"/>
      <c r="AA68" s="1600"/>
      <c r="AB68" s="1600"/>
      <c r="AC68" s="1600"/>
      <c r="AD68" s="198"/>
    </row>
    <row r="69" spans="1:30" ht="15.75">
      <c r="A69" s="107"/>
      <c r="B69" s="364" t="str">
        <f>+B20</f>
        <v>Departamento N°</v>
      </c>
      <c r="C69" s="362"/>
      <c r="D69" s="362"/>
      <c r="E69" s="362"/>
      <c r="F69" s="362"/>
      <c r="G69" s="362"/>
      <c r="H69" s="362"/>
      <c r="I69" s="362"/>
      <c r="J69" s="362"/>
      <c r="K69" s="362"/>
      <c r="L69" s="362"/>
      <c r="M69" s="362"/>
      <c r="N69" s="362"/>
      <c r="O69" s="362"/>
      <c r="P69" s="362"/>
      <c r="Q69" s="362"/>
      <c r="R69" s="362"/>
      <c r="S69" s="362"/>
      <c r="T69" s="362"/>
      <c r="U69" s="362"/>
      <c r="V69" s="362"/>
      <c r="W69" s="362"/>
      <c r="X69" s="362"/>
      <c r="Y69" s="362"/>
      <c r="Z69" s="362"/>
      <c r="AA69" s="362"/>
      <c r="AB69" s="362"/>
      <c r="AC69" s="363"/>
      <c r="AD69" s="198"/>
    </row>
    <row r="70" spans="1:30" ht="15.75">
      <c r="A70" s="107"/>
      <c r="B70" s="1618" t="s">
        <v>199</v>
      </c>
      <c r="C70" s="1618"/>
      <c r="D70" s="1618"/>
      <c r="E70" s="1618"/>
      <c r="F70" s="1618"/>
      <c r="G70" s="1618"/>
      <c r="H70" s="1619">
        <v>0.15</v>
      </c>
      <c r="I70" s="1619"/>
      <c r="J70" s="1619"/>
      <c r="K70" s="1619"/>
      <c r="L70" s="1619"/>
      <c r="M70" s="1620" t="e">
        <f>+R70/'MEM. DESC. II'!K51</f>
        <v>#DIV/0!</v>
      </c>
      <c r="N70" s="1620"/>
      <c r="O70" s="1620"/>
      <c r="P70" s="1620"/>
      <c r="Q70" s="1620"/>
      <c r="R70" s="1621">
        <f>ROUND(PorcentajeÁreasComunes*M52,2)</f>
        <v>0</v>
      </c>
      <c r="S70" s="1621"/>
      <c r="T70" s="1621"/>
      <c r="U70" s="1621"/>
      <c r="V70" s="1621"/>
      <c r="W70" s="1605">
        <f>+Y52</f>
        <v>0.95</v>
      </c>
      <c r="X70" s="1605"/>
      <c r="Y70" s="1622">
        <f>+R70*W70</f>
        <v>0</v>
      </c>
      <c r="Z70" s="1622"/>
      <c r="AA70" s="1622"/>
      <c r="AB70" s="1622"/>
      <c r="AC70" s="1622"/>
      <c r="AD70" s="215"/>
    </row>
    <row r="71" spans="1:30" ht="15.75">
      <c r="A71" s="107"/>
      <c r="B71" s="364" t="str">
        <f>+B21</f>
        <v>Estacionamiento N°</v>
      </c>
      <c r="C71" s="362"/>
      <c r="D71" s="362"/>
      <c r="E71" s="362"/>
      <c r="F71" s="362"/>
      <c r="G71" s="362"/>
      <c r="H71" s="362"/>
      <c r="I71" s="362"/>
      <c r="J71" s="362"/>
      <c r="K71" s="362"/>
      <c r="L71" s="362"/>
      <c r="M71" s="362"/>
      <c r="N71" s="362"/>
      <c r="O71" s="362"/>
      <c r="P71" s="362"/>
      <c r="Q71" s="362"/>
      <c r="R71" s="362"/>
      <c r="S71" s="362"/>
      <c r="T71" s="362"/>
      <c r="U71" s="362"/>
      <c r="V71" s="362"/>
      <c r="W71" s="362"/>
      <c r="X71" s="362"/>
      <c r="Y71" s="362"/>
      <c r="Z71" s="362"/>
      <c r="AA71" s="362"/>
      <c r="AB71" s="362"/>
      <c r="AC71" s="363"/>
      <c r="AD71" s="198"/>
    </row>
    <row r="72" spans="1:30" ht="15.75">
      <c r="A72" s="107"/>
      <c r="B72" s="1618" t="s">
        <v>199</v>
      </c>
      <c r="C72" s="1618"/>
      <c r="D72" s="1618"/>
      <c r="E72" s="1618"/>
      <c r="F72" s="1618"/>
      <c r="G72" s="1618"/>
      <c r="H72" s="1619">
        <v>0.15</v>
      </c>
      <c r="I72" s="1619"/>
      <c r="J72" s="1619"/>
      <c r="K72" s="1619"/>
      <c r="L72" s="1619"/>
      <c r="M72" s="1620" t="e">
        <f>+R72/'MEM. DESC. II'!K60</f>
        <v>#DIV/0!</v>
      </c>
      <c r="N72" s="1620"/>
      <c r="O72" s="1620"/>
      <c r="P72" s="1620"/>
      <c r="Q72" s="1620"/>
      <c r="R72" s="1621">
        <f>ROUND(PorcentajeÁreasComunes*M53,2)</f>
        <v>0</v>
      </c>
      <c r="S72" s="1621"/>
      <c r="T72" s="1621"/>
      <c r="U72" s="1621"/>
      <c r="V72" s="1621"/>
      <c r="W72" s="1605">
        <f>+Y54</f>
        <v>0.95</v>
      </c>
      <c r="X72" s="1605"/>
      <c r="Y72" s="1622">
        <f>+R72*W72</f>
        <v>0</v>
      </c>
      <c r="Z72" s="1622"/>
      <c r="AA72" s="1622"/>
      <c r="AB72" s="1622"/>
      <c r="AC72" s="1622"/>
      <c r="AD72" s="215"/>
    </row>
    <row r="73" spans="1:30" ht="15.75">
      <c r="A73" s="107"/>
      <c r="B73" s="364" t="str">
        <f>+B22</f>
        <v>Depósito N°</v>
      </c>
      <c r="C73" s="362"/>
      <c r="D73" s="362"/>
      <c r="E73" s="362"/>
      <c r="F73" s="362"/>
      <c r="G73" s="362"/>
      <c r="H73" s="362"/>
      <c r="I73" s="362"/>
      <c r="J73" s="362"/>
      <c r="K73" s="362"/>
      <c r="L73" s="362"/>
      <c r="M73" s="362"/>
      <c r="N73" s="362"/>
      <c r="O73" s="362"/>
      <c r="P73" s="362"/>
      <c r="Q73" s="362"/>
      <c r="R73" s="362"/>
      <c r="S73" s="362"/>
      <c r="T73" s="362"/>
      <c r="U73" s="362"/>
      <c r="V73" s="362"/>
      <c r="W73" s="362"/>
      <c r="X73" s="362"/>
      <c r="Y73" s="362"/>
      <c r="Z73" s="362"/>
      <c r="AA73" s="362"/>
      <c r="AB73" s="362"/>
      <c r="AC73" s="363"/>
      <c r="AD73" s="198"/>
    </row>
    <row r="74" spans="1:30" ht="15.75">
      <c r="A74" s="107"/>
      <c r="B74" s="1618" t="s">
        <v>199</v>
      </c>
      <c r="C74" s="1618"/>
      <c r="D74" s="1618"/>
      <c r="E74" s="1618"/>
      <c r="F74" s="1618"/>
      <c r="G74" s="1618"/>
      <c r="H74" s="1619">
        <v>0.15</v>
      </c>
      <c r="I74" s="1619"/>
      <c r="J74" s="1619"/>
      <c r="K74" s="1619"/>
      <c r="L74" s="1619"/>
      <c r="M74" s="1620" t="e">
        <f>+R74/'MEM. DESC. II'!K61</f>
        <v>#DIV/0!</v>
      </c>
      <c r="N74" s="1620"/>
      <c r="O74" s="1620"/>
      <c r="P74" s="1620"/>
      <c r="Q74" s="1620"/>
      <c r="R74" s="1621">
        <f>ROUND(PorcentajeÁreasComunes*M54,2)</f>
        <v>0</v>
      </c>
      <c r="S74" s="1621"/>
      <c r="T74" s="1621"/>
      <c r="U74" s="1621"/>
      <c r="V74" s="1621"/>
      <c r="W74" s="1605">
        <f>+W72</f>
        <v>0.95</v>
      </c>
      <c r="X74" s="1605"/>
      <c r="Y74" s="1622">
        <f>+R74*W74</f>
        <v>0</v>
      </c>
      <c r="Z74" s="1622"/>
      <c r="AA74" s="1622"/>
      <c r="AB74" s="1622"/>
      <c r="AC74" s="1622"/>
      <c r="AD74" s="215"/>
    </row>
    <row r="75" spans="1:30" ht="15.75">
      <c r="A75" s="4"/>
      <c r="B75" s="1635" t="s">
        <v>200</v>
      </c>
      <c r="C75" s="1635"/>
      <c r="D75" s="1635"/>
      <c r="E75" s="1635"/>
      <c r="F75" s="1635"/>
      <c r="G75" s="1635"/>
      <c r="H75" s="26"/>
      <c r="I75" s="26"/>
      <c r="J75" s="26"/>
      <c r="K75" s="26"/>
      <c r="L75" s="26"/>
      <c r="M75" s="26"/>
      <c r="N75" s="26"/>
      <c r="O75" s="26"/>
      <c r="Q75" s="34" t="s">
        <v>66</v>
      </c>
      <c r="R75" s="1561">
        <f>+R70+R72+R74</f>
        <v>0</v>
      </c>
      <c r="S75" s="1561"/>
      <c r="T75" s="1561"/>
      <c r="U75" s="1561"/>
      <c r="V75" s="1561"/>
      <c r="X75" s="42" t="s">
        <v>66</v>
      </c>
      <c r="Y75" s="1626">
        <f>+Y70+Y72+Y74</f>
        <v>0</v>
      </c>
      <c r="Z75" s="1626"/>
      <c r="AA75" s="1626"/>
      <c r="AB75" s="1626"/>
      <c r="AC75" s="1626"/>
      <c r="AD75" s="220"/>
    </row>
    <row r="76" spans="1:30" ht="9" customHeight="1">
      <c r="A76" s="4"/>
      <c r="B76" s="26"/>
      <c r="C76" s="26"/>
      <c r="D76" s="26"/>
      <c r="E76" s="26"/>
      <c r="F76" s="26"/>
      <c r="G76" s="26"/>
      <c r="H76" s="26"/>
      <c r="I76" s="26"/>
      <c r="J76" s="26"/>
      <c r="K76" s="26"/>
      <c r="L76" s="26"/>
      <c r="M76" s="26"/>
      <c r="N76" s="26"/>
      <c r="O76" s="26"/>
      <c r="P76" s="26"/>
      <c r="Q76" s="26"/>
      <c r="R76" s="60"/>
      <c r="S76" s="60"/>
      <c r="T76" s="60"/>
      <c r="U76" s="60"/>
      <c r="V76" s="60"/>
      <c r="W76" s="101"/>
      <c r="X76" s="3"/>
      <c r="Y76" s="108"/>
      <c r="Z76" s="108"/>
      <c r="AA76" s="108"/>
      <c r="AB76" s="108"/>
      <c r="AC76" s="108"/>
      <c r="AD76" s="108"/>
    </row>
    <row r="77" spans="1:30" ht="15.75">
      <c r="A77" s="1370" t="s">
        <v>937</v>
      </c>
      <c r="B77" s="1370"/>
      <c r="C77" s="1370"/>
      <c r="D77" s="1370"/>
      <c r="E77" s="1370"/>
      <c r="F77" s="1370"/>
      <c r="G77" s="1370"/>
      <c r="H77" s="1370"/>
      <c r="I77" s="1370"/>
      <c r="J77" s="1370"/>
      <c r="K77" s="1370"/>
      <c r="L77" s="1370"/>
      <c r="M77" s="1370"/>
      <c r="N77" s="1370"/>
      <c r="O77" s="1370"/>
      <c r="P77" s="1370"/>
      <c r="Q77" s="1370"/>
      <c r="R77" s="1370"/>
      <c r="S77" s="1370"/>
      <c r="T77" s="1370"/>
      <c r="U77" s="1370"/>
      <c r="V77" s="1370"/>
      <c r="W77" s="1370"/>
      <c r="X77" s="1370"/>
      <c r="Y77" s="1370"/>
      <c r="Z77" s="1370"/>
      <c r="AA77" s="1370"/>
      <c r="AB77" s="1370"/>
      <c r="AC77" s="1370"/>
      <c r="AD77" s="42"/>
    </row>
    <row r="78" spans="1:30" ht="8.25" customHeight="1">
      <c r="A78" s="6"/>
      <c r="B78" s="73"/>
      <c r="C78" s="73"/>
      <c r="D78" s="73"/>
      <c r="E78" s="73"/>
      <c r="F78" s="73"/>
      <c r="G78" s="73"/>
      <c r="H78" s="73"/>
      <c r="I78" s="73"/>
      <c r="J78" s="73"/>
      <c r="K78" s="73"/>
      <c r="L78" s="73"/>
      <c r="M78" s="73"/>
      <c r="N78" s="73"/>
      <c r="O78" s="73"/>
      <c r="P78" s="73"/>
      <c r="Q78" s="105"/>
      <c r="R78" s="105"/>
      <c r="S78" s="105"/>
      <c r="T78" s="105"/>
      <c r="U78" s="105"/>
      <c r="V78" s="105"/>
      <c r="W78" s="105"/>
      <c r="X78" s="105"/>
      <c r="Y78" s="105"/>
      <c r="Z78" s="105"/>
      <c r="AA78" s="105"/>
      <c r="AB78" s="105"/>
      <c r="AC78" s="105"/>
      <c r="AD78" s="105"/>
    </row>
    <row r="79" spans="1:30" ht="15.75" customHeight="1">
      <c r="A79" s="107"/>
      <c r="B79" s="1389" t="s">
        <v>187</v>
      </c>
      <c r="C79" s="1389"/>
      <c r="D79" s="1389"/>
      <c r="E79" s="1389"/>
      <c r="F79" s="1389"/>
      <c r="G79" s="1386" t="s">
        <v>201</v>
      </c>
      <c r="H79" s="1386"/>
      <c r="I79" s="1386"/>
      <c r="J79" s="1389" t="s">
        <v>938</v>
      </c>
      <c r="K79" s="1389"/>
      <c r="L79" s="1389" t="s">
        <v>939</v>
      </c>
      <c r="M79" s="1389"/>
      <c r="N79" s="1389"/>
      <c r="O79" s="1389" t="s">
        <v>202</v>
      </c>
      <c r="P79" s="1389"/>
      <c r="Q79" s="1389"/>
      <c r="R79" s="1389" t="s">
        <v>48</v>
      </c>
      <c r="S79" s="1389"/>
      <c r="T79" s="1389" t="s">
        <v>25</v>
      </c>
      <c r="U79" s="1389"/>
      <c r="V79" s="1389"/>
      <c r="W79" s="1389" t="s">
        <v>191</v>
      </c>
      <c r="X79" s="1389"/>
      <c r="Y79" s="1389" t="s">
        <v>203</v>
      </c>
      <c r="Z79" s="1389"/>
      <c r="AA79" s="1389"/>
      <c r="AB79" s="1389"/>
      <c r="AC79" s="1389"/>
      <c r="AD79" s="198"/>
    </row>
    <row r="80" spans="1:30" ht="29.25" customHeight="1">
      <c r="A80" s="107"/>
      <c r="B80" s="1389"/>
      <c r="C80" s="1389"/>
      <c r="D80" s="1389"/>
      <c r="E80" s="1389"/>
      <c r="F80" s="1389"/>
      <c r="G80" s="1386"/>
      <c r="H80" s="1386"/>
      <c r="I80" s="1386"/>
      <c r="J80" s="1389"/>
      <c r="K80" s="1389"/>
      <c r="L80" s="1389"/>
      <c r="M80" s="1389"/>
      <c r="N80" s="1389"/>
      <c r="O80" s="1389"/>
      <c r="P80" s="1389"/>
      <c r="Q80" s="1389"/>
      <c r="R80" s="1389"/>
      <c r="S80" s="1389"/>
      <c r="T80" s="1389"/>
      <c r="U80" s="1389"/>
      <c r="V80" s="1389"/>
      <c r="W80" s="1389"/>
      <c r="X80" s="1389"/>
      <c r="Y80" s="1389"/>
      <c r="Z80" s="1389"/>
      <c r="AA80" s="1389"/>
      <c r="AB80" s="1389"/>
      <c r="AC80" s="1389"/>
      <c r="AD80" s="198"/>
    </row>
    <row r="81" spans="1:30" ht="15.75">
      <c r="A81" s="34">
        <v>1</v>
      </c>
      <c r="B81" s="1372">
        <f>+'MEM. DESC. II'!B69</f>
        <v>0</v>
      </c>
      <c r="C81" s="1372"/>
      <c r="D81" s="1372"/>
      <c r="E81" s="1372"/>
      <c r="F81" s="1372"/>
      <c r="G81" s="1634">
        <f>+'MEM. DESC. II'!K69</f>
        <v>0</v>
      </c>
      <c r="H81" s="1634"/>
      <c r="I81" s="1634"/>
      <c r="J81" s="1326" t="str">
        <f>+'MEM. DESC. II'!H69</f>
        <v>m3</v>
      </c>
      <c r="K81" s="1326"/>
      <c r="L81" s="1625"/>
      <c r="M81" s="1625"/>
      <c r="N81" s="1625"/>
      <c r="O81" s="1499">
        <f>+G81*L81</f>
        <v>0</v>
      </c>
      <c r="P81" s="1499"/>
      <c r="Q81" s="1499"/>
      <c r="R81" s="1376">
        <f>+T52</f>
        <v>0</v>
      </c>
      <c r="S81" s="1376"/>
      <c r="T81" s="1601">
        <f>+V52</f>
        <v>0</v>
      </c>
      <c r="U81" s="1601"/>
      <c r="V81" s="1601"/>
      <c r="W81" s="1499">
        <f>+Y52</f>
        <v>0.95</v>
      </c>
      <c r="X81" s="1499"/>
      <c r="Y81" s="1377">
        <f>+O81*W81</f>
        <v>0</v>
      </c>
      <c r="Z81" s="1377"/>
      <c r="AA81" s="1377"/>
      <c r="AB81" s="1377"/>
      <c r="AC81" s="1377"/>
      <c r="AD81" s="216"/>
    </row>
    <row r="82" spans="1:30" ht="15.75">
      <c r="A82" s="34">
        <v>2</v>
      </c>
      <c r="B82" s="1372">
        <f>+'MEM. DESC. II'!B70</f>
        <v>0</v>
      </c>
      <c r="C82" s="1372"/>
      <c r="D82" s="1372"/>
      <c r="E82" s="1372"/>
      <c r="F82" s="1372"/>
      <c r="G82" s="1634">
        <f>+'MEM. DESC. II'!K70</f>
        <v>0</v>
      </c>
      <c r="H82" s="1634"/>
      <c r="I82" s="1634"/>
      <c r="J82" s="1326" t="str">
        <f>+'MEM. DESC. II'!H70</f>
        <v>m2</v>
      </c>
      <c r="K82" s="1326"/>
      <c r="L82" s="1625"/>
      <c r="M82" s="1625"/>
      <c r="N82" s="1625"/>
      <c r="O82" s="1499">
        <f t="shared" ref="O82:O84" si="10">+G82*L82</f>
        <v>0</v>
      </c>
      <c r="P82" s="1499"/>
      <c r="Q82" s="1499"/>
      <c r="R82" s="1376">
        <f>+R81</f>
        <v>0</v>
      </c>
      <c r="S82" s="1376"/>
      <c r="T82" s="1601">
        <f>+T81</f>
        <v>0</v>
      </c>
      <c r="U82" s="1601"/>
      <c r="V82" s="1601"/>
      <c r="W82" s="1499">
        <f>+W81</f>
        <v>0.95</v>
      </c>
      <c r="X82" s="1499"/>
      <c r="Y82" s="1377">
        <f t="shared" ref="Y82:Y84" si="11">+O82*W82</f>
        <v>0</v>
      </c>
      <c r="Z82" s="1377"/>
      <c r="AA82" s="1377"/>
      <c r="AB82" s="1377"/>
      <c r="AC82" s="1377"/>
      <c r="AD82" s="216"/>
    </row>
    <row r="83" spans="1:30" ht="15.75">
      <c r="A83" s="34">
        <v>3</v>
      </c>
      <c r="B83" s="1372">
        <f>+'MEM. DESC. II'!B71</f>
        <v>0</v>
      </c>
      <c r="C83" s="1372"/>
      <c r="D83" s="1372"/>
      <c r="E83" s="1372"/>
      <c r="F83" s="1372"/>
      <c r="G83" s="1634">
        <f>+'MEM. DESC. II'!K71</f>
        <v>0</v>
      </c>
      <c r="H83" s="1634"/>
      <c r="I83" s="1634"/>
      <c r="J83" s="1326" t="str">
        <f>+'MEM. DESC. II'!H71</f>
        <v>Und</v>
      </c>
      <c r="K83" s="1326"/>
      <c r="L83" s="1379"/>
      <c r="M83" s="1379"/>
      <c r="N83" s="1379"/>
      <c r="O83" s="1499">
        <f t="shared" si="10"/>
        <v>0</v>
      </c>
      <c r="P83" s="1499"/>
      <c r="Q83" s="1499"/>
      <c r="R83" s="1376">
        <f>+R82</f>
        <v>0</v>
      </c>
      <c r="S83" s="1376"/>
      <c r="T83" s="1601">
        <f>+T82</f>
        <v>0</v>
      </c>
      <c r="U83" s="1601"/>
      <c r="V83" s="1601"/>
      <c r="W83" s="1499">
        <f>+W82</f>
        <v>0.95</v>
      </c>
      <c r="X83" s="1499"/>
      <c r="Y83" s="1377">
        <f t="shared" si="11"/>
        <v>0</v>
      </c>
      <c r="Z83" s="1377"/>
      <c r="AA83" s="1377"/>
      <c r="AB83" s="1377"/>
      <c r="AC83" s="1377"/>
      <c r="AD83" s="216"/>
    </row>
    <row r="84" spans="1:30" ht="15.75">
      <c r="A84" s="34">
        <v>4</v>
      </c>
      <c r="B84" s="1372">
        <f>+'MEM. DESC. II'!B72</f>
        <v>0</v>
      </c>
      <c r="C84" s="1372"/>
      <c r="D84" s="1372"/>
      <c r="E84" s="1372"/>
      <c r="F84" s="1372"/>
      <c r="G84" s="1634">
        <f>+'MEM. DESC. II'!K72</f>
        <v>0</v>
      </c>
      <c r="H84" s="1634"/>
      <c r="I84" s="1634"/>
      <c r="J84" s="1326" t="str">
        <f>+'MEM. DESC. II'!H72</f>
        <v>m2</v>
      </c>
      <c r="K84" s="1326"/>
      <c r="L84" s="1379"/>
      <c r="M84" s="1379"/>
      <c r="N84" s="1379"/>
      <c r="O84" s="1499">
        <f t="shared" si="10"/>
        <v>0</v>
      </c>
      <c r="P84" s="1499"/>
      <c r="Q84" s="1499"/>
      <c r="R84" s="1376">
        <f>+R83</f>
        <v>0</v>
      </c>
      <c r="S84" s="1376"/>
      <c r="T84" s="1601">
        <f>+T83</f>
        <v>0</v>
      </c>
      <c r="U84" s="1601"/>
      <c r="V84" s="1601"/>
      <c r="W84" s="1499">
        <f>+W83</f>
        <v>0.95</v>
      </c>
      <c r="X84" s="1499"/>
      <c r="Y84" s="1377">
        <f t="shared" si="11"/>
        <v>0</v>
      </c>
      <c r="Z84" s="1377"/>
      <c r="AA84" s="1377"/>
      <c r="AB84" s="1377"/>
      <c r="AC84" s="1377"/>
      <c r="AD84" s="216"/>
    </row>
    <row r="85" spans="1:30" ht="15.75">
      <c r="A85" s="107"/>
      <c r="B85" s="679" t="s">
        <v>204</v>
      </c>
      <c r="C85" s="679"/>
      <c r="D85" s="679"/>
      <c r="E85" s="679"/>
      <c r="F85" s="679"/>
      <c r="G85" s="679"/>
      <c r="H85" s="679"/>
      <c r="I85" s="679"/>
      <c r="J85" s="679"/>
      <c r="K85" s="679"/>
      <c r="L85" s="679"/>
      <c r="M85" s="34"/>
      <c r="N85" s="34" t="s">
        <v>66</v>
      </c>
      <c r="O85" s="1633">
        <f>SUM(O81:Q84)</f>
        <v>0</v>
      </c>
      <c r="P85" s="1587"/>
      <c r="Q85" s="1587"/>
      <c r="R85" s="1631"/>
      <c r="S85" s="1631"/>
      <c r="T85" s="1631"/>
      <c r="U85" s="1631"/>
      <c r="V85" s="1631"/>
      <c r="W85" s="109"/>
      <c r="X85" s="34" t="s">
        <v>66</v>
      </c>
      <c r="Y85" s="1569">
        <f>SUM(Y81:AC84)</f>
        <v>0</v>
      </c>
      <c r="Z85" s="1569"/>
      <c r="AA85" s="1569"/>
      <c r="AB85" s="1569"/>
      <c r="AC85" s="1569"/>
      <c r="AD85" s="220"/>
    </row>
    <row r="86" spans="1:30" s="1" customFormat="1" ht="15.75">
      <c r="A86" s="253"/>
      <c r="B86" s="254" t="str">
        <f>+B52</f>
        <v>Primer piso</v>
      </c>
      <c r="C86" s="255"/>
      <c r="D86" s="255"/>
      <c r="E86" s="255"/>
      <c r="F86" s="255"/>
      <c r="G86" s="255"/>
      <c r="H86" s="255"/>
      <c r="I86" s="255"/>
      <c r="J86" s="255"/>
      <c r="K86" s="255"/>
      <c r="L86" s="255"/>
      <c r="M86" s="255"/>
      <c r="N86" s="255"/>
      <c r="O86" s="255"/>
      <c r="P86" s="255"/>
      <c r="Q86" s="255"/>
      <c r="R86" s="255"/>
      <c r="S86" s="255"/>
      <c r="T86" s="255"/>
      <c r="U86" s="255"/>
      <c r="V86" s="255"/>
      <c r="W86" s="255"/>
      <c r="X86" s="255"/>
      <c r="Y86" s="255"/>
      <c r="Z86" s="255"/>
      <c r="AA86" s="255"/>
      <c r="AB86" s="255"/>
      <c r="AC86" s="256"/>
    </row>
    <row r="87" spans="1:30" s="239" customFormat="1" ht="15" customHeight="1">
      <c r="A87" s="389"/>
      <c r="B87" s="1563" t="s">
        <v>1115</v>
      </c>
      <c r="C87" s="1563"/>
      <c r="D87" s="1563"/>
      <c r="E87" s="1563"/>
      <c r="F87" s="1563"/>
      <c r="G87" s="1563"/>
      <c r="H87" s="1563"/>
      <c r="I87" s="1563"/>
      <c r="J87" s="1563"/>
      <c r="K87" s="1563"/>
      <c r="L87" s="1563"/>
      <c r="M87" s="1564"/>
      <c r="N87" s="1564"/>
      <c r="O87" s="1564"/>
      <c r="P87" s="1564"/>
      <c r="Q87" s="1564"/>
      <c r="R87" s="1565"/>
      <c r="S87" s="1565"/>
      <c r="T87" s="1565"/>
      <c r="U87" s="1565"/>
      <c r="V87" s="1565"/>
      <c r="W87" s="1564"/>
      <c r="X87" s="1564"/>
      <c r="Y87" s="1566">
        <f>+M20</f>
        <v>0</v>
      </c>
      <c r="Z87" s="1567"/>
      <c r="AA87" s="1567"/>
      <c r="AB87" s="1567"/>
      <c r="AC87" s="1568"/>
    </row>
    <row r="88" spans="1:30" s="1" customFormat="1" ht="16.5">
      <c r="A88" s="253"/>
      <c r="B88" s="257" t="s">
        <v>1116</v>
      </c>
      <c r="C88" s="257"/>
      <c r="D88" s="257"/>
      <c r="E88" s="257"/>
      <c r="F88" s="257"/>
      <c r="G88" s="257"/>
      <c r="H88" s="257"/>
      <c r="I88" s="257"/>
      <c r="J88" s="257" t="str">
        <f>+B86</f>
        <v>Primer piso</v>
      </c>
      <c r="K88" s="257"/>
      <c r="L88" s="361"/>
      <c r="M88" s="259"/>
      <c r="N88" s="258"/>
      <c r="O88" s="259"/>
      <c r="P88" s="259"/>
      <c r="Q88" s="260"/>
      <c r="R88" s="1569">
        <f>+$O$85*Y87</f>
        <v>0</v>
      </c>
      <c r="S88" s="1569"/>
      <c r="T88" s="1569"/>
      <c r="U88" s="1569"/>
      <c r="V88" s="1569"/>
      <c r="W88" s="1570" t="s">
        <v>66</v>
      </c>
      <c r="X88" s="1571"/>
      <c r="Y88" s="1569">
        <f>+$Y$85*Y87</f>
        <v>0</v>
      </c>
      <c r="Z88" s="1569"/>
      <c r="AA88" s="1569"/>
      <c r="AB88" s="1569"/>
      <c r="AC88" s="1569"/>
    </row>
    <row r="89" spans="1:30" s="1" customFormat="1" ht="21" customHeight="1">
      <c r="A89" s="253"/>
      <c r="B89" s="254" t="str">
        <f>+B21</f>
        <v>Estacionamiento N°</v>
      </c>
      <c r="C89" s="255"/>
      <c r="D89" s="255"/>
      <c r="E89" s="255"/>
      <c r="F89" s="255"/>
      <c r="G89" s="255"/>
      <c r="H89" s="255"/>
      <c r="I89" s="255"/>
      <c r="J89" s="255"/>
      <c r="K89" s="255"/>
      <c r="L89" s="255"/>
      <c r="M89" s="255"/>
      <c r="N89" s="255"/>
      <c r="O89" s="255"/>
      <c r="P89" s="255"/>
      <c r="Q89" s="255"/>
      <c r="R89" s="255"/>
      <c r="S89" s="255"/>
      <c r="T89" s="255"/>
      <c r="U89" s="255"/>
      <c r="V89" s="255"/>
      <c r="W89" s="255"/>
      <c r="X89" s="255"/>
      <c r="Y89" s="255"/>
      <c r="Z89" s="255"/>
      <c r="AA89" s="255"/>
      <c r="AB89" s="255"/>
      <c r="AC89" s="256"/>
    </row>
    <row r="90" spans="1:30" s="239" customFormat="1" ht="15.75">
      <c r="A90" s="389"/>
      <c r="B90" s="1563" t="s">
        <v>1228</v>
      </c>
      <c r="C90" s="1563"/>
      <c r="D90" s="1563"/>
      <c r="E90" s="1563"/>
      <c r="F90" s="1563"/>
      <c r="G90" s="1563"/>
      <c r="H90" s="1563"/>
      <c r="I90" s="1563"/>
      <c r="J90" s="1563"/>
      <c r="K90" s="1563"/>
      <c r="L90" s="1563"/>
      <c r="M90" s="1564"/>
      <c r="N90" s="1564"/>
      <c r="O90" s="1564"/>
      <c r="P90" s="1564"/>
      <c r="Q90" s="1564"/>
      <c r="R90" s="1565"/>
      <c r="S90" s="1565"/>
      <c r="T90" s="1565"/>
      <c r="U90" s="1565"/>
      <c r="V90" s="1565"/>
      <c r="W90" s="1564"/>
      <c r="X90" s="1564"/>
      <c r="Y90" s="1566">
        <f>+M21</f>
        <v>0</v>
      </c>
      <c r="Z90" s="1567"/>
      <c r="AA90" s="1567"/>
      <c r="AB90" s="1567"/>
      <c r="AC90" s="1568"/>
    </row>
    <row r="91" spans="1:30" s="1" customFormat="1" ht="16.5">
      <c r="A91" s="253"/>
      <c r="B91" s="257" t="s">
        <v>1116</v>
      </c>
      <c r="C91" s="257"/>
      <c r="D91" s="257"/>
      <c r="E91" s="257"/>
      <c r="F91" s="257"/>
      <c r="G91" s="257"/>
      <c r="H91" s="257"/>
      <c r="I91" s="257"/>
      <c r="J91" s="257" t="str">
        <f>+B89</f>
        <v>Estacionamiento N°</v>
      </c>
      <c r="K91" s="257"/>
      <c r="L91" s="361"/>
      <c r="M91" s="259"/>
      <c r="N91" s="258"/>
      <c r="O91" s="259"/>
      <c r="P91" s="259"/>
      <c r="Q91" s="260"/>
      <c r="R91" s="1569">
        <f>+$O$85*Y90</f>
        <v>0</v>
      </c>
      <c r="S91" s="1569"/>
      <c r="T91" s="1569"/>
      <c r="U91" s="1569"/>
      <c r="V91" s="1569"/>
      <c r="W91" s="1570" t="s">
        <v>66</v>
      </c>
      <c r="X91" s="1571"/>
      <c r="Y91" s="1569">
        <f>+$Y$85*Y90</f>
        <v>0</v>
      </c>
      <c r="Z91" s="1569"/>
      <c r="AA91" s="1569"/>
      <c r="AB91" s="1569"/>
      <c r="AC91" s="1569"/>
    </row>
    <row r="92" spans="1:30" s="1" customFormat="1" ht="21" customHeight="1">
      <c r="A92" s="253"/>
      <c r="B92" s="254" t="str">
        <f>+B22</f>
        <v>Depósito N°</v>
      </c>
      <c r="C92" s="255"/>
      <c r="D92" s="255"/>
      <c r="E92" s="255"/>
      <c r="F92" s="255"/>
      <c r="G92" s="255"/>
      <c r="H92" s="255"/>
      <c r="I92" s="255"/>
      <c r="J92" s="255"/>
      <c r="K92" s="255"/>
      <c r="L92" s="255"/>
      <c r="M92" s="255"/>
      <c r="N92" s="255"/>
      <c r="O92" s="255"/>
      <c r="P92" s="255"/>
      <c r="Q92" s="255"/>
      <c r="R92" s="255"/>
      <c r="S92" s="255"/>
      <c r="T92" s="255"/>
      <c r="U92" s="255"/>
      <c r="V92" s="255"/>
      <c r="W92" s="255"/>
      <c r="X92" s="255"/>
      <c r="Y92" s="255"/>
      <c r="Z92" s="255"/>
      <c r="AA92" s="255"/>
      <c r="AB92" s="255"/>
      <c r="AC92" s="256"/>
    </row>
    <row r="93" spans="1:30" s="239" customFormat="1" ht="15" customHeight="1">
      <c r="A93" s="389"/>
      <c r="B93" s="1563" t="s">
        <v>1229</v>
      </c>
      <c r="C93" s="1563"/>
      <c r="D93" s="1563"/>
      <c r="E93" s="1563"/>
      <c r="F93" s="1563"/>
      <c r="G93" s="1563"/>
      <c r="H93" s="1563"/>
      <c r="I93" s="1563"/>
      <c r="J93" s="1563"/>
      <c r="K93" s="1563"/>
      <c r="L93" s="1563"/>
      <c r="M93" s="1564"/>
      <c r="N93" s="1564"/>
      <c r="O93" s="1564"/>
      <c r="P93" s="1564"/>
      <c r="Q93" s="1564"/>
      <c r="R93" s="1565"/>
      <c r="S93" s="1565"/>
      <c r="T93" s="1565"/>
      <c r="U93" s="1565"/>
      <c r="V93" s="1565"/>
      <c r="W93" s="1564"/>
      <c r="X93" s="1564"/>
      <c r="Y93" s="1566">
        <f>+M22</f>
        <v>0</v>
      </c>
      <c r="Z93" s="1567"/>
      <c r="AA93" s="1567"/>
      <c r="AB93" s="1567"/>
      <c r="AC93" s="1568"/>
    </row>
    <row r="94" spans="1:30" s="1" customFormat="1" ht="16.5">
      <c r="A94" s="253"/>
      <c r="B94" s="257" t="s">
        <v>1116</v>
      </c>
      <c r="C94" s="257"/>
      <c r="D94" s="257"/>
      <c r="E94" s="257"/>
      <c r="F94" s="257"/>
      <c r="G94" s="257"/>
      <c r="H94" s="257"/>
      <c r="I94" s="257"/>
      <c r="J94" s="264" t="str">
        <f>+B92</f>
        <v>Depósito N°</v>
      </c>
      <c r="K94" s="257"/>
      <c r="L94" s="361"/>
      <c r="M94" s="259"/>
      <c r="N94" s="258"/>
      <c r="O94" s="259"/>
      <c r="P94" s="259"/>
      <c r="Q94" s="260"/>
      <c r="R94" s="1569">
        <f>+$O$85*Y93</f>
        <v>0</v>
      </c>
      <c r="S94" s="1569"/>
      <c r="T94" s="1569"/>
      <c r="U94" s="1569"/>
      <c r="V94" s="1569"/>
      <c r="W94" s="1570" t="s">
        <v>66</v>
      </c>
      <c r="X94" s="1571"/>
      <c r="Y94" s="1569">
        <f>+$Y$85*Y93</f>
        <v>0</v>
      </c>
      <c r="Z94" s="1569"/>
      <c r="AA94" s="1569"/>
      <c r="AB94" s="1569"/>
      <c r="AC94" s="1569"/>
    </row>
    <row r="95" spans="1:30" s="1" customFormat="1" ht="7.5" customHeight="1">
      <c r="A95" s="253"/>
    </row>
    <row r="96" spans="1:30" s="262" customFormat="1" ht="15" customHeight="1">
      <c r="A96" s="261"/>
      <c r="B96" s="1559" t="s">
        <v>1117</v>
      </c>
      <c r="C96" s="1559"/>
      <c r="D96" s="1559"/>
      <c r="E96" s="1559"/>
      <c r="F96" s="1559"/>
      <c r="G96" s="1559"/>
      <c r="H96" s="1559"/>
      <c r="I96" s="1559"/>
      <c r="J96" s="1559"/>
      <c r="K96" s="1559"/>
      <c r="L96" s="1559"/>
      <c r="M96" s="1560" t="s">
        <v>66</v>
      </c>
      <c r="N96" s="1560"/>
      <c r="O96" s="1560"/>
      <c r="P96" s="1560"/>
      <c r="Q96" s="1560"/>
      <c r="R96" s="1561">
        <f>+R88+R91+R94</f>
        <v>0</v>
      </c>
      <c r="S96" s="1561"/>
      <c r="T96" s="1561"/>
      <c r="U96" s="1561"/>
      <c r="V96" s="1561"/>
      <c r="W96" s="1560" t="s">
        <v>66</v>
      </c>
      <c r="X96" s="1560"/>
      <c r="Y96" s="1561">
        <f>+Y88+Y91+Y94</f>
        <v>0</v>
      </c>
      <c r="Z96" s="1561"/>
      <c r="AA96" s="1561"/>
      <c r="AB96" s="1561"/>
      <c r="AC96" s="1561"/>
    </row>
    <row r="97" spans="1:30" ht="15.75">
      <c r="A97" s="107"/>
      <c r="B97" s="1632" t="s">
        <v>205</v>
      </c>
      <c r="C97" s="1632"/>
      <c r="D97" s="1632"/>
      <c r="E97" s="1632"/>
      <c r="F97" s="1632"/>
      <c r="G97" s="1632"/>
      <c r="H97" s="1632"/>
      <c r="I97" s="1632"/>
      <c r="J97" s="1632"/>
      <c r="K97" s="1632"/>
      <c r="L97" s="1632"/>
      <c r="M97" s="1632"/>
      <c r="N97" s="1632"/>
      <c r="O97" s="1632"/>
      <c r="P97" s="1632"/>
      <c r="Q97" s="1632"/>
      <c r="R97" s="1632"/>
      <c r="S97" s="1632"/>
      <c r="T97" s="1632"/>
      <c r="U97" s="1632"/>
      <c r="V97" s="1632"/>
      <c r="W97" s="1632"/>
      <c r="X97" s="1632"/>
      <c r="Y97" s="1632"/>
      <c r="Z97" s="1632"/>
      <c r="AA97" s="1632"/>
      <c r="AB97" s="1632"/>
      <c r="AC97" s="1632"/>
      <c r="AD97" s="197"/>
    </row>
    <row r="98" spans="1:30" ht="2.25" customHeight="1">
      <c r="A98" s="107"/>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row>
    <row r="99" spans="1:30" ht="15.75">
      <c r="A99" s="1370"/>
      <c r="B99" s="1370"/>
      <c r="C99" s="1370"/>
      <c r="D99" s="1370"/>
      <c r="E99" s="1370"/>
      <c r="F99" s="1370"/>
      <c r="G99" s="1370"/>
      <c r="H99" s="1370"/>
      <c r="I99" s="1370"/>
      <c r="J99" s="1370"/>
      <c r="K99" s="1370"/>
      <c r="L99" s="1370"/>
      <c r="M99" s="1370"/>
      <c r="N99" s="1370"/>
      <c r="O99" s="1370"/>
      <c r="P99" s="1370"/>
      <c r="Q99" s="1370"/>
      <c r="R99" s="1370"/>
      <c r="S99" s="1370"/>
      <c r="T99" s="1370"/>
      <c r="U99" s="1370"/>
      <c r="V99" s="1370"/>
      <c r="W99" s="1370"/>
      <c r="X99" s="1370"/>
      <c r="Y99" s="1370"/>
      <c r="Z99" s="1370"/>
      <c r="AA99" s="1370"/>
      <c r="AB99" s="1370"/>
      <c r="AC99" s="1370"/>
      <c r="AD99" s="42"/>
    </row>
    <row r="100" spans="1:30" ht="9.75" customHeight="1">
      <c r="A100" s="107"/>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row>
    <row r="101" spans="1:30" ht="15.75">
      <c r="A101" s="4"/>
      <c r="B101" s="1627" t="s">
        <v>941</v>
      </c>
      <c r="C101" s="1627"/>
      <c r="D101" s="1627"/>
      <c r="E101" s="1627"/>
      <c r="F101" s="1627"/>
      <c r="G101" s="1627"/>
      <c r="H101" s="1627"/>
      <c r="I101" s="1627"/>
      <c r="J101" s="1627"/>
      <c r="K101" s="1627"/>
      <c r="L101" s="1627"/>
      <c r="M101" s="1627"/>
      <c r="N101" s="1627"/>
      <c r="O101" s="1627"/>
      <c r="P101" s="1627"/>
      <c r="Q101" s="1627"/>
      <c r="R101" s="1627"/>
      <c r="S101" s="1627"/>
      <c r="T101" s="1627"/>
      <c r="U101" s="1627"/>
      <c r="V101" s="1627"/>
      <c r="X101" s="34" t="s">
        <v>66</v>
      </c>
      <c r="Y101" s="1628">
        <f>Y61+Y75+Y96</f>
        <v>0</v>
      </c>
      <c r="Z101" s="1629"/>
      <c r="AA101" s="1629"/>
      <c r="AB101" s="1629"/>
      <c r="AC101" s="1630"/>
      <c r="AD101" s="220"/>
    </row>
    <row r="102" spans="1:30" ht="9.75" customHeight="1">
      <c r="A102" s="26"/>
      <c r="B102" s="111"/>
      <c r="C102" s="111"/>
      <c r="D102" s="111"/>
      <c r="E102" s="111"/>
      <c r="F102" s="111"/>
      <c r="G102" s="111"/>
      <c r="H102" s="111"/>
      <c r="I102" s="111"/>
      <c r="J102" s="111"/>
      <c r="K102" s="111"/>
      <c r="L102" s="111"/>
      <c r="M102" s="111"/>
      <c r="N102" s="111"/>
      <c r="O102" s="111"/>
      <c r="P102" s="111"/>
      <c r="Q102" s="111"/>
      <c r="R102" s="111"/>
      <c r="S102" s="34"/>
      <c r="T102" s="34"/>
      <c r="U102" s="34"/>
      <c r="V102" s="34"/>
      <c r="W102" s="5"/>
      <c r="X102" s="5"/>
      <c r="Y102" s="5"/>
      <c r="Z102" s="5"/>
      <c r="AA102" s="5"/>
      <c r="AB102" s="5"/>
      <c r="AC102" s="4"/>
      <c r="AD102" s="4"/>
    </row>
    <row r="103" spans="1:30" ht="15.75">
      <c r="A103" s="4"/>
      <c r="B103" s="1627" t="s">
        <v>940</v>
      </c>
      <c r="C103" s="1627"/>
      <c r="D103" s="1627"/>
      <c r="E103" s="1627"/>
      <c r="F103" s="1627"/>
      <c r="G103" s="1627"/>
      <c r="H103" s="1627"/>
      <c r="I103" s="1627"/>
      <c r="J103" s="1627"/>
      <c r="K103" s="1627"/>
      <c r="L103" s="1627"/>
      <c r="M103" s="1627"/>
      <c r="N103" s="1627"/>
      <c r="O103" s="1627"/>
      <c r="P103" s="1627"/>
      <c r="Q103" s="1627"/>
      <c r="R103" s="1627"/>
      <c r="S103" s="1627"/>
      <c r="T103" s="1627"/>
      <c r="U103" s="1627"/>
      <c r="V103" s="1627"/>
      <c r="X103" s="34" t="s">
        <v>66</v>
      </c>
      <c r="Y103" s="1628">
        <f>+X25+Y61+Y75+Y96</f>
        <v>0</v>
      </c>
      <c r="Z103" s="1629"/>
      <c r="AA103" s="1629"/>
      <c r="AB103" s="1629"/>
      <c r="AC103" s="1630"/>
      <c r="AD103" s="220"/>
    </row>
    <row r="104" spans="1:30" ht="9.75" customHeight="1">
      <c r="A104" s="4"/>
      <c r="B104" s="35"/>
      <c r="C104" s="35"/>
      <c r="D104" s="35"/>
      <c r="E104" s="35"/>
      <c r="F104" s="35"/>
      <c r="G104" s="35"/>
      <c r="H104" s="35"/>
      <c r="I104" s="35"/>
      <c r="J104" s="35"/>
      <c r="K104" s="35"/>
      <c r="L104" s="35"/>
      <c r="M104" s="35"/>
      <c r="N104" s="35"/>
      <c r="O104" s="35"/>
      <c r="P104" s="35"/>
      <c r="Q104" s="35"/>
      <c r="R104" s="35"/>
      <c r="S104" s="35"/>
      <c r="T104" s="35"/>
      <c r="U104" s="35"/>
      <c r="V104" s="35"/>
      <c r="W104" s="4"/>
      <c r="X104" s="4"/>
      <c r="Y104" s="4"/>
      <c r="Z104" s="4"/>
      <c r="AA104" s="4"/>
      <c r="AB104" s="4"/>
      <c r="AC104" s="4"/>
      <c r="AD104" s="4"/>
    </row>
    <row r="105" spans="1:30" ht="15.75">
      <c r="A105" s="4"/>
      <c r="B105" s="1627" t="s">
        <v>942</v>
      </c>
      <c r="C105" s="1627"/>
      <c r="D105" s="1627"/>
      <c r="E105" s="1627"/>
      <c r="F105" s="1627"/>
      <c r="G105" s="1627"/>
      <c r="H105" s="1627"/>
      <c r="I105" s="1627"/>
      <c r="J105" s="1627"/>
      <c r="K105" s="1627"/>
      <c r="L105" s="1627"/>
      <c r="M105" s="1627"/>
      <c r="N105" s="1627"/>
      <c r="O105" s="1627"/>
      <c r="P105" s="1627"/>
      <c r="Q105" s="1627"/>
      <c r="R105" s="1627"/>
      <c r="S105" s="1627"/>
      <c r="T105" s="1627"/>
      <c r="U105" s="1627"/>
      <c r="V105" s="1627"/>
      <c r="X105" s="34" t="s">
        <v>66</v>
      </c>
      <c r="Y105" s="1628">
        <f>+M61+R75+R96</f>
        <v>0</v>
      </c>
      <c r="Z105" s="1629"/>
      <c r="AA105" s="1629"/>
      <c r="AB105" s="1629"/>
      <c r="AC105" s="1630"/>
      <c r="AD105" s="220"/>
    </row>
    <row r="106" spans="1:30" ht="15.75">
      <c r="A106" s="26"/>
      <c r="B106" s="107"/>
      <c r="C106" s="107"/>
      <c r="D106" s="107"/>
      <c r="E106" s="107"/>
      <c r="F106" s="107"/>
      <c r="G106" s="107"/>
      <c r="H106" s="107"/>
      <c r="I106" s="107"/>
      <c r="J106" s="107"/>
      <c r="K106" s="107"/>
      <c r="L106" s="107"/>
      <c r="M106" s="107"/>
      <c r="N106" s="107"/>
      <c r="O106" s="107"/>
      <c r="P106" s="107"/>
      <c r="Q106" s="107"/>
      <c r="R106" s="107"/>
      <c r="S106" s="5"/>
      <c r="T106" s="5"/>
      <c r="U106" s="5"/>
      <c r="V106" s="26"/>
      <c r="W106" s="5"/>
      <c r="X106" s="5"/>
      <c r="Y106" s="5"/>
      <c r="Z106" s="5"/>
      <c r="AA106" s="5"/>
      <c r="AB106" s="5"/>
      <c r="AC106" s="4"/>
      <c r="AD106" s="4"/>
    </row>
  </sheetData>
  <mergeCells count="371">
    <mergeCell ref="AH47:AN47"/>
    <mergeCell ref="AH36:AK36"/>
    <mergeCell ref="AH37:AK37"/>
    <mergeCell ref="AH38:AK38"/>
    <mergeCell ref="AH39:AK39"/>
    <mergeCell ref="AH40:AK40"/>
    <mergeCell ref="AH41:AK41"/>
    <mergeCell ref="AH42:AK42"/>
    <mergeCell ref="AH43:AK43"/>
    <mergeCell ref="B72:G72"/>
    <mergeCell ref="H72:L72"/>
    <mergeCell ref="M72:Q72"/>
    <mergeCell ref="R72:V72"/>
    <mergeCell ref="W72:X72"/>
    <mergeCell ref="Y72:AC72"/>
    <mergeCell ref="B74:G74"/>
    <mergeCell ref="H74:L74"/>
    <mergeCell ref="M74:Q74"/>
    <mergeCell ref="R74:V74"/>
    <mergeCell ref="W74:X74"/>
    <mergeCell ref="Y74:AC74"/>
    <mergeCell ref="A63:AC63"/>
    <mergeCell ref="A77:AC77"/>
    <mergeCell ref="B79:F80"/>
    <mergeCell ref="B81:F81"/>
    <mergeCell ref="B82:F82"/>
    <mergeCell ref="B83:F83"/>
    <mergeCell ref="B84:F84"/>
    <mergeCell ref="G79:I80"/>
    <mergeCell ref="G81:I81"/>
    <mergeCell ref="G82:I82"/>
    <mergeCell ref="G83:I83"/>
    <mergeCell ref="G84:I84"/>
    <mergeCell ref="J79:K80"/>
    <mergeCell ref="J81:K81"/>
    <mergeCell ref="J82:K82"/>
    <mergeCell ref="J83:K83"/>
    <mergeCell ref="J84:K84"/>
    <mergeCell ref="L79:N80"/>
    <mergeCell ref="Y82:AC82"/>
    <mergeCell ref="W83:X83"/>
    <mergeCell ref="Y83:AC83"/>
    <mergeCell ref="O82:Q82"/>
    <mergeCell ref="O83:Q83"/>
    <mergeCell ref="B75:G75"/>
    <mergeCell ref="B105:V105"/>
    <mergeCell ref="Y105:AC105"/>
    <mergeCell ref="Y84:AC84"/>
    <mergeCell ref="R85:V85"/>
    <mergeCell ref="Y85:AC85"/>
    <mergeCell ref="B97:AC97"/>
    <mergeCell ref="B101:V101"/>
    <mergeCell ref="Y101:AC101"/>
    <mergeCell ref="W84:X84"/>
    <mergeCell ref="B85:L85"/>
    <mergeCell ref="O85:Q85"/>
    <mergeCell ref="A99:AC99"/>
    <mergeCell ref="B103:V103"/>
    <mergeCell ref="Y103:AC103"/>
    <mergeCell ref="T84:V84"/>
    <mergeCell ref="R84:S84"/>
    <mergeCell ref="O84:Q84"/>
    <mergeCell ref="B87:L87"/>
    <mergeCell ref="M87:Q87"/>
    <mergeCell ref="R87:V87"/>
    <mergeCell ref="W87:X87"/>
    <mergeCell ref="Y87:AC87"/>
    <mergeCell ref="R88:V88"/>
    <mergeCell ref="W88:X88"/>
    <mergeCell ref="R75:V75"/>
    <mergeCell ref="Y75:AC75"/>
    <mergeCell ref="W79:X80"/>
    <mergeCell ref="L81:N81"/>
    <mergeCell ref="T79:V80"/>
    <mergeCell ref="T81:V81"/>
    <mergeCell ref="O79:Q80"/>
    <mergeCell ref="O81:Q81"/>
    <mergeCell ref="R79:S80"/>
    <mergeCell ref="R81:S81"/>
    <mergeCell ref="L82:N82"/>
    <mergeCell ref="L83:N83"/>
    <mergeCell ref="L84:N84"/>
    <mergeCell ref="W82:X82"/>
    <mergeCell ref="Y79:AC80"/>
    <mergeCell ref="W81:X81"/>
    <mergeCell ref="Y81:AC81"/>
    <mergeCell ref="T82:V82"/>
    <mergeCell ref="T83:V83"/>
    <mergeCell ref="R82:S82"/>
    <mergeCell ref="R83:S83"/>
    <mergeCell ref="B70:G70"/>
    <mergeCell ref="H70:L70"/>
    <mergeCell ref="M70:Q70"/>
    <mergeCell ref="R70:V70"/>
    <mergeCell ref="W70:X70"/>
    <mergeCell ref="Y70:AC70"/>
    <mergeCell ref="B65:AC65"/>
    <mergeCell ref="B67:G68"/>
    <mergeCell ref="H67:L68"/>
    <mergeCell ref="M67:Q68"/>
    <mergeCell ref="R67:V68"/>
    <mergeCell ref="W67:X68"/>
    <mergeCell ref="Y67:AC68"/>
    <mergeCell ref="V60:X60"/>
    <mergeCell ref="Z60:AC60"/>
    <mergeCell ref="B61:G61"/>
    <mergeCell ref="H61:I61"/>
    <mergeCell ref="M61:O61"/>
    <mergeCell ref="Q61:V61"/>
    <mergeCell ref="Y61:AC61"/>
    <mergeCell ref="B60:G60"/>
    <mergeCell ref="H60:I60"/>
    <mergeCell ref="J60:L60"/>
    <mergeCell ref="M60:O60"/>
    <mergeCell ref="P60:S60"/>
    <mergeCell ref="T60:U60"/>
    <mergeCell ref="V58:X58"/>
    <mergeCell ref="Z58:AC58"/>
    <mergeCell ref="B59:G59"/>
    <mergeCell ref="H59:I59"/>
    <mergeCell ref="J59:L59"/>
    <mergeCell ref="M59:O59"/>
    <mergeCell ref="P59:S59"/>
    <mergeCell ref="T59:U59"/>
    <mergeCell ref="V59:X59"/>
    <mergeCell ref="Z59:AC59"/>
    <mergeCell ref="B58:G58"/>
    <mergeCell ref="H58:I58"/>
    <mergeCell ref="J58:L58"/>
    <mergeCell ref="M58:O58"/>
    <mergeCell ref="P58:S58"/>
    <mergeCell ref="T58:U58"/>
    <mergeCell ref="V56:X56"/>
    <mergeCell ref="Z56:AC56"/>
    <mergeCell ref="B57:G57"/>
    <mergeCell ref="H57:I57"/>
    <mergeCell ref="J57:L57"/>
    <mergeCell ref="M57:O57"/>
    <mergeCell ref="P57:S57"/>
    <mergeCell ref="T57:U57"/>
    <mergeCell ref="V57:X57"/>
    <mergeCell ref="Z57:AC57"/>
    <mergeCell ref="B56:G56"/>
    <mergeCell ref="H56:I56"/>
    <mergeCell ref="J56:L56"/>
    <mergeCell ref="M56:O56"/>
    <mergeCell ref="P56:S56"/>
    <mergeCell ref="T56:U56"/>
    <mergeCell ref="V54:X54"/>
    <mergeCell ref="Z54:AC54"/>
    <mergeCell ref="B55:G55"/>
    <mergeCell ref="H55:I55"/>
    <mergeCell ref="J55:L55"/>
    <mergeCell ref="M55:O55"/>
    <mergeCell ref="P55:S55"/>
    <mergeCell ref="T55:U55"/>
    <mergeCell ref="V55:X55"/>
    <mergeCell ref="Z55:AC55"/>
    <mergeCell ref="B54:G54"/>
    <mergeCell ref="H54:I54"/>
    <mergeCell ref="J54:L54"/>
    <mergeCell ref="M54:O54"/>
    <mergeCell ref="P54:S54"/>
    <mergeCell ref="T54:U54"/>
    <mergeCell ref="V52:X52"/>
    <mergeCell ref="Z52:AC52"/>
    <mergeCell ref="B53:G53"/>
    <mergeCell ref="H53:I53"/>
    <mergeCell ref="J53:L53"/>
    <mergeCell ref="M53:O53"/>
    <mergeCell ref="P53:S53"/>
    <mergeCell ref="T53:U53"/>
    <mergeCell ref="V53:X53"/>
    <mergeCell ref="Z53:AC53"/>
    <mergeCell ref="B52:G52"/>
    <mergeCell ref="H52:I52"/>
    <mergeCell ref="J52:L52"/>
    <mergeCell ref="M52:O52"/>
    <mergeCell ref="P52:S52"/>
    <mergeCell ref="T52:U52"/>
    <mergeCell ref="AA47:AC47"/>
    <mergeCell ref="B50:AC50"/>
    <mergeCell ref="B51:G51"/>
    <mergeCell ref="H51:I51"/>
    <mergeCell ref="J51:L51"/>
    <mergeCell ref="M51:O51"/>
    <mergeCell ref="P51:S51"/>
    <mergeCell ref="T51:U51"/>
    <mergeCell ref="V51:X51"/>
    <mergeCell ref="Z51:AC51"/>
    <mergeCell ref="B47:K47"/>
    <mergeCell ref="L47:N47"/>
    <mergeCell ref="O47:Q47"/>
    <mergeCell ref="R47:T47"/>
    <mergeCell ref="U47:W47"/>
    <mergeCell ref="X47:Z47"/>
    <mergeCell ref="B48:K48"/>
    <mergeCell ref="U45:W45"/>
    <mergeCell ref="X45:Z45"/>
    <mergeCell ref="AA45:AC45"/>
    <mergeCell ref="B46:I46"/>
    <mergeCell ref="L46:N46"/>
    <mergeCell ref="O46:Q46"/>
    <mergeCell ref="R46:T46"/>
    <mergeCell ref="U46:W46"/>
    <mergeCell ref="X46:Z46"/>
    <mergeCell ref="AA46:AC46"/>
    <mergeCell ref="B45:E45"/>
    <mergeCell ref="G45:I45"/>
    <mergeCell ref="J45:K45"/>
    <mergeCell ref="L45:N45"/>
    <mergeCell ref="O45:Q45"/>
    <mergeCell ref="R45:T45"/>
    <mergeCell ref="AA43:AC43"/>
    <mergeCell ref="B44:E44"/>
    <mergeCell ref="G44:I44"/>
    <mergeCell ref="L44:N44"/>
    <mergeCell ref="O44:Q44"/>
    <mergeCell ref="R44:T44"/>
    <mergeCell ref="U44:W44"/>
    <mergeCell ref="X44:Z44"/>
    <mergeCell ref="AA44:AC44"/>
    <mergeCell ref="B43:I43"/>
    <mergeCell ref="L43:N43"/>
    <mergeCell ref="O43:Q43"/>
    <mergeCell ref="R43:T43"/>
    <mergeCell ref="U43:W43"/>
    <mergeCell ref="X43:Z43"/>
    <mergeCell ref="Y37:Z37"/>
    <mergeCell ref="AB37:AC37"/>
    <mergeCell ref="B38:D38"/>
    <mergeCell ref="E38:K38"/>
    <mergeCell ref="M38:N38"/>
    <mergeCell ref="Y41:Z41"/>
    <mergeCell ref="AB41:AC41"/>
    <mergeCell ref="B42:D42"/>
    <mergeCell ref="E42:K42"/>
    <mergeCell ref="M42:N42"/>
    <mergeCell ref="P42:Q42"/>
    <mergeCell ref="S42:T42"/>
    <mergeCell ref="V42:W42"/>
    <mergeCell ref="Y42:Z42"/>
    <mergeCell ref="AB42:AC42"/>
    <mergeCell ref="B41:D41"/>
    <mergeCell ref="E41:K41"/>
    <mergeCell ref="M41:N41"/>
    <mergeCell ref="P41:Q41"/>
    <mergeCell ref="S41:T41"/>
    <mergeCell ref="V41:W41"/>
    <mergeCell ref="Y39:Z39"/>
    <mergeCell ref="AB39:AC39"/>
    <mergeCell ref="B40:D40"/>
    <mergeCell ref="E40:K40"/>
    <mergeCell ref="M40:N40"/>
    <mergeCell ref="P40:Q40"/>
    <mergeCell ref="S40:T40"/>
    <mergeCell ref="V40:W40"/>
    <mergeCell ref="Y40:Z40"/>
    <mergeCell ref="AB40:AC40"/>
    <mergeCell ref="B39:D39"/>
    <mergeCell ref="E39:K39"/>
    <mergeCell ref="M39:N39"/>
    <mergeCell ref="P39:Q39"/>
    <mergeCell ref="S39:T39"/>
    <mergeCell ref="V39:W39"/>
    <mergeCell ref="AB38:AC38"/>
    <mergeCell ref="B34:D35"/>
    <mergeCell ref="E34:K35"/>
    <mergeCell ref="L34:N34"/>
    <mergeCell ref="O34:Q34"/>
    <mergeCell ref="R34:T34"/>
    <mergeCell ref="U34:W34"/>
    <mergeCell ref="W31:AC31"/>
    <mergeCell ref="B32:V32"/>
    <mergeCell ref="W32:AC32"/>
    <mergeCell ref="X34:Z34"/>
    <mergeCell ref="AA34:AC34"/>
    <mergeCell ref="P38:Q38"/>
    <mergeCell ref="S38:T38"/>
    <mergeCell ref="V38:W38"/>
    <mergeCell ref="Y38:Z38"/>
    <mergeCell ref="B37:D37"/>
    <mergeCell ref="E37:K37"/>
    <mergeCell ref="M37:N37"/>
    <mergeCell ref="P37:Q37"/>
    <mergeCell ref="S37:T37"/>
    <mergeCell ref="V37:W37"/>
    <mergeCell ref="B36:D36"/>
    <mergeCell ref="E36:K36"/>
    <mergeCell ref="S36:T36"/>
    <mergeCell ref="V36:W36"/>
    <mergeCell ref="Y36:Z36"/>
    <mergeCell ref="AB36:AC36"/>
    <mergeCell ref="L33:N33"/>
    <mergeCell ref="O33:Q33"/>
    <mergeCell ref="U23:W23"/>
    <mergeCell ref="U24:W24"/>
    <mergeCell ref="M36:N36"/>
    <mergeCell ref="B18:AC18"/>
    <mergeCell ref="B19:G19"/>
    <mergeCell ref="H19:L19"/>
    <mergeCell ref="X19:AC19"/>
    <mergeCell ref="B20:G20"/>
    <mergeCell ref="H20:L20"/>
    <mergeCell ref="X20:AC20"/>
    <mergeCell ref="M19:P19"/>
    <mergeCell ref="Q19:T19"/>
    <mergeCell ref="U19:W19"/>
    <mergeCell ref="M20:P20"/>
    <mergeCell ref="Q20:T20"/>
    <mergeCell ref="U20:W20"/>
    <mergeCell ref="T12:X12"/>
    <mergeCell ref="Z12:AC12"/>
    <mergeCell ref="T13:X13"/>
    <mergeCell ref="Z13:AC13"/>
    <mergeCell ref="T14:X14"/>
    <mergeCell ref="Z14:AC14"/>
    <mergeCell ref="T15:X15"/>
    <mergeCell ref="Z15:AC15"/>
    <mergeCell ref="A16:AC16"/>
    <mergeCell ref="B21:G21"/>
    <mergeCell ref="H21:L21"/>
    <mergeCell ref="X21:AC21"/>
    <mergeCell ref="B22:G22"/>
    <mergeCell ref="H22:L22"/>
    <mergeCell ref="X22:AC22"/>
    <mergeCell ref="M21:P21"/>
    <mergeCell ref="M22:P22"/>
    <mergeCell ref="Q21:T21"/>
    <mergeCell ref="Q22:T22"/>
    <mergeCell ref="U21:W21"/>
    <mergeCell ref="U22:W22"/>
    <mergeCell ref="B23:G23"/>
    <mergeCell ref="H23:L23"/>
    <mergeCell ref="X23:AC23"/>
    <mergeCell ref="B24:G24"/>
    <mergeCell ref="H24:L24"/>
    <mergeCell ref="X24:AC24"/>
    <mergeCell ref="A29:AC29"/>
    <mergeCell ref="B27:E27"/>
    <mergeCell ref="G27:AC27"/>
    <mergeCell ref="Q23:T23"/>
    <mergeCell ref="Q24:T24"/>
    <mergeCell ref="M23:P23"/>
    <mergeCell ref="M24:P24"/>
    <mergeCell ref="H25:L25"/>
    <mergeCell ref="X25:AC25"/>
    <mergeCell ref="B96:L96"/>
    <mergeCell ref="M96:Q96"/>
    <mergeCell ref="R96:V96"/>
    <mergeCell ref="W96:X96"/>
    <mergeCell ref="Y96:AC96"/>
    <mergeCell ref="R33:T33"/>
    <mergeCell ref="B93:L93"/>
    <mergeCell ref="M93:Q93"/>
    <mergeCell ref="R93:V93"/>
    <mergeCell ref="W93:X93"/>
    <mergeCell ref="Y93:AC93"/>
    <mergeCell ref="R94:V94"/>
    <mergeCell ref="W94:X94"/>
    <mergeCell ref="Y94:AC94"/>
    <mergeCell ref="Y88:AC88"/>
    <mergeCell ref="B90:L90"/>
    <mergeCell ref="M90:Q90"/>
    <mergeCell ref="R90:V90"/>
    <mergeCell ref="W90:X90"/>
    <mergeCell ref="Y90:AC90"/>
    <mergeCell ref="R91:V91"/>
    <mergeCell ref="W91:X91"/>
    <mergeCell ref="Y91:AC91"/>
    <mergeCell ref="P36:Q36"/>
  </mergeCells>
  <dataValidations xWindow="1120" yWindow="796" count="10">
    <dataValidation allowBlank="1" showInputMessage="1" showErrorMessage="1" sqref="AD13:AD15 X28:AD28 L43:AD47 H28:L28 M74:AD74 Y105:AD105 T40:T42 Y101:AD101 S85:V85 H61:I62 Y103:AD103 H25:L26 X25:AD26 M39:M42 N40:N42 AD39:AD42 M36:N38 R82:R85 P36:Q38 AC40:AC42 AD36:AD37 V36:W38 V39:V42 P39:P42 Q40:Q42 S36:T38 S39:S42 W40:W42 Z40:Z42 AB36:AC38 AB39:AB42 Y36:Z38 Y39:Y42 M70:AD70 Y85:AC85 M72:AD72 AD53:AD60 Y61:AD62 AD81:AD85 M61:O62 AH36" xr:uid="{00000000-0002-0000-0700-000000000000}"/>
    <dataValidation type="decimal" allowBlank="1" showInputMessage="1" showErrorMessage="1" sqref="F45" xr:uid="{00000000-0002-0000-0700-000001000000}">
      <formula1>0</formula1>
      <formula2>0.3</formula2>
    </dataValidation>
    <dataValidation type="decimal" allowBlank="1" showInputMessage="1" showErrorMessage="1" sqref="J45:K45" xr:uid="{00000000-0002-0000-0700-000002000000}">
      <formula1>2</formula1>
      <formula2>5</formula2>
    </dataValidation>
    <dataValidation type="decimal" allowBlank="1" showInputMessage="1" showErrorMessage="1" sqref="Y52:Y60" xr:uid="{00000000-0002-0000-0700-000003000000}">
      <formula1>0.01</formula1>
      <formula2>1</formula2>
    </dataValidation>
    <dataValidation type="whole" allowBlank="1" showInputMessage="1" showErrorMessage="1" sqref="T52:U60" xr:uid="{00000000-0002-0000-0700-000004000000}">
      <formula1>0</formula1>
      <formula2>150</formula2>
    </dataValidation>
    <dataValidation type="decimal" allowBlank="1" showInputMessage="1" showErrorMessage="1" sqref="J52:L60" xr:uid="{00000000-0002-0000-0700-000005000000}">
      <formula1>0</formula1>
      <formula2>2000</formula2>
    </dataValidation>
    <dataValidation type="decimal" allowBlank="1" showInputMessage="1" showErrorMessage="1" sqref="H70:L70 H72:L72 H74:L74" xr:uid="{00000000-0002-0000-0700-000006000000}">
      <formula1>0</formula1>
      <formula2>1</formula2>
    </dataValidation>
    <dataValidation type="custom" allowBlank="1" showInputMessage="1" showErrorMessage="1" errorTitle="FÓRMULA PROTEGIDA" error="Esta fórmula no se puede editar._x000a__x000a_¡NO INSISTA!" promptTitle="FÓRMULA PROTEGIDA" prompt="Esta fórmula no se puede editar." sqref="R93:V93 R90:V90 R87:V87" xr:uid="{00000000-0002-0000-0700-000007000000}">
      <formula1>"falso()"</formula1>
    </dataValidation>
    <dataValidation allowBlank="1" showInputMessage="1" showErrorMessage="1" errorTitle="FÓRMULA PROTEGIDA" error="Esta fórmula no se puede editar._x000a__x000a_¡NO INSISTA!" promptTitle="FÓRMULA PROTEGIDA" prompt="Esta fórmula no se puede editar." sqref="Y87:AC88 R91:V91 R88:V88 Y90:AC91 R94:V94 Y93:AC94 R75:V75 Y75:AC75" xr:uid="{00000000-0002-0000-0700-000008000000}"/>
    <dataValidation type="list" allowBlank="1" showInputMessage="1" showErrorMessage="1" sqref="R36:R42 O36:O42 X36:X42 L36:L42" xr:uid="{00000000-0002-0000-0700-000009000000}">
      <formula1>$BI$14:$BI$23</formula1>
    </dataValidation>
  </dataValidations>
  <printOptions horizontalCentered="1"/>
  <pageMargins left="0.70866141732283472" right="0.70866141732283472" top="0.74803149606299213" bottom="0.74803149606299213" header="0.31496062992125984" footer="0.31496062992125984"/>
  <pageSetup paperSize="9" scale="55" fitToWidth="0" orientation="portrait" r:id="rId1"/>
  <headerFooter>
    <oddFooter>&amp;L&amp;G&amp;R&amp;G
&amp;P</oddFooter>
  </headerFooter>
  <drawing r:id="rId2"/>
  <legacyDrawing r:id="rId3"/>
  <legacyDrawingHF r:id="rId4"/>
  <extLst>
    <ext xmlns:x14="http://schemas.microsoft.com/office/spreadsheetml/2009/9/main" uri="{CCE6A557-97BC-4b89-ADB6-D9C93CAAB3DF}">
      <x14:dataValidations xmlns:xm="http://schemas.microsoft.com/office/excel/2006/main" xWindow="1120" yWindow="796" count="4">
        <x14:dataValidation type="list" allowBlank="1" showInputMessage="1" showErrorMessage="1" xr:uid="{00000000-0002-0000-0700-00000A000000}">
          <x14:formula1>
            <xm:f>'Lista-Data'!$W$3:$W$11</xm:f>
          </x14:formula1>
          <xm:sqref>V58:X60</xm:sqref>
        </x14:dataValidation>
        <x14:dataValidation type="list" allowBlank="1" showInputMessage="1" showErrorMessage="1" xr:uid="{00000000-0002-0000-0700-00000B000000}">
          <x14:formula1>
            <xm:f>'Lista-Data'!$BI$3:$BI$12</xm:f>
          </x14:formula1>
          <xm:sqref>U36:U42 AA36:AA42</xm:sqref>
        </x14:dataValidation>
        <x14:dataValidation type="list" allowBlank="1" showInputMessage="1" showErrorMessage="1" xr:uid="{00000000-0002-0000-0700-00000C000000}">
          <x14:formula1>
            <xm:f>'Lista-Data'!$BJ$3:$BJ$5</xm:f>
          </x14:formula1>
          <xm:sqref>G44:I44</xm:sqref>
        </x14:dataValidation>
        <x14:dataValidation type="list" allowBlank="1" showInputMessage="1" showErrorMessage="1" xr:uid="{00000000-0002-0000-0700-00000D000000}">
          <x14:formula1>
            <xm:f>'Lista-Data'!$BH$3:$BH$6</xm:f>
          </x14:formula1>
          <xm:sqref>W32:AC32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5">
    <tabColor rgb="FFFFFF00"/>
  </sheetPr>
  <dimension ref="A1:AI93"/>
  <sheetViews>
    <sheetView workbookViewId="0"/>
  </sheetViews>
  <sheetFormatPr baseColWidth="10" defaultRowHeight="15"/>
  <cols>
    <col min="1" max="5" width="5.140625" customWidth="1"/>
    <col min="6" max="6" width="5.85546875" customWidth="1"/>
    <col min="7" max="29" width="5.140625" customWidth="1"/>
    <col min="30" max="30" width="5.140625" style="24" customWidth="1"/>
    <col min="31" max="31" width="11.7109375" bestFit="1" customWidth="1"/>
    <col min="32" max="32" width="0.42578125" customWidth="1"/>
    <col min="33" max="33" width="11.42578125" hidden="1" customWidth="1"/>
  </cols>
  <sheetData>
    <row r="1" spans="1:30" ht="15.75">
      <c r="A1" s="24"/>
      <c r="B1" s="24"/>
      <c r="C1" s="24"/>
      <c r="D1" s="24"/>
      <c r="E1" s="24"/>
      <c r="F1" s="24"/>
      <c r="G1" s="24"/>
      <c r="H1" s="24"/>
      <c r="I1" s="24"/>
      <c r="J1" s="24"/>
      <c r="K1" s="24"/>
      <c r="L1" s="24"/>
      <c r="M1" s="24"/>
      <c r="N1" s="24"/>
      <c r="O1" s="24"/>
      <c r="P1" s="24"/>
      <c r="Q1" s="24"/>
      <c r="R1" s="24"/>
      <c r="S1" s="24"/>
      <c r="T1" s="1023" t="s">
        <v>815</v>
      </c>
      <c r="U1" s="1023"/>
      <c r="V1" s="1023"/>
      <c r="W1" s="1023"/>
      <c r="X1" s="1023"/>
      <c r="Y1" s="181" t="s">
        <v>0</v>
      </c>
      <c r="Z1" s="1388"/>
      <c r="AA1" s="1388"/>
      <c r="AB1" s="1388"/>
      <c r="AC1" s="1388"/>
      <c r="AD1" s="217"/>
    </row>
    <row r="2" spans="1:30" ht="15.75">
      <c r="A2" s="24"/>
      <c r="B2" s="24"/>
      <c r="C2" s="24"/>
      <c r="D2" s="24"/>
      <c r="E2" s="24"/>
      <c r="F2" s="24"/>
      <c r="G2" s="24"/>
      <c r="H2" s="24"/>
      <c r="I2" s="24"/>
      <c r="J2" s="24"/>
      <c r="K2" s="24"/>
      <c r="L2" s="24"/>
      <c r="M2" s="24"/>
      <c r="N2" s="24"/>
      <c r="O2" s="24"/>
      <c r="P2" s="24"/>
      <c r="Q2" s="24"/>
      <c r="R2" s="24"/>
      <c r="S2" s="24"/>
      <c r="T2" s="1023" t="s">
        <v>1</v>
      </c>
      <c r="U2" s="1023"/>
      <c r="V2" s="1023"/>
      <c r="W2" s="1023"/>
      <c r="X2" s="1023"/>
      <c r="Y2" s="181" t="s">
        <v>0</v>
      </c>
      <c r="Z2" s="1388"/>
      <c r="AA2" s="1388"/>
      <c r="AB2" s="1388"/>
      <c r="AC2" s="1388"/>
      <c r="AD2" s="217"/>
    </row>
    <row r="3" spans="1:30" ht="15.75">
      <c r="A3" s="24"/>
      <c r="B3" s="24"/>
      <c r="C3" s="24"/>
      <c r="D3" s="24"/>
      <c r="E3" s="24"/>
      <c r="F3" s="24"/>
      <c r="G3" s="24"/>
      <c r="H3" s="24"/>
      <c r="I3" s="24"/>
      <c r="J3" s="24"/>
      <c r="K3" s="24"/>
      <c r="L3" s="24"/>
      <c r="M3" s="24"/>
      <c r="N3" s="24"/>
      <c r="O3" s="24"/>
      <c r="P3" s="24"/>
      <c r="Q3" s="24"/>
      <c r="R3" s="24"/>
      <c r="S3" s="24"/>
      <c r="T3" s="1023" t="s">
        <v>52</v>
      </c>
      <c r="U3" s="1023"/>
      <c r="V3" s="1023"/>
      <c r="W3" s="1023"/>
      <c r="X3" s="1023"/>
      <c r="Y3" s="181" t="s">
        <v>0</v>
      </c>
      <c r="Z3" s="1641"/>
      <c r="AA3" s="1641"/>
      <c r="AB3" s="1641"/>
      <c r="AC3" s="1641"/>
      <c r="AD3" s="218"/>
    </row>
    <row r="4" spans="1:30" ht="15.75">
      <c r="A4" s="24"/>
      <c r="B4" s="24"/>
      <c r="C4" s="24"/>
      <c r="D4" s="24"/>
      <c r="E4" s="24"/>
      <c r="F4" s="24"/>
      <c r="G4" s="24"/>
      <c r="H4" s="24"/>
      <c r="I4" s="24"/>
      <c r="J4" s="24"/>
      <c r="K4" s="24"/>
      <c r="L4" s="24"/>
      <c r="M4" s="24"/>
      <c r="N4" s="24"/>
      <c r="O4" s="24"/>
      <c r="P4" s="24"/>
      <c r="Q4" s="24"/>
      <c r="R4" s="24"/>
      <c r="S4" s="24"/>
      <c r="T4" s="1023" t="s">
        <v>816</v>
      </c>
      <c r="U4" s="1023"/>
      <c r="V4" s="1023"/>
      <c r="W4" s="1023"/>
      <c r="X4" s="1023"/>
      <c r="Y4" s="181" t="s">
        <v>0</v>
      </c>
      <c r="Z4" s="1641"/>
      <c r="AA4" s="1641"/>
      <c r="AB4" s="1641"/>
      <c r="AC4" s="1641"/>
      <c r="AD4" s="218"/>
    </row>
    <row r="5" spans="1:30" ht="15.75">
      <c r="A5" s="1370" t="s">
        <v>846</v>
      </c>
      <c r="B5" s="1370"/>
      <c r="C5" s="1370"/>
      <c r="D5" s="1370"/>
      <c r="E5" s="1370"/>
      <c r="F5" s="1370"/>
      <c r="G5" s="1370"/>
      <c r="H5" s="1370"/>
      <c r="I5" s="1370"/>
      <c r="J5" s="1370"/>
      <c r="K5" s="1370"/>
      <c r="L5" s="1370"/>
      <c r="M5" s="1370"/>
      <c r="N5" s="1370"/>
      <c r="O5" s="1370"/>
      <c r="P5" s="1370"/>
      <c r="Q5" s="1370"/>
      <c r="R5" s="1370"/>
      <c r="S5" s="1370"/>
      <c r="T5" s="1370"/>
      <c r="U5" s="1370"/>
      <c r="V5" s="1370"/>
      <c r="W5" s="1370"/>
      <c r="X5" s="1370"/>
      <c r="Y5" s="1370"/>
      <c r="Z5" s="1370"/>
      <c r="AA5" s="1370"/>
      <c r="AB5" s="1370"/>
      <c r="AC5" s="1370"/>
      <c r="AD5" s="42"/>
    </row>
    <row r="6" spans="1:30" ht="4.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spans="1:30" ht="15.75" customHeight="1">
      <c r="A7" s="4"/>
      <c r="B7" s="230" t="s">
        <v>1058</v>
      </c>
      <c r="C7" s="4"/>
      <c r="D7" s="4"/>
      <c r="E7" s="4"/>
      <c r="F7" s="4"/>
      <c r="G7" s="4"/>
      <c r="H7" s="4"/>
      <c r="I7" s="4"/>
      <c r="J7" s="4"/>
      <c r="K7" s="4"/>
      <c r="L7" s="4"/>
      <c r="M7" s="4"/>
      <c r="N7" s="4"/>
      <c r="O7" s="4"/>
      <c r="P7" s="4"/>
      <c r="Q7" s="4"/>
      <c r="R7" s="4"/>
      <c r="S7" s="226"/>
      <c r="T7" s="226"/>
      <c r="U7" s="1646"/>
      <c r="V7" s="1646"/>
      <c r="W7" s="1646"/>
      <c r="X7" s="1646"/>
      <c r="Y7" s="1646"/>
      <c r="Z7" s="1646"/>
      <c r="AA7" s="1646"/>
      <c r="AB7" s="1646"/>
      <c r="AC7" s="1646"/>
      <c r="AD7" s="4"/>
    </row>
    <row r="8" spans="1:30" ht="15.75" customHeight="1">
      <c r="A8" s="4"/>
      <c r="B8" s="39"/>
      <c r="C8" s="4"/>
      <c r="D8" s="4"/>
      <c r="E8" s="4"/>
      <c r="F8" s="4"/>
      <c r="G8" s="4"/>
      <c r="H8" s="4"/>
      <c r="I8" s="4"/>
      <c r="J8" s="4"/>
      <c r="K8" s="4"/>
      <c r="L8" s="4"/>
      <c r="M8" s="4"/>
      <c r="N8" s="4"/>
      <c r="O8" s="4"/>
      <c r="P8" s="4"/>
      <c r="Q8" s="4"/>
      <c r="R8" s="4"/>
      <c r="S8" s="226" t="s">
        <v>1061</v>
      </c>
      <c r="T8" s="226" t="s">
        <v>1060</v>
      </c>
      <c r="U8" s="1646" t="s">
        <v>1074</v>
      </c>
      <c r="V8" s="1646"/>
      <c r="W8" s="1646"/>
      <c r="X8" s="1646"/>
      <c r="Y8" s="1646"/>
      <c r="Z8" s="1646"/>
      <c r="AA8" s="1646"/>
      <c r="AB8" s="1646"/>
      <c r="AC8" s="1646"/>
      <c r="AD8" s="4"/>
    </row>
    <row r="9" spans="1:30" ht="15.75" customHeight="1">
      <c r="A9" s="4"/>
      <c r="B9" s="39"/>
      <c r="C9" s="4"/>
      <c r="D9" s="4"/>
      <c r="E9" s="1664" t="s">
        <v>1070</v>
      </c>
      <c r="F9" s="1664"/>
      <c r="G9" s="228"/>
      <c r="H9" s="1664" t="s">
        <v>1071</v>
      </c>
      <c r="I9" s="1664"/>
      <c r="J9" s="1664"/>
      <c r="K9" s="228"/>
      <c r="L9" s="1664" t="s">
        <v>1071</v>
      </c>
      <c r="M9" s="1664"/>
      <c r="N9" s="1664"/>
      <c r="O9" s="1664"/>
      <c r="P9" s="4"/>
      <c r="Q9" s="4"/>
      <c r="R9" s="4"/>
      <c r="S9" s="1645" t="s">
        <v>1062</v>
      </c>
      <c r="T9" s="1645" t="s">
        <v>1060</v>
      </c>
      <c r="U9" s="1646" t="s">
        <v>1072</v>
      </c>
      <c r="V9" s="1646"/>
      <c r="W9" s="1646"/>
      <c r="X9" s="1646"/>
      <c r="Y9" s="1646"/>
      <c r="Z9" s="1646"/>
      <c r="AA9" s="1646"/>
      <c r="AB9" s="1646"/>
      <c r="AC9" s="1646"/>
      <c r="AD9" s="4"/>
    </row>
    <row r="10" spans="1:30" s="223" customFormat="1" ht="15.75">
      <c r="A10" s="6"/>
      <c r="B10" s="1209" t="s">
        <v>1069</v>
      </c>
      <c r="C10" s="1209"/>
      <c r="D10" s="54" t="s">
        <v>1060</v>
      </c>
      <c r="E10" s="654" t="s">
        <v>1061</v>
      </c>
      <c r="F10" s="654"/>
      <c r="G10" s="54" t="s">
        <v>1027</v>
      </c>
      <c r="H10" s="54" t="s">
        <v>1080</v>
      </c>
      <c r="I10" s="54" t="s">
        <v>1063</v>
      </c>
      <c r="J10" s="54" t="s">
        <v>1064</v>
      </c>
      <c r="K10" s="54" t="s">
        <v>1027</v>
      </c>
      <c r="L10" s="222" t="s">
        <v>1067</v>
      </c>
      <c r="M10" s="54" t="s">
        <v>1065</v>
      </c>
      <c r="N10" s="39">
        <v>0.01</v>
      </c>
      <c r="O10" s="54" t="s">
        <v>1068</v>
      </c>
      <c r="P10" s="6"/>
      <c r="Q10" s="6"/>
      <c r="R10" s="6"/>
      <c r="S10" s="1645"/>
      <c r="T10" s="1645"/>
      <c r="U10" s="1646"/>
      <c r="V10" s="1646"/>
      <c r="W10" s="1646"/>
      <c r="X10" s="1646"/>
      <c r="Y10" s="1646"/>
      <c r="Z10" s="1646"/>
      <c r="AA10" s="1646"/>
      <c r="AB10" s="1646"/>
      <c r="AC10" s="1646"/>
      <c r="AD10" s="6"/>
    </row>
    <row r="11" spans="1:30" ht="17.25" customHeight="1">
      <c r="A11" s="4"/>
      <c r="B11" s="1209" t="s">
        <v>1059</v>
      </c>
      <c r="C11" s="1209"/>
      <c r="D11" s="42" t="s">
        <v>1060</v>
      </c>
      <c r="E11" s="1661">
        <v>1650</v>
      </c>
      <c r="F11" s="1662"/>
      <c r="G11" s="3" t="s">
        <v>1027</v>
      </c>
      <c r="H11" s="229">
        <v>1</v>
      </c>
      <c r="I11" s="42" t="s">
        <v>1063</v>
      </c>
      <c r="J11" s="42" t="s">
        <v>1064</v>
      </c>
      <c r="K11" s="3" t="s">
        <v>1027</v>
      </c>
      <c r="L11" s="221" t="s">
        <v>1067</v>
      </c>
      <c r="M11" s="42" t="s">
        <v>1065</v>
      </c>
      <c r="N11" s="34">
        <v>0.01</v>
      </c>
      <c r="O11" s="229">
        <v>56</v>
      </c>
      <c r="P11" s="4"/>
      <c r="Q11" s="4"/>
      <c r="R11" s="4"/>
      <c r="S11" s="1645"/>
      <c r="T11" s="1645"/>
      <c r="U11" s="1646"/>
      <c r="V11" s="1646"/>
      <c r="W11" s="1646"/>
      <c r="X11" s="1646"/>
      <c r="Y11" s="1646"/>
      <c r="Z11" s="1646"/>
      <c r="AA11" s="1646"/>
      <c r="AB11" s="1646"/>
      <c r="AC11" s="1646"/>
      <c r="AD11" s="4"/>
    </row>
    <row r="12" spans="1:30" s="24" customFormat="1" ht="16.5" customHeight="1">
      <c r="A12" s="4"/>
      <c r="B12" s="54"/>
      <c r="C12" s="54"/>
      <c r="D12" s="42"/>
      <c r="E12" s="224"/>
      <c r="F12" s="224"/>
      <c r="G12" s="3"/>
      <c r="H12" s="225"/>
      <c r="I12" s="42"/>
      <c r="J12" s="42"/>
      <c r="K12" s="3"/>
      <c r="L12" s="221"/>
      <c r="M12" s="42"/>
      <c r="N12" s="34"/>
      <c r="O12" s="225"/>
      <c r="P12" s="4"/>
      <c r="Q12" s="4"/>
      <c r="R12" s="4"/>
      <c r="S12" s="1645" t="s">
        <v>1066</v>
      </c>
      <c r="T12" s="1645" t="s">
        <v>1060</v>
      </c>
      <c r="U12" s="1646" t="s">
        <v>1073</v>
      </c>
      <c r="V12" s="1646"/>
      <c r="W12" s="1646"/>
      <c r="X12" s="1646"/>
      <c r="Y12" s="1646"/>
      <c r="Z12" s="1646"/>
      <c r="AA12" s="1646"/>
      <c r="AB12" s="1646"/>
      <c r="AC12" s="1646"/>
      <c r="AD12" s="4"/>
    </row>
    <row r="13" spans="1:30" ht="15.75">
      <c r="A13" s="4"/>
      <c r="B13" s="1209" t="s">
        <v>1075</v>
      </c>
      <c r="C13" s="1209"/>
      <c r="D13" s="42" t="s">
        <v>1060</v>
      </c>
      <c r="E13" s="34" t="s">
        <v>66</v>
      </c>
      <c r="F13" s="1665">
        <f>+E11*0.5</f>
        <v>825</v>
      </c>
      <c r="G13" s="1666"/>
      <c r="H13" s="1666"/>
      <c r="I13" s="1667"/>
      <c r="J13" s="4"/>
      <c r="K13" s="4"/>
      <c r="L13" s="4"/>
      <c r="M13" s="4"/>
      <c r="N13" s="4"/>
      <c r="O13" s="4"/>
      <c r="P13" s="4"/>
      <c r="Q13" s="4"/>
      <c r="R13" s="4"/>
      <c r="S13" s="1645"/>
      <c r="T13" s="1645"/>
      <c r="U13" s="1646"/>
      <c r="V13" s="1646"/>
      <c r="W13" s="1646"/>
      <c r="X13" s="1646"/>
      <c r="Y13" s="1646"/>
      <c r="Z13" s="1646"/>
      <c r="AA13" s="1646"/>
      <c r="AB13" s="1646"/>
      <c r="AC13" s="1646"/>
      <c r="AD13" s="4"/>
    </row>
    <row r="14" spans="1:30" ht="15.75">
      <c r="A14" s="4"/>
      <c r="B14" s="231" t="s">
        <v>1081</v>
      </c>
      <c r="C14" s="4"/>
      <c r="D14" s="4"/>
      <c r="E14" s="4"/>
      <c r="F14" s="4"/>
      <c r="G14" s="4"/>
      <c r="H14" s="4"/>
      <c r="I14" s="4"/>
      <c r="J14" s="4"/>
      <c r="K14" s="4"/>
      <c r="L14" s="4"/>
      <c r="M14" s="4"/>
      <c r="N14" s="4"/>
      <c r="O14" s="4"/>
      <c r="P14" s="4"/>
      <c r="Q14" s="4"/>
      <c r="R14" s="4"/>
      <c r="S14" s="1645"/>
      <c r="T14" s="1645"/>
      <c r="U14" s="1646"/>
      <c r="V14" s="1646"/>
      <c r="W14" s="1646"/>
      <c r="X14" s="1646"/>
      <c r="Y14" s="1646"/>
      <c r="Z14" s="1646"/>
      <c r="AA14" s="1646"/>
      <c r="AB14" s="1646"/>
      <c r="AC14" s="1646"/>
      <c r="AD14" s="4"/>
    </row>
    <row r="15" spans="1:30" ht="15.75">
      <c r="A15" s="4"/>
      <c r="B15" s="231" t="s">
        <v>1088</v>
      </c>
      <c r="C15" s="4"/>
      <c r="D15" s="4"/>
      <c r="E15" s="4"/>
      <c r="F15" s="4"/>
      <c r="G15" s="4"/>
      <c r="H15" s="4"/>
      <c r="I15" s="4"/>
      <c r="J15" s="4"/>
      <c r="K15" s="4"/>
      <c r="L15" s="4"/>
      <c r="M15" s="4"/>
      <c r="N15" s="4"/>
      <c r="O15" s="4"/>
      <c r="P15" s="4"/>
      <c r="Q15" s="4"/>
      <c r="R15" s="4"/>
      <c r="S15" s="226"/>
      <c r="T15" s="226"/>
      <c r="U15" s="227"/>
      <c r="V15" s="227"/>
      <c r="W15" s="227"/>
      <c r="X15" s="227"/>
      <c r="Y15" s="227"/>
      <c r="Z15" s="227"/>
      <c r="AA15" s="227"/>
      <c r="AB15" s="227"/>
      <c r="AC15" s="227"/>
      <c r="AD15" s="4"/>
    </row>
    <row r="16" spans="1:30" ht="15.75">
      <c r="A16" s="4"/>
      <c r="B16" s="231" t="s">
        <v>1076</v>
      </c>
      <c r="C16" s="4"/>
      <c r="D16" s="4"/>
      <c r="E16" s="4"/>
      <c r="F16" s="4"/>
      <c r="G16" s="4"/>
      <c r="H16" s="4"/>
      <c r="I16" s="4"/>
      <c r="J16" s="4"/>
      <c r="K16" s="4"/>
      <c r="L16" s="4"/>
      <c r="M16" s="4"/>
      <c r="N16" s="4"/>
      <c r="O16" s="4"/>
      <c r="P16" s="4"/>
      <c r="Q16" s="4"/>
      <c r="R16" s="4"/>
      <c r="S16" s="226"/>
      <c r="T16" s="226"/>
      <c r="U16" s="227"/>
      <c r="V16" s="227"/>
      <c r="W16" s="227"/>
      <c r="X16" s="227"/>
      <c r="Y16" s="227"/>
      <c r="Z16" s="227"/>
      <c r="AA16" s="227"/>
      <c r="AB16" s="227"/>
      <c r="AC16" s="227"/>
      <c r="AD16" s="4"/>
    </row>
    <row r="17" spans="1:35" ht="6" customHeight="1">
      <c r="A17" s="4"/>
      <c r="B17" s="231"/>
      <c r="C17" s="4"/>
      <c r="D17" s="4"/>
      <c r="E17" s="4"/>
      <c r="F17" s="4"/>
      <c r="G17" s="4"/>
      <c r="H17" s="4"/>
      <c r="I17" s="4"/>
      <c r="J17" s="4"/>
      <c r="K17" s="4"/>
      <c r="L17" s="4"/>
      <c r="M17" s="4"/>
      <c r="N17" s="4"/>
      <c r="O17" s="4"/>
      <c r="P17" s="4"/>
      <c r="Q17" s="4"/>
      <c r="R17" s="4"/>
      <c r="S17" s="226"/>
      <c r="T17" s="226"/>
      <c r="U17" s="227"/>
      <c r="V17" s="227"/>
      <c r="W17" s="227"/>
      <c r="X17" s="227"/>
      <c r="Y17" s="227"/>
      <c r="Z17" s="227"/>
      <c r="AA17" s="227"/>
      <c r="AB17" s="227"/>
      <c r="AC17" s="227"/>
      <c r="AD17" s="4"/>
    </row>
    <row r="18" spans="1:35" ht="15.75" customHeight="1">
      <c r="A18" s="6"/>
      <c r="B18" s="124" t="s">
        <v>1077</v>
      </c>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200"/>
    </row>
    <row r="19" spans="1:35" ht="33.75" customHeight="1">
      <c r="A19" s="4"/>
      <c r="B19" s="1389" t="s">
        <v>77</v>
      </c>
      <c r="C19" s="1389"/>
      <c r="D19" s="1389"/>
      <c r="E19" s="1389"/>
      <c r="F19" s="1389"/>
      <c r="G19" s="1389"/>
      <c r="H19" s="1389" t="s">
        <v>158</v>
      </c>
      <c r="I19" s="1389"/>
      <c r="J19" s="1389"/>
      <c r="K19" s="1389"/>
      <c r="L19" s="1389"/>
      <c r="M19" s="1389" t="s">
        <v>1053</v>
      </c>
      <c r="N19" s="1389"/>
      <c r="O19" s="1389"/>
      <c r="P19" s="1389"/>
      <c r="Q19" s="1437" t="s">
        <v>1078</v>
      </c>
      <c r="R19" s="1438"/>
      <c r="S19" s="1438"/>
      <c r="T19" s="1438"/>
      <c r="U19" s="1438"/>
      <c r="V19" s="1438"/>
      <c r="W19" s="1439"/>
      <c r="X19" s="1389" t="s">
        <v>1079</v>
      </c>
      <c r="Y19" s="1389"/>
      <c r="Z19" s="1389"/>
      <c r="AA19" s="1389"/>
      <c r="AB19" s="1389"/>
      <c r="AC19" s="1389"/>
      <c r="AD19" s="198"/>
      <c r="AH19" s="203"/>
    </row>
    <row r="20" spans="1:35" ht="15.75">
      <c r="A20" s="34"/>
      <c r="B20" s="1573"/>
      <c r="C20" s="1573"/>
      <c r="D20" s="1573"/>
      <c r="E20" s="1573"/>
      <c r="F20" s="1573"/>
      <c r="G20" s="1573"/>
      <c r="H20" s="1377">
        <v>679.5</v>
      </c>
      <c r="I20" s="1377"/>
      <c r="J20" s="1377"/>
      <c r="K20" s="1377"/>
      <c r="L20" s="1377"/>
      <c r="M20" s="1579"/>
      <c r="N20" s="1579"/>
      <c r="O20" s="1579"/>
      <c r="P20" s="1579"/>
      <c r="Q20" s="1642">
        <f>F13</f>
        <v>825</v>
      </c>
      <c r="R20" s="1643"/>
      <c r="S20" s="1643"/>
      <c r="T20" s="1643"/>
      <c r="U20" s="1643"/>
      <c r="V20" s="1643"/>
      <c r="W20" s="1644"/>
      <c r="X20" s="1377">
        <f>+H20*Q20</f>
        <v>560587.5</v>
      </c>
      <c r="Y20" s="1377"/>
      <c r="Z20" s="1377"/>
      <c r="AA20" s="1377"/>
      <c r="AB20" s="1377"/>
      <c r="AC20" s="1377"/>
      <c r="AD20" s="210"/>
    </row>
    <row r="21" spans="1:35" ht="15.75">
      <c r="A21" s="4"/>
      <c r="B21" s="39" t="s">
        <v>160</v>
      </c>
      <c r="C21" s="6"/>
      <c r="D21" s="6"/>
      <c r="E21" s="6"/>
      <c r="F21" s="6"/>
      <c r="G21" s="6"/>
      <c r="H21" s="1387">
        <f>SUM(H20:L20)</f>
        <v>679.5</v>
      </c>
      <c r="I21" s="1387"/>
      <c r="J21" s="1387"/>
      <c r="K21" s="1387"/>
      <c r="L21" s="1387"/>
      <c r="M21" s="80"/>
      <c r="N21" s="80"/>
      <c r="O21" s="80"/>
      <c r="P21" s="80"/>
      <c r="Q21" s="80"/>
      <c r="R21" s="80"/>
      <c r="S21" s="80"/>
      <c r="T21" s="73"/>
      <c r="U21" s="73"/>
      <c r="V21" s="73"/>
      <c r="W21" s="73"/>
      <c r="X21" s="1387">
        <f>SUM(X20:AC20)</f>
        <v>560587.5</v>
      </c>
      <c r="Y21" s="1387"/>
      <c r="Z21" s="1387"/>
      <c r="AA21" s="1387"/>
      <c r="AB21" s="1387"/>
      <c r="AC21" s="1387"/>
      <c r="AD21" s="201"/>
    </row>
    <row r="22" spans="1:35" ht="9" customHeight="1">
      <c r="A22" s="4"/>
      <c r="B22" s="73"/>
      <c r="C22" s="6"/>
      <c r="D22" s="6"/>
      <c r="E22" s="6"/>
      <c r="F22" s="6"/>
      <c r="G22" s="6"/>
      <c r="H22" s="60"/>
      <c r="I22" s="60"/>
      <c r="J22" s="60"/>
      <c r="K22" s="60"/>
      <c r="L22" s="60"/>
      <c r="M22" s="80"/>
      <c r="N22" s="80"/>
      <c r="O22" s="80"/>
      <c r="P22" s="80"/>
      <c r="Q22" s="80"/>
      <c r="R22" s="80"/>
      <c r="S22" s="80"/>
      <c r="T22" s="73"/>
      <c r="U22" s="73"/>
      <c r="V22" s="73"/>
      <c r="W22" s="73"/>
      <c r="X22" s="60"/>
      <c r="Y22" s="60"/>
      <c r="Z22" s="60"/>
      <c r="AA22" s="60"/>
      <c r="AB22" s="60"/>
      <c r="AC22" s="60"/>
      <c r="AD22" s="60"/>
    </row>
    <row r="23" spans="1:35" ht="15.75">
      <c r="A23" s="4"/>
      <c r="B23" s="230" t="s">
        <v>1082</v>
      </c>
      <c r="C23" s="6"/>
      <c r="D23" s="6"/>
      <c r="E23" s="6"/>
      <c r="F23" s="6"/>
      <c r="G23" s="6"/>
      <c r="H23" s="60"/>
      <c r="I23" s="60"/>
      <c r="J23" s="60"/>
      <c r="K23" s="60"/>
      <c r="L23" s="60"/>
      <c r="M23" s="80"/>
      <c r="N23" s="80"/>
      <c r="O23" s="80"/>
      <c r="P23" s="80"/>
      <c r="Q23" s="80"/>
      <c r="R23" s="80"/>
      <c r="S23" s="80"/>
      <c r="T23" s="73"/>
      <c r="U23" s="73"/>
      <c r="V23" s="73"/>
      <c r="W23" s="73"/>
      <c r="X23" s="60"/>
      <c r="Y23" s="60"/>
      <c r="Z23" s="60"/>
      <c r="AA23" s="60"/>
      <c r="AB23" s="60"/>
      <c r="AC23" s="60"/>
      <c r="AD23" s="60"/>
      <c r="AI23">
        <f>7+56+56</f>
        <v>119</v>
      </c>
    </row>
    <row r="24" spans="1:35" ht="9" customHeight="1">
      <c r="A24" s="4"/>
      <c r="B24" s="230"/>
      <c r="C24" s="6"/>
      <c r="D24" s="6"/>
      <c r="E24" s="6"/>
      <c r="F24" s="6"/>
      <c r="G24" s="6"/>
      <c r="H24" s="60"/>
      <c r="I24" s="60"/>
      <c r="J24" s="60"/>
      <c r="K24" s="60"/>
      <c r="L24" s="60"/>
      <c r="M24" s="80"/>
      <c r="N24" s="80"/>
      <c r="O24" s="80"/>
      <c r="P24" s="80"/>
      <c r="Q24" s="80"/>
      <c r="R24" s="80"/>
      <c r="S24" s="80"/>
      <c r="T24" s="73"/>
      <c r="U24" s="73"/>
      <c r="V24" s="73"/>
      <c r="W24" s="73"/>
      <c r="X24" s="60"/>
      <c r="Y24" s="60"/>
      <c r="Z24" s="60"/>
      <c r="AA24" s="60"/>
      <c r="AB24" s="60"/>
      <c r="AC24" s="60"/>
      <c r="AD24" s="60"/>
      <c r="AI24">
        <f>15/AI23</f>
        <v>0.12605042016806722</v>
      </c>
    </row>
    <row r="25" spans="1:35" ht="32.25" customHeight="1">
      <c r="A25" s="4"/>
      <c r="B25" s="1437" t="s">
        <v>77</v>
      </c>
      <c r="C25" s="1438"/>
      <c r="D25" s="1438"/>
      <c r="E25" s="1438"/>
      <c r="F25" s="1438"/>
      <c r="G25" s="1438"/>
      <c r="H25" s="1438"/>
      <c r="I25" s="1438"/>
      <c r="J25" s="1438"/>
      <c r="K25" s="1438"/>
      <c r="L25" s="1439"/>
      <c r="M25" s="1389" t="s">
        <v>158</v>
      </c>
      <c r="N25" s="1389"/>
      <c r="O25" s="1389"/>
      <c r="P25" s="1389"/>
      <c r="Q25" s="1437" t="s">
        <v>1085</v>
      </c>
      <c r="R25" s="1438"/>
      <c r="S25" s="1438"/>
      <c r="T25" s="1438"/>
      <c r="U25" s="1438"/>
      <c r="V25" s="1437" t="s">
        <v>1089</v>
      </c>
      <c r="W25" s="1439"/>
      <c r="X25" s="1439" t="s">
        <v>1079</v>
      </c>
      <c r="Y25" s="1389"/>
      <c r="Z25" s="1389"/>
      <c r="AA25" s="1389"/>
      <c r="AB25" s="1389"/>
      <c r="AC25" s="1389"/>
      <c r="AD25" s="60"/>
      <c r="AE25" s="234">
        <f>+X21+X28</f>
        <v>1005262.5</v>
      </c>
    </row>
    <row r="26" spans="1:35" ht="15.75">
      <c r="A26" s="4"/>
      <c r="B26" s="1679" t="s">
        <v>1084</v>
      </c>
      <c r="C26" s="1680"/>
      <c r="D26" s="1680"/>
      <c r="E26" s="1680"/>
      <c r="F26" s="1680"/>
      <c r="G26" s="1680"/>
      <c r="H26" s="1680"/>
      <c r="I26" s="1680"/>
      <c r="J26" s="1680"/>
      <c r="K26" s="1680"/>
      <c r="L26" s="1681"/>
      <c r="M26" s="1377">
        <f>7*7*3</f>
        <v>147</v>
      </c>
      <c r="N26" s="1377"/>
      <c r="O26" s="1377"/>
      <c r="P26" s="1377"/>
      <c r="Q26" s="1642">
        <v>1650</v>
      </c>
      <c r="R26" s="1643"/>
      <c r="S26" s="1643"/>
      <c r="T26" s="1643"/>
      <c r="U26" s="1643"/>
      <c r="V26" s="1642">
        <v>1</v>
      </c>
      <c r="W26" s="1644"/>
      <c r="X26" s="1377">
        <f>+M26*Q26</f>
        <v>242550</v>
      </c>
      <c r="Y26" s="1377"/>
      <c r="Z26" s="1377"/>
      <c r="AA26" s="1377"/>
      <c r="AB26" s="1377"/>
      <c r="AC26" s="1377"/>
      <c r="AD26" s="60"/>
      <c r="AE26">
        <f>+X28*AI24</f>
        <v>56051.470588235294</v>
      </c>
    </row>
    <row r="27" spans="1:35" ht="15.75">
      <c r="A27" s="4"/>
      <c r="B27" s="1668" t="s">
        <v>1083</v>
      </c>
      <c r="C27" s="1669"/>
      <c r="D27" s="1669"/>
      <c r="E27" s="1669"/>
      <c r="F27" s="1669"/>
      <c r="G27" s="1669"/>
      <c r="H27" s="1669"/>
      <c r="I27" s="1669"/>
      <c r="J27" s="1669"/>
      <c r="K27" s="1669"/>
      <c r="L27" s="1670"/>
      <c r="M27" s="1377">
        <f>392-M26</f>
        <v>245</v>
      </c>
      <c r="N27" s="1377"/>
      <c r="O27" s="1377"/>
      <c r="P27" s="1377"/>
      <c r="Q27" s="1642">
        <v>1650</v>
      </c>
      <c r="R27" s="1643"/>
      <c r="S27" s="1643"/>
      <c r="T27" s="1643"/>
      <c r="U27" s="1643"/>
      <c r="V27" s="1642">
        <v>0.5</v>
      </c>
      <c r="W27" s="1644"/>
      <c r="X27" s="1678">
        <f>+M27*Q27*V27</f>
        <v>202125</v>
      </c>
      <c r="Y27" s="1678"/>
      <c r="Z27" s="1678"/>
      <c r="AA27" s="1678"/>
      <c r="AB27" s="1678"/>
      <c r="AC27" s="1678"/>
      <c r="AD27" s="60"/>
      <c r="AE27" s="234">
        <f>+AE26+X21</f>
        <v>616638.9705882353</v>
      </c>
    </row>
    <row r="28" spans="1:35" ht="15.75">
      <c r="A28" s="4"/>
      <c r="B28" s="39" t="s">
        <v>160</v>
      </c>
      <c r="C28" s="6"/>
      <c r="D28" s="6"/>
      <c r="E28" s="6"/>
      <c r="F28" s="6"/>
      <c r="G28" s="6"/>
      <c r="H28" s="232"/>
      <c r="I28" s="232"/>
      <c r="J28" s="232"/>
      <c r="K28" s="232"/>
      <c r="L28" s="232"/>
      <c r="M28" s="1671">
        <f>SUM(M26:P27)</f>
        <v>392</v>
      </c>
      <c r="N28" s="1672"/>
      <c r="O28" s="1672"/>
      <c r="P28" s="1673"/>
      <c r="Q28" s="80"/>
      <c r="R28" s="80"/>
      <c r="S28" s="80"/>
      <c r="T28" s="73"/>
      <c r="U28" s="73"/>
      <c r="V28" s="73"/>
      <c r="W28" s="73"/>
      <c r="X28" s="1677">
        <f>SUM(X26:AC27)</f>
        <v>444675</v>
      </c>
      <c r="Y28" s="1677"/>
      <c r="Z28" s="1677"/>
      <c r="AA28" s="1677"/>
      <c r="AB28" s="1677"/>
      <c r="AC28" s="1677"/>
      <c r="AD28" s="60"/>
      <c r="AH28">
        <f>+AE27/H21</f>
        <v>907.48928710557072</v>
      </c>
    </row>
    <row r="29" spans="1:35" ht="15.75">
      <c r="A29" s="4"/>
      <c r="B29" s="39"/>
      <c r="C29" s="6"/>
      <c r="D29" s="6"/>
      <c r="E29" s="6"/>
      <c r="F29" s="6"/>
      <c r="G29" s="6"/>
      <c r="H29" s="232"/>
      <c r="I29" s="232"/>
      <c r="J29" s="232"/>
      <c r="K29" s="232"/>
      <c r="L29" s="232"/>
      <c r="M29" s="80"/>
      <c r="N29" s="80"/>
      <c r="O29" s="80"/>
      <c r="P29" s="1682" t="s">
        <v>1090</v>
      </c>
      <c r="Q29" s="1682"/>
      <c r="R29" s="1682"/>
      <c r="S29" s="1682"/>
      <c r="T29" s="1682"/>
      <c r="U29" s="1682"/>
      <c r="V29" s="1384"/>
      <c r="W29" s="1384"/>
      <c r="X29" s="1387">
        <f>+X28*V29</f>
        <v>0</v>
      </c>
      <c r="Y29" s="1387"/>
      <c r="Z29" s="1387"/>
      <c r="AA29" s="1387"/>
      <c r="AB29" s="1387"/>
      <c r="AC29" s="1387"/>
      <c r="AD29" s="60"/>
    </row>
    <row r="30" spans="1:35" ht="16.5" thickBot="1">
      <c r="A30" s="4"/>
      <c r="B30" s="230"/>
      <c r="C30" s="6"/>
      <c r="D30" s="6"/>
      <c r="E30" s="6"/>
      <c r="F30" s="6"/>
      <c r="G30" s="6"/>
      <c r="H30" s="60"/>
      <c r="I30" s="60"/>
      <c r="J30" s="60"/>
      <c r="K30" s="60"/>
      <c r="L30" s="60"/>
      <c r="M30" s="80"/>
      <c r="N30" s="80"/>
      <c r="O30" s="80"/>
      <c r="P30" s="80"/>
      <c r="Q30" s="80"/>
      <c r="R30" s="80"/>
      <c r="S30" s="80"/>
      <c r="T30" s="73"/>
      <c r="U30" s="73"/>
      <c r="V30" s="73"/>
      <c r="W30" s="73"/>
      <c r="X30" s="60"/>
      <c r="Y30" s="60"/>
      <c r="Z30" s="60"/>
      <c r="AA30" s="60"/>
      <c r="AB30" s="60"/>
      <c r="AC30" s="60"/>
      <c r="AD30" s="60"/>
    </row>
    <row r="31" spans="1:35" ht="16.5" thickBot="1">
      <c r="A31" s="4"/>
      <c r="B31" s="39" t="s">
        <v>1086</v>
      </c>
      <c r="C31" s="6"/>
      <c r="D31" s="6"/>
      <c r="E31" s="6"/>
      <c r="F31" s="6"/>
      <c r="G31" s="6"/>
      <c r="H31" s="60"/>
      <c r="I31" s="60"/>
      <c r="J31" s="60"/>
      <c r="K31" s="60"/>
      <c r="L31" s="60"/>
      <c r="M31" s="80"/>
      <c r="N31" s="80"/>
      <c r="O31" s="80"/>
      <c r="P31" s="80"/>
      <c r="Q31" s="80"/>
      <c r="R31" s="80"/>
      <c r="S31" s="80"/>
      <c r="T31" s="73"/>
      <c r="U31" s="73"/>
      <c r="V31" s="73"/>
      <c r="W31" s="39" t="s">
        <v>1060</v>
      </c>
      <c r="X31" s="1674">
        <f>X21+X29</f>
        <v>560587.5</v>
      </c>
      <c r="Y31" s="1675"/>
      <c r="Z31" s="1675"/>
      <c r="AA31" s="1675"/>
      <c r="AB31" s="1675"/>
      <c r="AC31" s="1676"/>
      <c r="AD31" s="60"/>
    </row>
    <row r="32" spans="1:35" ht="15.75">
      <c r="A32" s="4"/>
      <c r="B32" s="233" t="s">
        <v>1087</v>
      </c>
      <c r="C32" s="6"/>
      <c r="D32" s="6"/>
      <c r="E32" s="6"/>
      <c r="F32" s="6"/>
      <c r="G32" s="6"/>
      <c r="H32" s="60"/>
      <c r="I32" s="60"/>
      <c r="J32" s="60"/>
      <c r="K32" s="60"/>
      <c r="L32" s="60"/>
      <c r="M32" s="80"/>
      <c r="N32" s="80"/>
      <c r="O32" s="80"/>
      <c r="P32" s="80"/>
      <c r="Q32" s="80"/>
      <c r="R32" s="80"/>
      <c r="S32" s="80"/>
      <c r="T32" s="73"/>
      <c r="U32" s="73"/>
      <c r="V32" s="73"/>
      <c r="W32" s="73"/>
      <c r="X32" s="60"/>
      <c r="Y32" s="60"/>
      <c r="Z32" s="60"/>
      <c r="AA32" s="60"/>
      <c r="AB32" s="60"/>
      <c r="AC32" s="60"/>
      <c r="AD32" s="60"/>
    </row>
    <row r="33" spans="1:30" ht="3.75" customHeight="1">
      <c r="A33" s="4"/>
      <c r="B33" s="73"/>
      <c r="C33" s="6"/>
      <c r="D33" s="6"/>
      <c r="E33" s="6"/>
      <c r="F33" s="6"/>
      <c r="G33" s="6"/>
      <c r="H33" s="60"/>
      <c r="I33" s="60"/>
      <c r="J33" s="60"/>
      <c r="K33" s="60"/>
      <c r="L33" s="60"/>
      <c r="M33" s="80"/>
      <c r="N33" s="80"/>
      <c r="O33" s="80"/>
      <c r="P33" s="80"/>
      <c r="Q33" s="80"/>
      <c r="R33" s="80"/>
      <c r="S33" s="80"/>
      <c r="T33" s="73"/>
      <c r="U33" s="73"/>
      <c r="V33" s="73"/>
      <c r="W33" s="73"/>
      <c r="X33" s="60"/>
      <c r="Y33" s="60"/>
      <c r="Z33" s="60"/>
      <c r="AA33" s="60"/>
      <c r="AB33" s="60"/>
      <c r="AC33" s="60"/>
      <c r="AD33" s="60"/>
    </row>
    <row r="34" spans="1:30" ht="15.75">
      <c r="A34" s="1370" t="s">
        <v>847</v>
      </c>
      <c r="B34" s="1370"/>
      <c r="C34" s="1370"/>
      <c r="D34" s="1370"/>
      <c r="E34" s="1370"/>
      <c r="F34" s="1370"/>
      <c r="G34" s="1370"/>
      <c r="H34" s="1370"/>
      <c r="I34" s="1370"/>
      <c r="J34" s="1370"/>
      <c r="K34" s="1370"/>
      <c r="L34" s="1370"/>
      <c r="M34" s="1370"/>
      <c r="N34" s="1370"/>
      <c r="O34" s="1370"/>
      <c r="P34" s="1370"/>
      <c r="Q34" s="1370"/>
      <c r="R34" s="1370"/>
      <c r="S34" s="1370"/>
      <c r="T34" s="1370"/>
      <c r="U34" s="1370"/>
      <c r="V34" s="1370"/>
      <c r="W34" s="1370"/>
      <c r="X34" s="1370"/>
      <c r="Y34" s="1370"/>
      <c r="Z34" s="1370"/>
      <c r="AA34" s="1370"/>
      <c r="AB34" s="1370"/>
      <c r="AC34" s="1370"/>
      <c r="AD34" s="42"/>
    </row>
    <row r="35" spans="1:30" ht="11.25" customHeight="1">
      <c r="A35" s="4"/>
      <c r="B35" s="73"/>
      <c r="C35" s="73"/>
      <c r="D35" s="73"/>
      <c r="E35" s="73"/>
      <c r="F35" s="73"/>
      <c r="G35" s="73"/>
      <c r="H35" s="73"/>
      <c r="I35" s="73"/>
      <c r="J35" s="73"/>
      <c r="K35" s="73"/>
      <c r="L35" s="4"/>
      <c r="M35" s="35"/>
      <c r="N35" s="4"/>
      <c r="O35" s="4"/>
      <c r="P35" s="4"/>
      <c r="Q35" s="4"/>
      <c r="R35" s="4"/>
      <c r="S35" s="4"/>
      <c r="T35" s="4"/>
      <c r="U35" s="4"/>
      <c r="V35" s="4"/>
      <c r="W35" s="4"/>
      <c r="X35" s="4"/>
      <c r="Y35" s="4"/>
      <c r="Z35" s="4"/>
      <c r="AA35" s="4"/>
      <c r="AB35" s="4"/>
      <c r="AC35" s="4"/>
      <c r="AD35" s="4"/>
    </row>
    <row r="36" spans="1:30" ht="15.75">
      <c r="A36" s="4"/>
      <c r="B36" s="73"/>
      <c r="C36" s="73"/>
      <c r="D36" s="73"/>
      <c r="E36" s="73"/>
      <c r="F36" s="73"/>
      <c r="G36" s="73"/>
      <c r="H36" s="73"/>
      <c r="I36" s="73"/>
      <c r="J36" s="73"/>
      <c r="K36" s="73"/>
      <c r="L36" s="4"/>
      <c r="M36" s="4"/>
      <c r="N36" s="4"/>
      <c r="O36" s="4"/>
      <c r="P36" s="4"/>
      <c r="Q36" s="4"/>
      <c r="R36" s="4"/>
      <c r="S36" s="4"/>
      <c r="T36" s="4"/>
      <c r="U36" s="4"/>
      <c r="V36" s="4"/>
      <c r="W36" s="1582" t="s">
        <v>161</v>
      </c>
      <c r="X36" s="1582"/>
      <c r="Y36" s="1582"/>
      <c r="Z36" s="1582"/>
      <c r="AA36" s="1582"/>
      <c r="AB36" s="1582"/>
      <c r="AC36" s="1582"/>
      <c r="AD36" s="212"/>
    </row>
    <row r="37" spans="1:30" ht="16.5">
      <c r="A37" s="4"/>
      <c r="B37" s="1583" t="s">
        <v>162</v>
      </c>
      <c r="C37" s="1583"/>
      <c r="D37" s="1583"/>
      <c r="E37" s="1583"/>
      <c r="F37" s="1583"/>
      <c r="G37" s="1583"/>
      <c r="H37" s="1583"/>
      <c r="I37" s="1583"/>
      <c r="J37" s="1583"/>
      <c r="K37" s="1583"/>
      <c r="L37" s="1583"/>
      <c r="M37" s="1583"/>
      <c r="N37" s="1583"/>
      <c r="O37" s="1583"/>
      <c r="P37" s="1583"/>
      <c r="Q37" s="1583"/>
      <c r="R37" s="1583"/>
      <c r="S37" s="1583"/>
      <c r="T37" s="1583"/>
      <c r="U37" s="1583"/>
      <c r="V37" s="1583"/>
      <c r="W37" s="1647" t="s">
        <v>424</v>
      </c>
      <c r="X37" s="1648"/>
      <c r="Y37" s="1648"/>
      <c r="Z37" s="1648"/>
      <c r="AA37" s="1648"/>
      <c r="AB37" s="1648"/>
      <c r="AC37" s="1649"/>
      <c r="AD37"/>
    </row>
    <row r="38" spans="1:30" ht="6.75" customHeight="1">
      <c r="A38" s="4"/>
      <c r="B38" s="81"/>
      <c r="C38" s="81"/>
      <c r="D38" s="81"/>
      <c r="E38" s="81"/>
      <c r="F38" s="81"/>
      <c r="G38" s="81"/>
      <c r="H38" s="81"/>
      <c r="I38" s="81"/>
      <c r="J38" s="81"/>
      <c r="K38" s="81"/>
      <c r="L38" s="81"/>
      <c r="M38" s="4"/>
      <c r="N38" s="4"/>
      <c r="O38" s="4"/>
      <c r="P38" s="4"/>
      <c r="Q38" s="4"/>
      <c r="R38" s="4"/>
      <c r="S38" s="4"/>
      <c r="T38" s="4"/>
      <c r="U38" s="4"/>
      <c r="V38" s="4"/>
      <c r="W38" s="4"/>
      <c r="X38" s="4"/>
      <c r="Y38" s="4"/>
      <c r="Z38" s="4"/>
      <c r="AA38" s="4"/>
      <c r="AB38" s="4"/>
      <c r="AC38" s="4"/>
      <c r="AD38" s="4"/>
    </row>
    <row r="39" spans="1:30" ht="15.75">
      <c r="A39" s="4"/>
      <c r="B39" s="1386" t="s">
        <v>164</v>
      </c>
      <c r="C39" s="1386"/>
      <c r="D39" s="1386"/>
      <c r="E39" s="1386" t="s">
        <v>165</v>
      </c>
      <c r="F39" s="1386"/>
      <c r="G39" s="1386"/>
      <c r="H39" s="1386"/>
      <c r="I39" s="1386"/>
      <c r="J39" s="1386"/>
      <c r="K39" s="1386"/>
      <c r="L39" s="1386" t="s">
        <v>166</v>
      </c>
      <c r="M39" s="1386"/>
      <c r="N39" s="1386"/>
      <c r="O39" s="1386" t="s">
        <v>167</v>
      </c>
      <c r="P39" s="1386"/>
      <c r="Q39" s="1386"/>
      <c r="R39" s="1386" t="s">
        <v>168</v>
      </c>
      <c r="S39" s="1386"/>
      <c r="T39" s="1386"/>
      <c r="U39" s="1386" t="s">
        <v>169</v>
      </c>
      <c r="V39" s="1386"/>
      <c r="W39" s="1386"/>
      <c r="X39" s="1386" t="s">
        <v>170</v>
      </c>
      <c r="Y39" s="1386"/>
      <c r="Z39" s="1386"/>
      <c r="AA39" s="1386" t="s">
        <v>171</v>
      </c>
      <c r="AB39" s="1386"/>
      <c r="AC39" s="1386"/>
      <c r="AD39" s="54"/>
    </row>
    <row r="40" spans="1:30" ht="15.75">
      <c r="A40" s="4"/>
      <c r="B40" s="1386"/>
      <c r="C40" s="1386"/>
      <c r="D40" s="1386"/>
      <c r="E40" s="1386"/>
      <c r="F40" s="1386"/>
      <c r="G40" s="1386"/>
      <c r="H40" s="1386"/>
      <c r="I40" s="1386"/>
      <c r="J40" s="1386"/>
      <c r="K40" s="1386"/>
      <c r="L40" s="151" t="s">
        <v>172</v>
      </c>
      <c r="M40" s="182" t="s">
        <v>173</v>
      </c>
      <c r="N40" s="182"/>
      <c r="O40" s="151" t="s">
        <v>172</v>
      </c>
      <c r="P40" s="182" t="s">
        <v>173</v>
      </c>
      <c r="Q40" s="182"/>
      <c r="R40" s="151" t="s">
        <v>172</v>
      </c>
      <c r="S40" s="182" t="s">
        <v>173</v>
      </c>
      <c r="T40" s="182"/>
      <c r="U40" s="151" t="s">
        <v>172</v>
      </c>
      <c r="V40" s="182" t="s">
        <v>173</v>
      </c>
      <c r="W40" s="182"/>
      <c r="X40" s="151" t="s">
        <v>172</v>
      </c>
      <c r="Y40" s="182" t="s">
        <v>173</v>
      </c>
      <c r="Z40" s="182"/>
      <c r="AA40" s="151" t="s">
        <v>172</v>
      </c>
      <c r="AB40" s="182" t="s">
        <v>173</v>
      </c>
      <c r="AC40" s="182"/>
      <c r="AD40" s="39"/>
    </row>
    <row r="41" spans="1:30" ht="15.75">
      <c r="A41" s="4"/>
      <c r="B41" s="1587">
        <v>1</v>
      </c>
      <c r="C41" s="1587"/>
      <c r="D41" s="1587"/>
      <c r="E41" s="1588" t="s">
        <v>174</v>
      </c>
      <c r="F41" s="1588"/>
      <c r="G41" s="1588"/>
      <c r="H41" s="1588"/>
      <c r="I41" s="1588"/>
      <c r="J41" s="1588"/>
      <c r="K41" s="1588"/>
      <c r="L41" s="204" t="s">
        <v>175</v>
      </c>
      <c r="M41" s="1581" t="s">
        <v>773</v>
      </c>
      <c r="N41" s="1581"/>
      <c r="O41" s="96"/>
      <c r="P41" s="1581" t="s">
        <v>773</v>
      </c>
      <c r="Q41" s="1581"/>
      <c r="R41" s="96"/>
      <c r="S41" s="1581" t="s">
        <v>773</v>
      </c>
      <c r="T41" s="1581"/>
      <c r="U41" s="96"/>
      <c r="V41" s="1581" t="s">
        <v>773</v>
      </c>
      <c r="W41" s="1581"/>
      <c r="X41" s="96"/>
      <c r="Y41" s="1581" t="s">
        <v>773</v>
      </c>
      <c r="Z41" s="1581"/>
      <c r="AA41" s="96"/>
      <c r="AB41" s="1581" t="s">
        <v>773</v>
      </c>
      <c r="AC41" s="1581"/>
      <c r="AD41" s="213"/>
    </row>
    <row r="42" spans="1:30" ht="15.75">
      <c r="A42" s="4"/>
      <c r="B42" s="1587">
        <v>2</v>
      </c>
      <c r="C42" s="1587"/>
      <c r="D42" s="1587"/>
      <c r="E42" s="1588" t="s">
        <v>96</v>
      </c>
      <c r="F42" s="1588"/>
      <c r="G42" s="1588"/>
      <c r="H42" s="1588"/>
      <c r="I42" s="1588"/>
      <c r="J42" s="1588"/>
      <c r="K42" s="1588"/>
      <c r="L42" s="204"/>
      <c r="M42" s="1650" t="s">
        <v>773</v>
      </c>
      <c r="N42" s="1651"/>
      <c r="O42" s="96"/>
      <c r="P42" s="1650" t="s">
        <v>773</v>
      </c>
      <c r="Q42" s="1651"/>
      <c r="R42" s="96"/>
      <c r="S42" s="1650" t="s">
        <v>773</v>
      </c>
      <c r="T42" s="1651"/>
      <c r="U42" s="96"/>
      <c r="V42" s="1581" t="s">
        <v>773</v>
      </c>
      <c r="W42" s="1581"/>
      <c r="X42" s="96"/>
      <c r="Y42" s="1581" t="s">
        <v>773</v>
      </c>
      <c r="Z42" s="1581"/>
      <c r="AA42" s="96"/>
      <c r="AB42" s="1581" t="s">
        <v>773</v>
      </c>
      <c r="AC42" s="1581"/>
      <c r="AD42" s="213"/>
    </row>
    <row r="43" spans="1:30" ht="15.75">
      <c r="A43" s="4"/>
      <c r="B43" s="1587">
        <v>3</v>
      </c>
      <c r="C43" s="1587"/>
      <c r="D43" s="1587"/>
      <c r="E43" s="1588" t="s">
        <v>116</v>
      </c>
      <c r="F43" s="1588"/>
      <c r="G43" s="1588"/>
      <c r="H43" s="1588"/>
      <c r="I43" s="1588"/>
      <c r="J43" s="1588"/>
      <c r="K43" s="1588"/>
      <c r="L43" s="96"/>
      <c r="M43" s="1650" t="s">
        <v>773</v>
      </c>
      <c r="N43" s="1651"/>
      <c r="O43" s="96"/>
      <c r="P43" s="1650" t="s">
        <v>773</v>
      </c>
      <c r="Q43" s="1651"/>
      <c r="R43" s="96"/>
      <c r="S43" s="1581" t="s">
        <v>773</v>
      </c>
      <c r="T43" s="1581"/>
      <c r="U43" s="96"/>
      <c r="V43" s="1581" t="s">
        <v>773</v>
      </c>
      <c r="W43" s="1581"/>
      <c r="X43" s="96"/>
      <c r="Y43" s="1581" t="s">
        <v>773</v>
      </c>
      <c r="Z43" s="1581"/>
      <c r="AA43" s="96"/>
      <c r="AB43" s="1581" t="s">
        <v>773</v>
      </c>
      <c r="AC43" s="1581"/>
      <c r="AD43"/>
    </row>
    <row r="44" spans="1:30" ht="15.75">
      <c r="A44" s="4"/>
      <c r="B44" s="1587">
        <v>4</v>
      </c>
      <c r="C44" s="1587"/>
      <c r="D44" s="1587"/>
      <c r="E44" s="1588" t="s">
        <v>177</v>
      </c>
      <c r="F44" s="1588"/>
      <c r="G44" s="1588"/>
      <c r="H44" s="1588"/>
      <c r="I44" s="1588"/>
      <c r="J44" s="1588"/>
      <c r="K44" s="1588"/>
      <c r="L44" s="204" t="s">
        <v>175</v>
      </c>
      <c r="M44" s="1652" t="s">
        <v>773</v>
      </c>
      <c r="N44" s="1653"/>
      <c r="O44" s="96"/>
      <c r="P44" s="1650" t="s">
        <v>773</v>
      </c>
      <c r="Q44" s="1651"/>
      <c r="R44" s="96"/>
      <c r="S44" s="1650" t="s">
        <v>773</v>
      </c>
      <c r="T44" s="1651"/>
      <c r="U44" s="96"/>
      <c r="V44" s="1581" t="s">
        <v>773</v>
      </c>
      <c r="W44" s="1581"/>
      <c r="X44" s="96"/>
      <c r="Y44" s="1581" t="s">
        <v>773</v>
      </c>
      <c r="Z44" s="1581"/>
      <c r="AA44" s="96"/>
      <c r="AB44" s="1581" t="s">
        <v>773</v>
      </c>
      <c r="AC44" s="1581"/>
      <c r="AD44" s="213"/>
    </row>
    <row r="45" spans="1:30" ht="15.75">
      <c r="A45" s="4"/>
      <c r="B45" s="1587">
        <v>5</v>
      </c>
      <c r="C45" s="1587"/>
      <c r="D45" s="1587"/>
      <c r="E45" s="1588" t="s">
        <v>117</v>
      </c>
      <c r="F45" s="1588"/>
      <c r="G45" s="1588"/>
      <c r="H45" s="1588"/>
      <c r="I45" s="1588"/>
      <c r="J45" s="1588"/>
      <c r="K45" s="1588"/>
      <c r="L45" s="204"/>
      <c r="M45" s="1650" t="s">
        <v>773</v>
      </c>
      <c r="N45" s="1651"/>
      <c r="O45" s="96"/>
      <c r="P45" s="1650" t="s">
        <v>773</v>
      </c>
      <c r="Q45" s="1651"/>
      <c r="R45" s="96"/>
      <c r="S45" s="1650" t="s">
        <v>773</v>
      </c>
      <c r="T45" s="1651"/>
      <c r="U45" s="96"/>
      <c r="V45" s="1581" t="s">
        <v>773</v>
      </c>
      <c r="W45" s="1581"/>
      <c r="X45" s="96"/>
      <c r="Y45" s="1581" t="s">
        <v>773</v>
      </c>
      <c r="Z45" s="1581"/>
      <c r="AA45" s="96"/>
      <c r="AB45" s="1581" t="s">
        <v>773</v>
      </c>
      <c r="AC45" s="1581"/>
      <c r="AD45" s="213"/>
    </row>
    <row r="46" spans="1:30" ht="15.75">
      <c r="A46" s="4"/>
      <c r="B46" s="1587">
        <v>6</v>
      </c>
      <c r="C46" s="1587"/>
      <c r="D46" s="1587"/>
      <c r="E46" s="1588" t="s">
        <v>112</v>
      </c>
      <c r="F46" s="1588"/>
      <c r="G46" s="1588"/>
      <c r="H46" s="1588"/>
      <c r="I46" s="1588"/>
      <c r="J46" s="1588"/>
      <c r="K46" s="1588"/>
      <c r="L46" s="204"/>
      <c r="M46" s="1581" t="s">
        <v>773</v>
      </c>
      <c r="N46" s="1581"/>
      <c r="O46" s="96"/>
      <c r="P46" s="1581" t="s">
        <v>773</v>
      </c>
      <c r="Q46" s="1581"/>
      <c r="R46" s="96"/>
      <c r="S46" s="1581" t="s">
        <v>773</v>
      </c>
      <c r="T46" s="1581"/>
      <c r="U46" s="96"/>
      <c r="V46" s="1581" t="s">
        <v>773</v>
      </c>
      <c r="W46" s="1581"/>
      <c r="X46" s="96"/>
      <c r="Y46" s="1581" t="s">
        <v>773</v>
      </c>
      <c r="Z46" s="1581"/>
      <c r="AA46" s="96"/>
      <c r="AB46" s="1581" t="s">
        <v>773</v>
      </c>
      <c r="AC46" s="1581"/>
      <c r="AD46" s="213"/>
    </row>
    <row r="47" spans="1:30" ht="15.75">
      <c r="A47" s="4"/>
      <c r="B47" s="1587">
        <v>7</v>
      </c>
      <c r="C47" s="1587"/>
      <c r="D47" s="1587"/>
      <c r="E47" s="1588" t="s">
        <v>178</v>
      </c>
      <c r="F47" s="1588"/>
      <c r="G47" s="1588"/>
      <c r="H47" s="1588"/>
      <c r="I47" s="1588"/>
      <c r="J47" s="1588"/>
      <c r="K47" s="1588"/>
      <c r="L47" s="204"/>
      <c r="M47" s="1581" t="s">
        <v>773</v>
      </c>
      <c r="N47" s="1581"/>
      <c r="O47" s="96"/>
      <c r="P47" s="1581" t="s">
        <v>773</v>
      </c>
      <c r="Q47" s="1581"/>
      <c r="R47" s="96"/>
      <c r="S47" s="1581" t="s">
        <v>773</v>
      </c>
      <c r="T47" s="1581"/>
      <c r="U47" s="96"/>
      <c r="V47" s="1581" t="s">
        <v>773</v>
      </c>
      <c r="W47" s="1581"/>
      <c r="X47" s="96"/>
      <c r="Y47" s="1581" t="s">
        <v>773</v>
      </c>
      <c r="Z47" s="1581"/>
      <c r="AA47" s="96"/>
      <c r="AB47" s="1581" t="s">
        <v>773</v>
      </c>
      <c r="AC47" s="1581"/>
      <c r="AD47" s="213"/>
    </row>
    <row r="48" spans="1:30" ht="15.75">
      <c r="A48" s="4"/>
      <c r="B48" s="1426" t="s">
        <v>179</v>
      </c>
      <c r="C48" s="1426"/>
      <c r="D48" s="1426"/>
      <c r="E48" s="1426"/>
      <c r="F48" s="1426"/>
      <c r="G48" s="1426"/>
      <c r="H48" s="1426"/>
      <c r="I48" s="1426"/>
      <c r="J48" s="1"/>
      <c r="K48" s="4"/>
      <c r="L48" s="1592">
        <f>SUM(M41:N47)</f>
        <v>0</v>
      </c>
      <c r="M48" s="1589"/>
      <c r="N48" s="1589"/>
      <c r="O48" s="1589">
        <f>SUM(P41:Q47)</f>
        <v>0</v>
      </c>
      <c r="P48" s="1589"/>
      <c r="Q48" s="1589"/>
      <c r="R48" s="1589">
        <f>SUM(S41:T47)</f>
        <v>0</v>
      </c>
      <c r="S48" s="1589"/>
      <c r="T48" s="1589"/>
      <c r="U48" s="1589">
        <f>SUM(V41:W47)</f>
        <v>0</v>
      </c>
      <c r="V48" s="1589"/>
      <c r="W48" s="1589"/>
      <c r="X48" s="1589">
        <f>SUM(Y41:Z47)</f>
        <v>0</v>
      </c>
      <c r="Y48" s="1589"/>
      <c r="Z48" s="1589"/>
      <c r="AA48" s="1589">
        <f>SUM(AB41:AC47)</f>
        <v>0</v>
      </c>
      <c r="AB48" s="1589"/>
      <c r="AC48" s="1590"/>
      <c r="AD48" s="53"/>
    </row>
    <row r="49" spans="1:30" ht="15.75">
      <c r="A49" s="4"/>
      <c r="B49" s="1268" t="s">
        <v>180</v>
      </c>
      <c r="C49" s="1268"/>
      <c r="D49" s="1268"/>
      <c r="E49" s="1268"/>
      <c r="F49" s="97">
        <f>CHOOSE(MATCH(G49,'Lista-Data'!BJ3:BJ5,0),14%,7%,4%)</f>
        <v>0.04</v>
      </c>
      <c r="G49" s="1341" t="s">
        <v>478</v>
      </c>
      <c r="H49" s="1341"/>
      <c r="I49" s="1341"/>
      <c r="J49" s="4"/>
      <c r="K49" s="4"/>
      <c r="L49" s="1591" t="str">
        <f>IF(L48=0,"",ROUND(GastosGenerales*L48,2))</f>
        <v/>
      </c>
      <c r="M49" s="1591"/>
      <c r="N49" s="1591"/>
      <c r="O49" s="1591" t="str">
        <f>IF(O48=0,"",ROUND(GastosGenerales*O48,2))</f>
        <v/>
      </c>
      <c r="P49" s="1591"/>
      <c r="Q49" s="1591"/>
      <c r="R49" s="1591" t="str">
        <f>IF(R48=0,"",ROUND(GastosGenerales*R48,2))</f>
        <v/>
      </c>
      <c r="S49" s="1591"/>
      <c r="T49" s="1591"/>
      <c r="U49" s="1591" t="str">
        <f>IF(U48=0,"",ROUND(GastosGenerales*U48,2))</f>
        <v/>
      </c>
      <c r="V49" s="1591"/>
      <c r="W49" s="1591"/>
      <c r="X49" s="1591" t="str">
        <f>IF(X48=0,"",ROUND(GastosGenerales*X48,2))</f>
        <v/>
      </c>
      <c r="Y49" s="1591"/>
      <c r="Z49" s="1591"/>
      <c r="AA49" s="1591" t="str">
        <f>IF(AA48=0,"",ROUND(GastosGenerales*AA48,2))</f>
        <v/>
      </c>
      <c r="AB49" s="1591"/>
      <c r="AC49" s="1591"/>
      <c r="AD49" s="214"/>
    </row>
    <row r="50" spans="1:30" ht="15.75">
      <c r="A50" s="4"/>
      <c r="B50" s="1268" t="s">
        <v>182</v>
      </c>
      <c r="C50" s="1268"/>
      <c r="D50" s="1268"/>
      <c r="E50" s="1268"/>
      <c r="F50" s="97">
        <v>0.1</v>
      </c>
      <c r="G50" s="634" t="s">
        <v>183</v>
      </c>
      <c r="H50" s="634"/>
      <c r="I50" s="1595"/>
      <c r="J50" s="1655">
        <v>3.49</v>
      </c>
      <c r="K50" s="1656"/>
      <c r="L50" s="1591" t="str">
        <f>IF(L48=0,"",ROUND(Utilidad*L48,2))</f>
        <v/>
      </c>
      <c r="M50" s="1591"/>
      <c r="N50" s="1591"/>
      <c r="O50" s="1591" t="str">
        <f>IF(O48=0,"",ROUND(Utilidad*O48,2))</f>
        <v/>
      </c>
      <c r="P50" s="1591"/>
      <c r="Q50" s="1591"/>
      <c r="R50" s="1591" t="str">
        <f>IF(R48=0,"",ROUND(Utilidad*R48,2))</f>
        <v/>
      </c>
      <c r="S50" s="1591"/>
      <c r="T50" s="1591"/>
      <c r="U50" s="1591" t="str">
        <f>IF(U48=0,"",ROUND(Utilidad*U48,2))</f>
        <v/>
      </c>
      <c r="V50" s="1591"/>
      <c r="W50" s="1591"/>
      <c r="X50" s="1591" t="str">
        <f>IF(X48=0,"",ROUND(Utilidad*X48,2))</f>
        <v/>
      </c>
      <c r="Y50" s="1591"/>
      <c r="Z50" s="1591"/>
      <c r="AA50" s="1591" t="str">
        <f>IF(AA48=0,"",ROUND(Utilidad*AA48,2))</f>
        <v/>
      </c>
      <c r="AB50" s="1591"/>
      <c r="AC50" s="1591"/>
      <c r="AD50" s="214"/>
    </row>
    <row r="51" spans="1:30" ht="15.75">
      <c r="A51" s="4"/>
      <c r="B51" s="1426" t="s">
        <v>184</v>
      </c>
      <c r="C51" s="1426"/>
      <c r="D51" s="1426"/>
      <c r="E51" s="1426"/>
      <c r="F51" s="1426"/>
      <c r="G51" s="1426"/>
      <c r="H51" s="1426"/>
      <c r="I51" s="1426"/>
      <c r="J51" s="82"/>
      <c r="K51" s="82"/>
      <c r="L51" s="1593">
        <f>SUM(L48:L50)</f>
        <v>0</v>
      </c>
      <c r="M51" s="1594"/>
      <c r="N51" s="1594"/>
      <c r="O51" s="1594">
        <f t="shared" ref="O51" si="0">SUM(O48:O50)</f>
        <v>0</v>
      </c>
      <c r="P51" s="1594"/>
      <c r="Q51" s="1594"/>
      <c r="R51" s="1594">
        <f t="shared" ref="R51" si="1">SUM(R48:R50)</f>
        <v>0</v>
      </c>
      <c r="S51" s="1594"/>
      <c r="T51" s="1594"/>
      <c r="U51" s="1594">
        <f t="shared" ref="U51" si="2">SUM(U48:U50)</f>
        <v>0</v>
      </c>
      <c r="V51" s="1594"/>
      <c r="W51" s="1594"/>
      <c r="X51" s="1594">
        <f t="shared" ref="X51" si="3">SUM(X48:X50)</f>
        <v>0</v>
      </c>
      <c r="Y51" s="1594"/>
      <c r="Z51" s="1594"/>
      <c r="AA51" s="1594">
        <f t="shared" ref="AA51" si="4">SUM(AA48:AA50)</f>
        <v>0</v>
      </c>
      <c r="AB51" s="1594"/>
      <c r="AC51" s="1654"/>
      <c r="AD51" s="53"/>
    </row>
    <row r="52" spans="1:30" ht="15.75">
      <c r="A52" s="4"/>
      <c r="B52" s="1426" t="s">
        <v>185</v>
      </c>
      <c r="C52" s="1426"/>
      <c r="D52" s="1426"/>
      <c r="E52" s="1426"/>
      <c r="F52" s="1426"/>
      <c r="G52" s="1426"/>
      <c r="H52" s="1426"/>
      <c r="I52" s="1426"/>
      <c r="J52" s="1426"/>
      <c r="K52" s="1426"/>
      <c r="L52" s="1598">
        <v>0</v>
      </c>
      <c r="M52" s="1599"/>
      <c r="N52" s="1599"/>
      <c r="O52" s="1599">
        <v>0</v>
      </c>
      <c r="P52" s="1599"/>
      <c r="Q52" s="1599"/>
      <c r="R52" s="1599">
        <v>0</v>
      </c>
      <c r="S52" s="1599"/>
      <c r="T52" s="1599"/>
      <c r="U52" s="1599">
        <v>0</v>
      </c>
      <c r="V52" s="1599"/>
      <c r="W52" s="1599"/>
      <c r="X52" s="1599">
        <v>0</v>
      </c>
      <c r="Y52" s="1599"/>
      <c r="Z52" s="1599"/>
      <c r="AA52" s="1599">
        <v>0</v>
      </c>
      <c r="AB52" s="1599"/>
      <c r="AC52" s="1657"/>
      <c r="AD52" s="53"/>
    </row>
    <row r="53" spans="1:30" ht="15.75">
      <c r="A53" s="4"/>
      <c r="B53" s="26"/>
      <c r="C53" s="26"/>
      <c r="D53" s="26"/>
      <c r="E53" s="26"/>
      <c r="F53" s="26"/>
      <c r="G53" s="26"/>
      <c r="H53" s="26"/>
      <c r="I53" s="26"/>
      <c r="J53" s="26"/>
      <c r="K53" s="26"/>
      <c r="L53" s="95"/>
      <c r="M53" s="95"/>
      <c r="N53" s="95"/>
      <c r="O53" s="95"/>
      <c r="P53" s="95"/>
      <c r="Q53" s="95"/>
      <c r="R53" s="95"/>
      <c r="S53" s="95"/>
      <c r="T53" s="95"/>
      <c r="U53" s="95"/>
      <c r="V53" s="95"/>
      <c r="W53" s="95"/>
      <c r="X53" s="95"/>
      <c r="Y53" s="95"/>
      <c r="Z53" s="95"/>
      <c r="AA53" s="95"/>
      <c r="AB53" s="95"/>
      <c r="AC53" s="95"/>
      <c r="AD53" s="95"/>
    </row>
    <row r="54" spans="1:30" ht="15.75">
      <c r="A54" s="6"/>
      <c r="B54" s="1023" t="s">
        <v>186</v>
      </c>
      <c r="C54" s="1023"/>
      <c r="D54" s="1023"/>
      <c r="E54" s="1023"/>
      <c r="F54" s="1023"/>
      <c r="G54" s="1023"/>
      <c r="H54" s="1023"/>
      <c r="I54" s="1023"/>
      <c r="J54" s="1023"/>
      <c r="K54" s="1023"/>
      <c r="L54" s="1023"/>
      <c r="M54" s="1023"/>
      <c r="N54" s="1023"/>
      <c r="O54" s="1023"/>
      <c r="P54" s="1023"/>
      <c r="Q54" s="1023"/>
      <c r="R54" s="1023"/>
      <c r="S54" s="1023"/>
      <c r="T54" s="1023"/>
      <c r="U54" s="1023"/>
      <c r="V54" s="1023"/>
      <c r="W54" s="1023"/>
      <c r="X54" s="1023"/>
      <c r="Y54" s="1023"/>
      <c r="Z54" s="1023"/>
      <c r="AA54" s="1023"/>
      <c r="AB54" s="1023"/>
      <c r="AC54" s="1023"/>
      <c r="AD54" s="39"/>
    </row>
    <row r="55" spans="1:30" ht="31.5">
      <c r="A55" s="6"/>
      <c r="B55" s="1600" t="s">
        <v>187</v>
      </c>
      <c r="C55" s="1600"/>
      <c r="D55" s="1600"/>
      <c r="E55" s="1600"/>
      <c r="F55" s="1600"/>
      <c r="G55" s="1600"/>
      <c r="H55" s="1600" t="s">
        <v>188</v>
      </c>
      <c r="I55" s="1600"/>
      <c r="J55" s="1600" t="s">
        <v>189</v>
      </c>
      <c r="K55" s="1600"/>
      <c r="L55" s="1600"/>
      <c r="M55" s="1600" t="s">
        <v>190</v>
      </c>
      <c r="N55" s="1600"/>
      <c r="O55" s="1600"/>
      <c r="P55" s="1600" t="s">
        <v>47</v>
      </c>
      <c r="Q55" s="1600"/>
      <c r="R55" s="1600"/>
      <c r="S55" s="1600"/>
      <c r="T55" s="1600" t="s">
        <v>48</v>
      </c>
      <c r="U55" s="1600"/>
      <c r="V55" s="1600" t="s">
        <v>25</v>
      </c>
      <c r="W55" s="1600"/>
      <c r="X55" s="1600"/>
      <c r="Y55" s="99" t="s">
        <v>191</v>
      </c>
      <c r="Z55" s="1600" t="s">
        <v>192</v>
      </c>
      <c r="AA55" s="1600"/>
      <c r="AB55" s="1600"/>
      <c r="AC55" s="1600"/>
      <c r="AD55" s="198"/>
    </row>
    <row r="56" spans="1:30" ht="15.75">
      <c r="A56" s="34">
        <v>1</v>
      </c>
      <c r="B56" s="1608">
        <v>0</v>
      </c>
      <c r="C56" s="1608"/>
      <c r="D56" s="1608"/>
      <c r="E56" s="1608"/>
      <c r="F56" s="1608"/>
      <c r="G56" s="1608"/>
      <c r="H56" s="1606">
        <v>0</v>
      </c>
      <c r="I56" s="1606"/>
      <c r="J56" s="1609"/>
      <c r="K56" s="1609"/>
      <c r="L56" s="1609"/>
      <c r="M56" s="1606">
        <f>ROUND(J56*H56,2)</f>
        <v>0</v>
      </c>
      <c r="N56" s="1606"/>
      <c r="O56" s="1606"/>
      <c r="P56" s="1609"/>
      <c r="Q56" s="1609"/>
      <c r="R56" s="1609"/>
      <c r="S56" s="1609"/>
      <c r="T56" s="1658"/>
      <c r="U56" s="1658"/>
      <c r="V56" s="1609"/>
      <c r="W56" s="1609"/>
      <c r="X56" s="1609"/>
      <c r="Y56" s="17"/>
      <c r="Z56" s="1602">
        <f>ROUND(M56*Y56,2)</f>
        <v>0</v>
      </c>
      <c r="AA56" s="1602"/>
      <c r="AB56" s="1602"/>
      <c r="AC56" s="1602"/>
      <c r="AD56" s="219"/>
    </row>
    <row r="57" spans="1:30" ht="15.75">
      <c r="A57" s="34">
        <v>2</v>
      </c>
      <c r="B57" s="1608">
        <v>0</v>
      </c>
      <c r="C57" s="1608"/>
      <c r="D57" s="1608"/>
      <c r="E57" s="1608"/>
      <c r="F57" s="1608"/>
      <c r="G57" s="1608"/>
      <c r="H57" s="1606">
        <v>0</v>
      </c>
      <c r="I57" s="1606"/>
      <c r="J57" s="1609"/>
      <c r="K57" s="1609"/>
      <c r="L57" s="1609"/>
      <c r="M57" s="1606">
        <f t="shared" ref="M57:M64" si="5">ROUND(J57*H57,2)</f>
        <v>0</v>
      </c>
      <c r="N57" s="1606"/>
      <c r="O57" s="1606"/>
      <c r="P57" s="1609"/>
      <c r="Q57" s="1609"/>
      <c r="R57" s="1609"/>
      <c r="S57" s="1609"/>
      <c r="T57" s="1658"/>
      <c r="U57" s="1658"/>
      <c r="V57" s="1609"/>
      <c r="W57" s="1609"/>
      <c r="X57" s="1609"/>
      <c r="Y57" s="17"/>
      <c r="Z57" s="1602">
        <f t="shared" ref="Z57:Z64" si="6">ROUND(M57*Y57,2)</f>
        <v>0</v>
      </c>
      <c r="AA57" s="1602"/>
      <c r="AB57" s="1602"/>
      <c r="AC57" s="1602"/>
      <c r="AD57" s="219"/>
    </row>
    <row r="58" spans="1:30" ht="15.75">
      <c r="A58" s="34">
        <v>3</v>
      </c>
      <c r="B58" s="1608">
        <v>0</v>
      </c>
      <c r="C58" s="1608"/>
      <c r="D58" s="1608"/>
      <c r="E58" s="1608"/>
      <c r="F58" s="1608"/>
      <c r="G58" s="1608"/>
      <c r="H58" s="1606">
        <v>0</v>
      </c>
      <c r="I58" s="1606"/>
      <c r="J58" s="1609"/>
      <c r="K58" s="1609"/>
      <c r="L58" s="1609"/>
      <c r="M58" s="1606">
        <f t="shared" si="5"/>
        <v>0</v>
      </c>
      <c r="N58" s="1606"/>
      <c r="O58" s="1606"/>
      <c r="P58" s="1609"/>
      <c r="Q58" s="1609"/>
      <c r="R58" s="1609"/>
      <c r="S58" s="1609"/>
      <c r="T58" s="1658"/>
      <c r="U58" s="1658"/>
      <c r="V58" s="1609"/>
      <c r="W58" s="1609"/>
      <c r="X58" s="1609"/>
      <c r="Y58" s="17"/>
      <c r="Z58" s="1602">
        <f t="shared" si="6"/>
        <v>0</v>
      </c>
      <c r="AA58" s="1602"/>
      <c r="AB58" s="1602"/>
      <c r="AC58" s="1602"/>
      <c r="AD58" s="219"/>
    </row>
    <row r="59" spans="1:30" ht="15.75">
      <c r="A59" s="34">
        <v>4</v>
      </c>
      <c r="B59" s="1608">
        <v>0</v>
      </c>
      <c r="C59" s="1608"/>
      <c r="D59" s="1608"/>
      <c r="E59" s="1608"/>
      <c r="F59" s="1608"/>
      <c r="G59" s="1608"/>
      <c r="H59" s="1606">
        <v>0</v>
      </c>
      <c r="I59" s="1606"/>
      <c r="J59" s="1609"/>
      <c r="K59" s="1609"/>
      <c r="L59" s="1609"/>
      <c r="M59" s="1606">
        <f t="shared" si="5"/>
        <v>0</v>
      </c>
      <c r="N59" s="1606"/>
      <c r="O59" s="1606"/>
      <c r="P59" s="1609"/>
      <c r="Q59" s="1609"/>
      <c r="R59" s="1609"/>
      <c r="S59" s="1609"/>
      <c r="T59" s="1658"/>
      <c r="U59" s="1658"/>
      <c r="V59" s="1609"/>
      <c r="W59" s="1609"/>
      <c r="X59" s="1609"/>
      <c r="Y59" s="17"/>
      <c r="Z59" s="1602">
        <f t="shared" si="6"/>
        <v>0</v>
      </c>
      <c r="AA59" s="1602"/>
      <c r="AB59" s="1602"/>
      <c r="AC59" s="1602"/>
      <c r="AD59" s="219"/>
    </row>
    <row r="60" spans="1:30" ht="15.75">
      <c r="A60" s="34">
        <v>5</v>
      </c>
      <c r="B60" s="1608">
        <v>0</v>
      </c>
      <c r="C60" s="1608"/>
      <c r="D60" s="1608"/>
      <c r="E60" s="1608"/>
      <c r="F60" s="1608"/>
      <c r="G60" s="1608"/>
      <c r="H60" s="1606">
        <v>0</v>
      </c>
      <c r="I60" s="1606"/>
      <c r="J60" s="1609"/>
      <c r="K60" s="1609"/>
      <c r="L60" s="1609"/>
      <c r="M60" s="1606">
        <f t="shared" si="5"/>
        <v>0</v>
      </c>
      <c r="N60" s="1606"/>
      <c r="O60" s="1606"/>
      <c r="P60" s="1609"/>
      <c r="Q60" s="1609"/>
      <c r="R60" s="1609"/>
      <c r="S60" s="1609"/>
      <c r="T60" s="1658"/>
      <c r="U60" s="1658"/>
      <c r="V60" s="1609"/>
      <c r="W60" s="1609"/>
      <c r="X60" s="1609"/>
      <c r="Y60" s="17"/>
      <c r="Z60" s="1602">
        <f t="shared" si="6"/>
        <v>0</v>
      </c>
      <c r="AA60" s="1602"/>
      <c r="AB60" s="1602"/>
      <c r="AC60" s="1602"/>
      <c r="AD60" s="219"/>
    </row>
    <row r="61" spans="1:30" ht="15.75">
      <c r="A61" s="34">
        <v>6</v>
      </c>
      <c r="B61" s="1608">
        <v>0</v>
      </c>
      <c r="C61" s="1608"/>
      <c r="D61" s="1608"/>
      <c r="E61" s="1608"/>
      <c r="F61" s="1608"/>
      <c r="G61" s="1608"/>
      <c r="H61" s="1606">
        <v>0</v>
      </c>
      <c r="I61" s="1606"/>
      <c r="J61" s="1609"/>
      <c r="K61" s="1609"/>
      <c r="L61" s="1609"/>
      <c r="M61" s="1606">
        <f t="shared" si="5"/>
        <v>0</v>
      </c>
      <c r="N61" s="1606"/>
      <c r="O61" s="1606"/>
      <c r="P61" s="1609"/>
      <c r="Q61" s="1609"/>
      <c r="R61" s="1609"/>
      <c r="S61" s="1609"/>
      <c r="T61" s="1658"/>
      <c r="U61" s="1658"/>
      <c r="V61" s="1609"/>
      <c r="W61" s="1609"/>
      <c r="X61" s="1609"/>
      <c r="Y61" s="17"/>
      <c r="Z61" s="1602">
        <f t="shared" si="6"/>
        <v>0</v>
      </c>
      <c r="AA61" s="1602"/>
      <c r="AB61" s="1602"/>
      <c r="AC61" s="1602"/>
      <c r="AD61" s="219"/>
    </row>
    <row r="62" spans="1:30" ht="15.75">
      <c r="A62" s="34">
        <v>7</v>
      </c>
      <c r="B62" s="1608">
        <v>0</v>
      </c>
      <c r="C62" s="1608"/>
      <c r="D62" s="1608"/>
      <c r="E62" s="1608"/>
      <c r="F62" s="1608"/>
      <c r="G62" s="1608"/>
      <c r="H62" s="1606">
        <v>0</v>
      </c>
      <c r="I62" s="1606"/>
      <c r="J62" s="1609"/>
      <c r="K62" s="1609"/>
      <c r="L62" s="1609"/>
      <c r="M62" s="1606">
        <f t="shared" si="5"/>
        <v>0</v>
      </c>
      <c r="N62" s="1606"/>
      <c r="O62" s="1606"/>
      <c r="P62" s="1609"/>
      <c r="Q62" s="1609"/>
      <c r="R62" s="1609"/>
      <c r="S62" s="1609"/>
      <c r="T62" s="1658"/>
      <c r="U62" s="1658"/>
      <c r="V62" s="1609"/>
      <c r="W62" s="1609"/>
      <c r="X62" s="1609"/>
      <c r="Y62" s="17"/>
      <c r="Z62" s="1602">
        <f t="shared" si="6"/>
        <v>0</v>
      </c>
      <c r="AA62" s="1602"/>
      <c r="AB62" s="1602"/>
      <c r="AC62" s="1602"/>
      <c r="AD62" s="219"/>
    </row>
    <row r="63" spans="1:30" ht="15.75">
      <c r="A63" s="34">
        <v>8</v>
      </c>
      <c r="B63" s="1608">
        <v>0</v>
      </c>
      <c r="C63" s="1608"/>
      <c r="D63" s="1608"/>
      <c r="E63" s="1608"/>
      <c r="F63" s="1608"/>
      <c r="G63" s="1608"/>
      <c r="H63" s="1606">
        <v>0</v>
      </c>
      <c r="I63" s="1606"/>
      <c r="J63" s="1609"/>
      <c r="K63" s="1609"/>
      <c r="L63" s="1609"/>
      <c r="M63" s="1606">
        <f t="shared" si="5"/>
        <v>0</v>
      </c>
      <c r="N63" s="1606"/>
      <c r="O63" s="1606"/>
      <c r="P63" s="1609"/>
      <c r="Q63" s="1609"/>
      <c r="R63" s="1609"/>
      <c r="S63" s="1609"/>
      <c r="T63" s="1658"/>
      <c r="U63" s="1658"/>
      <c r="V63" s="1609"/>
      <c r="W63" s="1609"/>
      <c r="X63" s="1609"/>
      <c r="Y63" s="17"/>
      <c r="Z63" s="1602">
        <f t="shared" si="6"/>
        <v>0</v>
      </c>
      <c r="AA63" s="1602"/>
      <c r="AB63" s="1602"/>
      <c r="AC63" s="1602"/>
      <c r="AD63" s="219"/>
    </row>
    <row r="64" spans="1:30" ht="15.75">
      <c r="A64" s="34">
        <v>9</v>
      </c>
      <c r="B64" s="1608">
        <v>0</v>
      </c>
      <c r="C64" s="1608"/>
      <c r="D64" s="1608"/>
      <c r="E64" s="1608"/>
      <c r="F64" s="1608"/>
      <c r="G64" s="1608"/>
      <c r="H64" s="1606">
        <v>0</v>
      </c>
      <c r="I64" s="1606"/>
      <c r="J64" s="1609"/>
      <c r="K64" s="1609"/>
      <c r="L64" s="1609"/>
      <c r="M64" s="1606">
        <f t="shared" si="5"/>
        <v>0</v>
      </c>
      <c r="N64" s="1606"/>
      <c r="O64" s="1606"/>
      <c r="P64" s="1609"/>
      <c r="Q64" s="1609"/>
      <c r="R64" s="1609"/>
      <c r="S64" s="1609"/>
      <c r="T64" s="1658"/>
      <c r="U64" s="1658"/>
      <c r="V64" s="1609"/>
      <c r="W64" s="1609"/>
      <c r="X64" s="1609"/>
      <c r="Y64" s="17"/>
      <c r="Z64" s="1602">
        <f t="shared" si="6"/>
        <v>0</v>
      </c>
      <c r="AA64" s="1602"/>
      <c r="AB64" s="1602"/>
      <c r="AC64" s="1602"/>
      <c r="AD64" s="219"/>
    </row>
    <row r="65" spans="1:30" ht="15.75">
      <c r="A65" s="4"/>
      <c r="B65" s="1610" t="s">
        <v>193</v>
      </c>
      <c r="C65" s="1610"/>
      <c r="D65" s="1610"/>
      <c r="E65" s="1610"/>
      <c r="F65" s="1610"/>
      <c r="G65" s="1611"/>
      <c r="H65" s="1612">
        <f>SUM(H56:H64)</f>
        <v>0</v>
      </c>
      <c r="I65" s="1613"/>
      <c r="J65" s="100"/>
      <c r="L65" s="42" t="s">
        <v>66</v>
      </c>
      <c r="M65" s="1612">
        <f>SUM(M56:OM64)</f>
        <v>0</v>
      </c>
      <c r="N65" s="1612"/>
      <c r="O65" s="1612"/>
      <c r="P65" s="102"/>
      <c r="Q65" s="1614" t="s">
        <v>194</v>
      </c>
      <c r="R65" s="1614"/>
      <c r="S65" s="1614"/>
      <c r="T65" s="1614"/>
      <c r="U65" s="1614"/>
      <c r="V65" s="1614"/>
      <c r="X65" s="106" t="s">
        <v>66</v>
      </c>
      <c r="Y65" s="1615">
        <f>SUM(Z56:Z64)</f>
        <v>0</v>
      </c>
      <c r="Z65" s="1616"/>
      <c r="AA65" s="1616"/>
      <c r="AB65" s="1616"/>
      <c r="AC65" s="1617"/>
      <c r="AD65" s="104"/>
    </row>
    <row r="66" spans="1:30" s="24" customFormat="1" ht="12.75" customHeight="1">
      <c r="A66" s="4"/>
      <c r="B66" s="34"/>
      <c r="C66" s="34"/>
      <c r="D66" s="34"/>
      <c r="E66" s="34"/>
      <c r="F66" s="34"/>
      <c r="G66" s="34"/>
      <c r="H66" s="53"/>
      <c r="I66" s="42"/>
      <c r="J66" s="100"/>
      <c r="K66" s="101"/>
      <c r="L66" s="100"/>
      <c r="M66" s="53"/>
      <c r="N66" s="53"/>
      <c r="O66" s="53"/>
      <c r="P66" s="102"/>
      <c r="Q66" s="103"/>
      <c r="R66" s="103"/>
      <c r="S66" s="103"/>
      <c r="T66" s="103"/>
      <c r="U66" s="103"/>
      <c r="V66" s="103"/>
      <c r="W66" s="34"/>
      <c r="X66" s="4"/>
      <c r="Y66" s="104"/>
      <c r="Z66" s="104"/>
      <c r="AA66" s="104"/>
      <c r="AB66" s="104"/>
      <c r="AC66" s="104"/>
      <c r="AD66" s="104"/>
    </row>
    <row r="67" spans="1:30" s="24" customFormat="1" ht="15.75">
      <c r="A67" s="1370" t="s">
        <v>935</v>
      </c>
      <c r="B67" s="1370"/>
      <c r="C67" s="1370"/>
      <c r="D67" s="1370"/>
      <c r="E67" s="1370"/>
      <c r="F67" s="1370"/>
      <c r="G67" s="1370"/>
      <c r="H67" s="1370"/>
      <c r="I67" s="1370"/>
      <c r="J67" s="1370"/>
      <c r="K67" s="1370"/>
      <c r="L67" s="1370"/>
      <c r="M67" s="1370"/>
      <c r="N67" s="1370"/>
      <c r="O67" s="1370"/>
      <c r="P67" s="1370"/>
      <c r="Q67" s="1370"/>
      <c r="R67" s="1370"/>
      <c r="S67" s="1370"/>
      <c r="T67" s="1370"/>
      <c r="U67" s="1370"/>
      <c r="V67" s="1370"/>
      <c r="W67" s="1370"/>
      <c r="X67" s="1370"/>
      <c r="Y67" s="1370"/>
      <c r="Z67" s="1370"/>
      <c r="AA67" s="1370"/>
      <c r="AB67" s="1370"/>
      <c r="AC67" s="1370"/>
      <c r="AD67" s="42"/>
    </row>
    <row r="68" spans="1:30" s="24" customFormat="1" ht="7.5" customHeight="1">
      <c r="A68" s="6"/>
      <c r="B68" s="73"/>
      <c r="C68" s="6"/>
      <c r="D68" s="105"/>
      <c r="E68" s="105"/>
      <c r="F68" s="105"/>
      <c r="G68" s="105"/>
      <c r="H68" s="105"/>
      <c r="I68" s="105"/>
      <c r="J68" s="73"/>
      <c r="K68" s="73"/>
      <c r="L68" s="73"/>
      <c r="M68" s="73"/>
      <c r="N68" s="73"/>
      <c r="O68" s="73"/>
      <c r="P68" s="73"/>
      <c r="Q68" s="73"/>
      <c r="R68" s="73"/>
      <c r="S68" s="73"/>
      <c r="T68" s="73"/>
      <c r="U68" s="73"/>
      <c r="V68" s="73"/>
      <c r="W68" s="73"/>
      <c r="X68" s="6"/>
      <c r="Y68" s="6"/>
      <c r="Z68" s="6"/>
      <c r="AA68" s="6"/>
      <c r="AB68" s="6"/>
      <c r="AC68" s="6"/>
      <c r="AD68" s="6"/>
    </row>
    <row r="69" spans="1:30" ht="15.75">
      <c r="A69" s="107"/>
      <c r="B69" s="1659" t="s">
        <v>936</v>
      </c>
      <c r="C69" s="1659"/>
      <c r="D69" s="1659"/>
      <c r="E69" s="1659"/>
      <c r="F69" s="1659"/>
      <c r="G69" s="1659"/>
      <c r="H69" s="1659"/>
      <c r="I69" s="1659"/>
      <c r="J69" s="1659"/>
      <c r="K69" s="1659"/>
      <c r="L69" s="1659"/>
      <c r="M69" s="1659"/>
      <c r="N69" s="1659"/>
      <c r="O69" s="1659"/>
      <c r="P69" s="1659"/>
      <c r="Q69" s="1659"/>
      <c r="R69" s="1659"/>
      <c r="S69" s="1659"/>
      <c r="T69" s="1659"/>
      <c r="U69" s="1659"/>
      <c r="V69" s="1659"/>
      <c r="W69" s="1659"/>
      <c r="X69" s="1659"/>
      <c r="Y69" s="1659"/>
      <c r="Z69" s="1659"/>
      <c r="AA69" s="1659"/>
      <c r="AB69" s="1659"/>
      <c r="AC69" s="1659"/>
      <c r="AD69" s="110"/>
    </row>
    <row r="70" spans="1:30" ht="15.75">
      <c r="A70" s="107"/>
      <c r="B70" s="1600" t="s">
        <v>187</v>
      </c>
      <c r="C70" s="1600"/>
      <c r="D70" s="1600"/>
      <c r="E70" s="1600"/>
      <c r="F70" s="1600"/>
      <c r="G70" s="1600"/>
      <c r="H70" s="1624" t="s">
        <v>195</v>
      </c>
      <c r="I70" s="1624"/>
      <c r="J70" s="1624"/>
      <c r="K70" s="1624"/>
      <c r="L70" s="1624"/>
      <c r="M70" s="1600" t="s">
        <v>196</v>
      </c>
      <c r="N70" s="1600"/>
      <c r="O70" s="1600"/>
      <c r="P70" s="1600"/>
      <c r="Q70" s="1600"/>
      <c r="R70" s="1600" t="s">
        <v>197</v>
      </c>
      <c r="S70" s="1600"/>
      <c r="T70" s="1600"/>
      <c r="U70" s="1600"/>
      <c r="V70" s="1600"/>
      <c r="W70" s="1600" t="s">
        <v>191</v>
      </c>
      <c r="X70" s="1600"/>
      <c r="Y70" s="1600" t="s">
        <v>198</v>
      </c>
      <c r="Z70" s="1600"/>
      <c r="AA70" s="1600"/>
      <c r="AB70" s="1600"/>
      <c r="AC70" s="1600"/>
      <c r="AD70" s="198"/>
    </row>
    <row r="71" spans="1:30" ht="15.75">
      <c r="A71" s="107"/>
      <c r="B71" s="1600"/>
      <c r="C71" s="1600"/>
      <c r="D71" s="1600"/>
      <c r="E71" s="1600"/>
      <c r="F71" s="1600"/>
      <c r="G71" s="1600"/>
      <c r="H71" s="1624"/>
      <c r="I71" s="1624"/>
      <c r="J71" s="1624"/>
      <c r="K71" s="1624"/>
      <c r="L71" s="1624"/>
      <c r="M71" s="1600"/>
      <c r="N71" s="1600"/>
      <c r="O71" s="1600"/>
      <c r="P71" s="1600"/>
      <c r="Q71" s="1600"/>
      <c r="R71" s="1600"/>
      <c r="S71" s="1600"/>
      <c r="T71" s="1600"/>
      <c r="U71" s="1600"/>
      <c r="V71" s="1600"/>
      <c r="W71" s="1600"/>
      <c r="X71" s="1600"/>
      <c r="Y71" s="1600"/>
      <c r="Z71" s="1600"/>
      <c r="AA71" s="1600"/>
      <c r="AB71" s="1600"/>
      <c r="AC71" s="1600"/>
      <c r="AD71" s="198"/>
    </row>
    <row r="72" spans="1:30" ht="15.75">
      <c r="A72" s="107"/>
      <c r="B72" s="1618" t="s">
        <v>199</v>
      </c>
      <c r="C72" s="1618"/>
      <c r="D72" s="1618"/>
      <c r="E72" s="1618"/>
      <c r="F72" s="1618"/>
      <c r="G72" s="1618"/>
      <c r="H72" s="1619">
        <v>0.15</v>
      </c>
      <c r="I72" s="1619"/>
      <c r="J72" s="1619"/>
      <c r="K72" s="1619"/>
      <c r="L72" s="1619"/>
      <c r="M72" s="1620" t="s">
        <v>773</v>
      </c>
      <c r="N72" s="1620"/>
      <c r="O72" s="1620"/>
      <c r="P72" s="1620"/>
      <c r="Q72" s="1620"/>
      <c r="R72" s="1621">
        <v>0</v>
      </c>
      <c r="S72" s="1621"/>
      <c r="T72" s="1621"/>
      <c r="U72" s="1621"/>
      <c r="V72" s="1621"/>
      <c r="W72" s="1605"/>
      <c r="X72" s="1605"/>
      <c r="Y72" s="1622">
        <f>ROUND(R72*W72,2)</f>
        <v>0</v>
      </c>
      <c r="Z72" s="1622"/>
      <c r="AA72" s="1622"/>
      <c r="AB72" s="1622"/>
      <c r="AC72" s="1622"/>
      <c r="AD72" s="215"/>
    </row>
    <row r="73" spans="1:30" ht="15.75">
      <c r="A73" s="4"/>
      <c r="B73" s="1635" t="s">
        <v>200</v>
      </c>
      <c r="C73" s="1635"/>
      <c r="D73" s="1635"/>
      <c r="E73" s="1635"/>
      <c r="F73" s="1635"/>
      <c r="G73" s="1635"/>
      <c r="H73" s="26"/>
      <c r="I73" s="26"/>
      <c r="J73" s="26"/>
      <c r="K73" s="26"/>
      <c r="L73" s="26"/>
      <c r="M73" s="26"/>
      <c r="N73" s="26"/>
      <c r="O73" s="26"/>
      <c r="Q73" s="34" t="s">
        <v>66</v>
      </c>
      <c r="R73" s="1561">
        <f>SUM(R72:R72)</f>
        <v>0</v>
      </c>
      <c r="S73" s="1561"/>
      <c r="T73" s="1561"/>
      <c r="U73" s="1561"/>
      <c r="V73" s="1561"/>
      <c r="X73" s="42" t="s">
        <v>66</v>
      </c>
      <c r="Y73" s="1626">
        <f>SUM(Y72:Y72)</f>
        <v>0</v>
      </c>
      <c r="Z73" s="1626"/>
      <c r="AA73" s="1626"/>
      <c r="AB73" s="1626"/>
      <c r="AC73" s="1626"/>
      <c r="AD73" s="220"/>
    </row>
    <row r="74" spans="1:30" ht="10.5" customHeight="1">
      <c r="A74" s="4"/>
      <c r="B74" s="26"/>
      <c r="C74" s="26"/>
      <c r="D74" s="26"/>
      <c r="E74" s="26"/>
      <c r="F74" s="26"/>
      <c r="G74" s="26"/>
      <c r="H74" s="26"/>
      <c r="I74" s="26"/>
      <c r="J74" s="26"/>
      <c r="K74" s="26"/>
      <c r="L74" s="26"/>
      <c r="M74" s="26"/>
      <c r="N74" s="26"/>
      <c r="O74" s="26"/>
      <c r="P74" s="26"/>
      <c r="Q74" s="26"/>
      <c r="R74" s="60"/>
      <c r="S74" s="60"/>
      <c r="T74" s="60"/>
      <c r="U74" s="60"/>
      <c r="V74" s="60"/>
      <c r="W74" s="101"/>
      <c r="X74" s="3"/>
      <c r="Y74" s="108"/>
      <c r="Z74" s="108"/>
      <c r="AA74" s="108"/>
      <c r="AB74" s="108"/>
      <c r="AC74" s="108"/>
      <c r="AD74" s="108"/>
    </row>
    <row r="75" spans="1:30" ht="15.75">
      <c r="A75" s="1370" t="s">
        <v>937</v>
      </c>
      <c r="B75" s="1370"/>
      <c r="C75" s="1370"/>
      <c r="D75" s="1370"/>
      <c r="E75" s="1370"/>
      <c r="F75" s="1370"/>
      <c r="G75" s="1370"/>
      <c r="H75" s="1370"/>
      <c r="I75" s="1370"/>
      <c r="J75" s="1370"/>
      <c r="K75" s="1370"/>
      <c r="L75" s="1370"/>
      <c r="M75" s="1370"/>
      <c r="N75" s="1370"/>
      <c r="O75" s="1370"/>
      <c r="P75" s="1370"/>
      <c r="Q75" s="1370"/>
      <c r="R75" s="1370"/>
      <c r="S75" s="1370"/>
      <c r="T75" s="1370"/>
      <c r="U75" s="1370"/>
      <c r="V75" s="1370"/>
      <c r="W75" s="1370"/>
      <c r="X75" s="1370"/>
      <c r="Y75" s="1370"/>
      <c r="Z75" s="1370"/>
      <c r="AA75" s="1370"/>
      <c r="AB75" s="1370"/>
      <c r="AC75" s="1370"/>
      <c r="AD75" s="42"/>
    </row>
    <row r="76" spans="1:30" ht="9.75" customHeight="1">
      <c r="A76" s="6"/>
      <c r="B76" s="73"/>
      <c r="C76" s="73"/>
      <c r="D76" s="73"/>
      <c r="E76" s="73"/>
      <c r="F76" s="73"/>
      <c r="G76" s="73"/>
      <c r="H76" s="73"/>
      <c r="I76" s="73"/>
      <c r="J76" s="73"/>
      <c r="K76" s="73"/>
      <c r="L76" s="73"/>
      <c r="M76" s="73"/>
      <c r="N76" s="73"/>
      <c r="O76" s="73"/>
      <c r="P76" s="73"/>
      <c r="Q76" s="105"/>
      <c r="R76" s="105"/>
      <c r="S76" s="105"/>
      <c r="T76" s="105"/>
      <c r="U76" s="105"/>
      <c r="V76" s="105"/>
      <c r="W76" s="105"/>
      <c r="X76" s="105"/>
      <c r="Y76" s="105"/>
      <c r="Z76" s="105"/>
      <c r="AA76" s="105"/>
      <c r="AB76" s="105"/>
      <c r="AC76" s="105"/>
      <c r="AD76" s="105"/>
    </row>
    <row r="77" spans="1:30" ht="15.75" customHeight="1">
      <c r="A77" s="107"/>
      <c r="B77" s="1389" t="s">
        <v>187</v>
      </c>
      <c r="C77" s="1389"/>
      <c r="D77" s="1389"/>
      <c r="E77" s="1389"/>
      <c r="F77" s="1389"/>
      <c r="G77" s="1386" t="s">
        <v>201</v>
      </c>
      <c r="H77" s="1386"/>
      <c r="I77" s="1386"/>
      <c r="J77" s="1389" t="s">
        <v>938</v>
      </c>
      <c r="K77" s="1389"/>
      <c r="L77" s="1389" t="s">
        <v>939</v>
      </c>
      <c r="M77" s="1389"/>
      <c r="N77" s="1389"/>
      <c r="O77" s="1389" t="s">
        <v>202</v>
      </c>
      <c r="P77" s="1389"/>
      <c r="Q77" s="1389"/>
      <c r="R77" s="1389" t="s">
        <v>48</v>
      </c>
      <c r="S77" s="1389"/>
      <c r="T77" s="1389" t="s">
        <v>25</v>
      </c>
      <c r="U77" s="1389"/>
      <c r="V77" s="1389"/>
      <c r="W77" s="1389" t="s">
        <v>191</v>
      </c>
      <c r="X77" s="1389"/>
      <c r="Y77" s="1389" t="s">
        <v>203</v>
      </c>
      <c r="Z77" s="1389"/>
      <c r="AA77" s="1389"/>
      <c r="AB77" s="1389"/>
      <c r="AC77" s="1389"/>
      <c r="AD77" s="198"/>
    </row>
    <row r="78" spans="1:30" ht="29.25" customHeight="1">
      <c r="A78" s="107"/>
      <c r="B78" s="1389"/>
      <c r="C78" s="1389"/>
      <c r="D78" s="1389"/>
      <c r="E78" s="1389"/>
      <c r="F78" s="1389"/>
      <c r="G78" s="1386"/>
      <c r="H78" s="1386"/>
      <c r="I78" s="1386"/>
      <c r="J78" s="1389"/>
      <c r="K78" s="1389"/>
      <c r="L78" s="1389"/>
      <c r="M78" s="1389"/>
      <c r="N78" s="1389"/>
      <c r="O78" s="1389"/>
      <c r="P78" s="1389"/>
      <c r="Q78" s="1389"/>
      <c r="R78" s="1389"/>
      <c r="S78" s="1389"/>
      <c r="T78" s="1389"/>
      <c r="U78" s="1389"/>
      <c r="V78" s="1389"/>
      <c r="W78" s="1389"/>
      <c r="X78" s="1389"/>
      <c r="Y78" s="1389"/>
      <c r="Z78" s="1389"/>
      <c r="AA78" s="1389"/>
      <c r="AB78" s="1389"/>
      <c r="AC78" s="1389"/>
      <c r="AD78" s="198"/>
    </row>
    <row r="79" spans="1:30" ht="15.75">
      <c r="A79" s="34">
        <v>1</v>
      </c>
      <c r="B79" s="1326"/>
      <c r="C79" s="1326"/>
      <c r="D79" s="1326"/>
      <c r="E79" s="1326"/>
      <c r="F79" s="1326"/>
      <c r="G79" s="1326"/>
      <c r="H79" s="1326"/>
      <c r="I79" s="1326"/>
      <c r="J79" s="1326"/>
      <c r="K79" s="1326"/>
      <c r="L79" s="1326"/>
      <c r="M79" s="1326"/>
      <c r="N79" s="1326"/>
      <c r="O79" s="1499"/>
      <c r="P79" s="1499"/>
      <c r="Q79" s="1499"/>
      <c r="R79" s="1377">
        <f>ROUND(M79*H79,2)</f>
        <v>0</v>
      </c>
      <c r="S79" s="1377"/>
      <c r="T79" s="1377"/>
      <c r="U79" s="1377"/>
      <c r="V79" s="1377"/>
      <c r="W79" s="1499"/>
      <c r="X79" s="1499"/>
      <c r="Y79" s="1660">
        <f>ROUND(R79*W79,2)</f>
        <v>0</v>
      </c>
      <c r="Z79" s="1660"/>
      <c r="AA79" s="1660"/>
      <c r="AB79" s="1660"/>
      <c r="AC79" s="1660"/>
      <c r="AD79" s="216"/>
    </row>
    <row r="80" spans="1:30" ht="15.75">
      <c r="A80" s="34">
        <v>2</v>
      </c>
      <c r="B80" s="1326"/>
      <c r="C80" s="1326"/>
      <c r="D80" s="1326"/>
      <c r="E80" s="1326"/>
      <c r="F80" s="1326"/>
      <c r="G80" s="1326"/>
      <c r="H80" s="1326"/>
      <c r="I80" s="1326"/>
      <c r="J80" s="1326"/>
      <c r="K80" s="1326"/>
      <c r="L80" s="1326"/>
      <c r="M80" s="1326"/>
      <c r="N80" s="1326"/>
      <c r="O80" s="1499"/>
      <c r="P80" s="1499"/>
      <c r="Q80" s="1499"/>
      <c r="R80" s="1377">
        <f t="shared" ref="R80:R82" si="7">ROUND(M80*H80,2)</f>
        <v>0</v>
      </c>
      <c r="S80" s="1377"/>
      <c r="T80" s="1377"/>
      <c r="U80" s="1377"/>
      <c r="V80" s="1377"/>
      <c r="W80" s="1499"/>
      <c r="X80" s="1499"/>
      <c r="Y80" s="1660">
        <f t="shared" ref="Y80:Y82" si="8">ROUND(R80*W80,2)</f>
        <v>0</v>
      </c>
      <c r="Z80" s="1660"/>
      <c r="AA80" s="1660"/>
      <c r="AB80" s="1660"/>
      <c r="AC80" s="1660"/>
      <c r="AD80" s="216"/>
    </row>
    <row r="81" spans="1:30" ht="15.75">
      <c r="A81" s="34">
        <v>3</v>
      </c>
      <c r="B81" s="1326"/>
      <c r="C81" s="1326"/>
      <c r="D81" s="1326"/>
      <c r="E81" s="1326"/>
      <c r="F81" s="1326"/>
      <c r="G81" s="1326"/>
      <c r="H81" s="1326"/>
      <c r="I81" s="1326"/>
      <c r="J81" s="1326"/>
      <c r="K81" s="1326"/>
      <c r="L81" s="1326"/>
      <c r="M81" s="1326"/>
      <c r="N81" s="1326"/>
      <c r="O81" s="1499"/>
      <c r="P81" s="1499"/>
      <c r="Q81" s="1499"/>
      <c r="R81" s="1377">
        <f t="shared" si="7"/>
        <v>0</v>
      </c>
      <c r="S81" s="1377"/>
      <c r="T81" s="1377"/>
      <c r="U81" s="1377"/>
      <c r="V81" s="1377"/>
      <c r="W81" s="1499"/>
      <c r="X81" s="1499"/>
      <c r="Y81" s="1660">
        <f t="shared" si="8"/>
        <v>0</v>
      </c>
      <c r="Z81" s="1660"/>
      <c r="AA81" s="1660"/>
      <c r="AB81" s="1660"/>
      <c r="AC81" s="1660"/>
      <c r="AD81" s="216"/>
    </row>
    <row r="82" spans="1:30" ht="15.75">
      <c r="A82" s="34">
        <v>4</v>
      </c>
      <c r="B82" s="1326"/>
      <c r="C82" s="1326"/>
      <c r="D82" s="1326"/>
      <c r="E82" s="1326"/>
      <c r="F82" s="1326"/>
      <c r="G82" s="1326"/>
      <c r="H82" s="1326"/>
      <c r="I82" s="1326"/>
      <c r="J82" s="1326"/>
      <c r="K82" s="1326"/>
      <c r="L82" s="1326"/>
      <c r="M82" s="1326"/>
      <c r="N82" s="1326"/>
      <c r="O82" s="1499"/>
      <c r="P82" s="1499"/>
      <c r="Q82" s="1499"/>
      <c r="R82" s="1377">
        <f t="shared" si="7"/>
        <v>0</v>
      </c>
      <c r="S82" s="1377"/>
      <c r="T82" s="1377"/>
      <c r="U82" s="1377"/>
      <c r="V82" s="1377"/>
      <c r="W82" s="1499"/>
      <c r="X82" s="1499"/>
      <c r="Y82" s="1660">
        <f t="shared" si="8"/>
        <v>0</v>
      </c>
      <c r="Z82" s="1660"/>
      <c r="AA82" s="1660"/>
      <c r="AB82" s="1660"/>
      <c r="AC82" s="1660"/>
      <c r="AD82" s="216"/>
    </row>
    <row r="83" spans="1:30" ht="15.75">
      <c r="A83" s="107"/>
      <c r="B83" s="679" t="s">
        <v>204</v>
      </c>
      <c r="C83" s="679"/>
      <c r="D83" s="679"/>
      <c r="E83" s="679"/>
      <c r="F83" s="679"/>
      <c r="G83" s="679"/>
      <c r="H83" s="679"/>
      <c r="I83" s="679"/>
      <c r="J83" s="679"/>
      <c r="K83" s="679"/>
      <c r="L83" s="679"/>
      <c r="M83" s="34"/>
      <c r="N83" s="34" t="s">
        <v>66</v>
      </c>
      <c r="O83" s="1633">
        <f>SUM(O79:Q82)</f>
        <v>0</v>
      </c>
      <c r="P83" s="1587"/>
      <c r="Q83" s="1587"/>
      <c r="R83" s="1631"/>
      <c r="S83" s="1631"/>
      <c r="T83" s="1631"/>
      <c r="U83" s="1631"/>
      <c r="V83" s="1631"/>
      <c r="W83" s="109"/>
      <c r="X83" s="34" t="s">
        <v>66</v>
      </c>
      <c r="Y83" s="1663">
        <f>SUM(Y79:AC82)</f>
        <v>0</v>
      </c>
      <c r="Z83" s="1663"/>
      <c r="AA83" s="1663"/>
      <c r="AB83" s="1663"/>
      <c r="AC83" s="1663"/>
      <c r="AD83" s="220"/>
    </row>
    <row r="84" spans="1:30" ht="15.75">
      <c r="A84" s="107"/>
      <c r="B84" s="633" t="s">
        <v>205</v>
      </c>
      <c r="C84" s="633"/>
      <c r="D84" s="633"/>
      <c r="E84" s="633"/>
      <c r="F84" s="633"/>
      <c r="G84" s="633"/>
      <c r="H84" s="633"/>
      <c r="I84" s="633"/>
      <c r="J84" s="633"/>
      <c r="K84" s="633"/>
      <c r="L84" s="633"/>
      <c r="M84" s="633"/>
      <c r="N84" s="633"/>
      <c r="O84" s="633"/>
      <c r="P84" s="633"/>
      <c r="Q84" s="633"/>
      <c r="R84" s="633"/>
      <c r="S84" s="633"/>
      <c r="T84" s="633"/>
      <c r="U84" s="633"/>
      <c r="V84" s="633"/>
      <c r="W84" s="633"/>
      <c r="X84" s="633"/>
      <c r="Y84" s="633"/>
      <c r="Z84" s="633"/>
      <c r="AA84" s="633"/>
      <c r="AB84" s="633"/>
      <c r="AC84" s="633"/>
      <c r="AD84" s="197"/>
    </row>
    <row r="85" spans="1:30" ht="8.25" customHeight="1">
      <c r="A85" s="107"/>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row>
    <row r="86" spans="1:30" ht="15.75">
      <c r="A86" s="1370"/>
      <c r="B86" s="1370"/>
      <c r="C86" s="1370"/>
      <c r="D86" s="1370"/>
      <c r="E86" s="1370"/>
      <c r="F86" s="1370"/>
      <c r="G86" s="1370"/>
      <c r="H86" s="1370"/>
      <c r="I86" s="1370"/>
      <c r="J86" s="1370"/>
      <c r="K86" s="1370"/>
      <c r="L86" s="1370"/>
      <c r="M86" s="1370"/>
      <c r="N86" s="1370"/>
      <c r="O86" s="1370"/>
      <c r="P86" s="1370"/>
      <c r="Q86" s="1370"/>
      <c r="R86" s="1370"/>
      <c r="S86" s="1370"/>
      <c r="T86" s="1370"/>
      <c r="U86" s="1370"/>
      <c r="V86" s="1370"/>
      <c r="W86" s="1370"/>
      <c r="X86" s="1370"/>
      <c r="Y86" s="1370"/>
      <c r="Z86" s="1370"/>
      <c r="AA86" s="1370"/>
      <c r="AB86" s="1370"/>
      <c r="AC86" s="1370"/>
      <c r="AD86" s="42"/>
    </row>
    <row r="87" spans="1:30" ht="15.75">
      <c r="A87" s="107"/>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row>
    <row r="88" spans="1:30" ht="15.75">
      <c r="A88" s="4"/>
      <c r="B88" s="1627" t="s">
        <v>941</v>
      </c>
      <c r="C88" s="1627"/>
      <c r="D88" s="1627"/>
      <c r="E88" s="1627"/>
      <c r="F88" s="1627"/>
      <c r="G88" s="1627"/>
      <c r="H88" s="1627"/>
      <c r="I88" s="1627"/>
      <c r="J88" s="1627"/>
      <c r="K88" s="1627"/>
      <c r="L88" s="1627"/>
      <c r="M88" s="1627"/>
      <c r="N88" s="1627"/>
      <c r="O88" s="1627"/>
      <c r="P88" s="1627"/>
      <c r="Q88" s="1627"/>
      <c r="R88" s="1627"/>
      <c r="S88" s="1627"/>
      <c r="T88" s="1627"/>
      <c r="U88" s="1627"/>
      <c r="V88" s="1627"/>
      <c r="X88" s="34" t="s">
        <v>66</v>
      </c>
      <c r="Y88" s="1628">
        <f>Y65+Y73+Y83</f>
        <v>0</v>
      </c>
      <c r="Z88" s="1629"/>
      <c r="AA88" s="1629"/>
      <c r="AB88" s="1629"/>
      <c r="AC88" s="1630"/>
      <c r="AD88" s="220"/>
    </row>
    <row r="89" spans="1:30" ht="15.75">
      <c r="A89" s="26"/>
      <c r="B89" s="111"/>
      <c r="C89" s="111"/>
      <c r="D89" s="111"/>
      <c r="E89" s="111"/>
      <c r="F89" s="111"/>
      <c r="G89" s="111"/>
      <c r="H89" s="111"/>
      <c r="I89" s="111"/>
      <c r="J89" s="111"/>
      <c r="K89" s="111"/>
      <c r="L89" s="111"/>
      <c r="M89" s="111"/>
      <c r="N89" s="111"/>
      <c r="O89" s="111"/>
      <c r="P89" s="111"/>
      <c r="Q89" s="111"/>
      <c r="R89" s="111"/>
      <c r="S89" s="34"/>
      <c r="T89" s="34"/>
      <c r="U89" s="34"/>
      <c r="V89" s="34"/>
      <c r="W89" s="5"/>
      <c r="X89" s="5"/>
      <c r="Y89" s="5"/>
      <c r="Z89" s="5"/>
      <c r="AA89" s="5"/>
      <c r="AB89" s="5"/>
      <c r="AC89" s="4"/>
      <c r="AD89" s="4"/>
    </row>
    <row r="90" spans="1:30" ht="15.75">
      <c r="A90" s="4"/>
      <c r="B90" s="1627" t="s">
        <v>940</v>
      </c>
      <c r="C90" s="1627"/>
      <c r="D90" s="1627"/>
      <c r="E90" s="1627"/>
      <c r="F90" s="1627"/>
      <c r="G90" s="1627"/>
      <c r="H90" s="1627"/>
      <c r="I90" s="1627"/>
      <c r="J90" s="1627"/>
      <c r="K90" s="1627"/>
      <c r="L90" s="1627"/>
      <c r="M90" s="1627"/>
      <c r="N90" s="1627"/>
      <c r="O90" s="1627"/>
      <c r="P90" s="1627"/>
      <c r="Q90" s="1627"/>
      <c r="R90" s="1627"/>
      <c r="S90" s="1627"/>
      <c r="T90" s="1627"/>
      <c r="U90" s="1627"/>
      <c r="V90" s="1627"/>
      <c r="X90" s="34" t="s">
        <v>66</v>
      </c>
      <c r="Y90" s="1628">
        <f>+X21+Y65+Y73+Y83</f>
        <v>560587.5</v>
      </c>
      <c r="Z90" s="1629"/>
      <c r="AA90" s="1629"/>
      <c r="AB90" s="1629"/>
      <c r="AC90" s="1630"/>
      <c r="AD90" s="220"/>
    </row>
    <row r="91" spans="1:30" ht="15.75">
      <c r="A91" s="4"/>
      <c r="B91" s="35"/>
      <c r="C91" s="35"/>
      <c r="D91" s="35"/>
      <c r="E91" s="35"/>
      <c r="F91" s="35"/>
      <c r="G91" s="35"/>
      <c r="H91" s="35"/>
      <c r="I91" s="35"/>
      <c r="J91" s="35"/>
      <c r="K91" s="35"/>
      <c r="L91" s="35"/>
      <c r="M91" s="35"/>
      <c r="N91" s="35"/>
      <c r="O91" s="35"/>
      <c r="P91" s="35"/>
      <c r="Q91" s="35"/>
      <c r="R91" s="35"/>
      <c r="S91" s="35"/>
      <c r="T91" s="35"/>
      <c r="U91" s="35"/>
      <c r="V91" s="35"/>
      <c r="W91" s="4"/>
      <c r="X91" s="4"/>
      <c r="Y91" s="4"/>
      <c r="Z91" s="4"/>
      <c r="AA91" s="4"/>
      <c r="AB91" s="4"/>
      <c r="AC91" s="4"/>
      <c r="AD91" s="4"/>
    </row>
    <row r="92" spans="1:30" ht="15.75">
      <c r="A92" s="4"/>
      <c r="B92" s="1627" t="s">
        <v>942</v>
      </c>
      <c r="C92" s="1627"/>
      <c r="D92" s="1627"/>
      <c r="E92" s="1627"/>
      <c r="F92" s="1627"/>
      <c r="G92" s="1627"/>
      <c r="H92" s="1627"/>
      <c r="I92" s="1627"/>
      <c r="J92" s="1627"/>
      <c r="K92" s="1627"/>
      <c r="L92" s="1627"/>
      <c r="M92" s="1627"/>
      <c r="N92" s="1627"/>
      <c r="O92" s="1627"/>
      <c r="P92" s="1627"/>
      <c r="Q92" s="1627"/>
      <c r="R92" s="1627"/>
      <c r="S92" s="1627"/>
      <c r="T92" s="1627"/>
      <c r="U92" s="1627"/>
      <c r="V92" s="1627"/>
      <c r="X92" s="34" t="s">
        <v>66</v>
      </c>
      <c r="Y92" s="1628">
        <f>+M65+R73+O83</f>
        <v>0</v>
      </c>
      <c r="Z92" s="1629"/>
      <c r="AA92" s="1629"/>
      <c r="AB92" s="1629"/>
      <c r="AC92" s="1630"/>
      <c r="AD92" s="220"/>
    </row>
    <row r="93" spans="1:30" ht="15.75">
      <c r="A93" s="26"/>
      <c r="B93" s="107"/>
      <c r="C93" s="107"/>
      <c r="D93" s="107"/>
      <c r="E93" s="107"/>
      <c r="F93" s="107"/>
      <c r="G93" s="107"/>
      <c r="H93" s="107"/>
      <c r="I93" s="107"/>
      <c r="J93" s="107"/>
      <c r="K93" s="107"/>
      <c r="L93" s="107"/>
      <c r="M93" s="107"/>
      <c r="N93" s="107"/>
      <c r="O93" s="107"/>
      <c r="P93" s="107"/>
      <c r="Q93" s="107"/>
      <c r="R93" s="107"/>
      <c r="S93" s="5"/>
      <c r="T93" s="5"/>
      <c r="U93" s="5"/>
      <c r="V93" s="26"/>
      <c r="W93" s="5"/>
      <c r="X93" s="5"/>
      <c r="Y93" s="5"/>
      <c r="Z93" s="5"/>
      <c r="AA93" s="5"/>
      <c r="AB93" s="5"/>
      <c r="AC93" s="4"/>
      <c r="AD93" s="4"/>
    </row>
  </sheetData>
  <mergeCells count="326">
    <mergeCell ref="E9:F9"/>
    <mergeCell ref="H9:J9"/>
    <mergeCell ref="L9:O9"/>
    <mergeCell ref="F13:I13"/>
    <mergeCell ref="H21:L21"/>
    <mergeCell ref="X21:AC21"/>
    <mergeCell ref="B27:L27"/>
    <mergeCell ref="M28:P28"/>
    <mergeCell ref="X31:AC31"/>
    <mergeCell ref="X26:AC26"/>
    <mergeCell ref="X28:AC28"/>
    <mergeCell ref="M27:P27"/>
    <mergeCell ref="X27:AC27"/>
    <mergeCell ref="B26:L26"/>
    <mergeCell ref="P29:U29"/>
    <mergeCell ref="V29:W29"/>
    <mergeCell ref="X29:AC29"/>
    <mergeCell ref="B92:V92"/>
    <mergeCell ref="Y92:AC92"/>
    <mergeCell ref="B10:C10"/>
    <mergeCell ref="E10:F10"/>
    <mergeCell ref="B11:C11"/>
    <mergeCell ref="E11:F11"/>
    <mergeCell ref="B13:C13"/>
    <mergeCell ref="B84:AC84"/>
    <mergeCell ref="A86:AC86"/>
    <mergeCell ref="B88:V88"/>
    <mergeCell ref="Y88:AC88"/>
    <mergeCell ref="B90:V90"/>
    <mergeCell ref="Y90:AC90"/>
    <mergeCell ref="T82:V82"/>
    <mergeCell ref="W82:X82"/>
    <mergeCell ref="Y82:AC82"/>
    <mergeCell ref="B83:L83"/>
    <mergeCell ref="O83:Q83"/>
    <mergeCell ref="R83:V83"/>
    <mergeCell ref="Y83:AC83"/>
    <mergeCell ref="B82:F82"/>
    <mergeCell ref="G82:I82"/>
    <mergeCell ref="J82:K82"/>
    <mergeCell ref="L82:N82"/>
    <mergeCell ref="Y80:AC80"/>
    <mergeCell ref="B81:F81"/>
    <mergeCell ref="G81:I81"/>
    <mergeCell ref="J81:K81"/>
    <mergeCell ref="L81:N81"/>
    <mergeCell ref="O81:Q81"/>
    <mergeCell ref="R81:S81"/>
    <mergeCell ref="T81:V81"/>
    <mergeCell ref="W81:X81"/>
    <mergeCell ref="Y81:AC81"/>
    <mergeCell ref="B80:F80"/>
    <mergeCell ref="G80:I80"/>
    <mergeCell ref="J80:K80"/>
    <mergeCell ref="L80:N80"/>
    <mergeCell ref="O80:Q80"/>
    <mergeCell ref="R80:S80"/>
    <mergeCell ref="T80:V80"/>
    <mergeCell ref="W80:X80"/>
    <mergeCell ref="O82:Q82"/>
    <mergeCell ref="R82:S82"/>
    <mergeCell ref="B79:F79"/>
    <mergeCell ref="G79:I79"/>
    <mergeCell ref="J79:K79"/>
    <mergeCell ref="L79:N79"/>
    <mergeCell ref="O79:Q79"/>
    <mergeCell ref="R79:S79"/>
    <mergeCell ref="T79:V79"/>
    <mergeCell ref="W79:X79"/>
    <mergeCell ref="Y79:AC79"/>
    <mergeCell ref="B73:G73"/>
    <mergeCell ref="R73:V73"/>
    <mergeCell ref="Y73:AC73"/>
    <mergeCell ref="A75:AC75"/>
    <mergeCell ref="B77:F78"/>
    <mergeCell ref="G77:I78"/>
    <mergeCell ref="J77:K78"/>
    <mergeCell ref="L77:N78"/>
    <mergeCell ref="O77:Q78"/>
    <mergeCell ref="R77:S78"/>
    <mergeCell ref="T77:V78"/>
    <mergeCell ref="W77:X78"/>
    <mergeCell ref="Y77:AC78"/>
    <mergeCell ref="B72:G72"/>
    <mergeCell ref="H72:L72"/>
    <mergeCell ref="M72:Q72"/>
    <mergeCell ref="R72:V72"/>
    <mergeCell ref="W72:X72"/>
    <mergeCell ref="Y72:AC72"/>
    <mergeCell ref="A67:AC67"/>
    <mergeCell ref="B69:AC69"/>
    <mergeCell ref="B70:G71"/>
    <mergeCell ref="H70:L71"/>
    <mergeCell ref="M70:Q71"/>
    <mergeCell ref="R70:V71"/>
    <mergeCell ref="W70:X71"/>
    <mergeCell ref="Y70:AC71"/>
    <mergeCell ref="V64:X64"/>
    <mergeCell ref="Z64:AC64"/>
    <mergeCell ref="B65:G65"/>
    <mergeCell ref="H65:I65"/>
    <mergeCell ref="M65:O65"/>
    <mergeCell ref="Q65:V65"/>
    <mergeCell ref="Y65:AC65"/>
    <mergeCell ref="B64:G64"/>
    <mergeCell ref="H64:I64"/>
    <mergeCell ref="J64:L64"/>
    <mergeCell ref="M64:O64"/>
    <mergeCell ref="P64:S64"/>
    <mergeCell ref="T64:U64"/>
    <mergeCell ref="V62:X62"/>
    <mergeCell ref="Z62:AC62"/>
    <mergeCell ref="B63:G63"/>
    <mergeCell ref="H63:I63"/>
    <mergeCell ref="J63:L63"/>
    <mergeCell ref="M63:O63"/>
    <mergeCell ref="P63:S63"/>
    <mergeCell ref="T63:U63"/>
    <mergeCell ref="V63:X63"/>
    <mergeCell ref="Z63:AC63"/>
    <mergeCell ref="B62:G62"/>
    <mergeCell ref="H62:I62"/>
    <mergeCell ref="J62:L62"/>
    <mergeCell ref="M62:O62"/>
    <mergeCell ref="P62:S62"/>
    <mergeCell ref="T62:U62"/>
    <mergeCell ref="V60:X60"/>
    <mergeCell ref="Z60:AC60"/>
    <mergeCell ref="B61:G61"/>
    <mergeCell ref="H61:I61"/>
    <mergeCell ref="J61:L61"/>
    <mergeCell ref="M61:O61"/>
    <mergeCell ref="P61:S61"/>
    <mergeCell ref="T61:U61"/>
    <mergeCell ref="V61:X61"/>
    <mergeCell ref="Z61:AC61"/>
    <mergeCell ref="B60:G60"/>
    <mergeCell ref="H60:I60"/>
    <mergeCell ref="J60:L60"/>
    <mergeCell ref="M60:O60"/>
    <mergeCell ref="P60:S60"/>
    <mergeCell ref="T60:U60"/>
    <mergeCell ref="V58:X58"/>
    <mergeCell ref="Z58:AC58"/>
    <mergeCell ref="B59:G59"/>
    <mergeCell ref="H59:I59"/>
    <mergeCell ref="J59:L59"/>
    <mergeCell ref="M59:O59"/>
    <mergeCell ref="P59:S59"/>
    <mergeCell ref="T59:U59"/>
    <mergeCell ref="V59:X59"/>
    <mergeCell ref="Z59:AC59"/>
    <mergeCell ref="B58:G58"/>
    <mergeCell ref="H58:I58"/>
    <mergeCell ref="J58:L58"/>
    <mergeCell ref="M58:O58"/>
    <mergeCell ref="P58:S58"/>
    <mergeCell ref="T58:U58"/>
    <mergeCell ref="V56:X56"/>
    <mergeCell ref="Z56:AC56"/>
    <mergeCell ref="B57:G57"/>
    <mergeCell ref="H57:I57"/>
    <mergeCell ref="J57:L57"/>
    <mergeCell ref="M57:O57"/>
    <mergeCell ref="P57:S57"/>
    <mergeCell ref="T57:U57"/>
    <mergeCell ref="V57:X57"/>
    <mergeCell ref="Z57:AC57"/>
    <mergeCell ref="B56:G56"/>
    <mergeCell ref="H56:I56"/>
    <mergeCell ref="J56:L56"/>
    <mergeCell ref="M56:O56"/>
    <mergeCell ref="P56:S56"/>
    <mergeCell ref="T56:U56"/>
    <mergeCell ref="AA52:AC52"/>
    <mergeCell ref="B54:AC54"/>
    <mergeCell ref="B55:G55"/>
    <mergeCell ref="H55:I55"/>
    <mergeCell ref="J55:L55"/>
    <mergeCell ref="M55:O55"/>
    <mergeCell ref="P55:S55"/>
    <mergeCell ref="T55:U55"/>
    <mergeCell ref="V55:X55"/>
    <mergeCell ref="Z55:AC55"/>
    <mergeCell ref="B52:K52"/>
    <mergeCell ref="L52:N52"/>
    <mergeCell ref="O52:Q52"/>
    <mergeCell ref="R52:T52"/>
    <mergeCell ref="U52:W52"/>
    <mergeCell ref="X52:Z52"/>
    <mergeCell ref="AA50:AC50"/>
    <mergeCell ref="B51:I51"/>
    <mergeCell ref="L51:N51"/>
    <mergeCell ref="O51:Q51"/>
    <mergeCell ref="R51:T51"/>
    <mergeCell ref="U51:W51"/>
    <mergeCell ref="X51:Z51"/>
    <mergeCell ref="AA51:AC51"/>
    <mergeCell ref="X49:Z49"/>
    <mergeCell ref="AA49:AC49"/>
    <mergeCell ref="B50:E50"/>
    <mergeCell ref="G50:I50"/>
    <mergeCell ref="J50:K50"/>
    <mergeCell ref="L50:N50"/>
    <mergeCell ref="O50:Q50"/>
    <mergeCell ref="R50:T50"/>
    <mergeCell ref="U50:W50"/>
    <mergeCell ref="X50:Z50"/>
    <mergeCell ref="B49:E49"/>
    <mergeCell ref="G49:I49"/>
    <mergeCell ref="L49:N49"/>
    <mergeCell ref="O49:Q49"/>
    <mergeCell ref="R49:T49"/>
    <mergeCell ref="U49:W49"/>
    <mergeCell ref="Y47:Z47"/>
    <mergeCell ref="AB47:AC47"/>
    <mergeCell ref="B48:I48"/>
    <mergeCell ref="L48:N48"/>
    <mergeCell ref="O48:Q48"/>
    <mergeCell ref="R48:T48"/>
    <mergeCell ref="U48:W48"/>
    <mergeCell ref="X48:Z48"/>
    <mergeCell ref="AA48:AC48"/>
    <mergeCell ref="B47:D47"/>
    <mergeCell ref="E47:K47"/>
    <mergeCell ref="M47:N47"/>
    <mergeCell ref="P47:Q47"/>
    <mergeCell ref="S47:T47"/>
    <mergeCell ref="V47:W47"/>
    <mergeCell ref="Y45:Z45"/>
    <mergeCell ref="AB45:AC45"/>
    <mergeCell ref="B46:D46"/>
    <mergeCell ref="E46:K46"/>
    <mergeCell ref="M46:N46"/>
    <mergeCell ref="P46:Q46"/>
    <mergeCell ref="S46:T46"/>
    <mergeCell ref="V46:W46"/>
    <mergeCell ref="Y46:Z46"/>
    <mergeCell ref="AB46:AC46"/>
    <mergeCell ref="B45:D45"/>
    <mergeCell ref="E45:K45"/>
    <mergeCell ref="M45:N45"/>
    <mergeCell ref="P45:Q45"/>
    <mergeCell ref="S45:T45"/>
    <mergeCell ref="V45:W45"/>
    <mergeCell ref="Y43:Z43"/>
    <mergeCell ref="AB43:AC43"/>
    <mergeCell ref="B44:D44"/>
    <mergeCell ref="E44:K44"/>
    <mergeCell ref="M44:N44"/>
    <mergeCell ref="P44:Q44"/>
    <mergeCell ref="S44:T44"/>
    <mergeCell ref="V44:W44"/>
    <mergeCell ref="Y44:Z44"/>
    <mergeCell ref="AB44:AC44"/>
    <mergeCell ref="B43:D43"/>
    <mergeCell ref="E43:K43"/>
    <mergeCell ref="M43:N43"/>
    <mergeCell ref="P43:Q43"/>
    <mergeCell ref="S43:T43"/>
    <mergeCell ref="V43:W43"/>
    <mergeCell ref="Y41:Z41"/>
    <mergeCell ref="AB41:AC41"/>
    <mergeCell ref="B42:D42"/>
    <mergeCell ref="E42:K42"/>
    <mergeCell ref="M42:N42"/>
    <mergeCell ref="P42:Q42"/>
    <mergeCell ref="S42:T42"/>
    <mergeCell ref="V42:W42"/>
    <mergeCell ref="Y42:Z42"/>
    <mergeCell ref="AB42:AC42"/>
    <mergeCell ref="B41:D41"/>
    <mergeCell ref="E41:K41"/>
    <mergeCell ref="M41:N41"/>
    <mergeCell ref="P41:Q41"/>
    <mergeCell ref="S41:T41"/>
    <mergeCell ref="V41:W41"/>
    <mergeCell ref="B37:V37"/>
    <mergeCell ref="W37:AC37"/>
    <mergeCell ref="B39:D40"/>
    <mergeCell ref="E39:K40"/>
    <mergeCell ref="L39:N39"/>
    <mergeCell ref="O39:Q39"/>
    <mergeCell ref="R39:T39"/>
    <mergeCell ref="U39:W39"/>
    <mergeCell ref="X39:Z39"/>
    <mergeCell ref="AA39:AC39"/>
    <mergeCell ref="A34:AC34"/>
    <mergeCell ref="W36:AC36"/>
    <mergeCell ref="X25:AC25"/>
    <mergeCell ref="M26:P26"/>
    <mergeCell ref="B20:G20"/>
    <mergeCell ref="H20:L20"/>
    <mergeCell ref="M20:P20"/>
    <mergeCell ref="X20:AC20"/>
    <mergeCell ref="T4:X4"/>
    <mergeCell ref="Z4:AC4"/>
    <mergeCell ref="A5:AC5"/>
    <mergeCell ref="B19:G19"/>
    <mergeCell ref="H19:L19"/>
    <mergeCell ref="M19:P19"/>
    <mergeCell ref="X19:AC19"/>
    <mergeCell ref="Q27:U27"/>
    <mergeCell ref="V27:W27"/>
    <mergeCell ref="Q19:W19"/>
    <mergeCell ref="Q20:W20"/>
    <mergeCell ref="M25:P25"/>
    <mergeCell ref="B25:L25"/>
    <mergeCell ref="U12:AC14"/>
    <mergeCell ref="U7:AC7"/>
    <mergeCell ref="U9:AC11"/>
    <mergeCell ref="T1:X1"/>
    <mergeCell ref="Z1:AC1"/>
    <mergeCell ref="T2:X2"/>
    <mergeCell ref="Z2:AC2"/>
    <mergeCell ref="T3:X3"/>
    <mergeCell ref="Z3:AC3"/>
    <mergeCell ref="Q25:U25"/>
    <mergeCell ref="V25:W25"/>
    <mergeCell ref="Q26:U26"/>
    <mergeCell ref="V26:W26"/>
    <mergeCell ref="T9:T11"/>
    <mergeCell ref="S9:S11"/>
    <mergeCell ref="S12:S14"/>
    <mergeCell ref="T12:T14"/>
    <mergeCell ref="U8:AC8"/>
  </mergeCells>
  <dataValidations count="10">
    <dataValidation type="custom" allowBlank="1" showInputMessage="1" showErrorMessage="1" errorTitle="FÓRMULA PROTEGIDA" error="Esta fórmula no se puede editar._x000a__x000a_¡NO INSISTA!" promptTitle="FÓRMULA PROTEGIDA" prompt="Esta fórmula no se puede editar." sqref="R73:V73" xr:uid="{00000000-0002-0000-0800-000000000000}">
      <formula1>"falso()"</formula1>
    </dataValidation>
    <dataValidation type="decimal" allowBlank="1" showInputMessage="1" showErrorMessage="1" sqref="H72:L72" xr:uid="{00000000-0002-0000-0800-000001000000}">
      <formula1>0</formula1>
      <formula2>1</formula2>
    </dataValidation>
    <dataValidation type="decimal" allowBlank="1" showInputMessage="1" showErrorMessage="1" sqref="J56:L64" xr:uid="{00000000-0002-0000-0800-000002000000}">
      <formula1>0</formula1>
      <formula2>2000</formula2>
    </dataValidation>
    <dataValidation type="whole" allowBlank="1" showInputMessage="1" showErrorMessage="1" sqref="T56:U64" xr:uid="{00000000-0002-0000-0800-000003000000}">
      <formula1>0</formula1>
      <formula2>150</formula2>
    </dataValidation>
    <dataValidation type="decimal" allowBlank="1" showInputMessage="1" showErrorMessage="1" sqref="Y56:Y64" xr:uid="{00000000-0002-0000-0800-000004000000}">
      <formula1>0.01</formula1>
      <formula2>1</formula2>
    </dataValidation>
    <dataValidation type="decimal" allowBlank="1" showInputMessage="1" showErrorMessage="1" sqref="J50:K50" xr:uid="{00000000-0002-0000-0800-000005000000}">
      <formula1>2</formula1>
      <formula2>5</formula2>
    </dataValidation>
    <dataValidation type="decimal" allowBlank="1" showInputMessage="1" showErrorMessage="1" sqref="F50" xr:uid="{00000000-0002-0000-0800-000006000000}">
      <formula1>0</formula1>
      <formula2>0.3</formula2>
    </dataValidation>
    <dataValidation allowBlank="1" showInputMessage="1" showErrorMessage="1" sqref="L48:AD52 M72:AD72 H65:I66 Y65:AD66 Z57:AD64 M57:O66 Y92:AD92 Y79:AD83 Y88:AD88 R80:R83 S83:V83 Y90:AD90 AB43:AC43 M44:M47 N45:N47 Z2:AD4 M41:N43 P41:Q47 S41:T47 V41:W47 AB44:AD47 AB41:AD42 Y41:Z47 X21:AC24 H21:L24 H28:L33 AD21:AD33 Y32:AC33 X28:X33 Y28:AC28 Y30:AC30" xr:uid="{00000000-0002-0000-0800-000007000000}"/>
    <dataValidation type="list" allowBlank="1" showInputMessage="1" showErrorMessage="1" sqref="R41:R47 AA41:AA47 X41:X47 O41:O47 L41:L47" xr:uid="{00000000-0002-0000-0800-000008000000}">
      <formula1>$BI$3:$BI$12</formula1>
    </dataValidation>
    <dataValidation type="list" allowBlank="1" showInputMessage="1" showErrorMessage="1" sqref="T79:V82" xr:uid="{00000000-0002-0000-0800-000009000000}">
      <formula1>$W$3:$W$11</formula1>
    </dataValidation>
  </dataValidations>
  <printOptions horizontalCentered="1"/>
  <pageMargins left="0.70866141732283472" right="0.70866141732283472" top="0.74803149606299213" bottom="0.74803149606299213" header="0.31496062992125984" footer="0.31496062992125984"/>
  <pageSetup paperSize="9" scale="53"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800-00000A000000}">
          <x14:formula1>
            <xm:f>'Lista-Data'!$BH$3:$BH$6</xm:f>
          </x14:formula1>
          <xm:sqref>W37:AC37</xm:sqref>
        </x14:dataValidation>
        <x14:dataValidation type="list" allowBlank="1" showInputMessage="1" showErrorMessage="1" xr:uid="{00000000-0002-0000-0800-00000B000000}">
          <x14:formula1>
            <xm:f>'Lista-Data'!$BJ$3:$BJ$5</xm:f>
          </x14:formula1>
          <xm:sqref>G49:I49</xm:sqref>
        </x14:dataValidation>
        <x14:dataValidation type="list" allowBlank="1" showInputMessage="1" showErrorMessage="1" xr:uid="{00000000-0002-0000-0800-00000C000000}">
          <x14:formula1>
            <xm:f>'Lista-Data'!$BI$3:$BI$12</xm:f>
          </x14:formula1>
          <xm:sqref>U41:U47</xm:sqref>
        </x14:dataValidation>
        <x14:dataValidation type="list" allowBlank="1" showInputMessage="1" showErrorMessage="1" xr:uid="{00000000-0002-0000-0800-00000D000000}">
          <x14:formula1>
            <xm:f>'Lista-Data'!$V$3:$V$7</xm:f>
          </x14:formula1>
          <xm:sqref>P56:S64</xm:sqref>
        </x14:dataValidation>
        <x14:dataValidation type="list" allowBlank="1" showInputMessage="1" showErrorMessage="1" xr:uid="{00000000-0002-0000-0800-00000E000000}">
          <x14:formula1>
            <xm:f>'Lista-Data'!$W$3:$W$11</xm:f>
          </x14:formula1>
          <xm:sqref>V56:X64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6">
    <tabColor theme="5" tint="-0.249977111117893"/>
  </sheetPr>
  <dimension ref="A11:BY101"/>
  <sheetViews>
    <sheetView topLeftCell="A10" workbookViewId="0"/>
  </sheetViews>
  <sheetFormatPr baseColWidth="10" defaultRowHeight="15"/>
  <cols>
    <col min="1" max="9" width="5.140625" customWidth="1"/>
    <col min="10" max="10" width="5" customWidth="1"/>
    <col min="11" max="11" width="6.140625" customWidth="1"/>
    <col min="12" max="30" width="5.140625" customWidth="1"/>
    <col min="31" max="31" width="3.7109375" customWidth="1"/>
    <col min="32" max="46" width="2" customWidth="1"/>
    <col min="47" max="49" width="2.5703125" customWidth="1"/>
    <col min="50" max="52" width="2.7109375" customWidth="1"/>
    <col min="53" max="55" width="3" customWidth="1"/>
    <col min="56" max="58" width="2.140625" customWidth="1"/>
    <col min="59" max="63" width="2.28515625" customWidth="1"/>
    <col min="64" max="68" width="2.140625" customWidth="1"/>
    <col min="69" max="73" width="3" customWidth="1"/>
    <col min="74" max="77" width="3.28515625" customWidth="1"/>
  </cols>
  <sheetData>
    <row r="11" spans="1:77">
      <c r="AF11" s="401"/>
      <c r="AG11" s="401"/>
      <c r="AH11" s="401"/>
      <c r="AI11" s="401"/>
      <c r="AJ11" s="401"/>
      <c r="AK11" s="401"/>
      <c r="AL11" s="401"/>
      <c r="AM11" s="401"/>
      <c r="AN11" s="401"/>
      <c r="AO11" s="401"/>
      <c r="AP11" s="401"/>
      <c r="AQ11" s="401"/>
      <c r="AR11" s="401"/>
      <c r="AS11" s="401"/>
      <c r="AT11" s="401"/>
      <c r="AU11" s="402"/>
      <c r="AV11" s="402"/>
      <c r="AW11" s="402"/>
      <c r="AX11" s="402"/>
      <c r="AY11" s="402"/>
      <c r="AZ11" s="402"/>
      <c r="BA11" s="402"/>
      <c r="BB11" s="402"/>
      <c r="BC11" s="402"/>
      <c r="BD11" s="402"/>
      <c r="BE11" s="402"/>
      <c r="BF11" s="402"/>
      <c r="BG11" s="403"/>
      <c r="BH11" s="403"/>
      <c r="BI11" s="403"/>
      <c r="BJ11" s="403"/>
      <c r="BK11" s="403"/>
      <c r="BL11" s="403"/>
      <c r="BM11" s="403"/>
      <c r="BN11" s="403"/>
      <c r="BO11" s="403"/>
      <c r="BP11" s="403"/>
      <c r="BQ11" s="403"/>
      <c r="BR11" s="403"/>
      <c r="BS11" s="403"/>
      <c r="BT11" s="403"/>
      <c r="BU11" s="403"/>
      <c r="BV11" s="403"/>
      <c r="BW11" s="403"/>
      <c r="BX11" s="403"/>
      <c r="BY11" s="403"/>
    </row>
    <row r="12" spans="1:77" ht="15.75">
      <c r="A12" s="24"/>
      <c r="B12" s="24"/>
      <c r="C12" s="24"/>
      <c r="D12" s="24"/>
      <c r="E12" s="24"/>
      <c r="F12" s="24"/>
      <c r="G12" s="24"/>
      <c r="H12" s="24"/>
      <c r="I12" s="24"/>
      <c r="J12" s="24"/>
      <c r="K12" s="24"/>
      <c r="L12" s="24"/>
      <c r="M12" s="24"/>
      <c r="N12" s="24"/>
      <c r="O12" s="24"/>
      <c r="P12" s="24"/>
      <c r="Q12" s="24"/>
      <c r="R12" s="24"/>
      <c r="S12" s="24"/>
      <c r="T12" s="1023" t="s">
        <v>815</v>
      </c>
      <c r="U12" s="1023"/>
      <c r="V12" s="1023"/>
      <c r="W12" s="1023"/>
      <c r="X12" s="1023"/>
      <c r="Y12" s="67" t="s">
        <v>0</v>
      </c>
      <c r="Z12" s="1716">
        <f>+REPOSICIÓN!Z12</f>
        <v>0</v>
      </c>
      <c r="AA12" s="1716"/>
      <c r="AB12" s="1716"/>
      <c r="AC12" s="1716"/>
      <c r="AD12" s="1716"/>
    </row>
    <row r="13" spans="1:77" ht="15.75">
      <c r="A13" s="24"/>
      <c r="B13" s="24"/>
      <c r="C13" s="24"/>
      <c r="D13" s="24"/>
      <c r="E13" s="24"/>
      <c r="F13" s="24"/>
      <c r="G13" s="24"/>
      <c r="H13" s="24"/>
      <c r="I13" s="24"/>
      <c r="J13" s="24"/>
      <c r="K13" s="24"/>
      <c r="L13" s="24"/>
      <c r="M13" s="24"/>
      <c r="N13" s="24"/>
      <c r="O13" s="24"/>
      <c r="P13" s="24"/>
      <c r="Q13" s="24"/>
      <c r="R13" s="24"/>
      <c r="S13" s="24"/>
      <c r="T13" s="1023" t="s">
        <v>1</v>
      </c>
      <c r="U13" s="1023"/>
      <c r="V13" s="1023"/>
      <c r="W13" s="1023"/>
      <c r="X13" s="1023"/>
      <c r="Y13" s="67" t="s">
        <v>0</v>
      </c>
      <c r="Z13" s="1716" t="str">
        <f>+REPOSICIÓN!Z13</f>
        <v>XXXX-26</v>
      </c>
      <c r="AA13" s="1716"/>
      <c r="AB13" s="1716"/>
      <c r="AC13" s="1716"/>
      <c r="AD13" s="1716"/>
    </row>
    <row r="14" spans="1:77" ht="15.75">
      <c r="A14" s="24"/>
      <c r="B14" s="24"/>
      <c r="C14" s="24"/>
      <c r="D14" s="24"/>
      <c r="E14" s="24"/>
      <c r="F14" s="24"/>
      <c r="G14" s="24"/>
      <c r="H14" s="24"/>
      <c r="I14" s="24"/>
      <c r="J14" s="24"/>
      <c r="K14" s="24"/>
      <c r="L14" s="24"/>
      <c r="M14" s="24"/>
      <c r="N14" s="24"/>
      <c r="O14" s="24"/>
      <c r="P14" s="24"/>
      <c r="Q14" s="24"/>
      <c r="R14" s="24"/>
      <c r="S14" s="24"/>
      <c r="T14" s="1023" t="s">
        <v>52</v>
      </c>
      <c r="U14" s="1023"/>
      <c r="V14" s="1023"/>
      <c r="W14" s="1023"/>
      <c r="X14" s="1023"/>
      <c r="Y14" s="67" t="s">
        <v>0</v>
      </c>
      <c r="Z14" s="1717">
        <f>+REPOSICIÓN!Z14</f>
        <v>0</v>
      </c>
      <c r="AA14" s="1717"/>
      <c r="AB14" s="1717"/>
      <c r="AC14" s="1717"/>
      <c r="AD14" s="1717"/>
      <c r="AF14" s="238" t="s">
        <v>1104</v>
      </c>
    </row>
    <row r="15" spans="1:77" ht="15.75">
      <c r="A15" s="24"/>
      <c r="B15" s="24"/>
      <c r="C15" s="24"/>
      <c r="D15" s="24"/>
      <c r="E15" s="24"/>
      <c r="F15" s="24"/>
      <c r="G15" s="24"/>
      <c r="H15" s="24"/>
      <c r="I15" s="24"/>
      <c r="J15" s="24"/>
      <c r="K15" s="24"/>
      <c r="L15" s="24"/>
      <c r="M15" s="24"/>
      <c r="N15" s="24"/>
      <c r="O15" s="24"/>
      <c r="P15" s="24"/>
      <c r="Q15" s="24"/>
      <c r="R15" s="24"/>
      <c r="S15" s="24"/>
      <c r="T15" s="1023" t="s">
        <v>816</v>
      </c>
      <c r="U15" s="1023"/>
      <c r="V15" s="1023"/>
      <c r="W15" s="1023"/>
      <c r="X15" s="1023"/>
      <c r="Y15" s="67" t="s">
        <v>0</v>
      </c>
      <c r="Z15" s="1717">
        <f>+REPOSICIÓN!Z15</f>
        <v>365</v>
      </c>
      <c r="AA15" s="1717"/>
      <c r="AB15" s="1717"/>
      <c r="AC15" s="1717"/>
      <c r="AD15" s="1717"/>
      <c r="AF15" s="1488" t="s">
        <v>1101</v>
      </c>
      <c r="AG15" s="1489"/>
      <c r="AH15" s="1489"/>
      <c r="AI15" s="1489"/>
      <c r="AJ15" s="1489"/>
      <c r="AK15" s="1489"/>
      <c r="AL15" s="1489"/>
      <c r="AM15" s="1489"/>
      <c r="AN15" s="1489"/>
      <c r="AO15" s="1489"/>
      <c r="AP15" s="1489"/>
      <c r="AQ15" s="1489"/>
      <c r="AR15" s="1489"/>
      <c r="AS15" s="1489"/>
      <c r="AT15" s="1489"/>
      <c r="AU15" s="1489"/>
      <c r="AV15" s="1489"/>
      <c r="AW15" s="1489"/>
      <c r="AX15" s="1489"/>
      <c r="AY15" s="1489"/>
      <c r="AZ15" s="1489"/>
      <c r="BA15" s="1489"/>
      <c r="BB15" s="1489"/>
      <c r="BC15" s="1489"/>
      <c r="BD15" s="1489"/>
      <c r="BE15" s="1489"/>
      <c r="BF15" s="1489"/>
      <c r="BG15" s="1489"/>
      <c r="BH15" s="1489"/>
      <c r="BI15" s="1489"/>
      <c r="BJ15" s="1489"/>
      <c r="BK15" s="1489"/>
      <c r="BL15" s="1489"/>
      <c r="BM15" s="1489"/>
      <c r="BN15" s="1489"/>
      <c r="BO15" s="1489"/>
      <c r="BP15" s="1489"/>
      <c r="BQ15" s="1489"/>
      <c r="BR15" s="1489"/>
      <c r="BS15" s="1489"/>
      <c r="BT15" s="1489"/>
      <c r="BU15" s="1489"/>
      <c r="BV15" s="1489"/>
      <c r="BW15" s="1489"/>
      <c r="BX15" s="1489"/>
      <c r="BY15" s="1490"/>
    </row>
    <row r="16" spans="1:77" ht="15.75" customHeight="1">
      <c r="A16" s="1292" t="s">
        <v>946</v>
      </c>
      <c r="B16" s="1293"/>
      <c r="C16" s="1293"/>
      <c r="D16" s="1293"/>
      <c r="E16" s="1293"/>
      <c r="F16" s="1293"/>
      <c r="G16" s="1293"/>
      <c r="H16" s="1293"/>
      <c r="I16" s="1293"/>
      <c r="J16" s="1293"/>
      <c r="K16" s="1293"/>
      <c r="L16" s="1293"/>
      <c r="M16" s="1293"/>
      <c r="N16" s="1293"/>
      <c r="O16" s="1293"/>
      <c r="P16" s="1293"/>
      <c r="Q16" s="1293"/>
      <c r="R16" s="1293"/>
      <c r="S16" s="1293"/>
      <c r="T16" s="1293"/>
      <c r="U16" s="1293"/>
      <c r="V16" s="1293"/>
      <c r="W16" s="1293"/>
      <c r="X16" s="1293"/>
      <c r="Y16" s="1293"/>
      <c r="Z16" s="1293"/>
      <c r="AA16" s="1293"/>
      <c r="AB16" s="1293"/>
      <c r="AC16" s="1293"/>
      <c r="AD16" s="1294"/>
      <c r="AF16" s="1683" t="s">
        <v>321</v>
      </c>
      <c r="AG16" s="1683"/>
      <c r="AH16" s="1683"/>
      <c r="AI16" s="1683"/>
      <c r="AJ16" s="1683"/>
      <c r="AK16" s="1683"/>
      <c r="AL16" s="1683"/>
      <c r="AM16" s="1683"/>
      <c r="AN16" s="1683"/>
      <c r="AO16" s="1683"/>
      <c r="AP16" s="1683"/>
      <c r="AQ16" s="1683"/>
      <c r="AR16" s="1683"/>
      <c r="AS16" s="1683"/>
      <c r="AT16" s="1683"/>
      <c r="AU16" s="1686" t="s">
        <v>19</v>
      </c>
      <c r="AV16" s="1686"/>
      <c r="AW16" s="1686"/>
      <c r="AX16" s="1686" t="s">
        <v>832</v>
      </c>
      <c r="AY16" s="1686"/>
      <c r="AZ16" s="1686"/>
      <c r="BA16" s="1686" t="s">
        <v>1095</v>
      </c>
      <c r="BB16" s="1686"/>
      <c r="BC16" s="1686"/>
      <c r="BD16" s="1686" t="s">
        <v>1096</v>
      </c>
      <c r="BE16" s="1686"/>
      <c r="BF16" s="1686"/>
      <c r="BG16" s="1689" t="s">
        <v>1097</v>
      </c>
      <c r="BH16" s="1689"/>
      <c r="BI16" s="1689"/>
      <c r="BJ16" s="1689"/>
      <c r="BK16" s="1689"/>
      <c r="BL16" s="1689" t="s">
        <v>1098</v>
      </c>
      <c r="BM16" s="1689"/>
      <c r="BN16" s="1689"/>
      <c r="BO16" s="1689"/>
      <c r="BP16" s="1689"/>
      <c r="BQ16" s="1689" t="s">
        <v>1099</v>
      </c>
      <c r="BR16" s="1689"/>
      <c r="BS16" s="1689"/>
      <c r="BT16" s="1689"/>
      <c r="BU16" s="1689"/>
      <c r="BV16" s="1689" t="s">
        <v>1103</v>
      </c>
      <c r="BW16" s="1689"/>
      <c r="BX16" s="1689"/>
      <c r="BY16" s="1689"/>
    </row>
    <row r="17" spans="1:77" ht="15.75">
      <c r="A17" s="6"/>
      <c r="B17" s="1727" t="s">
        <v>950</v>
      </c>
      <c r="C17" s="1727"/>
      <c r="D17" s="1727"/>
      <c r="E17" s="1727"/>
      <c r="F17" s="1727"/>
      <c r="G17" s="1727"/>
      <c r="H17" s="1727"/>
      <c r="I17" s="1727"/>
      <c r="J17" s="1727"/>
      <c r="K17" s="63" t="s">
        <v>840</v>
      </c>
      <c r="L17" s="109"/>
      <c r="M17" s="39"/>
      <c r="N17" s="39"/>
      <c r="O17" s="39"/>
      <c r="P17" s="39"/>
      <c r="Q17" s="39"/>
      <c r="R17" s="6"/>
      <c r="S17" s="6"/>
      <c r="T17" s="6"/>
      <c r="U17" s="6"/>
      <c r="V17" s="6"/>
      <c r="W17" s="6"/>
      <c r="X17" s="6"/>
      <c r="Y17" s="6"/>
      <c r="Z17" s="6"/>
      <c r="AA17" s="6"/>
      <c r="AB17" s="6"/>
      <c r="AC17" s="6"/>
      <c r="AD17" s="6"/>
      <c r="AF17" s="1684"/>
      <c r="AG17" s="1684"/>
      <c r="AH17" s="1684"/>
      <c r="AI17" s="1684"/>
      <c r="AJ17" s="1684"/>
      <c r="AK17" s="1684"/>
      <c r="AL17" s="1684"/>
      <c r="AM17" s="1684"/>
      <c r="AN17" s="1684"/>
      <c r="AO17" s="1684"/>
      <c r="AP17" s="1684"/>
      <c r="AQ17" s="1684"/>
      <c r="AR17" s="1684"/>
      <c r="AS17" s="1684"/>
      <c r="AT17" s="1684"/>
      <c r="AU17" s="1687"/>
      <c r="AV17" s="1687"/>
      <c r="AW17" s="1687"/>
      <c r="AX17" s="1687"/>
      <c r="AY17" s="1687"/>
      <c r="AZ17" s="1687"/>
      <c r="BA17" s="1687"/>
      <c r="BB17" s="1687"/>
      <c r="BC17" s="1687"/>
      <c r="BD17" s="1687"/>
      <c r="BE17" s="1687"/>
      <c r="BF17" s="1687"/>
      <c r="BG17" s="1690"/>
      <c r="BH17" s="1690"/>
      <c r="BI17" s="1690"/>
      <c r="BJ17" s="1690"/>
      <c r="BK17" s="1690"/>
      <c r="BL17" s="1690"/>
      <c r="BM17" s="1690"/>
      <c r="BN17" s="1690"/>
      <c r="BO17" s="1690"/>
      <c r="BP17" s="1690"/>
      <c r="BQ17" s="1690"/>
      <c r="BR17" s="1690"/>
      <c r="BS17" s="1690"/>
      <c r="BT17" s="1690"/>
      <c r="BU17" s="1690"/>
      <c r="BV17" s="1690"/>
      <c r="BW17" s="1690"/>
      <c r="BX17" s="1690"/>
      <c r="BY17" s="1690"/>
    </row>
    <row r="18" spans="1:77" ht="21" customHeight="1">
      <c r="A18" s="4"/>
      <c r="B18" s="1600" t="s">
        <v>85</v>
      </c>
      <c r="C18" s="1600"/>
      <c r="D18" s="1600"/>
      <c r="E18" s="1600"/>
      <c r="F18" s="1600"/>
      <c r="G18" s="1600"/>
      <c r="H18" s="1600"/>
      <c r="I18" s="1600" t="s">
        <v>131</v>
      </c>
      <c r="J18" s="1600"/>
      <c r="K18" s="1600"/>
      <c r="L18" s="1600"/>
      <c r="M18" s="1600"/>
      <c r="N18" s="1600"/>
      <c r="O18" s="1600"/>
      <c r="P18" s="1600"/>
      <c r="Q18" s="1600"/>
      <c r="R18" s="1600" t="s">
        <v>132</v>
      </c>
      <c r="S18" s="1600"/>
      <c r="T18" s="1600"/>
      <c r="U18" s="1600" t="s">
        <v>952</v>
      </c>
      <c r="V18" s="1600"/>
      <c r="W18" s="1600"/>
      <c r="X18" s="1600" t="s">
        <v>953</v>
      </c>
      <c r="Y18" s="1600"/>
      <c r="Z18" s="1600"/>
      <c r="AA18" s="1600" t="s">
        <v>133</v>
      </c>
      <c r="AB18" s="1600"/>
      <c r="AC18" s="1600"/>
      <c r="AD18" s="4"/>
      <c r="AF18" s="1685"/>
      <c r="AG18" s="1685"/>
      <c r="AH18" s="1685"/>
      <c r="AI18" s="1685"/>
      <c r="AJ18" s="1685"/>
      <c r="AK18" s="1685"/>
      <c r="AL18" s="1685"/>
      <c r="AM18" s="1685"/>
      <c r="AN18" s="1685"/>
      <c r="AO18" s="1685"/>
      <c r="AP18" s="1685"/>
      <c r="AQ18" s="1685"/>
      <c r="AR18" s="1685"/>
      <c r="AS18" s="1685"/>
      <c r="AT18" s="1685"/>
      <c r="AU18" s="1688"/>
      <c r="AV18" s="1688"/>
      <c r="AW18" s="1688"/>
      <c r="AX18" s="1688"/>
      <c r="AY18" s="1688"/>
      <c r="AZ18" s="1688"/>
      <c r="BA18" s="1688"/>
      <c r="BB18" s="1688"/>
      <c r="BC18" s="1688"/>
      <c r="BD18" s="1688"/>
      <c r="BE18" s="1688"/>
      <c r="BF18" s="1688"/>
      <c r="BG18" s="1691"/>
      <c r="BH18" s="1691"/>
      <c r="BI18" s="1691"/>
      <c r="BJ18" s="1691"/>
      <c r="BK18" s="1691"/>
      <c r="BL18" s="1691"/>
      <c r="BM18" s="1691"/>
      <c r="BN18" s="1691"/>
      <c r="BO18" s="1691"/>
      <c r="BP18" s="1691"/>
      <c r="BQ18" s="1691"/>
      <c r="BR18" s="1691"/>
      <c r="BS18" s="1691"/>
      <c r="BT18" s="1691"/>
      <c r="BU18" s="1691"/>
      <c r="BV18" s="1691"/>
      <c r="BW18" s="1691"/>
      <c r="BX18" s="1691"/>
      <c r="BY18" s="1691"/>
    </row>
    <row r="19" spans="1:77" ht="18" customHeight="1">
      <c r="A19" s="4"/>
      <c r="B19" s="1437" t="s">
        <v>1314</v>
      </c>
      <c r="C19" s="1438"/>
      <c r="D19" s="1438"/>
      <c r="E19" s="1438"/>
      <c r="F19" s="1438"/>
      <c r="G19" s="1438"/>
      <c r="H19" s="1438"/>
      <c r="I19" s="1438"/>
      <c r="J19" s="1438"/>
      <c r="K19" s="1438"/>
      <c r="L19" s="1438"/>
      <c r="M19" s="1438"/>
      <c r="N19" s="1438"/>
      <c r="O19" s="1438"/>
      <c r="P19" s="1438"/>
      <c r="Q19" s="1438"/>
      <c r="R19" s="1438"/>
      <c r="S19" s="1438"/>
      <c r="T19" s="1438"/>
      <c r="U19" s="1438"/>
      <c r="V19" s="1438"/>
      <c r="W19" s="1438"/>
      <c r="X19" s="1438"/>
      <c r="Y19" s="1438"/>
      <c r="Z19" s="1438"/>
      <c r="AA19" s="1438"/>
      <c r="AB19" s="1438"/>
      <c r="AC19" s="1439"/>
      <c r="AD19" s="4"/>
      <c r="AF19" s="1485" t="str">
        <f>+B19</f>
        <v>"OFERTA EN EL MERCADO"</v>
      </c>
      <c r="AG19" s="1486"/>
      <c r="AH19" s="1486"/>
      <c r="AI19" s="1486"/>
      <c r="AJ19" s="1486"/>
      <c r="AK19" s="1486"/>
      <c r="AL19" s="1486"/>
      <c r="AM19" s="1486"/>
      <c r="AN19" s="1486"/>
      <c r="AO19" s="1486"/>
      <c r="AP19" s="1486"/>
      <c r="AQ19" s="1486"/>
      <c r="AR19" s="1486"/>
      <c r="AS19" s="1486"/>
      <c r="AT19" s="1486"/>
      <c r="AU19" s="1486"/>
      <c r="AV19" s="1486"/>
      <c r="AW19" s="1486"/>
      <c r="AX19" s="1486"/>
      <c r="AY19" s="1486"/>
      <c r="AZ19" s="1486"/>
      <c r="BA19" s="1486"/>
      <c r="BB19" s="1486"/>
      <c r="BC19" s="1486"/>
      <c r="BD19" s="1486"/>
      <c r="BE19" s="1486"/>
      <c r="BF19" s="1486"/>
      <c r="BG19" s="1486"/>
      <c r="BH19" s="1486"/>
      <c r="BI19" s="1486"/>
      <c r="BJ19" s="1486"/>
      <c r="BK19" s="1486"/>
      <c r="BL19" s="1486"/>
      <c r="BM19" s="1486"/>
      <c r="BN19" s="1486"/>
      <c r="BO19" s="1486"/>
      <c r="BP19" s="1486"/>
      <c r="BQ19" s="1486"/>
      <c r="BR19" s="1486"/>
      <c r="BS19" s="1486"/>
      <c r="BT19" s="1486"/>
      <c r="BU19" s="1486"/>
      <c r="BV19" s="1486"/>
      <c r="BW19" s="1486"/>
      <c r="BX19" s="1486"/>
      <c r="BY19" s="1487"/>
    </row>
    <row r="20" spans="1:77" ht="37.5" customHeight="1">
      <c r="A20" s="72">
        <v>1</v>
      </c>
      <c r="B20" s="1718">
        <f>+AF20</f>
        <v>0</v>
      </c>
      <c r="C20" s="1719"/>
      <c r="D20" s="1719"/>
      <c r="E20" s="1719"/>
      <c r="F20" s="1719"/>
      <c r="G20" s="1719"/>
      <c r="H20" s="1719"/>
      <c r="I20" s="1720"/>
      <c r="J20" s="1721"/>
      <c r="K20" s="1721"/>
      <c r="L20" s="1721"/>
      <c r="M20" s="1721"/>
      <c r="N20" s="1721"/>
      <c r="O20" s="1721"/>
      <c r="P20" s="1721"/>
      <c r="Q20" s="1722"/>
      <c r="R20" s="1723"/>
      <c r="S20" s="1721"/>
      <c r="T20" s="1722"/>
      <c r="U20" s="1724"/>
      <c r="V20" s="1724"/>
      <c r="W20" s="1724"/>
      <c r="X20" s="1725"/>
      <c r="Y20" s="1725"/>
      <c r="Z20" s="1725"/>
      <c r="AA20" s="1726"/>
      <c r="AB20" s="1726"/>
      <c r="AC20" s="1726"/>
      <c r="AD20" s="4"/>
      <c r="AF20" s="1708"/>
      <c r="AG20" s="1709"/>
      <c r="AH20" s="1709"/>
      <c r="AI20" s="1709"/>
      <c r="AJ20" s="1709"/>
      <c r="AK20" s="1709"/>
      <c r="AL20" s="1709"/>
      <c r="AM20" s="1709"/>
      <c r="AN20" s="1709"/>
      <c r="AO20" s="1709"/>
      <c r="AP20" s="1709"/>
      <c r="AQ20" s="1709"/>
      <c r="AR20" s="1709"/>
      <c r="AS20" s="1709"/>
      <c r="AT20" s="1709"/>
      <c r="AU20" s="1710"/>
      <c r="AV20" s="1711"/>
      <c r="AW20" s="1712"/>
      <c r="AX20" s="1713"/>
      <c r="AY20" s="1714"/>
      <c r="AZ20" s="1715"/>
      <c r="BA20" s="1713"/>
      <c r="BB20" s="1714"/>
      <c r="BC20" s="1715"/>
      <c r="BD20" s="1713"/>
      <c r="BE20" s="1714"/>
      <c r="BF20" s="1715"/>
      <c r="BG20" s="1696"/>
      <c r="BH20" s="1696"/>
      <c r="BI20" s="1697"/>
      <c r="BJ20" s="1697"/>
      <c r="BK20" s="1697"/>
      <c r="BL20" s="1466"/>
      <c r="BM20" s="1467"/>
      <c r="BN20" s="1467"/>
      <c r="BO20" s="1467"/>
      <c r="BP20" s="1468"/>
      <c r="BQ20" s="1466"/>
      <c r="BR20" s="1467"/>
      <c r="BS20" s="1467"/>
      <c r="BT20" s="1467"/>
      <c r="BU20" s="1468"/>
      <c r="BV20" s="1692" t="e">
        <f>+BG20/BD20</f>
        <v>#DIV/0!</v>
      </c>
      <c r="BW20" s="1467"/>
      <c r="BX20" s="1467"/>
      <c r="BY20" s="1468"/>
    </row>
    <row r="21" spans="1:77" ht="33.75" customHeight="1">
      <c r="A21" s="72">
        <v>2</v>
      </c>
      <c r="B21" s="1718">
        <f t="shared" ref="B21:B23" si="0">+AF21</f>
        <v>0</v>
      </c>
      <c r="C21" s="1719"/>
      <c r="D21" s="1719"/>
      <c r="E21" s="1719"/>
      <c r="F21" s="1719"/>
      <c r="G21" s="1719"/>
      <c r="H21" s="1719"/>
      <c r="I21" s="1723"/>
      <c r="J21" s="1721"/>
      <c r="K21" s="1721"/>
      <c r="L21" s="1721"/>
      <c r="M21" s="1721"/>
      <c r="N21" s="1721"/>
      <c r="O21" s="1721"/>
      <c r="P21" s="1721"/>
      <c r="Q21" s="1722"/>
      <c r="R21" s="1723"/>
      <c r="S21" s="1721"/>
      <c r="T21" s="1722"/>
      <c r="U21" s="1724"/>
      <c r="V21" s="1724"/>
      <c r="W21" s="1724"/>
      <c r="X21" s="1725"/>
      <c r="Y21" s="1725"/>
      <c r="Z21" s="1725"/>
      <c r="AA21" s="1726"/>
      <c r="AB21" s="1726"/>
      <c r="AC21" s="1726"/>
      <c r="AD21" s="4"/>
      <c r="AF21" s="1708"/>
      <c r="AG21" s="1709"/>
      <c r="AH21" s="1709"/>
      <c r="AI21" s="1709"/>
      <c r="AJ21" s="1709"/>
      <c r="AK21" s="1709"/>
      <c r="AL21" s="1709"/>
      <c r="AM21" s="1709"/>
      <c r="AN21" s="1709"/>
      <c r="AO21" s="1709"/>
      <c r="AP21" s="1709"/>
      <c r="AQ21" s="1709"/>
      <c r="AR21" s="1709"/>
      <c r="AS21" s="1709"/>
      <c r="AT21" s="1709"/>
      <c r="AU21" s="1710"/>
      <c r="AV21" s="1711"/>
      <c r="AW21" s="1712"/>
      <c r="AX21" s="1713"/>
      <c r="AY21" s="1714"/>
      <c r="AZ21" s="1715"/>
      <c r="BA21" s="1713"/>
      <c r="BB21" s="1714"/>
      <c r="BC21" s="1715"/>
      <c r="BD21" s="1713"/>
      <c r="BE21" s="1714"/>
      <c r="BF21" s="1715"/>
      <c r="BG21" s="1696"/>
      <c r="BH21" s="1696"/>
      <c r="BI21" s="1697"/>
      <c r="BJ21" s="1697"/>
      <c r="BK21" s="1697"/>
      <c r="BL21" s="1466"/>
      <c r="BM21" s="1467"/>
      <c r="BN21" s="1467"/>
      <c r="BO21" s="1467"/>
      <c r="BP21" s="1468"/>
      <c r="BQ21" s="1466"/>
      <c r="BR21" s="1467"/>
      <c r="BS21" s="1467"/>
      <c r="BT21" s="1467"/>
      <c r="BU21" s="1468"/>
      <c r="BV21" s="1692" t="e">
        <f t="shared" ref="BV21:BV25" si="1">+BG21/BD21</f>
        <v>#DIV/0!</v>
      </c>
      <c r="BW21" s="1467"/>
      <c r="BX21" s="1467"/>
      <c r="BY21" s="1468"/>
    </row>
    <row r="22" spans="1:77" ht="33.75" customHeight="1">
      <c r="A22" s="72">
        <v>3</v>
      </c>
      <c r="B22" s="1718">
        <f t="shared" si="0"/>
        <v>0</v>
      </c>
      <c r="C22" s="1719"/>
      <c r="D22" s="1719"/>
      <c r="E22" s="1719"/>
      <c r="F22" s="1719"/>
      <c r="G22" s="1719"/>
      <c r="H22" s="1719"/>
      <c r="I22" s="1723"/>
      <c r="J22" s="1721"/>
      <c r="K22" s="1721"/>
      <c r="L22" s="1721"/>
      <c r="M22" s="1721"/>
      <c r="N22" s="1721"/>
      <c r="O22" s="1721"/>
      <c r="P22" s="1721"/>
      <c r="Q22" s="1722"/>
      <c r="R22" s="1723"/>
      <c r="S22" s="1721"/>
      <c r="T22" s="1722"/>
      <c r="U22" s="1724"/>
      <c r="V22" s="1724"/>
      <c r="W22" s="1724"/>
      <c r="X22" s="1725"/>
      <c r="Y22" s="1725"/>
      <c r="Z22" s="1725"/>
      <c r="AA22" s="1726"/>
      <c r="AB22" s="1726"/>
      <c r="AC22" s="1726"/>
      <c r="AD22" s="4"/>
      <c r="AF22" s="1698"/>
      <c r="AG22" s="1699"/>
      <c r="AH22" s="1699"/>
      <c r="AI22" s="1699"/>
      <c r="AJ22" s="1699"/>
      <c r="AK22" s="1699"/>
      <c r="AL22" s="1699"/>
      <c r="AM22" s="1699"/>
      <c r="AN22" s="1699"/>
      <c r="AO22" s="1699"/>
      <c r="AP22" s="1699"/>
      <c r="AQ22" s="1699"/>
      <c r="AR22" s="1699"/>
      <c r="AS22" s="1699"/>
      <c r="AT22" s="1699"/>
      <c r="AU22" s="1700"/>
      <c r="AV22" s="1701"/>
      <c r="AW22" s="1702"/>
      <c r="AX22" s="1703"/>
      <c r="AY22" s="1704"/>
      <c r="AZ22" s="1705"/>
      <c r="BA22" s="1703"/>
      <c r="BB22" s="1704"/>
      <c r="BC22" s="1705"/>
      <c r="BD22" s="1703"/>
      <c r="BE22" s="1704"/>
      <c r="BF22" s="1705"/>
      <c r="BG22" s="1706"/>
      <c r="BH22" s="1706"/>
      <c r="BI22" s="1707"/>
      <c r="BJ22" s="1707"/>
      <c r="BK22" s="1707"/>
      <c r="BL22" s="1466"/>
      <c r="BM22" s="1467"/>
      <c r="BN22" s="1467"/>
      <c r="BO22" s="1467"/>
      <c r="BP22" s="1468"/>
      <c r="BQ22" s="1466"/>
      <c r="BR22" s="1467"/>
      <c r="BS22" s="1467"/>
      <c r="BT22" s="1467"/>
      <c r="BU22" s="1468"/>
      <c r="BV22" s="1692" t="e">
        <f t="shared" si="1"/>
        <v>#DIV/0!</v>
      </c>
      <c r="BW22" s="1467"/>
      <c r="BX22" s="1467"/>
      <c r="BY22" s="1468"/>
    </row>
    <row r="23" spans="1:77" ht="33.75" customHeight="1">
      <c r="A23" s="72">
        <v>4</v>
      </c>
      <c r="B23" s="1718">
        <f t="shared" si="0"/>
        <v>0</v>
      </c>
      <c r="C23" s="1719"/>
      <c r="D23" s="1719"/>
      <c r="E23" s="1719"/>
      <c r="F23" s="1719"/>
      <c r="G23" s="1719"/>
      <c r="H23" s="1719"/>
      <c r="I23" s="1723"/>
      <c r="J23" s="1721"/>
      <c r="K23" s="1721"/>
      <c r="L23" s="1721"/>
      <c r="M23" s="1721"/>
      <c r="N23" s="1721"/>
      <c r="O23" s="1721"/>
      <c r="P23" s="1721"/>
      <c r="Q23" s="1722"/>
      <c r="R23" s="1723"/>
      <c r="S23" s="1721"/>
      <c r="T23" s="1722"/>
      <c r="U23" s="1724"/>
      <c r="V23" s="1724"/>
      <c r="W23" s="1724"/>
      <c r="X23" s="1725"/>
      <c r="Y23" s="1725"/>
      <c r="Z23" s="1725"/>
      <c r="AA23" s="1726"/>
      <c r="AB23" s="1726"/>
      <c r="AC23" s="1726"/>
      <c r="AD23" s="4"/>
      <c r="AF23" s="1693"/>
      <c r="AG23" s="1693"/>
      <c r="AH23" s="1693"/>
      <c r="AI23" s="1693"/>
      <c r="AJ23" s="1693"/>
      <c r="AK23" s="1693"/>
      <c r="AL23" s="1693"/>
      <c r="AM23" s="1693"/>
      <c r="AN23" s="1693"/>
      <c r="AO23" s="1693"/>
      <c r="AP23" s="1693"/>
      <c r="AQ23" s="1693"/>
      <c r="AR23" s="1693"/>
      <c r="AS23" s="1693"/>
      <c r="AT23" s="1693"/>
      <c r="AU23" s="1694"/>
      <c r="AV23" s="1694"/>
      <c r="AW23" s="1694"/>
      <c r="AX23" s="1695"/>
      <c r="AY23" s="1695"/>
      <c r="AZ23" s="1695"/>
      <c r="BA23" s="1695"/>
      <c r="BB23" s="1695"/>
      <c r="BC23" s="1695"/>
      <c r="BD23" s="1695"/>
      <c r="BE23" s="1695"/>
      <c r="BF23" s="1695"/>
      <c r="BG23" s="1696"/>
      <c r="BH23" s="1696"/>
      <c r="BI23" s="1697"/>
      <c r="BJ23" s="1697"/>
      <c r="BK23" s="1697"/>
      <c r="BL23" s="1465"/>
      <c r="BM23" s="1465"/>
      <c r="BN23" s="1465"/>
      <c r="BO23" s="1465"/>
      <c r="BP23" s="1465"/>
      <c r="BQ23" s="1466"/>
      <c r="BR23" s="1467"/>
      <c r="BS23" s="1467"/>
      <c r="BT23" s="1467"/>
      <c r="BU23" s="1468"/>
      <c r="BV23" s="1692" t="e">
        <f t="shared" si="1"/>
        <v>#DIV/0!</v>
      </c>
      <c r="BW23" s="1467"/>
      <c r="BX23" s="1467"/>
      <c r="BY23" s="1468"/>
    </row>
    <row r="24" spans="1:77" ht="37.5" customHeight="1">
      <c r="A24" s="4"/>
      <c r="B24" s="1437" t="s">
        <v>1315</v>
      </c>
      <c r="C24" s="1438"/>
      <c r="D24" s="1438"/>
      <c r="E24" s="1438"/>
      <c r="F24" s="1438"/>
      <c r="G24" s="1438"/>
      <c r="H24" s="1438"/>
      <c r="I24" s="1438"/>
      <c r="J24" s="1438"/>
      <c r="K24" s="1438"/>
      <c r="L24" s="1438"/>
      <c r="M24" s="1438"/>
      <c r="N24" s="1438"/>
      <c r="O24" s="1438"/>
      <c r="P24" s="1438"/>
      <c r="Q24" s="1438"/>
      <c r="R24" s="1438"/>
      <c r="S24" s="1438"/>
      <c r="T24" s="1438"/>
      <c r="U24" s="1438"/>
      <c r="V24" s="1438"/>
      <c r="W24" s="1438"/>
      <c r="X24" s="1438"/>
      <c r="Y24" s="1438"/>
      <c r="Z24" s="1438"/>
      <c r="AA24" s="1438"/>
      <c r="AB24" s="1438"/>
      <c r="AC24" s="1439"/>
      <c r="AD24" s="4"/>
      <c r="AF24" s="438"/>
      <c r="AG24" s="439"/>
      <c r="AH24" s="439"/>
      <c r="AI24" s="439"/>
      <c r="AJ24" s="439"/>
      <c r="AK24" s="439"/>
      <c r="AL24" s="439"/>
      <c r="AM24" s="439"/>
      <c r="AN24" s="439"/>
      <c r="AO24" s="439"/>
      <c r="AP24" s="439"/>
      <c r="AQ24" s="439"/>
      <c r="AR24" s="439"/>
      <c r="AS24" s="439"/>
      <c r="AT24" s="440"/>
      <c r="AU24" s="441"/>
      <c r="AV24" s="441"/>
      <c r="AW24" s="441"/>
      <c r="AX24" s="442"/>
      <c r="AY24" s="442"/>
      <c r="AZ24" s="442"/>
      <c r="BA24" s="442"/>
      <c r="BB24" s="442"/>
      <c r="BC24" s="442"/>
      <c r="BD24" s="442"/>
      <c r="BE24" s="442"/>
      <c r="BF24" s="442"/>
      <c r="BG24" s="443"/>
      <c r="BH24" s="443"/>
      <c r="BI24" s="444"/>
      <c r="BJ24" s="444"/>
      <c r="BK24" s="444"/>
      <c r="BL24" s="430"/>
      <c r="BM24" s="430"/>
      <c r="BN24" s="430"/>
      <c r="BO24" s="430"/>
      <c r="BP24" s="430"/>
      <c r="BQ24" s="426"/>
      <c r="BR24" s="427"/>
      <c r="BS24" s="427"/>
      <c r="BT24" s="427"/>
      <c r="BU24" s="428"/>
      <c r="BV24" s="431"/>
      <c r="BW24" s="427"/>
      <c r="BX24" s="427"/>
      <c r="BY24" s="428"/>
    </row>
    <row r="25" spans="1:77" ht="38.25" customHeight="1">
      <c r="A25" s="72">
        <v>5</v>
      </c>
      <c r="B25" s="1719">
        <f>+AF25</f>
        <v>0</v>
      </c>
      <c r="C25" s="1719"/>
      <c r="D25" s="1719"/>
      <c r="E25" s="1719"/>
      <c r="F25" s="1719"/>
      <c r="G25" s="1719"/>
      <c r="H25" s="1719"/>
      <c r="I25" s="1723"/>
      <c r="J25" s="1721"/>
      <c r="K25" s="1721"/>
      <c r="L25" s="1721"/>
      <c r="M25" s="1721"/>
      <c r="N25" s="1721"/>
      <c r="O25" s="1721"/>
      <c r="P25" s="1721"/>
      <c r="Q25" s="1722"/>
      <c r="R25" s="1723"/>
      <c r="S25" s="1721"/>
      <c r="T25" s="1722"/>
      <c r="U25" s="1724"/>
      <c r="V25" s="1724"/>
      <c r="W25" s="1724"/>
      <c r="X25" s="1725"/>
      <c r="Y25" s="1725"/>
      <c r="Z25" s="1725"/>
      <c r="AA25" s="1726"/>
      <c r="AB25" s="1726"/>
      <c r="AC25" s="1726"/>
      <c r="AD25" s="4"/>
      <c r="AF25" s="1461"/>
      <c r="AG25" s="1462"/>
      <c r="AH25" s="1462"/>
      <c r="AI25" s="1462"/>
      <c r="AJ25" s="1462"/>
      <c r="AK25" s="1462"/>
      <c r="AL25" s="1462"/>
      <c r="AM25" s="1462"/>
      <c r="AN25" s="1462"/>
      <c r="AO25" s="1462"/>
      <c r="AP25" s="1462"/>
      <c r="AQ25" s="1462"/>
      <c r="AR25" s="1462"/>
      <c r="AS25" s="1462"/>
      <c r="AT25" s="1463"/>
      <c r="AU25" s="1464"/>
      <c r="AV25" s="1464"/>
      <c r="AW25" s="1464"/>
      <c r="AX25" s="1464"/>
      <c r="AY25" s="1464"/>
      <c r="AZ25" s="1464"/>
      <c r="BA25" s="1464"/>
      <c r="BB25" s="1464"/>
      <c r="BC25" s="1464"/>
      <c r="BD25" s="1464"/>
      <c r="BE25" s="1464"/>
      <c r="BF25" s="1464"/>
      <c r="BG25" s="1464"/>
      <c r="BH25" s="1464"/>
      <c r="BI25" s="1464"/>
      <c r="BJ25" s="1464"/>
      <c r="BK25" s="1464"/>
      <c r="BL25" s="1465"/>
      <c r="BM25" s="1465"/>
      <c r="BN25" s="1465"/>
      <c r="BO25" s="1465"/>
      <c r="BP25" s="1465"/>
      <c r="BQ25" s="1465"/>
      <c r="BR25" s="1465"/>
      <c r="BS25" s="1465"/>
      <c r="BT25" s="1465"/>
      <c r="BU25" s="1465"/>
      <c r="BV25" s="1692" t="e">
        <f t="shared" si="1"/>
        <v>#DIV/0!</v>
      </c>
      <c r="BW25" s="1467"/>
      <c r="BX25" s="1467"/>
      <c r="BY25" s="1468"/>
    </row>
    <row r="26" spans="1:77" ht="15.75">
      <c r="A26" s="6"/>
      <c r="B26" s="1023" t="s">
        <v>206</v>
      </c>
      <c r="C26" s="1023"/>
      <c r="D26" s="1023"/>
      <c r="E26" s="1023"/>
      <c r="F26" s="1023"/>
      <c r="G26" s="1023"/>
      <c r="H26" s="1023"/>
      <c r="I26" s="1023"/>
      <c r="J26" s="1023"/>
      <c r="K26" s="1023"/>
      <c r="L26" s="1023"/>
      <c r="M26" s="6"/>
      <c r="N26" s="6"/>
      <c r="O26" s="6"/>
      <c r="P26" s="6"/>
      <c r="Q26" s="6"/>
      <c r="R26" s="6"/>
      <c r="S26" s="6"/>
      <c r="T26" s="6"/>
      <c r="U26" s="6"/>
      <c r="V26" s="6"/>
      <c r="W26" s="6"/>
      <c r="X26" s="6"/>
      <c r="Y26" s="6"/>
      <c r="Z26" s="6"/>
      <c r="AA26" s="6"/>
      <c r="AB26" s="6"/>
      <c r="AC26" s="6"/>
      <c r="AD26" s="6"/>
      <c r="AF26" s="390"/>
      <c r="AG26" s="391"/>
      <c r="AH26" s="391"/>
      <c r="AI26" s="391"/>
      <c r="AJ26" s="391"/>
      <c r="AK26" s="391"/>
      <c r="AL26" s="391"/>
      <c r="AM26" s="391"/>
      <c r="AN26" s="391"/>
      <c r="AO26" s="391"/>
      <c r="AP26" s="391"/>
      <c r="AQ26" s="391"/>
      <c r="AR26" s="391"/>
      <c r="AS26" s="391"/>
      <c r="AT26" s="392"/>
      <c r="AU26" s="393"/>
      <c r="AV26" s="223"/>
      <c r="AW26" s="394"/>
      <c r="AX26" s="395"/>
      <c r="AY26" s="396"/>
      <c r="AZ26" s="397"/>
      <c r="BA26" s="398"/>
      <c r="BB26" s="399"/>
      <c r="BC26" s="400"/>
      <c r="BD26" s="395"/>
      <c r="BE26" s="396"/>
      <c r="BF26" s="397"/>
      <c r="BG26" s="398"/>
      <c r="BH26" s="399"/>
      <c r="BI26" s="399"/>
      <c r="BJ26" s="399"/>
      <c r="BK26" s="400"/>
      <c r="BL26" s="398"/>
      <c r="BM26" s="399"/>
      <c r="BN26" s="399"/>
      <c r="BO26" s="399"/>
      <c r="BP26" s="400"/>
      <c r="BQ26" s="398"/>
      <c r="BR26" s="399"/>
      <c r="BS26" s="399"/>
      <c r="BT26" s="399"/>
      <c r="BU26" s="400"/>
      <c r="BV26" s="398"/>
      <c r="BW26" s="399"/>
      <c r="BX26" s="399"/>
      <c r="BY26" s="400"/>
    </row>
    <row r="27" spans="1:77" ht="15.75">
      <c r="A27" s="4"/>
      <c r="B27" s="1624" t="s">
        <v>207</v>
      </c>
      <c r="C27" s="1624"/>
      <c r="D27" s="1624"/>
      <c r="E27" s="1624"/>
      <c r="F27" s="1624"/>
      <c r="G27" s="1624"/>
      <c r="H27" s="1728" t="s">
        <v>208</v>
      </c>
      <c r="I27" s="1729"/>
      <c r="J27" s="1729"/>
      <c r="K27" s="1729"/>
      <c r="L27" s="1729"/>
      <c r="M27" s="1729"/>
      <c r="N27" s="1729"/>
      <c r="O27" s="1729"/>
      <c r="P27" s="1730"/>
      <c r="Q27" s="1731" t="s">
        <v>209</v>
      </c>
      <c r="R27" s="1732"/>
      <c r="S27" s="1732"/>
      <c r="T27" s="1733"/>
      <c r="U27" s="1737" t="s">
        <v>210</v>
      </c>
      <c r="V27" s="1738"/>
      <c r="W27" s="1738"/>
      <c r="X27" s="1738"/>
      <c r="Y27" s="1738"/>
      <c r="Z27" s="1738"/>
      <c r="AA27" s="1738"/>
      <c r="AB27" s="1738"/>
      <c r="AC27" s="1739"/>
      <c r="AD27" s="4"/>
      <c r="AF27" s="391"/>
      <c r="AG27" s="391"/>
      <c r="AH27" s="391"/>
      <c r="AI27" s="391"/>
      <c r="AJ27" s="391"/>
      <c r="AK27" s="391"/>
      <c r="AL27" s="391"/>
      <c r="AM27" s="391"/>
      <c r="AN27" s="391"/>
      <c r="AO27" s="391"/>
      <c r="AP27" s="391"/>
      <c r="AQ27" s="391"/>
      <c r="AR27" s="391"/>
      <c r="AS27" s="391"/>
      <c r="AT27" s="391"/>
      <c r="AU27" s="223"/>
      <c r="AV27" s="223"/>
      <c r="AW27" s="223"/>
      <c r="AX27" s="396"/>
      <c r="AY27" s="396"/>
      <c r="AZ27" s="396"/>
      <c r="BA27" s="399"/>
      <c r="BB27" s="399"/>
      <c r="BC27" s="399"/>
      <c r="BD27" s="396"/>
      <c r="BE27" s="396"/>
      <c r="BF27" s="396"/>
      <c r="BG27" s="399"/>
      <c r="BH27" s="399"/>
      <c r="BI27" s="399"/>
      <c r="BJ27" s="399"/>
      <c r="BK27" s="399"/>
      <c r="BL27" s="399"/>
      <c r="BM27" s="399"/>
      <c r="BN27" s="399"/>
      <c r="BO27" s="399"/>
      <c r="BP27" s="399"/>
      <c r="BQ27" s="399"/>
      <c r="BR27" s="399"/>
      <c r="BS27" s="399"/>
      <c r="BT27" s="399"/>
      <c r="BU27" s="399"/>
      <c r="BV27" s="399"/>
      <c r="BW27" s="399"/>
      <c r="BX27" s="399"/>
      <c r="BY27" s="399"/>
    </row>
    <row r="28" spans="1:77" ht="15.75">
      <c r="A28" s="4"/>
      <c r="B28" s="1740" t="s">
        <v>211</v>
      </c>
      <c r="C28" s="1741"/>
      <c r="D28" s="1740" t="s">
        <v>15</v>
      </c>
      <c r="E28" s="1741"/>
      <c r="F28" s="1740" t="s">
        <v>102</v>
      </c>
      <c r="G28" s="1741"/>
      <c r="H28" s="113" t="s">
        <v>212</v>
      </c>
      <c r="I28" s="114" t="s">
        <v>213</v>
      </c>
      <c r="J28" s="114" t="s">
        <v>947</v>
      </c>
      <c r="K28" s="114" t="s">
        <v>214</v>
      </c>
      <c r="L28" s="114" t="s">
        <v>215</v>
      </c>
      <c r="M28" s="114" t="s">
        <v>216</v>
      </c>
      <c r="N28" s="113" t="s">
        <v>217</v>
      </c>
      <c r="O28" s="1742" t="s">
        <v>218</v>
      </c>
      <c r="P28" s="1742"/>
      <c r="Q28" s="1734"/>
      <c r="R28" s="1735"/>
      <c r="S28" s="1735"/>
      <c r="T28" s="1736"/>
      <c r="U28" s="1731" t="s">
        <v>219</v>
      </c>
      <c r="V28" s="1732"/>
      <c r="W28" s="1733"/>
      <c r="X28" s="1731" t="s">
        <v>220</v>
      </c>
      <c r="Y28" s="1732"/>
      <c r="Z28" s="1733"/>
      <c r="AA28" s="1731" t="s">
        <v>221</v>
      </c>
      <c r="AB28" s="1732"/>
      <c r="AC28" s="1733"/>
      <c r="AD28" s="4"/>
      <c r="AF28" s="391"/>
      <c r="AG28" s="391"/>
      <c r="AH28" s="391"/>
      <c r="AI28" s="391"/>
      <c r="AJ28" s="391"/>
      <c r="AK28" s="391"/>
      <c r="AL28" s="391"/>
      <c r="AM28" s="391"/>
      <c r="AN28" s="391"/>
      <c r="AO28" s="391"/>
      <c r="AP28" s="391"/>
      <c r="AQ28" s="391"/>
      <c r="AR28" s="391"/>
      <c r="AS28" s="391"/>
      <c r="AT28" s="391"/>
      <c r="AU28" s="223"/>
      <c r="AV28" s="223"/>
      <c r="AW28" s="223"/>
      <c r="AX28" s="396"/>
      <c r="AY28" s="396"/>
      <c r="AZ28" s="396"/>
      <c r="BA28" s="399"/>
      <c r="BB28" s="399"/>
      <c r="BC28" s="399"/>
      <c r="BD28" s="396"/>
      <c r="BE28" s="396"/>
      <c r="BF28" s="396"/>
      <c r="BG28" s="399"/>
      <c r="BH28" s="399"/>
      <c r="BI28" s="399"/>
      <c r="BJ28" s="399"/>
      <c r="BK28" s="399"/>
      <c r="BL28" s="399"/>
      <c r="BM28" s="399"/>
      <c r="BN28" s="399"/>
      <c r="BO28" s="399"/>
      <c r="BP28" s="399"/>
      <c r="BQ28" s="399"/>
      <c r="BR28" s="399"/>
      <c r="BS28" s="399"/>
      <c r="BT28" s="399"/>
      <c r="BU28" s="399"/>
      <c r="BV28" s="399"/>
      <c r="BW28" s="399"/>
      <c r="BX28" s="399"/>
      <c r="BY28" s="399"/>
    </row>
    <row r="29" spans="1:77" ht="18" customHeight="1">
      <c r="A29" s="4"/>
      <c r="B29" s="1437" t="s">
        <v>1314</v>
      </c>
      <c r="C29" s="1438"/>
      <c r="D29" s="1438"/>
      <c r="E29" s="1438"/>
      <c r="F29" s="1438"/>
      <c r="G29" s="1438"/>
      <c r="H29" s="1438"/>
      <c r="I29" s="1438"/>
      <c r="J29" s="1438"/>
      <c r="K29" s="1438"/>
      <c r="L29" s="1438"/>
      <c r="M29" s="1438"/>
      <c r="N29" s="1438"/>
      <c r="O29" s="1438"/>
      <c r="P29" s="1438"/>
      <c r="Q29" s="1438"/>
      <c r="R29" s="1438"/>
      <c r="S29" s="1438"/>
      <c r="T29" s="1438"/>
      <c r="U29" s="1438"/>
      <c r="V29" s="1438"/>
      <c r="W29" s="1438"/>
      <c r="X29" s="1438"/>
      <c r="Y29" s="1438"/>
      <c r="Z29" s="1438"/>
      <c r="AA29" s="1438"/>
      <c r="AB29" s="1438"/>
      <c r="AC29" s="1439"/>
      <c r="AD29" s="4"/>
      <c r="AF29" s="1485" t="str">
        <f>+B29</f>
        <v>"OFERTA EN EL MERCADO"</v>
      </c>
      <c r="AG29" s="1486"/>
      <c r="AH29" s="1486"/>
      <c r="AI29" s="1486"/>
      <c r="AJ29" s="1486"/>
      <c r="AK29" s="1486"/>
      <c r="AL29" s="1486"/>
      <c r="AM29" s="1486"/>
      <c r="AN29" s="1486"/>
      <c r="AO29" s="1486"/>
      <c r="AP29" s="1486"/>
      <c r="AQ29" s="1486"/>
      <c r="AR29" s="1486"/>
      <c r="AS29" s="1486"/>
      <c r="AT29" s="1486"/>
      <c r="AU29" s="1486"/>
      <c r="AV29" s="1486"/>
      <c r="AW29" s="1486"/>
      <c r="AX29" s="1486"/>
      <c r="AY29" s="1486"/>
      <c r="AZ29" s="1486"/>
      <c r="BA29" s="1486"/>
      <c r="BB29" s="1486"/>
      <c r="BC29" s="1486"/>
      <c r="BD29" s="1486"/>
      <c r="BE29" s="1486"/>
      <c r="BF29" s="1486"/>
      <c r="BG29" s="1486"/>
      <c r="BH29" s="1486"/>
      <c r="BI29" s="1486"/>
      <c r="BJ29" s="1486"/>
      <c r="BK29" s="1486"/>
      <c r="BL29" s="1486"/>
      <c r="BM29" s="1486"/>
      <c r="BN29" s="1486"/>
      <c r="BO29" s="1486"/>
      <c r="BP29" s="1486"/>
      <c r="BQ29" s="1486"/>
      <c r="BR29" s="1486"/>
      <c r="BS29" s="1486"/>
      <c r="BT29" s="1486"/>
      <c r="BU29" s="1486"/>
      <c r="BV29" s="1486"/>
      <c r="BW29" s="1486"/>
      <c r="BX29" s="1486"/>
      <c r="BY29" s="1487"/>
    </row>
    <row r="30" spans="1:77" ht="15.75">
      <c r="A30" s="72">
        <v>1</v>
      </c>
      <c r="B30" s="1743"/>
      <c r="C30" s="1743"/>
      <c r="D30" s="1743"/>
      <c r="E30" s="1743"/>
      <c r="F30" s="1743"/>
      <c r="G30" s="1743"/>
      <c r="H30" s="365"/>
      <c r="I30" s="366"/>
      <c r="J30" s="366"/>
      <c r="K30" s="366"/>
      <c r="L30" s="366"/>
      <c r="M30" s="366"/>
      <c r="N30" s="366"/>
      <c r="O30" s="1743"/>
      <c r="P30" s="1743"/>
      <c r="Q30" s="1744">
        <f>+BG20</f>
        <v>0</v>
      </c>
      <c r="R30" s="1744"/>
      <c r="S30" s="1744"/>
      <c r="T30" s="1744"/>
      <c r="U30" s="1745"/>
      <c r="V30" s="1745"/>
      <c r="W30" s="1745"/>
      <c r="X30" s="1745"/>
      <c r="Y30" s="1745"/>
      <c r="Z30" s="1745"/>
      <c r="AA30" s="1745"/>
      <c r="AB30" s="1745"/>
      <c r="AC30" s="1745"/>
      <c r="AD30" s="4"/>
      <c r="AF30" s="391"/>
      <c r="AG30" s="391"/>
      <c r="AH30" s="391"/>
      <c r="AI30" s="391"/>
      <c r="AJ30" s="391"/>
      <c r="AK30" s="391"/>
      <c r="AL30" s="391"/>
      <c r="AM30" s="391"/>
      <c r="AN30" s="391"/>
      <c r="AO30" s="391"/>
      <c r="AP30" s="391"/>
      <c r="AQ30" s="391"/>
      <c r="AR30" s="391"/>
      <c r="AS30" s="391"/>
      <c r="AT30" s="391"/>
      <c r="AU30" s="223"/>
      <c r="AV30" s="223"/>
      <c r="AW30" s="223"/>
      <c r="AX30" s="396"/>
      <c r="AY30" s="396"/>
      <c r="AZ30" s="396"/>
      <c r="BA30" s="399"/>
      <c r="BB30" s="399"/>
      <c r="BC30" s="399"/>
      <c r="BD30" s="396"/>
      <c r="BE30" s="396"/>
      <c r="BF30" s="396"/>
      <c r="BG30" s="399"/>
      <c r="BH30" s="399"/>
      <c r="BI30" s="399"/>
      <c r="BJ30" s="399"/>
      <c r="BK30" s="399"/>
      <c r="BL30" s="399"/>
      <c r="BM30" s="399"/>
      <c r="BN30" s="399"/>
      <c r="BO30" s="399"/>
      <c r="BP30" s="399"/>
      <c r="BQ30" s="399"/>
      <c r="BR30" s="399"/>
      <c r="BS30" s="399"/>
      <c r="BT30" s="399"/>
      <c r="BU30" s="399"/>
      <c r="BV30" s="399"/>
      <c r="BW30" s="399"/>
      <c r="BX30" s="399"/>
      <c r="BY30" s="399"/>
    </row>
    <row r="31" spans="1:77" ht="15.75">
      <c r="A31" s="72">
        <v>2</v>
      </c>
      <c r="B31" s="1743"/>
      <c r="C31" s="1743"/>
      <c r="D31" s="1743"/>
      <c r="E31" s="1743"/>
      <c r="F31" s="1743"/>
      <c r="G31" s="1743"/>
      <c r="H31" s="365"/>
      <c r="I31" s="366"/>
      <c r="J31" s="366"/>
      <c r="K31" s="366"/>
      <c r="L31" s="366"/>
      <c r="M31" s="366"/>
      <c r="N31" s="366"/>
      <c r="O31" s="1743"/>
      <c r="P31" s="1743"/>
      <c r="Q31" s="1744">
        <f>+BG21</f>
        <v>0</v>
      </c>
      <c r="R31" s="1744"/>
      <c r="S31" s="1744"/>
      <c r="T31" s="1744"/>
      <c r="U31" s="1745"/>
      <c r="V31" s="1745"/>
      <c r="W31" s="1745"/>
      <c r="X31" s="1745"/>
      <c r="Y31" s="1745"/>
      <c r="Z31" s="1745"/>
      <c r="AA31" s="1745"/>
      <c r="AB31" s="1745"/>
      <c r="AC31" s="1745"/>
      <c r="AD31" s="4"/>
      <c r="AF31" s="391"/>
      <c r="AG31" s="391"/>
      <c r="AH31" s="391"/>
      <c r="AI31" s="391"/>
      <c r="AJ31" s="391"/>
      <c r="AK31" s="391"/>
      <c r="AL31" s="391"/>
      <c r="AM31" s="391"/>
      <c r="AN31" s="391"/>
      <c r="AO31" s="391"/>
      <c r="AP31" s="391"/>
      <c r="AQ31" s="391"/>
      <c r="AR31" s="391"/>
      <c r="AS31" s="391"/>
      <c r="AT31" s="391"/>
      <c r="AU31" s="223"/>
      <c r="AV31" s="223"/>
      <c r="AW31" s="223"/>
      <c r="AX31" s="396"/>
      <c r="AY31" s="396"/>
      <c r="AZ31" s="396"/>
      <c r="BA31" s="399"/>
      <c r="BB31" s="399"/>
      <c r="BC31" s="399"/>
      <c r="BD31" s="396"/>
      <c r="BE31" s="396"/>
      <c r="BF31" s="396"/>
      <c r="BG31" s="399"/>
      <c r="BH31" s="399"/>
      <c r="BI31" s="399"/>
      <c r="BJ31" s="399"/>
      <c r="BK31" s="399"/>
      <c r="BL31" s="399"/>
      <c r="BM31" s="399"/>
      <c r="BN31" s="399"/>
      <c r="BO31" s="399"/>
      <c r="BP31" s="399"/>
      <c r="BQ31" s="399"/>
      <c r="BR31" s="399"/>
      <c r="BS31" s="399"/>
      <c r="BT31" s="399"/>
      <c r="BU31" s="399"/>
      <c r="BV31" s="399"/>
      <c r="BW31" s="399"/>
      <c r="BX31" s="399"/>
      <c r="BY31" s="399"/>
    </row>
    <row r="32" spans="1:77" ht="15.75">
      <c r="A32" s="72">
        <v>3</v>
      </c>
      <c r="B32" s="1743"/>
      <c r="C32" s="1743"/>
      <c r="D32" s="1743"/>
      <c r="E32" s="1743"/>
      <c r="F32" s="1743"/>
      <c r="G32" s="1743"/>
      <c r="H32" s="365"/>
      <c r="I32" s="366"/>
      <c r="J32" s="366"/>
      <c r="K32" s="366"/>
      <c r="L32" s="366"/>
      <c r="M32" s="366"/>
      <c r="N32" s="366"/>
      <c r="O32" s="1743"/>
      <c r="P32" s="1743"/>
      <c r="Q32" s="1744">
        <f>+BG22</f>
        <v>0</v>
      </c>
      <c r="R32" s="1744"/>
      <c r="S32" s="1744"/>
      <c r="T32" s="1744"/>
      <c r="U32" s="1745"/>
      <c r="V32" s="1745"/>
      <c r="W32" s="1745"/>
      <c r="X32" s="1745"/>
      <c r="Y32" s="1745"/>
      <c r="Z32" s="1745"/>
      <c r="AA32" s="1745"/>
      <c r="AB32" s="1745"/>
      <c r="AC32" s="1745"/>
      <c r="AD32" s="4"/>
      <c r="AF32" s="391"/>
      <c r="AG32" s="391"/>
      <c r="AH32" s="391"/>
      <c r="AI32" s="391"/>
      <c r="AJ32" s="391"/>
      <c r="AK32" s="391"/>
      <c r="AL32" s="391"/>
      <c r="AM32" s="391"/>
      <c r="AN32" s="391"/>
      <c r="AO32" s="391"/>
      <c r="AP32" s="391"/>
      <c r="AQ32" s="391"/>
      <c r="AR32" s="391"/>
      <c r="AS32" s="391"/>
      <c r="AT32" s="391"/>
      <c r="AU32" s="223"/>
      <c r="AV32" s="223"/>
      <c r="AW32" s="223"/>
      <c r="AX32" s="396"/>
      <c r="AY32" s="396"/>
      <c r="AZ32" s="396"/>
      <c r="BA32" s="399"/>
      <c r="BB32" s="399"/>
      <c r="BC32" s="399"/>
      <c r="BD32" s="396"/>
      <c r="BE32" s="396"/>
      <c r="BF32" s="396"/>
      <c r="BG32" s="399"/>
      <c r="BH32" s="399"/>
      <c r="BI32" s="399"/>
      <c r="BJ32" s="399"/>
      <c r="BK32" s="399"/>
      <c r="BL32" s="399"/>
      <c r="BM32" s="399"/>
      <c r="BN32" s="399"/>
      <c r="BO32" s="399"/>
      <c r="BP32" s="399"/>
      <c r="BQ32" s="399"/>
      <c r="BR32" s="399"/>
      <c r="BS32" s="399"/>
      <c r="BT32" s="399"/>
      <c r="BU32" s="399"/>
      <c r="BV32" s="399"/>
      <c r="BW32" s="399"/>
      <c r="BX32" s="399"/>
      <c r="BY32" s="399"/>
    </row>
    <row r="33" spans="1:77" ht="15.75">
      <c r="A33" s="72">
        <v>4</v>
      </c>
      <c r="B33" s="1743"/>
      <c r="C33" s="1743"/>
      <c r="D33" s="1743"/>
      <c r="E33" s="1743"/>
      <c r="F33" s="1743"/>
      <c r="G33" s="1743"/>
      <c r="H33" s="365"/>
      <c r="I33" s="366"/>
      <c r="J33" s="366"/>
      <c r="K33" s="366"/>
      <c r="L33" s="366"/>
      <c r="M33" s="366"/>
      <c r="N33" s="366"/>
      <c r="O33" s="1743"/>
      <c r="P33" s="1743"/>
      <c r="Q33" s="1744">
        <f>+BG23</f>
        <v>0</v>
      </c>
      <c r="R33" s="1744"/>
      <c r="S33" s="1744"/>
      <c r="T33" s="1744"/>
      <c r="U33" s="1745"/>
      <c r="V33" s="1745"/>
      <c r="W33" s="1745"/>
      <c r="X33" s="1745"/>
      <c r="Y33" s="1745"/>
      <c r="Z33" s="1745"/>
      <c r="AA33" s="1745"/>
      <c r="AB33" s="1745"/>
      <c r="AC33" s="1745"/>
      <c r="AD33" s="4"/>
      <c r="AF33" s="391"/>
      <c r="AG33" s="391"/>
      <c r="AH33" s="391"/>
      <c r="AI33" s="391"/>
      <c r="AJ33" s="391"/>
      <c r="AK33" s="391"/>
      <c r="AL33" s="391"/>
      <c r="AM33" s="391"/>
      <c r="AN33" s="391"/>
      <c r="AO33" s="391"/>
      <c r="AP33" s="391"/>
      <c r="AQ33" s="391"/>
      <c r="AR33" s="391"/>
      <c r="AS33" s="391"/>
      <c r="AT33" s="391"/>
      <c r="AU33" s="223"/>
      <c r="AV33" s="223"/>
      <c r="AW33" s="223"/>
      <c r="AX33" s="396"/>
      <c r="AY33" s="396"/>
      <c r="AZ33" s="396"/>
      <c r="BA33" s="399"/>
      <c r="BB33" s="399"/>
      <c r="BC33" s="399"/>
      <c r="BD33" s="396"/>
      <c r="BE33" s="396"/>
      <c r="BF33" s="396"/>
      <c r="BG33" s="399"/>
      <c r="BH33" s="399"/>
      <c r="BI33" s="399"/>
      <c r="BJ33" s="399"/>
      <c r="BK33" s="399"/>
      <c r="BL33" s="399"/>
      <c r="BM33" s="399"/>
      <c r="BN33" s="399"/>
      <c r="BO33" s="399"/>
      <c r="BP33" s="399"/>
      <c r="BQ33" s="399"/>
      <c r="BR33" s="399"/>
      <c r="BS33" s="399"/>
      <c r="BT33" s="399"/>
      <c r="BU33" s="399"/>
      <c r="BV33" s="399"/>
      <c r="BW33" s="399"/>
      <c r="BX33" s="399"/>
      <c r="BY33" s="399"/>
    </row>
    <row r="34" spans="1:77" ht="37.5" customHeight="1">
      <c r="A34" s="4"/>
      <c r="B34" s="1437" t="s">
        <v>1315</v>
      </c>
      <c r="C34" s="1438"/>
      <c r="D34" s="1438"/>
      <c r="E34" s="1438"/>
      <c r="F34" s="1438"/>
      <c r="G34" s="1438"/>
      <c r="H34" s="1438"/>
      <c r="I34" s="1438"/>
      <c r="J34" s="1438"/>
      <c r="K34" s="1438"/>
      <c r="L34" s="1438"/>
      <c r="M34" s="1438"/>
      <c r="N34" s="1438"/>
      <c r="O34" s="1438"/>
      <c r="P34" s="1438"/>
      <c r="Q34" s="1438"/>
      <c r="R34" s="1438"/>
      <c r="S34" s="1438"/>
      <c r="T34" s="1438"/>
      <c r="U34" s="1438"/>
      <c r="V34" s="1438"/>
      <c r="W34" s="1438"/>
      <c r="X34" s="1438"/>
      <c r="Y34" s="1438"/>
      <c r="Z34" s="1438"/>
      <c r="AA34" s="1438"/>
      <c r="AB34" s="1438"/>
      <c r="AC34" s="1439"/>
      <c r="AD34" s="4"/>
      <c r="AF34" s="438"/>
      <c r="AG34" s="439"/>
      <c r="AH34" s="439"/>
      <c r="AI34" s="439"/>
      <c r="AJ34" s="439"/>
      <c r="AK34" s="439"/>
      <c r="AL34" s="439"/>
      <c r="AM34" s="439"/>
      <c r="AN34" s="439"/>
      <c r="AO34" s="439"/>
      <c r="AP34" s="439"/>
      <c r="AQ34" s="439"/>
      <c r="AR34" s="439"/>
      <c r="AS34" s="439"/>
      <c r="AT34" s="440"/>
      <c r="AU34" s="441"/>
      <c r="AV34" s="441"/>
      <c r="AW34" s="441"/>
      <c r="AX34" s="442"/>
      <c r="AY34" s="442"/>
      <c r="AZ34" s="442"/>
      <c r="BA34" s="442"/>
      <c r="BB34" s="442"/>
      <c r="BC34" s="442"/>
      <c r="BD34" s="442"/>
      <c r="BE34" s="442"/>
      <c r="BF34" s="442"/>
      <c r="BG34" s="443"/>
      <c r="BH34" s="443"/>
      <c r="BI34" s="444"/>
      <c r="BJ34" s="444"/>
      <c r="BK34" s="444"/>
      <c r="BL34" s="430"/>
      <c r="BM34" s="430"/>
      <c r="BN34" s="430"/>
      <c r="BO34" s="430"/>
      <c r="BP34" s="430"/>
      <c r="BQ34" s="426"/>
      <c r="BR34" s="427"/>
      <c r="BS34" s="427"/>
      <c r="BT34" s="427"/>
      <c r="BU34" s="428"/>
      <c r="BV34" s="431"/>
      <c r="BW34" s="427"/>
      <c r="BX34" s="427"/>
      <c r="BY34" s="428"/>
    </row>
    <row r="35" spans="1:77" ht="15.75">
      <c r="A35" s="72">
        <v>5</v>
      </c>
      <c r="B35" s="1743"/>
      <c r="C35" s="1743"/>
      <c r="D35" s="1743"/>
      <c r="E35" s="1743"/>
      <c r="F35" s="1743"/>
      <c r="G35" s="1743"/>
      <c r="H35" s="365"/>
      <c r="I35" s="366"/>
      <c r="J35" s="366"/>
      <c r="K35" s="366"/>
      <c r="L35" s="366"/>
      <c r="M35" s="366"/>
      <c r="N35" s="366"/>
      <c r="O35" s="1743"/>
      <c r="P35" s="1743"/>
      <c r="Q35" s="1744">
        <f>+BG25</f>
        <v>0</v>
      </c>
      <c r="R35" s="1744"/>
      <c r="S35" s="1744"/>
      <c r="T35" s="1744"/>
      <c r="U35" s="1745"/>
      <c r="V35" s="1745"/>
      <c r="W35" s="1745"/>
      <c r="X35" s="1745"/>
      <c r="Y35" s="1745"/>
      <c r="Z35" s="1745"/>
      <c r="AA35" s="1745"/>
      <c r="AB35" s="1745"/>
      <c r="AC35" s="1745"/>
      <c r="AD35" s="4"/>
      <c r="AF35" s="391"/>
      <c r="AG35" s="391"/>
      <c r="AH35" s="391"/>
      <c r="AI35" s="391"/>
      <c r="AJ35" s="391"/>
      <c r="AK35" s="391"/>
      <c r="AL35" s="391"/>
      <c r="AM35" s="391"/>
      <c r="AN35" s="391"/>
      <c r="AO35" s="391"/>
      <c r="AP35" s="391"/>
      <c r="AQ35" s="391"/>
      <c r="AR35" s="391"/>
      <c r="AS35" s="391"/>
      <c r="AT35" s="391"/>
      <c r="AU35" s="223"/>
      <c r="AV35" s="223"/>
      <c r="AW35" s="223"/>
      <c r="AX35" s="396"/>
      <c r="AY35" s="396"/>
      <c r="AZ35" s="396"/>
      <c r="BA35" s="399"/>
      <c r="BB35" s="399"/>
      <c r="BC35" s="399"/>
      <c r="BD35" s="396"/>
      <c r="BE35" s="396"/>
      <c r="BF35" s="396"/>
      <c r="BG35" s="399"/>
      <c r="BH35" s="399"/>
      <c r="BI35" s="399"/>
      <c r="BJ35" s="399"/>
      <c r="BK35" s="399"/>
      <c r="BL35" s="399"/>
      <c r="BM35" s="399"/>
      <c r="BN35" s="399"/>
      <c r="BO35" s="399"/>
      <c r="BP35" s="399"/>
      <c r="BQ35" s="399"/>
      <c r="BR35" s="399"/>
      <c r="BS35" s="399"/>
      <c r="BT35" s="399"/>
      <c r="BU35" s="399"/>
      <c r="BV35" s="399"/>
      <c r="BW35" s="399"/>
      <c r="BX35" s="399"/>
      <c r="BY35" s="399"/>
    </row>
    <row r="36" spans="1:77" ht="15.75">
      <c r="A36" s="6"/>
      <c r="B36" s="1023" t="s">
        <v>951</v>
      </c>
      <c r="C36" s="1023"/>
      <c r="D36" s="1023"/>
      <c r="E36" s="1023"/>
      <c r="F36" s="1023"/>
      <c r="G36" s="1023"/>
      <c r="H36" s="1023"/>
      <c r="I36" s="1023"/>
      <c r="J36" s="1023"/>
      <c r="K36" s="1023"/>
      <c r="L36" s="1023"/>
      <c r="M36" s="6"/>
      <c r="N36" s="6"/>
      <c r="O36" s="6"/>
      <c r="P36" s="6"/>
      <c r="Q36" s="6"/>
      <c r="R36" s="6"/>
      <c r="S36" s="6"/>
      <c r="T36" s="6"/>
      <c r="U36" s="6"/>
      <c r="V36" s="6"/>
      <c r="W36" s="6"/>
      <c r="X36" s="6"/>
      <c r="Y36" s="6"/>
      <c r="Z36" s="6"/>
      <c r="AA36" s="6"/>
      <c r="AB36" s="6"/>
      <c r="AC36" s="6"/>
      <c r="AD36" s="6"/>
      <c r="AF36" s="391"/>
      <c r="AG36" s="391"/>
      <c r="AH36" s="391"/>
      <c r="AI36" s="391"/>
      <c r="AJ36" s="391"/>
      <c r="AK36" s="391"/>
      <c r="AL36" s="391"/>
      <c r="AM36" s="391"/>
      <c r="AN36" s="391"/>
      <c r="AO36" s="391"/>
      <c r="AP36" s="391"/>
      <c r="AQ36" s="391"/>
      <c r="AR36" s="391"/>
      <c r="AS36" s="391"/>
      <c r="AT36" s="391"/>
      <c r="AU36" s="223"/>
      <c r="AV36" s="223"/>
      <c r="AW36" s="223"/>
      <c r="AX36" s="396"/>
      <c r="AY36" s="396"/>
      <c r="AZ36" s="396"/>
      <c r="BA36" s="399"/>
      <c r="BB36" s="399"/>
      <c r="BC36" s="399"/>
      <c r="BD36" s="396"/>
      <c r="BE36" s="396"/>
      <c r="BF36" s="396"/>
      <c r="BG36" s="399"/>
      <c r="BH36" s="399"/>
      <c r="BI36" s="399"/>
      <c r="BJ36" s="399"/>
      <c r="BK36" s="399"/>
      <c r="BL36" s="399"/>
      <c r="BM36" s="399"/>
      <c r="BN36" s="399"/>
      <c r="BO36" s="399"/>
      <c r="BP36" s="399"/>
      <c r="BQ36" s="399"/>
      <c r="BR36" s="399"/>
      <c r="BS36" s="399"/>
      <c r="BT36" s="399"/>
      <c r="BU36" s="399"/>
      <c r="BV36" s="399"/>
      <c r="BW36" s="399"/>
      <c r="BX36" s="399"/>
      <c r="BY36" s="399"/>
    </row>
    <row r="37" spans="1:77" ht="15.75">
      <c r="A37" s="6"/>
      <c r="B37" s="1389" t="s">
        <v>222</v>
      </c>
      <c r="C37" s="1389"/>
      <c r="D37" s="1389"/>
      <c r="E37" s="1389"/>
      <c r="F37" s="1389"/>
      <c r="G37" s="1389"/>
      <c r="H37" s="1389" t="s">
        <v>223</v>
      </c>
      <c r="I37" s="1389"/>
      <c r="J37" s="1389"/>
      <c r="K37" s="1389"/>
      <c r="L37" s="1389"/>
      <c r="M37" s="1389"/>
      <c r="N37" s="1389" t="s">
        <v>224</v>
      </c>
      <c r="O37" s="1389"/>
      <c r="P37" s="1389"/>
      <c r="Q37" s="1389" t="s">
        <v>225</v>
      </c>
      <c r="R37" s="1389"/>
      <c r="S37" s="1389"/>
      <c r="T37" s="1389"/>
      <c r="U37" s="1389"/>
      <c r="V37" s="1389"/>
      <c r="W37" s="1389" t="s">
        <v>226</v>
      </c>
      <c r="X37" s="1389"/>
      <c r="Y37" s="1389"/>
      <c r="Z37" s="1389" t="s">
        <v>227</v>
      </c>
      <c r="AA37" s="1389"/>
      <c r="AB37" s="1389"/>
      <c r="AC37" s="1389"/>
      <c r="AD37" s="6"/>
      <c r="AF37" s="391"/>
      <c r="AG37" s="391"/>
      <c r="AH37" s="391"/>
      <c r="AI37" s="391"/>
      <c r="AJ37" s="391"/>
      <c r="AK37" s="391"/>
      <c r="AL37" s="391"/>
      <c r="AM37" s="391"/>
      <c r="AN37" s="391"/>
      <c r="AO37" s="391"/>
      <c r="AP37" s="391"/>
      <c r="AQ37" s="391"/>
      <c r="AR37" s="391"/>
      <c r="AS37" s="391"/>
      <c r="AT37" s="391"/>
      <c r="AU37" s="223"/>
      <c r="AV37" s="223"/>
      <c r="AW37" s="223"/>
      <c r="AX37" s="396"/>
      <c r="AY37" s="396"/>
      <c r="AZ37" s="396"/>
      <c r="BA37" s="399"/>
      <c r="BB37" s="399"/>
      <c r="BC37" s="399"/>
      <c r="BD37" s="396"/>
      <c r="BE37" s="396"/>
      <c r="BF37" s="396"/>
      <c r="BG37" s="399"/>
      <c r="BH37" s="399"/>
      <c r="BI37" s="399"/>
      <c r="BJ37" s="399"/>
      <c r="BK37" s="399"/>
      <c r="BL37" s="399"/>
      <c r="BM37" s="399"/>
      <c r="BN37" s="399"/>
      <c r="BO37" s="399"/>
      <c r="BP37" s="399"/>
      <c r="BQ37" s="399"/>
      <c r="BR37" s="399"/>
      <c r="BS37" s="399"/>
      <c r="BT37" s="399"/>
      <c r="BU37" s="399"/>
      <c r="BV37" s="399"/>
      <c r="BW37" s="399"/>
      <c r="BX37" s="399"/>
      <c r="BY37" s="399"/>
    </row>
    <row r="38" spans="1:77" ht="15.75">
      <c r="A38" s="6"/>
      <c r="B38" s="1389"/>
      <c r="C38" s="1389"/>
      <c r="D38" s="1389"/>
      <c r="E38" s="1389"/>
      <c r="F38" s="1389"/>
      <c r="G38" s="1389"/>
      <c r="H38" s="1389" t="s">
        <v>39</v>
      </c>
      <c r="I38" s="1389"/>
      <c r="J38" s="1389"/>
      <c r="K38" s="1389" t="s">
        <v>228</v>
      </c>
      <c r="L38" s="1389"/>
      <c r="M38" s="1389"/>
      <c r="N38" s="1389"/>
      <c r="O38" s="1389"/>
      <c r="P38" s="1389"/>
      <c r="Q38" s="76" t="s">
        <v>140</v>
      </c>
      <c r="R38" s="76" t="s">
        <v>141</v>
      </c>
      <c r="S38" s="76" t="s">
        <v>142</v>
      </c>
      <c r="T38" s="76" t="s">
        <v>229</v>
      </c>
      <c r="U38" s="76" t="s">
        <v>230</v>
      </c>
      <c r="V38" s="76" t="s">
        <v>145</v>
      </c>
      <c r="W38" s="1389"/>
      <c r="X38" s="1389"/>
      <c r="Y38" s="1389"/>
      <c r="Z38" s="1389"/>
      <c r="AA38" s="1389"/>
      <c r="AB38" s="1389"/>
      <c r="AC38" s="1389"/>
      <c r="AD38" s="6"/>
    </row>
    <row r="39" spans="1:77" ht="18" customHeight="1">
      <c r="A39" s="4"/>
      <c r="B39" s="1437" t="s">
        <v>1314</v>
      </c>
      <c r="C39" s="1438"/>
      <c r="D39" s="1438"/>
      <c r="E39" s="1438"/>
      <c r="F39" s="1438"/>
      <c r="G39" s="1438"/>
      <c r="H39" s="1438"/>
      <c r="I39" s="1438"/>
      <c r="J39" s="1438"/>
      <c r="K39" s="1438"/>
      <c r="L39" s="1438"/>
      <c r="M39" s="1438"/>
      <c r="N39" s="1438"/>
      <c r="O39" s="1438"/>
      <c r="P39" s="1438"/>
      <c r="Q39" s="1438"/>
      <c r="R39" s="1438"/>
      <c r="S39" s="1438"/>
      <c r="T39" s="1438"/>
      <c r="U39" s="1438"/>
      <c r="V39" s="1438"/>
      <c r="W39" s="1438"/>
      <c r="X39" s="1438"/>
      <c r="Y39" s="1438"/>
      <c r="Z39" s="1438"/>
      <c r="AA39" s="1438"/>
      <c r="AB39" s="1438"/>
      <c r="AC39" s="1439"/>
      <c r="AD39" s="4"/>
      <c r="AF39" s="1485" t="str">
        <f>+B39</f>
        <v>"OFERTA EN EL MERCADO"</v>
      </c>
      <c r="AG39" s="1486"/>
      <c r="AH39" s="1486"/>
      <c r="AI39" s="1486"/>
      <c r="AJ39" s="1486"/>
      <c r="AK39" s="1486"/>
      <c r="AL39" s="1486"/>
      <c r="AM39" s="1486"/>
      <c r="AN39" s="1486"/>
      <c r="AO39" s="1486"/>
      <c r="AP39" s="1486"/>
      <c r="AQ39" s="1486"/>
      <c r="AR39" s="1486"/>
      <c r="AS39" s="1486"/>
      <c r="AT39" s="1486"/>
      <c r="AU39" s="1486"/>
      <c r="AV39" s="1486"/>
      <c r="AW39" s="1486"/>
      <c r="AX39" s="1486"/>
      <c r="AY39" s="1486"/>
      <c r="AZ39" s="1486"/>
      <c r="BA39" s="1486"/>
      <c r="BB39" s="1486"/>
      <c r="BC39" s="1486"/>
      <c r="BD39" s="1486"/>
      <c r="BE39" s="1486"/>
      <c r="BF39" s="1486"/>
      <c r="BG39" s="1486"/>
      <c r="BH39" s="1486"/>
      <c r="BI39" s="1486"/>
      <c r="BJ39" s="1486"/>
      <c r="BK39" s="1486"/>
      <c r="BL39" s="1486"/>
      <c r="BM39" s="1486"/>
      <c r="BN39" s="1486"/>
      <c r="BO39" s="1486"/>
      <c r="BP39" s="1486"/>
      <c r="BQ39" s="1486"/>
      <c r="BR39" s="1486"/>
      <c r="BS39" s="1486"/>
      <c r="BT39" s="1486"/>
      <c r="BU39" s="1486"/>
      <c r="BV39" s="1486"/>
      <c r="BW39" s="1486"/>
      <c r="BX39" s="1486"/>
      <c r="BY39" s="1487"/>
    </row>
    <row r="40" spans="1:77" ht="15.75">
      <c r="A40" s="72">
        <v>1</v>
      </c>
      <c r="B40" s="1500" t="str">
        <f>IF(Q30-SUM(U30:AC30)=0,"",ROUND(Q30-SUM(U30:AC30),2))</f>
        <v/>
      </c>
      <c r="C40" s="1500"/>
      <c r="D40" s="1500"/>
      <c r="E40" s="1500"/>
      <c r="F40" s="1500"/>
      <c r="G40" s="1500"/>
      <c r="H40" s="1499"/>
      <c r="I40" s="1499"/>
      <c r="J40" s="1499"/>
      <c r="K40" s="1499">
        <f>+BD20</f>
        <v>0</v>
      </c>
      <c r="L40" s="1499"/>
      <c r="M40" s="1499"/>
      <c r="N40" s="1498" t="e">
        <f>+B40/K40</f>
        <v>#VALUE!</v>
      </c>
      <c r="O40" s="1498"/>
      <c r="P40" s="1498"/>
      <c r="Q40" s="115">
        <v>1</v>
      </c>
      <c r="R40" s="115">
        <v>1</v>
      </c>
      <c r="S40" s="115">
        <v>1</v>
      </c>
      <c r="T40" s="115">
        <v>1</v>
      </c>
      <c r="U40" s="115">
        <v>1</v>
      </c>
      <c r="V40" s="115">
        <v>1</v>
      </c>
      <c r="W40" s="1499">
        <f>PRODUCT(Q40:V40)</f>
        <v>1</v>
      </c>
      <c r="X40" s="1499"/>
      <c r="Y40" s="1499"/>
      <c r="Z40" s="1500" t="str">
        <f>IFERROR(ROUND(N40^2*W40/N40,2)," ")</f>
        <v xml:space="preserve"> </v>
      </c>
      <c r="AA40" s="1500"/>
      <c r="AB40" s="1500"/>
      <c r="AC40" s="1500"/>
      <c r="AD40" s="4"/>
    </row>
    <row r="41" spans="1:77" ht="15.75">
      <c r="A41" s="72">
        <v>2</v>
      </c>
      <c r="B41" s="1500" t="str">
        <f>IF(Q31-SUM(U31:AC31)=0,"",ROUND(Q31-SUM(U31:AC31),2))</f>
        <v/>
      </c>
      <c r="C41" s="1500"/>
      <c r="D41" s="1500"/>
      <c r="E41" s="1500"/>
      <c r="F41" s="1500"/>
      <c r="G41" s="1500"/>
      <c r="H41" s="1499"/>
      <c r="I41" s="1499"/>
      <c r="J41" s="1499"/>
      <c r="K41" s="1499">
        <f>+BD21</f>
        <v>0</v>
      </c>
      <c r="L41" s="1499"/>
      <c r="M41" s="1499"/>
      <c r="N41" s="1498" t="e">
        <f t="shared" ref="N41:N45" si="2">+B41/K41</f>
        <v>#VALUE!</v>
      </c>
      <c r="O41" s="1498"/>
      <c r="P41" s="1498"/>
      <c r="Q41" s="115">
        <v>1</v>
      </c>
      <c r="R41" s="115">
        <v>1</v>
      </c>
      <c r="S41" s="115">
        <v>1</v>
      </c>
      <c r="T41" s="115">
        <v>1</v>
      </c>
      <c r="U41" s="115">
        <v>1</v>
      </c>
      <c r="V41" s="115">
        <v>1</v>
      </c>
      <c r="W41" s="1499">
        <f t="shared" ref="W41:W45" si="3">PRODUCT(Q41:V41)</f>
        <v>1</v>
      </c>
      <c r="X41" s="1499"/>
      <c r="Y41" s="1499"/>
      <c r="Z41" s="1500" t="str">
        <f>IFERROR(ROUND(N41^2*W41/N41,2)," ")</f>
        <v xml:space="preserve"> </v>
      </c>
      <c r="AA41" s="1500"/>
      <c r="AB41" s="1500"/>
      <c r="AC41" s="1500"/>
      <c r="AD41" s="4"/>
    </row>
    <row r="42" spans="1:77" ht="15.75">
      <c r="A42" s="72">
        <v>3</v>
      </c>
      <c r="B42" s="1500" t="str">
        <f>IF(Q32-SUM(U32:AC32)=0,"",ROUND(Q32-SUM(U32:AC32),2))</f>
        <v/>
      </c>
      <c r="C42" s="1500"/>
      <c r="D42" s="1500"/>
      <c r="E42" s="1500"/>
      <c r="F42" s="1500"/>
      <c r="G42" s="1500"/>
      <c r="H42" s="1499"/>
      <c r="I42" s="1499"/>
      <c r="J42" s="1499"/>
      <c r="K42" s="1499">
        <f>+BD22</f>
        <v>0</v>
      </c>
      <c r="L42" s="1499"/>
      <c r="M42" s="1499"/>
      <c r="N42" s="1498" t="e">
        <f t="shared" si="2"/>
        <v>#VALUE!</v>
      </c>
      <c r="O42" s="1498"/>
      <c r="P42" s="1498"/>
      <c r="Q42" s="115">
        <v>1</v>
      </c>
      <c r="R42" s="115">
        <v>1</v>
      </c>
      <c r="S42" s="115">
        <v>1</v>
      </c>
      <c r="T42" s="115">
        <v>1</v>
      </c>
      <c r="U42" s="115">
        <v>1</v>
      </c>
      <c r="V42" s="115">
        <v>1</v>
      </c>
      <c r="W42" s="1499">
        <f t="shared" si="3"/>
        <v>1</v>
      </c>
      <c r="X42" s="1499"/>
      <c r="Y42" s="1499"/>
      <c r="Z42" s="1500" t="str">
        <f>IFERROR(ROUND(N42^2*W42/N42,2)," ")</f>
        <v xml:space="preserve"> </v>
      </c>
      <c r="AA42" s="1500"/>
      <c r="AB42" s="1500"/>
      <c r="AC42" s="1500"/>
      <c r="AD42" s="4"/>
    </row>
    <row r="43" spans="1:77" ht="15.75">
      <c r="A43" s="72">
        <v>4</v>
      </c>
      <c r="B43" s="1500" t="str">
        <f>IF(Q33-SUM(U33:AC33)=0,"",ROUND(Q33-SUM(U33:AC33),2))</f>
        <v/>
      </c>
      <c r="C43" s="1500"/>
      <c r="D43" s="1500"/>
      <c r="E43" s="1500"/>
      <c r="F43" s="1500"/>
      <c r="G43" s="1500"/>
      <c r="H43" s="1499"/>
      <c r="I43" s="1499"/>
      <c r="J43" s="1499"/>
      <c r="K43" s="1499">
        <f>+BD23</f>
        <v>0</v>
      </c>
      <c r="L43" s="1499"/>
      <c r="M43" s="1499"/>
      <c r="N43" s="1498" t="e">
        <f t="shared" si="2"/>
        <v>#VALUE!</v>
      </c>
      <c r="O43" s="1498"/>
      <c r="P43" s="1498"/>
      <c r="Q43" s="115">
        <v>1</v>
      </c>
      <c r="R43" s="115">
        <v>1</v>
      </c>
      <c r="S43" s="115">
        <v>1</v>
      </c>
      <c r="T43" s="115">
        <v>1</v>
      </c>
      <c r="U43" s="115">
        <v>1</v>
      </c>
      <c r="V43" s="115">
        <v>1</v>
      </c>
      <c r="W43" s="1499">
        <f t="shared" si="3"/>
        <v>1</v>
      </c>
      <c r="X43" s="1499"/>
      <c r="Y43" s="1499"/>
      <c r="Z43" s="1500" t="str">
        <f>IFERROR(ROUND(N43^2*W43/N43,2)," ")</f>
        <v xml:space="preserve"> </v>
      </c>
      <c r="AA43" s="1500"/>
      <c r="AB43" s="1500"/>
      <c r="AC43" s="1500"/>
      <c r="AD43" s="4"/>
    </row>
    <row r="44" spans="1:77" ht="37.5" customHeight="1">
      <c r="A44" s="4"/>
      <c r="B44" s="1437" t="s">
        <v>1315</v>
      </c>
      <c r="C44" s="1438"/>
      <c r="D44" s="1438"/>
      <c r="E44" s="1438"/>
      <c r="F44" s="1438"/>
      <c r="G44" s="1438"/>
      <c r="H44" s="1438"/>
      <c r="I44" s="1438"/>
      <c r="J44" s="1438"/>
      <c r="K44" s="1438"/>
      <c r="L44" s="1438"/>
      <c r="M44" s="1438"/>
      <c r="N44" s="1438"/>
      <c r="O44" s="1438"/>
      <c r="P44" s="1438"/>
      <c r="Q44" s="1438"/>
      <c r="R44" s="1438"/>
      <c r="S44" s="1438"/>
      <c r="T44" s="1438"/>
      <c r="U44" s="1438"/>
      <c r="V44" s="1438"/>
      <c r="W44" s="1438"/>
      <c r="X44" s="1438"/>
      <c r="Y44" s="1438"/>
      <c r="Z44" s="1438"/>
      <c r="AA44" s="1438"/>
      <c r="AB44" s="1438"/>
      <c r="AC44" s="1439"/>
      <c r="AD44" s="4"/>
      <c r="AF44" s="438"/>
      <c r="AG44" s="439"/>
      <c r="AH44" s="439"/>
      <c r="AI44" s="439"/>
      <c r="AJ44" s="439"/>
      <c r="AK44" s="439"/>
      <c r="AL44" s="439"/>
      <c r="AM44" s="439"/>
      <c r="AN44" s="439"/>
      <c r="AO44" s="439"/>
      <c r="AP44" s="439"/>
      <c r="AQ44" s="439"/>
      <c r="AR44" s="439"/>
      <c r="AS44" s="439"/>
      <c r="AT44" s="440"/>
      <c r="AU44" s="441"/>
      <c r="AV44" s="441"/>
      <c r="AW44" s="441"/>
      <c r="AX44" s="442"/>
      <c r="AY44" s="442"/>
      <c r="AZ44" s="442"/>
      <c r="BA44" s="442"/>
      <c r="BB44" s="442"/>
      <c r="BC44" s="442"/>
      <c r="BD44" s="442"/>
      <c r="BE44" s="442"/>
      <c r="BF44" s="442"/>
      <c r="BG44" s="443"/>
      <c r="BH44" s="443"/>
      <c r="BI44" s="444"/>
      <c r="BJ44" s="444"/>
      <c r="BK44" s="444"/>
      <c r="BL44" s="430"/>
      <c r="BM44" s="430"/>
      <c r="BN44" s="430"/>
      <c r="BO44" s="430"/>
      <c r="BP44" s="430"/>
      <c r="BQ44" s="426"/>
      <c r="BR44" s="427"/>
      <c r="BS44" s="427"/>
      <c r="BT44" s="427"/>
      <c r="BU44" s="428"/>
      <c r="BV44" s="431"/>
      <c r="BW44" s="427"/>
      <c r="BX44" s="427"/>
      <c r="BY44" s="428"/>
    </row>
    <row r="45" spans="1:77" ht="15.75">
      <c r="A45" s="72">
        <v>5</v>
      </c>
      <c r="B45" s="1500"/>
      <c r="C45" s="1500"/>
      <c r="D45" s="1500"/>
      <c r="E45" s="1500"/>
      <c r="F45" s="1500"/>
      <c r="G45" s="1500"/>
      <c r="H45" s="1499"/>
      <c r="I45" s="1499"/>
      <c r="J45" s="1499"/>
      <c r="K45" s="1499">
        <f>+BD25</f>
        <v>0</v>
      </c>
      <c r="L45" s="1499"/>
      <c r="M45" s="1499"/>
      <c r="N45" s="1498" t="e">
        <f t="shared" si="2"/>
        <v>#DIV/0!</v>
      </c>
      <c r="O45" s="1498"/>
      <c r="P45" s="1498"/>
      <c r="Q45" s="115">
        <v>1</v>
      </c>
      <c r="R45" s="115">
        <v>1</v>
      </c>
      <c r="S45" s="115">
        <v>1</v>
      </c>
      <c r="T45" s="115">
        <v>1</v>
      </c>
      <c r="U45" s="115">
        <v>1</v>
      </c>
      <c r="V45" s="115">
        <v>1</v>
      </c>
      <c r="W45" s="1499">
        <f t="shared" si="3"/>
        <v>1</v>
      </c>
      <c r="X45" s="1499"/>
      <c r="Y45" s="1499"/>
      <c r="Z45" s="1500" t="str">
        <f>IFERROR(ROUND(N45^2*W45/N45,2)," ")</f>
        <v xml:space="preserve"> </v>
      </c>
      <c r="AA45" s="1500"/>
      <c r="AB45" s="1500"/>
      <c r="AC45" s="1500"/>
      <c r="AD45" s="4"/>
    </row>
    <row r="46" spans="1:77" ht="15.75">
      <c r="A46" s="6"/>
      <c r="B46" s="1502" t="s">
        <v>231</v>
      </c>
      <c r="C46" s="1502"/>
      <c r="D46" s="1502"/>
      <c r="E46" s="1502"/>
      <c r="F46" s="1502"/>
      <c r="G46" s="1502"/>
      <c r="H46" s="1502"/>
      <c r="I46" s="1502"/>
      <c r="J46" s="1502"/>
      <c r="K46" s="1387">
        <f>IFERROR(AVERAGEIF(Z40:Z45,"&gt;0"),0)</f>
        <v>0</v>
      </c>
      <c r="L46" s="1387"/>
      <c r="M46" s="1387"/>
      <c r="N46" s="1387"/>
      <c r="O46" s="4"/>
      <c r="P46" s="75"/>
      <c r="Q46" s="1502" t="s">
        <v>232</v>
      </c>
      <c r="R46" s="1502"/>
      <c r="S46" s="1502"/>
      <c r="T46" s="1502"/>
      <c r="U46" s="1502"/>
      <c r="V46" s="1502"/>
      <c r="W46" s="1502"/>
      <c r="X46" s="1502"/>
      <c r="Y46" s="1502"/>
      <c r="Z46" s="1387">
        <f>ROUND(K46,-1)</f>
        <v>0</v>
      </c>
      <c r="AA46" s="1387"/>
      <c r="AB46" s="1387"/>
      <c r="AC46" s="1387"/>
      <c r="AD46" s="4"/>
    </row>
    <row r="47" spans="1:77" ht="9.9499999999999993" customHeight="1">
      <c r="A47" s="4"/>
      <c r="B47" s="26"/>
      <c r="C47" s="4"/>
      <c r="D47" s="4"/>
      <c r="E47" s="4"/>
      <c r="F47" s="4"/>
      <c r="G47" s="4"/>
      <c r="H47" s="4"/>
      <c r="I47" s="4"/>
      <c r="J47" s="4"/>
      <c r="K47" s="4"/>
      <c r="L47" s="4"/>
      <c r="M47" s="4"/>
      <c r="N47" s="4"/>
      <c r="O47" s="4"/>
      <c r="P47" s="4"/>
      <c r="Q47" s="26"/>
      <c r="R47" s="26"/>
      <c r="S47" s="26"/>
      <c r="T47" s="26"/>
      <c r="U47" s="26"/>
      <c r="V47" s="26"/>
      <c r="W47" s="26"/>
      <c r="X47" s="26"/>
      <c r="Y47" s="26"/>
      <c r="Z47" s="26"/>
      <c r="AA47" s="26"/>
      <c r="AB47" s="26"/>
      <c r="AC47" s="4"/>
      <c r="AD47" s="4"/>
    </row>
    <row r="48" spans="1:77" ht="15.75">
      <c r="A48" s="4"/>
      <c r="B48" s="1550" t="s">
        <v>943</v>
      </c>
      <c r="C48" s="1551"/>
      <c r="D48" s="1552"/>
      <c r="E48" s="1792" t="s">
        <v>944</v>
      </c>
      <c r="F48" s="1793"/>
      <c r="G48" s="1793"/>
      <c r="H48" s="1793"/>
      <c r="I48" s="1793"/>
      <c r="J48" s="1793"/>
      <c r="K48" s="1793"/>
      <c r="L48" s="1793"/>
      <c r="M48" s="1793"/>
      <c r="N48" s="1793"/>
      <c r="O48" s="1793"/>
      <c r="P48" s="1793"/>
      <c r="Q48" s="1793"/>
      <c r="R48" s="1793"/>
      <c r="S48" s="1793"/>
      <c r="T48" s="1793"/>
      <c r="U48" s="1793"/>
      <c r="V48" s="1793"/>
      <c r="W48" s="1793"/>
      <c r="X48" s="1793"/>
      <c r="Y48" s="1793"/>
      <c r="Z48" s="1793"/>
      <c r="AA48" s="1793"/>
      <c r="AB48" s="1793"/>
      <c r="AC48" s="1794"/>
      <c r="AD48" s="4"/>
    </row>
    <row r="49" spans="1:30" ht="15.75">
      <c r="A49" s="4"/>
      <c r="B49" s="1553"/>
      <c r="C49" s="1554"/>
      <c r="D49" s="1555"/>
      <c r="E49" s="1803" t="s">
        <v>1034</v>
      </c>
      <c r="F49" s="1804"/>
      <c r="G49" s="1804"/>
      <c r="H49" s="1804"/>
      <c r="I49" s="1804"/>
      <c r="J49" s="1804"/>
      <c r="K49" s="1804"/>
      <c r="L49" s="1804"/>
      <c r="M49" s="1804"/>
      <c r="N49" s="1804"/>
      <c r="O49" s="1804"/>
      <c r="P49" s="1804"/>
      <c r="Q49" s="1804"/>
      <c r="R49" s="1804"/>
      <c r="S49" s="1804"/>
      <c r="T49" s="1804"/>
      <c r="U49" s="1804"/>
      <c r="V49" s="1804"/>
      <c r="W49" s="1804"/>
      <c r="X49" s="1804"/>
      <c r="Y49" s="1804"/>
      <c r="Z49" s="1804"/>
      <c r="AA49" s="1804"/>
      <c r="AB49" s="1804"/>
      <c r="AC49" s="1805"/>
      <c r="AD49" s="4"/>
    </row>
    <row r="50" spans="1:30" ht="9.9499999999999993" customHeight="1">
      <c r="A50" s="4"/>
      <c r="B50" s="26"/>
      <c r="C50" s="4"/>
      <c r="D50" s="4"/>
      <c r="E50" s="4"/>
      <c r="F50" s="4"/>
      <c r="G50" s="4"/>
      <c r="H50" s="4"/>
      <c r="I50" s="4"/>
      <c r="J50" s="4"/>
      <c r="K50" s="4"/>
      <c r="L50" s="4"/>
      <c r="M50" s="4"/>
      <c r="N50" s="4"/>
      <c r="O50" s="4"/>
      <c r="P50" s="4"/>
      <c r="Q50" s="26"/>
      <c r="R50" s="26"/>
      <c r="S50" s="26"/>
      <c r="T50" s="26"/>
      <c r="U50" s="26"/>
      <c r="V50" s="26"/>
      <c r="W50" s="26"/>
      <c r="X50" s="26"/>
      <c r="Y50" s="26"/>
      <c r="Z50" s="26"/>
      <c r="AA50" s="26"/>
      <c r="AB50" s="26"/>
      <c r="AC50" s="4"/>
      <c r="AD50" s="4"/>
    </row>
    <row r="51" spans="1:30" ht="15.75">
      <c r="A51" s="1292" t="s">
        <v>948</v>
      </c>
      <c r="B51" s="1293"/>
      <c r="C51" s="1293"/>
      <c r="D51" s="1293"/>
      <c r="E51" s="1293"/>
      <c r="F51" s="1293"/>
      <c r="G51" s="1293"/>
      <c r="H51" s="1293"/>
      <c r="I51" s="1293"/>
      <c r="J51" s="1293"/>
      <c r="K51" s="1293"/>
      <c r="L51" s="1293"/>
      <c r="M51" s="1293"/>
      <c r="N51" s="1293"/>
      <c r="O51" s="1293"/>
      <c r="P51" s="1293"/>
      <c r="Q51" s="1293"/>
      <c r="R51" s="1293"/>
      <c r="S51" s="1293"/>
      <c r="T51" s="1293"/>
      <c r="U51" s="1293"/>
      <c r="V51" s="1293"/>
      <c r="W51" s="1293"/>
      <c r="X51" s="1293"/>
      <c r="Y51" s="1293"/>
      <c r="Z51" s="1293"/>
      <c r="AA51" s="1293"/>
      <c r="AB51" s="1293"/>
      <c r="AC51" s="1293"/>
      <c r="AD51" s="1294"/>
    </row>
    <row r="52" spans="1:30" ht="15.75">
      <c r="A52" s="4"/>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4"/>
      <c r="AD52" s="4"/>
    </row>
    <row r="53" spans="1:30" ht="15.75">
      <c r="A53" s="4"/>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4"/>
      <c r="AD53" s="4"/>
    </row>
    <row r="54" spans="1:30" ht="15.75">
      <c r="A54" s="4"/>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4"/>
      <c r="AD54" s="4"/>
    </row>
    <row r="55" spans="1:30" ht="15.75">
      <c r="A55" s="4"/>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4"/>
      <c r="AD55" s="4"/>
    </row>
    <row r="56" spans="1:30" ht="15.75">
      <c r="A56" s="4"/>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4"/>
      <c r="AD56" s="4"/>
    </row>
    <row r="57" spans="1:30" ht="15.75">
      <c r="A57" s="4"/>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4"/>
      <c r="AD57" s="4"/>
    </row>
    <row r="58" spans="1:30" ht="15.75">
      <c r="A58" s="4"/>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4"/>
      <c r="AD58" s="4"/>
    </row>
    <row r="59" spans="1:30" ht="15.75">
      <c r="A59" s="4"/>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4"/>
      <c r="AD59" s="4"/>
    </row>
    <row r="60" spans="1:30" ht="15.75">
      <c r="A60" s="4"/>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4"/>
      <c r="AD60" s="4"/>
    </row>
    <row r="61" spans="1:30" ht="15.75">
      <c r="A61" s="4"/>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4"/>
      <c r="AD61" s="4"/>
    </row>
    <row r="62" spans="1:30" ht="35.25" customHeight="1">
      <c r="A62" s="4"/>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4"/>
      <c r="AD62" s="4"/>
    </row>
    <row r="63" spans="1:30" ht="15.75">
      <c r="A63" s="4"/>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4"/>
      <c r="AD63" s="4"/>
    </row>
    <row r="64" spans="1:30" ht="15.75">
      <c r="A64" s="4"/>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4"/>
      <c r="AD64" s="4"/>
    </row>
    <row r="65" spans="1:30" ht="15.75">
      <c r="A65" s="4"/>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4"/>
      <c r="AD65" s="4"/>
    </row>
    <row r="66" spans="1:30" ht="15.75">
      <c r="A66" s="4"/>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4"/>
      <c r="AD66" s="4"/>
    </row>
    <row r="67" spans="1:30" ht="15.75">
      <c r="A67" s="4"/>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4"/>
      <c r="AD67" s="4"/>
    </row>
    <row r="68" spans="1:30" ht="15.75">
      <c r="A68" s="4"/>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4"/>
      <c r="AD68" s="4"/>
    </row>
    <row r="69" spans="1:30" ht="15.75">
      <c r="A69" s="4"/>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4"/>
      <c r="AD69" s="4"/>
    </row>
    <row r="70" spans="1:30" ht="15.75">
      <c r="A70" s="4"/>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4"/>
      <c r="AD70" s="4"/>
    </row>
    <row r="71" spans="1:30" ht="15.75">
      <c r="A71" s="4"/>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4"/>
      <c r="AD71" s="4"/>
    </row>
    <row r="72" spans="1:30" ht="16.5" thickBot="1">
      <c r="A72" s="4"/>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4"/>
      <c r="AD72" s="4"/>
    </row>
    <row r="73" spans="1:30" ht="15.75" customHeight="1">
      <c r="A73" s="4"/>
      <c r="B73" s="1795" t="s">
        <v>148</v>
      </c>
      <c r="C73" s="1796"/>
      <c r="D73" s="1796"/>
      <c r="E73" s="1796"/>
      <c r="F73" s="1796"/>
      <c r="G73" s="1796"/>
      <c r="H73" s="1796"/>
      <c r="I73" s="1796"/>
      <c r="J73" s="1796"/>
      <c r="K73" s="1796"/>
      <c r="L73" s="1797"/>
      <c r="M73" s="26"/>
      <c r="N73" s="26"/>
      <c r="O73" s="26"/>
      <c r="P73" s="26"/>
      <c r="Q73" s="26"/>
      <c r="R73" s="26"/>
      <c r="S73" s="26"/>
      <c r="T73" s="26"/>
      <c r="U73" s="26"/>
      <c r="V73" s="26"/>
      <c r="W73" s="26"/>
      <c r="X73" s="26"/>
      <c r="Y73" s="26"/>
      <c r="Z73" s="26"/>
      <c r="AA73" s="26"/>
      <c r="AB73" s="26"/>
      <c r="AC73" s="4"/>
      <c r="AD73" s="4"/>
    </row>
    <row r="74" spans="1:30" ht="15.75">
      <c r="A74" s="4"/>
      <c r="B74" s="1541" t="s">
        <v>149</v>
      </c>
      <c r="C74" s="1746" t="s">
        <v>150</v>
      </c>
      <c r="D74" s="1747"/>
      <c r="E74" s="1747"/>
      <c r="F74" s="1748"/>
      <c r="G74" s="1749" t="s">
        <v>151</v>
      </c>
      <c r="H74" s="1749"/>
      <c r="I74" s="1749"/>
      <c r="J74" s="1749" t="s">
        <v>152</v>
      </c>
      <c r="K74" s="1749"/>
      <c r="L74" s="1750"/>
      <c r="M74" s="26"/>
      <c r="N74" s="26"/>
      <c r="O74" s="26"/>
      <c r="P74" s="26"/>
      <c r="Q74" s="26"/>
      <c r="R74" s="26"/>
      <c r="S74" s="26"/>
      <c r="T74" s="26"/>
      <c r="U74" s="26"/>
      <c r="V74" s="26"/>
      <c r="W74" s="26"/>
      <c r="X74" s="26"/>
      <c r="Y74" s="26"/>
      <c r="Z74" s="26"/>
      <c r="AA74" s="26"/>
      <c r="AB74" s="26"/>
      <c r="AC74" s="4"/>
      <c r="AD74" s="4"/>
    </row>
    <row r="75" spans="1:30" ht="16.5">
      <c r="A75" s="4"/>
      <c r="B75" s="1542"/>
      <c r="C75" s="1751">
        <f>+A40</f>
        <v>1</v>
      </c>
      <c r="D75" s="1752"/>
      <c r="E75" s="1752"/>
      <c r="F75" s="1753"/>
      <c r="G75" s="1754" t="e">
        <f t="shared" ref="G75:I78" si="4">IF(N40&gt;0,N40," ")</f>
        <v>#VALUE!</v>
      </c>
      <c r="H75" s="1755" t="str">
        <f t="shared" si="4"/>
        <v xml:space="preserve"> </v>
      </c>
      <c r="I75" s="1756" t="str">
        <f t="shared" si="4"/>
        <v xml:space="preserve"> </v>
      </c>
      <c r="J75" s="1754" t="str">
        <f>Z40</f>
        <v xml:space="preserve"> </v>
      </c>
      <c r="K75" s="1755"/>
      <c r="L75" s="1757"/>
      <c r="M75" s="26"/>
      <c r="N75" s="26"/>
      <c r="O75" s="26"/>
      <c r="P75" s="26"/>
      <c r="Q75" s="26"/>
      <c r="R75" s="26"/>
      <c r="S75" s="26"/>
      <c r="T75" s="26"/>
      <c r="U75" s="26"/>
      <c r="V75" s="26"/>
      <c r="W75" s="26"/>
      <c r="X75" s="26"/>
      <c r="Y75" s="26"/>
      <c r="Z75" s="26"/>
      <c r="AA75" s="26"/>
      <c r="AB75" s="26"/>
      <c r="AC75" s="4"/>
      <c r="AD75" s="4"/>
    </row>
    <row r="76" spans="1:30" ht="16.5">
      <c r="A76" s="4"/>
      <c r="B76" s="1542"/>
      <c r="C76" s="1751">
        <f>A31</f>
        <v>2</v>
      </c>
      <c r="D76" s="1752"/>
      <c r="E76" s="1752"/>
      <c r="F76" s="1753"/>
      <c r="G76" s="1754" t="e">
        <f t="shared" si="4"/>
        <v>#VALUE!</v>
      </c>
      <c r="H76" s="1755" t="str">
        <f t="shared" si="4"/>
        <v xml:space="preserve"> </v>
      </c>
      <c r="I76" s="1756" t="str">
        <f t="shared" si="4"/>
        <v xml:space="preserve"> </v>
      </c>
      <c r="J76" s="1754" t="str">
        <f>Z41</f>
        <v xml:space="preserve"> </v>
      </c>
      <c r="K76" s="1755"/>
      <c r="L76" s="1757"/>
      <c r="M76" s="26"/>
      <c r="N76" s="26"/>
      <c r="O76" s="26"/>
      <c r="P76" s="26"/>
      <c r="Q76" s="26"/>
      <c r="R76" s="26"/>
      <c r="S76" s="26"/>
      <c r="T76" s="26"/>
      <c r="U76" s="26"/>
      <c r="V76" s="26"/>
      <c r="W76" s="26"/>
      <c r="X76" s="26"/>
      <c r="Y76" s="26"/>
      <c r="Z76" s="26"/>
      <c r="AA76" s="26"/>
      <c r="AB76" s="26"/>
      <c r="AC76" s="4"/>
      <c r="AD76" s="4"/>
    </row>
    <row r="77" spans="1:30" ht="16.5">
      <c r="A77" s="4"/>
      <c r="B77" s="1542"/>
      <c r="C77" s="1751">
        <f>A32</f>
        <v>3</v>
      </c>
      <c r="D77" s="1752"/>
      <c r="E77" s="1752"/>
      <c r="F77" s="1753"/>
      <c r="G77" s="1754" t="e">
        <f t="shared" si="4"/>
        <v>#VALUE!</v>
      </c>
      <c r="H77" s="1755" t="str">
        <f t="shared" si="4"/>
        <v xml:space="preserve"> </v>
      </c>
      <c r="I77" s="1756" t="str">
        <f t="shared" si="4"/>
        <v xml:space="preserve"> </v>
      </c>
      <c r="J77" s="1754" t="str">
        <f>Z42</f>
        <v xml:space="preserve"> </v>
      </c>
      <c r="K77" s="1755"/>
      <c r="L77" s="1757"/>
      <c r="M77" s="26"/>
      <c r="N77" s="26"/>
      <c r="O77" s="26"/>
      <c r="P77" s="26"/>
      <c r="Q77" s="26"/>
      <c r="R77" s="26"/>
      <c r="S77" s="26"/>
      <c r="T77" s="26"/>
      <c r="U77" s="26"/>
      <c r="V77" s="26"/>
      <c r="W77" s="26"/>
      <c r="X77" s="26"/>
      <c r="Y77" s="26"/>
      <c r="Z77" s="26"/>
      <c r="AA77" s="26"/>
      <c r="AB77" s="26"/>
      <c r="AC77" s="4"/>
      <c r="AD77" s="4"/>
    </row>
    <row r="78" spans="1:30" ht="16.5">
      <c r="A78" s="4"/>
      <c r="B78" s="1542"/>
      <c r="C78" s="1751">
        <f>A33</f>
        <v>4</v>
      </c>
      <c r="D78" s="1752"/>
      <c r="E78" s="1752"/>
      <c r="F78" s="1753"/>
      <c r="G78" s="1754" t="e">
        <f t="shared" si="4"/>
        <v>#VALUE!</v>
      </c>
      <c r="H78" s="1755" t="str">
        <f t="shared" si="4"/>
        <v xml:space="preserve"> </v>
      </c>
      <c r="I78" s="1756" t="str">
        <f t="shared" si="4"/>
        <v xml:space="preserve"> </v>
      </c>
      <c r="J78" s="1754" t="str">
        <f>Z43</f>
        <v xml:space="preserve"> </v>
      </c>
      <c r="K78" s="1755"/>
      <c r="L78" s="1757"/>
      <c r="M78" s="26"/>
      <c r="N78" s="26"/>
      <c r="O78" s="26"/>
      <c r="P78" s="26"/>
      <c r="Q78" s="26"/>
      <c r="R78" s="26"/>
      <c r="S78" s="26"/>
      <c r="T78" s="26"/>
      <c r="U78" s="26"/>
      <c r="V78" s="26"/>
      <c r="W78" s="26"/>
      <c r="X78" s="26"/>
      <c r="Y78" s="26"/>
      <c r="Z78" s="26"/>
      <c r="AA78" s="26"/>
      <c r="AB78" s="26"/>
      <c r="AC78" s="4"/>
      <c r="AD78" s="4"/>
    </row>
    <row r="79" spans="1:30" ht="17.25" thickBot="1">
      <c r="A79" s="4"/>
      <c r="B79" s="1542"/>
      <c r="C79" s="1751">
        <f>A35</f>
        <v>5</v>
      </c>
      <c r="D79" s="1752"/>
      <c r="E79" s="1752"/>
      <c r="F79" s="1753"/>
      <c r="G79" s="1754" t="e">
        <f>IF(N45&gt;0,N45," ")</f>
        <v>#DIV/0!</v>
      </c>
      <c r="H79" s="1755" t="str">
        <f t="shared" ref="H79:I79" si="5">IF(O45&gt;0,O45," ")</f>
        <v xml:space="preserve"> </v>
      </c>
      <c r="I79" s="1756" t="str">
        <f t="shared" si="5"/>
        <v xml:space="preserve"> </v>
      </c>
      <c r="J79" s="1754" t="str">
        <f>Z45</f>
        <v xml:space="preserve"> </v>
      </c>
      <c r="K79" s="1755"/>
      <c r="L79" s="1757"/>
      <c r="M79" s="26"/>
      <c r="N79" s="26"/>
      <c r="O79" s="26"/>
      <c r="P79" s="26"/>
      <c r="Q79" s="26"/>
      <c r="R79" s="26"/>
      <c r="S79" s="26"/>
      <c r="T79" s="26"/>
      <c r="U79" s="26"/>
      <c r="V79" s="26"/>
      <c r="W79" s="26"/>
      <c r="X79" s="26"/>
      <c r="Y79" s="26"/>
      <c r="Z79" s="26"/>
      <c r="AA79" s="26"/>
      <c r="AB79" s="26"/>
      <c r="AC79" s="4"/>
      <c r="AD79" s="4"/>
    </row>
    <row r="80" spans="1:30" ht="16.5">
      <c r="A80" s="4"/>
      <c r="B80" s="1542"/>
      <c r="C80" s="1758" t="s">
        <v>153</v>
      </c>
      <c r="D80" s="1759"/>
      <c r="E80" s="1759"/>
      <c r="F80" s="1760"/>
      <c r="G80" s="1761" t="str">
        <f>IFERROR(AVERAGE(G75:G79),"")</f>
        <v/>
      </c>
      <c r="H80" s="1762"/>
      <c r="I80" s="1763"/>
      <c r="J80" s="1761" t="str">
        <f>IFERROR(AVERAGE(J75:J79),"")</f>
        <v/>
      </c>
      <c r="K80" s="1762"/>
      <c r="L80" s="1764"/>
      <c r="M80" s="26"/>
      <c r="N80" s="26"/>
      <c r="O80" s="26"/>
      <c r="P80" s="26"/>
      <c r="Q80" s="26"/>
      <c r="R80" s="26"/>
      <c r="S80" s="26"/>
      <c r="T80" s="26"/>
      <c r="U80" s="26"/>
      <c r="V80" s="26"/>
      <c r="W80" s="26"/>
      <c r="X80" s="26"/>
      <c r="Y80" s="26"/>
      <c r="Z80" s="26"/>
      <c r="AA80" s="26"/>
      <c r="AB80" s="26"/>
      <c r="AC80" s="4"/>
      <c r="AD80" s="4"/>
    </row>
    <row r="81" spans="1:32" ht="16.5">
      <c r="A81" s="4"/>
      <c r="B81" s="1542"/>
      <c r="C81" s="1765" t="s">
        <v>154</v>
      </c>
      <c r="D81" s="1766"/>
      <c r="E81" s="1766"/>
      <c r="F81" s="1767"/>
      <c r="G81" s="1768" t="e">
        <f>IF(MAX(G75:G79)=0,"",MAX(G75:G79))</f>
        <v>#VALUE!</v>
      </c>
      <c r="H81" s="1769"/>
      <c r="I81" s="1770"/>
      <c r="J81" s="1768" t="str">
        <f>IF(MAX(J75:J79)=0,"",MAX(J75:J79))</f>
        <v/>
      </c>
      <c r="K81" s="1769"/>
      <c r="L81" s="1771"/>
      <c r="M81" s="26"/>
      <c r="N81" s="26"/>
      <c r="O81" s="26"/>
      <c r="P81" s="26"/>
      <c r="Q81" s="26"/>
      <c r="R81" s="26"/>
      <c r="S81" s="26"/>
      <c r="T81" s="26"/>
      <c r="U81" s="26"/>
      <c r="V81" s="26"/>
      <c r="W81" s="26"/>
      <c r="X81" s="26"/>
      <c r="Y81" s="26"/>
      <c r="Z81" s="26"/>
      <c r="AA81" s="26"/>
      <c r="AB81" s="26"/>
      <c r="AC81" s="4"/>
      <c r="AD81" s="4"/>
    </row>
    <row r="82" spans="1:32" ht="16.5">
      <c r="A82" s="4"/>
      <c r="B82" s="1542"/>
      <c r="C82" s="1765" t="s">
        <v>155</v>
      </c>
      <c r="D82" s="1766"/>
      <c r="E82" s="1766"/>
      <c r="F82" s="1767"/>
      <c r="G82" s="1768" t="e">
        <f>IF(MIN(G75:G79)=0,"",MIN(G75:G79))</f>
        <v>#VALUE!</v>
      </c>
      <c r="H82" s="1769"/>
      <c r="I82" s="1770"/>
      <c r="J82" s="1768" t="str">
        <f>IF(MIN(J75:J79)=0,"",MIN(J75:J79))</f>
        <v/>
      </c>
      <c r="K82" s="1769"/>
      <c r="L82" s="1771"/>
      <c r="M82" s="26"/>
      <c r="N82" s="26"/>
      <c r="O82" s="26"/>
      <c r="P82" s="26"/>
      <c r="Q82" s="26"/>
      <c r="R82" s="26"/>
      <c r="S82" s="26"/>
      <c r="T82" s="26"/>
      <c r="U82" s="26"/>
      <c r="V82" s="26"/>
      <c r="W82" s="26"/>
      <c r="X82" s="26"/>
      <c r="Y82" s="26"/>
      <c r="Z82" s="26"/>
      <c r="AA82" s="26"/>
      <c r="AB82" s="26"/>
      <c r="AC82" s="4"/>
      <c r="AD82" s="4"/>
    </row>
    <row r="83" spans="1:32" ht="17.25" thickBot="1">
      <c r="A83" s="4"/>
      <c r="B83" s="1543"/>
      <c r="C83" s="1773" t="s">
        <v>156</v>
      </c>
      <c r="D83" s="1774"/>
      <c r="E83" s="1774"/>
      <c r="F83" s="1775"/>
      <c r="G83" s="1776" t="str">
        <f>IFERROR(G81-G82,"")</f>
        <v/>
      </c>
      <c r="H83" s="1777"/>
      <c r="I83" s="1778"/>
      <c r="J83" s="1776" t="str">
        <f>IFERROR(J81-J82,"")</f>
        <v/>
      </c>
      <c r="K83" s="1777"/>
      <c r="L83" s="1779"/>
      <c r="M83" s="26"/>
      <c r="N83" s="26"/>
      <c r="O83" s="26"/>
      <c r="P83" s="26"/>
      <c r="Q83" s="26"/>
      <c r="R83" s="26"/>
      <c r="S83" s="26"/>
      <c r="T83" s="26"/>
      <c r="U83" s="26"/>
      <c r="V83" s="26"/>
      <c r="W83" s="26"/>
      <c r="X83" s="26"/>
      <c r="Y83" s="26"/>
      <c r="Z83" s="26"/>
      <c r="AA83" s="26"/>
      <c r="AB83" s="26"/>
      <c r="AC83" s="4"/>
      <c r="AD83" s="4"/>
    </row>
    <row r="84" spans="1:32" ht="8.25" customHeight="1">
      <c r="A84" s="4"/>
      <c r="B84" s="4"/>
      <c r="C84" s="4"/>
      <c r="D84" s="4"/>
      <c r="E84" s="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spans="1:32" ht="15.75">
      <c r="A85" s="1292" t="s">
        <v>949</v>
      </c>
      <c r="B85" s="1293"/>
      <c r="C85" s="1293"/>
      <c r="D85" s="1293"/>
      <c r="E85" s="1293"/>
      <c r="F85" s="1293"/>
      <c r="G85" s="1293"/>
      <c r="H85" s="1293"/>
      <c r="I85" s="1293"/>
      <c r="J85" s="1293"/>
      <c r="K85" s="1293"/>
      <c r="L85" s="1293"/>
      <c r="M85" s="1293"/>
      <c r="N85" s="1293"/>
      <c r="O85" s="1293"/>
      <c r="P85" s="1293"/>
      <c r="Q85" s="1293"/>
      <c r="R85" s="1293"/>
      <c r="S85" s="1293"/>
      <c r="T85" s="1293"/>
      <c r="U85" s="1293"/>
      <c r="V85" s="1293"/>
      <c r="W85" s="1293"/>
      <c r="X85" s="1293"/>
      <c r="Y85" s="1293"/>
      <c r="Z85" s="1293"/>
      <c r="AA85" s="1293"/>
      <c r="AB85" s="1293"/>
      <c r="AC85" s="1293"/>
      <c r="AD85" s="1294"/>
    </row>
    <row r="86" spans="1:32" s="24" customFormat="1" ht="5.0999999999999996"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row>
    <row r="87" spans="1:32" ht="15.75">
      <c r="A87" s="4"/>
      <c r="B87" s="1580" t="s">
        <v>233</v>
      </c>
      <c r="C87" s="1580"/>
      <c r="D87" s="1580"/>
      <c r="E87" s="1580"/>
      <c r="F87" s="1580"/>
      <c r="G87" s="1580"/>
      <c r="H87" s="1580"/>
      <c r="I87" s="1580"/>
      <c r="J87" s="1580"/>
      <c r="K87" s="1580"/>
      <c r="L87" s="1580"/>
      <c r="M87" s="1580"/>
      <c r="N87" s="1580"/>
      <c r="O87" s="1580"/>
      <c r="P87" s="1580"/>
      <c r="Q87" s="1580"/>
      <c r="R87" s="1580"/>
      <c r="S87" s="1580"/>
      <c r="T87" s="1580"/>
      <c r="U87" s="1580"/>
      <c r="V87" s="1580"/>
      <c r="W87" s="1580"/>
      <c r="X87" s="1580"/>
      <c r="Y87" s="1580"/>
      <c r="Z87" s="1580"/>
      <c r="AA87" s="1580"/>
      <c r="AB87" s="1580"/>
      <c r="AC87" s="4"/>
      <c r="AD87" s="4"/>
    </row>
    <row r="88" spans="1:32" ht="15" customHeight="1">
      <c r="A88" s="4"/>
      <c r="B88" s="1386" t="s">
        <v>85</v>
      </c>
      <c r="C88" s="1386"/>
      <c r="D88" s="1386"/>
      <c r="E88" s="1386"/>
      <c r="F88" s="1386"/>
      <c r="G88" s="1386"/>
      <c r="H88" s="1386"/>
      <c r="I88" s="1386"/>
      <c r="J88" s="1386"/>
      <c r="K88" s="1780" t="s">
        <v>223</v>
      </c>
      <c r="L88" s="1781"/>
      <c r="M88" s="1782"/>
      <c r="N88" s="1786" t="s">
        <v>234</v>
      </c>
      <c r="O88" s="1787"/>
      <c r="P88" s="1787"/>
      <c r="Q88" s="1788"/>
      <c r="R88" s="1389" t="s">
        <v>1056</v>
      </c>
      <c r="S88" s="1389"/>
      <c r="T88" s="1389" t="s">
        <v>1057</v>
      </c>
      <c r="U88" s="1389"/>
      <c r="V88" s="1772" t="s">
        <v>235</v>
      </c>
      <c r="W88" s="1772"/>
      <c r="X88" s="1772"/>
      <c r="Y88" s="1772"/>
      <c r="Z88" s="1772"/>
      <c r="AA88" s="1772"/>
      <c r="AB88" s="1772"/>
      <c r="AC88" s="1772"/>
      <c r="AD88" s="4"/>
      <c r="AF88" t="s">
        <v>1041</v>
      </c>
    </row>
    <row r="89" spans="1:32" ht="15" customHeight="1">
      <c r="A89" s="4"/>
      <c r="B89" s="1386"/>
      <c r="C89" s="1386"/>
      <c r="D89" s="1386"/>
      <c r="E89" s="1386"/>
      <c r="F89" s="1386"/>
      <c r="G89" s="1386"/>
      <c r="H89" s="1386"/>
      <c r="I89" s="1386"/>
      <c r="J89" s="1386"/>
      <c r="K89" s="1783"/>
      <c r="L89" s="1784"/>
      <c r="M89" s="1785"/>
      <c r="N89" s="1789"/>
      <c r="O89" s="1790"/>
      <c r="P89" s="1790"/>
      <c r="Q89" s="1791"/>
      <c r="R89" s="1389"/>
      <c r="S89" s="1389"/>
      <c r="T89" s="1389"/>
      <c r="U89" s="1389"/>
      <c r="V89" s="1772"/>
      <c r="W89" s="1772"/>
      <c r="X89" s="1772"/>
      <c r="Y89" s="1772"/>
      <c r="Z89" s="1772"/>
      <c r="AA89" s="1772"/>
      <c r="AB89" s="1772"/>
      <c r="AC89" s="1772"/>
      <c r="AD89" s="4"/>
      <c r="AF89" t="s">
        <v>1042</v>
      </c>
    </row>
    <row r="90" spans="1:32" ht="15.75">
      <c r="A90" s="39">
        <v>1</v>
      </c>
      <c r="B90" s="1799" t="str">
        <f>REPOSICIÓN!B52</f>
        <v>Primer piso</v>
      </c>
      <c r="C90" s="1799"/>
      <c r="D90" s="1799"/>
      <c r="E90" s="1799"/>
      <c r="F90" s="1799"/>
      <c r="G90" s="1799"/>
      <c r="H90" s="1799"/>
      <c r="I90" s="1799"/>
      <c r="J90" s="1799"/>
      <c r="K90" s="1800">
        <f>REPOSICIÓN!H52</f>
        <v>0</v>
      </c>
      <c r="L90" s="1802"/>
      <c r="M90" s="1801"/>
      <c r="N90" s="1800">
        <f>+$Z$46</f>
        <v>0</v>
      </c>
      <c r="O90" s="1802"/>
      <c r="P90" s="1802"/>
      <c r="Q90" s="1801"/>
      <c r="R90" s="1800">
        <v>1</v>
      </c>
      <c r="S90" s="1801"/>
      <c r="T90" s="1377"/>
      <c r="U90" s="1377"/>
      <c r="V90" s="1498">
        <f>ROUND(PRODUCT(K90:U90),2)</f>
        <v>0</v>
      </c>
      <c r="W90" s="1498"/>
      <c r="X90" s="1498"/>
      <c r="Y90" s="1498"/>
      <c r="Z90" s="1498"/>
      <c r="AA90" s="1498"/>
      <c r="AB90" s="1498"/>
      <c r="AC90" s="1498"/>
      <c r="AD90" s="4"/>
    </row>
    <row r="91" spans="1:32" ht="15.75">
      <c r="A91" s="39">
        <v>2</v>
      </c>
      <c r="B91" s="1799" t="str">
        <f>REPOSICIÓN!B53</f>
        <v>Estacionamiento N°</v>
      </c>
      <c r="C91" s="1799"/>
      <c r="D91" s="1799"/>
      <c r="E91" s="1799"/>
      <c r="F91" s="1799"/>
      <c r="G91" s="1799"/>
      <c r="H91" s="1799"/>
      <c r="I91" s="1799"/>
      <c r="J91" s="1799"/>
      <c r="K91" s="1800">
        <f>REPOSICIÓN!H53</f>
        <v>0</v>
      </c>
      <c r="L91" s="1802"/>
      <c r="M91" s="1801"/>
      <c r="N91" s="1800">
        <f>IF(K91=0,0,Z46)</f>
        <v>0</v>
      </c>
      <c r="O91" s="1802"/>
      <c r="P91" s="1802"/>
      <c r="Q91" s="1801"/>
      <c r="R91" s="1800">
        <v>1</v>
      </c>
      <c r="S91" s="1801"/>
      <c r="T91" s="1377"/>
      <c r="U91" s="1377"/>
      <c r="V91" s="1498">
        <f t="shared" ref="V91:V98" si="6">ROUND(PRODUCT(K91:U91),2)</f>
        <v>0</v>
      </c>
      <c r="W91" s="1498"/>
      <c r="X91" s="1498"/>
      <c r="Y91" s="1498"/>
      <c r="Z91" s="1498"/>
      <c r="AA91" s="1498"/>
      <c r="AB91" s="1498"/>
      <c r="AC91" s="1498"/>
      <c r="AD91" s="4"/>
    </row>
    <row r="92" spans="1:32" ht="15.75">
      <c r="A92" s="39">
        <v>3</v>
      </c>
      <c r="B92" s="1799" t="str">
        <f>REPOSICIÓN!B54</f>
        <v>Depósito N°</v>
      </c>
      <c r="C92" s="1799"/>
      <c r="D92" s="1799"/>
      <c r="E92" s="1799"/>
      <c r="F92" s="1799"/>
      <c r="G92" s="1799"/>
      <c r="H92" s="1799"/>
      <c r="I92" s="1799"/>
      <c r="J92" s="1799"/>
      <c r="K92" s="1800">
        <f>REPOSICIÓN!H54</f>
        <v>0</v>
      </c>
      <c r="L92" s="1802"/>
      <c r="M92" s="1801"/>
      <c r="N92" s="1800">
        <f>IF(K92=0,0,$Z$46)</f>
        <v>0</v>
      </c>
      <c r="O92" s="1802"/>
      <c r="P92" s="1802"/>
      <c r="Q92" s="1801"/>
      <c r="R92" s="1800">
        <v>1</v>
      </c>
      <c r="S92" s="1801"/>
      <c r="T92" s="1377"/>
      <c r="U92" s="1377"/>
      <c r="V92" s="1498">
        <f t="shared" si="6"/>
        <v>0</v>
      </c>
      <c r="W92" s="1498"/>
      <c r="X92" s="1498"/>
      <c r="Y92" s="1498"/>
      <c r="Z92" s="1498"/>
      <c r="AA92" s="1498"/>
      <c r="AB92" s="1498"/>
      <c r="AC92" s="1498"/>
      <c r="AD92" s="4"/>
    </row>
    <row r="93" spans="1:32" ht="15.75">
      <c r="A93" s="39">
        <v>4</v>
      </c>
      <c r="B93" s="1799">
        <f>REPOSICIÓN!B55</f>
        <v>0</v>
      </c>
      <c r="C93" s="1799"/>
      <c r="D93" s="1799"/>
      <c r="E93" s="1799"/>
      <c r="F93" s="1799"/>
      <c r="G93" s="1799"/>
      <c r="H93" s="1799"/>
      <c r="I93" s="1799"/>
      <c r="J93" s="1799"/>
      <c r="K93" s="1800">
        <f>REPOSICIÓN!H55</f>
        <v>0</v>
      </c>
      <c r="L93" s="1802"/>
      <c r="M93" s="1801"/>
      <c r="N93" s="1800">
        <f t="shared" ref="N93:N98" si="7">IF(K93=0,0,$Z$46)</f>
        <v>0</v>
      </c>
      <c r="O93" s="1802"/>
      <c r="P93" s="1802"/>
      <c r="Q93" s="1801"/>
      <c r="R93" s="1800">
        <v>1</v>
      </c>
      <c r="S93" s="1801"/>
      <c r="T93" s="1377"/>
      <c r="U93" s="1377"/>
      <c r="V93" s="1498">
        <f t="shared" si="6"/>
        <v>0</v>
      </c>
      <c r="W93" s="1498"/>
      <c r="X93" s="1498"/>
      <c r="Y93" s="1498"/>
      <c r="Z93" s="1498"/>
      <c r="AA93" s="1498"/>
      <c r="AB93" s="1498"/>
      <c r="AC93" s="1498"/>
      <c r="AD93" s="4"/>
    </row>
    <row r="94" spans="1:32" ht="15.75">
      <c r="A94" s="39">
        <v>5</v>
      </c>
      <c r="B94" s="1799">
        <f>REPOSICIÓN!B56</f>
        <v>0</v>
      </c>
      <c r="C94" s="1799"/>
      <c r="D94" s="1799"/>
      <c r="E94" s="1799"/>
      <c r="F94" s="1799"/>
      <c r="G94" s="1799"/>
      <c r="H94" s="1799"/>
      <c r="I94" s="1799"/>
      <c r="J94" s="1799"/>
      <c r="K94" s="1800">
        <f>REPOSICIÓN!H56</f>
        <v>0</v>
      </c>
      <c r="L94" s="1802"/>
      <c r="M94" s="1801"/>
      <c r="N94" s="1800">
        <f t="shared" si="7"/>
        <v>0</v>
      </c>
      <c r="O94" s="1802"/>
      <c r="P94" s="1802"/>
      <c r="Q94" s="1801"/>
      <c r="R94" s="1800">
        <v>1</v>
      </c>
      <c r="S94" s="1801"/>
      <c r="T94" s="1377"/>
      <c r="U94" s="1377"/>
      <c r="V94" s="1498">
        <f t="shared" si="6"/>
        <v>0</v>
      </c>
      <c r="W94" s="1498"/>
      <c r="X94" s="1498"/>
      <c r="Y94" s="1498"/>
      <c r="Z94" s="1498"/>
      <c r="AA94" s="1498"/>
      <c r="AB94" s="1498"/>
      <c r="AC94" s="1498"/>
      <c r="AD94" s="4"/>
    </row>
    <row r="95" spans="1:32" ht="15.75">
      <c r="A95" s="39">
        <v>6</v>
      </c>
      <c r="B95" s="1799">
        <f>REPOSICIÓN!B57</f>
        <v>0</v>
      </c>
      <c r="C95" s="1799"/>
      <c r="D95" s="1799"/>
      <c r="E95" s="1799"/>
      <c r="F95" s="1799"/>
      <c r="G95" s="1799"/>
      <c r="H95" s="1799"/>
      <c r="I95" s="1799"/>
      <c r="J95" s="1799"/>
      <c r="K95" s="1800">
        <f>REPOSICIÓN!H57</f>
        <v>0</v>
      </c>
      <c r="L95" s="1802"/>
      <c r="M95" s="1801"/>
      <c r="N95" s="1800">
        <f t="shared" si="7"/>
        <v>0</v>
      </c>
      <c r="O95" s="1802"/>
      <c r="P95" s="1802"/>
      <c r="Q95" s="1801"/>
      <c r="R95" s="1800"/>
      <c r="S95" s="1801"/>
      <c r="T95" s="1377"/>
      <c r="U95" s="1377"/>
      <c r="V95" s="1498">
        <f>ROUND(PRODUCT(K95:U95),2)</f>
        <v>0</v>
      </c>
      <c r="W95" s="1498"/>
      <c r="X95" s="1498"/>
      <c r="Y95" s="1498"/>
      <c r="Z95" s="1498"/>
      <c r="AA95" s="1498"/>
      <c r="AB95" s="1498"/>
      <c r="AC95" s="1498"/>
      <c r="AD95" s="4"/>
    </row>
    <row r="96" spans="1:32" ht="15.75">
      <c r="A96" s="39">
        <v>7</v>
      </c>
      <c r="B96" s="1799">
        <f>REPOSICIÓN!B58</f>
        <v>0</v>
      </c>
      <c r="C96" s="1799"/>
      <c r="D96" s="1799"/>
      <c r="E96" s="1799"/>
      <c r="F96" s="1799"/>
      <c r="G96" s="1799"/>
      <c r="H96" s="1799"/>
      <c r="I96" s="1799"/>
      <c r="J96" s="1799"/>
      <c r="K96" s="1800">
        <f>REPOSICIÓN!H58</f>
        <v>0</v>
      </c>
      <c r="L96" s="1802"/>
      <c r="M96" s="1801"/>
      <c r="N96" s="1800">
        <f t="shared" si="7"/>
        <v>0</v>
      </c>
      <c r="O96" s="1802"/>
      <c r="P96" s="1802"/>
      <c r="Q96" s="1801"/>
      <c r="R96" s="1800"/>
      <c r="S96" s="1801"/>
      <c r="T96" s="1377"/>
      <c r="U96" s="1377"/>
      <c r="V96" s="1498">
        <f t="shared" si="6"/>
        <v>0</v>
      </c>
      <c r="W96" s="1498"/>
      <c r="X96" s="1498"/>
      <c r="Y96" s="1498"/>
      <c r="Z96" s="1498"/>
      <c r="AA96" s="1498"/>
      <c r="AB96" s="1498"/>
      <c r="AC96" s="1498"/>
      <c r="AD96" s="4"/>
    </row>
    <row r="97" spans="1:30" ht="15.75">
      <c r="A97" s="39">
        <v>8</v>
      </c>
      <c r="B97" s="1799">
        <f>REPOSICIÓN!B59</f>
        <v>0</v>
      </c>
      <c r="C97" s="1799"/>
      <c r="D97" s="1799"/>
      <c r="E97" s="1799"/>
      <c r="F97" s="1799"/>
      <c r="G97" s="1799"/>
      <c r="H97" s="1799"/>
      <c r="I97" s="1799"/>
      <c r="J97" s="1799"/>
      <c r="K97" s="1800">
        <f>REPOSICIÓN!H59</f>
        <v>0</v>
      </c>
      <c r="L97" s="1802"/>
      <c r="M97" s="1801"/>
      <c r="N97" s="1800">
        <f t="shared" si="7"/>
        <v>0</v>
      </c>
      <c r="O97" s="1802"/>
      <c r="P97" s="1802"/>
      <c r="Q97" s="1801"/>
      <c r="R97" s="1800"/>
      <c r="S97" s="1801"/>
      <c r="T97" s="1377"/>
      <c r="U97" s="1377"/>
      <c r="V97" s="1498">
        <f t="shared" si="6"/>
        <v>0</v>
      </c>
      <c r="W97" s="1498"/>
      <c r="X97" s="1498"/>
      <c r="Y97" s="1498"/>
      <c r="Z97" s="1498"/>
      <c r="AA97" s="1498"/>
      <c r="AB97" s="1498"/>
      <c r="AC97" s="1498"/>
      <c r="AD97" s="4"/>
    </row>
    <row r="98" spans="1:30" ht="15.75">
      <c r="A98" s="39">
        <v>9</v>
      </c>
      <c r="B98" s="1799">
        <f>REPOSICIÓN!B60</f>
        <v>0</v>
      </c>
      <c r="C98" s="1799"/>
      <c r="D98" s="1799"/>
      <c r="E98" s="1799"/>
      <c r="F98" s="1799"/>
      <c r="G98" s="1799"/>
      <c r="H98" s="1799"/>
      <c r="I98" s="1799"/>
      <c r="J98" s="1799"/>
      <c r="K98" s="1800">
        <f>REPOSICIÓN!H60</f>
        <v>0</v>
      </c>
      <c r="L98" s="1802"/>
      <c r="M98" s="1801"/>
      <c r="N98" s="1800">
        <f t="shared" si="7"/>
        <v>0</v>
      </c>
      <c r="O98" s="1802"/>
      <c r="P98" s="1802"/>
      <c r="Q98" s="1801"/>
      <c r="R98" s="1800"/>
      <c r="S98" s="1801"/>
      <c r="T98" s="1377"/>
      <c r="U98" s="1377"/>
      <c r="V98" s="1498">
        <f t="shared" si="6"/>
        <v>0</v>
      </c>
      <c r="W98" s="1498"/>
      <c r="X98" s="1498"/>
      <c r="Y98" s="1498"/>
      <c r="Z98" s="1498"/>
      <c r="AA98" s="1498"/>
      <c r="AB98" s="1498"/>
      <c r="AC98" s="1498"/>
      <c r="AD98" s="4"/>
    </row>
    <row r="99" spans="1:30" ht="15.75">
      <c r="A99" s="6"/>
      <c r="B99" s="39" t="s">
        <v>236</v>
      </c>
      <c r="C99" s="6"/>
      <c r="D99" s="6"/>
      <c r="E99" s="6"/>
      <c r="F99" s="6"/>
      <c r="G99" s="6"/>
      <c r="H99" s="6"/>
      <c r="I99" s="6"/>
      <c r="J99" s="6"/>
      <c r="K99" s="80"/>
      <c r="L99" s="80"/>
      <c r="M99" s="80"/>
      <c r="N99" s="80"/>
      <c r="O99" s="80"/>
      <c r="P99" s="80"/>
      <c r="Q99" s="80"/>
      <c r="R99" s="80"/>
      <c r="S99" s="80"/>
      <c r="T99" s="109"/>
      <c r="U99" s="39" t="s">
        <v>66</v>
      </c>
      <c r="V99" s="1387">
        <f>SUM(V90:AC98)</f>
        <v>0</v>
      </c>
      <c r="W99" s="1387"/>
      <c r="X99" s="1387"/>
      <c r="Y99" s="1387"/>
      <c r="Z99" s="1387"/>
      <c r="AA99" s="1387"/>
      <c r="AB99" s="1387"/>
      <c r="AC99" s="1387"/>
      <c r="AD99" s="4"/>
    </row>
    <row r="100" spans="1:30" ht="9.9499999999999993" customHeight="1">
      <c r="A100" s="6"/>
      <c r="B100" s="73"/>
      <c r="C100" s="73"/>
      <c r="D100" s="73"/>
      <c r="E100" s="73"/>
      <c r="F100" s="73"/>
      <c r="G100" s="73"/>
      <c r="H100" s="73"/>
      <c r="I100" s="73"/>
      <c r="J100" s="73"/>
      <c r="K100" s="73"/>
      <c r="L100" s="73"/>
      <c r="M100" s="73"/>
      <c r="N100" s="73"/>
      <c r="O100" s="73"/>
      <c r="P100" s="73"/>
      <c r="Q100" s="73"/>
      <c r="R100" s="73"/>
      <c r="S100" s="73"/>
      <c r="T100" s="73"/>
      <c r="U100" s="6"/>
      <c r="V100" s="116"/>
      <c r="W100" s="116"/>
      <c r="X100" s="116"/>
      <c r="Y100" s="116"/>
      <c r="Z100" s="116"/>
      <c r="AA100" s="116"/>
      <c r="AB100" s="116"/>
      <c r="AC100" s="116"/>
      <c r="AD100" s="4"/>
    </row>
    <row r="101" spans="1:30" ht="15.75">
      <c r="A101" s="6"/>
      <c r="B101" s="1798" t="s">
        <v>954</v>
      </c>
      <c r="C101" s="1798"/>
      <c r="D101" s="1798"/>
      <c r="E101" s="1798"/>
      <c r="F101" s="1798"/>
      <c r="G101" s="1798"/>
      <c r="H101" s="1798"/>
      <c r="I101" s="1798"/>
      <c r="J101" s="1798"/>
      <c r="K101" s="1798"/>
      <c r="L101" s="1798"/>
      <c r="M101" s="1798"/>
      <c r="N101" s="1798"/>
      <c r="O101" s="1798"/>
      <c r="P101" s="1798"/>
      <c r="Q101" s="1798"/>
      <c r="R101" s="1798"/>
      <c r="S101" s="1798"/>
      <c r="U101" s="39" t="s">
        <v>66</v>
      </c>
      <c r="V101" s="1387">
        <f>+V99</f>
        <v>0</v>
      </c>
      <c r="W101" s="1387"/>
      <c r="X101" s="1387"/>
      <c r="Y101" s="1387"/>
      <c r="Z101" s="1387"/>
      <c r="AA101" s="1387"/>
      <c r="AB101" s="1387"/>
      <c r="AC101" s="1387"/>
      <c r="AD101" s="4"/>
    </row>
  </sheetData>
  <mergeCells count="306">
    <mergeCell ref="AF15:BY15"/>
    <mergeCell ref="R96:S96"/>
    <mergeCell ref="R97:S97"/>
    <mergeCell ref="E49:AC49"/>
    <mergeCell ref="T92:U92"/>
    <mergeCell ref="V92:AC92"/>
    <mergeCell ref="B93:J93"/>
    <mergeCell ref="T93:U93"/>
    <mergeCell ref="V93:AC93"/>
    <mergeCell ref="B90:J90"/>
    <mergeCell ref="T90:U90"/>
    <mergeCell ref="V90:AC90"/>
    <mergeCell ref="B91:J91"/>
    <mergeCell ref="T91:U91"/>
    <mergeCell ref="V91:AC91"/>
    <mergeCell ref="R91:S91"/>
    <mergeCell ref="B87:AB87"/>
    <mergeCell ref="B88:J89"/>
    <mergeCell ref="AF20:AT20"/>
    <mergeCell ref="AU20:AW20"/>
    <mergeCell ref="AX20:AZ20"/>
    <mergeCell ref="BA20:BC20"/>
    <mergeCell ref="BD20:BF20"/>
    <mergeCell ref="BG20:BK20"/>
    <mergeCell ref="R98:S98"/>
    <mergeCell ref="K96:M96"/>
    <mergeCell ref="K97:M97"/>
    <mergeCell ref="K98:M98"/>
    <mergeCell ref="N90:Q90"/>
    <mergeCell ref="N91:Q91"/>
    <mergeCell ref="N92:Q92"/>
    <mergeCell ref="N93:Q93"/>
    <mergeCell ref="N94:Q94"/>
    <mergeCell ref="N95:Q95"/>
    <mergeCell ref="N96:Q96"/>
    <mergeCell ref="N97:Q97"/>
    <mergeCell ref="N98:Q98"/>
    <mergeCell ref="K94:M94"/>
    <mergeCell ref="K95:M95"/>
    <mergeCell ref="R94:S94"/>
    <mergeCell ref="R95:S95"/>
    <mergeCell ref="K92:M92"/>
    <mergeCell ref="K93:M93"/>
    <mergeCell ref="R92:S92"/>
    <mergeCell ref="R93:S93"/>
    <mergeCell ref="K90:M90"/>
    <mergeCell ref="K91:M91"/>
    <mergeCell ref="R90:S90"/>
    <mergeCell ref="B48:D49"/>
    <mergeCell ref="E48:AC48"/>
    <mergeCell ref="A51:AD51"/>
    <mergeCell ref="A85:AD85"/>
    <mergeCell ref="B73:L73"/>
    <mergeCell ref="B101:S101"/>
    <mergeCell ref="V101:AC101"/>
    <mergeCell ref="B98:J98"/>
    <mergeCell ref="T98:U98"/>
    <mergeCell ref="V98:AC98"/>
    <mergeCell ref="V99:AC99"/>
    <mergeCell ref="B96:J96"/>
    <mergeCell ref="T96:U96"/>
    <mergeCell ref="V96:AC96"/>
    <mergeCell ref="B97:J97"/>
    <mergeCell ref="T97:U97"/>
    <mergeCell ref="V97:AC97"/>
    <mergeCell ref="B94:J94"/>
    <mergeCell ref="T94:U94"/>
    <mergeCell ref="V94:AC94"/>
    <mergeCell ref="B95:J95"/>
    <mergeCell ref="T95:U95"/>
    <mergeCell ref="V95:AC95"/>
    <mergeCell ref="B92:J92"/>
    <mergeCell ref="T88:U89"/>
    <mergeCell ref="V88:AC89"/>
    <mergeCell ref="C82:F82"/>
    <mergeCell ref="G82:I82"/>
    <mergeCell ref="J82:L82"/>
    <mergeCell ref="C83:F83"/>
    <mergeCell ref="G83:I83"/>
    <mergeCell ref="J83:L83"/>
    <mergeCell ref="K88:M89"/>
    <mergeCell ref="N88:Q89"/>
    <mergeCell ref="R88:S89"/>
    <mergeCell ref="G80:I80"/>
    <mergeCell ref="J80:L80"/>
    <mergeCell ref="C81:F81"/>
    <mergeCell ref="G81:I81"/>
    <mergeCell ref="J81:L81"/>
    <mergeCell ref="C78:F78"/>
    <mergeCell ref="G78:I78"/>
    <mergeCell ref="J78:L78"/>
    <mergeCell ref="C79:F79"/>
    <mergeCell ref="G79:I79"/>
    <mergeCell ref="J79:L79"/>
    <mergeCell ref="Q46:Y46"/>
    <mergeCell ref="Z46:AC46"/>
    <mergeCell ref="B74:B83"/>
    <mergeCell ref="C74:F74"/>
    <mergeCell ref="G74:I74"/>
    <mergeCell ref="J74:L74"/>
    <mergeCell ref="C75:F75"/>
    <mergeCell ref="B45:G45"/>
    <mergeCell ref="H45:J45"/>
    <mergeCell ref="K45:M45"/>
    <mergeCell ref="N45:P45"/>
    <mergeCell ref="W45:Y45"/>
    <mergeCell ref="Z45:AC45"/>
    <mergeCell ref="G75:I75"/>
    <mergeCell ref="J75:L75"/>
    <mergeCell ref="C76:F76"/>
    <mergeCell ref="G76:I76"/>
    <mergeCell ref="J76:L76"/>
    <mergeCell ref="C77:F77"/>
    <mergeCell ref="G77:I77"/>
    <mergeCell ref="J77:L77"/>
    <mergeCell ref="B46:J46"/>
    <mergeCell ref="K46:N46"/>
    <mergeCell ref="C80:F80"/>
    <mergeCell ref="B43:G43"/>
    <mergeCell ref="H43:J43"/>
    <mergeCell ref="K43:M43"/>
    <mergeCell ref="N43:P43"/>
    <mergeCell ref="W43:Y43"/>
    <mergeCell ref="Z43:AC43"/>
    <mergeCell ref="B42:G42"/>
    <mergeCell ref="H42:J42"/>
    <mergeCell ref="K42:M42"/>
    <mergeCell ref="N42:P42"/>
    <mergeCell ref="W42:Y42"/>
    <mergeCell ref="Z42:AC42"/>
    <mergeCell ref="B41:G41"/>
    <mergeCell ref="H41:J41"/>
    <mergeCell ref="K41:M41"/>
    <mergeCell ref="N41:P41"/>
    <mergeCell ref="W41:Y41"/>
    <mergeCell ref="Z41:AC41"/>
    <mergeCell ref="Z37:AC38"/>
    <mergeCell ref="H38:J38"/>
    <mergeCell ref="K38:M38"/>
    <mergeCell ref="B40:G40"/>
    <mergeCell ref="H40:J40"/>
    <mergeCell ref="K40:M40"/>
    <mergeCell ref="N40:P40"/>
    <mergeCell ref="W40:Y40"/>
    <mergeCell ref="Z40:AC40"/>
    <mergeCell ref="B36:L36"/>
    <mergeCell ref="B37:G38"/>
    <mergeCell ref="H37:M37"/>
    <mergeCell ref="N37:P38"/>
    <mergeCell ref="Q37:V37"/>
    <mergeCell ref="W37:Y38"/>
    <mergeCell ref="X33:Z33"/>
    <mergeCell ref="AA33:AC33"/>
    <mergeCell ref="B35:C35"/>
    <mergeCell ref="D35:E35"/>
    <mergeCell ref="F35:G35"/>
    <mergeCell ref="O35:P35"/>
    <mergeCell ref="Q35:T35"/>
    <mergeCell ref="U35:W35"/>
    <mergeCell ref="X35:Z35"/>
    <mergeCell ref="AA35:AC35"/>
    <mergeCell ref="B33:C33"/>
    <mergeCell ref="D33:E33"/>
    <mergeCell ref="F33:G33"/>
    <mergeCell ref="O33:P33"/>
    <mergeCell ref="Q33:T33"/>
    <mergeCell ref="U33:W33"/>
    <mergeCell ref="B32:C32"/>
    <mergeCell ref="D32:E32"/>
    <mergeCell ref="F32:G32"/>
    <mergeCell ref="O32:P32"/>
    <mergeCell ref="Q32:T32"/>
    <mergeCell ref="U32:W32"/>
    <mergeCell ref="X32:Z32"/>
    <mergeCell ref="AA32:AC32"/>
    <mergeCell ref="B31:C31"/>
    <mergeCell ref="D31:E31"/>
    <mergeCell ref="F31:G31"/>
    <mergeCell ref="O31:P31"/>
    <mergeCell ref="Q31:T31"/>
    <mergeCell ref="U31:W31"/>
    <mergeCell ref="B30:C30"/>
    <mergeCell ref="D30:E30"/>
    <mergeCell ref="F30:G30"/>
    <mergeCell ref="O30:P30"/>
    <mergeCell ref="Q30:T30"/>
    <mergeCell ref="U30:W30"/>
    <mergeCell ref="X30:Z30"/>
    <mergeCell ref="AA30:AC30"/>
    <mergeCell ref="X31:Z31"/>
    <mergeCell ref="AA31:AC31"/>
    <mergeCell ref="B26:L26"/>
    <mergeCell ref="B27:G27"/>
    <mergeCell ref="H27:P27"/>
    <mergeCell ref="Q27:T28"/>
    <mergeCell ref="U27:AC27"/>
    <mergeCell ref="B28:C28"/>
    <mergeCell ref="D28:E28"/>
    <mergeCell ref="F28:G28"/>
    <mergeCell ref="O28:P28"/>
    <mergeCell ref="U28:W28"/>
    <mergeCell ref="X28:Z28"/>
    <mergeCell ref="AA28:AC28"/>
    <mergeCell ref="B25:H25"/>
    <mergeCell ref="I25:Q25"/>
    <mergeCell ref="R25:T25"/>
    <mergeCell ref="U25:W25"/>
    <mergeCell ref="X25:Z25"/>
    <mergeCell ref="AA25:AC25"/>
    <mergeCell ref="B23:H23"/>
    <mergeCell ref="I23:Q23"/>
    <mergeCell ref="R23:T23"/>
    <mergeCell ref="U23:W23"/>
    <mergeCell ref="X23:Z23"/>
    <mergeCell ref="AA23:AC23"/>
    <mergeCell ref="B24:AC24"/>
    <mergeCell ref="B22:H22"/>
    <mergeCell ref="I22:Q22"/>
    <mergeCell ref="R22:T22"/>
    <mergeCell ref="U22:W22"/>
    <mergeCell ref="X22:Z22"/>
    <mergeCell ref="AA22:AC22"/>
    <mergeCell ref="B21:H21"/>
    <mergeCell ref="I21:Q21"/>
    <mergeCell ref="R21:T21"/>
    <mergeCell ref="U21:W21"/>
    <mergeCell ref="X21:Z21"/>
    <mergeCell ref="AA21:AC21"/>
    <mergeCell ref="T12:X12"/>
    <mergeCell ref="Z12:AD12"/>
    <mergeCell ref="T13:X13"/>
    <mergeCell ref="Z13:AD13"/>
    <mergeCell ref="T14:X14"/>
    <mergeCell ref="Z14:AD14"/>
    <mergeCell ref="B20:H20"/>
    <mergeCell ref="I20:Q20"/>
    <mergeCell ref="R20:T20"/>
    <mergeCell ref="U20:W20"/>
    <mergeCell ref="X20:Z20"/>
    <mergeCell ref="AA20:AC20"/>
    <mergeCell ref="T15:X15"/>
    <mergeCell ref="Z15:AD15"/>
    <mergeCell ref="B18:H18"/>
    <mergeCell ref="I18:Q18"/>
    <mergeCell ref="R18:T18"/>
    <mergeCell ref="U18:W18"/>
    <mergeCell ref="X18:Z18"/>
    <mergeCell ref="AA18:AC18"/>
    <mergeCell ref="A16:AD16"/>
    <mergeCell ref="B17:J17"/>
    <mergeCell ref="B19:AC19"/>
    <mergeCell ref="BL20:BP20"/>
    <mergeCell ref="BQ20:BU20"/>
    <mergeCell ref="BV20:BY20"/>
    <mergeCell ref="AF21:AT21"/>
    <mergeCell ref="AU21:AW21"/>
    <mergeCell ref="AX21:AZ21"/>
    <mergeCell ref="BA21:BC21"/>
    <mergeCell ref="BD21:BF21"/>
    <mergeCell ref="BG21:BK21"/>
    <mergeCell ref="BL21:BP21"/>
    <mergeCell ref="BQ21:BU21"/>
    <mergeCell ref="BV21:BY21"/>
    <mergeCell ref="AF22:AT22"/>
    <mergeCell ref="AU22:AW22"/>
    <mergeCell ref="AX22:AZ22"/>
    <mergeCell ref="BA22:BC22"/>
    <mergeCell ref="BD22:BF22"/>
    <mergeCell ref="BG22:BK22"/>
    <mergeCell ref="BL22:BP22"/>
    <mergeCell ref="BQ22:BU22"/>
    <mergeCell ref="BV22:BY22"/>
    <mergeCell ref="BV25:BY25"/>
    <mergeCell ref="AF23:AT23"/>
    <mergeCell ref="AU23:AW23"/>
    <mergeCell ref="AX23:AZ23"/>
    <mergeCell ref="BA23:BC23"/>
    <mergeCell ref="BD23:BF23"/>
    <mergeCell ref="BG23:BK23"/>
    <mergeCell ref="BL23:BP23"/>
    <mergeCell ref="BQ23:BU23"/>
    <mergeCell ref="BV23:BY23"/>
    <mergeCell ref="AF19:BY19"/>
    <mergeCell ref="B29:AC29"/>
    <mergeCell ref="AF29:BY29"/>
    <mergeCell ref="B39:AC39"/>
    <mergeCell ref="AF39:BY39"/>
    <mergeCell ref="B34:AC34"/>
    <mergeCell ref="B44:AC44"/>
    <mergeCell ref="AF16:AT18"/>
    <mergeCell ref="AU16:AW18"/>
    <mergeCell ref="AX16:AZ18"/>
    <mergeCell ref="BA16:BC18"/>
    <mergeCell ref="BD16:BF18"/>
    <mergeCell ref="BG16:BK18"/>
    <mergeCell ref="BL16:BP18"/>
    <mergeCell ref="BQ16:BU18"/>
    <mergeCell ref="BV16:BY18"/>
    <mergeCell ref="AF25:AT25"/>
    <mergeCell ref="AU25:AW25"/>
    <mergeCell ref="AX25:AZ25"/>
    <mergeCell ref="BA25:BC25"/>
    <mergeCell ref="BD25:BF25"/>
    <mergeCell ref="BG25:BK25"/>
    <mergeCell ref="BL25:BP25"/>
    <mergeCell ref="BQ25:BU25"/>
  </mergeCells>
  <dataValidations count="9">
    <dataValidation allowBlank="1" showInputMessage="1" showErrorMessage="1" sqref="B45:G45 K46:N46 Z46:AC46 H35 V90:AC98 V101:AC101 H30:H33 B40:G43 W40:AC43 W45:AC45" xr:uid="{00000000-0002-0000-0900-000000000000}"/>
    <dataValidation allowBlank="1" showInputMessage="1" showErrorMessage="1" error="La antigüedad de la referencia debe ser menor a 180 días" sqref="AA20:AC23 AA25:AC25" xr:uid="{00000000-0002-0000-0900-000001000000}"/>
    <dataValidation type="decimal" operator="greaterThan" allowBlank="1" showInputMessage="1" showErrorMessage="1" sqref="X30 U35 U30:U33 AA30:AA33 AA35" xr:uid="{00000000-0002-0000-0900-000002000000}">
      <formula1>0</formula1>
    </dataValidation>
    <dataValidation type="decimal" allowBlank="1" showInputMessage="1" showErrorMessage="1" sqref="H40:M43 H45:M45" xr:uid="{00000000-0002-0000-0900-000003000000}">
      <formula1>0</formula1>
      <formula2>10000000</formula2>
    </dataValidation>
    <dataValidation type="list" allowBlank="1" showInputMessage="1" showErrorMessage="1" promptTitle="FACTORES ALTERNATIVOS" prompt="T/C Área de Terreno por Área Construida_x000a_Vis  Vista (Exterior o Interior)_x000a_Niv Nivel (En caso no hubiera Ascensor)_x000a_AC Áreas Comunes_x000a_EQ Equipamiento" sqref="U38" xr:uid="{00000000-0002-0000-0900-000004000000}">
      <formula1>Factor</formula1>
    </dataValidation>
    <dataValidation type="decimal" allowBlank="1" showInputMessage="1" showErrorMessage="1" sqref="T90:U98" xr:uid="{00000000-0002-0000-0900-000005000000}">
      <formula1>0</formula1>
      <formula2>5</formula2>
    </dataValidation>
    <dataValidation type="whole" allowBlank="1" showInputMessage="1" showErrorMessage="1" sqref="J30:N33 J35:N35" xr:uid="{00000000-0002-0000-0900-000006000000}">
      <formula1>0</formula1>
      <formula2>150</formula2>
    </dataValidation>
    <dataValidation type="decimal" allowBlank="1" showInputMessage="1" showErrorMessage="1" sqref="R90:R98 N90:N98" xr:uid="{00000000-0002-0000-0900-000007000000}">
      <formula1>0</formula1>
      <formula2>10000</formula2>
    </dataValidation>
    <dataValidation operator="greaterThan" allowBlank="1" showInputMessage="1" showErrorMessage="1" sqref="Q30:T33 Q35:T35" xr:uid="{00000000-0002-0000-0900-000008000000}"/>
  </dataValidations>
  <printOptions horizontalCentered="1"/>
  <pageMargins left="0.70866141732283472" right="0.70866141732283472" top="0.74803149606299213" bottom="0.74803149606299213" header="0.31496062992125984" footer="0.31496062992125984"/>
  <pageSetup paperSize="9" scale="55" fitToHeight="0" orientation="portrait" r:id="rId1"/>
  <headerFooter>
    <oddFooter>&amp;L&amp;G&amp;R&amp;G
&amp;P</oddFooter>
  </headerFooter>
  <drawing r:id="rId2"/>
  <legacyDrawingHF r:id="rId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900-000009000000}">
          <x14:formula1>
            <xm:f>'Lista-Data'!$BK$3:$BK$8</xm:f>
          </x14:formula1>
          <xm:sqref>B30:C33 B35:C35</xm:sqref>
        </x14:dataValidation>
        <x14:dataValidation type="list" allowBlank="1" showInputMessage="1" showErrorMessage="1" xr:uid="{00000000-0002-0000-0900-00000A000000}">
          <x14:formula1>
            <xm:f>'Lista-Data'!$BL$3:$BL$10</xm:f>
          </x14:formula1>
          <xm:sqref>D30:E33 D35:E35</xm:sqref>
        </x14:dataValidation>
        <x14:dataValidation type="list" allowBlank="1" showInputMessage="1" showErrorMessage="1" xr:uid="{00000000-0002-0000-0900-00000B000000}">
          <x14:formula1>
            <xm:f>'Lista-Data'!$BM$3:$BM$6</xm:f>
          </x14:formula1>
          <xm:sqref>F30:G33 F35:G35</xm:sqref>
        </x14:dataValidation>
        <x14:dataValidation type="list" allowBlank="1" showInputMessage="1" showErrorMessage="1" xr:uid="{00000000-0002-0000-0900-00000C000000}">
          <x14:formula1>
            <xm:f>'Lista-Data'!$R$3:$R$6</xm:f>
          </x14:formula1>
          <xm:sqref>O30:P33 O35:P35</xm:sqref>
        </x14:dataValidation>
        <x14:dataValidation type="list" allowBlank="1" showInputMessage="1" showErrorMessage="1" xr:uid="{00000000-0002-0000-0900-00000D000000}">
          <x14:formula1>
            <xm:f>'Lista-Data'!$BP$3:$BP$4</xm:f>
          </x14:formula1>
          <xm:sqref>I30:I33 I35</xm:sqref>
        </x14:dataValidation>
        <x14:dataValidation type="list" allowBlank="1" showInputMessage="1" showErrorMessage="1" xr:uid="{00000000-0002-0000-0900-00000E000000}">
          <x14:formula1>
            <xm:f>'Lista-Data'!$G$29:$G$33</xm:f>
          </x14:formula1>
          <xm:sqref>X20:Z23 X25:Z25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7">
    <tabColor rgb="FFFF0000"/>
  </sheetPr>
  <dimension ref="A12:AG102"/>
  <sheetViews>
    <sheetView topLeftCell="A22" workbookViewId="0">
      <selection activeCell="T74" sqref="T74:AC76"/>
    </sheetView>
  </sheetViews>
  <sheetFormatPr baseColWidth="10" defaultRowHeight="15"/>
  <cols>
    <col min="1" max="30" width="5.140625" customWidth="1"/>
    <col min="31" max="31" width="11.85546875" bestFit="1" customWidth="1"/>
    <col min="33" max="33" width="11.85546875" bestFit="1" customWidth="1"/>
  </cols>
  <sheetData>
    <row r="12" spans="1:30" ht="15.75">
      <c r="A12" s="24"/>
      <c r="B12" s="24"/>
      <c r="C12" s="24"/>
      <c r="D12" s="24"/>
      <c r="E12" s="24"/>
      <c r="F12" s="24"/>
      <c r="G12" s="24"/>
      <c r="H12" s="24"/>
      <c r="I12" s="24"/>
      <c r="J12" s="24"/>
      <c r="K12" s="24"/>
      <c r="L12" s="24"/>
      <c r="M12" s="24"/>
      <c r="N12" s="24"/>
      <c r="O12" s="24"/>
      <c r="P12" s="24"/>
      <c r="Q12" s="24"/>
      <c r="R12" s="24"/>
      <c r="S12" s="24"/>
      <c r="T12" s="1023" t="s">
        <v>815</v>
      </c>
      <c r="U12" s="1023"/>
      <c r="V12" s="1023"/>
      <c r="W12" s="1023"/>
      <c r="X12" s="1023"/>
      <c r="Y12" s="67" t="s">
        <v>0</v>
      </c>
      <c r="Z12" s="1388">
        <f>+COMPARACIÓN!Z12</f>
        <v>0</v>
      </c>
      <c r="AA12" s="1388"/>
      <c r="AB12" s="1388"/>
      <c r="AC12" s="1388"/>
      <c r="AD12" s="1388"/>
    </row>
    <row r="13" spans="1:30" ht="15.75">
      <c r="A13" s="24"/>
      <c r="B13" s="24"/>
      <c r="C13" s="24"/>
      <c r="D13" s="24"/>
      <c r="E13" s="24"/>
      <c r="F13" s="24"/>
      <c r="G13" s="24"/>
      <c r="H13" s="24"/>
      <c r="I13" s="24"/>
      <c r="J13" s="24"/>
      <c r="K13" s="24"/>
      <c r="L13" s="24"/>
      <c r="M13" s="24"/>
      <c r="N13" s="24"/>
      <c r="O13" s="24"/>
      <c r="P13" s="24"/>
      <c r="Q13" s="24"/>
      <c r="R13" s="24"/>
      <c r="S13" s="24"/>
      <c r="T13" s="1023" t="s">
        <v>1</v>
      </c>
      <c r="U13" s="1023"/>
      <c r="V13" s="1023"/>
      <c r="W13" s="1023"/>
      <c r="X13" s="1023"/>
      <c r="Y13" s="67" t="s">
        <v>0</v>
      </c>
      <c r="Z13" s="1388" t="str">
        <f>+COMPARACIÓN!Z13</f>
        <v>XXXX-26</v>
      </c>
      <c r="AA13" s="1388"/>
      <c r="AB13" s="1388"/>
      <c r="AC13" s="1388"/>
      <c r="AD13" s="1388"/>
    </row>
    <row r="14" spans="1:30" ht="15.75">
      <c r="A14" s="24"/>
      <c r="B14" s="24"/>
      <c r="C14" s="24"/>
      <c r="D14" s="24"/>
      <c r="E14" s="24"/>
      <c r="F14" s="24"/>
      <c r="G14" s="24"/>
      <c r="H14" s="24"/>
      <c r="I14" s="24"/>
      <c r="J14" s="24"/>
      <c r="K14" s="24"/>
      <c r="L14" s="24"/>
      <c r="M14" s="24"/>
      <c r="N14" s="24"/>
      <c r="O14" s="24"/>
      <c r="P14" s="24"/>
      <c r="Q14" s="24"/>
      <c r="R14" s="24"/>
      <c r="S14" s="24"/>
      <c r="T14" s="1023" t="s">
        <v>52</v>
      </c>
      <c r="U14" s="1023"/>
      <c r="V14" s="1023"/>
      <c r="W14" s="1023"/>
      <c r="X14" s="1023"/>
      <c r="Y14" s="67" t="s">
        <v>0</v>
      </c>
      <c r="Z14" s="1026">
        <f>+COMPARACIÓN!Z14</f>
        <v>0</v>
      </c>
      <c r="AA14" s="1026"/>
      <c r="AB14" s="1026"/>
      <c r="AC14" s="1026"/>
      <c r="AD14" s="1026"/>
    </row>
    <row r="15" spans="1:30" ht="15.75">
      <c r="A15" s="24"/>
      <c r="B15" s="24"/>
      <c r="C15" s="24"/>
      <c r="D15" s="24"/>
      <c r="E15" s="24"/>
      <c r="F15" s="24"/>
      <c r="G15" s="24"/>
      <c r="H15" s="24"/>
      <c r="I15" s="24"/>
      <c r="J15" s="24"/>
      <c r="K15" s="24"/>
      <c r="L15" s="24"/>
      <c r="M15" s="24"/>
      <c r="N15" s="24"/>
      <c r="O15" s="24"/>
      <c r="P15" s="24"/>
      <c r="Q15" s="24"/>
      <c r="R15" s="24"/>
      <c r="S15" s="24"/>
      <c r="T15" s="1023" t="s">
        <v>816</v>
      </c>
      <c r="U15" s="1023"/>
      <c r="V15" s="1023"/>
      <c r="W15" s="1023"/>
      <c r="X15" s="1023"/>
      <c r="Y15" s="67" t="s">
        <v>0</v>
      </c>
      <c r="Z15" s="1026">
        <f>+COMPARACIÓN!Z15</f>
        <v>365</v>
      </c>
      <c r="AA15" s="1026"/>
      <c r="AB15" s="1026"/>
      <c r="AC15" s="1026"/>
      <c r="AD15" s="1026"/>
    </row>
    <row r="16" spans="1:30" ht="18">
      <c r="A16" s="1312" t="s">
        <v>955</v>
      </c>
      <c r="B16" s="1313"/>
      <c r="C16" s="1313"/>
      <c r="D16" s="1313"/>
      <c r="E16" s="1313"/>
      <c r="F16" s="1313"/>
      <c r="G16" s="1313"/>
      <c r="H16" s="1313"/>
      <c r="I16" s="1313"/>
      <c r="J16" s="1313"/>
      <c r="K16" s="1313"/>
      <c r="L16" s="1313"/>
      <c r="M16" s="1313"/>
      <c r="N16" s="1313"/>
      <c r="O16" s="1313"/>
      <c r="P16" s="1313"/>
      <c r="Q16" s="1313"/>
      <c r="R16" s="1313"/>
      <c r="S16" s="1313"/>
      <c r="T16" s="1313"/>
      <c r="U16" s="1313"/>
      <c r="V16" s="1313"/>
      <c r="W16" s="1313"/>
      <c r="X16" s="1313"/>
      <c r="Y16" s="1313"/>
      <c r="Z16" s="1313"/>
      <c r="AA16" s="1313"/>
      <c r="AB16" s="1313"/>
      <c r="AC16" s="1313"/>
      <c r="AD16" s="1313"/>
    </row>
    <row r="17" spans="1:33" ht="15.75">
      <c r="A17" s="1292" t="s">
        <v>956</v>
      </c>
      <c r="B17" s="1293"/>
      <c r="C17" s="1293"/>
      <c r="D17" s="1293"/>
      <c r="E17" s="1293"/>
      <c r="F17" s="1293"/>
      <c r="G17" s="1293"/>
      <c r="H17" s="1293"/>
      <c r="I17" s="1293"/>
      <c r="J17" s="1293"/>
      <c r="K17" s="1293"/>
      <c r="L17" s="1293"/>
      <c r="M17" s="1293"/>
      <c r="N17" s="1293"/>
      <c r="O17" s="1293"/>
      <c r="P17" s="1293"/>
      <c r="Q17" s="1293"/>
      <c r="R17" s="1293"/>
      <c r="S17" s="1293"/>
      <c r="T17" s="1293"/>
      <c r="U17" s="1293"/>
      <c r="V17" s="1293"/>
      <c r="W17" s="1293"/>
      <c r="X17" s="1293"/>
      <c r="Y17" s="1293"/>
      <c r="Z17" s="1293"/>
      <c r="AA17" s="1293"/>
      <c r="AB17" s="1293"/>
      <c r="AC17" s="1293"/>
      <c r="AD17" s="1294"/>
    </row>
    <row r="18" spans="1:33" ht="15.75">
      <c r="A18" s="4"/>
      <c r="B18" s="26"/>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spans="1:33" ht="15.75">
      <c r="A19" s="117"/>
      <c r="B19" s="1824" t="s">
        <v>957</v>
      </c>
      <c r="C19" s="1824"/>
      <c r="D19" s="1824"/>
      <c r="E19" s="1824"/>
      <c r="F19" s="1824"/>
      <c r="G19" s="1824"/>
      <c r="H19" s="1824"/>
      <c r="I19" s="1824"/>
      <c r="J19" s="1824"/>
      <c r="K19" s="1824"/>
      <c r="L19" s="1824"/>
      <c r="M19" s="1824"/>
      <c r="N19" s="1824"/>
      <c r="O19" s="1824"/>
      <c r="P19" s="1824"/>
      <c r="Q19" s="1824"/>
      <c r="R19" s="1824"/>
      <c r="S19" s="1824"/>
      <c r="T19" s="1824"/>
      <c r="U19" s="1824"/>
      <c r="V19" s="1824"/>
      <c r="W19" s="1824"/>
      <c r="X19" s="1824"/>
      <c r="Y19" s="1824"/>
      <c r="Z19" s="1824"/>
      <c r="AA19" s="1824"/>
      <c r="AB19" s="1824"/>
      <c r="AC19" s="4"/>
      <c r="AD19" s="4"/>
    </row>
    <row r="20" spans="1:33" ht="16.5" thickBot="1">
      <c r="A20" s="118"/>
      <c r="B20" s="118"/>
      <c r="C20" s="118"/>
      <c r="D20" s="118"/>
      <c r="E20" s="118"/>
      <c r="F20" s="118"/>
      <c r="G20" s="118"/>
      <c r="H20" s="118"/>
      <c r="I20" s="118"/>
      <c r="J20" s="118"/>
      <c r="K20" s="118"/>
      <c r="L20" s="118"/>
      <c r="M20" s="117"/>
      <c r="N20" s="117" t="s">
        <v>237</v>
      </c>
      <c r="O20" s="117"/>
      <c r="P20" s="117"/>
      <c r="Q20" s="117"/>
      <c r="R20" s="117"/>
      <c r="S20" s="117"/>
      <c r="T20" s="117"/>
      <c r="U20" s="117"/>
      <c r="V20" s="117"/>
      <c r="W20" s="117"/>
      <c r="X20" s="117"/>
      <c r="Y20" s="117"/>
      <c r="Z20" s="4"/>
      <c r="AA20" s="4"/>
      <c r="AB20" s="4"/>
      <c r="AC20" s="4"/>
      <c r="AD20" s="4"/>
    </row>
    <row r="21" spans="1:33" ht="16.5" thickBot="1">
      <c r="A21" s="118"/>
      <c r="B21" s="1426" t="s">
        <v>958</v>
      </c>
      <c r="C21" s="1426"/>
      <c r="D21" s="1426"/>
      <c r="E21" s="1426"/>
      <c r="F21" s="1426"/>
      <c r="G21" s="1426"/>
      <c r="H21" s="1426"/>
      <c r="I21" s="1426"/>
      <c r="J21" s="1426"/>
      <c r="K21" s="1426"/>
      <c r="L21" s="4"/>
      <c r="M21" s="4"/>
      <c r="N21" s="4"/>
      <c r="O21" s="1825" t="s">
        <v>238</v>
      </c>
      <c r="P21" s="1826"/>
      <c r="Q21" s="1826"/>
      <c r="R21" s="1826"/>
      <c r="S21" s="1826"/>
      <c r="T21" s="1827" t="s">
        <v>239</v>
      </c>
      <c r="U21" s="1828"/>
      <c r="V21" s="1828"/>
      <c r="W21" s="1828"/>
      <c r="X21" s="1829"/>
      <c r="Y21" s="1826" t="s">
        <v>240</v>
      </c>
      <c r="Z21" s="1826"/>
      <c r="AA21" s="1826"/>
      <c r="AB21" s="1826"/>
      <c r="AC21" s="1830"/>
      <c r="AD21" s="4"/>
    </row>
    <row r="22" spans="1:33" ht="16.5" thickBot="1">
      <c r="A22" s="118"/>
      <c r="B22" s="119"/>
      <c r="C22" s="118"/>
      <c r="D22" s="118"/>
      <c r="E22" s="118"/>
      <c r="F22" s="118"/>
      <c r="G22" s="118"/>
      <c r="H22" s="118"/>
      <c r="I22" s="118"/>
      <c r="J22" s="118"/>
      <c r="K22" s="118"/>
      <c r="L22" s="4"/>
      <c r="M22" s="4"/>
      <c r="N22" s="4"/>
      <c r="O22" s="118"/>
      <c r="P22" s="118"/>
      <c r="Q22" s="118"/>
      <c r="R22" s="118"/>
      <c r="S22" s="118"/>
      <c r="T22" s="118"/>
      <c r="U22" s="118"/>
      <c r="V22" s="118"/>
      <c r="W22" s="118"/>
      <c r="X22" s="118"/>
      <c r="Y22" s="118"/>
      <c r="Z22" s="118"/>
      <c r="AA22" s="118"/>
      <c r="AB22" s="118"/>
      <c r="AC22" s="118"/>
      <c r="AD22" s="4"/>
    </row>
    <row r="23" spans="1:33" ht="16.5" thickBot="1">
      <c r="A23" s="118"/>
      <c r="B23" s="1831" t="s">
        <v>241</v>
      </c>
      <c r="C23" s="1831"/>
      <c r="D23" s="1831"/>
      <c r="E23" s="1831"/>
      <c r="F23" s="1831"/>
      <c r="G23" s="1831"/>
      <c r="H23" s="1831"/>
      <c r="I23" s="1831"/>
      <c r="J23" s="1831"/>
      <c r="K23" s="1831"/>
      <c r="L23" s="4"/>
      <c r="M23" s="4"/>
      <c r="N23" s="4"/>
      <c r="O23" s="1832">
        <f>+REPOSICIÓN!Y103</f>
        <v>0</v>
      </c>
      <c r="P23" s="1833"/>
      <c r="Q23" s="1833"/>
      <c r="R23" s="1833"/>
      <c r="S23" s="1833"/>
      <c r="T23" s="1834" t="e">
        <f>+O23/'MEM. DESC. II'!$K$56</f>
        <v>#DIV/0!</v>
      </c>
      <c r="U23" s="1835"/>
      <c r="V23" s="1835"/>
      <c r="W23" s="1835"/>
      <c r="X23" s="1836"/>
      <c r="Y23" s="1837">
        <f>+O23*REPOSICIÓN!$J$45</f>
        <v>0</v>
      </c>
      <c r="Z23" s="1837"/>
      <c r="AA23" s="1837"/>
      <c r="AB23" s="1837"/>
      <c r="AC23" s="1838"/>
      <c r="AD23" s="4"/>
    </row>
    <row r="24" spans="1:33" ht="16.5" thickBot="1">
      <c r="A24" s="118"/>
      <c r="B24" s="1831" t="s">
        <v>242</v>
      </c>
      <c r="C24" s="1831"/>
      <c r="D24" s="1831"/>
      <c r="E24" s="1831"/>
      <c r="F24" s="1831"/>
      <c r="G24" s="1831"/>
      <c r="H24" s="1831"/>
      <c r="I24" s="1831"/>
      <c r="J24" s="1831"/>
      <c r="K24" s="1831"/>
      <c r="L24" s="4"/>
      <c r="M24" s="4"/>
      <c r="N24" s="4"/>
      <c r="O24" s="1839">
        <f>IFERROR(+COMPARACIÓN!V101,"")</f>
        <v>0</v>
      </c>
      <c r="P24" s="1840"/>
      <c r="Q24" s="1840"/>
      <c r="R24" s="1840"/>
      <c r="S24" s="1840"/>
      <c r="T24" s="1834" t="e">
        <f>+O24/'MEM. DESC. II'!$K$56</f>
        <v>#DIV/0!</v>
      </c>
      <c r="U24" s="1835"/>
      <c r="V24" s="1835"/>
      <c r="W24" s="1835"/>
      <c r="X24" s="1836"/>
      <c r="Y24" s="1837">
        <f>+O24*REPOSICIÓN!$J$45</f>
        <v>0</v>
      </c>
      <c r="Z24" s="1837"/>
      <c r="AA24" s="1837"/>
      <c r="AB24" s="1837"/>
      <c r="AC24" s="1838"/>
      <c r="AD24" s="4"/>
    </row>
    <row r="25" spans="1:33" ht="8.25" customHeight="1">
      <c r="A25" s="118"/>
      <c r="B25" s="120"/>
      <c r="C25" s="120"/>
      <c r="D25" s="120"/>
      <c r="E25" s="120"/>
      <c r="F25" s="120"/>
      <c r="G25" s="120"/>
      <c r="H25" s="120"/>
      <c r="I25" s="120"/>
      <c r="J25" s="120"/>
      <c r="K25" s="120"/>
      <c r="L25" s="4"/>
      <c r="M25" s="4"/>
      <c r="N25" s="4"/>
      <c r="O25" s="121"/>
      <c r="P25" s="16"/>
      <c r="Q25" s="16"/>
      <c r="R25" s="16"/>
      <c r="S25" s="16"/>
      <c r="T25" s="122"/>
      <c r="U25" s="122"/>
      <c r="V25" s="122"/>
      <c r="W25" s="122"/>
      <c r="X25" s="122"/>
      <c r="Y25" s="121"/>
      <c r="Z25" s="121"/>
      <c r="AA25" s="121"/>
      <c r="AB25" s="121"/>
      <c r="AC25" s="121"/>
      <c r="AD25" s="4"/>
    </row>
    <row r="26" spans="1:33" ht="15.75">
      <c r="A26" s="1292" t="s">
        <v>1011</v>
      </c>
      <c r="B26" s="1293"/>
      <c r="C26" s="1293"/>
      <c r="D26" s="1293"/>
      <c r="E26" s="1293"/>
      <c r="F26" s="1293"/>
      <c r="G26" s="1293"/>
      <c r="H26" s="1293"/>
      <c r="I26" s="1293"/>
      <c r="J26" s="1293"/>
      <c r="K26" s="1293"/>
      <c r="L26" s="1293"/>
      <c r="M26" s="1293"/>
      <c r="N26" s="1293"/>
      <c r="O26" s="1293"/>
      <c r="P26" s="1293"/>
      <c r="Q26" s="1293"/>
      <c r="R26" s="1293"/>
      <c r="S26" s="1293"/>
      <c r="T26" s="1293"/>
      <c r="U26" s="1293"/>
      <c r="V26" s="1293"/>
      <c r="W26" s="1293"/>
      <c r="X26" s="1293"/>
      <c r="Y26" s="1293"/>
      <c r="Z26" s="1293"/>
      <c r="AA26" s="1293"/>
      <c r="AB26" s="1293"/>
      <c r="AC26" s="1293"/>
      <c r="AD26" s="1294"/>
    </row>
    <row r="27" spans="1:33" ht="6" customHeight="1">
      <c r="A27" s="4"/>
      <c r="B27" s="31"/>
      <c r="C27" s="31"/>
      <c r="D27" s="31"/>
      <c r="E27" s="31"/>
      <c r="F27" s="31"/>
      <c r="G27" s="31"/>
      <c r="H27" s="31"/>
      <c r="I27" s="31"/>
      <c r="J27" s="31"/>
      <c r="K27" s="31"/>
      <c r="L27" s="31"/>
      <c r="M27" s="4"/>
      <c r="N27" s="4"/>
      <c r="O27" s="4"/>
      <c r="P27" s="4"/>
      <c r="Q27" s="4"/>
      <c r="R27" s="4"/>
      <c r="S27" s="4"/>
      <c r="T27" s="26"/>
      <c r="U27" s="26"/>
      <c r="V27" s="26"/>
      <c r="W27" s="26"/>
      <c r="X27" s="26"/>
      <c r="Y27" s="26"/>
      <c r="Z27" s="26"/>
      <c r="AA27" s="26"/>
      <c r="AB27" s="4"/>
      <c r="AC27" s="4"/>
      <c r="AD27" s="4"/>
    </row>
    <row r="28" spans="1:33" ht="15.75">
      <c r="A28" s="117"/>
      <c r="B28" s="1841" t="s">
        <v>1012</v>
      </c>
      <c r="C28" s="1841"/>
      <c r="D28" s="1841"/>
      <c r="E28" s="1841"/>
      <c r="F28" s="1841"/>
      <c r="G28" s="1841"/>
      <c r="H28" s="1841"/>
      <c r="I28" s="1841"/>
      <c r="J28" s="1841"/>
      <c r="K28" s="1841"/>
      <c r="L28" s="1841"/>
      <c r="M28" s="1841"/>
      <c r="N28" s="1841"/>
      <c r="O28" s="1841"/>
      <c r="P28" s="1841"/>
      <c r="Q28" s="1841"/>
      <c r="R28" s="1841"/>
      <c r="S28" s="1841"/>
      <c r="T28" s="1841"/>
      <c r="U28" s="1841"/>
      <c r="V28" s="1841"/>
      <c r="W28" s="1841"/>
      <c r="X28" s="1841"/>
      <c r="Y28" s="1841"/>
      <c r="Z28" s="1841"/>
      <c r="AA28" s="1841"/>
      <c r="AB28" s="1841"/>
      <c r="AC28" s="4"/>
      <c r="AD28" s="4"/>
    </row>
    <row r="29" spans="1:33" ht="9.75" customHeight="1">
      <c r="A29" s="117"/>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4"/>
      <c r="AD29" s="4"/>
    </row>
    <row r="30" spans="1:33" ht="18.75">
      <c r="A30" s="4"/>
      <c r="B30" s="159" t="s">
        <v>243</v>
      </c>
      <c r="C30" s="1842" t="s">
        <v>1110</v>
      </c>
      <c r="D30" s="1842"/>
      <c r="E30" s="1842"/>
      <c r="F30" s="1842"/>
      <c r="G30" s="1842"/>
      <c r="H30" s="1842"/>
      <c r="I30" s="1842"/>
      <c r="J30" s="1842"/>
      <c r="K30" s="1842"/>
      <c r="L30" s="1842"/>
      <c r="M30" s="1842"/>
      <c r="N30" s="1842"/>
      <c r="O30" s="1842"/>
      <c r="P30" s="1842"/>
      <c r="Q30" s="1842"/>
      <c r="R30" s="1842"/>
      <c r="S30" s="1842"/>
      <c r="T30" s="1842"/>
      <c r="U30" s="1842"/>
      <c r="V30" s="1842"/>
      <c r="W30" s="1842"/>
      <c r="X30" s="1842"/>
      <c r="Y30" s="1842"/>
      <c r="Z30" s="1842"/>
      <c r="AA30" s="1842"/>
      <c r="AB30" s="1842"/>
      <c r="AC30" s="1842"/>
      <c r="AD30" s="1"/>
      <c r="AG30" s="235"/>
    </row>
    <row r="31" spans="1:33" ht="15.75">
      <c r="A31" s="4"/>
      <c r="B31" s="4"/>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4"/>
    </row>
    <row r="32" spans="1:33" ht="15.75">
      <c r="A32" s="4"/>
      <c r="B32" s="159" t="s">
        <v>244</v>
      </c>
      <c r="C32" s="1842" t="s">
        <v>1111</v>
      </c>
      <c r="D32" s="1842"/>
      <c r="E32" s="1842"/>
      <c r="F32" s="1842"/>
      <c r="G32" s="1842"/>
      <c r="H32" s="1842"/>
      <c r="I32" s="1842"/>
      <c r="J32" s="1842"/>
      <c r="K32" s="1842"/>
      <c r="L32" s="1842"/>
      <c r="M32" s="1842"/>
      <c r="N32" s="1842"/>
      <c r="O32" s="1842"/>
      <c r="P32" s="1842"/>
      <c r="Q32" s="1842"/>
      <c r="R32" s="1842"/>
      <c r="S32" s="1842"/>
      <c r="T32" s="1842"/>
      <c r="U32" s="1842"/>
      <c r="V32" s="1842"/>
      <c r="W32" s="1842"/>
      <c r="X32" s="1842"/>
      <c r="Y32" s="1842"/>
      <c r="Z32" s="1842"/>
      <c r="AA32" s="1842"/>
      <c r="AB32" s="1842"/>
      <c r="AC32" s="1842"/>
      <c r="AD32" s="1"/>
      <c r="AF32" s="236"/>
    </row>
    <row r="33" spans="1:30" ht="15.7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spans="1:30" ht="15.75">
      <c r="A34" s="4"/>
      <c r="B34" s="159" t="s">
        <v>245</v>
      </c>
      <c r="C34" s="1842" t="s">
        <v>1112</v>
      </c>
      <c r="D34" s="1842"/>
      <c r="E34" s="1842"/>
      <c r="F34" s="1842"/>
      <c r="G34" s="1842"/>
      <c r="H34" s="1842"/>
      <c r="I34" s="1842"/>
      <c r="J34" s="1842"/>
      <c r="K34" s="1842"/>
      <c r="L34" s="1842"/>
      <c r="M34" s="1842"/>
      <c r="N34" s="1842"/>
      <c r="O34" s="1842"/>
      <c r="P34" s="1842"/>
      <c r="Q34" s="1842"/>
      <c r="R34" s="1842"/>
      <c r="S34" s="1842"/>
      <c r="T34" s="1842"/>
      <c r="U34" s="1842"/>
      <c r="V34" s="1842"/>
      <c r="W34" s="1842"/>
      <c r="X34" s="1842"/>
      <c r="Y34" s="1842"/>
      <c r="Z34" s="1842"/>
      <c r="AA34" s="1842"/>
      <c r="AB34" s="1842"/>
      <c r="AC34" s="1842"/>
      <c r="AD34" s="1"/>
    </row>
    <row r="35" spans="1:30" ht="16.5" thickBot="1">
      <c r="A35" s="4"/>
      <c r="B35" s="26"/>
      <c r="C35" s="26"/>
      <c r="D35" s="26"/>
      <c r="E35" s="26"/>
      <c r="F35" s="26"/>
      <c r="G35" s="26"/>
      <c r="H35" s="26"/>
      <c r="I35" s="26"/>
      <c r="J35" s="26"/>
      <c r="K35" s="26"/>
      <c r="L35" s="4"/>
      <c r="M35" s="4"/>
      <c r="N35" s="4"/>
      <c r="O35" s="4"/>
      <c r="P35" s="4"/>
      <c r="Q35" s="4"/>
      <c r="R35" s="4"/>
      <c r="S35" s="4"/>
      <c r="T35" s="4"/>
      <c r="U35" s="4"/>
      <c r="V35" s="26"/>
      <c r="W35" s="26"/>
      <c r="X35" s="26"/>
      <c r="Y35" s="26"/>
      <c r="Z35" s="26"/>
      <c r="AA35" s="26"/>
      <c r="AB35" s="26"/>
      <c r="AC35" s="4"/>
      <c r="AD35" s="4"/>
    </row>
    <row r="36" spans="1:30" ht="16.5" thickBot="1">
      <c r="A36" s="4"/>
      <c r="B36" s="159" t="s">
        <v>246</v>
      </c>
      <c r="C36" s="1843" t="s">
        <v>247</v>
      </c>
      <c r="D36" s="1843"/>
      <c r="E36" s="1843"/>
      <c r="F36" s="1843"/>
      <c r="G36" s="1843"/>
      <c r="H36" s="1843"/>
      <c r="I36" s="1843"/>
      <c r="J36" s="1843"/>
      <c r="K36" s="1843"/>
      <c r="L36" s="1"/>
      <c r="M36" s="1844" t="s">
        <v>429</v>
      </c>
      <c r="N36" s="1845"/>
      <c r="O36" s="1845"/>
      <c r="P36" s="1845"/>
      <c r="Q36" s="1845"/>
      <c r="R36" s="1845"/>
      <c r="S36" s="1845"/>
      <c r="T36" s="1845"/>
      <c r="U36" s="1846"/>
      <c r="V36" s="26"/>
      <c r="W36" s="26"/>
      <c r="X36" s="26"/>
      <c r="Y36" s="26"/>
      <c r="Z36" s="26"/>
      <c r="AA36" s="26"/>
      <c r="AB36" s="26"/>
      <c r="AC36" s="4"/>
      <c r="AD36" s="4"/>
    </row>
    <row r="37" spans="1:30" ht="18.75" thickBot="1">
      <c r="A37" s="24"/>
      <c r="B37" s="24"/>
      <c r="C37" s="24"/>
      <c r="D37" s="24"/>
      <c r="E37" s="24"/>
      <c r="F37" s="24"/>
      <c r="G37" s="24"/>
      <c r="H37" s="24"/>
      <c r="I37" s="24"/>
      <c r="J37" s="24"/>
      <c r="K37" s="24"/>
      <c r="L37" s="24"/>
      <c r="M37" s="24"/>
      <c r="N37" s="24"/>
      <c r="O37" s="24"/>
      <c r="P37" s="24"/>
      <c r="Q37" s="24"/>
      <c r="R37" s="24"/>
      <c r="S37" s="24"/>
      <c r="T37" s="24"/>
      <c r="U37" s="24"/>
      <c r="V37" s="24"/>
      <c r="W37" s="24"/>
      <c r="X37" s="1850" t="s">
        <v>249</v>
      </c>
      <c r="Y37" s="1851"/>
      <c r="Z37" s="1851"/>
      <c r="AA37" s="1851"/>
      <c r="AB37" s="1851"/>
      <c r="AC37" s="1852"/>
    </row>
    <row r="38" spans="1:30" ht="16.5" thickBot="1">
      <c r="A38" s="4"/>
      <c r="B38" s="34" t="s">
        <v>250</v>
      </c>
      <c r="C38" s="117"/>
      <c r="D38" s="117"/>
      <c r="E38" s="117"/>
      <c r="F38" s="117"/>
      <c r="G38" s="117"/>
      <c r="H38" s="117"/>
      <c r="I38" s="117"/>
      <c r="J38" s="117"/>
      <c r="K38" s="117"/>
      <c r="L38" s="117"/>
      <c r="M38" s="117"/>
      <c r="N38" s="117"/>
      <c r="O38" s="117"/>
      <c r="P38" s="117"/>
      <c r="Q38" s="117"/>
      <c r="R38" s="117"/>
      <c r="S38" s="117"/>
      <c r="T38" s="117"/>
      <c r="U38" s="117"/>
      <c r="V38" s="4"/>
      <c r="W38" s="117"/>
      <c r="X38" s="4"/>
      <c r="Y38" s="4"/>
      <c r="Z38" s="4"/>
      <c r="AA38" s="26"/>
      <c r="AB38" s="26"/>
      <c r="AC38" s="4"/>
      <c r="AD38" s="4"/>
    </row>
    <row r="39" spans="1:30" ht="18.75" thickBot="1">
      <c r="A39" s="4"/>
      <c r="B39" s="1853" t="s">
        <v>251</v>
      </c>
      <c r="C39" s="1854"/>
      <c r="D39" s="1853" t="e">
        <f ca="1">+CONCATENATE(" ",[10]!NumeLetras(X39,"con","dolares americanos",1))</f>
        <v>#NAME?</v>
      </c>
      <c r="E39" s="1855"/>
      <c r="F39" s="1855"/>
      <c r="G39" s="1855"/>
      <c r="H39" s="1855"/>
      <c r="I39" s="1855"/>
      <c r="J39" s="1855"/>
      <c r="K39" s="1855"/>
      <c r="L39" s="1855"/>
      <c r="M39" s="1855"/>
      <c r="N39" s="1855"/>
      <c r="O39" s="1855"/>
      <c r="P39" s="1855"/>
      <c r="Q39" s="1855"/>
      <c r="R39" s="1855"/>
      <c r="S39" s="1855"/>
      <c r="T39" s="1855"/>
      <c r="U39" s="1855"/>
      <c r="V39" s="1854"/>
      <c r="W39" s="4"/>
      <c r="X39" s="1856">
        <f>+IF(M36="Método de Comparación (O de Mercado)",O24,O23)</f>
        <v>0</v>
      </c>
      <c r="Y39" s="1857"/>
      <c r="Z39" s="1857"/>
      <c r="AA39" s="1857"/>
      <c r="AB39" s="1857"/>
      <c r="AC39" s="1858"/>
      <c r="AD39" s="1"/>
    </row>
    <row r="40" spans="1:30" ht="16.5" thickBot="1">
      <c r="A40" s="4"/>
      <c r="B40" s="34" t="s">
        <v>252</v>
      </c>
      <c r="C40" s="26"/>
      <c r="D40" s="26"/>
      <c r="E40" s="26"/>
      <c r="F40" s="26"/>
      <c r="G40" s="26"/>
      <c r="H40" s="26"/>
      <c r="I40" s="26"/>
      <c r="J40" s="26"/>
      <c r="K40" s="26"/>
      <c r="L40" s="26"/>
      <c r="M40" s="26"/>
      <c r="N40" s="26"/>
      <c r="O40" s="26"/>
      <c r="P40" s="26"/>
      <c r="Q40" s="26"/>
      <c r="R40" s="26"/>
      <c r="S40" s="26"/>
      <c r="T40" s="26"/>
      <c r="U40" s="26"/>
      <c r="V40" s="4"/>
      <c r="W40" s="4"/>
      <c r="X40" s="26"/>
      <c r="Y40" s="26"/>
      <c r="Z40" s="26"/>
      <c r="AA40" s="26"/>
      <c r="AB40" s="26"/>
      <c r="AC40" s="26"/>
      <c r="AD40" s="4"/>
    </row>
    <row r="41" spans="1:30" ht="18.75" thickBot="1">
      <c r="A41" s="4"/>
      <c r="B41" s="1853" t="s">
        <v>251</v>
      </c>
      <c r="C41" s="1854"/>
      <c r="D41" s="1853" t="e">
        <f ca="1">+CONCATENATE(" ",[10]!NumeLetras(X41,"con","sOLES",1))</f>
        <v>#NAME?</v>
      </c>
      <c r="E41" s="1855"/>
      <c r="F41" s="1855"/>
      <c r="G41" s="1855"/>
      <c r="H41" s="1855"/>
      <c r="I41" s="1855"/>
      <c r="J41" s="1855"/>
      <c r="K41" s="1855"/>
      <c r="L41" s="1855"/>
      <c r="M41" s="1855"/>
      <c r="N41" s="1855"/>
      <c r="O41" s="1855"/>
      <c r="P41" s="1855"/>
      <c r="Q41" s="1855"/>
      <c r="R41" s="1855"/>
      <c r="S41" s="1855"/>
      <c r="T41" s="1855"/>
      <c r="U41" s="1855"/>
      <c r="V41" s="1854"/>
      <c r="W41" s="4"/>
      <c r="X41" s="1859">
        <f>+X39*REPOSICIÓN!J45</f>
        <v>0</v>
      </c>
      <c r="Y41" s="1860"/>
      <c r="Z41" s="1860"/>
      <c r="AA41" s="1860"/>
      <c r="AB41" s="1860"/>
      <c r="AC41" s="1861"/>
      <c r="AD41" s="1"/>
    </row>
    <row r="42" spans="1:30" ht="15.75">
      <c r="A42" s="4"/>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4"/>
      <c r="AD42" s="4"/>
    </row>
    <row r="43" spans="1:30" ht="15.75">
      <c r="A43" s="1292" t="s">
        <v>1013</v>
      </c>
      <c r="B43" s="1293"/>
      <c r="C43" s="1293"/>
      <c r="D43" s="1293"/>
      <c r="E43" s="1293"/>
      <c r="F43" s="1293"/>
      <c r="G43" s="1293"/>
      <c r="H43" s="1293"/>
      <c r="I43" s="1293"/>
      <c r="J43" s="1293"/>
      <c r="K43" s="1293"/>
      <c r="L43" s="1293"/>
      <c r="M43" s="1293"/>
      <c r="N43" s="1293"/>
      <c r="O43" s="1293"/>
      <c r="P43" s="1293"/>
      <c r="Q43" s="1293"/>
      <c r="R43" s="1293"/>
      <c r="S43" s="1293"/>
      <c r="T43" s="1293"/>
      <c r="U43" s="1293"/>
      <c r="V43" s="1293"/>
      <c r="W43" s="1293"/>
      <c r="X43" s="1293"/>
      <c r="Y43" s="1293"/>
      <c r="Z43" s="1293"/>
      <c r="AA43" s="1293"/>
      <c r="AB43" s="1293"/>
      <c r="AC43" s="1293"/>
      <c r="AD43" s="1294"/>
    </row>
    <row r="44" spans="1:30" s="24" customFormat="1" ht="15.75">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row>
    <row r="45" spans="1:30" ht="32.25" customHeight="1">
      <c r="A45" s="4"/>
      <c r="B45" s="1862" t="s">
        <v>253</v>
      </c>
      <c r="C45" s="1862"/>
      <c r="D45" s="1862"/>
      <c r="E45" s="1862"/>
      <c r="F45" s="1862"/>
      <c r="G45" s="1862"/>
      <c r="H45" s="1862"/>
      <c r="I45" s="1862"/>
      <c r="J45" s="1862"/>
      <c r="K45" s="1862"/>
      <c r="L45" s="1862"/>
      <c r="M45" s="1862"/>
      <c r="N45" s="1862"/>
      <c r="O45" s="1862"/>
      <c r="P45" s="1862"/>
      <c r="Q45" s="1862"/>
      <c r="R45" s="1862"/>
      <c r="S45" s="1862"/>
      <c r="T45" s="1862"/>
      <c r="U45" s="1862"/>
      <c r="V45" s="1862"/>
      <c r="W45" s="1862"/>
      <c r="X45" s="1862"/>
      <c r="Y45" s="1862"/>
      <c r="Z45" s="1862"/>
      <c r="AA45" s="1862"/>
      <c r="AB45" s="1862"/>
      <c r="AC45" s="1862"/>
      <c r="AD45" s="4"/>
    </row>
    <row r="46" spans="1:30" ht="9.9499999999999993" customHeight="1">
      <c r="A46" s="4"/>
      <c r="B46" s="161"/>
      <c r="C46" s="161"/>
      <c r="D46" s="161"/>
      <c r="E46" s="161"/>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1"/>
      <c r="AD46" s="4"/>
    </row>
    <row r="47" spans="1:30" ht="15.75">
      <c r="A47" s="4"/>
      <c r="B47" s="4"/>
      <c r="C47" s="1386" t="s">
        <v>254</v>
      </c>
      <c r="D47" s="1386"/>
      <c r="E47" s="1386"/>
      <c r="F47" s="1386"/>
      <c r="G47" s="1386"/>
      <c r="H47" s="1386"/>
      <c r="I47" s="1386"/>
      <c r="J47" s="1386"/>
      <c r="K47" s="1386"/>
      <c r="L47" s="1386"/>
      <c r="M47" s="1386"/>
      <c r="N47" s="1386"/>
      <c r="O47" s="1386"/>
      <c r="P47" s="1386"/>
      <c r="Q47" s="1386"/>
      <c r="R47" s="1389" t="s">
        <v>255</v>
      </c>
      <c r="S47" s="1389"/>
      <c r="T47" s="1389"/>
      <c r="U47" s="1389"/>
      <c r="V47" s="1389"/>
      <c r="W47" s="1389"/>
      <c r="X47" s="1389" t="s">
        <v>256</v>
      </c>
      <c r="Y47" s="1389"/>
      <c r="Z47" s="1389"/>
      <c r="AA47" s="1389"/>
      <c r="AB47" s="1389"/>
      <c r="AC47" s="1389"/>
      <c r="AD47" s="4"/>
    </row>
    <row r="48" spans="1:30" ht="15.75">
      <c r="A48" s="4"/>
      <c r="B48" s="4"/>
      <c r="C48" s="160" t="s">
        <v>243</v>
      </c>
      <c r="D48" s="1847" t="s">
        <v>257</v>
      </c>
      <c r="E48" s="1847"/>
      <c r="F48" s="1847"/>
      <c r="G48" s="1847"/>
      <c r="H48" s="1847"/>
      <c r="I48" s="1847"/>
      <c r="J48" s="1847"/>
      <c r="K48" s="1847"/>
      <c r="L48" s="1847"/>
      <c r="M48" s="1847"/>
      <c r="N48" s="1847"/>
      <c r="O48" s="1847"/>
      <c r="P48" s="1847"/>
      <c r="Q48" s="1847"/>
      <c r="R48" s="1848">
        <v>0.02</v>
      </c>
      <c r="S48" s="1848"/>
      <c r="T48" s="1848"/>
      <c r="U48" s="1848"/>
      <c r="V48" s="1848"/>
      <c r="W48" s="1848"/>
      <c r="X48" s="1849">
        <f t="shared" ref="X48:X53" si="0">+$X$39*R48</f>
        <v>0</v>
      </c>
      <c r="Y48" s="1849"/>
      <c r="Z48" s="1849"/>
      <c r="AA48" s="1849"/>
      <c r="AB48" s="1849"/>
      <c r="AC48" s="1849"/>
      <c r="AD48" s="4"/>
    </row>
    <row r="49" spans="1:32" ht="15.75">
      <c r="A49" s="4"/>
      <c r="B49" s="4"/>
      <c r="C49" s="160" t="s">
        <v>244</v>
      </c>
      <c r="D49" s="1847" t="s">
        <v>258</v>
      </c>
      <c r="E49" s="1847"/>
      <c r="F49" s="1847"/>
      <c r="G49" s="1847"/>
      <c r="H49" s="1847"/>
      <c r="I49" s="1847"/>
      <c r="J49" s="1847"/>
      <c r="K49" s="1847"/>
      <c r="L49" s="1847"/>
      <c r="M49" s="1847"/>
      <c r="N49" s="1847"/>
      <c r="O49" s="1847"/>
      <c r="P49" s="1847"/>
      <c r="Q49" s="1847"/>
      <c r="R49" s="1848">
        <v>2E-3</v>
      </c>
      <c r="S49" s="1848"/>
      <c r="T49" s="1848"/>
      <c r="U49" s="1848"/>
      <c r="V49" s="1848"/>
      <c r="W49" s="1848"/>
      <c r="X49" s="1849">
        <f t="shared" si="0"/>
        <v>0</v>
      </c>
      <c r="Y49" s="1849"/>
      <c r="Z49" s="1849"/>
      <c r="AA49" s="1849"/>
      <c r="AB49" s="1849"/>
      <c r="AC49" s="1849"/>
      <c r="AD49" s="4"/>
      <c r="AF49" s="237"/>
    </row>
    <row r="50" spans="1:32" ht="15.75">
      <c r="A50" s="4"/>
      <c r="B50" s="4"/>
      <c r="C50" s="160" t="s">
        <v>245</v>
      </c>
      <c r="D50" s="1847" t="s">
        <v>259</v>
      </c>
      <c r="E50" s="1847"/>
      <c r="F50" s="1847"/>
      <c r="G50" s="1847"/>
      <c r="H50" s="1847"/>
      <c r="I50" s="1847"/>
      <c r="J50" s="1847"/>
      <c r="K50" s="1847"/>
      <c r="L50" s="1847"/>
      <c r="M50" s="1847"/>
      <c r="N50" s="1847"/>
      <c r="O50" s="1847"/>
      <c r="P50" s="1847"/>
      <c r="Q50" s="1847"/>
      <c r="R50" s="1848">
        <v>0.05</v>
      </c>
      <c r="S50" s="1848"/>
      <c r="T50" s="1848"/>
      <c r="U50" s="1848"/>
      <c r="V50" s="1848"/>
      <c r="W50" s="1848"/>
      <c r="X50" s="1849">
        <f t="shared" si="0"/>
        <v>0</v>
      </c>
      <c r="Y50" s="1849"/>
      <c r="Z50" s="1849"/>
      <c r="AA50" s="1849"/>
      <c r="AB50" s="1849"/>
      <c r="AC50" s="1849"/>
      <c r="AD50" s="4"/>
    </row>
    <row r="51" spans="1:32" ht="15.75">
      <c r="A51" s="4"/>
      <c r="B51" s="4"/>
      <c r="C51" s="160" t="s">
        <v>246</v>
      </c>
      <c r="D51" s="1847" t="s">
        <v>260</v>
      </c>
      <c r="E51" s="1847"/>
      <c r="F51" s="1847"/>
      <c r="G51" s="1847"/>
      <c r="H51" s="1847"/>
      <c r="I51" s="1847"/>
      <c r="J51" s="1847"/>
      <c r="K51" s="1847"/>
      <c r="L51" s="1847"/>
      <c r="M51" s="1847"/>
      <c r="N51" s="1847"/>
      <c r="O51" s="1847"/>
      <c r="P51" s="1847"/>
      <c r="Q51" s="1847"/>
      <c r="R51" s="1848">
        <v>0.02</v>
      </c>
      <c r="S51" s="1848"/>
      <c r="T51" s="1848"/>
      <c r="U51" s="1848"/>
      <c r="V51" s="1848"/>
      <c r="W51" s="1848"/>
      <c r="X51" s="1849">
        <f t="shared" si="0"/>
        <v>0</v>
      </c>
      <c r="Y51" s="1849"/>
      <c r="Z51" s="1849"/>
      <c r="AA51" s="1849"/>
      <c r="AB51" s="1849"/>
      <c r="AC51" s="1849"/>
      <c r="AD51" s="4"/>
    </row>
    <row r="52" spans="1:32" ht="15.75">
      <c r="A52" s="4"/>
      <c r="B52" s="4"/>
      <c r="C52" s="160" t="s">
        <v>261</v>
      </c>
      <c r="D52" s="1847" t="s">
        <v>262</v>
      </c>
      <c r="E52" s="1847"/>
      <c r="F52" s="1847"/>
      <c r="G52" s="1847"/>
      <c r="H52" s="1847"/>
      <c r="I52" s="1847"/>
      <c r="J52" s="1847"/>
      <c r="K52" s="1847"/>
      <c r="L52" s="1847"/>
      <c r="M52" s="1847"/>
      <c r="N52" s="1847"/>
      <c r="O52" s="1847"/>
      <c r="P52" s="1847"/>
      <c r="Q52" s="1847"/>
      <c r="R52" s="1848">
        <f>+R54-R48-R49-R50-R51-R53</f>
        <v>0.108</v>
      </c>
      <c r="S52" s="1848"/>
      <c r="T52" s="1848"/>
      <c r="U52" s="1848"/>
      <c r="V52" s="1848"/>
      <c r="W52" s="1848"/>
      <c r="X52" s="1849">
        <f t="shared" si="0"/>
        <v>0</v>
      </c>
      <c r="Y52" s="1849"/>
      <c r="Z52" s="1849"/>
      <c r="AA52" s="1849"/>
      <c r="AB52" s="1849"/>
      <c r="AC52" s="1849"/>
      <c r="AD52" s="4"/>
    </row>
    <row r="53" spans="1:32" ht="15.75">
      <c r="A53" s="4"/>
      <c r="B53" s="4"/>
      <c r="C53" s="160" t="s">
        <v>263</v>
      </c>
      <c r="D53" s="1847" t="s">
        <v>264</v>
      </c>
      <c r="E53" s="1847"/>
      <c r="F53" s="1847"/>
      <c r="G53" s="1847"/>
      <c r="H53" s="1847"/>
      <c r="I53" s="1847"/>
      <c r="J53" s="1847"/>
      <c r="K53" s="1847"/>
      <c r="L53" s="1847"/>
      <c r="M53" s="1847"/>
      <c r="N53" s="1847"/>
      <c r="O53" s="1847"/>
      <c r="P53" s="1847"/>
      <c r="Q53" s="1847"/>
      <c r="R53" s="1848">
        <v>0</v>
      </c>
      <c r="S53" s="1848"/>
      <c r="T53" s="1848"/>
      <c r="U53" s="1848"/>
      <c r="V53" s="1848"/>
      <c r="W53" s="1848"/>
      <c r="X53" s="1849">
        <f t="shared" si="0"/>
        <v>0</v>
      </c>
      <c r="Y53" s="1849"/>
      <c r="Z53" s="1849"/>
      <c r="AA53" s="1849"/>
      <c r="AB53" s="1849"/>
      <c r="AC53" s="1849"/>
      <c r="AD53" s="4"/>
    </row>
    <row r="54" spans="1:32" ht="15.75">
      <c r="A54" s="4"/>
      <c r="B54" s="4"/>
      <c r="C54" s="1023" t="s">
        <v>265</v>
      </c>
      <c r="D54" s="1023"/>
      <c r="E54" s="1023"/>
      <c r="F54" s="1023"/>
      <c r="G54" s="1023"/>
      <c r="H54" s="1023"/>
      <c r="I54" s="1023"/>
      <c r="J54" s="1023"/>
      <c r="K54" s="1023"/>
      <c r="L54" s="1023"/>
      <c r="M54" s="1023"/>
      <c r="N54" s="1023"/>
      <c r="O54" s="1023"/>
      <c r="P54" s="1023"/>
      <c r="Q54" s="1023"/>
      <c r="R54" s="1863">
        <v>0.2</v>
      </c>
      <c r="S54" s="1863"/>
      <c r="T54" s="1863"/>
      <c r="U54" s="1863"/>
      <c r="V54" s="1863"/>
      <c r="W54" s="1863"/>
      <c r="X54" s="1864">
        <f>SUM(X48:AA53)</f>
        <v>0</v>
      </c>
      <c r="Y54" s="1864"/>
      <c r="Z54" s="1864"/>
      <c r="AA54" s="1864"/>
      <c r="AB54" s="1864"/>
      <c r="AC54" s="1864"/>
      <c r="AD54" s="4"/>
    </row>
    <row r="55" spans="1:32" ht="16.5" thickBot="1">
      <c r="A55" s="4"/>
      <c r="B55" s="117"/>
      <c r="C55" s="117"/>
      <c r="D55" s="117"/>
      <c r="E55" s="117"/>
      <c r="F55" s="117"/>
      <c r="G55" s="117"/>
      <c r="H55" s="117"/>
      <c r="I55" s="117"/>
      <c r="J55" s="117"/>
      <c r="K55" s="117"/>
      <c r="L55" s="117"/>
      <c r="M55" s="117"/>
      <c r="N55" s="117"/>
      <c r="O55" s="117"/>
      <c r="P55" s="117"/>
      <c r="Q55" s="4"/>
      <c r="R55" s="4"/>
      <c r="S55" s="4"/>
      <c r="T55" s="4"/>
      <c r="U55" s="4"/>
      <c r="V55" s="4"/>
      <c r="W55" s="4"/>
      <c r="X55" s="4"/>
      <c r="Y55" s="4"/>
      <c r="Z55" s="4"/>
      <c r="AA55" s="4"/>
      <c r="AB55" s="4"/>
      <c r="AC55" s="4"/>
      <c r="AD55" s="4"/>
    </row>
    <row r="56" spans="1:32" ht="18.75" thickBot="1">
      <c r="A56" s="24"/>
      <c r="B56" s="24"/>
      <c r="C56" s="24"/>
      <c r="D56" s="24"/>
      <c r="E56" s="24"/>
      <c r="F56" s="24"/>
      <c r="G56" s="24"/>
      <c r="H56" s="24"/>
      <c r="I56" s="24"/>
      <c r="J56" s="24"/>
      <c r="K56" s="24"/>
      <c r="L56" s="24"/>
      <c r="M56" s="24"/>
      <c r="N56" s="24"/>
      <c r="O56" s="24"/>
      <c r="P56" s="24"/>
      <c r="Q56" s="24"/>
      <c r="R56" s="24"/>
      <c r="S56" s="24"/>
      <c r="T56" s="24"/>
      <c r="U56" s="24"/>
      <c r="V56" s="24"/>
      <c r="W56" s="24"/>
      <c r="X56" s="1865" t="s">
        <v>266</v>
      </c>
      <c r="Y56" s="1866"/>
      <c r="Z56" s="1866"/>
      <c r="AA56" s="1866"/>
      <c r="AB56" s="1866"/>
      <c r="AC56" s="1867"/>
      <c r="AD56" s="24"/>
    </row>
    <row r="57" spans="1:32" ht="16.5" thickBot="1">
      <c r="A57" s="26"/>
      <c r="B57" s="34" t="s">
        <v>1035</v>
      </c>
      <c r="C57" s="117"/>
      <c r="D57" s="117"/>
      <c r="E57" s="117"/>
      <c r="F57" s="117"/>
      <c r="G57" s="117"/>
      <c r="H57" s="117"/>
      <c r="I57" s="117"/>
      <c r="J57" s="117"/>
      <c r="K57" s="117"/>
      <c r="L57" s="117"/>
      <c r="M57" s="117"/>
      <c r="N57" s="117"/>
      <c r="O57" s="117"/>
      <c r="P57" s="117"/>
      <c r="Q57" s="52"/>
      <c r="R57" s="52"/>
      <c r="S57" s="52"/>
      <c r="T57" s="52"/>
      <c r="U57" s="52"/>
      <c r="V57" s="187"/>
      <c r="W57" s="117"/>
      <c r="X57" s="4"/>
      <c r="Y57" s="4"/>
      <c r="Z57" s="4"/>
      <c r="AA57" s="26"/>
      <c r="AB57" s="26"/>
      <c r="AC57" s="4"/>
      <c r="AD57" s="4"/>
    </row>
    <row r="58" spans="1:32" ht="18.75" thickBot="1">
      <c r="A58" s="4"/>
      <c r="B58" s="1853" t="s">
        <v>251</v>
      </c>
      <c r="C58" s="1854"/>
      <c r="D58" s="1853" t="e">
        <f ca="1">+CONCATENATE(" ",[10]!NumeLetras(X58,"con","dolares americanos",1))</f>
        <v>#NAME?</v>
      </c>
      <c r="E58" s="1855"/>
      <c r="F58" s="1855"/>
      <c r="G58" s="1855"/>
      <c r="H58" s="1855"/>
      <c r="I58" s="1855"/>
      <c r="J58" s="1855"/>
      <c r="K58" s="1855"/>
      <c r="L58" s="1855"/>
      <c r="M58" s="1855"/>
      <c r="N58" s="1855"/>
      <c r="O58" s="1855"/>
      <c r="P58" s="1855"/>
      <c r="Q58" s="1855"/>
      <c r="R58" s="1855"/>
      <c r="S58" s="1855"/>
      <c r="T58" s="1855"/>
      <c r="U58" s="1855"/>
      <c r="V58" s="1854"/>
      <c r="W58" s="4"/>
      <c r="X58" s="1856">
        <f>+X39-X54</f>
        <v>0</v>
      </c>
      <c r="Y58" s="1857"/>
      <c r="Z58" s="1857"/>
      <c r="AA58" s="1857"/>
      <c r="AB58" s="1857"/>
      <c r="AC58" s="1858"/>
      <c r="AD58" s="4"/>
    </row>
    <row r="59" spans="1:32" ht="3.75" customHeight="1">
      <c r="A59" s="4"/>
      <c r="B59" s="26"/>
      <c r="C59" s="26"/>
      <c r="D59" s="26"/>
      <c r="E59" s="26"/>
      <c r="F59" s="26"/>
      <c r="G59" s="26"/>
      <c r="H59" s="26"/>
      <c r="I59" s="26"/>
      <c r="J59" s="26"/>
      <c r="K59" s="26"/>
      <c r="L59" s="26"/>
      <c r="M59" s="26"/>
      <c r="N59" s="26"/>
      <c r="O59" s="26"/>
      <c r="P59" s="26"/>
      <c r="Q59" s="26"/>
      <c r="R59" s="26"/>
      <c r="S59" s="26"/>
      <c r="T59" s="26"/>
      <c r="U59" s="26"/>
      <c r="V59" s="26"/>
      <c r="W59" s="4"/>
      <c r="X59" s="26"/>
      <c r="Y59" s="26"/>
      <c r="Z59" s="26"/>
      <c r="AA59" s="26"/>
      <c r="AB59" s="26"/>
      <c r="AC59" s="26"/>
      <c r="AD59" s="4"/>
    </row>
    <row r="60" spans="1:32" ht="16.5" thickBot="1">
      <c r="A60" s="4"/>
      <c r="B60" s="34" t="s">
        <v>1036</v>
      </c>
      <c r="C60" s="26"/>
      <c r="D60" s="26"/>
      <c r="E60" s="26"/>
      <c r="F60" s="26"/>
      <c r="G60" s="26"/>
      <c r="H60" s="26"/>
      <c r="I60" s="26"/>
      <c r="J60" s="26"/>
      <c r="K60" s="26"/>
      <c r="L60" s="26"/>
      <c r="M60" s="26"/>
      <c r="N60" s="26"/>
      <c r="O60" s="26"/>
      <c r="P60" s="26"/>
      <c r="Q60" s="26"/>
      <c r="R60" s="34"/>
      <c r="S60" s="34"/>
      <c r="T60" s="34"/>
      <c r="U60" s="34"/>
      <c r="V60" s="187"/>
      <c r="W60" s="4"/>
      <c r="X60" s="26"/>
      <c r="Y60" s="26"/>
      <c r="Z60" s="26"/>
      <c r="AA60" s="26"/>
      <c r="AB60" s="26"/>
      <c r="AC60" s="26"/>
      <c r="AD60" s="4"/>
    </row>
    <row r="61" spans="1:32" ht="18.75" thickBot="1">
      <c r="A61" s="4"/>
      <c r="B61" s="1853" t="s">
        <v>251</v>
      </c>
      <c r="C61" s="1854"/>
      <c r="D61" s="1853" t="e">
        <f ca="1">+CONCATENATE(" ",[10]!NumeLetras(X61,"con","sOLES",1))</f>
        <v>#NAME?</v>
      </c>
      <c r="E61" s="1855"/>
      <c r="F61" s="1855"/>
      <c r="G61" s="1855"/>
      <c r="H61" s="1855"/>
      <c r="I61" s="1855"/>
      <c r="J61" s="1855"/>
      <c r="K61" s="1855"/>
      <c r="L61" s="1855"/>
      <c r="M61" s="1855"/>
      <c r="N61" s="1855"/>
      <c r="O61" s="1855"/>
      <c r="P61" s="1855"/>
      <c r="Q61" s="1855"/>
      <c r="R61" s="1855"/>
      <c r="S61" s="1855"/>
      <c r="T61" s="1855"/>
      <c r="U61" s="1855"/>
      <c r="V61" s="1854"/>
      <c r="W61" s="4"/>
      <c r="X61" s="1859">
        <f>+X58*REPOSICIÓN!J45</f>
        <v>0</v>
      </c>
      <c r="Y61" s="1860"/>
      <c r="Z61" s="1860"/>
      <c r="AA61" s="1860"/>
      <c r="AB61" s="1860"/>
      <c r="AC61" s="1861"/>
      <c r="AD61" s="4"/>
    </row>
    <row r="62" spans="1:32" ht="18">
      <c r="A62" s="4"/>
      <c r="B62" s="162"/>
      <c r="C62" s="162"/>
      <c r="D62" s="162"/>
      <c r="E62" s="162"/>
      <c r="F62" s="162"/>
      <c r="G62" s="162"/>
      <c r="H62" s="162"/>
      <c r="I62" s="162"/>
      <c r="J62" s="162"/>
      <c r="K62" s="162"/>
      <c r="L62" s="162"/>
      <c r="M62" s="162"/>
      <c r="N62" s="162"/>
      <c r="O62" s="162"/>
      <c r="P62" s="162"/>
      <c r="Q62" s="162"/>
      <c r="R62" s="162"/>
      <c r="S62" s="162"/>
      <c r="T62" s="162"/>
      <c r="U62" s="162"/>
      <c r="V62" s="162"/>
      <c r="W62" s="4"/>
      <c r="X62" s="163"/>
      <c r="Y62" s="163"/>
      <c r="Z62" s="163"/>
      <c r="AA62" s="163"/>
      <c r="AB62" s="163"/>
      <c r="AC62" s="163"/>
      <c r="AD62" s="4"/>
    </row>
    <row r="63" spans="1:32" ht="15.75">
      <c r="A63" s="1292" t="s">
        <v>1014</v>
      </c>
      <c r="B63" s="1293"/>
      <c r="C63" s="1293"/>
      <c r="D63" s="1293"/>
      <c r="E63" s="1293"/>
      <c r="F63" s="1293"/>
      <c r="G63" s="1293"/>
      <c r="H63" s="1293"/>
      <c r="I63" s="1293"/>
      <c r="J63" s="1293"/>
      <c r="K63" s="1293"/>
      <c r="L63" s="1293"/>
      <c r="M63" s="1293"/>
      <c r="N63" s="1293"/>
      <c r="O63" s="1293"/>
      <c r="P63" s="1293"/>
      <c r="Q63" s="1293"/>
      <c r="R63" s="1293"/>
      <c r="S63" s="1293"/>
      <c r="T63" s="1293"/>
      <c r="U63" s="1293"/>
      <c r="V63" s="1293"/>
      <c r="W63" s="1293"/>
      <c r="X63" s="1293"/>
      <c r="Y63" s="1293"/>
      <c r="Z63" s="1293"/>
      <c r="AA63" s="1293"/>
      <c r="AB63" s="1293"/>
      <c r="AC63" s="1293"/>
      <c r="AD63" s="1294"/>
    </row>
    <row r="64" spans="1:32" s="24" customFormat="1" ht="15.75">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row>
    <row r="65" spans="1:31" ht="15.75">
      <c r="A65" s="4"/>
      <c r="B65" s="640" t="s">
        <v>267</v>
      </c>
      <c r="C65" s="640"/>
      <c r="D65" s="640"/>
      <c r="E65" s="640"/>
      <c r="F65" s="640"/>
      <c r="G65" s="640"/>
      <c r="H65" s="164"/>
      <c r="I65" s="164"/>
      <c r="J65" s="1821" t="s">
        <v>1108</v>
      </c>
      <c r="K65" s="1822"/>
      <c r="L65" s="1822"/>
      <c r="M65" s="1822"/>
      <c r="N65" s="1822"/>
      <c r="O65" s="1822"/>
      <c r="P65" s="1822"/>
      <c r="Q65" s="1822"/>
      <c r="R65" s="1823"/>
      <c r="S65" s="164"/>
      <c r="T65" s="164"/>
      <c r="U65" s="164"/>
      <c r="V65" s="164"/>
      <c r="W65" s="164"/>
      <c r="X65" s="164"/>
      <c r="Y65" s="164"/>
      <c r="Z65" s="164"/>
      <c r="AA65" s="164"/>
      <c r="AB65" s="164"/>
      <c r="AC65" s="164"/>
      <c r="AD65" s="4"/>
    </row>
    <row r="66" spans="1:31" ht="15.75">
      <c r="A66" s="4"/>
      <c r="B66" s="34"/>
      <c r="C66" s="34"/>
      <c r="D66" s="34"/>
      <c r="E66" s="34"/>
      <c r="F66" s="34"/>
      <c r="G66" s="35"/>
      <c r="H66" s="101"/>
      <c r="I66" s="101"/>
      <c r="J66" s="265"/>
      <c r="K66" s="265"/>
      <c r="L66" s="265"/>
      <c r="M66" s="265"/>
      <c r="N66" s="265"/>
      <c r="O66" s="266"/>
      <c r="P66" s="266"/>
      <c r="Q66" s="266"/>
      <c r="R66" s="266"/>
      <c r="S66" s="26"/>
      <c r="T66" s="26"/>
      <c r="U66" s="26"/>
      <c r="V66" s="26"/>
      <c r="W66" s="26"/>
      <c r="X66" s="26"/>
      <c r="Y66" s="26"/>
      <c r="Z66" s="26"/>
      <c r="AA66" s="26"/>
      <c r="AB66" s="26"/>
      <c r="AC66" s="26"/>
      <c r="AD66" s="4"/>
    </row>
    <row r="67" spans="1:31" ht="15.75">
      <c r="A67" s="4"/>
      <c r="B67" s="640" t="s">
        <v>268</v>
      </c>
      <c r="C67" s="640"/>
      <c r="D67" s="640"/>
      <c r="E67" s="640"/>
      <c r="F67" s="640"/>
      <c r="G67" s="640"/>
      <c r="H67" s="164"/>
      <c r="I67" s="164"/>
      <c r="J67" s="1821" t="s">
        <v>1113</v>
      </c>
      <c r="K67" s="1822"/>
      <c r="L67" s="1822"/>
      <c r="M67" s="1822"/>
      <c r="N67" s="1822"/>
      <c r="O67" s="1822"/>
      <c r="P67" s="1822"/>
      <c r="Q67" s="1822"/>
      <c r="R67" s="1823"/>
      <c r="S67" s="164"/>
      <c r="T67" s="164"/>
      <c r="U67" s="164"/>
      <c r="V67" s="164"/>
      <c r="W67" s="164"/>
      <c r="X67" s="164"/>
      <c r="Y67" s="164"/>
      <c r="Z67" s="164"/>
      <c r="AA67" s="164"/>
      <c r="AB67" s="164"/>
      <c r="AC67" s="164"/>
      <c r="AD67" s="4"/>
    </row>
    <row r="68" spans="1:31" s="24" customFormat="1" ht="15.75">
      <c r="A68" s="4"/>
      <c r="B68" s="35"/>
      <c r="C68" s="34"/>
      <c r="D68" s="34"/>
      <c r="E68" s="34"/>
      <c r="F68" s="34"/>
      <c r="G68" s="34"/>
      <c r="H68" s="26"/>
      <c r="I68" s="26"/>
      <c r="J68" s="26"/>
      <c r="K68" s="26"/>
      <c r="L68" s="26"/>
      <c r="M68" s="26"/>
      <c r="N68" s="26"/>
      <c r="O68" s="26"/>
      <c r="P68" s="26"/>
      <c r="Q68" s="26"/>
      <c r="R68" s="26"/>
      <c r="S68" s="26"/>
      <c r="T68" s="26"/>
      <c r="U68" s="26"/>
      <c r="V68" s="26"/>
      <c r="W68" s="26"/>
      <c r="X68" s="26"/>
      <c r="Y68" s="26"/>
      <c r="Z68" s="26"/>
      <c r="AA68" s="26"/>
      <c r="AB68" s="26"/>
      <c r="AC68" s="4"/>
      <c r="AD68" s="4"/>
    </row>
    <row r="69" spans="1:31" s="24" customFormat="1" ht="15.75" customHeight="1">
      <c r="A69" s="4"/>
      <c r="B69" s="55" t="s">
        <v>1015</v>
      </c>
      <c r="C69" s="55"/>
      <c r="D69" s="55"/>
      <c r="E69" s="55"/>
      <c r="F69" s="55"/>
      <c r="G69" s="55"/>
      <c r="I69" s="164"/>
      <c r="J69" s="1873" t="s">
        <v>1122</v>
      </c>
      <c r="K69" s="1874"/>
      <c r="L69" s="1874"/>
      <c r="M69" s="1874"/>
      <c r="N69" s="1874"/>
      <c r="O69" s="1874"/>
      <c r="P69" s="1874"/>
      <c r="Q69" s="1874"/>
      <c r="R69" s="1875"/>
      <c r="S69" s="164"/>
      <c r="T69" s="164"/>
      <c r="U69" s="164"/>
      <c r="V69" s="164"/>
      <c r="W69" s="164"/>
      <c r="X69" s="164"/>
      <c r="Y69" s="164"/>
      <c r="Z69" s="164"/>
      <c r="AA69" s="164"/>
      <c r="AB69" s="164"/>
      <c r="AC69" s="164"/>
      <c r="AD69" s="4"/>
    </row>
    <row r="70" spans="1:31" ht="15.75">
      <c r="A70" s="4"/>
      <c r="B70" s="26"/>
      <c r="C70" s="26"/>
      <c r="D70" s="26"/>
      <c r="E70" s="26"/>
      <c r="F70" s="26"/>
      <c r="G70" s="26"/>
      <c r="H70" s="26"/>
      <c r="I70" s="26"/>
      <c r="J70" s="26"/>
      <c r="K70" s="26"/>
      <c r="L70" s="26"/>
      <c r="M70" s="26"/>
      <c r="N70" s="26"/>
      <c r="O70" s="4"/>
      <c r="P70" s="4"/>
      <c r="Q70" s="4"/>
      <c r="R70" s="4"/>
      <c r="S70" s="4"/>
      <c r="T70" s="4"/>
      <c r="U70" s="4"/>
      <c r="V70" s="26"/>
      <c r="W70" s="26"/>
      <c r="X70" s="26"/>
      <c r="Y70" s="26"/>
      <c r="Z70" s="26"/>
      <c r="AA70" s="26"/>
      <c r="AB70" s="26"/>
      <c r="AC70" s="4"/>
      <c r="AD70" s="4"/>
    </row>
    <row r="71" spans="1:31" ht="15.75">
      <c r="A71" s="4"/>
      <c r="B71" s="26"/>
      <c r="C71" s="26"/>
      <c r="D71" s="26"/>
      <c r="E71" s="26"/>
      <c r="F71" s="26"/>
      <c r="G71" s="26"/>
      <c r="H71" s="26"/>
      <c r="I71" s="26"/>
      <c r="J71" s="26"/>
      <c r="K71" s="26"/>
      <c r="L71" s="26"/>
      <c r="M71" s="26"/>
      <c r="N71" s="26"/>
      <c r="O71" s="4"/>
      <c r="P71" s="4"/>
      <c r="Q71" s="4"/>
      <c r="R71" s="4"/>
      <c r="S71" s="4"/>
      <c r="T71" s="4"/>
      <c r="U71" s="4"/>
      <c r="V71" s="26"/>
      <c r="W71" s="26"/>
      <c r="X71" s="26"/>
      <c r="Y71" s="26"/>
      <c r="Z71" s="26"/>
      <c r="AA71" s="26"/>
      <c r="AB71" s="26"/>
      <c r="AC71" s="4"/>
      <c r="AD71" s="4"/>
    </row>
    <row r="72" spans="1:31" ht="15.75">
      <c r="A72" s="4"/>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4"/>
      <c r="AD72" s="4"/>
      <c r="AE72" s="24"/>
    </row>
    <row r="73" spans="1:31" ht="15.75">
      <c r="A73" s="4"/>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4"/>
      <c r="AD73" s="4"/>
      <c r="AE73" s="24"/>
    </row>
    <row r="74" spans="1:31" ht="15.75" customHeight="1">
      <c r="A74" s="4"/>
      <c r="B74" s="26"/>
      <c r="C74" s="26"/>
      <c r="D74" s="26"/>
      <c r="E74" s="26"/>
      <c r="F74" s="26"/>
      <c r="G74" s="26"/>
      <c r="H74" s="26"/>
      <c r="I74" s="26"/>
      <c r="J74" s="26"/>
      <c r="K74" s="26"/>
      <c r="L74" s="26"/>
      <c r="M74" s="26"/>
      <c r="N74" s="26"/>
      <c r="O74" s="26"/>
      <c r="P74" s="26"/>
      <c r="Q74" s="1815" t="s">
        <v>75</v>
      </c>
      <c r="R74" s="1816"/>
      <c r="S74" s="1817"/>
      <c r="T74" s="1868" t="s">
        <v>1286</v>
      </c>
      <c r="U74" s="1869"/>
      <c r="V74" s="1869"/>
      <c r="W74" s="1869"/>
      <c r="X74" s="1869"/>
      <c r="Y74" s="1869"/>
      <c r="Z74" s="1869"/>
      <c r="AA74" s="1869"/>
      <c r="AB74" s="1869"/>
      <c r="AC74" s="1870"/>
      <c r="AD74" s="4"/>
      <c r="AE74" s="24"/>
    </row>
    <row r="75" spans="1:31" ht="15.75">
      <c r="A75" s="4"/>
      <c r="B75" s="26"/>
      <c r="C75" s="26"/>
      <c r="D75" s="26"/>
      <c r="E75" s="26"/>
      <c r="F75" s="26"/>
      <c r="G75" s="26"/>
      <c r="H75" s="26"/>
      <c r="I75" s="26"/>
      <c r="J75" s="26"/>
      <c r="K75" s="26"/>
      <c r="L75" s="26"/>
      <c r="M75" s="26"/>
      <c r="N75" s="26"/>
      <c r="O75" s="26"/>
      <c r="P75" s="26"/>
      <c r="Q75" s="1871" t="s">
        <v>269</v>
      </c>
      <c r="R75" s="640"/>
      <c r="S75" s="1872"/>
      <c r="T75" s="1821" t="s">
        <v>1287</v>
      </c>
      <c r="U75" s="1822"/>
      <c r="V75" s="1822"/>
      <c r="W75" s="1822"/>
      <c r="X75" s="1822"/>
      <c r="Y75" s="1822"/>
      <c r="Z75" s="1822"/>
      <c r="AA75" s="1822"/>
      <c r="AB75" s="1822"/>
      <c r="AC75" s="1823"/>
      <c r="AD75" s="4"/>
      <c r="AE75" s="24"/>
    </row>
    <row r="76" spans="1:31" ht="15.75">
      <c r="A76" s="4"/>
      <c r="B76" s="26"/>
      <c r="C76" s="26"/>
      <c r="D76" s="26"/>
      <c r="E76" s="26"/>
      <c r="F76" s="26"/>
      <c r="G76" s="26"/>
      <c r="H76" s="26"/>
      <c r="I76" s="26"/>
      <c r="J76" s="26"/>
      <c r="K76" s="26"/>
      <c r="L76" s="26"/>
      <c r="M76" s="26"/>
      <c r="N76" s="26"/>
      <c r="O76" s="26"/>
      <c r="P76" s="26"/>
      <c r="Q76" s="1815" t="s">
        <v>76</v>
      </c>
      <c r="R76" s="1816"/>
      <c r="S76" s="1817"/>
      <c r="T76" s="1818" t="s">
        <v>1288</v>
      </c>
      <c r="U76" s="1819"/>
      <c r="V76" s="1819"/>
      <c r="W76" s="1819"/>
      <c r="X76" s="1819"/>
      <c r="Y76" s="1819"/>
      <c r="Z76" s="1819"/>
      <c r="AA76" s="1819"/>
      <c r="AB76" s="1819"/>
      <c r="AC76" s="1820"/>
      <c r="AD76" s="4"/>
      <c r="AE76" s="24"/>
    </row>
    <row r="77" spans="1:31" ht="15.75">
      <c r="A77" s="4"/>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4"/>
      <c r="AD77" s="4"/>
      <c r="AE77" s="24"/>
    </row>
    <row r="78" spans="1:31" ht="15.75">
      <c r="A78" s="1292" t="s">
        <v>1016</v>
      </c>
      <c r="B78" s="1293"/>
      <c r="C78" s="1293"/>
      <c r="D78" s="1293"/>
      <c r="E78" s="1293"/>
      <c r="F78" s="1293"/>
      <c r="G78" s="1293"/>
      <c r="H78" s="1293"/>
      <c r="I78" s="1293"/>
      <c r="J78" s="1293"/>
      <c r="K78" s="1293"/>
      <c r="L78" s="1293"/>
      <c r="M78" s="1293"/>
      <c r="N78" s="1293"/>
      <c r="O78" s="1293"/>
      <c r="P78" s="1293"/>
      <c r="Q78" s="1293"/>
      <c r="R78" s="1293"/>
      <c r="S78" s="1293"/>
      <c r="T78" s="1293"/>
      <c r="U78" s="1293"/>
      <c r="V78" s="1293"/>
      <c r="W78" s="1293"/>
      <c r="X78" s="1293"/>
      <c r="Y78" s="1293"/>
      <c r="Z78" s="1293"/>
      <c r="AA78" s="1293"/>
      <c r="AB78" s="1293"/>
      <c r="AC78" s="1293"/>
      <c r="AD78" s="1294"/>
    </row>
    <row r="79" spans="1:3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row>
    <row r="80" spans="1:31">
      <c r="A80" s="24"/>
      <c r="B80" s="1806" t="s">
        <v>1109</v>
      </c>
      <c r="C80" s="1807"/>
      <c r="D80" s="1807"/>
      <c r="E80" s="1807"/>
      <c r="F80" s="1807"/>
      <c r="G80" s="1807"/>
      <c r="H80" s="1807"/>
      <c r="I80" s="1807"/>
      <c r="J80" s="1807"/>
      <c r="K80" s="1807"/>
      <c r="L80" s="1807"/>
      <c r="M80" s="1807"/>
      <c r="N80" s="1807"/>
      <c r="O80" s="1807"/>
      <c r="P80" s="1807"/>
      <c r="Q80" s="1807"/>
      <c r="R80" s="1807"/>
      <c r="S80" s="1807"/>
      <c r="T80" s="1807"/>
      <c r="U80" s="1807"/>
      <c r="V80" s="1807"/>
      <c r="W80" s="1807"/>
      <c r="X80" s="1807"/>
      <c r="Y80" s="1807"/>
      <c r="Z80" s="1807"/>
      <c r="AA80" s="1807"/>
      <c r="AB80" s="1807"/>
      <c r="AC80" s="1808"/>
      <c r="AD80" s="24"/>
    </row>
    <row r="81" spans="1:30" hidden="1">
      <c r="A81" s="24"/>
      <c r="B81" s="1809"/>
      <c r="C81" s="1810"/>
      <c r="D81" s="1810"/>
      <c r="E81" s="1810"/>
      <c r="F81" s="1810"/>
      <c r="G81" s="1810"/>
      <c r="H81" s="1810"/>
      <c r="I81" s="1810"/>
      <c r="J81" s="1810"/>
      <c r="K81" s="1810"/>
      <c r="L81" s="1810"/>
      <c r="M81" s="1810"/>
      <c r="N81" s="1810"/>
      <c r="O81" s="1810"/>
      <c r="P81" s="1810"/>
      <c r="Q81" s="1810"/>
      <c r="R81" s="1810"/>
      <c r="S81" s="1810"/>
      <c r="T81" s="1810"/>
      <c r="U81" s="1810"/>
      <c r="V81" s="1810"/>
      <c r="W81" s="1810"/>
      <c r="X81" s="1810"/>
      <c r="Y81" s="1810"/>
      <c r="Z81" s="1810"/>
      <c r="AA81" s="1810"/>
      <c r="AB81" s="1810"/>
      <c r="AC81" s="1811"/>
      <c r="AD81" s="24"/>
    </row>
    <row r="82" spans="1:30" hidden="1">
      <c r="A82" s="24"/>
      <c r="B82" s="1809"/>
      <c r="C82" s="1810"/>
      <c r="D82" s="1810"/>
      <c r="E82" s="1810"/>
      <c r="F82" s="1810"/>
      <c r="G82" s="1810"/>
      <c r="H82" s="1810"/>
      <c r="I82" s="1810"/>
      <c r="J82" s="1810"/>
      <c r="K82" s="1810"/>
      <c r="L82" s="1810"/>
      <c r="M82" s="1810"/>
      <c r="N82" s="1810"/>
      <c r="O82" s="1810"/>
      <c r="P82" s="1810"/>
      <c r="Q82" s="1810"/>
      <c r="R82" s="1810"/>
      <c r="S82" s="1810"/>
      <c r="T82" s="1810"/>
      <c r="U82" s="1810"/>
      <c r="V82" s="1810"/>
      <c r="W82" s="1810"/>
      <c r="X82" s="1810"/>
      <c r="Y82" s="1810"/>
      <c r="Z82" s="1810"/>
      <c r="AA82" s="1810"/>
      <c r="AB82" s="1810"/>
      <c r="AC82" s="1811"/>
      <c r="AD82" s="24"/>
    </row>
    <row r="83" spans="1:30" hidden="1">
      <c r="A83" s="24"/>
      <c r="B83" s="1809"/>
      <c r="C83" s="1810"/>
      <c r="D83" s="1810"/>
      <c r="E83" s="1810"/>
      <c r="F83" s="1810"/>
      <c r="G83" s="1810"/>
      <c r="H83" s="1810"/>
      <c r="I83" s="1810"/>
      <c r="J83" s="1810"/>
      <c r="K83" s="1810"/>
      <c r="L83" s="1810"/>
      <c r="M83" s="1810"/>
      <c r="N83" s="1810"/>
      <c r="O83" s="1810"/>
      <c r="P83" s="1810"/>
      <c r="Q83" s="1810"/>
      <c r="R83" s="1810"/>
      <c r="S83" s="1810"/>
      <c r="T83" s="1810"/>
      <c r="U83" s="1810"/>
      <c r="V83" s="1810"/>
      <c r="W83" s="1810"/>
      <c r="X83" s="1810"/>
      <c r="Y83" s="1810"/>
      <c r="Z83" s="1810"/>
      <c r="AA83" s="1810"/>
      <c r="AB83" s="1810"/>
      <c r="AC83" s="1811"/>
      <c r="AD83" s="24"/>
    </row>
    <row r="84" spans="1:30" hidden="1">
      <c r="A84" s="24"/>
      <c r="B84" s="1809"/>
      <c r="C84" s="1810"/>
      <c r="D84" s="1810"/>
      <c r="E84" s="1810"/>
      <c r="F84" s="1810"/>
      <c r="G84" s="1810"/>
      <c r="H84" s="1810"/>
      <c r="I84" s="1810"/>
      <c r="J84" s="1810"/>
      <c r="K84" s="1810"/>
      <c r="L84" s="1810"/>
      <c r="M84" s="1810"/>
      <c r="N84" s="1810"/>
      <c r="O84" s="1810"/>
      <c r="P84" s="1810"/>
      <c r="Q84" s="1810"/>
      <c r="R84" s="1810"/>
      <c r="S84" s="1810"/>
      <c r="T84" s="1810"/>
      <c r="U84" s="1810"/>
      <c r="V84" s="1810"/>
      <c r="W84" s="1810"/>
      <c r="X84" s="1810"/>
      <c r="Y84" s="1810"/>
      <c r="Z84" s="1810"/>
      <c r="AA84" s="1810"/>
      <c r="AB84" s="1810"/>
      <c r="AC84" s="1811"/>
      <c r="AD84" s="24"/>
    </row>
    <row r="85" spans="1:30" hidden="1">
      <c r="A85" s="24"/>
      <c r="B85" s="1809"/>
      <c r="C85" s="1810"/>
      <c r="D85" s="1810"/>
      <c r="E85" s="1810"/>
      <c r="F85" s="1810"/>
      <c r="G85" s="1810"/>
      <c r="H85" s="1810"/>
      <c r="I85" s="1810"/>
      <c r="J85" s="1810"/>
      <c r="K85" s="1810"/>
      <c r="L85" s="1810"/>
      <c r="M85" s="1810"/>
      <c r="N85" s="1810"/>
      <c r="O85" s="1810"/>
      <c r="P85" s="1810"/>
      <c r="Q85" s="1810"/>
      <c r="R85" s="1810"/>
      <c r="S85" s="1810"/>
      <c r="T85" s="1810"/>
      <c r="U85" s="1810"/>
      <c r="V85" s="1810"/>
      <c r="W85" s="1810"/>
      <c r="X85" s="1810"/>
      <c r="Y85" s="1810"/>
      <c r="Z85" s="1810"/>
      <c r="AA85" s="1810"/>
      <c r="AB85" s="1810"/>
      <c r="AC85" s="1811"/>
      <c r="AD85" s="24"/>
    </row>
    <row r="86" spans="1:30" hidden="1">
      <c r="A86" s="24"/>
      <c r="B86" s="1809"/>
      <c r="C86" s="1810"/>
      <c r="D86" s="1810"/>
      <c r="E86" s="1810"/>
      <c r="F86" s="1810"/>
      <c r="G86" s="1810"/>
      <c r="H86" s="1810"/>
      <c r="I86" s="1810"/>
      <c r="J86" s="1810"/>
      <c r="K86" s="1810"/>
      <c r="L86" s="1810"/>
      <c r="M86" s="1810"/>
      <c r="N86" s="1810"/>
      <c r="O86" s="1810"/>
      <c r="P86" s="1810"/>
      <c r="Q86" s="1810"/>
      <c r="R86" s="1810"/>
      <c r="S86" s="1810"/>
      <c r="T86" s="1810"/>
      <c r="U86" s="1810"/>
      <c r="V86" s="1810"/>
      <c r="W86" s="1810"/>
      <c r="X86" s="1810"/>
      <c r="Y86" s="1810"/>
      <c r="Z86" s="1810"/>
      <c r="AA86" s="1810"/>
      <c r="AB86" s="1810"/>
      <c r="AC86" s="1811"/>
      <c r="AD86" s="24"/>
    </row>
    <row r="87" spans="1:30" hidden="1">
      <c r="A87" s="24"/>
      <c r="B87" s="1809"/>
      <c r="C87" s="1810"/>
      <c r="D87" s="1810"/>
      <c r="E87" s="1810"/>
      <c r="F87" s="1810"/>
      <c r="G87" s="1810"/>
      <c r="H87" s="1810"/>
      <c r="I87" s="1810"/>
      <c r="J87" s="1810"/>
      <c r="K87" s="1810"/>
      <c r="L87" s="1810"/>
      <c r="M87" s="1810"/>
      <c r="N87" s="1810"/>
      <c r="O87" s="1810"/>
      <c r="P87" s="1810"/>
      <c r="Q87" s="1810"/>
      <c r="R87" s="1810"/>
      <c r="S87" s="1810"/>
      <c r="T87" s="1810"/>
      <c r="U87" s="1810"/>
      <c r="V87" s="1810"/>
      <c r="W87" s="1810"/>
      <c r="X87" s="1810"/>
      <c r="Y87" s="1810"/>
      <c r="Z87" s="1810"/>
      <c r="AA87" s="1810"/>
      <c r="AB87" s="1810"/>
      <c r="AC87" s="1811"/>
      <c r="AD87" s="24"/>
    </row>
    <row r="88" spans="1:30">
      <c r="A88" s="24"/>
      <c r="B88" s="1812"/>
      <c r="C88" s="1813"/>
      <c r="D88" s="1813"/>
      <c r="E88" s="1813"/>
      <c r="F88" s="1813"/>
      <c r="G88" s="1813"/>
      <c r="H88" s="1813"/>
      <c r="I88" s="1813"/>
      <c r="J88" s="1813"/>
      <c r="K88" s="1813"/>
      <c r="L88" s="1813"/>
      <c r="M88" s="1813"/>
      <c r="N88" s="1813"/>
      <c r="O88" s="1813"/>
      <c r="P88" s="1813"/>
      <c r="Q88" s="1813"/>
      <c r="R88" s="1813"/>
      <c r="S88" s="1813"/>
      <c r="T88" s="1813"/>
      <c r="U88" s="1813"/>
      <c r="V88" s="1813"/>
      <c r="W88" s="1813"/>
      <c r="X88" s="1813"/>
      <c r="Y88" s="1813"/>
      <c r="Z88" s="1813"/>
      <c r="AA88" s="1813"/>
      <c r="AB88" s="1813"/>
      <c r="AC88" s="1814"/>
      <c r="AD88" s="24"/>
    </row>
    <row r="89" spans="1:30">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spans="1:30" ht="15.75">
      <c r="A90" s="1292" t="s">
        <v>1017</v>
      </c>
      <c r="B90" s="1293"/>
      <c r="C90" s="1293"/>
      <c r="D90" s="1293"/>
      <c r="E90" s="1293"/>
      <c r="F90" s="1293"/>
      <c r="G90" s="1293"/>
      <c r="H90" s="1293"/>
      <c r="I90" s="1293"/>
      <c r="J90" s="1293"/>
      <c r="K90" s="1293"/>
      <c r="L90" s="1293"/>
      <c r="M90" s="1293"/>
      <c r="N90" s="1293"/>
      <c r="O90" s="1293"/>
      <c r="P90" s="1293"/>
      <c r="Q90" s="1293"/>
      <c r="R90" s="1293"/>
      <c r="S90" s="1293"/>
      <c r="T90" s="1293"/>
      <c r="U90" s="1293"/>
      <c r="V90" s="1293"/>
      <c r="W90" s="1293"/>
      <c r="X90" s="1293"/>
      <c r="Y90" s="1293"/>
      <c r="Z90" s="1293"/>
      <c r="AA90" s="1293"/>
      <c r="AB90" s="1293"/>
      <c r="AC90" s="1293"/>
      <c r="AD90" s="1294"/>
    </row>
    <row r="91" spans="1:30">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spans="1:30">
      <c r="A92" s="24"/>
      <c r="B92" s="1806" t="s">
        <v>1106</v>
      </c>
      <c r="C92" s="1807"/>
      <c r="D92" s="1807"/>
      <c r="E92" s="1807"/>
      <c r="F92" s="1807"/>
      <c r="G92" s="1807"/>
      <c r="H92" s="1807"/>
      <c r="I92" s="1807"/>
      <c r="J92" s="1807"/>
      <c r="K92" s="1807"/>
      <c r="L92" s="1807"/>
      <c r="M92" s="1807"/>
      <c r="N92" s="1807"/>
      <c r="O92" s="1807"/>
      <c r="P92" s="1807"/>
      <c r="Q92" s="1807"/>
      <c r="R92" s="1807"/>
      <c r="S92" s="1807"/>
      <c r="T92" s="1807"/>
      <c r="U92" s="1807"/>
      <c r="V92" s="1807"/>
      <c r="W92" s="1807"/>
      <c r="X92" s="1807"/>
      <c r="Y92" s="1807"/>
      <c r="Z92" s="1807"/>
      <c r="AA92" s="1807"/>
      <c r="AB92" s="1807"/>
      <c r="AC92" s="1808"/>
      <c r="AD92" s="24"/>
    </row>
    <row r="93" spans="1:30" hidden="1">
      <c r="A93" s="24"/>
      <c r="B93" s="1809"/>
      <c r="C93" s="1810"/>
      <c r="D93" s="1810"/>
      <c r="E93" s="1810"/>
      <c r="F93" s="1810"/>
      <c r="G93" s="1810"/>
      <c r="H93" s="1810"/>
      <c r="I93" s="1810"/>
      <c r="J93" s="1810"/>
      <c r="K93" s="1810"/>
      <c r="L93" s="1810"/>
      <c r="M93" s="1810"/>
      <c r="N93" s="1810"/>
      <c r="O93" s="1810"/>
      <c r="P93" s="1810"/>
      <c r="Q93" s="1810"/>
      <c r="R93" s="1810"/>
      <c r="S93" s="1810"/>
      <c r="T93" s="1810"/>
      <c r="U93" s="1810"/>
      <c r="V93" s="1810"/>
      <c r="W93" s="1810"/>
      <c r="X93" s="1810"/>
      <c r="Y93" s="1810"/>
      <c r="Z93" s="1810"/>
      <c r="AA93" s="1810"/>
      <c r="AB93" s="1810"/>
      <c r="AC93" s="1811"/>
      <c r="AD93" s="24"/>
    </row>
    <row r="94" spans="1:30" hidden="1">
      <c r="A94" s="24"/>
      <c r="B94" s="1809"/>
      <c r="C94" s="1810"/>
      <c r="D94" s="1810"/>
      <c r="E94" s="1810"/>
      <c r="F94" s="1810"/>
      <c r="G94" s="1810"/>
      <c r="H94" s="1810"/>
      <c r="I94" s="1810"/>
      <c r="J94" s="1810"/>
      <c r="K94" s="1810"/>
      <c r="L94" s="1810"/>
      <c r="M94" s="1810"/>
      <c r="N94" s="1810"/>
      <c r="O94" s="1810"/>
      <c r="P94" s="1810"/>
      <c r="Q94" s="1810"/>
      <c r="R94" s="1810"/>
      <c r="S94" s="1810"/>
      <c r="T94" s="1810"/>
      <c r="U94" s="1810"/>
      <c r="V94" s="1810"/>
      <c r="W94" s="1810"/>
      <c r="X94" s="1810"/>
      <c r="Y94" s="1810"/>
      <c r="Z94" s="1810"/>
      <c r="AA94" s="1810"/>
      <c r="AB94" s="1810"/>
      <c r="AC94" s="1811"/>
      <c r="AD94" s="24"/>
    </row>
    <row r="95" spans="1:30" hidden="1">
      <c r="A95" s="24"/>
      <c r="B95" s="1809"/>
      <c r="C95" s="1810"/>
      <c r="D95" s="1810"/>
      <c r="E95" s="1810"/>
      <c r="F95" s="1810"/>
      <c r="G95" s="1810"/>
      <c r="H95" s="1810"/>
      <c r="I95" s="1810"/>
      <c r="J95" s="1810"/>
      <c r="K95" s="1810"/>
      <c r="L95" s="1810"/>
      <c r="M95" s="1810"/>
      <c r="N95" s="1810"/>
      <c r="O95" s="1810"/>
      <c r="P95" s="1810"/>
      <c r="Q95" s="1810"/>
      <c r="R95" s="1810"/>
      <c r="S95" s="1810"/>
      <c r="T95" s="1810"/>
      <c r="U95" s="1810"/>
      <c r="V95" s="1810"/>
      <c r="W95" s="1810"/>
      <c r="X95" s="1810"/>
      <c r="Y95" s="1810"/>
      <c r="Z95" s="1810"/>
      <c r="AA95" s="1810"/>
      <c r="AB95" s="1810"/>
      <c r="AC95" s="1811"/>
      <c r="AD95" s="24"/>
    </row>
    <row r="96" spans="1:30" hidden="1">
      <c r="A96" s="24"/>
      <c r="B96" s="1809"/>
      <c r="C96" s="1810"/>
      <c r="D96" s="1810"/>
      <c r="E96" s="1810"/>
      <c r="F96" s="1810"/>
      <c r="G96" s="1810"/>
      <c r="H96" s="1810"/>
      <c r="I96" s="1810"/>
      <c r="J96" s="1810"/>
      <c r="K96" s="1810"/>
      <c r="L96" s="1810"/>
      <c r="M96" s="1810"/>
      <c r="N96" s="1810"/>
      <c r="O96" s="1810"/>
      <c r="P96" s="1810"/>
      <c r="Q96" s="1810"/>
      <c r="R96" s="1810"/>
      <c r="S96" s="1810"/>
      <c r="T96" s="1810"/>
      <c r="U96" s="1810"/>
      <c r="V96" s="1810"/>
      <c r="W96" s="1810"/>
      <c r="X96" s="1810"/>
      <c r="Y96" s="1810"/>
      <c r="Z96" s="1810"/>
      <c r="AA96" s="1810"/>
      <c r="AB96" s="1810"/>
      <c r="AC96" s="1811"/>
      <c r="AD96" s="24"/>
    </row>
    <row r="97" spans="1:30" hidden="1">
      <c r="A97" s="24"/>
      <c r="B97" s="1809"/>
      <c r="C97" s="1810"/>
      <c r="D97" s="1810"/>
      <c r="E97" s="1810"/>
      <c r="F97" s="1810"/>
      <c r="G97" s="1810"/>
      <c r="H97" s="1810"/>
      <c r="I97" s="1810"/>
      <c r="J97" s="1810"/>
      <c r="K97" s="1810"/>
      <c r="L97" s="1810"/>
      <c r="M97" s="1810"/>
      <c r="N97" s="1810"/>
      <c r="O97" s="1810"/>
      <c r="P97" s="1810"/>
      <c r="Q97" s="1810"/>
      <c r="R97" s="1810"/>
      <c r="S97" s="1810"/>
      <c r="T97" s="1810"/>
      <c r="U97" s="1810"/>
      <c r="V97" s="1810"/>
      <c r="W97" s="1810"/>
      <c r="X97" s="1810"/>
      <c r="Y97" s="1810"/>
      <c r="Z97" s="1810"/>
      <c r="AA97" s="1810"/>
      <c r="AB97" s="1810"/>
      <c r="AC97" s="1811"/>
      <c r="AD97" s="24"/>
    </row>
    <row r="98" spans="1:30" hidden="1">
      <c r="A98" s="24"/>
      <c r="B98" s="1809"/>
      <c r="C98" s="1810"/>
      <c r="D98" s="1810"/>
      <c r="E98" s="1810"/>
      <c r="F98" s="1810"/>
      <c r="G98" s="1810"/>
      <c r="H98" s="1810"/>
      <c r="I98" s="1810"/>
      <c r="J98" s="1810"/>
      <c r="K98" s="1810"/>
      <c r="L98" s="1810"/>
      <c r="M98" s="1810"/>
      <c r="N98" s="1810"/>
      <c r="O98" s="1810"/>
      <c r="P98" s="1810"/>
      <c r="Q98" s="1810"/>
      <c r="R98" s="1810"/>
      <c r="S98" s="1810"/>
      <c r="T98" s="1810"/>
      <c r="U98" s="1810"/>
      <c r="V98" s="1810"/>
      <c r="W98" s="1810"/>
      <c r="X98" s="1810"/>
      <c r="Y98" s="1810"/>
      <c r="Z98" s="1810"/>
      <c r="AA98" s="1810"/>
      <c r="AB98" s="1810"/>
      <c r="AC98" s="1811"/>
      <c r="AD98" s="24"/>
    </row>
    <row r="99" spans="1:30" hidden="1">
      <c r="A99" s="24"/>
      <c r="B99" s="1809"/>
      <c r="C99" s="1810"/>
      <c r="D99" s="1810"/>
      <c r="E99" s="1810"/>
      <c r="F99" s="1810"/>
      <c r="G99" s="1810"/>
      <c r="H99" s="1810"/>
      <c r="I99" s="1810"/>
      <c r="J99" s="1810"/>
      <c r="K99" s="1810"/>
      <c r="L99" s="1810"/>
      <c r="M99" s="1810"/>
      <c r="N99" s="1810"/>
      <c r="O99" s="1810"/>
      <c r="P99" s="1810"/>
      <c r="Q99" s="1810"/>
      <c r="R99" s="1810"/>
      <c r="S99" s="1810"/>
      <c r="T99" s="1810"/>
      <c r="U99" s="1810"/>
      <c r="V99" s="1810"/>
      <c r="W99" s="1810"/>
      <c r="X99" s="1810"/>
      <c r="Y99" s="1810"/>
      <c r="Z99" s="1810"/>
      <c r="AA99" s="1810"/>
      <c r="AB99" s="1810"/>
      <c r="AC99" s="1811"/>
      <c r="AD99" s="24"/>
    </row>
    <row r="100" spans="1:30" hidden="1">
      <c r="A100" s="24"/>
      <c r="B100" s="1809"/>
      <c r="C100" s="1810"/>
      <c r="D100" s="1810"/>
      <c r="E100" s="1810"/>
      <c r="F100" s="1810"/>
      <c r="G100" s="1810"/>
      <c r="H100" s="1810"/>
      <c r="I100" s="1810"/>
      <c r="J100" s="1810"/>
      <c r="K100" s="1810"/>
      <c r="L100" s="1810"/>
      <c r="M100" s="1810"/>
      <c r="N100" s="1810"/>
      <c r="O100" s="1810"/>
      <c r="P100" s="1810"/>
      <c r="Q100" s="1810"/>
      <c r="R100" s="1810"/>
      <c r="S100" s="1810"/>
      <c r="T100" s="1810"/>
      <c r="U100" s="1810"/>
      <c r="V100" s="1810"/>
      <c r="W100" s="1810"/>
      <c r="X100" s="1810"/>
      <c r="Y100" s="1810"/>
      <c r="Z100" s="1810"/>
      <c r="AA100" s="1810"/>
      <c r="AB100" s="1810"/>
      <c r="AC100" s="1811"/>
      <c r="AD100" s="24"/>
    </row>
    <row r="101" spans="1:30">
      <c r="A101" s="24"/>
      <c r="B101" s="1812"/>
      <c r="C101" s="1813"/>
      <c r="D101" s="1813"/>
      <c r="E101" s="1813"/>
      <c r="F101" s="1813"/>
      <c r="G101" s="1813"/>
      <c r="H101" s="1813"/>
      <c r="I101" s="1813"/>
      <c r="J101" s="1813"/>
      <c r="K101" s="1813"/>
      <c r="L101" s="1813"/>
      <c r="M101" s="1813"/>
      <c r="N101" s="1813"/>
      <c r="O101" s="1813"/>
      <c r="P101" s="1813"/>
      <c r="Q101" s="1813"/>
      <c r="R101" s="1813"/>
      <c r="S101" s="1813"/>
      <c r="T101" s="1813"/>
      <c r="U101" s="1813"/>
      <c r="V101" s="1813"/>
      <c r="W101" s="1813"/>
      <c r="X101" s="1813"/>
      <c r="Y101" s="1813"/>
      <c r="Z101" s="1813"/>
      <c r="AA101" s="1813"/>
      <c r="AB101" s="1813"/>
      <c r="AC101" s="1814"/>
      <c r="AD101" s="24"/>
    </row>
    <row r="102" spans="1:30">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row>
  </sheetData>
  <mergeCells count="86">
    <mergeCell ref="B65:G65"/>
    <mergeCell ref="B67:G67"/>
    <mergeCell ref="Q74:S74"/>
    <mergeCell ref="T74:AC74"/>
    <mergeCell ref="Q75:S75"/>
    <mergeCell ref="T75:AC75"/>
    <mergeCell ref="J69:R69"/>
    <mergeCell ref="X56:AC56"/>
    <mergeCell ref="B58:C58"/>
    <mergeCell ref="D58:V58"/>
    <mergeCell ref="X58:AC58"/>
    <mergeCell ref="B61:C61"/>
    <mergeCell ref="D61:V61"/>
    <mergeCell ref="X61:AC61"/>
    <mergeCell ref="D53:Q53"/>
    <mergeCell ref="R53:W53"/>
    <mergeCell ref="X53:AC53"/>
    <mergeCell ref="C54:Q54"/>
    <mergeCell ref="R54:W54"/>
    <mergeCell ref="X54:AC54"/>
    <mergeCell ref="D51:Q51"/>
    <mergeCell ref="R51:W51"/>
    <mergeCell ref="X51:AC51"/>
    <mergeCell ref="D52:Q52"/>
    <mergeCell ref="R52:W52"/>
    <mergeCell ref="X52:AC52"/>
    <mergeCell ref="D49:Q49"/>
    <mergeCell ref="R49:W49"/>
    <mergeCell ref="X49:AC49"/>
    <mergeCell ref="D50:Q50"/>
    <mergeCell ref="R50:W50"/>
    <mergeCell ref="X50:AC50"/>
    <mergeCell ref="D48:Q48"/>
    <mergeCell ref="R48:W48"/>
    <mergeCell ref="X48:AC48"/>
    <mergeCell ref="X37:AC37"/>
    <mergeCell ref="B39:C39"/>
    <mergeCell ref="D39:V39"/>
    <mergeCell ref="X39:AC39"/>
    <mergeCell ref="B41:C41"/>
    <mergeCell ref="D41:V41"/>
    <mergeCell ref="X41:AC41"/>
    <mergeCell ref="B45:AC45"/>
    <mergeCell ref="C47:Q47"/>
    <mergeCell ref="R47:W47"/>
    <mergeCell ref="X47:AC47"/>
    <mergeCell ref="A43:AD43"/>
    <mergeCell ref="B28:AB28"/>
    <mergeCell ref="C30:AC30"/>
    <mergeCell ref="C32:AC32"/>
    <mergeCell ref="C34:AC34"/>
    <mergeCell ref="C36:K36"/>
    <mergeCell ref="M36:U36"/>
    <mergeCell ref="B24:K24"/>
    <mergeCell ref="O24:S24"/>
    <mergeCell ref="T24:X24"/>
    <mergeCell ref="Y24:AC24"/>
    <mergeCell ref="A26:AD26"/>
    <mergeCell ref="A16:AD16"/>
    <mergeCell ref="A17:AD17"/>
    <mergeCell ref="B23:K23"/>
    <mergeCell ref="O23:S23"/>
    <mergeCell ref="T23:X23"/>
    <mergeCell ref="Y23:AC23"/>
    <mergeCell ref="A63:AD63"/>
    <mergeCell ref="J65:R65"/>
    <mergeCell ref="J67:R67"/>
    <mergeCell ref="T12:X12"/>
    <mergeCell ref="Z12:AD12"/>
    <mergeCell ref="T13:X13"/>
    <mergeCell ref="Z13:AD13"/>
    <mergeCell ref="T14:X14"/>
    <mergeCell ref="Z14:AD14"/>
    <mergeCell ref="T15:X15"/>
    <mergeCell ref="Z15:AD15"/>
    <mergeCell ref="B19:AB19"/>
    <mergeCell ref="B21:K21"/>
    <mergeCell ref="O21:S21"/>
    <mergeCell ref="T21:X21"/>
    <mergeCell ref="Y21:AC21"/>
    <mergeCell ref="A78:AD78"/>
    <mergeCell ref="A90:AD90"/>
    <mergeCell ref="B80:AC88"/>
    <mergeCell ref="B92:AC101"/>
    <mergeCell ref="Q76:S76"/>
    <mergeCell ref="T76:AC76"/>
  </mergeCells>
  <dataValidations xWindow="619" yWindow="427" count="2">
    <dataValidation allowBlank="1" showInputMessage="1" showErrorMessage="1" errorTitle="FÓRMULA PROTEGIDA" error="Esta fórmula no se puede editar._x000a__x000a_¡NO INSISTA!" promptTitle="FÓRMULA PROTEGIDA" prompt="Esta fórmula no se puede editar." sqref="Y23:AC24" xr:uid="{00000000-0002-0000-0A00-000000000000}"/>
    <dataValidation allowBlank="1" showInputMessage="1" showErrorMessage="1" sqref="L37:T37 L56:T56" xr:uid="{00000000-0002-0000-0A00-000001000000}"/>
  </dataValidations>
  <printOptions horizontalCentered="1"/>
  <pageMargins left="0.70866141732283472" right="0.70866141732283472" top="0.74803149606299213" bottom="0.74803149606299213" header="0.31496062992125984" footer="0.31496062992125984"/>
  <pageSetup paperSize="9" scale="55" fitToHeight="0" orientation="portrait" r:id="rId1"/>
  <headerFooter>
    <oddFooter>&amp;L&amp;G&amp;R&amp;G
&amp;P</oddFooter>
  </headerFooter>
  <drawing r:id="rId2"/>
  <legacyDrawingHF r:id="rId3"/>
  <extLst>
    <ext xmlns:x14="http://schemas.microsoft.com/office/spreadsheetml/2009/9/main" uri="{CCE6A557-97BC-4b89-ADB6-D9C93CAAB3DF}">
      <x14:dataValidations xmlns:xm="http://schemas.microsoft.com/office/excel/2006/main" xWindow="619" yWindow="427" count="4">
        <x14:dataValidation type="list" allowBlank="1" showInputMessage="1" showErrorMessage="1" xr:uid="{00000000-0002-0000-0A00-000002000000}">
          <x14:formula1>
            <xm:f>'Lista-Data'!$BQ$3:$BQ$4</xm:f>
          </x14:formula1>
          <xm:sqref>M36:U36</xm:sqref>
        </x14:dataValidation>
        <x14:dataValidation type="list" allowBlank="1" showInputMessage="1" showErrorMessage="1" xr:uid="{00000000-0002-0000-0A00-000003000000}">
          <x14:formula1>
            <xm:f>'Lista-Data'!$F$41:$F$58</xm:f>
          </x14:formula1>
          <xm:sqref>T76:AC76</xm:sqref>
        </x14:dataValidation>
        <x14:dataValidation type="list" allowBlank="1" showInputMessage="1" showErrorMessage="1" xr:uid="{00000000-0002-0000-0A00-000004000000}">
          <x14:formula1>
            <xm:f>'Lista-Data'!$D$41:$D$61</xm:f>
          </x14:formula1>
          <xm:sqref>T74:AC74</xm:sqref>
        </x14:dataValidation>
        <x14:dataValidation type="list" allowBlank="1" showInputMessage="1" showErrorMessage="1" xr:uid="{00000000-0002-0000-0A00-000005000000}">
          <x14:formula1>
            <xm:f>'Lista-Data'!$E$41:$E$58</xm:f>
          </x14:formula1>
          <xm:sqref>T75:AC75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XF57"/>
  <sheetViews>
    <sheetView workbookViewId="0"/>
  </sheetViews>
  <sheetFormatPr baseColWidth="10" defaultColWidth="0" defaultRowHeight="12.75" customHeight="1"/>
  <cols>
    <col min="1" max="2" width="2" style="272" customWidth="1"/>
    <col min="3" max="21" width="1.7109375" style="272" customWidth="1"/>
    <col min="22" max="22" width="2.28515625" style="272" customWidth="1"/>
    <col min="23" max="28" width="1.7109375" style="272" customWidth="1"/>
    <col min="29" max="29" width="2.28515625" style="272" customWidth="1"/>
    <col min="30" max="30" width="1.7109375" style="272" customWidth="1"/>
    <col min="31" max="31" width="2.7109375" style="272" customWidth="1"/>
    <col min="32" max="36" width="1.7109375" style="272" customWidth="1"/>
    <col min="37" max="48" width="2" style="272" customWidth="1"/>
    <col min="49" max="50" width="2.140625" style="272" customWidth="1"/>
    <col min="51" max="256" width="2.140625" style="272" hidden="1"/>
    <col min="257" max="258" width="2" style="272" customWidth="1"/>
    <col min="259" max="277" width="1.7109375" style="272" customWidth="1"/>
    <col min="278" max="278" width="2.28515625" style="272" customWidth="1"/>
    <col min="279" max="284" width="1.7109375" style="272" customWidth="1"/>
    <col min="285" max="285" width="2.28515625" style="272" customWidth="1"/>
    <col min="286" max="286" width="1.7109375" style="272" customWidth="1"/>
    <col min="287" max="287" width="2.7109375" style="272" customWidth="1"/>
    <col min="288" max="292" width="1.7109375" style="272" customWidth="1"/>
    <col min="293" max="304" width="2" style="272" customWidth="1"/>
    <col min="305" max="306" width="2.140625" style="272" customWidth="1"/>
    <col min="307" max="512" width="2.140625" style="272" hidden="1"/>
    <col min="513" max="514" width="2" style="272" customWidth="1"/>
    <col min="515" max="533" width="1.7109375" style="272" customWidth="1"/>
    <col min="534" max="534" width="2.28515625" style="272" customWidth="1"/>
    <col min="535" max="540" width="1.7109375" style="272" customWidth="1"/>
    <col min="541" max="541" width="2.28515625" style="272" customWidth="1"/>
    <col min="542" max="542" width="1.7109375" style="272" customWidth="1"/>
    <col min="543" max="543" width="2.7109375" style="272" customWidth="1"/>
    <col min="544" max="548" width="1.7109375" style="272" customWidth="1"/>
    <col min="549" max="560" width="2" style="272" customWidth="1"/>
    <col min="561" max="562" width="2.140625" style="272" customWidth="1"/>
    <col min="563" max="768" width="2.140625" style="272" hidden="1"/>
    <col min="769" max="770" width="2" style="272" customWidth="1"/>
    <col min="771" max="789" width="1.7109375" style="272" customWidth="1"/>
    <col min="790" max="790" width="2.28515625" style="272" customWidth="1"/>
    <col min="791" max="796" width="1.7109375" style="272" customWidth="1"/>
    <col min="797" max="797" width="2.28515625" style="272" customWidth="1"/>
    <col min="798" max="798" width="1.7109375" style="272" customWidth="1"/>
    <col min="799" max="799" width="2.7109375" style="272" customWidth="1"/>
    <col min="800" max="804" width="1.7109375" style="272" customWidth="1"/>
    <col min="805" max="816" width="2" style="272" customWidth="1"/>
    <col min="817" max="818" width="2.140625" style="272" customWidth="1"/>
    <col min="819" max="1024" width="2.140625" style="272" hidden="1"/>
    <col min="1025" max="1026" width="2" style="272" customWidth="1"/>
    <col min="1027" max="1045" width="1.7109375" style="272" customWidth="1"/>
    <col min="1046" max="1046" width="2.28515625" style="272" customWidth="1"/>
    <col min="1047" max="1052" width="1.7109375" style="272" customWidth="1"/>
    <col min="1053" max="1053" width="2.28515625" style="272" customWidth="1"/>
    <col min="1054" max="1054" width="1.7109375" style="272" customWidth="1"/>
    <col min="1055" max="1055" width="2.7109375" style="272" customWidth="1"/>
    <col min="1056" max="1060" width="1.7109375" style="272" customWidth="1"/>
    <col min="1061" max="1072" width="2" style="272" customWidth="1"/>
    <col min="1073" max="1074" width="2.140625" style="272" customWidth="1"/>
    <col min="1075" max="1280" width="2.140625" style="272" hidden="1"/>
    <col min="1281" max="1282" width="2" style="272" customWidth="1"/>
    <col min="1283" max="1301" width="1.7109375" style="272" customWidth="1"/>
    <col min="1302" max="1302" width="2.28515625" style="272" customWidth="1"/>
    <col min="1303" max="1308" width="1.7109375" style="272" customWidth="1"/>
    <col min="1309" max="1309" width="2.28515625" style="272" customWidth="1"/>
    <col min="1310" max="1310" width="1.7109375" style="272" customWidth="1"/>
    <col min="1311" max="1311" width="2.7109375" style="272" customWidth="1"/>
    <col min="1312" max="1316" width="1.7109375" style="272" customWidth="1"/>
    <col min="1317" max="1328" width="2" style="272" customWidth="1"/>
    <col min="1329" max="1330" width="2.140625" style="272" customWidth="1"/>
    <col min="1331" max="1536" width="2.140625" style="272" hidden="1"/>
    <col min="1537" max="1538" width="2" style="272" customWidth="1"/>
    <col min="1539" max="1557" width="1.7109375" style="272" customWidth="1"/>
    <col min="1558" max="1558" width="2.28515625" style="272" customWidth="1"/>
    <col min="1559" max="1564" width="1.7109375" style="272" customWidth="1"/>
    <col min="1565" max="1565" width="2.28515625" style="272" customWidth="1"/>
    <col min="1566" max="1566" width="1.7109375" style="272" customWidth="1"/>
    <col min="1567" max="1567" width="2.7109375" style="272" customWidth="1"/>
    <col min="1568" max="1572" width="1.7109375" style="272" customWidth="1"/>
    <col min="1573" max="1584" width="2" style="272" customWidth="1"/>
    <col min="1585" max="1586" width="2.140625" style="272" customWidth="1"/>
    <col min="1587" max="1792" width="2.140625" style="272" hidden="1"/>
    <col min="1793" max="1794" width="2" style="272" customWidth="1"/>
    <col min="1795" max="1813" width="1.7109375" style="272" customWidth="1"/>
    <col min="1814" max="1814" width="2.28515625" style="272" customWidth="1"/>
    <col min="1815" max="1820" width="1.7109375" style="272" customWidth="1"/>
    <col min="1821" max="1821" width="2.28515625" style="272" customWidth="1"/>
    <col min="1822" max="1822" width="1.7109375" style="272" customWidth="1"/>
    <col min="1823" max="1823" width="2.7109375" style="272" customWidth="1"/>
    <col min="1824" max="1828" width="1.7109375" style="272" customWidth="1"/>
    <col min="1829" max="1840" width="2" style="272" customWidth="1"/>
    <col min="1841" max="1842" width="2.140625" style="272" customWidth="1"/>
    <col min="1843" max="2048" width="2.140625" style="272" hidden="1"/>
    <col min="2049" max="2050" width="2" style="272" customWidth="1"/>
    <col min="2051" max="2069" width="1.7109375" style="272" customWidth="1"/>
    <col min="2070" max="2070" width="2.28515625" style="272" customWidth="1"/>
    <col min="2071" max="2076" width="1.7109375" style="272" customWidth="1"/>
    <col min="2077" max="2077" width="2.28515625" style="272" customWidth="1"/>
    <col min="2078" max="2078" width="1.7109375" style="272" customWidth="1"/>
    <col min="2079" max="2079" width="2.7109375" style="272" customWidth="1"/>
    <col min="2080" max="2084" width="1.7109375" style="272" customWidth="1"/>
    <col min="2085" max="2096" width="2" style="272" customWidth="1"/>
    <col min="2097" max="2098" width="2.140625" style="272" customWidth="1"/>
    <col min="2099" max="2304" width="2.140625" style="272" hidden="1"/>
    <col min="2305" max="2306" width="2" style="272" customWidth="1"/>
    <col min="2307" max="2325" width="1.7109375" style="272" customWidth="1"/>
    <col min="2326" max="2326" width="2.28515625" style="272" customWidth="1"/>
    <col min="2327" max="2332" width="1.7109375" style="272" customWidth="1"/>
    <col min="2333" max="2333" width="2.28515625" style="272" customWidth="1"/>
    <col min="2334" max="2334" width="1.7109375" style="272" customWidth="1"/>
    <col min="2335" max="2335" width="2.7109375" style="272" customWidth="1"/>
    <col min="2336" max="2340" width="1.7109375" style="272" customWidth="1"/>
    <col min="2341" max="2352" width="2" style="272" customWidth="1"/>
    <col min="2353" max="2354" width="2.140625" style="272" customWidth="1"/>
    <col min="2355" max="2560" width="2.140625" style="272" hidden="1"/>
    <col min="2561" max="2562" width="2" style="272" customWidth="1"/>
    <col min="2563" max="2581" width="1.7109375" style="272" customWidth="1"/>
    <col min="2582" max="2582" width="2.28515625" style="272" customWidth="1"/>
    <col min="2583" max="2588" width="1.7109375" style="272" customWidth="1"/>
    <col min="2589" max="2589" width="2.28515625" style="272" customWidth="1"/>
    <col min="2590" max="2590" width="1.7109375" style="272" customWidth="1"/>
    <col min="2591" max="2591" width="2.7109375" style="272" customWidth="1"/>
    <col min="2592" max="2596" width="1.7109375" style="272" customWidth="1"/>
    <col min="2597" max="2608" width="2" style="272" customWidth="1"/>
    <col min="2609" max="2610" width="2.140625" style="272" customWidth="1"/>
    <col min="2611" max="2816" width="2.140625" style="272" hidden="1"/>
    <col min="2817" max="2818" width="2" style="272" customWidth="1"/>
    <col min="2819" max="2837" width="1.7109375" style="272" customWidth="1"/>
    <col min="2838" max="2838" width="2.28515625" style="272" customWidth="1"/>
    <col min="2839" max="2844" width="1.7109375" style="272" customWidth="1"/>
    <col min="2845" max="2845" width="2.28515625" style="272" customWidth="1"/>
    <col min="2846" max="2846" width="1.7109375" style="272" customWidth="1"/>
    <col min="2847" max="2847" width="2.7109375" style="272" customWidth="1"/>
    <col min="2848" max="2852" width="1.7109375" style="272" customWidth="1"/>
    <col min="2853" max="2864" width="2" style="272" customWidth="1"/>
    <col min="2865" max="2866" width="2.140625" style="272" customWidth="1"/>
    <col min="2867" max="3072" width="2.140625" style="272" hidden="1"/>
    <col min="3073" max="3074" width="2" style="272" customWidth="1"/>
    <col min="3075" max="3093" width="1.7109375" style="272" customWidth="1"/>
    <col min="3094" max="3094" width="2.28515625" style="272" customWidth="1"/>
    <col min="3095" max="3100" width="1.7109375" style="272" customWidth="1"/>
    <col min="3101" max="3101" width="2.28515625" style="272" customWidth="1"/>
    <col min="3102" max="3102" width="1.7109375" style="272" customWidth="1"/>
    <col min="3103" max="3103" width="2.7109375" style="272" customWidth="1"/>
    <col min="3104" max="3108" width="1.7109375" style="272" customWidth="1"/>
    <col min="3109" max="3120" width="2" style="272" customWidth="1"/>
    <col min="3121" max="3122" width="2.140625" style="272" customWidth="1"/>
    <col min="3123" max="3328" width="2.140625" style="272" hidden="1"/>
    <col min="3329" max="3330" width="2" style="272" customWidth="1"/>
    <col min="3331" max="3349" width="1.7109375" style="272" customWidth="1"/>
    <col min="3350" max="3350" width="2.28515625" style="272" customWidth="1"/>
    <col min="3351" max="3356" width="1.7109375" style="272" customWidth="1"/>
    <col min="3357" max="3357" width="2.28515625" style="272" customWidth="1"/>
    <col min="3358" max="3358" width="1.7109375" style="272" customWidth="1"/>
    <col min="3359" max="3359" width="2.7109375" style="272" customWidth="1"/>
    <col min="3360" max="3364" width="1.7109375" style="272" customWidth="1"/>
    <col min="3365" max="3376" width="2" style="272" customWidth="1"/>
    <col min="3377" max="3378" width="2.140625" style="272" customWidth="1"/>
    <col min="3379" max="3584" width="2.140625" style="272" hidden="1"/>
    <col min="3585" max="3586" width="2" style="272" customWidth="1"/>
    <col min="3587" max="3605" width="1.7109375" style="272" customWidth="1"/>
    <col min="3606" max="3606" width="2.28515625" style="272" customWidth="1"/>
    <col min="3607" max="3612" width="1.7109375" style="272" customWidth="1"/>
    <col min="3613" max="3613" width="2.28515625" style="272" customWidth="1"/>
    <col min="3614" max="3614" width="1.7109375" style="272" customWidth="1"/>
    <col min="3615" max="3615" width="2.7109375" style="272" customWidth="1"/>
    <col min="3616" max="3620" width="1.7109375" style="272" customWidth="1"/>
    <col min="3621" max="3632" width="2" style="272" customWidth="1"/>
    <col min="3633" max="3634" width="2.140625" style="272" customWidth="1"/>
    <col min="3635" max="3840" width="2.140625" style="272" hidden="1"/>
    <col min="3841" max="3842" width="2" style="272" customWidth="1"/>
    <col min="3843" max="3861" width="1.7109375" style="272" customWidth="1"/>
    <col min="3862" max="3862" width="2.28515625" style="272" customWidth="1"/>
    <col min="3863" max="3868" width="1.7109375" style="272" customWidth="1"/>
    <col min="3869" max="3869" width="2.28515625" style="272" customWidth="1"/>
    <col min="3870" max="3870" width="1.7109375" style="272" customWidth="1"/>
    <col min="3871" max="3871" width="2.7109375" style="272" customWidth="1"/>
    <col min="3872" max="3876" width="1.7109375" style="272" customWidth="1"/>
    <col min="3877" max="3888" width="2" style="272" customWidth="1"/>
    <col min="3889" max="3890" width="2.140625" style="272" customWidth="1"/>
    <col min="3891" max="4096" width="2.140625" style="272" hidden="1"/>
    <col min="4097" max="4098" width="2" style="272" customWidth="1"/>
    <col min="4099" max="4117" width="1.7109375" style="272" customWidth="1"/>
    <col min="4118" max="4118" width="2.28515625" style="272" customWidth="1"/>
    <col min="4119" max="4124" width="1.7109375" style="272" customWidth="1"/>
    <col min="4125" max="4125" width="2.28515625" style="272" customWidth="1"/>
    <col min="4126" max="4126" width="1.7109375" style="272" customWidth="1"/>
    <col min="4127" max="4127" width="2.7109375" style="272" customWidth="1"/>
    <col min="4128" max="4132" width="1.7109375" style="272" customWidth="1"/>
    <col min="4133" max="4144" width="2" style="272" customWidth="1"/>
    <col min="4145" max="4146" width="2.140625" style="272" customWidth="1"/>
    <col min="4147" max="4352" width="2.140625" style="272" hidden="1"/>
    <col min="4353" max="4354" width="2" style="272" customWidth="1"/>
    <col min="4355" max="4373" width="1.7109375" style="272" customWidth="1"/>
    <col min="4374" max="4374" width="2.28515625" style="272" customWidth="1"/>
    <col min="4375" max="4380" width="1.7109375" style="272" customWidth="1"/>
    <col min="4381" max="4381" width="2.28515625" style="272" customWidth="1"/>
    <col min="4382" max="4382" width="1.7109375" style="272" customWidth="1"/>
    <col min="4383" max="4383" width="2.7109375" style="272" customWidth="1"/>
    <col min="4384" max="4388" width="1.7109375" style="272" customWidth="1"/>
    <col min="4389" max="4400" width="2" style="272" customWidth="1"/>
    <col min="4401" max="4402" width="2.140625" style="272" customWidth="1"/>
    <col min="4403" max="4608" width="2.140625" style="272" hidden="1"/>
    <col min="4609" max="4610" width="2" style="272" customWidth="1"/>
    <col min="4611" max="4629" width="1.7109375" style="272" customWidth="1"/>
    <col min="4630" max="4630" width="2.28515625" style="272" customWidth="1"/>
    <col min="4631" max="4636" width="1.7109375" style="272" customWidth="1"/>
    <col min="4637" max="4637" width="2.28515625" style="272" customWidth="1"/>
    <col min="4638" max="4638" width="1.7109375" style="272" customWidth="1"/>
    <col min="4639" max="4639" width="2.7109375" style="272" customWidth="1"/>
    <col min="4640" max="4644" width="1.7109375" style="272" customWidth="1"/>
    <col min="4645" max="4656" width="2" style="272" customWidth="1"/>
    <col min="4657" max="4658" width="2.140625" style="272" customWidth="1"/>
    <col min="4659" max="4864" width="2.140625" style="272" hidden="1"/>
    <col min="4865" max="4866" width="2" style="272" customWidth="1"/>
    <col min="4867" max="4885" width="1.7109375" style="272" customWidth="1"/>
    <col min="4886" max="4886" width="2.28515625" style="272" customWidth="1"/>
    <col min="4887" max="4892" width="1.7109375" style="272" customWidth="1"/>
    <col min="4893" max="4893" width="2.28515625" style="272" customWidth="1"/>
    <col min="4894" max="4894" width="1.7109375" style="272" customWidth="1"/>
    <col min="4895" max="4895" width="2.7109375" style="272" customWidth="1"/>
    <col min="4896" max="4900" width="1.7109375" style="272" customWidth="1"/>
    <col min="4901" max="4912" width="2" style="272" customWidth="1"/>
    <col min="4913" max="4914" width="2.140625" style="272" customWidth="1"/>
    <col min="4915" max="5120" width="2.140625" style="272" hidden="1"/>
    <col min="5121" max="5122" width="2" style="272" customWidth="1"/>
    <col min="5123" max="5141" width="1.7109375" style="272" customWidth="1"/>
    <col min="5142" max="5142" width="2.28515625" style="272" customWidth="1"/>
    <col min="5143" max="5148" width="1.7109375" style="272" customWidth="1"/>
    <col min="5149" max="5149" width="2.28515625" style="272" customWidth="1"/>
    <col min="5150" max="5150" width="1.7109375" style="272" customWidth="1"/>
    <col min="5151" max="5151" width="2.7109375" style="272" customWidth="1"/>
    <col min="5152" max="5156" width="1.7109375" style="272" customWidth="1"/>
    <col min="5157" max="5168" width="2" style="272" customWidth="1"/>
    <col min="5169" max="5170" width="2.140625" style="272" customWidth="1"/>
    <col min="5171" max="5376" width="2.140625" style="272" hidden="1"/>
    <col min="5377" max="5378" width="2" style="272" customWidth="1"/>
    <col min="5379" max="5397" width="1.7109375" style="272" customWidth="1"/>
    <col min="5398" max="5398" width="2.28515625" style="272" customWidth="1"/>
    <col min="5399" max="5404" width="1.7109375" style="272" customWidth="1"/>
    <col min="5405" max="5405" width="2.28515625" style="272" customWidth="1"/>
    <col min="5406" max="5406" width="1.7109375" style="272" customWidth="1"/>
    <col min="5407" max="5407" width="2.7109375" style="272" customWidth="1"/>
    <col min="5408" max="5412" width="1.7109375" style="272" customWidth="1"/>
    <col min="5413" max="5424" width="2" style="272" customWidth="1"/>
    <col min="5425" max="5426" width="2.140625" style="272" customWidth="1"/>
    <col min="5427" max="5632" width="2.140625" style="272" hidden="1"/>
    <col min="5633" max="5634" width="2" style="272" customWidth="1"/>
    <col min="5635" max="5653" width="1.7109375" style="272" customWidth="1"/>
    <col min="5654" max="5654" width="2.28515625" style="272" customWidth="1"/>
    <col min="5655" max="5660" width="1.7109375" style="272" customWidth="1"/>
    <col min="5661" max="5661" width="2.28515625" style="272" customWidth="1"/>
    <col min="5662" max="5662" width="1.7109375" style="272" customWidth="1"/>
    <col min="5663" max="5663" width="2.7109375" style="272" customWidth="1"/>
    <col min="5664" max="5668" width="1.7109375" style="272" customWidth="1"/>
    <col min="5669" max="5680" width="2" style="272" customWidth="1"/>
    <col min="5681" max="5682" width="2.140625" style="272" customWidth="1"/>
    <col min="5683" max="5888" width="2.140625" style="272" hidden="1"/>
    <col min="5889" max="5890" width="2" style="272" customWidth="1"/>
    <col min="5891" max="5909" width="1.7109375" style="272" customWidth="1"/>
    <col min="5910" max="5910" width="2.28515625" style="272" customWidth="1"/>
    <col min="5911" max="5916" width="1.7109375" style="272" customWidth="1"/>
    <col min="5917" max="5917" width="2.28515625" style="272" customWidth="1"/>
    <col min="5918" max="5918" width="1.7109375" style="272" customWidth="1"/>
    <col min="5919" max="5919" width="2.7109375" style="272" customWidth="1"/>
    <col min="5920" max="5924" width="1.7109375" style="272" customWidth="1"/>
    <col min="5925" max="5936" width="2" style="272" customWidth="1"/>
    <col min="5937" max="5938" width="2.140625" style="272" customWidth="1"/>
    <col min="5939" max="6144" width="2.140625" style="272" hidden="1"/>
    <col min="6145" max="6146" width="2" style="272" customWidth="1"/>
    <col min="6147" max="6165" width="1.7109375" style="272" customWidth="1"/>
    <col min="6166" max="6166" width="2.28515625" style="272" customWidth="1"/>
    <col min="6167" max="6172" width="1.7109375" style="272" customWidth="1"/>
    <col min="6173" max="6173" width="2.28515625" style="272" customWidth="1"/>
    <col min="6174" max="6174" width="1.7109375" style="272" customWidth="1"/>
    <col min="6175" max="6175" width="2.7109375" style="272" customWidth="1"/>
    <col min="6176" max="6180" width="1.7109375" style="272" customWidth="1"/>
    <col min="6181" max="6192" width="2" style="272" customWidth="1"/>
    <col min="6193" max="6194" width="2.140625" style="272" customWidth="1"/>
    <col min="6195" max="6400" width="2.140625" style="272" hidden="1"/>
    <col min="6401" max="6402" width="2" style="272" customWidth="1"/>
    <col min="6403" max="6421" width="1.7109375" style="272" customWidth="1"/>
    <col min="6422" max="6422" width="2.28515625" style="272" customWidth="1"/>
    <col min="6423" max="6428" width="1.7109375" style="272" customWidth="1"/>
    <col min="6429" max="6429" width="2.28515625" style="272" customWidth="1"/>
    <col min="6430" max="6430" width="1.7109375" style="272" customWidth="1"/>
    <col min="6431" max="6431" width="2.7109375" style="272" customWidth="1"/>
    <col min="6432" max="6436" width="1.7109375" style="272" customWidth="1"/>
    <col min="6437" max="6448" width="2" style="272" customWidth="1"/>
    <col min="6449" max="6450" width="2.140625" style="272" customWidth="1"/>
    <col min="6451" max="6656" width="2.140625" style="272" hidden="1"/>
    <col min="6657" max="6658" width="2" style="272" customWidth="1"/>
    <col min="6659" max="6677" width="1.7109375" style="272" customWidth="1"/>
    <col min="6678" max="6678" width="2.28515625" style="272" customWidth="1"/>
    <col min="6679" max="6684" width="1.7109375" style="272" customWidth="1"/>
    <col min="6685" max="6685" width="2.28515625" style="272" customWidth="1"/>
    <col min="6686" max="6686" width="1.7109375" style="272" customWidth="1"/>
    <col min="6687" max="6687" width="2.7109375" style="272" customWidth="1"/>
    <col min="6688" max="6692" width="1.7109375" style="272" customWidth="1"/>
    <col min="6693" max="6704" width="2" style="272" customWidth="1"/>
    <col min="6705" max="6706" width="2.140625" style="272" customWidth="1"/>
    <col min="6707" max="6912" width="2.140625" style="272" hidden="1"/>
    <col min="6913" max="6914" width="2" style="272" customWidth="1"/>
    <col min="6915" max="6933" width="1.7109375" style="272" customWidth="1"/>
    <col min="6934" max="6934" width="2.28515625" style="272" customWidth="1"/>
    <col min="6935" max="6940" width="1.7109375" style="272" customWidth="1"/>
    <col min="6941" max="6941" width="2.28515625" style="272" customWidth="1"/>
    <col min="6942" max="6942" width="1.7109375" style="272" customWidth="1"/>
    <col min="6943" max="6943" width="2.7109375" style="272" customWidth="1"/>
    <col min="6944" max="6948" width="1.7109375" style="272" customWidth="1"/>
    <col min="6949" max="6960" width="2" style="272" customWidth="1"/>
    <col min="6961" max="6962" width="2.140625" style="272" customWidth="1"/>
    <col min="6963" max="7168" width="2.140625" style="272" hidden="1"/>
    <col min="7169" max="7170" width="2" style="272" customWidth="1"/>
    <col min="7171" max="7189" width="1.7109375" style="272" customWidth="1"/>
    <col min="7190" max="7190" width="2.28515625" style="272" customWidth="1"/>
    <col min="7191" max="7196" width="1.7109375" style="272" customWidth="1"/>
    <col min="7197" max="7197" width="2.28515625" style="272" customWidth="1"/>
    <col min="7198" max="7198" width="1.7109375" style="272" customWidth="1"/>
    <col min="7199" max="7199" width="2.7109375" style="272" customWidth="1"/>
    <col min="7200" max="7204" width="1.7109375" style="272" customWidth="1"/>
    <col min="7205" max="7216" width="2" style="272" customWidth="1"/>
    <col min="7217" max="7218" width="2.140625" style="272" customWidth="1"/>
    <col min="7219" max="7424" width="2.140625" style="272" hidden="1"/>
    <col min="7425" max="7426" width="2" style="272" customWidth="1"/>
    <col min="7427" max="7445" width="1.7109375" style="272" customWidth="1"/>
    <col min="7446" max="7446" width="2.28515625" style="272" customWidth="1"/>
    <col min="7447" max="7452" width="1.7109375" style="272" customWidth="1"/>
    <col min="7453" max="7453" width="2.28515625" style="272" customWidth="1"/>
    <col min="7454" max="7454" width="1.7109375" style="272" customWidth="1"/>
    <col min="7455" max="7455" width="2.7109375" style="272" customWidth="1"/>
    <col min="7456" max="7460" width="1.7109375" style="272" customWidth="1"/>
    <col min="7461" max="7472" width="2" style="272" customWidth="1"/>
    <col min="7473" max="7474" width="2.140625" style="272" customWidth="1"/>
    <col min="7475" max="7680" width="2.140625" style="272" hidden="1"/>
    <col min="7681" max="7682" width="2" style="272" customWidth="1"/>
    <col min="7683" max="7701" width="1.7109375" style="272" customWidth="1"/>
    <col min="7702" max="7702" width="2.28515625" style="272" customWidth="1"/>
    <col min="7703" max="7708" width="1.7109375" style="272" customWidth="1"/>
    <col min="7709" max="7709" width="2.28515625" style="272" customWidth="1"/>
    <col min="7710" max="7710" width="1.7109375" style="272" customWidth="1"/>
    <col min="7711" max="7711" width="2.7109375" style="272" customWidth="1"/>
    <col min="7712" max="7716" width="1.7109375" style="272" customWidth="1"/>
    <col min="7717" max="7728" width="2" style="272" customWidth="1"/>
    <col min="7729" max="7730" width="2.140625" style="272" customWidth="1"/>
    <col min="7731" max="7936" width="2.140625" style="272" hidden="1"/>
    <col min="7937" max="7938" width="2" style="272" customWidth="1"/>
    <col min="7939" max="7957" width="1.7109375" style="272" customWidth="1"/>
    <col min="7958" max="7958" width="2.28515625" style="272" customWidth="1"/>
    <col min="7959" max="7964" width="1.7109375" style="272" customWidth="1"/>
    <col min="7965" max="7965" width="2.28515625" style="272" customWidth="1"/>
    <col min="7966" max="7966" width="1.7109375" style="272" customWidth="1"/>
    <col min="7967" max="7967" width="2.7109375" style="272" customWidth="1"/>
    <col min="7968" max="7972" width="1.7109375" style="272" customWidth="1"/>
    <col min="7973" max="7984" width="2" style="272" customWidth="1"/>
    <col min="7985" max="7986" width="2.140625" style="272" customWidth="1"/>
    <col min="7987" max="8192" width="2.140625" style="272" hidden="1"/>
    <col min="8193" max="8194" width="2" style="272" customWidth="1"/>
    <col min="8195" max="8213" width="1.7109375" style="272" customWidth="1"/>
    <col min="8214" max="8214" width="2.28515625" style="272" customWidth="1"/>
    <col min="8215" max="8220" width="1.7109375" style="272" customWidth="1"/>
    <col min="8221" max="8221" width="2.28515625" style="272" customWidth="1"/>
    <col min="8222" max="8222" width="1.7109375" style="272" customWidth="1"/>
    <col min="8223" max="8223" width="2.7109375" style="272" customWidth="1"/>
    <col min="8224" max="8228" width="1.7109375" style="272" customWidth="1"/>
    <col min="8229" max="8240" width="2" style="272" customWidth="1"/>
    <col min="8241" max="8242" width="2.140625" style="272" customWidth="1"/>
    <col min="8243" max="8448" width="2.140625" style="272" hidden="1"/>
    <col min="8449" max="8450" width="2" style="272" customWidth="1"/>
    <col min="8451" max="8469" width="1.7109375" style="272" customWidth="1"/>
    <col min="8470" max="8470" width="2.28515625" style="272" customWidth="1"/>
    <col min="8471" max="8476" width="1.7109375" style="272" customWidth="1"/>
    <col min="8477" max="8477" width="2.28515625" style="272" customWidth="1"/>
    <col min="8478" max="8478" width="1.7109375" style="272" customWidth="1"/>
    <col min="8479" max="8479" width="2.7109375" style="272" customWidth="1"/>
    <col min="8480" max="8484" width="1.7109375" style="272" customWidth="1"/>
    <col min="8485" max="8496" width="2" style="272" customWidth="1"/>
    <col min="8497" max="8498" width="2.140625" style="272" customWidth="1"/>
    <col min="8499" max="8704" width="2.140625" style="272" hidden="1"/>
    <col min="8705" max="8706" width="2" style="272" customWidth="1"/>
    <col min="8707" max="8725" width="1.7109375" style="272" customWidth="1"/>
    <col min="8726" max="8726" width="2.28515625" style="272" customWidth="1"/>
    <col min="8727" max="8732" width="1.7109375" style="272" customWidth="1"/>
    <col min="8733" max="8733" width="2.28515625" style="272" customWidth="1"/>
    <col min="8734" max="8734" width="1.7109375" style="272" customWidth="1"/>
    <col min="8735" max="8735" width="2.7109375" style="272" customWidth="1"/>
    <col min="8736" max="8740" width="1.7109375" style="272" customWidth="1"/>
    <col min="8741" max="8752" width="2" style="272" customWidth="1"/>
    <col min="8753" max="8754" width="2.140625" style="272" customWidth="1"/>
    <col min="8755" max="8960" width="2.140625" style="272" hidden="1"/>
    <col min="8961" max="8962" width="2" style="272" customWidth="1"/>
    <col min="8963" max="8981" width="1.7109375" style="272" customWidth="1"/>
    <col min="8982" max="8982" width="2.28515625" style="272" customWidth="1"/>
    <col min="8983" max="8988" width="1.7109375" style="272" customWidth="1"/>
    <col min="8989" max="8989" width="2.28515625" style="272" customWidth="1"/>
    <col min="8990" max="8990" width="1.7109375" style="272" customWidth="1"/>
    <col min="8991" max="8991" width="2.7109375" style="272" customWidth="1"/>
    <col min="8992" max="8996" width="1.7109375" style="272" customWidth="1"/>
    <col min="8997" max="9008" width="2" style="272" customWidth="1"/>
    <col min="9009" max="9010" width="2.140625" style="272" customWidth="1"/>
    <col min="9011" max="9216" width="2.140625" style="272" hidden="1"/>
    <col min="9217" max="9218" width="2" style="272" customWidth="1"/>
    <col min="9219" max="9237" width="1.7109375" style="272" customWidth="1"/>
    <col min="9238" max="9238" width="2.28515625" style="272" customWidth="1"/>
    <col min="9239" max="9244" width="1.7109375" style="272" customWidth="1"/>
    <col min="9245" max="9245" width="2.28515625" style="272" customWidth="1"/>
    <col min="9246" max="9246" width="1.7109375" style="272" customWidth="1"/>
    <col min="9247" max="9247" width="2.7109375" style="272" customWidth="1"/>
    <col min="9248" max="9252" width="1.7109375" style="272" customWidth="1"/>
    <col min="9253" max="9264" width="2" style="272" customWidth="1"/>
    <col min="9265" max="9266" width="2.140625" style="272" customWidth="1"/>
    <col min="9267" max="9472" width="2.140625" style="272" hidden="1"/>
    <col min="9473" max="9474" width="2" style="272" customWidth="1"/>
    <col min="9475" max="9493" width="1.7109375" style="272" customWidth="1"/>
    <col min="9494" max="9494" width="2.28515625" style="272" customWidth="1"/>
    <col min="9495" max="9500" width="1.7109375" style="272" customWidth="1"/>
    <col min="9501" max="9501" width="2.28515625" style="272" customWidth="1"/>
    <col min="9502" max="9502" width="1.7109375" style="272" customWidth="1"/>
    <col min="9503" max="9503" width="2.7109375" style="272" customWidth="1"/>
    <col min="9504" max="9508" width="1.7109375" style="272" customWidth="1"/>
    <col min="9509" max="9520" width="2" style="272" customWidth="1"/>
    <col min="9521" max="9522" width="2.140625" style="272" customWidth="1"/>
    <col min="9523" max="9728" width="2.140625" style="272" hidden="1"/>
    <col min="9729" max="9730" width="2" style="272" customWidth="1"/>
    <col min="9731" max="9749" width="1.7109375" style="272" customWidth="1"/>
    <col min="9750" max="9750" width="2.28515625" style="272" customWidth="1"/>
    <col min="9751" max="9756" width="1.7109375" style="272" customWidth="1"/>
    <col min="9757" max="9757" width="2.28515625" style="272" customWidth="1"/>
    <col min="9758" max="9758" width="1.7109375" style="272" customWidth="1"/>
    <col min="9759" max="9759" width="2.7109375" style="272" customWidth="1"/>
    <col min="9760" max="9764" width="1.7109375" style="272" customWidth="1"/>
    <col min="9765" max="9776" width="2" style="272" customWidth="1"/>
    <col min="9777" max="9778" width="2.140625" style="272" customWidth="1"/>
    <col min="9779" max="9984" width="2.140625" style="272" hidden="1"/>
    <col min="9985" max="9986" width="2" style="272" customWidth="1"/>
    <col min="9987" max="10005" width="1.7109375" style="272" customWidth="1"/>
    <col min="10006" max="10006" width="2.28515625" style="272" customWidth="1"/>
    <col min="10007" max="10012" width="1.7109375" style="272" customWidth="1"/>
    <col min="10013" max="10013" width="2.28515625" style="272" customWidth="1"/>
    <col min="10014" max="10014" width="1.7109375" style="272" customWidth="1"/>
    <col min="10015" max="10015" width="2.7109375" style="272" customWidth="1"/>
    <col min="10016" max="10020" width="1.7109375" style="272" customWidth="1"/>
    <col min="10021" max="10032" width="2" style="272" customWidth="1"/>
    <col min="10033" max="10034" width="2.140625" style="272" customWidth="1"/>
    <col min="10035" max="10240" width="2.140625" style="272" hidden="1"/>
    <col min="10241" max="10242" width="2" style="272" customWidth="1"/>
    <col min="10243" max="10261" width="1.7109375" style="272" customWidth="1"/>
    <col min="10262" max="10262" width="2.28515625" style="272" customWidth="1"/>
    <col min="10263" max="10268" width="1.7109375" style="272" customWidth="1"/>
    <col min="10269" max="10269" width="2.28515625" style="272" customWidth="1"/>
    <col min="10270" max="10270" width="1.7109375" style="272" customWidth="1"/>
    <col min="10271" max="10271" width="2.7109375" style="272" customWidth="1"/>
    <col min="10272" max="10276" width="1.7109375" style="272" customWidth="1"/>
    <col min="10277" max="10288" width="2" style="272" customWidth="1"/>
    <col min="10289" max="10290" width="2.140625" style="272" customWidth="1"/>
    <col min="10291" max="10496" width="2.140625" style="272" hidden="1"/>
    <col min="10497" max="10498" width="2" style="272" customWidth="1"/>
    <col min="10499" max="10517" width="1.7109375" style="272" customWidth="1"/>
    <col min="10518" max="10518" width="2.28515625" style="272" customWidth="1"/>
    <col min="10519" max="10524" width="1.7109375" style="272" customWidth="1"/>
    <col min="10525" max="10525" width="2.28515625" style="272" customWidth="1"/>
    <col min="10526" max="10526" width="1.7109375" style="272" customWidth="1"/>
    <col min="10527" max="10527" width="2.7109375" style="272" customWidth="1"/>
    <col min="10528" max="10532" width="1.7109375" style="272" customWidth="1"/>
    <col min="10533" max="10544" width="2" style="272" customWidth="1"/>
    <col min="10545" max="10546" width="2.140625" style="272" customWidth="1"/>
    <col min="10547" max="10752" width="2.140625" style="272" hidden="1"/>
    <col min="10753" max="10754" width="2" style="272" customWidth="1"/>
    <col min="10755" max="10773" width="1.7109375" style="272" customWidth="1"/>
    <col min="10774" max="10774" width="2.28515625" style="272" customWidth="1"/>
    <col min="10775" max="10780" width="1.7109375" style="272" customWidth="1"/>
    <col min="10781" max="10781" width="2.28515625" style="272" customWidth="1"/>
    <col min="10782" max="10782" width="1.7109375" style="272" customWidth="1"/>
    <col min="10783" max="10783" width="2.7109375" style="272" customWidth="1"/>
    <col min="10784" max="10788" width="1.7109375" style="272" customWidth="1"/>
    <col min="10789" max="10800" width="2" style="272" customWidth="1"/>
    <col min="10801" max="10802" width="2.140625" style="272" customWidth="1"/>
    <col min="10803" max="11008" width="2.140625" style="272" hidden="1"/>
    <col min="11009" max="11010" width="2" style="272" customWidth="1"/>
    <col min="11011" max="11029" width="1.7109375" style="272" customWidth="1"/>
    <col min="11030" max="11030" width="2.28515625" style="272" customWidth="1"/>
    <col min="11031" max="11036" width="1.7109375" style="272" customWidth="1"/>
    <col min="11037" max="11037" width="2.28515625" style="272" customWidth="1"/>
    <col min="11038" max="11038" width="1.7109375" style="272" customWidth="1"/>
    <col min="11039" max="11039" width="2.7109375" style="272" customWidth="1"/>
    <col min="11040" max="11044" width="1.7109375" style="272" customWidth="1"/>
    <col min="11045" max="11056" width="2" style="272" customWidth="1"/>
    <col min="11057" max="11058" width="2.140625" style="272" customWidth="1"/>
    <col min="11059" max="11264" width="2.140625" style="272" hidden="1"/>
    <col min="11265" max="11266" width="2" style="272" customWidth="1"/>
    <col min="11267" max="11285" width="1.7109375" style="272" customWidth="1"/>
    <col min="11286" max="11286" width="2.28515625" style="272" customWidth="1"/>
    <col min="11287" max="11292" width="1.7109375" style="272" customWidth="1"/>
    <col min="11293" max="11293" width="2.28515625" style="272" customWidth="1"/>
    <col min="11294" max="11294" width="1.7109375" style="272" customWidth="1"/>
    <col min="11295" max="11295" width="2.7109375" style="272" customWidth="1"/>
    <col min="11296" max="11300" width="1.7109375" style="272" customWidth="1"/>
    <col min="11301" max="11312" width="2" style="272" customWidth="1"/>
    <col min="11313" max="11314" width="2.140625" style="272" customWidth="1"/>
    <col min="11315" max="11520" width="2.140625" style="272" hidden="1"/>
    <col min="11521" max="11522" width="2" style="272" customWidth="1"/>
    <col min="11523" max="11541" width="1.7109375" style="272" customWidth="1"/>
    <col min="11542" max="11542" width="2.28515625" style="272" customWidth="1"/>
    <col min="11543" max="11548" width="1.7109375" style="272" customWidth="1"/>
    <col min="11549" max="11549" width="2.28515625" style="272" customWidth="1"/>
    <col min="11550" max="11550" width="1.7109375" style="272" customWidth="1"/>
    <col min="11551" max="11551" width="2.7109375" style="272" customWidth="1"/>
    <col min="11552" max="11556" width="1.7109375" style="272" customWidth="1"/>
    <col min="11557" max="11568" width="2" style="272" customWidth="1"/>
    <col min="11569" max="11570" width="2.140625" style="272" customWidth="1"/>
    <col min="11571" max="11776" width="2.140625" style="272" hidden="1"/>
    <col min="11777" max="11778" width="2" style="272" customWidth="1"/>
    <col min="11779" max="11797" width="1.7109375" style="272" customWidth="1"/>
    <col min="11798" max="11798" width="2.28515625" style="272" customWidth="1"/>
    <col min="11799" max="11804" width="1.7109375" style="272" customWidth="1"/>
    <col min="11805" max="11805" width="2.28515625" style="272" customWidth="1"/>
    <col min="11806" max="11806" width="1.7109375" style="272" customWidth="1"/>
    <col min="11807" max="11807" width="2.7109375" style="272" customWidth="1"/>
    <col min="11808" max="11812" width="1.7109375" style="272" customWidth="1"/>
    <col min="11813" max="11824" width="2" style="272" customWidth="1"/>
    <col min="11825" max="11826" width="2.140625" style="272" customWidth="1"/>
    <col min="11827" max="12032" width="2.140625" style="272" hidden="1"/>
    <col min="12033" max="12034" width="2" style="272" customWidth="1"/>
    <col min="12035" max="12053" width="1.7109375" style="272" customWidth="1"/>
    <col min="12054" max="12054" width="2.28515625" style="272" customWidth="1"/>
    <col min="12055" max="12060" width="1.7109375" style="272" customWidth="1"/>
    <col min="12061" max="12061" width="2.28515625" style="272" customWidth="1"/>
    <col min="12062" max="12062" width="1.7109375" style="272" customWidth="1"/>
    <col min="12063" max="12063" width="2.7109375" style="272" customWidth="1"/>
    <col min="12064" max="12068" width="1.7109375" style="272" customWidth="1"/>
    <col min="12069" max="12080" width="2" style="272" customWidth="1"/>
    <col min="12081" max="12082" width="2.140625" style="272" customWidth="1"/>
    <col min="12083" max="12288" width="2.140625" style="272" hidden="1"/>
    <col min="12289" max="12290" width="2" style="272" customWidth="1"/>
    <col min="12291" max="12309" width="1.7109375" style="272" customWidth="1"/>
    <col min="12310" max="12310" width="2.28515625" style="272" customWidth="1"/>
    <col min="12311" max="12316" width="1.7109375" style="272" customWidth="1"/>
    <col min="12317" max="12317" width="2.28515625" style="272" customWidth="1"/>
    <col min="12318" max="12318" width="1.7109375" style="272" customWidth="1"/>
    <col min="12319" max="12319" width="2.7109375" style="272" customWidth="1"/>
    <col min="12320" max="12324" width="1.7109375" style="272" customWidth="1"/>
    <col min="12325" max="12336" width="2" style="272" customWidth="1"/>
    <col min="12337" max="12338" width="2.140625" style="272" customWidth="1"/>
    <col min="12339" max="12544" width="2.140625" style="272" hidden="1"/>
    <col min="12545" max="12546" width="2" style="272" customWidth="1"/>
    <col min="12547" max="12565" width="1.7109375" style="272" customWidth="1"/>
    <col min="12566" max="12566" width="2.28515625" style="272" customWidth="1"/>
    <col min="12567" max="12572" width="1.7109375" style="272" customWidth="1"/>
    <col min="12573" max="12573" width="2.28515625" style="272" customWidth="1"/>
    <col min="12574" max="12574" width="1.7109375" style="272" customWidth="1"/>
    <col min="12575" max="12575" width="2.7109375" style="272" customWidth="1"/>
    <col min="12576" max="12580" width="1.7109375" style="272" customWidth="1"/>
    <col min="12581" max="12592" width="2" style="272" customWidth="1"/>
    <col min="12593" max="12594" width="2.140625" style="272" customWidth="1"/>
    <col min="12595" max="12800" width="2.140625" style="272" hidden="1"/>
    <col min="12801" max="12802" width="2" style="272" customWidth="1"/>
    <col min="12803" max="12821" width="1.7109375" style="272" customWidth="1"/>
    <col min="12822" max="12822" width="2.28515625" style="272" customWidth="1"/>
    <col min="12823" max="12828" width="1.7109375" style="272" customWidth="1"/>
    <col min="12829" max="12829" width="2.28515625" style="272" customWidth="1"/>
    <col min="12830" max="12830" width="1.7109375" style="272" customWidth="1"/>
    <col min="12831" max="12831" width="2.7109375" style="272" customWidth="1"/>
    <col min="12832" max="12836" width="1.7109375" style="272" customWidth="1"/>
    <col min="12837" max="12848" width="2" style="272" customWidth="1"/>
    <col min="12849" max="12850" width="2.140625" style="272" customWidth="1"/>
    <col min="12851" max="13056" width="2.140625" style="272" hidden="1"/>
    <col min="13057" max="13058" width="2" style="272" customWidth="1"/>
    <col min="13059" max="13077" width="1.7109375" style="272" customWidth="1"/>
    <col min="13078" max="13078" width="2.28515625" style="272" customWidth="1"/>
    <col min="13079" max="13084" width="1.7109375" style="272" customWidth="1"/>
    <col min="13085" max="13085" width="2.28515625" style="272" customWidth="1"/>
    <col min="13086" max="13086" width="1.7109375" style="272" customWidth="1"/>
    <col min="13087" max="13087" width="2.7109375" style="272" customWidth="1"/>
    <col min="13088" max="13092" width="1.7109375" style="272" customWidth="1"/>
    <col min="13093" max="13104" width="2" style="272" customWidth="1"/>
    <col min="13105" max="13106" width="2.140625" style="272" customWidth="1"/>
    <col min="13107" max="13312" width="2.140625" style="272" hidden="1"/>
    <col min="13313" max="13314" width="2" style="272" customWidth="1"/>
    <col min="13315" max="13333" width="1.7109375" style="272" customWidth="1"/>
    <col min="13334" max="13334" width="2.28515625" style="272" customWidth="1"/>
    <col min="13335" max="13340" width="1.7109375" style="272" customWidth="1"/>
    <col min="13341" max="13341" width="2.28515625" style="272" customWidth="1"/>
    <col min="13342" max="13342" width="1.7109375" style="272" customWidth="1"/>
    <col min="13343" max="13343" width="2.7109375" style="272" customWidth="1"/>
    <col min="13344" max="13348" width="1.7109375" style="272" customWidth="1"/>
    <col min="13349" max="13360" width="2" style="272" customWidth="1"/>
    <col min="13361" max="13362" width="2.140625" style="272" customWidth="1"/>
    <col min="13363" max="13568" width="2.140625" style="272" hidden="1"/>
    <col min="13569" max="13570" width="2" style="272" customWidth="1"/>
    <col min="13571" max="13589" width="1.7109375" style="272" customWidth="1"/>
    <col min="13590" max="13590" width="2.28515625" style="272" customWidth="1"/>
    <col min="13591" max="13596" width="1.7109375" style="272" customWidth="1"/>
    <col min="13597" max="13597" width="2.28515625" style="272" customWidth="1"/>
    <col min="13598" max="13598" width="1.7109375" style="272" customWidth="1"/>
    <col min="13599" max="13599" width="2.7109375" style="272" customWidth="1"/>
    <col min="13600" max="13604" width="1.7109375" style="272" customWidth="1"/>
    <col min="13605" max="13616" width="2" style="272" customWidth="1"/>
    <col min="13617" max="13618" width="2.140625" style="272" customWidth="1"/>
    <col min="13619" max="13824" width="2.140625" style="272" hidden="1"/>
    <col min="13825" max="13826" width="2" style="272" customWidth="1"/>
    <col min="13827" max="13845" width="1.7109375" style="272" customWidth="1"/>
    <col min="13846" max="13846" width="2.28515625" style="272" customWidth="1"/>
    <col min="13847" max="13852" width="1.7109375" style="272" customWidth="1"/>
    <col min="13853" max="13853" width="2.28515625" style="272" customWidth="1"/>
    <col min="13854" max="13854" width="1.7109375" style="272" customWidth="1"/>
    <col min="13855" max="13855" width="2.7109375" style="272" customWidth="1"/>
    <col min="13856" max="13860" width="1.7109375" style="272" customWidth="1"/>
    <col min="13861" max="13872" width="2" style="272" customWidth="1"/>
    <col min="13873" max="13874" width="2.140625" style="272" customWidth="1"/>
    <col min="13875" max="14080" width="2.140625" style="272" hidden="1"/>
    <col min="14081" max="14082" width="2" style="272" customWidth="1"/>
    <col min="14083" max="14101" width="1.7109375" style="272" customWidth="1"/>
    <col min="14102" max="14102" width="2.28515625" style="272" customWidth="1"/>
    <col min="14103" max="14108" width="1.7109375" style="272" customWidth="1"/>
    <col min="14109" max="14109" width="2.28515625" style="272" customWidth="1"/>
    <col min="14110" max="14110" width="1.7109375" style="272" customWidth="1"/>
    <col min="14111" max="14111" width="2.7109375" style="272" customWidth="1"/>
    <col min="14112" max="14116" width="1.7109375" style="272" customWidth="1"/>
    <col min="14117" max="14128" width="2" style="272" customWidth="1"/>
    <col min="14129" max="14130" width="2.140625" style="272" customWidth="1"/>
    <col min="14131" max="14336" width="2.140625" style="272" hidden="1"/>
    <col min="14337" max="14338" width="2" style="272" customWidth="1"/>
    <col min="14339" max="14357" width="1.7109375" style="272" customWidth="1"/>
    <col min="14358" max="14358" width="2.28515625" style="272" customWidth="1"/>
    <col min="14359" max="14364" width="1.7109375" style="272" customWidth="1"/>
    <col min="14365" max="14365" width="2.28515625" style="272" customWidth="1"/>
    <col min="14366" max="14366" width="1.7109375" style="272" customWidth="1"/>
    <col min="14367" max="14367" width="2.7109375" style="272" customWidth="1"/>
    <col min="14368" max="14372" width="1.7109375" style="272" customWidth="1"/>
    <col min="14373" max="14384" width="2" style="272" customWidth="1"/>
    <col min="14385" max="14386" width="2.140625" style="272" customWidth="1"/>
    <col min="14387" max="14592" width="2.140625" style="272" hidden="1"/>
    <col min="14593" max="14594" width="2" style="272" customWidth="1"/>
    <col min="14595" max="14613" width="1.7109375" style="272" customWidth="1"/>
    <col min="14614" max="14614" width="2.28515625" style="272" customWidth="1"/>
    <col min="14615" max="14620" width="1.7109375" style="272" customWidth="1"/>
    <col min="14621" max="14621" width="2.28515625" style="272" customWidth="1"/>
    <col min="14622" max="14622" width="1.7109375" style="272" customWidth="1"/>
    <col min="14623" max="14623" width="2.7109375" style="272" customWidth="1"/>
    <col min="14624" max="14628" width="1.7109375" style="272" customWidth="1"/>
    <col min="14629" max="14640" width="2" style="272" customWidth="1"/>
    <col min="14641" max="14642" width="2.140625" style="272" customWidth="1"/>
    <col min="14643" max="14848" width="2.140625" style="272" hidden="1"/>
    <col min="14849" max="14850" width="2" style="272" customWidth="1"/>
    <col min="14851" max="14869" width="1.7109375" style="272" customWidth="1"/>
    <col min="14870" max="14870" width="2.28515625" style="272" customWidth="1"/>
    <col min="14871" max="14876" width="1.7109375" style="272" customWidth="1"/>
    <col min="14877" max="14877" width="2.28515625" style="272" customWidth="1"/>
    <col min="14878" max="14878" width="1.7109375" style="272" customWidth="1"/>
    <col min="14879" max="14879" width="2.7109375" style="272" customWidth="1"/>
    <col min="14880" max="14884" width="1.7109375" style="272" customWidth="1"/>
    <col min="14885" max="14896" width="2" style="272" customWidth="1"/>
    <col min="14897" max="14898" width="2.140625" style="272" customWidth="1"/>
    <col min="14899" max="15104" width="2.140625" style="272" hidden="1"/>
    <col min="15105" max="15106" width="2" style="272" customWidth="1"/>
    <col min="15107" max="15125" width="1.7109375" style="272" customWidth="1"/>
    <col min="15126" max="15126" width="2.28515625" style="272" customWidth="1"/>
    <col min="15127" max="15132" width="1.7109375" style="272" customWidth="1"/>
    <col min="15133" max="15133" width="2.28515625" style="272" customWidth="1"/>
    <col min="15134" max="15134" width="1.7109375" style="272" customWidth="1"/>
    <col min="15135" max="15135" width="2.7109375" style="272" customWidth="1"/>
    <col min="15136" max="15140" width="1.7109375" style="272" customWidth="1"/>
    <col min="15141" max="15152" width="2" style="272" customWidth="1"/>
    <col min="15153" max="15154" width="2.140625" style="272" customWidth="1"/>
    <col min="15155" max="15360" width="2.140625" style="272" hidden="1"/>
    <col min="15361" max="15362" width="2" style="272" customWidth="1"/>
    <col min="15363" max="15381" width="1.7109375" style="272" customWidth="1"/>
    <col min="15382" max="15382" width="2.28515625" style="272" customWidth="1"/>
    <col min="15383" max="15388" width="1.7109375" style="272" customWidth="1"/>
    <col min="15389" max="15389" width="2.28515625" style="272" customWidth="1"/>
    <col min="15390" max="15390" width="1.7109375" style="272" customWidth="1"/>
    <col min="15391" max="15391" width="2.7109375" style="272" customWidth="1"/>
    <col min="15392" max="15396" width="1.7109375" style="272" customWidth="1"/>
    <col min="15397" max="15408" width="2" style="272" customWidth="1"/>
    <col min="15409" max="15410" width="2.140625" style="272" customWidth="1"/>
    <col min="15411" max="15616" width="2.140625" style="272" hidden="1"/>
    <col min="15617" max="15618" width="2" style="272" customWidth="1"/>
    <col min="15619" max="15637" width="1.7109375" style="272" customWidth="1"/>
    <col min="15638" max="15638" width="2.28515625" style="272" customWidth="1"/>
    <col min="15639" max="15644" width="1.7109375" style="272" customWidth="1"/>
    <col min="15645" max="15645" width="2.28515625" style="272" customWidth="1"/>
    <col min="15646" max="15646" width="1.7109375" style="272" customWidth="1"/>
    <col min="15647" max="15647" width="2.7109375" style="272" customWidth="1"/>
    <col min="15648" max="15652" width="1.7109375" style="272" customWidth="1"/>
    <col min="15653" max="15664" width="2" style="272" customWidth="1"/>
    <col min="15665" max="15666" width="2.140625" style="272" customWidth="1"/>
    <col min="15667" max="15872" width="2.140625" style="272" hidden="1"/>
    <col min="15873" max="15874" width="2" style="272" customWidth="1"/>
    <col min="15875" max="15893" width="1.7109375" style="272" customWidth="1"/>
    <col min="15894" max="15894" width="2.28515625" style="272" customWidth="1"/>
    <col min="15895" max="15900" width="1.7109375" style="272" customWidth="1"/>
    <col min="15901" max="15901" width="2.28515625" style="272" customWidth="1"/>
    <col min="15902" max="15902" width="1.7109375" style="272" customWidth="1"/>
    <col min="15903" max="15903" width="2.7109375" style="272" customWidth="1"/>
    <col min="15904" max="15908" width="1.7109375" style="272" customWidth="1"/>
    <col min="15909" max="15920" width="2" style="272" customWidth="1"/>
    <col min="15921" max="15922" width="2.140625" style="272" customWidth="1"/>
    <col min="15923" max="16128" width="2.140625" style="272" hidden="1"/>
    <col min="16129" max="16130" width="2" style="272" customWidth="1"/>
    <col min="16131" max="16149" width="1.7109375" style="272" customWidth="1"/>
    <col min="16150" max="16150" width="2.28515625" style="272" customWidth="1"/>
    <col min="16151" max="16156" width="1.7109375" style="272" customWidth="1"/>
    <col min="16157" max="16157" width="2.28515625" style="272" customWidth="1"/>
    <col min="16158" max="16158" width="1.7109375" style="272" customWidth="1"/>
    <col min="16159" max="16159" width="2.7109375" style="272" customWidth="1"/>
    <col min="16160" max="16164" width="1.7109375" style="272" customWidth="1"/>
    <col min="16165" max="16176" width="2" style="272" customWidth="1"/>
    <col min="16177" max="16178" width="2.140625" style="272" customWidth="1"/>
    <col min="16179" max="16384" width="2.140625" style="272" hidden="1"/>
  </cols>
  <sheetData>
    <row r="1" spans="1:54" s="306" customFormat="1" ht="119.25" customHeight="1">
      <c r="C1" s="367"/>
      <c r="D1" s="367"/>
      <c r="E1" s="367"/>
      <c r="F1" s="367"/>
      <c r="G1" s="367"/>
      <c r="H1" s="367"/>
      <c r="I1" s="367"/>
      <c r="J1" s="367"/>
      <c r="K1" s="367"/>
      <c r="L1" s="367"/>
      <c r="M1" s="367"/>
      <c r="N1" s="367"/>
      <c r="O1" s="367"/>
      <c r="P1" s="367"/>
      <c r="Q1" s="367"/>
      <c r="R1" s="367"/>
      <c r="S1" s="367"/>
      <c r="T1" s="367"/>
      <c r="U1" s="367"/>
      <c r="V1" s="367"/>
      <c r="W1" s="367"/>
      <c r="X1" s="367"/>
      <c r="Y1" s="367"/>
      <c r="Z1" s="367"/>
      <c r="AA1" s="367"/>
      <c r="AB1" s="367"/>
      <c r="AC1" s="367"/>
      <c r="AD1" s="367"/>
      <c r="AE1" s="367"/>
      <c r="AF1" s="367"/>
      <c r="AG1" s="367"/>
      <c r="AH1" s="367"/>
      <c r="AI1" s="367"/>
      <c r="AJ1" s="367"/>
      <c r="AK1" s="367"/>
      <c r="AL1" s="367"/>
      <c r="AM1" s="367"/>
      <c r="AN1" s="367"/>
      <c r="AO1" s="367"/>
      <c r="AP1" s="367"/>
      <c r="AQ1" s="367"/>
      <c r="AR1" s="367"/>
      <c r="AS1" s="367"/>
      <c r="AT1" s="367"/>
      <c r="AU1" s="367"/>
      <c r="AV1" s="367"/>
    </row>
    <row r="2" spans="1:54" ht="16.5" customHeight="1">
      <c r="B2" s="1934" t="s">
        <v>1231</v>
      </c>
      <c r="C2" s="1934"/>
      <c r="D2" s="1934"/>
      <c r="E2" s="1934"/>
      <c r="F2" s="1934"/>
      <c r="G2" s="1934"/>
      <c r="H2" s="1934"/>
      <c r="I2" s="1934"/>
      <c r="J2" s="1934"/>
      <c r="K2" s="1934"/>
      <c r="L2" s="1934"/>
      <c r="M2" s="1934"/>
      <c r="N2" s="1934"/>
      <c r="O2" s="1934"/>
      <c r="P2" s="1934"/>
      <c r="Q2" s="1934"/>
      <c r="R2" s="1934"/>
      <c r="S2" s="1934"/>
      <c r="T2" s="1934"/>
      <c r="U2" s="1934"/>
      <c r="V2" s="1934"/>
      <c r="W2" s="1934"/>
      <c r="X2" s="1934"/>
      <c r="Y2" s="1934"/>
      <c r="Z2" s="1934"/>
      <c r="AA2" s="1934"/>
      <c r="AB2" s="1934"/>
      <c r="AC2" s="1934"/>
      <c r="AD2" s="1934"/>
      <c r="AE2" s="1934"/>
      <c r="AF2" s="1934"/>
      <c r="AG2" s="1934"/>
      <c r="AH2" s="1934"/>
      <c r="AI2" s="1934"/>
      <c r="AJ2" s="1934"/>
      <c r="AK2" s="1934"/>
      <c r="AL2" s="1934"/>
      <c r="AM2" s="1934"/>
      <c r="AN2" s="1934"/>
      <c r="AO2" s="1934"/>
      <c r="AP2" s="1934"/>
      <c r="AQ2" s="1934"/>
      <c r="AR2" s="1934"/>
      <c r="AS2" s="1934"/>
      <c r="AT2" s="1934"/>
      <c r="AU2" s="1934"/>
      <c r="AV2" s="1934"/>
      <c r="AW2" s="368"/>
      <c r="AX2" s="368"/>
      <c r="AY2" s="368"/>
      <c r="AZ2" s="368"/>
      <c r="BA2" s="368"/>
    </row>
    <row r="3" spans="1:54" ht="6" customHeight="1">
      <c r="B3" s="1935"/>
      <c r="C3" s="1935"/>
      <c r="D3" s="1935"/>
      <c r="E3" s="1935"/>
      <c r="F3" s="1935"/>
      <c r="G3" s="1935"/>
      <c r="H3" s="1935"/>
      <c r="I3" s="1935"/>
      <c r="J3" s="1935"/>
      <c r="K3" s="1935"/>
      <c r="L3" s="1935"/>
      <c r="M3" s="1935"/>
      <c r="N3" s="1935"/>
      <c r="O3" s="1935"/>
      <c r="P3" s="1935"/>
      <c r="Q3" s="1935"/>
      <c r="R3" s="1935"/>
      <c r="S3" s="1935"/>
      <c r="T3" s="1935"/>
      <c r="U3" s="1935"/>
      <c r="V3" s="1935"/>
      <c r="W3" s="1935"/>
      <c r="X3" s="1935"/>
      <c r="Y3" s="1935"/>
      <c r="Z3" s="1935"/>
      <c r="AA3" s="1935"/>
      <c r="AB3" s="1935"/>
      <c r="AC3" s="1935"/>
      <c r="AD3" s="1935"/>
      <c r="AE3" s="1935"/>
      <c r="AF3" s="1935"/>
      <c r="AG3" s="1935"/>
      <c r="AH3" s="1935"/>
      <c r="AI3" s="1935"/>
      <c r="AJ3" s="1935"/>
      <c r="AK3" s="1935"/>
      <c r="AL3" s="1935"/>
      <c r="AM3" s="1935"/>
      <c r="AN3" s="1935"/>
      <c r="AO3" s="1935"/>
      <c r="AP3" s="1935"/>
      <c r="AQ3" s="1935"/>
    </row>
    <row r="4" spans="1:54" ht="28.5" customHeight="1">
      <c r="B4" s="1936" t="s">
        <v>1232</v>
      </c>
      <c r="C4" s="1936"/>
      <c r="D4" s="1936"/>
      <c r="E4" s="1936"/>
      <c r="F4" s="1936"/>
      <c r="G4" s="1936"/>
      <c r="H4" s="1936"/>
      <c r="I4" s="1936"/>
      <c r="J4" s="1936"/>
      <c r="K4" s="1936"/>
      <c r="L4" s="1936"/>
      <c r="M4" s="1936"/>
      <c r="N4" s="1936"/>
      <c r="O4" s="1936"/>
      <c r="P4" s="1936"/>
      <c r="Q4" s="1936"/>
      <c r="R4" s="1936"/>
      <c r="S4" s="1936"/>
      <c r="T4" s="1936"/>
      <c r="U4" s="1936"/>
      <c r="V4" s="1936"/>
      <c r="W4" s="1936"/>
      <c r="X4" s="1936"/>
      <c r="Y4" s="1936"/>
      <c r="Z4" s="1936"/>
      <c r="AA4" s="1936"/>
      <c r="AB4" s="1936"/>
      <c r="AC4" s="1936"/>
      <c r="AD4" s="1936"/>
      <c r="AE4" s="1936"/>
      <c r="AF4" s="1936"/>
      <c r="AG4" s="1936"/>
      <c r="AH4" s="1936"/>
      <c r="AI4" s="1936"/>
      <c r="AJ4" s="1936"/>
      <c r="AK4" s="1936"/>
      <c r="AL4" s="1936"/>
      <c r="AM4" s="1936"/>
      <c r="AN4" s="1936"/>
      <c r="AO4" s="1936"/>
      <c r="AP4" s="1936"/>
      <c r="AQ4" s="1936"/>
      <c r="AR4" s="1936"/>
      <c r="AS4" s="1936"/>
      <c r="AT4" s="1936"/>
      <c r="AU4" s="1936"/>
      <c r="AV4" s="1936"/>
      <c r="AW4" s="369"/>
      <c r="AX4" s="369"/>
      <c r="AY4" s="369"/>
      <c r="AZ4" s="369"/>
      <c r="BA4" s="369"/>
      <c r="BB4" s="369"/>
    </row>
    <row r="5" spans="1:54" ht="15.75" customHeight="1">
      <c r="B5" s="1935" t="s">
        <v>1233</v>
      </c>
      <c r="C5" s="1935"/>
      <c r="D5" s="1935"/>
      <c r="E5" s="1935"/>
      <c r="F5" s="1935"/>
      <c r="G5" s="1935"/>
      <c r="H5" s="1935"/>
      <c r="I5" s="1935"/>
      <c r="J5" s="1935"/>
      <c r="K5" s="1935"/>
      <c r="L5" s="1935"/>
      <c r="M5" s="1935"/>
      <c r="N5" s="1935"/>
      <c r="O5" s="1935"/>
      <c r="P5" s="1935"/>
      <c r="Q5" s="1935"/>
      <c r="R5" s="1935"/>
      <c r="S5" s="1935"/>
      <c r="T5" s="1935"/>
      <c r="U5" s="1935"/>
      <c r="V5" s="1935"/>
      <c r="W5" s="1935"/>
      <c r="X5" s="1935"/>
      <c r="Y5" s="1935"/>
      <c r="Z5" s="1935"/>
      <c r="AA5" s="1935"/>
      <c r="AB5" s="1935"/>
      <c r="AC5" s="1935"/>
      <c r="AD5" s="1935"/>
      <c r="AE5" s="1935"/>
      <c r="AF5" s="1935"/>
      <c r="AG5" s="1935"/>
      <c r="AH5" s="1935"/>
      <c r="AI5" s="1935"/>
      <c r="AJ5" s="1935"/>
      <c r="AK5" s="1935"/>
      <c r="AL5" s="1935"/>
      <c r="AM5" s="1935"/>
      <c r="AN5" s="1935"/>
      <c r="AO5" s="1935"/>
      <c r="AP5" s="1935"/>
      <c r="AQ5" s="1935"/>
      <c r="AR5" s="1935"/>
      <c r="AS5" s="1935"/>
      <c r="AT5" s="1935"/>
      <c r="AU5" s="1935"/>
      <c r="AV5" s="1935"/>
    </row>
    <row r="6" spans="1:54" ht="30.75" customHeight="1">
      <c r="B6" s="1937" t="s">
        <v>1234</v>
      </c>
      <c r="C6" s="1937"/>
      <c r="D6" s="1937"/>
      <c r="E6" s="1937"/>
      <c r="F6" s="1937"/>
      <c r="G6" s="1937"/>
      <c r="H6" s="1937"/>
      <c r="I6" s="1937"/>
      <c r="J6" s="1937"/>
      <c r="K6" s="1937"/>
      <c r="L6" s="1937"/>
      <c r="M6" s="1937"/>
      <c r="N6" s="1937"/>
      <c r="O6" s="1937"/>
      <c r="P6" s="1937"/>
      <c r="Q6" s="1937"/>
      <c r="R6" s="1937"/>
      <c r="S6" s="1937"/>
      <c r="T6" s="1937"/>
      <c r="U6" s="1937"/>
      <c r="V6" s="1937"/>
      <c r="W6" s="1937"/>
      <c r="X6" s="1937"/>
      <c r="Y6" s="1937"/>
      <c r="Z6" s="1937"/>
      <c r="AA6" s="1937"/>
      <c r="AB6" s="1937"/>
      <c r="AC6" s="1937"/>
      <c r="AD6" s="1937"/>
      <c r="AE6" s="1937"/>
      <c r="AF6" s="1937"/>
      <c r="AG6" s="1937"/>
      <c r="AH6" s="1937"/>
      <c r="AI6" s="1937"/>
      <c r="AJ6" s="1937"/>
      <c r="AK6" s="1937"/>
      <c r="AL6" s="1937"/>
      <c r="AM6" s="1937"/>
      <c r="AN6" s="1937"/>
      <c r="AO6" s="1937"/>
      <c r="AP6" s="1937"/>
      <c r="AQ6" s="1937"/>
      <c r="AR6" s="1937"/>
      <c r="AS6" s="1937"/>
      <c r="AT6" s="1937"/>
      <c r="AU6" s="1937"/>
      <c r="AV6" s="1937"/>
      <c r="AW6" s="369"/>
      <c r="AX6" s="369"/>
      <c r="AY6" s="369"/>
      <c r="AZ6" s="369"/>
      <c r="BA6" s="369"/>
      <c r="BB6" s="369"/>
    </row>
    <row r="7" spans="1:54" s="370" customFormat="1" ht="15.75" customHeight="1">
      <c r="B7" s="1931" t="s">
        <v>1101</v>
      </c>
      <c r="C7" s="1932"/>
      <c r="D7" s="1932"/>
      <c r="E7" s="1932"/>
      <c r="F7" s="1932"/>
      <c r="G7" s="1932"/>
      <c r="H7" s="1932"/>
      <c r="I7" s="1932"/>
      <c r="J7" s="1932"/>
      <c r="K7" s="1932"/>
      <c r="L7" s="1932"/>
      <c r="M7" s="1932"/>
      <c r="N7" s="1932"/>
      <c r="O7" s="1932"/>
      <c r="P7" s="1932"/>
      <c r="Q7" s="1932"/>
      <c r="R7" s="1932"/>
      <c r="S7" s="1932"/>
      <c r="T7" s="1932"/>
      <c r="U7" s="1932"/>
      <c r="V7" s="1932"/>
      <c r="W7" s="1932"/>
      <c r="X7" s="1932"/>
      <c r="Y7" s="1932"/>
      <c r="Z7" s="1932"/>
      <c r="AA7" s="1932"/>
      <c r="AB7" s="1932"/>
      <c r="AC7" s="1932"/>
      <c r="AD7" s="1932"/>
      <c r="AE7" s="1932"/>
      <c r="AF7" s="1932"/>
      <c r="AG7" s="1932"/>
      <c r="AH7" s="1932"/>
      <c r="AI7" s="1932"/>
      <c r="AJ7" s="1932"/>
      <c r="AK7" s="1932"/>
      <c r="AL7" s="1932"/>
      <c r="AM7" s="1932"/>
      <c r="AN7" s="1932"/>
      <c r="AO7" s="1932"/>
      <c r="AP7" s="1932"/>
      <c r="AQ7" s="1932"/>
      <c r="AR7" s="1932"/>
      <c r="AS7" s="1932"/>
      <c r="AT7" s="1932"/>
      <c r="AU7" s="1932"/>
      <c r="AV7" s="1933"/>
    </row>
    <row r="8" spans="1:54" ht="3" customHeight="1">
      <c r="R8" s="371"/>
      <c r="S8" s="371"/>
      <c r="T8" s="371"/>
    </row>
    <row r="9" spans="1:54" s="372" customFormat="1" ht="81.75" customHeight="1">
      <c r="B9" s="1925" t="s">
        <v>321</v>
      </c>
      <c r="C9" s="1926"/>
      <c r="D9" s="1926"/>
      <c r="E9" s="1926"/>
      <c r="F9" s="1926"/>
      <c r="G9" s="1926"/>
      <c r="H9" s="1926"/>
      <c r="I9" s="1926"/>
      <c r="J9" s="1926"/>
      <c r="K9" s="1926"/>
      <c r="L9" s="1926"/>
      <c r="M9" s="1926"/>
      <c r="N9" s="1926"/>
      <c r="O9" s="1926"/>
      <c r="P9" s="1926"/>
      <c r="Q9" s="1927"/>
      <c r="R9" s="1928" t="s">
        <v>19</v>
      </c>
      <c r="S9" s="1929"/>
      <c r="T9" s="1930"/>
      <c r="U9" s="1928" t="s">
        <v>832</v>
      </c>
      <c r="V9" s="1929"/>
      <c r="W9" s="1930"/>
      <c r="X9" s="1928" t="s">
        <v>1235</v>
      </c>
      <c r="Y9" s="1929"/>
      <c r="Z9" s="1930"/>
      <c r="AA9" s="1928" t="s">
        <v>1095</v>
      </c>
      <c r="AB9" s="1929"/>
      <c r="AC9" s="1930"/>
      <c r="AD9" s="1928" t="s">
        <v>1236</v>
      </c>
      <c r="AE9" s="1929"/>
      <c r="AF9" s="1930"/>
      <c r="AG9" s="1918" t="s">
        <v>1237</v>
      </c>
      <c r="AH9" s="1919"/>
      <c r="AI9" s="1919"/>
      <c r="AJ9" s="1920"/>
      <c r="AK9" s="1918" t="s">
        <v>1238</v>
      </c>
      <c r="AL9" s="1919"/>
      <c r="AM9" s="1919"/>
      <c r="AN9" s="1920"/>
      <c r="AO9" s="1918" t="s">
        <v>1239</v>
      </c>
      <c r="AP9" s="1919"/>
      <c r="AQ9" s="1919"/>
      <c r="AR9" s="1920"/>
      <c r="AS9" s="1921" t="s">
        <v>1240</v>
      </c>
      <c r="AT9" s="1922"/>
      <c r="AU9" s="1923"/>
      <c r="AV9" s="1923"/>
    </row>
    <row r="10" spans="1:54" s="373" customFormat="1" ht="78" customHeight="1">
      <c r="B10" s="1924"/>
      <c r="C10" s="1916"/>
      <c r="D10" s="1916"/>
      <c r="E10" s="1916"/>
      <c r="F10" s="1916"/>
      <c r="G10" s="1916"/>
      <c r="H10" s="1916"/>
      <c r="I10" s="1916"/>
      <c r="J10" s="1916"/>
      <c r="K10" s="1916"/>
      <c r="L10" s="1916"/>
      <c r="M10" s="1916"/>
      <c r="N10" s="1916"/>
      <c r="O10" s="1916"/>
      <c r="P10" s="1916"/>
      <c r="Q10" s="1917"/>
      <c r="R10" s="1898"/>
      <c r="S10" s="1899"/>
      <c r="T10" s="1900"/>
      <c r="U10" s="1898"/>
      <c r="V10" s="1899"/>
      <c r="W10" s="1900"/>
      <c r="X10" s="1898"/>
      <c r="Y10" s="1899"/>
      <c r="Z10" s="1900"/>
      <c r="AA10" s="1898"/>
      <c r="AB10" s="1899"/>
      <c r="AC10" s="1900"/>
      <c r="AD10" s="1898"/>
      <c r="AE10" s="1899"/>
      <c r="AF10" s="1900"/>
      <c r="AG10" s="1898"/>
      <c r="AH10" s="1899"/>
      <c r="AI10" s="1899"/>
      <c r="AJ10" s="1900"/>
      <c r="AK10" s="1898">
        <f>+AG10*12</f>
        <v>0</v>
      </c>
      <c r="AL10" s="1899"/>
      <c r="AM10" s="1899"/>
      <c r="AN10" s="1900"/>
      <c r="AO10" s="1898">
        <f>+AG10*10</f>
        <v>0</v>
      </c>
      <c r="AP10" s="1899"/>
      <c r="AQ10" s="1899"/>
      <c r="AR10" s="1900"/>
      <c r="AS10" s="1903" t="e">
        <f>+ROUND(AG10/AD10,0)</f>
        <v>#DIV/0!</v>
      </c>
      <c r="AT10" s="1904"/>
      <c r="AU10" s="1905"/>
      <c r="AV10" s="1905"/>
    </row>
    <row r="11" spans="1:54" s="373" customFormat="1" ht="78" customHeight="1">
      <c r="B11" s="1915"/>
      <c r="C11" s="1916"/>
      <c r="D11" s="1916"/>
      <c r="E11" s="1916"/>
      <c r="F11" s="1916"/>
      <c r="G11" s="1916"/>
      <c r="H11" s="1916"/>
      <c r="I11" s="1916"/>
      <c r="J11" s="1916"/>
      <c r="K11" s="1916"/>
      <c r="L11" s="1916"/>
      <c r="M11" s="1916"/>
      <c r="N11" s="1916"/>
      <c r="O11" s="1916"/>
      <c r="P11" s="1916"/>
      <c r="Q11" s="1917"/>
      <c r="R11" s="1898"/>
      <c r="S11" s="1899"/>
      <c r="T11" s="1900"/>
      <c r="U11" s="1898"/>
      <c r="V11" s="1899"/>
      <c r="W11" s="1900"/>
      <c r="X11" s="1898"/>
      <c r="Y11" s="1899"/>
      <c r="Z11" s="1900"/>
      <c r="AA11" s="1898"/>
      <c r="AB11" s="1899"/>
      <c r="AC11" s="1900"/>
      <c r="AD11" s="1898"/>
      <c r="AE11" s="1899"/>
      <c r="AF11" s="1900"/>
      <c r="AG11" s="1898"/>
      <c r="AH11" s="1899"/>
      <c r="AI11" s="1899"/>
      <c r="AJ11" s="1900"/>
      <c r="AK11" s="1898">
        <f>+AG11*12</f>
        <v>0</v>
      </c>
      <c r="AL11" s="1899"/>
      <c r="AM11" s="1899"/>
      <c r="AN11" s="1900"/>
      <c r="AO11" s="1898">
        <f>+AG11*10</f>
        <v>0</v>
      </c>
      <c r="AP11" s="1899"/>
      <c r="AQ11" s="1899"/>
      <c r="AR11" s="1900"/>
      <c r="AS11" s="1903" t="e">
        <f>+ROUND(AG11/AD11,0)</f>
        <v>#DIV/0!</v>
      </c>
      <c r="AT11" s="1904"/>
      <c r="AU11" s="1905"/>
      <c r="AV11" s="1905"/>
    </row>
    <row r="12" spans="1:54" s="373" customFormat="1" ht="105" customHeight="1">
      <c r="B12" s="1915"/>
      <c r="C12" s="1916"/>
      <c r="D12" s="1916"/>
      <c r="E12" s="1916"/>
      <c r="F12" s="1916"/>
      <c r="G12" s="1916"/>
      <c r="H12" s="1916"/>
      <c r="I12" s="1916"/>
      <c r="J12" s="1916"/>
      <c r="K12" s="1916"/>
      <c r="L12" s="1916"/>
      <c r="M12" s="1916"/>
      <c r="N12" s="1916"/>
      <c r="O12" s="1916"/>
      <c r="P12" s="1916"/>
      <c r="Q12" s="1917"/>
      <c r="R12" s="1898"/>
      <c r="S12" s="1899"/>
      <c r="T12" s="1900"/>
      <c r="U12" s="1898"/>
      <c r="V12" s="1899"/>
      <c r="W12" s="1900"/>
      <c r="X12" s="1898"/>
      <c r="Y12" s="1899"/>
      <c r="Z12" s="1900"/>
      <c r="AA12" s="1898"/>
      <c r="AB12" s="1899"/>
      <c r="AC12" s="1900"/>
      <c r="AD12" s="1898"/>
      <c r="AE12" s="1899"/>
      <c r="AF12" s="1900"/>
      <c r="AG12" s="1898"/>
      <c r="AH12" s="1899"/>
      <c r="AI12" s="1899"/>
      <c r="AJ12" s="1900"/>
      <c r="AK12" s="1898">
        <f>+AG12*12</f>
        <v>0</v>
      </c>
      <c r="AL12" s="1899"/>
      <c r="AM12" s="1899"/>
      <c r="AN12" s="1900"/>
      <c r="AO12" s="1898">
        <f>+AG12*10</f>
        <v>0</v>
      </c>
      <c r="AP12" s="1899"/>
      <c r="AQ12" s="1899"/>
      <c r="AR12" s="1900"/>
      <c r="AS12" s="1903" t="e">
        <f>+ROUND(AG12/AD12,0)</f>
        <v>#DIV/0!</v>
      </c>
      <c r="AT12" s="1904"/>
      <c r="AU12" s="1905"/>
      <c r="AV12" s="1905"/>
    </row>
    <row r="13" spans="1:54" s="373" customFormat="1" ht="109.5" customHeight="1" thickBot="1">
      <c r="B13" s="1906"/>
      <c r="C13" s="1907"/>
      <c r="D13" s="1907"/>
      <c r="E13" s="1907"/>
      <c r="F13" s="1907"/>
      <c r="G13" s="1907"/>
      <c r="H13" s="1907"/>
      <c r="I13" s="1907"/>
      <c r="J13" s="1907"/>
      <c r="K13" s="1907"/>
      <c r="L13" s="1907"/>
      <c r="M13" s="1907"/>
      <c r="N13" s="1907"/>
      <c r="O13" s="1907"/>
      <c r="P13" s="1907"/>
      <c r="Q13" s="1908"/>
      <c r="R13" s="1909"/>
      <c r="S13" s="1910"/>
      <c r="T13" s="1911"/>
      <c r="U13" s="1909"/>
      <c r="V13" s="1910"/>
      <c r="W13" s="1911"/>
      <c r="X13" s="1909"/>
      <c r="Y13" s="1910"/>
      <c r="Z13" s="1911"/>
      <c r="AA13" s="1909"/>
      <c r="AB13" s="1910"/>
      <c r="AC13" s="1911"/>
      <c r="AD13" s="1909"/>
      <c r="AE13" s="1910"/>
      <c r="AF13" s="1911"/>
      <c r="AG13" s="1909"/>
      <c r="AH13" s="1910"/>
      <c r="AI13" s="1910"/>
      <c r="AJ13" s="1911"/>
      <c r="AK13" s="1909">
        <f>+AG13*12</f>
        <v>0</v>
      </c>
      <c r="AL13" s="1910"/>
      <c r="AM13" s="1910"/>
      <c r="AN13" s="1911"/>
      <c r="AO13" s="1909">
        <f>+AG13*10</f>
        <v>0</v>
      </c>
      <c r="AP13" s="1910"/>
      <c r="AQ13" s="1910"/>
      <c r="AR13" s="1911"/>
      <c r="AS13" s="1912" t="e">
        <f>+ROUND(AG13/AD13,0)</f>
        <v>#DIV/0!</v>
      </c>
      <c r="AT13" s="1913"/>
      <c r="AU13" s="1914"/>
      <c r="AV13" s="1914"/>
    </row>
    <row r="14" spans="1:54" s="374" customFormat="1" ht="21" customHeight="1" thickTop="1">
      <c r="A14" s="374" t="s">
        <v>1241</v>
      </c>
      <c r="B14" s="1876"/>
      <c r="C14" s="1877"/>
      <c r="D14" s="1877"/>
      <c r="E14" s="1877"/>
      <c r="F14" s="1877"/>
      <c r="G14" s="1877"/>
      <c r="H14" s="1877"/>
      <c r="I14" s="1877"/>
      <c r="J14" s="1877"/>
      <c r="K14" s="1877"/>
      <c r="L14" s="1877"/>
      <c r="M14" s="1877"/>
      <c r="N14" s="1877"/>
      <c r="O14" s="1877"/>
      <c r="P14" s="1877"/>
      <c r="Q14" s="1877"/>
      <c r="R14" s="1877"/>
      <c r="S14" s="1877"/>
      <c r="T14" s="1877"/>
      <c r="U14" s="1877"/>
      <c r="V14" s="1877"/>
      <c r="W14" s="1877"/>
      <c r="X14" s="1877"/>
      <c r="Y14" s="1877"/>
      <c r="Z14" s="1877"/>
      <c r="AA14" s="1877"/>
      <c r="AB14" s="1877"/>
      <c r="AC14" s="1877"/>
      <c r="AD14" s="1877"/>
      <c r="AE14" s="1877"/>
      <c r="AF14" s="1877"/>
      <c r="AG14" s="1877"/>
      <c r="AH14" s="1877"/>
      <c r="AI14" s="1877"/>
      <c r="AJ14" s="1877"/>
      <c r="AK14" s="1877"/>
      <c r="AL14" s="1877"/>
      <c r="AM14" s="1877"/>
      <c r="AN14" s="1877"/>
      <c r="AO14" s="1877"/>
      <c r="AP14" s="1877"/>
      <c r="AQ14" s="1877"/>
      <c r="AR14" s="1877"/>
      <c r="AS14" s="1877"/>
      <c r="AT14" s="1877"/>
      <c r="AU14" s="1877"/>
      <c r="AV14" s="1878"/>
    </row>
    <row r="15" spans="1:54" s="374" customFormat="1" ht="21" customHeight="1">
      <c r="A15" s="272"/>
      <c r="B15" s="1879"/>
      <c r="C15" s="925"/>
      <c r="D15" s="925"/>
      <c r="E15" s="925"/>
      <c r="F15" s="925"/>
      <c r="G15" s="925"/>
      <c r="H15" s="925"/>
      <c r="I15" s="925"/>
      <c r="J15" s="925"/>
      <c r="K15" s="925"/>
      <c r="L15" s="925"/>
      <c r="M15" s="925"/>
      <c r="N15" s="925"/>
      <c r="O15" s="925"/>
      <c r="P15" s="925"/>
      <c r="Q15" s="925"/>
      <c r="R15" s="925"/>
      <c r="S15" s="925"/>
      <c r="T15" s="925"/>
      <c r="U15" s="925"/>
      <c r="V15" s="925"/>
      <c r="W15" s="925"/>
      <c r="X15" s="925"/>
      <c r="Y15" s="925"/>
      <c r="Z15" s="925"/>
      <c r="AA15" s="925"/>
      <c r="AB15" s="925"/>
      <c r="AC15" s="925"/>
      <c r="AD15" s="925"/>
      <c r="AE15" s="925"/>
      <c r="AF15" s="925"/>
      <c r="AG15" s="925"/>
      <c r="AH15" s="925"/>
      <c r="AI15" s="925"/>
      <c r="AJ15" s="925"/>
      <c r="AK15" s="925"/>
      <c r="AL15" s="925"/>
      <c r="AM15" s="925"/>
      <c r="AN15" s="925"/>
      <c r="AO15" s="925"/>
      <c r="AP15" s="925"/>
      <c r="AQ15" s="925"/>
      <c r="AR15" s="925"/>
      <c r="AS15" s="925"/>
      <c r="AT15" s="925"/>
      <c r="AU15" s="925"/>
      <c r="AV15" s="1880"/>
    </row>
    <row r="16" spans="1:54" s="374" customFormat="1" ht="21" customHeight="1">
      <c r="A16" s="272"/>
      <c r="B16" s="1879"/>
      <c r="C16" s="925"/>
      <c r="D16" s="925"/>
      <c r="E16" s="925"/>
      <c r="F16" s="925"/>
      <c r="G16" s="925"/>
      <c r="H16" s="925"/>
      <c r="I16" s="925"/>
      <c r="J16" s="925"/>
      <c r="K16" s="925"/>
      <c r="L16" s="925"/>
      <c r="M16" s="925"/>
      <c r="N16" s="925"/>
      <c r="O16" s="925"/>
      <c r="P16" s="925"/>
      <c r="Q16" s="925"/>
      <c r="R16" s="925"/>
      <c r="S16" s="925"/>
      <c r="T16" s="925"/>
      <c r="U16" s="925"/>
      <c r="V16" s="925"/>
      <c r="W16" s="925"/>
      <c r="X16" s="925"/>
      <c r="Y16" s="925"/>
      <c r="Z16" s="925"/>
      <c r="AA16" s="925"/>
      <c r="AB16" s="925"/>
      <c r="AC16" s="925"/>
      <c r="AD16" s="925"/>
      <c r="AE16" s="925"/>
      <c r="AF16" s="925"/>
      <c r="AG16" s="925"/>
      <c r="AH16" s="925"/>
      <c r="AI16" s="925"/>
      <c r="AJ16" s="925"/>
      <c r="AK16" s="925"/>
      <c r="AL16" s="925"/>
      <c r="AM16" s="925"/>
      <c r="AN16" s="925"/>
      <c r="AO16" s="925"/>
      <c r="AP16" s="925"/>
      <c r="AQ16" s="925"/>
      <c r="AR16" s="925"/>
      <c r="AS16" s="925"/>
      <c r="AT16" s="925"/>
      <c r="AU16" s="925"/>
      <c r="AV16" s="1880"/>
    </row>
    <row r="17" spans="1:52" s="374" customFormat="1" ht="21" customHeight="1">
      <c r="A17" s="272"/>
      <c r="B17" s="1879"/>
      <c r="C17" s="925"/>
      <c r="D17" s="925"/>
      <c r="E17" s="925"/>
      <c r="F17" s="925"/>
      <c r="G17" s="925"/>
      <c r="H17" s="925"/>
      <c r="I17" s="925"/>
      <c r="J17" s="925"/>
      <c r="K17" s="925"/>
      <c r="L17" s="925"/>
      <c r="M17" s="925"/>
      <c r="N17" s="925"/>
      <c r="O17" s="925"/>
      <c r="P17" s="925"/>
      <c r="Q17" s="925"/>
      <c r="R17" s="925"/>
      <c r="S17" s="925"/>
      <c r="T17" s="925"/>
      <c r="U17" s="925"/>
      <c r="V17" s="925"/>
      <c r="W17" s="925"/>
      <c r="X17" s="925"/>
      <c r="Y17" s="925"/>
      <c r="Z17" s="925"/>
      <c r="AA17" s="925"/>
      <c r="AB17" s="925"/>
      <c r="AC17" s="925"/>
      <c r="AD17" s="925"/>
      <c r="AE17" s="925"/>
      <c r="AF17" s="925"/>
      <c r="AG17" s="925"/>
      <c r="AH17" s="925"/>
      <c r="AI17" s="925"/>
      <c r="AJ17" s="925"/>
      <c r="AK17" s="925"/>
      <c r="AL17" s="925"/>
      <c r="AM17" s="925"/>
      <c r="AN17" s="925"/>
      <c r="AO17" s="925"/>
      <c r="AP17" s="925"/>
      <c r="AQ17" s="925"/>
      <c r="AR17" s="925"/>
      <c r="AS17" s="925"/>
      <c r="AT17" s="925"/>
      <c r="AU17" s="925"/>
      <c r="AV17" s="1880"/>
    </row>
    <row r="18" spans="1:52" s="374" customFormat="1" ht="21" customHeight="1">
      <c r="A18" s="272"/>
      <c r="B18" s="1879"/>
      <c r="C18" s="925"/>
      <c r="D18" s="925"/>
      <c r="E18" s="925"/>
      <c r="F18" s="925"/>
      <c r="G18" s="925"/>
      <c r="H18" s="925"/>
      <c r="I18" s="925"/>
      <c r="J18" s="925"/>
      <c r="K18" s="925"/>
      <c r="L18" s="925"/>
      <c r="M18" s="925"/>
      <c r="N18" s="925"/>
      <c r="O18" s="925"/>
      <c r="P18" s="925"/>
      <c r="Q18" s="925"/>
      <c r="R18" s="925"/>
      <c r="S18" s="925"/>
      <c r="T18" s="925"/>
      <c r="U18" s="925"/>
      <c r="V18" s="925"/>
      <c r="W18" s="925"/>
      <c r="X18" s="925"/>
      <c r="Y18" s="925"/>
      <c r="Z18" s="925"/>
      <c r="AA18" s="925"/>
      <c r="AB18" s="925"/>
      <c r="AC18" s="925"/>
      <c r="AD18" s="925"/>
      <c r="AE18" s="925"/>
      <c r="AF18" s="925"/>
      <c r="AG18" s="925"/>
      <c r="AH18" s="925"/>
      <c r="AI18" s="925"/>
      <c r="AJ18" s="925"/>
      <c r="AK18" s="925"/>
      <c r="AL18" s="925"/>
      <c r="AM18" s="925"/>
      <c r="AN18" s="925"/>
      <c r="AO18" s="925"/>
      <c r="AP18" s="925"/>
      <c r="AQ18" s="925"/>
      <c r="AR18" s="925"/>
      <c r="AS18" s="925"/>
      <c r="AT18" s="925"/>
      <c r="AU18" s="925"/>
      <c r="AV18" s="1880"/>
    </row>
    <row r="19" spans="1:52" s="374" customFormat="1" ht="21" customHeight="1">
      <c r="B19" s="1879"/>
      <c r="C19" s="925"/>
      <c r="D19" s="925"/>
      <c r="E19" s="925"/>
      <c r="F19" s="925"/>
      <c r="G19" s="925"/>
      <c r="H19" s="925"/>
      <c r="I19" s="925"/>
      <c r="J19" s="925"/>
      <c r="K19" s="925"/>
      <c r="L19" s="925"/>
      <c r="M19" s="925"/>
      <c r="N19" s="925"/>
      <c r="O19" s="925"/>
      <c r="P19" s="925"/>
      <c r="Q19" s="925"/>
      <c r="R19" s="925"/>
      <c r="S19" s="925"/>
      <c r="T19" s="925"/>
      <c r="U19" s="925"/>
      <c r="V19" s="925"/>
      <c r="W19" s="925"/>
      <c r="X19" s="925"/>
      <c r="Y19" s="925"/>
      <c r="Z19" s="925"/>
      <c r="AA19" s="925"/>
      <c r="AB19" s="925"/>
      <c r="AC19" s="925"/>
      <c r="AD19" s="925"/>
      <c r="AE19" s="925"/>
      <c r="AF19" s="925"/>
      <c r="AG19" s="925"/>
      <c r="AH19" s="925"/>
      <c r="AI19" s="925"/>
      <c r="AJ19" s="925"/>
      <c r="AK19" s="925"/>
      <c r="AL19" s="925"/>
      <c r="AM19" s="925"/>
      <c r="AN19" s="925"/>
      <c r="AO19" s="925"/>
      <c r="AP19" s="925"/>
      <c r="AQ19" s="925"/>
      <c r="AR19" s="925"/>
      <c r="AS19" s="925"/>
      <c r="AT19" s="925"/>
      <c r="AU19" s="925"/>
      <c r="AV19" s="1880"/>
    </row>
    <row r="20" spans="1:52" s="374" customFormat="1" ht="21" customHeight="1">
      <c r="A20" s="272"/>
      <c r="B20" s="1879"/>
      <c r="C20" s="925"/>
      <c r="D20" s="925"/>
      <c r="E20" s="925"/>
      <c r="F20" s="925"/>
      <c r="G20" s="925"/>
      <c r="H20" s="925"/>
      <c r="I20" s="925"/>
      <c r="J20" s="925"/>
      <c r="K20" s="925"/>
      <c r="L20" s="925"/>
      <c r="M20" s="925"/>
      <c r="N20" s="925"/>
      <c r="O20" s="925"/>
      <c r="P20" s="925"/>
      <c r="Q20" s="925"/>
      <c r="R20" s="925"/>
      <c r="S20" s="925"/>
      <c r="T20" s="925"/>
      <c r="U20" s="925"/>
      <c r="V20" s="925"/>
      <c r="W20" s="925"/>
      <c r="X20" s="925"/>
      <c r="Y20" s="925"/>
      <c r="Z20" s="925"/>
      <c r="AA20" s="925"/>
      <c r="AB20" s="925"/>
      <c r="AC20" s="925"/>
      <c r="AD20" s="925"/>
      <c r="AE20" s="925"/>
      <c r="AF20" s="925"/>
      <c r="AG20" s="925"/>
      <c r="AH20" s="925"/>
      <c r="AI20" s="925"/>
      <c r="AJ20" s="925"/>
      <c r="AK20" s="925"/>
      <c r="AL20" s="925"/>
      <c r="AM20" s="925"/>
      <c r="AN20" s="925"/>
      <c r="AO20" s="925"/>
      <c r="AP20" s="925"/>
      <c r="AQ20" s="925"/>
      <c r="AR20" s="925"/>
      <c r="AS20" s="925"/>
      <c r="AT20" s="925"/>
      <c r="AU20" s="925"/>
      <c r="AV20" s="1880"/>
    </row>
    <row r="21" spans="1:52" s="374" customFormat="1" ht="21" customHeight="1">
      <c r="A21" s="272"/>
      <c r="B21" s="1879"/>
      <c r="C21" s="925"/>
      <c r="D21" s="925"/>
      <c r="E21" s="925"/>
      <c r="F21" s="925"/>
      <c r="G21" s="925"/>
      <c r="H21" s="925"/>
      <c r="I21" s="925"/>
      <c r="J21" s="925"/>
      <c r="K21" s="925"/>
      <c r="L21" s="925"/>
      <c r="M21" s="925"/>
      <c r="N21" s="925"/>
      <c r="O21" s="925"/>
      <c r="P21" s="925"/>
      <c r="Q21" s="925"/>
      <c r="R21" s="925"/>
      <c r="S21" s="925"/>
      <c r="T21" s="925"/>
      <c r="U21" s="925"/>
      <c r="V21" s="925"/>
      <c r="W21" s="925"/>
      <c r="X21" s="925"/>
      <c r="Y21" s="925"/>
      <c r="Z21" s="925"/>
      <c r="AA21" s="925"/>
      <c r="AB21" s="925"/>
      <c r="AC21" s="925"/>
      <c r="AD21" s="925"/>
      <c r="AE21" s="925"/>
      <c r="AF21" s="925"/>
      <c r="AG21" s="925"/>
      <c r="AH21" s="925"/>
      <c r="AI21" s="925"/>
      <c r="AJ21" s="925"/>
      <c r="AK21" s="925"/>
      <c r="AL21" s="925"/>
      <c r="AM21" s="925"/>
      <c r="AN21" s="925"/>
      <c r="AO21" s="925"/>
      <c r="AP21" s="925"/>
      <c r="AQ21" s="925"/>
      <c r="AR21" s="925"/>
      <c r="AS21" s="925"/>
      <c r="AT21" s="925"/>
      <c r="AU21" s="925"/>
      <c r="AV21" s="1880"/>
    </row>
    <row r="22" spans="1:52" s="374" customFormat="1" ht="21" customHeight="1">
      <c r="A22" s="272"/>
      <c r="B22" s="1879"/>
      <c r="C22" s="925"/>
      <c r="D22" s="925"/>
      <c r="E22" s="925"/>
      <c r="F22" s="925"/>
      <c r="G22" s="925"/>
      <c r="H22" s="925"/>
      <c r="I22" s="925"/>
      <c r="J22" s="925"/>
      <c r="K22" s="925"/>
      <c r="L22" s="925"/>
      <c r="M22" s="925"/>
      <c r="N22" s="925"/>
      <c r="O22" s="925"/>
      <c r="P22" s="925"/>
      <c r="Q22" s="925"/>
      <c r="R22" s="925"/>
      <c r="S22" s="925"/>
      <c r="T22" s="925"/>
      <c r="U22" s="925"/>
      <c r="V22" s="925"/>
      <c r="W22" s="925"/>
      <c r="X22" s="925"/>
      <c r="Y22" s="925"/>
      <c r="Z22" s="925"/>
      <c r="AA22" s="925"/>
      <c r="AB22" s="925"/>
      <c r="AC22" s="925"/>
      <c r="AD22" s="925"/>
      <c r="AE22" s="925"/>
      <c r="AF22" s="925"/>
      <c r="AG22" s="925"/>
      <c r="AH22" s="925"/>
      <c r="AI22" s="925"/>
      <c r="AJ22" s="925"/>
      <c r="AK22" s="925"/>
      <c r="AL22" s="925"/>
      <c r="AM22" s="925"/>
      <c r="AN22" s="925"/>
      <c r="AO22" s="925"/>
      <c r="AP22" s="925"/>
      <c r="AQ22" s="925"/>
      <c r="AR22" s="925"/>
      <c r="AS22" s="925"/>
      <c r="AT22" s="925"/>
      <c r="AU22" s="925"/>
      <c r="AV22" s="1880"/>
    </row>
    <row r="23" spans="1:52" s="374" customFormat="1" ht="21" customHeight="1">
      <c r="A23" s="272"/>
      <c r="B23" s="1879"/>
      <c r="C23" s="925"/>
      <c r="D23" s="925"/>
      <c r="E23" s="925"/>
      <c r="F23" s="925"/>
      <c r="G23" s="925"/>
      <c r="H23" s="925"/>
      <c r="I23" s="925"/>
      <c r="J23" s="925"/>
      <c r="K23" s="925"/>
      <c r="L23" s="925"/>
      <c r="M23" s="925"/>
      <c r="N23" s="925"/>
      <c r="O23" s="925"/>
      <c r="P23" s="925"/>
      <c r="Q23" s="925"/>
      <c r="R23" s="925"/>
      <c r="S23" s="925"/>
      <c r="T23" s="925"/>
      <c r="U23" s="925"/>
      <c r="V23" s="925"/>
      <c r="W23" s="925"/>
      <c r="X23" s="925"/>
      <c r="Y23" s="925"/>
      <c r="Z23" s="925"/>
      <c r="AA23" s="925"/>
      <c r="AB23" s="925"/>
      <c r="AC23" s="925"/>
      <c r="AD23" s="925"/>
      <c r="AE23" s="925"/>
      <c r="AF23" s="925"/>
      <c r="AG23" s="925"/>
      <c r="AH23" s="925"/>
      <c r="AI23" s="925"/>
      <c r="AJ23" s="925"/>
      <c r="AK23" s="925"/>
      <c r="AL23" s="925"/>
      <c r="AM23" s="925"/>
      <c r="AN23" s="925"/>
      <c r="AO23" s="925"/>
      <c r="AP23" s="925"/>
      <c r="AQ23" s="925"/>
      <c r="AR23" s="925"/>
      <c r="AS23" s="925"/>
      <c r="AT23" s="925"/>
      <c r="AU23" s="925"/>
      <c r="AV23" s="1880"/>
    </row>
    <row r="24" spans="1:52" s="374" customFormat="1" ht="21" customHeight="1">
      <c r="B24" s="1879"/>
      <c r="C24" s="925"/>
      <c r="D24" s="925"/>
      <c r="E24" s="925"/>
      <c r="F24" s="925"/>
      <c r="G24" s="925"/>
      <c r="H24" s="925"/>
      <c r="I24" s="925"/>
      <c r="J24" s="925"/>
      <c r="K24" s="925"/>
      <c r="L24" s="925"/>
      <c r="M24" s="925"/>
      <c r="N24" s="925"/>
      <c r="O24" s="925"/>
      <c r="P24" s="925"/>
      <c r="Q24" s="925"/>
      <c r="R24" s="925"/>
      <c r="S24" s="925"/>
      <c r="T24" s="925"/>
      <c r="U24" s="925"/>
      <c r="V24" s="925"/>
      <c r="W24" s="925"/>
      <c r="X24" s="925"/>
      <c r="Y24" s="925"/>
      <c r="Z24" s="925"/>
      <c r="AA24" s="925"/>
      <c r="AB24" s="925"/>
      <c r="AC24" s="925"/>
      <c r="AD24" s="925"/>
      <c r="AE24" s="925"/>
      <c r="AF24" s="925"/>
      <c r="AG24" s="925"/>
      <c r="AH24" s="925"/>
      <c r="AI24" s="925"/>
      <c r="AJ24" s="925"/>
      <c r="AK24" s="925"/>
      <c r="AL24" s="925"/>
      <c r="AM24" s="925"/>
      <c r="AN24" s="925"/>
      <c r="AO24" s="925"/>
      <c r="AP24" s="925"/>
      <c r="AQ24" s="925"/>
      <c r="AR24" s="925"/>
      <c r="AS24" s="925"/>
      <c r="AT24" s="925"/>
      <c r="AU24" s="925"/>
      <c r="AV24" s="1880"/>
    </row>
    <row r="25" spans="1:52" s="374" customFormat="1" ht="21" customHeight="1">
      <c r="A25" s="272"/>
      <c r="B25" s="1879"/>
      <c r="C25" s="925"/>
      <c r="D25" s="925"/>
      <c r="E25" s="925"/>
      <c r="F25" s="925"/>
      <c r="G25" s="925"/>
      <c r="H25" s="925"/>
      <c r="I25" s="925"/>
      <c r="J25" s="925"/>
      <c r="K25" s="925"/>
      <c r="L25" s="925"/>
      <c r="M25" s="925"/>
      <c r="N25" s="925"/>
      <c r="O25" s="925"/>
      <c r="P25" s="925"/>
      <c r="Q25" s="925"/>
      <c r="R25" s="925"/>
      <c r="S25" s="925"/>
      <c r="T25" s="925"/>
      <c r="U25" s="925"/>
      <c r="V25" s="925"/>
      <c r="W25" s="925"/>
      <c r="X25" s="925"/>
      <c r="Y25" s="925"/>
      <c r="Z25" s="925"/>
      <c r="AA25" s="925"/>
      <c r="AB25" s="925"/>
      <c r="AC25" s="925"/>
      <c r="AD25" s="925"/>
      <c r="AE25" s="925"/>
      <c r="AF25" s="925"/>
      <c r="AG25" s="925"/>
      <c r="AH25" s="925"/>
      <c r="AI25" s="925"/>
      <c r="AJ25" s="925"/>
      <c r="AK25" s="925"/>
      <c r="AL25" s="925"/>
      <c r="AM25" s="925"/>
      <c r="AN25" s="925"/>
      <c r="AO25" s="925"/>
      <c r="AP25" s="925"/>
      <c r="AQ25" s="925"/>
      <c r="AR25" s="925"/>
      <c r="AS25" s="925"/>
      <c r="AT25" s="925"/>
      <c r="AU25" s="925"/>
      <c r="AV25" s="1880"/>
    </row>
    <row r="26" spans="1:52" s="374" customFormat="1" ht="21" customHeight="1">
      <c r="B26" s="1879"/>
      <c r="C26" s="925"/>
      <c r="D26" s="925"/>
      <c r="E26" s="925"/>
      <c r="F26" s="925"/>
      <c r="G26" s="925"/>
      <c r="H26" s="925"/>
      <c r="I26" s="925"/>
      <c r="J26" s="925"/>
      <c r="K26" s="925"/>
      <c r="L26" s="925"/>
      <c r="M26" s="925"/>
      <c r="N26" s="925"/>
      <c r="O26" s="925"/>
      <c r="P26" s="925"/>
      <c r="Q26" s="925"/>
      <c r="R26" s="925"/>
      <c r="S26" s="925"/>
      <c r="T26" s="925"/>
      <c r="U26" s="925"/>
      <c r="V26" s="925"/>
      <c r="W26" s="925"/>
      <c r="X26" s="925"/>
      <c r="Y26" s="925"/>
      <c r="Z26" s="925"/>
      <c r="AA26" s="925"/>
      <c r="AB26" s="925"/>
      <c r="AC26" s="925"/>
      <c r="AD26" s="925"/>
      <c r="AE26" s="925"/>
      <c r="AF26" s="925"/>
      <c r="AG26" s="925"/>
      <c r="AH26" s="925"/>
      <c r="AI26" s="925"/>
      <c r="AJ26" s="925"/>
      <c r="AK26" s="925"/>
      <c r="AL26" s="925"/>
      <c r="AM26" s="925"/>
      <c r="AN26" s="925"/>
      <c r="AO26" s="925"/>
      <c r="AP26" s="925"/>
      <c r="AQ26" s="925"/>
      <c r="AR26" s="925"/>
      <c r="AS26" s="925"/>
      <c r="AT26" s="925"/>
      <c r="AU26" s="925"/>
      <c r="AV26" s="1880"/>
    </row>
    <row r="27" spans="1:52" s="374" customFormat="1" ht="21" customHeight="1" thickBot="1">
      <c r="A27" s="272"/>
      <c r="B27" s="1881"/>
      <c r="C27" s="1882"/>
      <c r="D27" s="1882"/>
      <c r="E27" s="1882"/>
      <c r="F27" s="1882"/>
      <c r="G27" s="1882"/>
      <c r="H27" s="1882"/>
      <c r="I27" s="1882"/>
      <c r="J27" s="1882"/>
      <c r="K27" s="1882"/>
      <c r="L27" s="1882"/>
      <c r="M27" s="1882"/>
      <c r="N27" s="1882"/>
      <c r="O27" s="1882"/>
      <c r="P27" s="1882"/>
      <c r="Q27" s="1882"/>
      <c r="R27" s="1882"/>
      <c r="S27" s="1882"/>
      <c r="T27" s="1882"/>
      <c r="U27" s="1882"/>
      <c r="V27" s="1882"/>
      <c r="W27" s="1882"/>
      <c r="X27" s="1882"/>
      <c r="Y27" s="1882"/>
      <c r="Z27" s="1882"/>
      <c r="AA27" s="1882"/>
      <c r="AB27" s="1882"/>
      <c r="AC27" s="1882"/>
      <c r="AD27" s="1882"/>
      <c r="AE27" s="1882"/>
      <c r="AF27" s="1882"/>
      <c r="AG27" s="1882"/>
      <c r="AH27" s="1882"/>
      <c r="AI27" s="1882"/>
      <c r="AJ27" s="1882"/>
      <c r="AK27" s="1882"/>
      <c r="AL27" s="1882"/>
      <c r="AM27" s="1882"/>
      <c r="AN27" s="1882"/>
      <c r="AO27" s="1882"/>
      <c r="AP27" s="1882"/>
      <c r="AQ27" s="1882"/>
      <c r="AR27" s="1882"/>
      <c r="AS27" s="1882"/>
      <c r="AT27" s="1882"/>
      <c r="AU27" s="1882"/>
      <c r="AV27" s="1883"/>
    </row>
    <row r="28" spans="1:52" ht="200.25" customHeight="1" thickTop="1">
      <c r="B28" s="1901" t="s">
        <v>1242</v>
      </c>
      <c r="C28" s="1902"/>
      <c r="D28" s="1902"/>
      <c r="E28" s="1902"/>
      <c r="F28" s="1902"/>
      <c r="G28" s="1902"/>
      <c r="H28" s="1902"/>
      <c r="I28" s="1902"/>
      <c r="J28" s="1902"/>
      <c r="K28" s="1902"/>
      <c r="L28" s="1902"/>
      <c r="M28" s="1902"/>
      <c r="N28" s="1902"/>
      <c r="O28" s="1902"/>
      <c r="P28" s="1902"/>
      <c r="Q28" s="1902"/>
      <c r="R28" s="1902"/>
      <c r="S28" s="1902"/>
      <c r="T28" s="1902"/>
      <c r="U28" s="1902"/>
      <c r="V28" s="1902"/>
      <c r="W28" s="1902"/>
      <c r="X28" s="1902"/>
      <c r="Y28" s="1902"/>
      <c r="Z28" s="1902"/>
      <c r="AA28" s="1902"/>
      <c r="AB28" s="1902"/>
      <c r="AC28" s="1902"/>
      <c r="AD28" s="1902"/>
      <c r="AE28" s="1902"/>
      <c r="AF28" s="1902"/>
      <c r="AG28" s="1902"/>
      <c r="AH28" s="1902"/>
      <c r="AI28" s="1902"/>
      <c r="AJ28" s="1902"/>
      <c r="AK28" s="1902"/>
      <c r="AL28" s="1902"/>
      <c r="AM28" s="1902"/>
      <c r="AN28" s="1902"/>
      <c r="AO28" s="1902"/>
      <c r="AP28" s="1902"/>
      <c r="AQ28" s="1902"/>
      <c r="AR28" s="1902"/>
      <c r="AS28" s="1902"/>
      <c r="AT28" s="1902"/>
      <c r="AU28" s="1902"/>
      <c r="AV28" s="1902"/>
      <c r="AW28" s="375"/>
      <c r="AX28" s="375"/>
      <c r="AY28" s="375"/>
      <c r="AZ28" s="375"/>
    </row>
    <row r="29" spans="1:52" ht="15.6" customHeight="1">
      <c r="B29" s="1889"/>
      <c r="C29" s="1890"/>
      <c r="D29" s="1890"/>
      <c r="E29" s="1890"/>
      <c r="F29" s="1890"/>
      <c r="G29" s="1890"/>
      <c r="H29" s="1890"/>
      <c r="I29" s="1890"/>
      <c r="J29" s="1890"/>
      <c r="K29" s="1890"/>
      <c r="L29" s="1890"/>
      <c r="M29" s="1890"/>
      <c r="N29" s="1890"/>
      <c r="O29" s="1890"/>
      <c r="P29" s="1890"/>
      <c r="Q29" s="1890"/>
      <c r="R29" s="1890"/>
      <c r="S29" s="1890"/>
      <c r="T29" s="1890"/>
      <c r="U29" s="1890"/>
      <c r="V29" s="1891"/>
      <c r="W29" s="1891"/>
      <c r="X29" s="1891"/>
      <c r="Y29" s="1891"/>
      <c r="Z29" s="1891"/>
      <c r="AA29" s="1891"/>
      <c r="AB29" s="376" t="s">
        <v>1243</v>
      </c>
      <c r="AC29" s="377"/>
      <c r="AD29" s="377"/>
      <c r="AE29" s="1892"/>
      <c r="AF29" s="1892"/>
      <c r="AG29" s="1892"/>
      <c r="AH29" s="1892"/>
      <c r="AI29" s="1892"/>
      <c r="AJ29" s="1892"/>
      <c r="AK29" s="1892"/>
      <c r="AL29" s="1892"/>
      <c r="AM29" s="1892"/>
      <c r="AN29" s="1892"/>
      <c r="AO29" s="1892"/>
      <c r="AP29" s="1892"/>
      <c r="AQ29" s="1892"/>
      <c r="AR29" s="1892"/>
      <c r="AS29" s="1892"/>
      <c r="AT29" s="1892"/>
      <c r="AU29" s="1893"/>
      <c r="AV29" s="378"/>
      <c r="AW29" s="375"/>
      <c r="AX29" s="375"/>
      <c r="AY29" s="375"/>
      <c r="AZ29" s="375"/>
    </row>
    <row r="30" spans="1:52" ht="21" customHeight="1">
      <c r="B30" s="1894">
        <f>+REPOSICIÓN!H52</f>
        <v>0</v>
      </c>
      <c r="C30" s="1895"/>
      <c r="D30" s="1895"/>
      <c r="E30" s="1895"/>
      <c r="F30" s="1895"/>
      <c r="G30" s="1895"/>
      <c r="H30" s="379"/>
      <c r="I30" s="379"/>
      <c r="J30" s="379"/>
      <c r="K30" s="379" t="s">
        <v>1244</v>
      </c>
      <c r="L30" s="379"/>
      <c r="M30" s="379"/>
      <c r="N30" s="379"/>
      <c r="O30" s="379"/>
      <c r="P30" s="1896">
        <f>+V29</f>
        <v>0</v>
      </c>
      <c r="Q30" s="1895"/>
      <c r="R30" s="1895"/>
      <c r="S30" s="1895"/>
      <c r="T30" s="1895"/>
      <c r="U30" s="1895"/>
      <c r="V30" s="1895"/>
      <c r="W30" s="380"/>
      <c r="X30" s="380"/>
      <c r="Y30" s="380"/>
      <c r="Z30" s="380"/>
      <c r="AA30" s="380"/>
      <c r="AB30" s="381"/>
      <c r="AC30" s="379"/>
      <c r="AD30" s="379"/>
      <c r="AE30" s="379"/>
      <c r="AF30" s="382"/>
      <c r="AG30" s="382"/>
      <c r="AH30" s="382"/>
      <c r="AI30" s="382"/>
      <c r="AJ30" s="382"/>
      <c r="AK30" s="382"/>
      <c r="AL30" s="382" t="s">
        <v>1060</v>
      </c>
      <c r="AM30" s="1897">
        <f>+B30*P30</f>
        <v>0</v>
      </c>
      <c r="AN30" s="1895"/>
      <c r="AO30" s="1895"/>
      <c r="AP30" s="1895"/>
      <c r="AQ30" s="1895"/>
      <c r="AR30" s="1895"/>
      <c r="AS30" s="1895"/>
      <c r="AT30" s="1895"/>
      <c r="AU30" s="382"/>
      <c r="AV30" s="378"/>
      <c r="AW30" s="375"/>
      <c r="AX30" s="375"/>
      <c r="AY30" s="375"/>
      <c r="AZ30" s="375"/>
    </row>
    <row r="31" spans="1:52" ht="18.75" customHeight="1" thickBot="1">
      <c r="B31" s="1884" t="s">
        <v>1245</v>
      </c>
      <c r="C31" s="1884"/>
      <c r="D31" s="1884"/>
      <c r="E31" s="1884"/>
      <c r="F31" s="1884"/>
      <c r="G31" s="1884"/>
      <c r="H31" s="1884"/>
      <c r="I31" s="1884"/>
      <c r="J31" s="1884"/>
      <c r="K31" s="1884"/>
      <c r="L31" s="1884"/>
      <c r="M31" s="1884"/>
      <c r="N31" s="1884"/>
      <c r="O31" s="1884"/>
      <c r="P31" s="1884"/>
      <c r="Q31" s="1884"/>
      <c r="R31" s="1884"/>
      <c r="S31" s="1884"/>
      <c r="T31" s="1884"/>
      <c r="U31" s="1884"/>
      <c r="V31" s="1884"/>
      <c r="W31" s="1884"/>
      <c r="X31" s="1884"/>
      <c r="Y31" s="1884"/>
      <c r="Z31" s="1884"/>
      <c r="AA31" s="1884"/>
      <c r="AB31" s="1884"/>
      <c r="AC31" s="1884"/>
      <c r="AD31" s="1884"/>
      <c r="AE31" s="1884"/>
      <c r="AF31" s="1884"/>
      <c r="AG31" s="1884"/>
      <c r="AH31" s="1884"/>
      <c r="AI31" s="1884"/>
      <c r="AJ31" s="1884"/>
      <c r="AK31" s="1884"/>
      <c r="AL31" s="383" t="s">
        <v>1060</v>
      </c>
      <c r="AM31" s="1885">
        <f>+AM30</f>
        <v>0</v>
      </c>
      <c r="AN31" s="1886"/>
      <c r="AO31" s="1886"/>
      <c r="AP31" s="1886"/>
      <c r="AQ31" s="1886"/>
      <c r="AR31" s="1886"/>
      <c r="AS31" s="1886"/>
      <c r="AT31" s="1886"/>
      <c r="AU31" s="383"/>
      <c r="AV31" s="378"/>
      <c r="AW31" s="375"/>
      <c r="AX31" s="375"/>
      <c r="AY31" s="375"/>
      <c r="AZ31" s="375"/>
    </row>
    <row r="32" spans="1:52" ht="5.25" customHeight="1" thickTop="1">
      <c r="A32" s="306"/>
      <c r="B32" s="306"/>
      <c r="C32" s="306"/>
      <c r="D32" s="306"/>
      <c r="E32" s="306"/>
      <c r="F32" s="384"/>
      <c r="G32" s="385"/>
      <c r="H32" s="385"/>
      <c r="I32" s="385"/>
      <c r="J32" s="385"/>
      <c r="K32" s="385"/>
      <c r="L32" s="385"/>
      <c r="M32" s="385"/>
      <c r="N32" s="306"/>
      <c r="O32" s="306"/>
      <c r="P32" s="306"/>
      <c r="Q32" s="306"/>
      <c r="R32" s="306"/>
      <c r="S32" s="306"/>
      <c r="T32" s="306"/>
      <c r="U32" s="306"/>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row>
    <row r="33" spans="1:48" ht="15.75" customHeight="1">
      <c r="A33" s="1887" t="s">
        <v>1246</v>
      </c>
      <c r="B33" s="1887"/>
      <c r="C33" s="1887"/>
      <c r="D33" s="1887"/>
      <c r="E33" s="1887"/>
      <c r="F33" s="1887"/>
      <c r="G33" s="1887"/>
      <c r="H33" s="1887"/>
      <c r="I33" s="1887"/>
      <c r="J33" s="1887"/>
      <c r="K33" s="1887"/>
      <c r="L33" s="1887"/>
      <c r="M33" s="1887"/>
      <c r="N33" s="1887"/>
      <c r="O33" s="1887"/>
      <c r="P33" s="1887"/>
      <c r="Q33" s="1887"/>
      <c r="R33" s="1887"/>
      <c r="S33" s="1887"/>
      <c r="T33" s="1887"/>
      <c r="U33" s="1887"/>
      <c r="V33" s="1887"/>
      <c r="W33" s="1887"/>
      <c r="X33" s="1887"/>
      <c r="Y33" s="1887"/>
      <c r="Z33" s="1887"/>
      <c r="AA33" s="1887"/>
      <c r="AB33" s="1887"/>
      <c r="AC33" s="1887"/>
      <c r="AD33" s="1887"/>
      <c r="AE33" s="1887"/>
      <c r="AF33" s="1887"/>
      <c r="AG33" s="1887"/>
      <c r="AH33" s="1887"/>
      <c r="AI33" s="1887"/>
      <c r="AJ33" s="1887"/>
      <c r="AK33" s="1887"/>
      <c r="AL33" s="1887"/>
      <c r="AM33" s="1887"/>
      <c r="AN33" s="1887"/>
      <c r="AO33" s="1887"/>
      <c r="AP33" s="1887"/>
      <c r="AQ33" s="1887"/>
      <c r="AR33" s="1887"/>
      <c r="AS33" s="1887"/>
      <c r="AT33" s="1887"/>
      <c r="AU33" s="1887"/>
      <c r="AV33" s="1887"/>
    </row>
    <row r="34" spans="1:48" ht="6" customHeight="1">
      <c r="A34" s="306"/>
      <c r="B34" s="306"/>
      <c r="C34" s="367"/>
      <c r="D34" s="367"/>
      <c r="E34" s="367"/>
      <c r="F34" s="367"/>
      <c r="G34" s="367"/>
      <c r="H34" s="367"/>
      <c r="I34" s="367"/>
      <c r="J34" s="367"/>
      <c r="K34" s="367"/>
      <c r="L34" s="367"/>
      <c r="M34" s="367"/>
      <c r="N34" s="367"/>
      <c r="O34" s="367"/>
      <c r="P34" s="367"/>
      <c r="Q34" s="367"/>
      <c r="R34" s="367"/>
      <c r="S34" s="367"/>
      <c r="T34" s="367"/>
      <c r="U34" s="306"/>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row>
    <row r="35" spans="1:48" ht="15" hidden="1" customHeight="1">
      <c r="A35" s="306"/>
      <c r="B35" s="306"/>
    </row>
    <row r="36" spans="1:48" ht="3.75" hidden="1" customHeight="1">
      <c r="A36" s="306"/>
      <c r="B36" s="306"/>
      <c r="C36" s="306"/>
      <c r="D36" s="306"/>
      <c r="E36" s="306"/>
      <c r="F36" s="384"/>
      <c r="G36" s="385"/>
      <c r="H36" s="385"/>
      <c r="I36" s="385"/>
      <c r="J36" s="385"/>
      <c r="K36" s="385"/>
      <c r="L36" s="385"/>
      <c r="M36" s="385"/>
      <c r="N36" s="306"/>
      <c r="O36" s="306"/>
      <c r="P36" s="306"/>
      <c r="Q36" s="306"/>
      <c r="R36" s="306"/>
      <c r="S36" s="306"/>
      <c r="T36" s="306"/>
      <c r="U36" s="306"/>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306"/>
      <c r="AV36" s="306"/>
    </row>
    <row r="37" spans="1:48" ht="15" customHeight="1">
      <c r="A37" s="306"/>
      <c r="B37" s="306"/>
    </row>
    <row r="38" spans="1:48" ht="15" customHeight="1">
      <c r="A38" s="306"/>
      <c r="B38" s="306"/>
      <c r="C38" s="306"/>
      <c r="D38" s="306"/>
      <c r="E38" s="306"/>
      <c r="F38" s="384"/>
      <c r="G38" s="385"/>
      <c r="H38" s="385"/>
      <c r="I38" s="385"/>
      <c r="J38" s="385"/>
      <c r="K38" s="385"/>
      <c r="L38" s="385"/>
      <c r="M38" s="385"/>
      <c r="N38" s="306"/>
      <c r="O38" s="306"/>
      <c r="P38" s="306"/>
      <c r="Q38" s="306"/>
      <c r="R38" s="306"/>
      <c r="S38" s="306"/>
      <c r="T38" s="306"/>
      <c r="U38" s="306"/>
      <c r="V38" s="306"/>
      <c r="W38" s="306"/>
      <c r="X38" s="306"/>
      <c r="Y38" s="306"/>
      <c r="Z38" s="306"/>
      <c r="AA38" s="306"/>
      <c r="AB38" s="306"/>
      <c r="AC38" s="306"/>
      <c r="AD38" s="306"/>
      <c r="AE38" s="306"/>
      <c r="AF38" s="306"/>
      <c r="AG38" s="306"/>
      <c r="AH38" s="306"/>
      <c r="AI38" s="306"/>
      <c r="AJ38" s="306"/>
      <c r="AK38" s="306"/>
      <c r="AL38" s="306"/>
      <c r="AM38" s="306"/>
      <c r="AN38" s="306"/>
      <c r="AO38" s="306"/>
      <c r="AP38" s="306"/>
      <c r="AQ38" s="306"/>
      <c r="AR38" s="306"/>
      <c r="AS38" s="306"/>
      <c r="AT38" s="306"/>
      <c r="AU38" s="306"/>
      <c r="AV38" s="306"/>
    </row>
    <row r="39" spans="1:48" ht="15" customHeight="1">
      <c r="A39" s="306"/>
      <c r="B39" s="306"/>
      <c r="C39" s="306" t="s">
        <v>1247</v>
      </c>
      <c r="D39" s="306"/>
      <c r="E39" s="306"/>
      <c r="F39" s="1888">
        <f>+RESULTADOS!Z14</f>
        <v>0</v>
      </c>
      <c r="G39" s="1888"/>
      <c r="H39" s="1888"/>
      <c r="I39" s="1888"/>
      <c r="J39" s="1888"/>
      <c r="K39" s="1888"/>
      <c r="L39" s="1888"/>
      <c r="M39" s="1888"/>
      <c r="N39" s="1888"/>
      <c r="O39" s="1888"/>
      <c r="P39" s="1888"/>
      <c r="Q39" s="1888"/>
      <c r="R39" s="1888"/>
      <c r="S39" s="1888"/>
      <c r="T39" s="1888"/>
      <c r="U39" s="1888"/>
      <c r="V39" s="1888"/>
      <c r="W39" s="1888"/>
      <c r="X39" s="1888"/>
      <c r="Y39" s="1888"/>
      <c r="Z39" s="1888"/>
      <c r="AA39" s="1888"/>
      <c r="AB39" s="1888"/>
      <c r="AC39" s="1888"/>
      <c r="AD39" s="1888"/>
      <c r="AE39" s="1888"/>
      <c r="AF39" s="1888"/>
      <c r="AG39" s="1888"/>
      <c r="AH39" s="1888"/>
      <c r="AI39" s="1888"/>
      <c r="AJ39" s="1888"/>
      <c r="AK39" s="1888"/>
      <c r="AL39" s="1888"/>
      <c r="AM39" s="1888"/>
      <c r="AN39" s="1888"/>
      <c r="AO39" s="1888"/>
      <c r="AP39" s="1888"/>
      <c r="AQ39" s="1888"/>
      <c r="AR39" s="1888"/>
      <c r="AS39" s="1888"/>
      <c r="AT39" s="1888"/>
      <c r="AU39" s="1888"/>
      <c r="AV39" s="1888"/>
    </row>
    <row r="40" spans="1:48" ht="12.75" customHeight="1">
      <c r="A40" s="306"/>
      <c r="B40" s="306"/>
      <c r="C40" s="306"/>
      <c r="D40" s="306"/>
      <c r="E40" s="306"/>
      <c r="F40" s="306"/>
      <c r="G40" s="306"/>
      <c r="H40" s="306"/>
      <c r="I40" s="306"/>
      <c r="J40" s="306"/>
      <c r="K40" s="306"/>
      <c r="L40" s="306"/>
      <c r="M40" s="306"/>
      <c r="N40" s="306"/>
      <c r="O40" s="306"/>
      <c r="P40" s="306"/>
      <c r="Q40" s="306"/>
      <c r="R40" s="306"/>
      <c r="S40" s="306"/>
      <c r="T40" s="306"/>
      <c r="U40" s="306"/>
      <c r="V40" s="306"/>
      <c r="W40" s="306"/>
      <c r="X40" s="306"/>
      <c r="Y40" s="306"/>
      <c r="Z40" s="306"/>
      <c r="AA40" s="306"/>
      <c r="AB40" s="306"/>
      <c r="AC40" s="306"/>
      <c r="AD40" s="306"/>
      <c r="AE40" s="306"/>
      <c r="AF40" s="306"/>
      <c r="AG40" s="306"/>
      <c r="AH40" s="306"/>
      <c r="AI40" s="306"/>
      <c r="AJ40" s="306"/>
      <c r="AK40" s="306"/>
      <c r="AL40" s="306"/>
      <c r="AM40" s="306"/>
      <c r="AN40" s="306"/>
      <c r="AO40" s="306"/>
      <c r="AP40" s="306"/>
      <c r="AQ40" s="306"/>
      <c r="AR40" s="306"/>
      <c r="AS40" s="306"/>
      <c r="AT40" s="306"/>
      <c r="AU40" s="306"/>
      <c r="AV40" s="306"/>
    </row>
    <row r="41" spans="1:48" ht="12.75" customHeight="1">
      <c r="A41" s="306"/>
      <c r="B41" s="306"/>
      <c r="C41" s="306"/>
      <c r="D41" s="306"/>
      <c r="E41" s="306"/>
      <c r="F41" s="306"/>
      <c r="G41" s="306"/>
      <c r="H41" s="306"/>
      <c r="I41" s="306"/>
      <c r="J41" s="306"/>
      <c r="K41" s="306"/>
      <c r="L41" s="306"/>
      <c r="M41" s="306"/>
      <c r="N41" s="306"/>
      <c r="O41" s="306"/>
      <c r="P41" s="306"/>
      <c r="Q41" s="306"/>
      <c r="R41" s="306"/>
      <c r="S41" s="306"/>
      <c r="T41" s="306"/>
      <c r="U41" s="306"/>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row>
    <row r="42" spans="1:48" ht="12.75" customHeight="1">
      <c r="A42" s="306"/>
      <c r="B42" s="306"/>
      <c r="C42" s="306"/>
      <c r="D42" s="306"/>
      <c r="E42" s="306"/>
      <c r="F42" s="306"/>
      <c r="G42" s="306"/>
      <c r="H42" s="306"/>
      <c r="I42" s="306"/>
      <c r="J42" s="306"/>
      <c r="K42" s="306"/>
      <c r="L42" s="306"/>
      <c r="M42" s="306"/>
      <c r="N42" s="306"/>
      <c r="O42" s="306"/>
      <c r="P42" s="306"/>
      <c r="Q42" s="306"/>
      <c r="R42" s="306"/>
      <c r="S42" s="306"/>
      <c r="T42" s="306"/>
      <c r="U42" s="306"/>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row>
    <row r="43" spans="1:48" ht="12.75" customHeight="1">
      <c r="A43" s="306"/>
      <c r="B43" s="306"/>
      <c r="C43" s="306"/>
      <c r="D43" s="306"/>
      <c r="E43" s="306"/>
      <c r="F43" s="306"/>
      <c r="G43" s="306"/>
      <c r="H43" s="306"/>
      <c r="I43" s="306"/>
      <c r="J43" s="306"/>
      <c r="K43" s="306"/>
      <c r="L43" s="306"/>
      <c r="M43" s="306"/>
      <c r="N43" s="306"/>
      <c r="O43" s="306"/>
      <c r="P43" s="306"/>
      <c r="Q43" s="306"/>
      <c r="R43" s="306"/>
      <c r="S43" s="306"/>
      <c r="T43" s="306"/>
      <c r="U43" s="306"/>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row>
    <row r="44" spans="1:48" ht="12.75" customHeight="1">
      <c r="A44" s="306"/>
      <c r="B44" s="306"/>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row>
    <row r="45" spans="1:48" ht="12.75" customHeight="1">
      <c r="A45" s="306"/>
      <c r="B45" s="306"/>
      <c r="C45" s="306"/>
      <c r="D45" s="306"/>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row>
    <row r="46" spans="1:48" ht="12.75" customHeight="1">
      <c r="A46" s="306"/>
      <c r="B46" s="306"/>
      <c r="C46" s="306"/>
      <c r="D46" s="306"/>
      <c r="E46" s="306"/>
      <c r="F46" s="306"/>
      <c r="G46" s="306"/>
      <c r="H46" s="306"/>
      <c r="I46" s="306"/>
      <c r="J46" s="306"/>
      <c r="K46" s="306"/>
      <c r="L46" s="306"/>
      <c r="M46" s="306"/>
      <c r="N46" s="306"/>
      <c r="O46" s="306"/>
      <c r="P46" s="306"/>
      <c r="Q46" s="306"/>
      <c r="R46" s="306"/>
      <c r="S46" s="306"/>
      <c r="T46" s="306"/>
      <c r="U46" s="306"/>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row>
    <row r="47" spans="1:48" ht="12.75" customHeight="1">
      <c r="A47" s="306"/>
      <c r="B47" s="306"/>
      <c r="C47" s="306"/>
      <c r="D47" s="306"/>
      <c r="E47" s="306"/>
      <c r="F47" s="306"/>
      <c r="G47" s="306"/>
      <c r="H47" s="306"/>
      <c r="I47" s="306"/>
      <c r="J47" s="306"/>
      <c r="K47" s="306"/>
      <c r="L47" s="306"/>
      <c r="M47" s="306"/>
      <c r="N47" s="306"/>
      <c r="O47" s="306"/>
      <c r="P47" s="306"/>
      <c r="Q47" s="306"/>
      <c r="R47" s="306"/>
      <c r="S47" s="306"/>
      <c r="T47" s="306"/>
      <c r="U47" s="306"/>
      <c r="V47" s="306"/>
      <c r="W47" s="306"/>
      <c r="X47" s="306"/>
      <c r="Y47" s="306"/>
      <c r="Z47" s="306"/>
      <c r="AA47" s="306"/>
      <c r="AB47" s="306"/>
      <c r="AC47" s="306"/>
      <c r="AD47" s="306"/>
      <c r="AE47" s="306"/>
      <c r="AF47" s="306"/>
      <c r="AG47" s="306"/>
      <c r="AH47" s="306"/>
      <c r="AI47" s="306"/>
      <c r="AJ47" s="306"/>
      <c r="AK47" s="306"/>
      <c r="AL47" s="306"/>
      <c r="AM47" s="306"/>
      <c r="AN47" s="306"/>
      <c r="AO47" s="306"/>
      <c r="AP47" s="306"/>
      <c r="AQ47" s="306"/>
      <c r="AR47" s="306"/>
      <c r="AS47" s="306"/>
      <c r="AT47" s="306"/>
      <c r="AU47" s="306"/>
      <c r="AV47" s="306"/>
    </row>
    <row r="48" spans="1:48" ht="12.75" customHeight="1">
      <c r="A48" s="306"/>
      <c r="B48" s="306"/>
      <c r="C48" s="306"/>
      <c r="D48" s="306"/>
      <c r="E48" s="306"/>
      <c r="F48" s="306"/>
      <c r="G48" s="306"/>
      <c r="H48" s="306"/>
      <c r="I48" s="306"/>
      <c r="J48" s="306"/>
      <c r="K48" s="306"/>
      <c r="L48" s="306"/>
      <c r="M48" s="306"/>
      <c r="N48" s="306"/>
      <c r="O48" s="306"/>
      <c r="P48" s="306"/>
      <c r="Q48" s="306"/>
      <c r="R48" s="306"/>
      <c r="S48" s="306"/>
      <c r="T48" s="306"/>
      <c r="U48" s="306"/>
      <c r="V48" s="306"/>
      <c r="W48" s="306"/>
      <c r="X48" s="306"/>
      <c r="Y48" s="306"/>
      <c r="Z48" s="306"/>
      <c r="AA48" s="306"/>
      <c r="AB48" s="306"/>
      <c r="AC48" s="306"/>
      <c r="AD48" s="306"/>
      <c r="AE48" s="306"/>
      <c r="AF48" s="306"/>
      <c r="AG48" s="306"/>
      <c r="AH48" s="306"/>
      <c r="AI48" s="306"/>
      <c r="AJ48" s="306"/>
      <c r="AK48" s="306"/>
      <c r="AL48" s="306"/>
      <c r="AM48" s="306"/>
      <c r="AN48" s="306"/>
      <c r="AO48" s="306"/>
      <c r="AP48" s="306"/>
      <c r="AQ48" s="306"/>
      <c r="AR48" s="306"/>
      <c r="AS48" s="306"/>
      <c r="AT48" s="306"/>
      <c r="AU48" s="306"/>
      <c r="AV48" s="306"/>
    </row>
    <row r="49" spans="1:48" ht="12.75" customHeight="1">
      <c r="A49" s="306"/>
      <c r="B49" s="306"/>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c r="AA49" s="306"/>
      <c r="AB49" s="306"/>
      <c r="AC49" s="306"/>
      <c r="AD49" s="306"/>
      <c r="AE49" s="306"/>
      <c r="AF49" s="306"/>
      <c r="AG49" s="306"/>
      <c r="AH49" s="306"/>
      <c r="AI49" s="306"/>
      <c r="AJ49" s="306"/>
      <c r="AK49" s="306"/>
      <c r="AL49" s="306"/>
      <c r="AM49" s="306"/>
      <c r="AN49" s="306"/>
      <c r="AO49" s="306"/>
      <c r="AP49" s="306"/>
      <c r="AQ49" s="306"/>
      <c r="AR49" s="306"/>
      <c r="AS49" s="306"/>
      <c r="AT49" s="306"/>
      <c r="AU49" s="306"/>
      <c r="AV49" s="306"/>
    </row>
    <row r="50" spans="1:48" ht="12.75" customHeight="1">
      <c r="A50" s="306"/>
      <c r="B50" s="306"/>
      <c r="C50" s="306"/>
      <c r="D50" s="306"/>
      <c r="E50" s="306"/>
      <c r="F50" s="306"/>
      <c r="G50" s="306"/>
      <c r="H50" s="306"/>
      <c r="I50" s="306"/>
      <c r="J50" s="306"/>
      <c r="K50" s="306"/>
      <c r="L50" s="306"/>
      <c r="M50" s="306"/>
      <c r="N50" s="306"/>
      <c r="O50" s="306"/>
      <c r="P50" s="306"/>
      <c r="Q50" s="306"/>
      <c r="R50" s="306"/>
      <c r="S50" s="306"/>
      <c r="T50" s="306"/>
      <c r="U50" s="306"/>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row>
    <row r="51" spans="1:48" ht="12.75" customHeight="1">
      <c r="A51" s="306"/>
      <c r="B51" s="306"/>
      <c r="C51" s="306"/>
      <c r="D51" s="306"/>
      <c r="E51" s="306"/>
      <c r="F51" s="306"/>
      <c r="G51" s="306"/>
      <c r="H51" s="306"/>
      <c r="I51" s="306"/>
      <c r="J51" s="306"/>
      <c r="K51" s="306"/>
      <c r="L51" s="306"/>
      <c r="M51" s="306"/>
      <c r="N51" s="306"/>
      <c r="O51" s="306"/>
      <c r="P51" s="306"/>
      <c r="Q51" s="306"/>
      <c r="R51" s="306"/>
      <c r="S51" s="306"/>
      <c r="T51" s="306"/>
      <c r="U51" s="306"/>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row>
    <row r="52" spans="1:48" ht="12.75" customHeight="1">
      <c r="A52" s="306"/>
      <c r="B52" s="306"/>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row>
    <row r="53" spans="1:48" ht="12.75" customHeight="1">
      <c r="A53" s="306"/>
      <c r="B53" s="306"/>
      <c r="C53" s="306"/>
      <c r="D53" s="306"/>
      <c r="E53" s="306"/>
      <c r="F53" s="306"/>
      <c r="G53" s="306"/>
      <c r="H53" s="306"/>
      <c r="I53" s="306"/>
      <c r="J53" s="306"/>
      <c r="K53" s="306"/>
      <c r="L53" s="306"/>
      <c r="M53" s="306"/>
      <c r="N53" s="30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row>
    <row r="54" spans="1:48" ht="12.75" customHeight="1">
      <c r="A54" s="306"/>
      <c r="B54" s="306"/>
      <c r="C54" s="306"/>
      <c r="D54" s="306"/>
      <c r="E54" s="306"/>
      <c r="F54" s="306"/>
      <c r="G54" s="306"/>
      <c r="H54" s="306"/>
      <c r="I54" s="306"/>
      <c r="J54" s="306"/>
      <c r="K54" s="306"/>
      <c r="L54" s="306"/>
      <c r="M54" s="306"/>
      <c r="N54" s="306"/>
      <c r="O54" s="306"/>
      <c r="P54" s="306"/>
      <c r="Q54" s="306"/>
      <c r="R54" s="306"/>
      <c r="S54" s="306"/>
      <c r="T54" s="306"/>
      <c r="U54" s="306"/>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row>
    <row r="55" spans="1:48" ht="12.75" customHeight="1">
      <c r="A55" s="306"/>
      <c r="B55" s="306"/>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row>
    <row r="56" spans="1:48" ht="12.75" customHeight="1">
      <c r="A56" s="306"/>
      <c r="B56" s="306"/>
      <c r="C56" s="306"/>
      <c r="D56" s="306"/>
      <c r="E56" s="306"/>
      <c r="F56" s="306"/>
      <c r="G56" s="306"/>
      <c r="H56" s="306"/>
      <c r="I56" s="306"/>
      <c r="J56" s="306"/>
      <c r="K56" s="306"/>
      <c r="L56" s="306"/>
      <c r="M56" s="306"/>
      <c r="N56" s="306"/>
      <c r="O56" s="306"/>
      <c r="P56" s="306"/>
      <c r="Q56" s="306"/>
      <c r="R56" s="306"/>
      <c r="S56" s="306"/>
      <c r="T56" s="306"/>
      <c r="U56" s="306"/>
      <c r="V56" s="306"/>
      <c r="W56" s="306"/>
      <c r="X56" s="306"/>
      <c r="Y56" s="306"/>
      <c r="Z56" s="306"/>
      <c r="AA56" s="306"/>
      <c r="AB56" s="306"/>
      <c r="AC56" s="306"/>
      <c r="AD56" s="306"/>
      <c r="AE56" s="306"/>
      <c r="AF56" s="306"/>
      <c r="AG56" s="306"/>
      <c r="AH56" s="306"/>
      <c r="AI56" s="306"/>
      <c r="AJ56" s="306"/>
      <c r="AK56" s="306"/>
      <c r="AL56" s="306"/>
      <c r="AM56" s="306"/>
      <c r="AN56" s="306"/>
      <c r="AO56" s="306"/>
      <c r="AP56" s="306"/>
      <c r="AQ56" s="306"/>
      <c r="AR56" s="306"/>
      <c r="AS56" s="306"/>
      <c r="AT56" s="306"/>
      <c r="AU56" s="306"/>
      <c r="AV56" s="306"/>
    </row>
    <row r="57" spans="1:48" ht="12.75" customHeight="1">
      <c r="A57" s="306"/>
      <c r="B57" s="306"/>
      <c r="C57" s="306"/>
      <c r="D57" s="306"/>
      <c r="E57" s="306"/>
      <c r="F57" s="306"/>
      <c r="G57" s="306"/>
      <c r="H57" s="306"/>
      <c r="I57" s="306"/>
      <c r="J57" s="306"/>
      <c r="K57" s="306"/>
      <c r="L57" s="306"/>
      <c r="M57" s="306"/>
      <c r="N57" s="306"/>
      <c r="O57" s="306"/>
      <c r="P57" s="306"/>
      <c r="Q57" s="306"/>
      <c r="R57" s="306"/>
      <c r="S57" s="306"/>
      <c r="T57" s="306"/>
      <c r="U57" s="306"/>
      <c r="V57" s="306"/>
      <c r="W57" s="306"/>
      <c r="X57" s="306"/>
      <c r="Y57" s="306"/>
      <c r="Z57" s="306"/>
      <c r="AA57" s="306"/>
      <c r="AB57" s="306"/>
      <c r="AC57" s="306"/>
      <c r="AD57" s="306"/>
      <c r="AE57" s="306"/>
      <c r="AF57" s="306"/>
      <c r="AG57" s="306"/>
      <c r="AH57" s="306"/>
      <c r="AI57" s="306"/>
      <c r="AJ57" s="306"/>
      <c r="AK57" s="306"/>
      <c r="AL57" s="306"/>
      <c r="AM57" s="306"/>
      <c r="AN57" s="306"/>
      <c r="AO57" s="306"/>
      <c r="AP57" s="306"/>
      <c r="AQ57" s="306"/>
      <c r="AR57" s="306"/>
      <c r="AS57" s="306"/>
      <c r="AT57" s="306"/>
      <c r="AU57" s="306"/>
      <c r="AV57" s="306"/>
    </row>
  </sheetData>
  <mergeCells count="68">
    <mergeCell ref="B7:AV7"/>
    <mergeCell ref="B2:AV2"/>
    <mergeCell ref="B3:AQ3"/>
    <mergeCell ref="B4:AV4"/>
    <mergeCell ref="B5:AV5"/>
    <mergeCell ref="B6:AV6"/>
    <mergeCell ref="AG9:AJ9"/>
    <mergeCell ref="AK9:AN9"/>
    <mergeCell ref="AO9:AR9"/>
    <mergeCell ref="AS9:AV9"/>
    <mergeCell ref="B10:Q10"/>
    <mergeCell ref="R10:T10"/>
    <mergeCell ref="U10:W10"/>
    <mergeCell ref="X10:Z10"/>
    <mergeCell ref="AA10:AC10"/>
    <mergeCell ref="AD10:AF10"/>
    <mergeCell ref="B9:Q9"/>
    <mergeCell ref="R9:T9"/>
    <mergeCell ref="U9:W9"/>
    <mergeCell ref="X9:Z9"/>
    <mergeCell ref="AA9:AC9"/>
    <mergeCell ref="AD9:AF9"/>
    <mergeCell ref="AG10:AJ10"/>
    <mergeCell ref="AK10:AN10"/>
    <mergeCell ref="AO10:AR10"/>
    <mergeCell ref="AS10:AV10"/>
    <mergeCell ref="B11:Q11"/>
    <mergeCell ref="R11:T11"/>
    <mergeCell ref="U11:W11"/>
    <mergeCell ref="X11:Z11"/>
    <mergeCell ref="AA11:AC11"/>
    <mergeCell ref="AD11:AF11"/>
    <mergeCell ref="AG11:AJ11"/>
    <mergeCell ref="AK11:AN11"/>
    <mergeCell ref="AO11:AR11"/>
    <mergeCell ref="AS11:AV11"/>
    <mergeCell ref="B12:Q12"/>
    <mergeCell ref="R12:T12"/>
    <mergeCell ref="U12:W12"/>
    <mergeCell ref="X12:Z12"/>
    <mergeCell ref="AA12:AC12"/>
    <mergeCell ref="AD12:AF12"/>
    <mergeCell ref="B28:AV28"/>
    <mergeCell ref="AG12:AJ12"/>
    <mergeCell ref="AK12:AN12"/>
    <mergeCell ref="AO12:AR12"/>
    <mergeCell ref="AS12:AV12"/>
    <mergeCell ref="B13:Q13"/>
    <mergeCell ref="R13:T13"/>
    <mergeCell ref="U13:W13"/>
    <mergeCell ref="X13:Z13"/>
    <mergeCell ref="AA13:AC13"/>
    <mergeCell ref="AD13:AF13"/>
    <mergeCell ref="AG13:AJ13"/>
    <mergeCell ref="AK13:AN13"/>
    <mergeCell ref="AO13:AR13"/>
    <mergeCell ref="AS13:AV13"/>
    <mergeCell ref="B14:AV27"/>
    <mergeCell ref="B31:AK31"/>
    <mergeCell ref="AM31:AT31"/>
    <mergeCell ref="A33:AV33"/>
    <mergeCell ref="F39:AV39"/>
    <mergeCell ref="B29:U29"/>
    <mergeCell ref="V29:AA29"/>
    <mergeCell ref="AE29:AU29"/>
    <mergeCell ref="B30:G30"/>
    <mergeCell ref="P30:V30"/>
    <mergeCell ref="AM30:AT30"/>
  </mergeCells>
  <printOptions horizontalCentered="1"/>
  <pageMargins left="0.51181102362204722" right="0.51181102362204722" top="0.78740157480314965" bottom="0.59055118110236227" header="0" footer="0"/>
  <pageSetup paperSize="9" orientation="portrait" r:id="rId1"/>
  <headerFooter differentFirst="1" alignWithMargins="0">
    <oddFooter>&amp;L&amp;G&amp;R&amp;"Arial Narrow,Normal"&amp;6&amp;G
 8</oddFooter>
    <firstFooter>&amp;R8</firstFooter>
  </headerFooter>
  <rowBreaks count="1" manualBreakCount="1">
    <brk id="13" max="16383" man="1"/>
  </row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dimension ref="A1:CJ84"/>
  <sheetViews>
    <sheetView workbookViewId="0"/>
  </sheetViews>
  <sheetFormatPr baseColWidth="10" defaultRowHeight="15"/>
  <cols>
    <col min="2" max="2" width="11.42578125" style="154"/>
    <col min="3" max="3" width="11.42578125" style="154" hidden="1" customWidth="1"/>
    <col min="4" max="4" width="30.5703125" style="154" customWidth="1"/>
    <col min="5" max="5" width="15.140625" style="154" bestFit="1" customWidth="1"/>
    <col min="6" max="6" width="25.5703125" style="154" customWidth="1"/>
    <col min="7" max="7" width="16.85546875" style="154" bestFit="1" customWidth="1"/>
    <col min="8" max="9" width="11.42578125" style="154"/>
    <col min="10" max="10" width="13.28515625" style="154" customWidth="1"/>
    <col min="11" max="11" width="11.42578125" style="154"/>
    <col min="12" max="12" width="14.28515625" style="154" customWidth="1"/>
    <col min="13" max="13" width="18.5703125" style="154" bestFit="1" customWidth="1"/>
    <col min="14" max="14" width="11.42578125" style="154"/>
    <col min="15" max="15" width="16.85546875" style="154" bestFit="1" customWidth="1"/>
    <col min="16" max="17" width="11.42578125" style="154"/>
    <col min="18" max="18" width="13" style="154" customWidth="1"/>
    <col min="19" max="19" width="11.42578125" style="154"/>
    <col min="20" max="20" width="14.7109375" style="154" customWidth="1"/>
    <col min="21" max="21" width="11.42578125" style="154"/>
    <col min="22" max="22" width="13.42578125" style="154" bestFit="1" customWidth="1"/>
    <col min="23" max="23" width="13.140625" style="154" customWidth="1"/>
    <col min="24" max="24" width="17.5703125" style="154" bestFit="1" customWidth="1"/>
    <col min="25" max="26" width="21.7109375" style="154" bestFit="1" customWidth="1"/>
    <col min="27" max="27" width="22.7109375" style="154" bestFit="1" customWidth="1"/>
    <col min="28" max="28" width="26.7109375" style="154" bestFit="1" customWidth="1"/>
    <col min="29" max="29" width="6.42578125" style="154" bestFit="1" customWidth="1"/>
    <col min="30" max="30" width="19.42578125" style="154" bestFit="1" customWidth="1"/>
    <col min="31" max="31" width="32.5703125" style="154" bestFit="1" customWidth="1"/>
    <col min="32" max="32" width="26.42578125" style="154" bestFit="1" customWidth="1"/>
    <col min="33" max="33" width="18.140625" style="154" bestFit="1" customWidth="1"/>
    <col min="34" max="34" width="24" style="154" bestFit="1" customWidth="1"/>
    <col min="35" max="35" width="21.85546875" style="154" bestFit="1" customWidth="1"/>
    <col min="36" max="36" width="21.42578125" style="154" bestFit="1" customWidth="1"/>
    <col min="37" max="37" width="15" style="154" bestFit="1" customWidth="1"/>
    <col min="38" max="38" width="35.140625" style="154" bestFit="1" customWidth="1"/>
    <col min="39" max="39" width="9.42578125" style="154" bestFit="1" customWidth="1"/>
    <col min="40" max="40" width="6.140625" style="154" bestFit="1" customWidth="1"/>
    <col min="41" max="41" width="6.7109375" style="154" bestFit="1" customWidth="1"/>
    <col min="42" max="42" width="8.28515625" style="154" bestFit="1" customWidth="1"/>
    <col min="43" max="43" width="9.28515625" style="154" bestFit="1" customWidth="1"/>
    <col min="44" max="44" width="6.7109375" style="154" bestFit="1" customWidth="1"/>
    <col min="45" max="45" width="6" style="154" bestFit="1" customWidth="1"/>
    <col min="46" max="46" width="9.28515625" style="154" bestFit="1" customWidth="1"/>
    <col min="47" max="47" width="6.7109375" style="154" bestFit="1" customWidth="1"/>
    <col min="48" max="48" width="8.85546875" style="154" bestFit="1" customWidth="1"/>
    <col min="49" max="49" width="6.7109375" style="154" bestFit="1" customWidth="1"/>
    <col min="50" max="50" width="8.28515625" style="154" bestFit="1" customWidth="1"/>
    <col min="51" max="51" width="10.28515625" style="154" bestFit="1" customWidth="1"/>
    <col min="52" max="52" width="18.85546875" style="154" bestFit="1" customWidth="1"/>
    <col min="53" max="53" width="5" style="154" bestFit="1" customWidth="1"/>
    <col min="54" max="54" width="6.7109375" style="154" bestFit="1" customWidth="1"/>
    <col min="55" max="55" width="27.5703125" style="154" bestFit="1" customWidth="1"/>
    <col min="56" max="56" width="15.28515625" style="154" bestFit="1" customWidth="1"/>
    <col min="57" max="57" width="12.85546875" style="154" customWidth="1"/>
    <col min="58" max="58" width="21.7109375" style="154" bestFit="1" customWidth="1"/>
    <col min="59" max="59" width="11.42578125" style="154"/>
    <col min="60" max="60" width="12.85546875" style="154" customWidth="1"/>
    <col min="61" max="66" width="11.42578125" style="154"/>
    <col min="67" max="67" width="23.140625" style="154" bestFit="1" customWidth="1"/>
    <col min="68" max="68" width="11.42578125" style="154"/>
    <col min="69" max="69" width="28.140625" style="154" bestFit="1" customWidth="1"/>
    <col min="70" max="70" width="11.42578125" style="154"/>
    <col min="71" max="71" width="12.28515625" style="154" customWidth="1"/>
    <col min="72" max="74" width="16.28515625" style="154" customWidth="1"/>
    <col min="75" max="76" width="11.42578125" style="154"/>
    <col min="77" max="77" width="17.42578125" style="154" customWidth="1"/>
    <col min="78" max="78" width="11.42578125" style="154"/>
  </cols>
  <sheetData>
    <row r="1" spans="1:88">
      <c r="A1" s="165" t="s">
        <v>270</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5"/>
      <c r="BI1" s="165"/>
      <c r="BJ1" s="165"/>
      <c r="BK1" s="165"/>
      <c r="BL1" s="165"/>
      <c r="BM1" s="165"/>
      <c r="BN1" s="165" t="s">
        <v>271</v>
      </c>
      <c r="BO1" s="165"/>
      <c r="BP1" s="165"/>
      <c r="BQ1" s="165"/>
      <c r="BR1" s="165"/>
      <c r="BS1" s="165"/>
      <c r="BT1" s="165" t="s">
        <v>272</v>
      </c>
      <c r="BU1" s="165"/>
      <c r="BV1" s="170"/>
      <c r="BW1" s="170"/>
      <c r="BX1" s="170"/>
      <c r="BY1" s="170"/>
      <c r="BZ1" s="170"/>
      <c r="CA1" s="20"/>
      <c r="CB1" s="20"/>
      <c r="CC1" s="20"/>
      <c r="CD1" s="20"/>
      <c r="CE1" s="20"/>
      <c r="CF1" s="20"/>
      <c r="CG1" s="20"/>
      <c r="CH1" s="20"/>
      <c r="CI1" s="20"/>
      <c r="CJ1" s="20"/>
    </row>
    <row r="2" spans="1:88" ht="25.5">
      <c r="A2" s="20"/>
      <c r="B2" s="166" t="s">
        <v>54</v>
      </c>
      <c r="C2" s="166"/>
      <c r="D2" s="166" t="s">
        <v>273</v>
      </c>
      <c r="E2" s="166" t="s">
        <v>274</v>
      </c>
      <c r="F2" s="166" t="s">
        <v>275</v>
      </c>
      <c r="G2" s="166" t="s">
        <v>276</v>
      </c>
      <c r="H2" s="166" t="s">
        <v>277</v>
      </c>
      <c r="I2" s="166" t="s">
        <v>278</v>
      </c>
      <c r="J2" s="166" t="s">
        <v>279</v>
      </c>
      <c r="K2" s="166" t="s">
        <v>280</v>
      </c>
      <c r="L2" s="166" t="s">
        <v>281</v>
      </c>
      <c r="M2" s="166" t="s">
        <v>282</v>
      </c>
      <c r="N2" s="166" t="s">
        <v>283</v>
      </c>
      <c r="O2" s="166" t="s">
        <v>284</v>
      </c>
      <c r="P2" s="166" t="s">
        <v>285</v>
      </c>
      <c r="Q2" s="166" t="s">
        <v>286</v>
      </c>
      <c r="R2" s="166" t="s">
        <v>287</v>
      </c>
      <c r="S2" s="166" t="s">
        <v>288</v>
      </c>
      <c r="T2" s="166" t="s">
        <v>289</v>
      </c>
      <c r="U2" s="166" t="s">
        <v>290</v>
      </c>
      <c r="V2" s="166" t="s">
        <v>291</v>
      </c>
      <c r="W2" s="166" t="s">
        <v>287</v>
      </c>
      <c r="X2" s="166" t="s">
        <v>292</v>
      </c>
      <c r="Y2" s="166" t="s">
        <v>293</v>
      </c>
      <c r="Z2" s="166" t="s">
        <v>294</v>
      </c>
      <c r="AA2" s="166" t="s">
        <v>295</v>
      </c>
      <c r="AB2" s="166" t="s">
        <v>296</v>
      </c>
      <c r="AC2" s="166" t="s">
        <v>297</v>
      </c>
      <c r="AD2" s="166" t="s">
        <v>298</v>
      </c>
      <c r="AE2" s="166" t="s">
        <v>299</v>
      </c>
      <c r="AF2" s="166" t="s">
        <v>300</v>
      </c>
      <c r="AG2" s="166" t="s">
        <v>301</v>
      </c>
      <c r="AH2" s="166" t="s">
        <v>302</v>
      </c>
      <c r="AI2" s="166" t="s">
        <v>303</v>
      </c>
      <c r="AJ2" s="166" t="s">
        <v>304</v>
      </c>
      <c r="AK2" s="166" t="s">
        <v>305</v>
      </c>
      <c r="AL2" s="166" t="s">
        <v>306</v>
      </c>
      <c r="AM2" s="1938" t="s">
        <v>307</v>
      </c>
      <c r="AN2" s="1938"/>
      <c r="AO2" s="1938"/>
      <c r="AP2" s="1938" t="s">
        <v>308</v>
      </c>
      <c r="AQ2" s="1938"/>
      <c r="AR2" s="1938"/>
      <c r="AS2" s="1938" t="s">
        <v>309</v>
      </c>
      <c r="AT2" s="1938"/>
      <c r="AU2" s="1938"/>
      <c r="AV2" s="1938" t="s">
        <v>310</v>
      </c>
      <c r="AW2" s="1938"/>
      <c r="AX2" s="1938"/>
      <c r="AY2" s="1938"/>
      <c r="AZ2" s="1938" t="s">
        <v>311</v>
      </c>
      <c r="BA2" s="1938"/>
      <c r="BB2" s="1938"/>
      <c r="BC2" s="166" t="s">
        <v>312</v>
      </c>
      <c r="BD2" s="166" t="s">
        <v>313</v>
      </c>
      <c r="BE2" s="166" t="s">
        <v>314</v>
      </c>
      <c r="BF2" s="166" t="s">
        <v>315</v>
      </c>
      <c r="BG2" s="166" t="s">
        <v>316</v>
      </c>
      <c r="BH2" s="167" t="s">
        <v>317</v>
      </c>
      <c r="BI2" s="167" t="s">
        <v>318</v>
      </c>
      <c r="BJ2" s="167" t="s">
        <v>319</v>
      </c>
      <c r="BK2" s="167" t="s">
        <v>320</v>
      </c>
      <c r="BL2" s="167" t="s">
        <v>321</v>
      </c>
      <c r="BM2" s="167" t="s">
        <v>322</v>
      </c>
      <c r="BN2" s="167" t="s">
        <v>323</v>
      </c>
      <c r="BO2" s="167" t="s">
        <v>324</v>
      </c>
      <c r="BP2" s="167" t="s">
        <v>1018</v>
      </c>
      <c r="BQ2" s="167" t="s">
        <v>325</v>
      </c>
      <c r="BR2" s="167" t="s">
        <v>326</v>
      </c>
      <c r="BS2" s="167" t="s">
        <v>58</v>
      </c>
      <c r="BT2" s="166" t="s">
        <v>327</v>
      </c>
      <c r="BU2" s="166" t="s">
        <v>328</v>
      </c>
      <c r="BV2" s="166" t="s">
        <v>329</v>
      </c>
      <c r="BW2" s="166"/>
      <c r="BX2" s="168" t="s">
        <v>330</v>
      </c>
      <c r="BY2" s="166"/>
      <c r="BZ2" s="167" t="s">
        <v>984</v>
      </c>
      <c r="CA2" s="21"/>
      <c r="CB2" s="21"/>
      <c r="CC2" s="21"/>
      <c r="CD2" s="21"/>
      <c r="CE2" s="21"/>
      <c r="CF2" s="21"/>
      <c r="CG2" s="21"/>
      <c r="CH2" s="21"/>
      <c r="CI2" s="21"/>
      <c r="CJ2" s="21"/>
    </row>
    <row r="3" spans="1:88" ht="38.25">
      <c r="A3" s="20"/>
      <c r="B3" s="172" t="s">
        <v>27</v>
      </c>
      <c r="C3" s="172"/>
      <c r="D3" s="170" t="s">
        <v>39</v>
      </c>
      <c r="E3" s="170" t="s">
        <v>331</v>
      </c>
      <c r="F3" s="345" t="s">
        <v>2</v>
      </c>
      <c r="G3" s="170" t="s">
        <v>332</v>
      </c>
      <c r="H3" s="170" t="s">
        <v>333</v>
      </c>
      <c r="I3" s="170" t="s">
        <v>334</v>
      </c>
      <c r="J3" s="170" t="s">
        <v>335</v>
      </c>
      <c r="K3" s="170" t="s">
        <v>336</v>
      </c>
      <c r="L3" s="170" t="s">
        <v>337</v>
      </c>
      <c r="M3" s="170" t="s">
        <v>1261</v>
      </c>
      <c r="N3" s="170" t="s">
        <v>338</v>
      </c>
      <c r="O3" s="170" t="s">
        <v>339</v>
      </c>
      <c r="P3" s="170" t="s">
        <v>340</v>
      </c>
      <c r="Q3" s="170" t="s">
        <v>1262</v>
      </c>
      <c r="R3" s="170" t="s">
        <v>341</v>
      </c>
      <c r="S3" s="170" t="s">
        <v>342</v>
      </c>
      <c r="T3" s="170" t="s">
        <v>343</v>
      </c>
      <c r="U3" s="170" t="s">
        <v>344</v>
      </c>
      <c r="V3" s="170" t="s">
        <v>345</v>
      </c>
      <c r="W3" s="170" t="s">
        <v>346</v>
      </c>
      <c r="X3" s="170" t="s">
        <v>347</v>
      </c>
      <c r="Y3" s="170" t="s">
        <v>348</v>
      </c>
      <c r="Z3" s="170" t="s">
        <v>348</v>
      </c>
      <c r="AA3" s="170" t="s">
        <v>349</v>
      </c>
      <c r="AB3" s="170" t="s">
        <v>350</v>
      </c>
      <c r="AC3" s="170" t="s">
        <v>351</v>
      </c>
      <c r="AD3" s="170" t="s">
        <v>352</v>
      </c>
      <c r="AE3" s="170" t="s">
        <v>353</v>
      </c>
      <c r="AF3" s="170" t="s">
        <v>354</v>
      </c>
      <c r="AG3" s="170" t="s">
        <v>355</v>
      </c>
      <c r="AH3" s="170" t="s">
        <v>356</v>
      </c>
      <c r="AI3" s="170" t="s">
        <v>357</v>
      </c>
      <c r="AJ3" s="170" t="s">
        <v>358</v>
      </c>
      <c r="AK3" s="170" t="s">
        <v>358</v>
      </c>
      <c r="AL3" s="170" t="s">
        <v>358</v>
      </c>
      <c r="AM3" s="169" t="s">
        <v>102</v>
      </c>
      <c r="AN3" s="169" t="s">
        <v>103</v>
      </c>
      <c r="AO3" s="169" t="s">
        <v>104</v>
      </c>
      <c r="AP3" s="169" t="s">
        <v>106</v>
      </c>
      <c r="AQ3" s="169" t="s">
        <v>107</v>
      </c>
      <c r="AR3" s="169" t="s">
        <v>104</v>
      </c>
      <c r="AS3" s="169" t="s">
        <v>106</v>
      </c>
      <c r="AT3" s="169" t="s">
        <v>107</v>
      </c>
      <c r="AU3" s="169" t="s">
        <v>104</v>
      </c>
      <c r="AV3" s="169" t="s">
        <v>102</v>
      </c>
      <c r="AW3" s="169" t="s">
        <v>103</v>
      </c>
      <c r="AX3" s="169" t="s">
        <v>110</v>
      </c>
      <c r="AY3" s="169" t="s">
        <v>359</v>
      </c>
      <c r="AZ3" s="169" t="s">
        <v>102</v>
      </c>
      <c r="BA3" s="169" t="s">
        <v>360</v>
      </c>
      <c r="BB3" s="169" t="s">
        <v>114</v>
      </c>
      <c r="BC3" s="170" t="s">
        <v>1263</v>
      </c>
      <c r="BD3" s="170" t="s">
        <v>361</v>
      </c>
      <c r="BE3" s="170" t="s">
        <v>362</v>
      </c>
      <c r="BF3" s="170" t="s">
        <v>363</v>
      </c>
      <c r="BG3" s="170" t="s">
        <v>364</v>
      </c>
      <c r="BH3" s="171" t="s">
        <v>163</v>
      </c>
      <c r="BI3" s="171" t="s">
        <v>365</v>
      </c>
      <c r="BJ3" s="171" t="s">
        <v>366</v>
      </c>
      <c r="BK3" s="171" t="s">
        <v>367</v>
      </c>
      <c r="BL3" s="171" t="s">
        <v>368</v>
      </c>
      <c r="BM3" s="171" t="s">
        <v>369</v>
      </c>
      <c r="BN3" s="171" t="s">
        <v>370</v>
      </c>
      <c r="BO3" s="171" t="s">
        <v>371</v>
      </c>
      <c r="BP3" s="171" t="s">
        <v>347</v>
      </c>
      <c r="BQ3" s="170" t="s">
        <v>248</v>
      </c>
      <c r="BR3" s="22">
        <v>1</v>
      </c>
      <c r="BS3" s="170" t="s">
        <v>33</v>
      </c>
      <c r="BT3" s="170" t="s">
        <v>372</v>
      </c>
      <c r="BU3" s="170" t="s">
        <v>373</v>
      </c>
      <c r="BV3" s="170" t="s">
        <v>374</v>
      </c>
      <c r="BW3" s="170" t="s">
        <v>375</v>
      </c>
      <c r="BX3" s="170" t="s">
        <v>376</v>
      </c>
      <c r="BY3" s="170" t="s">
        <v>377</v>
      </c>
      <c r="BZ3" s="170" t="s">
        <v>985</v>
      </c>
      <c r="CA3" s="20"/>
      <c r="CB3" s="20"/>
      <c r="CC3" s="20"/>
      <c r="CD3" s="20"/>
      <c r="CE3" s="20"/>
      <c r="CF3" s="20"/>
      <c r="CG3" s="20"/>
      <c r="CH3" s="20"/>
      <c r="CI3" s="20"/>
      <c r="CJ3" s="20"/>
    </row>
    <row r="4" spans="1:88" ht="25.5">
      <c r="A4" s="20"/>
      <c r="B4" s="172" t="s">
        <v>378</v>
      </c>
      <c r="C4" s="172"/>
      <c r="D4" s="172" t="s">
        <v>335</v>
      </c>
      <c r="E4" s="170" t="s">
        <v>379</v>
      </c>
      <c r="F4" s="345" t="s">
        <v>380</v>
      </c>
      <c r="G4" s="170" t="s">
        <v>381</v>
      </c>
      <c r="H4" s="170" t="s">
        <v>382</v>
      </c>
      <c r="I4" s="170" t="s">
        <v>383</v>
      </c>
      <c r="J4" s="170" t="s">
        <v>384</v>
      </c>
      <c r="K4" s="170" t="s">
        <v>385</v>
      </c>
      <c r="L4" s="170" t="s">
        <v>386</v>
      </c>
      <c r="M4" s="170" t="s">
        <v>1264</v>
      </c>
      <c r="N4" s="170" t="s">
        <v>1265</v>
      </c>
      <c r="O4" s="170" t="s">
        <v>387</v>
      </c>
      <c r="P4" s="170" t="s">
        <v>388</v>
      </c>
      <c r="Q4" s="170" t="s">
        <v>389</v>
      </c>
      <c r="R4" s="170" t="s">
        <v>390</v>
      </c>
      <c r="S4" s="170" t="s">
        <v>391</v>
      </c>
      <c r="T4" s="170" t="s">
        <v>392</v>
      </c>
      <c r="U4" s="170" t="s">
        <v>393</v>
      </c>
      <c r="V4" s="170" t="s">
        <v>394</v>
      </c>
      <c r="W4" s="170" t="s">
        <v>341</v>
      </c>
      <c r="X4" s="170" t="s">
        <v>395</v>
      </c>
      <c r="Y4" s="170" t="s">
        <v>396</v>
      </c>
      <c r="Z4" s="170" t="s">
        <v>395</v>
      </c>
      <c r="AA4" s="170" t="s">
        <v>397</v>
      </c>
      <c r="AB4" s="170" t="s">
        <v>398</v>
      </c>
      <c r="AC4" s="170" t="s">
        <v>399</v>
      </c>
      <c r="AD4" s="170" t="s">
        <v>400</v>
      </c>
      <c r="AE4" s="170" t="s">
        <v>401</v>
      </c>
      <c r="AF4" s="170" t="s">
        <v>402</v>
      </c>
      <c r="AG4" s="170" t="s">
        <v>403</v>
      </c>
      <c r="AH4" s="170" t="s">
        <v>404</v>
      </c>
      <c r="AI4" s="170" t="s">
        <v>405</v>
      </c>
      <c r="AJ4" s="170" t="s">
        <v>406</v>
      </c>
      <c r="AK4" s="170" t="s">
        <v>407</v>
      </c>
      <c r="AL4" s="170" t="s">
        <v>408</v>
      </c>
      <c r="AM4" s="170" t="s">
        <v>409</v>
      </c>
      <c r="AN4" s="170" t="s">
        <v>410</v>
      </c>
      <c r="AO4" s="170" t="s">
        <v>411</v>
      </c>
      <c r="AP4" s="170" t="s">
        <v>412</v>
      </c>
      <c r="AQ4" s="170" t="s">
        <v>413</v>
      </c>
      <c r="AR4" s="170" t="s">
        <v>411</v>
      </c>
      <c r="AS4" s="170" t="s">
        <v>412</v>
      </c>
      <c r="AT4" s="170" t="s">
        <v>413</v>
      </c>
      <c r="AU4" s="170" t="s">
        <v>411</v>
      </c>
      <c r="AV4" s="170" t="s">
        <v>414</v>
      </c>
      <c r="AW4" s="170" t="s">
        <v>394</v>
      </c>
      <c r="AX4" s="170" t="s">
        <v>412</v>
      </c>
      <c r="AY4" s="170" t="s">
        <v>415</v>
      </c>
      <c r="AZ4" s="170" t="s">
        <v>416</v>
      </c>
      <c r="BA4" s="170" t="s">
        <v>417</v>
      </c>
      <c r="BB4" s="170" t="s">
        <v>418</v>
      </c>
      <c r="BC4" s="170" t="s">
        <v>419</v>
      </c>
      <c r="BD4" s="170" t="s">
        <v>420</v>
      </c>
      <c r="BE4" s="170" t="s">
        <v>421</v>
      </c>
      <c r="BF4" s="170" t="s">
        <v>422</v>
      </c>
      <c r="BG4" s="170" t="s">
        <v>423</v>
      </c>
      <c r="BH4" s="171" t="s">
        <v>424</v>
      </c>
      <c r="BI4" s="171" t="s">
        <v>176</v>
      </c>
      <c r="BJ4" s="171" t="s">
        <v>181</v>
      </c>
      <c r="BK4" s="171" t="s">
        <v>425</v>
      </c>
      <c r="BL4" s="171" t="s">
        <v>46</v>
      </c>
      <c r="BM4" s="170" t="s">
        <v>426</v>
      </c>
      <c r="BN4" s="171" t="s">
        <v>427</v>
      </c>
      <c r="BO4" s="171" t="s">
        <v>428</v>
      </c>
      <c r="BP4" s="171" t="s">
        <v>395</v>
      </c>
      <c r="BQ4" s="170" t="s">
        <v>429</v>
      </c>
      <c r="BR4" s="22">
        <v>2</v>
      </c>
      <c r="BS4" s="170" t="s">
        <v>969</v>
      </c>
      <c r="BT4" s="170" t="s">
        <v>430</v>
      </c>
      <c r="BU4" s="170" t="s">
        <v>431</v>
      </c>
      <c r="BV4" s="173" t="s">
        <v>432</v>
      </c>
      <c r="BW4" s="173" t="s">
        <v>433</v>
      </c>
      <c r="BX4" s="170" t="s">
        <v>434</v>
      </c>
      <c r="BY4" s="170" t="s">
        <v>435</v>
      </c>
      <c r="BZ4" s="170" t="s">
        <v>986</v>
      </c>
      <c r="CA4" s="20"/>
      <c r="CB4" s="20"/>
      <c r="CC4" s="20"/>
      <c r="CD4" s="20"/>
      <c r="CE4" s="20"/>
      <c r="CF4" s="20"/>
      <c r="CG4" s="20"/>
      <c r="CH4" s="20"/>
      <c r="CI4" s="20"/>
      <c r="CJ4" s="20"/>
    </row>
    <row r="5" spans="1:88">
      <c r="A5" s="20"/>
      <c r="B5" s="172" t="s">
        <v>436</v>
      </c>
      <c r="C5" s="172"/>
      <c r="D5" s="172" t="s">
        <v>384</v>
      </c>
      <c r="E5" s="170" t="s">
        <v>437</v>
      </c>
      <c r="F5" s="170"/>
      <c r="G5" s="170" t="s">
        <v>400</v>
      </c>
      <c r="H5" s="170" t="s">
        <v>438</v>
      </c>
      <c r="I5" s="170"/>
      <c r="J5" s="170" t="s">
        <v>439</v>
      </c>
      <c r="K5" s="170" t="s">
        <v>440</v>
      </c>
      <c r="L5" s="170" t="s">
        <v>441</v>
      </c>
      <c r="M5" s="170" t="s">
        <v>1266</v>
      </c>
      <c r="N5" s="170" t="s">
        <v>442</v>
      </c>
      <c r="O5" s="170" t="s">
        <v>443</v>
      </c>
      <c r="P5" s="170" t="s">
        <v>444</v>
      </c>
      <c r="Q5" s="170" t="s">
        <v>442</v>
      </c>
      <c r="R5" s="170" t="s">
        <v>42</v>
      </c>
      <c r="S5" s="170" t="s">
        <v>445</v>
      </c>
      <c r="T5" s="170" t="s">
        <v>446</v>
      </c>
      <c r="U5" s="170" t="s">
        <v>447</v>
      </c>
      <c r="V5" s="170" t="s">
        <v>448</v>
      </c>
      <c r="W5" s="170" t="s">
        <v>390</v>
      </c>
      <c r="X5" s="170" t="s">
        <v>449</v>
      </c>
      <c r="Y5" s="170" t="s">
        <v>1094</v>
      </c>
      <c r="Z5" s="170"/>
      <c r="AA5" s="170" t="s">
        <v>450</v>
      </c>
      <c r="AB5" s="170" t="s">
        <v>451</v>
      </c>
      <c r="AC5" s="170" t="s">
        <v>452</v>
      </c>
      <c r="AD5" s="170" t="s">
        <v>453</v>
      </c>
      <c r="AE5" s="170" t="s">
        <v>454</v>
      </c>
      <c r="AF5" s="170" t="s">
        <v>455</v>
      </c>
      <c r="AG5" s="170" t="s">
        <v>456</v>
      </c>
      <c r="AH5" s="170" t="s">
        <v>457</v>
      </c>
      <c r="AI5" s="170" t="s">
        <v>458</v>
      </c>
      <c r="AJ5" s="170" t="s">
        <v>459</v>
      </c>
      <c r="AK5" s="170" t="s">
        <v>460</v>
      </c>
      <c r="AL5" s="170" t="s">
        <v>461</v>
      </c>
      <c r="AM5" s="170" t="s">
        <v>462</v>
      </c>
      <c r="AN5" s="170" t="s">
        <v>412</v>
      </c>
      <c r="AO5" s="170" t="s">
        <v>463</v>
      </c>
      <c r="AP5" s="170" t="s">
        <v>464</v>
      </c>
      <c r="AQ5" s="170" t="s">
        <v>465</v>
      </c>
      <c r="AR5" s="170" t="s">
        <v>463</v>
      </c>
      <c r="AS5" s="170" t="s">
        <v>464</v>
      </c>
      <c r="AT5" s="170" t="s">
        <v>465</v>
      </c>
      <c r="AU5" s="170" t="s">
        <v>463</v>
      </c>
      <c r="AV5" s="170" t="s">
        <v>466</v>
      </c>
      <c r="AW5" s="170" t="s">
        <v>467</v>
      </c>
      <c r="AX5" s="170" t="s">
        <v>468</v>
      </c>
      <c r="AY5" s="170" t="s">
        <v>469</v>
      </c>
      <c r="AZ5" s="170" t="s">
        <v>470</v>
      </c>
      <c r="BA5" s="170" t="s">
        <v>360</v>
      </c>
      <c r="BB5" s="170" t="s">
        <v>471</v>
      </c>
      <c r="BC5" s="170" t="s">
        <v>472</v>
      </c>
      <c r="BD5" s="170" t="s">
        <v>473</v>
      </c>
      <c r="BE5" s="170" t="s">
        <v>474</v>
      </c>
      <c r="BF5" s="170" t="s">
        <v>475</v>
      </c>
      <c r="BG5" s="170" t="s">
        <v>476</v>
      </c>
      <c r="BH5" s="171" t="s">
        <v>477</v>
      </c>
      <c r="BI5" s="171" t="s">
        <v>175</v>
      </c>
      <c r="BJ5" s="171" t="s">
        <v>478</v>
      </c>
      <c r="BK5" s="171" t="s">
        <v>479</v>
      </c>
      <c r="BL5" s="171" t="s">
        <v>480</v>
      </c>
      <c r="BM5" s="170" t="s">
        <v>481</v>
      </c>
      <c r="BN5" s="171" t="s">
        <v>482</v>
      </c>
      <c r="BO5" s="171" t="s">
        <v>483</v>
      </c>
      <c r="BP5" s="171"/>
      <c r="BQ5" s="170" t="s">
        <v>484</v>
      </c>
      <c r="BR5" s="22">
        <v>3</v>
      </c>
      <c r="BS5" s="170" t="s">
        <v>970</v>
      </c>
      <c r="BT5" s="170" t="s">
        <v>485</v>
      </c>
      <c r="BU5" s="170" t="s">
        <v>486</v>
      </c>
      <c r="BV5" s="170" t="s">
        <v>487</v>
      </c>
      <c r="BW5" s="170" t="s">
        <v>345</v>
      </c>
      <c r="BX5" s="170"/>
      <c r="BY5" s="170" t="s">
        <v>488</v>
      </c>
      <c r="BZ5" s="170" t="s">
        <v>987</v>
      </c>
      <c r="CA5" s="20"/>
      <c r="CB5" s="20"/>
      <c r="CC5" s="20"/>
      <c r="CD5" s="20"/>
      <c r="CE5" s="20"/>
      <c r="CF5" s="20"/>
      <c r="CG5" s="20"/>
      <c r="CH5" s="20"/>
      <c r="CI5" s="20"/>
      <c r="CJ5" s="20"/>
    </row>
    <row r="6" spans="1:88">
      <c r="A6" s="20"/>
      <c r="B6" s="170"/>
      <c r="C6" s="172"/>
      <c r="D6" s="172" t="s">
        <v>1267</v>
      </c>
      <c r="E6" s="170" t="s">
        <v>489</v>
      </c>
      <c r="F6" s="172"/>
      <c r="G6" s="170" t="s">
        <v>490</v>
      </c>
      <c r="H6" s="170" t="s">
        <v>491</v>
      </c>
      <c r="I6" s="172"/>
      <c r="J6" s="172" t="s">
        <v>492</v>
      </c>
      <c r="K6" s="170" t="s">
        <v>493</v>
      </c>
      <c r="L6" s="170" t="s">
        <v>494</v>
      </c>
      <c r="M6" s="170" t="s">
        <v>495</v>
      </c>
      <c r="N6" s="170" t="s">
        <v>496</v>
      </c>
      <c r="O6" s="170" t="s">
        <v>497</v>
      </c>
      <c r="P6" s="170" t="s">
        <v>338</v>
      </c>
      <c r="Q6" s="170" t="s">
        <v>338</v>
      </c>
      <c r="R6" s="170" t="s">
        <v>498</v>
      </c>
      <c r="S6" s="170" t="s">
        <v>499</v>
      </c>
      <c r="T6" s="170" t="s">
        <v>500</v>
      </c>
      <c r="U6" s="170" t="s">
        <v>501</v>
      </c>
      <c r="V6" s="170" t="s">
        <v>355</v>
      </c>
      <c r="W6" s="170" t="s">
        <v>502</v>
      </c>
      <c r="X6" s="170"/>
      <c r="Y6" s="170"/>
      <c r="Z6" s="170"/>
      <c r="AA6" s="170" t="s">
        <v>503</v>
      </c>
      <c r="AB6" s="170" t="s">
        <v>504</v>
      </c>
      <c r="AC6" s="170" t="s">
        <v>1249</v>
      </c>
      <c r="AD6" s="170" t="s">
        <v>4</v>
      </c>
      <c r="AE6" s="170" t="s">
        <v>505</v>
      </c>
      <c r="AF6" s="170" t="s">
        <v>506</v>
      </c>
      <c r="AG6" s="170" t="s">
        <v>507</v>
      </c>
      <c r="AH6" s="170" t="s">
        <v>508</v>
      </c>
      <c r="AI6" s="170" t="s">
        <v>509</v>
      </c>
      <c r="AJ6" s="170" t="s">
        <v>510</v>
      </c>
      <c r="AK6" s="170" t="s">
        <v>511</v>
      </c>
      <c r="AL6" s="170" t="s">
        <v>512</v>
      </c>
      <c r="AM6" s="170" t="s">
        <v>513</v>
      </c>
      <c r="AN6" s="170" t="s">
        <v>11</v>
      </c>
      <c r="AO6" s="170" t="s">
        <v>514</v>
      </c>
      <c r="AP6" s="170" t="s">
        <v>410</v>
      </c>
      <c r="AQ6" s="170" t="s">
        <v>515</v>
      </c>
      <c r="AR6" s="170" t="s">
        <v>11</v>
      </c>
      <c r="AS6" s="170" t="s">
        <v>410</v>
      </c>
      <c r="AT6" s="170" t="s">
        <v>515</v>
      </c>
      <c r="AU6" s="170" t="s">
        <v>11</v>
      </c>
      <c r="AV6" s="170" t="s">
        <v>516</v>
      </c>
      <c r="AW6" s="170" t="s">
        <v>517</v>
      </c>
      <c r="AX6" s="170" t="s">
        <v>518</v>
      </c>
      <c r="AY6" s="170" t="s">
        <v>11</v>
      </c>
      <c r="AZ6" s="170" t="s">
        <v>519</v>
      </c>
      <c r="BA6" s="170"/>
      <c r="BB6" s="170" t="s">
        <v>520</v>
      </c>
      <c r="BC6" s="170" t="s">
        <v>521</v>
      </c>
      <c r="BD6" s="170" t="s">
        <v>522</v>
      </c>
      <c r="BE6" s="170" t="s">
        <v>523</v>
      </c>
      <c r="BF6" s="170" t="s">
        <v>524</v>
      </c>
      <c r="BG6" s="170" t="s">
        <v>525</v>
      </c>
      <c r="BH6" s="171" t="s">
        <v>526</v>
      </c>
      <c r="BI6" s="171" t="s">
        <v>527</v>
      </c>
      <c r="BJ6" s="171"/>
      <c r="BK6" s="171" t="s">
        <v>528</v>
      </c>
      <c r="BL6" s="171" t="s">
        <v>529</v>
      </c>
      <c r="BM6" s="170" t="s">
        <v>530</v>
      </c>
      <c r="BN6" s="171" t="s">
        <v>531</v>
      </c>
      <c r="BO6" s="171" t="s">
        <v>199</v>
      </c>
      <c r="BP6" s="171"/>
      <c r="BQ6" s="170"/>
      <c r="BR6" s="22">
        <v>4</v>
      </c>
      <c r="BS6" s="170"/>
      <c r="BT6" s="170" t="s">
        <v>532</v>
      </c>
      <c r="BU6" s="170" t="s">
        <v>533</v>
      </c>
      <c r="BV6" s="170" t="s">
        <v>112</v>
      </c>
      <c r="BW6" s="170" t="s">
        <v>534</v>
      </c>
      <c r="BX6" s="170"/>
      <c r="BY6" s="170" t="s">
        <v>535</v>
      </c>
      <c r="BZ6" s="170" t="s">
        <v>988</v>
      </c>
      <c r="CA6" s="20"/>
      <c r="CB6" s="20"/>
      <c r="CC6" s="20"/>
      <c r="CD6" s="20"/>
      <c r="CE6" s="20"/>
      <c r="CF6" s="20"/>
      <c r="CG6" s="20"/>
      <c r="CH6" s="20"/>
      <c r="CI6" s="20"/>
      <c r="CJ6" s="20"/>
    </row>
    <row r="7" spans="1:88">
      <c r="A7" s="20"/>
      <c r="B7" s="170"/>
      <c r="C7" s="172"/>
      <c r="D7" s="172" t="s">
        <v>536</v>
      </c>
      <c r="E7" s="170" t="s">
        <v>537</v>
      </c>
      <c r="F7" s="172"/>
      <c r="G7" s="170"/>
      <c r="H7" s="172" t="s">
        <v>538</v>
      </c>
      <c r="I7" s="172"/>
      <c r="J7" s="172" t="s">
        <v>539</v>
      </c>
      <c r="K7" s="170" t="s">
        <v>540</v>
      </c>
      <c r="L7" s="170" t="s">
        <v>541</v>
      </c>
      <c r="M7" s="170"/>
      <c r="N7" s="170"/>
      <c r="O7" s="170" t="s">
        <v>542</v>
      </c>
      <c r="P7" s="170"/>
      <c r="Q7" s="170"/>
      <c r="R7" s="170"/>
      <c r="S7" s="170" t="s">
        <v>543</v>
      </c>
      <c r="T7" s="170" t="s">
        <v>544</v>
      </c>
      <c r="U7" s="170" t="s">
        <v>545</v>
      </c>
      <c r="V7" s="170" t="s">
        <v>934</v>
      </c>
      <c r="W7" s="170" t="s">
        <v>42</v>
      </c>
      <c r="X7" s="170"/>
      <c r="Y7" s="170"/>
      <c r="Z7" s="170"/>
      <c r="AA7" s="170"/>
      <c r="AB7" s="170" t="s">
        <v>546</v>
      </c>
      <c r="AC7" s="170" t="s">
        <v>1251</v>
      </c>
      <c r="AD7" s="170" t="s">
        <v>547</v>
      </c>
      <c r="AE7" s="170" t="s">
        <v>548</v>
      </c>
      <c r="AF7" s="170" t="s">
        <v>549</v>
      </c>
      <c r="AG7" s="170" t="s">
        <v>550</v>
      </c>
      <c r="AH7" s="170" t="s">
        <v>551</v>
      </c>
      <c r="AI7" s="170" t="s">
        <v>552</v>
      </c>
      <c r="AJ7" s="170" t="s">
        <v>11</v>
      </c>
      <c r="AK7" s="170" t="s">
        <v>11</v>
      </c>
      <c r="AL7" s="170" t="s">
        <v>553</v>
      </c>
      <c r="AM7" s="170" t="s">
        <v>11</v>
      </c>
      <c r="AN7" s="170"/>
      <c r="AO7" s="170" t="s">
        <v>11</v>
      </c>
      <c r="AP7" s="170" t="s">
        <v>11</v>
      </c>
      <c r="AQ7" s="170" t="s">
        <v>11</v>
      </c>
      <c r="AR7" s="170"/>
      <c r="AS7" s="170" t="s">
        <v>11</v>
      </c>
      <c r="AT7" s="170" t="s">
        <v>11</v>
      </c>
      <c r="AU7" s="170"/>
      <c r="AV7" s="170" t="s">
        <v>554</v>
      </c>
      <c r="AW7" s="170" t="s">
        <v>412</v>
      </c>
      <c r="AX7" s="170" t="s">
        <v>555</v>
      </c>
      <c r="AY7" s="170"/>
      <c r="AZ7" s="170" t="s">
        <v>11</v>
      </c>
      <c r="BA7" s="170"/>
      <c r="BB7" s="170"/>
      <c r="BC7" s="170" t="s">
        <v>556</v>
      </c>
      <c r="BD7" s="170" t="s">
        <v>557</v>
      </c>
      <c r="BE7" s="170" t="s">
        <v>558</v>
      </c>
      <c r="BF7" s="170" t="s">
        <v>559</v>
      </c>
      <c r="BG7" s="170" t="s">
        <v>560</v>
      </c>
      <c r="BH7" s="171"/>
      <c r="BI7" s="171" t="s">
        <v>561</v>
      </c>
      <c r="BJ7" s="171"/>
      <c r="BK7" s="171" t="s">
        <v>368</v>
      </c>
      <c r="BL7" s="171" t="s">
        <v>562</v>
      </c>
      <c r="BM7" s="171"/>
      <c r="BN7" s="171" t="s">
        <v>563</v>
      </c>
      <c r="BO7" s="171" t="s">
        <v>564</v>
      </c>
      <c r="BP7" s="171"/>
      <c r="BQ7" s="170"/>
      <c r="BR7" s="22">
        <v>5</v>
      </c>
      <c r="BS7" s="170"/>
      <c r="BT7" s="170" t="s">
        <v>565</v>
      </c>
      <c r="BU7" s="170" t="s">
        <v>566</v>
      </c>
      <c r="BV7" s="170" t="s">
        <v>567</v>
      </c>
      <c r="BW7" s="170" t="s">
        <v>568</v>
      </c>
      <c r="BX7" s="170"/>
      <c r="BY7" s="170" t="s">
        <v>569</v>
      </c>
      <c r="BZ7" s="170" t="s">
        <v>989</v>
      </c>
      <c r="CA7" s="20"/>
      <c r="CB7" s="20"/>
      <c r="CC7" s="20"/>
      <c r="CD7" s="20"/>
      <c r="CE7" s="20"/>
      <c r="CF7" s="20"/>
      <c r="CG7" s="20"/>
      <c r="CH7" s="20"/>
      <c r="CI7" s="20"/>
      <c r="CJ7" s="20"/>
    </row>
    <row r="8" spans="1:88">
      <c r="A8" s="20"/>
      <c r="B8" s="170"/>
      <c r="C8" s="172"/>
      <c r="D8" s="170" t="s">
        <v>570</v>
      </c>
      <c r="E8" s="170" t="s">
        <v>28</v>
      </c>
      <c r="F8" s="170"/>
      <c r="G8" s="170"/>
      <c r="H8" s="170" t="s">
        <v>1092</v>
      </c>
      <c r="I8" s="170"/>
      <c r="J8" s="170"/>
      <c r="K8" s="170"/>
      <c r="L8" s="170" t="s">
        <v>539</v>
      </c>
      <c r="M8" s="170"/>
      <c r="N8" s="170"/>
      <c r="O8" s="170" t="s">
        <v>571</v>
      </c>
      <c r="P8" s="170"/>
      <c r="Q8" s="170"/>
      <c r="R8" s="170"/>
      <c r="S8" s="170" t="s">
        <v>572</v>
      </c>
      <c r="T8" s="170"/>
      <c r="U8" s="170" t="s">
        <v>11</v>
      </c>
      <c r="V8" s="170" t="s">
        <v>1259</v>
      </c>
      <c r="W8" s="170" t="s">
        <v>573</v>
      </c>
      <c r="X8" s="170"/>
      <c r="Y8" s="170"/>
      <c r="Z8" s="170"/>
      <c r="AA8" s="170"/>
      <c r="AB8" s="170"/>
      <c r="AC8" s="170" t="s">
        <v>1252</v>
      </c>
      <c r="AD8" s="170" t="s">
        <v>8</v>
      </c>
      <c r="AE8" s="170" t="s">
        <v>574</v>
      </c>
      <c r="AF8" s="170" t="s">
        <v>575</v>
      </c>
      <c r="AG8" s="170" t="s">
        <v>576</v>
      </c>
      <c r="AH8" s="170" t="s">
        <v>577</v>
      </c>
      <c r="AI8" s="170" t="s">
        <v>578</v>
      </c>
      <c r="AJ8" s="170"/>
      <c r="AK8" s="170"/>
      <c r="AL8" s="170" t="s">
        <v>11</v>
      </c>
      <c r="AM8" s="170"/>
      <c r="AN8" s="170"/>
      <c r="AO8" s="170"/>
      <c r="AP8" s="170"/>
      <c r="AQ8" s="170"/>
      <c r="AR8" s="170"/>
      <c r="AS8" s="170"/>
      <c r="AT8" s="170"/>
      <c r="AU8" s="170"/>
      <c r="AV8" s="170" t="s">
        <v>11</v>
      </c>
      <c r="AW8" s="170" t="s">
        <v>11</v>
      </c>
      <c r="AX8" s="170" t="s">
        <v>579</v>
      </c>
      <c r="AY8" s="170"/>
      <c r="AZ8" s="170"/>
      <c r="BA8" s="170"/>
      <c r="BB8" s="170"/>
      <c r="BC8" s="170" t="s">
        <v>580</v>
      </c>
      <c r="BD8" s="170" t="s">
        <v>581</v>
      </c>
      <c r="BE8" s="170" t="s">
        <v>582</v>
      </c>
      <c r="BF8" s="170"/>
      <c r="BG8" s="170"/>
      <c r="BH8" s="171"/>
      <c r="BI8" s="171" t="s">
        <v>583</v>
      </c>
      <c r="BJ8" s="171"/>
      <c r="BK8" s="171" t="s">
        <v>46</v>
      </c>
      <c r="BL8" s="171" t="s">
        <v>584</v>
      </c>
      <c r="BM8" s="171"/>
      <c r="BN8" s="171"/>
      <c r="BO8" s="171"/>
      <c r="BP8" s="171"/>
      <c r="BQ8" s="170"/>
      <c r="BR8" s="22">
        <v>6</v>
      </c>
      <c r="BS8" s="170"/>
      <c r="BT8" s="170" t="s">
        <v>585</v>
      </c>
      <c r="BU8" s="170" t="s">
        <v>586</v>
      </c>
      <c r="BV8" s="170" t="s">
        <v>407</v>
      </c>
      <c r="BW8" s="170" t="s">
        <v>587</v>
      </c>
      <c r="BX8" s="170"/>
      <c r="BY8" s="170" t="s">
        <v>588</v>
      </c>
      <c r="BZ8" s="170" t="s">
        <v>990</v>
      </c>
      <c r="CA8" s="20"/>
      <c r="CB8" s="20"/>
      <c r="CC8" s="20"/>
      <c r="CD8" s="20"/>
      <c r="CE8" s="20"/>
      <c r="CF8" s="20"/>
      <c r="CG8" s="20"/>
      <c r="CH8" s="20"/>
      <c r="CI8" s="20"/>
      <c r="CJ8" s="20"/>
    </row>
    <row r="9" spans="1:88">
      <c r="A9" s="20"/>
      <c r="B9" s="170"/>
      <c r="C9" s="172"/>
      <c r="D9" s="170" t="s">
        <v>374</v>
      </c>
      <c r="E9" s="170" t="s">
        <v>220</v>
      </c>
      <c r="F9" s="170"/>
      <c r="G9" s="170"/>
      <c r="H9" s="170" t="s">
        <v>1093</v>
      </c>
      <c r="I9" s="170"/>
      <c r="J9" s="170"/>
      <c r="K9" s="170"/>
      <c r="L9" s="170" t="s">
        <v>589</v>
      </c>
      <c r="M9" s="170"/>
      <c r="N9" s="170"/>
      <c r="O9" s="170" t="s">
        <v>590</v>
      </c>
      <c r="P9" s="170"/>
      <c r="Q9" s="170"/>
      <c r="R9" s="170"/>
      <c r="S9" s="170"/>
      <c r="T9" s="170"/>
      <c r="U9" s="170"/>
      <c r="V9" s="170"/>
      <c r="W9" s="170" t="s">
        <v>498</v>
      </c>
      <c r="X9" s="170"/>
      <c r="Y9" s="170"/>
      <c r="Z9" s="170"/>
      <c r="AA9" s="170"/>
      <c r="AB9" s="170"/>
      <c r="AC9" s="170" t="s">
        <v>1253</v>
      </c>
      <c r="AD9" s="170" t="s">
        <v>5</v>
      </c>
      <c r="AE9" s="170" t="s">
        <v>592</v>
      </c>
      <c r="AF9" s="170" t="s">
        <v>577</v>
      </c>
      <c r="AG9" s="170" t="s">
        <v>593</v>
      </c>
      <c r="AH9" s="170" t="s">
        <v>594</v>
      </c>
      <c r="AI9" s="170" t="s">
        <v>11</v>
      </c>
      <c r="AJ9" s="170"/>
      <c r="AK9" s="170"/>
      <c r="AL9" s="170"/>
      <c r="AM9" s="170"/>
      <c r="AN9" s="170"/>
      <c r="AO9" s="170"/>
      <c r="AP9" s="170"/>
      <c r="AQ9" s="170"/>
      <c r="AR9" s="170"/>
      <c r="AS9" s="170"/>
      <c r="AT9" s="170"/>
      <c r="AU9" s="170"/>
      <c r="AV9" s="170"/>
      <c r="AW9" s="170"/>
      <c r="AX9" s="170" t="s">
        <v>11</v>
      </c>
      <c r="AY9" s="170"/>
      <c r="AZ9" s="170"/>
      <c r="BA9" s="170"/>
      <c r="BB9" s="170"/>
      <c r="BC9" s="170" t="s">
        <v>595</v>
      </c>
      <c r="BD9" s="170" t="s">
        <v>596</v>
      </c>
      <c r="BE9" s="170" t="s">
        <v>11</v>
      </c>
      <c r="BF9" s="170"/>
      <c r="BG9" s="170"/>
      <c r="BH9" s="171"/>
      <c r="BI9" s="171" t="s">
        <v>597</v>
      </c>
      <c r="BJ9" s="171"/>
      <c r="BK9" s="171" t="s">
        <v>1049</v>
      </c>
      <c r="BL9" s="171" t="s">
        <v>598</v>
      </c>
      <c r="BM9" s="171"/>
      <c r="BN9" s="171"/>
      <c r="BO9" s="171"/>
      <c r="BP9" s="171"/>
      <c r="BQ9" s="170"/>
      <c r="BR9" s="22">
        <v>7</v>
      </c>
      <c r="BS9" s="170"/>
      <c r="BT9" s="170" t="s">
        <v>599</v>
      </c>
      <c r="BU9" s="170" t="s">
        <v>600</v>
      </c>
      <c r="BV9" s="170" t="s">
        <v>601</v>
      </c>
      <c r="BW9" s="170" t="s">
        <v>602</v>
      </c>
      <c r="BX9" s="170"/>
      <c r="BY9" s="170"/>
      <c r="BZ9" s="170"/>
      <c r="CA9" s="20"/>
      <c r="CB9" s="20"/>
      <c r="CC9" s="20"/>
      <c r="CD9" s="20"/>
      <c r="CE9" s="20"/>
      <c r="CF9" s="20"/>
      <c r="CG9" s="20"/>
      <c r="CH9" s="20"/>
      <c r="CI9" s="20"/>
      <c r="CJ9" s="20"/>
    </row>
    <row r="10" spans="1:88">
      <c r="A10" s="20"/>
      <c r="B10" s="170"/>
      <c r="C10" s="172"/>
      <c r="D10" s="170" t="s">
        <v>603</v>
      </c>
      <c r="E10" s="170" t="s">
        <v>604</v>
      </c>
      <c r="F10" s="170"/>
      <c r="G10" s="170"/>
      <c r="H10" s="170"/>
      <c r="I10" s="170"/>
      <c r="J10" s="170"/>
      <c r="K10" s="170"/>
      <c r="L10" s="170"/>
      <c r="M10" s="170"/>
      <c r="N10" s="170"/>
      <c r="O10" s="170" t="s">
        <v>605</v>
      </c>
      <c r="P10" s="170"/>
      <c r="Q10" s="170"/>
      <c r="R10" s="170"/>
      <c r="S10" s="170"/>
      <c r="T10" s="170"/>
      <c r="U10" s="170"/>
      <c r="V10" s="170"/>
      <c r="W10" s="170" t="s">
        <v>606</v>
      </c>
      <c r="X10" s="170"/>
      <c r="Y10" s="170"/>
      <c r="Z10" s="170"/>
      <c r="AA10" s="170"/>
      <c r="AB10" s="170"/>
      <c r="AC10" s="170"/>
      <c r="AD10" s="170" t="s">
        <v>591</v>
      </c>
      <c r="AE10" s="170" t="s">
        <v>607</v>
      </c>
      <c r="AF10" s="170" t="s">
        <v>608</v>
      </c>
      <c r="AG10" s="170" t="s">
        <v>609</v>
      </c>
      <c r="AH10" s="170" t="s">
        <v>610</v>
      </c>
      <c r="AI10" s="170"/>
      <c r="AJ10" s="170"/>
      <c r="AK10" s="170"/>
      <c r="AL10" s="170"/>
      <c r="AM10" s="170"/>
      <c r="AN10" s="170"/>
      <c r="AO10" s="170"/>
      <c r="AP10" s="170"/>
      <c r="AQ10" s="170"/>
      <c r="AR10" s="170"/>
      <c r="AS10" s="170"/>
      <c r="AT10" s="170"/>
      <c r="AU10" s="170"/>
      <c r="AV10" s="170"/>
      <c r="AW10" s="170"/>
      <c r="AX10" s="170"/>
      <c r="AY10" s="170"/>
      <c r="AZ10" s="170"/>
      <c r="BA10" s="170"/>
      <c r="BB10" s="170"/>
      <c r="BC10" s="170" t="s">
        <v>611</v>
      </c>
      <c r="BD10" s="170" t="s">
        <v>612</v>
      </c>
      <c r="BE10" s="170"/>
      <c r="BF10" s="170"/>
      <c r="BG10" s="170"/>
      <c r="BH10" s="171"/>
      <c r="BI10" s="171" t="s">
        <v>613</v>
      </c>
      <c r="BJ10" s="171"/>
      <c r="BK10" s="171"/>
      <c r="BL10" s="171" t="s">
        <v>614</v>
      </c>
      <c r="BM10" s="171"/>
      <c r="BN10" s="170"/>
      <c r="BO10" s="171"/>
      <c r="BP10" s="171"/>
      <c r="BQ10" s="170"/>
      <c r="BR10" s="171"/>
      <c r="BS10" s="170"/>
      <c r="BT10" s="170" t="s">
        <v>615</v>
      </c>
      <c r="BU10" s="170" t="s">
        <v>616</v>
      </c>
      <c r="BV10" s="170" t="s">
        <v>617</v>
      </c>
      <c r="BW10" s="170" t="s">
        <v>11</v>
      </c>
      <c r="BX10" s="170"/>
      <c r="BY10" s="170"/>
      <c r="BZ10" s="170"/>
      <c r="CA10" s="20"/>
      <c r="CB10" s="20"/>
      <c r="CC10" s="20"/>
      <c r="CD10" s="20"/>
      <c r="CE10" s="20"/>
      <c r="CF10" s="20"/>
      <c r="CG10" s="20"/>
      <c r="CH10" s="20"/>
      <c r="CI10" s="20"/>
      <c r="CJ10" s="20"/>
    </row>
    <row r="11" spans="1:88">
      <c r="A11" s="20"/>
      <c r="B11" s="170"/>
      <c r="C11" s="170"/>
      <c r="D11" s="170" t="s">
        <v>618</v>
      </c>
      <c r="E11" s="170" t="s">
        <v>619</v>
      </c>
      <c r="F11" s="170"/>
      <c r="G11" s="170"/>
      <c r="H11" s="170"/>
      <c r="I11" s="170"/>
      <c r="J11" s="170"/>
      <c r="K11" s="170"/>
      <c r="L11" s="170"/>
      <c r="M11" s="170"/>
      <c r="N11" s="170"/>
      <c r="O11" s="170" t="s">
        <v>620</v>
      </c>
      <c r="P11" s="170"/>
      <c r="Q11" s="170"/>
      <c r="R11" s="170"/>
      <c r="S11" s="170"/>
      <c r="T11" s="170"/>
      <c r="U11" s="170"/>
      <c r="V11" s="170"/>
      <c r="W11" s="170" t="s">
        <v>621</v>
      </c>
      <c r="X11" s="170"/>
      <c r="Y11" s="170"/>
      <c r="Z11" s="170"/>
      <c r="AA11" s="170"/>
      <c r="AB11" s="170"/>
      <c r="AC11" s="170"/>
      <c r="AD11" s="170" t="s">
        <v>1050</v>
      </c>
      <c r="AE11" s="170" t="s">
        <v>11</v>
      </c>
      <c r="AF11" s="170" t="s">
        <v>622</v>
      </c>
      <c r="AG11" s="170" t="s">
        <v>11</v>
      </c>
      <c r="AH11" s="170" t="s">
        <v>623</v>
      </c>
      <c r="AI11" s="170"/>
      <c r="AJ11" s="170"/>
      <c r="AK11" s="170"/>
      <c r="AL11" s="170"/>
      <c r="AM11" s="170"/>
      <c r="AN11" s="170"/>
      <c r="AO11" s="170"/>
      <c r="AP11" s="170"/>
      <c r="AQ11" s="170"/>
      <c r="AR11" s="170"/>
      <c r="AS11" s="170"/>
      <c r="AT11" s="170"/>
      <c r="AU11" s="170"/>
      <c r="AV11" s="170"/>
      <c r="AW11" s="170"/>
      <c r="AX11" s="170"/>
      <c r="AY11" s="170"/>
      <c r="AZ11" s="170"/>
      <c r="BA11" s="170"/>
      <c r="BB11" s="170"/>
      <c r="BC11" s="170" t="s">
        <v>624</v>
      </c>
      <c r="BD11" s="170" t="s">
        <v>625</v>
      </c>
      <c r="BE11" s="170"/>
      <c r="BF11" s="170"/>
      <c r="BG11" s="170"/>
      <c r="BH11" s="171"/>
      <c r="BI11" s="171" t="s">
        <v>626</v>
      </c>
      <c r="BJ11" s="171"/>
      <c r="BK11" s="171"/>
      <c r="BL11" s="170" t="s">
        <v>1046</v>
      </c>
      <c r="BM11" s="171"/>
      <c r="BN11" s="170"/>
      <c r="BO11" s="171"/>
      <c r="BP11" s="171"/>
      <c r="BQ11" s="170"/>
      <c r="BR11" s="171"/>
      <c r="BS11" s="170"/>
      <c r="BT11" s="170" t="s">
        <v>627</v>
      </c>
      <c r="BU11" s="170" t="s">
        <v>628</v>
      </c>
      <c r="BV11" s="170" t="s">
        <v>629</v>
      </c>
      <c r="BW11" s="170"/>
      <c r="BX11" s="170"/>
      <c r="BY11" s="170"/>
      <c r="BZ11" s="170"/>
      <c r="CA11" s="20"/>
      <c r="CB11" s="20"/>
      <c r="CC11" s="20"/>
      <c r="CD11" s="20"/>
      <c r="CE11" s="20"/>
      <c r="CF11" s="20"/>
      <c r="CG11" s="20"/>
      <c r="CH11" s="20"/>
      <c r="CI11" s="20"/>
      <c r="CJ11" s="20"/>
    </row>
    <row r="12" spans="1:88">
      <c r="A12" s="20"/>
      <c r="B12" s="170"/>
      <c r="C12" s="170"/>
      <c r="D12" s="170" t="s">
        <v>630</v>
      </c>
      <c r="E12" s="170" t="s">
        <v>631</v>
      </c>
      <c r="F12" s="170"/>
      <c r="G12" s="170"/>
      <c r="H12" s="170"/>
      <c r="I12" s="170"/>
      <c r="J12" s="170"/>
      <c r="K12" s="170"/>
      <c r="L12" s="170"/>
      <c r="M12" s="170"/>
      <c r="N12" s="170"/>
      <c r="O12" s="170" t="s">
        <v>632</v>
      </c>
      <c r="P12" s="170"/>
      <c r="Q12" s="170"/>
      <c r="R12" s="170"/>
      <c r="S12" s="170"/>
      <c r="T12" s="170"/>
      <c r="U12" s="170"/>
      <c r="V12" s="170"/>
      <c r="W12" s="170"/>
      <c r="X12" s="170"/>
      <c r="Y12" s="170"/>
      <c r="Z12" s="170"/>
      <c r="AA12" s="170"/>
      <c r="AB12" s="170"/>
      <c r="AC12" s="170"/>
      <c r="AD12" s="170"/>
      <c r="AE12" s="170"/>
      <c r="AF12" s="170" t="s">
        <v>11</v>
      </c>
      <c r="AG12" s="170"/>
      <c r="AH12" s="170" t="s">
        <v>11</v>
      </c>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t="s">
        <v>633</v>
      </c>
      <c r="BE12" s="170"/>
      <c r="BF12" s="170"/>
      <c r="BG12" s="170"/>
      <c r="BH12" s="171"/>
      <c r="BI12" s="171" t="s">
        <v>634</v>
      </c>
      <c r="BJ12" s="171"/>
      <c r="BK12" s="171"/>
      <c r="BL12" s="170" t="s">
        <v>1047</v>
      </c>
      <c r="BM12" s="171"/>
      <c r="BN12" s="170"/>
      <c r="BO12" s="171"/>
      <c r="BP12" s="171"/>
      <c r="BQ12" s="170"/>
      <c r="BR12" s="171"/>
      <c r="BS12" s="170"/>
      <c r="BT12" s="170" t="s">
        <v>635</v>
      </c>
      <c r="BU12" s="170" t="s">
        <v>636</v>
      </c>
      <c r="BV12" s="170" t="s">
        <v>637</v>
      </c>
      <c r="BW12" s="170"/>
      <c r="BX12" s="170"/>
      <c r="BY12" s="170"/>
      <c r="BZ12" s="170"/>
      <c r="CA12" s="20"/>
      <c r="CB12" s="20"/>
      <c r="CC12" s="20"/>
      <c r="CD12" s="20"/>
      <c r="CE12" s="20"/>
      <c r="CF12" s="20"/>
      <c r="CG12" s="20"/>
      <c r="CH12" s="20"/>
      <c r="CI12" s="20"/>
      <c r="CJ12" s="20"/>
    </row>
    <row r="13" spans="1:88">
      <c r="A13" s="20"/>
      <c r="B13" s="170"/>
      <c r="C13" s="170"/>
      <c r="D13" s="170" t="s">
        <v>604</v>
      </c>
      <c r="E13" s="170" t="s">
        <v>638</v>
      </c>
      <c r="F13" s="170"/>
      <c r="G13" s="170"/>
      <c r="H13" s="170"/>
      <c r="I13" s="170"/>
      <c r="J13" s="170"/>
      <c r="K13" s="170"/>
      <c r="L13" s="170"/>
      <c r="M13" s="170"/>
      <c r="N13" s="170"/>
      <c r="O13" s="170" t="s">
        <v>639</v>
      </c>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t="s">
        <v>640</v>
      </c>
      <c r="BE13" s="170"/>
      <c r="BF13" s="170"/>
      <c r="BG13" s="170"/>
      <c r="BH13" s="170"/>
      <c r="BI13" s="170"/>
      <c r="BJ13" s="170"/>
      <c r="BK13" s="170"/>
      <c r="BL13" s="170"/>
      <c r="BM13" s="170"/>
      <c r="BN13" s="170"/>
      <c r="BO13" s="170"/>
      <c r="BP13" s="170"/>
      <c r="BQ13" s="170"/>
      <c r="BR13" s="170"/>
      <c r="BS13" s="170"/>
      <c r="BT13" s="170" t="s">
        <v>641</v>
      </c>
      <c r="BU13" s="170" t="s">
        <v>642</v>
      </c>
      <c r="BV13" s="170" t="s">
        <v>643</v>
      </c>
      <c r="BW13" s="170"/>
      <c r="BX13" s="170"/>
      <c r="BY13" s="170"/>
      <c r="BZ13" s="170"/>
      <c r="CA13" s="20"/>
      <c r="CB13" s="20"/>
      <c r="CC13" s="20"/>
      <c r="CD13" s="20"/>
      <c r="CE13" s="20"/>
      <c r="CF13" s="20"/>
      <c r="CG13" s="20"/>
      <c r="CH13" s="20"/>
      <c r="CI13" s="20"/>
      <c r="CJ13" s="20"/>
    </row>
    <row r="14" spans="1:88">
      <c r="A14" s="20"/>
      <c r="B14" s="170"/>
      <c r="C14" s="170"/>
      <c r="D14" s="170" t="s">
        <v>644</v>
      </c>
      <c r="E14" s="170" t="s">
        <v>570</v>
      </c>
      <c r="F14" s="170"/>
      <c r="G14" s="170"/>
      <c r="H14" s="170"/>
      <c r="I14" s="170"/>
      <c r="J14" s="170"/>
      <c r="K14" s="170"/>
      <c r="L14" s="170"/>
      <c r="M14" s="170"/>
      <c r="N14" s="170"/>
      <c r="O14" s="170" t="s">
        <v>645</v>
      </c>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t="s">
        <v>646</v>
      </c>
      <c r="BE14" s="170"/>
      <c r="BF14" s="170"/>
      <c r="BG14" s="170"/>
      <c r="BH14" s="170"/>
      <c r="BI14" s="170"/>
      <c r="BJ14" s="170"/>
      <c r="BK14" s="170"/>
      <c r="BL14" s="170"/>
      <c r="BM14" s="170"/>
      <c r="BN14" s="170"/>
      <c r="BO14" s="170"/>
      <c r="BP14" s="170"/>
      <c r="BQ14" s="170"/>
      <c r="BR14" s="170"/>
      <c r="BS14" s="170"/>
      <c r="BT14" s="170" t="s">
        <v>647</v>
      </c>
      <c r="BU14" s="170" t="s">
        <v>648</v>
      </c>
      <c r="BV14" s="170" t="s">
        <v>649</v>
      </c>
      <c r="BW14" s="170"/>
      <c r="BX14" s="170"/>
      <c r="BY14" s="170"/>
      <c r="BZ14" s="170"/>
      <c r="CA14" s="20"/>
      <c r="CB14" s="20"/>
      <c r="CC14" s="20"/>
      <c r="CD14" s="20"/>
      <c r="CE14" s="20"/>
      <c r="CF14" s="20"/>
      <c r="CG14" s="20"/>
      <c r="CH14" s="20"/>
      <c r="CI14" s="20"/>
      <c r="CJ14" s="20"/>
    </row>
    <row r="15" spans="1:88">
      <c r="A15" s="20"/>
      <c r="B15" s="170"/>
      <c r="C15" s="170"/>
      <c r="D15" s="170" t="s">
        <v>650</v>
      </c>
      <c r="E15" s="170" t="s">
        <v>374</v>
      </c>
      <c r="F15" s="170"/>
      <c r="G15" s="170"/>
      <c r="H15" s="170"/>
      <c r="I15" s="170"/>
      <c r="J15" s="170"/>
      <c r="K15" s="170"/>
      <c r="L15" s="170"/>
      <c r="M15" s="170"/>
      <c r="N15" s="170"/>
      <c r="O15" s="170" t="s">
        <v>651</v>
      </c>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t="s">
        <v>518</v>
      </c>
      <c r="BE15" s="170"/>
      <c r="BF15" s="170"/>
      <c r="BG15" s="170"/>
      <c r="BH15" s="170"/>
      <c r="BI15" s="170"/>
      <c r="BJ15" s="170"/>
      <c r="BK15" s="170"/>
      <c r="BL15" s="170"/>
      <c r="BM15" s="170"/>
      <c r="BN15" s="170"/>
      <c r="BO15" s="170"/>
      <c r="BP15" s="170"/>
      <c r="BQ15" s="170"/>
      <c r="BR15" s="170"/>
      <c r="BS15" s="170"/>
      <c r="BT15" s="170" t="s">
        <v>652</v>
      </c>
      <c r="BU15" s="170" t="s">
        <v>653</v>
      </c>
      <c r="BV15" s="170" t="s">
        <v>1268</v>
      </c>
      <c r="BW15" s="170"/>
      <c r="BX15" s="170"/>
      <c r="BY15" s="170"/>
      <c r="BZ15" s="170"/>
      <c r="CA15" s="20"/>
      <c r="CB15" s="20"/>
      <c r="CC15" s="20"/>
      <c r="CD15" s="20"/>
      <c r="CE15" s="20"/>
      <c r="CF15" s="20"/>
      <c r="CG15" s="20"/>
      <c r="CH15" s="20"/>
      <c r="CI15" s="20"/>
      <c r="CJ15" s="20"/>
    </row>
    <row r="16" spans="1:88">
      <c r="A16" s="20"/>
      <c r="B16" s="170"/>
      <c r="C16" s="170"/>
      <c r="D16" s="170" t="s">
        <v>654</v>
      </c>
      <c r="E16" s="170" t="s">
        <v>618</v>
      </c>
      <c r="F16" s="170"/>
      <c r="G16" s="170"/>
      <c r="H16" s="170"/>
      <c r="I16" s="170"/>
      <c r="J16" s="170"/>
      <c r="K16" s="170"/>
      <c r="L16" s="170"/>
      <c r="M16" s="170"/>
      <c r="N16" s="170"/>
      <c r="O16" s="170" t="s">
        <v>655</v>
      </c>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t="s">
        <v>656</v>
      </c>
      <c r="BE16" s="170"/>
      <c r="BF16" s="170"/>
      <c r="BG16" s="170"/>
      <c r="BH16" s="170"/>
      <c r="BI16" s="170"/>
      <c r="BJ16" s="170"/>
      <c r="BK16" s="170"/>
      <c r="BL16" s="170"/>
      <c r="BM16" s="170"/>
      <c r="BN16" s="170"/>
      <c r="BO16" s="170"/>
      <c r="BP16" s="170"/>
      <c r="BQ16" s="170"/>
      <c r="BR16" s="170"/>
      <c r="BS16" s="170"/>
      <c r="BT16" s="170" t="s">
        <v>657</v>
      </c>
      <c r="BU16" s="170" t="s">
        <v>658</v>
      </c>
      <c r="BV16" s="170" t="s">
        <v>1269</v>
      </c>
      <c r="BW16" s="170"/>
      <c r="BX16" s="170"/>
      <c r="BY16" s="170"/>
      <c r="BZ16" s="170"/>
      <c r="CA16" s="20"/>
      <c r="CB16" s="20"/>
      <c r="CC16" s="20"/>
      <c r="CD16" s="20"/>
      <c r="CE16" s="20"/>
      <c r="CF16" s="20"/>
      <c r="CG16" s="20"/>
      <c r="CH16" s="20"/>
      <c r="CI16" s="20"/>
      <c r="CJ16" s="20"/>
    </row>
    <row r="17" spans="1:88">
      <c r="A17" s="20"/>
      <c r="B17" s="170"/>
      <c r="C17" s="170"/>
      <c r="D17" s="170" t="s">
        <v>659</v>
      </c>
      <c r="E17" s="170" t="s">
        <v>650</v>
      </c>
      <c r="F17" s="170"/>
      <c r="G17" s="170"/>
      <c r="H17" s="170"/>
      <c r="I17" s="170"/>
      <c r="J17" s="170"/>
      <c r="K17" s="170"/>
      <c r="L17" s="170"/>
      <c r="M17" s="170"/>
      <c r="N17" s="170"/>
      <c r="O17" s="170" t="s">
        <v>660</v>
      </c>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t="s">
        <v>661</v>
      </c>
      <c r="BE17" s="170"/>
      <c r="BF17" s="170"/>
      <c r="BG17" s="170"/>
      <c r="BH17" s="170"/>
      <c r="BI17" s="170"/>
      <c r="BJ17" s="170"/>
      <c r="BK17" s="170"/>
      <c r="BL17" s="170"/>
      <c r="BM17" s="170"/>
      <c r="BN17" s="170"/>
      <c r="BO17" s="170"/>
      <c r="BP17" s="170"/>
      <c r="BQ17" s="170"/>
      <c r="BR17" s="170"/>
      <c r="BS17" s="170"/>
      <c r="BT17" s="170" t="s">
        <v>662</v>
      </c>
      <c r="BU17" s="170" t="s">
        <v>663</v>
      </c>
      <c r="BV17" s="170" t="s">
        <v>536</v>
      </c>
      <c r="BW17" s="170"/>
      <c r="BX17" s="170"/>
      <c r="BY17" s="170"/>
      <c r="BZ17" s="170"/>
      <c r="CA17" s="20"/>
      <c r="CB17" s="20"/>
      <c r="CC17" s="20"/>
      <c r="CD17" s="20"/>
      <c r="CE17" s="20"/>
      <c r="CF17" s="20"/>
      <c r="CG17" s="20"/>
      <c r="CH17" s="20"/>
      <c r="CI17" s="20"/>
      <c r="CJ17" s="20"/>
    </row>
    <row r="18" spans="1:88">
      <c r="A18" s="20"/>
      <c r="B18" s="170"/>
      <c r="C18" s="170"/>
      <c r="D18" s="170" t="s">
        <v>664</v>
      </c>
      <c r="E18" s="170" t="s">
        <v>665</v>
      </c>
      <c r="F18" s="170"/>
      <c r="G18" s="170"/>
      <c r="H18" s="170"/>
      <c r="I18" s="170"/>
      <c r="J18" s="170"/>
      <c r="K18" s="170"/>
      <c r="L18" s="170"/>
      <c r="M18" s="170"/>
      <c r="N18" s="170"/>
      <c r="O18" s="170" t="s">
        <v>666</v>
      </c>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t="s">
        <v>667</v>
      </c>
      <c r="BE18" s="170"/>
      <c r="BF18" s="170"/>
      <c r="BG18" s="170"/>
      <c r="BH18" s="170"/>
      <c r="BI18" s="170"/>
      <c r="BJ18" s="170"/>
      <c r="BK18" s="170"/>
      <c r="BL18" s="170"/>
      <c r="BM18" s="170"/>
      <c r="BN18" s="170"/>
      <c r="BO18" s="170"/>
      <c r="BP18" s="170"/>
      <c r="BQ18" s="170"/>
      <c r="BR18" s="170"/>
      <c r="BS18" s="170"/>
      <c r="BT18" s="170" t="s">
        <v>668</v>
      </c>
      <c r="BU18" s="170" t="s">
        <v>669</v>
      </c>
      <c r="BV18" s="170" t="s">
        <v>11</v>
      </c>
      <c r="BW18" s="170"/>
      <c r="BX18" s="170"/>
      <c r="BY18" s="170"/>
      <c r="BZ18" s="170"/>
      <c r="CA18" s="20"/>
      <c r="CB18" s="20"/>
      <c r="CC18" s="20"/>
      <c r="CD18" s="20"/>
      <c r="CE18" s="20"/>
      <c r="CF18" s="20"/>
      <c r="CG18" s="20"/>
      <c r="CH18" s="20"/>
      <c r="CI18" s="20"/>
      <c r="CJ18" s="20"/>
    </row>
    <row r="19" spans="1:88">
      <c r="A19" s="20"/>
      <c r="B19" s="170"/>
      <c r="C19" s="170"/>
      <c r="D19" s="170" t="s">
        <v>670</v>
      </c>
      <c r="E19" s="170" t="s">
        <v>630</v>
      </c>
      <c r="F19" s="170"/>
      <c r="G19" s="170"/>
      <c r="H19" s="170"/>
      <c r="I19" s="170"/>
      <c r="J19" s="170"/>
      <c r="K19" s="170"/>
      <c r="L19" s="170"/>
      <c r="M19" s="170"/>
      <c r="N19" s="170"/>
      <c r="O19" s="170" t="s">
        <v>671</v>
      </c>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t="s">
        <v>672</v>
      </c>
      <c r="BE19" s="170"/>
      <c r="BF19" s="170"/>
      <c r="BG19" s="170"/>
      <c r="BH19" s="170"/>
      <c r="BI19" s="170"/>
      <c r="BJ19" s="170"/>
      <c r="BK19" s="170"/>
      <c r="BL19" s="170"/>
      <c r="BM19" s="170"/>
      <c r="BN19" s="170"/>
      <c r="BO19" s="170"/>
      <c r="BP19" s="170"/>
      <c r="BQ19" s="170"/>
      <c r="BR19" s="170"/>
      <c r="BS19" s="170"/>
      <c r="BT19" s="170" t="s">
        <v>673</v>
      </c>
      <c r="BU19" s="170" t="s">
        <v>674</v>
      </c>
      <c r="BV19" s="170" t="s">
        <v>675</v>
      </c>
      <c r="BW19" s="170"/>
      <c r="BX19" s="170"/>
      <c r="BY19" s="170"/>
      <c r="BZ19" s="170"/>
      <c r="CA19" s="20"/>
      <c r="CB19" s="20"/>
      <c r="CC19" s="20"/>
      <c r="CD19" s="20"/>
      <c r="CE19" s="20"/>
      <c r="CF19" s="20"/>
      <c r="CG19" s="20"/>
      <c r="CH19" s="20"/>
      <c r="CI19" s="20"/>
      <c r="CJ19" s="20"/>
    </row>
    <row r="20" spans="1:88">
      <c r="A20" s="20"/>
      <c r="B20" s="170"/>
      <c r="C20" s="170"/>
      <c r="D20" s="170" t="s">
        <v>676</v>
      </c>
      <c r="E20" s="170" t="s">
        <v>539</v>
      </c>
      <c r="F20" s="170"/>
      <c r="G20" s="170"/>
      <c r="H20" s="170"/>
      <c r="I20" s="170"/>
      <c r="J20" s="170"/>
      <c r="K20" s="170"/>
      <c r="L20" s="170"/>
      <c r="M20" s="170"/>
      <c r="N20" s="170"/>
      <c r="O20" s="170" t="s">
        <v>677</v>
      </c>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t="s">
        <v>582</v>
      </c>
      <c r="BE20" s="170"/>
      <c r="BF20" s="170"/>
      <c r="BG20" s="170"/>
      <c r="BH20" s="170"/>
      <c r="BI20" s="170"/>
      <c r="BJ20" s="170"/>
      <c r="BK20" s="170"/>
      <c r="BL20" s="170"/>
      <c r="BM20" s="170"/>
      <c r="BN20" s="170"/>
      <c r="BO20" s="170"/>
      <c r="BP20" s="170"/>
      <c r="BQ20" s="170"/>
      <c r="BR20" s="170"/>
      <c r="BS20" s="170"/>
      <c r="BT20" s="170" t="s">
        <v>678</v>
      </c>
      <c r="BU20" s="170" t="s">
        <v>679</v>
      </c>
      <c r="BV20" s="170" t="s">
        <v>680</v>
      </c>
      <c r="BW20" s="170"/>
      <c r="BX20" s="170"/>
      <c r="BY20" s="170"/>
      <c r="BZ20" s="170"/>
      <c r="CA20" s="20"/>
      <c r="CB20" s="20"/>
      <c r="CC20" s="20"/>
      <c r="CD20" s="20"/>
      <c r="CE20" s="20"/>
      <c r="CF20" s="20"/>
      <c r="CG20" s="20"/>
      <c r="CH20" s="20"/>
      <c r="CI20" s="20"/>
      <c r="CJ20" s="20"/>
    </row>
    <row r="21" spans="1:88">
      <c r="A21" s="20"/>
      <c r="B21" s="170"/>
      <c r="C21" s="170"/>
      <c r="D21" s="170" t="s">
        <v>538</v>
      </c>
      <c r="E21" s="170" t="s">
        <v>39</v>
      </c>
      <c r="F21" s="170"/>
      <c r="G21" s="170"/>
      <c r="H21" s="170"/>
      <c r="I21" s="170"/>
      <c r="J21" s="170"/>
      <c r="K21" s="170"/>
      <c r="L21" s="170"/>
      <c r="M21" s="170"/>
      <c r="N21" s="170"/>
      <c r="O21" s="170" t="s">
        <v>681</v>
      </c>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t="s">
        <v>682</v>
      </c>
      <c r="BE21" s="170"/>
      <c r="BF21" s="170"/>
      <c r="BG21" s="170"/>
      <c r="BH21" s="170"/>
      <c r="BI21" s="170"/>
      <c r="BJ21" s="170"/>
      <c r="BK21" s="170"/>
      <c r="BL21" s="170"/>
      <c r="BM21" s="170"/>
      <c r="BN21" s="170"/>
      <c r="BO21" s="170"/>
      <c r="BP21" s="170"/>
      <c r="BQ21" s="170"/>
      <c r="BR21" s="170"/>
      <c r="BS21" s="170"/>
      <c r="BT21" s="170" t="s">
        <v>683</v>
      </c>
      <c r="BU21" s="170" t="s">
        <v>684</v>
      </c>
      <c r="BV21" s="170" t="s">
        <v>685</v>
      </c>
      <c r="BW21" s="170"/>
      <c r="BX21" s="170"/>
      <c r="BY21" s="170"/>
      <c r="BZ21" s="170"/>
      <c r="CA21" s="20"/>
      <c r="CB21" s="20"/>
      <c r="CC21" s="20"/>
      <c r="CD21" s="20"/>
      <c r="CE21" s="20"/>
      <c r="CF21" s="20"/>
      <c r="CG21" s="20"/>
      <c r="CH21" s="20"/>
      <c r="CI21" s="20"/>
      <c r="CJ21" s="20"/>
    </row>
    <row r="22" spans="1:88">
      <c r="A22" s="20"/>
      <c r="B22" s="170"/>
      <c r="C22" s="170"/>
      <c r="D22" s="170"/>
      <c r="E22" s="170" t="s">
        <v>664</v>
      </c>
      <c r="F22" s="170"/>
      <c r="G22" s="170"/>
      <c r="H22" s="170"/>
      <c r="I22" s="170"/>
      <c r="J22" s="170"/>
      <c r="K22" s="170"/>
      <c r="L22" s="170"/>
      <c r="M22" s="170"/>
      <c r="N22" s="170"/>
      <c r="O22" s="170" t="s">
        <v>686</v>
      </c>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t="s">
        <v>687</v>
      </c>
      <c r="BE22" s="170"/>
      <c r="BF22" s="170"/>
      <c r="BG22" s="170"/>
      <c r="BH22" s="170"/>
      <c r="BI22" s="170"/>
      <c r="BJ22" s="170"/>
      <c r="BK22" s="170"/>
      <c r="BL22" s="170"/>
      <c r="BM22" s="170"/>
      <c r="BN22" s="170"/>
      <c r="BO22" s="170"/>
      <c r="BP22" s="170"/>
      <c r="BQ22" s="170"/>
      <c r="BR22" s="170"/>
      <c r="BS22" s="170"/>
      <c r="BT22" s="170" t="s">
        <v>688</v>
      </c>
      <c r="BU22" s="170" t="s">
        <v>689</v>
      </c>
      <c r="BV22" s="170" t="s">
        <v>690</v>
      </c>
      <c r="BW22" s="170"/>
      <c r="BX22" s="170"/>
      <c r="BY22" s="170"/>
      <c r="BZ22" s="170"/>
      <c r="CA22" s="20"/>
      <c r="CB22" s="20"/>
      <c r="CC22" s="20"/>
      <c r="CD22" s="20"/>
      <c r="CE22" s="20"/>
      <c r="CF22" s="20"/>
      <c r="CG22" s="20"/>
      <c r="CH22" s="20"/>
      <c r="CI22" s="20"/>
      <c r="CJ22" s="20"/>
    </row>
    <row r="23" spans="1:88">
      <c r="A23" s="20"/>
      <c r="B23" s="170"/>
      <c r="C23" s="170"/>
      <c r="D23" s="170"/>
      <c r="E23" s="170" t="s">
        <v>670</v>
      </c>
      <c r="F23" s="170"/>
      <c r="G23" s="170"/>
      <c r="H23" s="170"/>
      <c r="I23" s="170"/>
      <c r="J23" s="170"/>
      <c r="K23" s="170"/>
      <c r="L23" s="170"/>
      <c r="M23" s="170"/>
      <c r="N23" s="170"/>
      <c r="O23" s="170" t="s">
        <v>691</v>
      </c>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t="s">
        <v>692</v>
      </c>
      <c r="BE23" s="170"/>
      <c r="BF23" s="170"/>
      <c r="BG23" s="170"/>
      <c r="BH23" s="170"/>
      <c r="BI23" s="170"/>
      <c r="BJ23" s="170"/>
      <c r="BK23" s="170"/>
      <c r="BL23" s="170"/>
      <c r="BM23" s="170"/>
      <c r="BN23" s="170"/>
      <c r="BO23" s="170"/>
      <c r="BP23" s="170"/>
      <c r="BQ23" s="170"/>
      <c r="BR23" s="170"/>
      <c r="BS23" s="170"/>
      <c r="BT23" s="170" t="s">
        <v>693</v>
      </c>
      <c r="BU23" s="170" t="s">
        <v>694</v>
      </c>
      <c r="BV23" s="170" t="s">
        <v>695</v>
      </c>
      <c r="BW23" s="170"/>
      <c r="BX23" s="170"/>
      <c r="BY23" s="170"/>
      <c r="BZ23" s="170"/>
      <c r="CA23" s="20"/>
      <c r="CB23" s="20"/>
      <c r="CC23" s="20"/>
      <c r="CD23" s="20"/>
      <c r="CE23" s="20"/>
      <c r="CF23" s="20"/>
      <c r="CG23" s="20"/>
      <c r="CH23" s="20"/>
      <c r="CI23" s="20"/>
      <c r="CJ23" s="20"/>
    </row>
    <row r="24" spans="1:88">
      <c r="A24" s="20"/>
      <c r="B24" s="170"/>
      <c r="C24" s="170"/>
      <c r="D24" s="170"/>
      <c r="E24" s="170" t="s">
        <v>538</v>
      </c>
      <c r="F24" s="170"/>
      <c r="G24" s="170"/>
      <c r="H24" s="170"/>
      <c r="I24" s="170"/>
      <c r="J24" s="170"/>
      <c r="K24" s="170"/>
      <c r="L24" s="170"/>
      <c r="M24" s="170"/>
      <c r="N24" s="170"/>
      <c r="O24" s="170" t="s">
        <v>696</v>
      </c>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t="s">
        <v>11</v>
      </c>
      <c r="BE24" s="170"/>
      <c r="BF24" s="170"/>
      <c r="BG24" s="170"/>
      <c r="BH24" s="170"/>
      <c r="BI24" s="170"/>
      <c r="BJ24" s="170"/>
      <c r="BK24" s="170"/>
      <c r="BL24" s="170"/>
      <c r="BM24" s="170"/>
      <c r="BN24" s="170"/>
      <c r="BO24" s="170"/>
      <c r="BP24" s="170"/>
      <c r="BQ24" s="170"/>
      <c r="BR24" s="170"/>
      <c r="BS24" s="170"/>
      <c r="BT24" s="170" t="s">
        <v>697</v>
      </c>
      <c r="BU24" s="170" t="s">
        <v>698</v>
      </c>
      <c r="BV24" s="170" t="s">
        <v>699</v>
      </c>
      <c r="BW24" s="170"/>
      <c r="BX24" s="170"/>
      <c r="BY24" s="170"/>
      <c r="BZ24" s="170"/>
      <c r="CA24" s="20"/>
      <c r="CB24" s="20"/>
      <c r="CC24" s="20"/>
      <c r="CD24" s="20"/>
      <c r="CE24" s="20"/>
      <c r="CF24" s="20"/>
      <c r="CG24" s="20"/>
      <c r="CH24" s="20"/>
      <c r="CI24" s="20"/>
      <c r="CJ24" s="20"/>
    </row>
    <row r="25" spans="1:88">
      <c r="A25" s="20"/>
      <c r="B25" s="170"/>
      <c r="C25" s="170"/>
      <c r="D25" s="170"/>
      <c r="E25" s="170" t="s">
        <v>965</v>
      </c>
      <c r="F25" s="170"/>
      <c r="G25" s="170"/>
      <c r="H25" s="170"/>
      <c r="I25" s="170"/>
      <c r="J25" s="170"/>
      <c r="K25" s="170"/>
      <c r="L25" s="170"/>
      <c r="M25" s="170"/>
      <c r="N25" s="170"/>
      <c r="O25" s="170" t="s">
        <v>700</v>
      </c>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c r="BS25" s="170"/>
      <c r="BT25" s="170" t="s">
        <v>701</v>
      </c>
      <c r="BU25" s="170" t="s">
        <v>702</v>
      </c>
      <c r="BV25" s="170" t="s">
        <v>703</v>
      </c>
      <c r="BW25" s="170"/>
      <c r="BX25" s="170"/>
      <c r="BY25" s="170"/>
      <c r="BZ25" s="170"/>
      <c r="CA25" s="20"/>
      <c r="CB25" s="20"/>
      <c r="CC25" s="20"/>
      <c r="CD25" s="20"/>
      <c r="CE25" s="20"/>
      <c r="CF25" s="20"/>
      <c r="CG25" s="20"/>
      <c r="CH25" s="20"/>
      <c r="CI25" s="20"/>
      <c r="CJ25" s="20"/>
    </row>
    <row r="26" spans="1:88">
      <c r="A26" s="20"/>
      <c r="B26" s="170"/>
      <c r="C26" s="170"/>
      <c r="D26" s="170"/>
      <c r="E26" s="170" t="s">
        <v>492</v>
      </c>
      <c r="F26" s="170"/>
      <c r="G26" s="170"/>
      <c r="H26" s="170"/>
      <c r="I26" s="170"/>
      <c r="J26" s="170"/>
      <c r="K26" s="170"/>
      <c r="L26" s="170"/>
      <c r="M26" s="170"/>
      <c r="N26" s="170"/>
      <c r="O26" s="170" t="s">
        <v>704</v>
      </c>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70"/>
      <c r="BK26" s="170"/>
      <c r="BL26" s="170"/>
      <c r="BM26" s="170"/>
      <c r="BN26" s="170"/>
      <c r="BO26" s="170"/>
      <c r="BP26" s="170"/>
      <c r="BQ26" s="170"/>
      <c r="BR26" s="170"/>
      <c r="BS26" s="170"/>
      <c r="BT26" s="170" t="s">
        <v>705</v>
      </c>
      <c r="BU26" s="170" t="s">
        <v>706</v>
      </c>
      <c r="BV26" s="170" t="s">
        <v>707</v>
      </c>
      <c r="BW26" s="170"/>
      <c r="BX26" s="170"/>
      <c r="BY26" s="170"/>
      <c r="BZ26" s="170"/>
      <c r="CA26" s="20"/>
      <c r="CB26" s="20"/>
      <c r="CC26" s="20"/>
      <c r="CD26" s="20"/>
      <c r="CE26" s="20"/>
      <c r="CF26" s="20"/>
      <c r="CG26" s="20"/>
      <c r="CH26" s="20"/>
      <c r="CI26" s="20"/>
      <c r="CJ26" s="20"/>
    </row>
    <row r="27" spans="1:88">
      <c r="A27" s="20"/>
      <c r="B27" s="170"/>
      <c r="C27" s="170"/>
      <c r="D27" s="170"/>
      <c r="E27" s="170"/>
      <c r="F27" s="170"/>
      <c r="G27" s="359"/>
      <c r="H27" s="170"/>
      <c r="I27" s="170"/>
      <c r="J27" s="170"/>
      <c r="K27" s="170"/>
      <c r="L27" s="170"/>
      <c r="M27" s="170"/>
      <c r="N27" s="170"/>
      <c r="O27" s="170" t="s">
        <v>708</v>
      </c>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c r="BS27" s="170"/>
      <c r="BT27" s="170" t="s">
        <v>1270</v>
      </c>
      <c r="BU27" s="170" t="s">
        <v>709</v>
      </c>
      <c r="BV27" s="170" t="s">
        <v>710</v>
      </c>
      <c r="BW27" s="170"/>
      <c r="BX27" s="170"/>
      <c r="BY27" s="170"/>
      <c r="BZ27" s="170"/>
      <c r="CA27" s="20"/>
      <c r="CB27" s="20"/>
      <c r="CC27" s="20"/>
      <c r="CD27" s="20"/>
      <c r="CE27" s="20"/>
      <c r="CF27" s="20"/>
      <c r="CG27" s="20"/>
      <c r="CH27" s="20"/>
      <c r="CI27" s="20"/>
      <c r="CJ27" s="20"/>
    </row>
    <row r="28" spans="1:88" ht="25.5">
      <c r="A28" s="20"/>
      <c r="B28" s="170"/>
      <c r="C28" s="170"/>
      <c r="D28" s="170"/>
      <c r="E28" s="357"/>
      <c r="F28" s="358" t="s">
        <v>841</v>
      </c>
      <c r="G28" s="360" t="s">
        <v>316</v>
      </c>
      <c r="H28" s="170"/>
      <c r="I28" s="170"/>
      <c r="J28" s="170"/>
      <c r="K28" s="170"/>
      <c r="L28" s="170"/>
      <c r="M28" s="170"/>
      <c r="N28" s="170"/>
      <c r="O28" s="170" t="s">
        <v>711</v>
      </c>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c r="BS28" s="170"/>
      <c r="BT28" s="170" t="s">
        <v>712</v>
      </c>
      <c r="BU28" s="170" t="s">
        <v>658</v>
      </c>
      <c r="BV28" s="170" t="s">
        <v>670</v>
      </c>
      <c r="BW28" s="170"/>
      <c r="BX28" s="170"/>
      <c r="BY28" s="170"/>
      <c r="BZ28" s="170"/>
      <c r="CA28" s="20"/>
      <c r="CB28" s="20"/>
      <c r="CC28" s="20"/>
      <c r="CD28" s="20"/>
      <c r="CE28" s="20"/>
      <c r="CF28" s="20"/>
      <c r="CG28" s="20"/>
      <c r="CH28" s="20"/>
      <c r="CI28" s="20"/>
      <c r="CJ28" s="20"/>
    </row>
    <row r="29" spans="1:88">
      <c r="A29" s="20"/>
      <c r="B29" s="170"/>
      <c r="C29" s="170"/>
      <c r="D29" s="170"/>
      <c r="E29" s="357"/>
      <c r="F29" s="22" t="s">
        <v>1224</v>
      </c>
      <c r="G29" s="20" t="s">
        <v>364</v>
      </c>
      <c r="H29" s="170"/>
      <c r="I29" s="170"/>
      <c r="J29" s="170"/>
      <c r="K29" s="170"/>
      <c r="L29" s="170"/>
      <c r="M29" s="170"/>
      <c r="N29" s="170"/>
      <c r="O29" s="170" t="s">
        <v>713</v>
      </c>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170"/>
      <c r="BH29" s="170"/>
      <c r="BI29" s="170"/>
      <c r="BJ29" s="170"/>
      <c r="BK29" s="170"/>
      <c r="BL29" s="170"/>
      <c r="BM29" s="170"/>
      <c r="BN29" s="170"/>
      <c r="BO29" s="170"/>
      <c r="BP29" s="170"/>
      <c r="BQ29" s="170"/>
      <c r="BR29" s="170"/>
      <c r="BS29" s="170"/>
      <c r="BT29" s="170" t="s">
        <v>714</v>
      </c>
      <c r="BU29" s="170" t="s">
        <v>715</v>
      </c>
      <c r="BV29" s="170"/>
      <c r="BW29" s="170"/>
      <c r="BX29" s="170"/>
      <c r="BY29" s="170"/>
      <c r="BZ29" s="170"/>
      <c r="CA29" s="20"/>
      <c r="CB29" s="20"/>
      <c r="CC29" s="20"/>
      <c r="CD29" s="20"/>
      <c r="CE29" s="20"/>
      <c r="CF29" s="20"/>
      <c r="CG29" s="20"/>
      <c r="CH29" s="20"/>
      <c r="CI29" s="20"/>
      <c r="CJ29" s="20"/>
    </row>
    <row r="30" spans="1:88">
      <c r="A30" s="20"/>
      <c r="B30" s="170"/>
      <c r="C30" s="170"/>
      <c r="D30" s="170"/>
      <c r="E30" s="357"/>
      <c r="F30" s="22" t="s">
        <v>1225</v>
      </c>
      <c r="G30" s="20" t="s">
        <v>423</v>
      </c>
      <c r="H30" s="170"/>
      <c r="I30" s="170"/>
      <c r="J30" s="170"/>
      <c r="K30" s="170"/>
      <c r="L30" s="170"/>
      <c r="M30" s="170"/>
      <c r="N30" s="170"/>
      <c r="O30" s="170" t="s">
        <v>716</v>
      </c>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170"/>
      <c r="BI30" s="170"/>
      <c r="BJ30" s="170"/>
      <c r="BK30" s="170"/>
      <c r="BL30" s="170"/>
      <c r="BM30" s="170"/>
      <c r="BN30" s="170"/>
      <c r="BO30" s="170"/>
      <c r="BP30" s="170"/>
      <c r="BQ30" s="170"/>
      <c r="BR30" s="170"/>
      <c r="BS30" s="170"/>
      <c r="BT30" s="170" t="s">
        <v>717</v>
      </c>
      <c r="BU30" s="170" t="s">
        <v>718</v>
      </c>
      <c r="BV30" s="170"/>
      <c r="BW30" s="170"/>
      <c r="BX30" s="170"/>
      <c r="BY30" s="170"/>
      <c r="BZ30" s="170"/>
      <c r="CA30" s="20"/>
      <c r="CB30" s="20"/>
      <c r="CC30" s="20"/>
      <c r="CD30" s="20"/>
      <c r="CE30" s="20"/>
      <c r="CF30" s="20"/>
      <c r="CG30" s="20"/>
      <c r="CH30" s="20"/>
      <c r="CI30" s="20"/>
      <c r="CJ30" s="20"/>
    </row>
    <row r="31" spans="1:88">
      <c r="A31" s="20"/>
      <c r="B31" s="170"/>
      <c r="C31" s="170"/>
      <c r="D31" s="170"/>
      <c r="E31" s="357"/>
      <c r="F31" s="22" t="s">
        <v>1226</v>
      </c>
      <c r="G31" s="20" t="s">
        <v>476</v>
      </c>
      <c r="H31" s="170"/>
      <c r="I31" s="170"/>
      <c r="J31" s="170"/>
      <c r="K31" s="170"/>
      <c r="L31" s="170"/>
      <c r="M31" s="170"/>
      <c r="N31" s="170"/>
      <c r="O31" s="170" t="s">
        <v>719</v>
      </c>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0"/>
      <c r="BD31" s="170"/>
      <c r="BE31" s="170"/>
      <c r="BF31" s="170"/>
      <c r="BG31" s="170"/>
      <c r="BH31" s="170"/>
      <c r="BI31" s="170"/>
      <c r="BJ31" s="170"/>
      <c r="BK31" s="170"/>
      <c r="BL31" s="170"/>
      <c r="BM31" s="170"/>
      <c r="BN31" s="170"/>
      <c r="BO31" s="170"/>
      <c r="BP31" s="170"/>
      <c r="BQ31" s="170"/>
      <c r="BR31" s="170"/>
      <c r="BS31" s="170"/>
      <c r="BT31" s="170" t="s">
        <v>720</v>
      </c>
      <c r="BU31" s="170" t="s">
        <v>721</v>
      </c>
      <c r="BV31" s="170"/>
      <c r="BW31" s="170"/>
      <c r="BX31" s="170"/>
      <c r="BY31" s="170"/>
      <c r="BZ31" s="170"/>
      <c r="CA31" s="20"/>
      <c r="CB31" s="20"/>
      <c r="CC31" s="20"/>
      <c r="CD31" s="20"/>
      <c r="CE31" s="20"/>
      <c r="CF31" s="20"/>
      <c r="CG31" s="20"/>
      <c r="CH31" s="20"/>
      <c r="CI31" s="20"/>
      <c r="CJ31" s="20"/>
    </row>
    <row r="32" spans="1:88">
      <c r="A32" s="20"/>
      <c r="B32" s="170"/>
      <c r="C32" s="170"/>
      <c r="D32" s="170"/>
      <c r="E32" s="357"/>
      <c r="F32" s="22" t="s">
        <v>1227</v>
      </c>
      <c r="G32" s="20" t="s">
        <v>525</v>
      </c>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t="s">
        <v>1271</v>
      </c>
      <c r="BU32" s="170" t="s">
        <v>722</v>
      </c>
      <c r="BV32" s="170"/>
      <c r="BW32" s="170"/>
      <c r="BX32" s="170"/>
      <c r="BY32" s="170"/>
      <c r="BZ32" s="170"/>
      <c r="CA32" s="20"/>
      <c r="CB32" s="20"/>
      <c r="CC32" s="20"/>
      <c r="CD32" s="20"/>
      <c r="CE32" s="20"/>
      <c r="CF32" s="20"/>
      <c r="CG32" s="20"/>
      <c r="CH32" s="20"/>
      <c r="CI32" s="20"/>
      <c r="CJ32" s="20"/>
    </row>
    <row r="33" spans="1:88">
      <c r="A33" s="20"/>
      <c r="B33" s="170"/>
      <c r="C33" s="170"/>
      <c r="D33" s="170"/>
      <c r="E33" s="170"/>
      <c r="F33" s="170" t="s">
        <v>42</v>
      </c>
      <c r="G33" s="20" t="s">
        <v>560</v>
      </c>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c r="BS33" s="170"/>
      <c r="BT33" s="170" t="s">
        <v>723</v>
      </c>
      <c r="BU33" s="170" t="s">
        <v>724</v>
      </c>
      <c r="BV33" s="170"/>
      <c r="BW33" s="170"/>
      <c r="BX33" s="170"/>
      <c r="BY33" s="170"/>
      <c r="BZ33" s="170"/>
      <c r="CA33" s="20"/>
      <c r="CB33" s="20"/>
      <c r="CC33" s="20"/>
      <c r="CD33" s="20"/>
      <c r="CE33" s="20"/>
      <c r="CF33" s="20"/>
      <c r="CG33" s="20"/>
      <c r="CH33" s="20"/>
      <c r="CI33" s="20"/>
      <c r="CJ33" s="20"/>
    </row>
    <row r="34" spans="1:88" ht="22.5" customHeight="1">
      <c r="A34" s="20"/>
      <c r="B34" s="170"/>
      <c r="C34" s="170"/>
      <c r="D34" s="170"/>
      <c r="E34" s="170"/>
      <c r="F34" s="170" t="s">
        <v>44</v>
      </c>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c r="BS34" s="170"/>
      <c r="BT34" s="170" t="s">
        <v>725</v>
      </c>
      <c r="BU34" s="170" t="s">
        <v>726</v>
      </c>
      <c r="BV34" s="170"/>
      <c r="BW34" s="170"/>
      <c r="BX34" s="170"/>
      <c r="BY34" s="170"/>
      <c r="BZ34" s="170"/>
      <c r="CA34" s="20"/>
      <c r="CB34" s="20"/>
      <c r="CC34" s="20"/>
      <c r="CD34" s="20"/>
      <c r="CE34" s="20"/>
      <c r="CF34" s="20"/>
      <c r="CG34" s="20"/>
      <c r="CH34" s="20"/>
      <c r="CI34" s="20"/>
      <c r="CJ34" s="20"/>
    </row>
    <row r="35" spans="1:88">
      <c r="A35" s="20"/>
      <c r="B35" s="170"/>
      <c r="C35" s="170"/>
      <c r="D35" s="170"/>
      <c r="E35" s="170"/>
      <c r="F35" s="170" t="s">
        <v>43</v>
      </c>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c r="BS35" s="170"/>
      <c r="BT35" s="170" t="s">
        <v>727</v>
      </c>
      <c r="BU35" s="170" t="s">
        <v>728</v>
      </c>
      <c r="BV35" s="170"/>
      <c r="BW35" s="170"/>
      <c r="BX35" s="170"/>
      <c r="BY35" s="170"/>
      <c r="BZ35" s="170"/>
      <c r="CA35" s="20"/>
      <c r="CB35" s="20"/>
      <c r="CC35" s="20"/>
      <c r="CD35" s="20"/>
      <c r="CE35" s="20"/>
      <c r="CF35" s="20"/>
      <c r="CG35" s="20"/>
      <c r="CH35" s="20"/>
      <c r="CI35" s="20"/>
      <c r="CJ35" s="20"/>
    </row>
    <row r="36" spans="1:88" ht="22.5" customHeight="1">
      <c r="A36" s="20"/>
      <c r="B36" s="170"/>
      <c r="C36" s="170"/>
      <c r="D36" s="170"/>
      <c r="E36" s="170"/>
      <c r="F36" s="170" t="s">
        <v>42</v>
      </c>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70"/>
      <c r="BT36" s="170" t="s">
        <v>725</v>
      </c>
      <c r="BU36" s="170" t="s">
        <v>726</v>
      </c>
      <c r="BV36" s="170"/>
      <c r="BW36" s="170"/>
      <c r="BX36" s="170"/>
      <c r="BY36" s="170"/>
      <c r="BZ36" s="170"/>
      <c r="CA36" s="20"/>
      <c r="CB36" s="20"/>
      <c r="CC36" s="20"/>
      <c r="CD36" s="20"/>
      <c r="CE36" s="20"/>
      <c r="CF36" s="20"/>
      <c r="CG36" s="20"/>
      <c r="CH36" s="20"/>
      <c r="CI36" s="20"/>
      <c r="CJ36" s="20"/>
    </row>
    <row r="37" spans="1:88">
      <c r="A37" s="20"/>
      <c r="B37" s="170"/>
      <c r="C37" s="170"/>
      <c r="D37" s="170"/>
      <c r="E37" s="170"/>
      <c r="F37" s="170" t="s">
        <v>45</v>
      </c>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c r="BS37" s="170"/>
      <c r="BT37" s="170" t="s">
        <v>727</v>
      </c>
      <c r="BU37" s="170" t="s">
        <v>728</v>
      </c>
      <c r="BV37" s="170"/>
      <c r="BW37" s="170"/>
      <c r="BX37" s="170"/>
      <c r="BY37" s="170"/>
      <c r="BZ37" s="170"/>
      <c r="CA37" s="20"/>
      <c r="CB37" s="20"/>
      <c r="CC37" s="20"/>
      <c r="CD37" s="20"/>
      <c r="CE37" s="20"/>
      <c r="CF37" s="20"/>
      <c r="CG37" s="20"/>
      <c r="CH37" s="20"/>
      <c r="CI37" s="20"/>
      <c r="CJ37" s="20"/>
    </row>
    <row r="38" spans="1:88">
      <c r="A38" s="20"/>
      <c r="B38" s="170"/>
      <c r="C38" s="170"/>
      <c r="D38" s="170"/>
      <c r="E38" s="170"/>
      <c r="F38" s="170" t="s">
        <v>43</v>
      </c>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c r="BS38" s="170"/>
      <c r="BT38" s="170" t="s">
        <v>727</v>
      </c>
      <c r="BU38" s="170" t="s">
        <v>728</v>
      </c>
      <c r="BV38" s="170"/>
      <c r="BW38" s="170"/>
      <c r="BX38" s="170"/>
      <c r="BY38" s="170"/>
      <c r="BZ38" s="170"/>
      <c r="CA38" s="20"/>
      <c r="CB38" s="20"/>
      <c r="CC38" s="20"/>
      <c r="CD38" s="20"/>
      <c r="CE38" s="20"/>
      <c r="CF38" s="20"/>
      <c r="CG38" s="20"/>
      <c r="CH38" s="20"/>
      <c r="CI38" s="20"/>
      <c r="CJ38" s="20"/>
    </row>
    <row r="39" spans="1:88">
      <c r="A39" s="20"/>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c r="BS39" s="170"/>
      <c r="BT39" s="170" t="s">
        <v>729</v>
      </c>
      <c r="BU39" s="170" t="s">
        <v>730</v>
      </c>
      <c r="BV39" s="170"/>
      <c r="BW39" s="170"/>
      <c r="BX39" s="170"/>
      <c r="BY39" s="170"/>
      <c r="BZ39" s="170"/>
      <c r="CA39" s="20"/>
      <c r="CB39" s="20"/>
      <c r="CC39" s="20"/>
      <c r="CD39" s="20"/>
      <c r="CE39" s="20"/>
      <c r="CF39" s="20"/>
      <c r="CG39" s="20"/>
      <c r="CH39" s="20"/>
      <c r="CI39" s="20"/>
      <c r="CJ39" s="20"/>
    </row>
    <row r="40" spans="1:88">
      <c r="A40" s="20"/>
      <c r="B40" s="170"/>
      <c r="C40" s="170"/>
      <c r="D40" s="432" t="s">
        <v>1283</v>
      </c>
      <c r="E40" s="445" t="s">
        <v>1284</v>
      </c>
      <c r="F40" s="445" t="s">
        <v>1285</v>
      </c>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c r="BS40" s="170"/>
      <c r="BT40" s="170" t="s">
        <v>731</v>
      </c>
      <c r="BU40" s="170" t="s">
        <v>732</v>
      </c>
      <c r="BV40" s="170"/>
      <c r="BW40" s="170"/>
      <c r="BX40" s="170"/>
      <c r="BY40" s="170"/>
      <c r="BZ40" s="170"/>
      <c r="CA40" s="20"/>
      <c r="CB40" s="20"/>
      <c r="CC40" s="20"/>
      <c r="CD40" s="20"/>
      <c r="CE40" s="20"/>
      <c r="CF40" s="20"/>
      <c r="CG40" s="20"/>
      <c r="CH40" s="20"/>
      <c r="CI40" s="20"/>
      <c r="CJ40" s="20"/>
    </row>
    <row r="41" spans="1:88">
      <c r="A41" s="20"/>
      <c r="B41" s="170"/>
      <c r="C41" s="170"/>
      <c r="D41" s="434" t="s">
        <v>1286</v>
      </c>
      <c r="E41" s="435" t="s">
        <v>1287</v>
      </c>
      <c r="F41" s="435" t="s">
        <v>1288</v>
      </c>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c r="BS41" s="170"/>
      <c r="BT41" s="170" t="s">
        <v>733</v>
      </c>
      <c r="BU41" s="170" t="s">
        <v>734</v>
      </c>
      <c r="BV41" s="170"/>
      <c r="BW41" s="170"/>
      <c r="BX41" s="170"/>
      <c r="BY41" s="170"/>
      <c r="BZ41" s="170"/>
      <c r="CA41" s="20"/>
      <c r="CB41" s="20"/>
      <c r="CC41" s="20"/>
      <c r="CD41" s="20"/>
      <c r="CE41" s="20"/>
      <c r="CF41" s="20"/>
      <c r="CG41" s="20"/>
      <c r="CH41" s="20"/>
      <c r="CI41" s="20"/>
      <c r="CJ41" s="20"/>
    </row>
    <row r="42" spans="1:88">
      <c r="A42" s="20"/>
      <c r="B42" s="170"/>
      <c r="C42" s="170"/>
      <c r="D42" s="434" t="s">
        <v>1289</v>
      </c>
      <c r="E42" s="435" t="s">
        <v>1290</v>
      </c>
      <c r="F42" s="435">
        <v>4111</v>
      </c>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70"/>
      <c r="BT42" s="170" t="s">
        <v>735</v>
      </c>
      <c r="BU42" s="170"/>
      <c r="BV42" s="170"/>
      <c r="BW42" s="170"/>
      <c r="BX42" s="170"/>
      <c r="BY42" s="170"/>
      <c r="BZ42" s="170"/>
      <c r="CA42" s="20"/>
      <c r="CB42" s="20"/>
      <c r="CC42" s="20"/>
      <c r="CD42" s="20"/>
      <c r="CE42" s="20"/>
      <c r="CF42" s="20"/>
      <c r="CG42" s="20"/>
      <c r="CH42" s="20"/>
      <c r="CI42" s="20"/>
      <c r="CJ42" s="20"/>
    </row>
    <row r="43" spans="1:88">
      <c r="A43" s="20"/>
      <c r="B43" s="170"/>
      <c r="C43" s="170"/>
      <c r="D43" s="434" t="s">
        <v>1291</v>
      </c>
      <c r="E43" s="435" t="s">
        <v>1292</v>
      </c>
      <c r="F43" s="436" t="s">
        <v>1293</v>
      </c>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c r="BS43" s="170"/>
      <c r="BT43" s="170" t="s">
        <v>736</v>
      </c>
      <c r="BU43" s="170"/>
      <c r="BV43" s="170"/>
      <c r="BW43" s="170"/>
      <c r="BX43" s="170"/>
      <c r="BY43" s="170"/>
      <c r="BZ43" s="170"/>
      <c r="CA43" s="20"/>
      <c r="CB43" s="20"/>
      <c r="CC43" s="20"/>
      <c r="CD43" s="20"/>
      <c r="CE43" s="20"/>
      <c r="CF43" s="20"/>
      <c r="CG43" s="20"/>
      <c r="CH43" s="20"/>
      <c r="CI43" s="20"/>
      <c r="CJ43" s="20"/>
    </row>
    <row r="44" spans="1:88">
      <c r="A44" s="20"/>
      <c r="B44" s="170"/>
      <c r="C44" s="170"/>
      <c r="D44" s="434" t="s">
        <v>1294</v>
      </c>
      <c r="E44" s="435" t="s">
        <v>1287</v>
      </c>
      <c r="F44" s="435">
        <v>50200</v>
      </c>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c r="BS44" s="170"/>
      <c r="BT44" s="170" t="s">
        <v>737</v>
      </c>
      <c r="BU44" s="170"/>
      <c r="BV44" s="170"/>
      <c r="BW44" s="170"/>
      <c r="BX44" s="170"/>
      <c r="BY44" s="170"/>
      <c r="BZ44" s="170"/>
      <c r="CA44" s="20"/>
      <c r="CB44" s="20"/>
      <c r="CC44" s="20"/>
      <c r="CD44" s="20"/>
      <c r="CE44" s="20"/>
      <c r="CF44" s="20"/>
      <c r="CG44" s="20"/>
      <c r="CH44" s="20"/>
      <c r="CI44" s="20"/>
      <c r="CJ44" s="20"/>
    </row>
    <row r="45" spans="1:88">
      <c r="A45" s="20"/>
      <c r="B45" s="170"/>
      <c r="C45" s="170"/>
      <c r="D45" s="434" t="s">
        <v>1295</v>
      </c>
      <c r="E45" s="435" t="s">
        <v>1290</v>
      </c>
      <c r="F45" s="435">
        <v>5457</v>
      </c>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c r="BS45" s="170"/>
      <c r="BT45" s="170" t="s">
        <v>738</v>
      </c>
      <c r="BU45" s="170"/>
      <c r="BV45" s="170"/>
      <c r="BW45" s="170"/>
      <c r="BX45" s="170"/>
      <c r="BY45" s="170"/>
      <c r="BZ45" s="170"/>
      <c r="CA45" s="20"/>
      <c r="CB45" s="20"/>
      <c r="CC45" s="20"/>
      <c r="CD45" s="20"/>
      <c r="CE45" s="20"/>
      <c r="CF45" s="20"/>
      <c r="CG45" s="20"/>
      <c r="CH45" s="20"/>
      <c r="CI45" s="20"/>
      <c r="CJ45" s="20"/>
    </row>
    <row r="46" spans="1:88">
      <c r="A46" s="20"/>
      <c r="B46" s="170"/>
      <c r="C46" s="170"/>
      <c r="D46" s="434" t="s">
        <v>1296</v>
      </c>
      <c r="E46" s="435" t="s">
        <v>1290</v>
      </c>
      <c r="F46" s="435">
        <v>5628</v>
      </c>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c r="BS46" s="170"/>
      <c r="BT46" s="170" t="s">
        <v>739</v>
      </c>
      <c r="BU46" s="170"/>
      <c r="BV46" s="170"/>
      <c r="BW46" s="170"/>
      <c r="BX46" s="170"/>
      <c r="BY46" s="170"/>
      <c r="BZ46" s="170"/>
      <c r="CA46" s="20"/>
      <c r="CB46" s="20"/>
      <c r="CC46" s="20"/>
      <c r="CD46" s="20"/>
      <c r="CE46" s="20"/>
      <c r="CF46" s="20"/>
      <c r="CG46" s="20"/>
      <c r="CH46" s="20"/>
      <c r="CI46" s="20"/>
      <c r="CJ46" s="20"/>
    </row>
    <row r="47" spans="1:88">
      <c r="A47" s="20"/>
      <c r="B47" s="170"/>
      <c r="C47" s="170"/>
      <c r="D47" s="434" t="s">
        <v>1297</v>
      </c>
      <c r="E47" s="435" t="s">
        <v>1287</v>
      </c>
      <c r="F47" s="435">
        <v>168932</v>
      </c>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t="s">
        <v>740</v>
      </c>
      <c r="BU47" s="170"/>
      <c r="BV47" s="170"/>
      <c r="BW47" s="170"/>
      <c r="BX47" s="170"/>
      <c r="BY47" s="170"/>
      <c r="BZ47" s="170"/>
      <c r="CA47" s="20"/>
      <c r="CB47" s="20"/>
      <c r="CC47" s="20"/>
      <c r="CD47" s="20"/>
      <c r="CE47" s="20"/>
      <c r="CF47" s="20"/>
      <c r="CG47" s="20"/>
      <c r="CH47" s="20"/>
      <c r="CI47" s="20"/>
      <c r="CJ47" s="20"/>
    </row>
    <row r="48" spans="1:88">
      <c r="A48" s="20"/>
      <c r="B48" s="170"/>
      <c r="C48" s="170"/>
      <c r="D48" s="434" t="s">
        <v>1310</v>
      </c>
      <c r="E48" s="435" t="s">
        <v>1287</v>
      </c>
      <c r="F48" s="435">
        <v>24764</v>
      </c>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0"/>
      <c r="BK48" s="170"/>
      <c r="BL48" s="170"/>
      <c r="BM48" s="170"/>
      <c r="BN48" s="170"/>
      <c r="BO48" s="170"/>
      <c r="BP48" s="170"/>
      <c r="BQ48" s="170"/>
      <c r="BR48" s="170"/>
      <c r="BS48" s="170"/>
      <c r="BT48" s="170" t="s">
        <v>741</v>
      </c>
      <c r="BU48" s="170"/>
      <c r="BV48" s="170"/>
      <c r="BW48" s="170"/>
      <c r="BX48" s="170"/>
      <c r="BY48" s="170"/>
      <c r="BZ48" s="170"/>
      <c r="CA48" s="20"/>
      <c r="CB48" s="20"/>
      <c r="CC48" s="20"/>
      <c r="CD48" s="20"/>
      <c r="CE48" s="20"/>
      <c r="CF48" s="20"/>
      <c r="CG48" s="20"/>
      <c r="CH48" s="20"/>
      <c r="CI48" s="20"/>
      <c r="CJ48" s="20"/>
    </row>
    <row r="49" spans="1:88">
      <c r="A49" s="20"/>
      <c r="B49" s="170"/>
      <c r="C49" s="170"/>
      <c r="D49" s="434" t="s">
        <v>1316</v>
      </c>
      <c r="E49" s="435" t="s">
        <v>1290</v>
      </c>
      <c r="F49" s="435" t="s">
        <v>1317</v>
      </c>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c r="BE49" s="170"/>
      <c r="BF49" s="170"/>
      <c r="BG49" s="170"/>
      <c r="BH49" s="170"/>
      <c r="BI49" s="170"/>
      <c r="BJ49" s="170"/>
      <c r="BK49" s="170"/>
      <c r="BL49" s="170"/>
      <c r="BM49" s="170"/>
      <c r="BN49" s="170"/>
      <c r="BO49" s="170"/>
      <c r="BP49" s="170"/>
      <c r="BQ49" s="170"/>
      <c r="BR49" s="170"/>
      <c r="BS49" s="170"/>
      <c r="BT49" s="170" t="s">
        <v>742</v>
      </c>
      <c r="BU49" s="170"/>
      <c r="BV49" s="170"/>
      <c r="BW49" s="170"/>
      <c r="BX49" s="170"/>
      <c r="BY49" s="170"/>
      <c r="BZ49" s="170"/>
      <c r="CA49" s="20"/>
      <c r="CB49" s="20"/>
      <c r="CC49" s="20"/>
      <c r="CD49" s="20"/>
      <c r="CE49" s="20"/>
      <c r="CF49" s="20"/>
      <c r="CG49" s="20"/>
      <c r="CH49" s="20"/>
      <c r="CI49" s="20"/>
      <c r="CJ49" s="20"/>
    </row>
    <row r="50" spans="1:88">
      <c r="A50" s="20"/>
      <c r="B50" s="170"/>
      <c r="C50" s="170"/>
      <c r="D50" s="434" t="s">
        <v>1298</v>
      </c>
      <c r="E50" s="435" t="s">
        <v>1290</v>
      </c>
      <c r="F50" s="435"/>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c r="BS50" s="170"/>
      <c r="BT50" s="170" t="s">
        <v>743</v>
      </c>
      <c r="BU50" s="170"/>
      <c r="BV50" s="170"/>
      <c r="BW50" s="170"/>
      <c r="BX50" s="170"/>
      <c r="BY50" s="170"/>
      <c r="BZ50" s="170"/>
      <c r="CA50" s="20"/>
      <c r="CB50" s="20"/>
      <c r="CC50" s="20"/>
      <c r="CD50" s="20"/>
      <c r="CE50" s="20"/>
      <c r="CF50" s="20"/>
      <c r="CG50" s="20"/>
      <c r="CH50" s="20"/>
      <c r="CI50" s="20"/>
      <c r="CJ50" s="20"/>
    </row>
    <row r="51" spans="1:88">
      <c r="A51" s="20"/>
      <c r="B51" s="170"/>
      <c r="C51" s="170"/>
      <c r="D51" s="434" t="s">
        <v>1299</v>
      </c>
      <c r="E51" s="435" t="s">
        <v>1292</v>
      </c>
      <c r="F51" s="435"/>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c r="BS51" s="170"/>
      <c r="BT51" s="170" t="s">
        <v>744</v>
      </c>
      <c r="BU51" s="170"/>
      <c r="BV51" s="170"/>
      <c r="BW51" s="170"/>
      <c r="BX51" s="170"/>
      <c r="BY51" s="170"/>
      <c r="BZ51" s="170"/>
      <c r="CA51" s="20"/>
      <c r="CB51" s="20"/>
      <c r="CC51" s="20"/>
      <c r="CD51" s="20"/>
      <c r="CE51" s="20"/>
      <c r="CF51" s="20"/>
      <c r="CG51" s="20"/>
      <c r="CH51" s="20"/>
      <c r="CI51" s="20"/>
      <c r="CJ51" s="20"/>
    </row>
    <row r="52" spans="1:88">
      <c r="A52" s="20"/>
      <c r="B52" s="170"/>
      <c r="C52" s="170"/>
      <c r="D52" s="434" t="s">
        <v>1300</v>
      </c>
      <c r="E52" s="435" t="s">
        <v>1290</v>
      </c>
      <c r="F52" s="435"/>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0"/>
      <c r="BK52" s="170"/>
      <c r="BL52" s="170"/>
      <c r="BM52" s="170"/>
      <c r="BN52" s="170"/>
      <c r="BO52" s="170"/>
      <c r="BP52" s="170"/>
      <c r="BQ52" s="170"/>
      <c r="BR52" s="170"/>
      <c r="BS52" s="170"/>
      <c r="BT52" s="170" t="s">
        <v>745</v>
      </c>
      <c r="BU52" s="170"/>
      <c r="BV52" s="170"/>
      <c r="BW52" s="170"/>
      <c r="BX52" s="170"/>
      <c r="BY52" s="170"/>
      <c r="BZ52" s="170"/>
      <c r="CA52" s="20"/>
      <c r="CB52" s="20"/>
      <c r="CC52" s="20"/>
      <c r="CD52" s="20"/>
      <c r="CE52" s="20"/>
      <c r="CF52" s="20"/>
      <c r="CG52" s="20"/>
      <c r="CH52" s="20"/>
      <c r="CI52" s="20"/>
      <c r="CJ52" s="20"/>
    </row>
    <row r="53" spans="1:88">
      <c r="A53" s="20"/>
      <c r="B53" s="170"/>
      <c r="C53" s="170"/>
      <c r="D53" s="434" t="s">
        <v>1313</v>
      </c>
      <c r="E53" s="435" t="s">
        <v>1292</v>
      </c>
      <c r="F53" s="435"/>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0"/>
      <c r="BK53" s="170"/>
      <c r="BL53" s="170"/>
      <c r="BM53" s="170"/>
      <c r="BN53" s="170"/>
      <c r="BO53" s="170"/>
      <c r="BP53" s="170"/>
      <c r="BQ53" s="170"/>
      <c r="BR53" s="170"/>
      <c r="BS53" s="170"/>
      <c r="BT53" s="170"/>
      <c r="BU53" s="170"/>
      <c r="BV53" s="170"/>
      <c r="BW53" s="170"/>
      <c r="BX53" s="170"/>
      <c r="BY53" s="170"/>
      <c r="BZ53" s="170"/>
      <c r="CA53" s="20"/>
      <c r="CB53" s="20"/>
      <c r="CC53" s="20"/>
      <c r="CD53" s="20"/>
      <c r="CE53" s="20"/>
      <c r="CF53" s="20"/>
      <c r="CG53" s="20"/>
      <c r="CH53" s="20"/>
      <c r="CI53" s="20"/>
      <c r="CJ53" s="20"/>
    </row>
    <row r="54" spans="1:88">
      <c r="A54" s="20"/>
      <c r="B54" s="170"/>
      <c r="C54" s="170"/>
      <c r="D54" s="434" t="s">
        <v>1302</v>
      </c>
      <c r="E54" s="435" t="s">
        <v>1290</v>
      </c>
      <c r="F54" s="435"/>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0"/>
      <c r="BK54" s="170"/>
      <c r="BL54" s="170"/>
      <c r="BM54" s="170"/>
      <c r="BN54" s="170"/>
      <c r="BO54" s="170"/>
      <c r="BP54" s="170"/>
      <c r="BQ54" s="170"/>
      <c r="BR54" s="170"/>
      <c r="BS54" s="170"/>
      <c r="BT54" s="170"/>
      <c r="BU54" s="170"/>
      <c r="BV54" s="170"/>
      <c r="BW54" s="170"/>
      <c r="BX54" s="170"/>
      <c r="BY54" s="170"/>
      <c r="BZ54" s="170"/>
      <c r="CA54" s="20"/>
      <c r="CB54" s="20"/>
      <c r="CC54" s="20"/>
      <c r="CD54" s="20"/>
      <c r="CE54" s="20"/>
      <c r="CF54" s="20"/>
      <c r="CG54" s="20"/>
      <c r="CH54" s="20"/>
      <c r="CI54" s="20"/>
      <c r="CJ54" s="20"/>
    </row>
    <row r="55" spans="1:88">
      <c r="A55" s="20"/>
      <c r="B55" s="170"/>
      <c r="C55" s="170"/>
      <c r="D55" s="434" t="s">
        <v>1312</v>
      </c>
      <c r="E55" s="435" t="s">
        <v>1287</v>
      </c>
      <c r="F55" s="435"/>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c r="BO55" s="170"/>
      <c r="BP55" s="170"/>
      <c r="BQ55" s="170"/>
      <c r="BR55" s="170"/>
      <c r="BS55" s="170"/>
      <c r="BT55" s="170"/>
      <c r="BU55" s="170"/>
      <c r="BV55" s="170"/>
      <c r="BW55" s="170"/>
      <c r="BX55" s="170"/>
      <c r="BY55" s="170"/>
      <c r="BZ55" s="170"/>
      <c r="CA55" s="20"/>
      <c r="CB55" s="20"/>
      <c r="CC55" s="20"/>
      <c r="CD55" s="20"/>
      <c r="CE55" s="20"/>
      <c r="CF55" s="20"/>
      <c r="CG55" s="20"/>
      <c r="CH55" s="20"/>
      <c r="CI55" s="20"/>
      <c r="CJ55" s="20"/>
    </row>
    <row r="56" spans="1:88">
      <c r="A56" s="20"/>
      <c r="B56" s="170"/>
      <c r="C56" s="170"/>
      <c r="D56" s="434" t="s">
        <v>1318</v>
      </c>
      <c r="E56" s="435" t="s">
        <v>1287</v>
      </c>
      <c r="F56" s="435"/>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70"/>
      <c r="BO56" s="170"/>
      <c r="BP56" s="170"/>
      <c r="BQ56" s="170"/>
      <c r="BR56" s="170"/>
      <c r="BS56" s="170"/>
      <c r="BT56" s="170" t="s">
        <v>749</v>
      </c>
      <c r="BU56" s="170"/>
      <c r="BV56" s="170"/>
      <c r="BW56" s="170"/>
      <c r="BX56" s="170"/>
      <c r="BY56" s="170"/>
      <c r="BZ56" s="170"/>
      <c r="CA56" s="20"/>
      <c r="CB56" s="20"/>
      <c r="CC56" s="20"/>
      <c r="CD56" s="20"/>
      <c r="CE56" s="20"/>
      <c r="CF56" s="20"/>
      <c r="CG56" s="20"/>
      <c r="CH56" s="20"/>
      <c r="CI56" s="20"/>
      <c r="CJ56" s="20"/>
    </row>
    <row r="57" spans="1:88">
      <c r="A57" s="20"/>
      <c r="B57" s="170"/>
      <c r="C57" s="170"/>
      <c r="D57" s="434" t="s">
        <v>1319</v>
      </c>
      <c r="E57" s="435" t="s">
        <v>1287</v>
      </c>
      <c r="F57" s="435"/>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c r="BM57" s="170"/>
      <c r="BN57" s="170"/>
      <c r="BO57" s="170"/>
      <c r="BP57" s="170"/>
      <c r="BQ57" s="170"/>
      <c r="BR57" s="170"/>
      <c r="BS57" s="170"/>
      <c r="BT57" s="170" t="s">
        <v>750</v>
      </c>
      <c r="BU57" s="170"/>
      <c r="BV57" s="170"/>
      <c r="BW57" s="170"/>
      <c r="BX57" s="170"/>
      <c r="BY57" s="170"/>
      <c r="BZ57" s="170"/>
      <c r="CA57" s="20"/>
      <c r="CB57" s="20"/>
      <c r="CC57" s="20"/>
      <c r="CD57" s="20"/>
      <c r="CE57" s="20"/>
      <c r="CF57" s="20"/>
      <c r="CG57" s="20"/>
      <c r="CH57" s="20"/>
      <c r="CI57" s="20"/>
      <c r="CJ57" s="20"/>
    </row>
    <row r="58" spans="1:88">
      <c r="A58" s="20"/>
      <c r="B58" s="170"/>
      <c r="C58" s="170"/>
      <c r="D58" s="434" t="s">
        <v>1320</v>
      </c>
      <c r="E58" s="435" t="s">
        <v>1290</v>
      </c>
      <c r="F58" s="435"/>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c r="BS58" s="170"/>
      <c r="BT58" s="170" t="s">
        <v>751</v>
      </c>
      <c r="BU58" s="170"/>
      <c r="BV58" s="170"/>
      <c r="BW58" s="170"/>
      <c r="BX58" s="170"/>
      <c r="BY58" s="170"/>
      <c r="BZ58" s="170"/>
      <c r="CA58" s="20"/>
      <c r="CB58" s="20"/>
      <c r="CC58" s="20"/>
      <c r="CD58" s="20"/>
      <c r="CE58" s="20"/>
      <c r="CF58" s="20"/>
      <c r="CG58" s="20"/>
      <c r="CH58" s="20"/>
      <c r="CI58" s="20"/>
      <c r="CJ58" s="20"/>
    </row>
    <row r="59" spans="1:88">
      <c r="A59" s="20"/>
      <c r="B59" s="170"/>
      <c r="C59" s="170"/>
      <c r="D59" s="434" t="s">
        <v>1311</v>
      </c>
      <c r="E59" s="435" t="s">
        <v>1292</v>
      </c>
      <c r="F59" s="435"/>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c r="BE59" s="170"/>
      <c r="BF59" s="170"/>
      <c r="BG59" s="170"/>
      <c r="BH59" s="170"/>
      <c r="BI59" s="170"/>
      <c r="BJ59" s="170"/>
      <c r="BK59" s="170"/>
      <c r="BL59" s="170"/>
      <c r="BM59" s="170"/>
      <c r="BN59" s="170"/>
      <c r="BO59" s="170"/>
      <c r="BP59" s="170"/>
      <c r="BQ59" s="170"/>
      <c r="BR59" s="170"/>
      <c r="BS59" s="170"/>
      <c r="BT59" s="170" t="s">
        <v>752</v>
      </c>
      <c r="BU59" s="170"/>
      <c r="BV59" s="170"/>
      <c r="BW59" s="170"/>
      <c r="BX59" s="170"/>
      <c r="BY59" s="170"/>
      <c r="BZ59" s="170"/>
      <c r="CA59" s="20"/>
      <c r="CB59" s="20"/>
      <c r="CC59" s="20"/>
      <c r="CD59" s="20"/>
      <c r="CE59" s="20"/>
      <c r="CF59" s="20"/>
      <c r="CG59" s="20"/>
      <c r="CH59" s="20"/>
      <c r="CI59" s="20"/>
      <c r="CJ59" s="20"/>
    </row>
    <row r="60" spans="1:88">
      <c r="A60" s="20"/>
      <c r="B60" s="170"/>
      <c r="C60" s="170"/>
      <c r="D60" s="434" t="s">
        <v>1321</v>
      </c>
      <c r="E60" s="435"/>
      <c r="F60" s="435"/>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c r="BE60" s="170"/>
      <c r="BF60" s="170"/>
      <c r="BG60" s="170"/>
      <c r="BH60" s="170"/>
      <c r="BI60" s="170"/>
      <c r="BJ60" s="170"/>
      <c r="BK60" s="170"/>
      <c r="BL60" s="170"/>
      <c r="BM60" s="170"/>
      <c r="BN60" s="170"/>
      <c r="BO60" s="170"/>
      <c r="BP60" s="170"/>
      <c r="BQ60" s="170"/>
      <c r="BR60" s="170"/>
      <c r="BS60" s="170"/>
      <c r="BT60" s="170" t="s">
        <v>753</v>
      </c>
      <c r="BU60" s="170"/>
      <c r="BV60" s="170"/>
      <c r="BW60" s="170"/>
      <c r="BX60" s="170"/>
      <c r="BY60" s="170"/>
      <c r="BZ60" s="170"/>
      <c r="CA60" s="20"/>
      <c r="CB60" s="20"/>
      <c r="CC60" s="20"/>
      <c r="CD60" s="20"/>
      <c r="CE60" s="20"/>
      <c r="CF60" s="20"/>
      <c r="CG60" s="20"/>
      <c r="CH60" s="20"/>
      <c r="CI60" s="20"/>
      <c r="CJ60" s="20"/>
    </row>
    <row r="61" spans="1:88">
      <c r="A61" s="20"/>
      <c r="B61" s="170"/>
      <c r="C61" s="170"/>
      <c r="D61" s="434"/>
      <c r="E61" s="435"/>
      <c r="F61" s="435"/>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c r="BE61" s="170"/>
      <c r="BF61" s="170"/>
      <c r="BG61" s="170"/>
      <c r="BH61" s="170"/>
      <c r="BI61" s="170"/>
      <c r="BJ61" s="170"/>
      <c r="BK61" s="170"/>
      <c r="BL61" s="170"/>
      <c r="BM61" s="170"/>
      <c r="BN61" s="170"/>
      <c r="BO61" s="170"/>
      <c r="BP61" s="170"/>
      <c r="BQ61" s="170"/>
      <c r="BR61" s="170"/>
      <c r="BS61" s="170"/>
      <c r="BT61" s="170" t="s">
        <v>754</v>
      </c>
      <c r="BU61" s="170"/>
      <c r="BV61" s="170"/>
      <c r="BW61" s="170"/>
      <c r="BX61" s="170"/>
      <c r="BY61" s="170"/>
      <c r="BZ61" s="170"/>
      <c r="CA61" s="20"/>
      <c r="CB61" s="20"/>
      <c r="CC61" s="20"/>
      <c r="CD61" s="20"/>
      <c r="CE61" s="20"/>
      <c r="CF61" s="20"/>
      <c r="CG61" s="20"/>
      <c r="CH61" s="20"/>
      <c r="CI61" s="20"/>
      <c r="CJ61" s="20"/>
    </row>
    <row r="62" spans="1:88">
      <c r="A62" s="2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c r="BE62" s="170"/>
      <c r="BF62" s="170"/>
      <c r="BG62" s="170"/>
      <c r="BH62" s="170"/>
      <c r="BI62" s="170"/>
      <c r="BJ62" s="170"/>
      <c r="BK62" s="170"/>
      <c r="BL62" s="170"/>
      <c r="BM62" s="170"/>
      <c r="BN62" s="170"/>
      <c r="BO62" s="170"/>
      <c r="BP62" s="170"/>
      <c r="BQ62" s="170"/>
      <c r="BR62" s="170"/>
      <c r="BS62" s="170"/>
      <c r="BT62" s="170" t="s">
        <v>755</v>
      </c>
      <c r="BU62" s="170"/>
      <c r="BV62" s="170"/>
      <c r="BW62" s="170"/>
      <c r="BX62" s="170"/>
      <c r="BY62" s="170"/>
      <c r="BZ62" s="170"/>
      <c r="CA62" s="20"/>
      <c r="CB62" s="20"/>
      <c r="CC62" s="20"/>
      <c r="CD62" s="20"/>
      <c r="CE62" s="20"/>
      <c r="CF62" s="20"/>
      <c r="CG62" s="20"/>
      <c r="CH62" s="20"/>
      <c r="CI62" s="20"/>
      <c r="CJ62" s="20"/>
    </row>
    <row r="63" spans="1:88">
      <c r="A63" s="2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c r="BE63" s="170"/>
      <c r="BF63" s="170"/>
      <c r="BG63" s="170"/>
      <c r="BH63" s="170"/>
      <c r="BI63" s="170"/>
      <c r="BJ63" s="170"/>
      <c r="BK63" s="170"/>
      <c r="BL63" s="170"/>
      <c r="BM63" s="170"/>
      <c r="BN63" s="170"/>
      <c r="BO63" s="170"/>
      <c r="BP63" s="170"/>
      <c r="BQ63" s="170"/>
      <c r="BR63" s="170"/>
      <c r="BS63" s="170"/>
      <c r="BT63" s="170"/>
      <c r="BU63" s="170"/>
      <c r="BV63" s="170"/>
      <c r="BW63" s="170"/>
      <c r="BX63" s="170"/>
      <c r="BY63" s="170"/>
      <c r="BZ63" s="170"/>
      <c r="CA63" s="20"/>
      <c r="CB63" s="20"/>
      <c r="CC63" s="20"/>
      <c r="CD63" s="20"/>
      <c r="CE63" s="20"/>
      <c r="CF63" s="20"/>
      <c r="CG63" s="20"/>
      <c r="CH63" s="20"/>
      <c r="CI63" s="20"/>
      <c r="CJ63" s="20"/>
    </row>
    <row r="64" spans="1:88">
      <c r="A64" s="2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70"/>
      <c r="AX64" s="170"/>
      <c r="AY64" s="170"/>
      <c r="AZ64" s="170"/>
      <c r="BA64" s="170"/>
      <c r="BB64" s="170"/>
      <c r="BC64" s="170"/>
      <c r="BD64" s="170"/>
      <c r="BE64" s="170"/>
      <c r="BF64" s="170"/>
      <c r="BG64" s="170"/>
      <c r="BH64" s="170"/>
      <c r="BI64" s="170"/>
      <c r="BJ64" s="170"/>
      <c r="BK64" s="170"/>
      <c r="BL64" s="170"/>
      <c r="BM64" s="170"/>
      <c r="BN64" s="170"/>
      <c r="BO64" s="170"/>
      <c r="BP64" s="170"/>
      <c r="BQ64" s="170"/>
      <c r="BR64" s="170"/>
      <c r="BS64" s="170"/>
      <c r="BT64" s="170"/>
      <c r="BU64" s="170"/>
      <c r="BV64" s="170"/>
      <c r="BW64" s="170"/>
      <c r="BX64" s="170"/>
      <c r="BY64" s="170"/>
      <c r="BZ64" s="170"/>
      <c r="CA64" s="20"/>
      <c r="CB64" s="20"/>
      <c r="CC64" s="20"/>
      <c r="CD64" s="20"/>
      <c r="CE64" s="20"/>
      <c r="CF64" s="20"/>
      <c r="CG64" s="20"/>
      <c r="CH64" s="20"/>
      <c r="CI64" s="20"/>
      <c r="CJ64" s="20"/>
    </row>
    <row r="65" spans="1:88">
      <c r="A65" s="2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c r="BE65" s="170"/>
      <c r="BF65" s="170"/>
      <c r="BG65" s="170"/>
      <c r="BH65" s="170"/>
      <c r="BI65" s="170"/>
      <c r="BJ65" s="170"/>
      <c r="BK65" s="170"/>
      <c r="BL65" s="170"/>
      <c r="BM65" s="170"/>
      <c r="BN65" s="170"/>
      <c r="BO65" s="170"/>
      <c r="BP65" s="170"/>
      <c r="BQ65" s="170"/>
      <c r="BR65" s="170"/>
      <c r="BS65" s="170"/>
      <c r="BT65" s="170"/>
      <c r="BU65" s="170"/>
      <c r="BV65" s="170"/>
      <c r="BW65" s="170"/>
      <c r="BX65" s="170"/>
      <c r="BY65" s="170"/>
      <c r="BZ65" s="170"/>
      <c r="CA65" s="20"/>
      <c r="CB65" s="20"/>
      <c r="CC65" s="20"/>
      <c r="CD65" s="20"/>
      <c r="CE65" s="20"/>
      <c r="CF65" s="20"/>
      <c r="CG65" s="20"/>
      <c r="CH65" s="20"/>
      <c r="CI65" s="20"/>
      <c r="CJ65" s="20"/>
    </row>
    <row r="66" spans="1:88">
      <c r="A66" s="2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c r="BE66" s="170"/>
      <c r="BF66" s="170"/>
      <c r="BG66" s="170"/>
      <c r="BH66" s="170"/>
      <c r="BI66" s="170"/>
      <c r="BJ66" s="170"/>
      <c r="BK66" s="170"/>
      <c r="BL66" s="170"/>
      <c r="BM66" s="170"/>
      <c r="BN66" s="170"/>
      <c r="BO66" s="170"/>
      <c r="BP66" s="170"/>
      <c r="BQ66" s="170"/>
      <c r="BR66" s="170"/>
      <c r="BS66" s="170"/>
      <c r="BT66" s="170"/>
      <c r="BU66" s="170"/>
      <c r="BV66" s="170"/>
      <c r="BW66" s="170"/>
      <c r="BX66" s="170"/>
      <c r="BY66" s="170"/>
      <c r="BZ66" s="170"/>
      <c r="CA66" s="20"/>
      <c r="CB66" s="20"/>
      <c r="CC66" s="20"/>
      <c r="CD66" s="20"/>
      <c r="CE66" s="20"/>
      <c r="CF66" s="20"/>
      <c r="CG66" s="20"/>
      <c r="CH66" s="20"/>
      <c r="CI66" s="20"/>
      <c r="CJ66" s="20"/>
    </row>
    <row r="67" spans="1:88">
      <c r="A67" s="2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c r="BE67" s="170"/>
      <c r="BF67" s="170"/>
      <c r="BG67" s="170"/>
      <c r="BH67" s="170"/>
      <c r="BI67" s="170"/>
      <c r="BJ67" s="170"/>
      <c r="BK67" s="170"/>
      <c r="BL67" s="170"/>
      <c r="BM67" s="170"/>
      <c r="BN67" s="170"/>
      <c r="BO67" s="170"/>
      <c r="BP67" s="170"/>
      <c r="BQ67" s="170"/>
      <c r="BR67" s="170"/>
      <c r="BS67" s="170"/>
      <c r="BT67" s="170"/>
      <c r="BU67" s="170"/>
      <c r="BV67" s="170"/>
      <c r="BW67" s="170"/>
      <c r="BX67" s="170"/>
      <c r="BY67" s="170"/>
      <c r="BZ67" s="170"/>
      <c r="CA67" s="20"/>
      <c r="CB67" s="20"/>
      <c r="CC67" s="20"/>
      <c r="CD67" s="20"/>
      <c r="CE67" s="20"/>
      <c r="CF67" s="20"/>
      <c r="CG67" s="20"/>
      <c r="CH67" s="20"/>
      <c r="CI67" s="20"/>
      <c r="CJ67" s="20"/>
    </row>
    <row r="68" spans="1:88">
      <c r="A68" s="2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c r="BE68" s="170"/>
      <c r="BF68" s="170"/>
      <c r="BG68" s="170"/>
      <c r="BH68" s="170"/>
      <c r="BI68" s="170"/>
      <c r="BJ68" s="170"/>
      <c r="BK68" s="170"/>
      <c r="BL68" s="170"/>
      <c r="BM68" s="170"/>
      <c r="BN68" s="170"/>
      <c r="BO68" s="170"/>
      <c r="BP68" s="170"/>
      <c r="BQ68" s="170"/>
      <c r="BR68" s="170"/>
      <c r="BS68" s="170"/>
      <c r="BT68" s="170"/>
      <c r="BU68" s="170"/>
      <c r="BV68" s="170"/>
      <c r="BW68" s="170"/>
      <c r="BX68" s="170"/>
      <c r="BY68" s="170"/>
      <c r="BZ68" s="170"/>
      <c r="CA68" s="20"/>
      <c r="CB68" s="20"/>
      <c r="CC68" s="20"/>
      <c r="CD68" s="20"/>
      <c r="CE68" s="20"/>
      <c r="CF68" s="20"/>
      <c r="CG68" s="20"/>
      <c r="CH68" s="20"/>
      <c r="CI68" s="20"/>
      <c r="CJ68" s="20"/>
    </row>
    <row r="69" spans="1:88">
      <c r="A69" s="2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c r="BE69" s="170"/>
      <c r="BF69" s="170"/>
      <c r="BG69" s="170"/>
      <c r="BH69" s="170"/>
      <c r="BI69" s="170"/>
      <c r="BJ69" s="170"/>
      <c r="BK69" s="170"/>
      <c r="BL69" s="170"/>
      <c r="BM69" s="170"/>
      <c r="BN69" s="170"/>
      <c r="BO69" s="170"/>
      <c r="BP69" s="170"/>
      <c r="BQ69" s="170"/>
      <c r="BR69" s="170"/>
      <c r="BS69" s="170"/>
      <c r="BT69" s="170"/>
      <c r="BU69" s="170"/>
      <c r="BV69" s="170"/>
      <c r="BW69" s="170"/>
      <c r="BX69" s="170"/>
      <c r="BY69" s="170"/>
      <c r="BZ69" s="170"/>
      <c r="CA69" s="20"/>
      <c r="CB69" s="20"/>
      <c r="CC69" s="20"/>
      <c r="CD69" s="20"/>
      <c r="CE69" s="20"/>
      <c r="CF69" s="20"/>
      <c r="CG69" s="20"/>
      <c r="CH69" s="20"/>
      <c r="CI69" s="20"/>
      <c r="CJ69" s="20"/>
    </row>
    <row r="70" spans="1:88">
      <c r="A70" s="20"/>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c r="BE70" s="170"/>
      <c r="BF70" s="170"/>
      <c r="BG70" s="170"/>
      <c r="BH70" s="170"/>
      <c r="BI70" s="170"/>
      <c r="BJ70" s="170"/>
      <c r="BK70" s="170"/>
      <c r="BL70" s="170"/>
      <c r="BM70" s="170"/>
      <c r="BN70" s="170"/>
      <c r="BO70" s="170"/>
      <c r="BP70" s="170"/>
      <c r="BQ70" s="170"/>
      <c r="BR70" s="170"/>
      <c r="BS70" s="170"/>
      <c r="BT70" s="170"/>
      <c r="BU70" s="170"/>
      <c r="BV70" s="170"/>
      <c r="BW70" s="170"/>
      <c r="BX70" s="170"/>
      <c r="BY70" s="170"/>
      <c r="BZ70" s="170"/>
      <c r="CA70" s="20"/>
      <c r="CB70" s="20"/>
      <c r="CC70" s="20"/>
      <c r="CD70" s="20"/>
      <c r="CE70" s="20"/>
      <c r="CF70" s="20"/>
      <c r="CG70" s="20"/>
      <c r="CH70" s="20"/>
      <c r="CI70" s="20"/>
      <c r="CJ70" s="20"/>
    </row>
    <row r="71" spans="1:88">
      <c r="A71" s="20"/>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c r="AA71" s="170"/>
      <c r="AB71" s="170"/>
      <c r="AC71" s="170"/>
      <c r="AD71" s="170"/>
      <c r="AE71" s="170"/>
      <c r="AF71" s="170"/>
      <c r="AG71" s="170"/>
      <c r="AH71" s="170"/>
      <c r="AI71" s="170"/>
      <c r="AJ71" s="170"/>
      <c r="AK71" s="170"/>
      <c r="AL71" s="170"/>
      <c r="AM71" s="170"/>
      <c r="AN71" s="170"/>
      <c r="AO71" s="170"/>
      <c r="AP71" s="170"/>
      <c r="AQ71" s="170"/>
      <c r="AR71" s="170"/>
      <c r="AS71" s="170"/>
      <c r="AT71" s="170"/>
      <c r="AU71" s="170"/>
      <c r="AV71" s="170"/>
      <c r="AW71" s="170"/>
      <c r="AX71" s="170"/>
      <c r="AY71" s="170"/>
      <c r="AZ71" s="170"/>
      <c r="BA71" s="170"/>
      <c r="BB71" s="170"/>
      <c r="BC71" s="170"/>
      <c r="BD71" s="170"/>
      <c r="BE71" s="170"/>
      <c r="BF71" s="170"/>
      <c r="BG71" s="170"/>
      <c r="BH71" s="170"/>
      <c r="BI71" s="170"/>
      <c r="BJ71" s="170"/>
      <c r="BK71" s="170"/>
      <c r="BL71" s="170"/>
      <c r="BM71" s="170"/>
      <c r="BN71" s="170"/>
      <c r="BO71" s="170"/>
      <c r="BP71" s="170"/>
      <c r="BQ71" s="170"/>
      <c r="BR71" s="170"/>
      <c r="BS71" s="170"/>
      <c r="BT71" s="170"/>
      <c r="BU71" s="170"/>
      <c r="BV71" s="170"/>
      <c r="BW71" s="170"/>
      <c r="BX71" s="170"/>
      <c r="BY71" s="170"/>
      <c r="BZ71" s="170"/>
      <c r="CA71" s="20"/>
      <c r="CB71" s="20"/>
      <c r="CC71" s="20"/>
      <c r="CD71" s="20"/>
      <c r="CE71" s="20"/>
      <c r="CF71" s="20"/>
      <c r="CG71" s="20"/>
      <c r="CH71" s="20"/>
      <c r="CI71" s="20"/>
      <c r="CJ71" s="20"/>
    </row>
    <row r="72" spans="1:88">
      <c r="A72" s="2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c r="AB72" s="170"/>
      <c r="AC72" s="170"/>
      <c r="AD72" s="170"/>
      <c r="AE72" s="170"/>
      <c r="AF72" s="170"/>
      <c r="AG72" s="170"/>
      <c r="AH72" s="170"/>
      <c r="AI72" s="170"/>
      <c r="AJ72" s="170"/>
      <c r="AK72" s="170"/>
      <c r="AL72" s="170"/>
      <c r="AM72" s="170"/>
      <c r="AN72" s="170"/>
      <c r="AO72" s="170"/>
      <c r="AP72" s="170"/>
      <c r="AQ72" s="170"/>
      <c r="AR72" s="170"/>
      <c r="AS72" s="170"/>
      <c r="AT72" s="170"/>
      <c r="AU72" s="170"/>
      <c r="AV72" s="170"/>
      <c r="AW72" s="170"/>
      <c r="AX72" s="170"/>
      <c r="AY72" s="170"/>
      <c r="AZ72" s="170"/>
      <c r="BA72" s="170"/>
      <c r="BB72" s="170"/>
      <c r="BC72" s="170"/>
      <c r="BD72" s="170"/>
      <c r="BE72" s="170"/>
      <c r="BF72" s="170"/>
      <c r="BG72" s="170"/>
      <c r="BH72" s="170"/>
      <c r="BI72" s="170"/>
      <c r="BJ72" s="170"/>
      <c r="BK72" s="170"/>
      <c r="BL72" s="170"/>
      <c r="BM72" s="170"/>
      <c r="BN72" s="170"/>
      <c r="BO72" s="170"/>
      <c r="BP72" s="170"/>
      <c r="BQ72" s="170"/>
      <c r="BR72" s="170"/>
      <c r="BS72" s="170"/>
      <c r="BT72" s="170"/>
      <c r="BU72" s="170"/>
      <c r="BV72" s="170"/>
      <c r="BW72" s="170"/>
      <c r="BX72" s="170"/>
      <c r="BY72" s="170"/>
      <c r="BZ72" s="170"/>
      <c r="CA72" s="20"/>
      <c r="CB72" s="20"/>
      <c r="CC72" s="20"/>
      <c r="CD72" s="20"/>
      <c r="CE72" s="20"/>
      <c r="CF72" s="20"/>
      <c r="CG72" s="20"/>
      <c r="CH72" s="20"/>
      <c r="CI72" s="20"/>
      <c r="CJ72" s="20"/>
    </row>
    <row r="73" spans="1:88">
      <c r="A73" s="20"/>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c r="AA73" s="170"/>
      <c r="AB73" s="170"/>
      <c r="AC73" s="170"/>
      <c r="AD73" s="170"/>
      <c r="AE73" s="170"/>
      <c r="AF73" s="170"/>
      <c r="AG73" s="170"/>
      <c r="AH73" s="170"/>
      <c r="AI73" s="170"/>
      <c r="AJ73" s="170"/>
      <c r="AK73" s="170"/>
      <c r="AL73" s="170"/>
      <c r="AM73" s="170"/>
      <c r="AN73" s="170"/>
      <c r="AO73" s="170"/>
      <c r="AP73" s="170"/>
      <c r="AQ73" s="170"/>
      <c r="AR73" s="170"/>
      <c r="AS73" s="170"/>
      <c r="AT73" s="170"/>
      <c r="AU73" s="170"/>
      <c r="AV73" s="170"/>
      <c r="AW73" s="170"/>
      <c r="AX73" s="170"/>
      <c r="AY73" s="170"/>
      <c r="AZ73" s="170"/>
      <c r="BA73" s="170"/>
      <c r="BB73" s="170"/>
      <c r="BC73" s="170"/>
      <c r="BD73" s="170"/>
      <c r="BE73" s="170"/>
      <c r="BF73" s="170"/>
      <c r="BG73" s="170"/>
      <c r="BH73" s="170"/>
      <c r="BI73" s="170"/>
      <c r="BJ73" s="170"/>
      <c r="BK73" s="170"/>
      <c r="BL73" s="170"/>
      <c r="BM73" s="170"/>
      <c r="BN73" s="170"/>
      <c r="BO73" s="170"/>
      <c r="BP73" s="170"/>
      <c r="BQ73" s="170"/>
      <c r="BR73" s="170"/>
      <c r="BS73" s="170"/>
      <c r="BT73" s="170"/>
      <c r="BU73" s="170"/>
      <c r="BV73" s="170"/>
      <c r="BW73" s="170"/>
      <c r="BX73" s="170"/>
      <c r="BY73" s="170"/>
      <c r="BZ73" s="170"/>
      <c r="CA73" s="20"/>
      <c r="CB73" s="20"/>
      <c r="CC73" s="20"/>
      <c r="CD73" s="20"/>
      <c r="CE73" s="20"/>
      <c r="CF73" s="20"/>
      <c r="CG73" s="20"/>
      <c r="CH73" s="20"/>
      <c r="CI73" s="20"/>
      <c r="CJ73" s="20"/>
    </row>
    <row r="74" spans="1:88">
      <c r="A74" s="20"/>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c r="AA74" s="170"/>
      <c r="AB74" s="170"/>
      <c r="AC74" s="170"/>
      <c r="AD74" s="170"/>
      <c r="AE74" s="170"/>
      <c r="AF74" s="170"/>
      <c r="AG74" s="170"/>
      <c r="AH74" s="170"/>
      <c r="AI74" s="170"/>
      <c r="AJ74" s="170"/>
      <c r="AK74" s="170"/>
      <c r="AL74" s="170"/>
      <c r="AM74" s="170"/>
      <c r="AN74" s="170"/>
      <c r="AO74" s="170"/>
      <c r="AP74" s="170"/>
      <c r="AQ74" s="170"/>
      <c r="AR74" s="170"/>
      <c r="AS74" s="170"/>
      <c r="AT74" s="170"/>
      <c r="AU74" s="170"/>
      <c r="AV74" s="170"/>
      <c r="AW74" s="170"/>
      <c r="AX74" s="170"/>
      <c r="AY74" s="170"/>
      <c r="AZ74" s="170"/>
      <c r="BA74" s="170"/>
      <c r="BB74" s="170"/>
      <c r="BC74" s="170"/>
      <c r="BD74" s="170"/>
      <c r="BE74" s="170"/>
      <c r="BF74" s="170"/>
      <c r="BG74" s="170"/>
      <c r="BH74" s="170"/>
      <c r="BI74" s="170"/>
      <c r="BJ74" s="170"/>
      <c r="BK74" s="170"/>
      <c r="BL74" s="170"/>
      <c r="BM74" s="170"/>
      <c r="BN74" s="170"/>
      <c r="BO74" s="170"/>
      <c r="BP74" s="170"/>
      <c r="BQ74" s="170"/>
      <c r="BR74" s="170"/>
      <c r="BS74" s="170"/>
      <c r="BT74" s="170"/>
      <c r="BU74" s="170"/>
      <c r="BV74" s="170"/>
      <c r="BW74" s="170"/>
      <c r="BX74" s="170"/>
      <c r="BY74" s="170"/>
      <c r="BZ74" s="170"/>
      <c r="CA74" s="20"/>
      <c r="CB74" s="20"/>
      <c r="CC74" s="20"/>
      <c r="CD74" s="20"/>
      <c r="CE74" s="20"/>
      <c r="CF74" s="20"/>
      <c r="CG74" s="20"/>
      <c r="CH74" s="20"/>
      <c r="CI74" s="20"/>
      <c r="CJ74" s="20"/>
    </row>
    <row r="75" spans="1:88">
      <c r="A75" s="20"/>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c r="AA75" s="170"/>
      <c r="AB75" s="170"/>
      <c r="AC75" s="170"/>
      <c r="AD75" s="170"/>
      <c r="AE75" s="170"/>
      <c r="AF75" s="170"/>
      <c r="AG75" s="170"/>
      <c r="AH75" s="170"/>
      <c r="AI75" s="170"/>
      <c r="AJ75" s="170"/>
      <c r="AK75" s="170"/>
      <c r="AL75" s="170"/>
      <c r="AM75" s="170"/>
      <c r="AN75" s="170"/>
      <c r="AO75" s="170"/>
      <c r="AP75" s="170"/>
      <c r="AQ75" s="170"/>
      <c r="AR75" s="170"/>
      <c r="AS75" s="170"/>
      <c r="AT75" s="170"/>
      <c r="AU75" s="170"/>
      <c r="AV75" s="170"/>
      <c r="AW75" s="170"/>
      <c r="AX75" s="170"/>
      <c r="AY75" s="170"/>
      <c r="AZ75" s="170"/>
      <c r="BA75" s="170"/>
      <c r="BB75" s="170"/>
      <c r="BC75" s="170"/>
      <c r="BD75" s="170"/>
      <c r="BE75" s="170"/>
      <c r="BF75" s="170"/>
      <c r="BG75" s="170"/>
      <c r="BH75" s="170"/>
      <c r="BI75" s="170"/>
      <c r="BJ75" s="170"/>
      <c r="BK75" s="170"/>
      <c r="BL75" s="170"/>
      <c r="BM75" s="170"/>
      <c r="BN75" s="170"/>
      <c r="BO75" s="170"/>
      <c r="BP75" s="170"/>
      <c r="BQ75" s="170"/>
      <c r="BR75" s="170"/>
      <c r="BS75" s="170"/>
      <c r="BT75" s="170"/>
      <c r="BU75" s="170"/>
      <c r="BV75" s="170"/>
      <c r="BW75" s="170"/>
      <c r="BX75" s="170"/>
      <c r="BY75" s="170"/>
      <c r="BZ75" s="170"/>
      <c r="CA75" s="20"/>
      <c r="CB75" s="20"/>
      <c r="CC75" s="20"/>
      <c r="CD75" s="20"/>
      <c r="CE75" s="20"/>
      <c r="CF75" s="20"/>
      <c r="CG75" s="20"/>
      <c r="CH75" s="20"/>
      <c r="CI75" s="20"/>
      <c r="CJ75" s="20"/>
    </row>
    <row r="76" spans="1:88">
      <c r="A76" s="20"/>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c r="AA76" s="170"/>
      <c r="AB76" s="170"/>
      <c r="AC76" s="170"/>
      <c r="AD76" s="170"/>
      <c r="AE76" s="170"/>
      <c r="AF76" s="170"/>
      <c r="AG76" s="170"/>
      <c r="AH76" s="170"/>
      <c r="AI76" s="170"/>
      <c r="AJ76" s="170"/>
      <c r="AK76" s="170"/>
      <c r="AL76" s="170"/>
      <c r="AM76" s="170"/>
      <c r="AN76" s="170"/>
      <c r="AO76" s="170"/>
      <c r="AP76" s="170"/>
      <c r="AQ76" s="170"/>
      <c r="AR76" s="170"/>
      <c r="AS76" s="170"/>
      <c r="AT76" s="170"/>
      <c r="AU76" s="170"/>
      <c r="AV76" s="170"/>
      <c r="AW76" s="170"/>
      <c r="AX76" s="170"/>
      <c r="AY76" s="170"/>
      <c r="AZ76" s="170"/>
      <c r="BA76" s="170"/>
      <c r="BB76" s="170"/>
      <c r="BC76" s="170"/>
      <c r="BD76" s="170"/>
      <c r="BE76" s="170"/>
      <c r="BF76" s="170"/>
      <c r="BG76" s="170"/>
      <c r="BH76" s="170"/>
      <c r="BI76" s="170"/>
      <c r="BJ76" s="170"/>
      <c r="BK76" s="170"/>
      <c r="BL76" s="170"/>
      <c r="BM76" s="170"/>
      <c r="BN76" s="170"/>
      <c r="BO76" s="170"/>
      <c r="BP76" s="170"/>
      <c r="BQ76" s="170"/>
      <c r="BR76" s="170"/>
      <c r="BS76" s="170"/>
      <c r="BT76" s="170"/>
      <c r="BU76" s="170"/>
      <c r="BV76" s="170"/>
      <c r="BW76" s="170"/>
      <c r="BX76" s="170"/>
      <c r="BY76" s="170"/>
      <c r="BZ76" s="170"/>
      <c r="CA76" s="20"/>
      <c r="CB76" s="20"/>
      <c r="CC76" s="20"/>
      <c r="CD76" s="20"/>
      <c r="CE76" s="20"/>
      <c r="CF76" s="20"/>
      <c r="CG76" s="20"/>
      <c r="CH76" s="20"/>
      <c r="CI76" s="20"/>
      <c r="CJ76" s="20"/>
    </row>
    <row r="77" spans="1:88">
      <c r="A77" s="20"/>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W77" s="170"/>
      <c r="AX77" s="170"/>
      <c r="AY77" s="170"/>
      <c r="AZ77" s="170"/>
      <c r="BA77" s="170"/>
      <c r="BB77" s="170"/>
      <c r="BC77" s="170"/>
      <c r="BD77" s="170"/>
      <c r="BE77" s="170"/>
      <c r="BF77" s="170"/>
      <c r="BG77" s="170"/>
      <c r="BH77" s="170"/>
      <c r="BI77" s="170"/>
      <c r="BJ77" s="170"/>
      <c r="BK77" s="170"/>
      <c r="BL77" s="170"/>
      <c r="BM77" s="170"/>
      <c r="BN77" s="170"/>
      <c r="BO77" s="170"/>
      <c r="BP77" s="170"/>
      <c r="BQ77" s="170"/>
      <c r="BR77" s="170"/>
      <c r="BS77" s="170"/>
      <c r="BT77" s="170"/>
      <c r="BU77" s="170"/>
      <c r="BV77" s="170"/>
      <c r="BW77" s="170"/>
      <c r="BX77" s="170"/>
      <c r="BY77" s="170"/>
      <c r="BZ77" s="170"/>
      <c r="CA77" s="20"/>
      <c r="CB77" s="20"/>
      <c r="CC77" s="20"/>
      <c r="CD77" s="20"/>
      <c r="CE77" s="20"/>
      <c r="CF77" s="20"/>
      <c r="CG77" s="20"/>
      <c r="CH77" s="20"/>
      <c r="CI77" s="20"/>
      <c r="CJ77" s="20"/>
    </row>
    <row r="78" spans="1:88">
      <c r="A78" s="20"/>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70"/>
      <c r="AN78" s="170"/>
      <c r="AO78" s="170"/>
      <c r="AP78" s="170"/>
      <c r="AQ78" s="170"/>
      <c r="AR78" s="170"/>
      <c r="AS78" s="170"/>
      <c r="AT78" s="170"/>
      <c r="AU78" s="170"/>
      <c r="AV78" s="170"/>
      <c r="AW78" s="170"/>
      <c r="AX78" s="170"/>
      <c r="AY78" s="170"/>
      <c r="AZ78" s="170"/>
      <c r="BA78" s="170"/>
      <c r="BB78" s="170"/>
      <c r="BC78" s="170"/>
      <c r="BD78" s="170"/>
      <c r="BE78" s="170"/>
      <c r="BF78" s="170"/>
      <c r="BG78" s="170"/>
      <c r="BH78" s="170"/>
      <c r="BI78" s="170"/>
      <c r="BJ78" s="170"/>
      <c r="BK78" s="170"/>
      <c r="BL78" s="170"/>
      <c r="BM78" s="170"/>
      <c r="BN78" s="170"/>
      <c r="BO78" s="170"/>
      <c r="BP78" s="170"/>
      <c r="BQ78" s="170"/>
      <c r="BR78" s="170"/>
      <c r="BS78" s="170"/>
      <c r="BT78" s="170"/>
      <c r="BU78" s="170"/>
      <c r="BV78" s="170"/>
      <c r="BW78" s="170"/>
      <c r="BX78" s="170"/>
      <c r="BY78" s="170"/>
      <c r="BZ78" s="170"/>
      <c r="CA78" s="20"/>
      <c r="CB78" s="20"/>
      <c r="CC78" s="20"/>
      <c r="CD78" s="20"/>
      <c r="CE78" s="20"/>
      <c r="CF78" s="20"/>
      <c r="CG78" s="20"/>
      <c r="CH78" s="20"/>
      <c r="CI78" s="20"/>
      <c r="CJ78" s="20"/>
    </row>
    <row r="79" spans="1:88">
      <c r="A79" s="20"/>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70"/>
      <c r="AN79" s="170"/>
      <c r="AO79" s="170"/>
      <c r="AP79" s="170"/>
      <c r="AQ79" s="170"/>
      <c r="AR79" s="170"/>
      <c r="AS79" s="170"/>
      <c r="AT79" s="170"/>
      <c r="AU79" s="170"/>
      <c r="AV79" s="170"/>
      <c r="AW79" s="170"/>
      <c r="AX79" s="170"/>
      <c r="AY79" s="170"/>
      <c r="AZ79" s="170"/>
      <c r="BA79" s="170"/>
      <c r="BB79" s="170"/>
      <c r="BC79" s="170"/>
      <c r="BD79" s="170"/>
      <c r="BE79" s="170"/>
      <c r="BF79" s="170"/>
      <c r="BG79" s="170"/>
      <c r="BH79" s="170"/>
      <c r="BI79" s="170"/>
      <c r="BJ79" s="170"/>
      <c r="BK79" s="170"/>
      <c r="BL79" s="170"/>
      <c r="BM79" s="170"/>
      <c r="BN79" s="170"/>
      <c r="BO79" s="170"/>
      <c r="BP79" s="170"/>
      <c r="BQ79" s="170"/>
      <c r="BR79" s="170"/>
      <c r="BS79" s="170"/>
      <c r="BT79" s="170"/>
      <c r="BU79" s="170"/>
      <c r="BV79" s="170"/>
      <c r="BW79" s="170"/>
      <c r="BX79" s="170"/>
      <c r="BY79" s="170"/>
      <c r="BZ79" s="170"/>
      <c r="CA79" s="20"/>
      <c r="CB79" s="20"/>
      <c r="CC79" s="20"/>
      <c r="CD79" s="20"/>
      <c r="CE79" s="20"/>
      <c r="CF79" s="20"/>
      <c r="CG79" s="20"/>
      <c r="CH79" s="20"/>
      <c r="CI79" s="20"/>
      <c r="CJ79" s="20"/>
    </row>
    <row r="80" spans="1:88">
      <c r="A80" s="20"/>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70"/>
      <c r="AN80" s="170"/>
      <c r="AO80" s="170"/>
      <c r="AP80" s="170"/>
      <c r="AQ80" s="170"/>
      <c r="AR80" s="170"/>
      <c r="AS80" s="170"/>
      <c r="AT80" s="170"/>
      <c r="AU80" s="170"/>
      <c r="AV80" s="170"/>
      <c r="AW80" s="170"/>
      <c r="AX80" s="170"/>
      <c r="AY80" s="170"/>
      <c r="AZ80" s="170"/>
      <c r="BA80" s="170"/>
      <c r="BB80" s="170"/>
      <c r="BC80" s="170"/>
      <c r="BD80" s="170"/>
      <c r="BE80" s="170"/>
      <c r="BF80" s="170"/>
      <c r="BG80" s="170"/>
      <c r="BH80" s="170"/>
      <c r="BI80" s="170"/>
      <c r="BJ80" s="170"/>
      <c r="BK80" s="170"/>
      <c r="BL80" s="170"/>
      <c r="BM80" s="170"/>
      <c r="BN80" s="170"/>
      <c r="BO80" s="170"/>
      <c r="BP80" s="170"/>
      <c r="BQ80" s="170"/>
      <c r="BR80" s="170"/>
      <c r="BS80" s="170"/>
      <c r="BT80" s="170"/>
      <c r="BU80" s="170"/>
      <c r="BV80" s="170"/>
      <c r="BW80" s="170"/>
      <c r="BX80" s="170"/>
      <c r="BY80" s="170"/>
      <c r="BZ80" s="170"/>
      <c r="CA80" s="20"/>
      <c r="CB80" s="20"/>
      <c r="CC80" s="20"/>
      <c r="CD80" s="20"/>
      <c r="CE80" s="20"/>
      <c r="CF80" s="20"/>
      <c r="CG80" s="20"/>
      <c r="CH80" s="20"/>
      <c r="CI80" s="20"/>
      <c r="CJ80" s="20"/>
    </row>
    <row r="81" spans="1:88">
      <c r="A81" s="20"/>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c r="AT81" s="170"/>
      <c r="AU81" s="170"/>
      <c r="AV81" s="170"/>
      <c r="AW81" s="170"/>
      <c r="AX81" s="170"/>
      <c r="AY81" s="170"/>
      <c r="AZ81" s="170"/>
      <c r="BA81" s="170"/>
      <c r="BB81" s="170"/>
      <c r="BC81" s="170"/>
      <c r="BD81" s="170"/>
      <c r="BE81" s="170"/>
      <c r="BF81" s="170"/>
      <c r="BG81" s="170"/>
      <c r="BH81" s="170"/>
      <c r="BI81" s="170"/>
      <c r="BJ81" s="170"/>
      <c r="BK81" s="170"/>
      <c r="BL81" s="170"/>
      <c r="BM81" s="170"/>
      <c r="BN81" s="170"/>
      <c r="BO81" s="170"/>
      <c r="BP81" s="170"/>
      <c r="BQ81" s="170"/>
      <c r="BR81" s="170"/>
      <c r="BS81" s="170"/>
      <c r="BT81" s="170"/>
      <c r="BU81" s="170"/>
      <c r="BV81" s="170"/>
      <c r="BW81" s="170"/>
      <c r="BX81" s="170"/>
      <c r="BY81" s="170"/>
      <c r="BZ81" s="170"/>
      <c r="CA81" s="20"/>
      <c r="CB81" s="20"/>
      <c r="CC81" s="20"/>
      <c r="CD81" s="20"/>
      <c r="CE81" s="20"/>
      <c r="CF81" s="20"/>
      <c r="CG81" s="20"/>
      <c r="CH81" s="20"/>
      <c r="CI81" s="20"/>
      <c r="CJ81" s="20"/>
    </row>
    <row r="82" spans="1:88">
      <c r="A82" s="20"/>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0"/>
      <c r="AH82" s="170"/>
      <c r="AI82" s="170"/>
      <c r="AJ82" s="170"/>
      <c r="AK82" s="170"/>
      <c r="AL82" s="170"/>
      <c r="AM82" s="170"/>
      <c r="AN82" s="170"/>
      <c r="AO82" s="170"/>
      <c r="AP82" s="170"/>
      <c r="AQ82" s="170"/>
      <c r="AR82" s="170"/>
      <c r="AS82" s="170"/>
      <c r="AT82" s="170"/>
      <c r="AU82" s="170"/>
      <c r="AV82" s="170"/>
      <c r="AW82" s="170"/>
      <c r="AX82" s="170"/>
      <c r="AY82" s="170"/>
      <c r="AZ82" s="170"/>
      <c r="BA82" s="170"/>
      <c r="BB82" s="170"/>
      <c r="BC82" s="170"/>
      <c r="BD82" s="170"/>
      <c r="BE82" s="170"/>
      <c r="BF82" s="170"/>
      <c r="BG82" s="170"/>
      <c r="BH82" s="170"/>
      <c r="BI82" s="170"/>
      <c r="BJ82" s="170"/>
      <c r="BK82" s="170"/>
      <c r="BL82" s="170"/>
      <c r="BM82" s="170"/>
      <c r="BN82" s="170"/>
      <c r="BO82" s="170"/>
      <c r="BP82" s="170"/>
      <c r="BQ82" s="170"/>
      <c r="BR82" s="170"/>
      <c r="BS82" s="170"/>
      <c r="BT82" s="170"/>
      <c r="BU82" s="170"/>
      <c r="BV82" s="170"/>
      <c r="BW82" s="170"/>
      <c r="BX82" s="170"/>
      <c r="BY82" s="170"/>
      <c r="BZ82" s="170"/>
      <c r="CA82" s="20"/>
      <c r="CB82" s="20"/>
      <c r="CC82" s="20"/>
      <c r="CD82" s="20"/>
      <c r="CE82" s="20"/>
      <c r="CF82" s="20"/>
      <c r="CG82" s="20"/>
      <c r="CH82" s="20"/>
      <c r="CI82" s="20"/>
      <c r="CJ82" s="20"/>
    </row>
    <row r="83" spans="1:88">
      <c r="A83" s="20"/>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c r="AY83" s="170"/>
      <c r="AZ83" s="170"/>
      <c r="BA83" s="170"/>
      <c r="BB83" s="170"/>
      <c r="BC83" s="170"/>
      <c r="BD83" s="170"/>
      <c r="BE83" s="170"/>
      <c r="BF83" s="170"/>
      <c r="BG83" s="170"/>
      <c r="BH83" s="170"/>
      <c r="BI83" s="170"/>
      <c r="BJ83" s="170"/>
      <c r="BK83" s="170"/>
      <c r="BL83" s="170"/>
      <c r="BM83" s="170"/>
      <c r="BN83" s="170"/>
      <c r="BO83" s="170"/>
      <c r="BP83" s="170"/>
      <c r="BQ83" s="170"/>
      <c r="BR83" s="170"/>
      <c r="BS83" s="170"/>
      <c r="BT83" s="170"/>
      <c r="BU83" s="170"/>
      <c r="BV83" s="170"/>
      <c r="BW83" s="170"/>
      <c r="BX83" s="170"/>
      <c r="BY83" s="170"/>
      <c r="BZ83" s="170"/>
      <c r="CA83" s="20"/>
      <c r="CB83" s="20"/>
      <c r="CC83" s="20"/>
      <c r="CD83" s="20"/>
      <c r="CE83" s="20"/>
      <c r="CF83" s="20"/>
      <c r="CG83" s="20"/>
      <c r="CH83" s="20"/>
      <c r="CI83" s="20"/>
      <c r="CJ83" s="20"/>
    </row>
    <row r="84" spans="1:88">
      <c r="A84" s="20"/>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170"/>
      <c r="BA84" s="170"/>
      <c r="BB84" s="170"/>
      <c r="BC84" s="170"/>
      <c r="BD84" s="170"/>
      <c r="BE84" s="170"/>
      <c r="BF84" s="170"/>
      <c r="BG84" s="170"/>
      <c r="BH84" s="170"/>
      <c r="BI84" s="170"/>
      <c r="BJ84" s="170"/>
      <c r="BK84" s="170"/>
      <c r="BL84" s="170"/>
      <c r="BM84" s="170"/>
      <c r="BN84" s="170"/>
      <c r="BO84" s="170"/>
      <c r="BP84" s="170"/>
      <c r="BQ84" s="170"/>
      <c r="BR84" s="170"/>
      <c r="BS84" s="170"/>
      <c r="BT84" s="170"/>
      <c r="BU84" s="170"/>
      <c r="BV84" s="170"/>
      <c r="BW84" s="170"/>
      <c r="BX84" s="170"/>
      <c r="BY84" s="170"/>
      <c r="BZ84" s="170"/>
      <c r="CA84" s="20"/>
      <c r="CB84" s="20"/>
      <c r="CC84" s="20"/>
      <c r="CD84" s="20"/>
      <c r="CE84" s="20"/>
      <c r="CF84" s="20"/>
      <c r="CG84" s="20"/>
      <c r="CH84" s="20"/>
      <c r="CI84" s="20"/>
      <c r="CJ84" s="20"/>
    </row>
  </sheetData>
  <mergeCells count="5">
    <mergeCell ref="AM2:AO2"/>
    <mergeCell ref="AP2:AR2"/>
    <mergeCell ref="AS2:AU2"/>
    <mergeCell ref="AV2:AY2"/>
    <mergeCell ref="AZ2:BB2"/>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AV33"/>
  <sheetViews>
    <sheetView workbookViewId="0"/>
  </sheetViews>
  <sheetFormatPr baseColWidth="10" defaultRowHeight="15"/>
  <cols>
    <col min="1" max="48" width="1.85546875" customWidth="1"/>
  </cols>
  <sheetData>
    <row r="2" spans="1:48">
      <c r="A2" s="24"/>
      <c r="B2" s="24"/>
      <c r="C2" s="24"/>
      <c r="D2" s="24"/>
      <c r="E2" s="24"/>
      <c r="F2" s="24"/>
      <c r="G2" s="24"/>
      <c r="H2" s="24"/>
      <c r="I2" s="24"/>
      <c r="J2" s="24"/>
      <c r="K2" s="24"/>
      <c r="L2" s="24"/>
      <c r="M2" s="24"/>
      <c r="N2" s="24"/>
      <c r="O2" s="24"/>
      <c r="P2" s="24"/>
      <c r="Q2" s="24"/>
      <c r="R2" s="24"/>
      <c r="S2" s="24"/>
      <c r="T2" s="24"/>
      <c r="U2" s="404"/>
      <c r="V2" s="404"/>
      <c r="W2" s="404"/>
      <c r="X2" s="404"/>
      <c r="Y2" s="24"/>
      <c r="Z2" s="405"/>
      <c r="AA2" s="405"/>
      <c r="AB2" s="405"/>
      <c r="AC2" s="405" t="s">
        <v>815</v>
      </c>
      <c r="AD2" s="24"/>
      <c r="AE2" s="24"/>
      <c r="AF2" s="24"/>
      <c r="AG2" s="24"/>
      <c r="AH2" s="24"/>
      <c r="AI2" s="24"/>
      <c r="AJ2" s="24"/>
      <c r="AK2" s="24"/>
      <c r="AL2" s="24"/>
      <c r="AM2" s="405"/>
      <c r="AN2" s="24"/>
      <c r="AO2" s="406" t="s">
        <v>0</v>
      </c>
      <c r="AP2" s="1940">
        <f>+RESULTADOS!Z12</f>
        <v>0</v>
      </c>
      <c r="AQ2" s="1940"/>
      <c r="AR2" s="1940"/>
      <c r="AS2" s="1940"/>
      <c r="AT2" s="1940"/>
      <c r="AU2" s="1940"/>
      <c r="AV2" s="1940"/>
    </row>
    <row r="3" spans="1:48" ht="11.25" customHeight="1">
      <c r="A3" s="24"/>
      <c r="B3" s="24"/>
      <c r="C3" s="24"/>
      <c r="D3" s="24"/>
      <c r="E3" s="24"/>
      <c r="F3" s="24"/>
      <c r="G3" s="24"/>
      <c r="H3" s="24"/>
      <c r="I3" s="24"/>
      <c r="J3" s="24"/>
      <c r="K3" s="24"/>
      <c r="L3" s="24"/>
      <c r="M3" s="24"/>
      <c r="N3" s="24"/>
      <c r="O3" s="24"/>
      <c r="P3" s="24"/>
      <c r="Q3" s="24"/>
      <c r="R3" s="24"/>
      <c r="S3" s="24"/>
      <c r="T3" s="24"/>
      <c r="U3" s="404"/>
      <c r="V3" s="404"/>
      <c r="W3" s="404"/>
      <c r="X3" s="404"/>
      <c r="Y3" s="24"/>
      <c r="Z3" s="405"/>
      <c r="AA3" s="405"/>
      <c r="AB3" s="405"/>
      <c r="AC3" s="405" t="s">
        <v>1</v>
      </c>
      <c r="AD3" s="24"/>
      <c r="AE3" s="24"/>
      <c r="AF3" s="24"/>
      <c r="AG3" s="24"/>
      <c r="AH3" s="24"/>
      <c r="AI3" s="24"/>
      <c r="AJ3" s="24"/>
      <c r="AK3" s="24"/>
      <c r="AL3" s="24"/>
      <c r="AM3" s="405"/>
      <c r="AN3" s="24"/>
      <c r="AO3" s="406" t="s">
        <v>0</v>
      </c>
      <c r="AP3" s="1940" t="str">
        <f>+RESULTADOS!Z13</f>
        <v>XXXX-26</v>
      </c>
      <c r="AQ3" s="1940"/>
      <c r="AR3" s="1940"/>
      <c r="AS3" s="1940"/>
      <c r="AT3" s="1940"/>
      <c r="AU3" s="1940"/>
      <c r="AV3" s="1940"/>
    </row>
    <row r="4" spans="1:48" ht="11.25" customHeight="1">
      <c r="A4" s="24"/>
      <c r="B4" s="24"/>
      <c r="C4" s="24"/>
      <c r="D4" s="24"/>
      <c r="E4" s="24"/>
      <c r="F4" s="24"/>
      <c r="G4" s="24"/>
      <c r="H4" s="24"/>
      <c r="I4" s="24"/>
      <c r="J4" s="24"/>
      <c r="K4" s="24"/>
      <c r="L4" s="24"/>
      <c r="M4" s="24"/>
      <c r="N4" s="24"/>
      <c r="O4" s="24"/>
      <c r="P4" s="24"/>
      <c r="Q4" s="24"/>
      <c r="R4" s="24"/>
      <c r="S4" s="24"/>
      <c r="T4" s="24"/>
      <c r="U4" s="404"/>
      <c r="V4" s="404"/>
      <c r="W4" s="404"/>
      <c r="X4" s="404"/>
      <c r="Y4" s="24"/>
      <c r="Z4" s="405"/>
      <c r="AA4" s="405"/>
      <c r="AB4" s="405"/>
      <c r="AC4" s="405" t="s">
        <v>52</v>
      </c>
      <c r="AD4" s="24"/>
      <c r="AE4" s="24"/>
      <c r="AF4" s="24"/>
      <c r="AG4" s="24"/>
      <c r="AH4" s="24"/>
      <c r="AI4" s="24"/>
      <c r="AJ4" s="24"/>
      <c r="AK4" s="24"/>
      <c r="AL4" s="24"/>
      <c r="AM4" s="405"/>
      <c r="AN4" s="24"/>
      <c r="AO4" s="406" t="s">
        <v>0</v>
      </c>
      <c r="AP4" s="1941">
        <f>+RESULTADOS!Z14</f>
        <v>0</v>
      </c>
      <c r="AQ4" s="1941"/>
      <c r="AR4" s="1941"/>
      <c r="AS4" s="1941"/>
      <c r="AT4" s="1941"/>
      <c r="AU4" s="1941"/>
      <c r="AV4" s="1941"/>
    </row>
    <row r="5" spans="1:48" ht="11.25" customHeight="1">
      <c r="A5" s="24"/>
      <c r="B5" s="24"/>
      <c r="C5" s="24"/>
      <c r="D5" s="24"/>
      <c r="E5" s="24"/>
      <c r="F5" s="24"/>
      <c r="G5" s="24"/>
      <c r="H5" s="24"/>
      <c r="I5" s="24"/>
      <c r="J5" s="24"/>
      <c r="K5" s="24"/>
      <c r="L5" s="24"/>
      <c r="M5" s="24"/>
      <c r="N5" s="24"/>
      <c r="O5" s="24"/>
      <c r="P5" s="24"/>
      <c r="Q5" s="24"/>
      <c r="R5" s="24"/>
      <c r="S5" s="24"/>
      <c r="T5" s="24"/>
      <c r="U5" s="404"/>
      <c r="V5" s="404"/>
      <c r="W5" s="404"/>
      <c r="X5" s="404"/>
      <c r="Y5" s="24"/>
      <c r="Z5" s="405"/>
      <c r="AA5" s="405"/>
      <c r="AB5" s="405"/>
      <c r="AC5" s="405" t="s">
        <v>816</v>
      </c>
      <c r="AD5" s="24"/>
      <c r="AE5" s="24"/>
      <c r="AF5" s="39"/>
      <c r="AG5" s="39"/>
      <c r="AH5" s="39"/>
      <c r="AI5" s="39"/>
      <c r="AJ5" s="24"/>
      <c r="AK5" s="24"/>
      <c r="AL5" s="24"/>
      <c r="AM5" s="405"/>
      <c r="AN5" s="24"/>
      <c r="AO5" s="406" t="s">
        <v>0</v>
      </c>
      <c r="AP5" s="1941">
        <f>+RESULTADOS!Z15</f>
        <v>365</v>
      </c>
      <c r="AQ5" s="1941"/>
      <c r="AR5" s="1941"/>
      <c r="AS5" s="1941"/>
      <c r="AT5" s="1941"/>
      <c r="AU5" s="1941"/>
      <c r="AV5" s="1941"/>
    </row>
    <row r="6" spans="1:48" ht="7.5" customHeight="1" thickBot="1">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row>
    <row r="7" spans="1:48">
      <c r="A7" s="407" t="s">
        <v>1272</v>
      </c>
      <c r="B7" s="408"/>
      <c r="C7" s="408"/>
      <c r="D7" s="408"/>
      <c r="E7" s="408"/>
      <c r="F7" s="408"/>
      <c r="G7" s="408"/>
      <c r="H7" s="408"/>
      <c r="I7" s="408"/>
      <c r="J7" s="408"/>
      <c r="K7" s="408"/>
      <c r="L7" s="408"/>
      <c r="M7" s="408"/>
      <c r="N7" s="408"/>
      <c r="O7" s="408"/>
      <c r="P7" s="408"/>
      <c r="Q7" s="408"/>
      <c r="R7" s="408"/>
      <c r="S7" s="408"/>
      <c r="T7" s="408"/>
      <c r="U7" s="408"/>
      <c r="V7" s="408"/>
      <c r="W7" s="408"/>
      <c r="X7" s="408"/>
      <c r="Y7" s="408"/>
      <c r="Z7" s="408"/>
      <c r="AA7" s="408"/>
      <c r="AB7" s="408"/>
      <c r="AC7" s="408"/>
      <c r="AD7" s="408"/>
      <c r="AE7" s="408"/>
      <c r="AF7" s="408"/>
      <c r="AG7" s="408"/>
      <c r="AH7" s="408"/>
      <c r="AI7" s="408"/>
      <c r="AJ7" s="408"/>
      <c r="AK7" s="408"/>
      <c r="AL7" s="408"/>
      <c r="AM7" s="408"/>
      <c r="AN7" s="408"/>
      <c r="AO7" s="408"/>
      <c r="AP7" s="408"/>
      <c r="AQ7" s="408"/>
      <c r="AR7" s="408"/>
      <c r="AS7" s="408"/>
      <c r="AT7" s="408"/>
      <c r="AU7" s="408"/>
      <c r="AV7" s="409"/>
    </row>
    <row r="8" spans="1:48">
      <c r="A8" s="410"/>
      <c r="B8" s="411"/>
      <c r="C8" s="411"/>
      <c r="D8" s="411"/>
      <c r="E8" s="411"/>
      <c r="F8" s="411"/>
      <c r="G8" s="411"/>
      <c r="H8" s="411"/>
      <c r="I8" s="411"/>
      <c r="J8" s="411"/>
      <c r="K8" s="411"/>
      <c r="L8" s="411"/>
      <c r="M8" s="411"/>
      <c r="N8" s="411"/>
      <c r="O8" s="411"/>
      <c r="P8" s="411"/>
      <c r="Q8" s="411"/>
      <c r="R8" s="411"/>
      <c r="S8" s="411"/>
      <c r="T8" s="411"/>
      <c r="U8" s="411"/>
      <c r="V8" s="411"/>
      <c r="W8" s="411"/>
      <c r="X8" s="411"/>
      <c r="Y8" s="411"/>
      <c r="Z8" s="411"/>
      <c r="AA8" s="411"/>
      <c r="AB8" s="411"/>
      <c r="AC8" s="411"/>
      <c r="AD8" s="411"/>
      <c r="AE8" s="411"/>
      <c r="AF8" s="411"/>
      <c r="AG8" s="411"/>
      <c r="AH8" s="411"/>
      <c r="AI8" s="411"/>
      <c r="AJ8" s="411"/>
      <c r="AK8" s="411"/>
      <c r="AL8" s="411"/>
      <c r="AM8" s="411"/>
      <c r="AN8" s="411"/>
      <c r="AO8" s="411"/>
      <c r="AP8" s="411"/>
      <c r="AQ8" s="411"/>
      <c r="AR8" s="411"/>
      <c r="AS8" s="411"/>
      <c r="AT8" s="411"/>
      <c r="AU8" s="411"/>
      <c r="AV8" s="412"/>
    </row>
    <row r="9" spans="1:48">
      <c r="A9" s="1942" t="s">
        <v>1273</v>
      </c>
      <c r="B9" s="1943"/>
      <c r="C9" s="1943"/>
      <c r="D9" s="1943"/>
      <c r="E9" s="1943"/>
      <c r="F9" s="1943"/>
      <c r="G9" s="1943"/>
      <c r="H9" s="1943"/>
      <c r="I9" s="1943"/>
      <c r="J9" s="1943"/>
      <c r="K9" s="1943"/>
      <c r="L9" s="1943"/>
      <c r="M9" s="1943"/>
      <c r="N9" s="1943"/>
      <c r="O9" s="1943"/>
      <c r="P9" s="1943"/>
      <c r="Q9" s="1943"/>
      <c r="R9" s="1943"/>
      <c r="S9" s="1943"/>
      <c r="T9" s="1943"/>
      <c r="U9" s="1943"/>
      <c r="V9" s="1943"/>
      <c r="W9" s="1943"/>
      <c r="X9" s="1943"/>
      <c r="Y9" s="1943"/>
      <c r="Z9" s="1943"/>
      <c r="AA9" s="1943"/>
      <c r="AB9" s="1943"/>
      <c r="AC9" s="1943"/>
      <c r="AD9" s="1943"/>
      <c r="AE9" s="1943"/>
      <c r="AF9" s="1943"/>
      <c r="AG9" s="1943"/>
      <c r="AH9" s="1943"/>
      <c r="AI9" s="1943"/>
      <c r="AJ9" s="1943"/>
      <c r="AK9" s="1943"/>
      <c r="AL9" s="1943"/>
      <c r="AM9" s="1943"/>
      <c r="AN9" s="1943"/>
      <c r="AO9" s="1943"/>
      <c r="AP9" s="1943"/>
      <c r="AQ9" s="1943"/>
      <c r="AR9" s="1943"/>
      <c r="AS9" s="1943"/>
      <c r="AT9" s="1943"/>
      <c r="AU9" s="1943"/>
      <c r="AV9" s="1944"/>
    </row>
    <row r="10" spans="1:48">
      <c r="A10" s="1942"/>
      <c r="B10" s="1943"/>
      <c r="C10" s="1943"/>
      <c r="D10" s="1943"/>
      <c r="E10" s="1943"/>
      <c r="F10" s="1943"/>
      <c r="G10" s="1943"/>
      <c r="H10" s="1943"/>
      <c r="I10" s="1943"/>
      <c r="J10" s="1943"/>
      <c r="K10" s="1943"/>
      <c r="L10" s="1943"/>
      <c r="M10" s="1943"/>
      <c r="N10" s="1943"/>
      <c r="O10" s="1943"/>
      <c r="P10" s="1943"/>
      <c r="Q10" s="1943"/>
      <c r="R10" s="1943"/>
      <c r="S10" s="1943"/>
      <c r="T10" s="1943"/>
      <c r="U10" s="1943"/>
      <c r="V10" s="1943"/>
      <c r="W10" s="1943"/>
      <c r="X10" s="1943"/>
      <c r="Y10" s="1943"/>
      <c r="Z10" s="1943"/>
      <c r="AA10" s="1943"/>
      <c r="AB10" s="1943"/>
      <c r="AC10" s="1943"/>
      <c r="AD10" s="1943"/>
      <c r="AE10" s="1943"/>
      <c r="AF10" s="1943"/>
      <c r="AG10" s="1943"/>
      <c r="AH10" s="1943"/>
      <c r="AI10" s="1943"/>
      <c r="AJ10" s="1943"/>
      <c r="AK10" s="1943"/>
      <c r="AL10" s="1943"/>
      <c r="AM10" s="1943"/>
      <c r="AN10" s="1943"/>
      <c r="AO10" s="1943"/>
      <c r="AP10" s="1943"/>
      <c r="AQ10" s="1943"/>
      <c r="AR10" s="1943"/>
      <c r="AS10" s="1943"/>
      <c r="AT10" s="1943"/>
      <c r="AU10" s="1943"/>
      <c r="AV10" s="1944"/>
    </row>
    <row r="11" spans="1:48">
      <c r="A11" s="410"/>
      <c r="B11" s="411"/>
      <c r="C11" s="411"/>
      <c r="D11" s="411"/>
      <c r="E11" s="411"/>
      <c r="F11" s="411"/>
      <c r="G11" s="411"/>
      <c r="H11" s="411"/>
      <c r="I11" s="411"/>
      <c r="J11" s="411"/>
      <c r="K11" s="411"/>
      <c r="L11" s="411"/>
      <c r="M11" s="411"/>
      <c r="N11" s="411"/>
      <c r="O11" s="411"/>
      <c r="P11" s="411"/>
      <c r="Q11" s="411"/>
      <c r="R11" s="411"/>
      <c r="S11" s="411"/>
      <c r="T11" s="411"/>
      <c r="U11" s="411"/>
      <c r="V11" s="411"/>
      <c r="W11" s="411"/>
      <c r="X11" s="411"/>
      <c r="Y11" s="411"/>
      <c r="Z11" s="411"/>
      <c r="AA11" s="411"/>
      <c r="AB11" s="411"/>
      <c r="AC11" s="411"/>
      <c r="AD11" s="411"/>
      <c r="AE11" s="411"/>
      <c r="AF11" s="411"/>
      <c r="AG11" s="411"/>
      <c r="AH11" s="411"/>
      <c r="AI11" s="411"/>
      <c r="AJ11" s="411"/>
      <c r="AK11" s="411"/>
      <c r="AL11" s="411"/>
      <c r="AM11" s="411"/>
      <c r="AN11" s="411"/>
      <c r="AO11" s="411"/>
      <c r="AP11" s="411"/>
      <c r="AQ11" s="411"/>
      <c r="AR11" s="411"/>
      <c r="AS11" s="411"/>
      <c r="AT11" s="411"/>
      <c r="AU11" s="411"/>
      <c r="AV11" s="412"/>
    </row>
    <row r="12" spans="1:48">
      <c r="A12" s="410"/>
      <c r="B12" s="411"/>
      <c r="C12" s="411"/>
      <c r="D12" s="411"/>
      <c r="E12" s="411"/>
      <c r="F12" s="411"/>
      <c r="G12" s="411"/>
      <c r="H12" s="411"/>
      <c r="I12" s="411"/>
      <c r="J12" s="411"/>
      <c r="K12" s="411"/>
      <c r="L12" s="411"/>
      <c r="M12" s="411"/>
      <c r="N12" s="411"/>
      <c r="O12" s="411"/>
      <c r="P12" s="411"/>
      <c r="Q12" s="411"/>
      <c r="R12" s="411"/>
      <c r="S12" s="411"/>
      <c r="T12" s="411"/>
      <c r="U12" s="411"/>
      <c r="V12" s="411"/>
      <c r="W12" s="411"/>
      <c r="X12" s="411"/>
      <c r="Y12" s="411"/>
      <c r="Z12" s="411"/>
      <c r="AA12" s="411"/>
      <c r="AB12" s="411"/>
      <c r="AC12" s="411"/>
      <c r="AD12" s="411"/>
      <c r="AE12" s="411"/>
      <c r="AF12" s="411"/>
      <c r="AG12" s="411"/>
      <c r="AH12" s="411"/>
      <c r="AI12" s="411"/>
      <c r="AJ12" s="411"/>
      <c r="AK12" s="411"/>
      <c r="AL12" s="411"/>
      <c r="AM12" s="411"/>
      <c r="AN12" s="411"/>
      <c r="AO12" s="411"/>
      <c r="AP12" s="411"/>
      <c r="AQ12" s="411"/>
      <c r="AR12" s="411"/>
      <c r="AS12" s="411"/>
      <c r="AT12" s="411"/>
      <c r="AU12" s="411"/>
      <c r="AV12" s="412"/>
    </row>
    <row r="13" spans="1:48" ht="48.75" customHeight="1">
      <c r="A13" s="410"/>
      <c r="B13" s="1939" t="s">
        <v>1324</v>
      </c>
      <c r="C13" s="1939"/>
      <c r="D13" s="1939"/>
      <c r="E13" s="1939"/>
      <c r="F13" s="1939"/>
      <c r="G13" s="1939"/>
      <c r="H13" s="1939"/>
      <c r="I13" s="1939"/>
      <c r="J13" s="1939"/>
      <c r="K13" s="1939"/>
      <c r="L13" s="1939"/>
      <c r="M13" s="1939"/>
      <c r="N13" s="1939"/>
      <c r="O13" s="1939"/>
      <c r="P13" s="1939"/>
      <c r="Q13" s="1939"/>
      <c r="R13" s="1939"/>
      <c r="S13" s="1939"/>
      <c r="T13" s="1939"/>
      <c r="U13" s="1939"/>
      <c r="V13" s="1939"/>
      <c r="W13" s="1939"/>
      <c r="X13" s="1939"/>
      <c r="Y13" s="1939"/>
      <c r="Z13" s="1939"/>
      <c r="AA13" s="1939"/>
      <c r="AB13" s="1939"/>
      <c r="AC13" s="1939"/>
      <c r="AD13" s="1939"/>
      <c r="AE13" s="1939"/>
      <c r="AF13" s="1939"/>
      <c r="AG13" s="1939"/>
      <c r="AH13" s="1939"/>
      <c r="AI13" s="1939"/>
      <c r="AJ13" s="1939"/>
      <c r="AK13" s="1939"/>
      <c r="AL13" s="1939"/>
      <c r="AM13" s="1939"/>
      <c r="AN13" s="1939"/>
      <c r="AO13" s="1939"/>
      <c r="AP13" s="1939"/>
      <c r="AQ13" s="1939"/>
      <c r="AR13" s="1939"/>
      <c r="AS13" s="1939"/>
      <c r="AT13" s="1939"/>
      <c r="AU13" s="1939"/>
      <c r="AV13" s="412"/>
    </row>
    <row r="14" spans="1:48">
      <c r="A14" s="410"/>
      <c r="B14" s="413"/>
      <c r="C14" s="413"/>
      <c r="D14" s="413"/>
      <c r="E14" s="413"/>
      <c r="F14" s="413"/>
      <c r="G14" s="413"/>
      <c r="H14" s="413"/>
      <c r="I14" s="413"/>
      <c r="J14" s="413"/>
      <c r="K14" s="413"/>
      <c r="L14" s="413"/>
      <c r="M14" s="413"/>
      <c r="N14" s="413"/>
      <c r="O14" s="413"/>
      <c r="P14" s="413"/>
      <c r="Q14" s="413"/>
      <c r="R14" s="413"/>
      <c r="S14" s="413"/>
      <c r="T14" s="413"/>
      <c r="U14" s="413"/>
      <c r="V14" s="413"/>
      <c r="W14" s="413"/>
      <c r="X14" s="413"/>
      <c r="Y14" s="413"/>
      <c r="Z14" s="413"/>
      <c r="AA14" s="413"/>
      <c r="AB14" s="413"/>
      <c r="AC14" s="413"/>
      <c r="AD14" s="413"/>
      <c r="AE14" s="413"/>
      <c r="AF14" s="413"/>
      <c r="AG14" s="413"/>
      <c r="AH14" s="413"/>
      <c r="AI14" s="413"/>
      <c r="AJ14" s="413"/>
      <c r="AK14" s="413"/>
      <c r="AL14" s="413"/>
      <c r="AM14" s="413"/>
      <c r="AN14" s="413"/>
      <c r="AO14" s="413"/>
      <c r="AP14" s="413"/>
      <c r="AQ14" s="413"/>
      <c r="AR14" s="413"/>
      <c r="AS14" s="413"/>
      <c r="AT14" s="413"/>
      <c r="AU14" s="413"/>
      <c r="AV14" s="412"/>
    </row>
    <row r="15" spans="1:48">
      <c r="A15" s="414"/>
      <c r="B15" s="415" t="s">
        <v>1274</v>
      </c>
      <c r="C15" s="1949" t="s">
        <v>1275</v>
      </c>
      <c r="D15" s="1949"/>
      <c r="E15" s="1949"/>
      <c r="F15" s="1949"/>
      <c r="G15" s="1949"/>
      <c r="H15" s="1949"/>
      <c r="I15" s="1949"/>
      <c r="J15" s="1949"/>
      <c r="K15" s="1949"/>
      <c r="L15" s="1949"/>
      <c r="M15" s="1949"/>
      <c r="N15" s="1949"/>
      <c r="O15" s="1949"/>
      <c r="P15" s="1949"/>
      <c r="Q15" s="1949"/>
      <c r="R15" s="1949"/>
      <c r="S15" s="1949"/>
      <c r="T15" s="1949"/>
      <c r="U15" s="1949"/>
      <c r="V15" s="1949"/>
      <c r="W15" s="1949"/>
      <c r="X15" s="1949"/>
      <c r="Y15" s="1949"/>
      <c r="Z15" s="1949"/>
      <c r="AA15" s="1949"/>
      <c r="AB15" s="1949"/>
      <c r="AC15" s="1949"/>
      <c r="AD15" s="1949"/>
      <c r="AE15" s="1949"/>
      <c r="AF15" s="1949"/>
      <c r="AG15" s="1949"/>
      <c r="AH15" s="1949"/>
      <c r="AI15" s="1949"/>
      <c r="AJ15" s="1949"/>
      <c r="AK15" s="1949"/>
      <c r="AL15" s="1949"/>
      <c r="AM15" s="1949"/>
      <c r="AN15" s="1949"/>
      <c r="AO15" s="1949"/>
      <c r="AP15" s="1949"/>
      <c r="AQ15" s="1949"/>
      <c r="AR15" s="1949"/>
      <c r="AS15" s="1949"/>
      <c r="AT15" s="1949"/>
      <c r="AU15" s="1949"/>
      <c r="AV15" s="416"/>
    </row>
    <row r="16" spans="1:48" ht="29.25" customHeight="1">
      <c r="A16" s="414"/>
      <c r="B16" s="415" t="s">
        <v>1276</v>
      </c>
      <c r="C16" s="1950" t="s">
        <v>1277</v>
      </c>
      <c r="D16" s="1950"/>
      <c r="E16" s="1950"/>
      <c r="F16" s="1950"/>
      <c r="G16" s="1950"/>
      <c r="H16" s="1950"/>
      <c r="I16" s="1950"/>
      <c r="J16" s="1950"/>
      <c r="K16" s="1950"/>
      <c r="L16" s="1950"/>
      <c r="M16" s="1950"/>
      <c r="N16" s="1950"/>
      <c r="O16" s="1950"/>
      <c r="P16" s="1950"/>
      <c r="Q16" s="1950"/>
      <c r="R16" s="1950"/>
      <c r="S16" s="1950"/>
      <c r="T16" s="1950"/>
      <c r="U16" s="1950"/>
      <c r="V16" s="1950"/>
      <c r="W16" s="1950"/>
      <c r="X16" s="1950"/>
      <c r="Y16" s="1950"/>
      <c r="Z16" s="1950"/>
      <c r="AA16" s="1950"/>
      <c r="AB16" s="1950"/>
      <c r="AC16" s="1950"/>
      <c r="AD16" s="1950"/>
      <c r="AE16" s="1950"/>
      <c r="AF16" s="1950"/>
      <c r="AG16" s="1950"/>
      <c r="AH16" s="1950"/>
      <c r="AI16" s="1950"/>
      <c r="AJ16" s="1950"/>
      <c r="AK16" s="1950"/>
      <c r="AL16" s="1950"/>
      <c r="AM16" s="1950"/>
      <c r="AN16" s="1950"/>
      <c r="AO16" s="1950"/>
      <c r="AP16" s="1950"/>
      <c r="AQ16" s="1950"/>
      <c r="AR16" s="1950"/>
      <c r="AS16" s="1950"/>
      <c r="AT16" s="1950"/>
      <c r="AU16" s="1950"/>
      <c r="AV16" s="416"/>
    </row>
    <row r="17" spans="1:48" ht="48.75" customHeight="1">
      <c r="A17" s="414"/>
      <c r="B17" s="415" t="s">
        <v>1278</v>
      </c>
      <c r="C17" s="1950" t="s">
        <v>1279</v>
      </c>
      <c r="D17" s="1950"/>
      <c r="E17" s="1950"/>
      <c r="F17" s="1950"/>
      <c r="G17" s="1950"/>
      <c r="H17" s="1950"/>
      <c r="I17" s="1950"/>
      <c r="J17" s="1950"/>
      <c r="K17" s="1950"/>
      <c r="L17" s="1950"/>
      <c r="M17" s="1950"/>
      <c r="N17" s="1950"/>
      <c r="O17" s="1950"/>
      <c r="P17" s="1950"/>
      <c r="Q17" s="1950"/>
      <c r="R17" s="1950"/>
      <c r="S17" s="1950"/>
      <c r="T17" s="1950"/>
      <c r="U17" s="1950"/>
      <c r="V17" s="1950"/>
      <c r="W17" s="1950"/>
      <c r="X17" s="1950"/>
      <c r="Y17" s="1950"/>
      <c r="Z17" s="1950"/>
      <c r="AA17" s="1950"/>
      <c r="AB17" s="1950"/>
      <c r="AC17" s="1950"/>
      <c r="AD17" s="1950"/>
      <c r="AE17" s="1950"/>
      <c r="AF17" s="1950"/>
      <c r="AG17" s="1950"/>
      <c r="AH17" s="1950"/>
      <c r="AI17" s="1950"/>
      <c r="AJ17" s="1950"/>
      <c r="AK17" s="1950"/>
      <c r="AL17" s="1950"/>
      <c r="AM17" s="1950"/>
      <c r="AN17" s="1950"/>
      <c r="AO17" s="1950"/>
      <c r="AP17" s="1950"/>
      <c r="AQ17" s="1950"/>
      <c r="AR17" s="1950"/>
      <c r="AS17" s="1950"/>
      <c r="AT17" s="1950"/>
      <c r="AU17" s="1950"/>
      <c r="AV17" s="416"/>
    </row>
    <row r="18" spans="1:48" ht="48.75" customHeight="1">
      <c r="A18" s="414"/>
      <c r="B18" s="417" t="s">
        <v>1280</v>
      </c>
      <c r="C18" s="1950" t="s">
        <v>1394</v>
      </c>
      <c r="D18" s="1950"/>
      <c r="E18" s="1950"/>
      <c r="F18" s="1950"/>
      <c r="G18" s="1950"/>
      <c r="H18" s="1950"/>
      <c r="I18" s="1950"/>
      <c r="J18" s="1950"/>
      <c r="K18" s="1950"/>
      <c r="L18" s="1950"/>
      <c r="M18" s="1950"/>
      <c r="N18" s="1950"/>
      <c r="O18" s="1950"/>
      <c r="P18" s="1950"/>
      <c r="Q18" s="1950"/>
      <c r="R18" s="1950"/>
      <c r="S18" s="1950"/>
      <c r="T18" s="1950"/>
      <c r="U18" s="1950"/>
      <c r="V18" s="1950"/>
      <c r="W18" s="1950"/>
      <c r="X18" s="1950"/>
      <c r="Y18" s="1950"/>
      <c r="Z18" s="1950"/>
      <c r="AA18" s="1950"/>
      <c r="AB18" s="1950"/>
      <c r="AC18" s="1950"/>
      <c r="AD18" s="1950"/>
      <c r="AE18" s="1950"/>
      <c r="AF18" s="1950"/>
      <c r="AG18" s="1950"/>
      <c r="AH18" s="1950"/>
      <c r="AI18" s="1950"/>
      <c r="AJ18" s="1950"/>
      <c r="AK18" s="1950"/>
      <c r="AL18" s="1950"/>
      <c r="AM18" s="1950"/>
      <c r="AN18" s="1950"/>
      <c r="AO18" s="1950"/>
      <c r="AP18" s="1950"/>
      <c r="AQ18" s="1950"/>
      <c r="AR18" s="1950"/>
      <c r="AS18" s="1950"/>
      <c r="AT18" s="1950"/>
      <c r="AU18" s="1950"/>
      <c r="AV18" s="416"/>
    </row>
    <row r="19" spans="1:48">
      <c r="A19" s="410"/>
      <c r="B19" s="418"/>
      <c r="C19" s="419" t="s">
        <v>1281</v>
      </c>
      <c r="D19" s="419"/>
      <c r="E19" s="419"/>
      <c r="F19" s="419"/>
      <c r="G19" s="419"/>
      <c r="H19" s="419"/>
      <c r="I19" s="419"/>
      <c r="J19" s="419"/>
      <c r="K19" s="419"/>
      <c r="L19" s="419"/>
      <c r="M19" s="419"/>
      <c r="N19" s="419"/>
      <c r="O19" s="419"/>
      <c r="P19" s="419"/>
      <c r="Q19" s="419"/>
      <c r="R19" s="419"/>
      <c r="S19" s="419"/>
      <c r="T19" s="419"/>
      <c r="U19" s="419"/>
      <c r="V19" s="419"/>
      <c r="W19" s="419"/>
      <c r="X19" s="419"/>
      <c r="Y19" s="419"/>
      <c r="Z19" s="419"/>
      <c r="AA19" s="419"/>
      <c r="AB19" s="419"/>
      <c r="AC19" s="419"/>
      <c r="AD19" s="419"/>
      <c r="AE19" s="419"/>
      <c r="AF19" s="419"/>
      <c r="AG19" s="419"/>
      <c r="AH19" s="419"/>
      <c r="AI19" s="419"/>
      <c r="AJ19" s="419"/>
      <c r="AK19" s="419"/>
      <c r="AL19" s="419"/>
      <c r="AM19" s="419"/>
      <c r="AN19" s="419"/>
      <c r="AO19" s="419"/>
      <c r="AP19" s="419"/>
      <c r="AQ19" s="419"/>
      <c r="AR19" s="419"/>
      <c r="AS19" s="419"/>
      <c r="AT19" s="419"/>
      <c r="AU19" s="419"/>
      <c r="AV19" s="412"/>
    </row>
    <row r="20" spans="1:48" ht="35.25" customHeight="1">
      <c r="A20" s="410"/>
      <c r="B20" s="413"/>
      <c r="C20" s="1945">
        <f>+'MEM. DESC. I'!J48</f>
        <v>0</v>
      </c>
      <c r="D20" s="1945"/>
      <c r="E20" s="1945"/>
      <c r="F20" s="1945"/>
      <c r="G20" s="1945"/>
      <c r="H20" s="1945"/>
      <c r="I20" s="1945"/>
      <c r="J20" s="1945"/>
      <c r="K20" s="1945"/>
      <c r="L20" s="1945"/>
      <c r="M20" s="1945"/>
      <c r="N20" s="1945"/>
      <c r="O20" s="1945"/>
      <c r="P20" s="1945"/>
      <c r="Q20" s="1945"/>
      <c r="R20" s="1945"/>
      <c r="S20" s="1945"/>
      <c r="T20" s="1945"/>
      <c r="U20" s="1945"/>
      <c r="V20" s="1945"/>
      <c r="W20" s="1945"/>
      <c r="X20" s="1945"/>
      <c r="Y20" s="1945"/>
      <c r="Z20" s="1945"/>
      <c r="AA20" s="1945"/>
      <c r="AB20" s="1945"/>
      <c r="AC20" s="1945"/>
      <c r="AD20" s="1945"/>
      <c r="AE20" s="1945"/>
      <c r="AF20" s="1945"/>
      <c r="AG20" s="1945"/>
      <c r="AH20" s="1945"/>
      <c r="AI20" s="1945"/>
      <c r="AJ20" s="1945"/>
      <c r="AK20" s="1945"/>
      <c r="AL20" s="1945"/>
      <c r="AM20" s="1945"/>
      <c r="AN20" s="1945"/>
      <c r="AO20" s="1945"/>
      <c r="AP20" s="1945"/>
      <c r="AQ20" s="1945"/>
      <c r="AR20" s="1945"/>
      <c r="AS20" s="1945"/>
      <c r="AT20" s="1945"/>
      <c r="AU20" s="1945"/>
      <c r="AV20" s="412"/>
    </row>
    <row r="21" spans="1:48">
      <c r="A21" s="410"/>
      <c r="B21" s="418"/>
      <c r="C21" s="419" t="s">
        <v>1001</v>
      </c>
      <c r="D21" s="419"/>
      <c r="E21" s="419"/>
      <c r="F21" s="419"/>
      <c r="G21" s="419"/>
      <c r="H21" s="419"/>
      <c r="I21" s="419"/>
      <c r="J21" s="419"/>
      <c r="K21" s="419"/>
      <c r="L21" s="419"/>
      <c r="M21" s="419"/>
      <c r="N21" s="419"/>
      <c r="O21" s="419"/>
      <c r="P21" s="419"/>
      <c r="Q21" s="419"/>
      <c r="R21" s="419"/>
      <c r="S21" s="419"/>
      <c r="T21" s="419"/>
      <c r="U21" s="419"/>
      <c r="V21" s="419"/>
      <c r="W21" s="419"/>
      <c r="X21" s="419"/>
      <c r="Y21" s="419"/>
      <c r="Z21" s="419"/>
      <c r="AA21" s="419"/>
      <c r="AB21" s="419"/>
      <c r="AC21" s="419"/>
      <c r="AD21" s="419"/>
      <c r="AE21" s="419"/>
      <c r="AF21" s="419"/>
      <c r="AG21" s="419"/>
      <c r="AH21" s="419"/>
      <c r="AI21" s="419"/>
      <c r="AJ21" s="419"/>
      <c r="AK21" s="419"/>
      <c r="AL21" s="419"/>
      <c r="AM21" s="419"/>
      <c r="AN21" s="419"/>
      <c r="AO21" s="419"/>
      <c r="AP21" s="419"/>
      <c r="AQ21" s="419"/>
      <c r="AR21" s="419"/>
      <c r="AS21" s="419"/>
      <c r="AT21" s="419"/>
      <c r="AU21" s="419"/>
      <c r="AV21" s="412"/>
    </row>
    <row r="22" spans="1:48" ht="40.5" customHeight="1">
      <c r="A22" s="410"/>
      <c r="B22" s="413"/>
      <c r="C22" s="1945" t="str">
        <f>+'MEM. DESC. I'!J51</f>
        <v>No se contó con la documentación correspondiente.</v>
      </c>
      <c r="D22" s="1945"/>
      <c r="E22" s="1945"/>
      <c r="F22" s="1945"/>
      <c r="G22" s="1945"/>
      <c r="H22" s="1945"/>
      <c r="I22" s="1945"/>
      <c r="J22" s="1945"/>
      <c r="K22" s="1945"/>
      <c r="L22" s="1945"/>
      <c r="M22" s="1945"/>
      <c r="N22" s="1945"/>
      <c r="O22" s="1945"/>
      <c r="P22" s="1945"/>
      <c r="Q22" s="1945"/>
      <c r="R22" s="1945"/>
      <c r="S22" s="1945"/>
      <c r="T22" s="1945"/>
      <c r="U22" s="1945"/>
      <c r="V22" s="1945"/>
      <c r="W22" s="1945"/>
      <c r="X22" s="1945"/>
      <c r="Y22" s="1945"/>
      <c r="Z22" s="1945"/>
      <c r="AA22" s="1945"/>
      <c r="AB22" s="1945"/>
      <c r="AC22" s="1945"/>
      <c r="AD22" s="1945"/>
      <c r="AE22" s="1945"/>
      <c r="AF22" s="1945"/>
      <c r="AG22" s="1945"/>
      <c r="AH22" s="1945"/>
      <c r="AI22" s="1945"/>
      <c r="AJ22" s="1945"/>
      <c r="AK22" s="1945"/>
      <c r="AL22" s="1945"/>
      <c r="AM22" s="1945"/>
      <c r="AN22" s="1945"/>
      <c r="AO22" s="1945"/>
      <c r="AP22" s="1945"/>
      <c r="AQ22" s="1945"/>
      <c r="AR22" s="1945"/>
      <c r="AS22" s="1945"/>
      <c r="AT22" s="1945"/>
      <c r="AU22" s="1945"/>
      <c r="AV22" s="412"/>
    </row>
    <row r="23" spans="1:48">
      <c r="A23" s="410"/>
      <c r="B23" s="418"/>
      <c r="C23" s="419" t="s">
        <v>1003</v>
      </c>
      <c r="D23" s="419"/>
      <c r="E23" s="419"/>
      <c r="F23" s="419"/>
      <c r="G23" s="419"/>
      <c r="H23" s="419"/>
      <c r="I23" s="419"/>
      <c r="J23" s="419"/>
      <c r="K23" s="419"/>
      <c r="L23" s="419"/>
      <c r="M23" s="419"/>
      <c r="N23" s="419"/>
      <c r="O23" s="419"/>
      <c r="P23" s="419"/>
      <c r="Q23" s="419"/>
      <c r="R23" s="419"/>
      <c r="S23" s="419"/>
      <c r="T23" s="419"/>
      <c r="U23" s="419"/>
      <c r="V23" s="419"/>
      <c r="W23" s="419"/>
      <c r="X23" s="419"/>
      <c r="Y23" s="419"/>
      <c r="Z23" s="419"/>
      <c r="AA23" s="419"/>
      <c r="AB23" s="419"/>
      <c r="AC23" s="419"/>
      <c r="AD23" s="419"/>
      <c r="AE23" s="419"/>
      <c r="AF23" s="419"/>
      <c r="AG23" s="419"/>
      <c r="AH23" s="419"/>
      <c r="AI23" s="419"/>
      <c r="AJ23" s="419"/>
      <c r="AK23" s="419"/>
      <c r="AL23" s="419"/>
      <c r="AM23" s="419"/>
      <c r="AN23" s="419"/>
      <c r="AO23" s="419"/>
      <c r="AP23" s="419"/>
      <c r="AQ23" s="419"/>
      <c r="AR23" s="419"/>
      <c r="AS23" s="419"/>
      <c r="AT23" s="419"/>
      <c r="AU23" s="419"/>
      <c r="AV23" s="412"/>
    </row>
    <row r="24" spans="1:48" ht="36.75" customHeight="1">
      <c r="A24" s="410"/>
      <c r="B24" s="413"/>
      <c r="C24" s="1945">
        <f>+'MEM. DESC. I'!J54</f>
        <v>0</v>
      </c>
      <c r="D24" s="1945"/>
      <c r="E24" s="1945"/>
      <c r="F24" s="1945"/>
      <c r="G24" s="1945"/>
      <c r="H24" s="1945"/>
      <c r="I24" s="1945"/>
      <c r="J24" s="1945"/>
      <c r="K24" s="1945"/>
      <c r="L24" s="1945"/>
      <c r="M24" s="1945"/>
      <c r="N24" s="1945"/>
      <c r="O24" s="1945"/>
      <c r="P24" s="1945"/>
      <c r="Q24" s="1945"/>
      <c r="R24" s="1945"/>
      <c r="S24" s="1945"/>
      <c r="T24" s="1945"/>
      <c r="U24" s="1945"/>
      <c r="V24" s="1945"/>
      <c r="W24" s="1945"/>
      <c r="X24" s="1945"/>
      <c r="Y24" s="1945"/>
      <c r="Z24" s="1945"/>
      <c r="AA24" s="1945"/>
      <c r="AB24" s="1945"/>
      <c r="AC24" s="1945"/>
      <c r="AD24" s="1945"/>
      <c r="AE24" s="1945"/>
      <c r="AF24" s="1945"/>
      <c r="AG24" s="1945"/>
      <c r="AH24" s="1945"/>
      <c r="AI24" s="1945"/>
      <c r="AJ24" s="1945"/>
      <c r="AK24" s="1945"/>
      <c r="AL24" s="1945"/>
      <c r="AM24" s="1945"/>
      <c r="AN24" s="1945"/>
      <c r="AO24" s="1945"/>
      <c r="AP24" s="1945"/>
      <c r="AQ24" s="1945"/>
      <c r="AR24" s="1945"/>
      <c r="AS24" s="1945"/>
      <c r="AT24" s="1945"/>
      <c r="AU24" s="1945"/>
      <c r="AV24" s="412"/>
    </row>
    <row r="25" spans="1:48">
      <c r="A25" s="410"/>
      <c r="B25" s="413"/>
      <c r="C25" s="420" t="s">
        <v>1282</v>
      </c>
      <c r="D25" s="413"/>
      <c r="E25" s="413"/>
      <c r="F25" s="413"/>
      <c r="G25" s="413"/>
      <c r="H25" s="421"/>
      <c r="I25" s="413"/>
      <c r="J25" s="413"/>
      <c r="K25" s="413"/>
      <c r="L25" s="413"/>
      <c r="M25" s="413"/>
      <c r="N25" s="413"/>
      <c r="O25" s="413"/>
      <c r="P25" s="413"/>
      <c r="Q25" s="413"/>
      <c r="R25" s="413"/>
      <c r="S25" s="413"/>
      <c r="T25" s="413"/>
      <c r="U25" s="413"/>
      <c r="V25" s="413"/>
      <c r="W25" s="413"/>
      <c r="X25" s="413"/>
      <c r="Y25" s="413"/>
      <c r="Z25" s="413"/>
      <c r="AA25" s="413"/>
      <c r="AB25" s="413"/>
      <c r="AC25" s="413"/>
      <c r="AD25" s="413"/>
      <c r="AE25" s="413"/>
      <c r="AF25" s="413"/>
      <c r="AG25" s="413"/>
      <c r="AH25" s="413"/>
      <c r="AI25" s="413"/>
      <c r="AJ25" s="413"/>
      <c r="AK25" s="413"/>
      <c r="AL25" s="413"/>
      <c r="AM25" s="413"/>
      <c r="AN25" s="413"/>
      <c r="AO25" s="413"/>
      <c r="AP25" s="413"/>
      <c r="AQ25" s="413"/>
      <c r="AR25" s="413"/>
      <c r="AS25" s="413"/>
      <c r="AT25" s="413"/>
      <c r="AU25" s="413"/>
      <c r="AV25" s="412"/>
    </row>
    <row r="26" spans="1:48">
      <c r="A26" s="410"/>
      <c r="B26" s="413"/>
      <c r="C26" s="1946">
        <f>+'MEM. DESC. I'!J42</f>
        <v>0</v>
      </c>
      <c r="D26" s="1946"/>
      <c r="E26" s="1946"/>
      <c r="F26" s="1946"/>
      <c r="G26" s="1946"/>
      <c r="H26" s="1946"/>
      <c r="I26" s="1946"/>
      <c r="J26" s="1946"/>
      <c r="K26" s="1946"/>
      <c r="L26" s="1946"/>
      <c r="M26" s="1946"/>
      <c r="N26" s="1946"/>
      <c r="O26" s="1946"/>
      <c r="P26" s="1946"/>
      <c r="Q26" s="1946"/>
      <c r="R26" s="1946"/>
      <c r="S26" s="1946"/>
      <c r="T26" s="1946"/>
      <c r="U26" s="1946"/>
      <c r="V26" s="1946"/>
      <c r="W26" s="1946"/>
      <c r="X26" s="1946"/>
      <c r="Y26" s="1946"/>
      <c r="Z26" s="1946"/>
      <c r="AA26" s="1946"/>
      <c r="AB26" s="1946"/>
      <c r="AC26" s="1946"/>
      <c r="AD26" s="1946"/>
      <c r="AE26" s="1946"/>
      <c r="AF26" s="1946"/>
      <c r="AG26" s="1946"/>
      <c r="AH26" s="1946"/>
      <c r="AI26" s="1946"/>
      <c r="AJ26" s="1946"/>
      <c r="AK26" s="1946"/>
      <c r="AL26" s="1946"/>
      <c r="AM26" s="1946"/>
      <c r="AN26" s="1946"/>
      <c r="AO26" s="1946"/>
      <c r="AP26" s="1946"/>
      <c r="AQ26" s="1946"/>
      <c r="AR26" s="1946"/>
      <c r="AS26" s="1946"/>
      <c r="AT26" s="1946"/>
      <c r="AU26" s="1946"/>
      <c r="AV26" s="412"/>
    </row>
    <row r="27" spans="1:48">
      <c r="A27" s="410"/>
      <c r="B27" s="413"/>
      <c r="C27" s="413"/>
      <c r="D27" s="413"/>
      <c r="E27" s="413"/>
      <c r="F27" s="413"/>
      <c r="G27" s="413"/>
      <c r="H27" s="413"/>
      <c r="I27" s="413"/>
      <c r="J27" s="413"/>
      <c r="K27" s="413"/>
      <c r="L27" s="413"/>
      <c r="M27" s="413"/>
      <c r="N27" s="413"/>
      <c r="O27" s="413"/>
      <c r="P27" s="413"/>
      <c r="Q27" s="413"/>
      <c r="R27" s="413"/>
      <c r="S27" s="413"/>
      <c r="T27" s="413"/>
      <c r="U27" s="413"/>
      <c r="V27" s="413"/>
      <c r="W27" s="413"/>
      <c r="X27" s="413"/>
      <c r="Y27" s="413"/>
      <c r="Z27" s="413"/>
      <c r="AA27" s="413"/>
      <c r="AB27" s="413"/>
      <c r="AC27" s="413"/>
      <c r="AD27" s="413"/>
      <c r="AE27" s="413"/>
      <c r="AF27" s="413"/>
      <c r="AG27" s="413"/>
      <c r="AH27" s="413"/>
      <c r="AI27" s="413"/>
      <c r="AJ27" s="413"/>
      <c r="AK27" s="413"/>
      <c r="AL27" s="413"/>
      <c r="AM27" s="413"/>
      <c r="AN27" s="413"/>
      <c r="AO27" s="413"/>
      <c r="AP27" s="413"/>
      <c r="AQ27" s="413"/>
      <c r="AR27" s="413"/>
      <c r="AS27" s="413"/>
      <c r="AT27" s="413"/>
      <c r="AU27" s="413"/>
      <c r="AV27" s="412"/>
    </row>
    <row r="28" spans="1:48">
      <c r="A28" s="410"/>
      <c r="B28" s="413"/>
      <c r="C28" s="413"/>
      <c r="D28" s="413"/>
      <c r="E28" s="413"/>
      <c r="F28" s="413"/>
      <c r="G28" s="413"/>
      <c r="H28" s="413"/>
      <c r="I28" s="413"/>
      <c r="J28" s="413"/>
      <c r="K28" s="413"/>
      <c r="L28" s="413"/>
      <c r="M28" s="413"/>
      <c r="N28" s="413"/>
      <c r="O28" s="413"/>
      <c r="P28" s="413"/>
      <c r="Q28" s="413"/>
      <c r="R28" s="413"/>
      <c r="S28" s="413"/>
      <c r="T28" s="413"/>
      <c r="U28" s="413"/>
      <c r="V28" s="413"/>
      <c r="W28" s="413"/>
      <c r="X28" s="413"/>
      <c r="Y28" s="413"/>
      <c r="Z28" s="413"/>
      <c r="AA28" s="413"/>
      <c r="AB28" s="413"/>
      <c r="AC28" s="413"/>
      <c r="AD28" s="413"/>
      <c r="AE28" s="413"/>
      <c r="AF28" s="413"/>
      <c r="AG28" s="413"/>
      <c r="AH28" s="413"/>
      <c r="AI28" s="413"/>
      <c r="AJ28" s="413"/>
      <c r="AK28" s="413"/>
      <c r="AL28" s="413"/>
      <c r="AM28" s="413"/>
      <c r="AN28" s="413"/>
      <c r="AO28" s="413"/>
      <c r="AP28" s="413"/>
      <c r="AQ28" s="413"/>
      <c r="AR28" s="413"/>
      <c r="AS28" s="413"/>
      <c r="AT28" s="413"/>
      <c r="AU28" s="413"/>
      <c r="AV28" s="412"/>
    </row>
    <row r="29" spans="1:48">
      <c r="A29" s="410"/>
      <c r="B29" s="413" t="s">
        <v>1247</v>
      </c>
      <c r="C29" s="413"/>
      <c r="D29" s="413"/>
      <c r="E29" s="1947">
        <f>+'MEM. DESC. I'!Z14</f>
        <v>0</v>
      </c>
      <c r="F29" s="1947"/>
      <c r="G29" s="1947"/>
      <c r="H29" s="1947"/>
      <c r="I29" s="1947"/>
      <c r="J29" s="1947"/>
      <c r="K29" s="1947"/>
      <c r="L29" s="1947"/>
      <c r="M29" s="1947"/>
      <c r="N29" s="1947"/>
      <c r="O29" s="1947"/>
      <c r="P29" s="1947"/>
      <c r="Q29" s="1947"/>
      <c r="R29" s="1947"/>
      <c r="S29" s="1947"/>
      <c r="T29" s="1947"/>
      <c r="U29" s="1947"/>
      <c r="V29" s="1947"/>
      <c r="W29" s="1947"/>
      <c r="X29" s="1947"/>
      <c r="Y29" s="1947"/>
      <c r="Z29" s="1947"/>
      <c r="AA29" s="1947"/>
      <c r="AB29" s="1947"/>
      <c r="AC29" s="1947"/>
      <c r="AD29" s="413"/>
      <c r="AE29" s="413"/>
      <c r="AF29" s="413"/>
      <c r="AG29" s="413"/>
      <c r="AH29" s="413"/>
      <c r="AI29" s="413"/>
      <c r="AJ29" s="413"/>
      <c r="AK29" s="413"/>
      <c r="AL29" s="413"/>
      <c r="AM29" s="413"/>
      <c r="AN29" s="413"/>
      <c r="AO29" s="413"/>
      <c r="AP29" s="413"/>
      <c r="AQ29" s="413"/>
      <c r="AR29" s="413"/>
      <c r="AS29" s="413"/>
      <c r="AT29" s="413"/>
      <c r="AU29" s="413"/>
      <c r="AV29" s="412"/>
    </row>
    <row r="30" spans="1:48">
      <c r="A30" s="410"/>
      <c r="B30" s="413"/>
      <c r="C30" s="413"/>
      <c r="D30" s="413"/>
      <c r="E30" s="413"/>
      <c r="F30" s="413"/>
      <c r="G30" s="413"/>
      <c r="H30" s="413"/>
      <c r="I30" s="413"/>
      <c r="J30" s="413"/>
      <c r="K30" s="413"/>
      <c r="L30" s="413"/>
      <c r="M30" s="413"/>
      <c r="N30" s="413"/>
      <c r="O30" s="413"/>
      <c r="P30" s="413"/>
      <c r="Q30" s="413"/>
      <c r="R30" s="413"/>
      <c r="S30" s="413"/>
      <c r="T30" s="413"/>
      <c r="U30" s="413"/>
      <c r="V30" s="413"/>
      <c r="W30" s="413"/>
      <c r="X30" s="413"/>
      <c r="Y30" s="413"/>
      <c r="Z30" s="413"/>
      <c r="AA30" s="413"/>
      <c r="AB30" s="413"/>
      <c r="AC30" s="413"/>
      <c r="AD30" s="413"/>
      <c r="AE30" s="413"/>
      <c r="AF30" s="413"/>
      <c r="AG30" s="413"/>
      <c r="AH30" s="413"/>
      <c r="AI30" s="413"/>
      <c r="AJ30" s="413"/>
      <c r="AK30" s="413"/>
      <c r="AL30" s="413"/>
      <c r="AM30" s="413"/>
      <c r="AN30" s="413"/>
      <c r="AO30" s="413"/>
      <c r="AP30" s="413"/>
      <c r="AQ30" s="413"/>
      <c r="AR30" s="413"/>
      <c r="AS30" s="413"/>
      <c r="AT30" s="413"/>
      <c r="AU30" s="413"/>
      <c r="AV30" s="412"/>
    </row>
    <row r="31" spans="1:48">
      <c r="A31" s="410"/>
      <c r="B31" s="411"/>
      <c r="C31" s="411"/>
      <c r="D31" s="411"/>
      <c r="E31" s="411"/>
      <c r="F31" s="411"/>
      <c r="G31" s="411"/>
      <c r="H31" s="411"/>
      <c r="I31" s="411"/>
      <c r="J31" s="411"/>
      <c r="K31" s="411"/>
      <c r="L31" s="411"/>
      <c r="M31" s="411"/>
      <c r="N31" s="411"/>
      <c r="O31" s="411"/>
      <c r="P31" s="411"/>
      <c r="Q31" s="411"/>
      <c r="R31" s="411"/>
      <c r="S31" s="411"/>
      <c r="T31" s="411"/>
      <c r="U31" s="411"/>
      <c r="V31" s="411"/>
      <c r="W31" s="411"/>
      <c r="X31" s="411"/>
      <c r="Y31" s="411"/>
      <c r="Z31" s="411"/>
      <c r="AA31" s="411"/>
      <c r="AB31" s="411"/>
      <c r="AC31" s="411"/>
      <c r="AD31" s="411"/>
      <c r="AE31" s="411"/>
      <c r="AF31" s="411"/>
      <c r="AG31" s="411"/>
      <c r="AH31" s="411"/>
      <c r="AI31" s="411"/>
      <c r="AJ31" s="411"/>
      <c r="AK31" s="411"/>
      <c r="AL31" s="411"/>
      <c r="AM31" s="411"/>
      <c r="AN31" s="411"/>
      <c r="AO31" s="411"/>
      <c r="AP31" s="411"/>
      <c r="AQ31" s="411"/>
      <c r="AR31" s="411"/>
      <c r="AS31" s="411"/>
      <c r="AT31" s="411"/>
      <c r="AU31" s="411"/>
      <c r="AV31" s="412"/>
    </row>
    <row r="32" spans="1:48" ht="15.75" thickBot="1">
      <c r="A32" s="422"/>
      <c r="B32" s="423"/>
      <c r="C32" s="423"/>
      <c r="D32" s="423"/>
      <c r="E32" s="423"/>
      <c r="F32" s="423"/>
      <c r="G32" s="423"/>
      <c r="H32" s="423"/>
      <c r="I32" s="423"/>
      <c r="J32" s="423"/>
      <c r="K32" s="423"/>
      <c r="L32" s="423"/>
      <c r="M32" s="423"/>
      <c r="N32" s="423"/>
      <c r="O32" s="423"/>
      <c r="P32" s="423"/>
      <c r="Q32" s="423"/>
      <c r="R32" s="423"/>
      <c r="S32" s="423"/>
      <c r="T32" s="423"/>
      <c r="U32" s="423"/>
      <c r="V32" s="423"/>
      <c r="W32" s="423"/>
      <c r="X32" s="423"/>
      <c r="Y32" s="423"/>
      <c r="Z32" s="423"/>
      <c r="AA32" s="423"/>
      <c r="AB32" s="423"/>
      <c r="AC32" s="423"/>
      <c r="AD32" s="423"/>
      <c r="AE32" s="423"/>
      <c r="AF32" s="423"/>
      <c r="AG32" s="423"/>
      <c r="AH32" s="423"/>
      <c r="AI32" s="423"/>
      <c r="AJ32" s="423"/>
      <c r="AK32" s="423"/>
      <c r="AL32" s="423"/>
      <c r="AM32" s="423"/>
      <c r="AN32" s="423"/>
      <c r="AO32" s="423"/>
      <c r="AP32" s="423"/>
      <c r="AQ32" s="423"/>
      <c r="AR32" s="423"/>
      <c r="AS32" s="423"/>
      <c r="AT32" s="423"/>
      <c r="AU32" s="423"/>
      <c r="AV32" s="424"/>
    </row>
    <row r="33" spans="1:48" ht="15.75" thickTop="1">
      <c r="A33" s="1948"/>
      <c r="B33" s="1948"/>
      <c r="C33" s="1948"/>
      <c r="D33" s="1948"/>
      <c r="E33" s="1948"/>
      <c r="F33" s="1948"/>
      <c r="G33" s="1948"/>
      <c r="H33" s="1948"/>
      <c r="I33" s="1948"/>
      <c r="J33" s="1948"/>
      <c r="K33" s="1948"/>
      <c r="L33" s="1948"/>
      <c r="M33" s="1948"/>
      <c r="N33" s="1948"/>
      <c r="O33" s="1948"/>
      <c r="P33" s="1948"/>
      <c r="Q33" s="1948"/>
      <c r="R33" s="1948"/>
      <c r="S33" s="1948"/>
      <c r="T33" s="1948"/>
      <c r="U33" s="1948"/>
      <c r="V33" s="1948"/>
      <c r="W33" s="1948"/>
      <c r="X33" s="1948"/>
      <c r="Y33" s="1948"/>
      <c r="Z33" s="1948"/>
      <c r="AA33" s="1948"/>
      <c r="AB33" s="1948"/>
      <c r="AC33" s="1948"/>
      <c r="AD33" s="1948"/>
      <c r="AE33" s="1948"/>
      <c r="AF33" s="1948"/>
      <c r="AG33" s="1948"/>
      <c r="AH33" s="1948"/>
      <c r="AI33" s="1948"/>
      <c r="AJ33" s="1948"/>
      <c r="AK33" s="1948"/>
      <c r="AL33" s="1948"/>
      <c r="AM33" s="1948"/>
      <c r="AN33" s="1948"/>
      <c r="AO33" s="1948"/>
      <c r="AP33" s="1948"/>
      <c r="AQ33" s="1948"/>
      <c r="AR33" s="1948"/>
      <c r="AS33" s="1948"/>
      <c r="AT33" s="1948"/>
      <c r="AU33" s="1948"/>
      <c r="AV33" s="425"/>
    </row>
  </sheetData>
  <mergeCells count="16">
    <mergeCell ref="C24:AU24"/>
    <mergeCell ref="C26:AU26"/>
    <mergeCell ref="E29:AC29"/>
    <mergeCell ref="A33:AU33"/>
    <mergeCell ref="C15:AU15"/>
    <mergeCell ref="C16:AU16"/>
    <mergeCell ref="C17:AU17"/>
    <mergeCell ref="C18:AU18"/>
    <mergeCell ref="C20:AU20"/>
    <mergeCell ref="C22:AU22"/>
    <mergeCell ref="B13:AU13"/>
    <mergeCell ref="AP2:AV2"/>
    <mergeCell ref="AP3:AV3"/>
    <mergeCell ref="AP4:AV4"/>
    <mergeCell ref="AP5:AV5"/>
    <mergeCell ref="A9:AV10"/>
  </mergeCells>
  <printOptions horizontalCentered="1"/>
  <pageMargins left="0.70866141732283472" right="0.70866141732283472" top="0.74803149606299213" bottom="0.74803149606299213" header="0.31496062992125984" footer="0.31496062992125984"/>
  <pageSetup paperSize="9" fitToWidth="0" orientation="portrait" r:id="rId1"/>
  <headerFooter>
    <oddFooter>&amp;L&amp;G&amp;R&amp;G
&amp;P</oddFooter>
  </headerFooter>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9BBE3-CB72-48E6-A16B-F8D3AE546F1C}">
  <dimension ref="A2:AV112"/>
  <sheetViews>
    <sheetView workbookViewId="0"/>
  </sheetViews>
  <sheetFormatPr baseColWidth="10" defaultColWidth="11.42578125" defaultRowHeight="15"/>
  <cols>
    <col min="1" max="1" width="4.42578125" style="24" customWidth="1"/>
    <col min="2" max="2" width="4" style="24" customWidth="1"/>
    <col min="3" max="3" width="29.42578125" style="24" customWidth="1"/>
    <col min="4" max="4" width="4.42578125" style="24" customWidth="1"/>
    <col min="5" max="5" width="20.42578125" style="24" customWidth="1"/>
    <col min="6" max="6" width="4.42578125" style="24" customWidth="1"/>
    <col min="7" max="7" width="6.42578125" style="24" customWidth="1"/>
    <col min="8" max="9" width="4.5703125" style="24" customWidth="1"/>
    <col min="10" max="10" width="5.42578125" style="24" customWidth="1"/>
    <col min="11" max="11" width="18.5703125" style="24" customWidth="1"/>
    <col min="12" max="12" width="1.7109375" style="24" customWidth="1"/>
    <col min="13" max="16384" width="11.42578125" style="24"/>
  </cols>
  <sheetData>
    <row r="2" spans="1:48" customFormat="1">
      <c r="A2" s="24"/>
      <c r="B2" s="24"/>
      <c r="C2" s="24"/>
      <c r="D2" s="24"/>
      <c r="E2" s="24"/>
      <c r="F2" s="24"/>
      <c r="G2" s="24"/>
      <c r="H2" s="24"/>
      <c r="I2" s="24"/>
      <c r="J2" s="24"/>
      <c r="K2" s="24"/>
      <c r="L2" s="24"/>
      <c r="M2" s="24"/>
      <c r="N2" s="24"/>
      <c r="O2" s="24"/>
      <c r="P2" s="24"/>
      <c r="Q2" s="24"/>
      <c r="R2" s="24"/>
      <c r="S2" s="24"/>
      <c r="T2" s="24"/>
      <c r="U2" s="404"/>
      <c r="V2" s="404"/>
      <c r="W2" s="404"/>
      <c r="X2" s="404"/>
      <c r="Y2" s="24"/>
      <c r="Z2" s="405"/>
      <c r="AA2" s="405"/>
      <c r="AB2" s="405"/>
      <c r="AC2" s="24"/>
      <c r="AD2" s="24"/>
      <c r="AE2" s="24"/>
      <c r="AF2" s="24"/>
      <c r="AG2" s="24"/>
      <c r="AH2" s="24"/>
      <c r="AI2" s="24"/>
      <c r="AJ2" s="24"/>
      <c r="AK2" s="24"/>
      <c r="AL2" s="24"/>
      <c r="AM2" s="405"/>
      <c r="AN2" s="24"/>
      <c r="AO2" s="24"/>
      <c r="AP2" s="24"/>
      <c r="AQ2" s="24"/>
      <c r="AR2" s="24"/>
      <c r="AS2" s="24"/>
      <c r="AT2" s="24"/>
      <c r="AU2" s="24"/>
      <c r="AV2" s="24"/>
    </row>
    <row r="3" spans="1:48" customFormat="1" ht="11.25" customHeight="1">
      <c r="A3" s="24"/>
      <c r="B3" s="24"/>
      <c r="C3" s="24"/>
      <c r="D3" s="24"/>
      <c r="E3" s="24"/>
      <c r="F3" s="24"/>
      <c r="G3" s="24"/>
      <c r="H3" s="24"/>
      <c r="I3" s="24"/>
      <c r="J3" s="24"/>
      <c r="K3" s="24"/>
      <c r="L3" s="406"/>
      <c r="M3" s="24"/>
      <c r="N3" s="448"/>
      <c r="O3" s="448"/>
      <c r="P3" s="448"/>
      <c r="Q3" s="448"/>
      <c r="R3" s="448"/>
      <c r="S3" s="448"/>
      <c r="T3" s="24"/>
      <c r="U3" s="404"/>
      <c r="V3" s="404"/>
      <c r="W3" s="404"/>
      <c r="X3" s="404"/>
      <c r="Y3" s="24"/>
      <c r="Z3" s="405"/>
      <c r="AA3" s="405"/>
      <c r="AB3" s="405"/>
      <c r="AC3" s="24"/>
      <c r="AD3" s="24"/>
      <c r="AE3" s="24"/>
      <c r="AF3" s="24"/>
      <c r="AG3" s="24"/>
      <c r="AH3" s="24"/>
      <c r="AI3" s="24"/>
      <c r="AJ3" s="24"/>
      <c r="AK3" s="24"/>
      <c r="AL3" s="24"/>
      <c r="AM3" s="405"/>
      <c r="AN3" s="24"/>
      <c r="AO3" s="24"/>
      <c r="AP3" s="24"/>
      <c r="AQ3" s="24"/>
      <c r="AR3" s="24"/>
      <c r="AS3" s="24"/>
      <c r="AT3" s="24"/>
      <c r="AU3" s="24"/>
      <c r="AV3" s="24"/>
    </row>
    <row r="4" spans="1:48" customFormat="1" ht="11.25" hidden="1" customHeight="1">
      <c r="A4" s="24"/>
      <c r="B4" s="24"/>
      <c r="C4" s="24"/>
      <c r="D4" s="24"/>
      <c r="E4" s="24"/>
      <c r="F4" s="24"/>
      <c r="G4" s="24"/>
      <c r="H4" s="24"/>
      <c r="I4" s="24"/>
      <c r="J4" s="24"/>
      <c r="K4" s="24"/>
      <c r="L4" s="406"/>
      <c r="M4" s="24"/>
      <c r="N4" s="448"/>
      <c r="O4" s="448"/>
      <c r="P4" s="448"/>
      <c r="Q4" s="448"/>
      <c r="R4" s="448"/>
      <c r="S4" s="448"/>
      <c r="T4" s="24"/>
      <c r="U4" s="404"/>
      <c r="V4" s="404"/>
      <c r="W4" s="404"/>
      <c r="X4" s="404"/>
      <c r="Y4" s="24"/>
      <c r="Z4" s="405"/>
      <c r="AA4" s="405"/>
      <c r="AB4" s="405"/>
      <c r="AC4" s="405" t="s">
        <v>816</v>
      </c>
      <c r="AD4" s="24"/>
      <c r="AE4" s="24"/>
      <c r="AF4" s="39"/>
      <c r="AG4" s="39"/>
      <c r="AH4" s="39"/>
      <c r="AI4" s="39"/>
      <c r="AJ4" s="24"/>
      <c r="AK4" s="24"/>
      <c r="AL4" s="24"/>
      <c r="AM4" s="405"/>
      <c r="AN4" s="24"/>
      <c r="AO4" s="406" t="s">
        <v>0</v>
      </c>
      <c r="AP4" s="1941">
        <f>+RESULTADOS!Z15</f>
        <v>365</v>
      </c>
      <c r="AQ4" s="1941"/>
      <c r="AR4" s="1941"/>
      <c r="AS4" s="1941"/>
      <c r="AT4" s="1941"/>
      <c r="AU4" s="1941"/>
      <c r="AV4" s="1941"/>
    </row>
    <row r="5" spans="1:48" customFormat="1">
      <c r="A5" s="24"/>
      <c r="B5" s="24"/>
      <c r="C5" s="24"/>
      <c r="D5" s="24"/>
      <c r="E5" s="24"/>
      <c r="F5" s="24"/>
      <c r="G5" s="405" t="s">
        <v>1325</v>
      </c>
      <c r="H5" s="24"/>
      <c r="I5" s="24"/>
      <c r="J5" s="24"/>
      <c r="K5" s="449">
        <f>+'[11]DECLARACION JURADA'!AP7</f>
        <v>0</v>
      </c>
      <c r="L5" s="406"/>
      <c r="M5" s="24"/>
      <c r="N5" s="450"/>
      <c r="O5" s="450"/>
      <c r="P5" s="450"/>
      <c r="Q5" s="450"/>
      <c r="R5" s="450"/>
      <c r="S5" s="450"/>
      <c r="T5" s="24"/>
      <c r="U5" s="24"/>
      <c r="V5" s="24"/>
      <c r="W5" s="24"/>
      <c r="X5" s="24"/>
      <c r="Y5" s="24"/>
      <c r="Z5" s="24"/>
      <c r="AA5" s="24"/>
      <c r="AB5" s="24"/>
      <c r="AC5" s="24"/>
      <c r="AD5" s="24"/>
      <c r="AE5" s="24"/>
      <c r="AF5" s="24"/>
      <c r="AG5" s="24"/>
      <c r="AH5" s="24"/>
      <c r="AI5" s="24"/>
      <c r="AJ5" s="24"/>
      <c r="AK5" s="24"/>
      <c r="AL5" s="24"/>
      <c r="AM5" s="24"/>
      <c r="AN5" s="24"/>
      <c r="AO5" s="24"/>
    </row>
    <row r="6" spans="1:48">
      <c r="G6" s="405" t="s">
        <v>1326</v>
      </c>
      <c r="K6" s="446" t="str">
        <f>+'DECLARACION JURADA'!AP3</f>
        <v>XXXX-26</v>
      </c>
    </row>
    <row r="7" spans="1:48">
      <c r="D7" s="451"/>
      <c r="G7" s="405" t="s">
        <v>1327</v>
      </c>
      <c r="K7" s="447">
        <f>+'DECLARACION JURADA'!AP4</f>
        <v>0</v>
      </c>
    </row>
    <row r="8" spans="1:48">
      <c r="D8" s="451"/>
      <c r="G8" s="405" t="s">
        <v>1328</v>
      </c>
      <c r="K8" s="447">
        <f>+'DECLARACION JURADA'!AP5</f>
        <v>365</v>
      </c>
    </row>
    <row r="9" spans="1:48" ht="4.5" customHeight="1">
      <c r="D9" s="451"/>
    </row>
    <row r="10" spans="1:48" ht="18.75">
      <c r="A10" s="1953" t="s">
        <v>1329</v>
      </c>
      <c r="B10" s="1953"/>
      <c r="C10" s="1953"/>
      <c r="D10" s="1953"/>
      <c r="E10" s="1953"/>
      <c r="F10" s="1953"/>
      <c r="G10" s="1953"/>
      <c r="H10" s="1953"/>
      <c r="I10" s="1953"/>
      <c r="J10" s="1953"/>
      <c r="K10" s="1953"/>
      <c r="L10" s="452"/>
    </row>
    <row r="11" spans="1:48" ht="7.5" customHeight="1">
      <c r="L11" s="452"/>
    </row>
    <row r="12" spans="1:48">
      <c r="A12" s="453" t="s">
        <v>1330</v>
      </c>
      <c r="L12" s="454"/>
    </row>
    <row r="13" spans="1:48">
      <c r="L13" s="454"/>
    </row>
    <row r="14" spans="1:48">
      <c r="A14" s="455">
        <v>1</v>
      </c>
      <c r="B14" s="456" t="s">
        <v>1331</v>
      </c>
      <c r="C14" s="457"/>
      <c r="L14" s="454"/>
      <c r="M14" s="458"/>
    </row>
    <row r="15" spans="1:48">
      <c r="A15" s="459"/>
      <c r="B15" s="459"/>
      <c r="L15" s="454"/>
      <c r="M15" s="458"/>
    </row>
    <row r="16" spans="1:48">
      <c r="A16" s="459"/>
      <c r="B16" s="460"/>
      <c r="C16" s="24" t="s">
        <v>1332</v>
      </c>
      <c r="D16" s="460"/>
      <c r="E16" s="24" t="s">
        <v>1333</v>
      </c>
      <c r="F16" s="460"/>
      <c r="G16" s="24" t="s">
        <v>1334</v>
      </c>
      <c r="L16" s="454"/>
      <c r="M16" s="458"/>
    </row>
    <row r="17" spans="1:13">
      <c r="A17" s="459"/>
      <c r="B17" s="460"/>
      <c r="C17" s="24" t="s">
        <v>1335</v>
      </c>
      <c r="D17" s="460"/>
      <c r="E17" s="24" t="s">
        <v>1336</v>
      </c>
      <c r="F17" s="460"/>
      <c r="G17" s="24" t="s">
        <v>1337</v>
      </c>
      <c r="L17" s="454"/>
    </row>
    <row r="18" spans="1:13">
      <c r="B18" s="460"/>
      <c r="C18" s="24" t="s">
        <v>1338</v>
      </c>
      <c r="D18" s="460"/>
      <c r="E18" s="24" t="s">
        <v>1339</v>
      </c>
      <c r="F18" s="460"/>
      <c r="G18" s="24" t="s">
        <v>1340</v>
      </c>
      <c r="L18" s="454"/>
    </row>
    <row r="19" spans="1:13">
      <c r="B19" s="460"/>
      <c r="C19" s="24" t="s">
        <v>1341</v>
      </c>
      <c r="D19" s="460"/>
      <c r="E19" s="24" t="s">
        <v>1342</v>
      </c>
      <c r="L19" s="454"/>
    </row>
    <row r="20" spans="1:13">
      <c r="L20" s="454"/>
    </row>
    <row r="21" spans="1:13">
      <c r="A21" s="461">
        <v>1.1000000000000001</v>
      </c>
      <c r="B21" s="459" t="s">
        <v>1343</v>
      </c>
      <c r="G21" s="462" t="s">
        <v>347</v>
      </c>
      <c r="H21" s="460"/>
      <c r="I21" s="462" t="s">
        <v>395</v>
      </c>
      <c r="J21" s="460"/>
      <c r="L21" s="454"/>
    </row>
    <row r="22" spans="1:13">
      <c r="A22" s="459"/>
      <c r="B22" s="459"/>
      <c r="G22" s="462"/>
      <c r="I22" s="462"/>
      <c r="L22" s="454"/>
    </row>
    <row r="23" spans="1:13">
      <c r="A23" s="453" t="s">
        <v>1344</v>
      </c>
      <c r="L23" s="463"/>
    </row>
    <row r="24" spans="1:13" ht="8.85" customHeight="1">
      <c r="L24" s="463"/>
    </row>
    <row r="25" spans="1:13" ht="20.100000000000001" customHeight="1">
      <c r="A25" s="461">
        <v>2</v>
      </c>
      <c r="B25" s="1954" t="s">
        <v>1345</v>
      </c>
      <c r="C25" s="1954"/>
      <c r="D25" s="1954"/>
      <c r="E25" s="1954"/>
      <c r="F25" s="1954"/>
      <c r="G25" s="1954"/>
      <c r="H25" s="1954"/>
      <c r="I25" s="1954"/>
      <c r="J25" s="1954"/>
      <c r="K25" s="1954"/>
      <c r="L25" s="463"/>
    </row>
    <row r="26" spans="1:13" ht="21.6" customHeight="1">
      <c r="A26" s="461"/>
      <c r="B26" s="1954"/>
      <c r="C26" s="1954"/>
      <c r="D26" s="1954"/>
      <c r="E26" s="1954"/>
      <c r="F26" s="1954"/>
      <c r="G26" s="1954"/>
      <c r="H26" s="1954"/>
      <c r="I26" s="1954"/>
      <c r="J26" s="1954"/>
      <c r="K26" s="1954"/>
      <c r="L26" s="463"/>
      <c r="M26" s="464"/>
    </row>
    <row r="27" spans="1:13">
      <c r="A27" s="459"/>
      <c r="B27" s="459"/>
      <c r="L27" s="463"/>
    </row>
    <row r="28" spans="1:13">
      <c r="A28" s="459"/>
      <c r="B28" s="460"/>
      <c r="C28" s="24" t="s">
        <v>1346</v>
      </c>
      <c r="F28" s="460"/>
      <c r="G28" s="24" t="s">
        <v>1340</v>
      </c>
      <c r="L28" s="463"/>
    </row>
    <row r="29" spans="1:13">
      <c r="A29" s="459"/>
      <c r="B29" s="460"/>
      <c r="C29" s="24" t="s">
        <v>1347</v>
      </c>
      <c r="L29" s="463"/>
    </row>
    <row r="30" spans="1:13">
      <c r="B30" s="460"/>
      <c r="C30" s="24" t="s">
        <v>1348</v>
      </c>
      <c r="L30" s="463"/>
    </row>
    <row r="31" spans="1:13">
      <c r="B31" s="460"/>
      <c r="C31" s="24" t="s">
        <v>1349</v>
      </c>
      <c r="L31" s="463"/>
    </row>
    <row r="32" spans="1:13">
      <c r="B32" s="460"/>
      <c r="C32" s="24" t="s">
        <v>1350</v>
      </c>
      <c r="L32" s="463"/>
    </row>
    <row r="33" spans="1:12">
      <c r="B33" s="460"/>
      <c r="C33" s="24" t="s">
        <v>1351</v>
      </c>
      <c r="L33" s="463"/>
    </row>
    <row r="34" spans="1:12">
      <c r="B34" s="460"/>
      <c r="C34" s="24" t="s">
        <v>572</v>
      </c>
      <c r="L34" s="463"/>
    </row>
    <row r="35" spans="1:12">
      <c r="K35" s="465"/>
      <c r="L35" s="463"/>
    </row>
    <row r="36" spans="1:12">
      <c r="A36" s="453" t="s">
        <v>1352</v>
      </c>
      <c r="K36" s="465"/>
      <c r="L36" s="466"/>
    </row>
    <row r="37" spans="1:12">
      <c r="K37" s="465"/>
      <c r="L37" s="466"/>
    </row>
    <row r="38" spans="1:12">
      <c r="A38" s="459" t="s">
        <v>1353</v>
      </c>
      <c r="K38" s="465"/>
      <c r="L38" s="466"/>
    </row>
    <row r="39" spans="1:12">
      <c r="K39" s="465"/>
      <c r="L39" s="466"/>
    </row>
    <row r="40" spans="1:12">
      <c r="A40" s="461">
        <v>2</v>
      </c>
      <c r="B40" s="456" t="s">
        <v>1354</v>
      </c>
      <c r="L40" s="1951"/>
    </row>
    <row r="41" spans="1:12" ht="4.5" customHeight="1">
      <c r="B41" s="467"/>
      <c r="L41" s="1952"/>
    </row>
    <row r="42" spans="1:12" s="242" customFormat="1" ht="20.85" customHeight="1">
      <c r="A42" s="468" t="s">
        <v>1355</v>
      </c>
      <c r="B42" s="469" t="s">
        <v>1356</v>
      </c>
      <c r="L42" s="1952"/>
    </row>
    <row r="43" spans="1:12">
      <c r="A43" s="470"/>
      <c r="B43" s="471"/>
      <c r="C43" s="24" t="s">
        <v>347</v>
      </c>
      <c r="E43" s="24" t="s">
        <v>1357</v>
      </c>
      <c r="L43" s="1952"/>
    </row>
    <row r="44" spans="1:12">
      <c r="B44" s="460"/>
      <c r="C44" s="24" t="s">
        <v>395</v>
      </c>
      <c r="L44" s="1952"/>
    </row>
    <row r="45" spans="1:12" ht="8.1" customHeight="1">
      <c r="L45" s="1952"/>
    </row>
    <row r="46" spans="1:12" s="242" customFormat="1" ht="21.6" customHeight="1">
      <c r="A46" s="468" t="s">
        <v>1358</v>
      </c>
      <c r="B46" s="1955" t="s">
        <v>1359</v>
      </c>
      <c r="C46" s="1955"/>
      <c r="D46" s="1955"/>
      <c r="E46" s="1955"/>
      <c r="F46" s="1955"/>
      <c r="G46" s="1955"/>
      <c r="H46" s="1955"/>
      <c r="I46" s="1955"/>
      <c r="J46" s="1955"/>
      <c r="K46" s="1955"/>
      <c r="L46" s="1952"/>
    </row>
    <row r="47" spans="1:12" s="242" customFormat="1" ht="0.6" customHeight="1">
      <c r="A47" s="468"/>
      <c r="B47" s="1955"/>
      <c r="C47" s="1955"/>
      <c r="D47" s="1955"/>
      <c r="E47" s="1955"/>
      <c r="F47" s="1955"/>
      <c r="G47" s="1955"/>
      <c r="H47" s="1955"/>
      <c r="I47" s="1955"/>
      <c r="J47" s="1955"/>
      <c r="K47" s="1955"/>
      <c r="L47" s="1952"/>
    </row>
    <row r="48" spans="1:12">
      <c r="A48" s="459"/>
      <c r="B48" s="471"/>
      <c r="C48" s="24" t="s">
        <v>347</v>
      </c>
      <c r="E48" s="24" t="s">
        <v>1357</v>
      </c>
      <c r="L48" s="1952"/>
    </row>
    <row r="49" spans="1:12">
      <c r="A49" s="459"/>
      <c r="B49" s="460"/>
      <c r="C49" s="24" t="s">
        <v>395</v>
      </c>
      <c r="L49" s="1952"/>
    </row>
    <row r="50" spans="1:12">
      <c r="A50" s="459"/>
      <c r="L50" s="472"/>
    </row>
    <row r="51" spans="1:12" ht="17.100000000000001" customHeight="1">
      <c r="A51" s="461">
        <v>2.1</v>
      </c>
      <c r="B51" s="456" t="s">
        <v>1360</v>
      </c>
      <c r="L51" s="1951"/>
    </row>
    <row r="52" spans="1:12" ht="10.5" customHeight="1">
      <c r="B52" s="467"/>
      <c r="L52" s="1952"/>
    </row>
    <row r="53" spans="1:12" ht="29.1" customHeight="1">
      <c r="A53" s="468" t="s">
        <v>1355</v>
      </c>
      <c r="B53" s="1957" t="s">
        <v>1361</v>
      </c>
      <c r="C53" s="1957"/>
      <c r="D53" s="1957"/>
      <c r="E53" s="1957"/>
      <c r="F53" s="1957"/>
      <c r="G53" s="1957"/>
      <c r="H53" s="1957"/>
      <c r="I53" s="1957"/>
      <c r="J53" s="1957"/>
      <c r="K53" s="1957"/>
      <c r="L53" s="1951"/>
    </row>
    <row r="54" spans="1:12" ht="17.25" customHeight="1">
      <c r="A54" s="470"/>
      <c r="B54" s="471"/>
      <c r="C54" s="24" t="s">
        <v>347</v>
      </c>
      <c r="E54" s="24" t="s">
        <v>1357</v>
      </c>
      <c r="L54" s="1951"/>
    </row>
    <row r="55" spans="1:12" ht="18" customHeight="1">
      <c r="B55" s="460"/>
      <c r="C55" s="24" t="s">
        <v>395</v>
      </c>
      <c r="L55" s="1951"/>
    </row>
    <row r="56" spans="1:12" ht="10.5" customHeight="1">
      <c r="L56" s="1951"/>
    </row>
    <row r="57" spans="1:12" ht="15" customHeight="1">
      <c r="A57" s="468" t="s">
        <v>1358</v>
      </c>
      <c r="B57" s="1955" t="s">
        <v>1362</v>
      </c>
      <c r="C57" s="1955"/>
      <c r="D57" s="1955"/>
      <c r="E57" s="1955"/>
      <c r="F57" s="1955"/>
      <c r="G57" s="1955"/>
      <c r="H57" s="1955"/>
      <c r="I57" s="1955"/>
      <c r="J57" s="1955"/>
      <c r="K57" s="1955"/>
      <c r="L57" s="1951"/>
    </row>
    <row r="58" spans="1:12">
      <c r="A58" s="468"/>
      <c r="B58" s="1955"/>
      <c r="C58" s="1955"/>
      <c r="D58" s="1955"/>
      <c r="E58" s="1955"/>
      <c r="F58" s="1955"/>
      <c r="G58" s="1955"/>
      <c r="H58" s="1955"/>
      <c r="I58" s="1955"/>
      <c r="J58" s="1955"/>
      <c r="K58" s="1955"/>
      <c r="L58" s="1951"/>
    </row>
    <row r="59" spans="1:12">
      <c r="A59" s="459"/>
      <c r="B59" s="471"/>
      <c r="C59" s="24" t="s">
        <v>347</v>
      </c>
      <c r="E59" s="24" t="s">
        <v>1357</v>
      </c>
      <c r="L59" s="1951"/>
    </row>
    <row r="60" spans="1:12">
      <c r="A60" s="459"/>
      <c r="B60" s="460"/>
      <c r="C60" s="24" t="s">
        <v>395</v>
      </c>
      <c r="L60" s="1951"/>
    </row>
    <row r="61" spans="1:12">
      <c r="A61" s="470"/>
      <c r="B61" s="459"/>
      <c r="L61" s="472"/>
    </row>
    <row r="62" spans="1:12">
      <c r="A62" s="470" t="s">
        <v>1363</v>
      </c>
      <c r="B62" s="459" t="s">
        <v>1364</v>
      </c>
      <c r="L62" s="466"/>
    </row>
    <row r="63" spans="1:12">
      <c r="A63" s="470"/>
      <c r="B63" s="471"/>
      <c r="C63" s="24" t="s">
        <v>347</v>
      </c>
      <c r="E63" s="24" t="s">
        <v>1365</v>
      </c>
      <c r="L63" s="466"/>
    </row>
    <row r="64" spans="1:12">
      <c r="A64" s="470"/>
      <c r="B64" s="460"/>
      <c r="C64" s="24" t="s">
        <v>395</v>
      </c>
      <c r="L64" s="466"/>
    </row>
    <row r="65" spans="1:12">
      <c r="A65" s="470"/>
      <c r="L65" s="466"/>
    </row>
    <row r="66" spans="1:12">
      <c r="A66" s="459" t="s">
        <v>1366</v>
      </c>
    </row>
    <row r="67" spans="1:12">
      <c r="A67" s="470"/>
      <c r="L67" s="466"/>
    </row>
    <row r="68" spans="1:12" ht="14.85" customHeight="1">
      <c r="A68" s="461">
        <v>2.2000000000000002</v>
      </c>
      <c r="B68" s="456" t="s">
        <v>1367</v>
      </c>
      <c r="L68" s="1951"/>
    </row>
    <row r="69" spans="1:12" ht="4.5" customHeight="1">
      <c r="B69" s="467"/>
      <c r="L69" s="1951"/>
    </row>
    <row r="70" spans="1:12" s="242" customFormat="1" ht="20.85" customHeight="1">
      <c r="A70" s="468" t="s">
        <v>1355</v>
      </c>
      <c r="B70" s="469" t="s">
        <v>1368</v>
      </c>
      <c r="L70" s="1951"/>
    </row>
    <row r="71" spans="1:12">
      <c r="A71" s="470"/>
      <c r="B71" s="471"/>
      <c r="C71" s="24" t="s">
        <v>347</v>
      </c>
      <c r="E71" s="24" t="s">
        <v>1357</v>
      </c>
      <c r="L71" s="1951"/>
    </row>
    <row r="72" spans="1:12">
      <c r="B72" s="460"/>
      <c r="C72" s="24" t="s">
        <v>395</v>
      </c>
      <c r="L72" s="1951"/>
    </row>
    <row r="73" spans="1:12">
      <c r="A73" s="470"/>
      <c r="L73" s="1951"/>
    </row>
    <row r="74" spans="1:12" ht="14.85" customHeight="1">
      <c r="A74" s="453" t="s">
        <v>1369</v>
      </c>
      <c r="L74" s="1951"/>
    </row>
    <row r="75" spans="1:12">
      <c r="A75" s="470"/>
      <c r="L75" s="1951"/>
    </row>
    <row r="76" spans="1:12">
      <c r="A76" s="461">
        <v>3</v>
      </c>
      <c r="B76" s="456" t="s">
        <v>1370</v>
      </c>
      <c r="L76" s="1951"/>
    </row>
    <row r="77" spans="1:12">
      <c r="B77" s="467"/>
      <c r="L77" s="1951"/>
    </row>
    <row r="78" spans="1:12" ht="15" customHeight="1">
      <c r="A78" s="468" t="s">
        <v>1355</v>
      </c>
      <c r="B78" s="1955" t="s">
        <v>1371</v>
      </c>
      <c r="C78" s="1955"/>
      <c r="D78" s="1955"/>
      <c r="E78" s="1955"/>
      <c r="F78" s="1955"/>
      <c r="G78" s="1955"/>
      <c r="H78" s="1955"/>
      <c r="I78" s="1955"/>
      <c r="J78" s="1955"/>
      <c r="K78" s="1955"/>
      <c r="L78" s="1951"/>
    </row>
    <row r="79" spans="1:12">
      <c r="A79" s="468"/>
      <c r="B79" s="1955"/>
      <c r="C79" s="1955"/>
      <c r="D79" s="1955"/>
      <c r="E79" s="1955"/>
      <c r="F79" s="1955"/>
      <c r="G79" s="1955"/>
      <c r="H79" s="1955"/>
      <c r="I79" s="1955"/>
      <c r="J79" s="1955"/>
      <c r="K79" s="1955"/>
      <c r="L79" s="1951"/>
    </row>
    <row r="80" spans="1:12">
      <c r="A80" s="459"/>
      <c r="B80" s="471"/>
      <c r="C80" s="24" t="s">
        <v>347</v>
      </c>
      <c r="E80" s="24" t="s">
        <v>1357</v>
      </c>
      <c r="L80" s="1951"/>
    </row>
    <row r="81" spans="1:19">
      <c r="A81" s="459"/>
      <c r="B81" s="460"/>
      <c r="C81" s="24" t="s">
        <v>395</v>
      </c>
      <c r="L81" s="1951"/>
    </row>
    <row r="82" spans="1:19">
      <c r="L82" s="1951"/>
    </row>
    <row r="83" spans="1:19">
      <c r="A83" s="453" t="s">
        <v>1372</v>
      </c>
    </row>
    <row r="84" spans="1:19" ht="1.5" customHeight="1">
      <c r="A84" s="453"/>
    </row>
    <row r="85" spans="1:19">
      <c r="A85" s="461">
        <v>4</v>
      </c>
      <c r="B85" s="456" t="s">
        <v>1373</v>
      </c>
    </row>
    <row r="86" spans="1:19" ht="7.5" customHeight="1">
      <c r="B86" s="467"/>
    </row>
    <row r="87" spans="1:19">
      <c r="A87" s="468" t="s">
        <v>1355</v>
      </c>
      <c r="B87" s="469" t="s">
        <v>1374</v>
      </c>
      <c r="C87" s="242"/>
    </row>
    <row r="88" spans="1:19">
      <c r="A88" s="470"/>
      <c r="B88" s="471"/>
      <c r="C88" s="24" t="s">
        <v>1375</v>
      </c>
    </row>
    <row r="89" spans="1:19">
      <c r="A89" s="470"/>
      <c r="B89" s="471"/>
      <c r="C89" s="24" t="s">
        <v>1376</v>
      </c>
    </row>
    <row r="90" spans="1:19">
      <c r="B90" s="460"/>
      <c r="C90" s="24" t="s">
        <v>395</v>
      </c>
    </row>
    <row r="91" spans="1:19">
      <c r="A91" s="453"/>
      <c r="L91" s="1951"/>
    </row>
    <row r="92" spans="1:19">
      <c r="A92" s="461">
        <v>4.0999999999999996</v>
      </c>
      <c r="B92" s="456" t="s">
        <v>1377</v>
      </c>
      <c r="L92" s="1951"/>
    </row>
    <row r="93" spans="1:19">
      <c r="A93" s="453"/>
      <c r="L93" s="1951"/>
    </row>
    <row r="94" spans="1:19" ht="13.5" customHeight="1">
      <c r="A94" s="468" t="s">
        <v>1378</v>
      </c>
      <c r="B94" s="1955" t="s">
        <v>1379</v>
      </c>
      <c r="C94" s="1955"/>
      <c r="D94" s="1955"/>
      <c r="E94" s="1955"/>
      <c r="F94" s="1955"/>
      <c r="G94" s="1955"/>
      <c r="H94" s="1955"/>
      <c r="I94" s="1955"/>
      <c r="J94" s="1955"/>
      <c r="K94" s="1955"/>
      <c r="L94" s="1951"/>
      <c r="M94" s="473"/>
      <c r="N94" s="473"/>
      <c r="O94" s="473"/>
      <c r="P94" s="473"/>
      <c r="Q94" s="473"/>
      <c r="R94" s="474"/>
      <c r="S94" s="474"/>
    </row>
    <row r="95" spans="1:19">
      <c r="A95" s="470"/>
      <c r="B95" s="1955"/>
      <c r="C95" s="1955"/>
      <c r="D95" s="1955"/>
      <c r="E95" s="1955"/>
      <c r="F95" s="1955"/>
      <c r="G95" s="1955"/>
      <c r="H95" s="1955"/>
      <c r="I95" s="1955"/>
      <c r="J95" s="1955"/>
      <c r="K95" s="1955"/>
      <c r="L95" s="1951"/>
      <c r="M95" s="473"/>
      <c r="N95" s="473"/>
      <c r="O95" s="473"/>
      <c r="P95" s="473"/>
      <c r="Q95" s="473"/>
      <c r="R95" s="474"/>
      <c r="S95" s="474"/>
    </row>
    <row r="96" spans="1:19" ht="34.5" customHeight="1">
      <c r="A96" s="470"/>
      <c r="B96" s="1955"/>
      <c r="C96" s="1955"/>
      <c r="D96" s="1955"/>
      <c r="E96" s="1955"/>
      <c r="F96" s="1955"/>
      <c r="G96" s="1955"/>
      <c r="H96" s="1955"/>
      <c r="I96" s="1955"/>
      <c r="J96" s="1955"/>
      <c r="K96" s="1955"/>
      <c r="L96" s="1951"/>
      <c r="M96" s="473"/>
      <c r="N96" s="473"/>
      <c r="O96" s="473"/>
      <c r="P96" s="473"/>
      <c r="Q96" s="473"/>
      <c r="R96" s="474"/>
      <c r="S96" s="474"/>
    </row>
    <row r="97" spans="1:17">
      <c r="A97" s="470"/>
      <c r="B97" s="471"/>
      <c r="C97" s="24" t="s">
        <v>347</v>
      </c>
      <c r="E97" s="24" t="s">
        <v>1357</v>
      </c>
      <c r="L97" s="1951"/>
    </row>
    <row r="98" spans="1:17">
      <c r="A98" s="470"/>
      <c r="B98" s="460"/>
      <c r="C98" s="24" t="s">
        <v>395</v>
      </c>
      <c r="L98" s="1951"/>
    </row>
    <row r="99" spans="1:17">
      <c r="L99" s="1951"/>
    </row>
    <row r="100" spans="1:17" ht="20.85" customHeight="1">
      <c r="A100" s="470" t="s">
        <v>1380</v>
      </c>
      <c r="B100" s="1956" t="s">
        <v>1381</v>
      </c>
      <c r="C100" s="1956"/>
      <c r="D100" s="1956"/>
      <c r="E100" s="1956"/>
      <c r="F100" s="1956"/>
      <c r="G100" s="1956"/>
      <c r="H100" s="1956"/>
      <c r="I100" s="1956"/>
      <c r="J100" s="1956"/>
      <c r="K100" s="1956"/>
      <c r="L100" s="1951"/>
      <c r="M100" s="473"/>
      <c r="N100" s="473"/>
      <c r="O100" s="473"/>
      <c r="P100" s="473"/>
      <c r="Q100" s="473"/>
    </row>
    <row r="101" spans="1:17" ht="19.350000000000001" customHeight="1">
      <c r="A101" s="470"/>
      <c r="B101" s="1956"/>
      <c r="C101" s="1956"/>
      <c r="D101" s="1956"/>
      <c r="E101" s="1956"/>
      <c r="F101" s="1956"/>
      <c r="G101" s="1956"/>
      <c r="H101" s="1956"/>
      <c r="I101" s="1956"/>
      <c r="J101" s="1956"/>
      <c r="K101" s="1956"/>
      <c r="L101" s="1951"/>
      <c r="M101" s="473"/>
      <c r="N101" s="473"/>
      <c r="O101" s="473"/>
      <c r="P101" s="473"/>
      <c r="Q101" s="473"/>
    </row>
    <row r="102" spans="1:17" ht="20.100000000000001" customHeight="1">
      <c r="A102" s="470"/>
      <c r="B102" s="1956"/>
      <c r="C102" s="1956"/>
      <c r="D102" s="1956"/>
      <c r="E102" s="1956"/>
      <c r="F102" s="1956"/>
      <c r="G102" s="1956"/>
      <c r="H102" s="1956"/>
      <c r="I102" s="1956"/>
      <c r="J102" s="1956"/>
      <c r="K102" s="1956"/>
      <c r="L102" s="1951"/>
      <c r="M102" s="475"/>
      <c r="N102" s="475"/>
      <c r="O102" s="475"/>
      <c r="P102" s="475"/>
      <c r="Q102" s="475"/>
    </row>
    <row r="103" spans="1:17">
      <c r="A103" s="470"/>
      <c r="B103" s="471"/>
      <c r="C103" s="24" t="s">
        <v>347</v>
      </c>
      <c r="E103" s="24" t="s">
        <v>1357</v>
      </c>
      <c r="L103" s="1951"/>
    </row>
    <row r="104" spans="1:17">
      <c r="A104" s="470"/>
      <c r="B104" s="460"/>
      <c r="C104" s="24" t="s">
        <v>395</v>
      </c>
      <c r="L104" s="1951"/>
    </row>
    <row r="105" spans="1:17">
      <c r="L105" s="1951"/>
    </row>
    <row r="106" spans="1:17">
      <c r="A106" s="455">
        <v>5</v>
      </c>
      <c r="B106" s="456" t="s">
        <v>1382</v>
      </c>
      <c r="C106" s="457"/>
      <c r="D106" s="458"/>
      <c r="E106" s="458"/>
      <c r="F106" s="458"/>
      <c r="G106" s="458"/>
      <c r="H106" s="458"/>
      <c r="I106" s="458"/>
      <c r="J106" s="458"/>
      <c r="K106" s="458"/>
      <c r="L106" s="1951"/>
    </row>
    <row r="107" spans="1:17">
      <c r="A107" s="467"/>
      <c r="B107" s="471"/>
      <c r="C107" s="24" t="s">
        <v>1383</v>
      </c>
      <c r="L107" s="1951"/>
    </row>
    <row r="108" spans="1:17">
      <c r="B108" s="460"/>
      <c r="C108" s="24" t="s">
        <v>1384</v>
      </c>
      <c r="L108" s="1951"/>
    </row>
    <row r="109" spans="1:17">
      <c r="A109" s="459"/>
      <c r="B109" s="460"/>
      <c r="C109" s="24" t="s">
        <v>1385</v>
      </c>
    </row>
    <row r="110" spans="1:17">
      <c r="B110" s="460"/>
      <c r="C110" s="24" t="s">
        <v>11</v>
      </c>
      <c r="E110" s="24" t="s">
        <v>1365</v>
      </c>
    </row>
    <row r="111" spans="1:17">
      <c r="B111" s="476"/>
      <c r="C111" s="24" t="s">
        <v>1106</v>
      </c>
    </row>
    <row r="112" spans="1:17">
      <c r="A112" s="459"/>
      <c r="B112" s="459"/>
      <c r="K112" s="465"/>
    </row>
  </sheetData>
  <mergeCells count="17">
    <mergeCell ref="L91:L99"/>
    <mergeCell ref="B94:K96"/>
    <mergeCell ref="B100:K102"/>
    <mergeCell ref="L100:L108"/>
    <mergeCell ref="B53:K53"/>
    <mergeCell ref="L53:L56"/>
    <mergeCell ref="B57:K58"/>
    <mergeCell ref="L57:L60"/>
    <mergeCell ref="L68:L73"/>
    <mergeCell ref="L74:L82"/>
    <mergeCell ref="B78:K79"/>
    <mergeCell ref="L51:L52"/>
    <mergeCell ref="AP4:AV4"/>
    <mergeCell ref="A10:K10"/>
    <mergeCell ref="B25:K26"/>
    <mergeCell ref="L40:L49"/>
    <mergeCell ref="B46:K47"/>
  </mergeCells>
  <pageMargins left="0.70866141732283472" right="0.70866141732283472" top="0.59055118110236227" bottom="0.70866141732283472" header="0.31496062992125984" footer="0.31496062992125984"/>
  <pageSetup paperSize="9" scale="78" fitToHeight="0" orientation="portrait" horizontalDpi="1200" verticalDpi="1200" r:id="rId1"/>
  <headerFooter>
    <oddFooter>&amp;L&amp;G&amp;R&amp;G</oddFooter>
  </headerFooter>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8">
    <tabColor rgb="FF00B0F0"/>
  </sheetPr>
  <dimension ref="A1:AD92"/>
  <sheetViews>
    <sheetView workbookViewId="0"/>
  </sheetViews>
  <sheetFormatPr baseColWidth="10" defaultRowHeight="15"/>
  <cols>
    <col min="1" max="30" width="5.140625" customWidth="1"/>
  </cols>
  <sheetData>
    <row r="1" spans="1:30"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+RESULTADOS!Z12</f>
        <v>0</v>
      </c>
      <c r="AA1" s="1388"/>
      <c r="AB1" s="1388"/>
      <c r="AC1" s="1388"/>
      <c r="AD1" s="1388"/>
    </row>
    <row r="2" spans="1:30"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+RESULTADOS!Z13</f>
        <v>XXXX-26</v>
      </c>
      <c r="AA2" s="1388"/>
      <c r="AB2" s="1388"/>
      <c r="AC2" s="1388"/>
      <c r="AD2" s="1388"/>
    </row>
    <row r="3" spans="1:30"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+RESULTADOS!Z14</f>
        <v>0</v>
      </c>
      <c r="AA3" s="1026"/>
      <c r="AB3" s="1026"/>
      <c r="AC3" s="1026"/>
      <c r="AD3" s="1026"/>
    </row>
    <row r="4" spans="1:30"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+RESULTADOS!Z15</f>
        <v>365</v>
      </c>
      <c r="AA4" s="1026"/>
      <c r="AB4" s="1026"/>
      <c r="AC4" s="1026"/>
      <c r="AD4" s="1026"/>
    </row>
    <row r="5" spans="1:30" ht="18">
      <c r="A5" s="1312" t="s">
        <v>959</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row>
    <row r="6" spans="1:30">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row>
    <row r="7" spans="1:30">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row>
    <row r="8" spans="1:30">
      <c r="A8" s="24"/>
      <c r="B8" s="123"/>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row>
    <row r="9" spans="1:30">
      <c r="A9" s="124"/>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24"/>
      <c r="AD9" s="24"/>
    </row>
    <row r="10" spans="1:30">
      <c r="A10" s="125"/>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row>
    <row r="11" spans="1:30">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row>
    <row r="12" spans="1:30">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row>
    <row r="13" spans="1:30">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row>
    <row r="14" spans="1:30">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row>
    <row r="15" spans="1:30">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row>
    <row r="16" spans="1:30">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row>
    <row r="17" spans="1:30">
      <c r="A17" s="124"/>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row>
    <row r="18" spans="1:30">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row>
    <row r="19" spans="1:30">
      <c r="A19" s="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row>
    <row r="20" spans="1:30">
      <c r="A20" s="126"/>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row>
    <row r="21" spans="1:30">
      <c r="A21" s="24"/>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row>
    <row r="22" spans="1:30">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row>
    <row r="23" spans="1:30">
      <c r="A23" s="126"/>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row>
    <row r="24" spans="1:30">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row>
    <row r="25" spans="1:30">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row>
    <row r="26" spans="1:30">
      <c r="A26" s="127"/>
      <c r="B26" s="1958"/>
      <c r="C26" s="1958"/>
      <c r="D26" s="1958"/>
      <c r="E26" s="1958"/>
      <c r="F26" s="1958"/>
      <c r="G26" s="1958"/>
      <c r="H26" s="1958"/>
      <c r="I26" s="1958"/>
      <c r="J26" s="1958"/>
      <c r="K26" s="1958"/>
      <c r="L26" s="1958"/>
      <c r="M26" s="1958"/>
      <c r="N26" s="1958"/>
      <c r="O26" s="125"/>
      <c r="P26" s="24"/>
      <c r="Q26" s="1958"/>
      <c r="R26" s="1958"/>
      <c r="S26" s="1958"/>
      <c r="T26" s="1958"/>
      <c r="U26" s="1958"/>
      <c r="V26" s="1958"/>
      <c r="W26" s="1958"/>
      <c r="X26" s="1958"/>
      <c r="Y26" s="1958"/>
      <c r="Z26" s="1958"/>
      <c r="AA26" s="1958"/>
      <c r="AB26" s="1958"/>
      <c r="AC26" s="1958"/>
      <c r="AD26" s="24"/>
    </row>
    <row r="27" spans="1:30">
      <c r="A27" s="24"/>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row>
    <row r="28" spans="1:30">
      <c r="A28" s="24"/>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row>
    <row r="29" spans="1:30">
      <c r="A29" s="127"/>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row>
    <row r="30" spans="1:30">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row>
    <row r="31" spans="1:30">
      <c r="A31" s="24"/>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row>
    <row r="32" spans="1:30">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row>
    <row r="33" spans="1:30">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row>
    <row r="34" spans="1:30">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row>
    <row r="35" spans="1:30">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row>
    <row r="36" spans="1:30">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row>
    <row r="37" spans="1:30">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row>
    <row r="38" spans="1:30">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row>
    <row r="39" spans="1:30">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row>
    <row r="40" spans="1:30">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row>
    <row r="41" spans="1:30">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row>
    <row r="42" spans="1:30">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row>
    <row r="43" spans="1:30">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row>
    <row r="44" spans="1:30">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24"/>
      <c r="AD44" s="24"/>
    </row>
    <row r="45" spans="1:30">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24"/>
      <c r="AD45" s="24"/>
    </row>
    <row r="46" spans="1:30">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24"/>
      <c r="AD46" s="24"/>
    </row>
    <row r="47" spans="1:30">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24"/>
      <c r="AD47" s="24"/>
    </row>
    <row r="48" spans="1:30">
      <c r="A48" s="24"/>
      <c r="B48" s="1958"/>
      <c r="C48" s="1958"/>
      <c r="D48" s="1958"/>
      <c r="E48" s="1958"/>
      <c r="F48" s="1958"/>
      <c r="G48" s="1958"/>
      <c r="H48" s="1958"/>
      <c r="I48" s="1958"/>
      <c r="J48" s="1958"/>
      <c r="K48" s="1958"/>
      <c r="L48" s="1958"/>
      <c r="M48" s="1958"/>
      <c r="N48" s="1958"/>
      <c r="O48" s="125"/>
      <c r="P48" s="24"/>
      <c r="Q48" s="1958"/>
      <c r="R48" s="1958"/>
      <c r="S48" s="1958"/>
      <c r="T48" s="1958"/>
      <c r="U48" s="1958"/>
      <c r="V48" s="1958"/>
      <c r="W48" s="1958"/>
      <c r="X48" s="1958"/>
      <c r="Y48" s="1958"/>
      <c r="Z48" s="1958"/>
      <c r="AA48" s="1958"/>
      <c r="AB48" s="1958"/>
      <c r="AC48" s="1958"/>
      <c r="AD48" s="24"/>
    </row>
    <row r="49" spans="1:30">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spans="1:30">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row>
    <row r="51" spans="1:30">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row>
    <row r="52" spans="1:30">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row>
    <row r="53" spans="1:30">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row>
    <row r="54" spans="1:30">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row>
    <row r="55" spans="1:30">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row>
    <row r="56" spans="1:30">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row>
    <row r="57" spans="1:30">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row>
    <row r="58" spans="1:30">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row>
    <row r="59" spans="1:30">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row>
    <row r="60" spans="1:30">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row>
    <row r="61" spans="1:30">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row>
    <row r="62" spans="1:30">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row>
    <row r="63" spans="1:30">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row>
    <row r="64" spans="1:30">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row>
    <row r="65" spans="1:30">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row>
    <row r="66" spans="1:30">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row>
    <row r="67" spans="1:30">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row>
    <row r="68" spans="1:30">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row>
    <row r="69" spans="1:30">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row>
    <row r="70" spans="1:30">
      <c r="A70" s="24"/>
      <c r="B70" s="1958"/>
      <c r="C70" s="1958"/>
      <c r="D70" s="1958"/>
      <c r="E70" s="1958"/>
      <c r="F70" s="1958"/>
      <c r="G70" s="1958"/>
      <c r="H70" s="1958"/>
      <c r="I70" s="1958"/>
      <c r="J70" s="1958"/>
      <c r="K70" s="1958"/>
      <c r="L70" s="1958"/>
      <c r="M70" s="1958"/>
      <c r="N70" s="1958"/>
      <c r="O70" s="125"/>
      <c r="P70" s="24"/>
      <c r="Q70" s="1958"/>
      <c r="R70" s="1958"/>
      <c r="S70" s="1958"/>
      <c r="T70" s="1958"/>
      <c r="U70" s="1958"/>
      <c r="V70" s="1958"/>
      <c r="W70" s="1958"/>
      <c r="X70" s="1958"/>
      <c r="Y70" s="1958"/>
      <c r="Z70" s="1958"/>
      <c r="AA70" s="1958"/>
      <c r="AB70" s="1958"/>
      <c r="AC70" s="1958"/>
      <c r="AD70" s="24"/>
    </row>
    <row r="71" spans="1:30">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row>
    <row r="72" spans="1:30">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row>
    <row r="73" spans="1:30">
      <c r="A73" s="24"/>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24"/>
      <c r="AD73" s="24"/>
    </row>
    <row r="74" spans="1:30">
      <c r="A74" s="24"/>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24"/>
      <c r="AD74" s="24"/>
    </row>
    <row r="75" spans="1:30">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row>
    <row r="76" spans="1:30">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row>
    <row r="77" spans="1:30">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row>
    <row r="78" spans="1:30">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row>
    <row r="79" spans="1:30">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row>
    <row r="80" spans="1:30">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row>
    <row r="81" spans="1:30">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row>
    <row r="82" spans="1:30">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row>
    <row r="83" spans="1:30">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row>
    <row r="84" spans="1:30">
      <c r="A84" s="24"/>
      <c r="B84" s="123"/>
      <c r="C84" s="123"/>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spans="1:30">
      <c r="A85" s="24"/>
      <c r="B85" s="123"/>
      <c r="C85" s="123"/>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spans="1:30">
      <c r="A86" s="24"/>
      <c r="B86" s="123"/>
      <c r="C86" s="123"/>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spans="1:30">
      <c r="A87" s="24"/>
      <c r="B87" s="123"/>
      <c r="C87" s="123"/>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spans="1:30">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spans="1:30">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spans="1:3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spans="1:30">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spans="1:30">
      <c r="A92" s="24"/>
      <c r="B92" s="1958"/>
      <c r="C92" s="1958"/>
      <c r="D92" s="1958"/>
      <c r="E92" s="1958"/>
      <c r="F92" s="1958"/>
      <c r="G92" s="1958"/>
      <c r="H92" s="1958"/>
      <c r="I92" s="1958"/>
      <c r="J92" s="1958"/>
      <c r="K92" s="1958"/>
      <c r="L92" s="1958"/>
      <c r="M92" s="1958"/>
      <c r="N92" s="1958"/>
      <c r="O92" s="24"/>
      <c r="P92" s="24"/>
      <c r="Q92" s="1958"/>
      <c r="R92" s="1958"/>
      <c r="S92" s="1958"/>
      <c r="T92" s="1958"/>
      <c r="U92" s="1958"/>
      <c r="V92" s="1958"/>
      <c r="W92" s="1958"/>
      <c r="X92" s="1958"/>
      <c r="Y92" s="1958"/>
      <c r="Z92" s="1958"/>
      <c r="AA92" s="1958"/>
      <c r="AB92" s="1958"/>
      <c r="AC92" s="1958"/>
      <c r="AD92" s="24"/>
    </row>
  </sheetData>
  <mergeCells count="17">
    <mergeCell ref="B70:N70"/>
    <mergeCell ref="Q70:AC70"/>
    <mergeCell ref="B92:N92"/>
    <mergeCell ref="Q92:AC92"/>
    <mergeCell ref="T4:X4"/>
    <mergeCell ref="Z4:AD4"/>
    <mergeCell ref="B26:N26"/>
    <mergeCell ref="Q26:AC26"/>
    <mergeCell ref="B48:N48"/>
    <mergeCell ref="Q48:AC48"/>
    <mergeCell ref="A5:AD5"/>
    <mergeCell ref="T1:X1"/>
    <mergeCell ref="Z1:AD1"/>
    <mergeCell ref="T2:X2"/>
    <mergeCell ref="Z2:AD2"/>
    <mergeCell ref="T3:X3"/>
    <mergeCell ref="Z3:AD3"/>
  </mergeCells>
  <conditionalFormatting sqref="Y53">
    <cfRule type="expression" dxfId="20" priority="2">
      <formula>$U$38=""</formula>
    </cfRule>
  </conditionalFormatting>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2">
    <tabColor rgb="FF00B0F0"/>
  </sheetPr>
  <dimension ref="A1:AD92"/>
  <sheetViews>
    <sheetView workbookViewId="0"/>
  </sheetViews>
  <sheetFormatPr baseColWidth="10" defaultRowHeight="15"/>
  <cols>
    <col min="1" max="30" width="5.140625" customWidth="1"/>
  </cols>
  <sheetData>
    <row r="1" spans="1:30"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+FOTO!Z1</f>
        <v>0</v>
      </c>
      <c r="AA1" s="1388"/>
      <c r="AB1" s="1388"/>
      <c r="AC1" s="1388"/>
      <c r="AD1" s="1388"/>
    </row>
    <row r="2" spans="1:30"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+RESULTADOS!Z13</f>
        <v>XXXX-26</v>
      </c>
      <c r="AA2" s="1388"/>
      <c r="AB2" s="1388"/>
      <c r="AC2" s="1388"/>
      <c r="AD2" s="1388"/>
    </row>
    <row r="3" spans="1:30"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+RESULTADOS!Z14</f>
        <v>0</v>
      </c>
      <c r="AA3" s="1026"/>
      <c r="AB3" s="1026"/>
      <c r="AC3" s="1026"/>
      <c r="AD3" s="1026"/>
    </row>
    <row r="4" spans="1:30"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+RESULTADOS!Z15</f>
        <v>365</v>
      </c>
      <c r="AA4" s="1026"/>
      <c r="AB4" s="1026"/>
      <c r="AC4" s="1026"/>
      <c r="AD4" s="1026"/>
    </row>
    <row r="5" spans="1:30" ht="18">
      <c r="A5" s="1312" t="s">
        <v>959</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row>
    <row r="6" spans="1:30">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row>
    <row r="7" spans="1:30">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row>
    <row r="8" spans="1:30">
      <c r="A8" s="24"/>
      <c r="B8" s="123"/>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row>
    <row r="9" spans="1:30">
      <c r="A9" s="124"/>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24"/>
      <c r="AD9" s="24"/>
    </row>
    <row r="10" spans="1:30">
      <c r="A10" s="125"/>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row>
    <row r="11" spans="1:30">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row>
    <row r="12" spans="1:30">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row>
    <row r="13" spans="1:30">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row>
    <row r="14" spans="1:30">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row>
    <row r="15" spans="1:30">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row>
    <row r="16" spans="1:30">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row>
    <row r="17" spans="1:30">
      <c r="A17" s="124"/>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row>
    <row r="18" spans="1:30">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row>
    <row r="19" spans="1:30">
      <c r="A19" s="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row>
    <row r="20" spans="1:30">
      <c r="A20" s="126"/>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row>
    <row r="21" spans="1:30">
      <c r="A21" s="24"/>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row>
    <row r="22" spans="1:30">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row>
    <row r="23" spans="1:30">
      <c r="A23" s="126"/>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row>
    <row r="24" spans="1:30">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row>
    <row r="25" spans="1:30">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row>
    <row r="26" spans="1:30">
      <c r="A26" s="127"/>
      <c r="B26" s="1958"/>
      <c r="C26" s="1958"/>
      <c r="D26" s="1958"/>
      <c r="E26" s="1958"/>
      <c r="F26" s="1958"/>
      <c r="G26" s="1958"/>
      <c r="H26" s="1958"/>
      <c r="I26" s="1958"/>
      <c r="J26" s="1958"/>
      <c r="K26" s="1958"/>
      <c r="L26" s="1958"/>
      <c r="M26" s="1958"/>
      <c r="N26" s="1958"/>
      <c r="O26" s="125"/>
      <c r="P26" s="24"/>
      <c r="Q26" s="1958"/>
      <c r="R26" s="1958"/>
      <c r="S26" s="1958"/>
      <c r="T26" s="1958"/>
      <c r="U26" s="1958"/>
      <c r="V26" s="1958"/>
      <c r="W26" s="1958"/>
      <c r="X26" s="1958"/>
      <c r="Y26" s="1958"/>
      <c r="Z26" s="1958"/>
      <c r="AA26" s="1958"/>
      <c r="AB26" s="1958"/>
      <c r="AC26" s="1958"/>
      <c r="AD26" s="24"/>
    </row>
    <row r="27" spans="1:30">
      <c r="A27" s="24"/>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row>
    <row r="28" spans="1:30">
      <c r="A28" s="24"/>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row>
    <row r="29" spans="1:30">
      <c r="A29" s="127"/>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row>
    <row r="30" spans="1:30">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row>
    <row r="31" spans="1:30">
      <c r="A31" s="24"/>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row>
    <row r="32" spans="1:30">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row>
    <row r="33" spans="1:30">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row>
    <row r="34" spans="1:30">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row>
    <row r="35" spans="1:30">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row>
    <row r="36" spans="1:30">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row>
    <row r="37" spans="1:30">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row>
    <row r="38" spans="1:30">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row>
    <row r="39" spans="1:30">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row>
    <row r="40" spans="1:30">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row>
    <row r="41" spans="1:30">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row>
    <row r="42" spans="1:30">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row>
    <row r="43" spans="1:30">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row>
    <row r="44" spans="1:30">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24"/>
      <c r="AD44" s="24"/>
    </row>
    <row r="45" spans="1:30">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24"/>
      <c r="AD45" s="24"/>
    </row>
    <row r="46" spans="1:30">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24"/>
      <c r="AD46" s="24"/>
    </row>
    <row r="47" spans="1:30">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24"/>
      <c r="AD47" s="24"/>
    </row>
    <row r="48" spans="1:30">
      <c r="A48" s="24"/>
      <c r="B48" s="1958"/>
      <c r="C48" s="1958"/>
      <c r="D48" s="1958"/>
      <c r="E48" s="1958"/>
      <c r="F48" s="1958"/>
      <c r="G48" s="1958"/>
      <c r="H48" s="1958"/>
      <c r="I48" s="1958"/>
      <c r="J48" s="1958"/>
      <c r="K48" s="1958"/>
      <c r="L48" s="1958"/>
      <c r="M48" s="1958"/>
      <c r="N48" s="1958"/>
      <c r="O48" s="125"/>
      <c r="P48" s="24"/>
      <c r="Q48" s="1958"/>
      <c r="R48" s="1958"/>
      <c r="S48" s="1958"/>
      <c r="T48" s="1958"/>
      <c r="U48" s="1958"/>
      <c r="V48" s="1958"/>
      <c r="W48" s="1958"/>
      <c r="X48" s="1958"/>
      <c r="Y48" s="1958"/>
      <c r="Z48" s="1958"/>
      <c r="AA48" s="1958"/>
      <c r="AB48" s="1958"/>
      <c r="AC48" s="1958"/>
      <c r="AD48" s="24"/>
    </row>
    <row r="49" spans="1:30">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spans="1:30">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row>
    <row r="51" spans="1:30">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row>
    <row r="52" spans="1:30">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row>
    <row r="53" spans="1:30">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row>
    <row r="54" spans="1:30">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row>
    <row r="55" spans="1:30">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row>
    <row r="56" spans="1:30">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row>
    <row r="57" spans="1:30">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row>
    <row r="58" spans="1:30">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row>
    <row r="59" spans="1:30">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row>
    <row r="60" spans="1:30">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row>
    <row r="61" spans="1:30">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row>
    <row r="62" spans="1:30">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row>
    <row r="63" spans="1:30">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row>
    <row r="64" spans="1:30">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row>
    <row r="65" spans="1:30">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row>
    <row r="66" spans="1:30">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row>
    <row r="67" spans="1:30">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row>
    <row r="68" spans="1:30">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row>
    <row r="69" spans="1:30">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row>
    <row r="70" spans="1:30">
      <c r="A70" s="24"/>
      <c r="B70" s="1958"/>
      <c r="C70" s="1958"/>
      <c r="D70" s="1958"/>
      <c r="E70" s="1958"/>
      <c r="F70" s="1958"/>
      <c r="G70" s="1958"/>
      <c r="H70" s="1958"/>
      <c r="I70" s="1958"/>
      <c r="J70" s="1958"/>
      <c r="K70" s="1958"/>
      <c r="L70" s="1958"/>
      <c r="M70" s="1958"/>
      <c r="N70" s="1958"/>
      <c r="O70" s="125"/>
      <c r="P70" s="24"/>
      <c r="Q70" s="1958"/>
      <c r="R70" s="1958"/>
      <c r="S70" s="1958"/>
      <c r="T70" s="1958"/>
      <c r="U70" s="1958"/>
      <c r="V70" s="1958"/>
      <c r="W70" s="1958"/>
      <c r="X70" s="1958"/>
      <c r="Y70" s="1958"/>
      <c r="Z70" s="1958"/>
      <c r="AA70" s="1958"/>
      <c r="AB70" s="1958"/>
      <c r="AC70" s="1958"/>
      <c r="AD70" s="24"/>
    </row>
    <row r="71" spans="1:30">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row>
    <row r="72" spans="1:30">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row>
    <row r="73" spans="1:30">
      <c r="A73" s="24"/>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24"/>
      <c r="AD73" s="24"/>
    </row>
    <row r="74" spans="1:30">
      <c r="A74" s="24"/>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24"/>
      <c r="AD74" s="24"/>
    </row>
    <row r="75" spans="1:30">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row>
    <row r="76" spans="1:30">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row>
    <row r="77" spans="1:30">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row>
    <row r="78" spans="1:30">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row>
    <row r="79" spans="1:30">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row>
    <row r="80" spans="1:30">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row>
    <row r="81" spans="1:30">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row>
    <row r="82" spans="1:30">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row>
    <row r="83" spans="1:30">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row>
    <row r="84" spans="1:30">
      <c r="A84" s="24"/>
      <c r="B84" s="123"/>
      <c r="C84" s="123"/>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spans="1:30">
      <c r="A85" s="24"/>
      <c r="B85" s="123"/>
      <c r="C85" s="123"/>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spans="1:30">
      <c r="A86" s="24"/>
      <c r="B86" s="123"/>
      <c r="C86" s="123"/>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spans="1:30">
      <c r="A87" s="24"/>
      <c r="B87" s="123"/>
      <c r="C87" s="123"/>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spans="1:30">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spans="1:30">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spans="1:3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spans="1:30">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spans="1:30">
      <c r="A92" s="24"/>
      <c r="B92" s="1958"/>
      <c r="C92" s="1958"/>
      <c r="D92" s="1958"/>
      <c r="E92" s="1958"/>
      <c r="F92" s="1958"/>
      <c r="G92" s="1958"/>
      <c r="H92" s="1958"/>
      <c r="I92" s="1958"/>
      <c r="J92" s="1958"/>
      <c r="K92" s="1958"/>
      <c r="L92" s="1958"/>
      <c r="M92" s="1958"/>
      <c r="N92" s="1958"/>
      <c r="O92" s="24"/>
      <c r="P92" s="24"/>
      <c r="Q92" s="1958"/>
      <c r="R92" s="1958"/>
      <c r="S92" s="1958"/>
      <c r="T92" s="1958"/>
      <c r="U92" s="1958"/>
      <c r="V92" s="1958"/>
      <c r="W92" s="1958"/>
      <c r="X92" s="1958"/>
      <c r="Y92" s="1958"/>
      <c r="Z92" s="1958"/>
      <c r="AA92" s="1958"/>
      <c r="AB92" s="1958"/>
      <c r="AC92" s="1958"/>
      <c r="AD92" s="24"/>
    </row>
  </sheetData>
  <mergeCells count="17">
    <mergeCell ref="T1:X1"/>
    <mergeCell ref="Z1:AD1"/>
    <mergeCell ref="T2:X2"/>
    <mergeCell ref="Z2:AD2"/>
    <mergeCell ref="A5:AD5"/>
    <mergeCell ref="B26:N26"/>
    <mergeCell ref="Q26:AC26"/>
    <mergeCell ref="T3:X3"/>
    <mergeCell ref="Z3:AD3"/>
    <mergeCell ref="T4:X4"/>
    <mergeCell ref="Z4:AD4"/>
    <mergeCell ref="B92:N92"/>
    <mergeCell ref="Q92:AC92"/>
    <mergeCell ref="B48:N48"/>
    <mergeCell ref="Q48:AC48"/>
    <mergeCell ref="B70:N70"/>
    <mergeCell ref="Q70:AC70"/>
  </mergeCells>
  <conditionalFormatting sqref="Y53">
    <cfRule type="expression" dxfId="19" priority="2">
      <formula>$U$38=""</formula>
    </cfRule>
  </conditionalFormatting>
  <pageMargins left="0.70866141732283472" right="0.70866141732283472" top="0.74803149606299213" bottom="0.74803149606299213" header="0.31496062992125984" footer="0.31496062992125984"/>
  <pageSetup paperSize="9" scale="54"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C66C-4D29-4547-A097-734612863DCC}">
  <sheetPr>
    <tabColor rgb="FF00B0F0"/>
  </sheetPr>
  <dimension ref="A1:AD92"/>
  <sheetViews>
    <sheetView workbookViewId="0"/>
  </sheetViews>
  <sheetFormatPr baseColWidth="10" defaultRowHeight="15"/>
  <cols>
    <col min="1" max="30" width="5.140625" customWidth="1"/>
  </cols>
  <sheetData>
    <row r="1" spans="1:30"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+RESULTADOS!Z12</f>
        <v>0</v>
      </c>
      <c r="AA1" s="1388"/>
      <c r="AB1" s="1388"/>
      <c r="AC1" s="1388"/>
      <c r="AD1" s="1388"/>
    </row>
    <row r="2" spans="1:30"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+RESULTADOS!Z13</f>
        <v>XXXX-26</v>
      </c>
      <c r="AA2" s="1388"/>
      <c r="AB2" s="1388"/>
      <c r="AC2" s="1388"/>
      <c r="AD2" s="1388"/>
    </row>
    <row r="3" spans="1:30"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+RESULTADOS!Z14</f>
        <v>0</v>
      </c>
      <c r="AA3" s="1026"/>
      <c r="AB3" s="1026"/>
      <c r="AC3" s="1026"/>
      <c r="AD3" s="1026"/>
    </row>
    <row r="4" spans="1:30"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+RESULTADOS!Z15</f>
        <v>365</v>
      </c>
      <c r="AA4" s="1026"/>
      <c r="AB4" s="1026"/>
      <c r="AC4" s="1026"/>
      <c r="AD4" s="1026"/>
    </row>
    <row r="5" spans="1:30" ht="18">
      <c r="A5" s="1312" t="s">
        <v>959</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row>
    <row r="6" spans="1:30">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row>
    <row r="7" spans="1:30">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row>
    <row r="8" spans="1:30">
      <c r="A8" s="24"/>
      <c r="B8" s="123"/>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row>
    <row r="9" spans="1:30">
      <c r="A9" s="124"/>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24"/>
      <c r="AD9" s="24"/>
    </row>
    <row r="10" spans="1:30">
      <c r="A10" s="125"/>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row>
    <row r="11" spans="1:30">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row>
    <row r="12" spans="1:30">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row>
    <row r="13" spans="1:30">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row>
    <row r="14" spans="1:30">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row>
    <row r="15" spans="1:30">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row>
    <row r="16" spans="1:30">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row>
    <row r="17" spans="1:30">
      <c r="A17" s="124"/>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row>
    <row r="18" spans="1:30">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row>
    <row r="19" spans="1:30">
      <c r="A19" s="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row>
    <row r="20" spans="1:30">
      <c r="A20" s="126"/>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row>
    <row r="21" spans="1:30">
      <c r="A21" s="24"/>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row>
    <row r="22" spans="1:30">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row>
    <row r="23" spans="1:30">
      <c r="A23" s="126"/>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row>
    <row r="24" spans="1:30">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row>
    <row r="25" spans="1:30">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row>
    <row r="26" spans="1:30">
      <c r="A26" s="127"/>
      <c r="B26" s="1958"/>
      <c r="C26" s="1958"/>
      <c r="D26" s="1958"/>
      <c r="E26" s="1958"/>
      <c r="F26" s="1958"/>
      <c r="G26" s="1958"/>
      <c r="H26" s="1958"/>
      <c r="I26" s="1958"/>
      <c r="J26" s="1958"/>
      <c r="K26" s="1958"/>
      <c r="L26" s="1958"/>
      <c r="M26" s="1958"/>
      <c r="N26" s="1958"/>
      <c r="O26" s="125"/>
      <c r="P26" s="24"/>
      <c r="Q26" s="1958"/>
      <c r="R26" s="1958"/>
      <c r="S26" s="1958"/>
      <c r="T26" s="1958"/>
      <c r="U26" s="1958"/>
      <c r="V26" s="1958"/>
      <c r="W26" s="1958"/>
      <c r="X26" s="1958"/>
      <c r="Y26" s="1958"/>
      <c r="Z26" s="1958"/>
      <c r="AA26" s="1958"/>
      <c r="AB26" s="1958"/>
      <c r="AC26" s="1958"/>
      <c r="AD26" s="24"/>
    </row>
    <row r="27" spans="1:30">
      <c r="A27" s="24"/>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row>
    <row r="28" spans="1:30">
      <c r="A28" s="24"/>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row>
    <row r="29" spans="1:30">
      <c r="A29" s="127"/>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row>
    <row r="30" spans="1:30">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row>
    <row r="31" spans="1:30">
      <c r="A31" s="24"/>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row>
    <row r="32" spans="1:30">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row>
    <row r="33" spans="1:30">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row>
    <row r="34" spans="1:30">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row>
    <row r="35" spans="1:30">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row>
    <row r="36" spans="1:30">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row>
    <row r="37" spans="1:30">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row>
    <row r="38" spans="1:30">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row>
    <row r="39" spans="1:30">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row>
    <row r="40" spans="1:30">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row>
    <row r="41" spans="1:30">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row>
    <row r="42" spans="1:30">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row>
    <row r="43" spans="1:30">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row>
    <row r="44" spans="1:30">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24"/>
      <c r="AD44" s="24"/>
    </row>
    <row r="45" spans="1:30">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24"/>
      <c r="AD45" s="24"/>
    </row>
    <row r="46" spans="1:30">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24"/>
      <c r="AD46" s="24"/>
    </row>
    <row r="47" spans="1:30">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24"/>
      <c r="AD47" s="24"/>
    </row>
    <row r="48" spans="1:30">
      <c r="A48" s="24"/>
      <c r="B48" s="1958"/>
      <c r="C48" s="1958"/>
      <c r="D48" s="1958"/>
      <c r="E48" s="1958"/>
      <c r="F48" s="1958"/>
      <c r="G48" s="1958"/>
      <c r="H48" s="1958"/>
      <c r="I48" s="1958"/>
      <c r="J48" s="1958"/>
      <c r="K48" s="1958"/>
      <c r="L48" s="1958"/>
      <c r="M48" s="1958"/>
      <c r="N48" s="1958"/>
      <c r="O48" s="125"/>
      <c r="P48" s="24"/>
      <c r="Q48" s="1958"/>
      <c r="R48" s="1958"/>
      <c r="S48" s="1958"/>
      <c r="T48" s="1958"/>
      <c r="U48" s="1958"/>
      <c r="V48" s="1958"/>
      <c r="W48" s="1958"/>
      <c r="X48" s="1958"/>
      <c r="Y48" s="1958"/>
      <c r="Z48" s="1958"/>
      <c r="AA48" s="1958"/>
      <c r="AB48" s="1958"/>
      <c r="AC48" s="1958"/>
      <c r="AD48" s="24"/>
    </row>
    <row r="49" spans="1:30">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spans="1:30">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row>
    <row r="51" spans="1:30">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row>
    <row r="52" spans="1:30">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row>
    <row r="53" spans="1:30">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row>
    <row r="54" spans="1:30">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row>
    <row r="55" spans="1:30">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row>
    <row r="56" spans="1:30">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row>
    <row r="57" spans="1:30">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row>
    <row r="58" spans="1:30">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row>
    <row r="59" spans="1:30">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row>
    <row r="60" spans="1:30">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row>
    <row r="61" spans="1:30">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row>
    <row r="62" spans="1:30">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row>
    <row r="63" spans="1:30">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row>
    <row r="64" spans="1:30">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row>
    <row r="65" spans="1:30">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row>
    <row r="66" spans="1:30">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row>
    <row r="67" spans="1:30">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row>
    <row r="68" spans="1:30">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row>
    <row r="69" spans="1:30">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row>
    <row r="70" spans="1:30">
      <c r="A70" s="24"/>
      <c r="B70" s="1958"/>
      <c r="C70" s="1958"/>
      <c r="D70" s="1958"/>
      <c r="E70" s="1958"/>
      <c r="F70" s="1958"/>
      <c r="G70" s="1958"/>
      <c r="H70" s="1958"/>
      <c r="I70" s="1958"/>
      <c r="J70" s="1958"/>
      <c r="K70" s="1958"/>
      <c r="L70" s="1958"/>
      <c r="M70" s="1958"/>
      <c r="N70" s="1958"/>
      <c r="O70" s="125"/>
      <c r="P70" s="24"/>
      <c r="Q70" s="1958"/>
      <c r="R70" s="1958"/>
      <c r="S70" s="1958"/>
      <c r="T70" s="1958"/>
      <c r="U70" s="1958"/>
      <c r="V70" s="1958"/>
      <c r="W70" s="1958"/>
      <c r="X70" s="1958"/>
      <c r="Y70" s="1958"/>
      <c r="Z70" s="1958"/>
      <c r="AA70" s="1958"/>
      <c r="AB70" s="1958"/>
      <c r="AC70" s="1958"/>
      <c r="AD70" s="24"/>
    </row>
    <row r="71" spans="1:30">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row>
    <row r="72" spans="1:30">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row>
    <row r="73" spans="1:30">
      <c r="A73" s="24"/>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24"/>
      <c r="AD73" s="24"/>
    </row>
    <row r="74" spans="1:30">
      <c r="A74" s="24"/>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24"/>
      <c r="AD74" s="24"/>
    </row>
    <row r="75" spans="1:30">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row>
    <row r="76" spans="1:30">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row>
    <row r="77" spans="1:30">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row>
    <row r="78" spans="1:30">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row>
    <row r="79" spans="1:30">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row>
    <row r="80" spans="1:30">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row>
    <row r="81" spans="1:30">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row>
    <row r="82" spans="1:30">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row>
    <row r="83" spans="1:30">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row>
    <row r="84" spans="1:30">
      <c r="A84" s="24"/>
      <c r="B84" s="123"/>
      <c r="C84" s="123"/>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spans="1:30">
      <c r="A85" s="24"/>
      <c r="B85" s="123"/>
      <c r="C85" s="123"/>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spans="1:30">
      <c r="A86" s="24"/>
      <c r="B86" s="123"/>
      <c r="C86" s="123"/>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spans="1:30">
      <c r="A87" s="24"/>
      <c r="B87" s="123"/>
      <c r="C87" s="123"/>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spans="1:30">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spans="1:30">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spans="1:3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spans="1:30">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spans="1:30">
      <c r="A92" s="24"/>
      <c r="B92" s="1958"/>
      <c r="C92" s="1958"/>
      <c r="D92" s="1958"/>
      <c r="E92" s="1958"/>
      <c r="F92" s="1958"/>
      <c r="G92" s="1958"/>
      <c r="H92" s="1958"/>
      <c r="I92" s="1958"/>
      <c r="J92" s="1958"/>
      <c r="K92" s="1958"/>
      <c r="L92" s="1958"/>
      <c r="M92" s="1958"/>
      <c r="N92" s="1958"/>
      <c r="O92" s="24"/>
      <c r="P92" s="24"/>
      <c r="Q92" s="1958"/>
      <c r="R92" s="1958"/>
      <c r="S92" s="1958"/>
      <c r="T92" s="1958"/>
      <c r="U92" s="1958"/>
      <c r="V92" s="1958"/>
      <c r="W92" s="1958"/>
      <c r="X92" s="1958"/>
      <c r="Y92" s="1958"/>
      <c r="Z92" s="1958"/>
      <c r="AA92" s="1958"/>
      <c r="AB92" s="1958"/>
      <c r="AC92" s="1958"/>
      <c r="AD92" s="24"/>
    </row>
  </sheetData>
  <mergeCells count="17">
    <mergeCell ref="T1:X1"/>
    <mergeCell ref="Z1:AD1"/>
    <mergeCell ref="T2:X2"/>
    <mergeCell ref="Z2:AD2"/>
    <mergeCell ref="T3:X3"/>
    <mergeCell ref="Z3:AD3"/>
    <mergeCell ref="B70:N70"/>
    <mergeCell ref="Q70:AC70"/>
    <mergeCell ref="B92:N92"/>
    <mergeCell ref="Q92:AC92"/>
    <mergeCell ref="T4:X4"/>
    <mergeCell ref="Z4:AD4"/>
    <mergeCell ref="A5:AD5"/>
    <mergeCell ref="B26:N26"/>
    <mergeCell ref="Q26:AC26"/>
    <mergeCell ref="B48:N48"/>
    <mergeCell ref="Q48:AC48"/>
  </mergeCells>
  <conditionalFormatting sqref="Y53">
    <cfRule type="expression" dxfId="18" priority="1">
      <formula>$U$38=""</formula>
    </cfRule>
  </conditionalFormatting>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83DA-139C-4157-9B53-276456A34746}">
  <sheetPr>
    <tabColor rgb="FF00B0F0"/>
  </sheetPr>
  <dimension ref="A1:AD92"/>
  <sheetViews>
    <sheetView workbookViewId="0"/>
  </sheetViews>
  <sheetFormatPr baseColWidth="10" defaultRowHeight="15"/>
  <cols>
    <col min="1" max="30" width="5.140625" customWidth="1"/>
  </cols>
  <sheetData>
    <row r="1" spans="1:30"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+'FOTO III'!Z1</f>
        <v>0</v>
      </c>
      <c r="AA1" s="1388"/>
      <c r="AB1" s="1388"/>
      <c r="AC1" s="1388"/>
      <c r="AD1" s="1388"/>
    </row>
    <row r="2" spans="1:30"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+RESULTADOS!Z13</f>
        <v>XXXX-26</v>
      </c>
      <c r="AA2" s="1388"/>
      <c r="AB2" s="1388"/>
      <c r="AC2" s="1388"/>
      <c r="AD2" s="1388"/>
    </row>
    <row r="3" spans="1:30"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+RESULTADOS!Z14</f>
        <v>0</v>
      </c>
      <c r="AA3" s="1026"/>
      <c r="AB3" s="1026"/>
      <c r="AC3" s="1026"/>
      <c r="AD3" s="1026"/>
    </row>
    <row r="4" spans="1:30"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+RESULTADOS!Z15</f>
        <v>365</v>
      </c>
      <c r="AA4" s="1026"/>
      <c r="AB4" s="1026"/>
      <c r="AC4" s="1026"/>
      <c r="AD4" s="1026"/>
    </row>
    <row r="5" spans="1:30" ht="18">
      <c r="A5" s="1312" t="s">
        <v>959</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row>
    <row r="6" spans="1:30">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row>
    <row r="7" spans="1:30">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row>
    <row r="8" spans="1:30">
      <c r="A8" s="24"/>
      <c r="B8" s="123"/>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row>
    <row r="9" spans="1:30">
      <c r="A9" s="124"/>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24"/>
      <c r="AD9" s="24"/>
    </row>
    <row r="10" spans="1:30">
      <c r="A10" s="125"/>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row>
    <row r="11" spans="1:30">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row>
    <row r="12" spans="1:30">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row>
    <row r="13" spans="1:30">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row>
    <row r="14" spans="1:30">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row>
    <row r="15" spans="1:30">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row>
    <row r="16" spans="1:30">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row>
    <row r="17" spans="1:30">
      <c r="A17" s="124"/>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row>
    <row r="18" spans="1:30">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row>
    <row r="19" spans="1:30">
      <c r="A19" s="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row>
    <row r="20" spans="1:30">
      <c r="A20" s="126"/>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row>
    <row r="21" spans="1:30">
      <c r="A21" s="24"/>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row>
    <row r="22" spans="1:30">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row>
    <row r="23" spans="1:30">
      <c r="A23" s="126"/>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row>
    <row r="24" spans="1:30">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row>
    <row r="25" spans="1:30">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row>
    <row r="26" spans="1:30">
      <c r="A26" s="127"/>
      <c r="B26" s="1958"/>
      <c r="C26" s="1958"/>
      <c r="D26" s="1958"/>
      <c r="E26" s="1958"/>
      <c r="F26" s="1958"/>
      <c r="G26" s="1958"/>
      <c r="H26" s="1958"/>
      <c r="I26" s="1958"/>
      <c r="J26" s="1958"/>
      <c r="K26" s="1958"/>
      <c r="L26" s="1958"/>
      <c r="M26" s="1958"/>
      <c r="N26" s="1958"/>
      <c r="O26" s="125"/>
      <c r="P26" s="24"/>
      <c r="Q26" s="1958"/>
      <c r="R26" s="1958"/>
      <c r="S26" s="1958"/>
      <c r="T26" s="1958"/>
      <c r="U26" s="1958"/>
      <c r="V26" s="1958"/>
      <c r="W26" s="1958"/>
      <c r="X26" s="1958"/>
      <c r="Y26" s="1958"/>
      <c r="Z26" s="1958"/>
      <c r="AA26" s="1958"/>
      <c r="AB26" s="1958"/>
      <c r="AC26" s="1958"/>
      <c r="AD26" s="24"/>
    </row>
    <row r="27" spans="1:30">
      <c r="A27" s="24"/>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row>
    <row r="28" spans="1:30">
      <c r="A28" s="24"/>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row>
    <row r="29" spans="1:30">
      <c r="A29" s="127"/>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row>
    <row r="30" spans="1:30">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row>
    <row r="31" spans="1:30">
      <c r="A31" s="24"/>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row>
    <row r="32" spans="1:30">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row>
    <row r="33" spans="1:30">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row>
    <row r="34" spans="1:30">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row>
    <row r="35" spans="1:30">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row>
    <row r="36" spans="1:30">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row>
    <row r="37" spans="1:30">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row>
    <row r="38" spans="1:30">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row>
    <row r="39" spans="1:30">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row>
    <row r="40" spans="1:30">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row>
    <row r="41" spans="1:30">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row>
    <row r="42" spans="1:30">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row>
    <row r="43" spans="1:30">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row>
    <row r="44" spans="1:30">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24"/>
      <c r="AD44" s="24"/>
    </row>
    <row r="45" spans="1:30">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24"/>
      <c r="AD45" s="24"/>
    </row>
    <row r="46" spans="1:30">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24"/>
      <c r="AD46" s="24"/>
    </row>
    <row r="47" spans="1:30">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24"/>
      <c r="AD47" s="24"/>
    </row>
    <row r="48" spans="1:30">
      <c r="A48" s="24"/>
      <c r="B48" s="1958"/>
      <c r="C48" s="1958"/>
      <c r="D48" s="1958"/>
      <c r="E48" s="1958"/>
      <c r="F48" s="1958"/>
      <c r="G48" s="1958"/>
      <c r="H48" s="1958"/>
      <c r="I48" s="1958"/>
      <c r="J48" s="1958"/>
      <c r="K48" s="1958"/>
      <c r="L48" s="1958"/>
      <c r="M48" s="1958"/>
      <c r="N48" s="1958"/>
      <c r="O48" s="125"/>
      <c r="P48" s="24"/>
      <c r="Q48" s="1958"/>
      <c r="R48" s="1958"/>
      <c r="S48" s="1958"/>
      <c r="T48" s="1958"/>
      <c r="U48" s="1958"/>
      <c r="V48" s="1958"/>
      <c r="W48" s="1958"/>
      <c r="X48" s="1958"/>
      <c r="Y48" s="1958"/>
      <c r="Z48" s="1958"/>
      <c r="AA48" s="1958"/>
      <c r="AB48" s="1958"/>
      <c r="AC48" s="1958"/>
      <c r="AD48" s="24"/>
    </row>
    <row r="49" spans="1:30">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spans="1:30">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row>
    <row r="51" spans="1:30">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row>
    <row r="52" spans="1:30">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row>
    <row r="53" spans="1:30">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row>
    <row r="54" spans="1:30">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row>
    <row r="55" spans="1:30">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row>
    <row r="56" spans="1:30">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row>
    <row r="57" spans="1:30">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row>
    <row r="58" spans="1:30">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row>
    <row r="59" spans="1:30">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row>
    <row r="60" spans="1:30">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row>
    <row r="61" spans="1:30">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row>
    <row r="62" spans="1:30">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row>
    <row r="63" spans="1:30">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row>
    <row r="64" spans="1:30">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row>
    <row r="65" spans="1:30">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row>
    <row r="66" spans="1:30">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row>
    <row r="67" spans="1:30">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row>
    <row r="68" spans="1:30">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row>
    <row r="69" spans="1:30">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row>
    <row r="70" spans="1:30">
      <c r="A70" s="24"/>
      <c r="B70" s="1958"/>
      <c r="C70" s="1958"/>
      <c r="D70" s="1958"/>
      <c r="E70" s="1958"/>
      <c r="F70" s="1958"/>
      <c r="G70" s="1958"/>
      <c r="H70" s="1958"/>
      <c r="I70" s="1958"/>
      <c r="J70" s="1958"/>
      <c r="K70" s="1958"/>
      <c r="L70" s="1958"/>
      <c r="M70" s="1958"/>
      <c r="N70" s="1958"/>
      <c r="O70" s="125"/>
      <c r="P70" s="24"/>
      <c r="Q70" s="1958"/>
      <c r="R70" s="1958"/>
      <c r="S70" s="1958"/>
      <c r="T70" s="1958"/>
      <c r="U70" s="1958"/>
      <c r="V70" s="1958"/>
      <c r="W70" s="1958"/>
      <c r="X70" s="1958"/>
      <c r="Y70" s="1958"/>
      <c r="Z70" s="1958"/>
      <c r="AA70" s="1958"/>
      <c r="AB70" s="1958"/>
      <c r="AC70" s="1958"/>
      <c r="AD70" s="24"/>
    </row>
    <row r="71" spans="1:30">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row>
    <row r="72" spans="1:30">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row>
    <row r="73" spans="1:30">
      <c r="A73" s="24"/>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24"/>
      <c r="AD73" s="24"/>
    </row>
    <row r="74" spans="1:30">
      <c r="A74" s="24"/>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24"/>
      <c r="AD74" s="24"/>
    </row>
    <row r="75" spans="1:30">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row>
    <row r="76" spans="1:30">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row>
    <row r="77" spans="1:30">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row>
    <row r="78" spans="1:30">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row>
    <row r="79" spans="1:30">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row>
    <row r="80" spans="1:30">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row>
    <row r="81" spans="1:30">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row>
    <row r="82" spans="1:30">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row>
    <row r="83" spans="1:30">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row>
    <row r="84" spans="1:30">
      <c r="A84" s="24"/>
      <c r="B84" s="123"/>
      <c r="C84" s="123"/>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spans="1:30">
      <c r="A85" s="24"/>
      <c r="B85" s="123"/>
      <c r="C85" s="123"/>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spans="1:30">
      <c r="A86" s="24"/>
      <c r="B86" s="123"/>
      <c r="C86" s="123"/>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spans="1:30">
      <c r="A87" s="24"/>
      <c r="B87" s="123"/>
      <c r="C87" s="123"/>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spans="1:30">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spans="1:30">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spans="1:3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spans="1:30">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spans="1:30">
      <c r="A92" s="24"/>
      <c r="B92" s="1958"/>
      <c r="C92" s="1958"/>
      <c r="D92" s="1958"/>
      <c r="E92" s="1958"/>
      <c r="F92" s="1958"/>
      <c r="G92" s="1958"/>
      <c r="H92" s="1958"/>
      <c r="I92" s="1958"/>
      <c r="J92" s="1958"/>
      <c r="K92" s="1958"/>
      <c r="L92" s="1958"/>
      <c r="M92" s="1958"/>
      <c r="N92" s="1958"/>
      <c r="O92" s="24"/>
      <c r="P92" s="24"/>
      <c r="Q92" s="1958"/>
      <c r="R92" s="1958"/>
      <c r="S92" s="1958"/>
      <c r="T92" s="1958"/>
      <c r="U92" s="1958"/>
      <c r="V92" s="1958"/>
      <c r="W92" s="1958"/>
      <c r="X92" s="1958"/>
      <c r="Y92" s="1958"/>
      <c r="Z92" s="1958"/>
      <c r="AA92" s="1958"/>
      <c r="AB92" s="1958"/>
      <c r="AC92" s="1958"/>
      <c r="AD92" s="24"/>
    </row>
  </sheetData>
  <mergeCells count="17">
    <mergeCell ref="T1:X1"/>
    <mergeCell ref="Z1:AD1"/>
    <mergeCell ref="T2:X2"/>
    <mergeCell ref="Z2:AD2"/>
    <mergeCell ref="T3:X3"/>
    <mergeCell ref="Z3:AD3"/>
    <mergeCell ref="B70:N70"/>
    <mergeCell ref="Q70:AC70"/>
    <mergeCell ref="B92:N92"/>
    <mergeCell ref="Q92:AC92"/>
    <mergeCell ref="T4:X4"/>
    <mergeCell ref="Z4:AD4"/>
    <mergeCell ref="A5:AD5"/>
    <mergeCell ref="B26:N26"/>
    <mergeCell ref="Q26:AC26"/>
    <mergeCell ref="B48:N48"/>
    <mergeCell ref="Q48:AC48"/>
  </mergeCells>
  <conditionalFormatting sqref="Y53">
    <cfRule type="expression" dxfId="17" priority="1">
      <formula>$U$38=""</formula>
    </cfRule>
  </conditionalFormatting>
  <pageMargins left="0.70866141732283472" right="0.70866141732283472" top="0.74803149606299213" bottom="0.74803149606299213" header="0.31496062992125984" footer="0.31496062992125984"/>
  <pageSetup paperSize="9" scale="54"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3868E-ABD4-4AAB-B413-7D201F6B0AF3}">
  <sheetPr>
    <tabColor rgb="FF00B0F0"/>
  </sheetPr>
  <dimension ref="A1:AD92"/>
  <sheetViews>
    <sheetView workbookViewId="0"/>
  </sheetViews>
  <sheetFormatPr baseColWidth="10" defaultRowHeight="15"/>
  <cols>
    <col min="1" max="30" width="5.140625" customWidth="1"/>
  </cols>
  <sheetData>
    <row r="1" spans="1:30"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+'FOTO III'!Z1</f>
        <v>0</v>
      </c>
      <c r="AA1" s="1388"/>
      <c r="AB1" s="1388"/>
      <c r="AC1" s="1388"/>
      <c r="AD1" s="1388"/>
    </row>
    <row r="2" spans="1:30"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+RESULTADOS!Z13</f>
        <v>XXXX-26</v>
      </c>
      <c r="AA2" s="1388"/>
      <c r="AB2" s="1388"/>
      <c r="AC2" s="1388"/>
      <c r="AD2" s="1388"/>
    </row>
    <row r="3" spans="1:30"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+RESULTADOS!Z14</f>
        <v>0</v>
      </c>
      <c r="AA3" s="1026"/>
      <c r="AB3" s="1026"/>
      <c r="AC3" s="1026"/>
      <c r="AD3" s="1026"/>
    </row>
    <row r="4" spans="1:30"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+RESULTADOS!Z15</f>
        <v>365</v>
      </c>
      <c r="AA4" s="1026"/>
      <c r="AB4" s="1026"/>
      <c r="AC4" s="1026"/>
      <c r="AD4" s="1026"/>
    </row>
    <row r="5" spans="1:30" ht="18">
      <c r="A5" s="1312" t="s">
        <v>959</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row>
    <row r="6" spans="1:30">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row>
    <row r="7" spans="1:30">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row>
    <row r="8" spans="1:30">
      <c r="A8" s="24"/>
      <c r="B8" s="123"/>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row>
    <row r="9" spans="1:30">
      <c r="A9" s="124"/>
      <c r="B9" s="125"/>
      <c r="C9" s="125"/>
      <c r="D9" s="125"/>
      <c r="E9" s="125"/>
      <c r="F9" s="125"/>
      <c r="G9" s="125"/>
      <c r="H9" s="125"/>
      <c r="I9" s="125"/>
      <c r="J9" s="125"/>
      <c r="K9" s="125"/>
      <c r="L9" s="125"/>
      <c r="M9" s="125"/>
      <c r="N9" s="125"/>
      <c r="O9" s="125"/>
      <c r="P9" s="125"/>
      <c r="Q9" s="125"/>
      <c r="R9" s="125"/>
      <c r="S9" s="125"/>
      <c r="T9" s="125"/>
      <c r="U9" s="125"/>
      <c r="V9" s="125"/>
      <c r="W9" s="125"/>
      <c r="X9" s="125"/>
      <c r="Y9" s="125"/>
      <c r="Z9" s="125"/>
      <c r="AA9" s="125"/>
      <c r="AB9" s="125"/>
      <c r="AC9" s="24"/>
      <c r="AD9" s="24"/>
    </row>
    <row r="10" spans="1:30">
      <c r="A10" s="125"/>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row>
    <row r="11" spans="1:30">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row>
    <row r="12" spans="1:30">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row>
    <row r="13" spans="1:30">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row>
    <row r="14" spans="1:30">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row>
    <row r="15" spans="1:30">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row>
    <row r="16" spans="1:30">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row>
    <row r="17" spans="1:30">
      <c r="A17" s="124"/>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row>
    <row r="18" spans="1:30">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row>
    <row r="19" spans="1:30">
      <c r="A19" s="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row>
    <row r="20" spans="1:30">
      <c r="A20" s="126"/>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row>
    <row r="21" spans="1:30">
      <c r="A21" s="24"/>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row>
    <row r="22" spans="1:30">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row>
    <row r="23" spans="1:30">
      <c r="A23" s="126"/>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row>
    <row r="24" spans="1:30">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row>
    <row r="25" spans="1:30">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row>
    <row r="26" spans="1:30">
      <c r="A26" s="127"/>
      <c r="B26" s="1958"/>
      <c r="C26" s="1958"/>
      <c r="D26" s="1958"/>
      <c r="E26" s="1958"/>
      <c r="F26" s="1958"/>
      <c r="G26" s="1958"/>
      <c r="H26" s="1958"/>
      <c r="I26" s="1958"/>
      <c r="J26" s="1958"/>
      <c r="K26" s="1958"/>
      <c r="L26" s="1958"/>
      <c r="M26" s="1958"/>
      <c r="N26" s="1958"/>
      <c r="O26" s="125"/>
      <c r="P26" s="24"/>
      <c r="Q26" s="1958"/>
      <c r="R26" s="1958"/>
      <c r="S26" s="1958"/>
      <c r="T26" s="1958"/>
      <c r="U26" s="1958"/>
      <c r="V26" s="1958"/>
      <c r="W26" s="1958"/>
      <c r="X26" s="1958"/>
      <c r="Y26" s="1958"/>
      <c r="Z26" s="1958"/>
      <c r="AA26" s="1958"/>
      <c r="AB26" s="1958"/>
      <c r="AC26" s="1958"/>
      <c r="AD26" s="24"/>
    </row>
    <row r="27" spans="1:30">
      <c r="A27" s="24"/>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row>
    <row r="28" spans="1:30">
      <c r="A28" s="24"/>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row>
    <row r="29" spans="1:30">
      <c r="A29" s="127"/>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row>
    <row r="30" spans="1:30">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row>
    <row r="31" spans="1:30">
      <c r="A31" s="24"/>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row>
    <row r="32" spans="1:30">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row>
    <row r="33" spans="1:30">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row>
    <row r="34" spans="1:30">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row>
    <row r="35" spans="1:30">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row>
    <row r="36" spans="1:30">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row>
    <row r="37" spans="1:30">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row>
    <row r="38" spans="1:30">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row>
    <row r="39" spans="1:30">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row>
    <row r="40" spans="1:30">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row>
    <row r="41" spans="1:30">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row>
    <row r="42" spans="1:30">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row>
    <row r="43" spans="1:30">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row>
    <row r="44" spans="1:30">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24"/>
      <c r="AD44" s="24"/>
    </row>
    <row r="45" spans="1:30">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24"/>
      <c r="AD45" s="24"/>
    </row>
    <row r="46" spans="1:30">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24"/>
      <c r="AD46" s="24"/>
    </row>
    <row r="47" spans="1:30">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24"/>
      <c r="AD47" s="24"/>
    </row>
    <row r="48" spans="1:30">
      <c r="A48" s="24"/>
      <c r="B48" s="1958"/>
      <c r="C48" s="1958"/>
      <c r="D48" s="1958"/>
      <c r="E48" s="1958"/>
      <c r="F48" s="1958"/>
      <c r="G48" s="1958"/>
      <c r="H48" s="1958"/>
      <c r="I48" s="1958"/>
      <c r="J48" s="1958"/>
      <c r="K48" s="1958"/>
      <c r="L48" s="1958"/>
      <c r="M48" s="1958"/>
      <c r="N48" s="1958"/>
      <c r="O48" s="125"/>
      <c r="P48" s="24"/>
      <c r="Q48" s="1958"/>
      <c r="R48" s="1958"/>
      <c r="S48" s="1958"/>
      <c r="T48" s="1958"/>
      <c r="U48" s="1958"/>
      <c r="V48" s="1958"/>
      <c r="W48" s="1958"/>
      <c r="X48" s="1958"/>
      <c r="Y48" s="1958"/>
      <c r="Z48" s="1958"/>
      <c r="AA48" s="1958"/>
      <c r="AB48" s="1958"/>
      <c r="AC48" s="1958"/>
      <c r="AD48" s="24"/>
    </row>
    <row r="49" spans="1:30">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row>
    <row r="50" spans="1:30">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row>
    <row r="51" spans="1:30">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row>
    <row r="52" spans="1:30">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row>
    <row r="53" spans="1:30">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row>
    <row r="54" spans="1:30">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row>
    <row r="55" spans="1:30">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row>
    <row r="56" spans="1:30">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row>
    <row r="57" spans="1:30">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row>
    <row r="58" spans="1:30">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row>
    <row r="59" spans="1:30">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row>
    <row r="60" spans="1:30">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row>
    <row r="61" spans="1:30">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row>
    <row r="62" spans="1:30">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row>
    <row r="63" spans="1:30">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row>
    <row r="64" spans="1:30">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row>
    <row r="65" spans="1:30">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row>
    <row r="66" spans="1:30">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row>
    <row r="67" spans="1:30">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row>
    <row r="68" spans="1:30">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row>
    <row r="69" spans="1:30">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row>
    <row r="70" spans="1:30">
      <c r="A70" s="24"/>
      <c r="B70" s="1958"/>
      <c r="C70" s="1958"/>
      <c r="D70" s="1958"/>
      <c r="E70" s="1958"/>
      <c r="F70" s="1958"/>
      <c r="G70" s="1958"/>
      <c r="H70" s="1958"/>
      <c r="I70" s="1958"/>
      <c r="J70" s="1958"/>
      <c r="K70" s="1958"/>
      <c r="L70" s="1958"/>
      <c r="M70" s="1958"/>
      <c r="N70" s="1958"/>
      <c r="O70" s="125"/>
      <c r="P70" s="24"/>
      <c r="Q70" s="1958"/>
      <c r="R70" s="1958"/>
      <c r="S70" s="1958"/>
      <c r="T70" s="1958"/>
      <c r="U70" s="1958"/>
      <c r="V70" s="1958"/>
      <c r="W70" s="1958"/>
      <c r="X70" s="1958"/>
      <c r="Y70" s="1958"/>
      <c r="Z70" s="1958"/>
      <c r="AA70" s="1958"/>
      <c r="AB70" s="1958"/>
      <c r="AC70" s="1958"/>
      <c r="AD70" s="24"/>
    </row>
    <row r="71" spans="1:30">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row>
    <row r="72" spans="1:30">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row>
    <row r="73" spans="1:30">
      <c r="A73" s="24"/>
      <c r="B73" s="123"/>
      <c r="C73" s="123"/>
      <c r="D73" s="123"/>
      <c r="E73" s="123"/>
      <c r="F73" s="123"/>
      <c r="G73" s="123"/>
      <c r="H73" s="123"/>
      <c r="I73" s="123"/>
      <c r="J73" s="123"/>
      <c r="K73" s="123"/>
      <c r="L73" s="123"/>
      <c r="M73" s="123"/>
      <c r="N73" s="123"/>
      <c r="O73" s="123"/>
      <c r="P73" s="123"/>
      <c r="Q73" s="123"/>
      <c r="R73" s="123"/>
      <c r="S73" s="123"/>
      <c r="T73" s="123"/>
      <c r="U73" s="123"/>
      <c r="V73" s="123"/>
      <c r="W73" s="123"/>
      <c r="X73" s="123"/>
      <c r="Y73" s="123"/>
      <c r="Z73" s="123"/>
      <c r="AA73" s="123"/>
      <c r="AB73" s="123"/>
      <c r="AC73" s="24"/>
      <c r="AD73" s="24"/>
    </row>
    <row r="74" spans="1:30">
      <c r="A74" s="24"/>
      <c r="B74" s="123"/>
      <c r="C74" s="123"/>
      <c r="D74" s="123"/>
      <c r="E74" s="123"/>
      <c r="F74" s="123"/>
      <c r="G74" s="123"/>
      <c r="H74" s="123"/>
      <c r="I74" s="123"/>
      <c r="J74" s="123"/>
      <c r="K74" s="123"/>
      <c r="L74" s="123"/>
      <c r="M74" s="123"/>
      <c r="N74" s="123"/>
      <c r="O74" s="123"/>
      <c r="P74" s="123"/>
      <c r="Q74" s="123"/>
      <c r="R74" s="123"/>
      <c r="S74" s="123"/>
      <c r="T74" s="123"/>
      <c r="U74" s="123"/>
      <c r="V74" s="123"/>
      <c r="W74" s="123"/>
      <c r="X74" s="123"/>
      <c r="Y74" s="123"/>
      <c r="Z74" s="123"/>
      <c r="AA74" s="123"/>
      <c r="AB74" s="123"/>
      <c r="AC74" s="24"/>
      <c r="AD74" s="24"/>
    </row>
    <row r="75" spans="1:30">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row>
    <row r="76" spans="1:30">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row>
    <row r="77" spans="1:30">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row>
    <row r="78" spans="1:30">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row>
    <row r="79" spans="1:30">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row>
    <row r="80" spans="1:30">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row>
    <row r="81" spans="1:30">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row>
    <row r="82" spans="1:30">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row>
    <row r="83" spans="1:30">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row>
    <row r="84" spans="1:30">
      <c r="A84" s="24"/>
      <c r="B84" s="123"/>
      <c r="C84" s="123"/>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spans="1:30">
      <c r="A85" s="24"/>
      <c r="B85" s="123"/>
      <c r="C85" s="123"/>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spans="1:30">
      <c r="A86" s="24"/>
      <c r="B86" s="123"/>
      <c r="C86" s="123"/>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spans="1:30">
      <c r="A87" s="24"/>
      <c r="B87" s="123"/>
      <c r="C87" s="123"/>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spans="1:30">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spans="1:30">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spans="1:3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spans="1:30">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spans="1:30">
      <c r="A92" s="24"/>
      <c r="B92" s="1958"/>
      <c r="C92" s="1958"/>
      <c r="D92" s="1958"/>
      <c r="E92" s="1958"/>
      <c r="F92" s="1958"/>
      <c r="G92" s="1958"/>
      <c r="H92" s="1958"/>
      <c r="I92" s="1958"/>
      <c r="J92" s="1958"/>
      <c r="K92" s="1958"/>
      <c r="L92" s="1958"/>
      <c r="M92" s="1958"/>
      <c r="N92" s="1958"/>
      <c r="O92" s="24"/>
      <c r="P92" s="24"/>
      <c r="Q92" s="1958"/>
      <c r="R92" s="1958"/>
      <c r="S92" s="1958"/>
      <c r="T92" s="1958"/>
      <c r="U92" s="1958"/>
      <c r="V92" s="1958"/>
      <c r="W92" s="1958"/>
      <c r="X92" s="1958"/>
      <c r="Y92" s="1958"/>
      <c r="Z92" s="1958"/>
      <c r="AA92" s="1958"/>
      <c r="AB92" s="1958"/>
      <c r="AC92" s="1958"/>
      <c r="AD92" s="24"/>
    </row>
  </sheetData>
  <mergeCells count="17">
    <mergeCell ref="T1:X1"/>
    <mergeCell ref="Z1:AD1"/>
    <mergeCell ref="T2:X2"/>
    <mergeCell ref="Z2:AD2"/>
    <mergeCell ref="T3:X3"/>
    <mergeCell ref="Z3:AD3"/>
    <mergeCell ref="B70:N70"/>
    <mergeCell ref="Q70:AC70"/>
    <mergeCell ref="B92:N92"/>
    <mergeCell ref="Q92:AC92"/>
    <mergeCell ref="T4:X4"/>
    <mergeCell ref="Z4:AD4"/>
    <mergeCell ref="A5:AD5"/>
    <mergeCell ref="B26:N26"/>
    <mergeCell ref="Q26:AC26"/>
    <mergeCell ref="B48:N48"/>
    <mergeCell ref="Q48:AC48"/>
  </mergeCells>
  <conditionalFormatting sqref="Y53">
    <cfRule type="expression" dxfId="16" priority="1">
      <formula>$U$38=""</formula>
    </cfRule>
  </conditionalFormatting>
  <pageMargins left="0.70866141732283472" right="0.70866141732283472" top="0.74803149606299213" bottom="0.74803149606299213" header="0.31496062992125984" footer="0.31496062992125984"/>
  <pageSetup paperSize="9" scale="54"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0">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+FOTO!Z1:AD1</f>
        <v>0</v>
      </c>
      <c r="AA1" s="1388"/>
      <c r="AB1" s="1388"/>
      <c r="AC1" s="1388"/>
      <c r="AD1" s="1388"/>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+FOTO!Z2:AD2</f>
        <v>XXXX-26</v>
      </c>
      <c r="AA2" s="1388"/>
      <c r="AB2" s="1388"/>
      <c r="AC2" s="1388"/>
      <c r="AD2" s="1388"/>
      <c r="AE2" s="18"/>
      <c r="AF2" s="1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+FOTO!Z3:AD3</f>
        <v>0</v>
      </c>
      <c r="AA3" s="1026"/>
      <c r="AB3" s="1026"/>
      <c r="AC3" s="1026"/>
      <c r="AD3" s="1026"/>
      <c r="AE3" s="18"/>
      <c r="AF3" s="1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+FOTO!Z4:AD4</f>
        <v>365</v>
      </c>
      <c r="AA4" s="1026"/>
      <c r="AB4" s="1026"/>
      <c r="AC4" s="1026"/>
      <c r="AD4" s="1026"/>
      <c r="AE4" s="18"/>
      <c r="AF4" s="18"/>
    </row>
    <row r="5" spans="1:32" ht="18">
      <c r="A5" s="1312" t="s">
        <v>960</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8"/>
      <c r="AF5" s="1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AC48:AF48"/>
    <mergeCell ref="T1:X1"/>
    <mergeCell ref="Z1:AD1"/>
    <mergeCell ref="T2:X2"/>
    <mergeCell ref="Z2:AD2"/>
    <mergeCell ref="T3:X3"/>
    <mergeCell ref="Z3:AD3"/>
    <mergeCell ref="T4:X4"/>
    <mergeCell ref="Z4:AD4"/>
    <mergeCell ref="AC44:AF44"/>
    <mergeCell ref="AC46:AF46"/>
    <mergeCell ref="AC47:AF47"/>
    <mergeCell ref="A5:AD5"/>
  </mergeCells>
  <conditionalFormatting sqref="Y55">
    <cfRule type="expression" dxfId="15" priority="1">
      <formula>$U$40=""</formula>
    </cfRule>
  </conditionalFormatting>
  <dataValidations count="1">
    <dataValidation type="list" allowBlank="1" showInputMessage="1" showErrorMessage="1" sqref="D40:G40" xr:uid="{00000000-0002-0000-1000-000000000000}">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6">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+FOTO!Z1:AD1</f>
        <v>0</v>
      </c>
      <c r="AA1" s="1388"/>
      <c r="AB1" s="1388"/>
      <c r="AC1" s="1388"/>
      <c r="AD1" s="1388"/>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+FOTO!Z2:AD2</f>
        <v>XXXX-26</v>
      </c>
      <c r="AA2" s="1388"/>
      <c r="AB2" s="1388"/>
      <c r="AC2" s="1388"/>
      <c r="AD2" s="1388"/>
      <c r="AE2" s="18"/>
      <c r="AF2" s="1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+FOTO!Z3:AD3</f>
        <v>0</v>
      </c>
      <c r="AA3" s="1026"/>
      <c r="AB3" s="1026"/>
      <c r="AC3" s="1026"/>
      <c r="AD3" s="1026"/>
      <c r="AE3" s="18"/>
      <c r="AF3" s="1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+FOTO!Z4:AD4</f>
        <v>365</v>
      </c>
      <c r="AA4" s="1026"/>
      <c r="AB4" s="1026"/>
      <c r="AC4" s="1026"/>
      <c r="AD4" s="1026"/>
      <c r="AE4" s="18"/>
      <c r="AF4" s="18"/>
    </row>
    <row r="5" spans="1:32" ht="18">
      <c r="A5" s="1312" t="s">
        <v>960</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8"/>
      <c r="AF5" s="1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AC48:AF48"/>
    <mergeCell ref="T4:X4"/>
    <mergeCell ref="Z4:AD4"/>
    <mergeCell ref="A5:AD5"/>
    <mergeCell ref="AC44:AF44"/>
    <mergeCell ref="AC46:AF46"/>
    <mergeCell ref="AC47:AF47"/>
    <mergeCell ref="T1:X1"/>
    <mergeCell ref="Z1:AD1"/>
    <mergeCell ref="T2:X2"/>
    <mergeCell ref="Z2:AD2"/>
    <mergeCell ref="T3:X3"/>
    <mergeCell ref="Z3:AD3"/>
  </mergeCells>
  <conditionalFormatting sqref="Y55">
    <cfRule type="expression" dxfId="14" priority="1">
      <formula>$U$40=""</formula>
    </cfRule>
  </conditionalFormatting>
  <dataValidations disablePrompts="1" count="1">
    <dataValidation type="list" allowBlank="1" showInputMessage="1" showErrorMessage="1" sqref="D40:G40" xr:uid="{00000000-0002-0000-1100-000000000000}">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7">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+FOTO!Z1:AD1</f>
        <v>0</v>
      </c>
      <c r="AA1" s="1388"/>
      <c r="AB1" s="1388"/>
      <c r="AC1" s="1388"/>
      <c r="AD1" s="1388"/>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+FOTO!Z2:AD2</f>
        <v>XXXX-26</v>
      </c>
      <c r="AA2" s="1388"/>
      <c r="AB2" s="1388"/>
      <c r="AC2" s="1388"/>
      <c r="AD2" s="1388"/>
      <c r="AE2" s="18"/>
      <c r="AF2" s="1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+FOTO!Z3:AD3</f>
        <v>0</v>
      </c>
      <c r="AA3" s="1026"/>
      <c r="AB3" s="1026"/>
      <c r="AC3" s="1026"/>
      <c r="AD3" s="1026"/>
      <c r="AE3" s="18"/>
      <c r="AF3" s="1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+FOTO!Z4:AD4</f>
        <v>365</v>
      </c>
      <c r="AA4" s="1026"/>
      <c r="AB4" s="1026"/>
      <c r="AC4" s="1026"/>
      <c r="AD4" s="1026"/>
      <c r="AE4" s="18"/>
      <c r="AF4" s="18"/>
    </row>
    <row r="5" spans="1:32" ht="18">
      <c r="A5" s="1312" t="s">
        <v>960</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8"/>
      <c r="AF5" s="1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AC48:AF48"/>
    <mergeCell ref="T4:X4"/>
    <mergeCell ref="Z4:AD4"/>
    <mergeCell ref="A5:AD5"/>
    <mergeCell ref="AC44:AF44"/>
    <mergeCell ref="AC46:AF46"/>
    <mergeCell ref="AC47:AF47"/>
    <mergeCell ref="T1:X1"/>
    <mergeCell ref="Z1:AD1"/>
    <mergeCell ref="T2:X2"/>
    <mergeCell ref="Z2:AD2"/>
    <mergeCell ref="T3:X3"/>
    <mergeCell ref="Z3:AD3"/>
  </mergeCells>
  <conditionalFormatting sqref="Y55">
    <cfRule type="expression" dxfId="13" priority="1">
      <formula>$U$40=""</formula>
    </cfRule>
  </conditionalFormatting>
  <dataValidations count="1">
    <dataValidation type="list" allowBlank="1" showInputMessage="1" showErrorMessage="1" sqref="D40:G40" xr:uid="{00000000-0002-0000-1200-000000000000}">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8">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+FOTO!Z1:AD1</f>
        <v>0</v>
      </c>
      <c r="AA1" s="1388"/>
      <c r="AB1" s="1388"/>
      <c r="AC1" s="1388"/>
      <c r="AD1" s="1388"/>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+FOTO!Z2:AD2</f>
        <v>XXXX-26</v>
      </c>
      <c r="AA2" s="1388"/>
      <c r="AB2" s="1388"/>
      <c r="AC2" s="1388"/>
      <c r="AD2" s="1388"/>
      <c r="AE2" s="18"/>
      <c r="AF2" s="1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+FOTO!Z3:AD3</f>
        <v>0</v>
      </c>
      <c r="AA3" s="1026"/>
      <c r="AB3" s="1026"/>
      <c r="AC3" s="1026"/>
      <c r="AD3" s="1026"/>
      <c r="AE3" s="18"/>
      <c r="AF3" s="1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+FOTO!Z4:AD4</f>
        <v>365</v>
      </c>
      <c r="AA4" s="1026"/>
      <c r="AB4" s="1026"/>
      <c r="AC4" s="1026"/>
      <c r="AD4" s="1026"/>
      <c r="AE4" s="18"/>
      <c r="AF4" s="18"/>
    </row>
    <row r="5" spans="1:32" ht="18">
      <c r="A5" s="1312" t="s">
        <v>960</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8"/>
      <c r="AF5" s="1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AC48:AF48"/>
    <mergeCell ref="T4:X4"/>
    <mergeCell ref="Z4:AD4"/>
    <mergeCell ref="A5:AD5"/>
    <mergeCell ref="AC44:AF44"/>
    <mergeCell ref="AC46:AF46"/>
    <mergeCell ref="AC47:AF47"/>
    <mergeCell ref="T1:X1"/>
    <mergeCell ref="Z1:AD1"/>
    <mergeCell ref="T2:X2"/>
    <mergeCell ref="Z2:AD2"/>
    <mergeCell ref="T3:X3"/>
    <mergeCell ref="Z3:AD3"/>
  </mergeCells>
  <conditionalFormatting sqref="Y55">
    <cfRule type="expression" dxfId="12" priority="1">
      <formula>$U$40=""</formula>
    </cfRule>
  </conditionalFormatting>
  <dataValidations count="1">
    <dataValidation type="list" allowBlank="1" showInputMessage="1" showErrorMessage="1" sqref="D40:G40" xr:uid="{00000000-0002-0000-1300-000000000000}">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9">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+FOTO!Z1:AD1</f>
        <v>0</v>
      </c>
      <c r="AA1" s="1388"/>
      <c r="AB1" s="1388"/>
      <c r="AC1" s="1388"/>
      <c r="AD1" s="1388"/>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+FOTO!Z2:AD2</f>
        <v>XXXX-26</v>
      </c>
      <c r="AA2" s="1388"/>
      <c r="AB2" s="1388"/>
      <c r="AC2" s="1388"/>
      <c r="AD2" s="1388"/>
      <c r="AE2" s="18"/>
      <c r="AF2" s="1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+FOTO!Z3:AD3</f>
        <v>0</v>
      </c>
      <c r="AA3" s="1026"/>
      <c r="AB3" s="1026"/>
      <c r="AC3" s="1026"/>
      <c r="AD3" s="1026"/>
      <c r="AE3" s="18"/>
      <c r="AF3" s="1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+FOTO!Z4:AD4</f>
        <v>365</v>
      </c>
      <c r="AA4" s="1026"/>
      <c r="AB4" s="1026"/>
      <c r="AC4" s="1026"/>
      <c r="AD4" s="1026"/>
      <c r="AE4" s="18"/>
      <c r="AF4" s="18"/>
    </row>
    <row r="5" spans="1:32" ht="18">
      <c r="A5" s="1312" t="s">
        <v>960</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8"/>
      <c r="AF5" s="1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AC48:AF48"/>
    <mergeCell ref="T4:X4"/>
    <mergeCell ref="Z4:AD4"/>
    <mergeCell ref="A5:AD5"/>
    <mergeCell ref="AC44:AF44"/>
    <mergeCell ref="AC46:AF46"/>
    <mergeCell ref="AC47:AF47"/>
    <mergeCell ref="T1:X1"/>
    <mergeCell ref="Z1:AD1"/>
    <mergeCell ref="T2:X2"/>
    <mergeCell ref="Z2:AD2"/>
    <mergeCell ref="T3:X3"/>
    <mergeCell ref="Z3:AD3"/>
  </mergeCells>
  <conditionalFormatting sqref="Y55">
    <cfRule type="expression" dxfId="11" priority="1">
      <formula>$U$40=""</formula>
    </cfRule>
  </conditionalFormatting>
  <dataValidations count="1">
    <dataValidation type="list" allowBlank="1" showInputMessage="1" showErrorMessage="1" sqref="D40:G40" xr:uid="{00000000-0002-0000-1400-000000000000}">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0">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+FOTO!Z1:AD1</f>
        <v>0</v>
      </c>
      <c r="AA1" s="1388"/>
      <c r="AB1" s="1388"/>
      <c r="AC1" s="1388"/>
      <c r="AD1" s="1388"/>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+FOTO!Z2:AD2</f>
        <v>XXXX-26</v>
      </c>
      <c r="AA2" s="1388"/>
      <c r="AB2" s="1388"/>
      <c r="AC2" s="1388"/>
      <c r="AD2" s="1388"/>
      <c r="AE2" s="18"/>
      <c r="AF2" s="1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+FOTO!Z3:AD3</f>
        <v>0</v>
      </c>
      <c r="AA3" s="1026"/>
      <c r="AB3" s="1026"/>
      <c r="AC3" s="1026"/>
      <c r="AD3" s="1026"/>
      <c r="AE3" s="18"/>
      <c r="AF3" s="1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+FOTO!Z4:AD4</f>
        <v>365</v>
      </c>
      <c r="AA4" s="1026"/>
      <c r="AB4" s="1026"/>
      <c r="AC4" s="1026"/>
      <c r="AD4" s="1026"/>
      <c r="AE4" s="18"/>
      <c r="AF4" s="18"/>
    </row>
    <row r="5" spans="1:32" ht="18">
      <c r="A5" s="1312" t="s">
        <v>960</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8"/>
      <c r="AF5" s="1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AC48:AF48"/>
    <mergeCell ref="T4:X4"/>
    <mergeCell ref="Z4:AD4"/>
    <mergeCell ref="A5:AD5"/>
    <mergeCell ref="AC44:AF44"/>
    <mergeCell ref="AC46:AF46"/>
    <mergeCell ref="AC47:AF47"/>
    <mergeCell ref="T1:X1"/>
    <mergeCell ref="Z1:AD1"/>
    <mergeCell ref="T2:X2"/>
    <mergeCell ref="Z2:AD2"/>
    <mergeCell ref="T3:X3"/>
    <mergeCell ref="Z3:AD3"/>
  </mergeCells>
  <conditionalFormatting sqref="Y55">
    <cfRule type="expression" dxfId="10" priority="1">
      <formula>$U$40=""</formula>
    </cfRule>
  </conditionalFormatting>
  <dataValidations count="1">
    <dataValidation type="list" allowBlank="1" showInputMessage="1" showErrorMessage="1" sqref="D40:G40" xr:uid="{00000000-0002-0000-1500-000000000000}">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1">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+RRPP!Z1</f>
        <v>0</v>
      </c>
      <c r="AA1" s="1388"/>
      <c r="AB1" s="1388"/>
      <c r="AC1" s="1388"/>
      <c r="AD1" s="1388"/>
      <c r="AE1" s="24"/>
      <c r="AF1" s="24"/>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+RRPP!Z2</f>
        <v>XXXX-26</v>
      </c>
      <c r="AA2" s="1388"/>
      <c r="AB2" s="1388"/>
      <c r="AC2" s="1388"/>
      <c r="AD2" s="1388"/>
      <c r="AE2" s="128"/>
      <c r="AF2" s="12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+RRPP!Z3</f>
        <v>0</v>
      </c>
      <c r="AA3" s="1026"/>
      <c r="AB3" s="1026"/>
      <c r="AC3" s="1026"/>
      <c r="AD3" s="1026"/>
      <c r="AE3" s="128"/>
      <c r="AF3" s="12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+RRPP!Z4</f>
        <v>365</v>
      </c>
      <c r="AA4" s="1026"/>
      <c r="AB4" s="1026"/>
      <c r="AC4" s="1026"/>
      <c r="AD4" s="1026"/>
      <c r="AE4" s="128"/>
      <c r="AF4" s="128"/>
    </row>
    <row r="5" spans="1:32" ht="18">
      <c r="A5" s="1312" t="s">
        <v>961</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28"/>
      <c r="AF5" s="12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AC48:AF48"/>
    <mergeCell ref="T1:X1"/>
    <mergeCell ref="Z1:AD1"/>
    <mergeCell ref="T2:X2"/>
    <mergeCell ref="Z2:AD2"/>
    <mergeCell ref="T3:X3"/>
    <mergeCell ref="Z3:AD3"/>
    <mergeCell ref="T4:X4"/>
    <mergeCell ref="Z4:AD4"/>
    <mergeCell ref="AC44:AF44"/>
    <mergeCell ref="AC46:AF46"/>
    <mergeCell ref="AC47:AF47"/>
    <mergeCell ref="A5:AD5"/>
  </mergeCells>
  <conditionalFormatting sqref="Y55">
    <cfRule type="expression" dxfId="9" priority="1">
      <formula>$U$40=""</formula>
    </cfRule>
  </conditionalFormatting>
  <dataValidations count="1">
    <dataValidation type="list" allowBlank="1" showInputMessage="1" showErrorMessage="1" sqref="D40:G40" xr:uid="{00000000-0002-0000-1600-000000000000}">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J81"/>
  <sheetViews>
    <sheetView workbookViewId="0"/>
  </sheetViews>
  <sheetFormatPr baseColWidth="10" defaultRowHeight="15"/>
  <cols>
    <col min="2" max="2" width="11.42578125" style="154"/>
    <col min="3" max="3" width="11.42578125" style="154" hidden="1" customWidth="1"/>
    <col min="4" max="4" width="28.42578125" style="154" customWidth="1"/>
    <col min="5" max="5" width="15.140625" style="154" bestFit="1" customWidth="1"/>
    <col min="6" max="6" width="27.42578125" style="154" customWidth="1"/>
    <col min="7" max="7" width="16.85546875" style="154" bestFit="1" customWidth="1"/>
    <col min="8" max="9" width="11.42578125" style="154"/>
    <col min="10" max="10" width="13.28515625" style="154" customWidth="1"/>
    <col min="11" max="11" width="11.42578125" style="154"/>
    <col min="12" max="12" width="14.28515625" style="154" customWidth="1"/>
    <col min="13" max="13" width="18.5703125" style="154" bestFit="1" customWidth="1"/>
    <col min="14" max="14" width="11.42578125" style="154"/>
    <col min="15" max="15" width="16.85546875" style="154" bestFit="1" customWidth="1"/>
    <col min="16" max="17" width="11.42578125" style="154"/>
    <col min="18" max="18" width="13" style="154" customWidth="1"/>
    <col min="19" max="19" width="11.42578125" style="154"/>
    <col min="20" max="20" width="14.7109375" style="154" customWidth="1"/>
    <col min="21" max="21" width="11.42578125" style="154"/>
    <col min="22" max="22" width="13.42578125" style="154" bestFit="1" customWidth="1"/>
    <col min="23" max="23" width="13.140625" style="154" customWidth="1"/>
    <col min="24" max="24" width="17.5703125" style="154" bestFit="1" customWidth="1"/>
    <col min="25" max="26" width="21.7109375" style="154" bestFit="1" customWidth="1"/>
    <col min="27" max="27" width="22.7109375" style="154" bestFit="1" customWidth="1"/>
    <col min="28" max="28" width="26.7109375" style="154" bestFit="1" customWidth="1"/>
    <col min="29" max="29" width="6.42578125" style="154" bestFit="1" customWidth="1"/>
    <col min="30" max="30" width="19.42578125" style="154" bestFit="1" customWidth="1"/>
    <col min="31" max="31" width="32.5703125" style="154" bestFit="1" customWidth="1"/>
    <col min="32" max="32" width="26.42578125" style="154" bestFit="1" customWidth="1"/>
    <col min="33" max="33" width="18.140625" style="154" bestFit="1" customWidth="1"/>
    <col min="34" max="34" width="24" style="154" bestFit="1" customWidth="1"/>
    <col min="35" max="35" width="21.85546875" style="154" bestFit="1" customWidth="1"/>
    <col min="36" max="36" width="21.42578125" style="154" bestFit="1" customWidth="1"/>
    <col min="37" max="37" width="15" style="154" bestFit="1" customWidth="1"/>
    <col min="38" max="38" width="35.140625" style="154" bestFit="1" customWidth="1"/>
    <col min="39" max="39" width="9.42578125" style="154" bestFit="1" customWidth="1"/>
    <col min="40" max="40" width="6.140625" style="154" bestFit="1" customWidth="1"/>
    <col min="41" max="41" width="6.7109375" style="154" bestFit="1" customWidth="1"/>
    <col min="42" max="42" width="8.28515625" style="154" bestFit="1" customWidth="1"/>
    <col min="43" max="43" width="9.28515625" style="154" bestFit="1" customWidth="1"/>
    <col min="44" max="44" width="6.7109375" style="154" bestFit="1" customWidth="1"/>
    <col min="45" max="45" width="6" style="154" bestFit="1" customWidth="1"/>
    <col min="46" max="46" width="9.28515625" style="154" bestFit="1" customWidth="1"/>
    <col min="47" max="47" width="6.7109375" style="154" bestFit="1" customWidth="1"/>
    <col min="48" max="48" width="8.85546875" style="154" bestFit="1" customWidth="1"/>
    <col min="49" max="49" width="6.7109375" style="154" bestFit="1" customWidth="1"/>
    <col min="50" max="50" width="8.28515625" style="154" bestFit="1" customWidth="1"/>
    <col min="51" max="51" width="10.28515625" style="154" bestFit="1" customWidth="1"/>
    <col min="52" max="52" width="18.85546875" style="154" bestFit="1" customWidth="1"/>
    <col min="53" max="53" width="5" style="154" bestFit="1" customWidth="1"/>
    <col min="54" max="54" width="6.7109375" style="154" bestFit="1" customWidth="1"/>
    <col min="55" max="55" width="27.5703125" style="154" bestFit="1" customWidth="1"/>
    <col min="56" max="56" width="15.28515625" style="154" bestFit="1" customWidth="1"/>
    <col min="57" max="57" width="12.85546875" style="154" customWidth="1"/>
    <col min="58" max="58" width="21.7109375" style="154" bestFit="1" customWidth="1"/>
    <col min="59" max="59" width="11.42578125" style="154"/>
    <col min="60" max="60" width="12.85546875" style="154" customWidth="1"/>
    <col min="61" max="66" width="11.42578125" style="154"/>
    <col min="67" max="67" width="23.140625" style="154" bestFit="1" customWidth="1"/>
    <col min="68" max="68" width="11.42578125" style="154"/>
    <col min="69" max="69" width="28.140625" style="154" bestFit="1" customWidth="1"/>
    <col min="70" max="70" width="11.42578125" style="154"/>
    <col min="71" max="71" width="12.28515625" style="154" customWidth="1"/>
    <col min="72" max="74" width="16.28515625" style="154" customWidth="1"/>
    <col min="75" max="76" width="11.42578125" style="154"/>
    <col min="77" max="77" width="17.42578125" style="154" customWidth="1"/>
    <col min="78" max="78" width="11.42578125" style="154"/>
  </cols>
  <sheetData>
    <row r="1" spans="1:88">
      <c r="A1" s="165" t="s">
        <v>270</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165"/>
      <c r="BD1" s="165"/>
      <c r="BE1" s="165"/>
      <c r="BF1" s="165"/>
      <c r="BG1" s="165"/>
      <c r="BH1" s="165"/>
      <c r="BI1" s="165"/>
      <c r="BJ1" s="165"/>
      <c r="BK1" s="165"/>
      <c r="BL1" s="165"/>
      <c r="BM1" s="165"/>
      <c r="BN1" s="165" t="s">
        <v>271</v>
      </c>
      <c r="BO1" s="165"/>
      <c r="BP1" s="165"/>
      <c r="BQ1" s="165"/>
      <c r="BR1" s="165"/>
      <c r="BS1" s="165"/>
      <c r="BT1" s="165" t="s">
        <v>272</v>
      </c>
      <c r="BU1" s="165"/>
      <c r="BV1" s="170"/>
      <c r="BW1" s="170"/>
      <c r="BX1" s="170"/>
      <c r="BY1" s="170"/>
      <c r="BZ1" s="170"/>
      <c r="CA1" s="20"/>
      <c r="CB1" s="20"/>
      <c r="CC1" s="20"/>
      <c r="CD1" s="20"/>
      <c r="CE1" s="20"/>
      <c r="CF1" s="20"/>
      <c r="CG1" s="20"/>
      <c r="CH1" s="20"/>
      <c r="CI1" s="20"/>
      <c r="CJ1" s="20"/>
    </row>
    <row r="2" spans="1:88" ht="25.5">
      <c r="A2" s="20"/>
      <c r="B2" s="166" t="s">
        <v>54</v>
      </c>
      <c r="C2" s="166"/>
      <c r="D2" s="166" t="s">
        <v>273</v>
      </c>
      <c r="E2" s="166" t="s">
        <v>274</v>
      </c>
      <c r="F2" s="166" t="s">
        <v>275</v>
      </c>
      <c r="G2" s="166" t="s">
        <v>276</v>
      </c>
      <c r="H2" s="166" t="s">
        <v>277</v>
      </c>
      <c r="I2" s="166" t="s">
        <v>278</v>
      </c>
      <c r="J2" s="166" t="s">
        <v>279</v>
      </c>
      <c r="K2" s="166" t="s">
        <v>280</v>
      </c>
      <c r="L2" s="166" t="s">
        <v>281</v>
      </c>
      <c r="M2" s="166" t="s">
        <v>282</v>
      </c>
      <c r="N2" s="166" t="s">
        <v>283</v>
      </c>
      <c r="O2" s="166" t="s">
        <v>284</v>
      </c>
      <c r="P2" s="166" t="s">
        <v>285</v>
      </c>
      <c r="Q2" s="166" t="s">
        <v>286</v>
      </c>
      <c r="R2" s="166" t="s">
        <v>287</v>
      </c>
      <c r="S2" s="166" t="s">
        <v>288</v>
      </c>
      <c r="T2" s="166" t="s">
        <v>289</v>
      </c>
      <c r="U2" s="166" t="s">
        <v>290</v>
      </c>
      <c r="V2" s="166" t="s">
        <v>291</v>
      </c>
      <c r="W2" s="166" t="s">
        <v>287</v>
      </c>
      <c r="X2" s="166" t="s">
        <v>292</v>
      </c>
      <c r="Y2" s="166" t="s">
        <v>293</v>
      </c>
      <c r="Z2" s="166" t="s">
        <v>294</v>
      </c>
      <c r="AA2" s="166" t="s">
        <v>295</v>
      </c>
      <c r="AB2" s="166" t="s">
        <v>296</v>
      </c>
      <c r="AC2" s="166" t="s">
        <v>297</v>
      </c>
      <c r="AD2" s="166" t="s">
        <v>298</v>
      </c>
      <c r="AE2" s="166" t="s">
        <v>299</v>
      </c>
      <c r="AF2" s="166" t="s">
        <v>300</v>
      </c>
      <c r="AG2" s="166" t="s">
        <v>301</v>
      </c>
      <c r="AH2" s="166" t="s">
        <v>302</v>
      </c>
      <c r="AI2" s="166" t="s">
        <v>303</v>
      </c>
      <c r="AJ2" s="166" t="s">
        <v>304</v>
      </c>
      <c r="AK2" s="166" t="s">
        <v>305</v>
      </c>
      <c r="AL2" s="166" t="s">
        <v>306</v>
      </c>
      <c r="AM2" s="1938" t="s">
        <v>307</v>
      </c>
      <c r="AN2" s="1938"/>
      <c r="AO2" s="1938"/>
      <c r="AP2" s="1938" t="s">
        <v>308</v>
      </c>
      <c r="AQ2" s="1938"/>
      <c r="AR2" s="1938"/>
      <c r="AS2" s="1938" t="s">
        <v>309</v>
      </c>
      <c r="AT2" s="1938"/>
      <c r="AU2" s="1938"/>
      <c r="AV2" s="1938" t="s">
        <v>310</v>
      </c>
      <c r="AW2" s="1938"/>
      <c r="AX2" s="1938"/>
      <c r="AY2" s="1938"/>
      <c r="AZ2" s="1938" t="s">
        <v>311</v>
      </c>
      <c r="BA2" s="1938"/>
      <c r="BB2" s="1938"/>
      <c r="BC2" s="166" t="s">
        <v>312</v>
      </c>
      <c r="BD2" s="166" t="s">
        <v>313</v>
      </c>
      <c r="BE2" s="166" t="s">
        <v>314</v>
      </c>
      <c r="BF2" s="166" t="s">
        <v>315</v>
      </c>
      <c r="BG2" s="166" t="s">
        <v>316</v>
      </c>
      <c r="BH2" s="167" t="s">
        <v>317</v>
      </c>
      <c r="BI2" s="167" t="s">
        <v>318</v>
      </c>
      <c r="BJ2" s="167" t="s">
        <v>319</v>
      </c>
      <c r="BK2" s="167" t="s">
        <v>320</v>
      </c>
      <c r="BL2" s="167" t="s">
        <v>321</v>
      </c>
      <c r="BM2" s="167" t="s">
        <v>322</v>
      </c>
      <c r="BN2" s="167" t="s">
        <v>323</v>
      </c>
      <c r="BO2" s="167" t="s">
        <v>324</v>
      </c>
      <c r="BP2" s="167" t="s">
        <v>1018</v>
      </c>
      <c r="BQ2" s="167" t="s">
        <v>325</v>
      </c>
      <c r="BR2" s="167" t="s">
        <v>326</v>
      </c>
      <c r="BS2" s="167" t="s">
        <v>58</v>
      </c>
      <c r="BT2" s="166" t="s">
        <v>327</v>
      </c>
      <c r="BU2" s="166" t="s">
        <v>328</v>
      </c>
      <c r="BV2" s="166" t="s">
        <v>329</v>
      </c>
      <c r="BW2" s="166"/>
      <c r="BX2" s="168" t="s">
        <v>330</v>
      </c>
      <c r="BY2" s="166"/>
      <c r="BZ2" s="167" t="s">
        <v>984</v>
      </c>
      <c r="CA2" s="21"/>
      <c r="CB2" s="21"/>
      <c r="CC2" s="21"/>
      <c r="CD2" s="21"/>
      <c r="CE2" s="21"/>
      <c r="CF2" s="21"/>
      <c r="CG2" s="21"/>
      <c r="CH2" s="21"/>
      <c r="CI2" s="21"/>
      <c r="CJ2" s="21"/>
    </row>
    <row r="3" spans="1:88" ht="25.5">
      <c r="A3" s="20"/>
      <c r="B3" s="172" t="s">
        <v>27</v>
      </c>
      <c r="C3" s="172"/>
      <c r="D3" s="170" t="s">
        <v>39</v>
      </c>
      <c r="E3" s="170" t="s">
        <v>331</v>
      </c>
      <c r="F3" s="345" t="s">
        <v>2</v>
      </c>
      <c r="G3" s="170" t="s">
        <v>332</v>
      </c>
      <c r="H3" s="170" t="s">
        <v>333</v>
      </c>
      <c r="I3" s="170" t="s">
        <v>334</v>
      </c>
      <c r="J3" s="170" t="s">
        <v>335</v>
      </c>
      <c r="K3" s="170" t="s">
        <v>336</v>
      </c>
      <c r="L3" s="170" t="s">
        <v>337</v>
      </c>
      <c r="M3" s="170" t="s">
        <v>1261</v>
      </c>
      <c r="N3" s="170" t="s">
        <v>338</v>
      </c>
      <c r="O3" s="170" t="s">
        <v>339</v>
      </c>
      <c r="P3" s="170" t="s">
        <v>340</v>
      </c>
      <c r="Q3" s="170" t="s">
        <v>1262</v>
      </c>
      <c r="R3" s="170" t="s">
        <v>341</v>
      </c>
      <c r="S3" s="170" t="s">
        <v>342</v>
      </c>
      <c r="T3" s="170" t="s">
        <v>343</v>
      </c>
      <c r="U3" s="170" t="s">
        <v>344</v>
      </c>
      <c r="V3" s="170" t="s">
        <v>345</v>
      </c>
      <c r="W3" s="170" t="s">
        <v>346</v>
      </c>
      <c r="X3" s="170" t="s">
        <v>347</v>
      </c>
      <c r="Y3" s="170" t="s">
        <v>348</v>
      </c>
      <c r="Z3" s="170" t="s">
        <v>348</v>
      </c>
      <c r="AA3" s="170" t="s">
        <v>349</v>
      </c>
      <c r="AB3" s="170" t="s">
        <v>350</v>
      </c>
      <c r="AC3" s="170" t="s">
        <v>351</v>
      </c>
      <c r="AD3" s="170" t="s">
        <v>352</v>
      </c>
      <c r="AE3" s="170" t="s">
        <v>353</v>
      </c>
      <c r="AF3" s="170" t="s">
        <v>354</v>
      </c>
      <c r="AG3" s="170" t="s">
        <v>355</v>
      </c>
      <c r="AH3" s="170" t="s">
        <v>356</v>
      </c>
      <c r="AI3" s="170" t="s">
        <v>357</v>
      </c>
      <c r="AJ3" s="170" t="s">
        <v>358</v>
      </c>
      <c r="AK3" s="170" t="s">
        <v>358</v>
      </c>
      <c r="AL3" s="170" t="s">
        <v>358</v>
      </c>
      <c r="AM3" s="169" t="s">
        <v>102</v>
      </c>
      <c r="AN3" s="169" t="s">
        <v>103</v>
      </c>
      <c r="AO3" s="169" t="s">
        <v>104</v>
      </c>
      <c r="AP3" s="169" t="s">
        <v>106</v>
      </c>
      <c r="AQ3" s="169" t="s">
        <v>107</v>
      </c>
      <c r="AR3" s="169" t="s">
        <v>104</v>
      </c>
      <c r="AS3" s="169" t="s">
        <v>106</v>
      </c>
      <c r="AT3" s="169" t="s">
        <v>107</v>
      </c>
      <c r="AU3" s="169" t="s">
        <v>104</v>
      </c>
      <c r="AV3" s="169" t="s">
        <v>102</v>
      </c>
      <c r="AW3" s="169" t="s">
        <v>103</v>
      </c>
      <c r="AX3" s="169" t="s">
        <v>110</v>
      </c>
      <c r="AY3" s="169" t="s">
        <v>359</v>
      </c>
      <c r="AZ3" s="169" t="s">
        <v>102</v>
      </c>
      <c r="BA3" s="169" t="s">
        <v>360</v>
      </c>
      <c r="BB3" s="169" t="s">
        <v>114</v>
      </c>
      <c r="BC3" s="170" t="s">
        <v>1263</v>
      </c>
      <c r="BD3" s="170" t="s">
        <v>361</v>
      </c>
      <c r="BE3" s="170" t="s">
        <v>362</v>
      </c>
      <c r="BF3" s="170" t="s">
        <v>363</v>
      </c>
      <c r="BG3" s="170" t="s">
        <v>364</v>
      </c>
      <c r="BH3" s="171" t="s">
        <v>163</v>
      </c>
      <c r="BI3" s="171" t="s">
        <v>365</v>
      </c>
      <c r="BJ3" s="171" t="s">
        <v>366</v>
      </c>
      <c r="BK3" s="171" t="s">
        <v>367</v>
      </c>
      <c r="BL3" s="171" t="s">
        <v>368</v>
      </c>
      <c r="BM3" s="171" t="s">
        <v>369</v>
      </c>
      <c r="BN3" s="171" t="s">
        <v>370</v>
      </c>
      <c r="BO3" s="171" t="s">
        <v>371</v>
      </c>
      <c r="BP3" s="171" t="s">
        <v>347</v>
      </c>
      <c r="BQ3" s="170" t="s">
        <v>248</v>
      </c>
      <c r="BR3" s="22">
        <v>1</v>
      </c>
      <c r="BS3" s="170" t="s">
        <v>33</v>
      </c>
      <c r="BT3" s="170" t="s">
        <v>372</v>
      </c>
      <c r="BU3" s="170" t="s">
        <v>373</v>
      </c>
      <c r="BV3" s="170" t="s">
        <v>374</v>
      </c>
      <c r="BW3" s="170" t="s">
        <v>375</v>
      </c>
      <c r="BX3" s="170" t="s">
        <v>376</v>
      </c>
      <c r="BY3" s="170" t="s">
        <v>377</v>
      </c>
      <c r="BZ3" s="170" t="s">
        <v>985</v>
      </c>
      <c r="CA3" s="20"/>
      <c r="CB3" s="20"/>
      <c r="CC3" s="20"/>
      <c r="CD3" s="20"/>
      <c r="CE3" s="20"/>
      <c r="CF3" s="20"/>
      <c r="CG3" s="20"/>
      <c r="CH3" s="20"/>
      <c r="CI3" s="20"/>
      <c r="CJ3" s="20"/>
    </row>
    <row r="4" spans="1:88" ht="25.5">
      <c r="A4" s="20"/>
      <c r="B4" s="172" t="s">
        <v>378</v>
      </c>
      <c r="C4" s="172"/>
      <c r="D4" s="172" t="s">
        <v>335</v>
      </c>
      <c r="E4" s="170" t="s">
        <v>379</v>
      </c>
      <c r="F4" s="345" t="s">
        <v>380</v>
      </c>
      <c r="G4" s="170" t="s">
        <v>381</v>
      </c>
      <c r="H4" s="170" t="s">
        <v>382</v>
      </c>
      <c r="I4" s="170" t="s">
        <v>383</v>
      </c>
      <c r="J4" s="170" t="s">
        <v>384</v>
      </c>
      <c r="K4" s="170" t="s">
        <v>385</v>
      </c>
      <c r="L4" s="170" t="s">
        <v>386</v>
      </c>
      <c r="M4" s="170" t="s">
        <v>1264</v>
      </c>
      <c r="N4" s="170" t="s">
        <v>1265</v>
      </c>
      <c r="O4" s="170" t="s">
        <v>387</v>
      </c>
      <c r="P4" s="170" t="s">
        <v>388</v>
      </c>
      <c r="Q4" s="170" t="s">
        <v>389</v>
      </c>
      <c r="R4" s="170" t="s">
        <v>390</v>
      </c>
      <c r="S4" s="170" t="s">
        <v>391</v>
      </c>
      <c r="T4" s="170" t="s">
        <v>392</v>
      </c>
      <c r="U4" s="170" t="s">
        <v>393</v>
      </c>
      <c r="V4" s="170" t="s">
        <v>394</v>
      </c>
      <c r="W4" s="170" t="s">
        <v>341</v>
      </c>
      <c r="X4" s="170" t="s">
        <v>395</v>
      </c>
      <c r="Y4" s="170" t="s">
        <v>396</v>
      </c>
      <c r="Z4" s="170" t="s">
        <v>395</v>
      </c>
      <c r="AA4" s="170" t="s">
        <v>397</v>
      </c>
      <c r="AB4" s="170" t="s">
        <v>398</v>
      </c>
      <c r="AC4" s="170" t="s">
        <v>399</v>
      </c>
      <c r="AD4" s="170" t="s">
        <v>400</v>
      </c>
      <c r="AE4" s="170" t="s">
        <v>401</v>
      </c>
      <c r="AF4" s="170" t="s">
        <v>402</v>
      </c>
      <c r="AG4" s="170" t="s">
        <v>403</v>
      </c>
      <c r="AH4" s="170" t="s">
        <v>404</v>
      </c>
      <c r="AI4" s="170" t="s">
        <v>405</v>
      </c>
      <c r="AJ4" s="170" t="s">
        <v>406</v>
      </c>
      <c r="AK4" s="170" t="s">
        <v>407</v>
      </c>
      <c r="AL4" s="170" t="s">
        <v>408</v>
      </c>
      <c r="AM4" s="170" t="s">
        <v>409</v>
      </c>
      <c r="AN4" s="170" t="s">
        <v>410</v>
      </c>
      <c r="AO4" s="170" t="s">
        <v>411</v>
      </c>
      <c r="AP4" s="170" t="s">
        <v>412</v>
      </c>
      <c r="AQ4" s="170" t="s">
        <v>413</v>
      </c>
      <c r="AR4" s="170" t="s">
        <v>411</v>
      </c>
      <c r="AS4" s="170" t="s">
        <v>412</v>
      </c>
      <c r="AT4" s="170" t="s">
        <v>413</v>
      </c>
      <c r="AU4" s="170" t="s">
        <v>411</v>
      </c>
      <c r="AV4" s="170" t="s">
        <v>414</v>
      </c>
      <c r="AW4" s="170" t="s">
        <v>394</v>
      </c>
      <c r="AX4" s="170" t="s">
        <v>412</v>
      </c>
      <c r="AY4" s="170" t="s">
        <v>415</v>
      </c>
      <c r="AZ4" s="170" t="s">
        <v>416</v>
      </c>
      <c r="BA4" s="170" t="s">
        <v>417</v>
      </c>
      <c r="BB4" s="170" t="s">
        <v>418</v>
      </c>
      <c r="BC4" s="170" t="s">
        <v>419</v>
      </c>
      <c r="BD4" s="170" t="s">
        <v>420</v>
      </c>
      <c r="BE4" s="170" t="s">
        <v>421</v>
      </c>
      <c r="BF4" s="170" t="s">
        <v>422</v>
      </c>
      <c r="BG4" s="170" t="s">
        <v>423</v>
      </c>
      <c r="BH4" s="171" t="s">
        <v>424</v>
      </c>
      <c r="BI4" s="171" t="s">
        <v>176</v>
      </c>
      <c r="BJ4" s="171" t="s">
        <v>181</v>
      </c>
      <c r="BK4" s="171" t="s">
        <v>425</v>
      </c>
      <c r="BL4" s="171" t="s">
        <v>46</v>
      </c>
      <c r="BM4" s="170" t="s">
        <v>426</v>
      </c>
      <c r="BN4" s="171" t="s">
        <v>427</v>
      </c>
      <c r="BO4" s="171" t="s">
        <v>428</v>
      </c>
      <c r="BP4" s="171" t="s">
        <v>395</v>
      </c>
      <c r="BQ4" s="170" t="s">
        <v>429</v>
      </c>
      <c r="BR4" s="22">
        <v>2</v>
      </c>
      <c r="BS4" s="170" t="s">
        <v>969</v>
      </c>
      <c r="BT4" s="170" t="s">
        <v>430</v>
      </c>
      <c r="BU4" s="170" t="s">
        <v>431</v>
      </c>
      <c r="BV4" s="173" t="s">
        <v>432</v>
      </c>
      <c r="BW4" s="173" t="s">
        <v>433</v>
      </c>
      <c r="BX4" s="170" t="s">
        <v>434</v>
      </c>
      <c r="BY4" s="170" t="s">
        <v>435</v>
      </c>
      <c r="BZ4" s="170" t="s">
        <v>986</v>
      </c>
      <c r="CA4" s="20"/>
      <c r="CB4" s="20"/>
      <c r="CC4" s="20"/>
      <c r="CD4" s="20"/>
      <c r="CE4" s="20"/>
      <c r="CF4" s="20"/>
      <c r="CG4" s="20"/>
      <c r="CH4" s="20"/>
      <c r="CI4" s="20"/>
      <c r="CJ4" s="20"/>
    </row>
    <row r="5" spans="1:88">
      <c r="A5" s="20"/>
      <c r="B5" s="172" t="s">
        <v>436</v>
      </c>
      <c r="C5" s="172"/>
      <c r="D5" s="172" t="s">
        <v>384</v>
      </c>
      <c r="E5" s="170" t="s">
        <v>437</v>
      </c>
      <c r="F5" s="170"/>
      <c r="G5" s="170" t="s">
        <v>400</v>
      </c>
      <c r="H5" s="170" t="s">
        <v>438</v>
      </c>
      <c r="I5" s="170"/>
      <c r="J5" s="170" t="s">
        <v>439</v>
      </c>
      <c r="K5" s="170" t="s">
        <v>440</v>
      </c>
      <c r="L5" s="170" t="s">
        <v>441</v>
      </c>
      <c r="M5" s="170" t="s">
        <v>1266</v>
      </c>
      <c r="N5" s="170" t="s">
        <v>442</v>
      </c>
      <c r="O5" s="170" t="s">
        <v>443</v>
      </c>
      <c r="P5" s="170" t="s">
        <v>444</v>
      </c>
      <c r="Q5" s="170" t="s">
        <v>442</v>
      </c>
      <c r="R5" s="170" t="s">
        <v>42</v>
      </c>
      <c r="S5" s="170" t="s">
        <v>445</v>
      </c>
      <c r="T5" s="170" t="s">
        <v>446</v>
      </c>
      <c r="U5" s="170" t="s">
        <v>447</v>
      </c>
      <c r="V5" s="170" t="s">
        <v>448</v>
      </c>
      <c r="W5" s="170" t="s">
        <v>390</v>
      </c>
      <c r="X5" s="170" t="s">
        <v>449</v>
      </c>
      <c r="Y5" s="170" t="s">
        <v>1094</v>
      </c>
      <c r="Z5" s="170"/>
      <c r="AA5" s="170" t="s">
        <v>450</v>
      </c>
      <c r="AB5" s="170" t="s">
        <v>451</v>
      </c>
      <c r="AC5" s="170" t="s">
        <v>452</v>
      </c>
      <c r="AD5" s="170" t="s">
        <v>453</v>
      </c>
      <c r="AE5" s="170" t="s">
        <v>454</v>
      </c>
      <c r="AF5" s="170" t="s">
        <v>455</v>
      </c>
      <c r="AG5" s="170" t="s">
        <v>456</v>
      </c>
      <c r="AH5" s="170" t="s">
        <v>457</v>
      </c>
      <c r="AI5" s="170" t="s">
        <v>458</v>
      </c>
      <c r="AJ5" s="170" t="s">
        <v>459</v>
      </c>
      <c r="AK5" s="170" t="s">
        <v>460</v>
      </c>
      <c r="AL5" s="170" t="s">
        <v>461</v>
      </c>
      <c r="AM5" s="170" t="s">
        <v>462</v>
      </c>
      <c r="AN5" s="170" t="s">
        <v>412</v>
      </c>
      <c r="AO5" s="170" t="s">
        <v>463</v>
      </c>
      <c r="AP5" s="170" t="s">
        <v>464</v>
      </c>
      <c r="AQ5" s="170" t="s">
        <v>465</v>
      </c>
      <c r="AR5" s="170" t="s">
        <v>463</v>
      </c>
      <c r="AS5" s="170" t="s">
        <v>464</v>
      </c>
      <c r="AT5" s="170" t="s">
        <v>465</v>
      </c>
      <c r="AU5" s="170" t="s">
        <v>463</v>
      </c>
      <c r="AV5" s="170" t="s">
        <v>466</v>
      </c>
      <c r="AW5" s="170" t="s">
        <v>467</v>
      </c>
      <c r="AX5" s="170" t="s">
        <v>468</v>
      </c>
      <c r="AY5" s="170" t="s">
        <v>469</v>
      </c>
      <c r="AZ5" s="170" t="s">
        <v>470</v>
      </c>
      <c r="BA5" s="170" t="s">
        <v>360</v>
      </c>
      <c r="BB5" s="170" t="s">
        <v>471</v>
      </c>
      <c r="BC5" s="170" t="s">
        <v>472</v>
      </c>
      <c r="BD5" s="170" t="s">
        <v>473</v>
      </c>
      <c r="BE5" s="170" t="s">
        <v>474</v>
      </c>
      <c r="BF5" s="170" t="s">
        <v>475</v>
      </c>
      <c r="BG5" s="170" t="s">
        <v>476</v>
      </c>
      <c r="BH5" s="171" t="s">
        <v>477</v>
      </c>
      <c r="BI5" s="171" t="s">
        <v>175</v>
      </c>
      <c r="BJ5" s="171" t="s">
        <v>478</v>
      </c>
      <c r="BK5" s="171" t="s">
        <v>479</v>
      </c>
      <c r="BL5" s="171" t="s">
        <v>480</v>
      </c>
      <c r="BM5" s="170" t="s">
        <v>481</v>
      </c>
      <c r="BN5" s="171" t="s">
        <v>482</v>
      </c>
      <c r="BO5" s="171" t="s">
        <v>483</v>
      </c>
      <c r="BP5" s="171"/>
      <c r="BQ5" s="170" t="s">
        <v>484</v>
      </c>
      <c r="BR5" s="22">
        <v>3</v>
      </c>
      <c r="BS5" s="170" t="s">
        <v>970</v>
      </c>
      <c r="BT5" s="170" t="s">
        <v>485</v>
      </c>
      <c r="BU5" s="170" t="s">
        <v>486</v>
      </c>
      <c r="BV5" s="170" t="s">
        <v>487</v>
      </c>
      <c r="BW5" s="170" t="s">
        <v>345</v>
      </c>
      <c r="BX5" s="170"/>
      <c r="BY5" s="170" t="s">
        <v>488</v>
      </c>
      <c r="BZ5" s="170" t="s">
        <v>987</v>
      </c>
      <c r="CA5" s="20"/>
      <c r="CB5" s="20"/>
      <c r="CC5" s="20"/>
      <c r="CD5" s="20"/>
      <c r="CE5" s="20"/>
      <c r="CF5" s="20"/>
      <c r="CG5" s="20"/>
      <c r="CH5" s="20"/>
      <c r="CI5" s="20"/>
      <c r="CJ5" s="20"/>
    </row>
    <row r="6" spans="1:88">
      <c r="A6" s="20"/>
      <c r="B6" s="170"/>
      <c r="C6" s="172"/>
      <c r="D6" s="172" t="s">
        <v>1267</v>
      </c>
      <c r="E6" s="170" t="s">
        <v>489</v>
      </c>
      <c r="F6" s="172"/>
      <c r="G6" s="170" t="s">
        <v>490</v>
      </c>
      <c r="H6" s="170" t="s">
        <v>491</v>
      </c>
      <c r="I6" s="172"/>
      <c r="J6" s="172" t="s">
        <v>492</v>
      </c>
      <c r="K6" s="170" t="s">
        <v>493</v>
      </c>
      <c r="L6" s="170" t="s">
        <v>494</v>
      </c>
      <c r="M6" s="170" t="s">
        <v>495</v>
      </c>
      <c r="N6" s="170" t="s">
        <v>496</v>
      </c>
      <c r="O6" s="170" t="s">
        <v>497</v>
      </c>
      <c r="P6" s="170" t="s">
        <v>338</v>
      </c>
      <c r="Q6" s="170" t="s">
        <v>338</v>
      </c>
      <c r="R6" s="170" t="s">
        <v>498</v>
      </c>
      <c r="S6" s="170" t="s">
        <v>499</v>
      </c>
      <c r="T6" s="170" t="s">
        <v>500</v>
      </c>
      <c r="U6" s="170" t="s">
        <v>501</v>
      </c>
      <c r="V6" s="170" t="s">
        <v>355</v>
      </c>
      <c r="W6" s="170" t="s">
        <v>502</v>
      </c>
      <c r="X6" s="170"/>
      <c r="Y6" s="170"/>
      <c r="Z6" s="170"/>
      <c r="AA6" s="170" t="s">
        <v>503</v>
      </c>
      <c r="AB6" s="170" t="s">
        <v>504</v>
      </c>
      <c r="AC6" s="170" t="s">
        <v>1249</v>
      </c>
      <c r="AD6" s="170" t="s">
        <v>4</v>
      </c>
      <c r="AE6" s="170" t="s">
        <v>505</v>
      </c>
      <c r="AF6" s="170" t="s">
        <v>506</v>
      </c>
      <c r="AG6" s="170" t="s">
        <v>507</v>
      </c>
      <c r="AH6" s="170" t="s">
        <v>508</v>
      </c>
      <c r="AI6" s="170" t="s">
        <v>509</v>
      </c>
      <c r="AJ6" s="170" t="s">
        <v>510</v>
      </c>
      <c r="AK6" s="170" t="s">
        <v>511</v>
      </c>
      <c r="AL6" s="170" t="s">
        <v>512</v>
      </c>
      <c r="AM6" s="170" t="s">
        <v>513</v>
      </c>
      <c r="AN6" s="170" t="s">
        <v>11</v>
      </c>
      <c r="AO6" s="170" t="s">
        <v>514</v>
      </c>
      <c r="AP6" s="170" t="s">
        <v>410</v>
      </c>
      <c r="AQ6" s="170" t="s">
        <v>515</v>
      </c>
      <c r="AR6" s="170" t="s">
        <v>11</v>
      </c>
      <c r="AS6" s="170" t="s">
        <v>410</v>
      </c>
      <c r="AT6" s="170" t="s">
        <v>515</v>
      </c>
      <c r="AU6" s="170" t="s">
        <v>11</v>
      </c>
      <c r="AV6" s="170" t="s">
        <v>516</v>
      </c>
      <c r="AW6" s="170" t="s">
        <v>517</v>
      </c>
      <c r="AX6" s="170" t="s">
        <v>518</v>
      </c>
      <c r="AY6" s="170" t="s">
        <v>11</v>
      </c>
      <c r="AZ6" s="170" t="s">
        <v>519</v>
      </c>
      <c r="BA6" s="170"/>
      <c r="BB6" s="170" t="s">
        <v>520</v>
      </c>
      <c r="BC6" s="170" t="s">
        <v>521</v>
      </c>
      <c r="BD6" s="170" t="s">
        <v>522</v>
      </c>
      <c r="BE6" s="170" t="s">
        <v>523</v>
      </c>
      <c r="BF6" s="170" t="s">
        <v>524</v>
      </c>
      <c r="BG6" s="170" t="s">
        <v>525</v>
      </c>
      <c r="BH6" s="171" t="s">
        <v>526</v>
      </c>
      <c r="BI6" s="171" t="s">
        <v>527</v>
      </c>
      <c r="BJ6" s="171"/>
      <c r="BK6" s="171" t="s">
        <v>528</v>
      </c>
      <c r="BL6" s="171" t="s">
        <v>529</v>
      </c>
      <c r="BM6" s="170" t="s">
        <v>530</v>
      </c>
      <c r="BN6" s="171" t="s">
        <v>531</v>
      </c>
      <c r="BO6" s="171" t="s">
        <v>199</v>
      </c>
      <c r="BP6" s="171"/>
      <c r="BQ6" s="170"/>
      <c r="BR6" s="22">
        <v>4</v>
      </c>
      <c r="BS6" s="170"/>
      <c r="BT6" s="170" t="s">
        <v>532</v>
      </c>
      <c r="BU6" s="170" t="s">
        <v>533</v>
      </c>
      <c r="BV6" s="170" t="s">
        <v>112</v>
      </c>
      <c r="BW6" s="170" t="s">
        <v>534</v>
      </c>
      <c r="BX6" s="170"/>
      <c r="BY6" s="170" t="s">
        <v>535</v>
      </c>
      <c r="BZ6" s="170" t="s">
        <v>988</v>
      </c>
      <c r="CA6" s="20"/>
      <c r="CB6" s="20"/>
      <c r="CC6" s="20"/>
      <c r="CD6" s="20"/>
      <c r="CE6" s="20"/>
      <c r="CF6" s="20"/>
      <c r="CG6" s="20"/>
      <c r="CH6" s="20"/>
      <c r="CI6" s="20"/>
      <c r="CJ6" s="20"/>
    </row>
    <row r="7" spans="1:88">
      <c r="A7" s="20"/>
      <c r="B7" s="170"/>
      <c r="C7" s="172"/>
      <c r="D7" s="172" t="s">
        <v>536</v>
      </c>
      <c r="E7" s="170" t="s">
        <v>537</v>
      </c>
      <c r="F7" s="172"/>
      <c r="G7" s="170"/>
      <c r="H7" s="172" t="s">
        <v>538</v>
      </c>
      <c r="I7" s="172"/>
      <c r="J7" s="172" t="s">
        <v>539</v>
      </c>
      <c r="K7" s="170" t="s">
        <v>540</v>
      </c>
      <c r="L7" s="170" t="s">
        <v>541</v>
      </c>
      <c r="M7" s="170"/>
      <c r="N7" s="170"/>
      <c r="O7" s="170" t="s">
        <v>542</v>
      </c>
      <c r="P7" s="170"/>
      <c r="Q7" s="170"/>
      <c r="R7" s="170"/>
      <c r="S7" s="170" t="s">
        <v>543</v>
      </c>
      <c r="T7" s="170" t="s">
        <v>544</v>
      </c>
      <c r="U7" s="170" t="s">
        <v>545</v>
      </c>
      <c r="V7" s="170" t="s">
        <v>934</v>
      </c>
      <c r="W7" s="170" t="s">
        <v>42</v>
      </c>
      <c r="X7" s="170"/>
      <c r="Y7" s="170"/>
      <c r="Z7" s="170"/>
      <c r="AA7" s="170"/>
      <c r="AB7" s="170" t="s">
        <v>546</v>
      </c>
      <c r="AC7" s="170" t="s">
        <v>1251</v>
      </c>
      <c r="AD7" s="170" t="s">
        <v>547</v>
      </c>
      <c r="AE7" s="170" t="s">
        <v>548</v>
      </c>
      <c r="AF7" s="170" t="s">
        <v>549</v>
      </c>
      <c r="AG7" s="170" t="s">
        <v>550</v>
      </c>
      <c r="AH7" s="170" t="s">
        <v>551</v>
      </c>
      <c r="AI7" s="170" t="s">
        <v>552</v>
      </c>
      <c r="AJ7" s="170" t="s">
        <v>11</v>
      </c>
      <c r="AK7" s="170" t="s">
        <v>11</v>
      </c>
      <c r="AL7" s="170" t="s">
        <v>553</v>
      </c>
      <c r="AM7" s="170" t="s">
        <v>11</v>
      </c>
      <c r="AN7" s="170"/>
      <c r="AO7" s="170" t="s">
        <v>11</v>
      </c>
      <c r="AP7" s="170" t="s">
        <v>11</v>
      </c>
      <c r="AQ7" s="170" t="s">
        <v>11</v>
      </c>
      <c r="AR7" s="170"/>
      <c r="AS7" s="170" t="s">
        <v>11</v>
      </c>
      <c r="AT7" s="170" t="s">
        <v>11</v>
      </c>
      <c r="AU7" s="170"/>
      <c r="AV7" s="170" t="s">
        <v>554</v>
      </c>
      <c r="AW7" s="170" t="s">
        <v>412</v>
      </c>
      <c r="AX7" s="170" t="s">
        <v>555</v>
      </c>
      <c r="AY7" s="170"/>
      <c r="AZ7" s="170" t="s">
        <v>11</v>
      </c>
      <c r="BA7" s="170"/>
      <c r="BB7" s="170"/>
      <c r="BC7" s="170" t="s">
        <v>556</v>
      </c>
      <c r="BD7" s="170" t="s">
        <v>557</v>
      </c>
      <c r="BE7" s="170" t="s">
        <v>558</v>
      </c>
      <c r="BF7" s="170" t="s">
        <v>559</v>
      </c>
      <c r="BG7" s="170" t="s">
        <v>560</v>
      </c>
      <c r="BH7" s="171"/>
      <c r="BI7" s="171" t="s">
        <v>561</v>
      </c>
      <c r="BJ7" s="171"/>
      <c r="BK7" s="171" t="s">
        <v>368</v>
      </c>
      <c r="BL7" s="171" t="s">
        <v>562</v>
      </c>
      <c r="BM7" s="171"/>
      <c r="BN7" s="171" t="s">
        <v>563</v>
      </c>
      <c r="BO7" s="171" t="s">
        <v>564</v>
      </c>
      <c r="BP7" s="171"/>
      <c r="BQ7" s="170"/>
      <c r="BR7" s="22">
        <v>5</v>
      </c>
      <c r="BS7" s="170"/>
      <c r="BT7" s="170" t="s">
        <v>565</v>
      </c>
      <c r="BU7" s="170" t="s">
        <v>566</v>
      </c>
      <c r="BV7" s="170" t="s">
        <v>567</v>
      </c>
      <c r="BW7" s="170" t="s">
        <v>568</v>
      </c>
      <c r="BX7" s="170"/>
      <c r="BY7" s="170" t="s">
        <v>569</v>
      </c>
      <c r="BZ7" s="170" t="s">
        <v>989</v>
      </c>
      <c r="CA7" s="20"/>
      <c r="CB7" s="20"/>
      <c r="CC7" s="20"/>
      <c r="CD7" s="20"/>
      <c r="CE7" s="20"/>
      <c r="CF7" s="20"/>
      <c r="CG7" s="20"/>
      <c r="CH7" s="20"/>
      <c r="CI7" s="20"/>
      <c r="CJ7" s="20"/>
    </row>
    <row r="8" spans="1:88">
      <c r="A8" s="20"/>
      <c r="B8" s="170"/>
      <c r="C8" s="172"/>
      <c r="D8" s="170" t="s">
        <v>570</v>
      </c>
      <c r="E8" s="170" t="s">
        <v>28</v>
      </c>
      <c r="F8" s="170"/>
      <c r="G8" s="170"/>
      <c r="H8" s="170" t="s">
        <v>1092</v>
      </c>
      <c r="I8" s="170"/>
      <c r="J8" s="170"/>
      <c r="K8" s="170"/>
      <c r="L8" s="170" t="s">
        <v>539</v>
      </c>
      <c r="M8" s="170"/>
      <c r="N8" s="170"/>
      <c r="O8" s="170" t="s">
        <v>571</v>
      </c>
      <c r="P8" s="170"/>
      <c r="Q8" s="170"/>
      <c r="R8" s="170"/>
      <c r="S8" s="170" t="s">
        <v>572</v>
      </c>
      <c r="T8" s="170"/>
      <c r="U8" s="170" t="s">
        <v>11</v>
      </c>
      <c r="V8" s="170" t="s">
        <v>1259</v>
      </c>
      <c r="W8" s="170" t="s">
        <v>573</v>
      </c>
      <c r="X8" s="170"/>
      <c r="Y8" s="170"/>
      <c r="Z8" s="170"/>
      <c r="AA8" s="170"/>
      <c r="AB8" s="170"/>
      <c r="AC8" s="170" t="s">
        <v>1252</v>
      </c>
      <c r="AD8" s="170" t="s">
        <v>8</v>
      </c>
      <c r="AE8" s="170" t="s">
        <v>574</v>
      </c>
      <c r="AF8" s="170" t="s">
        <v>575</v>
      </c>
      <c r="AG8" s="170" t="s">
        <v>576</v>
      </c>
      <c r="AH8" s="170" t="s">
        <v>577</v>
      </c>
      <c r="AI8" s="170" t="s">
        <v>578</v>
      </c>
      <c r="AJ8" s="170"/>
      <c r="AK8" s="170"/>
      <c r="AL8" s="170" t="s">
        <v>11</v>
      </c>
      <c r="AM8" s="170"/>
      <c r="AN8" s="170"/>
      <c r="AO8" s="170"/>
      <c r="AP8" s="170"/>
      <c r="AQ8" s="170"/>
      <c r="AR8" s="170"/>
      <c r="AS8" s="170"/>
      <c r="AT8" s="170"/>
      <c r="AU8" s="170"/>
      <c r="AV8" s="170" t="s">
        <v>11</v>
      </c>
      <c r="AW8" s="170" t="s">
        <v>11</v>
      </c>
      <c r="AX8" s="170" t="s">
        <v>579</v>
      </c>
      <c r="AY8" s="170"/>
      <c r="AZ8" s="170"/>
      <c r="BA8" s="170"/>
      <c r="BB8" s="170"/>
      <c r="BC8" s="170" t="s">
        <v>580</v>
      </c>
      <c r="BD8" s="170" t="s">
        <v>581</v>
      </c>
      <c r="BE8" s="170" t="s">
        <v>582</v>
      </c>
      <c r="BF8" s="170"/>
      <c r="BG8" s="170"/>
      <c r="BH8" s="171"/>
      <c r="BI8" s="171" t="s">
        <v>583</v>
      </c>
      <c r="BJ8" s="171"/>
      <c r="BK8" s="171" t="s">
        <v>46</v>
      </c>
      <c r="BL8" s="171" t="s">
        <v>584</v>
      </c>
      <c r="BM8" s="171"/>
      <c r="BN8" s="171"/>
      <c r="BO8" s="171"/>
      <c r="BP8" s="171"/>
      <c r="BQ8" s="170"/>
      <c r="BR8" s="22">
        <v>6</v>
      </c>
      <c r="BS8" s="170"/>
      <c r="BT8" s="170" t="s">
        <v>585</v>
      </c>
      <c r="BU8" s="170" t="s">
        <v>586</v>
      </c>
      <c r="BV8" s="170" t="s">
        <v>407</v>
      </c>
      <c r="BW8" s="170" t="s">
        <v>587</v>
      </c>
      <c r="BX8" s="170"/>
      <c r="BY8" s="170" t="s">
        <v>588</v>
      </c>
      <c r="BZ8" s="170" t="s">
        <v>990</v>
      </c>
      <c r="CA8" s="20"/>
      <c r="CB8" s="20"/>
      <c r="CC8" s="20"/>
      <c r="CD8" s="20"/>
      <c r="CE8" s="20"/>
      <c r="CF8" s="20"/>
      <c r="CG8" s="20"/>
      <c r="CH8" s="20"/>
      <c r="CI8" s="20"/>
      <c r="CJ8" s="20"/>
    </row>
    <row r="9" spans="1:88">
      <c r="A9" s="20"/>
      <c r="B9" s="170"/>
      <c r="C9" s="172"/>
      <c r="D9" s="170" t="s">
        <v>374</v>
      </c>
      <c r="E9" s="170" t="s">
        <v>220</v>
      </c>
      <c r="F9" s="170"/>
      <c r="G9" s="170"/>
      <c r="H9" s="170" t="s">
        <v>1093</v>
      </c>
      <c r="I9" s="170"/>
      <c r="J9" s="170"/>
      <c r="K9" s="170"/>
      <c r="L9" s="170" t="s">
        <v>589</v>
      </c>
      <c r="M9" s="170"/>
      <c r="N9" s="170"/>
      <c r="O9" s="170" t="s">
        <v>590</v>
      </c>
      <c r="P9" s="170"/>
      <c r="Q9" s="170"/>
      <c r="R9" s="170"/>
      <c r="S9" s="170"/>
      <c r="T9" s="170"/>
      <c r="U9" s="170"/>
      <c r="V9" s="170"/>
      <c r="W9" s="170" t="s">
        <v>498</v>
      </c>
      <c r="X9" s="170"/>
      <c r="Y9" s="170"/>
      <c r="Z9" s="170"/>
      <c r="AA9" s="170"/>
      <c r="AB9" s="170"/>
      <c r="AC9" s="170" t="s">
        <v>1253</v>
      </c>
      <c r="AD9" s="170" t="s">
        <v>5</v>
      </c>
      <c r="AE9" s="170" t="s">
        <v>592</v>
      </c>
      <c r="AF9" s="170" t="s">
        <v>577</v>
      </c>
      <c r="AG9" s="170" t="s">
        <v>593</v>
      </c>
      <c r="AH9" s="170" t="s">
        <v>594</v>
      </c>
      <c r="AI9" s="170" t="s">
        <v>11</v>
      </c>
      <c r="AJ9" s="170"/>
      <c r="AK9" s="170"/>
      <c r="AL9" s="170"/>
      <c r="AM9" s="170"/>
      <c r="AN9" s="170"/>
      <c r="AO9" s="170"/>
      <c r="AP9" s="170"/>
      <c r="AQ9" s="170"/>
      <c r="AR9" s="170"/>
      <c r="AS9" s="170"/>
      <c r="AT9" s="170"/>
      <c r="AU9" s="170"/>
      <c r="AV9" s="170"/>
      <c r="AW9" s="170"/>
      <c r="AX9" s="170" t="s">
        <v>11</v>
      </c>
      <c r="AY9" s="170"/>
      <c r="AZ9" s="170"/>
      <c r="BA9" s="170"/>
      <c r="BB9" s="170"/>
      <c r="BC9" s="170" t="s">
        <v>595</v>
      </c>
      <c r="BD9" s="170" t="s">
        <v>596</v>
      </c>
      <c r="BE9" s="170" t="s">
        <v>11</v>
      </c>
      <c r="BF9" s="170"/>
      <c r="BG9" s="170"/>
      <c r="BH9" s="171"/>
      <c r="BI9" s="171" t="s">
        <v>597</v>
      </c>
      <c r="BJ9" s="171"/>
      <c r="BK9" s="171" t="s">
        <v>1049</v>
      </c>
      <c r="BL9" s="171" t="s">
        <v>598</v>
      </c>
      <c r="BM9" s="171"/>
      <c r="BN9" s="171"/>
      <c r="BO9" s="171"/>
      <c r="BP9" s="171"/>
      <c r="BQ9" s="170"/>
      <c r="BR9" s="22">
        <v>7</v>
      </c>
      <c r="BS9" s="170"/>
      <c r="BT9" s="170" t="s">
        <v>599</v>
      </c>
      <c r="BU9" s="170" t="s">
        <v>600</v>
      </c>
      <c r="BV9" s="170" t="s">
        <v>601</v>
      </c>
      <c r="BW9" s="170" t="s">
        <v>602</v>
      </c>
      <c r="BX9" s="170"/>
      <c r="BY9" s="170"/>
      <c r="BZ9" s="170"/>
      <c r="CA9" s="20"/>
      <c r="CB9" s="20"/>
      <c r="CC9" s="20"/>
      <c r="CD9" s="20"/>
      <c r="CE9" s="20"/>
      <c r="CF9" s="20"/>
      <c r="CG9" s="20"/>
      <c r="CH9" s="20"/>
      <c r="CI9" s="20"/>
      <c r="CJ9" s="20"/>
    </row>
    <row r="10" spans="1:88">
      <c r="A10" s="20"/>
      <c r="B10" s="170"/>
      <c r="C10" s="172"/>
      <c r="D10" s="170" t="s">
        <v>603</v>
      </c>
      <c r="E10" s="170" t="s">
        <v>604</v>
      </c>
      <c r="F10" s="170"/>
      <c r="G10" s="170"/>
      <c r="H10" s="170"/>
      <c r="I10" s="170"/>
      <c r="J10" s="170"/>
      <c r="K10" s="170"/>
      <c r="L10" s="170"/>
      <c r="M10" s="170"/>
      <c r="N10" s="170"/>
      <c r="O10" s="170" t="s">
        <v>605</v>
      </c>
      <c r="P10" s="170"/>
      <c r="Q10" s="170"/>
      <c r="R10" s="170"/>
      <c r="S10" s="170"/>
      <c r="T10" s="170"/>
      <c r="U10" s="170"/>
      <c r="V10" s="170"/>
      <c r="W10" s="170" t="s">
        <v>606</v>
      </c>
      <c r="X10" s="170"/>
      <c r="Y10" s="170"/>
      <c r="Z10" s="170"/>
      <c r="AA10" s="170"/>
      <c r="AB10" s="170"/>
      <c r="AC10" s="170"/>
      <c r="AD10" s="170" t="s">
        <v>591</v>
      </c>
      <c r="AE10" s="170" t="s">
        <v>607</v>
      </c>
      <c r="AF10" s="170" t="s">
        <v>608</v>
      </c>
      <c r="AG10" s="170" t="s">
        <v>609</v>
      </c>
      <c r="AH10" s="170" t="s">
        <v>610</v>
      </c>
      <c r="AI10" s="170"/>
      <c r="AJ10" s="170"/>
      <c r="AK10" s="170"/>
      <c r="AL10" s="170"/>
      <c r="AM10" s="170"/>
      <c r="AN10" s="170"/>
      <c r="AO10" s="170"/>
      <c r="AP10" s="170"/>
      <c r="AQ10" s="170"/>
      <c r="AR10" s="170"/>
      <c r="AS10" s="170"/>
      <c r="AT10" s="170"/>
      <c r="AU10" s="170"/>
      <c r="AV10" s="170"/>
      <c r="AW10" s="170"/>
      <c r="AX10" s="170"/>
      <c r="AY10" s="170"/>
      <c r="AZ10" s="170"/>
      <c r="BA10" s="170"/>
      <c r="BB10" s="170"/>
      <c r="BC10" s="170" t="s">
        <v>611</v>
      </c>
      <c r="BD10" s="170" t="s">
        <v>612</v>
      </c>
      <c r="BE10" s="170"/>
      <c r="BF10" s="170"/>
      <c r="BG10" s="170"/>
      <c r="BH10" s="171"/>
      <c r="BI10" s="171" t="s">
        <v>613</v>
      </c>
      <c r="BJ10" s="171"/>
      <c r="BK10" s="171"/>
      <c r="BL10" s="171" t="s">
        <v>614</v>
      </c>
      <c r="BM10" s="171"/>
      <c r="BN10" s="170"/>
      <c r="BO10" s="171"/>
      <c r="BP10" s="171"/>
      <c r="BQ10" s="170"/>
      <c r="BR10" s="171"/>
      <c r="BS10" s="170"/>
      <c r="BT10" s="170" t="s">
        <v>615</v>
      </c>
      <c r="BU10" s="170" t="s">
        <v>616</v>
      </c>
      <c r="BV10" s="170" t="s">
        <v>617</v>
      </c>
      <c r="BW10" s="170" t="s">
        <v>11</v>
      </c>
      <c r="BX10" s="170"/>
      <c r="BY10" s="170"/>
      <c r="BZ10" s="170"/>
      <c r="CA10" s="20"/>
      <c r="CB10" s="20"/>
      <c r="CC10" s="20"/>
      <c r="CD10" s="20"/>
      <c r="CE10" s="20"/>
      <c r="CF10" s="20"/>
      <c r="CG10" s="20"/>
      <c r="CH10" s="20"/>
      <c r="CI10" s="20"/>
      <c r="CJ10" s="20"/>
    </row>
    <row r="11" spans="1:88">
      <c r="A11" s="20"/>
      <c r="B11" s="170"/>
      <c r="C11" s="170"/>
      <c r="D11" s="170" t="s">
        <v>618</v>
      </c>
      <c r="E11" s="170" t="s">
        <v>619</v>
      </c>
      <c r="F11" s="170"/>
      <c r="G11" s="170"/>
      <c r="H11" s="170"/>
      <c r="I11" s="170"/>
      <c r="J11" s="170"/>
      <c r="K11" s="170"/>
      <c r="L11" s="170"/>
      <c r="M11" s="170"/>
      <c r="N11" s="170"/>
      <c r="O11" s="170" t="s">
        <v>620</v>
      </c>
      <c r="P11" s="170"/>
      <c r="Q11" s="170"/>
      <c r="R11" s="170"/>
      <c r="S11" s="170"/>
      <c r="T11" s="170"/>
      <c r="U11" s="170"/>
      <c r="V11" s="170"/>
      <c r="W11" s="170" t="s">
        <v>621</v>
      </c>
      <c r="X11" s="170"/>
      <c r="Y11" s="170"/>
      <c r="Z11" s="170"/>
      <c r="AA11" s="170"/>
      <c r="AB11" s="170"/>
      <c r="AC11" s="170"/>
      <c r="AD11" s="170" t="s">
        <v>1050</v>
      </c>
      <c r="AE11" s="170" t="s">
        <v>11</v>
      </c>
      <c r="AF11" s="170" t="s">
        <v>622</v>
      </c>
      <c r="AG11" s="170" t="s">
        <v>11</v>
      </c>
      <c r="AH11" s="170" t="s">
        <v>623</v>
      </c>
      <c r="AI11" s="170"/>
      <c r="AJ11" s="170"/>
      <c r="AK11" s="170"/>
      <c r="AL11" s="170"/>
      <c r="AM11" s="170"/>
      <c r="AN11" s="170"/>
      <c r="AO11" s="170"/>
      <c r="AP11" s="170"/>
      <c r="AQ11" s="170"/>
      <c r="AR11" s="170"/>
      <c r="AS11" s="170"/>
      <c r="AT11" s="170"/>
      <c r="AU11" s="170"/>
      <c r="AV11" s="170"/>
      <c r="AW11" s="170"/>
      <c r="AX11" s="170"/>
      <c r="AY11" s="170"/>
      <c r="AZ11" s="170"/>
      <c r="BA11" s="170"/>
      <c r="BB11" s="170"/>
      <c r="BC11" s="170" t="s">
        <v>624</v>
      </c>
      <c r="BD11" s="170" t="s">
        <v>625</v>
      </c>
      <c r="BE11" s="170"/>
      <c r="BF11" s="170"/>
      <c r="BG11" s="170"/>
      <c r="BH11" s="171"/>
      <c r="BI11" s="171" t="s">
        <v>626</v>
      </c>
      <c r="BJ11" s="171"/>
      <c r="BK11" s="171"/>
      <c r="BL11" s="170" t="s">
        <v>1046</v>
      </c>
      <c r="BM11" s="171"/>
      <c r="BN11" s="170"/>
      <c r="BO11" s="171"/>
      <c r="BP11" s="171"/>
      <c r="BQ11" s="170"/>
      <c r="BR11" s="171"/>
      <c r="BS11" s="170"/>
      <c r="BT11" s="170" t="s">
        <v>627</v>
      </c>
      <c r="BU11" s="170" t="s">
        <v>628</v>
      </c>
      <c r="BV11" s="170" t="s">
        <v>629</v>
      </c>
      <c r="BW11" s="170"/>
      <c r="BX11" s="170"/>
      <c r="BY11" s="170"/>
      <c r="BZ11" s="170"/>
      <c r="CA11" s="20"/>
      <c r="CB11" s="20"/>
      <c r="CC11" s="20"/>
      <c r="CD11" s="20"/>
      <c r="CE11" s="20"/>
      <c r="CF11" s="20"/>
      <c r="CG11" s="20"/>
      <c r="CH11" s="20"/>
      <c r="CI11" s="20"/>
      <c r="CJ11" s="20"/>
    </row>
    <row r="12" spans="1:88">
      <c r="A12" s="20"/>
      <c r="B12" s="170"/>
      <c r="C12" s="170"/>
      <c r="D12" s="170" t="s">
        <v>630</v>
      </c>
      <c r="E12" s="170" t="s">
        <v>631</v>
      </c>
      <c r="F12" s="170"/>
      <c r="G12" s="170"/>
      <c r="H12" s="170"/>
      <c r="I12" s="170"/>
      <c r="J12" s="170"/>
      <c r="K12" s="170"/>
      <c r="L12" s="170"/>
      <c r="M12" s="170"/>
      <c r="N12" s="170"/>
      <c r="O12" s="170" t="s">
        <v>632</v>
      </c>
      <c r="P12" s="170"/>
      <c r="Q12" s="170"/>
      <c r="R12" s="170"/>
      <c r="S12" s="170"/>
      <c r="T12" s="170"/>
      <c r="U12" s="170"/>
      <c r="V12" s="170"/>
      <c r="W12" s="170"/>
      <c r="X12" s="170"/>
      <c r="Y12" s="170"/>
      <c r="Z12" s="170"/>
      <c r="AA12" s="170"/>
      <c r="AB12" s="170"/>
      <c r="AC12" s="170"/>
      <c r="AD12" s="170"/>
      <c r="AE12" s="170"/>
      <c r="AF12" s="170" t="s">
        <v>11</v>
      </c>
      <c r="AG12" s="170"/>
      <c r="AH12" s="170" t="s">
        <v>11</v>
      </c>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t="s">
        <v>633</v>
      </c>
      <c r="BE12" s="170"/>
      <c r="BF12" s="170"/>
      <c r="BG12" s="170"/>
      <c r="BH12" s="171"/>
      <c r="BI12" s="171" t="s">
        <v>634</v>
      </c>
      <c r="BJ12" s="171"/>
      <c r="BK12" s="171"/>
      <c r="BL12" s="170" t="s">
        <v>1047</v>
      </c>
      <c r="BM12" s="171"/>
      <c r="BN12" s="170"/>
      <c r="BO12" s="171"/>
      <c r="BP12" s="171"/>
      <c r="BQ12" s="170"/>
      <c r="BR12" s="171"/>
      <c r="BS12" s="170"/>
      <c r="BT12" s="170" t="s">
        <v>635</v>
      </c>
      <c r="BU12" s="170" t="s">
        <v>636</v>
      </c>
      <c r="BV12" s="170" t="s">
        <v>637</v>
      </c>
      <c r="BW12" s="170"/>
      <c r="BX12" s="170"/>
      <c r="BY12" s="170"/>
      <c r="BZ12" s="170"/>
      <c r="CA12" s="20"/>
      <c r="CB12" s="20"/>
      <c r="CC12" s="20"/>
      <c r="CD12" s="20"/>
      <c r="CE12" s="20"/>
      <c r="CF12" s="20"/>
      <c r="CG12" s="20"/>
      <c r="CH12" s="20"/>
      <c r="CI12" s="20"/>
      <c r="CJ12" s="20"/>
    </row>
    <row r="13" spans="1:88">
      <c r="A13" s="20"/>
      <c r="B13" s="170"/>
      <c r="C13" s="170"/>
      <c r="D13" s="170" t="s">
        <v>604</v>
      </c>
      <c r="E13" s="170" t="s">
        <v>638</v>
      </c>
      <c r="F13" s="170"/>
      <c r="G13" s="170"/>
      <c r="H13" s="170"/>
      <c r="I13" s="170"/>
      <c r="J13" s="170"/>
      <c r="K13" s="170"/>
      <c r="L13" s="170"/>
      <c r="M13" s="170"/>
      <c r="N13" s="170"/>
      <c r="O13" s="170" t="s">
        <v>639</v>
      </c>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t="s">
        <v>640</v>
      </c>
      <c r="BE13" s="170"/>
      <c r="BF13" s="170"/>
      <c r="BG13" s="170"/>
      <c r="BH13" s="170"/>
      <c r="BI13" s="170"/>
      <c r="BJ13" s="170"/>
      <c r="BK13" s="170"/>
      <c r="BL13" s="170"/>
      <c r="BM13" s="170"/>
      <c r="BN13" s="170"/>
      <c r="BO13" s="170"/>
      <c r="BP13" s="170"/>
      <c r="BQ13" s="170"/>
      <c r="BR13" s="170"/>
      <c r="BS13" s="170"/>
      <c r="BT13" s="170" t="s">
        <v>641</v>
      </c>
      <c r="BU13" s="170" t="s">
        <v>642</v>
      </c>
      <c r="BV13" s="170" t="s">
        <v>643</v>
      </c>
      <c r="BW13" s="170"/>
      <c r="BX13" s="170"/>
      <c r="BY13" s="170"/>
      <c r="BZ13" s="170"/>
      <c r="CA13" s="20"/>
      <c r="CB13" s="20"/>
      <c r="CC13" s="20"/>
      <c r="CD13" s="20"/>
      <c r="CE13" s="20"/>
      <c r="CF13" s="20"/>
      <c r="CG13" s="20"/>
      <c r="CH13" s="20"/>
      <c r="CI13" s="20"/>
      <c r="CJ13" s="20"/>
    </row>
    <row r="14" spans="1:88">
      <c r="A14" s="20"/>
      <c r="B14" s="170"/>
      <c r="C14" s="170"/>
      <c r="D14" s="170" t="s">
        <v>644</v>
      </c>
      <c r="E14" s="170" t="s">
        <v>570</v>
      </c>
      <c r="F14" s="170"/>
      <c r="G14" s="170"/>
      <c r="H14" s="170"/>
      <c r="I14" s="170"/>
      <c r="J14" s="170"/>
      <c r="K14" s="170"/>
      <c r="L14" s="170"/>
      <c r="M14" s="170"/>
      <c r="N14" s="170"/>
      <c r="O14" s="170" t="s">
        <v>645</v>
      </c>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t="s">
        <v>646</v>
      </c>
      <c r="BE14" s="170"/>
      <c r="BF14" s="170"/>
      <c r="BG14" s="170"/>
      <c r="BH14" s="170"/>
      <c r="BI14" s="170"/>
      <c r="BJ14" s="170"/>
      <c r="BK14" s="170"/>
      <c r="BL14" s="170"/>
      <c r="BM14" s="170"/>
      <c r="BN14" s="170"/>
      <c r="BO14" s="170"/>
      <c r="BP14" s="170"/>
      <c r="BQ14" s="170"/>
      <c r="BR14" s="170"/>
      <c r="BS14" s="170"/>
      <c r="BT14" s="170" t="s">
        <v>647</v>
      </c>
      <c r="BU14" s="170" t="s">
        <v>648</v>
      </c>
      <c r="BV14" s="170" t="s">
        <v>649</v>
      </c>
      <c r="BW14" s="170"/>
      <c r="BX14" s="170"/>
      <c r="BY14" s="170"/>
      <c r="BZ14" s="170"/>
      <c r="CA14" s="20"/>
      <c r="CB14" s="20"/>
      <c r="CC14" s="20"/>
      <c r="CD14" s="20"/>
      <c r="CE14" s="20"/>
      <c r="CF14" s="20"/>
      <c r="CG14" s="20"/>
      <c r="CH14" s="20"/>
      <c r="CI14" s="20"/>
      <c r="CJ14" s="20"/>
    </row>
    <row r="15" spans="1:88">
      <c r="A15" s="20"/>
      <c r="B15" s="170"/>
      <c r="C15" s="170"/>
      <c r="D15" s="170" t="s">
        <v>650</v>
      </c>
      <c r="E15" s="170" t="s">
        <v>374</v>
      </c>
      <c r="F15" s="170"/>
      <c r="G15" s="170"/>
      <c r="H15" s="170"/>
      <c r="I15" s="170"/>
      <c r="J15" s="170"/>
      <c r="K15" s="170"/>
      <c r="L15" s="170"/>
      <c r="M15" s="170"/>
      <c r="N15" s="170"/>
      <c r="O15" s="170" t="s">
        <v>651</v>
      </c>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t="s">
        <v>518</v>
      </c>
      <c r="BE15" s="170"/>
      <c r="BF15" s="170"/>
      <c r="BG15" s="170"/>
      <c r="BH15" s="170"/>
      <c r="BI15" s="170"/>
      <c r="BJ15" s="170"/>
      <c r="BK15" s="170"/>
      <c r="BL15" s="170"/>
      <c r="BM15" s="170"/>
      <c r="BN15" s="170"/>
      <c r="BO15" s="170"/>
      <c r="BP15" s="170"/>
      <c r="BQ15" s="170"/>
      <c r="BR15" s="170"/>
      <c r="BS15" s="170"/>
      <c r="BT15" s="170" t="s">
        <v>652</v>
      </c>
      <c r="BU15" s="170" t="s">
        <v>653</v>
      </c>
      <c r="BV15" s="170" t="s">
        <v>1268</v>
      </c>
      <c r="BW15" s="170"/>
      <c r="BX15" s="170"/>
      <c r="BY15" s="170"/>
      <c r="BZ15" s="170"/>
      <c r="CA15" s="20"/>
      <c r="CB15" s="20"/>
      <c r="CC15" s="20"/>
      <c r="CD15" s="20"/>
      <c r="CE15" s="20"/>
      <c r="CF15" s="20"/>
      <c r="CG15" s="20"/>
      <c r="CH15" s="20"/>
      <c r="CI15" s="20"/>
      <c r="CJ15" s="20"/>
    </row>
    <row r="16" spans="1:88">
      <c r="A16" s="20"/>
      <c r="B16" s="170"/>
      <c r="C16" s="170"/>
      <c r="D16" s="170" t="s">
        <v>654</v>
      </c>
      <c r="E16" s="170" t="s">
        <v>618</v>
      </c>
      <c r="F16" s="170"/>
      <c r="G16" s="170"/>
      <c r="H16" s="170"/>
      <c r="I16" s="170"/>
      <c r="J16" s="170"/>
      <c r="K16" s="170"/>
      <c r="L16" s="170"/>
      <c r="M16" s="170"/>
      <c r="N16" s="170"/>
      <c r="O16" s="170" t="s">
        <v>655</v>
      </c>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t="s">
        <v>656</v>
      </c>
      <c r="BE16" s="170"/>
      <c r="BF16" s="170"/>
      <c r="BG16" s="170"/>
      <c r="BH16" s="170"/>
      <c r="BI16" s="170"/>
      <c r="BJ16" s="170"/>
      <c r="BK16" s="170"/>
      <c r="BL16" s="170"/>
      <c r="BM16" s="170"/>
      <c r="BN16" s="170"/>
      <c r="BO16" s="170"/>
      <c r="BP16" s="170"/>
      <c r="BQ16" s="170"/>
      <c r="BR16" s="170"/>
      <c r="BS16" s="170"/>
      <c r="BT16" s="170" t="s">
        <v>657</v>
      </c>
      <c r="BU16" s="170" t="s">
        <v>658</v>
      </c>
      <c r="BV16" s="170" t="s">
        <v>1269</v>
      </c>
      <c r="BW16" s="170"/>
      <c r="BX16" s="170"/>
      <c r="BY16" s="170"/>
      <c r="BZ16" s="170"/>
      <c r="CA16" s="20"/>
      <c r="CB16" s="20"/>
      <c r="CC16" s="20"/>
      <c r="CD16" s="20"/>
      <c r="CE16" s="20"/>
      <c r="CF16" s="20"/>
      <c r="CG16" s="20"/>
      <c r="CH16" s="20"/>
      <c r="CI16" s="20"/>
      <c r="CJ16" s="20"/>
    </row>
    <row r="17" spans="1:88">
      <c r="A17" s="20"/>
      <c r="B17" s="170"/>
      <c r="C17" s="170"/>
      <c r="D17" s="170" t="s">
        <v>659</v>
      </c>
      <c r="E17" s="170" t="s">
        <v>650</v>
      </c>
      <c r="F17" s="170"/>
      <c r="G17" s="170"/>
      <c r="H17" s="170"/>
      <c r="I17" s="170"/>
      <c r="J17" s="170"/>
      <c r="K17" s="170"/>
      <c r="L17" s="170"/>
      <c r="M17" s="170"/>
      <c r="N17" s="170"/>
      <c r="O17" s="170" t="s">
        <v>660</v>
      </c>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t="s">
        <v>661</v>
      </c>
      <c r="BE17" s="170"/>
      <c r="BF17" s="170"/>
      <c r="BG17" s="170"/>
      <c r="BH17" s="170"/>
      <c r="BI17" s="170"/>
      <c r="BJ17" s="170"/>
      <c r="BK17" s="170"/>
      <c r="BL17" s="170"/>
      <c r="BM17" s="170"/>
      <c r="BN17" s="170"/>
      <c r="BO17" s="170"/>
      <c r="BP17" s="170"/>
      <c r="BQ17" s="170"/>
      <c r="BR17" s="170"/>
      <c r="BS17" s="170"/>
      <c r="BT17" s="170" t="s">
        <v>662</v>
      </c>
      <c r="BU17" s="170" t="s">
        <v>663</v>
      </c>
      <c r="BV17" s="170" t="s">
        <v>536</v>
      </c>
      <c r="BW17" s="170"/>
      <c r="BX17" s="170"/>
      <c r="BY17" s="170"/>
      <c r="BZ17" s="170"/>
      <c r="CA17" s="20"/>
      <c r="CB17" s="20"/>
      <c r="CC17" s="20"/>
      <c r="CD17" s="20"/>
      <c r="CE17" s="20"/>
      <c r="CF17" s="20"/>
      <c r="CG17" s="20"/>
      <c r="CH17" s="20"/>
      <c r="CI17" s="20"/>
      <c r="CJ17" s="20"/>
    </row>
    <row r="18" spans="1:88">
      <c r="A18" s="20"/>
      <c r="B18" s="170"/>
      <c r="C18" s="170"/>
      <c r="D18" s="170" t="s">
        <v>664</v>
      </c>
      <c r="E18" s="170" t="s">
        <v>665</v>
      </c>
      <c r="F18" s="170"/>
      <c r="G18" s="170"/>
      <c r="H18" s="170"/>
      <c r="I18" s="170"/>
      <c r="J18" s="170"/>
      <c r="K18" s="170"/>
      <c r="L18" s="170"/>
      <c r="M18" s="170"/>
      <c r="N18" s="170"/>
      <c r="O18" s="170" t="s">
        <v>666</v>
      </c>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t="s">
        <v>667</v>
      </c>
      <c r="BE18" s="170"/>
      <c r="BF18" s="170"/>
      <c r="BG18" s="170"/>
      <c r="BH18" s="170"/>
      <c r="BI18" s="170"/>
      <c r="BJ18" s="170"/>
      <c r="BK18" s="170"/>
      <c r="BL18" s="170"/>
      <c r="BM18" s="170"/>
      <c r="BN18" s="170"/>
      <c r="BO18" s="170"/>
      <c r="BP18" s="170"/>
      <c r="BQ18" s="170"/>
      <c r="BR18" s="170"/>
      <c r="BS18" s="170"/>
      <c r="BT18" s="170" t="s">
        <v>668</v>
      </c>
      <c r="BU18" s="170" t="s">
        <v>669</v>
      </c>
      <c r="BV18" s="170" t="s">
        <v>11</v>
      </c>
      <c r="BW18" s="170"/>
      <c r="BX18" s="170"/>
      <c r="BY18" s="170"/>
      <c r="BZ18" s="170"/>
      <c r="CA18" s="20"/>
      <c r="CB18" s="20"/>
      <c r="CC18" s="20"/>
      <c r="CD18" s="20"/>
      <c r="CE18" s="20"/>
      <c r="CF18" s="20"/>
      <c r="CG18" s="20"/>
      <c r="CH18" s="20"/>
      <c r="CI18" s="20"/>
      <c r="CJ18" s="20"/>
    </row>
    <row r="19" spans="1:88">
      <c r="A19" s="20"/>
      <c r="B19" s="170"/>
      <c r="C19" s="170"/>
      <c r="D19" s="170" t="s">
        <v>670</v>
      </c>
      <c r="E19" s="170" t="s">
        <v>630</v>
      </c>
      <c r="F19" s="170"/>
      <c r="G19" s="170"/>
      <c r="H19" s="170"/>
      <c r="I19" s="170"/>
      <c r="J19" s="170"/>
      <c r="K19" s="170"/>
      <c r="L19" s="170"/>
      <c r="M19" s="170"/>
      <c r="N19" s="170"/>
      <c r="O19" s="170" t="s">
        <v>671</v>
      </c>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t="s">
        <v>672</v>
      </c>
      <c r="BE19" s="170"/>
      <c r="BF19" s="170"/>
      <c r="BG19" s="170"/>
      <c r="BH19" s="170"/>
      <c r="BI19" s="170"/>
      <c r="BJ19" s="170"/>
      <c r="BK19" s="170"/>
      <c r="BL19" s="170"/>
      <c r="BM19" s="170"/>
      <c r="BN19" s="170"/>
      <c r="BO19" s="170"/>
      <c r="BP19" s="170"/>
      <c r="BQ19" s="170"/>
      <c r="BR19" s="170"/>
      <c r="BS19" s="170"/>
      <c r="BT19" s="170" t="s">
        <v>673</v>
      </c>
      <c r="BU19" s="170" t="s">
        <v>674</v>
      </c>
      <c r="BV19" s="170" t="s">
        <v>675</v>
      </c>
      <c r="BW19" s="170"/>
      <c r="BX19" s="170"/>
      <c r="BY19" s="170"/>
      <c r="BZ19" s="170"/>
      <c r="CA19" s="20"/>
      <c r="CB19" s="20"/>
      <c r="CC19" s="20"/>
      <c r="CD19" s="20"/>
      <c r="CE19" s="20"/>
      <c r="CF19" s="20"/>
      <c r="CG19" s="20"/>
      <c r="CH19" s="20"/>
      <c r="CI19" s="20"/>
      <c r="CJ19" s="20"/>
    </row>
    <row r="20" spans="1:88">
      <c r="A20" s="20"/>
      <c r="B20" s="170"/>
      <c r="C20" s="170"/>
      <c r="D20" s="170" t="s">
        <v>676</v>
      </c>
      <c r="E20" s="170" t="s">
        <v>539</v>
      </c>
      <c r="F20" s="170"/>
      <c r="G20" s="170"/>
      <c r="H20" s="170"/>
      <c r="I20" s="170"/>
      <c r="J20" s="170"/>
      <c r="K20" s="170"/>
      <c r="L20" s="170"/>
      <c r="M20" s="170"/>
      <c r="N20" s="170"/>
      <c r="O20" s="170" t="s">
        <v>677</v>
      </c>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t="s">
        <v>582</v>
      </c>
      <c r="BE20" s="170"/>
      <c r="BF20" s="170"/>
      <c r="BG20" s="170"/>
      <c r="BH20" s="170"/>
      <c r="BI20" s="170"/>
      <c r="BJ20" s="170"/>
      <c r="BK20" s="170"/>
      <c r="BL20" s="170"/>
      <c r="BM20" s="170"/>
      <c r="BN20" s="170"/>
      <c r="BO20" s="170"/>
      <c r="BP20" s="170"/>
      <c r="BQ20" s="170"/>
      <c r="BR20" s="170"/>
      <c r="BS20" s="170"/>
      <c r="BT20" s="170" t="s">
        <v>678</v>
      </c>
      <c r="BU20" s="170" t="s">
        <v>679</v>
      </c>
      <c r="BV20" s="170" t="s">
        <v>680</v>
      </c>
      <c r="BW20" s="170"/>
      <c r="BX20" s="170"/>
      <c r="BY20" s="170"/>
      <c r="BZ20" s="170"/>
      <c r="CA20" s="20"/>
      <c r="CB20" s="20"/>
      <c r="CC20" s="20"/>
      <c r="CD20" s="20"/>
      <c r="CE20" s="20"/>
      <c r="CF20" s="20"/>
      <c r="CG20" s="20"/>
      <c r="CH20" s="20"/>
      <c r="CI20" s="20"/>
      <c r="CJ20" s="20"/>
    </row>
    <row r="21" spans="1:88">
      <c r="A21" s="20"/>
      <c r="B21" s="170"/>
      <c r="C21" s="170"/>
      <c r="D21" s="170" t="s">
        <v>538</v>
      </c>
      <c r="E21" s="170" t="s">
        <v>39</v>
      </c>
      <c r="F21" s="170"/>
      <c r="G21" s="170"/>
      <c r="H21" s="170"/>
      <c r="I21" s="170"/>
      <c r="J21" s="170"/>
      <c r="K21" s="170"/>
      <c r="L21" s="170"/>
      <c r="M21" s="170"/>
      <c r="N21" s="170"/>
      <c r="O21" s="170" t="s">
        <v>681</v>
      </c>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t="s">
        <v>682</v>
      </c>
      <c r="BE21" s="170"/>
      <c r="BF21" s="170"/>
      <c r="BG21" s="170"/>
      <c r="BH21" s="170"/>
      <c r="BI21" s="170"/>
      <c r="BJ21" s="170"/>
      <c r="BK21" s="170"/>
      <c r="BL21" s="170"/>
      <c r="BM21" s="170"/>
      <c r="BN21" s="170"/>
      <c r="BO21" s="170"/>
      <c r="BP21" s="170"/>
      <c r="BQ21" s="170"/>
      <c r="BR21" s="170"/>
      <c r="BS21" s="170"/>
      <c r="BT21" s="170" t="s">
        <v>683</v>
      </c>
      <c r="BU21" s="170" t="s">
        <v>684</v>
      </c>
      <c r="BV21" s="170" t="s">
        <v>685</v>
      </c>
      <c r="BW21" s="170"/>
      <c r="BX21" s="170"/>
      <c r="BY21" s="170"/>
      <c r="BZ21" s="170"/>
      <c r="CA21" s="20"/>
      <c r="CB21" s="20"/>
      <c r="CC21" s="20"/>
      <c r="CD21" s="20"/>
      <c r="CE21" s="20"/>
      <c r="CF21" s="20"/>
      <c r="CG21" s="20"/>
      <c r="CH21" s="20"/>
      <c r="CI21" s="20"/>
      <c r="CJ21" s="20"/>
    </row>
    <row r="22" spans="1:88">
      <c r="A22" s="20"/>
      <c r="B22" s="170"/>
      <c r="C22" s="170"/>
      <c r="D22" s="170"/>
      <c r="E22" s="170" t="s">
        <v>664</v>
      </c>
      <c r="F22" s="170"/>
      <c r="G22" s="170"/>
      <c r="H22" s="170"/>
      <c r="I22" s="170"/>
      <c r="J22" s="170"/>
      <c r="K22" s="170"/>
      <c r="L22" s="170"/>
      <c r="M22" s="170"/>
      <c r="N22" s="170"/>
      <c r="O22" s="170" t="s">
        <v>686</v>
      </c>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t="s">
        <v>687</v>
      </c>
      <c r="BE22" s="170"/>
      <c r="BF22" s="170"/>
      <c r="BG22" s="170"/>
      <c r="BH22" s="170"/>
      <c r="BI22" s="170"/>
      <c r="BJ22" s="170"/>
      <c r="BK22" s="170"/>
      <c r="BL22" s="170"/>
      <c r="BM22" s="170"/>
      <c r="BN22" s="170"/>
      <c r="BO22" s="170"/>
      <c r="BP22" s="170"/>
      <c r="BQ22" s="170"/>
      <c r="BR22" s="170"/>
      <c r="BS22" s="170"/>
      <c r="BT22" s="170" t="s">
        <v>688</v>
      </c>
      <c r="BU22" s="170" t="s">
        <v>689</v>
      </c>
      <c r="BV22" s="170" t="s">
        <v>690</v>
      </c>
      <c r="BW22" s="170"/>
      <c r="BX22" s="170"/>
      <c r="BY22" s="170"/>
      <c r="BZ22" s="170"/>
      <c r="CA22" s="20"/>
      <c r="CB22" s="20"/>
      <c r="CC22" s="20"/>
      <c r="CD22" s="20"/>
      <c r="CE22" s="20"/>
      <c r="CF22" s="20"/>
      <c r="CG22" s="20"/>
      <c r="CH22" s="20"/>
      <c r="CI22" s="20"/>
      <c r="CJ22" s="20"/>
    </row>
    <row r="23" spans="1:88">
      <c r="A23" s="20"/>
      <c r="B23" s="170"/>
      <c r="C23" s="170"/>
      <c r="D23" s="170"/>
      <c r="E23" s="170" t="s">
        <v>670</v>
      </c>
      <c r="F23" s="170"/>
      <c r="G23" s="170"/>
      <c r="H23" s="170"/>
      <c r="I23" s="170"/>
      <c r="J23" s="170"/>
      <c r="K23" s="170"/>
      <c r="L23" s="170"/>
      <c r="M23" s="170"/>
      <c r="N23" s="170"/>
      <c r="O23" s="170" t="s">
        <v>691</v>
      </c>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t="s">
        <v>692</v>
      </c>
      <c r="BE23" s="170"/>
      <c r="BF23" s="170"/>
      <c r="BG23" s="170"/>
      <c r="BH23" s="170"/>
      <c r="BI23" s="170"/>
      <c r="BJ23" s="170"/>
      <c r="BK23" s="170"/>
      <c r="BL23" s="170"/>
      <c r="BM23" s="170"/>
      <c r="BN23" s="170"/>
      <c r="BO23" s="170"/>
      <c r="BP23" s="170"/>
      <c r="BQ23" s="170"/>
      <c r="BR23" s="170"/>
      <c r="BS23" s="170"/>
      <c r="BT23" s="170" t="s">
        <v>693</v>
      </c>
      <c r="BU23" s="170" t="s">
        <v>694</v>
      </c>
      <c r="BV23" s="170" t="s">
        <v>695</v>
      </c>
      <c r="BW23" s="170"/>
      <c r="BX23" s="170"/>
      <c r="BY23" s="170"/>
      <c r="BZ23" s="170"/>
      <c r="CA23" s="20"/>
      <c r="CB23" s="20"/>
      <c r="CC23" s="20"/>
      <c r="CD23" s="20"/>
      <c r="CE23" s="20"/>
      <c r="CF23" s="20"/>
      <c r="CG23" s="20"/>
      <c r="CH23" s="20"/>
      <c r="CI23" s="20"/>
      <c r="CJ23" s="20"/>
    </row>
    <row r="24" spans="1:88">
      <c r="A24" s="20"/>
      <c r="B24" s="170"/>
      <c r="C24" s="170"/>
      <c r="D24" s="170"/>
      <c r="E24" s="170" t="s">
        <v>538</v>
      </c>
      <c r="F24" s="170"/>
      <c r="G24" s="170"/>
      <c r="H24" s="170"/>
      <c r="I24" s="170"/>
      <c r="J24" s="170"/>
      <c r="K24" s="170"/>
      <c r="L24" s="170"/>
      <c r="M24" s="170"/>
      <c r="N24" s="170"/>
      <c r="O24" s="170" t="s">
        <v>696</v>
      </c>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t="s">
        <v>11</v>
      </c>
      <c r="BE24" s="170"/>
      <c r="BF24" s="170"/>
      <c r="BG24" s="170"/>
      <c r="BH24" s="170"/>
      <c r="BI24" s="170"/>
      <c r="BJ24" s="170"/>
      <c r="BK24" s="170"/>
      <c r="BL24" s="170"/>
      <c r="BM24" s="170"/>
      <c r="BN24" s="170"/>
      <c r="BO24" s="170"/>
      <c r="BP24" s="170"/>
      <c r="BQ24" s="170"/>
      <c r="BR24" s="170"/>
      <c r="BS24" s="170"/>
      <c r="BT24" s="170" t="s">
        <v>697</v>
      </c>
      <c r="BU24" s="170" t="s">
        <v>698</v>
      </c>
      <c r="BV24" s="170" t="s">
        <v>699</v>
      </c>
      <c r="BW24" s="170"/>
      <c r="BX24" s="170"/>
      <c r="BY24" s="170"/>
      <c r="BZ24" s="170"/>
      <c r="CA24" s="20"/>
      <c r="CB24" s="20"/>
      <c r="CC24" s="20"/>
      <c r="CD24" s="20"/>
      <c r="CE24" s="20"/>
      <c r="CF24" s="20"/>
      <c r="CG24" s="20"/>
      <c r="CH24" s="20"/>
      <c r="CI24" s="20"/>
      <c r="CJ24" s="20"/>
    </row>
    <row r="25" spans="1:88">
      <c r="A25" s="20"/>
      <c r="B25" s="170"/>
      <c r="C25" s="170"/>
      <c r="D25" s="170"/>
      <c r="E25" s="170" t="s">
        <v>965</v>
      </c>
      <c r="F25" s="170"/>
      <c r="G25" s="170"/>
      <c r="H25" s="170"/>
      <c r="I25" s="170"/>
      <c r="J25" s="170"/>
      <c r="K25" s="170"/>
      <c r="L25" s="170"/>
      <c r="M25" s="170"/>
      <c r="N25" s="170"/>
      <c r="O25" s="170" t="s">
        <v>700</v>
      </c>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c r="BS25" s="170"/>
      <c r="BT25" s="170" t="s">
        <v>701</v>
      </c>
      <c r="BU25" s="170" t="s">
        <v>702</v>
      </c>
      <c r="BV25" s="170" t="s">
        <v>703</v>
      </c>
      <c r="BW25" s="170"/>
      <c r="BX25" s="170"/>
      <c r="BY25" s="170"/>
      <c r="BZ25" s="170"/>
      <c r="CA25" s="20"/>
      <c r="CB25" s="20"/>
      <c r="CC25" s="20"/>
      <c r="CD25" s="20"/>
      <c r="CE25" s="20"/>
      <c r="CF25" s="20"/>
      <c r="CG25" s="20"/>
      <c r="CH25" s="20"/>
      <c r="CI25" s="20"/>
      <c r="CJ25" s="20"/>
    </row>
    <row r="26" spans="1:88">
      <c r="A26" s="20"/>
      <c r="B26" s="170"/>
      <c r="C26" s="170"/>
      <c r="D26" s="170"/>
      <c r="E26" s="170" t="s">
        <v>492</v>
      </c>
      <c r="F26" s="170"/>
      <c r="G26" s="170"/>
      <c r="H26" s="170"/>
      <c r="I26" s="170"/>
      <c r="J26" s="170"/>
      <c r="K26" s="170"/>
      <c r="L26" s="170"/>
      <c r="M26" s="170"/>
      <c r="N26" s="170"/>
      <c r="O26" s="170" t="s">
        <v>704</v>
      </c>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70"/>
      <c r="BK26" s="170"/>
      <c r="BL26" s="170"/>
      <c r="BM26" s="170"/>
      <c r="BN26" s="170"/>
      <c r="BO26" s="170"/>
      <c r="BP26" s="170"/>
      <c r="BQ26" s="170"/>
      <c r="BR26" s="170"/>
      <c r="BS26" s="170"/>
      <c r="BT26" s="170" t="s">
        <v>705</v>
      </c>
      <c r="BU26" s="170" t="s">
        <v>706</v>
      </c>
      <c r="BV26" s="170" t="s">
        <v>707</v>
      </c>
      <c r="BW26" s="170"/>
      <c r="BX26" s="170"/>
      <c r="BY26" s="170"/>
      <c r="BZ26" s="170"/>
      <c r="CA26" s="20"/>
      <c r="CB26" s="20"/>
      <c r="CC26" s="20"/>
      <c r="CD26" s="20"/>
      <c r="CE26" s="20"/>
      <c r="CF26" s="20"/>
      <c r="CG26" s="20"/>
      <c r="CH26" s="20"/>
      <c r="CI26" s="20"/>
      <c r="CJ26" s="20"/>
    </row>
    <row r="27" spans="1:88">
      <c r="A27" s="20"/>
      <c r="B27" s="170"/>
      <c r="C27" s="170"/>
      <c r="D27" s="170"/>
      <c r="E27" s="170"/>
      <c r="F27" s="170"/>
      <c r="G27" s="359"/>
      <c r="H27" s="170"/>
      <c r="I27" s="170"/>
      <c r="J27" s="170"/>
      <c r="K27" s="170"/>
      <c r="L27" s="170"/>
      <c r="M27" s="170"/>
      <c r="N27" s="170"/>
      <c r="O27" s="170" t="s">
        <v>708</v>
      </c>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c r="BS27" s="170"/>
      <c r="BT27" s="170" t="s">
        <v>1270</v>
      </c>
      <c r="BU27" s="170" t="s">
        <v>709</v>
      </c>
      <c r="BV27" s="170" t="s">
        <v>710</v>
      </c>
      <c r="BW27" s="170"/>
      <c r="BX27" s="170"/>
      <c r="BY27" s="170"/>
      <c r="BZ27" s="170"/>
      <c r="CA27" s="20"/>
      <c r="CB27" s="20"/>
      <c r="CC27" s="20"/>
      <c r="CD27" s="20"/>
      <c r="CE27" s="20"/>
      <c r="CF27" s="20"/>
      <c r="CG27" s="20"/>
      <c r="CH27" s="20"/>
      <c r="CI27" s="20"/>
      <c r="CJ27" s="20"/>
    </row>
    <row r="28" spans="1:88" ht="25.5">
      <c r="A28" s="20"/>
      <c r="B28" s="170"/>
      <c r="C28" s="170"/>
      <c r="D28" s="170"/>
      <c r="E28" s="357"/>
      <c r="F28" s="358" t="s">
        <v>841</v>
      </c>
      <c r="G28" s="360" t="s">
        <v>316</v>
      </c>
      <c r="H28" s="170"/>
      <c r="I28" s="170"/>
      <c r="J28" s="170"/>
      <c r="K28" s="170"/>
      <c r="L28" s="170"/>
      <c r="M28" s="170"/>
      <c r="N28" s="170"/>
      <c r="O28" s="170" t="s">
        <v>711</v>
      </c>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c r="BS28" s="170"/>
      <c r="BT28" s="170" t="s">
        <v>712</v>
      </c>
      <c r="BU28" s="170" t="s">
        <v>658</v>
      </c>
      <c r="BV28" s="170" t="s">
        <v>670</v>
      </c>
      <c r="BW28" s="170"/>
      <c r="BX28" s="170"/>
      <c r="BY28" s="170"/>
      <c r="BZ28" s="170"/>
      <c r="CA28" s="20"/>
      <c r="CB28" s="20"/>
      <c r="CC28" s="20"/>
      <c r="CD28" s="20"/>
      <c r="CE28" s="20"/>
      <c r="CF28" s="20"/>
      <c r="CG28" s="20"/>
      <c r="CH28" s="20"/>
      <c r="CI28" s="20"/>
      <c r="CJ28" s="20"/>
    </row>
    <row r="29" spans="1:88">
      <c r="A29" s="20"/>
      <c r="B29" s="170"/>
      <c r="C29" s="170"/>
      <c r="D29" s="170"/>
      <c r="E29" s="357"/>
      <c r="F29" s="22" t="s">
        <v>1224</v>
      </c>
      <c r="G29" s="20" t="s">
        <v>364</v>
      </c>
      <c r="H29" s="170"/>
      <c r="I29" s="170"/>
      <c r="J29" s="170"/>
      <c r="K29" s="170"/>
      <c r="L29" s="170"/>
      <c r="M29" s="170"/>
      <c r="N29" s="170"/>
      <c r="O29" s="170" t="s">
        <v>713</v>
      </c>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c r="AN29" s="170"/>
      <c r="AO29" s="170"/>
      <c r="AP29" s="170"/>
      <c r="AQ29" s="170"/>
      <c r="AR29" s="170"/>
      <c r="AS29" s="170"/>
      <c r="AT29" s="170"/>
      <c r="AU29" s="170"/>
      <c r="AV29" s="170"/>
      <c r="AW29" s="170"/>
      <c r="AX29" s="170"/>
      <c r="AY29" s="170"/>
      <c r="AZ29" s="170"/>
      <c r="BA29" s="170"/>
      <c r="BB29" s="170"/>
      <c r="BC29" s="170"/>
      <c r="BD29" s="170"/>
      <c r="BE29" s="170"/>
      <c r="BF29" s="170"/>
      <c r="BG29" s="170"/>
      <c r="BH29" s="170"/>
      <c r="BI29" s="170"/>
      <c r="BJ29" s="170"/>
      <c r="BK29" s="170"/>
      <c r="BL29" s="170"/>
      <c r="BM29" s="170"/>
      <c r="BN29" s="170"/>
      <c r="BO29" s="170"/>
      <c r="BP29" s="170"/>
      <c r="BQ29" s="170"/>
      <c r="BR29" s="170"/>
      <c r="BS29" s="170"/>
      <c r="BT29" s="170" t="s">
        <v>714</v>
      </c>
      <c r="BU29" s="170" t="s">
        <v>715</v>
      </c>
      <c r="BV29" s="170"/>
      <c r="BW29" s="170"/>
      <c r="BX29" s="170"/>
      <c r="BY29" s="170"/>
      <c r="BZ29" s="170"/>
      <c r="CA29" s="20"/>
      <c r="CB29" s="20"/>
      <c r="CC29" s="20"/>
      <c r="CD29" s="20"/>
      <c r="CE29" s="20"/>
      <c r="CF29" s="20"/>
      <c r="CG29" s="20"/>
      <c r="CH29" s="20"/>
      <c r="CI29" s="20"/>
      <c r="CJ29" s="20"/>
    </row>
    <row r="30" spans="1:88">
      <c r="A30" s="20"/>
      <c r="B30" s="170"/>
      <c r="C30" s="170"/>
      <c r="D30" s="170"/>
      <c r="E30" s="357"/>
      <c r="F30" s="22" t="s">
        <v>1225</v>
      </c>
      <c r="G30" s="20" t="s">
        <v>423</v>
      </c>
      <c r="H30" s="170"/>
      <c r="I30" s="170"/>
      <c r="J30" s="170"/>
      <c r="K30" s="170"/>
      <c r="L30" s="170"/>
      <c r="M30" s="170"/>
      <c r="N30" s="170"/>
      <c r="O30" s="170" t="s">
        <v>716</v>
      </c>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c r="AN30" s="170"/>
      <c r="AO30" s="170"/>
      <c r="AP30" s="170"/>
      <c r="AQ30" s="170"/>
      <c r="AR30" s="170"/>
      <c r="AS30" s="170"/>
      <c r="AT30" s="170"/>
      <c r="AU30" s="170"/>
      <c r="AV30" s="170"/>
      <c r="AW30" s="170"/>
      <c r="AX30" s="170"/>
      <c r="AY30" s="170"/>
      <c r="AZ30" s="170"/>
      <c r="BA30" s="170"/>
      <c r="BB30" s="170"/>
      <c r="BC30" s="170"/>
      <c r="BD30" s="170"/>
      <c r="BE30" s="170"/>
      <c r="BF30" s="170"/>
      <c r="BG30" s="170"/>
      <c r="BH30" s="170"/>
      <c r="BI30" s="170"/>
      <c r="BJ30" s="170"/>
      <c r="BK30" s="170"/>
      <c r="BL30" s="170"/>
      <c r="BM30" s="170"/>
      <c r="BN30" s="170"/>
      <c r="BO30" s="170"/>
      <c r="BP30" s="170"/>
      <c r="BQ30" s="170"/>
      <c r="BR30" s="170"/>
      <c r="BS30" s="170"/>
      <c r="BT30" s="170" t="s">
        <v>717</v>
      </c>
      <c r="BU30" s="170" t="s">
        <v>718</v>
      </c>
      <c r="BV30" s="170"/>
      <c r="BW30" s="170"/>
      <c r="BX30" s="170"/>
      <c r="BY30" s="170"/>
      <c r="BZ30" s="170"/>
      <c r="CA30" s="20"/>
      <c r="CB30" s="20"/>
      <c r="CC30" s="20"/>
      <c r="CD30" s="20"/>
      <c r="CE30" s="20"/>
      <c r="CF30" s="20"/>
      <c r="CG30" s="20"/>
      <c r="CH30" s="20"/>
      <c r="CI30" s="20"/>
      <c r="CJ30" s="20"/>
    </row>
    <row r="31" spans="1:88">
      <c r="A31" s="20"/>
      <c r="B31" s="170"/>
      <c r="C31" s="170"/>
      <c r="D31" s="170"/>
      <c r="E31" s="357"/>
      <c r="F31" s="22" t="s">
        <v>1226</v>
      </c>
      <c r="G31" s="20" t="s">
        <v>476</v>
      </c>
      <c r="H31" s="170"/>
      <c r="I31" s="170"/>
      <c r="J31" s="170"/>
      <c r="K31" s="170"/>
      <c r="L31" s="170"/>
      <c r="M31" s="170"/>
      <c r="N31" s="170"/>
      <c r="O31" s="170" t="s">
        <v>719</v>
      </c>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0"/>
      <c r="BD31" s="170"/>
      <c r="BE31" s="170"/>
      <c r="BF31" s="170"/>
      <c r="BG31" s="170"/>
      <c r="BH31" s="170"/>
      <c r="BI31" s="170"/>
      <c r="BJ31" s="170"/>
      <c r="BK31" s="170"/>
      <c r="BL31" s="170"/>
      <c r="BM31" s="170"/>
      <c r="BN31" s="170"/>
      <c r="BO31" s="170"/>
      <c r="BP31" s="170"/>
      <c r="BQ31" s="170"/>
      <c r="BR31" s="170"/>
      <c r="BS31" s="170"/>
      <c r="BT31" s="170" t="s">
        <v>720</v>
      </c>
      <c r="BU31" s="170" t="s">
        <v>721</v>
      </c>
      <c r="BV31" s="170"/>
      <c r="BW31" s="170"/>
      <c r="BX31" s="170"/>
      <c r="BY31" s="170"/>
      <c r="BZ31" s="170"/>
      <c r="CA31" s="20"/>
      <c r="CB31" s="20"/>
      <c r="CC31" s="20"/>
      <c r="CD31" s="20"/>
      <c r="CE31" s="20"/>
      <c r="CF31" s="20"/>
      <c r="CG31" s="20"/>
      <c r="CH31" s="20"/>
      <c r="CI31" s="20"/>
      <c r="CJ31" s="20"/>
    </row>
    <row r="32" spans="1:88">
      <c r="A32" s="20"/>
      <c r="B32" s="170"/>
      <c r="C32" s="170"/>
      <c r="D32" s="170"/>
      <c r="E32" s="357"/>
      <c r="F32" s="22" t="s">
        <v>1227</v>
      </c>
      <c r="G32" s="20" t="s">
        <v>525</v>
      </c>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t="s">
        <v>1271</v>
      </c>
      <c r="BU32" s="170" t="s">
        <v>722</v>
      </c>
      <c r="BV32" s="170"/>
      <c r="BW32" s="170"/>
      <c r="BX32" s="170"/>
      <c r="BY32" s="170"/>
      <c r="BZ32" s="170"/>
      <c r="CA32" s="20"/>
      <c r="CB32" s="20"/>
      <c r="CC32" s="20"/>
      <c r="CD32" s="20"/>
      <c r="CE32" s="20"/>
      <c r="CF32" s="20"/>
      <c r="CG32" s="20"/>
      <c r="CH32" s="20"/>
      <c r="CI32" s="20"/>
      <c r="CJ32" s="20"/>
    </row>
    <row r="33" spans="1:88">
      <c r="A33" s="20"/>
      <c r="B33" s="170"/>
      <c r="C33" s="170"/>
      <c r="D33" s="170"/>
      <c r="E33" s="170"/>
      <c r="F33" s="170" t="s">
        <v>42</v>
      </c>
      <c r="G33" s="20" t="s">
        <v>560</v>
      </c>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c r="BS33" s="170"/>
      <c r="BT33" s="170" t="s">
        <v>723</v>
      </c>
      <c r="BU33" s="170" t="s">
        <v>724</v>
      </c>
      <c r="BV33" s="170"/>
      <c r="BW33" s="170"/>
      <c r="BX33" s="170"/>
      <c r="BY33" s="170"/>
      <c r="BZ33" s="170"/>
      <c r="CA33" s="20"/>
      <c r="CB33" s="20"/>
      <c r="CC33" s="20"/>
      <c r="CD33" s="20"/>
      <c r="CE33" s="20"/>
      <c r="CF33" s="20"/>
      <c r="CG33" s="20"/>
      <c r="CH33" s="20"/>
      <c r="CI33" s="20"/>
      <c r="CJ33" s="20"/>
    </row>
    <row r="34" spans="1:88">
      <c r="A34" s="20"/>
      <c r="B34" s="170"/>
      <c r="C34" s="170"/>
      <c r="D34" s="170"/>
      <c r="E34" s="170"/>
      <c r="F34" s="170" t="s">
        <v>44</v>
      </c>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c r="BS34" s="170"/>
      <c r="BT34" s="170" t="s">
        <v>725</v>
      </c>
      <c r="BU34" s="170" t="s">
        <v>726</v>
      </c>
      <c r="BV34" s="170"/>
      <c r="BW34" s="170"/>
      <c r="BX34" s="170"/>
      <c r="BY34" s="170"/>
      <c r="BZ34" s="170"/>
      <c r="CA34" s="20"/>
      <c r="CB34" s="20"/>
      <c r="CC34" s="20"/>
      <c r="CD34" s="20"/>
      <c r="CE34" s="20"/>
      <c r="CF34" s="20"/>
      <c r="CG34" s="20"/>
      <c r="CH34" s="20"/>
      <c r="CI34" s="20"/>
      <c r="CJ34" s="20"/>
    </row>
    <row r="35" spans="1:88">
      <c r="A35" s="20"/>
      <c r="B35" s="170"/>
      <c r="C35" s="170"/>
      <c r="D35" s="170"/>
      <c r="E35" s="170"/>
      <c r="F35" s="170" t="s">
        <v>43</v>
      </c>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c r="BS35" s="170"/>
      <c r="BT35" s="170" t="s">
        <v>727</v>
      </c>
      <c r="BU35" s="170" t="s">
        <v>728</v>
      </c>
      <c r="BV35" s="170"/>
      <c r="BW35" s="170"/>
      <c r="BX35" s="170"/>
      <c r="BY35" s="170"/>
      <c r="BZ35" s="170"/>
      <c r="CA35" s="20"/>
      <c r="CB35" s="20"/>
      <c r="CC35" s="20"/>
      <c r="CD35" s="20"/>
      <c r="CE35" s="20"/>
      <c r="CF35" s="20"/>
      <c r="CG35" s="20"/>
      <c r="CH35" s="20"/>
      <c r="CI35" s="20"/>
      <c r="CJ35" s="20"/>
    </row>
    <row r="36" spans="1:88">
      <c r="A36" s="20"/>
      <c r="B36" s="170"/>
      <c r="C36" s="170"/>
      <c r="D36" s="170"/>
      <c r="E36" s="170"/>
      <c r="F36" s="170" t="s">
        <v>42</v>
      </c>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70"/>
      <c r="BT36" s="170" t="s">
        <v>729</v>
      </c>
      <c r="BU36" s="170" t="s">
        <v>730</v>
      </c>
      <c r="BV36" s="170"/>
      <c r="BW36" s="170"/>
      <c r="BX36" s="170"/>
      <c r="BY36" s="170"/>
      <c r="BZ36" s="170"/>
      <c r="CA36" s="20"/>
      <c r="CB36" s="20"/>
      <c r="CC36" s="20"/>
      <c r="CD36" s="20"/>
      <c r="CE36" s="20"/>
      <c r="CF36" s="20"/>
      <c r="CG36" s="20"/>
      <c r="CH36" s="20"/>
      <c r="CI36" s="20"/>
      <c r="CJ36" s="20"/>
    </row>
    <row r="37" spans="1:88">
      <c r="A37" s="20"/>
      <c r="B37" s="170"/>
      <c r="C37" s="170"/>
      <c r="D37" s="170"/>
      <c r="E37" s="170"/>
      <c r="F37" s="170" t="s">
        <v>45</v>
      </c>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c r="BS37" s="170"/>
      <c r="BT37" s="170" t="s">
        <v>731</v>
      </c>
      <c r="BU37" s="170" t="s">
        <v>732</v>
      </c>
      <c r="BV37" s="170"/>
      <c r="BW37" s="170"/>
      <c r="BX37" s="170"/>
      <c r="BY37" s="170"/>
      <c r="BZ37" s="170"/>
      <c r="CA37" s="20"/>
      <c r="CB37" s="20"/>
      <c r="CC37" s="20"/>
      <c r="CD37" s="20"/>
      <c r="CE37" s="20"/>
      <c r="CF37" s="20"/>
      <c r="CG37" s="20"/>
      <c r="CH37" s="20"/>
      <c r="CI37" s="20"/>
      <c r="CJ37" s="20"/>
    </row>
    <row r="38" spans="1:88">
      <c r="A38" s="20"/>
      <c r="B38" s="170"/>
      <c r="C38" s="170"/>
      <c r="D38" s="170"/>
      <c r="E38" s="170"/>
      <c r="F38" s="170" t="s">
        <v>43</v>
      </c>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c r="BS38" s="170"/>
      <c r="BT38" s="170" t="s">
        <v>733</v>
      </c>
      <c r="BU38" s="170" t="s">
        <v>734</v>
      </c>
      <c r="BV38" s="170"/>
      <c r="BW38" s="170"/>
      <c r="BX38" s="170"/>
      <c r="BY38" s="170"/>
      <c r="BZ38" s="170"/>
      <c r="CA38" s="20"/>
      <c r="CB38" s="20"/>
      <c r="CC38" s="20"/>
      <c r="CD38" s="20"/>
      <c r="CE38" s="20"/>
      <c r="CF38" s="20"/>
      <c r="CG38" s="20"/>
      <c r="CH38" s="20"/>
      <c r="CI38" s="20"/>
      <c r="CJ38" s="20"/>
    </row>
    <row r="39" spans="1:88">
      <c r="A39" s="20"/>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c r="BS39" s="170"/>
      <c r="BT39" s="170" t="s">
        <v>735</v>
      </c>
      <c r="BU39" s="170"/>
      <c r="BV39" s="170"/>
      <c r="BW39" s="170"/>
      <c r="BX39" s="170"/>
      <c r="BY39" s="170"/>
      <c r="BZ39" s="170"/>
      <c r="CA39" s="20"/>
      <c r="CB39" s="20"/>
      <c r="CC39" s="20"/>
      <c r="CD39" s="20"/>
      <c r="CE39" s="20"/>
      <c r="CF39" s="20"/>
      <c r="CG39" s="20"/>
      <c r="CH39" s="20"/>
      <c r="CI39" s="20"/>
      <c r="CJ39" s="20"/>
    </row>
    <row r="40" spans="1:88">
      <c r="A40" s="20"/>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c r="BS40" s="170"/>
      <c r="BT40" s="170" t="s">
        <v>736</v>
      </c>
      <c r="BU40" s="170"/>
      <c r="BV40" s="170"/>
      <c r="BW40" s="170"/>
      <c r="BX40" s="170"/>
      <c r="BY40" s="170"/>
      <c r="BZ40" s="170"/>
      <c r="CA40" s="20"/>
      <c r="CB40" s="20"/>
      <c r="CC40" s="20"/>
      <c r="CD40" s="20"/>
      <c r="CE40" s="20"/>
      <c r="CF40" s="20"/>
      <c r="CG40" s="20"/>
      <c r="CH40" s="20"/>
      <c r="CI40" s="20"/>
      <c r="CJ40" s="20"/>
    </row>
    <row r="41" spans="1:88">
      <c r="A41" s="20"/>
      <c r="B41" s="170"/>
      <c r="C41" s="170"/>
      <c r="D41" s="432" t="s">
        <v>1283</v>
      </c>
      <c r="E41" s="433" t="s">
        <v>1284</v>
      </c>
      <c r="F41" s="433" t="s">
        <v>1285</v>
      </c>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c r="BS41" s="170"/>
      <c r="BT41" s="170" t="s">
        <v>737</v>
      </c>
      <c r="BU41" s="170"/>
      <c r="BV41" s="170"/>
      <c r="BW41" s="170"/>
      <c r="BX41" s="170"/>
      <c r="BY41" s="170"/>
      <c r="BZ41" s="170"/>
      <c r="CA41" s="20"/>
      <c r="CB41" s="20"/>
      <c r="CC41" s="20"/>
      <c r="CD41" s="20"/>
      <c r="CE41" s="20"/>
      <c r="CF41" s="20"/>
      <c r="CG41" s="20"/>
      <c r="CH41" s="20"/>
      <c r="CI41" s="20"/>
      <c r="CJ41" s="20"/>
    </row>
    <row r="42" spans="1:88">
      <c r="A42" s="20"/>
      <c r="B42" s="170"/>
      <c r="C42" s="170"/>
      <c r="D42" s="434" t="s">
        <v>1286</v>
      </c>
      <c r="E42" s="435" t="s">
        <v>1287</v>
      </c>
      <c r="F42" s="435" t="s">
        <v>1288</v>
      </c>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70"/>
      <c r="BT42" s="170" t="s">
        <v>738</v>
      </c>
      <c r="BU42" s="170"/>
      <c r="BV42" s="170"/>
      <c r="BW42" s="170"/>
      <c r="BX42" s="170"/>
      <c r="BY42" s="170"/>
      <c r="BZ42" s="170"/>
      <c r="CA42" s="20"/>
      <c r="CB42" s="20"/>
      <c r="CC42" s="20"/>
      <c r="CD42" s="20"/>
      <c r="CE42" s="20"/>
      <c r="CF42" s="20"/>
      <c r="CG42" s="20"/>
      <c r="CH42" s="20"/>
      <c r="CI42" s="20"/>
      <c r="CJ42" s="20"/>
    </row>
    <row r="43" spans="1:88">
      <c r="A43" s="20"/>
      <c r="B43" s="170"/>
      <c r="C43" s="170"/>
      <c r="D43" s="434" t="s">
        <v>1289</v>
      </c>
      <c r="E43" s="435" t="s">
        <v>1290</v>
      </c>
      <c r="F43" s="435">
        <v>4111</v>
      </c>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c r="BS43" s="170"/>
      <c r="BT43" s="170" t="s">
        <v>739</v>
      </c>
      <c r="BU43" s="170"/>
      <c r="BV43" s="170"/>
      <c r="BW43" s="170"/>
      <c r="BX43" s="170"/>
      <c r="BY43" s="170"/>
      <c r="BZ43" s="170"/>
      <c r="CA43" s="20"/>
      <c r="CB43" s="20"/>
      <c r="CC43" s="20"/>
      <c r="CD43" s="20"/>
      <c r="CE43" s="20"/>
      <c r="CF43" s="20"/>
      <c r="CG43" s="20"/>
      <c r="CH43" s="20"/>
      <c r="CI43" s="20"/>
      <c r="CJ43" s="20"/>
    </row>
    <row r="44" spans="1:88">
      <c r="A44" s="20"/>
      <c r="B44" s="170"/>
      <c r="C44" s="170"/>
      <c r="D44" s="434" t="s">
        <v>1291</v>
      </c>
      <c r="E44" s="435" t="s">
        <v>1292</v>
      </c>
      <c r="F44" s="436" t="s">
        <v>1293</v>
      </c>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c r="BS44" s="170"/>
      <c r="BT44" s="170" t="s">
        <v>740</v>
      </c>
      <c r="BU44" s="170"/>
      <c r="BV44" s="170"/>
      <c r="BW44" s="170"/>
      <c r="BX44" s="170"/>
      <c r="BY44" s="170"/>
      <c r="BZ44" s="170"/>
      <c r="CA44" s="20"/>
      <c r="CB44" s="20"/>
      <c r="CC44" s="20"/>
      <c r="CD44" s="20"/>
      <c r="CE44" s="20"/>
      <c r="CF44" s="20"/>
      <c r="CG44" s="20"/>
      <c r="CH44" s="20"/>
      <c r="CI44" s="20"/>
      <c r="CJ44" s="20"/>
    </row>
    <row r="45" spans="1:88">
      <c r="A45" s="20"/>
      <c r="B45" s="170"/>
      <c r="C45" s="170"/>
      <c r="D45" s="434" t="s">
        <v>1294</v>
      </c>
      <c r="E45" s="435" t="s">
        <v>1287</v>
      </c>
      <c r="F45" s="435">
        <v>50200</v>
      </c>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c r="BS45" s="170"/>
      <c r="BT45" s="170" t="s">
        <v>741</v>
      </c>
      <c r="BU45" s="170"/>
      <c r="BV45" s="170"/>
      <c r="BW45" s="170"/>
      <c r="BX45" s="170"/>
      <c r="BY45" s="170"/>
      <c r="BZ45" s="170"/>
      <c r="CA45" s="20"/>
      <c r="CB45" s="20"/>
      <c r="CC45" s="20"/>
      <c r="CD45" s="20"/>
      <c r="CE45" s="20"/>
      <c r="CF45" s="20"/>
      <c r="CG45" s="20"/>
      <c r="CH45" s="20"/>
      <c r="CI45" s="20"/>
      <c r="CJ45" s="20"/>
    </row>
    <row r="46" spans="1:88">
      <c r="A46" s="20"/>
      <c r="B46" s="170"/>
      <c r="C46" s="170"/>
      <c r="D46" s="434" t="s">
        <v>1295</v>
      </c>
      <c r="E46" s="435" t="s">
        <v>1290</v>
      </c>
      <c r="F46" s="435">
        <v>5457</v>
      </c>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c r="BS46" s="170"/>
      <c r="BT46" s="170" t="s">
        <v>742</v>
      </c>
      <c r="BU46" s="170"/>
      <c r="BV46" s="170"/>
      <c r="BW46" s="170"/>
      <c r="BX46" s="170"/>
      <c r="BY46" s="170"/>
      <c r="BZ46" s="170"/>
      <c r="CA46" s="20"/>
      <c r="CB46" s="20"/>
      <c r="CC46" s="20"/>
      <c r="CD46" s="20"/>
      <c r="CE46" s="20"/>
      <c r="CF46" s="20"/>
      <c r="CG46" s="20"/>
      <c r="CH46" s="20"/>
      <c r="CI46" s="20"/>
      <c r="CJ46" s="20"/>
    </row>
    <row r="47" spans="1:88">
      <c r="A47" s="20"/>
      <c r="B47" s="170"/>
      <c r="C47" s="170"/>
      <c r="D47" s="434" t="s">
        <v>1296</v>
      </c>
      <c r="E47" s="435" t="s">
        <v>1290</v>
      </c>
      <c r="F47" s="435">
        <v>5628</v>
      </c>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t="s">
        <v>743</v>
      </c>
      <c r="BU47" s="170"/>
      <c r="BV47" s="170"/>
      <c r="BW47" s="170"/>
      <c r="BX47" s="170"/>
      <c r="BY47" s="170"/>
      <c r="BZ47" s="170"/>
      <c r="CA47" s="20"/>
      <c r="CB47" s="20"/>
      <c r="CC47" s="20"/>
      <c r="CD47" s="20"/>
      <c r="CE47" s="20"/>
      <c r="CF47" s="20"/>
      <c r="CG47" s="20"/>
      <c r="CH47" s="20"/>
      <c r="CI47" s="20"/>
      <c r="CJ47" s="20"/>
    </row>
    <row r="48" spans="1:88">
      <c r="A48" s="20"/>
      <c r="B48" s="170"/>
      <c r="C48" s="170"/>
      <c r="D48" s="434" t="s">
        <v>1297</v>
      </c>
      <c r="E48" s="435" t="s">
        <v>1287</v>
      </c>
      <c r="F48" s="435">
        <v>168932</v>
      </c>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0"/>
      <c r="BK48" s="170"/>
      <c r="BL48" s="170"/>
      <c r="BM48" s="170"/>
      <c r="BN48" s="170"/>
      <c r="BO48" s="170"/>
      <c r="BP48" s="170"/>
      <c r="BQ48" s="170"/>
      <c r="BR48" s="170"/>
      <c r="BS48" s="170"/>
      <c r="BT48" s="170" t="s">
        <v>744</v>
      </c>
      <c r="BU48" s="170"/>
      <c r="BV48" s="170"/>
      <c r="BW48" s="170"/>
      <c r="BX48" s="170"/>
      <c r="BY48" s="170"/>
      <c r="BZ48" s="170"/>
      <c r="CA48" s="20"/>
      <c r="CB48" s="20"/>
      <c r="CC48" s="20"/>
      <c r="CD48" s="20"/>
      <c r="CE48" s="20"/>
      <c r="CF48" s="20"/>
      <c r="CG48" s="20"/>
      <c r="CH48" s="20"/>
      <c r="CI48" s="20"/>
      <c r="CJ48" s="20"/>
    </row>
    <row r="49" spans="1:88">
      <c r="A49" s="20"/>
      <c r="B49" s="170"/>
      <c r="C49" s="170"/>
      <c r="D49" s="434" t="s">
        <v>1298</v>
      </c>
      <c r="E49" s="435" t="s">
        <v>1290</v>
      </c>
      <c r="F49" s="437"/>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c r="BE49" s="170"/>
      <c r="BF49" s="170"/>
      <c r="BG49" s="170"/>
      <c r="BH49" s="170"/>
      <c r="BI49" s="170"/>
      <c r="BJ49" s="170"/>
      <c r="BK49" s="170"/>
      <c r="BL49" s="170"/>
      <c r="BM49" s="170"/>
      <c r="BN49" s="170"/>
      <c r="BO49" s="170"/>
      <c r="BP49" s="170"/>
      <c r="BQ49" s="170"/>
      <c r="BR49" s="170"/>
      <c r="BS49" s="170"/>
      <c r="BT49" s="170" t="s">
        <v>745</v>
      </c>
      <c r="BU49" s="170"/>
      <c r="BV49" s="170"/>
      <c r="BW49" s="170"/>
      <c r="BX49" s="170"/>
      <c r="BY49" s="170"/>
      <c r="BZ49" s="170"/>
      <c r="CA49" s="20"/>
      <c r="CB49" s="20"/>
      <c r="CC49" s="20"/>
      <c r="CD49" s="20"/>
      <c r="CE49" s="20"/>
      <c r="CF49" s="20"/>
      <c r="CG49" s="20"/>
      <c r="CH49" s="20"/>
      <c r="CI49" s="20"/>
      <c r="CJ49" s="20"/>
    </row>
    <row r="50" spans="1:88">
      <c r="A50" s="20"/>
      <c r="B50" s="170"/>
      <c r="C50" s="170"/>
      <c r="D50" s="434" t="s">
        <v>1299</v>
      </c>
      <c r="E50" s="435" t="s">
        <v>1292</v>
      </c>
      <c r="F50" s="437"/>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c r="BS50" s="170"/>
      <c r="BT50" s="170" t="s">
        <v>746</v>
      </c>
      <c r="BU50" s="170"/>
      <c r="BV50" s="170"/>
      <c r="BW50" s="170"/>
      <c r="BX50" s="170"/>
      <c r="BY50" s="170"/>
      <c r="BZ50" s="170"/>
      <c r="CA50" s="20"/>
      <c r="CB50" s="20"/>
      <c r="CC50" s="20"/>
      <c r="CD50" s="20"/>
      <c r="CE50" s="20"/>
      <c r="CF50" s="20"/>
      <c r="CG50" s="20"/>
      <c r="CH50" s="20"/>
      <c r="CI50" s="20"/>
      <c r="CJ50" s="20"/>
    </row>
    <row r="51" spans="1:88">
      <c r="A51" s="20"/>
      <c r="B51" s="170"/>
      <c r="C51" s="170"/>
      <c r="D51" s="434" t="s">
        <v>1300</v>
      </c>
      <c r="E51" s="435" t="s">
        <v>1290</v>
      </c>
      <c r="F51" s="437"/>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c r="BS51" s="170"/>
      <c r="BT51" s="170" t="s">
        <v>747</v>
      </c>
      <c r="BU51" s="170"/>
      <c r="BV51" s="170"/>
      <c r="BW51" s="170"/>
      <c r="BX51" s="170"/>
      <c r="BY51" s="170"/>
      <c r="BZ51" s="170"/>
      <c r="CA51" s="20"/>
      <c r="CB51" s="20"/>
      <c r="CC51" s="20"/>
      <c r="CD51" s="20"/>
      <c r="CE51" s="20"/>
      <c r="CF51" s="20"/>
      <c r="CG51" s="20"/>
      <c r="CH51" s="20"/>
      <c r="CI51" s="20"/>
      <c r="CJ51" s="20"/>
    </row>
    <row r="52" spans="1:88">
      <c r="A52" s="20"/>
      <c r="B52" s="170"/>
      <c r="C52" s="170"/>
      <c r="D52" s="434" t="s">
        <v>1301</v>
      </c>
      <c r="E52" s="435" t="s">
        <v>1292</v>
      </c>
      <c r="F52" s="437"/>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0"/>
      <c r="BK52" s="170"/>
      <c r="BL52" s="170"/>
      <c r="BM52" s="170"/>
      <c r="BN52" s="170"/>
      <c r="BO52" s="170"/>
      <c r="BP52" s="170"/>
      <c r="BQ52" s="170"/>
      <c r="BR52" s="170"/>
      <c r="BS52" s="170"/>
      <c r="BT52" s="170" t="s">
        <v>748</v>
      </c>
      <c r="BU52" s="170"/>
      <c r="BV52" s="170"/>
      <c r="BW52" s="170"/>
      <c r="BX52" s="170"/>
      <c r="BY52" s="170"/>
      <c r="BZ52" s="170"/>
      <c r="CA52" s="20"/>
      <c r="CB52" s="20"/>
      <c r="CC52" s="20"/>
      <c r="CD52" s="20"/>
      <c r="CE52" s="20"/>
      <c r="CF52" s="20"/>
      <c r="CG52" s="20"/>
      <c r="CH52" s="20"/>
      <c r="CI52" s="20"/>
      <c r="CJ52" s="20"/>
    </row>
    <row r="53" spans="1:88">
      <c r="A53" s="20"/>
      <c r="B53" s="170"/>
      <c r="C53" s="170"/>
      <c r="D53" s="434" t="s">
        <v>1302</v>
      </c>
      <c r="E53" s="435" t="s">
        <v>1290</v>
      </c>
      <c r="F53" s="437"/>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0"/>
      <c r="BK53" s="170"/>
      <c r="BL53" s="170"/>
      <c r="BM53" s="170"/>
      <c r="BN53" s="170"/>
      <c r="BO53" s="170"/>
      <c r="BP53" s="170"/>
      <c r="BQ53" s="170"/>
      <c r="BR53" s="170"/>
      <c r="BS53" s="170"/>
      <c r="BT53" s="170" t="s">
        <v>749</v>
      </c>
      <c r="BU53" s="170"/>
      <c r="BV53" s="170"/>
      <c r="BW53" s="170"/>
      <c r="BX53" s="170"/>
      <c r="BY53" s="170"/>
      <c r="BZ53" s="170"/>
      <c r="CA53" s="20"/>
      <c r="CB53" s="20"/>
      <c r="CC53" s="20"/>
      <c r="CD53" s="20"/>
      <c r="CE53" s="20"/>
      <c r="CF53" s="20"/>
      <c r="CG53" s="20"/>
      <c r="CH53" s="20"/>
      <c r="CI53" s="20"/>
      <c r="CJ53" s="20"/>
    </row>
    <row r="54" spans="1:88">
      <c r="A54" s="20"/>
      <c r="B54" s="170"/>
      <c r="C54" s="170"/>
      <c r="D54" s="434" t="s">
        <v>1303</v>
      </c>
      <c r="E54" s="437" t="s">
        <v>1290</v>
      </c>
      <c r="F54" s="437"/>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0"/>
      <c r="BK54" s="170"/>
      <c r="BL54" s="170"/>
      <c r="BM54" s="170"/>
      <c r="BN54" s="170"/>
      <c r="BO54" s="170"/>
      <c r="BP54" s="170"/>
      <c r="BQ54" s="170"/>
      <c r="BR54" s="170"/>
      <c r="BS54" s="170"/>
      <c r="BT54" s="170" t="s">
        <v>750</v>
      </c>
      <c r="BU54" s="170"/>
      <c r="BV54" s="170"/>
      <c r="BW54" s="170"/>
      <c r="BX54" s="170"/>
      <c r="BY54" s="170"/>
      <c r="BZ54" s="170"/>
      <c r="CA54" s="20"/>
      <c r="CB54" s="20"/>
      <c r="CC54" s="20"/>
      <c r="CD54" s="20"/>
      <c r="CE54" s="20"/>
      <c r="CF54" s="20"/>
      <c r="CG54" s="20"/>
      <c r="CH54" s="20"/>
      <c r="CI54" s="20"/>
      <c r="CJ54" s="20"/>
    </row>
    <row r="55" spans="1:88">
      <c r="A55" s="20"/>
      <c r="B55" s="170"/>
      <c r="C55" s="170"/>
      <c r="D55" s="434" t="s">
        <v>1304</v>
      </c>
      <c r="E55" s="435" t="s">
        <v>1287</v>
      </c>
      <c r="F55" s="437"/>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c r="BO55" s="170"/>
      <c r="BP55" s="170"/>
      <c r="BQ55" s="170"/>
      <c r="BR55" s="170"/>
      <c r="BS55" s="170"/>
      <c r="BT55" s="170" t="s">
        <v>751</v>
      </c>
      <c r="BU55" s="170"/>
      <c r="BV55" s="170"/>
      <c r="BW55" s="170"/>
      <c r="BX55" s="170"/>
      <c r="BY55" s="170"/>
      <c r="BZ55" s="170"/>
      <c r="CA55" s="20"/>
      <c r="CB55" s="20"/>
      <c r="CC55" s="20"/>
      <c r="CD55" s="20"/>
      <c r="CE55" s="20"/>
      <c r="CF55" s="20"/>
      <c r="CG55" s="20"/>
      <c r="CH55" s="20"/>
      <c r="CI55" s="20"/>
      <c r="CJ55" s="20"/>
    </row>
    <row r="56" spans="1:88">
      <c r="A56" s="20"/>
      <c r="B56" s="170"/>
      <c r="C56" s="170"/>
      <c r="D56" s="434"/>
      <c r="E56" s="435"/>
      <c r="F56" s="435"/>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70"/>
      <c r="BO56" s="170"/>
      <c r="BP56" s="170"/>
      <c r="BQ56" s="170"/>
      <c r="BR56" s="170"/>
      <c r="BS56" s="170"/>
      <c r="BT56" s="170" t="s">
        <v>752</v>
      </c>
      <c r="BU56" s="170"/>
      <c r="BV56" s="170"/>
      <c r="BW56" s="170"/>
      <c r="BX56" s="170"/>
      <c r="BY56" s="170"/>
      <c r="BZ56" s="170"/>
      <c r="CA56" s="20"/>
      <c r="CB56" s="20"/>
      <c r="CC56" s="20"/>
      <c r="CD56" s="20"/>
      <c r="CE56" s="20"/>
      <c r="CF56" s="20"/>
      <c r="CG56" s="20"/>
      <c r="CH56" s="20"/>
      <c r="CI56" s="20"/>
      <c r="CJ56" s="20"/>
    </row>
    <row r="57" spans="1:88">
      <c r="A57" s="20"/>
      <c r="B57" s="170"/>
      <c r="C57" s="170"/>
      <c r="D57" s="434"/>
      <c r="E57" s="435"/>
      <c r="F57" s="435"/>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c r="BM57" s="170"/>
      <c r="BN57" s="170"/>
      <c r="BO57" s="170"/>
      <c r="BP57" s="170"/>
      <c r="BQ57" s="170"/>
      <c r="BR57" s="170"/>
      <c r="BS57" s="170"/>
      <c r="BT57" s="170" t="s">
        <v>753</v>
      </c>
      <c r="BU57" s="170"/>
      <c r="BV57" s="170"/>
      <c r="BW57" s="170"/>
      <c r="BX57" s="170"/>
      <c r="BY57" s="170"/>
      <c r="BZ57" s="170"/>
      <c r="CA57" s="20"/>
      <c r="CB57" s="20"/>
      <c r="CC57" s="20"/>
      <c r="CD57" s="20"/>
      <c r="CE57" s="20"/>
      <c r="CF57" s="20"/>
      <c r="CG57" s="20"/>
      <c r="CH57" s="20"/>
      <c r="CI57" s="20"/>
      <c r="CJ57" s="20"/>
    </row>
    <row r="58" spans="1:88">
      <c r="A58" s="20"/>
      <c r="B58" s="170"/>
      <c r="C58" s="170"/>
      <c r="D58" s="434"/>
      <c r="E58" s="435"/>
      <c r="F58" s="435"/>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c r="BS58" s="170"/>
      <c r="BT58" s="170" t="s">
        <v>754</v>
      </c>
      <c r="BU58" s="170"/>
      <c r="BV58" s="170"/>
      <c r="BW58" s="170"/>
      <c r="BX58" s="170"/>
      <c r="BY58" s="170"/>
      <c r="BZ58" s="170"/>
      <c r="CA58" s="20"/>
      <c r="CB58" s="20"/>
      <c r="CC58" s="20"/>
      <c r="CD58" s="20"/>
      <c r="CE58" s="20"/>
      <c r="CF58" s="20"/>
      <c r="CG58" s="20"/>
      <c r="CH58" s="20"/>
      <c r="CI58" s="20"/>
      <c r="CJ58" s="20"/>
    </row>
    <row r="59" spans="1:88">
      <c r="A59" s="20"/>
      <c r="B59" s="170"/>
      <c r="C59" s="170"/>
      <c r="D59" s="434"/>
      <c r="E59" s="435"/>
      <c r="F59" s="435"/>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c r="BE59" s="170"/>
      <c r="BF59" s="170"/>
      <c r="BG59" s="170"/>
      <c r="BH59" s="170"/>
      <c r="BI59" s="170"/>
      <c r="BJ59" s="170"/>
      <c r="BK59" s="170"/>
      <c r="BL59" s="170"/>
      <c r="BM59" s="170"/>
      <c r="BN59" s="170"/>
      <c r="BO59" s="170"/>
      <c r="BP59" s="170"/>
      <c r="BQ59" s="170"/>
      <c r="BR59" s="170"/>
      <c r="BS59" s="170"/>
      <c r="BT59" s="170" t="s">
        <v>755</v>
      </c>
      <c r="BU59" s="170"/>
      <c r="BV59" s="170"/>
      <c r="BW59" s="170"/>
      <c r="BX59" s="170"/>
      <c r="BY59" s="170"/>
      <c r="BZ59" s="170"/>
      <c r="CA59" s="20"/>
      <c r="CB59" s="20"/>
      <c r="CC59" s="20"/>
      <c r="CD59" s="20"/>
      <c r="CE59" s="20"/>
      <c r="CF59" s="20"/>
      <c r="CG59" s="20"/>
      <c r="CH59" s="20"/>
      <c r="CI59" s="20"/>
      <c r="CJ59" s="20"/>
    </row>
    <row r="60" spans="1:88">
      <c r="A60" s="2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c r="BE60" s="170"/>
      <c r="BF60" s="170"/>
      <c r="BG60" s="170"/>
      <c r="BH60" s="170"/>
      <c r="BI60" s="170"/>
      <c r="BJ60" s="170"/>
      <c r="BK60" s="170"/>
      <c r="BL60" s="170"/>
      <c r="BM60" s="170"/>
      <c r="BN60" s="170"/>
      <c r="BO60" s="170"/>
      <c r="BP60" s="170"/>
      <c r="BQ60" s="170"/>
      <c r="BR60" s="170"/>
      <c r="BS60" s="170"/>
      <c r="BT60" s="170"/>
      <c r="BU60" s="170"/>
      <c r="BV60" s="170"/>
      <c r="BW60" s="170"/>
      <c r="BX60" s="170"/>
      <c r="BY60" s="170"/>
      <c r="BZ60" s="170"/>
      <c r="CA60" s="20"/>
      <c r="CB60" s="20"/>
      <c r="CC60" s="20"/>
      <c r="CD60" s="20"/>
      <c r="CE60" s="20"/>
      <c r="CF60" s="20"/>
      <c r="CG60" s="20"/>
      <c r="CH60" s="20"/>
      <c r="CI60" s="20"/>
      <c r="CJ60" s="20"/>
    </row>
    <row r="61" spans="1:88">
      <c r="A61" s="2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c r="BE61" s="170"/>
      <c r="BF61" s="170"/>
      <c r="BG61" s="170"/>
      <c r="BH61" s="170"/>
      <c r="BI61" s="170"/>
      <c r="BJ61" s="170"/>
      <c r="BK61" s="170"/>
      <c r="BL61" s="170"/>
      <c r="BM61" s="170"/>
      <c r="BN61" s="170"/>
      <c r="BO61" s="170"/>
      <c r="BP61" s="170"/>
      <c r="BQ61" s="170"/>
      <c r="BR61" s="170"/>
      <c r="BS61" s="170"/>
      <c r="BT61" s="170"/>
      <c r="BU61" s="170"/>
      <c r="BV61" s="170"/>
      <c r="BW61" s="170"/>
      <c r="BX61" s="170"/>
      <c r="BY61" s="170"/>
      <c r="BZ61" s="170"/>
      <c r="CA61" s="20"/>
      <c r="CB61" s="20"/>
      <c r="CC61" s="20"/>
      <c r="CD61" s="20"/>
      <c r="CE61" s="20"/>
      <c r="CF61" s="20"/>
      <c r="CG61" s="20"/>
      <c r="CH61" s="20"/>
      <c r="CI61" s="20"/>
      <c r="CJ61" s="20"/>
    </row>
    <row r="62" spans="1:88">
      <c r="A62" s="2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c r="BE62" s="170"/>
      <c r="BF62" s="170"/>
      <c r="BG62" s="170"/>
      <c r="BH62" s="170"/>
      <c r="BI62" s="170"/>
      <c r="BJ62" s="170"/>
      <c r="BK62" s="170"/>
      <c r="BL62" s="170"/>
      <c r="BM62" s="170"/>
      <c r="BN62" s="170"/>
      <c r="BO62" s="170"/>
      <c r="BP62" s="170"/>
      <c r="BQ62" s="170"/>
      <c r="BR62" s="170"/>
      <c r="BS62" s="170"/>
      <c r="BT62" s="170"/>
      <c r="BU62" s="170"/>
      <c r="BV62" s="170"/>
      <c r="BW62" s="170"/>
      <c r="BX62" s="170"/>
      <c r="BY62" s="170"/>
      <c r="BZ62" s="170"/>
      <c r="CA62" s="20"/>
      <c r="CB62" s="20"/>
      <c r="CC62" s="20"/>
      <c r="CD62" s="20"/>
      <c r="CE62" s="20"/>
      <c r="CF62" s="20"/>
      <c r="CG62" s="20"/>
      <c r="CH62" s="20"/>
      <c r="CI62" s="20"/>
      <c r="CJ62" s="20"/>
    </row>
    <row r="63" spans="1:88">
      <c r="A63" s="2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c r="BE63" s="170"/>
      <c r="BF63" s="170"/>
      <c r="BG63" s="170"/>
      <c r="BH63" s="170"/>
      <c r="BI63" s="170"/>
      <c r="BJ63" s="170"/>
      <c r="BK63" s="170"/>
      <c r="BL63" s="170"/>
      <c r="BM63" s="170"/>
      <c r="BN63" s="170"/>
      <c r="BO63" s="170"/>
      <c r="BP63" s="170"/>
      <c r="BQ63" s="170"/>
      <c r="BR63" s="170"/>
      <c r="BS63" s="170"/>
      <c r="BT63" s="170"/>
      <c r="BU63" s="170"/>
      <c r="BV63" s="170"/>
      <c r="BW63" s="170"/>
      <c r="BX63" s="170"/>
      <c r="BY63" s="170"/>
      <c r="BZ63" s="170"/>
      <c r="CA63" s="20"/>
      <c r="CB63" s="20"/>
      <c r="CC63" s="20"/>
      <c r="CD63" s="20"/>
      <c r="CE63" s="20"/>
      <c r="CF63" s="20"/>
      <c r="CG63" s="20"/>
      <c r="CH63" s="20"/>
      <c r="CI63" s="20"/>
      <c r="CJ63" s="20"/>
    </row>
    <row r="64" spans="1:88">
      <c r="A64" s="2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70"/>
      <c r="AX64" s="170"/>
      <c r="AY64" s="170"/>
      <c r="AZ64" s="170"/>
      <c r="BA64" s="170"/>
      <c r="BB64" s="170"/>
      <c r="BC64" s="170"/>
      <c r="BD64" s="170"/>
      <c r="BE64" s="170"/>
      <c r="BF64" s="170"/>
      <c r="BG64" s="170"/>
      <c r="BH64" s="170"/>
      <c r="BI64" s="170"/>
      <c r="BJ64" s="170"/>
      <c r="BK64" s="170"/>
      <c r="BL64" s="170"/>
      <c r="BM64" s="170"/>
      <c r="BN64" s="170"/>
      <c r="BO64" s="170"/>
      <c r="BP64" s="170"/>
      <c r="BQ64" s="170"/>
      <c r="BR64" s="170"/>
      <c r="BS64" s="170"/>
      <c r="BT64" s="170"/>
      <c r="BU64" s="170"/>
      <c r="BV64" s="170"/>
      <c r="BW64" s="170"/>
      <c r="BX64" s="170"/>
      <c r="BY64" s="170"/>
      <c r="BZ64" s="170"/>
      <c r="CA64" s="20"/>
      <c r="CB64" s="20"/>
      <c r="CC64" s="20"/>
      <c r="CD64" s="20"/>
      <c r="CE64" s="20"/>
      <c r="CF64" s="20"/>
      <c r="CG64" s="20"/>
      <c r="CH64" s="20"/>
      <c r="CI64" s="20"/>
      <c r="CJ64" s="20"/>
    </row>
    <row r="65" spans="1:88">
      <c r="A65" s="2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c r="BE65" s="170"/>
      <c r="BF65" s="170"/>
      <c r="BG65" s="170"/>
      <c r="BH65" s="170"/>
      <c r="BI65" s="170"/>
      <c r="BJ65" s="170"/>
      <c r="BK65" s="170"/>
      <c r="BL65" s="170"/>
      <c r="BM65" s="170"/>
      <c r="BN65" s="170"/>
      <c r="BO65" s="170"/>
      <c r="BP65" s="170"/>
      <c r="BQ65" s="170"/>
      <c r="BR65" s="170"/>
      <c r="BS65" s="170"/>
      <c r="BT65" s="170"/>
      <c r="BU65" s="170"/>
      <c r="BV65" s="170"/>
      <c r="BW65" s="170"/>
      <c r="BX65" s="170"/>
      <c r="BY65" s="170"/>
      <c r="BZ65" s="170"/>
      <c r="CA65" s="20"/>
      <c r="CB65" s="20"/>
      <c r="CC65" s="20"/>
      <c r="CD65" s="20"/>
      <c r="CE65" s="20"/>
      <c r="CF65" s="20"/>
      <c r="CG65" s="20"/>
      <c r="CH65" s="20"/>
      <c r="CI65" s="20"/>
      <c r="CJ65" s="20"/>
    </row>
    <row r="66" spans="1:88">
      <c r="A66" s="2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c r="BE66" s="170"/>
      <c r="BF66" s="170"/>
      <c r="BG66" s="170"/>
      <c r="BH66" s="170"/>
      <c r="BI66" s="170"/>
      <c r="BJ66" s="170"/>
      <c r="BK66" s="170"/>
      <c r="BL66" s="170"/>
      <c r="BM66" s="170"/>
      <c r="BN66" s="170"/>
      <c r="BO66" s="170"/>
      <c r="BP66" s="170"/>
      <c r="BQ66" s="170"/>
      <c r="BR66" s="170"/>
      <c r="BS66" s="170"/>
      <c r="BT66" s="170"/>
      <c r="BU66" s="170"/>
      <c r="BV66" s="170"/>
      <c r="BW66" s="170"/>
      <c r="BX66" s="170"/>
      <c r="BY66" s="170"/>
      <c r="BZ66" s="170"/>
      <c r="CA66" s="20"/>
      <c r="CB66" s="20"/>
      <c r="CC66" s="20"/>
      <c r="CD66" s="20"/>
      <c r="CE66" s="20"/>
      <c r="CF66" s="20"/>
      <c r="CG66" s="20"/>
      <c r="CH66" s="20"/>
      <c r="CI66" s="20"/>
      <c r="CJ66" s="20"/>
    </row>
    <row r="67" spans="1:88">
      <c r="A67" s="2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c r="BE67" s="170"/>
      <c r="BF67" s="170"/>
      <c r="BG67" s="170"/>
      <c r="BH67" s="170"/>
      <c r="BI67" s="170"/>
      <c r="BJ67" s="170"/>
      <c r="BK67" s="170"/>
      <c r="BL67" s="170"/>
      <c r="BM67" s="170"/>
      <c r="BN67" s="170"/>
      <c r="BO67" s="170"/>
      <c r="BP67" s="170"/>
      <c r="BQ67" s="170"/>
      <c r="BR67" s="170"/>
      <c r="BS67" s="170"/>
      <c r="BT67" s="170"/>
      <c r="BU67" s="170"/>
      <c r="BV67" s="170"/>
      <c r="BW67" s="170"/>
      <c r="BX67" s="170"/>
      <c r="BY67" s="170"/>
      <c r="BZ67" s="170"/>
      <c r="CA67" s="20"/>
      <c r="CB67" s="20"/>
      <c r="CC67" s="20"/>
      <c r="CD67" s="20"/>
      <c r="CE67" s="20"/>
      <c r="CF67" s="20"/>
      <c r="CG67" s="20"/>
      <c r="CH67" s="20"/>
      <c r="CI67" s="20"/>
      <c r="CJ67" s="20"/>
    </row>
    <row r="68" spans="1:88">
      <c r="A68" s="2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c r="BE68" s="170"/>
      <c r="BF68" s="170"/>
      <c r="BG68" s="170"/>
      <c r="BH68" s="170"/>
      <c r="BI68" s="170"/>
      <c r="BJ68" s="170"/>
      <c r="BK68" s="170"/>
      <c r="BL68" s="170"/>
      <c r="BM68" s="170"/>
      <c r="BN68" s="170"/>
      <c r="BO68" s="170"/>
      <c r="BP68" s="170"/>
      <c r="BQ68" s="170"/>
      <c r="BR68" s="170"/>
      <c r="BS68" s="170"/>
      <c r="BT68" s="170"/>
      <c r="BU68" s="170"/>
      <c r="BV68" s="170"/>
      <c r="BW68" s="170"/>
      <c r="BX68" s="170"/>
      <c r="BY68" s="170"/>
      <c r="BZ68" s="170"/>
      <c r="CA68" s="20"/>
      <c r="CB68" s="20"/>
      <c r="CC68" s="20"/>
      <c r="CD68" s="20"/>
      <c r="CE68" s="20"/>
      <c r="CF68" s="20"/>
      <c r="CG68" s="20"/>
      <c r="CH68" s="20"/>
      <c r="CI68" s="20"/>
      <c r="CJ68" s="20"/>
    </row>
    <row r="69" spans="1:88">
      <c r="A69" s="2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c r="BE69" s="170"/>
      <c r="BF69" s="170"/>
      <c r="BG69" s="170"/>
      <c r="BH69" s="170"/>
      <c r="BI69" s="170"/>
      <c r="BJ69" s="170"/>
      <c r="BK69" s="170"/>
      <c r="BL69" s="170"/>
      <c r="BM69" s="170"/>
      <c r="BN69" s="170"/>
      <c r="BO69" s="170"/>
      <c r="BP69" s="170"/>
      <c r="BQ69" s="170"/>
      <c r="BR69" s="170"/>
      <c r="BS69" s="170"/>
      <c r="BT69" s="170"/>
      <c r="BU69" s="170"/>
      <c r="BV69" s="170"/>
      <c r="BW69" s="170"/>
      <c r="BX69" s="170"/>
      <c r="BY69" s="170"/>
      <c r="BZ69" s="170"/>
      <c r="CA69" s="20"/>
      <c r="CB69" s="20"/>
      <c r="CC69" s="20"/>
      <c r="CD69" s="20"/>
      <c r="CE69" s="20"/>
      <c r="CF69" s="20"/>
      <c r="CG69" s="20"/>
      <c r="CH69" s="20"/>
      <c r="CI69" s="20"/>
      <c r="CJ69" s="20"/>
    </row>
    <row r="70" spans="1:88">
      <c r="A70" s="20"/>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c r="BE70" s="170"/>
      <c r="BF70" s="170"/>
      <c r="BG70" s="170"/>
      <c r="BH70" s="170"/>
      <c r="BI70" s="170"/>
      <c r="BJ70" s="170"/>
      <c r="BK70" s="170"/>
      <c r="BL70" s="170"/>
      <c r="BM70" s="170"/>
      <c r="BN70" s="170"/>
      <c r="BO70" s="170"/>
      <c r="BP70" s="170"/>
      <c r="BQ70" s="170"/>
      <c r="BR70" s="170"/>
      <c r="BS70" s="170"/>
      <c r="BT70" s="170"/>
      <c r="BU70" s="170"/>
      <c r="BV70" s="170"/>
      <c r="BW70" s="170"/>
      <c r="BX70" s="170"/>
      <c r="BY70" s="170"/>
      <c r="BZ70" s="170"/>
      <c r="CA70" s="20"/>
      <c r="CB70" s="20"/>
      <c r="CC70" s="20"/>
      <c r="CD70" s="20"/>
      <c r="CE70" s="20"/>
      <c r="CF70" s="20"/>
      <c r="CG70" s="20"/>
      <c r="CH70" s="20"/>
      <c r="CI70" s="20"/>
      <c r="CJ70" s="20"/>
    </row>
    <row r="71" spans="1:88">
      <c r="A71" s="20"/>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c r="AA71" s="170"/>
      <c r="AB71" s="170"/>
      <c r="AC71" s="170"/>
      <c r="AD71" s="170"/>
      <c r="AE71" s="170"/>
      <c r="AF71" s="170"/>
      <c r="AG71" s="170"/>
      <c r="AH71" s="170"/>
      <c r="AI71" s="170"/>
      <c r="AJ71" s="170"/>
      <c r="AK71" s="170"/>
      <c r="AL71" s="170"/>
      <c r="AM71" s="170"/>
      <c r="AN71" s="170"/>
      <c r="AO71" s="170"/>
      <c r="AP71" s="170"/>
      <c r="AQ71" s="170"/>
      <c r="AR71" s="170"/>
      <c r="AS71" s="170"/>
      <c r="AT71" s="170"/>
      <c r="AU71" s="170"/>
      <c r="AV71" s="170"/>
      <c r="AW71" s="170"/>
      <c r="AX71" s="170"/>
      <c r="AY71" s="170"/>
      <c r="AZ71" s="170"/>
      <c r="BA71" s="170"/>
      <c r="BB71" s="170"/>
      <c r="BC71" s="170"/>
      <c r="BD71" s="170"/>
      <c r="BE71" s="170"/>
      <c r="BF71" s="170"/>
      <c r="BG71" s="170"/>
      <c r="BH71" s="170"/>
      <c r="BI71" s="170"/>
      <c r="BJ71" s="170"/>
      <c r="BK71" s="170"/>
      <c r="BL71" s="170"/>
      <c r="BM71" s="170"/>
      <c r="BN71" s="170"/>
      <c r="BO71" s="170"/>
      <c r="BP71" s="170"/>
      <c r="BQ71" s="170"/>
      <c r="BR71" s="170"/>
      <c r="BS71" s="170"/>
      <c r="BT71" s="170"/>
      <c r="BU71" s="170"/>
      <c r="BV71" s="170"/>
      <c r="BW71" s="170"/>
      <c r="BX71" s="170"/>
      <c r="BY71" s="170"/>
      <c r="BZ71" s="170"/>
      <c r="CA71" s="20"/>
      <c r="CB71" s="20"/>
      <c r="CC71" s="20"/>
      <c r="CD71" s="20"/>
      <c r="CE71" s="20"/>
      <c r="CF71" s="20"/>
      <c r="CG71" s="20"/>
      <c r="CH71" s="20"/>
      <c r="CI71" s="20"/>
      <c r="CJ71" s="20"/>
    </row>
    <row r="72" spans="1:88">
      <c r="A72" s="2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c r="AB72" s="170"/>
      <c r="AC72" s="170"/>
      <c r="AD72" s="170"/>
      <c r="AE72" s="170"/>
      <c r="AF72" s="170"/>
      <c r="AG72" s="170"/>
      <c r="AH72" s="170"/>
      <c r="AI72" s="170"/>
      <c r="AJ72" s="170"/>
      <c r="AK72" s="170"/>
      <c r="AL72" s="170"/>
      <c r="AM72" s="170"/>
      <c r="AN72" s="170"/>
      <c r="AO72" s="170"/>
      <c r="AP72" s="170"/>
      <c r="AQ72" s="170"/>
      <c r="AR72" s="170"/>
      <c r="AS72" s="170"/>
      <c r="AT72" s="170"/>
      <c r="AU72" s="170"/>
      <c r="AV72" s="170"/>
      <c r="AW72" s="170"/>
      <c r="AX72" s="170"/>
      <c r="AY72" s="170"/>
      <c r="AZ72" s="170"/>
      <c r="BA72" s="170"/>
      <c r="BB72" s="170"/>
      <c r="BC72" s="170"/>
      <c r="BD72" s="170"/>
      <c r="BE72" s="170"/>
      <c r="BF72" s="170"/>
      <c r="BG72" s="170"/>
      <c r="BH72" s="170"/>
      <c r="BI72" s="170"/>
      <c r="BJ72" s="170"/>
      <c r="BK72" s="170"/>
      <c r="BL72" s="170"/>
      <c r="BM72" s="170"/>
      <c r="BN72" s="170"/>
      <c r="BO72" s="170"/>
      <c r="BP72" s="170"/>
      <c r="BQ72" s="170"/>
      <c r="BR72" s="170"/>
      <c r="BS72" s="170"/>
      <c r="BT72" s="170"/>
      <c r="BU72" s="170"/>
      <c r="BV72" s="170"/>
      <c r="BW72" s="170"/>
      <c r="BX72" s="170"/>
      <c r="BY72" s="170"/>
      <c r="BZ72" s="170"/>
      <c r="CA72" s="20"/>
      <c r="CB72" s="20"/>
      <c r="CC72" s="20"/>
      <c r="CD72" s="20"/>
      <c r="CE72" s="20"/>
      <c r="CF72" s="20"/>
      <c r="CG72" s="20"/>
      <c r="CH72" s="20"/>
      <c r="CI72" s="20"/>
      <c r="CJ72" s="20"/>
    </row>
    <row r="73" spans="1:88">
      <c r="A73" s="20"/>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c r="AA73" s="170"/>
      <c r="AB73" s="170"/>
      <c r="AC73" s="170"/>
      <c r="AD73" s="170"/>
      <c r="AE73" s="170"/>
      <c r="AF73" s="170"/>
      <c r="AG73" s="170"/>
      <c r="AH73" s="170"/>
      <c r="AI73" s="170"/>
      <c r="AJ73" s="170"/>
      <c r="AK73" s="170"/>
      <c r="AL73" s="170"/>
      <c r="AM73" s="170"/>
      <c r="AN73" s="170"/>
      <c r="AO73" s="170"/>
      <c r="AP73" s="170"/>
      <c r="AQ73" s="170"/>
      <c r="AR73" s="170"/>
      <c r="AS73" s="170"/>
      <c r="AT73" s="170"/>
      <c r="AU73" s="170"/>
      <c r="AV73" s="170"/>
      <c r="AW73" s="170"/>
      <c r="AX73" s="170"/>
      <c r="AY73" s="170"/>
      <c r="AZ73" s="170"/>
      <c r="BA73" s="170"/>
      <c r="BB73" s="170"/>
      <c r="BC73" s="170"/>
      <c r="BD73" s="170"/>
      <c r="BE73" s="170"/>
      <c r="BF73" s="170"/>
      <c r="BG73" s="170"/>
      <c r="BH73" s="170"/>
      <c r="BI73" s="170"/>
      <c r="BJ73" s="170"/>
      <c r="BK73" s="170"/>
      <c r="BL73" s="170"/>
      <c r="BM73" s="170"/>
      <c r="BN73" s="170"/>
      <c r="BO73" s="170"/>
      <c r="BP73" s="170"/>
      <c r="BQ73" s="170"/>
      <c r="BR73" s="170"/>
      <c r="BS73" s="170"/>
      <c r="BT73" s="170"/>
      <c r="BU73" s="170"/>
      <c r="BV73" s="170"/>
      <c r="BW73" s="170"/>
      <c r="BX73" s="170"/>
      <c r="BY73" s="170"/>
      <c r="BZ73" s="170"/>
      <c r="CA73" s="20"/>
      <c r="CB73" s="20"/>
      <c r="CC73" s="20"/>
      <c r="CD73" s="20"/>
      <c r="CE73" s="20"/>
      <c r="CF73" s="20"/>
      <c r="CG73" s="20"/>
      <c r="CH73" s="20"/>
      <c r="CI73" s="20"/>
      <c r="CJ73" s="20"/>
    </row>
    <row r="74" spans="1:88">
      <c r="A74" s="20"/>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c r="AA74" s="170"/>
      <c r="AB74" s="170"/>
      <c r="AC74" s="170"/>
      <c r="AD74" s="170"/>
      <c r="AE74" s="170"/>
      <c r="AF74" s="170"/>
      <c r="AG74" s="170"/>
      <c r="AH74" s="170"/>
      <c r="AI74" s="170"/>
      <c r="AJ74" s="170"/>
      <c r="AK74" s="170"/>
      <c r="AL74" s="170"/>
      <c r="AM74" s="170"/>
      <c r="AN74" s="170"/>
      <c r="AO74" s="170"/>
      <c r="AP74" s="170"/>
      <c r="AQ74" s="170"/>
      <c r="AR74" s="170"/>
      <c r="AS74" s="170"/>
      <c r="AT74" s="170"/>
      <c r="AU74" s="170"/>
      <c r="AV74" s="170"/>
      <c r="AW74" s="170"/>
      <c r="AX74" s="170"/>
      <c r="AY74" s="170"/>
      <c r="AZ74" s="170"/>
      <c r="BA74" s="170"/>
      <c r="BB74" s="170"/>
      <c r="BC74" s="170"/>
      <c r="BD74" s="170"/>
      <c r="BE74" s="170"/>
      <c r="BF74" s="170"/>
      <c r="BG74" s="170"/>
      <c r="BH74" s="170"/>
      <c r="BI74" s="170"/>
      <c r="BJ74" s="170"/>
      <c r="BK74" s="170"/>
      <c r="BL74" s="170"/>
      <c r="BM74" s="170"/>
      <c r="BN74" s="170"/>
      <c r="BO74" s="170"/>
      <c r="BP74" s="170"/>
      <c r="BQ74" s="170"/>
      <c r="BR74" s="170"/>
      <c r="BS74" s="170"/>
      <c r="BT74" s="170"/>
      <c r="BU74" s="170"/>
      <c r="BV74" s="170"/>
      <c r="BW74" s="170"/>
      <c r="BX74" s="170"/>
      <c r="BY74" s="170"/>
      <c r="BZ74" s="170"/>
      <c r="CA74" s="20"/>
      <c r="CB74" s="20"/>
      <c r="CC74" s="20"/>
      <c r="CD74" s="20"/>
      <c r="CE74" s="20"/>
      <c r="CF74" s="20"/>
      <c r="CG74" s="20"/>
      <c r="CH74" s="20"/>
      <c r="CI74" s="20"/>
      <c r="CJ74" s="20"/>
    </row>
    <row r="75" spans="1:88">
      <c r="A75" s="20"/>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c r="AA75" s="170"/>
      <c r="AB75" s="170"/>
      <c r="AC75" s="170"/>
      <c r="AD75" s="170"/>
      <c r="AE75" s="170"/>
      <c r="AF75" s="170"/>
      <c r="AG75" s="170"/>
      <c r="AH75" s="170"/>
      <c r="AI75" s="170"/>
      <c r="AJ75" s="170"/>
      <c r="AK75" s="170"/>
      <c r="AL75" s="170"/>
      <c r="AM75" s="170"/>
      <c r="AN75" s="170"/>
      <c r="AO75" s="170"/>
      <c r="AP75" s="170"/>
      <c r="AQ75" s="170"/>
      <c r="AR75" s="170"/>
      <c r="AS75" s="170"/>
      <c r="AT75" s="170"/>
      <c r="AU75" s="170"/>
      <c r="AV75" s="170"/>
      <c r="AW75" s="170"/>
      <c r="AX75" s="170"/>
      <c r="AY75" s="170"/>
      <c r="AZ75" s="170"/>
      <c r="BA75" s="170"/>
      <c r="BB75" s="170"/>
      <c r="BC75" s="170"/>
      <c r="BD75" s="170"/>
      <c r="BE75" s="170"/>
      <c r="BF75" s="170"/>
      <c r="BG75" s="170"/>
      <c r="BH75" s="170"/>
      <c r="BI75" s="170"/>
      <c r="BJ75" s="170"/>
      <c r="BK75" s="170"/>
      <c r="BL75" s="170"/>
      <c r="BM75" s="170"/>
      <c r="BN75" s="170"/>
      <c r="BO75" s="170"/>
      <c r="BP75" s="170"/>
      <c r="BQ75" s="170"/>
      <c r="BR75" s="170"/>
      <c r="BS75" s="170"/>
      <c r="BT75" s="170"/>
      <c r="BU75" s="170"/>
      <c r="BV75" s="170"/>
      <c r="BW75" s="170"/>
      <c r="BX75" s="170"/>
      <c r="BY75" s="170"/>
      <c r="BZ75" s="170"/>
      <c r="CA75" s="20"/>
      <c r="CB75" s="20"/>
      <c r="CC75" s="20"/>
      <c r="CD75" s="20"/>
      <c r="CE75" s="20"/>
      <c r="CF75" s="20"/>
      <c r="CG75" s="20"/>
      <c r="CH75" s="20"/>
      <c r="CI75" s="20"/>
      <c r="CJ75" s="20"/>
    </row>
    <row r="76" spans="1:88">
      <c r="A76" s="20"/>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c r="AA76" s="170"/>
      <c r="AB76" s="170"/>
      <c r="AC76" s="170"/>
      <c r="AD76" s="170"/>
      <c r="AE76" s="170"/>
      <c r="AF76" s="170"/>
      <c r="AG76" s="170"/>
      <c r="AH76" s="170"/>
      <c r="AI76" s="170"/>
      <c r="AJ76" s="170"/>
      <c r="AK76" s="170"/>
      <c r="AL76" s="170"/>
      <c r="AM76" s="170"/>
      <c r="AN76" s="170"/>
      <c r="AO76" s="170"/>
      <c r="AP76" s="170"/>
      <c r="AQ76" s="170"/>
      <c r="AR76" s="170"/>
      <c r="AS76" s="170"/>
      <c r="AT76" s="170"/>
      <c r="AU76" s="170"/>
      <c r="AV76" s="170"/>
      <c r="AW76" s="170"/>
      <c r="AX76" s="170"/>
      <c r="AY76" s="170"/>
      <c r="AZ76" s="170"/>
      <c r="BA76" s="170"/>
      <c r="BB76" s="170"/>
      <c r="BC76" s="170"/>
      <c r="BD76" s="170"/>
      <c r="BE76" s="170"/>
      <c r="BF76" s="170"/>
      <c r="BG76" s="170"/>
      <c r="BH76" s="170"/>
      <c r="BI76" s="170"/>
      <c r="BJ76" s="170"/>
      <c r="BK76" s="170"/>
      <c r="BL76" s="170"/>
      <c r="BM76" s="170"/>
      <c r="BN76" s="170"/>
      <c r="BO76" s="170"/>
      <c r="BP76" s="170"/>
      <c r="BQ76" s="170"/>
      <c r="BR76" s="170"/>
      <c r="BS76" s="170"/>
      <c r="BT76" s="170"/>
      <c r="BU76" s="170"/>
      <c r="BV76" s="170"/>
      <c r="BW76" s="170"/>
      <c r="BX76" s="170"/>
      <c r="BY76" s="170"/>
      <c r="BZ76" s="170"/>
      <c r="CA76" s="20"/>
      <c r="CB76" s="20"/>
      <c r="CC76" s="20"/>
      <c r="CD76" s="20"/>
      <c r="CE76" s="20"/>
      <c r="CF76" s="20"/>
      <c r="CG76" s="20"/>
      <c r="CH76" s="20"/>
      <c r="CI76" s="20"/>
      <c r="CJ76" s="20"/>
    </row>
    <row r="77" spans="1:88">
      <c r="A77" s="20"/>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W77" s="170"/>
      <c r="AX77" s="170"/>
      <c r="AY77" s="170"/>
      <c r="AZ77" s="170"/>
      <c r="BA77" s="170"/>
      <c r="BB77" s="170"/>
      <c r="BC77" s="170"/>
      <c r="BD77" s="170"/>
      <c r="BE77" s="170"/>
      <c r="BF77" s="170"/>
      <c r="BG77" s="170"/>
      <c r="BH77" s="170"/>
      <c r="BI77" s="170"/>
      <c r="BJ77" s="170"/>
      <c r="BK77" s="170"/>
      <c r="BL77" s="170"/>
      <c r="BM77" s="170"/>
      <c r="BN77" s="170"/>
      <c r="BO77" s="170"/>
      <c r="BP77" s="170"/>
      <c r="BQ77" s="170"/>
      <c r="BR77" s="170"/>
      <c r="BS77" s="170"/>
      <c r="BT77" s="170"/>
      <c r="BU77" s="170"/>
      <c r="BV77" s="170"/>
      <c r="BW77" s="170"/>
      <c r="BX77" s="170"/>
      <c r="BY77" s="170"/>
      <c r="BZ77" s="170"/>
      <c r="CA77" s="20"/>
      <c r="CB77" s="20"/>
      <c r="CC77" s="20"/>
      <c r="CD77" s="20"/>
      <c r="CE77" s="20"/>
      <c r="CF77" s="20"/>
      <c r="CG77" s="20"/>
      <c r="CH77" s="20"/>
      <c r="CI77" s="20"/>
      <c r="CJ77" s="20"/>
    </row>
    <row r="78" spans="1:88">
      <c r="A78" s="20"/>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70"/>
      <c r="AN78" s="170"/>
      <c r="AO78" s="170"/>
      <c r="AP78" s="170"/>
      <c r="AQ78" s="170"/>
      <c r="AR78" s="170"/>
      <c r="AS78" s="170"/>
      <c r="AT78" s="170"/>
      <c r="AU78" s="170"/>
      <c r="AV78" s="170"/>
      <c r="AW78" s="170"/>
      <c r="AX78" s="170"/>
      <c r="AY78" s="170"/>
      <c r="AZ78" s="170"/>
      <c r="BA78" s="170"/>
      <c r="BB78" s="170"/>
      <c r="BC78" s="170"/>
      <c r="BD78" s="170"/>
      <c r="BE78" s="170"/>
      <c r="BF78" s="170"/>
      <c r="BG78" s="170"/>
      <c r="BH78" s="170"/>
      <c r="BI78" s="170"/>
      <c r="BJ78" s="170"/>
      <c r="BK78" s="170"/>
      <c r="BL78" s="170"/>
      <c r="BM78" s="170"/>
      <c r="BN78" s="170"/>
      <c r="BO78" s="170"/>
      <c r="BP78" s="170"/>
      <c r="BQ78" s="170"/>
      <c r="BR78" s="170"/>
      <c r="BS78" s="170"/>
      <c r="BT78" s="170"/>
      <c r="BU78" s="170"/>
      <c r="BV78" s="170"/>
      <c r="BW78" s="170"/>
      <c r="BX78" s="170"/>
      <c r="BY78" s="170"/>
      <c r="BZ78" s="170"/>
      <c r="CA78" s="20"/>
      <c r="CB78" s="20"/>
      <c r="CC78" s="20"/>
      <c r="CD78" s="20"/>
      <c r="CE78" s="20"/>
      <c r="CF78" s="20"/>
      <c r="CG78" s="20"/>
      <c r="CH78" s="20"/>
      <c r="CI78" s="20"/>
      <c r="CJ78" s="20"/>
    </row>
    <row r="79" spans="1:88">
      <c r="A79" s="20"/>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70"/>
      <c r="AN79" s="170"/>
      <c r="AO79" s="170"/>
      <c r="AP79" s="170"/>
      <c r="AQ79" s="170"/>
      <c r="AR79" s="170"/>
      <c r="AS79" s="170"/>
      <c r="AT79" s="170"/>
      <c r="AU79" s="170"/>
      <c r="AV79" s="170"/>
      <c r="AW79" s="170"/>
      <c r="AX79" s="170"/>
      <c r="AY79" s="170"/>
      <c r="AZ79" s="170"/>
      <c r="BA79" s="170"/>
      <c r="BB79" s="170"/>
      <c r="BC79" s="170"/>
      <c r="BD79" s="170"/>
      <c r="BE79" s="170"/>
      <c r="BF79" s="170"/>
      <c r="BG79" s="170"/>
      <c r="BH79" s="170"/>
      <c r="BI79" s="170"/>
      <c r="BJ79" s="170"/>
      <c r="BK79" s="170"/>
      <c r="BL79" s="170"/>
      <c r="BM79" s="170"/>
      <c r="BN79" s="170"/>
      <c r="BO79" s="170"/>
      <c r="BP79" s="170"/>
      <c r="BQ79" s="170"/>
      <c r="BR79" s="170"/>
      <c r="BS79" s="170"/>
      <c r="BT79" s="170"/>
      <c r="BU79" s="170"/>
      <c r="BV79" s="170"/>
      <c r="BW79" s="170"/>
      <c r="BX79" s="170"/>
      <c r="BY79" s="170"/>
      <c r="BZ79" s="170"/>
      <c r="CA79" s="20"/>
      <c r="CB79" s="20"/>
      <c r="CC79" s="20"/>
      <c r="CD79" s="20"/>
      <c r="CE79" s="20"/>
      <c r="CF79" s="20"/>
      <c r="CG79" s="20"/>
      <c r="CH79" s="20"/>
      <c r="CI79" s="20"/>
      <c r="CJ79" s="20"/>
    </row>
    <row r="80" spans="1:88">
      <c r="A80" s="20"/>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70"/>
      <c r="AN80" s="170"/>
      <c r="AO80" s="170"/>
      <c r="AP80" s="170"/>
      <c r="AQ80" s="170"/>
      <c r="AR80" s="170"/>
      <c r="AS80" s="170"/>
      <c r="AT80" s="170"/>
      <c r="AU80" s="170"/>
      <c r="AV80" s="170"/>
      <c r="AW80" s="170"/>
      <c r="AX80" s="170"/>
      <c r="AY80" s="170"/>
      <c r="AZ80" s="170"/>
      <c r="BA80" s="170"/>
      <c r="BB80" s="170"/>
      <c r="BC80" s="170"/>
      <c r="BD80" s="170"/>
      <c r="BE80" s="170"/>
      <c r="BF80" s="170"/>
      <c r="BG80" s="170"/>
      <c r="BH80" s="170"/>
      <c r="BI80" s="170"/>
      <c r="BJ80" s="170"/>
      <c r="BK80" s="170"/>
      <c r="BL80" s="170"/>
      <c r="BM80" s="170"/>
      <c r="BN80" s="170"/>
      <c r="BO80" s="170"/>
      <c r="BP80" s="170"/>
      <c r="BQ80" s="170"/>
      <c r="BR80" s="170"/>
      <c r="BS80" s="170"/>
      <c r="BT80" s="170"/>
      <c r="BU80" s="170"/>
      <c r="BV80" s="170"/>
      <c r="BW80" s="170"/>
      <c r="BX80" s="170"/>
      <c r="BY80" s="170"/>
      <c r="BZ80" s="170"/>
      <c r="CA80" s="20"/>
      <c r="CB80" s="20"/>
      <c r="CC80" s="20"/>
      <c r="CD80" s="20"/>
      <c r="CE80" s="20"/>
      <c r="CF80" s="20"/>
      <c r="CG80" s="20"/>
      <c r="CH80" s="20"/>
      <c r="CI80" s="20"/>
      <c r="CJ80" s="20"/>
    </row>
    <row r="81" spans="1:88">
      <c r="A81" s="20"/>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c r="AT81" s="170"/>
      <c r="AU81" s="170"/>
      <c r="AV81" s="170"/>
      <c r="AW81" s="170"/>
      <c r="AX81" s="170"/>
      <c r="AY81" s="170"/>
      <c r="AZ81" s="170"/>
      <c r="BA81" s="170"/>
      <c r="BB81" s="170"/>
      <c r="BC81" s="170"/>
      <c r="BD81" s="170"/>
      <c r="BE81" s="170"/>
      <c r="BF81" s="170"/>
      <c r="BG81" s="170"/>
      <c r="BH81" s="170"/>
      <c r="BI81" s="170"/>
      <c r="BJ81" s="170"/>
      <c r="BK81" s="170"/>
      <c r="BL81" s="170"/>
      <c r="BM81" s="170"/>
      <c r="BN81" s="170"/>
      <c r="BO81" s="170"/>
      <c r="BP81" s="170"/>
      <c r="BQ81" s="170"/>
      <c r="BR81" s="170"/>
      <c r="BS81" s="170"/>
      <c r="BT81" s="170"/>
      <c r="BU81" s="170"/>
      <c r="BV81" s="170"/>
      <c r="BW81" s="170"/>
      <c r="BX81" s="170"/>
      <c r="BY81" s="170"/>
      <c r="BZ81" s="170"/>
      <c r="CA81" s="20"/>
      <c r="CB81" s="20"/>
      <c r="CC81" s="20"/>
      <c r="CD81" s="20"/>
      <c r="CE81" s="20"/>
      <c r="CF81" s="20"/>
      <c r="CG81" s="20"/>
      <c r="CH81" s="20"/>
      <c r="CI81" s="20"/>
      <c r="CJ81" s="20"/>
    </row>
  </sheetData>
  <mergeCells count="5">
    <mergeCell ref="AM2:AO2"/>
    <mergeCell ref="AP2:AR2"/>
    <mergeCell ref="AS2:AU2"/>
    <mergeCell ref="AV2:AY2"/>
    <mergeCell ref="AZ2:BB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1">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+RRPP!Z1</f>
        <v>0</v>
      </c>
      <c r="AA1" s="1388"/>
      <c r="AB1" s="1388"/>
      <c r="AC1" s="1388"/>
      <c r="AD1" s="1388"/>
      <c r="AE1" s="24"/>
      <c r="AF1" s="24"/>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+RRPP!Z2</f>
        <v>XXXX-26</v>
      </c>
      <c r="AA2" s="1388"/>
      <c r="AB2" s="1388"/>
      <c r="AC2" s="1388"/>
      <c r="AD2" s="1388"/>
      <c r="AE2" s="128"/>
      <c r="AF2" s="12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+RRPP!Z3</f>
        <v>0</v>
      </c>
      <c r="AA3" s="1026"/>
      <c r="AB3" s="1026"/>
      <c r="AC3" s="1026"/>
      <c r="AD3" s="1026"/>
      <c r="AE3" s="128"/>
      <c r="AF3" s="12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+RRPP!Z4</f>
        <v>365</v>
      </c>
      <c r="AA4" s="1026"/>
      <c r="AB4" s="1026"/>
      <c r="AC4" s="1026"/>
      <c r="AD4" s="1026"/>
      <c r="AE4" s="128"/>
      <c r="AF4" s="128"/>
    </row>
    <row r="5" spans="1:32" ht="18">
      <c r="A5" s="1312" t="s">
        <v>961</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28"/>
      <c r="AF5" s="12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AC48:AF48"/>
    <mergeCell ref="T4:X4"/>
    <mergeCell ref="Z4:AD4"/>
    <mergeCell ref="A5:AD5"/>
    <mergeCell ref="AC44:AF44"/>
    <mergeCell ref="AC46:AF46"/>
    <mergeCell ref="AC47:AF47"/>
    <mergeCell ref="T1:X1"/>
    <mergeCell ref="Z1:AD1"/>
    <mergeCell ref="T2:X2"/>
    <mergeCell ref="Z2:AD2"/>
    <mergeCell ref="T3:X3"/>
    <mergeCell ref="Z3:AD3"/>
  </mergeCells>
  <conditionalFormatting sqref="Y55">
    <cfRule type="expression" dxfId="8" priority="1">
      <formula>$U$40=""</formula>
    </cfRule>
  </conditionalFormatting>
  <dataValidations count="1">
    <dataValidation type="list" allowBlank="1" showInputMessage="1" showErrorMessage="1" sqref="D40:G40" xr:uid="{00000000-0002-0000-1800-000000000000}">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E389-0744-4949-8DFA-EE7F524520AD}">
  <sheetPr codeName="Hoja23">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+RRPP!Z1</f>
        <v>0</v>
      </c>
      <c r="AA1" s="1388"/>
      <c r="AB1" s="1388"/>
      <c r="AC1" s="1388"/>
      <c r="AD1" s="1388"/>
      <c r="AE1" s="24"/>
      <c r="AF1" s="24"/>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+RRPP!Z2</f>
        <v>XXXX-26</v>
      </c>
      <c r="AA2" s="1388"/>
      <c r="AB2" s="1388"/>
      <c r="AC2" s="1388"/>
      <c r="AD2" s="1388"/>
      <c r="AE2" s="128"/>
      <c r="AF2" s="12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+RRPP!Z3</f>
        <v>0</v>
      </c>
      <c r="AA3" s="1026"/>
      <c r="AB3" s="1026"/>
      <c r="AC3" s="1026"/>
      <c r="AD3" s="1026"/>
      <c r="AE3" s="128"/>
      <c r="AF3" s="12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+RRPP!Z4</f>
        <v>365</v>
      </c>
      <c r="AA4" s="1026"/>
      <c r="AB4" s="1026"/>
      <c r="AC4" s="1026"/>
      <c r="AD4" s="1026"/>
      <c r="AE4" s="128"/>
      <c r="AF4" s="128"/>
    </row>
    <row r="5" spans="1:32" ht="18">
      <c r="A5" s="1312" t="s">
        <v>1387</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28"/>
      <c r="AF5" s="12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T1:X1"/>
    <mergeCell ref="Z1:AD1"/>
    <mergeCell ref="T2:X2"/>
    <mergeCell ref="Z2:AD2"/>
    <mergeCell ref="T3:X3"/>
    <mergeCell ref="Z3:AD3"/>
    <mergeCell ref="AC48:AF48"/>
    <mergeCell ref="T4:X4"/>
    <mergeCell ref="Z4:AD4"/>
    <mergeCell ref="A5:AD5"/>
    <mergeCell ref="AC44:AF44"/>
    <mergeCell ref="AC46:AF46"/>
    <mergeCell ref="AC47:AF47"/>
  </mergeCells>
  <conditionalFormatting sqref="Y55">
    <cfRule type="expression" dxfId="7" priority="1">
      <formula>$U$40=""</formula>
    </cfRule>
  </conditionalFormatting>
  <dataValidations count="1">
    <dataValidation type="list" allowBlank="1" showInputMessage="1" showErrorMessage="1" sqref="D40:G40" xr:uid="{5163C0CB-195F-46FB-B90C-3590B35B647A}">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775A-CA4D-4102-9857-7CA85E90CB32}">
  <sheetPr codeName="Hoja24">
    <tabColor rgb="FF7030A0"/>
  </sheetPr>
  <dimension ref="A1:AF92"/>
  <sheetViews>
    <sheetView workbookViewId="0"/>
  </sheetViews>
  <sheetFormatPr baseColWidth="10" defaultRowHeight="15"/>
  <cols>
    <col min="1" max="30" width="5.140625" customWidth="1"/>
  </cols>
  <sheetData>
    <row r="1" spans="1:32"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+RRPP!Z1</f>
        <v>0</v>
      </c>
      <c r="AA1" s="1388"/>
      <c r="AB1" s="1388"/>
      <c r="AC1" s="1388"/>
      <c r="AD1" s="1388"/>
      <c r="AE1" s="24"/>
      <c r="AF1" s="24"/>
    </row>
    <row r="2" spans="1:32"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+RRPP!Z2</f>
        <v>XXXX-26</v>
      </c>
      <c r="AA2" s="1388"/>
      <c r="AB2" s="1388"/>
      <c r="AC2" s="1388"/>
      <c r="AD2" s="1388"/>
      <c r="AE2" s="128"/>
      <c r="AF2" s="128"/>
    </row>
    <row r="3" spans="1:32"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+RRPP!Z3</f>
        <v>0</v>
      </c>
      <c r="AA3" s="1026"/>
      <c r="AB3" s="1026"/>
      <c r="AC3" s="1026"/>
      <c r="AD3" s="1026"/>
      <c r="AE3" s="128"/>
      <c r="AF3" s="128"/>
    </row>
    <row r="4" spans="1:32"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+RRPP!Z4</f>
        <v>365</v>
      </c>
      <c r="AA4" s="1026"/>
      <c r="AB4" s="1026"/>
      <c r="AC4" s="1026"/>
      <c r="AD4" s="1026"/>
      <c r="AE4" s="128"/>
      <c r="AF4" s="128"/>
    </row>
    <row r="5" spans="1:32" ht="18">
      <c r="A5" s="1312" t="s">
        <v>1386</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28"/>
      <c r="AF5" s="128"/>
    </row>
    <row r="6" spans="1:32">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128"/>
      <c r="AF6" s="128"/>
    </row>
    <row r="7" spans="1:32">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128"/>
      <c r="AF7" s="128"/>
    </row>
    <row r="8" spans="1:32">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128"/>
      <c r="AF8" s="128"/>
    </row>
    <row r="9" spans="1:32">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128"/>
      <c r="AF9" s="128"/>
    </row>
    <row r="10" spans="1:32">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8"/>
      <c r="AF10" s="128"/>
    </row>
    <row r="11" spans="1:32">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8"/>
      <c r="AF11" s="128"/>
    </row>
    <row r="12" spans="1:32">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8"/>
      <c r="AF12" s="128"/>
    </row>
    <row r="13" spans="1:32">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8"/>
      <c r="AF13" s="128"/>
    </row>
    <row r="14" spans="1:32">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8"/>
      <c r="AF14" s="128"/>
    </row>
    <row r="15" spans="1:32">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8"/>
      <c r="AF15" s="128"/>
    </row>
    <row r="16" spans="1:32">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8"/>
      <c r="AF16" s="128"/>
    </row>
    <row r="17" spans="1:32">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8"/>
      <c r="AF17" s="128"/>
    </row>
    <row r="18" spans="1:32">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8"/>
      <c r="AF18" s="128"/>
    </row>
    <row r="19" spans="1:32">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8"/>
      <c r="AF19" s="128"/>
    </row>
    <row r="20" spans="1:32">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128"/>
      <c r="AF20" s="128"/>
    </row>
    <row r="21" spans="1:32">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8"/>
      <c r="AF21" s="128"/>
    </row>
    <row r="22" spans="1:32">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128"/>
      <c r="AF22" s="128"/>
    </row>
    <row r="23" spans="1:32">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128"/>
      <c r="AF23" s="128"/>
    </row>
    <row r="24" spans="1:32">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8"/>
      <c r="AF24" s="128"/>
    </row>
    <row r="25" spans="1:32">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8"/>
      <c r="AF25" s="128"/>
    </row>
    <row r="26" spans="1:32">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8"/>
      <c r="AF26" s="128"/>
    </row>
    <row r="27" spans="1:32">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8"/>
      <c r="AF27" s="128"/>
    </row>
    <row r="28" spans="1:32">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8"/>
      <c r="AF28" s="128"/>
    </row>
    <row r="29" spans="1:32">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128"/>
      <c r="AF29" s="128"/>
    </row>
    <row r="30" spans="1:32">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128"/>
      <c r="AF30" s="128"/>
    </row>
    <row r="31" spans="1:32">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8"/>
      <c r="AF31" s="128"/>
    </row>
    <row r="32" spans="1:32">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128"/>
      <c r="AF32" s="128"/>
    </row>
    <row r="33" spans="1:32">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128"/>
      <c r="AF33" s="128"/>
    </row>
    <row r="34" spans="1:32">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128"/>
      <c r="AF34" s="128"/>
    </row>
    <row r="35" spans="1:32">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128"/>
      <c r="AF35" s="128"/>
    </row>
    <row r="36" spans="1:32">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128"/>
      <c r="AF36" s="128"/>
    </row>
    <row r="37" spans="1:32">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128"/>
      <c r="AF37" s="128"/>
    </row>
    <row r="38" spans="1:32">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24"/>
    </row>
    <row r="39" spans="1:32">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24"/>
    </row>
    <row r="40" spans="1:32">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24"/>
    </row>
    <row r="41" spans="1:32">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24"/>
    </row>
    <row r="42" spans="1:32">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24"/>
    </row>
    <row r="43" spans="1:32">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24"/>
    </row>
    <row r="44" spans="1:32">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row>
    <row r="45" spans="1:32">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98"/>
      <c r="AF45" s="98"/>
    </row>
    <row r="46" spans="1:32">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row>
    <row r="47" spans="1:32">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row>
    <row r="48" spans="1:32">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row>
    <row r="49" spans="1:32">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24"/>
    </row>
    <row r="50" spans="1:32">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24"/>
    </row>
    <row r="51" spans="1:32">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24"/>
    </row>
    <row r="52" spans="1:32">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24"/>
    </row>
    <row r="53" spans="1:32">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24"/>
    </row>
    <row r="54" spans="1:32">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24"/>
    </row>
    <row r="55" spans="1:32">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24"/>
    </row>
    <row r="56" spans="1:32">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24"/>
    </row>
    <row r="57" spans="1:32">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24"/>
    </row>
    <row r="58" spans="1:32">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24"/>
    </row>
    <row r="59" spans="1:32">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24"/>
    </row>
    <row r="60" spans="1:32">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24"/>
    </row>
    <row r="61" spans="1:32">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24"/>
    </row>
    <row r="62" spans="1:32">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24"/>
    </row>
    <row r="63" spans="1:32">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24"/>
    </row>
    <row r="64" spans="1:32">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24"/>
    </row>
    <row r="65" spans="1:32">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24"/>
    </row>
    <row r="66" spans="1:32">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24"/>
    </row>
    <row r="67" spans="1:32">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24"/>
    </row>
    <row r="68" spans="1:32">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24"/>
    </row>
    <row r="69" spans="1:32">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24"/>
    </row>
    <row r="70" spans="1:32">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24"/>
    </row>
    <row r="71" spans="1:32">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24"/>
    </row>
    <row r="72" spans="1:32">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24"/>
    </row>
    <row r="73" spans="1:32">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24"/>
    </row>
    <row r="74" spans="1:32">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24"/>
    </row>
    <row r="75" spans="1:32">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24"/>
    </row>
    <row r="76" spans="1:32">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24"/>
    </row>
    <row r="77" spans="1:32">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24"/>
    </row>
    <row r="78" spans="1:32">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24"/>
    </row>
    <row r="79" spans="1:32">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24"/>
    </row>
    <row r="80" spans="1:32">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24"/>
    </row>
    <row r="81" spans="1:32">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24"/>
    </row>
    <row r="82" spans="1:32">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24"/>
    </row>
    <row r="83" spans="1:32">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24"/>
    </row>
    <row r="84" spans="1:32">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24"/>
    </row>
    <row r="85" spans="1:32">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24"/>
    </row>
    <row r="86" spans="1:32">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spans="1:32">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spans="1:32">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spans="1:32">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spans="1:32">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spans="1:32">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spans="1:3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sheetData>
  <mergeCells count="13">
    <mergeCell ref="T1:X1"/>
    <mergeCell ref="Z1:AD1"/>
    <mergeCell ref="T2:X2"/>
    <mergeCell ref="Z2:AD2"/>
    <mergeCell ref="T3:X3"/>
    <mergeCell ref="Z3:AD3"/>
    <mergeCell ref="AC48:AF48"/>
    <mergeCell ref="T4:X4"/>
    <mergeCell ref="Z4:AD4"/>
    <mergeCell ref="A5:AD5"/>
    <mergeCell ref="AC44:AF44"/>
    <mergeCell ref="AC46:AF46"/>
    <mergeCell ref="AC47:AF47"/>
  </mergeCells>
  <conditionalFormatting sqref="Y55">
    <cfRule type="expression" dxfId="6" priority="1">
      <formula>$U$40=""</formula>
    </cfRule>
  </conditionalFormatting>
  <dataValidations count="1">
    <dataValidation type="list" allowBlank="1" showInputMessage="1" showErrorMessage="1" sqref="D40:G40" xr:uid="{D6DA76EC-6902-421E-9942-A8DAB2FBCDB6}">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18F14-E15B-420B-B03D-4A553344B4A8}">
  <sheetPr codeName="Hoja25">
    <tabColor rgb="FF7030A0"/>
  </sheetPr>
  <dimension ref="A1:DP92"/>
  <sheetViews>
    <sheetView workbookViewId="0"/>
  </sheetViews>
  <sheetFormatPr baseColWidth="10" defaultRowHeight="15"/>
  <cols>
    <col min="1" max="120" width="5.140625" customWidth="1"/>
  </cols>
  <sheetData>
    <row r="1" spans="1:120"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+RRPP!Z1</f>
        <v>0</v>
      </c>
      <c r="AA1" s="1388"/>
      <c r="AB1" s="1388"/>
      <c r="AC1" s="1388"/>
      <c r="AD1" s="1388"/>
      <c r="AE1" s="24"/>
      <c r="AF1" s="24"/>
      <c r="AG1" s="24"/>
      <c r="AH1" s="24"/>
      <c r="AI1" s="24"/>
      <c r="AJ1" s="24"/>
      <c r="AK1" s="24"/>
      <c r="AL1" s="24"/>
      <c r="AM1" s="24"/>
      <c r="AN1" s="24"/>
      <c r="AO1" s="24"/>
      <c r="AP1" s="24"/>
      <c r="AQ1" s="24"/>
      <c r="AR1" s="24"/>
      <c r="AS1" s="24"/>
      <c r="AT1" s="24"/>
      <c r="AU1" s="24"/>
      <c r="AV1" s="24"/>
      <c r="AW1" s="24"/>
      <c r="AX1" s="1023" t="s">
        <v>815</v>
      </c>
      <c r="AY1" s="1023"/>
      <c r="AZ1" s="1023"/>
      <c r="BA1" s="1023"/>
      <c r="BB1" s="1023"/>
      <c r="BC1" s="67" t="s">
        <v>0</v>
      </c>
      <c r="BD1" s="1388">
        <f>+RRPP!BD1</f>
        <v>0</v>
      </c>
      <c r="BE1" s="1388"/>
      <c r="BF1" s="1388"/>
      <c r="BG1" s="1388"/>
      <c r="BH1" s="1388"/>
      <c r="BI1" s="24"/>
      <c r="BJ1" s="24"/>
      <c r="BK1" s="24"/>
      <c r="BL1" s="24"/>
      <c r="BM1" s="24"/>
      <c r="BN1" s="24"/>
      <c r="BO1" s="24"/>
      <c r="BP1" s="24"/>
      <c r="BQ1" s="24"/>
      <c r="BR1" s="24"/>
      <c r="BS1" s="24"/>
      <c r="BT1" s="24"/>
      <c r="BU1" s="24"/>
      <c r="BV1" s="24"/>
      <c r="BW1" s="24"/>
      <c r="BX1" s="24"/>
      <c r="BY1" s="24"/>
      <c r="BZ1" s="24"/>
      <c r="CA1" s="24"/>
      <c r="CB1" s="1023" t="s">
        <v>815</v>
      </c>
      <c r="CC1" s="1023"/>
      <c r="CD1" s="1023"/>
      <c r="CE1" s="1023"/>
      <c r="CF1" s="1023"/>
      <c r="CG1" s="67" t="s">
        <v>0</v>
      </c>
      <c r="CH1" s="1388">
        <f>+RRPP!CH1</f>
        <v>0</v>
      </c>
      <c r="CI1" s="1388"/>
      <c r="CJ1" s="1388"/>
      <c r="CK1" s="1388"/>
      <c r="CL1" s="1388"/>
      <c r="CM1" s="24"/>
      <c r="CN1" s="24"/>
      <c r="CO1" s="24"/>
      <c r="CP1" s="24"/>
      <c r="CQ1" s="24"/>
      <c r="CR1" s="24"/>
      <c r="CS1" s="24"/>
      <c r="CT1" s="24"/>
      <c r="CU1" s="24"/>
      <c r="CV1" s="24"/>
      <c r="CW1" s="24"/>
      <c r="CX1" s="24"/>
      <c r="CY1" s="24"/>
      <c r="CZ1" s="24"/>
      <c r="DA1" s="24"/>
      <c r="DB1" s="24"/>
      <c r="DC1" s="24"/>
      <c r="DD1" s="24"/>
      <c r="DE1" s="24"/>
      <c r="DF1" s="1023" t="s">
        <v>815</v>
      </c>
      <c r="DG1" s="1023"/>
      <c r="DH1" s="1023"/>
      <c r="DI1" s="1023"/>
      <c r="DJ1" s="1023"/>
      <c r="DK1" s="67" t="s">
        <v>0</v>
      </c>
      <c r="DL1" s="1388">
        <f>+RRPP!DL1</f>
        <v>0</v>
      </c>
      <c r="DM1" s="1388"/>
      <c r="DN1" s="1388"/>
      <c r="DO1" s="1388"/>
      <c r="DP1" s="1388"/>
    </row>
    <row r="2" spans="1:120"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+RRPP!Z2</f>
        <v>XXXX-26</v>
      </c>
      <c r="AA2" s="1388"/>
      <c r="AB2" s="1388"/>
      <c r="AC2" s="1388"/>
      <c r="AD2" s="1388"/>
      <c r="AE2" s="24"/>
      <c r="AF2" s="24"/>
      <c r="AG2" s="24"/>
      <c r="AH2" s="24"/>
      <c r="AI2" s="24"/>
      <c r="AJ2" s="24"/>
      <c r="AK2" s="24"/>
      <c r="AL2" s="24"/>
      <c r="AM2" s="24"/>
      <c r="AN2" s="24"/>
      <c r="AO2" s="24"/>
      <c r="AP2" s="24"/>
      <c r="AQ2" s="24"/>
      <c r="AR2" s="24"/>
      <c r="AS2" s="24"/>
      <c r="AT2" s="24"/>
      <c r="AU2" s="24"/>
      <c r="AV2" s="24"/>
      <c r="AW2" s="24"/>
      <c r="AX2" s="1023" t="s">
        <v>1</v>
      </c>
      <c r="AY2" s="1023"/>
      <c r="AZ2" s="1023"/>
      <c r="BA2" s="1023"/>
      <c r="BB2" s="1023"/>
      <c r="BC2" s="67" t="s">
        <v>0</v>
      </c>
      <c r="BD2" s="1388" t="str">
        <f>+Z2</f>
        <v>XXXX-26</v>
      </c>
      <c r="BE2" s="1388"/>
      <c r="BF2" s="1388"/>
      <c r="BG2" s="1388"/>
      <c r="BH2" s="1388"/>
      <c r="BI2" s="24"/>
      <c r="BJ2" s="24"/>
      <c r="BK2" s="24"/>
      <c r="BL2" s="24"/>
      <c r="BM2" s="24"/>
      <c r="BN2" s="24"/>
      <c r="BO2" s="24"/>
      <c r="BP2" s="24"/>
      <c r="BQ2" s="24"/>
      <c r="BR2" s="24"/>
      <c r="BS2" s="24"/>
      <c r="BT2" s="24"/>
      <c r="BU2" s="24"/>
      <c r="BV2" s="24"/>
      <c r="BW2" s="24"/>
      <c r="BX2" s="24"/>
      <c r="BY2" s="24"/>
      <c r="BZ2" s="24"/>
      <c r="CA2" s="24"/>
      <c r="CB2" s="1023" t="s">
        <v>1</v>
      </c>
      <c r="CC2" s="1023"/>
      <c r="CD2" s="1023"/>
      <c r="CE2" s="1023"/>
      <c r="CF2" s="1023"/>
      <c r="CG2" s="67" t="s">
        <v>0</v>
      </c>
      <c r="CH2" s="1388" t="str">
        <f>+BD2</f>
        <v>XXXX-26</v>
      </c>
      <c r="CI2" s="1388"/>
      <c r="CJ2" s="1388"/>
      <c r="CK2" s="1388"/>
      <c r="CL2" s="1388"/>
      <c r="CM2" s="24"/>
      <c r="CN2" s="24"/>
      <c r="CO2" s="24"/>
      <c r="CP2" s="24"/>
      <c r="CQ2" s="24"/>
      <c r="CR2" s="24"/>
      <c r="CS2" s="24"/>
      <c r="CT2" s="24"/>
      <c r="CU2" s="24"/>
      <c r="CV2" s="24"/>
      <c r="CW2" s="24"/>
      <c r="CX2" s="24"/>
      <c r="CY2" s="24"/>
      <c r="CZ2" s="24"/>
      <c r="DA2" s="24"/>
      <c r="DB2" s="24"/>
      <c r="DC2" s="24"/>
      <c r="DD2" s="24"/>
      <c r="DE2" s="24"/>
      <c r="DF2" s="1023" t="s">
        <v>1</v>
      </c>
      <c r="DG2" s="1023"/>
      <c r="DH2" s="1023"/>
      <c r="DI2" s="1023"/>
      <c r="DJ2" s="1023"/>
      <c r="DK2" s="67" t="s">
        <v>0</v>
      </c>
      <c r="DL2" s="1388" t="str">
        <f>+CH2</f>
        <v>XXXX-26</v>
      </c>
      <c r="DM2" s="1388"/>
      <c r="DN2" s="1388"/>
      <c r="DO2" s="1388"/>
      <c r="DP2" s="1388"/>
    </row>
    <row r="3" spans="1:120"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+RRPP!Z3</f>
        <v>0</v>
      </c>
      <c r="AA3" s="1026"/>
      <c r="AB3" s="1026"/>
      <c r="AC3" s="1026"/>
      <c r="AD3" s="1026"/>
      <c r="AE3" s="24"/>
      <c r="AF3" s="24"/>
      <c r="AG3" s="24"/>
      <c r="AH3" s="24"/>
      <c r="AI3" s="24"/>
      <c r="AJ3" s="24"/>
      <c r="AK3" s="24"/>
      <c r="AL3" s="24"/>
      <c r="AM3" s="24"/>
      <c r="AN3" s="24"/>
      <c r="AO3" s="24"/>
      <c r="AP3" s="24"/>
      <c r="AQ3" s="24"/>
      <c r="AR3" s="24"/>
      <c r="AS3" s="24"/>
      <c r="AT3" s="24"/>
      <c r="AU3" s="24"/>
      <c r="AV3" s="24"/>
      <c r="AW3" s="24"/>
      <c r="AX3" s="1023" t="s">
        <v>52</v>
      </c>
      <c r="AY3" s="1023"/>
      <c r="AZ3" s="1023"/>
      <c r="BA3" s="1023"/>
      <c r="BB3" s="1023"/>
      <c r="BC3" s="67" t="s">
        <v>0</v>
      </c>
      <c r="BD3" s="1026">
        <f>+Z3</f>
        <v>0</v>
      </c>
      <c r="BE3" s="1026"/>
      <c r="BF3" s="1026"/>
      <c r="BG3" s="1026"/>
      <c r="BH3" s="1026"/>
      <c r="BI3" s="24"/>
      <c r="BJ3" s="24"/>
      <c r="BK3" s="24"/>
      <c r="BL3" s="24"/>
      <c r="BM3" s="24"/>
      <c r="BN3" s="24"/>
      <c r="BO3" s="24"/>
      <c r="BP3" s="24"/>
      <c r="BQ3" s="24"/>
      <c r="BR3" s="24"/>
      <c r="BS3" s="24"/>
      <c r="BT3" s="24"/>
      <c r="BU3" s="24"/>
      <c r="BV3" s="24"/>
      <c r="BW3" s="24"/>
      <c r="BX3" s="24"/>
      <c r="BY3" s="24"/>
      <c r="BZ3" s="24"/>
      <c r="CA3" s="24"/>
      <c r="CB3" s="1023" t="s">
        <v>52</v>
      </c>
      <c r="CC3" s="1023"/>
      <c r="CD3" s="1023"/>
      <c r="CE3" s="1023"/>
      <c r="CF3" s="1023"/>
      <c r="CG3" s="67" t="s">
        <v>0</v>
      </c>
      <c r="CH3" s="1026">
        <f>+BD3</f>
        <v>0</v>
      </c>
      <c r="CI3" s="1026"/>
      <c r="CJ3" s="1026"/>
      <c r="CK3" s="1026"/>
      <c r="CL3" s="1026"/>
      <c r="CM3" s="24"/>
      <c r="CN3" s="24"/>
      <c r="CO3" s="24"/>
      <c r="CP3" s="24"/>
      <c r="CQ3" s="24"/>
      <c r="CR3" s="24"/>
      <c r="CS3" s="24"/>
      <c r="CT3" s="24"/>
      <c r="CU3" s="24"/>
      <c r="CV3" s="24"/>
      <c r="CW3" s="24"/>
      <c r="CX3" s="24"/>
      <c r="CY3" s="24"/>
      <c r="CZ3" s="24"/>
      <c r="DA3" s="24"/>
      <c r="DB3" s="24"/>
      <c r="DC3" s="24"/>
      <c r="DD3" s="24"/>
      <c r="DE3" s="24"/>
      <c r="DF3" s="1023" t="s">
        <v>52</v>
      </c>
      <c r="DG3" s="1023"/>
      <c r="DH3" s="1023"/>
      <c r="DI3" s="1023"/>
      <c r="DJ3" s="1023"/>
      <c r="DK3" s="67" t="s">
        <v>0</v>
      </c>
      <c r="DL3" s="1026">
        <f>+CH3</f>
        <v>0</v>
      </c>
      <c r="DM3" s="1026"/>
      <c r="DN3" s="1026"/>
      <c r="DO3" s="1026"/>
      <c r="DP3" s="1026"/>
    </row>
    <row r="4" spans="1:120"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+RRPP!Z4</f>
        <v>365</v>
      </c>
      <c r="AA4" s="1026"/>
      <c r="AB4" s="1026"/>
      <c r="AC4" s="1026"/>
      <c r="AD4" s="1026"/>
      <c r="AE4" s="24"/>
      <c r="AF4" s="24"/>
      <c r="AG4" s="24"/>
      <c r="AH4" s="24"/>
      <c r="AI4" s="24"/>
      <c r="AJ4" s="24"/>
      <c r="AK4" s="24"/>
      <c r="AL4" s="24"/>
      <c r="AM4" s="24"/>
      <c r="AN4" s="24"/>
      <c r="AO4" s="24"/>
      <c r="AP4" s="24"/>
      <c r="AQ4" s="24"/>
      <c r="AR4" s="24"/>
      <c r="AS4" s="24"/>
      <c r="AT4" s="24"/>
      <c r="AU4" s="24"/>
      <c r="AV4" s="24"/>
      <c r="AW4" s="24"/>
      <c r="AX4" s="1023" t="s">
        <v>816</v>
      </c>
      <c r="AY4" s="1023"/>
      <c r="AZ4" s="1023"/>
      <c r="BA4" s="1023"/>
      <c r="BB4" s="1023"/>
      <c r="BC4" s="67" t="s">
        <v>0</v>
      </c>
      <c r="BD4" s="1026">
        <f>+Z4</f>
        <v>365</v>
      </c>
      <c r="BE4" s="1026"/>
      <c r="BF4" s="1026"/>
      <c r="BG4" s="1026"/>
      <c r="BH4" s="1026"/>
      <c r="BI4" s="24"/>
      <c r="BJ4" s="24"/>
      <c r="BK4" s="24"/>
      <c r="BL4" s="24"/>
      <c r="BM4" s="24"/>
      <c r="BN4" s="24"/>
      <c r="BO4" s="24"/>
      <c r="BP4" s="24"/>
      <c r="BQ4" s="24"/>
      <c r="BR4" s="24"/>
      <c r="BS4" s="24"/>
      <c r="BT4" s="24"/>
      <c r="BU4" s="24"/>
      <c r="BV4" s="24"/>
      <c r="BW4" s="24"/>
      <c r="BX4" s="24"/>
      <c r="BY4" s="24"/>
      <c r="BZ4" s="24"/>
      <c r="CA4" s="24"/>
      <c r="CB4" s="1023" t="s">
        <v>816</v>
      </c>
      <c r="CC4" s="1023"/>
      <c r="CD4" s="1023"/>
      <c r="CE4" s="1023"/>
      <c r="CF4" s="1023"/>
      <c r="CG4" s="67" t="s">
        <v>0</v>
      </c>
      <c r="CH4" s="1026">
        <f>+BD4</f>
        <v>365</v>
      </c>
      <c r="CI4" s="1026"/>
      <c r="CJ4" s="1026"/>
      <c r="CK4" s="1026"/>
      <c r="CL4" s="1026"/>
      <c r="CM4" s="24"/>
      <c r="CN4" s="24"/>
      <c r="CO4" s="24"/>
      <c r="CP4" s="24"/>
      <c r="CQ4" s="24"/>
      <c r="CR4" s="24"/>
      <c r="CS4" s="24"/>
      <c r="CT4" s="24"/>
      <c r="CU4" s="24"/>
      <c r="CV4" s="24"/>
      <c r="CW4" s="24"/>
      <c r="CX4" s="24"/>
      <c r="CY4" s="24"/>
      <c r="CZ4" s="24"/>
      <c r="DA4" s="24"/>
      <c r="DB4" s="24"/>
      <c r="DC4" s="24"/>
      <c r="DD4" s="24"/>
      <c r="DE4" s="24"/>
      <c r="DF4" s="1023" t="s">
        <v>816</v>
      </c>
      <c r="DG4" s="1023"/>
      <c r="DH4" s="1023"/>
      <c r="DI4" s="1023"/>
      <c r="DJ4" s="1023"/>
      <c r="DK4" s="67" t="s">
        <v>0</v>
      </c>
      <c r="DL4" s="1026">
        <f>+CH4</f>
        <v>365</v>
      </c>
      <c r="DM4" s="1026"/>
      <c r="DN4" s="1026"/>
      <c r="DO4" s="1026"/>
      <c r="DP4" s="1026"/>
    </row>
    <row r="5" spans="1:120" ht="18">
      <c r="A5" s="1312" t="s">
        <v>1388</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312" t="s">
        <v>1389</v>
      </c>
      <c r="AF5" s="1313"/>
      <c r="AG5" s="1313"/>
      <c r="AH5" s="1313"/>
      <c r="AI5" s="1313"/>
      <c r="AJ5" s="1313"/>
      <c r="AK5" s="1313"/>
      <c r="AL5" s="1313"/>
      <c r="AM5" s="1313"/>
      <c r="AN5" s="1313"/>
      <c r="AO5" s="1313"/>
      <c r="AP5" s="1313"/>
      <c r="AQ5" s="1313"/>
      <c r="AR5" s="1313"/>
      <c r="AS5" s="1313"/>
      <c r="AT5" s="1313"/>
      <c r="AU5" s="1313"/>
      <c r="AV5" s="1313"/>
      <c r="AW5" s="1313"/>
      <c r="AX5" s="1313"/>
      <c r="AY5" s="1313"/>
      <c r="AZ5" s="1313"/>
      <c r="BA5" s="1313"/>
      <c r="BB5" s="1313"/>
      <c r="BC5" s="1313"/>
      <c r="BD5" s="1313"/>
      <c r="BE5" s="1313"/>
      <c r="BF5" s="1313"/>
      <c r="BG5" s="1313"/>
      <c r="BH5" s="1313"/>
      <c r="BI5" s="1312" t="s">
        <v>1390</v>
      </c>
      <c r="BJ5" s="1313"/>
      <c r="BK5" s="1313"/>
      <c r="BL5" s="1313"/>
      <c r="BM5" s="1313"/>
      <c r="BN5" s="1313"/>
      <c r="BO5" s="1313"/>
      <c r="BP5" s="1313"/>
      <c r="BQ5" s="1313"/>
      <c r="BR5" s="1313"/>
      <c r="BS5" s="1313"/>
      <c r="BT5" s="1313"/>
      <c r="BU5" s="1313"/>
      <c r="BV5" s="1313"/>
      <c r="BW5" s="1313"/>
      <c r="BX5" s="1313"/>
      <c r="BY5" s="1313"/>
      <c r="BZ5" s="1313"/>
      <c r="CA5" s="1313"/>
      <c r="CB5" s="1313"/>
      <c r="CC5" s="1313"/>
      <c r="CD5" s="1313"/>
      <c r="CE5" s="1313"/>
      <c r="CF5" s="1313"/>
      <c r="CG5" s="1313"/>
      <c r="CH5" s="1313"/>
      <c r="CI5" s="1313"/>
      <c r="CJ5" s="1313"/>
      <c r="CK5" s="1313"/>
      <c r="CL5" s="1313"/>
      <c r="CM5" s="1312" t="s">
        <v>1391</v>
      </c>
      <c r="CN5" s="1313"/>
      <c r="CO5" s="1313"/>
      <c r="CP5" s="1313"/>
      <c r="CQ5" s="1313"/>
      <c r="CR5" s="1313"/>
      <c r="CS5" s="1313"/>
      <c r="CT5" s="1313"/>
      <c r="CU5" s="1313"/>
      <c r="CV5" s="1313"/>
      <c r="CW5" s="1313"/>
      <c r="CX5" s="1313"/>
      <c r="CY5" s="1313"/>
      <c r="CZ5" s="1313"/>
      <c r="DA5" s="1313"/>
      <c r="DB5" s="1313"/>
      <c r="DC5" s="1313"/>
      <c r="DD5" s="1313"/>
      <c r="DE5" s="1313"/>
      <c r="DF5" s="1313"/>
      <c r="DG5" s="1313"/>
      <c r="DH5" s="1313"/>
      <c r="DI5" s="1313"/>
      <c r="DJ5" s="1313"/>
      <c r="DK5" s="1313"/>
      <c r="DL5" s="1313"/>
      <c r="DM5" s="1313"/>
      <c r="DN5" s="1313"/>
      <c r="DO5" s="1313"/>
      <c r="DP5" s="1313"/>
    </row>
    <row r="6" spans="1:120">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row>
    <row r="7" spans="1:120">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row>
    <row r="8" spans="1:120">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row>
    <row r="9" spans="1:120">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24"/>
      <c r="AF9" s="123"/>
      <c r="AG9" s="24"/>
      <c r="AH9" s="24"/>
      <c r="AI9" s="24"/>
      <c r="AJ9" s="24"/>
      <c r="AK9" s="24"/>
      <c r="AL9" s="19"/>
      <c r="AM9" s="24"/>
      <c r="AN9" s="24"/>
      <c r="AO9" s="24"/>
      <c r="AP9" s="24"/>
      <c r="AQ9" s="24"/>
      <c r="AR9" s="24"/>
      <c r="AS9" s="24"/>
      <c r="AT9" s="24"/>
      <c r="AU9" s="24"/>
      <c r="AV9" s="24"/>
      <c r="AW9" s="24"/>
      <c r="AX9" s="24"/>
      <c r="AY9" s="24"/>
      <c r="AZ9" s="24"/>
      <c r="BA9" s="24"/>
      <c r="BB9" s="24"/>
      <c r="BC9" s="24"/>
      <c r="BD9" s="24"/>
      <c r="BE9" s="24"/>
      <c r="BF9" s="24"/>
      <c r="BG9" s="24"/>
      <c r="BH9" s="24"/>
      <c r="BI9" s="24"/>
      <c r="BJ9" s="123"/>
      <c r="BK9" s="24"/>
      <c r="BL9" s="24"/>
      <c r="BM9" s="24"/>
      <c r="BN9" s="24"/>
      <c r="BO9" s="24"/>
      <c r="BP9" s="19"/>
      <c r="BQ9" s="24"/>
      <c r="BR9" s="24"/>
      <c r="BS9" s="24"/>
      <c r="BT9" s="24"/>
      <c r="BU9" s="24"/>
      <c r="BV9" s="24"/>
      <c r="BW9" s="24"/>
      <c r="BX9" s="24"/>
      <c r="BY9" s="24"/>
      <c r="BZ9" s="24"/>
      <c r="CA9" s="24"/>
      <c r="CB9" s="24"/>
      <c r="CC9" s="24"/>
      <c r="CD9" s="24"/>
      <c r="CE9" s="24"/>
      <c r="CF9" s="24"/>
      <c r="CG9" s="24"/>
      <c r="CH9" s="24"/>
      <c r="CI9" s="24"/>
      <c r="CJ9" s="24"/>
      <c r="CK9" s="24"/>
      <c r="CL9" s="24"/>
      <c r="CM9" s="24"/>
      <c r="CN9" s="123"/>
      <c r="CO9" s="24"/>
      <c r="CP9" s="24"/>
      <c r="CQ9" s="24"/>
      <c r="CR9" s="24"/>
      <c r="CS9" s="24"/>
      <c r="CT9" s="19"/>
      <c r="CU9" s="24"/>
      <c r="CV9" s="24"/>
      <c r="CW9" s="24"/>
      <c r="CX9" s="24"/>
      <c r="CY9" s="24"/>
      <c r="CZ9" s="24"/>
      <c r="DA9" s="24"/>
      <c r="DB9" s="24"/>
      <c r="DC9" s="24"/>
      <c r="DD9" s="24"/>
      <c r="DE9" s="24"/>
      <c r="DF9" s="24"/>
      <c r="DG9" s="24"/>
      <c r="DH9" s="24"/>
      <c r="DI9" s="24"/>
      <c r="DJ9" s="24"/>
      <c r="DK9" s="24"/>
      <c r="DL9" s="24"/>
      <c r="DM9" s="24"/>
      <c r="DN9" s="24"/>
      <c r="DO9" s="24"/>
      <c r="DP9" s="24"/>
    </row>
    <row r="10" spans="1:120">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4"/>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24"/>
      <c r="BH10" s="24"/>
      <c r="BI10" s="124"/>
      <c r="BJ10" s="125"/>
      <c r="BK10" s="125"/>
      <c r="BL10" s="125"/>
      <c r="BM10" s="125"/>
      <c r="BN10" s="125"/>
      <c r="BO10" s="125"/>
      <c r="BP10" s="125"/>
      <c r="BQ10" s="125"/>
      <c r="BR10" s="125"/>
      <c r="BS10" s="125"/>
      <c r="BT10" s="125"/>
      <c r="BU10" s="125"/>
      <c r="BV10" s="125"/>
      <c r="BW10" s="125"/>
      <c r="BX10" s="125"/>
      <c r="BY10" s="125"/>
      <c r="BZ10" s="125"/>
      <c r="CA10" s="125"/>
      <c r="CB10" s="125"/>
      <c r="CC10" s="125"/>
      <c r="CD10" s="125"/>
      <c r="CE10" s="125"/>
      <c r="CF10" s="125"/>
      <c r="CG10" s="125"/>
      <c r="CH10" s="125"/>
      <c r="CI10" s="125"/>
      <c r="CJ10" s="125"/>
      <c r="CK10" s="24"/>
      <c r="CL10" s="24"/>
      <c r="CM10" s="124"/>
      <c r="CN10" s="125"/>
      <c r="CO10" s="125"/>
      <c r="CP10" s="125"/>
      <c r="CQ10" s="125"/>
      <c r="CR10" s="125"/>
      <c r="CS10" s="125"/>
      <c r="CT10" s="125"/>
      <c r="CU10" s="125"/>
      <c r="CV10" s="125"/>
      <c r="CW10" s="125"/>
      <c r="CX10" s="125"/>
      <c r="CY10" s="125"/>
      <c r="CZ10" s="125"/>
      <c r="DA10" s="125"/>
      <c r="DB10" s="125"/>
      <c r="DC10" s="125"/>
      <c r="DD10" s="125"/>
      <c r="DE10" s="125"/>
      <c r="DF10" s="125"/>
      <c r="DG10" s="125"/>
      <c r="DH10" s="125"/>
      <c r="DI10" s="125"/>
      <c r="DJ10" s="125"/>
      <c r="DK10" s="125"/>
      <c r="DL10" s="125"/>
      <c r="DM10" s="125"/>
      <c r="DN10" s="125"/>
      <c r="DO10" s="24"/>
      <c r="DP10" s="24"/>
    </row>
    <row r="11" spans="1:120">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24"/>
      <c r="BH11" s="24"/>
      <c r="BI11" s="125"/>
      <c r="BJ11" s="125"/>
      <c r="BK11" s="125"/>
      <c r="BL11" s="125"/>
      <c r="BM11" s="125"/>
      <c r="BN11" s="125"/>
      <c r="BO11" s="125"/>
      <c r="BP11" s="125"/>
      <c r="BQ11" s="125"/>
      <c r="BR11" s="125"/>
      <c r="BS11" s="125"/>
      <c r="BT11" s="125"/>
      <c r="BU11" s="125"/>
      <c r="BV11" s="125"/>
      <c r="BW11" s="125"/>
      <c r="BX11" s="125"/>
      <c r="BY11" s="125"/>
      <c r="BZ11" s="125"/>
      <c r="CA11" s="125"/>
      <c r="CB11" s="125"/>
      <c r="CC11" s="125"/>
      <c r="CD11" s="125"/>
      <c r="CE11" s="125"/>
      <c r="CF11" s="125"/>
      <c r="CG11" s="125"/>
      <c r="CH11" s="125"/>
      <c r="CI11" s="125"/>
      <c r="CJ11" s="125"/>
      <c r="CK11" s="24"/>
      <c r="CL11" s="24"/>
      <c r="CM11" s="125"/>
      <c r="CN11" s="125"/>
      <c r="CO11" s="125"/>
      <c r="CP11" s="125"/>
      <c r="CQ11" s="125"/>
      <c r="CR11" s="125"/>
      <c r="CS11" s="125"/>
      <c r="CT11" s="125"/>
      <c r="CU11" s="125"/>
      <c r="CV11" s="125"/>
      <c r="CW11" s="125"/>
      <c r="CX11" s="125"/>
      <c r="CY11" s="125"/>
      <c r="CZ11" s="125"/>
      <c r="DA11" s="125"/>
      <c r="DB11" s="125"/>
      <c r="DC11" s="125"/>
      <c r="DD11" s="125"/>
      <c r="DE11" s="125"/>
      <c r="DF11" s="125"/>
      <c r="DG11" s="125"/>
      <c r="DH11" s="125"/>
      <c r="DI11" s="125"/>
      <c r="DJ11" s="125"/>
      <c r="DK11" s="125"/>
      <c r="DL11" s="125"/>
      <c r="DM11" s="125"/>
      <c r="DN11" s="125"/>
      <c r="DO11" s="24"/>
      <c r="DP11" s="24"/>
    </row>
    <row r="12" spans="1:120">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24"/>
      <c r="BH12" s="24"/>
      <c r="BI12" s="125"/>
      <c r="BJ12" s="125"/>
      <c r="BK12" s="125"/>
      <c r="BL12" s="125"/>
      <c r="BM12" s="125"/>
      <c r="BN12" s="125"/>
      <c r="BO12" s="125"/>
      <c r="BP12" s="125"/>
      <c r="BQ12" s="125"/>
      <c r="BR12" s="125"/>
      <c r="BS12" s="125"/>
      <c r="BT12" s="125"/>
      <c r="BU12" s="125"/>
      <c r="BV12" s="125"/>
      <c r="BW12" s="125"/>
      <c r="BX12" s="125"/>
      <c r="BY12" s="125"/>
      <c r="BZ12" s="125"/>
      <c r="CA12" s="125"/>
      <c r="CB12" s="125"/>
      <c r="CC12" s="125"/>
      <c r="CD12" s="125"/>
      <c r="CE12" s="125"/>
      <c r="CF12" s="125"/>
      <c r="CG12" s="125"/>
      <c r="CH12" s="125"/>
      <c r="CI12" s="125"/>
      <c r="CJ12" s="125"/>
      <c r="CK12" s="24"/>
      <c r="CL12" s="24"/>
      <c r="CM12" s="125"/>
      <c r="CN12" s="125"/>
      <c r="CO12" s="125"/>
      <c r="CP12" s="125"/>
      <c r="CQ12" s="125"/>
      <c r="CR12" s="125"/>
      <c r="CS12" s="125"/>
      <c r="CT12" s="125"/>
      <c r="CU12" s="125"/>
      <c r="CV12" s="125"/>
      <c r="CW12" s="125"/>
      <c r="CX12" s="125"/>
      <c r="CY12" s="125"/>
      <c r="CZ12" s="125"/>
      <c r="DA12" s="125"/>
      <c r="DB12" s="125"/>
      <c r="DC12" s="125"/>
      <c r="DD12" s="125"/>
      <c r="DE12" s="125"/>
      <c r="DF12" s="125"/>
      <c r="DG12" s="125"/>
      <c r="DH12" s="125"/>
      <c r="DI12" s="125"/>
      <c r="DJ12" s="125"/>
      <c r="DK12" s="125"/>
      <c r="DL12" s="125"/>
      <c r="DM12" s="125"/>
      <c r="DN12" s="125"/>
      <c r="DO12" s="24"/>
      <c r="DP12" s="24"/>
    </row>
    <row r="13" spans="1:120">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24"/>
      <c r="BH13" s="24"/>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24"/>
      <c r="CL13" s="24"/>
      <c r="CM13" s="125"/>
      <c r="CN13" s="125"/>
      <c r="CO13" s="125"/>
      <c r="CP13" s="125"/>
      <c r="CQ13" s="125"/>
      <c r="CR13" s="125"/>
      <c r="CS13" s="125"/>
      <c r="CT13" s="125"/>
      <c r="CU13" s="125"/>
      <c r="CV13" s="125"/>
      <c r="CW13" s="125"/>
      <c r="CX13" s="125"/>
      <c r="CY13" s="125"/>
      <c r="CZ13" s="125"/>
      <c r="DA13" s="125"/>
      <c r="DB13" s="125"/>
      <c r="DC13" s="125"/>
      <c r="DD13" s="125"/>
      <c r="DE13" s="125"/>
      <c r="DF13" s="125"/>
      <c r="DG13" s="125"/>
      <c r="DH13" s="125"/>
      <c r="DI13" s="125"/>
      <c r="DJ13" s="125"/>
      <c r="DK13" s="125"/>
      <c r="DL13" s="125"/>
      <c r="DM13" s="125"/>
      <c r="DN13" s="125"/>
      <c r="DO13" s="24"/>
      <c r="DP13" s="24"/>
    </row>
    <row r="14" spans="1:120">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24"/>
      <c r="BH14" s="24"/>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125"/>
      <c r="CG14" s="125"/>
      <c r="CH14" s="125"/>
      <c r="CI14" s="125"/>
      <c r="CJ14" s="125"/>
      <c r="CK14" s="24"/>
      <c r="CL14" s="24"/>
      <c r="CM14" s="125"/>
      <c r="CN14" s="125"/>
      <c r="CO14" s="125"/>
      <c r="CP14" s="125"/>
      <c r="CQ14" s="125"/>
      <c r="CR14" s="125"/>
      <c r="CS14" s="125"/>
      <c r="CT14" s="125"/>
      <c r="CU14" s="125"/>
      <c r="CV14" s="125"/>
      <c r="CW14" s="125"/>
      <c r="CX14" s="125"/>
      <c r="CY14" s="125"/>
      <c r="CZ14" s="125"/>
      <c r="DA14" s="125"/>
      <c r="DB14" s="125"/>
      <c r="DC14" s="125"/>
      <c r="DD14" s="125"/>
      <c r="DE14" s="125"/>
      <c r="DF14" s="125"/>
      <c r="DG14" s="125"/>
      <c r="DH14" s="125"/>
      <c r="DI14" s="125"/>
      <c r="DJ14" s="125"/>
      <c r="DK14" s="125"/>
      <c r="DL14" s="125"/>
      <c r="DM14" s="125"/>
      <c r="DN14" s="125"/>
      <c r="DO14" s="24"/>
      <c r="DP14" s="24"/>
    </row>
    <row r="15" spans="1:120">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24"/>
      <c r="BH15" s="24"/>
      <c r="BI15" s="125"/>
      <c r="BJ15" s="125"/>
      <c r="BK15" s="125"/>
      <c r="BL15" s="125"/>
      <c r="BM15" s="125"/>
      <c r="BN15" s="125"/>
      <c r="BO15" s="125"/>
      <c r="BP15" s="125"/>
      <c r="BQ15" s="125"/>
      <c r="BR15" s="125"/>
      <c r="BS15" s="125"/>
      <c r="BT15" s="125"/>
      <c r="BU15" s="125"/>
      <c r="BV15" s="125"/>
      <c r="BW15" s="125"/>
      <c r="BX15" s="125"/>
      <c r="BY15" s="125"/>
      <c r="BZ15" s="125"/>
      <c r="CA15" s="125"/>
      <c r="CB15" s="125"/>
      <c r="CC15" s="125"/>
      <c r="CD15" s="125"/>
      <c r="CE15" s="125"/>
      <c r="CF15" s="125"/>
      <c r="CG15" s="125"/>
      <c r="CH15" s="125"/>
      <c r="CI15" s="125"/>
      <c r="CJ15" s="125"/>
      <c r="CK15" s="24"/>
      <c r="CL15" s="24"/>
      <c r="CM15" s="125"/>
      <c r="CN15" s="125"/>
      <c r="CO15" s="125"/>
      <c r="CP15" s="125"/>
      <c r="CQ15" s="125"/>
      <c r="CR15" s="125"/>
      <c r="CS15" s="125"/>
      <c r="CT15" s="125"/>
      <c r="CU15" s="125"/>
      <c r="CV15" s="125"/>
      <c r="CW15" s="125"/>
      <c r="CX15" s="125"/>
      <c r="CY15" s="125"/>
      <c r="CZ15" s="125"/>
      <c r="DA15" s="125"/>
      <c r="DB15" s="125"/>
      <c r="DC15" s="125"/>
      <c r="DD15" s="125"/>
      <c r="DE15" s="125"/>
      <c r="DF15" s="125"/>
      <c r="DG15" s="125"/>
      <c r="DH15" s="125"/>
      <c r="DI15" s="125"/>
      <c r="DJ15" s="125"/>
      <c r="DK15" s="125"/>
      <c r="DL15" s="125"/>
      <c r="DM15" s="125"/>
      <c r="DN15" s="125"/>
      <c r="DO15" s="24"/>
      <c r="DP15" s="24"/>
    </row>
    <row r="16" spans="1:120">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24"/>
      <c r="BH16" s="24"/>
      <c r="BI16" s="125"/>
      <c r="BJ16" s="125"/>
      <c r="BK16" s="125"/>
      <c r="BL16" s="125"/>
      <c r="BM16" s="125"/>
      <c r="BN16" s="125"/>
      <c r="BO16" s="125"/>
      <c r="BP16" s="125"/>
      <c r="BQ16" s="125"/>
      <c r="BR16" s="125"/>
      <c r="BS16" s="125"/>
      <c r="BT16" s="125"/>
      <c r="BU16" s="125"/>
      <c r="BV16" s="125"/>
      <c r="BW16" s="125"/>
      <c r="BX16" s="125"/>
      <c r="BY16" s="125"/>
      <c r="BZ16" s="125"/>
      <c r="CA16" s="125"/>
      <c r="CB16" s="125"/>
      <c r="CC16" s="125"/>
      <c r="CD16" s="125"/>
      <c r="CE16" s="125"/>
      <c r="CF16" s="125"/>
      <c r="CG16" s="125"/>
      <c r="CH16" s="125"/>
      <c r="CI16" s="125"/>
      <c r="CJ16" s="125"/>
      <c r="CK16" s="24"/>
      <c r="CL16" s="24"/>
      <c r="CM16" s="125"/>
      <c r="CN16" s="125"/>
      <c r="CO16" s="125"/>
      <c r="CP16" s="125"/>
      <c r="CQ16" s="125"/>
      <c r="CR16" s="125"/>
      <c r="CS16" s="125"/>
      <c r="CT16" s="125"/>
      <c r="CU16" s="125"/>
      <c r="CV16" s="125"/>
      <c r="CW16" s="125"/>
      <c r="CX16" s="125"/>
      <c r="CY16" s="125"/>
      <c r="CZ16" s="125"/>
      <c r="DA16" s="125"/>
      <c r="DB16" s="125"/>
      <c r="DC16" s="125"/>
      <c r="DD16" s="125"/>
      <c r="DE16" s="125"/>
      <c r="DF16" s="125"/>
      <c r="DG16" s="125"/>
      <c r="DH16" s="125"/>
      <c r="DI16" s="125"/>
      <c r="DJ16" s="125"/>
      <c r="DK16" s="125"/>
      <c r="DL16" s="125"/>
      <c r="DM16" s="125"/>
      <c r="DN16" s="125"/>
      <c r="DO16" s="24"/>
      <c r="DP16" s="24"/>
    </row>
    <row r="17" spans="1:120">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24"/>
      <c r="BH17" s="24"/>
      <c r="BI17" s="125"/>
      <c r="BJ17" s="125"/>
      <c r="BK17" s="125"/>
      <c r="BL17" s="125"/>
      <c r="BM17" s="125"/>
      <c r="BN17" s="125"/>
      <c r="BO17" s="125"/>
      <c r="BP17" s="125"/>
      <c r="BQ17" s="125"/>
      <c r="BR17" s="125"/>
      <c r="BS17" s="125"/>
      <c r="BT17" s="125"/>
      <c r="BU17" s="125"/>
      <c r="BV17" s="125"/>
      <c r="BW17" s="125"/>
      <c r="BX17" s="125"/>
      <c r="BY17" s="125"/>
      <c r="BZ17" s="125"/>
      <c r="CA17" s="125"/>
      <c r="CB17" s="125"/>
      <c r="CC17" s="125"/>
      <c r="CD17" s="125"/>
      <c r="CE17" s="125"/>
      <c r="CF17" s="125"/>
      <c r="CG17" s="125"/>
      <c r="CH17" s="125"/>
      <c r="CI17" s="125"/>
      <c r="CJ17" s="125"/>
      <c r="CK17" s="24"/>
      <c r="CL17" s="24"/>
      <c r="CM17" s="125"/>
      <c r="CN17" s="125"/>
      <c r="CO17" s="125"/>
      <c r="CP17" s="125"/>
      <c r="CQ17" s="125"/>
      <c r="CR17" s="125"/>
      <c r="CS17" s="125"/>
      <c r="CT17" s="125"/>
      <c r="CU17" s="125"/>
      <c r="CV17" s="125"/>
      <c r="CW17" s="125"/>
      <c r="CX17" s="125"/>
      <c r="CY17" s="125"/>
      <c r="CZ17" s="125"/>
      <c r="DA17" s="125"/>
      <c r="DB17" s="125"/>
      <c r="DC17" s="125"/>
      <c r="DD17" s="125"/>
      <c r="DE17" s="125"/>
      <c r="DF17" s="125"/>
      <c r="DG17" s="125"/>
      <c r="DH17" s="125"/>
      <c r="DI17" s="125"/>
      <c r="DJ17" s="125"/>
      <c r="DK17" s="125"/>
      <c r="DL17" s="125"/>
      <c r="DM17" s="125"/>
      <c r="DN17" s="125"/>
      <c r="DO17" s="24"/>
      <c r="DP17" s="24"/>
    </row>
    <row r="18" spans="1:120">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4"/>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24"/>
      <c r="BH18" s="24"/>
      <c r="BI18" s="124"/>
      <c r="BJ18" s="125"/>
      <c r="BK18" s="125"/>
      <c r="BL18" s="125"/>
      <c r="BM18" s="125"/>
      <c r="BN18" s="125"/>
      <c r="BO18" s="125"/>
      <c r="BP18" s="125"/>
      <c r="BQ18" s="125"/>
      <c r="BR18" s="125"/>
      <c r="BS18" s="125"/>
      <c r="BT18" s="125"/>
      <c r="BU18" s="125"/>
      <c r="BV18" s="125"/>
      <c r="BW18" s="125"/>
      <c r="BX18" s="125"/>
      <c r="BY18" s="125"/>
      <c r="BZ18" s="125"/>
      <c r="CA18" s="125"/>
      <c r="CB18" s="125"/>
      <c r="CC18" s="125"/>
      <c r="CD18" s="125"/>
      <c r="CE18" s="125"/>
      <c r="CF18" s="125"/>
      <c r="CG18" s="125"/>
      <c r="CH18" s="125"/>
      <c r="CI18" s="125"/>
      <c r="CJ18" s="125"/>
      <c r="CK18" s="24"/>
      <c r="CL18" s="24"/>
      <c r="CM18" s="124"/>
      <c r="CN18" s="125"/>
      <c r="CO18" s="125"/>
      <c r="CP18" s="125"/>
      <c r="CQ18" s="125"/>
      <c r="CR18" s="125"/>
      <c r="CS18" s="125"/>
      <c r="CT18" s="125"/>
      <c r="CU18" s="125"/>
      <c r="CV18" s="125"/>
      <c r="CW18" s="125"/>
      <c r="CX18" s="125"/>
      <c r="CY18" s="125"/>
      <c r="CZ18" s="125"/>
      <c r="DA18" s="125"/>
      <c r="DB18" s="125"/>
      <c r="DC18" s="125"/>
      <c r="DD18" s="125"/>
      <c r="DE18" s="125"/>
      <c r="DF18" s="125"/>
      <c r="DG18" s="125"/>
      <c r="DH18" s="125"/>
      <c r="DI18" s="125"/>
      <c r="DJ18" s="125"/>
      <c r="DK18" s="125"/>
      <c r="DL18" s="125"/>
      <c r="DM18" s="125"/>
      <c r="DN18" s="125"/>
      <c r="DO18" s="24"/>
      <c r="DP18" s="24"/>
    </row>
    <row r="19" spans="1:120">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4"/>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24"/>
      <c r="BH19" s="24"/>
      <c r="BI19" s="124"/>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24"/>
      <c r="CL19" s="24"/>
      <c r="CM19" s="124"/>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24"/>
      <c r="DP19" s="24"/>
    </row>
    <row r="20" spans="1:120">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24"/>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24"/>
      <c r="BH20" s="24"/>
      <c r="BI20" s="24"/>
      <c r="BJ20" s="125"/>
      <c r="BK20" s="125"/>
      <c r="BL20" s="125"/>
      <c r="BM20" s="125"/>
      <c r="BN20" s="125"/>
      <c r="BO20" s="125"/>
      <c r="BP20" s="125"/>
      <c r="BQ20" s="125"/>
      <c r="BR20" s="125"/>
      <c r="BS20" s="125"/>
      <c r="BT20" s="125"/>
      <c r="BU20" s="125"/>
      <c r="BV20" s="125"/>
      <c r="BW20" s="125"/>
      <c r="BX20" s="125"/>
      <c r="BY20" s="125"/>
      <c r="BZ20" s="125"/>
      <c r="CA20" s="125"/>
      <c r="CB20" s="125"/>
      <c r="CC20" s="125"/>
      <c r="CD20" s="125"/>
      <c r="CE20" s="125"/>
      <c r="CF20" s="125"/>
      <c r="CG20" s="125"/>
      <c r="CH20" s="125"/>
      <c r="CI20" s="125"/>
      <c r="CJ20" s="125"/>
      <c r="CK20" s="24"/>
      <c r="CL20" s="24"/>
      <c r="CM20" s="24"/>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24"/>
      <c r="DP20" s="24"/>
    </row>
    <row r="21" spans="1:120">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6"/>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24"/>
      <c r="BH21" s="24"/>
      <c r="BI21" s="126"/>
      <c r="BJ21" s="125"/>
      <c r="BK21" s="125"/>
      <c r="BL21" s="125"/>
      <c r="BM21" s="125"/>
      <c r="BN21" s="125"/>
      <c r="BO21" s="125"/>
      <c r="BP21" s="125"/>
      <c r="BQ21" s="125"/>
      <c r="BR21" s="125"/>
      <c r="BS21" s="125"/>
      <c r="BT21" s="125"/>
      <c r="BU21" s="125"/>
      <c r="BV21" s="125"/>
      <c r="BW21" s="125"/>
      <c r="BX21" s="125"/>
      <c r="BY21" s="125"/>
      <c r="BZ21" s="125"/>
      <c r="CA21" s="125"/>
      <c r="CB21" s="125"/>
      <c r="CC21" s="125"/>
      <c r="CD21" s="125"/>
      <c r="CE21" s="125"/>
      <c r="CF21" s="125"/>
      <c r="CG21" s="125"/>
      <c r="CH21" s="125"/>
      <c r="CI21" s="125"/>
      <c r="CJ21" s="125"/>
      <c r="CK21" s="24"/>
      <c r="CL21" s="24"/>
      <c r="CM21" s="126"/>
      <c r="CN21" s="125"/>
      <c r="CO21" s="125"/>
      <c r="CP21" s="125"/>
      <c r="CQ21" s="125"/>
      <c r="CR21" s="125"/>
      <c r="CS21" s="125"/>
      <c r="CT21" s="125"/>
      <c r="CU21" s="125"/>
      <c r="CV21" s="125"/>
      <c r="CW21" s="125"/>
      <c r="CX21" s="125"/>
      <c r="CY21" s="125"/>
      <c r="CZ21" s="125"/>
      <c r="DA21" s="125"/>
      <c r="DB21" s="125"/>
      <c r="DC21" s="125"/>
      <c r="DD21" s="125"/>
      <c r="DE21" s="125"/>
      <c r="DF21" s="125"/>
      <c r="DG21" s="125"/>
      <c r="DH21" s="125"/>
      <c r="DI21" s="125"/>
      <c r="DJ21" s="125"/>
      <c r="DK21" s="125"/>
      <c r="DL21" s="125"/>
      <c r="DM21" s="125"/>
      <c r="DN21" s="125"/>
      <c r="DO21" s="24"/>
      <c r="DP21" s="24"/>
    </row>
    <row r="22" spans="1:120">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24"/>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24"/>
      <c r="BH22" s="24"/>
      <c r="BI22" s="24"/>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24"/>
      <c r="CL22" s="24"/>
      <c r="CM22" s="24"/>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24"/>
      <c r="DP22" s="24"/>
    </row>
    <row r="23" spans="1:120">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24"/>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24"/>
      <c r="BH23" s="24"/>
      <c r="BI23" s="24"/>
      <c r="BJ23" s="125"/>
      <c r="BK23" s="125"/>
      <c r="BL23" s="125"/>
      <c r="BM23" s="125"/>
      <c r="BN23" s="125"/>
      <c r="BO23" s="125"/>
      <c r="BP23" s="125"/>
      <c r="BQ23" s="125"/>
      <c r="BR23" s="125"/>
      <c r="BS23" s="125"/>
      <c r="BT23" s="125"/>
      <c r="BU23" s="125"/>
      <c r="BV23" s="125"/>
      <c r="BW23" s="125"/>
      <c r="BX23" s="125"/>
      <c r="BY23" s="125"/>
      <c r="BZ23" s="125"/>
      <c r="CA23" s="125"/>
      <c r="CB23" s="125"/>
      <c r="CC23" s="125"/>
      <c r="CD23" s="125"/>
      <c r="CE23" s="125"/>
      <c r="CF23" s="125"/>
      <c r="CG23" s="125"/>
      <c r="CH23" s="125"/>
      <c r="CI23" s="125"/>
      <c r="CJ23" s="125"/>
      <c r="CK23" s="24"/>
      <c r="CL23" s="24"/>
      <c r="CM23" s="24"/>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24"/>
      <c r="DP23" s="24"/>
    </row>
    <row r="24" spans="1:120">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6"/>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24"/>
      <c r="BH24" s="24"/>
      <c r="BI24" s="126"/>
      <c r="BJ24" s="125"/>
      <c r="BK24" s="125"/>
      <c r="BL24" s="125"/>
      <c r="BM24" s="125"/>
      <c r="BN24" s="125"/>
      <c r="BO24" s="125"/>
      <c r="BP24" s="125"/>
      <c r="BQ24" s="125"/>
      <c r="BR24" s="125"/>
      <c r="BS24" s="125"/>
      <c r="BT24" s="125"/>
      <c r="BU24" s="125"/>
      <c r="BV24" s="125"/>
      <c r="BW24" s="125"/>
      <c r="BX24" s="125"/>
      <c r="BY24" s="125"/>
      <c r="BZ24" s="125"/>
      <c r="CA24" s="125"/>
      <c r="CB24" s="125"/>
      <c r="CC24" s="125"/>
      <c r="CD24" s="125"/>
      <c r="CE24" s="125"/>
      <c r="CF24" s="125"/>
      <c r="CG24" s="125"/>
      <c r="CH24" s="125"/>
      <c r="CI24" s="125"/>
      <c r="CJ24" s="125"/>
      <c r="CK24" s="24"/>
      <c r="CL24" s="24"/>
      <c r="CM24" s="126"/>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24"/>
      <c r="DP24" s="24"/>
    </row>
    <row r="25" spans="1:120">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6"/>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24"/>
      <c r="BH25" s="24"/>
      <c r="BI25" s="126"/>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24"/>
      <c r="CL25" s="24"/>
      <c r="CM25" s="126"/>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24"/>
      <c r="DP25" s="24"/>
    </row>
    <row r="26" spans="1:120">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6"/>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24"/>
      <c r="BH26" s="24"/>
      <c r="BI26" s="126"/>
      <c r="BJ26" s="125"/>
      <c r="BK26" s="125"/>
      <c r="BL26" s="125"/>
      <c r="BM26" s="125"/>
      <c r="BN26" s="125"/>
      <c r="BO26" s="125"/>
      <c r="BP26" s="125"/>
      <c r="BQ26" s="125"/>
      <c r="BR26" s="125"/>
      <c r="BS26" s="125"/>
      <c r="BT26" s="125"/>
      <c r="BU26" s="125"/>
      <c r="BV26" s="125"/>
      <c r="BW26" s="125"/>
      <c r="BX26" s="125"/>
      <c r="BY26" s="125"/>
      <c r="BZ26" s="125"/>
      <c r="CA26" s="125"/>
      <c r="CB26" s="125"/>
      <c r="CC26" s="125"/>
      <c r="CD26" s="125"/>
      <c r="CE26" s="125"/>
      <c r="CF26" s="125"/>
      <c r="CG26" s="125"/>
      <c r="CH26" s="125"/>
      <c r="CI26" s="125"/>
      <c r="CJ26" s="125"/>
      <c r="CK26" s="24"/>
      <c r="CL26" s="24"/>
      <c r="CM26" s="126"/>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24"/>
      <c r="DP26" s="24"/>
    </row>
    <row r="27" spans="1:120">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7"/>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24"/>
      <c r="BH27" s="24"/>
      <c r="BI27" s="127"/>
      <c r="BJ27" s="125"/>
      <c r="BK27" s="125"/>
      <c r="BL27" s="125"/>
      <c r="BM27" s="125"/>
      <c r="BN27" s="125"/>
      <c r="BO27" s="125"/>
      <c r="BP27" s="125"/>
      <c r="BQ27" s="125"/>
      <c r="BR27" s="125"/>
      <c r="BS27" s="125"/>
      <c r="BT27" s="125"/>
      <c r="BU27" s="125"/>
      <c r="BV27" s="125"/>
      <c r="BW27" s="125"/>
      <c r="BX27" s="125"/>
      <c r="BY27" s="125"/>
      <c r="BZ27" s="125"/>
      <c r="CA27" s="125"/>
      <c r="CB27" s="125"/>
      <c r="CC27" s="125"/>
      <c r="CD27" s="125"/>
      <c r="CE27" s="125"/>
      <c r="CF27" s="125"/>
      <c r="CG27" s="125"/>
      <c r="CH27" s="125"/>
      <c r="CI27" s="125"/>
      <c r="CJ27" s="125"/>
      <c r="CK27" s="24"/>
      <c r="CL27" s="24"/>
      <c r="CM27" s="127"/>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24"/>
      <c r="DP27" s="24"/>
    </row>
    <row r="28" spans="1:120">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7"/>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24"/>
      <c r="BH28" s="24"/>
      <c r="BI28" s="127"/>
      <c r="BJ28" s="125"/>
      <c r="BK28" s="125"/>
      <c r="BL28" s="125"/>
      <c r="BM28" s="125"/>
      <c r="BN28" s="125"/>
      <c r="BO28" s="125"/>
      <c r="BP28" s="125"/>
      <c r="BQ28" s="125"/>
      <c r="BR28" s="125"/>
      <c r="BS28" s="125"/>
      <c r="BT28" s="125"/>
      <c r="BU28" s="125"/>
      <c r="BV28" s="125"/>
      <c r="BW28" s="125"/>
      <c r="BX28" s="125"/>
      <c r="BY28" s="125"/>
      <c r="BZ28" s="125"/>
      <c r="CA28" s="125"/>
      <c r="CB28" s="125"/>
      <c r="CC28" s="125"/>
      <c r="CD28" s="125"/>
      <c r="CE28" s="125"/>
      <c r="CF28" s="125"/>
      <c r="CG28" s="125"/>
      <c r="CH28" s="125"/>
      <c r="CI28" s="125"/>
      <c r="CJ28" s="125"/>
      <c r="CK28" s="24"/>
      <c r="CL28" s="24"/>
      <c r="CM28" s="127"/>
      <c r="CN28" s="125"/>
      <c r="CO28" s="125"/>
      <c r="CP28" s="125"/>
      <c r="CQ28" s="125"/>
      <c r="CR28" s="125"/>
      <c r="CS28" s="125"/>
      <c r="CT28" s="125"/>
      <c r="CU28" s="125"/>
      <c r="CV28" s="125"/>
      <c r="CW28" s="125"/>
      <c r="CX28" s="125"/>
      <c r="CY28" s="125"/>
      <c r="CZ28" s="125"/>
      <c r="DA28" s="125"/>
      <c r="DB28" s="125"/>
      <c r="DC28" s="125"/>
      <c r="DD28" s="125"/>
      <c r="DE28" s="125"/>
      <c r="DF28" s="125"/>
      <c r="DG28" s="125"/>
      <c r="DH28" s="125"/>
      <c r="DI28" s="125"/>
      <c r="DJ28" s="125"/>
      <c r="DK28" s="125"/>
      <c r="DL28" s="125"/>
      <c r="DM28" s="125"/>
      <c r="DN28" s="125"/>
      <c r="DO28" s="24"/>
      <c r="DP28" s="24"/>
    </row>
    <row r="29" spans="1:120">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24"/>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24"/>
      <c r="BH29" s="24"/>
      <c r="BI29" s="24"/>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24"/>
      <c r="CL29" s="24"/>
      <c r="CM29" s="24"/>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24"/>
      <c r="DP29" s="24"/>
    </row>
    <row r="30" spans="1:120">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24"/>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24"/>
      <c r="BH30" s="24"/>
      <c r="BI30" s="24"/>
      <c r="BJ30" s="125"/>
      <c r="BK30" s="125"/>
      <c r="BL30" s="125"/>
      <c r="BM30" s="125"/>
      <c r="BN30" s="125"/>
      <c r="BO30" s="125"/>
      <c r="BP30" s="125"/>
      <c r="BQ30" s="125"/>
      <c r="BR30" s="125"/>
      <c r="BS30" s="125"/>
      <c r="BT30" s="125"/>
      <c r="BU30" s="125"/>
      <c r="BV30" s="125"/>
      <c r="BW30" s="125"/>
      <c r="BX30" s="125"/>
      <c r="BY30" s="125"/>
      <c r="BZ30" s="125"/>
      <c r="CA30" s="125"/>
      <c r="CB30" s="125"/>
      <c r="CC30" s="125"/>
      <c r="CD30" s="125"/>
      <c r="CE30" s="125"/>
      <c r="CF30" s="125"/>
      <c r="CG30" s="125"/>
      <c r="CH30" s="125"/>
      <c r="CI30" s="125"/>
      <c r="CJ30" s="125"/>
      <c r="CK30" s="24"/>
      <c r="CL30" s="24"/>
      <c r="CM30" s="24"/>
      <c r="CN30" s="125"/>
      <c r="CO30" s="125"/>
      <c r="CP30" s="125"/>
      <c r="CQ30" s="125"/>
      <c r="CR30" s="125"/>
      <c r="CS30" s="125"/>
      <c r="CT30" s="125"/>
      <c r="CU30" s="125"/>
      <c r="CV30" s="125"/>
      <c r="CW30" s="125"/>
      <c r="CX30" s="125"/>
      <c r="CY30" s="125"/>
      <c r="CZ30" s="125"/>
      <c r="DA30" s="125"/>
      <c r="DB30" s="125"/>
      <c r="DC30" s="125"/>
      <c r="DD30" s="125"/>
      <c r="DE30" s="125"/>
      <c r="DF30" s="125"/>
      <c r="DG30" s="125"/>
      <c r="DH30" s="125"/>
      <c r="DI30" s="125"/>
      <c r="DJ30" s="125"/>
      <c r="DK30" s="125"/>
      <c r="DL30" s="125"/>
      <c r="DM30" s="125"/>
      <c r="DN30" s="125"/>
      <c r="DO30" s="24"/>
      <c r="DP30" s="24"/>
    </row>
    <row r="31" spans="1:120">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7"/>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24"/>
      <c r="BH31" s="24"/>
      <c r="BI31" s="127"/>
      <c r="BJ31" s="125"/>
      <c r="BK31" s="125"/>
      <c r="BL31" s="125"/>
      <c r="BM31" s="125"/>
      <c r="BN31" s="125"/>
      <c r="BO31" s="125"/>
      <c r="BP31" s="125"/>
      <c r="BQ31" s="125"/>
      <c r="BR31" s="125"/>
      <c r="BS31" s="125"/>
      <c r="BT31" s="125"/>
      <c r="BU31" s="125"/>
      <c r="BV31" s="125"/>
      <c r="BW31" s="125"/>
      <c r="BX31" s="125"/>
      <c r="BY31" s="125"/>
      <c r="BZ31" s="125"/>
      <c r="CA31" s="125"/>
      <c r="CB31" s="125"/>
      <c r="CC31" s="125"/>
      <c r="CD31" s="125"/>
      <c r="CE31" s="125"/>
      <c r="CF31" s="125"/>
      <c r="CG31" s="125"/>
      <c r="CH31" s="125"/>
      <c r="CI31" s="125"/>
      <c r="CJ31" s="125"/>
      <c r="CK31" s="24"/>
      <c r="CL31" s="24"/>
      <c r="CM31" s="127"/>
      <c r="CN31" s="125"/>
      <c r="CO31" s="125"/>
      <c r="CP31" s="125"/>
      <c r="CQ31" s="125"/>
      <c r="CR31" s="125"/>
      <c r="CS31" s="125"/>
      <c r="CT31" s="125"/>
      <c r="CU31" s="125"/>
      <c r="CV31" s="125"/>
      <c r="CW31" s="125"/>
      <c r="CX31" s="125"/>
      <c r="CY31" s="125"/>
      <c r="CZ31" s="125"/>
      <c r="DA31" s="125"/>
      <c r="DB31" s="125"/>
      <c r="DC31" s="125"/>
      <c r="DD31" s="125"/>
      <c r="DE31" s="125"/>
      <c r="DF31" s="125"/>
      <c r="DG31" s="125"/>
      <c r="DH31" s="125"/>
      <c r="DI31" s="125"/>
      <c r="DJ31" s="125"/>
      <c r="DK31" s="125"/>
      <c r="DL31" s="125"/>
      <c r="DM31" s="125"/>
      <c r="DN31" s="125"/>
      <c r="DO31" s="24"/>
      <c r="DP31" s="24"/>
    </row>
    <row r="32" spans="1:120">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24"/>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24"/>
      <c r="BH32" s="24"/>
      <c r="BI32" s="24"/>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24"/>
      <c r="CL32" s="24"/>
      <c r="CM32" s="24"/>
      <c r="CN32" s="125"/>
      <c r="CO32" s="125"/>
      <c r="CP32" s="125"/>
      <c r="CQ32" s="125"/>
      <c r="CR32" s="125"/>
      <c r="CS32" s="125"/>
      <c r="CT32" s="125"/>
      <c r="CU32" s="125"/>
      <c r="CV32" s="125"/>
      <c r="CW32" s="125"/>
      <c r="CX32" s="125"/>
      <c r="CY32" s="125"/>
      <c r="CZ32" s="125"/>
      <c r="DA32" s="125"/>
      <c r="DB32" s="125"/>
      <c r="DC32" s="125"/>
      <c r="DD32" s="125"/>
      <c r="DE32" s="125"/>
      <c r="DF32" s="125"/>
      <c r="DG32" s="125"/>
      <c r="DH32" s="125"/>
      <c r="DI32" s="125"/>
      <c r="DJ32" s="125"/>
      <c r="DK32" s="125"/>
      <c r="DL32" s="125"/>
      <c r="DM32" s="125"/>
      <c r="DN32" s="125"/>
      <c r="DO32" s="24"/>
      <c r="DP32" s="24"/>
    </row>
    <row r="33" spans="1:120">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24"/>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24"/>
      <c r="BH33" s="24"/>
      <c r="BI33" s="24"/>
      <c r="BJ33" s="125"/>
      <c r="BK33" s="125"/>
      <c r="BL33" s="125"/>
      <c r="BM33" s="125"/>
      <c r="BN33" s="125"/>
      <c r="BO33" s="125"/>
      <c r="BP33" s="125"/>
      <c r="BQ33" s="125"/>
      <c r="BR33" s="125"/>
      <c r="BS33" s="125"/>
      <c r="BT33" s="125"/>
      <c r="BU33" s="125"/>
      <c r="BV33" s="125"/>
      <c r="BW33" s="125"/>
      <c r="BX33" s="125"/>
      <c r="BY33" s="125"/>
      <c r="BZ33" s="125"/>
      <c r="CA33" s="125"/>
      <c r="CB33" s="125"/>
      <c r="CC33" s="125"/>
      <c r="CD33" s="125"/>
      <c r="CE33" s="125"/>
      <c r="CF33" s="125"/>
      <c r="CG33" s="125"/>
      <c r="CH33" s="125"/>
      <c r="CI33" s="125"/>
      <c r="CJ33" s="125"/>
      <c r="CK33" s="24"/>
      <c r="CL33" s="24"/>
      <c r="CM33" s="24"/>
      <c r="CN33" s="125"/>
      <c r="CO33" s="125"/>
      <c r="CP33" s="125"/>
      <c r="CQ33" s="125"/>
      <c r="CR33" s="125"/>
      <c r="CS33" s="125"/>
      <c r="CT33" s="125"/>
      <c r="CU33" s="125"/>
      <c r="CV33" s="125"/>
      <c r="CW33" s="125"/>
      <c r="CX33" s="125"/>
      <c r="CY33" s="125"/>
      <c r="CZ33" s="125"/>
      <c r="DA33" s="125"/>
      <c r="DB33" s="125"/>
      <c r="DC33" s="125"/>
      <c r="DD33" s="125"/>
      <c r="DE33" s="125"/>
      <c r="DF33" s="125"/>
      <c r="DG33" s="125"/>
      <c r="DH33" s="125"/>
      <c r="DI33" s="125"/>
      <c r="DJ33" s="125"/>
      <c r="DK33" s="125"/>
      <c r="DL33" s="125"/>
      <c r="DM33" s="125"/>
      <c r="DN33" s="125"/>
      <c r="DO33" s="24"/>
      <c r="DP33" s="24"/>
    </row>
    <row r="34" spans="1:120">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24"/>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24"/>
      <c r="BH34" s="24"/>
      <c r="BI34" s="24"/>
      <c r="BJ34" s="125"/>
      <c r="BK34" s="125"/>
      <c r="BL34" s="125"/>
      <c r="BM34" s="125"/>
      <c r="BN34" s="125"/>
      <c r="BO34" s="125"/>
      <c r="BP34" s="125"/>
      <c r="BQ34" s="125"/>
      <c r="BR34" s="125"/>
      <c r="BS34" s="125"/>
      <c r="BT34" s="125"/>
      <c r="BU34" s="125"/>
      <c r="BV34" s="125"/>
      <c r="BW34" s="125"/>
      <c r="BX34" s="125"/>
      <c r="BY34" s="125"/>
      <c r="BZ34" s="125"/>
      <c r="CA34" s="125"/>
      <c r="CB34" s="125"/>
      <c r="CC34" s="125"/>
      <c r="CD34" s="125"/>
      <c r="CE34" s="125"/>
      <c r="CF34" s="125"/>
      <c r="CG34" s="125"/>
      <c r="CH34" s="125"/>
      <c r="CI34" s="125"/>
      <c r="CJ34" s="125"/>
      <c r="CK34" s="24"/>
      <c r="CL34" s="24"/>
      <c r="CM34" s="24"/>
      <c r="CN34" s="125"/>
      <c r="CO34" s="125"/>
      <c r="CP34" s="125"/>
      <c r="CQ34" s="125"/>
      <c r="CR34" s="125"/>
      <c r="CS34" s="125"/>
      <c r="CT34" s="125"/>
      <c r="CU34" s="125"/>
      <c r="CV34" s="125"/>
      <c r="CW34" s="125"/>
      <c r="CX34" s="125"/>
      <c r="CY34" s="125"/>
      <c r="CZ34" s="125"/>
      <c r="DA34" s="125"/>
      <c r="DB34" s="125"/>
      <c r="DC34" s="125"/>
      <c r="DD34" s="125"/>
      <c r="DE34" s="125"/>
      <c r="DF34" s="125"/>
      <c r="DG34" s="125"/>
      <c r="DH34" s="125"/>
      <c r="DI34" s="125"/>
      <c r="DJ34" s="125"/>
      <c r="DK34" s="125"/>
      <c r="DL34" s="125"/>
      <c r="DM34" s="125"/>
      <c r="DN34" s="125"/>
      <c r="DO34" s="24"/>
      <c r="DP34" s="24"/>
    </row>
    <row r="35" spans="1:120">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24"/>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24"/>
      <c r="BH35" s="24"/>
      <c r="BI35" s="24"/>
      <c r="BJ35" s="125"/>
      <c r="BK35" s="125"/>
      <c r="BL35" s="125"/>
      <c r="BM35" s="125"/>
      <c r="BN35" s="125"/>
      <c r="BO35" s="125"/>
      <c r="BP35" s="125"/>
      <c r="BQ35" s="125"/>
      <c r="BR35" s="125"/>
      <c r="BS35" s="125"/>
      <c r="BT35" s="125"/>
      <c r="BU35" s="125"/>
      <c r="BV35" s="125"/>
      <c r="BW35" s="125"/>
      <c r="BX35" s="125"/>
      <c r="BY35" s="125"/>
      <c r="BZ35" s="125"/>
      <c r="CA35" s="125"/>
      <c r="CB35" s="125"/>
      <c r="CC35" s="125"/>
      <c r="CD35" s="125"/>
      <c r="CE35" s="125"/>
      <c r="CF35" s="125"/>
      <c r="CG35" s="125"/>
      <c r="CH35" s="125"/>
      <c r="CI35" s="125"/>
      <c r="CJ35" s="125"/>
      <c r="CK35" s="24"/>
      <c r="CL35" s="24"/>
      <c r="CM35" s="24"/>
      <c r="CN35" s="125"/>
      <c r="CO35" s="125"/>
      <c r="CP35" s="125"/>
      <c r="CQ35" s="125"/>
      <c r="CR35" s="125"/>
      <c r="CS35" s="125"/>
      <c r="CT35" s="125"/>
      <c r="CU35" s="125"/>
      <c r="CV35" s="125"/>
      <c r="CW35" s="125"/>
      <c r="CX35" s="125"/>
      <c r="CY35" s="125"/>
      <c r="CZ35" s="125"/>
      <c r="DA35" s="125"/>
      <c r="DB35" s="125"/>
      <c r="DC35" s="125"/>
      <c r="DD35" s="125"/>
      <c r="DE35" s="125"/>
      <c r="DF35" s="125"/>
      <c r="DG35" s="125"/>
      <c r="DH35" s="125"/>
      <c r="DI35" s="125"/>
      <c r="DJ35" s="125"/>
      <c r="DK35" s="125"/>
      <c r="DL35" s="125"/>
      <c r="DM35" s="125"/>
      <c r="DN35" s="125"/>
      <c r="DO35" s="24"/>
      <c r="DP35" s="24"/>
    </row>
    <row r="36" spans="1:120">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24"/>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24"/>
      <c r="BH36" s="24"/>
      <c r="BI36" s="24"/>
      <c r="BJ36" s="125"/>
      <c r="BK36" s="125"/>
      <c r="BL36" s="125"/>
      <c r="BM36" s="125"/>
      <c r="BN36" s="125"/>
      <c r="BO36" s="125"/>
      <c r="BP36" s="125"/>
      <c r="BQ36" s="125"/>
      <c r="BR36" s="125"/>
      <c r="BS36" s="125"/>
      <c r="BT36" s="125"/>
      <c r="BU36" s="125"/>
      <c r="BV36" s="125"/>
      <c r="BW36" s="125"/>
      <c r="BX36" s="125"/>
      <c r="BY36" s="125"/>
      <c r="BZ36" s="125"/>
      <c r="CA36" s="125"/>
      <c r="CB36" s="125"/>
      <c r="CC36" s="125"/>
      <c r="CD36" s="125"/>
      <c r="CE36" s="125"/>
      <c r="CF36" s="125"/>
      <c r="CG36" s="125"/>
      <c r="CH36" s="125"/>
      <c r="CI36" s="125"/>
      <c r="CJ36" s="125"/>
      <c r="CK36" s="24"/>
      <c r="CL36" s="24"/>
      <c r="CM36" s="24"/>
      <c r="CN36" s="125"/>
      <c r="CO36" s="125"/>
      <c r="CP36" s="125"/>
      <c r="CQ36" s="125"/>
      <c r="CR36" s="125"/>
      <c r="CS36" s="125"/>
      <c r="CT36" s="125"/>
      <c r="CU36" s="125"/>
      <c r="CV36" s="125"/>
      <c r="CW36" s="125"/>
      <c r="CX36" s="125"/>
      <c r="CY36" s="125"/>
      <c r="CZ36" s="125"/>
      <c r="DA36" s="125"/>
      <c r="DB36" s="125"/>
      <c r="DC36" s="125"/>
      <c r="DD36" s="125"/>
      <c r="DE36" s="125"/>
      <c r="DF36" s="125"/>
      <c r="DG36" s="125"/>
      <c r="DH36" s="125"/>
      <c r="DI36" s="125"/>
      <c r="DJ36" s="125"/>
      <c r="DK36" s="125"/>
      <c r="DL36" s="125"/>
      <c r="DM36" s="125"/>
      <c r="DN36" s="125"/>
      <c r="DO36" s="24"/>
      <c r="DP36" s="24"/>
    </row>
    <row r="37" spans="1:120">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24"/>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24"/>
      <c r="BH37" s="24"/>
      <c r="BI37" s="24"/>
      <c r="BJ37" s="125"/>
      <c r="BK37" s="125"/>
      <c r="BL37" s="125"/>
      <c r="BM37" s="125"/>
      <c r="BN37" s="125"/>
      <c r="BO37" s="125"/>
      <c r="BP37" s="125"/>
      <c r="BQ37" s="125"/>
      <c r="BR37" s="125"/>
      <c r="BS37" s="125"/>
      <c r="BT37" s="125"/>
      <c r="BU37" s="125"/>
      <c r="BV37" s="125"/>
      <c r="BW37" s="125"/>
      <c r="BX37" s="125"/>
      <c r="BY37" s="125"/>
      <c r="BZ37" s="125"/>
      <c r="CA37" s="125"/>
      <c r="CB37" s="125"/>
      <c r="CC37" s="125"/>
      <c r="CD37" s="125"/>
      <c r="CE37" s="125"/>
      <c r="CF37" s="125"/>
      <c r="CG37" s="125"/>
      <c r="CH37" s="125"/>
      <c r="CI37" s="125"/>
      <c r="CJ37" s="125"/>
      <c r="CK37" s="24"/>
      <c r="CL37" s="24"/>
      <c r="CM37" s="24"/>
      <c r="CN37" s="125"/>
      <c r="CO37" s="125"/>
      <c r="CP37" s="125"/>
      <c r="CQ37" s="125"/>
      <c r="CR37" s="125"/>
      <c r="CS37" s="125"/>
      <c r="CT37" s="125"/>
      <c r="CU37" s="125"/>
      <c r="CV37" s="125"/>
      <c r="CW37" s="125"/>
      <c r="CX37" s="125"/>
      <c r="CY37" s="125"/>
      <c r="CZ37" s="125"/>
      <c r="DA37" s="125"/>
      <c r="DB37" s="125"/>
      <c r="DC37" s="125"/>
      <c r="DD37" s="125"/>
      <c r="DE37" s="125"/>
      <c r="DF37" s="125"/>
      <c r="DG37" s="125"/>
      <c r="DH37" s="125"/>
      <c r="DI37" s="125"/>
      <c r="DJ37" s="125"/>
      <c r="DK37" s="125"/>
      <c r="DL37" s="125"/>
      <c r="DM37" s="125"/>
      <c r="DN37" s="125"/>
      <c r="DO37" s="24"/>
      <c r="DP37" s="24"/>
    </row>
    <row r="38" spans="1:120">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24"/>
      <c r="BH38" s="24"/>
      <c r="BI38" s="24"/>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24"/>
      <c r="CL38" s="24"/>
      <c r="CM38" s="24"/>
      <c r="CN38" s="125"/>
      <c r="CO38" s="125"/>
      <c r="CP38" s="125"/>
      <c r="CQ38" s="125"/>
      <c r="CR38" s="125"/>
      <c r="CS38" s="125"/>
      <c r="CT38" s="125"/>
      <c r="CU38" s="125"/>
      <c r="CV38" s="125"/>
      <c r="CW38" s="125"/>
      <c r="CX38" s="125"/>
      <c r="CY38" s="125"/>
      <c r="CZ38" s="125"/>
      <c r="DA38" s="125"/>
      <c r="DB38" s="125"/>
      <c r="DC38" s="125"/>
      <c r="DD38" s="125"/>
      <c r="DE38" s="125"/>
      <c r="DF38" s="125"/>
      <c r="DG38" s="125"/>
      <c r="DH38" s="125"/>
      <c r="DI38" s="125"/>
      <c r="DJ38" s="125"/>
      <c r="DK38" s="125"/>
      <c r="DL38" s="125"/>
      <c r="DM38" s="125"/>
      <c r="DN38" s="125"/>
      <c r="DO38" s="24"/>
      <c r="DP38" s="24"/>
    </row>
    <row r="39" spans="1:120">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125"/>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24"/>
      <c r="BH39" s="24"/>
      <c r="BI39" s="24"/>
      <c r="BJ39" s="125"/>
      <c r="BK39" s="125"/>
      <c r="BL39" s="125"/>
      <c r="BM39" s="125"/>
      <c r="BN39" s="125"/>
      <c r="BO39" s="125"/>
      <c r="BP39" s="125"/>
      <c r="BQ39" s="125"/>
      <c r="BR39" s="125"/>
      <c r="BS39" s="125"/>
      <c r="BT39" s="125"/>
      <c r="BU39" s="125"/>
      <c r="BV39" s="125"/>
      <c r="BW39" s="125"/>
      <c r="BX39" s="125"/>
      <c r="BY39" s="125"/>
      <c r="BZ39" s="125"/>
      <c r="CA39" s="125"/>
      <c r="CB39" s="125"/>
      <c r="CC39" s="125"/>
      <c r="CD39" s="125"/>
      <c r="CE39" s="125"/>
      <c r="CF39" s="125"/>
      <c r="CG39" s="125"/>
      <c r="CH39" s="125"/>
      <c r="CI39" s="125"/>
      <c r="CJ39" s="125"/>
      <c r="CK39" s="24"/>
      <c r="CL39" s="24"/>
      <c r="CM39" s="24"/>
      <c r="CN39" s="125"/>
      <c r="CO39" s="125"/>
      <c r="CP39" s="125"/>
      <c r="CQ39" s="125"/>
      <c r="CR39" s="125"/>
      <c r="CS39" s="125"/>
      <c r="CT39" s="125"/>
      <c r="CU39" s="125"/>
      <c r="CV39" s="125"/>
      <c r="CW39" s="125"/>
      <c r="CX39" s="125"/>
      <c r="CY39" s="125"/>
      <c r="CZ39" s="125"/>
      <c r="DA39" s="125"/>
      <c r="DB39" s="125"/>
      <c r="DC39" s="125"/>
      <c r="DD39" s="125"/>
      <c r="DE39" s="125"/>
      <c r="DF39" s="125"/>
      <c r="DG39" s="125"/>
      <c r="DH39" s="125"/>
      <c r="DI39" s="125"/>
      <c r="DJ39" s="125"/>
      <c r="DK39" s="125"/>
      <c r="DL39" s="125"/>
      <c r="DM39" s="125"/>
      <c r="DN39" s="125"/>
      <c r="DO39" s="24"/>
      <c r="DP39" s="24"/>
    </row>
    <row r="40" spans="1:120">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125"/>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24"/>
      <c r="BH40" s="24"/>
      <c r="BI40" s="24"/>
      <c r="BJ40" s="125"/>
      <c r="BK40" s="125"/>
      <c r="BL40" s="125"/>
      <c r="BM40" s="125"/>
      <c r="BN40" s="125"/>
      <c r="BO40" s="125"/>
      <c r="BP40" s="125"/>
      <c r="BQ40" s="125"/>
      <c r="BR40" s="125"/>
      <c r="BS40" s="125"/>
      <c r="BT40" s="125"/>
      <c r="BU40" s="125"/>
      <c r="BV40" s="125"/>
      <c r="BW40" s="125"/>
      <c r="BX40" s="125"/>
      <c r="BY40" s="125"/>
      <c r="BZ40" s="125"/>
      <c r="CA40" s="125"/>
      <c r="CB40" s="125"/>
      <c r="CC40" s="125"/>
      <c r="CD40" s="125"/>
      <c r="CE40" s="125"/>
      <c r="CF40" s="125"/>
      <c r="CG40" s="125"/>
      <c r="CH40" s="125"/>
      <c r="CI40" s="125"/>
      <c r="CJ40" s="125"/>
      <c r="CK40" s="24"/>
      <c r="CL40" s="24"/>
      <c r="CM40" s="24"/>
      <c r="CN40" s="125"/>
      <c r="CO40" s="125"/>
      <c r="CP40" s="125"/>
      <c r="CQ40" s="125"/>
      <c r="CR40" s="125"/>
      <c r="CS40" s="125"/>
      <c r="CT40" s="125"/>
      <c r="CU40" s="125"/>
      <c r="CV40" s="125"/>
      <c r="CW40" s="125"/>
      <c r="CX40" s="125"/>
      <c r="CY40" s="125"/>
      <c r="CZ40" s="125"/>
      <c r="DA40" s="125"/>
      <c r="DB40" s="125"/>
      <c r="DC40" s="125"/>
      <c r="DD40" s="125"/>
      <c r="DE40" s="125"/>
      <c r="DF40" s="125"/>
      <c r="DG40" s="125"/>
      <c r="DH40" s="125"/>
      <c r="DI40" s="125"/>
      <c r="DJ40" s="125"/>
      <c r="DK40" s="125"/>
      <c r="DL40" s="125"/>
      <c r="DM40" s="125"/>
      <c r="DN40" s="125"/>
      <c r="DO40" s="24"/>
      <c r="DP40" s="24"/>
    </row>
    <row r="41" spans="1:120">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24"/>
      <c r="BH41" s="24"/>
      <c r="BI41" s="24"/>
      <c r="BJ41" s="125"/>
      <c r="BK41" s="125"/>
      <c r="BL41" s="125"/>
      <c r="BM41" s="125"/>
      <c r="BN41" s="125"/>
      <c r="BO41" s="125"/>
      <c r="BP41" s="125"/>
      <c r="BQ41" s="125"/>
      <c r="BR41" s="125"/>
      <c r="BS41" s="125"/>
      <c r="BT41" s="125"/>
      <c r="BU41" s="125"/>
      <c r="BV41" s="125"/>
      <c r="BW41" s="125"/>
      <c r="BX41" s="125"/>
      <c r="BY41" s="125"/>
      <c r="BZ41" s="125"/>
      <c r="CA41" s="125"/>
      <c r="CB41" s="125"/>
      <c r="CC41" s="125"/>
      <c r="CD41" s="125"/>
      <c r="CE41" s="125"/>
      <c r="CF41" s="125"/>
      <c r="CG41" s="125"/>
      <c r="CH41" s="125"/>
      <c r="CI41" s="125"/>
      <c r="CJ41" s="125"/>
      <c r="CK41" s="24"/>
      <c r="CL41" s="24"/>
      <c r="CM41" s="24"/>
      <c r="CN41" s="125"/>
      <c r="CO41" s="125"/>
      <c r="CP41" s="125"/>
      <c r="CQ41" s="125"/>
      <c r="CR41" s="125"/>
      <c r="CS41" s="125"/>
      <c r="CT41" s="125"/>
      <c r="CU41" s="125"/>
      <c r="CV41" s="125"/>
      <c r="CW41" s="125"/>
      <c r="CX41" s="125"/>
      <c r="CY41" s="125"/>
      <c r="CZ41" s="125"/>
      <c r="DA41" s="125"/>
      <c r="DB41" s="125"/>
      <c r="DC41" s="125"/>
      <c r="DD41" s="125"/>
      <c r="DE41" s="125"/>
      <c r="DF41" s="125"/>
      <c r="DG41" s="125"/>
      <c r="DH41" s="125"/>
      <c r="DI41" s="125"/>
      <c r="DJ41" s="125"/>
      <c r="DK41" s="125"/>
      <c r="DL41" s="125"/>
      <c r="DM41" s="125"/>
      <c r="DN41" s="125"/>
      <c r="DO41" s="24"/>
      <c r="DP41" s="24"/>
    </row>
    <row r="42" spans="1:120">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125"/>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24"/>
      <c r="BH42" s="24"/>
      <c r="BI42" s="24"/>
      <c r="BJ42" s="125"/>
      <c r="BK42" s="125"/>
      <c r="BL42" s="125"/>
      <c r="BM42" s="125"/>
      <c r="BN42" s="125"/>
      <c r="BO42" s="125"/>
      <c r="BP42" s="125"/>
      <c r="BQ42" s="125"/>
      <c r="BR42" s="125"/>
      <c r="BS42" s="125"/>
      <c r="BT42" s="125"/>
      <c r="BU42" s="125"/>
      <c r="BV42" s="125"/>
      <c r="BW42" s="125"/>
      <c r="BX42" s="125"/>
      <c r="BY42" s="125"/>
      <c r="BZ42" s="125"/>
      <c r="CA42" s="125"/>
      <c r="CB42" s="125"/>
      <c r="CC42" s="125"/>
      <c r="CD42" s="125"/>
      <c r="CE42" s="125"/>
      <c r="CF42" s="125"/>
      <c r="CG42" s="125"/>
      <c r="CH42" s="125"/>
      <c r="CI42" s="125"/>
      <c r="CJ42" s="125"/>
      <c r="CK42" s="24"/>
      <c r="CL42" s="24"/>
      <c r="CM42" s="24"/>
      <c r="CN42" s="125"/>
      <c r="CO42" s="125"/>
      <c r="CP42" s="125"/>
      <c r="CQ42" s="125"/>
      <c r="CR42" s="125"/>
      <c r="CS42" s="125"/>
      <c r="CT42" s="125"/>
      <c r="CU42" s="125"/>
      <c r="CV42" s="125"/>
      <c r="CW42" s="125"/>
      <c r="CX42" s="125"/>
      <c r="CY42" s="125"/>
      <c r="CZ42" s="125"/>
      <c r="DA42" s="125"/>
      <c r="DB42" s="125"/>
      <c r="DC42" s="125"/>
      <c r="DD42" s="125"/>
      <c r="DE42" s="125"/>
      <c r="DF42" s="125"/>
      <c r="DG42" s="125"/>
      <c r="DH42" s="125"/>
      <c r="DI42" s="125"/>
      <c r="DJ42" s="125"/>
      <c r="DK42" s="125"/>
      <c r="DL42" s="125"/>
      <c r="DM42" s="125"/>
      <c r="DN42" s="125"/>
      <c r="DO42" s="24"/>
      <c r="DP42" s="24"/>
    </row>
    <row r="43" spans="1:120">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125"/>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24"/>
      <c r="BH43" s="24"/>
      <c r="BI43" s="24"/>
      <c r="BJ43" s="125"/>
      <c r="BK43" s="125"/>
      <c r="BL43" s="125"/>
      <c r="BM43" s="125"/>
      <c r="BN43" s="125"/>
      <c r="BO43" s="125"/>
      <c r="BP43" s="125"/>
      <c r="BQ43" s="125"/>
      <c r="BR43" s="125"/>
      <c r="BS43" s="125"/>
      <c r="BT43" s="125"/>
      <c r="BU43" s="125"/>
      <c r="BV43" s="125"/>
      <c r="BW43" s="125"/>
      <c r="BX43" s="125"/>
      <c r="BY43" s="125"/>
      <c r="BZ43" s="125"/>
      <c r="CA43" s="125"/>
      <c r="CB43" s="125"/>
      <c r="CC43" s="125"/>
      <c r="CD43" s="125"/>
      <c r="CE43" s="125"/>
      <c r="CF43" s="125"/>
      <c r="CG43" s="125"/>
      <c r="CH43" s="125"/>
      <c r="CI43" s="125"/>
      <c r="CJ43" s="125"/>
      <c r="CK43" s="24"/>
      <c r="CL43" s="24"/>
      <c r="CM43" s="24"/>
      <c r="CN43" s="125"/>
      <c r="CO43" s="125"/>
      <c r="CP43" s="125"/>
      <c r="CQ43" s="125"/>
      <c r="CR43" s="125"/>
      <c r="CS43" s="125"/>
      <c r="CT43" s="125"/>
      <c r="CU43" s="125"/>
      <c r="CV43" s="125"/>
      <c r="CW43" s="125"/>
      <c r="CX43" s="125"/>
      <c r="CY43" s="125"/>
      <c r="CZ43" s="125"/>
      <c r="DA43" s="125"/>
      <c r="DB43" s="125"/>
      <c r="DC43" s="125"/>
      <c r="DD43" s="125"/>
      <c r="DE43" s="125"/>
      <c r="DF43" s="125"/>
      <c r="DG43" s="125"/>
      <c r="DH43" s="125"/>
      <c r="DI43" s="125"/>
      <c r="DJ43" s="125"/>
      <c r="DK43" s="125"/>
      <c r="DL43" s="125"/>
      <c r="DM43" s="125"/>
      <c r="DN43" s="125"/>
      <c r="DO43" s="24"/>
      <c r="DP43" s="24"/>
    </row>
    <row r="44" spans="1:120">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O44" s="125"/>
      <c r="CP44" s="125"/>
      <c r="CQ44" s="125"/>
      <c r="CR44" s="125"/>
      <c r="CS44" s="125"/>
      <c r="CT44" s="125"/>
      <c r="CU44" s="125"/>
      <c r="CV44" s="125"/>
      <c r="CW44" s="125"/>
      <c r="CX44" s="125"/>
      <c r="CY44" s="125"/>
      <c r="CZ44" s="125"/>
      <c r="DA44" s="125"/>
      <c r="DB44" s="125"/>
      <c r="DC44" s="125"/>
      <c r="DD44" s="125"/>
      <c r="DE44" s="125"/>
      <c r="DF44" s="125"/>
      <c r="DG44" s="125"/>
      <c r="DH44" s="125"/>
      <c r="DI44" s="125"/>
      <c r="DJ44" s="125"/>
      <c r="DK44" s="125"/>
      <c r="DL44" s="125"/>
      <c r="DM44" s="125"/>
      <c r="DN44" s="125"/>
    </row>
    <row r="45" spans="1:120">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24"/>
      <c r="AF45" s="125"/>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98"/>
      <c r="BH45" s="98"/>
      <c r="BI45" s="24"/>
      <c r="BJ45" s="125"/>
      <c r="BK45" s="125"/>
      <c r="BL45" s="125"/>
      <c r="BM45" s="125"/>
      <c r="BN45" s="125"/>
      <c r="BO45" s="125"/>
      <c r="BP45" s="125"/>
      <c r="BQ45" s="125"/>
      <c r="BR45" s="125"/>
      <c r="BS45" s="125"/>
      <c r="BT45" s="125"/>
      <c r="BU45" s="125"/>
      <c r="BV45" s="125"/>
      <c r="BW45" s="125"/>
      <c r="BX45" s="125"/>
      <c r="BY45" s="125"/>
      <c r="BZ45" s="125"/>
      <c r="CA45" s="125"/>
      <c r="CB45" s="125"/>
      <c r="CC45" s="125"/>
      <c r="CD45" s="125"/>
      <c r="CE45" s="125"/>
      <c r="CF45" s="125"/>
      <c r="CG45" s="125"/>
      <c r="CH45" s="125"/>
      <c r="CI45" s="125"/>
      <c r="CJ45" s="125"/>
      <c r="CK45" s="98"/>
      <c r="CL45" s="98"/>
      <c r="CM45" s="24"/>
      <c r="CN45" s="125"/>
      <c r="CO45" s="125"/>
      <c r="CP45" s="125"/>
      <c r="CQ45" s="125"/>
      <c r="CR45" s="125"/>
      <c r="CS45" s="125"/>
      <c r="CT45" s="125"/>
      <c r="CU45" s="125"/>
      <c r="CV45" s="125"/>
      <c r="CW45" s="125"/>
      <c r="CX45" s="125"/>
      <c r="CY45" s="125"/>
      <c r="CZ45" s="125"/>
      <c r="DA45" s="125"/>
      <c r="DB45" s="125"/>
      <c r="DC45" s="125"/>
      <c r="DD45" s="125"/>
      <c r="DE45" s="125"/>
      <c r="DF45" s="125"/>
      <c r="DG45" s="125"/>
      <c r="DH45" s="125"/>
      <c r="DI45" s="125"/>
      <c r="DJ45" s="125"/>
      <c r="DK45" s="125"/>
      <c r="DL45" s="125"/>
      <c r="DM45" s="125"/>
      <c r="DN45" s="125"/>
      <c r="DO45" s="98"/>
      <c r="DP45" s="98"/>
    </row>
    <row r="46" spans="1:120">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c r="AG46" s="125"/>
      <c r="AH46" s="125"/>
      <c r="AI46" s="125"/>
      <c r="AJ46" s="125"/>
      <c r="AK46" s="125"/>
      <c r="AL46" s="125"/>
      <c r="AM46" s="125"/>
      <c r="AN46" s="125"/>
      <c r="AO46" s="125"/>
      <c r="AP46" s="125"/>
      <c r="AQ46" s="125"/>
      <c r="AR46" s="125"/>
      <c r="AS46" s="125"/>
      <c r="AT46" s="125"/>
      <c r="AU46" s="125"/>
      <c r="AV46" s="125"/>
      <c r="AW46" s="125"/>
      <c r="AX46" s="125"/>
      <c r="AY46" s="125"/>
      <c r="AZ46" s="125"/>
      <c r="BA46" s="125"/>
      <c r="BB46" s="125"/>
      <c r="BC46" s="125"/>
      <c r="BD46" s="125"/>
      <c r="BE46" s="125"/>
      <c r="BF46" s="125"/>
      <c r="BK46" s="125"/>
      <c r="BL46" s="125"/>
      <c r="BM46" s="125"/>
      <c r="BN46" s="125"/>
      <c r="BO46" s="125"/>
      <c r="BP46" s="125"/>
      <c r="BQ46" s="125"/>
      <c r="BR46" s="125"/>
      <c r="BS46" s="125"/>
      <c r="BT46" s="125"/>
      <c r="BU46" s="125"/>
      <c r="BV46" s="125"/>
      <c r="BW46" s="125"/>
      <c r="BX46" s="125"/>
      <c r="BY46" s="125"/>
      <c r="BZ46" s="125"/>
      <c r="CA46" s="125"/>
      <c r="CB46" s="125"/>
      <c r="CC46" s="125"/>
      <c r="CD46" s="125"/>
      <c r="CE46" s="125"/>
      <c r="CF46" s="125"/>
      <c r="CG46" s="125"/>
      <c r="CH46" s="125"/>
      <c r="CI46" s="125"/>
      <c r="CJ46" s="125"/>
      <c r="CO46" s="125"/>
      <c r="CP46" s="125"/>
      <c r="CQ46" s="125"/>
      <c r="CR46" s="125"/>
      <c r="CS46" s="125"/>
      <c r="CT46" s="125"/>
      <c r="CU46" s="125"/>
      <c r="CV46" s="125"/>
      <c r="CW46" s="125"/>
      <c r="CX46" s="125"/>
      <c r="CY46" s="125"/>
      <c r="CZ46" s="125"/>
      <c r="DA46" s="125"/>
      <c r="DB46" s="125"/>
      <c r="DC46" s="125"/>
      <c r="DD46" s="125"/>
      <c r="DE46" s="125"/>
      <c r="DF46" s="125"/>
      <c r="DG46" s="125"/>
      <c r="DH46" s="125"/>
      <c r="DI46" s="125"/>
      <c r="DJ46" s="125"/>
      <c r="DK46" s="125"/>
      <c r="DL46" s="125"/>
      <c r="DM46" s="125"/>
      <c r="DN46" s="125"/>
    </row>
    <row r="47" spans="1:120">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c r="AG47" s="125"/>
      <c r="AH47" s="125"/>
      <c r="AI47" s="125"/>
      <c r="AJ47" s="125"/>
      <c r="AK47" s="125"/>
      <c r="AL47" s="125"/>
      <c r="AM47" s="125"/>
      <c r="AN47" s="125"/>
      <c r="AO47" s="125"/>
      <c r="AP47" s="125"/>
      <c r="AQ47" s="125"/>
      <c r="AR47" s="125"/>
      <c r="AS47" s="125"/>
      <c r="AT47" s="125"/>
      <c r="AU47" s="125"/>
      <c r="AV47" s="125"/>
      <c r="AW47" s="125"/>
      <c r="AX47" s="125"/>
      <c r="AY47" s="125"/>
      <c r="AZ47" s="125"/>
      <c r="BA47" s="125"/>
      <c r="BB47" s="125"/>
      <c r="BC47" s="125"/>
      <c r="BD47" s="125"/>
      <c r="BE47" s="125"/>
      <c r="BF47" s="125"/>
      <c r="BK47" s="125"/>
      <c r="BL47" s="125"/>
      <c r="BM47" s="125"/>
      <c r="BN47" s="125"/>
      <c r="BO47" s="125"/>
      <c r="BP47" s="125"/>
      <c r="BQ47" s="125"/>
      <c r="BR47" s="125"/>
      <c r="BS47" s="125"/>
      <c r="BT47" s="125"/>
      <c r="BU47" s="125"/>
      <c r="BV47" s="125"/>
      <c r="BW47" s="125"/>
      <c r="BX47" s="125"/>
      <c r="BY47" s="125"/>
      <c r="BZ47" s="125"/>
      <c r="CA47" s="125"/>
      <c r="CB47" s="125"/>
      <c r="CC47" s="125"/>
      <c r="CD47" s="125"/>
      <c r="CE47" s="125"/>
      <c r="CF47" s="125"/>
      <c r="CG47" s="125"/>
      <c r="CH47" s="125"/>
      <c r="CI47" s="125"/>
      <c r="CJ47" s="125"/>
      <c r="CO47" s="125"/>
      <c r="CP47" s="125"/>
      <c r="CQ47" s="125"/>
      <c r="CR47" s="125"/>
      <c r="CS47" s="125"/>
      <c r="CT47" s="125"/>
      <c r="CU47" s="125"/>
      <c r="CV47" s="125"/>
      <c r="CW47" s="125"/>
      <c r="CX47" s="125"/>
      <c r="CY47" s="125"/>
      <c r="CZ47" s="125"/>
      <c r="DA47" s="125"/>
      <c r="DB47" s="125"/>
      <c r="DC47" s="125"/>
      <c r="DD47" s="125"/>
      <c r="DE47" s="125"/>
      <c r="DF47" s="125"/>
      <c r="DG47" s="125"/>
      <c r="DH47" s="125"/>
      <c r="DI47" s="125"/>
      <c r="DJ47" s="125"/>
      <c r="DK47" s="125"/>
      <c r="DL47" s="125"/>
      <c r="DM47" s="125"/>
      <c r="DN47" s="125"/>
    </row>
    <row r="48" spans="1:120">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c r="AG48" s="125"/>
      <c r="AH48" s="125"/>
      <c r="AI48" s="125"/>
      <c r="AJ48" s="125"/>
      <c r="AK48" s="125"/>
      <c r="AL48" s="125"/>
      <c r="AM48" s="125"/>
      <c r="AN48" s="125"/>
      <c r="AO48" s="125"/>
      <c r="AP48" s="125"/>
      <c r="AQ48" s="125"/>
      <c r="AR48" s="125"/>
      <c r="AS48" s="125"/>
      <c r="AT48" s="125"/>
      <c r="AU48" s="125"/>
      <c r="AV48" s="125"/>
      <c r="AW48" s="125"/>
      <c r="AX48" s="125"/>
      <c r="AY48" s="125"/>
      <c r="AZ48" s="125"/>
      <c r="BA48" s="125"/>
      <c r="BB48" s="125"/>
      <c r="BC48" s="125"/>
      <c r="BD48" s="125"/>
      <c r="BE48" s="125"/>
      <c r="BF48" s="125"/>
      <c r="BK48" s="125"/>
      <c r="BL48" s="125"/>
      <c r="BM48" s="125"/>
      <c r="BN48" s="125"/>
      <c r="BO48" s="125"/>
      <c r="BP48" s="125"/>
      <c r="BQ48" s="125"/>
      <c r="BR48" s="125"/>
      <c r="BS48" s="125"/>
      <c r="BT48" s="125"/>
      <c r="BU48" s="125"/>
      <c r="BV48" s="125"/>
      <c r="BW48" s="125"/>
      <c r="BX48" s="125"/>
      <c r="BY48" s="125"/>
      <c r="BZ48" s="125"/>
      <c r="CA48" s="125"/>
      <c r="CB48" s="125"/>
      <c r="CC48" s="125"/>
      <c r="CD48" s="125"/>
      <c r="CE48" s="125"/>
      <c r="CF48" s="125"/>
      <c r="CG48" s="125"/>
      <c r="CH48" s="125"/>
      <c r="CI48" s="125"/>
      <c r="CJ48" s="125"/>
      <c r="CO48" s="125"/>
      <c r="CP48" s="125"/>
      <c r="CQ48" s="125"/>
      <c r="CR48" s="125"/>
      <c r="CS48" s="125"/>
      <c r="CT48" s="125"/>
      <c r="CU48" s="125"/>
      <c r="CV48" s="125"/>
      <c r="CW48" s="125"/>
      <c r="CX48" s="125"/>
      <c r="CY48" s="125"/>
      <c r="CZ48" s="125"/>
      <c r="DA48" s="125"/>
      <c r="DB48" s="125"/>
      <c r="DC48" s="125"/>
      <c r="DD48" s="125"/>
      <c r="DE48" s="125"/>
      <c r="DF48" s="125"/>
      <c r="DG48" s="125"/>
      <c r="DH48" s="125"/>
      <c r="DI48" s="125"/>
      <c r="DJ48" s="125"/>
      <c r="DK48" s="125"/>
      <c r="DL48" s="125"/>
      <c r="DM48" s="125"/>
      <c r="DN48" s="125"/>
    </row>
    <row r="49" spans="1:120">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24"/>
      <c r="BH49" s="24"/>
      <c r="BI49" s="24"/>
      <c r="BJ49" s="125"/>
      <c r="BK49" s="125"/>
      <c r="BL49" s="125"/>
      <c r="BM49" s="125"/>
      <c r="BN49" s="125"/>
      <c r="BO49" s="125"/>
      <c r="BP49" s="125"/>
      <c r="BQ49" s="125"/>
      <c r="BR49" s="125"/>
      <c r="BS49" s="125"/>
      <c r="BT49" s="125"/>
      <c r="BU49" s="125"/>
      <c r="BV49" s="125"/>
      <c r="BW49" s="125"/>
      <c r="BX49" s="125"/>
      <c r="BY49" s="125"/>
      <c r="BZ49" s="125"/>
      <c r="CA49" s="125"/>
      <c r="CB49" s="125"/>
      <c r="CC49" s="125"/>
      <c r="CD49" s="125"/>
      <c r="CE49" s="125"/>
      <c r="CF49" s="125"/>
      <c r="CG49" s="125"/>
      <c r="CH49" s="125"/>
      <c r="CI49" s="125"/>
      <c r="CJ49" s="125"/>
      <c r="CK49" s="24"/>
      <c r="CL49" s="24"/>
      <c r="CM49" s="24"/>
      <c r="CN49" s="125"/>
      <c r="CO49" s="125"/>
      <c r="CP49" s="125"/>
      <c r="CQ49" s="125"/>
      <c r="CR49" s="125"/>
      <c r="CS49" s="125"/>
      <c r="CT49" s="125"/>
      <c r="CU49" s="125"/>
      <c r="CV49" s="125"/>
      <c r="CW49" s="125"/>
      <c r="CX49" s="125"/>
      <c r="CY49" s="125"/>
      <c r="CZ49" s="125"/>
      <c r="DA49" s="125"/>
      <c r="DB49" s="125"/>
      <c r="DC49" s="125"/>
      <c r="DD49" s="125"/>
      <c r="DE49" s="125"/>
      <c r="DF49" s="125"/>
      <c r="DG49" s="125"/>
      <c r="DH49" s="125"/>
      <c r="DI49" s="125"/>
      <c r="DJ49" s="125"/>
      <c r="DK49" s="125"/>
      <c r="DL49" s="125"/>
      <c r="DM49" s="125"/>
      <c r="DN49" s="125"/>
      <c r="DO49" s="24"/>
      <c r="DP49" s="24"/>
    </row>
    <row r="50" spans="1:120">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125"/>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24"/>
      <c r="BH50" s="24"/>
      <c r="BI50" s="24"/>
      <c r="BJ50" s="125"/>
      <c r="BK50" s="125"/>
      <c r="BL50" s="125"/>
      <c r="BM50" s="125"/>
      <c r="BN50" s="125"/>
      <c r="BO50" s="125"/>
      <c r="BP50" s="125"/>
      <c r="BQ50" s="125"/>
      <c r="BR50" s="125"/>
      <c r="BS50" s="125"/>
      <c r="BT50" s="125"/>
      <c r="BU50" s="125"/>
      <c r="BV50" s="125"/>
      <c r="BW50" s="125"/>
      <c r="BX50" s="125"/>
      <c r="BY50" s="125"/>
      <c r="BZ50" s="125"/>
      <c r="CA50" s="125"/>
      <c r="CB50" s="125"/>
      <c r="CC50" s="125"/>
      <c r="CD50" s="125"/>
      <c r="CE50" s="125"/>
      <c r="CF50" s="125"/>
      <c r="CG50" s="125"/>
      <c r="CH50" s="125"/>
      <c r="CI50" s="125"/>
      <c r="CJ50" s="125"/>
      <c r="CK50" s="24"/>
      <c r="CL50" s="24"/>
      <c r="CM50" s="24"/>
      <c r="CN50" s="125"/>
      <c r="CO50" s="125"/>
      <c r="CP50" s="125"/>
      <c r="CQ50" s="125"/>
      <c r="CR50" s="125"/>
      <c r="CS50" s="125"/>
      <c r="CT50" s="125"/>
      <c r="CU50" s="125"/>
      <c r="CV50" s="125"/>
      <c r="CW50" s="125"/>
      <c r="CX50" s="125"/>
      <c r="CY50" s="125"/>
      <c r="CZ50" s="125"/>
      <c r="DA50" s="125"/>
      <c r="DB50" s="125"/>
      <c r="DC50" s="125"/>
      <c r="DD50" s="125"/>
      <c r="DE50" s="125"/>
      <c r="DF50" s="125"/>
      <c r="DG50" s="125"/>
      <c r="DH50" s="125"/>
      <c r="DI50" s="125"/>
      <c r="DJ50" s="125"/>
      <c r="DK50" s="125"/>
      <c r="DL50" s="125"/>
      <c r="DM50" s="125"/>
      <c r="DN50" s="125"/>
      <c r="DO50" s="24"/>
      <c r="DP50" s="24"/>
    </row>
    <row r="51" spans="1:120">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24"/>
      <c r="BH51" s="24"/>
      <c r="BI51" s="24"/>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24"/>
      <c r="CL51" s="24"/>
      <c r="CM51" s="24"/>
      <c r="CN51" s="125"/>
      <c r="CO51" s="125"/>
      <c r="CP51" s="125"/>
      <c r="CQ51" s="125"/>
      <c r="CR51" s="125"/>
      <c r="CS51" s="125"/>
      <c r="CT51" s="125"/>
      <c r="CU51" s="125"/>
      <c r="CV51" s="125"/>
      <c r="CW51" s="125"/>
      <c r="CX51" s="125"/>
      <c r="CY51" s="125"/>
      <c r="CZ51" s="125"/>
      <c r="DA51" s="125"/>
      <c r="DB51" s="125"/>
      <c r="DC51" s="125"/>
      <c r="DD51" s="125"/>
      <c r="DE51" s="125"/>
      <c r="DF51" s="125"/>
      <c r="DG51" s="125"/>
      <c r="DH51" s="125"/>
      <c r="DI51" s="125"/>
      <c r="DJ51" s="125"/>
      <c r="DK51" s="125"/>
      <c r="DL51" s="125"/>
      <c r="DM51" s="125"/>
      <c r="DN51" s="125"/>
      <c r="DO51" s="24"/>
      <c r="DP51" s="24"/>
    </row>
    <row r="52" spans="1:120">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125"/>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24"/>
      <c r="BH52" s="24"/>
      <c r="BI52" s="24"/>
      <c r="BJ52" s="125"/>
      <c r="BK52" s="125"/>
      <c r="BL52" s="125"/>
      <c r="BM52" s="125"/>
      <c r="BN52" s="125"/>
      <c r="BO52" s="125"/>
      <c r="BP52" s="125"/>
      <c r="BQ52" s="125"/>
      <c r="BR52" s="125"/>
      <c r="BS52" s="125"/>
      <c r="BT52" s="125"/>
      <c r="BU52" s="125"/>
      <c r="BV52" s="125"/>
      <c r="BW52" s="125"/>
      <c r="BX52" s="125"/>
      <c r="BY52" s="125"/>
      <c r="BZ52" s="125"/>
      <c r="CA52" s="125"/>
      <c r="CB52" s="125"/>
      <c r="CC52" s="125"/>
      <c r="CD52" s="125"/>
      <c r="CE52" s="125"/>
      <c r="CF52" s="125"/>
      <c r="CG52" s="125"/>
      <c r="CH52" s="125"/>
      <c r="CI52" s="125"/>
      <c r="CJ52" s="125"/>
      <c r="CK52" s="24"/>
      <c r="CL52" s="24"/>
      <c r="CM52" s="24"/>
      <c r="CN52" s="125"/>
      <c r="CO52" s="125"/>
      <c r="CP52" s="125"/>
      <c r="CQ52" s="125"/>
      <c r="CR52" s="125"/>
      <c r="CS52" s="125"/>
      <c r="CT52" s="125"/>
      <c r="CU52" s="125"/>
      <c r="CV52" s="125"/>
      <c r="CW52" s="125"/>
      <c r="CX52" s="125"/>
      <c r="CY52" s="125"/>
      <c r="CZ52" s="125"/>
      <c r="DA52" s="125"/>
      <c r="DB52" s="125"/>
      <c r="DC52" s="125"/>
      <c r="DD52" s="125"/>
      <c r="DE52" s="125"/>
      <c r="DF52" s="125"/>
      <c r="DG52" s="125"/>
      <c r="DH52" s="125"/>
      <c r="DI52" s="125"/>
      <c r="DJ52" s="125"/>
      <c r="DK52" s="125"/>
      <c r="DL52" s="125"/>
      <c r="DM52" s="125"/>
      <c r="DN52" s="125"/>
      <c r="DO52" s="24"/>
      <c r="DP52" s="24"/>
    </row>
    <row r="53" spans="1:120">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125"/>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24"/>
      <c r="BH53" s="24"/>
      <c r="BI53" s="24"/>
      <c r="BJ53" s="125"/>
      <c r="BK53" s="125"/>
      <c r="BL53" s="125"/>
      <c r="BM53" s="125"/>
      <c r="BN53" s="125"/>
      <c r="BO53" s="125"/>
      <c r="BP53" s="125"/>
      <c r="BQ53" s="125"/>
      <c r="BR53" s="125"/>
      <c r="BS53" s="125"/>
      <c r="BT53" s="125"/>
      <c r="BU53" s="125"/>
      <c r="BV53" s="125"/>
      <c r="BW53" s="125"/>
      <c r="BX53" s="125"/>
      <c r="BY53" s="125"/>
      <c r="BZ53" s="125"/>
      <c r="CA53" s="125"/>
      <c r="CB53" s="125"/>
      <c r="CC53" s="125"/>
      <c r="CD53" s="125"/>
      <c r="CE53" s="125"/>
      <c r="CF53" s="125"/>
      <c r="CG53" s="125"/>
      <c r="CH53" s="125"/>
      <c r="CI53" s="125"/>
      <c r="CJ53" s="125"/>
      <c r="CK53" s="24"/>
      <c r="CL53" s="24"/>
      <c r="CM53" s="24"/>
      <c r="CN53" s="125"/>
      <c r="CO53" s="125"/>
      <c r="CP53" s="125"/>
      <c r="CQ53" s="125"/>
      <c r="CR53" s="125"/>
      <c r="CS53" s="125"/>
      <c r="CT53" s="125"/>
      <c r="CU53" s="125"/>
      <c r="CV53" s="125"/>
      <c r="CW53" s="125"/>
      <c r="CX53" s="125"/>
      <c r="CY53" s="125"/>
      <c r="CZ53" s="125"/>
      <c r="DA53" s="125"/>
      <c r="DB53" s="125"/>
      <c r="DC53" s="125"/>
      <c r="DD53" s="125"/>
      <c r="DE53" s="125"/>
      <c r="DF53" s="125"/>
      <c r="DG53" s="125"/>
      <c r="DH53" s="125"/>
      <c r="DI53" s="125"/>
      <c r="DJ53" s="125"/>
      <c r="DK53" s="125"/>
      <c r="DL53" s="125"/>
      <c r="DM53" s="125"/>
      <c r="DN53" s="125"/>
      <c r="DO53" s="24"/>
      <c r="DP53" s="24"/>
    </row>
    <row r="54" spans="1:120">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125"/>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24"/>
      <c r="BH54" s="24"/>
      <c r="BI54" s="24"/>
      <c r="BJ54" s="125"/>
      <c r="BK54" s="125"/>
      <c r="BL54" s="125"/>
      <c r="BM54" s="125"/>
      <c r="BN54" s="125"/>
      <c r="BO54" s="125"/>
      <c r="BP54" s="125"/>
      <c r="BQ54" s="125"/>
      <c r="BR54" s="125"/>
      <c r="BS54" s="125"/>
      <c r="BT54" s="125"/>
      <c r="BU54" s="125"/>
      <c r="BV54" s="125"/>
      <c r="BW54" s="125"/>
      <c r="BX54" s="125"/>
      <c r="BY54" s="125"/>
      <c r="BZ54" s="125"/>
      <c r="CA54" s="125"/>
      <c r="CB54" s="125"/>
      <c r="CC54" s="125"/>
      <c r="CD54" s="125"/>
      <c r="CE54" s="125"/>
      <c r="CF54" s="125"/>
      <c r="CG54" s="125"/>
      <c r="CH54" s="125"/>
      <c r="CI54" s="125"/>
      <c r="CJ54" s="125"/>
      <c r="CK54" s="24"/>
      <c r="CL54" s="24"/>
      <c r="CM54" s="24"/>
      <c r="CN54" s="125"/>
      <c r="CO54" s="125"/>
      <c r="CP54" s="125"/>
      <c r="CQ54" s="125"/>
      <c r="CR54" s="125"/>
      <c r="CS54" s="125"/>
      <c r="CT54" s="125"/>
      <c r="CU54" s="125"/>
      <c r="CV54" s="125"/>
      <c r="CW54" s="125"/>
      <c r="CX54" s="125"/>
      <c r="CY54" s="125"/>
      <c r="CZ54" s="125"/>
      <c r="DA54" s="125"/>
      <c r="DB54" s="125"/>
      <c r="DC54" s="125"/>
      <c r="DD54" s="125"/>
      <c r="DE54" s="125"/>
      <c r="DF54" s="125"/>
      <c r="DG54" s="125"/>
      <c r="DH54" s="125"/>
      <c r="DI54" s="125"/>
      <c r="DJ54" s="125"/>
      <c r="DK54" s="125"/>
      <c r="DL54" s="125"/>
      <c r="DM54" s="125"/>
      <c r="DN54" s="125"/>
      <c r="DO54" s="24"/>
      <c r="DP54" s="24"/>
    </row>
    <row r="55" spans="1:120">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125"/>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24"/>
      <c r="BH55" s="24"/>
      <c r="BI55" s="24"/>
      <c r="BJ55" s="125"/>
      <c r="BK55" s="125"/>
      <c r="BL55" s="125"/>
      <c r="BM55" s="125"/>
      <c r="BN55" s="125"/>
      <c r="BO55" s="125"/>
      <c r="BP55" s="125"/>
      <c r="BQ55" s="125"/>
      <c r="BR55" s="125"/>
      <c r="BS55" s="125"/>
      <c r="BT55" s="125"/>
      <c r="BU55" s="125"/>
      <c r="BV55" s="125"/>
      <c r="BW55" s="125"/>
      <c r="BX55" s="125"/>
      <c r="BY55" s="125"/>
      <c r="BZ55" s="125"/>
      <c r="CA55" s="125"/>
      <c r="CB55" s="125"/>
      <c r="CC55" s="125"/>
      <c r="CD55" s="125"/>
      <c r="CE55" s="125"/>
      <c r="CF55" s="125"/>
      <c r="CG55" s="125"/>
      <c r="CH55" s="125"/>
      <c r="CI55" s="125"/>
      <c r="CJ55" s="125"/>
      <c r="CK55" s="24"/>
      <c r="CL55" s="24"/>
      <c r="CM55" s="24"/>
      <c r="CN55" s="125"/>
      <c r="CO55" s="125"/>
      <c r="CP55" s="125"/>
      <c r="CQ55" s="125"/>
      <c r="CR55" s="125"/>
      <c r="CS55" s="125"/>
      <c r="CT55" s="125"/>
      <c r="CU55" s="125"/>
      <c r="CV55" s="125"/>
      <c r="CW55" s="125"/>
      <c r="CX55" s="125"/>
      <c r="CY55" s="125"/>
      <c r="CZ55" s="125"/>
      <c r="DA55" s="125"/>
      <c r="DB55" s="125"/>
      <c r="DC55" s="125"/>
      <c r="DD55" s="125"/>
      <c r="DE55" s="125"/>
      <c r="DF55" s="125"/>
      <c r="DG55" s="125"/>
      <c r="DH55" s="125"/>
      <c r="DI55" s="125"/>
      <c r="DJ55" s="125"/>
      <c r="DK55" s="125"/>
      <c r="DL55" s="125"/>
      <c r="DM55" s="125"/>
      <c r="DN55" s="125"/>
      <c r="DO55" s="24"/>
      <c r="DP55" s="24"/>
    </row>
    <row r="56" spans="1:120">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125"/>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24"/>
      <c r="BH56" s="24"/>
      <c r="BI56" s="24"/>
      <c r="BJ56" s="125"/>
      <c r="BK56" s="125"/>
      <c r="BL56" s="125"/>
      <c r="BM56" s="125"/>
      <c r="BN56" s="125"/>
      <c r="BO56" s="125"/>
      <c r="BP56" s="125"/>
      <c r="BQ56" s="125"/>
      <c r="BR56" s="125"/>
      <c r="BS56" s="125"/>
      <c r="BT56" s="125"/>
      <c r="BU56" s="125"/>
      <c r="BV56" s="125"/>
      <c r="BW56" s="125"/>
      <c r="BX56" s="125"/>
      <c r="BY56" s="125"/>
      <c r="BZ56" s="125"/>
      <c r="CA56" s="125"/>
      <c r="CB56" s="125"/>
      <c r="CC56" s="125"/>
      <c r="CD56" s="125"/>
      <c r="CE56" s="125"/>
      <c r="CF56" s="125"/>
      <c r="CG56" s="125"/>
      <c r="CH56" s="125"/>
      <c r="CI56" s="125"/>
      <c r="CJ56" s="125"/>
      <c r="CK56" s="24"/>
      <c r="CL56" s="24"/>
      <c r="CM56" s="24"/>
      <c r="CN56" s="125"/>
      <c r="CO56" s="125"/>
      <c r="CP56" s="125"/>
      <c r="CQ56" s="125"/>
      <c r="CR56" s="125"/>
      <c r="CS56" s="125"/>
      <c r="CT56" s="125"/>
      <c r="CU56" s="125"/>
      <c r="CV56" s="125"/>
      <c r="CW56" s="125"/>
      <c r="CX56" s="125"/>
      <c r="CY56" s="125"/>
      <c r="CZ56" s="125"/>
      <c r="DA56" s="125"/>
      <c r="DB56" s="125"/>
      <c r="DC56" s="125"/>
      <c r="DD56" s="125"/>
      <c r="DE56" s="125"/>
      <c r="DF56" s="125"/>
      <c r="DG56" s="125"/>
      <c r="DH56" s="125"/>
      <c r="DI56" s="125"/>
      <c r="DJ56" s="125"/>
      <c r="DK56" s="125"/>
      <c r="DL56" s="125"/>
      <c r="DM56" s="125"/>
      <c r="DN56" s="125"/>
      <c r="DO56" s="24"/>
      <c r="DP56" s="24"/>
    </row>
    <row r="57" spans="1:120">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24"/>
      <c r="BH57" s="24"/>
      <c r="BI57" s="24"/>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24"/>
      <c r="CL57" s="24"/>
      <c r="CM57" s="24"/>
      <c r="CN57" s="125"/>
      <c r="CO57" s="125"/>
      <c r="CP57" s="125"/>
      <c r="CQ57" s="125"/>
      <c r="CR57" s="125"/>
      <c r="CS57" s="125"/>
      <c r="CT57" s="125"/>
      <c r="CU57" s="125"/>
      <c r="CV57" s="125"/>
      <c r="CW57" s="125"/>
      <c r="CX57" s="125"/>
      <c r="CY57" s="125"/>
      <c r="CZ57" s="125"/>
      <c r="DA57" s="125"/>
      <c r="DB57" s="125"/>
      <c r="DC57" s="125"/>
      <c r="DD57" s="125"/>
      <c r="DE57" s="125"/>
      <c r="DF57" s="125"/>
      <c r="DG57" s="125"/>
      <c r="DH57" s="125"/>
      <c r="DI57" s="125"/>
      <c r="DJ57" s="125"/>
      <c r="DK57" s="125"/>
      <c r="DL57" s="125"/>
      <c r="DM57" s="125"/>
      <c r="DN57" s="125"/>
      <c r="DO57" s="24"/>
      <c r="DP57" s="24"/>
    </row>
    <row r="58" spans="1:120">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125"/>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24"/>
      <c r="BH58" s="24"/>
      <c r="BI58" s="24"/>
      <c r="BJ58" s="125"/>
      <c r="BK58" s="125"/>
      <c r="BL58" s="125"/>
      <c r="BM58" s="125"/>
      <c r="BN58" s="125"/>
      <c r="BO58" s="125"/>
      <c r="BP58" s="125"/>
      <c r="BQ58" s="125"/>
      <c r="BR58" s="125"/>
      <c r="BS58" s="125"/>
      <c r="BT58" s="125"/>
      <c r="BU58" s="125"/>
      <c r="BV58" s="125"/>
      <c r="BW58" s="125"/>
      <c r="BX58" s="125"/>
      <c r="BY58" s="125"/>
      <c r="BZ58" s="125"/>
      <c r="CA58" s="125"/>
      <c r="CB58" s="125"/>
      <c r="CC58" s="125"/>
      <c r="CD58" s="125"/>
      <c r="CE58" s="125"/>
      <c r="CF58" s="125"/>
      <c r="CG58" s="125"/>
      <c r="CH58" s="125"/>
      <c r="CI58" s="125"/>
      <c r="CJ58" s="125"/>
      <c r="CK58" s="24"/>
      <c r="CL58" s="24"/>
      <c r="CM58" s="24"/>
      <c r="CN58" s="125"/>
      <c r="CO58" s="125"/>
      <c r="CP58" s="125"/>
      <c r="CQ58" s="125"/>
      <c r="CR58" s="125"/>
      <c r="CS58" s="125"/>
      <c r="CT58" s="125"/>
      <c r="CU58" s="125"/>
      <c r="CV58" s="125"/>
      <c r="CW58" s="125"/>
      <c r="CX58" s="125"/>
      <c r="CY58" s="125"/>
      <c r="CZ58" s="125"/>
      <c r="DA58" s="125"/>
      <c r="DB58" s="125"/>
      <c r="DC58" s="125"/>
      <c r="DD58" s="125"/>
      <c r="DE58" s="125"/>
      <c r="DF58" s="125"/>
      <c r="DG58" s="125"/>
      <c r="DH58" s="125"/>
      <c r="DI58" s="125"/>
      <c r="DJ58" s="125"/>
      <c r="DK58" s="125"/>
      <c r="DL58" s="125"/>
      <c r="DM58" s="125"/>
      <c r="DN58" s="125"/>
      <c r="DO58" s="24"/>
      <c r="DP58" s="24"/>
    </row>
    <row r="59" spans="1:120">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24"/>
      <c r="BH59" s="24"/>
      <c r="BI59" s="24"/>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24"/>
      <c r="CL59" s="24"/>
      <c r="CM59" s="24"/>
      <c r="CN59" s="125"/>
      <c r="CO59" s="125"/>
      <c r="CP59" s="125"/>
      <c r="CQ59" s="125"/>
      <c r="CR59" s="125"/>
      <c r="CS59" s="125"/>
      <c r="CT59" s="125"/>
      <c r="CU59" s="125"/>
      <c r="CV59" s="125"/>
      <c r="CW59" s="125"/>
      <c r="CX59" s="125"/>
      <c r="CY59" s="125"/>
      <c r="CZ59" s="125"/>
      <c r="DA59" s="125"/>
      <c r="DB59" s="125"/>
      <c r="DC59" s="125"/>
      <c r="DD59" s="125"/>
      <c r="DE59" s="125"/>
      <c r="DF59" s="125"/>
      <c r="DG59" s="125"/>
      <c r="DH59" s="125"/>
      <c r="DI59" s="125"/>
      <c r="DJ59" s="125"/>
      <c r="DK59" s="125"/>
      <c r="DL59" s="125"/>
      <c r="DM59" s="125"/>
      <c r="DN59" s="125"/>
      <c r="DO59" s="24"/>
      <c r="DP59" s="24"/>
    </row>
    <row r="60" spans="1:120">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24"/>
      <c r="BH60" s="24"/>
      <c r="BI60" s="24"/>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24"/>
      <c r="CL60" s="24"/>
      <c r="CM60" s="24"/>
      <c r="CN60" s="125"/>
      <c r="CO60" s="125"/>
      <c r="CP60" s="125"/>
      <c r="CQ60" s="125"/>
      <c r="CR60" s="125"/>
      <c r="CS60" s="125"/>
      <c r="CT60" s="125"/>
      <c r="CU60" s="125"/>
      <c r="CV60" s="125"/>
      <c r="CW60" s="125"/>
      <c r="CX60" s="125"/>
      <c r="CY60" s="125"/>
      <c r="CZ60" s="125"/>
      <c r="DA60" s="125"/>
      <c r="DB60" s="125"/>
      <c r="DC60" s="125"/>
      <c r="DD60" s="125"/>
      <c r="DE60" s="125"/>
      <c r="DF60" s="125"/>
      <c r="DG60" s="125"/>
      <c r="DH60" s="125"/>
      <c r="DI60" s="125"/>
      <c r="DJ60" s="125"/>
      <c r="DK60" s="125"/>
      <c r="DL60" s="125"/>
      <c r="DM60" s="125"/>
      <c r="DN60" s="125"/>
      <c r="DO60" s="24"/>
      <c r="DP60" s="24"/>
    </row>
    <row r="61" spans="1:120">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24"/>
      <c r="BH61" s="24"/>
      <c r="BI61" s="24"/>
      <c r="BJ61" s="125"/>
      <c r="BK61" s="125"/>
      <c r="BL61" s="125"/>
      <c r="BM61" s="125"/>
      <c r="BN61" s="125"/>
      <c r="BO61" s="125"/>
      <c r="BP61" s="125"/>
      <c r="BQ61" s="125"/>
      <c r="BR61" s="125"/>
      <c r="BS61" s="125"/>
      <c r="BT61" s="125"/>
      <c r="BU61" s="125"/>
      <c r="BV61" s="125"/>
      <c r="BW61" s="125"/>
      <c r="BX61" s="125"/>
      <c r="BY61" s="125"/>
      <c r="BZ61" s="125"/>
      <c r="CA61" s="125"/>
      <c r="CB61" s="125"/>
      <c r="CC61" s="125"/>
      <c r="CD61" s="125"/>
      <c r="CE61" s="125"/>
      <c r="CF61" s="125"/>
      <c r="CG61" s="125"/>
      <c r="CH61" s="125"/>
      <c r="CI61" s="125"/>
      <c r="CJ61" s="125"/>
      <c r="CK61" s="24"/>
      <c r="CL61" s="24"/>
      <c r="CM61" s="24"/>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24"/>
      <c r="DP61" s="24"/>
    </row>
    <row r="62" spans="1:120">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24"/>
      <c r="BH62" s="24"/>
      <c r="BI62" s="24"/>
      <c r="BJ62" s="125"/>
      <c r="BK62" s="125"/>
      <c r="BL62" s="125"/>
      <c r="BM62" s="125"/>
      <c r="BN62" s="125"/>
      <c r="BO62" s="125"/>
      <c r="BP62" s="125"/>
      <c r="BQ62" s="125"/>
      <c r="BR62" s="125"/>
      <c r="BS62" s="125"/>
      <c r="BT62" s="125"/>
      <c r="BU62" s="125"/>
      <c r="BV62" s="125"/>
      <c r="BW62" s="125"/>
      <c r="BX62" s="125"/>
      <c r="BY62" s="125"/>
      <c r="BZ62" s="125"/>
      <c r="CA62" s="125"/>
      <c r="CB62" s="125"/>
      <c r="CC62" s="125"/>
      <c r="CD62" s="125"/>
      <c r="CE62" s="125"/>
      <c r="CF62" s="125"/>
      <c r="CG62" s="125"/>
      <c r="CH62" s="125"/>
      <c r="CI62" s="125"/>
      <c r="CJ62" s="125"/>
      <c r="CK62" s="24"/>
      <c r="CL62" s="24"/>
      <c r="CM62" s="24"/>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c r="DL62" s="125"/>
      <c r="DM62" s="125"/>
      <c r="DN62" s="125"/>
      <c r="DO62" s="24"/>
      <c r="DP62" s="24"/>
    </row>
    <row r="63" spans="1:120">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24"/>
      <c r="BH63" s="24"/>
      <c r="BI63" s="24"/>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24"/>
      <c r="CL63" s="24"/>
      <c r="CM63" s="24"/>
      <c r="CN63" s="125"/>
      <c r="CO63" s="125"/>
      <c r="CP63" s="125"/>
      <c r="CQ63" s="125"/>
      <c r="CR63" s="125"/>
      <c r="CS63" s="125"/>
      <c r="CT63" s="125"/>
      <c r="CU63" s="125"/>
      <c r="CV63" s="125"/>
      <c r="CW63" s="125"/>
      <c r="CX63" s="125"/>
      <c r="CY63" s="125"/>
      <c r="CZ63" s="125"/>
      <c r="DA63" s="125"/>
      <c r="DB63" s="125"/>
      <c r="DC63" s="125"/>
      <c r="DD63" s="125"/>
      <c r="DE63" s="125"/>
      <c r="DF63" s="125"/>
      <c r="DG63" s="125"/>
      <c r="DH63" s="125"/>
      <c r="DI63" s="125"/>
      <c r="DJ63" s="125"/>
      <c r="DK63" s="125"/>
      <c r="DL63" s="125"/>
      <c r="DM63" s="125"/>
      <c r="DN63" s="125"/>
      <c r="DO63" s="24"/>
      <c r="DP63" s="24"/>
    </row>
    <row r="64" spans="1:120">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24"/>
      <c r="BH64" s="24"/>
      <c r="BI64" s="24"/>
      <c r="BJ64" s="125"/>
      <c r="BK64" s="125"/>
      <c r="BL64" s="125"/>
      <c r="BM64" s="125"/>
      <c r="BN64" s="125"/>
      <c r="BO64" s="125"/>
      <c r="BP64" s="125"/>
      <c r="BQ64" s="125"/>
      <c r="BR64" s="125"/>
      <c r="BS64" s="125"/>
      <c r="BT64" s="125"/>
      <c r="BU64" s="125"/>
      <c r="BV64" s="125"/>
      <c r="BW64" s="125"/>
      <c r="BX64" s="125"/>
      <c r="BY64" s="125"/>
      <c r="BZ64" s="125"/>
      <c r="CA64" s="125"/>
      <c r="CB64" s="125"/>
      <c r="CC64" s="125"/>
      <c r="CD64" s="125"/>
      <c r="CE64" s="125"/>
      <c r="CF64" s="125"/>
      <c r="CG64" s="125"/>
      <c r="CH64" s="125"/>
      <c r="CI64" s="125"/>
      <c r="CJ64" s="125"/>
      <c r="CK64" s="24"/>
      <c r="CL64" s="24"/>
      <c r="CM64" s="24"/>
      <c r="CN64" s="125"/>
      <c r="CO64" s="125"/>
      <c r="CP64" s="125"/>
      <c r="CQ64" s="125"/>
      <c r="CR64" s="125"/>
      <c r="CS64" s="125"/>
      <c r="CT64" s="125"/>
      <c r="CU64" s="125"/>
      <c r="CV64" s="125"/>
      <c r="CW64" s="125"/>
      <c r="CX64" s="125"/>
      <c r="CY64" s="125"/>
      <c r="CZ64" s="125"/>
      <c r="DA64" s="125"/>
      <c r="DB64" s="125"/>
      <c r="DC64" s="125"/>
      <c r="DD64" s="125"/>
      <c r="DE64" s="125"/>
      <c r="DF64" s="125"/>
      <c r="DG64" s="125"/>
      <c r="DH64" s="125"/>
      <c r="DI64" s="125"/>
      <c r="DJ64" s="125"/>
      <c r="DK64" s="125"/>
      <c r="DL64" s="125"/>
      <c r="DM64" s="125"/>
      <c r="DN64" s="125"/>
      <c r="DO64" s="24"/>
      <c r="DP64" s="24"/>
    </row>
    <row r="65" spans="1:120">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24"/>
      <c r="BH65" s="24"/>
      <c r="BI65" s="24"/>
      <c r="BJ65" s="125"/>
      <c r="BK65" s="125"/>
      <c r="BL65" s="125"/>
      <c r="BM65" s="125"/>
      <c r="BN65" s="125"/>
      <c r="BO65" s="125"/>
      <c r="BP65" s="125"/>
      <c r="BQ65" s="125"/>
      <c r="BR65" s="125"/>
      <c r="BS65" s="125"/>
      <c r="BT65" s="125"/>
      <c r="BU65" s="125"/>
      <c r="BV65" s="125"/>
      <c r="BW65" s="125"/>
      <c r="BX65" s="125"/>
      <c r="BY65" s="125"/>
      <c r="BZ65" s="125"/>
      <c r="CA65" s="125"/>
      <c r="CB65" s="125"/>
      <c r="CC65" s="125"/>
      <c r="CD65" s="125"/>
      <c r="CE65" s="125"/>
      <c r="CF65" s="125"/>
      <c r="CG65" s="125"/>
      <c r="CH65" s="125"/>
      <c r="CI65" s="125"/>
      <c r="CJ65" s="125"/>
      <c r="CK65" s="24"/>
      <c r="CL65" s="24"/>
      <c r="CM65" s="24"/>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24"/>
      <c r="DP65" s="24"/>
    </row>
    <row r="66" spans="1:120">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24"/>
      <c r="BH66" s="24"/>
      <c r="BI66" s="24"/>
      <c r="BJ66" s="125"/>
      <c r="BK66" s="125"/>
      <c r="BL66" s="125"/>
      <c r="BM66" s="125"/>
      <c r="BN66" s="125"/>
      <c r="BO66" s="125"/>
      <c r="BP66" s="125"/>
      <c r="BQ66" s="125"/>
      <c r="BR66" s="125"/>
      <c r="BS66" s="125"/>
      <c r="BT66" s="125"/>
      <c r="BU66" s="125"/>
      <c r="BV66" s="125"/>
      <c r="BW66" s="125"/>
      <c r="BX66" s="125"/>
      <c r="BY66" s="125"/>
      <c r="BZ66" s="125"/>
      <c r="CA66" s="125"/>
      <c r="CB66" s="125"/>
      <c r="CC66" s="125"/>
      <c r="CD66" s="125"/>
      <c r="CE66" s="125"/>
      <c r="CF66" s="125"/>
      <c r="CG66" s="125"/>
      <c r="CH66" s="125"/>
      <c r="CI66" s="125"/>
      <c r="CJ66" s="125"/>
      <c r="CK66" s="24"/>
      <c r="CL66" s="24"/>
      <c r="CM66" s="24"/>
      <c r="CN66" s="125"/>
      <c r="CO66" s="125"/>
      <c r="CP66" s="125"/>
      <c r="CQ66" s="125"/>
      <c r="CR66" s="125"/>
      <c r="CS66" s="125"/>
      <c r="CT66" s="125"/>
      <c r="CU66" s="125"/>
      <c r="CV66" s="125"/>
      <c r="CW66" s="125"/>
      <c r="CX66" s="125"/>
      <c r="CY66" s="125"/>
      <c r="CZ66" s="125"/>
      <c r="DA66" s="125"/>
      <c r="DB66" s="125"/>
      <c r="DC66" s="125"/>
      <c r="DD66" s="125"/>
      <c r="DE66" s="125"/>
      <c r="DF66" s="125"/>
      <c r="DG66" s="125"/>
      <c r="DH66" s="125"/>
      <c r="DI66" s="125"/>
      <c r="DJ66" s="125"/>
      <c r="DK66" s="125"/>
      <c r="DL66" s="125"/>
      <c r="DM66" s="125"/>
      <c r="DN66" s="125"/>
      <c r="DO66" s="24"/>
      <c r="DP66" s="24"/>
    </row>
    <row r="67" spans="1:120">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24"/>
      <c r="BH67" s="24"/>
      <c r="BI67" s="24"/>
      <c r="BJ67" s="125"/>
      <c r="BK67" s="125"/>
      <c r="BL67" s="125"/>
      <c r="BM67" s="125"/>
      <c r="BN67" s="125"/>
      <c r="BO67" s="125"/>
      <c r="BP67" s="125"/>
      <c r="BQ67" s="125"/>
      <c r="BR67" s="125"/>
      <c r="BS67" s="125"/>
      <c r="BT67" s="125"/>
      <c r="BU67" s="125"/>
      <c r="BV67" s="125"/>
      <c r="BW67" s="125"/>
      <c r="BX67" s="125"/>
      <c r="BY67" s="125"/>
      <c r="BZ67" s="125"/>
      <c r="CA67" s="125"/>
      <c r="CB67" s="125"/>
      <c r="CC67" s="125"/>
      <c r="CD67" s="125"/>
      <c r="CE67" s="125"/>
      <c r="CF67" s="125"/>
      <c r="CG67" s="125"/>
      <c r="CH67" s="125"/>
      <c r="CI67" s="125"/>
      <c r="CJ67" s="125"/>
      <c r="CK67" s="24"/>
      <c r="CL67" s="24"/>
      <c r="CM67" s="24"/>
      <c r="CN67" s="125"/>
      <c r="CO67" s="125"/>
      <c r="CP67" s="125"/>
      <c r="CQ67" s="125"/>
      <c r="CR67" s="125"/>
      <c r="CS67" s="125"/>
      <c r="CT67" s="125"/>
      <c r="CU67" s="125"/>
      <c r="CV67" s="125"/>
      <c r="CW67" s="125"/>
      <c r="CX67" s="125"/>
      <c r="CY67" s="125"/>
      <c r="CZ67" s="125"/>
      <c r="DA67" s="125"/>
      <c r="DB67" s="125"/>
      <c r="DC67" s="125"/>
      <c r="DD67" s="125"/>
      <c r="DE67" s="125"/>
      <c r="DF67" s="125"/>
      <c r="DG67" s="125"/>
      <c r="DH67" s="125"/>
      <c r="DI67" s="125"/>
      <c r="DJ67" s="125"/>
      <c r="DK67" s="125"/>
      <c r="DL67" s="125"/>
      <c r="DM67" s="125"/>
      <c r="DN67" s="125"/>
      <c r="DO67" s="24"/>
      <c r="DP67" s="24"/>
    </row>
    <row r="68" spans="1:120">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125"/>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24"/>
      <c r="BH68" s="24"/>
      <c r="BI68" s="24"/>
      <c r="BJ68" s="125"/>
      <c r="BK68" s="125"/>
      <c r="BL68" s="125"/>
      <c r="BM68" s="125"/>
      <c r="BN68" s="125"/>
      <c r="BO68" s="125"/>
      <c r="BP68" s="125"/>
      <c r="BQ68" s="125"/>
      <c r="BR68" s="125"/>
      <c r="BS68" s="125"/>
      <c r="BT68" s="125"/>
      <c r="BU68" s="125"/>
      <c r="BV68" s="125"/>
      <c r="BW68" s="125"/>
      <c r="BX68" s="125"/>
      <c r="BY68" s="125"/>
      <c r="BZ68" s="125"/>
      <c r="CA68" s="125"/>
      <c r="CB68" s="125"/>
      <c r="CC68" s="125"/>
      <c r="CD68" s="125"/>
      <c r="CE68" s="125"/>
      <c r="CF68" s="125"/>
      <c r="CG68" s="125"/>
      <c r="CH68" s="125"/>
      <c r="CI68" s="125"/>
      <c r="CJ68" s="125"/>
      <c r="CK68" s="24"/>
      <c r="CL68" s="24"/>
      <c r="CM68" s="24"/>
      <c r="CN68" s="125"/>
      <c r="CO68" s="125"/>
      <c r="CP68" s="125"/>
      <c r="CQ68" s="125"/>
      <c r="CR68" s="125"/>
      <c r="CS68" s="125"/>
      <c r="CT68" s="125"/>
      <c r="CU68" s="125"/>
      <c r="CV68" s="125"/>
      <c r="CW68" s="125"/>
      <c r="CX68" s="125"/>
      <c r="CY68" s="125"/>
      <c r="CZ68" s="125"/>
      <c r="DA68" s="125"/>
      <c r="DB68" s="125"/>
      <c r="DC68" s="125"/>
      <c r="DD68" s="125"/>
      <c r="DE68" s="125"/>
      <c r="DF68" s="125"/>
      <c r="DG68" s="125"/>
      <c r="DH68" s="125"/>
      <c r="DI68" s="125"/>
      <c r="DJ68" s="125"/>
      <c r="DK68" s="125"/>
      <c r="DL68" s="125"/>
      <c r="DM68" s="125"/>
      <c r="DN68" s="125"/>
      <c r="DO68" s="24"/>
      <c r="DP68" s="24"/>
    </row>
    <row r="69" spans="1:120">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24"/>
      <c r="BH69" s="24"/>
      <c r="BI69" s="24"/>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24"/>
      <c r="CL69" s="24"/>
      <c r="CM69" s="24"/>
      <c r="CN69" s="125"/>
      <c r="CO69" s="125"/>
      <c r="CP69" s="125"/>
      <c r="CQ69" s="125"/>
      <c r="CR69" s="125"/>
      <c r="CS69" s="125"/>
      <c r="CT69" s="125"/>
      <c r="CU69" s="125"/>
      <c r="CV69" s="125"/>
      <c r="CW69" s="125"/>
      <c r="CX69" s="125"/>
      <c r="CY69" s="125"/>
      <c r="CZ69" s="125"/>
      <c r="DA69" s="125"/>
      <c r="DB69" s="125"/>
      <c r="DC69" s="125"/>
      <c r="DD69" s="125"/>
      <c r="DE69" s="125"/>
      <c r="DF69" s="125"/>
      <c r="DG69" s="125"/>
      <c r="DH69" s="125"/>
      <c r="DI69" s="125"/>
      <c r="DJ69" s="125"/>
      <c r="DK69" s="125"/>
      <c r="DL69" s="125"/>
      <c r="DM69" s="125"/>
      <c r="DN69" s="125"/>
      <c r="DO69" s="24"/>
      <c r="DP69" s="24"/>
    </row>
    <row r="70" spans="1:120">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24"/>
      <c r="BH70" s="24"/>
      <c r="BI70" s="24"/>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24"/>
      <c r="CL70" s="24"/>
      <c r="CM70" s="24"/>
      <c r="CN70" s="125"/>
      <c r="CO70" s="125"/>
      <c r="CP70" s="125"/>
      <c r="CQ70" s="125"/>
      <c r="CR70" s="125"/>
      <c r="CS70" s="125"/>
      <c r="CT70" s="125"/>
      <c r="CU70" s="125"/>
      <c r="CV70" s="125"/>
      <c r="CW70" s="125"/>
      <c r="CX70" s="125"/>
      <c r="CY70" s="125"/>
      <c r="CZ70" s="125"/>
      <c r="DA70" s="125"/>
      <c r="DB70" s="125"/>
      <c r="DC70" s="125"/>
      <c r="DD70" s="125"/>
      <c r="DE70" s="125"/>
      <c r="DF70" s="125"/>
      <c r="DG70" s="125"/>
      <c r="DH70" s="125"/>
      <c r="DI70" s="125"/>
      <c r="DJ70" s="125"/>
      <c r="DK70" s="125"/>
      <c r="DL70" s="125"/>
      <c r="DM70" s="125"/>
      <c r="DN70" s="125"/>
      <c r="DO70" s="24"/>
      <c r="DP70" s="24"/>
    </row>
    <row r="71" spans="1:120">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24"/>
      <c r="BH71" s="24"/>
      <c r="BI71" s="24"/>
      <c r="BJ71" s="125"/>
      <c r="BK71" s="125"/>
      <c r="BL71" s="125"/>
      <c r="BM71" s="125"/>
      <c r="BN71" s="125"/>
      <c r="BO71" s="125"/>
      <c r="BP71" s="125"/>
      <c r="BQ71" s="125"/>
      <c r="BR71" s="125"/>
      <c r="BS71" s="125"/>
      <c r="BT71" s="125"/>
      <c r="BU71" s="125"/>
      <c r="BV71" s="125"/>
      <c r="BW71" s="125"/>
      <c r="BX71" s="125"/>
      <c r="BY71" s="125"/>
      <c r="BZ71" s="125"/>
      <c r="CA71" s="125"/>
      <c r="CB71" s="125"/>
      <c r="CC71" s="125"/>
      <c r="CD71" s="125"/>
      <c r="CE71" s="125"/>
      <c r="CF71" s="125"/>
      <c r="CG71" s="125"/>
      <c r="CH71" s="125"/>
      <c r="CI71" s="125"/>
      <c r="CJ71" s="125"/>
      <c r="CK71" s="24"/>
      <c r="CL71" s="24"/>
      <c r="CM71" s="24"/>
      <c r="CN71" s="125"/>
      <c r="CO71" s="125"/>
      <c r="CP71" s="125"/>
      <c r="CQ71" s="125"/>
      <c r="CR71" s="125"/>
      <c r="CS71" s="125"/>
      <c r="CT71" s="125"/>
      <c r="CU71" s="125"/>
      <c r="CV71" s="125"/>
      <c r="CW71" s="125"/>
      <c r="CX71" s="125"/>
      <c r="CY71" s="125"/>
      <c r="CZ71" s="125"/>
      <c r="DA71" s="125"/>
      <c r="DB71" s="125"/>
      <c r="DC71" s="125"/>
      <c r="DD71" s="125"/>
      <c r="DE71" s="125"/>
      <c r="DF71" s="125"/>
      <c r="DG71" s="125"/>
      <c r="DH71" s="125"/>
      <c r="DI71" s="125"/>
      <c r="DJ71" s="125"/>
      <c r="DK71" s="125"/>
      <c r="DL71" s="125"/>
      <c r="DM71" s="125"/>
      <c r="DN71" s="125"/>
      <c r="DO71" s="24"/>
      <c r="DP71" s="24"/>
    </row>
    <row r="72" spans="1:120">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125"/>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24"/>
      <c r="BH72" s="24"/>
      <c r="BI72" s="24"/>
      <c r="BJ72" s="125"/>
      <c r="BK72" s="125"/>
      <c r="BL72" s="125"/>
      <c r="BM72" s="125"/>
      <c r="BN72" s="125"/>
      <c r="BO72" s="125"/>
      <c r="BP72" s="125"/>
      <c r="BQ72" s="125"/>
      <c r="BR72" s="125"/>
      <c r="BS72" s="125"/>
      <c r="BT72" s="125"/>
      <c r="BU72" s="125"/>
      <c r="BV72" s="125"/>
      <c r="BW72" s="125"/>
      <c r="BX72" s="125"/>
      <c r="BY72" s="125"/>
      <c r="BZ72" s="125"/>
      <c r="CA72" s="125"/>
      <c r="CB72" s="125"/>
      <c r="CC72" s="125"/>
      <c r="CD72" s="125"/>
      <c r="CE72" s="125"/>
      <c r="CF72" s="125"/>
      <c r="CG72" s="125"/>
      <c r="CH72" s="125"/>
      <c r="CI72" s="125"/>
      <c r="CJ72" s="125"/>
      <c r="CK72" s="24"/>
      <c r="CL72" s="24"/>
      <c r="CM72" s="24"/>
      <c r="CN72" s="125"/>
      <c r="CO72" s="125"/>
      <c r="CP72" s="125"/>
      <c r="CQ72" s="125"/>
      <c r="CR72" s="125"/>
      <c r="CS72" s="125"/>
      <c r="CT72" s="125"/>
      <c r="CU72" s="125"/>
      <c r="CV72" s="125"/>
      <c r="CW72" s="125"/>
      <c r="CX72" s="125"/>
      <c r="CY72" s="125"/>
      <c r="CZ72" s="125"/>
      <c r="DA72" s="125"/>
      <c r="DB72" s="125"/>
      <c r="DC72" s="125"/>
      <c r="DD72" s="125"/>
      <c r="DE72" s="125"/>
      <c r="DF72" s="125"/>
      <c r="DG72" s="125"/>
      <c r="DH72" s="125"/>
      <c r="DI72" s="125"/>
      <c r="DJ72" s="125"/>
      <c r="DK72" s="125"/>
      <c r="DL72" s="125"/>
      <c r="DM72" s="125"/>
      <c r="DN72" s="125"/>
      <c r="DO72" s="24"/>
      <c r="DP72" s="24"/>
    </row>
    <row r="73" spans="1:120">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125"/>
      <c r="AG73" s="125"/>
      <c r="AH73" s="125"/>
      <c r="AI73" s="125"/>
      <c r="AJ73" s="125"/>
      <c r="AK73" s="125"/>
      <c r="AL73" s="125"/>
      <c r="AM73" s="125"/>
      <c r="AN73" s="125"/>
      <c r="AO73" s="125"/>
      <c r="AP73" s="125"/>
      <c r="AQ73" s="125"/>
      <c r="AR73" s="125"/>
      <c r="AS73" s="125"/>
      <c r="AT73" s="125"/>
      <c r="AU73" s="125"/>
      <c r="AV73" s="125"/>
      <c r="AW73" s="125"/>
      <c r="AX73" s="125"/>
      <c r="AY73" s="125"/>
      <c r="AZ73" s="125"/>
      <c r="BA73" s="125"/>
      <c r="BB73" s="125"/>
      <c r="BC73" s="125"/>
      <c r="BD73" s="125"/>
      <c r="BE73" s="125"/>
      <c r="BF73" s="125"/>
      <c r="BG73" s="24"/>
      <c r="BH73" s="24"/>
      <c r="BI73" s="24"/>
      <c r="BJ73" s="125"/>
      <c r="BK73" s="125"/>
      <c r="BL73" s="125"/>
      <c r="BM73" s="125"/>
      <c r="BN73" s="125"/>
      <c r="BO73" s="125"/>
      <c r="BP73" s="125"/>
      <c r="BQ73" s="125"/>
      <c r="BR73" s="125"/>
      <c r="BS73" s="125"/>
      <c r="BT73" s="125"/>
      <c r="BU73" s="125"/>
      <c r="BV73" s="125"/>
      <c r="BW73" s="125"/>
      <c r="BX73" s="125"/>
      <c r="BY73" s="125"/>
      <c r="BZ73" s="125"/>
      <c r="CA73" s="125"/>
      <c r="CB73" s="125"/>
      <c r="CC73" s="125"/>
      <c r="CD73" s="125"/>
      <c r="CE73" s="125"/>
      <c r="CF73" s="125"/>
      <c r="CG73" s="125"/>
      <c r="CH73" s="125"/>
      <c r="CI73" s="125"/>
      <c r="CJ73" s="125"/>
      <c r="CK73" s="24"/>
      <c r="CL73" s="24"/>
      <c r="CM73" s="24"/>
      <c r="CN73" s="125"/>
      <c r="CO73" s="125"/>
      <c r="CP73" s="125"/>
      <c r="CQ73" s="125"/>
      <c r="CR73" s="125"/>
      <c r="CS73" s="125"/>
      <c r="CT73" s="125"/>
      <c r="CU73" s="125"/>
      <c r="CV73" s="125"/>
      <c r="CW73" s="125"/>
      <c r="CX73" s="125"/>
      <c r="CY73" s="125"/>
      <c r="CZ73" s="125"/>
      <c r="DA73" s="125"/>
      <c r="DB73" s="125"/>
      <c r="DC73" s="125"/>
      <c r="DD73" s="125"/>
      <c r="DE73" s="125"/>
      <c r="DF73" s="125"/>
      <c r="DG73" s="125"/>
      <c r="DH73" s="125"/>
      <c r="DI73" s="125"/>
      <c r="DJ73" s="125"/>
      <c r="DK73" s="125"/>
      <c r="DL73" s="125"/>
      <c r="DM73" s="125"/>
      <c r="DN73" s="125"/>
      <c r="DO73" s="24"/>
      <c r="DP73" s="24"/>
    </row>
    <row r="74" spans="1:120">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24"/>
      <c r="BH74" s="24"/>
      <c r="BI74" s="24"/>
      <c r="BJ74" s="125"/>
      <c r="BK74" s="125"/>
      <c r="BL74" s="125"/>
      <c r="BM74" s="125"/>
      <c r="BN74" s="125"/>
      <c r="BO74" s="125"/>
      <c r="BP74" s="125"/>
      <c r="BQ74" s="125"/>
      <c r="BR74" s="125"/>
      <c r="BS74" s="125"/>
      <c r="BT74" s="125"/>
      <c r="BU74" s="125"/>
      <c r="BV74" s="125"/>
      <c r="BW74" s="125"/>
      <c r="BX74" s="125"/>
      <c r="BY74" s="125"/>
      <c r="BZ74" s="125"/>
      <c r="CA74" s="125"/>
      <c r="CB74" s="125"/>
      <c r="CC74" s="125"/>
      <c r="CD74" s="125"/>
      <c r="CE74" s="125"/>
      <c r="CF74" s="125"/>
      <c r="CG74" s="125"/>
      <c r="CH74" s="125"/>
      <c r="CI74" s="125"/>
      <c r="CJ74" s="125"/>
      <c r="CK74" s="24"/>
      <c r="CL74" s="24"/>
      <c r="CM74" s="24"/>
      <c r="CN74" s="125"/>
      <c r="CO74" s="125"/>
      <c r="CP74" s="125"/>
      <c r="CQ74" s="125"/>
      <c r="CR74" s="125"/>
      <c r="CS74" s="125"/>
      <c r="CT74" s="125"/>
      <c r="CU74" s="125"/>
      <c r="CV74" s="125"/>
      <c r="CW74" s="125"/>
      <c r="CX74" s="125"/>
      <c r="CY74" s="125"/>
      <c r="CZ74" s="125"/>
      <c r="DA74" s="125"/>
      <c r="DB74" s="125"/>
      <c r="DC74" s="125"/>
      <c r="DD74" s="125"/>
      <c r="DE74" s="125"/>
      <c r="DF74" s="125"/>
      <c r="DG74" s="125"/>
      <c r="DH74" s="125"/>
      <c r="DI74" s="125"/>
      <c r="DJ74" s="125"/>
      <c r="DK74" s="125"/>
      <c r="DL74" s="125"/>
      <c r="DM74" s="125"/>
      <c r="DN74" s="125"/>
      <c r="DO74" s="24"/>
      <c r="DP74" s="24"/>
    </row>
    <row r="75" spans="1:120">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24"/>
      <c r="BH75" s="24"/>
      <c r="BI75" s="24"/>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24"/>
      <c r="CL75" s="24"/>
      <c r="CM75" s="24"/>
      <c r="CN75" s="123"/>
      <c r="CO75" s="123"/>
      <c r="CP75" s="123"/>
      <c r="CQ75" s="123"/>
      <c r="CR75" s="123"/>
      <c r="CS75" s="123"/>
      <c r="CT75" s="123"/>
      <c r="CU75" s="123"/>
      <c r="CV75" s="123"/>
      <c r="CW75" s="123"/>
      <c r="CX75" s="123"/>
      <c r="CY75" s="123"/>
      <c r="CZ75" s="123"/>
      <c r="DA75" s="123"/>
      <c r="DB75" s="123"/>
      <c r="DC75" s="123"/>
      <c r="DD75" s="123"/>
      <c r="DE75" s="123"/>
      <c r="DF75" s="123"/>
      <c r="DG75" s="123"/>
      <c r="DH75" s="123"/>
      <c r="DI75" s="123"/>
      <c r="DJ75" s="123"/>
      <c r="DK75" s="123"/>
      <c r="DL75" s="123"/>
      <c r="DM75" s="123"/>
      <c r="DN75" s="123"/>
      <c r="DO75" s="24"/>
      <c r="DP75" s="24"/>
    </row>
    <row r="76" spans="1:120">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24"/>
      <c r="BH76" s="24"/>
      <c r="BI76" s="24"/>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24"/>
      <c r="CL76" s="24"/>
      <c r="CM76" s="24"/>
      <c r="CN76" s="123"/>
      <c r="CO76" s="123"/>
      <c r="CP76" s="123"/>
      <c r="CQ76" s="123"/>
      <c r="CR76" s="123"/>
      <c r="CS76" s="123"/>
      <c r="CT76" s="123"/>
      <c r="CU76" s="123"/>
      <c r="CV76" s="123"/>
      <c r="CW76" s="123"/>
      <c r="CX76" s="123"/>
      <c r="CY76" s="123"/>
      <c r="CZ76" s="123"/>
      <c r="DA76" s="123"/>
      <c r="DB76" s="123"/>
      <c r="DC76" s="123"/>
      <c r="DD76" s="123"/>
      <c r="DE76" s="123"/>
      <c r="DF76" s="123"/>
      <c r="DG76" s="123"/>
      <c r="DH76" s="123"/>
      <c r="DI76" s="123"/>
      <c r="DJ76" s="123"/>
      <c r="DK76" s="123"/>
      <c r="DL76" s="123"/>
      <c r="DM76" s="123"/>
      <c r="DN76" s="123"/>
      <c r="DO76" s="24"/>
      <c r="DP76" s="24"/>
    </row>
    <row r="77" spans="1:120">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123"/>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c r="BG77" s="24"/>
      <c r="BH77" s="24"/>
      <c r="BI77" s="24"/>
      <c r="BJ77" s="123"/>
      <c r="BK77" s="123"/>
      <c r="BL77" s="123"/>
      <c r="BM77" s="123"/>
      <c r="BN77" s="123"/>
      <c r="BO77" s="123"/>
      <c r="BP77" s="123"/>
      <c r="BQ77" s="123"/>
      <c r="BR77" s="123"/>
      <c r="BS77" s="123"/>
      <c r="BT77" s="123"/>
      <c r="BU77" s="123"/>
      <c r="BV77" s="123"/>
      <c r="BW77" s="123"/>
      <c r="BX77" s="123"/>
      <c r="BY77" s="123"/>
      <c r="BZ77" s="123"/>
      <c r="CA77" s="123"/>
      <c r="CB77" s="123"/>
      <c r="CC77" s="123"/>
      <c r="CD77" s="123"/>
      <c r="CE77" s="123"/>
      <c r="CF77" s="123"/>
      <c r="CG77" s="123"/>
      <c r="CH77" s="123"/>
      <c r="CI77" s="123"/>
      <c r="CJ77" s="123"/>
      <c r="CK77" s="24"/>
      <c r="CL77" s="24"/>
      <c r="CM77" s="24"/>
      <c r="CN77" s="123"/>
      <c r="CO77" s="123"/>
      <c r="CP77" s="123"/>
      <c r="CQ77" s="123"/>
      <c r="CR77" s="123"/>
      <c r="CS77" s="123"/>
      <c r="CT77" s="123"/>
      <c r="CU77" s="123"/>
      <c r="CV77" s="123"/>
      <c r="CW77" s="123"/>
      <c r="CX77" s="123"/>
      <c r="CY77" s="123"/>
      <c r="CZ77" s="123"/>
      <c r="DA77" s="123"/>
      <c r="DB77" s="123"/>
      <c r="DC77" s="123"/>
      <c r="DD77" s="123"/>
      <c r="DE77" s="123"/>
      <c r="DF77" s="123"/>
      <c r="DG77" s="123"/>
      <c r="DH77" s="123"/>
      <c r="DI77" s="123"/>
      <c r="DJ77" s="123"/>
      <c r="DK77" s="123"/>
      <c r="DL77" s="123"/>
      <c r="DM77" s="123"/>
      <c r="DN77" s="123"/>
      <c r="DO77" s="24"/>
      <c r="DP77" s="24"/>
    </row>
    <row r="78" spans="1:120">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123"/>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24"/>
      <c r="BH78" s="24"/>
      <c r="BI78" s="24"/>
      <c r="BJ78" s="123"/>
      <c r="BK78" s="123"/>
      <c r="BL78" s="123"/>
      <c r="BM78" s="123"/>
      <c r="BN78" s="123"/>
      <c r="BO78" s="123"/>
      <c r="BP78" s="123"/>
      <c r="BQ78" s="123"/>
      <c r="BR78" s="123"/>
      <c r="BS78" s="123"/>
      <c r="BT78" s="123"/>
      <c r="BU78" s="123"/>
      <c r="BV78" s="123"/>
      <c r="BW78" s="123"/>
      <c r="BX78" s="123"/>
      <c r="BY78" s="123"/>
      <c r="BZ78" s="123"/>
      <c r="CA78" s="123"/>
      <c r="CB78" s="123"/>
      <c r="CC78" s="123"/>
      <c r="CD78" s="123"/>
      <c r="CE78" s="123"/>
      <c r="CF78" s="123"/>
      <c r="CG78" s="123"/>
      <c r="CH78" s="123"/>
      <c r="CI78" s="123"/>
      <c r="CJ78" s="123"/>
      <c r="CK78" s="24"/>
      <c r="CL78" s="24"/>
      <c r="CM78" s="24"/>
      <c r="CN78" s="123"/>
      <c r="CO78" s="123"/>
      <c r="CP78" s="123"/>
      <c r="CQ78" s="123"/>
      <c r="CR78" s="123"/>
      <c r="CS78" s="123"/>
      <c r="CT78" s="123"/>
      <c r="CU78" s="123"/>
      <c r="CV78" s="123"/>
      <c r="CW78" s="123"/>
      <c r="CX78" s="123"/>
      <c r="CY78" s="123"/>
      <c r="CZ78" s="123"/>
      <c r="DA78" s="123"/>
      <c r="DB78" s="123"/>
      <c r="DC78" s="123"/>
      <c r="DD78" s="123"/>
      <c r="DE78" s="123"/>
      <c r="DF78" s="123"/>
      <c r="DG78" s="123"/>
      <c r="DH78" s="123"/>
      <c r="DI78" s="123"/>
      <c r="DJ78" s="123"/>
      <c r="DK78" s="123"/>
      <c r="DL78" s="123"/>
      <c r="DM78" s="123"/>
      <c r="DN78" s="123"/>
      <c r="DO78" s="24"/>
      <c r="DP78" s="24"/>
    </row>
    <row r="79" spans="1:120">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D79" s="123"/>
      <c r="BE79" s="123"/>
      <c r="BF79" s="123"/>
      <c r="BG79" s="24"/>
      <c r="BH79" s="24"/>
      <c r="BI79" s="24"/>
      <c r="BJ79" s="123"/>
      <c r="BK79" s="123"/>
      <c r="BL79" s="123"/>
      <c r="BM79" s="123"/>
      <c r="BN79" s="123"/>
      <c r="BO79" s="123"/>
      <c r="BP79" s="123"/>
      <c r="BQ79" s="123"/>
      <c r="BR79" s="123"/>
      <c r="BS79" s="123"/>
      <c r="BT79" s="123"/>
      <c r="BU79" s="123"/>
      <c r="BV79" s="123"/>
      <c r="BW79" s="123"/>
      <c r="BX79" s="123"/>
      <c r="BY79" s="123"/>
      <c r="BZ79" s="123"/>
      <c r="CA79" s="123"/>
      <c r="CB79" s="123"/>
      <c r="CC79" s="123"/>
      <c r="CD79" s="123"/>
      <c r="CE79" s="123"/>
      <c r="CF79" s="123"/>
      <c r="CG79" s="123"/>
      <c r="CH79" s="123"/>
      <c r="CI79" s="123"/>
      <c r="CJ79" s="123"/>
      <c r="CK79" s="24"/>
      <c r="CL79" s="24"/>
      <c r="CM79" s="24"/>
      <c r="CN79" s="123"/>
      <c r="CO79" s="123"/>
      <c r="CP79" s="123"/>
      <c r="CQ79" s="123"/>
      <c r="CR79" s="123"/>
      <c r="CS79" s="123"/>
      <c r="CT79" s="123"/>
      <c r="CU79" s="123"/>
      <c r="CV79" s="123"/>
      <c r="CW79" s="123"/>
      <c r="CX79" s="123"/>
      <c r="CY79" s="123"/>
      <c r="CZ79" s="123"/>
      <c r="DA79" s="123"/>
      <c r="DB79" s="123"/>
      <c r="DC79" s="123"/>
      <c r="DD79" s="123"/>
      <c r="DE79" s="123"/>
      <c r="DF79" s="123"/>
      <c r="DG79" s="123"/>
      <c r="DH79" s="123"/>
      <c r="DI79" s="123"/>
      <c r="DJ79" s="123"/>
      <c r="DK79" s="123"/>
      <c r="DL79" s="123"/>
      <c r="DM79" s="123"/>
      <c r="DN79" s="123"/>
      <c r="DO79" s="24"/>
      <c r="DP79" s="24"/>
    </row>
    <row r="80" spans="1:120">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123"/>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c r="BC80" s="123"/>
      <c r="BD80" s="123"/>
      <c r="BE80" s="123"/>
      <c r="BF80" s="123"/>
      <c r="BG80" s="24"/>
      <c r="BH80" s="24"/>
      <c r="BI80" s="24"/>
      <c r="BJ80" s="123"/>
      <c r="BK80" s="123"/>
      <c r="BL80" s="123"/>
      <c r="BM80" s="123"/>
      <c r="BN80" s="123"/>
      <c r="BO80" s="123"/>
      <c r="BP80" s="123"/>
      <c r="BQ80" s="123"/>
      <c r="BR80" s="123"/>
      <c r="BS80" s="123"/>
      <c r="BT80" s="123"/>
      <c r="BU80" s="123"/>
      <c r="BV80" s="123"/>
      <c r="BW80" s="123"/>
      <c r="BX80" s="123"/>
      <c r="BY80" s="123"/>
      <c r="BZ80" s="123"/>
      <c r="CA80" s="123"/>
      <c r="CB80" s="123"/>
      <c r="CC80" s="123"/>
      <c r="CD80" s="123"/>
      <c r="CE80" s="123"/>
      <c r="CF80" s="123"/>
      <c r="CG80" s="123"/>
      <c r="CH80" s="123"/>
      <c r="CI80" s="123"/>
      <c r="CJ80" s="123"/>
      <c r="CK80" s="24"/>
      <c r="CL80" s="24"/>
      <c r="CM80" s="24"/>
      <c r="CN80" s="123"/>
      <c r="CO80" s="123"/>
      <c r="CP80" s="123"/>
      <c r="CQ80" s="123"/>
      <c r="CR80" s="123"/>
      <c r="CS80" s="123"/>
      <c r="CT80" s="123"/>
      <c r="CU80" s="123"/>
      <c r="CV80" s="123"/>
      <c r="CW80" s="123"/>
      <c r="CX80" s="123"/>
      <c r="CY80" s="123"/>
      <c r="CZ80" s="123"/>
      <c r="DA80" s="123"/>
      <c r="DB80" s="123"/>
      <c r="DC80" s="123"/>
      <c r="DD80" s="123"/>
      <c r="DE80" s="123"/>
      <c r="DF80" s="123"/>
      <c r="DG80" s="123"/>
      <c r="DH80" s="123"/>
      <c r="DI80" s="123"/>
      <c r="DJ80" s="123"/>
      <c r="DK80" s="123"/>
      <c r="DL80" s="123"/>
      <c r="DM80" s="123"/>
      <c r="DN80" s="123"/>
      <c r="DO80" s="24"/>
      <c r="DP80" s="24"/>
    </row>
    <row r="81" spans="1:120">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123"/>
      <c r="AG81" s="123"/>
      <c r="AH81" s="123"/>
      <c r="AI81" s="123"/>
      <c r="AJ81" s="123"/>
      <c r="AK81" s="123"/>
      <c r="AL81" s="123"/>
      <c r="AM81" s="123"/>
      <c r="AN81" s="123"/>
      <c r="AO81" s="123"/>
      <c r="AP81" s="123"/>
      <c r="AQ81" s="123"/>
      <c r="AR81" s="123"/>
      <c r="AS81" s="123"/>
      <c r="AT81" s="123"/>
      <c r="AU81" s="123"/>
      <c r="AV81" s="123"/>
      <c r="AW81" s="123"/>
      <c r="AX81" s="123"/>
      <c r="AY81" s="123"/>
      <c r="AZ81" s="123"/>
      <c r="BA81" s="123"/>
      <c r="BB81" s="123"/>
      <c r="BC81" s="123"/>
      <c r="BD81" s="123"/>
      <c r="BE81" s="123"/>
      <c r="BF81" s="123"/>
      <c r="BG81" s="24"/>
      <c r="BH81" s="24"/>
      <c r="BI81" s="24"/>
      <c r="BJ81" s="123"/>
      <c r="BK81" s="123"/>
      <c r="BL81" s="123"/>
      <c r="BM81" s="123"/>
      <c r="BN81" s="123"/>
      <c r="BO81" s="123"/>
      <c r="BP81" s="123"/>
      <c r="BQ81" s="123"/>
      <c r="BR81" s="123"/>
      <c r="BS81" s="123"/>
      <c r="BT81" s="123"/>
      <c r="BU81" s="123"/>
      <c r="BV81" s="123"/>
      <c r="BW81" s="123"/>
      <c r="BX81" s="123"/>
      <c r="BY81" s="123"/>
      <c r="BZ81" s="123"/>
      <c r="CA81" s="123"/>
      <c r="CB81" s="123"/>
      <c r="CC81" s="123"/>
      <c r="CD81" s="123"/>
      <c r="CE81" s="123"/>
      <c r="CF81" s="123"/>
      <c r="CG81" s="123"/>
      <c r="CH81" s="123"/>
      <c r="CI81" s="123"/>
      <c r="CJ81" s="123"/>
      <c r="CK81" s="24"/>
      <c r="CL81" s="24"/>
      <c r="CM81" s="24"/>
      <c r="CN81" s="123"/>
      <c r="CO81" s="123"/>
      <c r="CP81" s="123"/>
      <c r="CQ81" s="123"/>
      <c r="CR81" s="123"/>
      <c r="CS81" s="123"/>
      <c r="CT81" s="123"/>
      <c r="CU81" s="123"/>
      <c r="CV81" s="123"/>
      <c r="CW81" s="123"/>
      <c r="CX81" s="123"/>
      <c r="CY81" s="123"/>
      <c r="CZ81" s="123"/>
      <c r="DA81" s="123"/>
      <c r="DB81" s="123"/>
      <c r="DC81" s="123"/>
      <c r="DD81" s="123"/>
      <c r="DE81" s="123"/>
      <c r="DF81" s="123"/>
      <c r="DG81" s="123"/>
      <c r="DH81" s="123"/>
      <c r="DI81" s="123"/>
      <c r="DJ81" s="123"/>
      <c r="DK81" s="123"/>
      <c r="DL81" s="123"/>
      <c r="DM81" s="123"/>
      <c r="DN81" s="123"/>
      <c r="DO81" s="24"/>
      <c r="DP81" s="24"/>
    </row>
    <row r="82" spans="1:120">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123"/>
      <c r="BE82" s="123"/>
      <c r="BF82" s="123"/>
      <c r="BG82" s="24"/>
      <c r="BH82" s="24"/>
      <c r="BI82" s="24"/>
      <c r="BJ82" s="123"/>
      <c r="BK82" s="123"/>
      <c r="BL82" s="123"/>
      <c r="BM82" s="123"/>
      <c r="BN82" s="123"/>
      <c r="BO82" s="123"/>
      <c r="BP82" s="123"/>
      <c r="BQ82" s="123"/>
      <c r="BR82" s="123"/>
      <c r="BS82" s="123"/>
      <c r="BT82" s="123"/>
      <c r="BU82" s="123"/>
      <c r="BV82" s="123"/>
      <c r="BW82" s="123"/>
      <c r="BX82" s="123"/>
      <c r="BY82" s="123"/>
      <c r="BZ82" s="123"/>
      <c r="CA82" s="123"/>
      <c r="CB82" s="123"/>
      <c r="CC82" s="123"/>
      <c r="CD82" s="123"/>
      <c r="CE82" s="123"/>
      <c r="CF82" s="123"/>
      <c r="CG82" s="123"/>
      <c r="CH82" s="123"/>
      <c r="CI82" s="123"/>
      <c r="CJ82" s="123"/>
      <c r="CK82" s="24"/>
      <c r="CL82" s="24"/>
      <c r="CM82" s="24"/>
      <c r="CN82" s="123"/>
      <c r="CO82" s="123"/>
      <c r="CP82" s="123"/>
      <c r="CQ82" s="123"/>
      <c r="CR82" s="123"/>
      <c r="CS82" s="123"/>
      <c r="CT82" s="123"/>
      <c r="CU82" s="123"/>
      <c r="CV82" s="123"/>
      <c r="CW82" s="123"/>
      <c r="CX82" s="123"/>
      <c r="CY82" s="123"/>
      <c r="CZ82" s="123"/>
      <c r="DA82" s="123"/>
      <c r="DB82" s="123"/>
      <c r="DC82" s="123"/>
      <c r="DD82" s="123"/>
      <c r="DE82" s="123"/>
      <c r="DF82" s="123"/>
      <c r="DG82" s="123"/>
      <c r="DH82" s="123"/>
      <c r="DI82" s="123"/>
      <c r="DJ82" s="123"/>
      <c r="DK82" s="123"/>
      <c r="DL82" s="123"/>
      <c r="DM82" s="123"/>
      <c r="DN82" s="123"/>
      <c r="DO82" s="24"/>
      <c r="DP82" s="24"/>
    </row>
    <row r="83" spans="1:120">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D83" s="123"/>
      <c r="BE83" s="123"/>
      <c r="BF83" s="123"/>
      <c r="BG83" s="24"/>
      <c r="BH83" s="24"/>
      <c r="BI83" s="24"/>
      <c r="BJ83" s="123"/>
      <c r="BK83" s="123"/>
      <c r="BL83" s="123"/>
      <c r="BM83" s="123"/>
      <c r="BN83" s="123"/>
      <c r="BO83" s="123"/>
      <c r="BP83" s="123"/>
      <c r="BQ83" s="123"/>
      <c r="BR83" s="123"/>
      <c r="BS83" s="123"/>
      <c r="BT83" s="123"/>
      <c r="BU83" s="123"/>
      <c r="BV83" s="123"/>
      <c r="BW83" s="123"/>
      <c r="BX83" s="123"/>
      <c r="BY83" s="123"/>
      <c r="BZ83" s="123"/>
      <c r="CA83" s="123"/>
      <c r="CB83" s="123"/>
      <c r="CC83" s="123"/>
      <c r="CD83" s="123"/>
      <c r="CE83" s="123"/>
      <c r="CF83" s="123"/>
      <c r="CG83" s="123"/>
      <c r="CH83" s="123"/>
      <c r="CI83" s="123"/>
      <c r="CJ83" s="123"/>
      <c r="CK83" s="24"/>
      <c r="CL83" s="24"/>
      <c r="CM83" s="24"/>
      <c r="CN83" s="123"/>
      <c r="CO83" s="123"/>
      <c r="CP83" s="123"/>
      <c r="CQ83" s="123"/>
      <c r="CR83" s="123"/>
      <c r="CS83" s="123"/>
      <c r="CT83" s="123"/>
      <c r="CU83" s="123"/>
      <c r="CV83" s="123"/>
      <c r="CW83" s="123"/>
      <c r="CX83" s="123"/>
      <c r="CY83" s="123"/>
      <c r="CZ83" s="123"/>
      <c r="DA83" s="123"/>
      <c r="DB83" s="123"/>
      <c r="DC83" s="123"/>
      <c r="DD83" s="123"/>
      <c r="DE83" s="123"/>
      <c r="DF83" s="123"/>
      <c r="DG83" s="123"/>
      <c r="DH83" s="123"/>
      <c r="DI83" s="123"/>
      <c r="DJ83" s="123"/>
      <c r="DK83" s="123"/>
      <c r="DL83" s="123"/>
      <c r="DM83" s="123"/>
      <c r="DN83" s="123"/>
      <c r="DO83" s="24"/>
      <c r="DP83" s="24"/>
    </row>
    <row r="84" spans="1:120">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24"/>
      <c r="BH84" s="24"/>
      <c r="BI84" s="24"/>
      <c r="BJ84" s="123"/>
      <c r="BK84" s="123"/>
      <c r="BL84" s="123"/>
      <c r="BM84" s="123"/>
      <c r="BN84" s="123"/>
      <c r="BO84" s="123"/>
      <c r="BP84" s="123"/>
      <c r="BQ84" s="123"/>
      <c r="BR84" s="123"/>
      <c r="BS84" s="123"/>
      <c r="BT84" s="123"/>
      <c r="BU84" s="123"/>
      <c r="BV84" s="123"/>
      <c r="BW84" s="123"/>
      <c r="BX84" s="123"/>
      <c r="BY84" s="123"/>
      <c r="BZ84" s="123"/>
      <c r="CA84" s="123"/>
      <c r="CB84" s="123"/>
      <c r="CC84" s="123"/>
      <c r="CD84" s="123"/>
      <c r="CE84" s="123"/>
      <c r="CF84" s="123"/>
      <c r="CG84" s="123"/>
      <c r="CH84" s="123"/>
      <c r="CI84" s="123"/>
      <c r="CJ84" s="123"/>
      <c r="CK84" s="24"/>
      <c r="CL84" s="24"/>
      <c r="CM84" s="24"/>
      <c r="CN84" s="123"/>
      <c r="CO84" s="123"/>
      <c r="CP84" s="123"/>
      <c r="CQ84" s="123"/>
      <c r="CR84" s="123"/>
      <c r="CS84" s="123"/>
      <c r="CT84" s="123"/>
      <c r="CU84" s="123"/>
      <c r="CV84" s="123"/>
      <c r="CW84" s="123"/>
      <c r="CX84" s="123"/>
      <c r="CY84" s="123"/>
      <c r="CZ84" s="123"/>
      <c r="DA84" s="123"/>
      <c r="DB84" s="123"/>
      <c r="DC84" s="123"/>
      <c r="DD84" s="123"/>
      <c r="DE84" s="123"/>
      <c r="DF84" s="123"/>
      <c r="DG84" s="123"/>
      <c r="DH84" s="123"/>
      <c r="DI84" s="123"/>
      <c r="DJ84" s="123"/>
      <c r="DK84" s="123"/>
      <c r="DL84" s="123"/>
      <c r="DM84" s="123"/>
      <c r="DN84" s="123"/>
      <c r="DO84" s="24"/>
      <c r="DP84" s="24"/>
    </row>
    <row r="85" spans="1:120">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24"/>
      <c r="BH85" s="24"/>
      <c r="BI85" s="24"/>
      <c r="BJ85" s="123"/>
      <c r="BK85" s="123"/>
      <c r="BL85" s="123"/>
      <c r="BM85" s="123"/>
      <c r="BN85" s="123"/>
      <c r="BO85" s="123"/>
      <c r="BP85" s="123"/>
      <c r="BQ85" s="123"/>
      <c r="BR85" s="123"/>
      <c r="BS85" s="123"/>
      <c r="BT85" s="123"/>
      <c r="BU85" s="123"/>
      <c r="BV85" s="123"/>
      <c r="BW85" s="123"/>
      <c r="BX85" s="123"/>
      <c r="BY85" s="123"/>
      <c r="BZ85" s="123"/>
      <c r="CA85" s="123"/>
      <c r="CB85" s="123"/>
      <c r="CC85" s="123"/>
      <c r="CD85" s="123"/>
      <c r="CE85" s="123"/>
      <c r="CF85" s="123"/>
      <c r="CG85" s="123"/>
      <c r="CH85" s="123"/>
      <c r="CI85" s="123"/>
      <c r="CJ85" s="123"/>
      <c r="CK85" s="24"/>
      <c r="CL85" s="24"/>
      <c r="CM85" s="24"/>
      <c r="CN85" s="123"/>
      <c r="CO85" s="123"/>
      <c r="CP85" s="123"/>
      <c r="CQ85" s="123"/>
      <c r="CR85" s="123"/>
      <c r="CS85" s="123"/>
      <c r="CT85" s="123"/>
      <c r="CU85" s="123"/>
      <c r="CV85" s="123"/>
      <c r="CW85" s="123"/>
      <c r="CX85" s="123"/>
      <c r="CY85" s="123"/>
      <c r="CZ85" s="123"/>
      <c r="DA85" s="123"/>
      <c r="DB85" s="123"/>
      <c r="DC85" s="123"/>
      <c r="DD85" s="123"/>
      <c r="DE85" s="123"/>
      <c r="DF85" s="123"/>
      <c r="DG85" s="123"/>
      <c r="DH85" s="123"/>
      <c r="DI85" s="123"/>
      <c r="DJ85" s="123"/>
      <c r="DK85" s="123"/>
      <c r="DL85" s="123"/>
      <c r="DM85" s="123"/>
      <c r="DN85" s="123"/>
      <c r="DO85" s="24"/>
      <c r="DP85" s="24"/>
    </row>
    <row r="86" spans="1:120">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row>
    <row r="87" spans="1:120">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row>
    <row r="88" spans="1:120">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row>
    <row r="89" spans="1:120">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c r="DJ89" s="24"/>
      <c r="DK89" s="24"/>
      <c r="DL89" s="24"/>
      <c r="DM89" s="24"/>
      <c r="DN89" s="24"/>
      <c r="DO89" s="24"/>
      <c r="DP89" s="24"/>
    </row>
    <row r="90" spans="1:12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c r="DD90" s="24"/>
      <c r="DE90" s="24"/>
      <c r="DF90" s="24"/>
      <c r="DG90" s="24"/>
      <c r="DH90" s="24"/>
      <c r="DI90" s="24"/>
      <c r="DJ90" s="24"/>
      <c r="DK90" s="24"/>
      <c r="DL90" s="24"/>
      <c r="DM90" s="24"/>
      <c r="DN90" s="24"/>
      <c r="DO90" s="24"/>
      <c r="DP90" s="24"/>
    </row>
    <row r="91" spans="1:120">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c r="DJ91" s="24"/>
      <c r="DK91" s="24"/>
      <c r="DL91" s="24"/>
      <c r="DM91" s="24"/>
      <c r="DN91" s="24"/>
      <c r="DO91" s="24"/>
      <c r="DP91" s="24"/>
    </row>
    <row r="92" spans="1:120">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c r="DD92" s="24"/>
      <c r="DE92" s="24"/>
      <c r="DF92" s="24"/>
      <c r="DG92" s="24"/>
      <c r="DH92" s="24"/>
      <c r="DI92" s="24"/>
      <c r="DJ92" s="24"/>
      <c r="DK92" s="24"/>
      <c r="DL92" s="24"/>
      <c r="DM92" s="24"/>
      <c r="DN92" s="24"/>
      <c r="DO92" s="24"/>
      <c r="DP92" s="24"/>
    </row>
  </sheetData>
  <mergeCells count="40">
    <mergeCell ref="T1:X1"/>
    <mergeCell ref="Z1:AD1"/>
    <mergeCell ref="T2:X2"/>
    <mergeCell ref="Z2:AD2"/>
    <mergeCell ref="T3:X3"/>
    <mergeCell ref="Z3:AD3"/>
    <mergeCell ref="T4:X4"/>
    <mergeCell ref="Z4:AD4"/>
    <mergeCell ref="A5:AD5"/>
    <mergeCell ref="AC44:AF44"/>
    <mergeCell ref="AC46:AF46"/>
    <mergeCell ref="AC48:AF48"/>
    <mergeCell ref="AX1:BB1"/>
    <mergeCell ref="BD1:BH1"/>
    <mergeCell ref="AX2:BB2"/>
    <mergeCell ref="BD2:BH2"/>
    <mergeCell ref="AX3:BB3"/>
    <mergeCell ref="BD3:BH3"/>
    <mergeCell ref="AX4:BB4"/>
    <mergeCell ref="BD4:BH4"/>
    <mergeCell ref="AE5:BH5"/>
    <mergeCell ref="AC47:AF47"/>
    <mergeCell ref="CB1:CF1"/>
    <mergeCell ref="CH1:CL1"/>
    <mergeCell ref="CB2:CF2"/>
    <mergeCell ref="CH2:CL2"/>
    <mergeCell ref="CB3:CF3"/>
    <mergeCell ref="CH3:CL3"/>
    <mergeCell ref="DF1:DJ1"/>
    <mergeCell ref="DL1:DP1"/>
    <mergeCell ref="DF2:DJ2"/>
    <mergeCell ref="DL2:DP2"/>
    <mergeCell ref="DF3:DJ3"/>
    <mergeCell ref="DL3:DP3"/>
    <mergeCell ref="DL4:DP4"/>
    <mergeCell ref="CM5:DP5"/>
    <mergeCell ref="CB4:CF4"/>
    <mergeCell ref="CH4:CL4"/>
    <mergeCell ref="BI5:CL5"/>
    <mergeCell ref="DF4:DJ4"/>
  </mergeCells>
  <conditionalFormatting sqref="Y55">
    <cfRule type="expression" dxfId="5" priority="4">
      <formula>$U$40=""</formula>
    </cfRule>
  </conditionalFormatting>
  <conditionalFormatting sqref="BC55">
    <cfRule type="expression" dxfId="4" priority="3">
      <formula>$U$40=""</formula>
    </cfRule>
  </conditionalFormatting>
  <conditionalFormatting sqref="CG55">
    <cfRule type="expression" dxfId="3" priority="2">
      <formula>$U$40=""</formula>
    </cfRule>
  </conditionalFormatting>
  <conditionalFormatting sqref="DK55">
    <cfRule type="expression" dxfId="2" priority="1">
      <formula>$U$40=""</formula>
    </cfRule>
  </conditionalFormatting>
  <dataValidations count="1">
    <dataValidation type="list" allowBlank="1" showInputMessage="1" showErrorMessage="1" sqref="D40:G40 AH40:AK40 BL40:BO40 CP40:CS40" xr:uid="{73360831-EED0-4EDF-894E-73AAE5861441}">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colBreaks count="4" manualBreakCount="4">
    <brk id="30" max="1048575" man="1"/>
    <brk id="60" max="1048575" man="1"/>
    <brk id="90" max="1048575" man="1"/>
    <brk id="120" max="1048575" man="1"/>
  </colBreaks>
  <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BF52-617D-43D8-9B05-CADE2F4AA679}">
  <sheetPr>
    <tabColor rgb="FF7030A0"/>
  </sheetPr>
  <dimension ref="A1:BI92"/>
  <sheetViews>
    <sheetView workbookViewId="0"/>
  </sheetViews>
  <sheetFormatPr baseColWidth="10" defaultRowHeight="15"/>
  <cols>
    <col min="1" max="60" width="5.140625" customWidth="1"/>
    <col min="61" max="61" width="7.5703125" customWidth="1"/>
  </cols>
  <sheetData>
    <row r="1" spans="1:61" ht="15.75">
      <c r="A1" s="24"/>
      <c r="B1" s="24"/>
      <c r="C1" s="24"/>
      <c r="D1" s="24"/>
      <c r="E1" s="24"/>
      <c r="F1" s="24"/>
      <c r="G1" s="24"/>
      <c r="H1" s="24"/>
      <c r="I1" s="24"/>
      <c r="J1" s="24"/>
      <c r="K1" s="24"/>
      <c r="L1" s="24"/>
      <c r="M1" s="24"/>
      <c r="N1" s="24"/>
      <c r="O1" s="24"/>
      <c r="P1" s="24"/>
      <c r="Q1" s="24"/>
      <c r="R1" s="24"/>
      <c r="S1" s="24"/>
      <c r="T1" s="1023" t="s">
        <v>815</v>
      </c>
      <c r="U1" s="1023"/>
      <c r="V1" s="1023"/>
      <c r="W1" s="1023"/>
      <c r="X1" s="1023"/>
      <c r="Y1" s="67" t="s">
        <v>0</v>
      </c>
      <c r="Z1" s="1388">
        <f>+'SUSTENTO DE UBICACION'!Z1</f>
        <v>0</v>
      </c>
      <c r="AA1" s="1388"/>
      <c r="AB1" s="1388"/>
      <c r="AC1" s="1388"/>
      <c r="AD1" s="1388"/>
      <c r="AE1" s="24"/>
      <c r="AF1" s="24"/>
      <c r="AG1" s="24"/>
      <c r="AH1" s="24"/>
      <c r="AI1" s="24"/>
      <c r="AJ1" s="24"/>
      <c r="AK1" s="24"/>
      <c r="AL1" s="24"/>
      <c r="AM1" s="24"/>
      <c r="AN1" s="24"/>
      <c r="AO1" s="24"/>
      <c r="AP1" s="24"/>
      <c r="AQ1" s="24"/>
      <c r="AR1" s="24"/>
      <c r="AS1" s="24"/>
      <c r="AT1" s="24"/>
      <c r="AU1" s="24"/>
      <c r="AV1" s="24"/>
      <c r="AW1" s="24"/>
      <c r="AX1" s="1023" t="s">
        <v>815</v>
      </c>
      <c r="AY1" s="1023"/>
      <c r="AZ1" s="1023"/>
      <c r="BA1" s="1023"/>
      <c r="BB1" s="1023"/>
      <c r="BC1" s="67" t="s">
        <v>0</v>
      </c>
      <c r="BD1" s="1388">
        <f>+Z1</f>
        <v>0</v>
      </c>
      <c r="BE1" s="1388"/>
      <c r="BF1" s="1388"/>
      <c r="BG1" s="1388"/>
      <c r="BH1" s="1388"/>
      <c r="BI1" s="24"/>
    </row>
    <row r="2" spans="1:61" ht="15.75">
      <c r="A2" s="24"/>
      <c r="B2" s="24"/>
      <c r="C2" s="24"/>
      <c r="D2" s="24"/>
      <c r="E2" s="24"/>
      <c r="F2" s="24"/>
      <c r="G2" s="24"/>
      <c r="H2" s="24"/>
      <c r="I2" s="24"/>
      <c r="J2" s="24"/>
      <c r="K2" s="24"/>
      <c r="L2" s="24"/>
      <c r="M2" s="24"/>
      <c r="N2" s="24"/>
      <c r="O2" s="24"/>
      <c r="P2" s="24"/>
      <c r="Q2" s="24"/>
      <c r="R2" s="24"/>
      <c r="S2" s="24"/>
      <c r="T2" s="1023" t="s">
        <v>1</v>
      </c>
      <c r="U2" s="1023"/>
      <c r="V2" s="1023"/>
      <c r="W2" s="1023"/>
      <c r="X2" s="1023"/>
      <c r="Y2" s="67" t="s">
        <v>0</v>
      </c>
      <c r="Z2" s="1388" t="str">
        <f>+RRPP!Z2</f>
        <v>XXXX-26</v>
      </c>
      <c r="AA2" s="1388"/>
      <c r="AB2" s="1388"/>
      <c r="AC2" s="1388"/>
      <c r="AD2" s="1388"/>
      <c r="AE2" s="24"/>
      <c r="AF2" s="24"/>
      <c r="AG2" s="24"/>
      <c r="AH2" s="24"/>
      <c r="AI2" s="24"/>
      <c r="AJ2" s="24"/>
      <c r="AK2" s="24"/>
      <c r="AL2" s="24"/>
      <c r="AM2" s="24"/>
      <c r="AN2" s="24"/>
      <c r="AO2" s="24"/>
      <c r="AP2" s="24"/>
      <c r="AQ2" s="24"/>
      <c r="AR2" s="24"/>
      <c r="AS2" s="24"/>
      <c r="AT2" s="24"/>
      <c r="AU2" s="24"/>
      <c r="AV2" s="24"/>
      <c r="AW2" s="24"/>
      <c r="AX2" s="1023" t="s">
        <v>1</v>
      </c>
      <c r="AY2" s="1023"/>
      <c r="AZ2" s="1023"/>
      <c r="BA2" s="1023"/>
      <c r="BB2" s="1023"/>
      <c r="BC2" s="67" t="s">
        <v>0</v>
      </c>
      <c r="BD2" s="1388" t="str">
        <f>+Z2</f>
        <v>XXXX-26</v>
      </c>
      <c r="BE2" s="1388"/>
      <c r="BF2" s="1388"/>
      <c r="BG2" s="1388"/>
      <c r="BH2" s="1388"/>
      <c r="BI2" s="128"/>
    </row>
    <row r="3" spans="1:61" ht="15.75">
      <c r="A3" s="24"/>
      <c r="B3" s="24"/>
      <c r="C3" s="24"/>
      <c r="D3" s="24"/>
      <c r="E3" s="24"/>
      <c r="F3" s="24"/>
      <c r="G3" s="24"/>
      <c r="H3" s="24"/>
      <c r="I3" s="24"/>
      <c r="J3" s="24"/>
      <c r="K3" s="24"/>
      <c r="L3" s="24"/>
      <c r="M3" s="24"/>
      <c r="N3" s="24"/>
      <c r="O3" s="24"/>
      <c r="P3" s="24"/>
      <c r="Q3" s="24"/>
      <c r="R3" s="24"/>
      <c r="S3" s="24"/>
      <c r="T3" s="1023" t="s">
        <v>52</v>
      </c>
      <c r="U3" s="1023"/>
      <c r="V3" s="1023"/>
      <c r="W3" s="1023"/>
      <c r="X3" s="1023"/>
      <c r="Y3" s="67" t="s">
        <v>0</v>
      </c>
      <c r="Z3" s="1026">
        <f>+RRPP!Z3</f>
        <v>0</v>
      </c>
      <c r="AA3" s="1026"/>
      <c r="AB3" s="1026"/>
      <c r="AC3" s="1026"/>
      <c r="AD3" s="1026"/>
      <c r="AE3" s="24"/>
      <c r="AF3" s="24"/>
      <c r="AG3" s="24"/>
      <c r="AH3" s="24"/>
      <c r="AI3" s="24"/>
      <c r="AJ3" s="24"/>
      <c r="AK3" s="24"/>
      <c r="AL3" s="24"/>
      <c r="AM3" s="24"/>
      <c r="AN3" s="24"/>
      <c r="AO3" s="24"/>
      <c r="AP3" s="24"/>
      <c r="AQ3" s="24"/>
      <c r="AR3" s="24"/>
      <c r="AS3" s="24"/>
      <c r="AT3" s="24"/>
      <c r="AU3" s="24"/>
      <c r="AV3" s="24"/>
      <c r="AW3" s="24"/>
      <c r="AX3" s="1023" t="s">
        <v>52</v>
      </c>
      <c r="AY3" s="1023"/>
      <c r="AZ3" s="1023"/>
      <c r="BA3" s="1023"/>
      <c r="BB3" s="1023"/>
      <c r="BC3" s="67" t="s">
        <v>0</v>
      </c>
      <c r="BD3" s="1026">
        <f>+RRPP!BD3</f>
        <v>0</v>
      </c>
      <c r="BE3" s="1026"/>
      <c r="BF3" s="1026"/>
      <c r="BG3" s="1026"/>
      <c r="BH3" s="1026"/>
      <c r="BI3" s="128"/>
    </row>
    <row r="4" spans="1:61" ht="15.75">
      <c r="A4" s="24"/>
      <c r="B4" s="24"/>
      <c r="C4" s="24"/>
      <c r="D4" s="24"/>
      <c r="E4" s="24"/>
      <c r="F4" s="24"/>
      <c r="G4" s="24"/>
      <c r="H4" s="24"/>
      <c r="I4" s="24"/>
      <c r="J4" s="24"/>
      <c r="K4" s="24"/>
      <c r="L4" s="24"/>
      <c r="M4" s="24"/>
      <c r="N4" s="24"/>
      <c r="O4" s="24"/>
      <c r="P4" s="24"/>
      <c r="Q4" s="24"/>
      <c r="R4" s="24"/>
      <c r="S4" s="24"/>
      <c r="T4" s="1023" t="s">
        <v>816</v>
      </c>
      <c r="U4" s="1023"/>
      <c r="V4" s="1023"/>
      <c r="W4" s="1023"/>
      <c r="X4" s="1023"/>
      <c r="Y4" s="67" t="s">
        <v>0</v>
      </c>
      <c r="Z4" s="1026">
        <f>+RRPP!Z4</f>
        <v>365</v>
      </c>
      <c r="AA4" s="1026"/>
      <c r="AB4" s="1026"/>
      <c r="AC4" s="1026"/>
      <c r="AD4" s="1026"/>
      <c r="AE4" s="24"/>
      <c r="AF4" s="24"/>
      <c r="AG4" s="24"/>
      <c r="AH4" s="24"/>
      <c r="AI4" s="24"/>
      <c r="AJ4" s="24"/>
      <c r="AK4" s="24"/>
      <c r="AL4" s="24"/>
      <c r="AM4" s="24"/>
      <c r="AN4" s="24"/>
      <c r="AO4" s="24"/>
      <c r="AP4" s="24"/>
      <c r="AQ4" s="24"/>
      <c r="AR4" s="24"/>
      <c r="AS4" s="24"/>
      <c r="AT4" s="24"/>
      <c r="AU4" s="24"/>
      <c r="AV4" s="24"/>
      <c r="AW4" s="24"/>
      <c r="AX4" s="1023" t="s">
        <v>816</v>
      </c>
      <c r="AY4" s="1023"/>
      <c r="AZ4" s="1023"/>
      <c r="BA4" s="1023"/>
      <c r="BB4" s="1023"/>
      <c r="BC4" s="67" t="s">
        <v>0</v>
      </c>
      <c r="BD4" s="1026">
        <f>+RRPP!BD4</f>
        <v>0</v>
      </c>
      <c r="BE4" s="1026"/>
      <c r="BF4" s="1026"/>
      <c r="BG4" s="1026"/>
      <c r="BH4" s="1026"/>
      <c r="BI4" s="128"/>
    </row>
    <row r="5" spans="1:61" ht="18">
      <c r="A5" s="1312" t="s">
        <v>1525</v>
      </c>
      <c r="B5" s="1313"/>
      <c r="C5" s="1313"/>
      <c r="D5" s="1313"/>
      <c r="E5" s="1313"/>
      <c r="F5" s="1313"/>
      <c r="G5" s="1313"/>
      <c r="H5" s="1313"/>
      <c r="I5" s="1313"/>
      <c r="J5" s="1313"/>
      <c r="K5" s="1313"/>
      <c r="L5" s="1313"/>
      <c r="M5" s="1313"/>
      <c r="N5" s="1313"/>
      <c r="O5" s="1313"/>
      <c r="P5" s="1313"/>
      <c r="Q5" s="1313"/>
      <c r="R5" s="1313"/>
      <c r="S5" s="1313"/>
      <c r="T5" s="1313"/>
      <c r="U5" s="1313"/>
      <c r="V5" s="1313"/>
      <c r="W5" s="1313"/>
      <c r="X5" s="1313"/>
      <c r="Y5" s="1313"/>
      <c r="Z5" s="1313"/>
      <c r="AA5" s="1313"/>
      <c r="AB5" s="1313"/>
      <c r="AC5" s="1313"/>
      <c r="AD5" s="1313"/>
      <c r="AE5" s="1312" t="s">
        <v>1526</v>
      </c>
      <c r="AF5" s="1313"/>
      <c r="AG5" s="1313"/>
      <c r="AH5" s="1313"/>
      <c r="AI5" s="1313"/>
      <c r="AJ5" s="1313"/>
      <c r="AK5" s="1313"/>
      <c r="AL5" s="1313"/>
      <c r="AM5" s="1313"/>
      <c r="AN5" s="1313"/>
      <c r="AO5" s="1313"/>
      <c r="AP5" s="1313"/>
      <c r="AQ5" s="1313"/>
      <c r="AR5" s="1313"/>
      <c r="AS5" s="1313"/>
      <c r="AT5" s="1313"/>
      <c r="AU5" s="1313"/>
      <c r="AV5" s="1313"/>
      <c r="AW5" s="1313"/>
      <c r="AX5" s="1313"/>
      <c r="AY5" s="1313"/>
      <c r="AZ5" s="1313"/>
      <c r="BA5" s="1313"/>
      <c r="BB5" s="1313"/>
      <c r="BC5" s="1313"/>
      <c r="BD5" s="1313"/>
      <c r="BE5" s="1313"/>
      <c r="BF5" s="1313"/>
      <c r="BG5" s="1313"/>
      <c r="BH5" s="1313"/>
      <c r="BI5" s="128"/>
    </row>
    <row r="6" spans="1:61">
      <c r="A6" s="24"/>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128"/>
    </row>
    <row r="7" spans="1:61">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128"/>
    </row>
    <row r="8" spans="1:61">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128"/>
    </row>
    <row r="9" spans="1:61">
      <c r="A9" s="24"/>
      <c r="B9" s="123"/>
      <c r="C9" s="24"/>
      <c r="D9" s="24"/>
      <c r="E9" s="24"/>
      <c r="F9" s="24"/>
      <c r="G9" s="24"/>
      <c r="H9" s="19"/>
      <c r="I9" s="24"/>
      <c r="J9" s="24"/>
      <c r="K9" s="24"/>
      <c r="L9" s="24"/>
      <c r="M9" s="24"/>
      <c r="N9" s="24"/>
      <c r="O9" s="24"/>
      <c r="P9" s="24"/>
      <c r="Q9" s="24"/>
      <c r="R9" s="24"/>
      <c r="S9" s="24"/>
      <c r="T9" s="24"/>
      <c r="U9" s="24"/>
      <c r="V9" s="24"/>
      <c r="W9" s="24"/>
      <c r="X9" s="24"/>
      <c r="Y9" s="24"/>
      <c r="Z9" s="24"/>
      <c r="AA9" s="24"/>
      <c r="AB9" s="24"/>
      <c r="AC9" s="24"/>
      <c r="AD9" s="24"/>
      <c r="AE9" s="24"/>
      <c r="AF9" s="123"/>
      <c r="AG9" s="24"/>
      <c r="AH9" s="24"/>
      <c r="AI9" s="24"/>
      <c r="AJ9" s="24"/>
      <c r="AK9" s="24"/>
      <c r="AL9" s="19"/>
      <c r="AM9" s="24"/>
      <c r="AN9" s="24"/>
      <c r="AO9" s="24"/>
      <c r="AP9" s="24"/>
      <c r="AQ9" s="24"/>
      <c r="AR9" s="24"/>
      <c r="AS9" s="24"/>
      <c r="AT9" s="24"/>
      <c r="AU9" s="24"/>
      <c r="AV9" s="24"/>
      <c r="AW9" s="24"/>
      <c r="AX9" s="24"/>
      <c r="AY9" s="24"/>
      <c r="AZ9" s="24"/>
      <c r="BA9" s="24"/>
      <c r="BB9" s="24"/>
      <c r="BC9" s="24"/>
      <c r="BD9" s="24"/>
      <c r="BE9" s="24"/>
      <c r="BF9" s="24"/>
      <c r="BG9" s="24"/>
      <c r="BH9" s="24"/>
      <c r="BI9" s="128"/>
    </row>
    <row r="10" spans="1:61">
      <c r="A10" s="12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125"/>
      <c r="AC10" s="24"/>
      <c r="AD10" s="24"/>
      <c r="AE10" s="124"/>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24"/>
      <c r="BH10" s="24"/>
      <c r="BI10" s="128"/>
    </row>
    <row r="11" spans="1:61">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24"/>
      <c r="AD11" s="24"/>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24"/>
      <c r="BH11" s="24"/>
      <c r="BI11" s="128"/>
    </row>
    <row r="12" spans="1:61">
      <c r="A12" s="125"/>
      <c r="B12" s="125"/>
      <c r="C12" s="125"/>
      <c r="D12" s="125"/>
      <c r="E12" s="125"/>
      <c r="F12" s="125"/>
      <c r="G12" s="125"/>
      <c r="H12" s="125"/>
      <c r="I12" s="125"/>
      <c r="J12" s="125"/>
      <c r="K12" s="125"/>
      <c r="L12" s="125"/>
      <c r="M12" s="125"/>
      <c r="N12" s="125"/>
      <c r="O12" s="125"/>
      <c r="P12" s="125"/>
      <c r="Q12" s="125"/>
      <c r="R12" s="125"/>
      <c r="S12" s="125"/>
      <c r="T12" s="125"/>
      <c r="U12" s="125"/>
      <c r="V12" s="125"/>
      <c r="W12" s="125"/>
      <c r="X12" s="125"/>
      <c r="Y12" s="125"/>
      <c r="Z12" s="125"/>
      <c r="AA12" s="125"/>
      <c r="AB12" s="125"/>
      <c r="AC12" s="24"/>
      <c r="AD12" s="24"/>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24"/>
      <c r="BH12" s="24"/>
      <c r="BI12" s="128"/>
    </row>
    <row r="13" spans="1:61">
      <c r="A13" s="125"/>
      <c r="B13" s="125"/>
      <c r="C13" s="125"/>
      <c r="D13" s="125"/>
      <c r="E13" s="125"/>
      <c r="F13" s="125"/>
      <c r="G13" s="125"/>
      <c r="H13" s="125"/>
      <c r="I13" s="125"/>
      <c r="J13" s="125"/>
      <c r="K13" s="125"/>
      <c r="L13" s="125"/>
      <c r="M13" s="125"/>
      <c r="N13" s="125"/>
      <c r="O13" s="125"/>
      <c r="P13" s="125"/>
      <c r="Q13" s="125"/>
      <c r="R13" s="125"/>
      <c r="S13" s="125"/>
      <c r="T13" s="125"/>
      <c r="U13" s="125"/>
      <c r="V13" s="125"/>
      <c r="W13" s="125"/>
      <c r="X13" s="125"/>
      <c r="Y13" s="125"/>
      <c r="Z13" s="125"/>
      <c r="AA13" s="125"/>
      <c r="AB13" s="125"/>
      <c r="AC13" s="24"/>
      <c r="AD13" s="24"/>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24"/>
      <c r="BH13" s="24"/>
      <c r="BI13" s="128"/>
    </row>
    <row r="14" spans="1:61">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24"/>
      <c r="AD14" s="24"/>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24"/>
      <c r="BH14" s="24"/>
      <c r="BI14" s="128"/>
    </row>
    <row r="15" spans="1:61">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c r="AA15" s="125"/>
      <c r="AB15" s="125"/>
      <c r="AC15" s="24"/>
      <c r="AD15" s="24"/>
      <c r="AE15" s="125"/>
      <c r="AF15" s="125"/>
      <c r="AG15" s="125"/>
      <c r="AH15" s="125"/>
      <c r="AI15" s="125"/>
      <c r="AJ15" s="125"/>
      <c r="AK15" s="125"/>
      <c r="AL15" s="125"/>
      <c r="AM15" s="125"/>
      <c r="AN15" s="125"/>
      <c r="AO15" s="125"/>
      <c r="AP15" s="125"/>
      <c r="AQ15" s="125"/>
      <c r="AR15" s="125"/>
      <c r="AS15" s="125"/>
      <c r="AT15" s="125"/>
      <c r="AU15" s="125"/>
      <c r="AV15" s="125"/>
      <c r="AW15" s="125"/>
      <c r="AX15" s="125"/>
      <c r="AY15" s="125"/>
      <c r="AZ15" s="125"/>
      <c r="BA15" s="125"/>
      <c r="BB15" s="125"/>
      <c r="BC15" s="125"/>
      <c r="BD15" s="125"/>
      <c r="BE15" s="125"/>
      <c r="BF15" s="125"/>
      <c r="BG15" s="24"/>
      <c r="BH15" s="24"/>
      <c r="BI15" s="128"/>
    </row>
    <row r="16" spans="1:61">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24"/>
      <c r="AD16" s="24"/>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24"/>
      <c r="BH16" s="24"/>
      <c r="BI16" s="128"/>
    </row>
    <row r="17" spans="1:61">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c r="AA17" s="125"/>
      <c r="AB17" s="125"/>
      <c r="AC17" s="24"/>
      <c r="AD17" s="24"/>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24"/>
      <c r="BH17" s="24"/>
      <c r="BI17" s="128"/>
    </row>
    <row r="18" spans="1:61">
      <c r="A18" s="124"/>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c r="AA18" s="125"/>
      <c r="AB18" s="125"/>
      <c r="AC18" s="24"/>
      <c r="AD18" s="24"/>
      <c r="AE18" s="124"/>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24"/>
      <c r="BH18" s="24"/>
      <c r="BI18" s="128"/>
    </row>
    <row r="19" spans="1:61">
      <c r="A19" s="124"/>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24"/>
      <c r="AD19" s="24"/>
      <c r="AE19" s="124"/>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24"/>
      <c r="BH19" s="24"/>
      <c r="BI19" s="128"/>
    </row>
    <row r="20" spans="1:61">
      <c r="A20" s="24"/>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4"/>
      <c r="AD20" s="24"/>
      <c r="AE20" s="24"/>
      <c r="AF20" s="125"/>
      <c r="AG20" s="125"/>
      <c r="AH20" s="125"/>
      <c r="AI20" s="125"/>
      <c r="AJ20" s="125"/>
      <c r="AK20" s="125"/>
      <c r="AL20" s="125"/>
      <c r="AM20" s="125"/>
      <c r="AN20" s="125"/>
      <c r="AO20" s="125"/>
      <c r="AP20" s="125"/>
      <c r="AQ20" s="125"/>
      <c r="AR20" s="125"/>
      <c r="AS20" s="125"/>
      <c r="AT20" s="125"/>
      <c r="AU20" s="125"/>
      <c r="AV20" s="125"/>
      <c r="AW20" s="125"/>
      <c r="AX20" s="125"/>
      <c r="AY20" s="125"/>
      <c r="AZ20" s="125"/>
      <c r="BA20" s="125"/>
      <c r="BB20" s="125"/>
      <c r="BC20" s="125"/>
      <c r="BD20" s="125"/>
      <c r="BE20" s="125"/>
      <c r="BF20" s="125"/>
      <c r="BG20" s="24"/>
      <c r="BH20" s="24"/>
      <c r="BI20" s="128"/>
    </row>
    <row r="21" spans="1:61">
      <c r="A21" s="126"/>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c r="AA21" s="125"/>
      <c r="AB21" s="125"/>
      <c r="AC21" s="24"/>
      <c r="AD21" s="24"/>
      <c r="AE21" s="126"/>
      <c r="AF21" s="125"/>
      <c r="AG21" s="125"/>
      <c r="AH21" s="125"/>
      <c r="AI21" s="125"/>
      <c r="AJ21" s="125"/>
      <c r="AK21" s="125"/>
      <c r="AL21" s="125"/>
      <c r="AM21" s="125"/>
      <c r="AN21" s="125"/>
      <c r="AO21" s="125"/>
      <c r="AP21" s="125"/>
      <c r="AQ21" s="125"/>
      <c r="AR21" s="125"/>
      <c r="AS21" s="125"/>
      <c r="AT21" s="125"/>
      <c r="AU21" s="125"/>
      <c r="AV21" s="125"/>
      <c r="AW21" s="125"/>
      <c r="AX21" s="125"/>
      <c r="AY21" s="125"/>
      <c r="AZ21" s="125"/>
      <c r="BA21" s="125"/>
      <c r="BB21" s="125"/>
      <c r="BC21" s="125"/>
      <c r="BD21" s="125"/>
      <c r="BE21" s="125"/>
      <c r="BF21" s="125"/>
      <c r="BG21" s="24"/>
      <c r="BH21" s="24"/>
      <c r="BI21" s="128"/>
    </row>
    <row r="22" spans="1:61">
      <c r="A22" s="24"/>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c r="AA22" s="125"/>
      <c r="AB22" s="125"/>
      <c r="AC22" s="24"/>
      <c r="AD22" s="24"/>
      <c r="AE22" s="24"/>
      <c r="AF22" s="125"/>
      <c r="AG22" s="125"/>
      <c r="AH22" s="125"/>
      <c r="AI22" s="125"/>
      <c r="AJ22" s="125"/>
      <c r="AK22" s="125"/>
      <c r="AL22" s="125"/>
      <c r="AM22" s="125"/>
      <c r="AN22" s="125"/>
      <c r="AO22" s="125"/>
      <c r="AP22" s="125"/>
      <c r="AQ22" s="125"/>
      <c r="AR22" s="125"/>
      <c r="AS22" s="125"/>
      <c r="AT22" s="125"/>
      <c r="AU22" s="125"/>
      <c r="AV22" s="125"/>
      <c r="AW22" s="125"/>
      <c r="AX22" s="125"/>
      <c r="AY22" s="125"/>
      <c r="AZ22" s="125"/>
      <c r="BA22" s="125"/>
      <c r="BB22" s="125"/>
      <c r="BC22" s="125"/>
      <c r="BD22" s="125"/>
      <c r="BE22" s="125"/>
      <c r="BF22" s="125"/>
      <c r="BG22" s="24"/>
      <c r="BH22" s="24"/>
      <c r="BI22" s="128"/>
    </row>
    <row r="23" spans="1:61">
      <c r="A23" s="24"/>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c r="AA23" s="125"/>
      <c r="AB23" s="125"/>
      <c r="AC23" s="24"/>
      <c r="AD23" s="24"/>
      <c r="AE23" s="24"/>
      <c r="AF23" s="125"/>
      <c r="AG23" s="125"/>
      <c r="AH23" s="125"/>
      <c r="AI23" s="125"/>
      <c r="AJ23" s="125"/>
      <c r="AK23" s="125"/>
      <c r="AL23" s="125"/>
      <c r="AM23" s="125"/>
      <c r="AN23" s="125"/>
      <c r="AO23" s="125"/>
      <c r="AP23" s="125"/>
      <c r="AQ23" s="125"/>
      <c r="AR23" s="125"/>
      <c r="AS23" s="125"/>
      <c r="AT23" s="125"/>
      <c r="AU23" s="125"/>
      <c r="AV23" s="125"/>
      <c r="AW23" s="125"/>
      <c r="AX23" s="125"/>
      <c r="AY23" s="125"/>
      <c r="AZ23" s="125"/>
      <c r="BA23" s="125"/>
      <c r="BB23" s="125"/>
      <c r="BC23" s="125"/>
      <c r="BD23" s="125"/>
      <c r="BE23" s="125"/>
      <c r="BF23" s="125"/>
      <c r="BG23" s="24"/>
      <c r="BH23" s="24"/>
      <c r="BI23" s="128"/>
    </row>
    <row r="24" spans="1:61">
      <c r="A24" s="126"/>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24"/>
      <c r="AD24" s="24"/>
      <c r="AE24" s="126"/>
      <c r="AF24" s="125"/>
      <c r="AG24" s="125"/>
      <c r="AH24" s="125"/>
      <c r="AI24" s="125"/>
      <c r="AJ24" s="125"/>
      <c r="AK24" s="125"/>
      <c r="AL24" s="125"/>
      <c r="AM24" s="125"/>
      <c r="AN24" s="125"/>
      <c r="AO24" s="125"/>
      <c r="AP24" s="125"/>
      <c r="AQ24" s="125"/>
      <c r="AR24" s="125"/>
      <c r="AS24" s="125"/>
      <c r="AT24" s="125"/>
      <c r="AU24" s="125"/>
      <c r="AV24" s="125"/>
      <c r="AW24" s="125"/>
      <c r="AX24" s="125"/>
      <c r="AY24" s="125"/>
      <c r="AZ24" s="125"/>
      <c r="BA24" s="125"/>
      <c r="BB24" s="125"/>
      <c r="BC24" s="125"/>
      <c r="BD24" s="125"/>
      <c r="BE24" s="125"/>
      <c r="BF24" s="125"/>
      <c r="BG24" s="24"/>
      <c r="BH24" s="24"/>
      <c r="BI24" s="128"/>
    </row>
    <row r="25" spans="1:61">
      <c r="A25" s="126"/>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24"/>
      <c r="AD25" s="24"/>
      <c r="AE25" s="126"/>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24"/>
      <c r="BH25" s="24"/>
      <c r="BI25" s="128"/>
    </row>
    <row r="26" spans="1:61">
      <c r="A26" s="126"/>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c r="AA26" s="125"/>
      <c r="AB26" s="125"/>
      <c r="AC26" s="24"/>
      <c r="AD26" s="24"/>
      <c r="AE26" s="126"/>
      <c r="AF26" s="125"/>
      <c r="AG26" s="125"/>
      <c r="AH26" s="125"/>
      <c r="AI26" s="125"/>
      <c r="AJ26" s="125"/>
      <c r="AK26" s="125"/>
      <c r="AL26" s="125"/>
      <c r="AM26" s="125"/>
      <c r="AN26" s="125"/>
      <c r="AO26" s="125"/>
      <c r="AP26" s="125"/>
      <c r="AQ26" s="125"/>
      <c r="AR26" s="125"/>
      <c r="AS26" s="125"/>
      <c r="AT26" s="125"/>
      <c r="AU26" s="125"/>
      <c r="AV26" s="125"/>
      <c r="AW26" s="125"/>
      <c r="AX26" s="125"/>
      <c r="AY26" s="125"/>
      <c r="AZ26" s="125"/>
      <c r="BA26" s="125"/>
      <c r="BB26" s="125"/>
      <c r="BC26" s="125"/>
      <c r="BD26" s="125"/>
      <c r="BE26" s="125"/>
      <c r="BF26" s="125"/>
      <c r="BG26" s="24"/>
      <c r="BH26" s="24"/>
      <c r="BI26" s="128"/>
    </row>
    <row r="27" spans="1:61">
      <c r="A27" s="127"/>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24"/>
      <c r="AD27" s="24"/>
      <c r="AE27" s="127"/>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24"/>
      <c r="BH27" s="24"/>
      <c r="BI27" s="128"/>
    </row>
    <row r="28" spans="1:61">
      <c r="A28" s="127"/>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24"/>
      <c r="AD28" s="24"/>
      <c r="AE28" s="127"/>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24"/>
      <c r="BH28" s="24"/>
      <c r="BI28" s="128"/>
    </row>
    <row r="29" spans="1:61">
      <c r="A29" s="24"/>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24"/>
      <c r="AD29" s="24"/>
      <c r="AE29" s="24"/>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24"/>
      <c r="BH29" s="24"/>
      <c r="BI29" s="128"/>
    </row>
    <row r="30" spans="1:61">
      <c r="A30" s="24"/>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24"/>
      <c r="AD30" s="24"/>
      <c r="AE30" s="24"/>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24"/>
      <c r="BH30" s="24"/>
      <c r="BI30" s="128"/>
    </row>
    <row r="31" spans="1:61">
      <c r="A31" s="127"/>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24"/>
      <c r="AD31" s="24"/>
      <c r="AE31" s="127"/>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25"/>
      <c r="BB31" s="125"/>
      <c r="BC31" s="125"/>
      <c r="BD31" s="125"/>
      <c r="BE31" s="125"/>
      <c r="BF31" s="125"/>
      <c r="BG31" s="24"/>
      <c r="BH31" s="24"/>
      <c r="BI31" s="128"/>
    </row>
    <row r="32" spans="1:61">
      <c r="A32" s="24"/>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c r="AA32" s="125"/>
      <c r="AB32" s="125"/>
      <c r="AC32" s="24"/>
      <c r="AD32" s="24"/>
      <c r="AE32" s="24"/>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24"/>
      <c r="BH32" s="24"/>
      <c r="BI32" s="128"/>
    </row>
    <row r="33" spans="1:61">
      <c r="A33" s="24"/>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c r="AA33" s="125"/>
      <c r="AB33" s="125"/>
      <c r="AC33" s="24"/>
      <c r="AD33" s="24"/>
      <c r="AE33" s="24"/>
      <c r="AF33" s="125"/>
      <c r="AG33" s="125"/>
      <c r="AH33" s="125"/>
      <c r="AI33" s="125"/>
      <c r="AJ33" s="125"/>
      <c r="AK33" s="125"/>
      <c r="AL33" s="125"/>
      <c r="AM33" s="125"/>
      <c r="AN33" s="125"/>
      <c r="AO33" s="125"/>
      <c r="AP33" s="125"/>
      <c r="AQ33" s="125"/>
      <c r="AR33" s="125"/>
      <c r="AS33" s="125"/>
      <c r="AT33" s="125"/>
      <c r="AU33" s="125"/>
      <c r="AV33" s="125"/>
      <c r="AW33" s="125"/>
      <c r="AX33" s="125"/>
      <c r="AY33" s="125"/>
      <c r="AZ33" s="125"/>
      <c r="BA33" s="125"/>
      <c r="BB33" s="125"/>
      <c r="BC33" s="125"/>
      <c r="BD33" s="125"/>
      <c r="BE33" s="125"/>
      <c r="BF33" s="125"/>
      <c r="BG33" s="24"/>
      <c r="BH33" s="24"/>
      <c r="BI33" s="128"/>
    </row>
    <row r="34" spans="1:61">
      <c r="A34" s="24"/>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c r="AA34" s="125"/>
      <c r="AB34" s="125"/>
      <c r="AC34" s="24"/>
      <c r="AD34" s="24"/>
      <c r="AE34" s="24"/>
      <c r="AF34" s="125"/>
      <c r="AG34" s="125"/>
      <c r="AH34" s="125"/>
      <c r="AI34" s="125"/>
      <c r="AJ34" s="125"/>
      <c r="AK34" s="125"/>
      <c r="AL34" s="125"/>
      <c r="AM34" s="125"/>
      <c r="AN34" s="125"/>
      <c r="AO34" s="125"/>
      <c r="AP34" s="125"/>
      <c r="AQ34" s="125"/>
      <c r="AR34" s="125"/>
      <c r="AS34" s="125"/>
      <c r="AT34" s="125"/>
      <c r="AU34" s="125"/>
      <c r="AV34" s="125"/>
      <c r="AW34" s="125"/>
      <c r="AX34" s="125"/>
      <c r="AY34" s="125"/>
      <c r="AZ34" s="125"/>
      <c r="BA34" s="125"/>
      <c r="BB34" s="125"/>
      <c r="BC34" s="125"/>
      <c r="BD34" s="125"/>
      <c r="BE34" s="125"/>
      <c r="BF34" s="125"/>
      <c r="BG34" s="24"/>
      <c r="BH34" s="24"/>
      <c r="BI34" s="128"/>
    </row>
    <row r="35" spans="1:61">
      <c r="A35" s="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24"/>
      <c r="AD35" s="24"/>
      <c r="AE35" s="24"/>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24"/>
      <c r="BH35" s="24"/>
      <c r="BI35" s="128"/>
    </row>
    <row r="36" spans="1:61">
      <c r="A36" s="24"/>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24"/>
      <c r="AD36" s="24"/>
      <c r="AE36" s="24"/>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24"/>
      <c r="BH36" s="24"/>
      <c r="BI36" s="128"/>
    </row>
    <row r="37" spans="1:61">
      <c r="A37" s="24"/>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24"/>
      <c r="AD37" s="24"/>
      <c r="AE37" s="24"/>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24"/>
      <c r="BH37" s="24"/>
      <c r="BI37" s="128"/>
    </row>
    <row r="38" spans="1:61">
      <c r="A38" s="24"/>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c r="AA38" s="125"/>
      <c r="AB38" s="125"/>
      <c r="AC38" s="24"/>
      <c r="AD38" s="24"/>
      <c r="AE38" s="24"/>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24"/>
      <c r="BH38" s="24"/>
      <c r="BI38" s="24"/>
    </row>
    <row r="39" spans="1:61">
      <c r="A39" s="24"/>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c r="AA39" s="125"/>
      <c r="AB39" s="125"/>
      <c r="AC39" s="24"/>
      <c r="AD39" s="24"/>
      <c r="AE39" s="24"/>
      <c r="AF39" s="125"/>
      <c r="AG39" s="125"/>
      <c r="AH39" s="125"/>
      <c r="AI39" s="125"/>
      <c r="AJ39" s="125"/>
      <c r="AK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24"/>
      <c r="BH39" s="24"/>
      <c r="BI39" s="24"/>
    </row>
    <row r="40" spans="1:61">
      <c r="A40" s="24"/>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c r="AA40" s="125"/>
      <c r="AB40" s="125"/>
      <c r="AC40" s="24"/>
      <c r="AD40" s="24"/>
      <c r="AE40" s="24"/>
      <c r="AF40" s="125"/>
      <c r="AG40" s="125"/>
      <c r="AH40" s="125"/>
      <c r="AI40" s="125"/>
      <c r="AJ40" s="125"/>
      <c r="AK40" s="125"/>
      <c r="AL40" s="125"/>
      <c r="AM40" s="125"/>
      <c r="AN40" s="125"/>
      <c r="AO40" s="125"/>
      <c r="AP40" s="125"/>
      <c r="AQ40" s="125"/>
      <c r="AR40" s="125"/>
      <c r="AS40" s="125"/>
      <c r="AT40" s="125"/>
      <c r="AU40" s="125"/>
      <c r="AV40" s="125"/>
      <c r="AW40" s="125"/>
      <c r="AX40" s="125"/>
      <c r="AY40" s="125"/>
      <c r="AZ40" s="125"/>
      <c r="BA40" s="125"/>
      <c r="BB40" s="125"/>
      <c r="BC40" s="125"/>
      <c r="BD40" s="125"/>
      <c r="BE40" s="125"/>
      <c r="BF40" s="125"/>
      <c r="BG40" s="24"/>
      <c r="BH40" s="24"/>
      <c r="BI40" s="24"/>
    </row>
    <row r="41" spans="1:61">
      <c r="A41" s="24"/>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c r="AA41" s="125"/>
      <c r="AB41" s="125"/>
      <c r="AC41" s="24"/>
      <c r="AD41" s="24"/>
      <c r="AE41" s="24"/>
      <c r="AF41" s="125"/>
      <c r="AG41" s="125"/>
      <c r="AH41" s="125"/>
      <c r="AI41" s="125"/>
      <c r="AJ41" s="125"/>
      <c r="AK41" s="125"/>
      <c r="AL41" s="125"/>
      <c r="AM41" s="125"/>
      <c r="AN41" s="125"/>
      <c r="AO41" s="125"/>
      <c r="AP41" s="125"/>
      <c r="AQ41" s="125"/>
      <c r="AR41" s="125"/>
      <c r="AS41" s="125"/>
      <c r="AT41" s="125"/>
      <c r="AU41" s="125"/>
      <c r="AV41" s="125"/>
      <c r="AW41" s="125"/>
      <c r="AX41" s="125"/>
      <c r="AY41" s="125"/>
      <c r="AZ41" s="125"/>
      <c r="BA41" s="125"/>
      <c r="BB41" s="125"/>
      <c r="BC41" s="125"/>
      <c r="BD41" s="125"/>
      <c r="BE41" s="125"/>
      <c r="BF41" s="125"/>
      <c r="BG41" s="24"/>
      <c r="BH41" s="24"/>
      <c r="BI41" s="24"/>
    </row>
    <row r="42" spans="1:61">
      <c r="A42" s="24"/>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c r="AA42" s="125"/>
      <c r="AB42" s="125"/>
      <c r="AC42" s="24"/>
      <c r="AD42" s="24"/>
      <c r="AE42" s="24"/>
      <c r="AF42" s="125"/>
      <c r="AG42" s="125"/>
      <c r="AH42" s="125"/>
      <c r="AI42" s="125"/>
      <c r="AJ42" s="125"/>
      <c r="AK42" s="125"/>
      <c r="AL42" s="125"/>
      <c r="AM42" s="125"/>
      <c r="AN42" s="125"/>
      <c r="AO42" s="125"/>
      <c r="AP42" s="125"/>
      <c r="AQ42" s="125"/>
      <c r="AR42" s="125"/>
      <c r="AS42" s="125"/>
      <c r="AT42" s="125"/>
      <c r="AU42" s="125"/>
      <c r="AV42" s="125"/>
      <c r="AW42" s="125"/>
      <c r="AX42" s="125"/>
      <c r="AY42" s="125"/>
      <c r="AZ42" s="125"/>
      <c r="BA42" s="125"/>
      <c r="BB42" s="125"/>
      <c r="BC42" s="125"/>
      <c r="BD42" s="125"/>
      <c r="BE42" s="125"/>
      <c r="BF42" s="125"/>
      <c r="BG42" s="24"/>
      <c r="BH42" s="24"/>
      <c r="BI42" s="24"/>
    </row>
    <row r="43" spans="1:61">
      <c r="A43" s="24"/>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c r="AA43" s="125"/>
      <c r="AB43" s="125"/>
      <c r="AC43" s="24"/>
      <c r="AD43" s="24"/>
      <c r="AE43" s="24"/>
      <c r="AF43" s="125"/>
      <c r="AG43" s="125"/>
      <c r="AH43" s="125"/>
      <c r="AI43" s="125"/>
      <c r="AJ43" s="125"/>
      <c r="AK43" s="125"/>
      <c r="AL43" s="125"/>
      <c r="AM43" s="125"/>
      <c r="AN43" s="125"/>
      <c r="AO43" s="125"/>
      <c r="AP43" s="125"/>
      <c r="AQ43" s="125"/>
      <c r="AR43" s="125"/>
      <c r="AS43" s="125"/>
      <c r="AT43" s="125"/>
      <c r="AU43" s="125"/>
      <c r="AV43" s="125"/>
      <c r="AW43" s="125"/>
      <c r="AX43" s="125"/>
      <c r="AY43" s="125"/>
      <c r="AZ43" s="125"/>
      <c r="BA43" s="125"/>
      <c r="BB43" s="125"/>
      <c r="BC43" s="125"/>
      <c r="BD43" s="125"/>
      <c r="BE43" s="125"/>
      <c r="BF43" s="125"/>
      <c r="BG43" s="24"/>
      <c r="BH43" s="24"/>
      <c r="BI43" s="24"/>
    </row>
    <row r="44" spans="1:61">
      <c r="A44" s="24"/>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c r="AA44" s="125"/>
      <c r="AB44" s="125"/>
      <c r="AC44" s="1959"/>
      <c r="AD44" s="1959"/>
      <c r="AE44" s="1959"/>
      <c r="AF44" s="1959"/>
      <c r="AG44" s="1959"/>
      <c r="AH44" s="1959"/>
      <c r="AI44" s="1959"/>
      <c r="AJ44" s="1959"/>
      <c r="AK44" s="1959"/>
      <c r="AL44" s="1959"/>
      <c r="AM44" s="1959"/>
      <c r="AN44" s="1959"/>
      <c r="AO44" s="1959"/>
      <c r="AP44" s="1959"/>
      <c r="AQ44" s="1959"/>
      <c r="AR44" s="1959"/>
      <c r="AS44" s="1959"/>
      <c r="AT44" s="1959"/>
      <c r="AU44" s="1959"/>
      <c r="AV44" s="1959"/>
      <c r="AW44" s="1959"/>
      <c r="AX44" s="1959"/>
      <c r="AY44" s="1959"/>
      <c r="AZ44" s="1959"/>
      <c r="BA44" s="1959"/>
      <c r="BB44" s="1959"/>
      <c r="BC44" s="1959"/>
      <c r="BD44" s="1959"/>
      <c r="BE44" s="1959"/>
      <c r="BF44" s="1959"/>
      <c r="BG44" s="1959"/>
      <c r="BH44" s="1959"/>
      <c r="BI44" s="1959"/>
    </row>
    <row r="45" spans="1:61">
      <c r="A45" s="24"/>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98"/>
      <c r="AD45" s="98"/>
      <c r="AE45" s="24"/>
      <c r="AF45" s="125"/>
      <c r="AG45" s="125"/>
      <c r="AH45" s="125"/>
      <c r="AI45" s="125"/>
      <c r="AJ45" s="125"/>
      <c r="AK45" s="125"/>
      <c r="AL45" s="125"/>
      <c r="AM45" s="125"/>
      <c r="AN45" s="125"/>
      <c r="AO45" s="125"/>
      <c r="AP45" s="125"/>
      <c r="AQ45" s="125"/>
      <c r="AR45" s="125"/>
      <c r="AS45" s="125"/>
      <c r="AT45" s="125"/>
      <c r="AU45" s="125"/>
      <c r="AV45" s="125"/>
      <c r="AW45" s="125"/>
      <c r="AX45" s="125"/>
      <c r="AY45" s="125"/>
      <c r="AZ45" s="125"/>
      <c r="BA45" s="125"/>
      <c r="BB45" s="125"/>
      <c r="BC45" s="125"/>
      <c r="BD45" s="125"/>
      <c r="BE45" s="125"/>
      <c r="BF45" s="125"/>
      <c r="BG45" s="98"/>
      <c r="BH45" s="98"/>
      <c r="BI45" s="98"/>
    </row>
    <row r="46" spans="1:61">
      <c r="A46" s="24"/>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c r="AA46" s="125"/>
      <c r="AB46" s="125"/>
      <c r="AC46" s="1959"/>
      <c r="AD46" s="1959"/>
      <c r="AE46" s="1959"/>
      <c r="AF46" s="1959"/>
      <c r="AG46" s="1959"/>
      <c r="AH46" s="1959"/>
      <c r="AI46" s="1959"/>
      <c r="AJ46" s="1959"/>
      <c r="AK46" s="1959"/>
      <c r="AL46" s="1959"/>
      <c r="AM46" s="1959"/>
      <c r="AN46" s="1959"/>
      <c r="AO46" s="1959"/>
      <c r="AP46" s="1959"/>
      <c r="AQ46" s="1959"/>
      <c r="AR46" s="1959"/>
      <c r="AS46" s="1959"/>
      <c r="AT46" s="1959"/>
      <c r="AU46" s="1959"/>
      <c r="AV46" s="1959"/>
      <c r="AW46" s="1959"/>
      <c r="AX46" s="1959"/>
      <c r="AY46" s="1959"/>
      <c r="AZ46" s="1959"/>
      <c r="BA46" s="1959"/>
      <c r="BB46" s="1959"/>
      <c r="BC46" s="1959"/>
      <c r="BD46" s="1959"/>
      <c r="BE46" s="1959"/>
      <c r="BF46" s="1959"/>
      <c r="BG46" s="1959"/>
      <c r="BH46" s="1959"/>
      <c r="BI46" s="1959"/>
    </row>
    <row r="47" spans="1:61">
      <c r="A47" s="24"/>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959"/>
      <c r="AD47" s="1959"/>
      <c r="AE47" s="1959"/>
      <c r="AF47" s="1959"/>
      <c r="AG47" s="1959"/>
      <c r="AH47" s="1959"/>
      <c r="AI47" s="1959"/>
      <c r="AJ47" s="1959"/>
      <c r="AK47" s="1959"/>
      <c r="AL47" s="1959"/>
      <c r="AM47" s="1959"/>
      <c r="AN47" s="1959"/>
      <c r="AO47" s="1959"/>
      <c r="AP47" s="1959"/>
      <c r="AQ47" s="1959"/>
      <c r="AR47" s="1959"/>
      <c r="AS47" s="1959"/>
      <c r="AT47" s="1959"/>
      <c r="AU47" s="1959"/>
      <c r="AV47" s="1959"/>
      <c r="AW47" s="1959"/>
      <c r="AX47" s="1959"/>
      <c r="AY47" s="1959"/>
      <c r="AZ47" s="1959"/>
      <c r="BA47" s="1959"/>
      <c r="BB47" s="1959"/>
      <c r="BC47" s="1959"/>
      <c r="BD47" s="1959"/>
      <c r="BE47" s="1959"/>
      <c r="BF47" s="1959"/>
      <c r="BG47" s="1959"/>
      <c r="BH47" s="1959"/>
      <c r="BI47" s="1959"/>
    </row>
    <row r="48" spans="1:61">
      <c r="A48" s="24"/>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c r="AA48" s="125"/>
      <c r="AB48" s="125"/>
      <c r="AC48" s="1959"/>
      <c r="AD48" s="1959"/>
      <c r="AE48" s="1959"/>
      <c r="AF48" s="1959"/>
      <c r="AG48" s="1959"/>
      <c r="AH48" s="1959"/>
      <c r="AI48" s="1959"/>
      <c r="AJ48" s="1959"/>
      <c r="AK48" s="1959"/>
      <c r="AL48" s="1959"/>
      <c r="AM48" s="1959"/>
      <c r="AN48" s="1959"/>
      <c r="AO48" s="1959"/>
      <c r="AP48" s="1959"/>
      <c r="AQ48" s="1959"/>
      <c r="AR48" s="1959"/>
      <c r="AS48" s="1959"/>
      <c r="AT48" s="1959"/>
      <c r="AU48" s="1959"/>
      <c r="AV48" s="1959"/>
      <c r="AW48" s="1959"/>
      <c r="AX48" s="1959"/>
      <c r="AY48" s="1959"/>
      <c r="AZ48" s="1959"/>
      <c r="BA48" s="1959"/>
      <c r="BB48" s="1959"/>
      <c r="BC48" s="1959"/>
      <c r="BD48" s="1959"/>
      <c r="BE48" s="1959"/>
      <c r="BF48" s="1959"/>
      <c r="BG48" s="1959"/>
      <c r="BH48" s="1959"/>
      <c r="BI48" s="1959"/>
    </row>
    <row r="49" spans="1:61">
      <c r="A49" s="24"/>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24"/>
      <c r="AD49" s="24"/>
      <c r="AE49" s="24"/>
      <c r="AF49" s="125"/>
      <c r="AG49" s="125"/>
      <c r="AH49" s="125"/>
      <c r="AI49" s="125"/>
      <c r="AJ49" s="125"/>
      <c r="AK49" s="125"/>
      <c r="AL49" s="125"/>
      <c r="AM49" s="125"/>
      <c r="AN49" s="125"/>
      <c r="AO49" s="125"/>
      <c r="AP49" s="125"/>
      <c r="AQ49" s="125"/>
      <c r="AR49" s="125"/>
      <c r="AS49" s="125"/>
      <c r="AT49" s="125"/>
      <c r="AU49" s="125"/>
      <c r="AV49" s="125"/>
      <c r="AW49" s="125"/>
      <c r="AX49" s="125"/>
      <c r="AY49" s="125"/>
      <c r="AZ49" s="125"/>
      <c r="BA49" s="125"/>
      <c r="BB49" s="125"/>
      <c r="BC49" s="125"/>
      <c r="BD49" s="125"/>
      <c r="BE49" s="125"/>
      <c r="BF49" s="125"/>
      <c r="BG49" s="24"/>
      <c r="BH49" s="24"/>
      <c r="BI49" s="24"/>
    </row>
    <row r="50" spans="1:61">
      <c r="A50" s="24"/>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c r="AA50" s="125"/>
      <c r="AB50" s="125"/>
      <c r="AC50" s="24"/>
      <c r="AD50" s="24"/>
      <c r="AE50" s="24"/>
      <c r="AF50" s="125"/>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24"/>
      <c r="BH50" s="24"/>
      <c r="BI50" s="24"/>
    </row>
    <row r="51" spans="1:61">
      <c r="A51" s="24"/>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c r="AA51" s="125"/>
      <c r="AB51" s="125"/>
      <c r="AC51" s="24"/>
      <c r="AD51" s="24"/>
      <c r="AE51" s="24"/>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24"/>
      <c r="BH51" s="24"/>
      <c r="BI51" s="24"/>
    </row>
    <row r="52" spans="1:61">
      <c r="A52" s="24"/>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c r="AA52" s="125"/>
      <c r="AB52" s="125"/>
      <c r="AC52" s="24"/>
      <c r="AD52" s="24"/>
      <c r="AE52" s="24"/>
      <c r="AF52" s="125"/>
      <c r="AG52" s="125"/>
      <c r="AH52" s="125"/>
      <c r="AI52" s="125"/>
      <c r="AJ52" s="125"/>
      <c r="AK52" s="125"/>
      <c r="AL52" s="125"/>
      <c r="AM52" s="125"/>
      <c r="AN52" s="125"/>
      <c r="AO52" s="125"/>
      <c r="AP52" s="125"/>
      <c r="AQ52" s="125"/>
      <c r="AR52" s="125"/>
      <c r="AS52" s="125"/>
      <c r="AT52" s="125"/>
      <c r="AU52" s="125"/>
      <c r="AV52" s="125"/>
      <c r="AW52" s="125"/>
      <c r="AX52" s="125"/>
      <c r="AY52" s="125"/>
      <c r="AZ52" s="125"/>
      <c r="BA52" s="125"/>
      <c r="BB52" s="125"/>
      <c r="BC52" s="125"/>
      <c r="BD52" s="125"/>
      <c r="BE52" s="125"/>
      <c r="BF52" s="125"/>
      <c r="BG52" s="24"/>
      <c r="BH52" s="24"/>
      <c r="BI52" s="24"/>
    </row>
    <row r="53" spans="1:61">
      <c r="A53" s="24"/>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c r="AA53" s="125"/>
      <c r="AB53" s="125"/>
      <c r="AC53" s="24"/>
      <c r="AD53" s="24"/>
      <c r="AE53" s="24"/>
      <c r="AF53" s="125"/>
      <c r="AG53" s="125"/>
      <c r="AH53" s="125"/>
      <c r="AI53" s="125"/>
      <c r="AJ53" s="125"/>
      <c r="AK53" s="125"/>
      <c r="AL53" s="125"/>
      <c r="AM53" s="125"/>
      <c r="AN53" s="125"/>
      <c r="AO53" s="125"/>
      <c r="AP53" s="125"/>
      <c r="AQ53" s="125"/>
      <c r="AR53" s="125"/>
      <c r="AS53" s="125"/>
      <c r="AT53" s="125"/>
      <c r="AU53" s="125"/>
      <c r="AV53" s="125"/>
      <c r="AW53" s="125"/>
      <c r="AX53" s="125"/>
      <c r="AY53" s="125"/>
      <c r="AZ53" s="125"/>
      <c r="BA53" s="125"/>
      <c r="BB53" s="125"/>
      <c r="BC53" s="125"/>
      <c r="BD53" s="125"/>
      <c r="BE53" s="125"/>
      <c r="BF53" s="125"/>
      <c r="BG53" s="24"/>
      <c r="BH53" s="24"/>
      <c r="BI53" s="24"/>
    </row>
    <row r="54" spans="1:61">
      <c r="A54" s="24"/>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c r="AA54" s="125"/>
      <c r="AB54" s="125"/>
      <c r="AC54" s="24"/>
      <c r="AD54" s="24"/>
      <c r="AE54" s="24"/>
      <c r="AF54" s="125"/>
      <c r="AG54" s="125"/>
      <c r="AH54" s="125"/>
      <c r="AI54" s="125"/>
      <c r="AJ54" s="125"/>
      <c r="AK54" s="125"/>
      <c r="AL54" s="125"/>
      <c r="AM54" s="125"/>
      <c r="AN54" s="125"/>
      <c r="AO54" s="125"/>
      <c r="AP54" s="125"/>
      <c r="AQ54" s="125"/>
      <c r="AR54" s="125"/>
      <c r="AS54" s="125"/>
      <c r="AT54" s="125"/>
      <c r="AU54" s="125"/>
      <c r="AV54" s="125"/>
      <c r="AW54" s="125"/>
      <c r="AX54" s="125"/>
      <c r="AY54" s="125"/>
      <c r="AZ54" s="125"/>
      <c r="BA54" s="125"/>
      <c r="BB54" s="125"/>
      <c r="BC54" s="125"/>
      <c r="BD54" s="125"/>
      <c r="BE54" s="125"/>
      <c r="BF54" s="125"/>
      <c r="BG54" s="24"/>
      <c r="BH54" s="24"/>
      <c r="BI54" s="24"/>
    </row>
    <row r="55" spans="1:61">
      <c r="A55" s="24"/>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24"/>
      <c r="AD55" s="24"/>
      <c r="AE55" s="24"/>
      <c r="AF55" s="125"/>
      <c r="AG55" s="125"/>
      <c r="AH55" s="125"/>
      <c r="AI55" s="125"/>
      <c r="AJ55" s="125"/>
      <c r="AK55" s="125"/>
      <c r="AL55" s="125"/>
      <c r="AM55" s="125"/>
      <c r="AN55" s="125"/>
      <c r="AO55" s="125"/>
      <c r="AP55" s="125"/>
      <c r="AQ55" s="125"/>
      <c r="AR55" s="125"/>
      <c r="AS55" s="125"/>
      <c r="AT55" s="125"/>
      <c r="AU55" s="125"/>
      <c r="AV55" s="125"/>
      <c r="AW55" s="125"/>
      <c r="AX55" s="125"/>
      <c r="AY55" s="125"/>
      <c r="AZ55" s="125"/>
      <c r="BA55" s="125"/>
      <c r="BB55" s="125"/>
      <c r="BC55" s="125"/>
      <c r="BD55" s="125"/>
      <c r="BE55" s="125"/>
      <c r="BF55" s="125"/>
      <c r="BG55" s="24"/>
      <c r="BH55" s="24"/>
      <c r="BI55" s="24"/>
    </row>
    <row r="56" spans="1:61">
      <c r="A56" s="24"/>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c r="AA56" s="125"/>
      <c r="AB56" s="125"/>
      <c r="AC56" s="24"/>
      <c r="AD56" s="24"/>
      <c r="AE56" s="24"/>
      <c r="AF56" s="125"/>
      <c r="AG56" s="125"/>
      <c r="AH56" s="125"/>
      <c r="AI56" s="125"/>
      <c r="AJ56" s="125"/>
      <c r="AK56" s="125"/>
      <c r="AL56" s="125"/>
      <c r="AM56" s="125"/>
      <c r="AN56" s="125"/>
      <c r="AO56" s="125"/>
      <c r="AP56" s="125"/>
      <c r="AQ56" s="125"/>
      <c r="AR56" s="125"/>
      <c r="AS56" s="125"/>
      <c r="AT56" s="125"/>
      <c r="AU56" s="125"/>
      <c r="AV56" s="125"/>
      <c r="AW56" s="125"/>
      <c r="AX56" s="125"/>
      <c r="AY56" s="125"/>
      <c r="AZ56" s="125"/>
      <c r="BA56" s="125"/>
      <c r="BB56" s="125"/>
      <c r="BC56" s="125"/>
      <c r="BD56" s="125"/>
      <c r="BE56" s="125"/>
      <c r="BF56" s="125"/>
      <c r="BG56" s="24"/>
      <c r="BH56" s="24"/>
      <c r="BI56" s="24"/>
    </row>
    <row r="57" spans="1:61">
      <c r="A57" s="24"/>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c r="AA57" s="125"/>
      <c r="AB57" s="125"/>
      <c r="AC57" s="24"/>
      <c r="AD57" s="24"/>
      <c r="AE57" s="24"/>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24"/>
      <c r="BH57" s="24"/>
      <c r="BI57" s="24"/>
    </row>
    <row r="58" spans="1:61">
      <c r="A58" s="24"/>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c r="AA58" s="125"/>
      <c r="AB58" s="125"/>
      <c r="AC58" s="24"/>
      <c r="AD58" s="24"/>
      <c r="AE58" s="24"/>
      <c r="AF58" s="125"/>
      <c r="AG58" s="125"/>
      <c r="AH58" s="125"/>
      <c r="AI58" s="125"/>
      <c r="AJ58" s="125"/>
      <c r="AK58" s="125"/>
      <c r="AL58" s="125"/>
      <c r="AM58" s="125"/>
      <c r="AN58" s="125"/>
      <c r="AO58" s="125"/>
      <c r="AP58" s="125"/>
      <c r="AQ58" s="125"/>
      <c r="AR58" s="125"/>
      <c r="AS58" s="125"/>
      <c r="AT58" s="125"/>
      <c r="AU58" s="125"/>
      <c r="AV58" s="125"/>
      <c r="AW58" s="125"/>
      <c r="AX58" s="125"/>
      <c r="AY58" s="125"/>
      <c r="AZ58" s="125"/>
      <c r="BA58" s="125"/>
      <c r="BB58" s="125"/>
      <c r="BC58" s="125"/>
      <c r="BD58" s="125"/>
      <c r="BE58" s="125"/>
      <c r="BF58" s="125"/>
      <c r="BG58" s="24"/>
      <c r="BH58" s="24"/>
      <c r="BI58" s="24"/>
    </row>
    <row r="59" spans="1:61">
      <c r="A59" s="24"/>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24"/>
      <c r="AD59" s="24"/>
      <c r="AE59" s="24"/>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24"/>
      <c r="BH59" s="24"/>
      <c r="BI59" s="24"/>
    </row>
    <row r="60" spans="1:61">
      <c r="A60" s="24"/>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24"/>
      <c r="AD60" s="24"/>
      <c r="AE60" s="24"/>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24"/>
      <c r="BH60" s="24"/>
      <c r="BI60" s="24"/>
    </row>
    <row r="61" spans="1:61">
      <c r="A61" s="24"/>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24"/>
      <c r="AD61" s="24"/>
      <c r="AE61" s="24"/>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24"/>
      <c r="BH61" s="24"/>
      <c r="BI61" s="24"/>
    </row>
    <row r="62" spans="1:61">
      <c r="A62" s="24"/>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24"/>
      <c r="AD62" s="24"/>
      <c r="AE62" s="24"/>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24"/>
      <c r="BH62" s="24"/>
      <c r="BI62" s="24"/>
    </row>
    <row r="63" spans="1:61">
      <c r="A63" s="24"/>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24"/>
      <c r="AD63" s="24"/>
      <c r="AE63" s="24"/>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24"/>
      <c r="BH63" s="24"/>
      <c r="BI63" s="24"/>
    </row>
    <row r="64" spans="1:61">
      <c r="A64" s="24"/>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24"/>
      <c r="AD64" s="24"/>
      <c r="AE64" s="24"/>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24"/>
      <c r="BH64" s="24"/>
      <c r="BI64" s="24"/>
    </row>
    <row r="65" spans="1:61">
      <c r="A65" s="24"/>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24"/>
      <c r="AD65" s="24"/>
      <c r="AE65" s="24"/>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24"/>
      <c r="BH65" s="24"/>
      <c r="BI65" s="24"/>
    </row>
    <row r="66" spans="1:61">
      <c r="A66" s="24"/>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24"/>
      <c r="AD66" s="24"/>
      <c r="AE66" s="24"/>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24"/>
      <c r="BH66" s="24"/>
      <c r="BI66" s="24"/>
    </row>
    <row r="67" spans="1:61">
      <c r="A67" s="24"/>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24"/>
      <c r="AD67" s="24"/>
      <c r="AE67" s="24"/>
      <c r="AF67" s="125"/>
      <c r="AG67" s="125"/>
      <c r="AH67" s="125"/>
      <c r="AI67" s="125"/>
      <c r="AJ67" s="125"/>
      <c r="AK67" s="125"/>
      <c r="AL67" s="125"/>
      <c r="AM67" s="125"/>
      <c r="AN67" s="125"/>
      <c r="AO67" s="125"/>
      <c r="AP67" s="125"/>
      <c r="AQ67" s="125"/>
      <c r="AR67" s="125"/>
      <c r="AS67" s="125"/>
      <c r="AT67" s="125"/>
      <c r="AU67" s="125"/>
      <c r="AV67" s="125"/>
      <c r="AW67" s="125"/>
      <c r="AX67" s="125"/>
      <c r="AY67" s="125"/>
      <c r="AZ67" s="125"/>
      <c r="BA67" s="125"/>
      <c r="BB67" s="125"/>
      <c r="BC67" s="125"/>
      <c r="BD67" s="125"/>
      <c r="BE67" s="125"/>
      <c r="BF67" s="125"/>
      <c r="BG67" s="24"/>
      <c r="BH67" s="24"/>
      <c r="BI67" s="24"/>
    </row>
    <row r="68" spans="1:61">
      <c r="A68" s="24"/>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24"/>
      <c r="AD68" s="24"/>
      <c r="AE68" s="24"/>
      <c r="AF68" s="125"/>
      <c r="AG68" s="125"/>
      <c r="AH68" s="125"/>
      <c r="AI68" s="125"/>
      <c r="AJ68" s="125"/>
      <c r="AK68" s="125"/>
      <c r="AL68" s="125"/>
      <c r="AM68" s="125"/>
      <c r="AN68" s="125"/>
      <c r="AO68" s="125"/>
      <c r="AP68" s="125"/>
      <c r="AQ68" s="125"/>
      <c r="AR68" s="125"/>
      <c r="AS68" s="125"/>
      <c r="AT68" s="125"/>
      <c r="AU68" s="125"/>
      <c r="AV68" s="125"/>
      <c r="AW68" s="125"/>
      <c r="AX68" s="125"/>
      <c r="AY68" s="125"/>
      <c r="AZ68" s="125"/>
      <c r="BA68" s="125"/>
      <c r="BB68" s="125"/>
      <c r="BC68" s="125"/>
      <c r="BD68" s="125"/>
      <c r="BE68" s="125"/>
      <c r="BF68" s="125"/>
      <c r="BG68" s="24"/>
      <c r="BH68" s="24"/>
      <c r="BI68" s="24"/>
    </row>
    <row r="69" spans="1:61">
      <c r="A69" s="24"/>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24"/>
      <c r="AD69" s="24"/>
      <c r="AE69" s="24"/>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24"/>
      <c r="BH69" s="24"/>
      <c r="BI69" s="24"/>
    </row>
    <row r="70" spans="1:61">
      <c r="A70" s="24"/>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24"/>
      <c r="AD70" s="24"/>
      <c r="AE70" s="24"/>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24"/>
      <c r="BH70" s="24"/>
      <c r="BI70" s="24"/>
    </row>
    <row r="71" spans="1:61">
      <c r="A71" s="24"/>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24"/>
      <c r="AD71" s="24"/>
      <c r="AE71" s="24"/>
      <c r="AF71" s="125"/>
      <c r="AG71" s="125"/>
      <c r="AH71" s="125"/>
      <c r="AI71" s="125"/>
      <c r="AJ71" s="125"/>
      <c r="AK71" s="125"/>
      <c r="AL71" s="125"/>
      <c r="AM71" s="125"/>
      <c r="AN71" s="125"/>
      <c r="AO71" s="125"/>
      <c r="AP71" s="125"/>
      <c r="AQ71" s="125"/>
      <c r="AR71" s="125"/>
      <c r="AS71" s="125"/>
      <c r="AT71" s="125"/>
      <c r="AU71" s="125"/>
      <c r="AV71" s="125"/>
      <c r="AW71" s="125"/>
      <c r="AX71" s="125"/>
      <c r="AY71" s="125"/>
      <c r="AZ71" s="125"/>
      <c r="BA71" s="125"/>
      <c r="BB71" s="125"/>
      <c r="BC71" s="125"/>
      <c r="BD71" s="125"/>
      <c r="BE71" s="125"/>
      <c r="BF71" s="125"/>
      <c r="BG71" s="24"/>
      <c r="BH71" s="24"/>
      <c r="BI71" s="24"/>
    </row>
    <row r="72" spans="1:61">
      <c r="A72" s="24"/>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24"/>
      <c r="AD72" s="24"/>
      <c r="AE72" s="24"/>
      <c r="AF72" s="125"/>
      <c r="AG72" s="125"/>
      <c r="AH72" s="125"/>
      <c r="AI72" s="125"/>
      <c r="AJ72" s="125"/>
      <c r="AK72" s="125"/>
      <c r="AL72" s="125"/>
      <c r="AM72" s="125"/>
      <c r="AN72" s="125"/>
      <c r="AO72" s="125"/>
      <c r="AP72" s="125"/>
      <c r="AQ72" s="125"/>
      <c r="AR72" s="125"/>
      <c r="AS72" s="125"/>
      <c r="AT72" s="125"/>
      <c r="AU72" s="125"/>
      <c r="AV72" s="125"/>
      <c r="AW72" s="125"/>
      <c r="AX72" s="125"/>
      <c r="AY72" s="125"/>
      <c r="AZ72" s="125"/>
      <c r="BA72" s="125"/>
      <c r="BB72" s="125"/>
      <c r="BC72" s="125"/>
      <c r="BD72" s="125"/>
      <c r="BE72" s="125"/>
      <c r="BF72" s="125"/>
      <c r="BG72" s="24"/>
      <c r="BH72" s="24"/>
      <c r="BI72" s="24"/>
    </row>
    <row r="73" spans="1:61">
      <c r="A73" s="24"/>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24"/>
      <c r="AD73" s="24"/>
      <c r="AE73" s="24"/>
      <c r="AF73" s="125"/>
      <c r="AG73" s="125"/>
      <c r="AH73" s="125"/>
      <c r="AI73" s="125"/>
      <c r="AJ73" s="125"/>
      <c r="AK73" s="125"/>
      <c r="AL73" s="125"/>
      <c r="AM73" s="125"/>
      <c r="AN73" s="125"/>
      <c r="AO73" s="125"/>
      <c r="AP73" s="125"/>
      <c r="AQ73" s="125"/>
      <c r="AR73" s="125"/>
      <c r="AS73" s="125"/>
      <c r="AT73" s="125"/>
      <c r="AU73" s="125"/>
      <c r="AV73" s="125"/>
      <c r="AW73" s="125"/>
      <c r="AX73" s="125"/>
      <c r="AY73" s="125"/>
      <c r="AZ73" s="125"/>
      <c r="BA73" s="125"/>
      <c r="BB73" s="125"/>
      <c r="BC73" s="125"/>
      <c r="BD73" s="125"/>
      <c r="BE73" s="125"/>
      <c r="BF73" s="125"/>
      <c r="BG73" s="24"/>
      <c r="BH73" s="24"/>
      <c r="BI73" s="24"/>
    </row>
    <row r="74" spans="1:61">
      <c r="A74" s="24"/>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24"/>
      <c r="AD74" s="24"/>
      <c r="AE74" s="24"/>
      <c r="AF74" s="125"/>
      <c r="AG74" s="125"/>
      <c r="AH74" s="125"/>
      <c r="AI74" s="125"/>
      <c r="AJ74" s="125"/>
      <c r="AK74" s="125"/>
      <c r="AL74" s="125"/>
      <c r="AM74" s="125"/>
      <c r="AN74" s="125"/>
      <c r="AO74" s="125"/>
      <c r="AP74" s="125"/>
      <c r="AQ74" s="125"/>
      <c r="AR74" s="125"/>
      <c r="AS74" s="125"/>
      <c r="AT74" s="125"/>
      <c r="AU74" s="125"/>
      <c r="AV74" s="125"/>
      <c r="AW74" s="125"/>
      <c r="AX74" s="125"/>
      <c r="AY74" s="125"/>
      <c r="AZ74" s="125"/>
      <c r="BA74" s="125"/>
      <c r="BB74" s="125"/>
      <c r="BC74" s="125"/>
      <c r="BD74" s="125"/>
      <c r="BE74" s="125"/>
      <c r="BF74" s="125"/>
      <c r="BG74" s="24"/>
      <c r="BH74" s="24"/>
      <c r="BI74" s="24"/>
    </row>
    <row r="75" spans="1:61">
      <c r="A75" s="24"/>
      <c r="B75" s="123"/>
      <c r="C75" s="123"/>
      <c r="D75" s="123"/>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24"/>
      <c r="AD75" s="24"/>
      <c r="AE75" s="24"/>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24"/>
      <c r="BH75" s="24"/>
      <c r="BI75" s="24"/>
    </row>
    <row r="76" spans="1:61">
      <c r="A76" s="24"/>
      <c r="B76" s="123"/>
      <c r="C76" s="123"/>
      <c r="D76" s="123"/>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24"/>
      <c r="AD76" s="24"/>
      <c r="AE76" s="24"/>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24"/>
      <c r="BH76" s="24"/>
      <c r="BI76" s="24"/>
    </row>
    <row r="77" spans="1:61">
      <c r="A77" s="24"/>
      <c r="B77" s="123"/>
      <c r="C77" s="123"/>
      <c r="D77" s="123"/>
      <c r="E77" s="123"/>
      <c r="F77" s="123"/>
      <c r="G77" s="123"/>
      <c r="H77" s="123"/>
      <c r="I77" s="123"/>
      <c r="J77" s="123"/>
      <c r="K77" s="123"/>
      <c r="L77" s="123"/>
      <c r="M77" s="123"/>
      <c r="N77" s="123"/>
      <c r="O77" s="123"/>
      <c r="P77" s="123"/>
      <c r="Q77" s="123"/>
      <c r="R77" s="123"/>
      <c r="S77" s="123"/>
      <c r="T77" s="123"/>
      <c r="U77" s="123"/>
      <c r="V77" s="123"/>
      <c r="W77" s="123"/>
      <c r="X77" s="123"/>
      <c r="Y77" s="123"/>
      <c r="Z77" s="123"/>
      <c r="AA77" s="123"/>
      <c r="AB77" s="123"/>
      <c r="AC77" s="24"/>
      <c r="AD77" s="24"/>
      <c r="AE77" s="24"/>
      <c r="AF77" s="123"/>
      <c r="AG77" s="123"/>
      <c r="AH77" s="123"/>
      <c r="AI77" s="123"/>
      <c r="AJ77" s="123"/>
      <c r="AK77" s="123"/>
      <c r="AL77" s="123"/>
      <c r="AM77" s="123"/>
      <c r="AN77" s="123"/>
      <c r="AO77" s="123"/>
      <c r="AP77" s="123"/>
      <c r="AQ77" s="123"/>
      <c r="AR77" s="123"/>
      <c r="AS77" s="123"/>
      <c r="AT77" s="123"/>
      <c r="AU77" s="123"/>
      <c r="AV77" s="123"/>
      <c r="AW77" s="123"/>
      <c r="AX77" s="123"/>
      <c r="AY77" s="123"/>
      <c r="AZ77" s="123"/>
      <c r="BA77" s="123"/>
      <c r="BB77" s="123"/>
      <c r="BC77" s="123"/>
      <c r="BD77" s="123"/>
      <c r="BE77" s="123"/>
      <c r="BF77" s="123"/>
      <c r="BG77" s="24"/>
      <c r="BH77" s="24"/>
      <c r="BI77" s="24"/>
    </row>
    <row r="78" spans="1:61">
      <c r="A78" s="24"/>
      <c r="B78" s="123"/>
      <c r="C78" s="123"/>
      <c r="D78" s="123"/>
      <c r="E78" s="123"/>
      <c r="F78" s="123"/>
      <c r="G78" s="123"/>
      <c r="H78" s="123"/>
      <c r="I78" s="123"/>
      <c r="J78" s="123"/>
      <c r="K78" s="123"/>
      <c r="L78" s="123"/>
      <c r="M78" s="123"/>
      <c r="N78" s="123"/>
      <c r="O78" s="123"/>
      <c r="P78" s="123"/>
      <c r="Q78" s="123"/>
      <c r="R78" s="123"/>
      <c r="S78" s="123"/>
      <c r="T78" s="123"/>
      <c r="U78" s="123"/>
      <c r="V78" s="123"/>
      <c r="W78" s="123"/>
      <c r="X78" s="123"/>
      <c r="Y78" s="123"/>
      <c r="Z78" s="123"/>
      <c r="AA78" s="123"/>
      <c r="AB78" s="123"/>
      <c r="AC78" s="24"/>
      <c r="AD78" s="24"/>
      <c r="AE78" s="24"/>
      <c r="AF78" s="123"/>
      <c r="AG78" s="123"/>
      <c r="AH78" s="123"/>
      <c r="AI78" s="123"/>
      <c r="AJ78" s="123"/>
      <c r="AK78" s="123"/>
      <c r="AL78" s="123"/>
      <c r="AM78" s="123"/>
      <c r="AN78" s="123"/>
      <c r="AO78" s="123"/>
      <c r="AP78" s="123"/>
      <c r="AQ78" s="123"/>
      <c r="AR78" s="123"/>
      <c r="AS78" s="123"/>
      <c r="AT78" s="123"/>
      <c r="AU78" s="123"/>
      <c r="AV78" s="123"/>
      <c r="AW78" s="123"/>
      <c r="AX78" s="123"/>
      <c r="AY78" s="123"/>
      <c r="AZ78" s="123"/>
      <c r="BA78" s="123"/>
      <c r="BB78" s="123"/>
      <c r="BC78" s="123"/>
      <c r="BD78" s="123"/>
      <c r="BE78" s="123"/>
      <c r="BF78" s="123"/>
      <c r="BG78" s="24"/>
      <c r="BH78" s="24"/>
      <c r="BI78" s="24"/>
    </row>
    <row r="79" spans="1:61">
      <c r="A79" s="24"/>
      <c r="B79" s="123"/>
      <c r="C79" s="123"/>
      <c r="D79" s="123"/>
      <c r="E79" s="123"/>
      <c r="F79" s="123"/>
      <c r="G79" s="123"/>
      <c r="H79" s="123"/>
      <c r="I79" s="123"/>
      <c r="J79" s="123"/>
      <c r="K79" s="123"/>
      <c r="L79" s="123"/>
      <c r="M79" s="123"/>
      <c r="N79" s="123"/>
      <c r="O79" s="123"/>
      <c r="P79" s="123"/>
      <c r="Q79" s="123"/>
      <c r="R79" s="123"/>
      <c r="S79" s="123"/>
      <c r="T79" s="123"/>
      <c r="U79" s="123"/>
      <c r="V79" s="123"/>
      <c r="W79" s="123"/>
      <c r="X79" s="123"/>
      <c r="Y79" s="123"/>
      <c r="Z79" s="123"/>
      <c r="AA79" s="123"/>
      <c r="AB79" s="123"/>
      <c r="AC79" s="24"/>
      <c r="AD79" s="24"/>
      <c r="AE79" s="24"/>
      <c r="AF79" s="123"/>
      <c r="AG79" s="123"/>
      <c r="AH79" s="123"/>
      <c r="AI79" s="123"/>
      <c r="AJ79" s="123"/>
      <c r="AK79" s="123"/>
      <c r="AL79" s="123"/>
      <c r="AM79" s="123"/>
      <c r="AN79" s="123"/>
      <c r="AO79" s="123"/>
      <c r="AP79" s="123"/>
      <c r="AQ79" s="123"/>
      <c r="AR79" s="123"/>
      <c r="AS79" s="123"/>
      <c r="AT79" s="123"/>
      <c r="AU79" s="123"/>
      <c r="AV79" s="123"/>
      <c r="AW79" s="123"/>
      <c r="AX79" s="123"/>
      <c r="AY79" s="123"/>
      <c r="AZ79" s="123"/>
      <c r="BA79" s="123"/>
      <c r="BB79" s="123"/>
      <c r="BC79" s="123"/>
      <c r="BD79" s="123"/>
      <c r="BE79" s="123"/>
      <c r="BF79" s="123"/>
      <c r="BG79" s="24"/>
      <c r="BH79" s="24"/>
      <c r="BI79" s="24"/>
    </row>
    <row r="80" spans="1:61">
      <c r="A80" s="24"/>
      <c r="B80" s="123"/>
      <c r="C80" s="123"/>
      <c r="D80" s="123"/>
      <c r="E80" s="123"/>
      <c r="F80" s="123"/>
      <c r="G80" s="123"/>
      <c r="H80" s="123"/>
      <c r="I80" s="123"/>
      <c r="J80" s="123"/>
      <c r="K80" s="123"/>
      <c r="L80" s="123"/>
      <c r="M80" s="123"/>
      <c r="N80" s="123"/>
      <c r="O80" s="123"/>
      <c r="P80" s="123"/>
      <c r="Q80" s="123"/>
      <c r="R80" s="123"/>
      <c r="S80" s="123"/>
      <c r="T80" s="123"/>
      <c r="U80" s="123"/>
      <c r="V80" s="123"/>
      <c r="W80" s="123"/>
      <c r="X80" s="123"/>
      <c r="Y80" s="123"/>
      <c r="Z80" s="123"/>
      <c r="AA80" s="123"/>
      <c r="AB80" s="123"/>
      <c r="AC80" s="24"/>
      <c r="AD80" s="24"/>
      <c r="AE80" s="24"/>
      <c r="AF80" s="123"/>
      <c r="AG80" s="123"/>
      <c r="AH80" s="123"/>
      <c r="AI80" s="123"/>
      <c r="AJ80" s="123"/>
      <c r="AK80" s="123"/>
      <c r="AL80" s="123"/>
      <c r="AM80" s="123"/>
      <c r="AN80" s="123"/>
      <c r="AO80" s="123"/>
      <c r="AP80" s="123"/>
      <c r="AQ80" s="123"/>
      <c r="AR80" s="123"/>
      <c r="AS80" s="123"/>
      <c r="AT80" s="123"/>
      <c r="AU80" s="123"/>
      <c r="AV80" s="123"/>
      <c r="AW80" s="123"/>
      <c r="AX80" s="123"/>
      <c r="AY80" s="123"/>
      <c r="AZ80" s="123"/>
      <c r="BA80" s="123"/>
      <c r="BB80" s="123"/>
      <c r="BC80" s="123"/>
      <c r="BD80" s="123"/>
      <c r="BE80" s="123"/>
      <c r="BF80" s="123"/>
      <c r="BG80" s="24"/>
      <c r="BH80" s="24"/>
      <c r="BI80" s="24"/>
    </row>
    <row r="81" spans="1:61">
      <c r="A81" s="24"/>
      <c r="B81" s="123"/>
      <c r="C81" s="123"/>
      <c r="D81" s="123"/>
      <c r="E81" s="123"/>
      <c r="F81" s="123"/>
      <c r="G81" s="123"/>
      <c r="H81" s="123"/>
      <c r="I81" s="123"/>
      <c r="J81" s="123"/>
      <c r="K81" s="123"/>
      <c r="L81" s="123"/>
      <c r="M81" s="123"/>
      <c r="N81" s="123"/>
      <c r="O81" s="123"/>
      <c r="P81" s="123"/>
      <c r="Q81" s="123"/>
      <c r="R81" s="123"/>
      <c r="S81" s="123"/>
      <c r="T81" s="123"/>
      <c r="U81" s="123"/>
      <c r="V81" s="123"/>
      <c r="W81" s="123"/>
      <c r="X81" s="123"/>
      <c r="Y81" s="123"/>
      <c r="Z81" s="123"/>
      <c r="AA81" s="123"/>
      <c r="AB81" s="123"/>
      <c r="AC81" s="24"/>
      <c r="AD81" s="24"/>
      <c r="AE81" s="24"/>
      <c r="AF81" s="123"/>
      <c r="AG81" s="123"/>
      <c r="AH81" s="123"/>
      <c r="AI81" s="123"/>
      <c r="AJ81" s="123"/>
      <c r="AK81" s="123"/>
      <c r="AL81" s="123"/>
      <c r="AM81" s="123"/>
      <c r="AN81" s="123"/>
      <c r="AO81" s="123"/>
      <c r="AP81" s="123"/>
      <c r="AQ81" s="123"/>
      <c r="AR81" s="123"/>
      <c r="AS81" s="123"/>
      <c r="AT81" s="123"/>
      <c r="AU81" s="123"/>
      <c r="AV81" s="123"/>
      <c r="AW81" s="123"/>
      <c r="AX81" s="123"/>
      <c r="AY81" s="123"/>
      <c r="AZ81" s="123"/>
      <c r="BA81" s="123"/>
      <c r="BB81" s="123"/>
      <c r="BC81" s="123"/>
      <c r="BD81" s="123"/>
      <c r="BE81" s="123"/>
      <c r="BF81" s="123"/>
      <c r="BG81" s="24"/>
      <c r="BH81" s="24"/>
      <c r="BI81" s="24"/>
    </row>
    <row r="82" spans="1:61">
      <c r="A82" s="24"/>
      <c r="B82" s="123"/>
      <c r="C82" s="123"/>
      <c r="D82" s="123"/>
      <c r="E82" s="123"/>
      <c r="F82" s="123"/>
      <c r="G82" s="123"/>
      <c r="H82" s="123"/>
      <c r="I82" s="123"/>
      <c r="J82" s="123"/>
      <c r="K82" s="123"/>
      <c r="L82" s="123"/>
      <c r="M82" s="123"/>
      <c r="N82" s="123"/>
      <c r="O82" s="123"/>
      <c r="P82" s="123"/>
      <c r="Q82" s="123"/>
      <c r="R82" s="123"/>
      <c r="S82" s="123"/>
      <c r="T82" s="123"/>
      <c r="U82" s="123"/>
      <c r="V82" s="123"/>
      <c r="W82" s="123"/>
      <c r="X82" s="123"/>
      <c r="Y82" s="123"/>
      <c r="Z82" s="123"/>
      <c r="AA82" s="123"/>
      <c r="AB82" s="123"/>
      <c r="AC82" s="24"/>
      <c r="AD82" s="24"/>
      <c r="AE82" s="24"/>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123"/>
      <c r="BE82" s="123"/>
      <c r="BF82" s="123"/>
      <c r="BG82" s="24"/>
      <c r="BH82" s="24"/>
      <c r="BI82" s="24"/>
    </row>
    <row r="83" spans="1:61">
      <c r="A83" s="24"/>
      <c r="B83" s="123"/>
      <c r="C83" s="123"/>
      <c r="D83" s="123"/>
      <c r="E83" s="123"/>
      <c r="F83" s="123"/>
      <c r="G83" s="123"/>
      <c r="H83" s="123"/>
      <c r="I83" s="123"/>
      <c r="J83" s="123"/>
      <c r="K83" s="123"/>
      <c r="L83" s="123"/>
      <c r="M83" s="123"/>
      <c r="N83" s="123"/>
      <c r="O83" s="123"/>
      <c r="P83" s="123"/>
      <c r="Q83" s="123"/>
      <c r="R83" s="123"/>
      <c r="S83" s="123"/>
      <c r="T83" s="123"/>
      <c r="U83" s="123"/>
      <c r="V83" s="123"/>
      <c r="W83" s="123"/>
      <c r="X83" s="123"/>
      <c r="Y83" s="123"/>
      <c r="Z83" s="123"/>
      <c r="AA83" s="123"/>
      <c r="AB83" s="123"/>
      <c r="AC83" s="24"/>
      <c r="AD83" s="24"/>
      <c r="AE83" s="24"/>
      <c r="AF83" s="123"/>
      <c r="AG83" s="123"/>
      <c r="AH83" s="123"/>
      <c r="AI83" s="123"/>
      <c r="AJ83" s="123"/>
      <c r="AK83" s="123"/>
      <c r="AL83" s="123"/>
      <c r="AM83" s="123"/>
      <c r="AN83" s="123"/>
      <c r="AO83" s="123"/>
      <c r="AP83" s="123"/>
      <c r="AQ83" s="123"/>
      <c r="AR83" s="123"/>
      <c r="AS83" s="123"/>
      <c r="AT83" s="123"/>
      <c r="AU83" s="123"/>
      <c r="AV83" s="123"/>
      <c r="AW83" s="123"/>
      <c r="AX83" s="123"/>
      <c r="AY83" s="123"/>
      <c r="AZ83" s="123"/>
      <c r="BA83" s="123"/>
      <c r="BB83" s="123"/>
      <c r="BC83" s="123"/>
      <c r="BD83" s="123"/>
      <c r="BE83" s="123"/>
      <c r="BF83" s="123"/>
      <c r="BG83" s="24"/>
      <c r="BH83" s="24"/>
      <c r="BI83" s="24"/>
    </row>
    <row r="84" spans="1:61">
      <c r="A84" s="24"/>
      <c r="B84" s="123"/>
      <c r="C84" s="123"/>
      <c r="D84" s="123"/>
      <c r="E84" s="123"/>
      <c r="F84" s="123"/>
      <c r="G84" s="123"/>
      <c r="H84" s="123"/>
      <c r="I84" s="123"/>
      <c r="J84" s="123"/>
      <c r="K84" s="123"/>
      <c r="L84" s="123"/>
      <c r="M84" s="123"/>
      <c r="N84" s="123"/>
      <c r="O84" s="123"/>
      <c r="P84" s="123"/>
      <c r="Q84" s="123"/>
      <c r="R84" s="123"/>
      <c r="S84" s="123"/>
      <c r="T84" s="123"/>
      <c r="U84" s="123"/>
      <c r="V84" s="123"/>
      <c r="W84" s="123"/>
      <c r="X84" s="123"/>
      <c r="Y84" s="123"/>
      <c r="Z84" s="123"/>
      <c r="AA84" s="123"/>
      <c r="AB84" s="123"/>
      <c r="AC84" s="24"/>
      <c r="AD84" s="24"/>
      <c r="AE84" s="24"/>
      <c r="AF84" s="123"/>
      <c r="AG84" s="123"/>
      <c r="AH84" s="123"/>
      <c r="AI84" s="123"/>
      <c r="AJ84" s="123"/>
      <c r="AK84" s="123"/>
      <c r="AL84" s="123"/>
      <c r="AM84" s="123"/>
      <c r="AN84" s="123"/>
      <c r="AO84" s="123"/>
      <c r="AP84" s="123"/>
      <c r="AQ84" s="123"/>
      <c r="AR84" s="123"/>
      <c r="AS84" s="123"/>
      <c r="AT84" s="123"/>
      <c r="AU84" s="123"/>
      <c r="AV84" s="123"/>
      <c r="AW84" s="123"/>
      <c r="AX84" s="123"/>
      <c r="AY84" s="123"/>
      <c r="AZ84" s="123"/>
      <c r="BA84" s="123"/>
      <c r="BB84" s="123"/>
      <c r="BC84" s="123"/>
      <c r="BD84" s="123"/>
      <c r="BE84" s="123"/>
      <c r="BF84" s="123"/>
      <c r="BG84" s="24"/>
      <c r="BH84" s="24"/>
      <c r="BI84" s="24"/>
    </row>
    <row r="85" spans="1:61">
      <c r="A85" s="24"/>
      <c r="B85" s="123"/>
      <c r="C85" s="123"/>
      <c r="D85" s="123"/>
      <c r="E85" s="123"/>
      <c r="F85" s="123"/>
      <c r="G85" s="123"/>
      <c r="H85" s="123"/>
      <c r="I85" s="123"/>
      <c r="J85" s="123"/>
      <c r="K85" s="123"/>
      <c r="L85" s="123"/>
      <c r="M85" s="123"/>
      <c r="N85" s="123"/>
      <c r="O85" s="123"/>
      <c r="P85" s="123"/>
      <c r="Q85" s="123"/>
      <c r="R85" s="123"/>
      <c r="S85" s="123"/>
      <c r="T85" s="123"/>
      <c r="U85" s="123"/>
      <c r="V85" s="123"/>
      <c r="W85" s="123"/>
      <c r="X85" s="123"/>
      <c r="Y85" s="123"/>
      <c r="Z85" s="123"/>
      <c r="AA85" s="123"/>
      <c r="AB85" s="123"/>
      <c r="AC85" s="24"/>
      <c r="AD85" s="24"/>
      <c r="AE85" s="24"/>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24"/>
      <c r="BH85" s="24"/>
      <c r="BI85" s="24"/>
    </row>
    <row r="86" spans="1:6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row>
    <row r="87" spans="1:6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row>
    <row r="88" spans="1:6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row>
    <row r="89" spans="1:6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row>
    <row r="90" spans="1:6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row>
    <row r="91" spans="1:6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row>
    <row r="92" spans="1:6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row>
  </sheetData>
  <mergeCells count="22">
    <mergeCell ref="AX1:BB1"/>
    <mergeCell ref="BD1:BH1"/>
    <mergeCell ref="AX2:BB2"/>
    <mergeCell ref="BD2:BH2"/>
    <mergeCell ref="AX3:BB3"/>
    <mergeCell ref="BD3:BH3"/>
    <mergeCell ref="AC48:BI48"/>
    <mergeCell ref="T4:X4"/>
    <mergeCell ref="Z4:AD4"/>
    <mergeCell ref="A5:AD5"/>
    <mergeCell ref="AC44:BI44"/>
    <mergeCell ref="AC46:BI46"/>
    <mergeCell ref="AC47:BI47"/>
    <mergeCell ref="AX4:BB4"/>
    <mergeCell ref="BD4:BH4"/>
    <mergeCell ref="AE5:BH5"/>
    <mergeCell ref="T1:X1"/>
    <mergeCell ref="Z1:AD1"/>
    <mergeCell ref="T2:X2"/>
    <mergeCell ref="Z2:AD2"/>
    <mergeCell ref="T3:X3"/>
    <mergeCell ref="Z3:AD3"/>
  </mergeCells>
  <conditionalFormatting sqref="Y55">
    <cfRule type="expression" dxfId="1" priority="2">
      <formula>$U$40=""</formula>
    </cfRule>
  </conditionalFormatting>
  <conditionalFormatting sqref="BC55">
    <cfRule type="expression" dxfId="0" priority="1">
      <formula>$U$40=""</formula>
    </cfRule>
  </conditionalFormatting>
  <dataValidations disablePrompts="1" count="1">
    <dataValidation type="list" allowBlank="1" showInputMessage="1" showErrorMessage="1" sqref="D40:G40 AH40:AK40" xr:uid="{4BE9B4F2-5DFA-4A64-9543-895B32919517}">
      <formula1>INDIRECT("CIMENTACION")</formula1>
    </dataValidation>
  </dataValidations>
  <printOptions horizontalCentered="1"/>
  <pageMargins left="0.70866141732283472" right="0.70866141732283472" top="0.74803149606299213" bottom="0.74803149606299213" header="0.31496062992125984" footer="0.31496062992125984"/>
  <pageSetup paperSize="9" scale="54" orientation="portrait" r:id="rId1"/>
  <colBreaks count="1" manualBreakCount="1">
    <brk id="30" max="1048575" man="1"/>
  </colBreaks>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073F-5119-4878-A999-5B4045541105}">
  <sheetPr>
    <pageSetUpPr fitToPage="1"/>
  </sheetPr>
  <dimension ref="A1:L61"/>
  <sheetViews>
    <sheetView topLeftCell="A28" workbookViewId="0">
      <selection activeCell="G16" sqref="G16:I17"/>
    </sheetView>
  </sheetViews>
  <sheetFormatPr baseColWidth="10" defaultColWidth="11.42578125" defaultRowHeight="15"/>
  <cols>
    <col min="1" max="2" width="12.28515625" customWidth="1"/>
    <col min="3" max="3" width="13.7109375" customWidth="1"/>
    <col min="4" max="4" width="27.28515625" customWidth="1"/>
    <col min="5" max="5" width="3" customWidth="1"/>
    <col min="6" max="7" width="16.140625" customWidth="1"/>
    <col min="8" max="9" width="17" customWidth="1"/>
    <col min="10" max="10" width="1.42578125" customWidth="1"/>
  </cols>
  <sheetData>
    <row r="1" spans="1:12" ht="33.75" customHeight="1">
      <c r="A1" s="1962" t="s">
        <v>1396</v>
      </c>
      <c r="B1" s="1962"/>
      <c r="C1" s="1962"/>
      <c r="D1" s="1962"/>
      <c r="E1" s="1962"/>
      <c r="F1" s="1962"/>
      <c r="G1" s="1962"/>
      <c r="H1" s="1962"/>
      <c r="I1" s="1962"/>
      <c r="J1" s="479"/>
    </row>
    <row r="2" spans="1:12" ht="46.5" customHeight="1">
      <c r="A2" s="1960" t="s">
        <v>1397</v>
      </c>
      <c r="B2" s="1960"/>
      <c r="C2" s="1960"/>
      <c r="D2" s="1961">
        <f>+'MEM. DESC. I'!J48</f>
        <v>0</v>
      </c>
      <c r="E2" s="1961"/>
      <c r="F2" s="1961"/>
      <c r="G2" s="1961"/>
      <c r="H2" s="1961"/>
      <c r="I2" s="1961"/>
      <c r="J2" s="479"/>
    </row>
    <row r="3" spans="1:12" ht="46.5" customHeight="1">
      <c r="A3" s="1960" t="s">
        <v>1398</v>
      </c>
      <c r="B3" s="1960"/>
      <c r="C3" s="1960"/>
      <c r="D3" s="1961" t="str">
        <f>+'MEM. DESC. I'!J51</f>
        <v>No se contó con la documentación correspondiente.</v>
      </c>
      <c r="E3" s="1961"/>
      <c r="F3" s="1961"/>
      <c r="G3" s="1961"/>
      <c r="H3" s="1961"/>
      <c r="I3" s="1961"/>
      <c r="J3" s="479"/>
    </row>
    <row r="4" spans="1:12" ht="46.5" customHeight="1">
      <c r="A4" s="1960" t="s">
        <v>1399</v>
      </c>
      <c r="B4" s="1960"/>
      <c r="C4" s="1960"/>
      <c r="D4" s="1961">
        <f>+'MEM. DESC. I'!J54</f>
        <v>0</v>
      </c>
      <c r="E4" s="1961"/>
      <c r="F4" s="1961"/>
      <c r="G4" s="1961"/>
      <c r="H4" s="1961"/>
      <c r="I4" s="1961"/>
      <c r="J4" s="479"/>
    </row>
    <row r="5" spans="1:12" ht="16.5">
      <c r="A5" s="1963" t="s">
        <v>1400</v>
      </c>
      <c r="B5" s="1964"/>
      <c r="C5" s="1965"/>
      <c r="D5" s="1966">
        <f>+'HR-COMÚN TERMINADO'!F47</f>
        <v>0</v>
      </c>
      <c r="E5" s="1967"/>
      <c r="F5" s="1967">
        <f>+'HR-COMÚN TERMINADO'!O47</f>
        <v>0</v>
      </c>
      <c r="G5" s="1967"/>
      <c r="H5" s="1967">
        <f>+'HR-COMÚN TERMINADO'!Y47</f>
        <v>0</v>
      </c>
      <c r="I5" s="1968"/>
      <c r="J5" s="479"/>
      <c r="K5" s="129"/>
      <c r="L5" s="129"/>
    </row>
    <row r="6" spans="1:12" ht="6" customHeight="1">
      <c r="A6" s="479"/>
      <c r="B6" s="479"/>
      <c r="C6" s="479"/>
      <c r="D6" s="479"/>
      <c r="E6" s="479"/>
      <c r="F6" s="479"/>
      <c r="G6" s="479"/>
      <c r="H6" s="479"/>
      <c r="I6" s="479"/>
      <c r="J6" s="479"/>
    </row>
    <row r="7" spans="1:12">
      <c r="A7" s="1969" t="s">
        <v>1401</v>
      </c>
      <c r="B7" s="1970"/>
      <c r="C7" s="1971"/>
      <c r="D7" s="1972">
        <f>+'HR-COMÚN TERMINADO'!Z14</f>
        <v>0</v>
      </c>
      <c r="E7" s="1972"/>
      <c r="F7" s="480" t="s">
        <v>1402</v>
      </c>
      <c r="G7" s="481">
        <f>+'HR-COMÚN TERMINADO'!J104</f>
        <v>3.48</v>
      </c>
      <c r="H7" s="479"/>
      <c r="I7" s="479"/>
      <c r="J7" s="479"/>
    </row>
    <row r="8" spans="1:12" ht="6" customHeight="1">
      <c r="A8" s="479"/>
      <c r="B8" s="479"/>
      <c r="C8" s="479"/>
      <c r="D8" s="479"/>
      <c r="E8" s="479"/>
      <c r="F8" s="479"/>
      <c r="G8" s="479"/>
      <c r="H8" s="479"/>
      <c r="I8" s="479"/>
      <c r="J8" s="479"/>
    </row>
    <row r="9" spans="1:12">
      <c r="A9" s="479"/>
      <c r="B9" s="479"/>
      <c r="C9" s="480" t="s">
        <v>1403</v>
      </c>
      <c r="D9" s="480" t="s">
        <v>1404</v>
      </c>
      <c r="E9" s="479"/>
      <c r="F9" s="479"/>
      <c r="G9" s="479"/>
      <c r="H9" s="480" t="s">
        <v>1403</v>
      </c>
      <c r="I9" s="480" t="s">
        <v>1404</v>
      </c>
      <c r="J9" s="479"/>
    </row>
    <row r="10" spans="1:12">
      <c r="A10" s="1960" t="s">
        <v>1405</v>
      </c>
      <c r="B10" s="1960"/>
      <c r="C10" s="482">
        <f>+'HR-COMÚN TERMINADO'!M94</f>
        <v>0</v>
      </c>
      <c r="D10" s="482">
        <f>+'HR-COMÚN TERMINADO'!M95</f>
        <v>0</v>
      </c>
      <c r="E10" s="479"/>
      <c r="F10" s="1960" t="s">
        <v>1105</v>
      </c>
      <c r="G10" s="1960"/>
      <c r="H10" s="482">
        <f>+REPOSICIÓN!X25</f>
        <v>0</v>
      </c>
      <c r="I10" s="482">
        <f>+H10*G7</f>
        <v>0</v>
      </c>
      <c r="J10" s="479"/>
    </row>
    <row r="11" spans="1:12">
      <c r="A11" s="1960" t="s">
        <v>1406</v>
      </c>
      <c r="B11" s="1960"/>
      <c r="C11" s="482">
        <f>+'HR-COMÚN TERMINADO'!M96</f>
        <v>0</v>
      </c>
      <c r="D11" s="482">
        <f>+'HR-COMÚN TERMINADO'!M97</f>
        <v>0</v>
      </c>
      <c r="E11" s="479"/>
      <c r="F11" s="1960" t="s">
        <v>1407</v>
      </c>
      <c r="G11" s="1960"/>
      <c r="H11" s="482">
        <f>+'HR-COMÚN TERMINADO'!M100</f>
        <v>0</v>
      </c>
      <c r="I11" s="482">
        <f>H11*G7</f>
        <v>0</v>
      </c>
      <c r="J11" s="479"/>
    </row>
    <row r="12" spans="1:12" ht="6" customHeight="1">
      <c r="A12" s="483"/>
      <c r="B12" s="483"/>
      <c r="C12" s="483"/>
      <c r="D12" s="483"/>
      <c r="E12" s="483"/>
      <c r="F12" s="483"/>
      <c r="G12" s="483"/>
      <c r="H12" s="483"/>
      <c r="I12" s="483"/>
      <c r="J12" s="483"/>
    </row>
    <row r="13" spans="1:12">
      <c r="A13" s="1973" t="s">
        <v>770</v>
      </c>
      <c r="B13" s="1973"/>
      <c r="C13" s="1974">
        <f>+'HR-COMÚN TERMINADO'!H70</f>
        <v>0</v>
      </c>
      <c r="D13" s="1974"/>
      <c r="E13" s="479"/>
      <c r="F13" s="1973" t="s">
        <v>1408</v>
      </c>
      <c r="G13" s="1973"/>
      <c r="H13" s="1974">
        <f>+'MEM. DESC. I'!X99</f>
        <v>0</v>
      </c>
      <c r="I13" s="1974"/>
      <c r="J13" s="479"/>
    </row>
    <row r="14" spans="1:12">
      <c r="A14" s="1973" t="s">
        <v>1409</v>
      </c>
      <c r="B14" s="1973"/>
      <c r="C14" s="1974">
        <f>+'MEM. DESC. II'!S44</f>
        <v>0</v>
      </c>
      <c r="D14" s="1974"/>
      <c r="E14" s="479"/>
      <c r="F14" s="1973" t="s">
        <v>1410</v>
      </c>
      <c r="G14" s="1973"/>
      <c r="H14" s="1974">
        <f>+'MEM. DESC. II'!K56+'MEM. DESC. II'!K65</f>
        <v>0</v>
      </c>
      <c r="I14" s="1974"/>
      <c r="J14" s="479"/>
    </row>
    <row r="15" spans="1:12" ht="6" customHeight="1">
      <c r="A15" s="483"/>
      <c r="B15" s="483"/>
      <c r="C15" s="483"/>
      <c r="D15" s="483"/>
      <c r="E15" s="483"/>
      <c r="F15" s="483"/>
      <c r="G15" s="483"/>
      <c r="H15" s="483"/>
      <c r="I15" s="483"/>
      <c r="J15" s="483"/>
    </row>
    <row r="16" spans="1:12" ht="15" customHeight="1">
      <c r="A16" s="1973" t="s">
        <v>1411</v>
      </c>
      <c r="B16" s="1973"/>
      <c r="C16" s="480" t="s">
        <v>774</v>
      </c>
      <c r="D16" s="480" t="s">
        <v>1169</v>
      </c>
      <c r="E16" s="483"/>
      <c r="F16" s="1990" t="s">
        <v>1412</v>
      </c>
      <c r="G16" s="1992" t="s">
        <v>1413</v>
      </c>
      <c r="H16" s="1992"/>
      <c r="I16" s="1992"/>
      <c r="J16" s="483"/>
    </row>
    <row r="17" spans="1:10" ht="15" customHeight="1">
      <c r="A17" s="483"/>
      <c r="B17" s="483"/>
      <c r="C17" s="484">
        <f>+'HR-COMÚN TERMINADO'!L55</f>
        <v>100</v>
      </c>
      <c r="D17" s="484" t="str">
        <f>+'HR-COMÚN TERMINADO'!F55</f>
        <v>Departamento Flat</v>
      </c>
      <c r="E17" s="483"/>
      <c r="F17" s="1991"/>
      <c r="G17" s="1992"/>
      <c r="H17" s="1992"/>
      <c r="I17" s="1992"/>
      <c r="J17" s="483"/>
    </row>
    <row r="18" spans="1:10">
      <c r="A18" s="483"/>
      <c r="B18" s="483"/>
      <c r="C18" s="484">
        <f>+'HR-COMÚN TERMINADO'!L56</f>
        <v>0</v>
      </c>
      <c r="D18" s="484">
        <f>+'HR-COMÚN TERMINADO'!F56</f>
        <v>0</v>
      </c>
      <c r="E18" s="483"/>
      <c r="F18" s="483"/>
      <c r="G18" s="483"/>
      <c r="H18" s="483"/>
      <c r="I18" s="483"/>
      <c r="J18" s="483"/>
    </row>
    <row r="19" spans="1:10">
      <c r="A19" s="483"/>
      <c r="B19" s="483"/>
      <c r="C19" s="484">
        <f>+'HR-COMÚN TERMINADO'!L57</f>
        <v>0</v>
      </c>
      <c r="D19" s="484">
        <f>+'HR-COMÚN TERMINADO'!F57</f>
        <v>0</v>
      </c>
      <c r="E19" s="483"/>
      <c r="F19" s="483"/>
      <c r="G19" s="483"/>
      <c r="H19" s="483"/>
      <c r="I19" s="483"/>
      <c r="J19" s="483"/>
    </row>
    <row r="20" spans="1:10">
      <c r="A20" s="479"/>
      <c r="B20" s="479"/>
      <c r="C20" s="484">
        <f>+'[1]MEM. DESC. I'!AB83</f>
        <v>0</v>
      </c>
      <c r="D20" s="484">
        <f>+'[1]MEM. DESC. I'!U83</f>
        <v>0</v>
      </c>
      <c r="E20" s="483"/>
      <c r="F20" s="479"/>
      <c r="G20" s="479"/>
      <c r="H20" s="479"/>
      <c r="I20" s="479"/>
      <c r="J20" s="479"/>
    </row>
    <row r="21" spans="1:10" ht="6" customHeight="1">
      <c r="A21" s="479"/>
      <c r="B21" s="479"/>
      <c r="C21" s="479"/>
      <c r="D21" s="479"/>
      <c r="E21" s="479"/>
      <c r="F21" s="479"/>
      <c r="G21" s="479"/>
      <c r="H21" s="479"/>
      <c r="I21" s="479"/>
      <c r="J21" s="479"/>
    </row>
    <row r="22" spans="1:10">
      <c r="A22" s="1975" t="s">
        <v>977</v>
      </c>
      <c r="B22" s="1976"/>
      <c r="C22" s="1976"/>
      <c r="D22" s="1981">
        <f>+'HR-COMÚN TERMINADO'!F75</f>
        <v>0</v>
      </c>
      <c r="E22" s="1982"/>
      <c r="F22" s="1982"/>
      <c r="G22" s="1982"/>
      <c r="H22" s="1982"/>
      <c r="I22" s="1983"/>
      <c r="J22" s="479"/>
    </row>
    <row r="23" spans="1:10">
      <c r="A23" s="1977"/>
      <c r="B23" s="1978"/>
      <c r="C23" s="1978"/>
      <c r="D23" s="1984"/>
      <c r="E23" s="1985"/>
      <c r="F23" s="1985"/>
      <c r="G23" s="1985"/>
      <c r="H23" s="1985"/>
      <c r="I23" s="1986"/>
      <c r="J23" s="479"/>
    </row>
    <row r="24" spans="1:10">
      <c r="A24" s="1977"/>
      <c r="B24" s="1978"/>
      <c r="C24" s="1978"/>
      <c r="D24" s="1984"/>
      <c r="E24" s="1985"/>
      <c r="F24" s="1985"/>
      <c r="G24" s="1985"/>
      <c r="H24" s="1985"/>
      <c r="I24" s="1986"/>
      <c r="J24" s="479"/>
    </row>
    <row r="25" spans="1:10">
      <c r="A25" s="1977"/>
      <c r="B25" s="1978"/>
      <c r="C25" s="1978"/>
      <c r="D25" s="1984"/>
      <c r="E25" s="1985"/>
      <c r="F25" s="1985"/>
      <c r="G25" s="1985"/>
      <c r="H25" s="1985"/>
      <c r="I25" s="1986"/>
      <c r="J25" s="479"/>
    </row>
    <row r="26" spans="1:10">
      <c r="A26" s="1977"/>
      <c r="B26" s="1978"/>
      <c r="C26" s="1978"/>
      <c r="D26" s="1984"/>
      <c r="E26" s="1985"/>
      <c r="F26" s="1985"/>
      <c r="G26" s="1985"/>
      <c r="H26" s="1985"/>
      <c r="I26" s="1986"/>
      <c r="J26" s="479"/>
    </row>
    <row r="27" spans="1:10">
      <c r="A27" s="1977"/>
      <c r="B27" s="1978"/>
      <c r="C27" s="1978"/>
      <c r="D27" s="1984"/>
      <c r="E27" s="1985"/>
      <c r="F27" s="1985"/>
      <c r="G27" s="1985"/>
      <c r="H27" s="1985"/>
      <c r="I27" s="1986"/>
      <c r="J27" s="479"/>
    </row>
    <row r="28" spans="1:10">
      <c r="A28" s="1977"/>
      <c r="B28" s="1978"/>
      <c r="C28" s="1978"/>
      <c r="D28" s="1984"/>
      <c r="E28" s="1985"/>
      <c r="F28" s="1985"/>
      <c r="G28" s="1985"/>
      <c r="H28" s="1985"/>
      <c r="I28" s="1986"/>
      <c r="J28" s="479"/>
    </row>
    <row r="29" spans="1:10">
      <c r="A29" s="1977"/>
      <c r="B29" s="1978"/>
      <c r="C29" s="1978"/>
      <c r="D29" s="1984"/>
      <c r="E29" s="1985"/>
      <c r="F29" s="1985"/>
      <c r="G29" s="1985"/>
      <c r="H29" s="1985"/>
      <c r="I29" s="1986"/>
      <c r="J29" s="479"/>
    </row>
    <row r="30" spans="1:10">
      <c r="A30" s="1977"/>
      <c r="B30" s="1978"/>
      <c r="C30" s="1978"/>
      <c r="D30" s="1984"/>
      <c r="E30" s="1985"/>
      <c r="F30" s="1985"/>
      <c r="G30" s="1985"/>
      <c r="H30" s="1985"/>
      <c r="I30" s="1986"/>
      <c r="J30" s="479"/>
    </row>
    <row r="31" spans="1:10">
      <c r="A31" s="1977"/>
      <c r="B31" s="1978"/>
      <c r="C31" s="1978"/>
      <c r="D31" s="1984"/>
      <c r="E31" s="1985"/>
      <c r="F31" s="1985"/>
      <c r="G31" s="1985"/>
      <c r="H31" s="1985"/>
      <c r="I31" s="1986"/>
      <c r="J31" s="479"/>
    </row>
    <row r="32" spans="1:10">
      <c r="A32" s="1977"/>
      <c r="B32" s="1978"/>
      <c r="C32" s="1978"/>
      <c r="D32" s="1984"/>
      <c r="E32" s="1985"/>
      <c r="F32" s="1985"/>
      <c r="G32" s="1985"/>
      <c r="H32" s="1985"/>
      <c r="I32" s="1986"/>
      <c r="J32" s="479"/>
    </row>
    <row r="33" spans="1:10">
      <c r="A33" s="1977"/>
      <c r="B33" s="1978"/>
      <c r="C33" s="1978"/>
      <c r="D33" s="1984"/>
      <c r="E33" s="1985"/>
      <c r="F33" s="1985"/>
      <c r="G33" s="1985"/>
      <c r="H33" s="1985"/>
      <c r="I33" s="1986"/>
      <c r="J33" s="479"/>
    </row>
    <row r="34" spans="1:10">
      <c r="A34" s="1977"/>
      <c r="B34" s="1978"/>
      <c r="C34" s="1978"/>
      <c r="D34" s="1984"/>
      <c r="E34" s="1985"/>
      <c r="F34" s="1985"/>
      <c r="G34" s="1985"/>
      <c r="H34" s="1985"/>
      <c r="I34" s="1986"/>
      <c r="J34" s="479"/>
    </row>
    <row r="35" spans="1:10">
      <c r="A35" s="1977"/>
      <c r="B35" s="1978"/>
      <c r="C35" s="1978"/>
      <c r="D35" s="1984"/>
      <c r="E35" s="1985"/>
      <c r="F35" s="1985"/>
      <c r="G35" s="1985"/>
      <c r="H35" s="1985"/>
      <c r="I35" s="1986"/>
      <c r="J35" s="479"/>
    </row>
    <row r="36" spans="1:10">
      <c r="A36" s="1977"/>
      <c r="B36" s="1978"/>
      <c r="C36" s="1978"/>
      <c r="D36" s="1984"/>
      <c r="E36" s="1985"/>
      <c r="F36" s="1985"/>
      <c r="G36" s="1985"/>
      <c r="H36" s="1985"/>
      <c r="I36" s="1986"/>
      <c r="J36" s="479"/>
    </row>
    <row r="37" spans="1:10">
      <c r="A37" s="1977"/>
      <c r="B37" s="1978"/>
      <c r="C37" s="1978"/>
      <c r="D37" s="1984"/>
      <c r="E37" s="1985"/>
      <c r="F37" s="1985"/>
      <c r="G37" s="1985"/>
      <c r="H37" s="1985"/>
      <c r="I37" s="1986"/>
      <c r="J37" s="479"/>
    </row>
    <row r="38" spans="1:10">
      <c r="A38" s="1977"/>
      <c r="B38" s="1978"/>
      <c r="C38" s="1978"/>
      <c r="D38" s="1984"/>
      <c r="E38" s="1985"/>
      <c r="F38" s="1985"/>
      <c r="G38" s="1985"/>
      <c r="H38" s="1985"/>
      <c r="I38" s="1986"/>
      <c r="J38" s="479"/>
    </row>
    <row r="39" spans="1:10" hidden="1">
      <c r="A39" s="1977"/>
      <c r="B39" s="1978"/>
      <c r="C39" s="1978"/>
      <c r="D39" s="1984"/>
      <c r="E39" s="1985"/>
      <c r="F39" s="1985"/>
      <c r="G39" s="1985"/>
      <c r="H39" s="1985"/>
      <c r="I39" s="1986"/>
      <c r="J39" s="479"/>
    </row>
    <row r="40" spans="1:10" hidden="1">
      <c r="A40" s="1977"/>
      <c r="B40" s="1978"/>
      <c r="C40" s="1978"/>
      <c r="D40" s="1984"/>
      <c r="E40" s="1985"/>
      <c r="F40" s="1985"/>
      <c r="G40" s="1985"/>
      <c r="H40" s="1985"/>
      <c r="I40" s="1986"/>
      <c r="J40" s="479"/>
    </row>
    <row r="41" spans="1:10">
      <c r="A41" s="1979"/>
      <c r="B41" s="1980"/>
      <c r="C41" s="1980"/>
      <c r="D41" s="1987"/>
      <c r="E41" s="1988"/>
      <c r="F41" s="1988"/>
      <c r="G41" s="1988"/>
      <c r="H41" s="1988"/>
      <c r="I41" s="1989"/>
      <c r="J41" s="479"/>
    </row>
    <row r="42" spans="1:10">
      <c r="A42" s="1975" t="s">
        <v>1414</v>
      </c>
      <c r="B42" s="1976"/>
      <c r="C42" s="1976"/>
      <c r="D42" s="1981" t="str">
        <f>+'MEM. DESC. I'!J108</f>
        <v xml:space="preserve">Descripción
Distribución:
Primer piso:
Segundo piso:
Tercer piso:
</v>
      </c>
      <c r="E42" s="1982"/>
      <c r="F42" s="1982"/>
      <c r="G42" s="1982"/>
      <c r="H42" s="1982"/>
      <c r="I42" s="1983"/>
      <c r="J42" s="479"/>
    </row>
    <row r="43" spans="1:10">
      <c r="A43" s="1977"/>
      <c r="B43" s="1978"/>
      <c r="C43" s="1978"/>
      <c r="D43" s="1984"/>
      <c r="E43" s="1985"/>
      <c r="F43" s="1985"/>
      <c r="G43" s="1985"/>
      <c r="H43" s="1985"/>
      <c r="I43" s="1986"/>
      <c r="J43" s="479"/>
    </row>
    <row r="44" spans="1:10">
      <c r="A44" s="1977"/>
      <c r="B44" s="1978"/>
      <c r="C44" s="1978"/>
      <c r="D44" s="1984"/>
      <c r="E44" s="1985"/>
      <c r="F44" s="1985"/>
      <c r="G44" s="1985"/>
      <c r="H44" s="1985"/>
      <c r="I44" s="1986"/>
      <c r="J44" s="479"/>
    </row>
    <row r="45" spans="1:10">
      <c r="A45" s="1977"/>
      <c r="B45" s="1978"/>
      <c r="C45" s="1978"/>
      <c r="D45" s="1984"/>
      <c r="E45" s="1985"/>
      <c r="F45" s="1985"/>
      <c r="G45" s="1985"/>
      <c r="H45" s="1985"/>
      <c r="I45" s="1986"/>
      <c r="J45" s="479"/>
    </row>
    <row r="46" spans="1:10">
      <c r="A46" s="1977"/>
      <c r="B46" s="1978"/>
      <c r="C46" s="1978"/>
      <c r="D46" s="1984"/>
      <c r="E46" s="1985"/>
      <c r="F46" s="1985"/>
      <c r="G46" s="1985"/>
      <c r="H46" s="1985"/>
      <c r="I46" s="1986"/>
      <c r="J46" s="479"/>
    </row>
    <row r="47" spans="1:10">
      <c r="A47" s="1977"/>
      <c r="B47" s="1978"/>
      <c r="C47" s="1978"/>
      <c r="D47" s="1984"/>
      <c r="E47" s="1985"/>
      <c r="F47" s="1985"/>
      <c r="G47" s="1985"/>
      <c r="H47" s="1985"/>
      <c r="I47" s="1986"/>
      <c r="J47" s="479"/>
    </row>
    <row r="48" spans="1:10">
      <c r="A48" s="1977"/>
      <c r="B48" s="1978"/>
      <c r="C48" s="1978"/>
      <c r="D48" s="1984"/>
      <c r="E48" s="1985"/>
      <c r="F48" s="1985"/>
      <c r="G48" s="1985"/>
      <c r="H48" s="1985"/>
      <c r="I48" s="1986"/>
      <c r="J48" s="479"/>
    </row>
    <row r="49" spans="1:10">
      <c r="A49" s="1977"/>
      <c r="B49" s="1978"/>
      <c r="C49" s="1978"/>
      <c r="D49" s="1984"/>
      <c r="E49" s="1985"/>
      <c r="F49" s="1985"/>
      <c r="G49" s="1985"/>
      <c r="H49" s="1985"/>
      <c r="I49" s="1986"/>
      <c r="J49" s="479"/>
    </row>
    <row r="50" spans="1:10">
      <c r="A50" s="1977"/>
      <c r="B50" s="1978"/>
      <c r="C50" s="1978"/>
      <c r="D50" s="1984"/>
      <c r="E50" s="1985"/>
      <c r="F50" s="1985"/>
      <c r="G50" s="1985"/>
      <c r="H50" s="1985"/>
      <c r="I50" s="1986"/>
      <c r="J50" s="479"/>
    </row>
    <row r="51" spans="1:10">
      <c r="A51" s="1977"/>
      <c r="B51" s="1978"/>
      <c r="C51" s="1978"/>
      <c r="D51" s="1984"/>
      <c r="E51" s="1985"/>
      <c r="F51" s="1985"/>
      <c r="G51" s="1985"/>
      <c r="H51" s="1985"/>
      <c r="I51" s="1986"/>
      <c r="J51" s="479"/>
    </row>
    <row r="52" spans="1:10">
      <c r="A52" s="1977"/>
      <c r="B52" s="1978"/>
      <c r="C52" s="1978"/>
      <c r="D52" s="1984"/>
      <c r="E52" s="1985"/>
      <c r="F52" s="1985"/>
      <c r="G52" s="1985"/>
      <c r="H52" s="1985"/>
      <c r="I52" s="1986"/>
      <c r="J52" s="479"/>
    </row>
    <row r="53" spans="1:10">
      <c r="A53" s="1977"/>
      <c r="B53" s="1978"/>
      <c r="C53" s="1978"/>
      <c r="D53" s="1984"/>
      <c r="E53" s="1985"/>
      <c r="F53" s="1985"/>
      <c r="G53" s="1985"/>
      <c r="H53" s="1985"/>
      <c r="I53" s="1986"/>
      <c r="J53" s="479"/>
    </row>
    <row r="54" spans="1:10">
      <c r="A54" s="1977"/>
      <c r="B54" s="1978"/>
      <c r="C54" s="1978"/>
      <c r="D54" s="1984"/>
      <c r="E54" s="1985"/>
      <c r="F54" s="1985"/>
      <c r="G54" s="1985"/>
      <c r="H54" s="1985"/>
      <c r="I54" s="1986"/>
      <c r="J54" s="479"/>
    </row>
    <row r="55" spans="1:10" hidden="1">
      <c r="A55" s="1977"/>
      <c r="B55" s="1978"/>
      <c r="C55" s="1978"/>
      <c r="D55" s="1984"/>
      <c r="E55" s="1985"/>
      <c r="F55" s="1985"/>
      <c r="G55" s="1985"/>
      <c r="H55" s="1985"/>
      <c r="I55" s="1986"/>
      <c r="J55" s="479"/>
    </row>
    <row r="56" spans="1:10" hidden="1">
      <c r="A56" s="1977"/>
      <c r="B56" s="1978"/>
      <c r="C56" s="1978"/>
      <c r="D56" s="1984"/>
      <c r="E56" s="1985"/>
      <c r="F56" s="1985"/>
      <c r="G56" s="1985"/>
      <c r="H56" s="1985"/>
      <c r="I56" s="1986"/>
      <c r="J56" s="479"/>
    </row>
    <row r="57" spans="1:10" hidden="1">
      <c r="A57" s="1977"/>
      <c r="B57" s="1978"/>
      <c r="C57" s="1978"/>
      <c r="D57" s="1984"/>
      <c r="E57" s="1985"/>
      <c r="F57" s="1985"/>
      <c r="G57" s="1985"/>
      <c r="H57" s="1985"/>
      <c r="I57" s="1986"/>
      <c r="J57" s="479"/>
    </row>
    <row r="58" spans="1:10">
      <c r="A58" s="1979"/>
      <c r="B58" s="1980"/>
      <c r="C58" s="1980"/>
      <c r="D58" s="1987"/>
      <c r="E58" s="1988"/>
      <c r="F58" s="1988"/>
      <c r="G58" s="1988"/>
      <c r="H58" s="1988"/>
      <c r="I58" s="1989"/>
      <c r="J58" s="479"/>
    </row>
    <row r="59" spans="1:10">
      <c r="A59" s="479"/>
      <c r="B59" s="479"/>
      <c r="C59" s="479"/>
      <c r="D59" s="479"/>
      <c r="E59" s="479"/>
      <c r="F59" s="479"/>
      <c r="G59" s="479"/>
      <c r="H59" s="479"/>
      <c r="I59" s="479"/>
      <c r="J59" s="479"/>
    </row>
    <row r="60" spans="1:10">
      <c r="A60" s="479"/>
      <c r="B60" s="479"/>
      <c r="C60" s="479"/>
      <c r="D60" s="479"/>
      <c r="E60" s="479"/>
      <c r="F60" s="479"/>
      <c r="G60" s="479"/>
      <c r="H60" s="479"/>
      <c r="I60" s="479"/>
      <c r="J60" s="479"/>
    </row>
    <row r="61" spans="1:10">
      <c r="A61" s="479"/>
      <c r="B61" s="479"/>
      <c r="C61" s="479"/>
      <c r="D61" s="479"/>
      <c r="E61" s="479"/>
      <c r="F61" s="479"/>
      <c r="G61" s="479"/>
      <c r="H61" s="479"/>
      <c r="I61" s="479"/>
      <c r="J61" s="479"/>
    </row>
  </sheetData>
  <mergeCells count="32">
    <mergeCell ref="A22:C41"/>
    <mergeCell ref="D22:I41"/>
    <mergeCell ref="A42:C58"/>
    <mergeCell ref="D42:I58"/>
    <mergeCell ref="H13:I13"/>
    <mergeCell ref="A14:B14"/>
    <mergeCell ref="C14:D14"/>
    <mergeCell ref="F14:G14"/>
    <mergeCell ref="H14:I14"/>
    <mergeCell ref="A16:B16"/>
    <mergeCell ref="F16:F17"/>
    <mergeCell ref="G16:I17"/>
    <mergeCell ref="A10:B10"/>
    <mergeCell ref="F10:G10"/>
    <mergeCell ref="A11:B11"/>
    <mergeCell ref="F11:G11"/>
    <mergeCell ref="A13:B13"/>
    <mergeCell ref="C13:D13"/>
    <mergeCell ref="F13:G13"/>
    <mergeCell ref="A5:C5"/>
    <mergeCell ref="D5:E5"/>
    <mergeCell ref="F5:G5"/>
    <mergeCell ref="H5:I5"/>
    <mergeCell ref="A7:C7"/>
    <mergeCell ref="D7:E7"/>
    <mergeCell ref="A4:C4"/>
    <mergeCell ref="D4:I4"/>
    <mergeCell ref="A1:I1"/>
    <mergeCell ref="A2:C2"/>
    <mergeCell ref="D2:I2"/>
    <mergeCell ref="A3:C3"/>
    <mergeCell ref="D3:I3"/>
  </mergeCells>
  <pageMargins left="0.7" right="0.7" top="0.75" bottom="0.75" header="0.3" footer="0.3"/>
  <pageSetup paperSize="9" scale="64" fitToHeight="0" orientation="portrait"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4"/>
  <dimension ref="A1:AK61"/>
  <sheetViews>
    <sheetView workbookViewId="0"/>
  </sheetViews>
  <sheetFormatPr baseColWidth="10" defaultRowHeight="15"/>
  <cols>
    <col min="9" max="9" width="116.140625" bestFit="1" customWidth="1"/>
    <col min="10" max="10" width="87.28515625" bestFit="1" customWidth="1"/>
    <col min="11" max="11" width="91" bestFit="1" customWidth="1"/>
    <col min="12" max="12" width="131.28515625" bestFit="1" customWidth="1"/>
    <col min="13" max="13" width="73.7109375" bestFit="1" customWidth="1"/>
    <col min="14" max="14" width="66.85546875" bestFit="1" customWidth="1"/>
    <col min="15" max="15" width="179.42578125" bestFit="1" customWidth="1"/>
  </cols>
  <sheetData>
    <row r="1" spans="1:37" ht="20.25">
      <c r="A1" s="83" t="s">
        <v>848</v>
      </c>
      <c r="B1" s="84"/>
      <c r="C1" s="84"/>
      <c r="D1" s="84"/>
      <c r="E1" s="84"/>
      <c r="F1" s="84"/>
      <c r="G1" s="85"/>
      <c r="H1" s="85"/>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row>
    <row r="2" spans="1:37">
      <c r="A2" s="86"/>
      <c r="B2" s="84"/>
      <c r="C2" s="84"/>
      <c r="D2" s="84"/>
      <c r="E2" s="84"/>
      <c r="F2" s="84"/>
      <c r="G2" s="85"/>
      <c r="H2" s="85"/>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row>
    <row r="3" spans="1:37" ht="16.5">
      <c r="A3" s="87" t="s">
        <v>849</v>
      </c>
      <c r="B3" s="87">
        <v>2015</v>
      </c>
      <c r="C3" s="87"/>
      <c r="D3" s="88" t="s">
        <v>850</v>
      </c>
      <c r="E3" s="89">
        <v>41943</v>
      </c>
      <c r="F3" s="87"/>
      <c r="G3" s="87"/>
      <c r="H3" s="88" t="s">
        <v>851</v>
      </c>
      <c r="I3" s="87" t="s">
        <v>852</v>
      </c>
      <c r="J3" s="87"/>
      <c r="K3" s="87"/>
      <c r="L3" s="87"/>
      <c r="M3" s="87"/>
      <c r="N3" s="87"/>
      <c r="O3" s="87"/>
      <c r="P3" s="84"/>
      <c r="Q3" s="84"/>
      <c r="R3" s="84"/>
      <c r="S3" s="84"/>
      <c r="T3" s="84"/>
      <c r="U3" s="84"/>
      <c r="V3" s="84"/>
      <c r="W3" s="84"/>
      <c r="X3" s="84"/>
      <c r="Y3" s="84"/>
      <c r="Z3" s="84"/>
      <c r="AA3" s="84"/>
      <c r="AB3" s="84"/>
      <c r="AC3" s="84"/>
      <c r="AD3" s="84"/>
      <c r="AE3" s="84"/>
      <c r="AF3" s="84"/>
      <c r="AG3" s="84"/>
      <c r="AH3" s="84"/>
      <c r="AI3" s="84"/>
      <c r="AJ3" s="84"/>
      <c r="AK3" s="84"/>
    </row>
    <row r="4" spans="1:37">
      <c r="A4" s="84"/>
      <c r="B4" s="84"/>
      <c r="C4" s="84"/>
      <c r="D4" s="84"/>
      <c r="E4" s="84"/>
      <c r="F4" s="84"/>
      <c r="G4" s="85"/>
      <c r="H4" s="85"/>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row>
    <row r="5" spans="1:37">
      <c r="A5" s="1993" t="s">
        <v>853</v>
      </c>
      <c r="B5" s="1993"/>
      <c r="C5" s="1993"/>
      <c r="D5" s="1993"/>
      <c r="E5" s="1993"/>
      <c r="F5" s="90">
        <v>0.68</v>
      </c>
      <c r="G5" s="84"/>
      <c r="H5" s="91" t="s">
        <v>854</v>
      </c>
      <c r="I5" s="85"/>
      <c r="J5" s="84"/>
      <c r="K5" s="84"/>
      <c r="L5" s="84"/>
      <c r="M5" s="1993" t="s">
        <v>729</v>
      </c>
      <c r="N5" s="1993"/>
      <c r="O5" s="1993"/>
      <c r="P5" s="84"/>
      <c r="Q5" s="84"/>
      <c r="R5" s="84"/>
      <c r="S5" s="84"/>
      <c r="T5" s="84"/>
      <c r="U5" s="84"/>
      <c r="V5" s="84"/>
      <c r="W5" s="84"/>
      <c r="X5" s="84"/>
      <c r="Y5" s="84"/>
      <c r="Z5" s="84"/>
      <c r="AA5" s="84"/>
      <c r="AB5" s="84"/>
      <c r="AC5" s="84"/>
      <c r="AD5" s="84"/>
      <c r="AE5" s="84"/>
      <c r="AF5" s="84"/>
      <c r="AG5" s="84"/>
      <c r="AH5" s="84"/>
      <c r="AI5" s="84"/>
      <c r="AJ5" s="84"/>
      <c r="AK5" s="84"/>
    </row>
    <row r="6" spans="1:37">
      <c r="A6" s="1993" t="s">
        <v>855</v>
      </c>
      <c r="B6" s="1993"/>
      <c r="C6" s="1993"/>
      <c r="D6" s="1993"/>
      <c r="E6" s="1993"/>
      <c r="F6" s="90">
        <v>1.18</v>
      </c>
      <c r="G6" s="84"/>
      <c r="H6" s="1994" t="s">
        <v>856</v>
      </c>
      <c r="I6" s="1994"/>
      <c r="J6" s="1994"/>
      <c r="K6" s="1994"/>
      <c r="L6" s="1994"/>
      <c r="M6" s="1995">
        <f>IGV*F7/F5</f>
        <v>1.8220588235294115</v>
      </c>
      <c r="N6" s="1995"/>
      <c r="O6" s="1995"/>
      <c r="P6" s="84"/>
      <c r="Q6" s="84"/>
      <c r="R6" s="84"/>
      <c r="S6" s="84"/>
      <c r="T6" s="84"/>
      <c r="U6" s="84"/>
      <c r="V6" s="84"/>
      <c r="W6" s="84"/>
      <c r="X6" s="84"/>
      <c r="Y6" s="84"/>
      <c r="Z6" s="84"/>
      <c r="AA6" s="84"/>
      <c r="AB6" s="84"/>
      <c r="AC6" s="84"/>
      <c r="AD6" s="84"/>
      <c r="AE6" s="84"/>
      <c r="AF6" s="84"/>
      <c r="AG6" s="84"/>
      <c r="AH6" s="84"/>
      <c r="AI6" s="84"/>
      <c r="AJ6" s="84"/>
      <c r="AK6" s="84"/>
    </row>
    <row r="7" spans="1:37">
      <c r="A7" s="1993" t="s">
        <v>857</v>
      </c>
      <c r="B7" s="1993"/>
      <c r="C7" s="1993"/>
      <c r="D7" s="1993"/>
      <c r="E7" s="1993"/>
      <c r="F7" s="90">
        <f>IF(NoPisos&lt;6, 1,1.05)</f>
        <v>1.05</v>
      </c>
      <c r="G7" s="84"/>
      <c r="H7" s="1994"/>
      <c r="I7" s="1994"/>
      <c r="J7" s="1994"/>
      <c r="K7" s="1994"/>
      <c r="L7" s="1994"/>
      <c r="M7" s="1995"/>
      <c r="N7" s="1995"/>
      <c r="O7" s="1995"/>
      <c r="P7" s="84"/>
      <c r="Q7" s="84"/>
      <c r="R7" s="84"/>
      <c r="S7" s="84"/>
      <c r="T7" s="84"/>
      <c r="U7" s="84"/>
      <c r="V7" s="84"/>
      <c r="W7" s="84"/>
      <c r="X7" s="84"/>
      <c r="Y7" s="84"/>
      <c r="Z7" s="84"/>
      <c r="AA7" s="84"/>
      <c r="AB7" s="84"/>
      <c r="AC7" s="84"/>
      <c r="AD7" s="84"/>
      <c r="AE7" s="84"/>
      <c r="AF7" s="84"/>
      <c r="AG7" s="84"/>
      <c r="AH7" s="84"/>
      <c r="AI7" s="84"/>
      <c r="AJ7" s="84"/>
      <c r="AK7" s="84"/>
    </row>
    <row r="8" spans="1:37">
      <c r="A8" s="84"/>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row>
    <row r="9" spans="1:37">
      <c r="A9" s="92" t="s">
        <v>858</v>
      </c>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row>
    <row r="10" spans="1:37">
      <c r="A10" s="93"/>
      <c r="B10" s="93">
        <v>1</v>
      </c>
      <c r="C10" s="93">
        <v>2</v>
      </c>
      <c r="D10" s="93">
        <v>3</v>
      </c>
      <c r="E10" s="93">
        <v>4</v>
      </c>
      <c r="F10" s="93">
        <v>5</v>
      </c>
      <c r="G10" s="93">
        <v>6</v>
      </c>
      <c r="H10" s="93">
        <v>7</v>
      </c>
      <c r="I10" s="93">
        <v>1</v>
      </c>
      <c r="J10" s="93">
        <v>2</v>
      </c>
      <c r="K10" s="93">
        <v>3</v>
      </c>
      <c r="L10" s="93">
        <v>4</v>
      </c>
      <c r="M10" s="93">
        <v>5</v>
      </c>
      <c r="N10" s="93">
        <v>6</v>
      </c>
      <c r="O10" s="93">
        <v>7</v>
      </c>
      <c r="P10" s="93"/>
      <c r="Q10" s="93"/>
      <c r="R10" s="93"/>
      <c r="S10" s="93"/>
      <c r="T10" s="93"/>
      <c r="U10" s="93"/>
      <c r="V10" s="93"/>
      <c r="W10" s="93"/>
      <c r="X10" s="93"/>
      <c r="Y10" s="93"/>
      <c r="Z10" s="93"/>
      <c r="AA10" s="93"/>
      <c r="AB10" s="93"/>
      <c r="AC10" s="93"/>
      <c r="AD10" s="93"/>
      <c r="AE10" s="93"/>
      <c r="AF10" s="93"/>
      <c r="AG10" s="93"/>
      <c r="AH10" s="93"/>
      <c r="AI10" s="93"/>
      <c r="AJ10" s="93"/>
      <c r="AK10" s="93"/>
    </row>
    <row r="11" spans="1:37">
      <c r="A11" s="93" t="s">
        <v>365</v>
      </c>
      <c r="B11" s="94">
        <v>457.46</v>
      </c>
      <c r="C11" s="94">
        <v>277.83999999999997</v>
      </c>
      <c r="D11" s="94">
        <v>245.37</v>
      </c>
      <c r="E11" s="94">
        <v>248.26</v>
      </c>
      <c r="F11" s="94">
        <v>267.58999999999997</v>
      </c>
      <c r="G11" s="94">
        <v>90.3</v>
      </c>
      <c r="H11" s="94">
        <v>265.38</v>
      </c>
      <c r="I11" s="84" t="s">
        <v>859</v>
      </c>
      <c r="J11" s="84" t="s">
        <v>860</v>
      </c>
      <c r="K11" s="84" t="s">
        <v>861</v>
      </c>
      <c r="L11" s="84" t="s">
        <v>862</v>
      </c>
      <c r="M11" s="84" t="s">
        <v>863</v>
      </c>
      <c r="N11" s="84" t="s">
        <v>864</v>
      </c>
      <c r="O11" s="84" t="s">
        <v>865</v>
      </c>
      <c r="P11" s="84"/>
      <c r="Q11" s="84"/>
      <c r="R11" s="84"/>
      <c r="S11" s="84"/>
      <c r="T11" s="84"/>
      <c r="U11" s="84"/>
      <c r="V11" s="84"/>
      <c r="W11" s="84"/>
      <c r="X11" s="84"/>
      <c r="Y11" s="84"/>
      <c r="Z11" s="84"/>
      <c r="AA11" s="84"/>
      <c r="AB11" s="84"/>
      <c r="AC11" s="84"/>
      <c r="AD11" s="84"/>
      <c r="AE11" s="84"/>
      <c r="AF11" s="84"/>
      <c r="AG11" s="84"/>
      <c r="AH11" s="84"/>
      <c r="AI11" s="84"/>
      <c r="AJ11" s="84"/>
      <c r="AK11" s="84"/>
    </row>
    <row r="12" spans="1:37">
      <c r="A12" s="93" t="s">
        <v>176</v>
      </c>
      <c r="B12" s="94">
        <v>294.94</v>
      </c>
      <c r="C12" s="94">
        <v>181.27</v>
      </c>
      <c r="D12" s="94">
        <v>147.07</v>
      </c>
      <c r="E12" s="94">
        <v>130.86000000000001</v>
      </c>
      <c r="F12" s="94">
        <v>202.74</v>
      </c>
      <c r="G12" s="94">
        <v>68.66</v>
      </c>
      <c r="H12" s="94">
        <v>193.76</v>
      </c>
      <c r="I12" s="84" t="s">
        <v>866</v>
      </c>
      <c r="J12" s="84" t="s">
        <v>867</v>
      </c>
      <c r="K12" s="84" t="s">
        <v>868</v>
      </c>
      <c r="L12" s="84" t="s">
        <v>869</v>
      </c>
      <c r="M12" s="84" t="s">
        <v>870</v>
      </c>
      <c r="N12" s="84" t="s">
        <v>871</v>
      </c>
      <c r="O12" s="84" t="s">
        <v>872</v>
      </c>
      <c r="P12" s="84"/>
      <c r="Q12" s="84"/>
      <c r="R12" s="84"/>
      <c r="S12" s="84"/>
      <c r="T12" s="84"/>
      <c r="U12" s="84"/>
      <c r="V12" s="84"/>
      <c r="W12" s="84"/>
      <c r="X12" s="84"/>
      <c r="Y12" s="84"/>
      <c r="Z12" s="84"/>
      <c r="AA12" s="84"/>
      <c r="AB12" s="84"/>
      <c r="AC12" s="84"/>
      <c r="AD12" s="84"/>
      <c r="AE12" s="84"/>
      <c r="AF12" s="84"/>
      <c r="AG12" s="84"/>
      <c r="AH12" s="84"/>
      <c r="AI12" s="84"/>
      <c r="AJ12" s="84"/>
      <c r="AK12" s="84"/>
    </row>
    <row r="13" spans="1:37">
      <c r="A13" s="93" t="s">
        <v>175</v>
      </c>
      <c r="B13" s="94">
        <v>203.02</v>
      </c>
      <c r="C13" s="94">
        <v>149.76</v>
      </c>
      <c r="D13" s="94">
        <v>96.79</v>
      </c>
      <c r="E13" s="94">
        <v>84.58</v>
      </c>
      <c r="F13" s="94">
        <v>150.4</v>
      </c>
      <c r="G13" s="94">
        <v>47.63</v>
      </c>
      <c r="H13" s="94">
        <v>122.23</v>
      </c>
      <c r="I13" s="84" t="s">
        <v>873</v>
      </c>
      <c r="J13" s="84" t="s">
        <v>874</v>
      </c>
      <c r="K13" s="84" t="s">
        <v>875</v>
      </c>
      <c r="L13" s="84" t="s">
        <v>876</v>
      </c>
      <c r="M13" s="84" t="s">
        <v>877</v>
      </c>
      <c r="N13" s="84" t="s">
        <v>878</v>
      </c>
      <c r="O13" s="84" t="s">
        <v>879</v>
      </c>
      <c r="P13" s="84"/>
      <c r="Q13" s="84"/>
      <c r="R13" s="84"/>
      <c r="S13" s="84"/>
      <c r="T13" s="84"/>
      <c r="U13" s="84"/>
      <c r="V13" s="84"/>
      <c r="W13" s="84"/>
      <c r="X13" s="84"/>
      <c r="Y13" s="84"/>
      <c r="Z13" s="84"/>
      <c r="AA13" s="84"/>
      <c r="AB13" s="84"/>
      <c r="AC13" s="84"/>
      <c r="AD13" s="84"/>
      <c r="AE13" s="84"/>
      <c r="AF13" s="84"/>
      <c r="AG13" s="84"/>
      <c r="AH13" s="84"/>
      <c r="AI13" s="84"/>
      <c r="AJ13" s="84"/>
      <c r="AK13" s="84"/>
    </row>
    <row r="14" spans="1:37">
      <c r="A14" s="93" t="s">
        <v>527</v>
      </c>
      <c r="B14" s="94">
        <v>196.33</v>
      </c>
      <c r="C14" s="94">
        <v>95.06</v>
      </c>
      <c r="D14" s="94">
        <v>85.38</v>
      </c>
      <c r="E14" s="94">
        <v>74.09</v>
      </c>
      <c r="F14" s="94">
        <v>115.4</v>
      </c>
      <c r="G14" s="94">
        <v>25.41</v>
      </c>
      <c r="H14" s="94">
        <v>77.22</v>
      </c>
      <c r="I14" s="84" t="s">
        <v>880</v>
      </c>
      <c r="J14" s="84" t="s">
        <v>881</v>
      </c>
      <c r="K14" s="84" t="s">
        <v>882</v>
      </c>
      <c r="L14" s="84" t="s">
        <v>883</v>
      </c>
      <c r="M14" s="84" t="s">
        <v>884</v>
      </c>
      <c r="N14" s="84" t="s">
        <v>885</v>
      </c>
      <c r="O14" s="84" t="s">
        <v>886</v>
      </c>
      <c r="P14" s="84"/>
      <c r="Q14" s="84"/>
      <c r="R14" s="84"/>
      <c r="S14" s="84"/>
      <c r="T14" s="84"/>
      <c r="U14" s="84"/>
      <c r="V14" s="84"/>
      <c r="W14" s="84"/>
      <c r="X14" s="84"/>
      <c r="Y14" s="84"/>
      <c r="Z14" s="84"/>
      <c r="AA14" s="84"/>
      <c r="AB14" s="84"/>
      <c r="AC14" s="84"/>
      <c r="AD14" s="84"/>
      <c r="AE14" s="84"/>
      <c r="AF14" s="84"/>
      <c r="AG14" s="84"/>
      <c r="AH14" s="84"/>
      <c r="AI14" s="84"/>
      <c r="AJ14" s="84"/>
      <c r="AK14" s="84"/>
    </row>
    <row r="15" spans="1:37">
      <c r="A15" s="93" t="s">
        <v>561</v>
      </c>
      <c r="B15" s="94">
        <v>138.22</v>
      </c>
      <c r="C15" s="94">
        <v>35.44</v>
      </c>
      <c r="D15" s="94">
        <v>57.21</v>
      </c>
      <c r="E15" s="94">
        <v>63.39</v>
      </c>
      <c r="F15" s="94">
        <v>79.39</v>
      </c>
      <c r="G15" s="94">
        <v>14.94</v>
      </c>
      <c r="H15" s="94">
        <v>56.08</v>
      </c>
      <c r="I15" s="84" t="s">
        <v>887</v>
      </c>
      <c r="J15" s="84" t="s">
        <v>888</v>
      </c>
      <c r="K15" s="84" t="s">
        <v>889</v>
      </c>
      <c r="L15" s="84" t="s">
        <v>890</v>
      </c>
      <c r="M15" s="84" t="s">
        <v>891</v>
      </c>
      <c r="N15" s="84" t="s">
        <v>892</v>
      </c>
      <c r="O15" s="84" t="s">
        <v>893</v>
      </c>
      <c r="P15" s="84"/>
      <c r="Q15" s="84"/>
      <c r="R15" s="84"/>
      <c r="S15" s="84"/>
      <c r="T15" s="84"/>
      <c r="U15" s="84"/>
      <c r="V15" s="84"/>
      <c r="W15" s="84"/>
      <c r="X15" s="84"/>
      <c r="Y15" s="84"/>
      <c r="Z15" s="84"/>
      <c r="AA15" s="84"/>
      <c r="AB15" s="84"/>
      <c r="AC15" s="84"/>
      <c r="AD15" s="84"/>
      <c r="AE15" s="84"/>
      <c r="AF15" s="84"/>
      <c r="AG15" s="84"/>
      <c r="AH15" s="84"/>
      <c r="AI15" s="84"/>
      <c r="AJ15" s="84"/>
      <c r="AK15" s="84"/>
    </row>
    <row r="16" spans="1:37">
      <c r="A16" s="93" t="s">
        <v>583</v>
      </c>
      <c r="B16" s="94">
        <v>104.09</v>
      </c>
      <c r="C16" s="94">
        <v>19.489999999999998</v>
      </c>
      <c r="D16" s="94">
        <v>39.07</v>
      </c>
      <c r="E16" s="94">
        <v>47.59</v>
      </c>
      <c r="F16" s="94">
        <v>55.97</v>
      </c>
      <c r="G16" s="94">
        <v>11.13</v>
      </c>
      <c r="H16" s="94">
        <v>32.08</v>
      </c>
      <c r="I16" s="84" t="s">
        <v>894</v>
      </c>
      <c r="J16" s="84" t="s">
        <v>895</v>
      </c>
      <c r="K16" s="84" t="s">
        <v>896</v>
      </c>
      <c r="L16" s="84" t="s">
        <v>897</v>
      </c>
      <c r="M16" s="84" t="s">
        <v>898</v>
      </c>
      <c r="N16" s="84" t="s">
        <v>899</v>
      </c>
      <c r="O16" s="84" t="s">
        <v>900</v>
      </c>
      <c r="P16" s="84"/>
      <c r="Q16" s="84"/>
      <c r="R16" s="84"/>
      <c r="S16" s="84"/>
      <c r="T16" s="84"/>
      <c r="U16" s="84"/>
      <c r="V16" s="84"/>
      <c r="W16" s="84"/>
      <c r="X16" s="84"/>
      <c r="Y16" s="84"/>
      <c r="Z16" s="84"/>
      <c r="AA16" s="84"/>
      <c r="AB16" s="84"/>
      <c r="AC16" s="84"/>
      <c r="AD16" s="84"/>
      <c r="AE16" s="84"/>
      <c r="AF16" s="84"/>
      <c r="AG16" s="84"/>
      <c r="AH16" s="84"/>
      <c r="AI16" s="84"/>
      <c r="AJ16" s="84"/>
      <c r="AK16" s="84"/>
    </row>
    <row r="17" spans="1:37">
      <c r="A17" s="93" t="s">
        <v>597</v>
      </c>
      <c r="B17" s="94">
        <v>61.33</v>
      </c>
      <c r="C17" s="94">
        <v>13.4</v>
      </c>
      <c r="D17" s="94">
        <v>34.479999999999997</v>
      </c>
      <c r="E17" s="94">
        <v>25.71</v>
      </c>
      <c r="F17" s="94">
        <v>45.89</v>
      </c>
      <c r="G17" s="94">
        <v>7.65</v>
      </c>
      <c r="H17" s="94">
        <v>29.76</v>
      </c>
      <c r="I17" s="84" t="s">
        <v>403</v>
      </c>
      <c r="J17" s="84" t="s">
        <v>901</v>
      </c>
      <c r="K17" s="84" t="s">
        <v>902</v>
      </c>
      <c r="L17" s="84" t="s">
        <v>903</v>
      </c>
      <c r="M17" s="84" t="s">
        <v>904</v>
      </c>
      <c r="N17" s="84" t="s">
        <v>905</v>
      </c>
      <c r="O17" s="84" t="s">
        <v>906</v>
      </c>
      <c r="P17" s="84"/>
      <c r="Q17" s="84"/>
      <c r="R17" s="84"/>
      <c r="S17" s="84"/>
      <c r="T17" s="84"/>
      <c r="U17" s="84"/>
      <c r="V17" s="84"/>
      <c r="W17" s="84"/>
      <c r="X17" s="84"/>
      <c r="Y17" s="84"/>
      <c r="Z17" s="84"/>
      <c r="AA17" s="84"/>
      <c r="AB17" s="84"/>
      <c r="AC17" s="84"/>
      <c r="AD17" s="84"/>
      <c r="AE17" s="84"/>
      <c r="AF17" s="84"/>
      <c r="AG17" s="84"/>
      <c r="AH17" s="84"/>
      <c r="AI17" s="84"/>
      <c r="AJ17" s="84"/>
      <c r="AK17" s="84"/>
    </row>
    <row r="18" spans="1:37">
      <c r="A18" s="93" t="s">
        <v>613</v>
      </c>
      <c r="B18" s="94">
        <v>0</v>
      </c>
      <c r="C18" s="94">
        <v>0</v>
      </c>
      <c r="D18" s="94">
        <v>21.57</v>
      </c>
      <c r="E18" s="94">
        <v>12.85</v>
      </c>
      <c r="F18" s="94">
        <v>18.36</v>
      </c>
      <c r="G18" s="94">
        <v>0</v>
      </c>
      <c r="H18" s="94">
        <v>16.07</v>
      </c>
      <c r="I18" s="84" t="s">
        <v>907</v>
      </c>
      <c r="J18" s="84" t="s">
        <v>908</v>
      </c>
      <c r="K18" s="84" t="s">
        <v>909</v>
      </c>
      <c r="L18" s="84" t="s">
        <v>910</v>
      </c>
      <c r="M18" s="84" t="s">
        <v>911</v>
      </c>
      <c r="N18" s="84" t="s">
        <v>912</v>
      </c>
      <c r="O18" s="84" t="s">
        <v>913</v>
      </c>
      <c r="P18" s="84"/>
      <c r="Q18" s="84"/>
      <c r="R18" s="84"/>
      <c r="S18" s="84"/>
      <c r="T18" s="84"/>
      <c r="U18" s="84"/>
      <c r="V18" s="84"/>
      <c r="W18" s="84"/>
      <c r="X18" s="84"/>
      <c r="Y18" s="84"/>
      <c r="Z18" s="84"/>
      <c r="AA18" s="84"/>
      <c r="AB18" s="84"/>
      <c r="AC18" s="84"/>
      <c r="AD18" s="84"/>
      <c r="AE18" s="84"/>
      <c r="AF18" s="84"/>
      <c r="AG18" s="84"/>
      <c r="AH18" s="84"/>
      <c r="AI18" s="84"/>
      <c r="AJ18" s="84"/>
      <c r="AK18" s="84"/>
    </row>
    <row r="19" spans="1:37">
      <c r="A19" s="93" t="s">
        <v>626</v>
      </c>
      <c r="B19" s="94">
        <v>0</v>
      </c>
      <c r="C19" s="94">
        <v>0</v>
      </c>
      <c r="D19" s="94">
        <v>4.3099999999999996</v>
      </c>
      <c r="E19" s="94">
        <v>0</v>
      </c>
      <c r="F19" s="94">
        <v>0</v>
      </c>
      <c r="G19" s="94">
        <v>0</v>
      </c>
      <c r="H19" s="94">
        <v>0</v>
      </c>
      <c r="I19" s="84" t="s">
        <v>907</v>
      </c>
      <c r="J19" s="84" t="s">
        <v>907</v>
      </c>
      <c r="K19" s="84" t="s">
        <v>914</v>
      </c>
      <c r="L19" s="84" t="s">
        <v>915</v>
      </c>
      <c r="M19" s="84" t="s">
        <v>916</v>
      </c>
      <c r="N19" s="84" t="s">
        <v>907</v>
      </c>
      <c r="O19" s="84" t="s">
        <v>917</v>
      </c>
      <c r="P19" s="84"/>
      <c r="Q19" s="84"/>
      <c r="R19" s="84"/>
      <c r="S19" s="84"/>
      <c r="T19" s="84"/>
      <c r="U19" s="84"/>
      <c r="V19" s="84"/>
      <c r="W19" s="84"/>
      <c r="X19" s="84"/>
      <c r="Y19" s="84"/>
      <c r="Z19" s="84"/>
      <c r="AA19" s="84"/>
      <c r="AB19" s="84"/>
      <c r="AC19" s="84"/>
      <c r="AD19" s="84"/>
      <c r="AE19" s="84"/>
      <c r="AF19" s="84"/>
      <c r="AG19" s="84"/>
      <c r="AH19" s="84"/>
      <c r="AI19" s="84"/>
      <c r="AJ19" s="84"/>
      <c r="AK19" s="84"/>
    </row>
    <row r="20" spans="1:37">
      <c r="A20" s="93" t="s">
        <v>634</v>
      </c>
      <c r="B20" s="94">
        <v>0</v>
      </c>
      <c r="C20" s="94">
        <v>0</v>
      </c>
      <c r="D20" s="94">
        <v>0</v>
      </c>
      <c r="E20" s="94">
        <v>0</v>
      </c>
      <c r="F20" s="94">
        <v>0</v>
      </c>
      <c r="G20" s="94">
        <v>0</v>
      </c>
      <c r="H20" s="94">
        <v>0</v>
      </c>
      <c r="I20" s="84" t="s">
        <v>907</v>
      </c>
      <c r="J20" s="84" t="s">
        <v>907</v>
      </c>
      <c r="K20" s="84" t="s">
        <v>907</v>
      </c>
      <c r="L20" s="84" t="s">
        <v>907</v>
      </c>
      <c r="M20" s="84" t="s">
        <v>907</v>
      </c>
      <c r="N20" s="84" t="s">
        <v>907</v>
      </c>
      <c r="O20" s="84" t="s">
        <v>907</v>
      </c>
      <c r="P20" s="84"/>
      <c r="Q20" s="84"/>
      <c r="R20" s="84"/>
      <c r="S20" s="84"/>
      <c r="T20" s="84"/>
      <c r="U20" s="84"/>
      <c r="V20" s="84"/>
      <c r="W20" s="84"/>
      <c r="X20" s="84"/>
      <c r="Y20" s="84"/>
      <c r="Z20" s="84"/>
      <c r="AA20" s="84"/>
      <c r="AB20" s="84"/>
      <c r="AC20" s="84"/>
      <c r="AD20" s="84"/>
      <c r="AE20" s="84"/>
      <c r="AF20" s="84"/>
      <c r="AG20" s="84"/>
      <c r="AH20" s="84"/>
      <c r="AI20" s="84"/>
      <c r="AJ20" s="84"/>
      <c r="AK20" s="84"/>
    </row>
    <row r="21" spans="1:37">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row>
    <row r="22" spans="1:37">
      <c r="A22" s="92" t="s">
        <v>918</v>
      </c>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row>
    <row r="23" spans="1:37">
      <c r="A23" s="93"/>
      <c r="B23" s="93">
        <v>1</v>
      </c>
      <c r="C23" s="93">
        <v>2</v>
      </c>
      <c r="D23" s="93">
        <v>3</v>
      </c>
      <c r="E23" s="93">
        <v>4</v>
      </c>
      <c r="F23" s="93">
        <v>5</v>
      </c>
      <c r="G23" s="93">
        <v>6</v>
      </c>
      <c r="H23" s="93">
        <v>7</v>
      </c>
      <c r="I23" s="93">
        <v>1</v>
      </c>
      <c r="J23" s="93">
        <v>2</v>
      </c>
      <c r="K23" s="93">
        <v>3</v>
      </c>
      <c r="L23" s="93">
        <v>4</v>
      </c>
      <c r="M23" s="93">
        <v>5</v>
      </c>
      <c r="N23" s="93">
        <v>6</v>
      </c>
      <c r="O23" s="93">
        <v>7</v>
      </c>
      <c r="P23" s="93"/>
      <c r="Q23" s="93"/>
      <c r="R23" s="93"/>
      <c r="S23" s="93"/>
      <c r="T23" s="93"/>
      <c r="U23" s="93"/>
      <c r="V23" s="93"/>
      <c r="W23" s="93"/>
      <c r="X23" s="93"/>
      <c r="Y23" s="93"/>
      <c r="Z23" s="93"/>
      <c r="AA23" s="93"/>
      <c r="AB23" s="93"/>
      <c r="AC23" s="93"/>
      <c r="AD23" s="93"/>
      <c r="AE23" s="93"/>
      <c r="AF23" s="93"/>
      <c r="AG23" s="93"/>
      <c r="AH23" s="93"/>
      <c r="AI23" s="93"/>
      <c r="AJ23" s="93"/>
      <c r="AK23" s="93"/>
    </row>
    <row r="24" spans="1:37">
      <c r="A24" s="93" t="s">
        <v>365</v>
      </c>
      <c r="B24" s="94">
        <v>452.88</v>
      </c>
      <c r="C24" s="94">
        <v>275.06</v>
      </c>
      <c r="D24" s="94">
        <v>242.91</v>
      </c>
      <c r="E24" s="94">
        <v>245.78</v>
      </c>
      <c r="F24" s="94">
        <v>264.91000000000003</v>
      </c>
      <c r="G24" s="94">
        <v>89.39</v>
      </c>
      <c r="H24" s="94">
        <v>257.97000000000003</v>
      </c>
      <c r="I24" s="84" t="s">
        <v>859</v>
      </c>
      <c r="J24" s="84" t="s">
        <v>860</v>
      </c>
      <c r="K24" s="84" t="s">
        <v>861</v>
      </c>
      <c r="L24" s="84" t="s">
        <v>862</v>
      </c>
      <c r="M24" s="84" t="s">
        <v>863</v>
      </c>
      <c r="N24" s="84" t="s">
        <v>864</v>
      </c>
      <c r="O24" s="84" t="s">
        <v>919</v>
      </c>
      <c r="P24" s="84"/>
      <c r="Q24" s="84"/>
      <c r="R24" s="84"/>
      <c r="S24" s="84"/>
      <c r="T24" s="84"/>
      <c r="U24" s="84"/>
      <c r="V24" s="84"/>
      <c r="W24" s="84"/>
      <c r="X24" s="84"/>
      <c r="Y24" s="84"/>
      <c r="Z24" s="84"/>
      <c r="AA24" s="84"/>
      <c r="AB24" s="84"/>
      <c r="AC24" s="84"/>
      <c r="AD24" s="84"/>
      <c r="AE24" s="84"/>
      <c r="AF24" s="84"/>
      <c r="AG24" s="84"/>
      <c r="AH24" s="84"/>
      <c r="AI24" s="84"/>
      <c r="AJ24" s="84"/>
      <c r="AK24" s="84"/>
    </row>
    <row r="25" spans="1:37">
      <c r="A25" s="93" t="s">
        <v>176</v>
      </c>
      <c r="B25" s="94">
        <v>291.99</v>
      </c>
      <c r="C25" s="94">
        <v>179.46</v>
      </c>
      <c r="D25" s="94">
        <v>145.6</v>
      </c>
      <c r="E25" s="94">
        <v>129.55000000000001</v>
      </c>
      <c r="F25" s="94">
        <v>200.71</v>
      </c>
      <c r="G25" s="94">
        <v>67.97</v>
      </c>
      <c r="H25" s="94">
        <v>187.08</v>
      </c>
      <c r="I25" s="84" t="s">
        <v>866</v>
      </c>
      <c r="J25" s="84" t="s">
        <v>867</v>
      </c>
      <c r="K25" s="84" t="s">
        <v>868</v>
      </c>
      <c r="L25" s="84" t="s">
        <v>869</v>
      </c>
      <c r="M25" s="84" t="s">
        <v>870</v>
      </c>
      <c r="N25" s="84" t="s">
        <v>871</v>
      </c>
      <c r="O25" s="84" t="s">
        <v>920</v>
      </c>
      <c r="P25" s="84"/>
      <c r="Q25" s="84"/>
      <c r="R25" s="84"/>
      <c r="S25" s="84"/>
      <c r="T25" s="84"/>
      <c r="U25" s="84"/>
      <c r="V25" s="84"/>
      <c r="W25" s="84"/>
      <c r="X25" s="84"/>
      <c r="Y25" s="84"/>
      <c r="Z25" s="84"/>
      <c r="AA25" s="84"/>
      <c r="AB25" s="84"/>
      <c r="AC25" s="84"/>
      <c r="AD25" s="84"/>
      <c r="AE25" s="84"/>
      <c r="AF25" s="84"/>
      <c r="AG25" s="84"/>
      <c r="AH25" s="84"/>
      <c r="AI25" s="84"/>
      <c r="AJ25" s="84"/>
      <c r="AK25" s="84"/>
    </row>
    <row r="26" spans="1:37">
      <c r="A26" s="93" t="s">
        <v>175</v>
      </c>
      <c r="B26" s="94">
        <v>200.99</v>
      </c>
      <c r="C26" s="94">
        <v>148.26</v>
      </c>
      <c r="D26" s="94">
        <v>95.83</v>
      </c>
      <c r="E26" s="94">
        <v>83.73</v>
      </c>
      <c r="F26" s="94">
        <v>148.9</v>
      </c>
      <c r="G26" s="94">
        <v>47.15</v>
      </c>
      <c r="H26" s="94">
        <v>116.41</v>
      </c>
      <c r="I26" s="84" t="s">
        <v>873</v>
      </c>
      <c r="J26" s="84" t="s">
        <v>874</v>
      </c>
      <c r="K26" s="84" t="s">
        <v>875</v>
      </c>
      <c r="L26" s="84" t="s">
        <v>876</v>
      </c>
      <c r="M26" s="84" t="s">
        <v>877</v>
      </c>
      <c r="N26" s="84" t="s">
        <v>878</v>
      </c>
      <c r="O26" s="84" t="s">
        <v>921</v>
      </c>
      <c r="P26" s="84"/>
      <c r="Q26" s="84"/>
      <c r="R26" s="84"/>
      <c r="S26" s="84"/>
      <c r="T26" s="84"/>
      <c r="U26" s="84"/>
      <c r="V26" s="84"/>
      <c r="W26" s="84"/>
      <c r="X26" s="84"/>
      <c r="Y26" s="84"/>
      <c r="Z26" s="84"/>
      <c r="AA26" s="84"/>
      <c r="AB26" s="84"/>
      <c r="AC26" s="84"/>
      <c r="AD26" s="84"/>
      <c r="AE26" s="84"/>
      <c r="AF26" s="84"/>
      <c r="AG26" s="84"/>
      <c r="AH26" s="84"/>
      <c r="AI26" s="84"/>
      <c r="AJ26" s="84"/>
      <c r="AK26" s="84"/>
    </row>
    <row r="27" spans="1:37">
      <c r="A27" s="93" t="s">
        <v>527</v>
      </c>
      <c r="B27" s="94">
        <v>194.37</v>
      </c>
      <c r="C27" s="94">
        <v>94.11</v>
      </c>
      <c r="D27" s="94">
        <v>84.53</v>
      </c>
      <c r="E27" s="94">
        <v>73.349999999999994</v>
      </c>
      <c r="F27" s="94">
        <v>114.24</v>
      </c>
      <c r="G27" s="94">
        <v>25.16</v>
      </c>
      <c r="H27" s="94">
        <v>73.680000000000007</v>
      </c>
      <c r="I27" s="84" t="s">
        <v>880</v>
      </c>
      <c r="J27" s="84" t="s">
        <v>881</v>
      </c>
      <c r="K27" s="84" t="s">
        <v>882</v>
      </c>
      <c r="L27" s="84" t="s">
        <v>883</v>
      </c>
      <c r="M27" s="84" t="s">
        <v>884</v>
      </c>
      <c r="N27" s="84" t="s">
        <v>885</v>
      </c>
      <c r="O27" s="84" t="s">
        <v>922</v>
      </c>
      <c r="P27" s="84"/>
      <c r="Q27" s="84"/>
      <c r="R27" s="84"/>
      <c r="S27" s="84"/>
      <c r="T27" s="84"/>
      <c r="U27" s="84"/>
      <c r="V27" s="84"/>
      <c r="W27" s="84"/>
      <c r="X27" s="84"/>
      <c r="Y27" s="84"/>
      <c r="Z27" s="84"/>
      <c r="AA27" s="84"/>
      <c r="AB27" s="84"/>
      <c r="AC27" s="84"/>
      <c r="AD27" s="84"/>
      <c r="AE27" s="84"/>
      <c r="AF27" s="84"/>
      <c r="AG27" s="84"/>
      <c r="AH27" s="84"/>
      <c r="AI27" s="84"/>
      <c r="AJ27" s="84"/>
      <c r="AK27" s="84"/>
    </row>
    <row r="28" spans="1:37">
      <c r="A28" s="93" t="s">
        <v>561</v>
      </c>
      <c r="B28" s="94">
        <v>136.83000000000001</v>
      </c>
      <c r="C28" s="94">
        <v>35.08</v>
      </c>
      <c r="D28" s="94">
        <v>56.64</v>
      </c>
      <c r="E28" s="94">
        <v>62.76</v>
      </c>
      <c r="F28" s="94">
        <v>78.599999999999994</v>
      </c>
      <c r="G28" s="94">
        <v>14.79</v>
      </c>
      <c r="H28" s="94">
        <v>53.56</v>
      </c>
      <c r="I28" s="84" t="s">
        <v>887</v>
      </c>
      <c r="J28" s="84" t="s">
        <v>888</v>
      </c>
      <c r="K28" s="84" t="s">
        <v>889</v>
      </c>
      <c r="L28" s="84" t="s">
        <v>890</v>
      </c>
      <c r="M28" s="84" t="s">
        <v>891</v>
      </c>
      <c r="N28" s="84" t="s">
        <v>892</v>
      </c>
      <c r="O28" s="84" t="s">
        <v>923</v>
      </c>
      <c r="P28" s="84"/>
      <c r="Q28" s="84"/>
      <c r="R28" s="84"/>
      <c r="S28" s="84"/>
      <c r="T28" s="84"/>
      <c r="U28" s="84"/>
      <c r="V28" s="84"/>
      <c r="W28" s="84"/>
      <c r="X28" s="84"/>
      <c r="Y28" s="84"/>
      <c r="Z28" s="84"/>
      <c r="AA28" s="84"/>
      <c r="AB28" s="84"/>
      <c r="AC28" s="84"/>
      <c r="AD28" s="84"/>
      <c r="AE28" s="84"/>
      <c r="AF28" s="84"/>
      <c r="AG28" s="84"/>
      <c r="AH28" s="84"/>
      <c r="AI28" s="84"/>
      <c r="AJ28" s="84"/>
      <c r="AK28" s="84"/>
    </row>
    <row r="29" spans="1:37">
      <c r="A29" s="93" t="s">
        <v>583</v>
      </c>
      <c r="B29" s="94">
        <v>103.05</v>
      </c>
      <c r="C29" s="94">
        <v>19.3</v>
      </c>
      <c r="D29" s="94">
        <v>38.68</v>
      </c>
      <c r="E29" s="94">
        <v>47.11</v>
      </c>
      <c r="F29" s="94">
        <v>55.41</v>
      </c>
      <c r="G29" s="94">
        <v>11.02</v>
      </c>
      <c r="H29" s="94">
        <v>29.46</v>
      </c>
      <c r="I29" s="84" t="s">
        <v>894</v>
      </c>
      <c r="J29" s="84" t="s">
        <v>895</v>
      </c>
      <c r="K29" s="84" t="s">
        <v>896</v>
      </c>
      <c r="L29" s="84" t="s">
        <v>897</v>
      </c>
      <c r="M29" s="84" t="s">
        <v>898</v>
      </c>
      <c r="N29" s="84" t="s">
        <v>899</v>
      </c>
      <c r="O29" s="84" t="s">
        <v>906</v>
      </c>
      <c r="P29" s="84"/>
      <c r="Q29" s="84"/>
      <c r="R29" s="84"/>
      <c r="S29" s="84"/>
      <c r="T29" s="84"/>
      <c r="U29" s="84"/>
      <c r="V29" s="84"/>
      <c r="W29" s="84"/>
      <c r="X29" s="84"/>
      <c r="Y29" s="84"/>
      <c r="Z29" s="84"/>
      <c r="AA29" s="84"/>
      <c r="AB29" s="84"/>
      <c r="AC29" s="84"/>
      <c r="AD29" s="84"/>
      <c r="AE29" s="84"/>
      <c r="AF29" s="84"/>
      <c r="AG29" s="84"/>
      <c r="AH29" s="84"/>
      <c r="AI29" s="84"/>
      <c r="AJ29" s="84"/>
      <c r="AK29" s="84"/>
    </row>
    <row r="30" spans="1:37">
      <c r="A30" s="93" t="s">
        <v>597</v>
      </c>
      <c r="B30" s="94">
        <v>60.72</v>
      </c>
      <c r="C30" s="94">
        <v>13.26</v>
      </c>
      <c r="D30" s="94">
        <v>34.130000000000003</v>
      </c>
      <c r="E30" s="94">
        <v>25.45</v>
      </c>
      <c r="F30" s="94">
        <v>45.43</v>
      </c>
      <c r="G30" s="94">
        <v>7.57</v>
      </c>
      <c r="H30" s="94">
        <v>15.91</v>
      </c>
      <c r="I30" s="84" t="s">
        <v>403</v>
      </c>
      <c r="J30" s="84" t="s">
        <v>901</v>
      </c>
      <c r="K30" s="84" t="s">
        <v>902</v>
      </c>
      <c r="L30" s="84" t="s">
        <v>903</v>
      </c>
      <c r="M30" s="84" t="s">
        <v>904</v>
      </c>
      <c r="N30" s="84" t="s">
        <v>905</v>
      </c>
      <c r="O30" s="84" t="s">
        <v>913</v>
      </c>
      <c r="P30" s="84"/>
      <c r="Q30" s="84"/>
      <c r="R30" s="84"/>
      <c r="S30" s="84"/>
      <c r="T30" s="84"/>
      <c r="U30" s="84"/>
      <c r="V30" s="84"/>
      <c r="W30" s="84"/>
      <c r="X30" s="84"/>
      <c r="Y30" s="84"/>
      <c r="Z30" s="84"/>
      <c r="AA30" s="84"/>
      <c r="AB30" s="84"/>
      <c r="AC30" s="84"/>
      <c r="AD30" s="84"/>
      <c r="AE30" s="84"/>
      <c r="AF30" s="84"/>
      <c r="AG30" s="84"/>
      <c r="AH30" s="84"/>
      <c r="AI30" s="84"/>
      <c r="AJ30" s="84"/>
      <c r="AK30" s="84"/>
    </row>
    <row r="31" spans="1:37">
      <c r="A31" s="93" t="s">
        <v>613</v>
      </c>
      <c r="B31" s="94">
        <v>0</v>
      </c>
      <c r="C31" s="94">
        <v>0</v>
      </c>
      <c r="D31" s="94">
        <v>21.36</v>
      </c>
      <c r="E31" s="94">
        <v>12.72</v>
      </c>
      <c r="F31" s="94">
        <v>18.170000000000002</v>
      </c>
      <c r="G31" s="94">
        <v>0</v>
      </c>
      <c r="H31" s="94">
        <v>0</v>
      </c>
      <c r="I31" s="84" t="s">
        <v>907</v>
      </c>
      <c r="J31" s="84" t="s">
        <v>908</v>
      </c>
      <c r="K31" s="84" t="s">
        <v>909</v>
      </c>
      <c r="L31" s="84" t="s">
        <v>910</v>
      </c>
      <c r="M31" s="84" t="s">
        <v>911</v>
      </c>
      <c r="N31" s="84" t="s">
        <v>912</v>
      </c>
      <c r="O31" s="84" t="s">
        <v>917</v>
      </c>
      <c r="P31" s="84"/>
      <c r="Q31" s="84"/>
      <c r="R31" s="84"/>
      <c r="S31" s="84"/>
      <c r="T31" s="84"/>
      <c r="U31" s="84"/>
      <c r="V31" s="84"/>
      <c r="W31" s="84"/>
      <c r="X31" s="84"/>
      <c r="Y31" s="84"/>
      <c r="Z31" s="84"/>
      <c r="AA31" s="84"/>
      <c r="AB31" s="84"/>
      <c r="AC31" s="84"/>
      <c r="AD31" s="84"/>
      <c r="AE31" s="84"/>
      <c r="AF31" s="84"/>
      <c r="AG31" s="84"/>
      <c r="AH31" s="84"/>
      <c r="AI31" s="84"/>
      <c r="AJ31" s="84"/>
      <c r="AK31" s="84"/>
    </row>
    <row r="32" spans="1:37">
      <c r="A32" s="93" t="s">
        <v>626</v>
      </c>
      <c r="B32" s="94">
        <v>0</v>
      </c>
      <c r="C32" s="94">
        <v>0</v>
      </c>
      <c r="D32" s="94">
        <v>4.2699999999999996</v>
      </c>
      <c r="E32" s="94">
        <v>0</v>
      </c>
      <c r="F32" s="94">
        <v>0</v>
      </c>
      <c r="G32" s="94">
        <v>0</v>
      </c>
      <c r="H32" s="94">
        <v>0</v>
      </c>
      <c r="I32" s="84" t="s">
        <v>907</v>
      </c>
      <c r="J32" s="84" t="s">
        <v>907</v>
      </c>
      <c r="K32" s="84" t="s">
        <v>914</v>
      </c>
      <c r="L32" s="84" t="s">
        <v>915</v>
      </c>
      <c r="M32" s="84" t="s">
        <v>916</v>
      </c>
      <c r="N32" s="84" t="s">
        <v>907</v>
      </c>
      <c r="O32" s="84" t="s">
        <v>907</v>
      </c>
      <c r="P32" s="84"/>
      <c r="Q32" s="84"/>
      <c r="R32" s="84"/>
      <c r="S32" s="84"/>
      <c r="T32" s="84"/>
      <c r="U32" s="84"/>
      <c r="V32" s="84"/>
      <c r="W32" s="84"/>
      <c r="X32" s="84"/>
      <c r="Y32" s="84"/>
      <c r="Z32" s="84"/>
      <c r="AA32" s="84"/>
      <c r="AB32" s="84"/>
      <c r="AC32" s="84"/>
      <c r="AD32" s="84"/>
      <c r="AE32" s="84"/>
      <c r="AF32" s="84"/>
      <c r="AG32" s="84"/>
      <c r="AH32" s="84"/>
      <c r="AI32" s="84"/>
      <c r="AJ32" s="84"/>
      <c r="AK32" s="84"/>
    </row>
    <row r="33" spans="1:37">
      <c r="A33" s="93" t="s">
        <v>634</v>
      </c>
      <c r="B33" s="94">
        <v>0</v>
      </c>
      <c r="C33" s="94">
        <v>0</v>
      </c>
      <c r="D33" s="94">
        <v>0</v>
      </c>
      <c r="E33" s="94">
        <v>0</v>
      </c>
      <c r="F33" s="94">
        <v>0</v>
      </c>
      <c r="G33" s="94">
        <v>0</v>
      </c>
      <c r="H33" s="94">
        <v>0</v>
      </c>
      <c r="I33" s="84" t="s">
        <v>907</v>
      </c>
      <c r="J33" s="84" t="s">
        <v>907</v>
      </c>
      <c r="K33" s="84" t="s">
        <v>907</v>
      </c>
      <c r="L33" s="84" t="s">
        <v>907</v>
      </c>
      <c r="M33" s="84" t="s">
        <v>907</v>
      </c>
      <c r="N33" s="84" t="s">
        <v>907</v>
      </c>
      <c r="O33" s="84" t="s">
        <v>907</v>
      </c>
      <c r="P33" s="84"/>
      <c r="Q33" s="84"/>
      <c r="R33" s="84"/>
      <c r="S33" s="84"/>
      <c r="T33" s="84"/>
      <c r="U33" s="84"/>
      <c r="V33" s="84"/>
      <c r="W33" s="84"/>
      <c r="X33" s="84"/>
      <c r="Y33" s="84"/>
      <c r="Z33" s="84"/>
      <c r="AA33" s="84"/>
      <c r="AB33" s="84"/>
      <c r="AC33" s="84"/>
      <c r="AD33" s="84"/>
      <c r="AE33" s="84"/>
      <c r="AF33" s="84"/>
      <c r="AG33" s="84"/>
      <c r="AH33" s="84"/>
      <c r="AI33" s="84"/>
      <c r="AJ33" s="84"/>
      <c r="AK33" s="84"/>
    </row>
    <row r="34" spans="1:37">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row>
    <row r="35" spans="1:37">
      <c r="A35" s="92" t="s">
        <v>924</v>
      </c>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row>
    <row r="36" spans="1:37">
      <c r="A36" s="93"/>
      <c r="B36" s="93">
        <v>1</v>
      </c>
      <c r="C36" s="93">
        <v>2</v>
      </c>
      <c r="D36" s="93">
        <v>3</v>
      </c>
      <c r="E36" s="93">
        <v>4</v>
      </c>
      <c r="F36" s="93">
        <v>5</v>
      </c>
      <c r="G36" s="93">
        <v>6</v>
      </c>
      <c r="H36" s="93">
        <v>7</v>
      </c>
      <c r="I36" s="93">
        <v>1</v>
      </c>
      <c r="J36" s="93">
        <v>2</v>
      </c>
      <c r="K36" s="93">
        <v>3</v>
      </c>
      <c r="L36" s="93">
        <v>4</v>
      </c>
      <c r="M36" s="93">
        <v>5</v>
      </c>
      <c r="N36" s="93">
        <v>6</v>
      </c>
      <c r="O36" s="93">
        <v>7</v>
      </c>
      <c r="P36" s="93"/>
      <c r="Q36" s="93"/>
      <c r="R36" s="93"/>
      <c r="S36" s="93"/>
      <c r="T36" s="93"/>
      <c r="U36" s="93"/>
      <c r="V36" s="93"/>
      <c r="W36" s="93"/>
      <c r="X36" s="93"/>
      <c r="Y36" s="93"/>
      <c r="Z36" s="93"/>
      <c r="AA36" s="93"/>
      <c r="AB36" s="93"/>
      <c r="AC36" s="93"/>
      <c r="AD36" s="93"/>
      <c r="AE36" s="93"/>
      <c r="AF36" s="93"/>
      <c r="AG36" s="93"/>
      <c r="AH36" s="93"/>
      <c r="AI36" s="93"/>
      <c r="AJ36" s="93"/>
      <c r="AK36" s="93"/>
    </row>
    <row r="37" spans="1:37">
      <c r="A37" s="93" t="s">
        <v>365</v>
      </c>
      <c r="B37" s="94">
        <v>504.49</v>
      </c>
      <c r="C37" s="94">
        <v>262.32</v>
      </c>
      <c r="D37" s="94">
        <v>186.13</v>
      </c>
      <c r="E37" s="94">
        <v>199.11</v>
      </c>
      <c r="F37" s="94">
        <v>251.26</v>
      </c>
      <c r="G37" s="94">
        <v>89.11</v>
      </c>
      <c r="H37" s="94">
        <v>317.54000000000002</v>
      </c>
      <c r="I37" s="84" t="s">
        <v>859</v>
      </c>
      <c r="J37" s="84" t="s">
        <v>860</v>
      </c>
      <c r="K37" s="84" t="s">
        <v>861</v>
      </c>
      <c r="L37" s="84" t="s">
        <v>862</v>
      </c>
      <c r="M37" s="84" t="s">
        <v>863</v>
      </c>
      <c r="N37" s="84" t="s">
        <v>864</v>
      </c>
      <c r="O37" s="84" t="s">
        <v>919</v>
      </c>
      <c r="P37" s="84"/>
      <c r="Q37" s="84"/>
      <c r="R37" s="84"/>
      <c r="S37" s="84"/>
      <c r="T37" s="84"/>
      <c r="U37" s="84"/>
      <c r="V37" s="84"/>
      <c r="W37" s="84"/>
      <c r="X37" s="84"/>
      <c r="Y37" s="84"/>
      <c r="Z37" s="84"/>
      <c r="AA37" s="84"/>
      <c r="AB37" s="84"/>
      <c r="AC37" s="84"/>
      <c r="AD37" s="84"/>
      <c r="AE37" s="84"/>
      <c r="AF37" s="84"/>
      <c r="AG37" s="84"/>
      <c r="AH37" s="84"/>
      <c r="AI37" s="84"/>
      <c r="AJ37" s="84"/>
      <c r="AK37" s="84"/>
    </row>
    <row r="38" spans="1:37">
      <c r="A38" s="93" t="s">
        <v>176</v>
      </c>
      <c r="B38" s="94">
        <v>300.14</v>
      </c>
      <c r="C38" s="94">
        <v>180.34</v>
      </c>
      <c r="D38" s="94">
        <v>155.19999999999999</v>
      </c>
      <c r="E38" s="94">
        <v>176.2</v>
      </c>
      <c r="F38" s="94">
        <v>200.68</v>
      </c>
      <c r="G38" s="94">
        <v>63.66</v>
      </c>
      <c r="H38" s="94">
        <v>186.77</v>
      </c>
      <c r="I38" s="84" t="s">
        <v>866</v>
      </c>
      <c r="J38" s="84" t="s">
        <v>867</v>
      </c>
      <c r="K38" s="84" t="s">
        <v>868</v>
      </c>
      <c r="L38" s="84" t="s">
        <v>869</v>
      </c>
      <c r="M38" s="84" t="s">
        <v>870</v>
      </c>
      <c r="N38" s="84" t="s">
        <v>871</v>
      </c>
      <c r="O38" s="84" t="s">
        <v>920</v>
      </c>
      <c r="P38" s="84"/>
      <c r="Q38" s="84"/>
      <c r="R38" s="84"/>
      <c r="S38" s="84"/>
      <c r="T38" s="84"/>
      <c r="U38" s="84"/>
      <c r="V38" s="84"/>
      <c r="W38" s="84"/>
      <c r="X38" s="84"/>
      <c r="Y38" s="84"/>
      <c r="Z38" s="84"/>
      <c r="AA38" s="84"/>
      <c r="AB38" s="84"/>
      <c r="AC38" s="84"/>
      <c r="AD38" s="84"/>
      <c r="AE38" s="84"/>
      <c r="AF38" s="84"/>
      <c r="AG38" s="84"/>
      <c r="AH38" s="84"/>
      <c r="AI38" s="84"/>
      <c r="AJ38" s="84"/>
      <c r="AK38" s="84"/>
    </row>
    <row r="39" spans="1:37">
      <c r="A39" s="93" t="s">
        <v>175</v>
      </c>
      <c r="B39" s="94">
        <v>217.76</v>
      </c>
      <c r="C39" s="94">
        <v>126.2</v>
      </c>
      <c r="D39" s="94">
        <v>100.43</v>
      </c>
      <c r="E39" s="94">
        <v>128.56</v>
      </c>
      <c r="F39" s="94">
        <v>166.09</v>
      </c>
      <c r="G39" s="94">
        <v>41.56</v>
      </c>
      <c r="H39" s="94">
        <v>138.97</v>
      </c>
      <c r="I39" s="84" t="s">
        <v>873</v>
      </c>
      <c r="J39" s="84" t="s">
        <v>874</v>
      </c>
      <c r="K39" s="84" t="s">
        <v>875</v>
      </c>
      <c r="L39" s="84" t="s">
        <v>876</v>
      </c>
      <c r="M39" s="84" t="s">
        <v>877</v>
      </c>
      <c r="N39" s="84" t="s">
        <v>878</v>
      </c>
      <c r="O39" s="84" t="s">
        <v>921</v>
      </c>
      <c r="P39" s="84"/>
      <c r="Q39" s="84"/>
      <c r="R39" s="84"/>
      <c r="S39" s="84"/>
      <c r="T39" s="84"/>
      <c r="U39" s="84"/>
      <c r="V39" s="84"/>
      <c r="W39" s="84"/>
      <c r="X39" s="84"/>
      <c r="Y39" s="84"/>
      <c r="Z39" s="84"/>
      <c r="AA39" s="84"/>
      <c r="AB39" s="84"/>
      <c r="AC39" s="84"/>
      <c r="AD39" s="84"/>
      <c r="AE39" s="84"/>
      <c r="AF39" s="84"/>
      <c r="AG39" s="84"/>
      <c r="AH39" s="84"/>
      <c r="AI39" s="84"/>
      <c r="AJ39" s="84"/>
      <c r="AK39" s="84"/>
    </row>
    <row r="40" spans="1:37">
      <c r="A40" s="93" t="s">
        <v>527</v>
      </c>
      <c r="B40" s="94">
        <v>201.14</v>
      </c>
      <c r="C40" s="94">
        <v>85.43</v>
      </c>
      <c r="D40" s="94">
        <v>82.35</v>
      </c>
      <c r="E40" s="94">
        <v>75.400000000000006</v>
      </c>
      <c r="F40" s="94">
        <v>127.04</v>
      </c>
      <c r="G40" s="94">
        <v>25.43</v>
      </c>
      <c r="H40" s="94">
        <v>78.75</v>
      </c>
      <c r="I40" s="84" t="s">
        <v>880</v>
      </c>
      <c r="J40" s="84" t="s">
        <v>881</v>
      </c>
      <c r="K40" s="84" t="s">
        <v>882</v>
      </c>
      <c r="L40" s="84" t="s">
        <v>883</v>
      </c>
      <c r="M40" s="84" t="s">
        <v>884</v>
      </c>
      <c r="N40" s="84" t="s">
        <v>885</v>
      </c>
      <c r="O40" s="84" t="s">
        <v>922</v>
      </c>
      <c r="P40" s="84"/>
      <c r="Q40" s="84"/>
      <c r="R40" s="84"/>
      <c r="S40" s="84"/>
      <c r="T40" s="84"/>
      <c r="U40" s="84"/>
      <c r="V40" s="84"/>
      <c r="W40" s="84"/>
      <c r="X40" s="84"/>
      <c r="Y40" s="84"/>
      <c r="Z40" s="84"/>
      <c r="AA40" s="84"/>
      <c r="AB40" s="84"/>
      <c r="AC40" s="84"/>
      <c r="AD40" s="84"/>
      <c r="AE40" s="84"/>
      <c r="AF40" s="84"/>
      <c r="AG40" s="84"/>
      <c r="AH40" s="84"/>
      <c r="AI40" s="84"/>
      <c r="AJ40" s="84"/>
      <c r="AK40" s="84"/>
    </row>
    <row r="41" spans="1:37">
      <c r="A41" s="93" t="s">
        <v>561</v>
      </c>
      <c r="B41" s="94">
        <v>157.9</v>
      </c>
      <c r="C41" s="94">
        <v>39.22</v>
      </c>
      <c r="D41" s="94">
        <v>68.11</v>
      </c>
      <c r="E41" s="94">
        <v>57.6</v>
      </c>
      <c r="F41" s="94">
        <v>105.69</v>
      </c>
      <c r="G41" s="94">
        <v>12.47</v>
      </c>
      <c r="H41" s="94">
        <v>43.82</v>
      </c>
      <c r="I41" s="84" t="s">
        <v>887</v>
      </c>
      <c r="J41" s="84" t="s">
        <v>888</v>
      </c>
      <c r="K41" s="84" t="s">
        <v>889</v>
      </c>
      <c r="L41" s="84" t="s">
        <v>890</v>
      </c>
      <c r="M41" s="84" t="s">
        <v>891</v>
      </c>
      <c r="N41" s="84" t="s">
        <v>892</v>
      </c>
      <c r="O41" s="84" t="s">
        <v>923</v>
      </c>
      <c r="P41" s="84"/>
      <c r="Q41" s="84"/>
      <c r="R41" s="84"/>
      <c r="S41" s="84"/>
      <c r="T41" s="84"/>
      <c r="U41" s="84"/>
      <c r="V41" s="84"/>
      <c r="W41" s="84"/>
      <c r="X41" s="84"/>
      <c r="Y41" s="84"/>
      <c r="Z41" s="84"/>
      <c r="AA41" s="84"/>
      <c r="AB41" s="84"/>
      <c r="AC41" s="84"/>
      <c r="AD41" s="84"/>
      <c r="AE41" s="84"/>
      <c r="AF41" s="84"/>
      <c r="AG41" s="84"/>
      <c r="AH41" s="84"/>
      <c r="AI41" s="84"/>
      <c r="AJ41" s="84"/>
      <c r="AK41" s="84"/>
    </row>
    <row r="42" spans="1:37">
      <c r="A42" s="93" t="s">
        <v>583</v>
      </c>
      <c r="B42" s="94">
        <v>98.46</v>
      </c>
      <c r="C42" s="94">
        <v>31.34</v>
      </c>
      <c r="D42" s="94">
        <v>55.62</v>
      </c>
      <c r="E42" s="94">
        <v>44.54</v>
      </c>
      <c r="F42" s="94">
        <v>63.02</v>
      </c>
      <c r="G42" s="94">
        <v>10.6</v>
      </c>
      <c r="H42" s="94">
        <v>28.49</v>
      </c>
      <c r="I42" s="84" t="s">
        <v>894</v>
      </c>
      <c r="J42" s="84" t="s">
        <v>895</v>
      </c>
      <c r="K42" s="84" t="s">
        <v>896</v>
      </c>
      <c r="L42" s="84" t="s">
        <v>897</v>
      </c>
      <c r="M42" s="84" t="s">
        <v>898</v>
      </c>
      <c r="N42" s="84" t="s">
        <v>899</v>
      </c>
      <c r="O42" s="84" t="s">
        <v>906</v>
      </c>
      <c r="P42" s="84"/>
      <c r="Q42" s="84"/>
      <c r="R42" s="84"/>
      <c r="S42" s="84"/>
      <c r="T42" s="84"/>
      <c r="U42" s="84"/>
      <c r="V42" s="84"/>
      <c r="W42" s="84"/>
      <c r="X42" s="84"/>
      <c r="Y42" s="84"/>
      <c r="Z42" s="84"/>
      <c r="AA42" s="84"/>
      <c r="AB42" s="84"/>
      <c r="AC42" s="84"/>
      <c r="AD42" s="84"/>
      <c r="AE42" s="84"/>
      <c r="AF42" s="84"/>
      <c r="AG42" s="84"/>
      <c r="AH42" s="84"/>
      <c r="AI42" s="84"/>
      <c r="AJ42" s="84"/>
      <c r="AK42" s="84"/>
    </row>
    <row r="43" spans="1:37">
      <c r="A43" s="93" t="s">
        <v>597</v>
      </c>
      <c r="B43" s="94">
        <v>58.01</v>
      </c>
      <c r="C43" s="94">
        <v>0</v>
      </c>
      <c r="D43" s="94">
        <v>41.6</v>
      </c>
      <c r="E43" s="94">
        <v>26.24</v>
      </c>
      <c r="F43" s="94">
        <v>46.82</v>
      </c>
      <c r="G43" s="94">
        <v>7.28</v>
      </c>
      <c r="H43" s="94">
        <v>16.78</v>
      </c>
      <c r="I43" s="84" t="s">
        <v>403</v>
      </c>
      <c r="J43" s="84" t="s">
        <v>901</v>
      </c>
      <c r="K43" s="84" t="s">
        <v>902</v>
      </c>
      <c r="L43" s="84" t="s">
        <v>903</v>
      </c>
      <c r="M43" s="84" t="s">
        <v>904</v>
      </c>
      <c r="N43" s="84" t="s">
        <v>905</v>
      </c>
      <c r="O43" s="84" t="s">
        <v>913</v>
      </c>
      <c r="P43" s="84"/>
      <c r="Q43" s="84"/>
      <c r="R43" s="84"/>
      <c r="S43" s="84"/>
      <c r="T43" s="84"/>
      <c r="U43" s="84"/>
      <c r="V43" s="84"/>
      <c r="W43" s="84"/>
      <c r="X43" s="84"/>
      <c r="Y43" s="84"/>
      <c r="Z43" s="84"/>
      <c r="AA43" s="84"/>
      <c r="AB43" s="84"/>
      <c r="AC43" s="84"/>
      <c r="AD43" s="84"/>
      <c r="AE43" s="84"/>
      <c r="AF43" s="84"/>
      <c r="AG43" s="84"/>
      <c r="AH43" s="84"/>
      <c r="AI43" s="84"/>
      <c r="AJ43" s="84"/>
      <c r="AK43" s="84"/>
    </row>
    <row r="44" spans="1:37">
      <c r="A44" s="93" t="s">
        <v>613</v>
      </c>
      <c r="B44" s="94">
        <v>0</v>
      </c>
      <c r="C44" s="94">
        <v>0</v>
      </c>
      <c r="D44" s="94">
        <v>22.48</v>
      </c>
      <c r="E44" s="94">
        <v>13.12</v>
      </c>
      <c r="F44" s="94">
        <v>18.73</v>
      </c>
      <c r="G44" s="94">
        <v>0</v>
      </c>
      <c r="H44" s="94">
        <v>0</v>
      </c>
      <c r="I44" s="84" t="s">
        <v>907</v>
      </c>
      <c r="J44" s="84" t="s">
        <v>908</v>
      </c>
      <c r="K44" s="84" t="s">
        <v>909</v>
      </c>
      <c r="L44" s="84" t="s">
        <v>910</v>
      </c>
      <c r="M44" s="84" t="s">
        <v>911</v>
      </c>
      <c r="N44" s="84" t="s">
        <v>912</v>
      </c>
      <c r="O44" s="84" t="s">
        <v>917</v>
      </c>
      <c r="P44" s="84"/>
      <c r="Q44" s="84"/>
      <c r="R44" s="84"/>
      <c r="S44" s="84"/>
      <c r="T44" s="84"/>
      <c r="U44" s="84"/>
      <c r="V44" s="84"/>
      <c r="W44" s="84"/>
      <c r="X44" s="84"/>
      <c r="Y44" s="84"/>
      <c r="Z44" s="84"/>
      <c r="AA44" s="84"/>
      <c r="AB44" s="84"/>
      <c r="AC44" s="84"/>
      <c r="AD44" s="84"/>
      <c r="AE44" s="84"/>
      <c r="AF44" s="84"/>
      <c r="AG44" s="84"/>
      <c r="AH44" s="84"/>
      <c r="AI44" s="84"/>
      <c r="AJ44" s="84"/>
      <c r="AK44" s="84"/>
    </row>
    <row r="45" spans="1:37">
      <c r="A45" s="93" t="s">
        <v>626</v>
      </c>
      <c r="B45" s="94">
        <v>0</v>
      </c>
      <c r="C45" s="94">
        <v>0</v>
      </c>
      <c r="D45" s="94">
        <v>4.95</v>
      </c>
      <c r="E45" s="94">
        <v>0</v>
      </c>
      <c r="F45" s="94">
        <v>0</v>
      </c>
      <c r="G45" s="94">
        <v>0</v>
      </c>
      <c r="H45" s="94">
        <v>0</v>
      </c>
      <c r="I45" s="84" t="s">
        <v>907</v>
      </c>
      <c r="J45" s="84" t="s">
        <v>907</v>
      </c>
      <c r="K45" s="84" t="s">
        <v>914</v>
      </c>
      <c r="L45" s="84" t="s">
        <v>915</v>
      </c>
      <c r="M45" s="84" t="s">
        <v>916</v>
      </c>
      <c r="N45" s="84" t="s">
        <v>907</v>
      </c>
      <c r="O45" s="84" t="s">
        <v>907</v>
      </c>
      <c r="P45" s="84"/>
      <c r="Q45" s="84"/>
      <c r="R45" s="84"/>
      <c r="S45" s="84"/>
      <c r="T45" s="84"/>
      <c r="U45" s="84"/>
      <c r="V45" s="84"/>
      <c r="W45" s="84"/>
      <c r="X45" s="84"/>
      <c r="Y45" s="84"/>
      <c r="Z45" s="84"/>
      <c r="AA45" s="84"/>
      <c r="AB45" s="84"/>
      <c r="AC45" s="84"/>
      <c r="AD45" s="84"/>
      <c r="AE45" s="84"/>
      <c r="AF45" s="84"/>
      <c r="AG45" s="84"/>
      <c r="AH45" s="84"/>
      <c r="AI45" s="84"/>
      <c r="AJ45" s="84"/>
      <c r="AK45" s="84"/>
    </row>
    <row r="46" spans="1:37">
      <c r="A46" s="93" t="s">
        <v>634</v>
      </c>
      <c r="B46" s="94">
        <v>0</v>
      </c>
      <c r="C46" s="94">
        <v>0</v>
      </c>
      <c r="D46" s="94">
        <v>0</v>
      </c>
      <c r="E46" s="94">
        <v>0</v>
      </c>
      <c r="F46" s="94">
        <v>0</v>
      </c>
      <c r="G46" s="94">
        <v>0</v>
      </c>
      <c r="H46" s="94">
        <v>0</v>
      </c>
      <c r="I46" s="84" t="s">
        <v>907</v>
      </c>
      <c r="J46" s="84" t="s">
        <v>907</v>
      </c>
      <c r="K46" s="84" t="s">
        <v>907</v>
      </c>
      <c r="L46" s="84" t="s">
        <v>907</v>
      </c>
      <c r="M46" s="84" t="s">
        <v>907</v>
      </c>
      <c r="N46" s="84" t="s">
        <v>907</v>
      </c>
      <c r="O46" s="84" t="s">
        <v>907</v>
      </c>
      <c r="P46" s="84"/>
      <c r="Q46" s="84"/>
      <c r="R46" s="84"/>
      <c r="S46" s="84"/>
      <c r="T46" s="84"/>
      <c r="U46" s="84"/>
      <c r="V46" s="84"/>
      <c r="W46" s="84"/>
      <c r="X46" s="84"/>
      <c r="Y46" s="84"/>
      <c r="Z46" s="84"/>
      <c r="AA46" s="84"/>
      <c r="AB46" s="84"/>
      <c r="AC46" s="84"/>
      <c r="AD46" s="84"/>
      <c r="AE46" s="84"/>
      <c r="AF46" s="84"/>
      <c r="AG46" s="84"/>
      <c r="AH46" s="84"/>
      <c r="AI46" s="84"/>
      <c r="AJ46" s="84"/>
      <c r="AK46" s="84"/>
    </row>
    <row r="47" spans="1:3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row>
    <row r="48" spans="1:37">
      <c r="A48" s="91" t="s">
        <v>925</v>
      </c>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row>
    <row r="49" spans="1:37">
      <c r="A49" s="93"/>
      <c r="B49" s="93">
        <v>1</v>
      </c>
      <c r="C49" s="93">
        <v>2</v>
      </c>
      <c r="D49" s="93">
        <v>3</v>
      </c>
      <c r="E49" s="93">
        <v>4</v>
      </c>
      <c r="F49" s="93">
        <v>5</v>
      </c>
      <c r="G49" s="93">
        <v>6</v>
      </c>
      <c r="H49" s="93">
        <v>7</v>
      </c>
      <c r="I49" s="93">
        <v>1</v>
      </c>
      <c r="J49" s="93">
        <v>2</v>
      </c>
      <c r="K49" s="93">
        <v>3</v>
      </c>
      <c r="L49" s="93">
        <v>4</v>
      </c>
      <c r="M49" s="93">
        <v>5</v>
      </c>
      <c r="N49" s="93">
        <v>6</v>
      </c>
      <c r="O49" s="93">
        <v>7</v>
      </c>
      <c r="P49" s="93"/>
      <c r="Q49" s="93"/>
      <c r="R49" s="93"/>
      <c r="S49" s="93"/>
      <c r="T49" s="93"/>
      <c r="U49" s="93"/>
      <c r="V49" s="93"/>
      <c r="W49" s="93"/>
      <c r="X49" s="93"/>
      <c r="Y49" s="93"/>
      <c r="Z49" s="93"/>
      <c r="AA49" s="93"/>
      <c r="AB49" s="93"/>
      <c r="AC49" s="93"/>
      <c r="AD49" s="93"/>
      <c r="AE49" s="93"/>
      <c r="AF49" s="93"/>
      <c r="AG49" s="93"/>
      <c r="AH49" s="93"/>
      <c r="AI49" s="93"/>
      <c r="AJ49" s="93"/>
      <c r="AK49" s="93"/>
    </row>
    <row r="50" spans="1:37">
      <c r="A50" s="93" t="s">
        <v>365</v>
      </c>
      <c r="B50" s="94">
        <v>528.42999999999995</v>
      </c>
      <c r="C50" s="94">
        <v>270.63</v>
      </c>
      <c r="D50" s="94">
        <v>329.87</v>
      </c>
      <c r="E50" s="94">
        <v>223.86</v>
      </c>
      <c r="F50" s="94">
        <v>265.44</v>
      </c>
      <c r="G50" s="94">
        <v>96.85</v>
      </c>
      <c r="H50" s="94">
        <v>327.38</v>
      </c>
      <c r="I50" s="84" t="s">
        <v>859</v>
      </c>
      <c r="J50" s="84" t="s">
        <v>860</v>
      </c>
      <c r="K50" s="84" t="s">
        <v>861</v>
      </c>
      <c r="L50" s="84" t="s">
        <v>862</v>
      </c>
      <c r="M50" s="84" t="s">
        <v>863</v>
      </c>
      <c r="N50" s="84" t="s">
        <v>864</v>
      </c>
      <c r="O50" s="84" t="s">
        <v>919</v>
      </c>
      <c r="P50" s="84"/>
      <c r="Q50" s="84"/>
      <c r="R50" s="84"/>
      <c r="S50" s="84"/>
      <c r="T50" s="84"/>
      <c r="U50" s="84"/>
      <c r="V50" s="84"/>
      <c r="W50" s="84"/>
      <c r="X50" s="84"/>
      <c r="Y50" s="84"/>
      <c r="Z50" s="84"/>
      <c r="AA50" s="84"/>
      <c r="AB50" s="84"/>
      <c r="AC50" s="84"/>
      <c r="AD50" s="84"/>
      <c r="AE50" s="84"/>
      <c r="AF50" s="84"/>
      <c r="AG50" s="84"/>
      <c r="AH50" s="84"/>
      <c r="AI50" s="84"/>
      <c r="AJ50" s="84"/>
      <c r="AK50" s="84"/>
    </row>
    <row r="51" spans="1:37">
      <c r="A51" s="93" t="s">
        <v>176</v>
      </c>
      <c r="B51" s="94">
        <v>360.54</v>
      </c>
      <c r="C51" s="94">
        <v>191.17</v>
      </c>
      <c r="D51" s="94">
        <v>158.1</v>
      </c>
      <c r="E51" s="94">
        <v>177.56</v>
      </c>
      <c r="F51" s="94">
        <v>182.96</v>
      </c>
      <c r="G51" s="94">
        <v>68.83</v>
      </c>
      <c r="H51" s="94">
        <v>196.12</v>
      </c>
      <c r="I51" s="84" t="s">
        <v>866</v>
      </c>
      <c r="J51" s="84" t="s">
        <v>867</v>
      </c>
      <c r="K51" s="84" t="s">
        <v>868</v>
      </c>
      <c r="L51" s="84" t="s">
        <v>869</v>
      </c>
      <c r="M51" s="84" t="s">
        <v>870</v>
      </c>
      <c r="N51" s="84" t="s">
        <v>871</v>
      </c>
      <c r="O51" s="84" t="s">
        <v>920</v>
      </c>
      <c r="P51" s="84"/>
      <c r="Q51" s="84"/>
      <c r="R51" s="84"/>
      <c r="S51" s="84"/>
      <c r="T51" s="84"/>
      <c r="U51" s="84"/>
      <c r="V51" s="84"/>
      <c r="W51" s="84"/>
      <c r="X51" s="84"/>
      <c r="Y51" s="84"/>
      <c r="Z51" s="84"/>
      <c r="AA51" s="84"/>
      <c r="AB51" s="84"/>
      <c r="AC51" s="84"/>
      <c r="AD51" s="84"/>
      <c r="AE51" s="84"/>
      <c r="AF51" s="84"/>
      <c r="AG51" s="84"/>
      <c r="AH51" s="84"/>
      <c r="AI51" s="84"/>
      <c r="AJ51" s="84"/>
      <c r="AK51" s="84"/>
    </row>
    <row r="52" spans="1:37">
      <c r="A52" s="93" t="s">
        <v>175</v>
      </c>
      <c r="B52" s="94">
        <v>266.31</v>
      </c>
      <c r="C52" s="94">
        <v>144.22999999999999</v>
      </c>
      <c r="D52" s="94">
        <v>103.74</v>
      </c>
      <c r="E52" s="94">
        <v>135.28</v>
      </c>
      <c r="F52" s="94">
        <v>156.07</v>
      </c>
      <c r="G52" s="94">
        <v>48.56</v>
      </c>
      <c r="H52" s="94">
        <v>142.99</v>
      </c>
      <c r="I52" s="84" t="s">
        <v>873</v>
      </c>
      <c r="J52" s="84" t="s">
        <v>874</v>
      </c>
      <c r="K52" s="84" t="s">
        <v>875</v>
      </c>
      <c r="L52" s="84" t="s">
        <v>876</v>
      </c>
      <c r="M52" s="84" t="s">
        <v>877</v>
      </c>
      <c r="N52" s="84" t="s">
        <v>878</v>
      </c>
      <c r="O52" s="84" t="s">
        <v>921</v>
      </c>
      <c r="P52" s="84"/>
      <c r="Q52" s="84"/>
      <c r="R52" s="84"/>
      <c r="S52" s="84"/>
      <c r="T52" s="84"/>
      <c r="U52" s="84"/>
      <c r="V52" s="84"/>
      <c r="W52" s="84"/>
      <c r="X52" s="84"/>
      <c r="Y52" s="84"/>
      <c r="Z52" s="84"/>
      <c r="AA52" s="84"/>
      <c r="AB52" s="84"/>
      <c r="AC52" s="84"/>
      <c r="AD52" s="84"/>
      <c r="AE52" s="84"/>
      <c r="AF52" s="84"/>
      <c r="AG52" s="84"/>
      <c r="AH52" s="84"/>
      <c r="AI52" s="84"/>
      <c r="AJ52" s="84"/>
      <c r="AK52" s="84"/>
    </row>
    <row r="53" spans="1:37">
      <c r="A53" s="93" t="s">
        <v>527</v>
      </c>
      <c r="B53" s="94">
        <v>205.91</v>
      </c>
      <c r="C53" s="94">
        <v>125.75</v>
      </c>
      <c r="D53" s="94">
        <v>87.95</v>
      </c>
      <c r="E53" s="94">
        <v>90.68</v>
      </c>
      <c r="F53" s="94">
        <v>112.78</v>
      </c>
      <c r="G53" s="94">
        <v>32.93</v>
      </c>
      <c r="H53" s="94">
        <v>79.52</v>
      </c>
      <c r="I53" s="84" t="s">
        <v>926</v>
      </c>
      <c r="J53" s="84" t="s">
        <v>881</v>
      </c>
      <c r="K53" s="84" t="s">
        <v>882</v>
      </c>
      <c r="L53" s="84" t="s">
        <v>883</v>
      </c>
      <c r="M53" s="84" t="s">
        <v>884</v>
      </c>
      <c r="N53" s="84" t="s">
        <v>885</v>
      </c>
      <c r="O53" s="84" t="s">
        <v>922</v>
      </c>
      <c r="P53" s="84"/>
      <c r="Q53" s="84"/>
      <c r="R53" s="84"/>
      <c r="S53" s="84"/>
      <c r="T53" s="84"/>
      <c r="U53" s="84"/>
      <c r="V53" s="84"/>
      <c r="W53" s="84"/>
      <c r="X53" s="84"/>
      <c r="Y53" s="84"/>
      <c r="Z53" s="84"/>
      <c r="AA53" s="84"/>
      <c r="AB53" s="84"/>
      <c r="AC53" s="84"/>
      <c r="AD53" s="84"/>
      <c r="AE53" s="84"/>
      <c r="AF53" s="84"/>
      <c r="AG53" s="84"/>
      <c r="AH53" s="84"/>
      <c r="AI53" s="84"/>
      <c r="AJ53" s="84"/>
      <c r="AK53" s="84"/>
    </row>
    <row r="54" spans="1:37">
      <c r="A54" s="93" t="s">
        <v>561</v>
      </c>
      <c r="B54" s="94">
        <v>163.5</v>
      </c>
      <c r="C54" s="94">
        <v>91.55</v>
      </c>
      <c r="D54" s="94">
        <v>70.959999999999994</v>
      </c>
      <c r="E54" s="94">
        <v>58.88</v>
      </c>
      <c r="F54" s="94">
        <v>85.51</v>
      </c>
      <c r="G54" s="94">
        <v>16.34</v>
      </c>
      <c r="H54" s="94">
        <v>53.76</v>
      </c>
      <c r="I54" s="84" t="s">
        <v>927</v>
      </c>
      <c r="J54" s="84" t="s">
        <v>888</v>
      </c>
      <c r="K54" s="84" t="s">
        <v>889</v>
      </c>
      <c r="L54" s="84" t="s">
        <v>890</v>
      </c>
      <c r="M54" s="84" t="s">
        <v>891</v>
      </c>
      <c r="N54" s="84" t="s">
        <v>892</v>
      </c>
      <c r="O54" s="84" t="s">
        <v>923</v>
      </c>
      <c r="P54" s="84"/>
      <c r="Q54" s="84"/>
      <c r="R54" s="84"/>
      <c r="S54" s="84"/>
      <c r="T54" s="84"/>
      <c r="U54" s="84"/>
      <c r="V54" s="84"/>
      <c r="W54" s="84"/>
      <c r="X54" s="84"/>
      <c r="Y54" s="84"/>
      <c r="Z54" s="84"/>
      <c r="AA54" s="84"/>
      <c r="AB54" s="84"/>
      <c r="AC54" s="84"/>
      <c r="AD54" s="84"/>
      <c r="AE54" s="84"/>
      <c r="AF54" s="84"/>
      <c r="AG54" s="84"/>
      <c r="AH54" s="84"/>
      <c r="AI54" s="84"/>
      <c r="AJ54" s="84"/>
      <c r="AK54" s="84"/>
    </row>
    <row r="55" spans="1:37">
      <c r="A55" s="93" t="s">
        <v>583</v>
      </c>
      <c r="B55" s="94">
        <v>128.93</v>
      </c>
      <c r="C55" s="94">
        <v>42.1</v>
      </c>
      <c r="D55" s="94">
        <v>57.78</v>
      </c>
      <c r="E55" s="94">
        <v>48.02</v>
      </c>
      <c r="F55" s="94">
        <v>66.11</v>
      </c>
      <c r="G55" s="94">
        <v>13.89</v>
      </c>
      <c r="H55" s="94">
        <v>29.69</v>
      </c>
      <c r="I55" s="84" t="s">
        <v>928</v>
      </c>
      <c r="J55" s="84" t="s">
        <v>929</v>
      </c>
      <c r="K55" s="84" t="s">
        <v>896</v>
      </c>
      <c r="L55" s="84" t="s">
        <v>897</v>
      </c>
      <c r="M55" s="84" t="s">
        <v>898</v>
      </c>
      <c r="N55" s="84" t="s">
        <v>899</v>
      </c>
      <c r="O55" s="84" t="s">
        <v>906</v>
      </c>
      <c r="P55" s="84"/>
      <c r="Q55" s="84"/>
      <c r="R55" s="84"/>
      <c r="S55" s="84"/>
      <c r="T55" s="84"/>
      <c r="U55" s="84"/>
      <c r="V55" s="84"/>
      <c r="W55" s="84"/>
      <c r="X55" s="84"/>
      <c r="Y55" s="84"/>
      <c r="Z55" s="84"/>
      <c r="AA55" s="84"/>
      <c r="AB55" s="84"/>
      <c r="AC55" s="84"/>
      <c r="AD55" s="84"/>
      <c r="AE55" s="84"/>
      <c r="AF55" s="84"/>
      <c r="AG55" s="84"/>
      <c r="AH55" s="84"/>
      <c r="AI55" s="84"/>
      <c r="AJ55" s="84"/>
      <c r="AK55" s="84"/>
    </row>
    <row r="56" spans="1:37">
      <c r="A56" s="93" t="s">
        <v>597</v>
      </c>
      <c r="B56" s="94">
        <v>111.67</v>
      </c>
      <c r="C56" s="94">
        <v>33.119999999999997</v>
      </c>
      <c r="D56" s="94">
        <v>47.77</v>
      </c>
      <c r="E56" s="94">
        <v>28.34</v>
      </c>
      <c r="F56" s="94">
        <v>55.25</v>
      </c>
      <c r="G56" s="94">
        <v>9.56</v>
      </c>
      <c r="H56" s="94">
        <v>17.52</v>
      </c>
      <c r="I56" s="84" t="s">
        <v>930</v>
      </c>
      <c r="J56" s="84" t="s">
        <v>931</v>
      </c>
      <c r="K56" s="84" t="s">
        <v>902</v>
      </c>
      <c r="L56" s="84" t="s">
        <v>903</v>
      </c>
      <c r="M56" s="84" t="s">
        <v>904</v>
      </c>
      <c r="N56" s="84" t="s">
        <v>905</v>
      </c>
      <c r="O56" s="84" t="s">
        <v>913</v>
      </c>
      <c r="P56" s="84"/>
      <c r="Q56" s="84"/>
      <c r="R56" s="84"/>
      <c r="S56" s="84"/>
      <c r="T56" s="84"/>
      <c r="U56" s="84"/>
      <c r="V56" s="84"/>
      <c r="W56" s="84"/>
      <c r="X56" s="84"/>
      <c r="Y56" s="84"/>
      <c r="Z56" s="84"/>
      <c r="AA56" s="84"/>
      <c r="AB56" s="84"/>
      <c r="AC56" s="84"/>
      <c r="AD56" s="84"/>
      <c r="AE56" s="84"/>
      <c r="AF56" s="84"/>
      <c r="AG56" s="84"/>
      <c r="AH56" s="84"/>
      <c r="AI56" s="84"/>
      <c r="AJ56" s="84"/>
      <c r="AK56" s="84"/>
    </row>
    <row r="57" spans="1:37">
      <c r="A57" s="93" t="s">
        <v>613</v>
      </c>
      <c r="B57" s="94">
        <v>55.84</v>
      </c>
      <c r="C57" s="94">
        <v>0</v>
      </c>
      <c r="D57" s="94">
        <v>18.38</v>
      </c>
      <c r="E57" s="94">
        <v>14.17</v>
      </c>
      <c r="F57" s="94">
        <v>22.1</v>
      </c>
      <c r="G57" s="94">
        <v>0</v>
      </c>
      <c r="H57" s="94">
        <v>0</v>
      </c>
      <c r="I57" s="84" t="s">
        <v>932</v>
      </c>
      <c r="J57" s="84" t="s">
        <v>908</v>
      </c>
      <c r="K57" s="84" t="s">
        <v>909</v>
      </c>
      <c r="L57" s="84" t="s">
        <v>910</v>
      </c>
      <c r="M57" s="84" t="s">
        <v>911</v>
      </c>
      <c r="N57" s="84" t="s">
        <v>912</v>
      </c>
      <c r="O57" s="84" t="s">
        <v>917</v>
      </c>
      <c r="P57" s="84"/>
      <c r="Q57" s="84"/>
      <c r="R57" s="84"/>
      <c r="S57" s="84"/>
      <c r="T57" s="84"/>
      <c r="U57" s="84"/>
      <c r="V57" s="84"/>
      <c r="W57" s="84"/>
      <c r="X57" s="84"/>
      <c r="Y57" s="84"/>
      <c r="Z57" s="84"/>
      <c r="AA57" s="84"/>
      <c r="AB57" s="84"/>
      <c r="AC57" s="84"/>
      <c r="AD57" s="84"/>
      <c r="AE57" s="84"/>
      <c r="AF57" s="84"/>
      <c r="AG57" s="84"/>
      <c r="AH57" s="84"/>
      <c r="AI57" s="84"/>
      <c r="AJ57" s="84"/>
      <c r="AK57" s="84"/>
    </row>
    <row r="58" spans="1:37">
      <c r="A58" s="93" t="s">
        <v>626</v>
      </c>
      <c r="B58" s="94">
        <v>22.33</v>
      </c>
      <c r="C58" s="94">
        <v>0</v>
      </c>
      <c r="D58" s="94">
        <v>4.04</v>
      </c>
      <c r="E58" s="94">
        <v>0</v>
      </c>
      <c r="F58" s="94">
        <v>0</v>
      </c>
      <c r="G58" s="94">
        <v>0</v>
      </c>
      <c r="H58" s="94">
        <v>0</v>
      </c>
      <c r="I58" s="84" t="s">
        <v>910</v>
      </c>
      <c r="J58" s="84" t="s">
        <v>907</v>
      </c>
      <c r="K58" s="84" t="s">
        <v>914</v>
      </c>
      <c r="L58" s="84" t="s">
        <v>915</v>
      </c>
      <c r="M58" s="84" t="s">
        <v>916</v>
      </c>
      <c r="N58" s="84" t="s">
        <v>907</v>
      </c>
      <c r="O58" s="84" t="s">
        <v>907</v>
      </c>
      <c r="P58" s="84"/>
      <c r="Q58" s="84"/>
      <c r="R58" s="84"/>
      <c r="S58" s="84"/>
      <c r="T58" s="84"/>
      <c r="U58" s="84"/>
      <c r="V58" s="84"/>
      <c r="W58" s="84"/>
      <c r="X58" s="84"/>
      <c r="Y58" s="84"/>
      <c r="Z58" s="84"/>
      <c r="AA58" s="84"/>
      <c r="AB58" s="84"/>
      <c r="AC58" s="84"/>
      <c r="AD58" s="84"/>
      <c r="AE58" s="84"/>
      <c r="AF58" s="84"/>
      <c r="AG58" s="84"/>
      <c r="AH58" s="84"/>
      <c r="AI58" s="84"/>
      <c r="AJ58" s="84"/>
      <c r="AK58" s="84"/>
    </row>
    <row r="59" spans="1:37">
      <c r="A59" s="93" t="s">
        <v>634</v>
      </c>
      <c r="B59" s="94">
        <v>8.93</v>
      </c>
      <c r="C59" s="94">
        <v>0</v>
      </c>
      <c r="D59" s="94">
        <v>0</v>
      </c>
      <c r="E59" s="94">
        <v>0</v>
      </c>
      <c r="F59" s="94">
        <v>0</v>
      </c>
      <c r="G59" s="94">
        <v>0</v>
      </c>
      <c r="H59" s="94">
        <v>0</v>
      </c>
      <c r="I59" s="84" t="s">
        <v>933</v>
      </c>
      <c r="J59" s="84" t="s">
        <v>907</v>
      </c>
      <c r="K59" s="84" t="s">
        <v>907</v>
      </c>
      <c r="L59" s="84" t="s">
        <v>907</v>
      </c>
      <c r="M59" s="84" t="s">
        <v>907</v>
      </c>
      <c r="N59" s="84" t="s">
        <v>907</v>
      </c>
      <c r="O59" s="84" t="s">
        <v>907</v>
      </c>
      <c r="P59" s="84"/>
      <c r="Q59" s="84"/>
      <c r="R59" s="84"/>
      <c r="S59" s="84"/>
      <c r="T59" s="84"/>
      <c r="U59" s="84"/>
      <c r="V59" s="84"/>
      <c r="W59" s="84"/>
      <c r="X59" s="84"/>
      <c r="Y59" s="84"/>
      <c r="Z59" s="84"/>
      <c r="AA59" s="84"/>
      <c r="AB59" s="84"/>
      <c r="AC59" s="84"/>
      <c r="AD59" s="84"/>
      <c r="AE59" s="84"/>
      <c r="AF59" s="84"/>
      <c r="AG59" s="84"/>
      <c r="AH59" s="84"/>
      <c r="AI59" s="84"/>
      <c r="AJ59" s="84"/>
      <c r="AK59" s="84"/>
    </row>
    <row r="60" spans="1:37">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row>
    <row r="61" spans="1:37">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row>
  </sheetData>
  <mergeCells count="6">
    <mergeCell ref="A5:E5"/>
    <mergeCell ref="M5:O5"/>
    <mergeCell ref="A6:E6"/>
    <mergeCell ref="H6:L7"/>
    <mergeCell ref="M6:O7"/>
    <mergeCell ref="A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36</vt:i4>
      </vt:variant>
      <vt:variant>
        <vt:lpstr>Rangos con nombre</vt:lpstr>
      </vt:variant>
      <vt:variant>
        <vt:i4>45</vt:i4>
      </vt:variant>
    </vt:vector>
  </HeadingPairs>
  <TitlesOfParts>
    <vt:vector size="81" baseType="lpstr">
      <vt:lpstr>HR-EXCLUSIVO TERMINADO</vt:lpstr>
      <vt:lpstr>RESUMEN</vt:lpstr>
      <vt:lpstr>C2</vt:lpstr>
      <vt:lpstr>PORTADA</vt:lpstr>
      <vt:lpstr>HR-BIEN FUTURO</vt:lpstr>
      <vt:lpstr>HR-COMÚN TERMINADO</vt:lpstr>
      <vt:lpstr>MEM. DESC. I</vt:lpstr>
      <vt:lpstr>MEM. DESC. II</vt:lpstr>
      <vt:lpstr>EST. MERCADO TERRENOS</vt:lpstr>
      <vt:lpstr>REPOSICIÓN</vt:lpstr>
      <vt:lpstr>CASO EN QUINTA (SI CORRESPONDE)</vt:lpstr>
      <vt:lpstr>COMPARACIÓN</vt:lpstr>
      <vt:lpstr>RESULTADOS</vt:lpstr>
      <vt:lpstr>ALQUILER</vt:lpstr>
      <vt:lpstr>Lista-Data</vt:lpstr>
      <vt:lpstr>DECLARACION JURADA</vt:lpstr>
      <vt:lpstr>ANEXO</vt:lpstr>
      <vt:lpstr>FOTO</vt:lpstr>
      <vt:lpstr>FOTO II</vt:lpstr>
      <vt:lpstr>FOTO III</vt:lpstr>
      <vt:lpstr>FOTO IV</vt:lpstr>
      <vt:lpstr>FOTO V </vt:lpstr>
      <vt:lpstr>RRPP</vt:lpstr>
      <vt:lpstr>RRPP (2)</vt:lpstr>
      <vt:lpstr>RRPP (3)</vt:lpstr>
      <vt:lpstr>RRPP (4)</vt:lpstr>
      <vt:lpstr>RRPP (5)</vt:lpstr>
      <vt:lpstr>RRPP (6)</vt:lpstr>
      <vt:lpstr>MUNICIPIO</vt:lpstr>
      <vt:lpstr>Hoja1</vt:lpstr>
      <vt:lpstr>MUNICIPIO (2)</vt:lpstr>
      <vt:lpstr>PLANO DE UBICACION</vt:lpstr>
      <vt:lpstr>PLANO DE ZONIFICACION</vt:lpstr>
      <vt:lpstr>SUSTENTO DE UBICACION</vt:lpstr>
      <vt:lpstr>MUESTRAS</vt:lpstr>
      <vt:lpstr>ANEXO MIC</vt:lpstr>
      <vt:lpstr>ALQUILER!Área_de_impresión</vt:lpstr>
      <vt:lpstr>ANEXO!Área_de_impresión</vt:lpstr>
      <vt:lpstr>'ANEXO MIC'!Área_de_impresión</vt:lpstr>
      <vt:lpstr>'C2'!Área_de_impresión</vt:lpstr>
      <vt:lpstr>'CASO EN QUINTA (SI CORRESPONDE)'!Área_de_impresión</vt:lpstr>
      <vt:lpstr>COMPARACIÓN!Área_de_impresión</vt:lpstr>
      <vt:lpstr>'DECLARACION JURADA'!Área_de_impresión</vt:lpstr>
      <vt:lpstr>'EST. MERCADO TERRENOS'!Área_de_impresión</vt:lpstr>
      <vt:lpstr>FOTO!Área_de_impresión</vt:lpstr>
      <vt:lpstr>'FOTO II'!Área_de_impresión</vt:lpstr>
      <vt:lpstr>'FOTO III'!Área_de_impresión</vt:lpstr>
      <vt:lpstr>'FOTO IV'!Área_de_impresión</vt:lpstr>
      <vt:lpstr>'FOTO V '!Área_de_impresión</vt:lpstr>
      <vt:lpstr>'HR-BIEN FUTURO'!Área_de_impresión</vt:lpstr>
      <vt:lpstr>'HR-COMÚN TERMINADO'!Área_de_impresión</vt:lpstr>
      <vt:lpstr>'HR-EXCLUSIVO TERMINADO'!Área_de_impresión</vt:lpstr>
      <vt:lpstr>'MEM. DESC. I'!Área_de_impresión</vt:lpstr>
      <vt:lpstr>'MEM. DESC. II'!Área_de_impresión</vt:lpstr>
      <vt:lpstr>MUESTRAS!Área_de_impresión</vt:lpstr>
      <vt:lpstr>MUNICIPIO!Área_de_impresión</vt:lpstr>
      <vt:lpstr>'MUNICIPIO (2)'!Área_de_impresión</vt:lpstr>
      <vt:lpstr>'PLANO DE UBICACION'!Área_de_impresión</vt:lpstr>
      <vt:lpstr>'PLANO DE ZONIFICACION'!Área_de_impresión</vt:lpstr>
      <vt:lpstr>PORTADA!Área_de_impresión</vt:lpstr>
      <vt:lpstr>REPOSICIÓN!Área_de_impresión</vt:lpstr>
      <vt:lpstr>RESULTADOS!Área_de_impresión</vt:lpstr>
      <vt:lpstr>RESUMEN!Área_de_impresión</vt:lpstr>
      <vt:lpstr>RRPP!Área_de_impresión</vt:lpstr>
      <vt:lpstr>'RRPP (2)'!Área_de_impresión</vt:lpstr>
      <vt:lpstr>'RRPP (3)'!Área_de_impresión</vt:lpstr>
      <vt:lpstr>'RRPP (4)'!Área_de_impresión</vt:lpstr>
      <vt:lpstr>'RRPP (5)'!Área_de_impresión</vt:lpstr>
      <vt:lpstr>'RRPP (6)'!Área_de_impresión</vt:lpstr>
      <vt:lpstr>RESUMEN!PISOS</vt:lpstr>
      <vt:lpstr>ALQUILER!Títulos_a_imprimir</vt:lpstr>
      <vt:lpstr>ANEXO!Títulos_a_imprimir</vt:lpstr>
      <vt:lpstr>COMPARACIÓN!Títulos_a_imprimir</vt:lpstr>
      <vt:lpstr>'EST. MERCADO TERRENOS'!Títulos_a_imprimir</vt:lpstr>
      <vt:lpstr>'HR-BIEN FUTURO'!Títulos_a_imprimir</vt:lpstr>
      <vt:lpstr>'HR-COMÚN TERMINADO'!Títulos_a_imprimir</vt:lpstr>
      <vt:lpstr>'MEM. DESC. I'!Títulos_a_imprimir</vt:lpstr>
      <vt:lpstr>'MEM. DESC. II'!Títulos_a_imprimir</vt:lpstr>
      <vt:lpstr>REPOSICIÓN!Títulos_a_imprimir</vt:lpstr>
      <vt:lpstr>RESULTADOS!Títulos_a_imprimir</vt:lpstr>
      <vt:lpstr>RESUMEN!Títulos_a_imprimir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Raul Caller Polar</dc:creator>
  <cp:lastModifiedBy>LISSETH RAMIREZ</cp:lastModifiedBy>
  <cp:lastPrinted>2026-08-03T05:02:26Z</cp:lastPrinted>
  <dcterms:created xsi:type="dcterms:W3CDTF">2019-03-26T15:37:20Z</dcterms:created>
  <dcterms:modified xsi:type="dcterms:W3CDTF">2026-08-12T22:06:51Z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XPowerLiteLastOptimized">
    <vt:lpwstr>771083</vt:lpwstr>
  </property>
  <property fmtid="{D5CDD505-2E9C-101B-9397-08002B2CF9AE}" pid="3" name="NXPowerLiteSettings">
    <vt:lpwstr>C7000400038000</vt:lpwstr>
  </property>
  <property fmtid="{D5CDD505-2E9C-101B-9397-08002B2CF9AE}" pid="4" name="NXPowerLiteVersion">
    <vt:lpwstr>S9.0.1</vt:lpwstr>
  </property>
</Properties>
</file>