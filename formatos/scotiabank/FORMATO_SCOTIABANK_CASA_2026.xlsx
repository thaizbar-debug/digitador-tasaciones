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LISETH RAMIREZ\Desktop\FORMATOS XL 2026\"/>
    </mc:Choice>
  </mc:AlternateContent>
  <xr:revisionPtr revIDLastSave="0" documentId="13_ncr:1_{A58B498D-5F04-46AF-820B-44242E131ACC}" xr6:coauthVersionLast="47" xr6:coauthVersionMax="47" xr10:uidLastSave="{00000000-0000-0000-0000-000000000000}"/>
  <bookViews>
    <workbookView xWindow="-120" yWindow="-120" windowWidth="29040" windowHeight="15720" xr2:uid="{E45376B8-2750-45C3-AF32-A03B76326255}"/>
  </bookViews>
  <sheets>
    <sheet name="MEMORIA Y VAL" sheetId="14" r:id="rId1"/>
    <sheet name="FOTO" sheetId="15" r:id="rId2"/>
    <sheet name="SUSTENTO DE UBICACION" sheetId="16" r:id="rId3"/>
    <sheet name="Anexo 1" sheetId="17" r:id="rId4"/>
    <sheet name="Anexo 2" sheetId="18" r:id="rId5"/>
    <sheet name="Anexo 3 " sheetId="19" r:id="rId6"/>
    <sheet name="DECLARACIÓN JURADA" sheetId="20" r:id="rId7"/>
    <sheet name="HR" sheetId="3" r:id="rId8"/>
    <sheet name="Limites2015" sheetId="7" state="hidden" r:id="rId9"/>
    <sheet name="DPTOS" sheetId="9" state="hidden" r:id="rId10"/>
  </sheets>
  <externalReferences>
    <externalReference r:id="rId11"/>
    <externalReference r:id="rId12"/>
    <externalReference r:id="rId13"/>
    <externalReference r:id="rId14"/>
    <externalReference r:id="rId15"/>
    <externalReference r:id="rId16"/>
  </externalReferences>
  <definedNames>
    <definedName name="_xlnm._FilterDatabase" localSheetId="8" hidden="1">Limites2015!$A$1:$K$1875</definedName>
    <definedName name="ABANCAY">DPTOS!$C$252:$C$260</definedName>
    <definedName name="ACOBAMBA">DPTOS!$C$810:$C$817</definedName>
    <definedName name="ACOMAYO">DPTOS!$C$698:$C$704</definedName>
    <definedName name="AIJA">DPTOS!$C$86:$C$90</definedName>
    <definedName name="ALTO_AMAZONAS">DPTOS!$C$1453:$C$1458</definedName>
    <definedName name="AMAZONAS">DPTOS!$B$2:$B$8</definedName>
    <definedName name="AMBO">DPTOS!$C$910:$C$917</definedName>
    <definedName name="ANCASH">DPTOS!$B$9:$B$28</definedName>
    <definedName name="ANDAHUAYLAS">DPTOS!$C$261:$C$280</definedName>
    <definedName name="ANGARES">DPTOS!$C$818:$C$829</definedName>
    <definedName name="ANTA">DPTOS!$C$705:$C$713</definedName>
    <definedName name="ANTABAMBA">DPTOS!$C$281:$C$287</definedName>
    <definedName name="ANTONIO_RAYMONDI">DPTOS!$C$91:$C$96</definedName>
    <definedName name="APURIMAC">DPTOS!$B$29:$B$35</definedName>
    <definedName name="_xlnm.Print_Area" localSheetId="3">'Anexo 1'!$A$1:$J$30</definedName>
    <definedName name="_xlnm.Print_Area" localSheetId="4">'Anexo 2'!$A$1:$J$34</definedName>
    <definedName name="_xlnm.Print_Area" localSheetId="5">'Anexo 3 '!$A$1:$G$41</definedName>
    <definedName name="_xlnm.Print_Area" localSheetId="6">'DECLARACIÓN JURADA'!$A$1:$F$35</definedName>
    <definedName name="_xlnm.Print_Area" localSheetId="7">HR!$A$1:$K$104</definedName>
    <definedName name="_xlnm.Print_Area" localSheetId="0">'MEMORIA Y VAL'!$A$1:$AV$960</definedName>
    <definedName name="AREQUIPA">DPTOS!$B$36:$B$43</definedName>
    <definedName name="AREQUIPA.">DPTOS!$C$336:$C$364</definedName>
    <definedName name="ASCOPE">DPTOS!$C$1161:$C$1168</definedName>
    <definedName name="ASUNCION">DPTOS!$C$97:$C$98</definedName>
    <definedName name="ATALAYA">DPTOS!$C$1859:$C$1862</definedName>
    <definedName name="AYABACA">DPTOS!$C$1566:$C$1575</definedName>
    <definedName name="AYACUCHO">DPTOS!$B$44:$B$54</definedName>
    <definedName name="AYMARAES">DPTOS!$C$288:$C$304</definedName>
    <definedName name="AZANGARO">DPTOS!$C$1631:$C$1645</definedName>
    <definedName name="BAGUA">DPTOS!$C$2:$C$7</definedName>
    <definedName name="BARRANCA">DPTOS!$C$1282:$C$1286</definedName>
    <definedName name="_xlnm.Database">Limites2015!$B$1:$H$1875</definedName>
    <definedName name="BELLAVISTA">DPTOS!$C$1741:$C$1746</definedName>
    <definedName name="BOLIVAR">DPTOS!$C$1169:$C$1174</definedName>
    <definedName name="BOLOGNESI">DPTOS!$C$99:$C$113</definedName>
    <definedName name="BONGARA">DPTOS!$C$8:$C$19</definedName>
    <definedName name="CAJAMARCA">DPTOS!$B$55:$B$67</definedName>
    <definedName name="CAJAMARCA.">DPTOS!$C$564:$C$579</definedName>
    <definedName name="CAJATAMBO">DPTOS!$C$1287:$C$1291</definedName>
    <definedName name="CALCA">DPTOS!$C$714:$C$721</definedName>
    <definedName name="CALLAO">DPTOS!$B$68</definedName>
    <definedName name="CALLAO.">DPTOS!$C$691:$C$697</definedName>
    <definedName name="CAMANA">DPTOS!$C$365:$C$372</definedName>
    <definedName name="CANAS">DPTOS!$C$722:$C$729</definedName>
    <definedName name="CANCHIS">DPTOS!$C$730:$C$737</definedName>
    <definedName name="CANDARAVE">DPTOS!$C$1818:$C$1823</definedName>
    <definedName name="CANGALLO">DPTOS!$C$445:$C$450</definedName>
    <definedName name="CANTA">DPTOS!$C$1292:$C$1298</definedName>
    <definedName name="CAÑETE">DPTOS!$C$1299:$C$1314</definedName>
    <definedName name="CARABAYA">DPTOS!$C$1646:$C$1655</definedName>
    <definedName name="CARAVELI">DPTOS!$C$373:$C$385</definedName>
    <definedName name="CARHUAZ">DPTOS!$C$114:$C$124</definedName>
    <definedName name="CARLOS_FERMIN_FITZCARRALD">DPTOS!$C$125:$C$127</definedName>
    <definedName name="CASMA">DPTOS!$C$128:$C$131</definedName>
    <definedName name="CASTILLA">DPTOS!$C$386:$C$399</definedName>
    <definedName name="CASTROVIRREYNA">DPTOS!$C$830:$C$842</definedName>
    <definedName name="CAYLLOMA">DPTOS!$C$400:$C$419</definedName>
    <definedName name="CELEDIN">DPTOS!$C$580:$C$591</definedName>
    <definedName name="CHACHAPOYAS">DPTOS!$C$20:$C$40</definedName>
    <definedName name="CHANCHAMAYO">DPTOS!$C$1037:$C$1042</definedName>
    <definedName name="CHEPEN">DPTOS!$C$1175:$C$1177</definedName>
    <definedName name="CHICLAYO">DPTOS!$C$1244:$C$1263</definedName>
    <definedName name="CHINCHA">DPTOS!$C$994:$C$1004</definedName>
    <definedName name="CHINCHEROS">DPTOS!$C$305:$C$315</definedName>
    <definedName name="CHOTA">DPTOS!$C$592:$C$610</definedName>
    <definedName name="CHUCUITO">DPTOS!$C$1656:$C$1662</definedName>
    <definedName name="CHUMBIVILCAS">DPTOS!$C$738:$C$745</definedName>
    <definedName name="CHUPACA">DPTOS!$C$1043:$C$1051</definedName>
    <definedName name="CHURCAMPA">DPTOS!$C$843:$C$853</definedName>
    <definedName name="CONCEPCION">DPTOS!$C$1052:$C$1066</definedName>
    <definedName name="CONDESUYOS">DPTOS!$C$420:$C$427</definedName>
    <definedName name="CONDORCANQUI">DPTOS!$C$41:$C$43</definedName>
    <definedName name="CONTRALMIRANTE_VILLAR">DPTOS!$C$1846:$C$1848</definedName>
    <definedName name="CONTUMAZA">DPTOS!$C$611:$C$618</definedName>
    <definedName name="CORONEL_PORTILLO">DPTOS!$C$1863:$C$1869</definedName>
    <definedName name="CORONGO">DPTOS!$C$132:$C$138</definedName>
    <definedName name="COTABAMBAS">DPTOS!$C$316:$C$321</definedName>
    <definedName name="CUSCO">DPTOS!$B$69:$B$81</definedName>
    <definedName name="CUSCO.">DPTOS!$C$746:$C$753</definedName>
    <definedName name="CUTERVO">DPTOS!$C$619:$C$633</definedName>
    <definedName name="DANIEL_ALCIDES_CARRION">DPTOS!$C$1537:$C$1544</definedName>
    <definedName name="DATEM_DEL_MARAÑON">DPTOS!$C$1459:$C$1464</definedName>
    <definedName name="departamento">Limites2015!$B$1:$B$1875</definedName>
    <definedName name="distrito">Limites2015!$F$1:$F$1875</definedName>
    <definedName name="DOS_DE_MAYO">DPTOS!$C$918:$C$926</definedName>
    <definedName name="EDIFICACION" localSheetId="3">[1]Hoja4!$B$2:$B$6</definedName>
    <definedName name="EDIFICACION" localSheetId="4">[1]Hoja4!$B$2:$B$6</definedName>
    <definedName name="EDIFICACION" localSheetId="1">#REF!</definedName>
    <definedName name="EDIFICACION" localSheetId="0">#REF!</definedName>
    <definedName name="EDIFICACION" localSheetId="2">#REF!</definedName>
    <definedName name="EDIFICACION">#REF!</definedName>
    <definedName name="EL_COLLAO">DPTOS!$C$1663:$C$1667</definedName>
    <definedName name="EL_DORADO">DPTOS!$C$1747:$C$1751</definedName>
    <definedName name="ESPINAR">DPTOS!$C$754:$C$761</definedName>
    <definedName name="EstadoConservacion" localSheetId="3">[2]DATOS!$E$1:$E$5</definedName>
    <definedName name="EstadoConservacion" localSheetId="4">[2]DATOS!$E$1:$E$5</definedName>
    <definedName name="EstadoConservacion">[3]DATOS!$E$1:$E$5</definedName>
    <definedName name="Excel_BuiltIn_Print_Area_1">#REF!</definedName>
    <definedName name="FERREÑAFE">DPTOS!$C$1264:$C$1269</definedName>
    <definedName name="GENERAL_SANCHEZ_CERRO">DPTOS!$C$1517:$C$1527</definedName>
    <definedName name="GRAN_CHIMU">DPTOS!$C$1178:$C$1181</definedName>
    <definedName name="GRAU">DPTOS!$C$322:$C$335</definedName>
    <definedName name="Hipoeca" localSheetId="1">#REF!</definedName>
    <definedName name="Hipoeca" localSheetId="0">#REF!</definedName>
    <definedName name="Hipoeca" localSheetId="2">#REF!</definedName>
    <definedName name="Hipoeca">HR!#REF!</definedName>
    <definedName name="HIPOTECA">HR!#REF!</definedName>
    <definedName name="HUACAYBAMBA">DPTOS!$C$927:$C$930</definedName>
    <definedName name="HUALGAYOC">DPTOS!$C$634:$C$636</definedName>
    <definedName name="HUALLAGA">DPTOS!$C$1752:$C$1757</definedName>
    <definedName name="HUAMALIES">DPTOS!$C$931:$C$941</definedName>
    <definedName name="HUAMANGA">DPTOS!$C$451:$C$466</definedName>
    <definedName name="HUANCA_SANCOS">DPTOS!$C$467:$C$470</definedName>
    <definedName name="HUANCABAMBA">DPTOS!$C$1576:$C$1583</definedName>
    <definedName name="HUANCANE">DPTOS!$C$1668:$C$1675</definedName>
    <definedName name="HUANCAVELICA">DPTOS!$B$82:$B$88</definedName>
    <definedName name="HUANCAVELICA.">DPTOS!$C$854:$C$872</definedName>
    <definedName name="HUANCAYO">DPTOS!$C$1067:$C$1094</definedName>
    <definedName name="HUANTA">DPTOS!$C$471:$C$482</definedName>
    <definedName name="HUANUCO">DPTOS!$B$89:$B$99</definedName>
    <definedName name="HUANUCO.">DPTOS!$C$942:$C$954</definedName>
    <definedName name="HUARAL">DPTOS!$C$1315:$C$1326</definedName>
    <definedName name="HUARAZ">DPTOS!$C$139:$C$150</definedName>
    <definedName name="HUARI">DPTOS!$C$151:$C$166</definedName>
    <definedName name="HUARMEY">DPTOS!$C$167:$C$171</definedName>
    <definedName name="HUAROCHIRI">DPTOS!$C$1327:$C$1358</definedName>
    <definedName name="HUAURA">DPTOS!$C$1359:$C$1370</definedName>
    <definedName name="HUAYLAS">DPTOS!$C$172:$C$181</definedName>
    <definedName name="HUAYTARA">DPTOS!$C$873:$C$888</definedName>
    <definedName name="ICA">DPTOS!$B$100:$B$104</definedName>
    <definedName name="ICA.">DPTOS!$C$1005:$C$1018</definedName>
    <definedName name="ILO">DPTOS!$C$1528:$C$1530</definedName>
    <definedName name="ISLAY">DPTOS!$C$428:$C$433</definedName>
    <definedName name="JAEN">DPTOS!$C$637:$C$648</definedName>
    <definedName name="JAUJA">DPTOS!$C$1095:$C$1128</definedName>
    <definedName name="JORGE_BASADRE">DPTOS!$C$1824:$C$1826</definedName>
    <definedName name="JULCAN">DPTOS!$C$1182:$C$1185</definedName>
    <definedName name="JUNIN">DPTOS!$B$105:$B$113</definedName>
    <definedName name="JUNIN.">DPTOS!$C$1129:$C$1132</definedName>
    <definedName name="LA_CONVENCION">DPTOS!$C$762:$C$775</definedName>
    <definedName name="LA_LIBERTAD">DPTOS!$B$114:$B$125</definedName>
    <definedName name="LA_MAR">DPTOS!$C$483:$C$493</definedName>
    <definedName name="LA_UNION">DPTOS!$C$434:$C$444</definedName>
    <definedName name="LAMAS">DPTOS!$C$1758:$C$1768</definedName>
    <definedName name="LAMBAYEQUE">DPTOS!$B$126:$B$128</definedName>
    <definedName name="LAMBAYEQUE.">DPTOS!$C$1270:$C$1281</definedName>
    <definedName name="LAMPA">DPTOS!$C$1676:$C$1685</definedName>
    <definedName name="LAURICOCHA">DPTOS!$C$955:$C$961</definedName>
    <definedName name="LEASING" localSheetId="1">#REF!</definedName>
    <definedName name="LEASING" localSheetId="0">#REF!</definedName>
    <definedName name="LEASING" localSheetId="2">#REF!</definedName>
    <definedName name="LEASING">HR!#REF!</definedName>
    <definedName name="LEONCIO_PRADO">DPTOS!$C$962:$C$971</definedName>
    <definedName name="LIMA">DPTOS!$B$129:$B$138</definedName>
    <definedName name="LIMA.">DPTOS!$C$1371:$C$1413</definedName>
    <definedName name="LORETO">DPTOS!$B$139:$B$146</definedName>
    <definedName name="LORETO.">DPTOS!$C$1465:$C$1469</definedName>
    <definedName name="LUCANAS">DPTOS!$C$494:$C$514</definedName>
    <definedName name="LUYA">DPTOS!$C$44:$C$66</definedName>
    <definedName name="MADRE_DE_DIOS">DPTOS!$B$147:$B$149</definedName>
    <definedName name="MANU">DPTOS!$C$1506:$C$1509</definedName>
    <definedName name="MARAÑON">DPTOS!$C$972:$C$976</definedName>
    <definedName name="MARISCAL_CACERES">DPTOS!$C$1769:$C$1773</definedName>
    <definedName name="MARISCAL_LUZURIAGA">DPTOS!$C$182:$C$189</definedName>
    <definedName name="MARISCAL_NIETO">DPTOS!$C$1531:$C$1536</definedName>
    <definedName name="MARISCAL_RAMON_CASTILLA">DPTOS!$C$1470:$C$1473</definedName>
    <definedName name="MATERIALES" localSheetId="3">[1]Hoja4!$A$2:$A$7</definedName>
    <definedName name="MATERIALES" localSheetId="4">[1]Hoja4!$A$2:$A$7</definedName>
    <definedName name="MATERIALES" localSheetId="1">#REF!</definedName>
    <definedName name="MATERIALES" localSheetId="0">#REF!</definedName>
    <definedName name="MATERIALES" localSheetId="2">#REF!</definedName>
    <definedName name="MATERIALES">#REF!</definedName>
    <definedName name="MAYNAS">DPTOS!$C$1474:$C$1484</definedName>
    <definedName name="MELGAR">DPTOS!$C$1686:$C$1694</definedName>
    <definedName name="MOHO">DPTOS!$C$1695:$C$1698</definedName>
    <definedName name="MOQUEGUA">DPTOS!$B$150:$B$152</definedName>
    <definedName name="MORROPON">DPTOS!$C$1584:$C$1593</definedName>
    <definedName name="MOYOBAMBA">DPTOS!$C$1774:$C$1779</definedName>
    <definedName name="NASCA">DPTOS!$C$1019:$C$1023</definedName>
    <definedName name="OBI">Limites2015!$A$1:$A$1875</definedName>
    <definedName name="OCROS">DPTOS!$C$190:$C$199</definedName>
    <definedName name="OTUZCO">DPTOS!$C$1186:$C$1195</definedName>
    <definedName name="OXAPAMPA">DPTOS!$C$1545:$C$1552</definedName>
    <definedName name="OYON">DPTOS!$C$1414:$C$1419</definedName>
    <definedName name="PACASMAYO">DPTOS!$C$1196:$C$1200</definedName>
    <definedName name="PACHITEA">DPTOS!$C$977:$C$980</definedName>
    <definedName name="PADRE_ABAD">DPTOS!$C$1870:$C$1874</definedName>
    <definedName name="PAITA">DPTOS!$C$1594:$C$1600</definedName>
    <definedName name="PALCA">DPTOS!$C$1024:$C$1028</definedName>
    <definedName name="PALLASCA">DPTOS!$C$200:$C$210</definedName>
    <definedName name="PARINACOCHAS">DPTOS!$C$515:$C$522</definedName>
    <definedName name="PARURO">DPTOS!$C$776:$C$784</definedName>
    <definedName name="PASCO">DPTOS!$B$153:$B$155</definedName>
    <definedName name="PASCO.">DPTOS!$C$1553:$C$1565</definedName>
    <definedName name="PATAZ">DPTOS!$C$1201:$C$1213</definedName>
    <definedName name="PAUCAR_DEL_SARA_SARA">DPTOS!$C$523:$C$532</definedName>
    <definedName name="PAUCARTAMBO">DPTOS!$C$785:$C$790</definedName>
    <definedName name="PICOTA">DPTOS!$C$1780:$C$1789</definedName>
    <definedName name="PISCO">DPTOS!$C$1029:$C$1036</definedName>
    <definedName name="Pisos" localSheetId="3">[2]DATOS!$C$1:$C$31</definedName>
    <definedName name="Pisos" localSheetId="4">[2]DATOS!$C$1:$C$31</definedName>
    <definedName name="Pisos">[3]DATOS!$C$1:$C$31</definedName>
    <definedName name="PIURA">DPTOS!$B$156:$B$163</definedName>
    <definedName name="PIURA.">DPTOS!$C$1601:$C$1610</definedName>
    <definedName name="POMABAMBA">DPTOS!$C$211:$C$214</definedName>
    <definedName name="PRENDA" localSheetId="1">#REF!</definedName>
    <definedName name="PRENDA" localSheetId="0">#REF!</definedName>
    <definedName name="PRENDA" localSheetId="2">#REF!</definedName>
    <definedName name="PRENDA">HR!#REF!</definedName>
    <definedName name="provincia">Limites2015!$D$1:$D$1875</definedName>
    <definedName name="PUERTO_INCA">DPTOS!$C$981:$C$985</definedName>
    <definedName name="PUNO">DPTOS!$B$164:$B$176</definedName>
    <definedName name="PUNO.">DPTOS!$C$1699:$C$1713</definedName>
    <definedName name="PURUS">DPTOS!$C$1875</definedName>
    <definedName name="PUTUMAYO">DPTOS!$C$1485:$C$1488</definedName>
    <definedName name="QUISPICANCHI">DPTOS!$C$791:$C$802</definedName>
    <definedName name="RECUAY">DPTOS!$C$215:$C$224</definedName>
    <definedName name="REQUENA">DPTOS!$C$1489:$C$1499</definedName>
    <definedName name="RIOJA">DPTOS!$C$1790:$C$1798</definedName>
    <definedName name="RODRIGUEZ_DE_MENDOZA">DPTOS!$C$67:$C$78</definedName>
    <definedName name="SAN_ANTONIO_DE_PUTINA">DPTOS!$C$1714:$C$1718</definedName>
    <definedName name="SAN_IGNACIO">DPTOS!$C$649:$C$655</definedName>
    <definedName name="SAN_MARCOS">DPTOS!$C$656:$C$662</definedName>
    <definedName name="SAN_MARTIN">DPTOS!$B$177:$B$186</definedName>
    <definedName name="SAN_MARTIN.">DPTOS!$C$1799:$C$1812</definedName>
    <definedName name="SAN_MIGUEL">DPTOS!$C$664:$C$675</definedName>
    <definedName name="SAN_PABLO">DPTOS!$C$676:$C$679</definedName>
    <definedName name="SAN_ROMAN">DPTOS!$C$1719:$C$1723</definedName>
    <definedName name="SANCHEZ_CARRION">DPTOS!$C$1214:$C$1221</definedName>
    <definedName name="SANDIA">DPTOS!$C$1724:$C$1733</definedName>
    <definedName name="SANTA">DPTOS!$C$225:$C$233</definedName>
    <definedName name="SANTA_CRUZ">DPTOS!$C$681:$C$690</definedName>
    <definedName name="SANTIAGO_DE_CHUCO">DPTOS!$C$1222:$C$1229</definedName>
    <definedName name="SATIPO">DPTOS!$C$1133:$C$1141</definedName>
    <definedName name="SECHURA">DPTOS!$C$1611:$C$1616</definedName>
    <definedName name="SIHUAS">DPTOS!$C$234:$C$243</definedName>
    <definedName name="Sotano" localSheetId="3">[2]DATOS!$D$1:$D$11</definedName>
    <definedName name="Sotano" localSheetId="4">[2]DATOS!$D$1:$D$11</definedName>
    <definedName name="Sotano">[3]DATOS!$D$1:$D$11</definedName>
    <definedName name="SUCRE">DPTOS!$C$533:$C$543</definedName>
    <definedName name="SULLANA">DPTOS!$C$1617:$C$1624</definedName>
    <definedName name="TACNA">DPTOS!$B$187:$B$190</definedName>
    <definedName name="TACNA.">DPTOS!$C$1827:$C$1837</definedName>
    <definedName name="TAHUAMANU">DPTOS!$C$1510:$C$1512</definedName>
    <definedName name="TALARA">DPTOS!$C$1625:$C$1630</definedName>
    <definedName name="TAMBOPATA">DPTOS!$C$1513:$C$1516</definedName>
    <definedName name="TARATA">DPTOS!$C$1838:$C$1845</definedName>
    <definedName name="TARMA">DPTOS!$C$1142:$C$1150</definedName>
    <definedName name="TAYACAJA">DPTOS!$C$889:$C$909</definedName>
    <definedName name="TipoAcabado" localSheetId="3">[2]DATOS!$F$1:$F$2</definedName>
    <definedName name="TipoAcabado" localSheetId="4">[2]DATOS!$F$1:$F$2</definedName>
    <definedName name="TipoAcabado">[3]DATOS!$F$1:$F$2</definedName>
    <definedName name="TipoEdificacion">#N/A</definedName>
    <definedName name="_xlnm.Print_Titles" localSheetId="5">'Anexo 3 '!$1:$11</definedName>
    <definedName name="_xlnm.Print_Titles" localSheetId="0">'MEMORIA Y VAL'!$1:$8</definedName>
    <definedName name="TOCACHE">DPTOS!$C$1813:$C$1817</definedName>
    <definedName name="TRUJILLO">DPTOS!$C$1230:$C$1240</definedName>
    <definedName name="TUMBES">DPTOS!$B$191:$B$193</definedName>
    <definedName name="TUMBES.">DPTOS!$C$1849:$C$1854</definedName>
    <definedName name="ubi">Limites2015!$A:$A</definedName>
    <definedName name="ubigeo">Limites2015!$A$1:$H$1875</definedName>
    <definedName name="UCAYALI">DPTOS!$B$194:$B$197</definedName>
    <definedName name="UCAYALI.">DPTOS!$C$1500:$C$1505</definedName>
    <definedName name="URUBAMBA">DPTOS!$C$803:$C$809</definedName>
    <definedName name="UTCUBAMBA">DPTOS!$C$79:$C$85</definedName>
    <definedName name="VICTOR_FAJARDO">DPTOS!$C$544:$C$555</definedName>
    <definedName name="VILCAS_HUAMAN">DPTOS!$C$556:$C$563</definedName>
    <definedName name="VIRU">DPTOS!$C$1241:$C$1243</definedName>
    <definedName name="WARRANT" localSheetId="1">#REF!</definedName>
    <definedName name="WARRANT" localSheetId="0">#REF!</definedName>
    <definedName name="WARRANT" localSheetId="2">#REF!</definedName>
    <definedName name="WARRANT">HR!#REF!</definedName>
    <definedName name="YAROWILCA">DPTOS!$C$986:$C$993</definedName>
    <definedName name="YAULI">DPTOS!$C$1151:$C$1160</definedName>
    <definedName name="YAUYOS">DPTOS!$C$1420:$C$1452</definedName>
    <definedName name="YUNGAY">DPTOS!$C$244:$C$251</definedName>
    <definedName name="YUNGUYO">DPTOS!$C$1734:$C$1740</definedName>
    <definedName name="ZARUMILLA">DPTOS!$C$1855:$C$1858</definedName>
  </definedNames>
  <calcPr calcId="181029"/>
</workbook>
</file>

<file path=xl/calcChain.xml><?xml version="1.0" encoding="utf-8"?>
<calcChain xmlns="http://schemas.openxmlformats.org/spreadsheetml/2006/main">
  <c r="AO263" i="14" l="1"/>
  <c r="AO261" i="14"/>
  <c r="AO259" i="14"/>
  <c r="AO257" i="14"/>
  <c r="AO250" i="14"/>
  <c r="AO248" i="14"/>
  <c r="AO246" i="14"/>
  <c r="A757" i="14"/>
  <c r="A724" i="14"/>
  <c r="A337" i="14"/>
  <c r="A49" i="14"/>
  <c r="A48" i="14"/>
  <c r="A47" i="14"/>
  <c r="U49" i="14"/>
  <c r="U48" i="14"/>
  <c r="U47" i="14"/>
  <c r="U54" i="14"/>
  <c r="U53" i="14"/>
  <c r="U52" i="14"/>
  <c r="I13" i="17"/>
  <c r="U73" i="14"/>
  <c r="U42" i="14"/>
  <c r="D15" i="17" s="1"/>
  <c r="D17" i="18" s="1"/>
  <c r="U41" i="14"/>
  <c r="D14" i="17" s="1"/>
  <c r="D16" i="18" s="1"/>
  <c r="U40" i="14"/>
  <c r="D22" i="17"/>
  <c r="D24" i="18" s="1"/>
  <c r="D20" i="17"/>
  <c r="D22" i="18" s="1"/>
  <c r="A22" i="17"/>
  <c r="A24" i="18" s="1"/>
  <c r="A68" i="14"/>
  <c r="G45" i="3"/>
  <c r="G44" i="3"/>
  <c r="G43" i="3"/>
  <c r="P14" i="14"/>
  <c r="B15" i="18"/>
  <c r="F45" i="3"/>
  <c r="F44" i="3"/>
  <c r="F43" i="3"/>
  <c r="F42" i="3"/>
  <c r="F12" i="3"/>
  <c r="B12" i="3"/>
  <c r="J45" i="3"/>
  <c r="J44" i="3"/>
  <c r="J43" i="3"/>
  <c r="B45" i="3"/>
  <c r="B44" i="3"/>
  <c r="B43" i="3"/>
  <c r="A45" i="3"/>
  <c r="A44" i="3"/>
  <c r="A43" i="3"/>
  <c r="F38" i="3"/>
  <c r="B42" i="3"/>
  <c r="J67" i="3"/>
  <c r="J66" i="3"/>
  <c r="J65" i="3"/>
  <c r="D4" i="18"/>
  <c r="D4" i="17"/>
  <c r="B5" i="3"/>
  <c r="J42" i="3"/>
  <c r="E43" i="3"/>
  <c r="G67" i="3"/>
  <c r="G66" i="3"/>
  <c r="G65" i="3"/>
  <c r="F67" i="3"/>
  <c r="F66" i="3"/>
  <c r="F65" i="3"/>
  <c r="E67" i="3"/>
  <c r="E66" i="3"/>
  <c r="E65" i="3"/>
  <c r="D67" i="3"/>
  <c r="D66" i="3"/>
  <c r="D65" i="3"/>
  <c r="B67" i="3"/>
  <c r="B66" i="3"/>
  <c r="B65" i="3"/>
  <c r="K38" i="3"/>
  <c r="D38" i="3"/>
  <c r="B38" i="3"/>
  <c r="B19" i="3"/>
  <c r="B18" i="3"/>
  <c r="B17" i="3"/>
  <c r="K24" i="3"/>
  <c r="J22" i="3"/>
  <c r="H22" i="3"/>
  <c r="B9" i="3"/>
  <c r="H17" i="3"/>
  <c r="K17" i="3"/>
  <c r="D29" i="19"/>
  <c r="A23" i="19"/>
  <c r="E20" i="19"/>
  <c r="D20" i="19"/>
  <c r="A20" i="19"/>
  <c r="G20" i="19" s="1"/>
  <c r="G19" i="19"/>
  <c r="A19" i="19"/>
  <c r="E18" i="19"/>
  <c r="D18" i="19"/>
  <c r="A18" i="19"/>
  <c r="G18" i="19" s="1"/>
  <c r="E17" i="19"/>
  <c r="D17" i="19"/>
  <c r="A17" i="19"/>
  <c r="G17" i="19" s="1"/>
  <c r="G16" i="19"/>
  <c r="E16" i="19"/>
  <c r="D16" i="19"/>
  <c r="C16" i="19"/>
  <c r="A16" i="19"/>
  <c r="A15" i="19"/>
  <c r="G15" i="19" s="1"/>
  <c r="G14" i="19"/>
  <c r="E14" i="19"/>
  <c r="D14" i="19"/>
  <c r="C14" i="19"/>
  <c r="A14" i="19"/>
  <c r="E13" i="19"/>
  <c r="D13" i="19"/>
  <c r="C13" i="19"/>
  <c r="A13" i="19"/>
  <c r="G13" i="19" s="1"/>
  <c r="E12" i="19"/>
  <c r="D12" i="19"/>
  <c r="C12" i="19"/>
  <c r="A12" i="19"/>
  <c r="G12" i="19" s="1"/>
  <c r="E3" i="19"/>
  <c r="D5" i="20" s="1"/>
  <c r="C3" i="19"/>
  <c r="B5" i="20" s="1"/>
  <c r="F10" i="18"/>
  <c r="C7" i="19"/>
  <c r="C9" i="20" s="1"/>
  <c r="G21" i="17"/>
  <c r="G23" i="18" s="1"/>
  <c r="E17" i="17"/>
  <c r="E16" i="17"/>
  <c r="I14" i="17"/>
  <c r="AG2" i="16"/>
  <c r="R2" i="16"/>
  <c r="C2" i="16"/>
  <c r="CU61" i="15"/>
  <c r="CF61" i="15"/>
  <c r="BQ61" i="15"/>
  <c r="BB61" i="15"/>
  <c r="AM61" i="15"/>
  <c r="X61" i="15"/>
  <c r="I61" i="15"/>
  <c r="B40" i="15"/>
  <c r="I40" i="15" s="1"/>
  <c r="B60" i="15" s="1"/>
  <c r="I60" i="15" s="1"/>
  <c r="Q20" i="15" s="1"/>
  <c r="X20" i="15" s="1"/>
  <c r="Q40" i="15" s="1"/>
  <c r="X40" i="15" s="1"/>
  <c r="Q60" i="15" s="1"/>
  <c r="X60" i="15" s="1"/>
  <c r="AF20" i="15" s="1"/>
  <c r="AM20" i="15" s="1"/>
  <c r="AF40" i="15" s="1"/>
  <c r="AM40" i="15" s="1"/>
  <c r="AF60" i="15" s="1"/>
  <c r="AM60" i="15" s="1"/>
  <c r="AU20" i="15" s="1"/>
  <c r="BB20" i="15" s="1"/>
  <c r="AU40" i="15" s="1"/>
  <c r="BB40" i="15" s="1"/>
  <c r="AU60" i="15" s="1"/>
  <c r="BB60" i="15" s="1"/>
  <c r="BJ20" i="15" s="1"/>
  <c r="BQ20" i="15" s="1"/>
  <c r="BJ40" i="15" s="1"/>
  <c r="BQ40" i="15" s="1"/>
  <c r="BJ60" i="15" s="1"/>
  <c r="BQ60" i="15" s="1"/>
  <c r="BY20" i="15" s="1"/>
  <c r="CF20" i="15" s="1"/>
  <c r="BY40" i="15" s="1"/>
  <c r="CF40" i="15" s="1"/>
  <c r="BY60" i="15" s="1"/>
  <c r="CF60" i="15" s="1"/>
  <c r="CN20" i="15" s="1"/>
  <c r="CU20" i="15" s="1"/>
  <c r="CN40" i="15" s="1"/>
  <c r="CU40" i="15" s="1"/>
  <c r="CN60" i="15" s="1"/>
  <c r="CU60" i="15" s="1"/>
  <c r="I20" i="15"/>
  <c r="CO2" i="15"/>
  <c r="BZ2" i="15"/>
  <c r="AE2" i="15"/>
  <c r="AU2" i="15" s="1"/>
  <c r="BI2" i="15" s="1"/>
  <c r="BY2" i="15" s="1"/>
  <c r="CM2" i="15" s="1"/>
  <c r="R2" i="15"/>
  <c r="AG2" i="15" s="1"/>
  <c r="AV2" i="15" s="1"/>
  <c r="Q2" i="15"/>
  <c r="A2" i="15"/>
  <c r="A2" i="16" s="1"/>
  <c r="P2" i="16" s="1"/>
  <c r="AE2" i="16" s="1"/>
  <c r="G933" i="14"/>
  <c r="E931" i="14"/>
  <c r="G927" i="14"/>
  <c r="C925" i="14"/>
  <c r="C924" i="14"/>
  <c r="C926" i="14" s="1"/>
  <c r="C923" i="14"/>
  <c r="C922" i="14"/>
  <c r="C921" i="14"/>
  <c r="A911" i="14"/>
  <c r="G909" i="14"/>
  <c r="E902" i="14"/>
  <c r="E900" i="14"/>
  <c r="C894" i="14"/>
  <c r="E932" i="14" s="1"/>
  <c r="C892" i="14"/>
  <c r="U890" i="14"/>
  <c r="N890" i="14"/>
  <c r="I890" i="14"/>
  <c r="U888" i="14"/>
  <c r="I888" i="14"/>
  <c r="C888" i="14"/>
  <c r="C885" i="14"/>
  <c r="AC882" i="14"/>
  <c r="A882" i="14"/>
  <c r="C881" i="14"/>
  <c r="A879" i="14"/>
  <c r="C878" i="14"/>
  <c r="E930" i="14" s="1"/>
  <c r="N866" i="14"/>
  <c r="C866" i="14"/>
  <c r="C865" i="14"/>
  <c r="C867" i="14" s="1"/>
  <c r="E908" i="14" s="1"/>
  <c r="N863" i="14"/>
  <c r="C863" i="14"/>
  <c r="C862" i="14"/>
  <c r="C864" i="14" s="1"/>
  <c r="E907" i="14" s="1"/>
  <c r="C861" i="14"/>
  <c r="T857" i="14"/>
  <c r="N857" i="14"/>
  <c r="I857" i="14"/>
  <c r="C857" i="14"/>
  <c r="C890" i="14" s="1"/>
  <c r="C856" i="14"/>
  <c r="C889" i="14" s="1"/>
  <c r="T855" i="14"/>
  <c r="N855" i="14"/>
  <c r="N888" i="14" s="1"/>
  <c r="AO888" i="14" s="1"/>
  <c r="I855" i="14"/>
  <c r="C855" i="14"/>
  <c r="C854" i="14"/>
  <c r="C887" i="14" s="1"/>
  <c r="T853" i="14"/>
  <c r="U886" i="14" s="1"/>
  <c r="N853" i="14"/>
  <c r="N886" i="14" s="1"/>
  <c r="I853" i="14"/>
  <c r="I886" i="14" s="1"/>
  <c r="C853" i="14"/>
  <c r="C886" i="14" s="1"/>
  <c r="C852" i="14"/>
  <c r="T851" i="14"/>
  <c r="U884" i="14" s="1"/>
  <c r="N851" i="14"/>
  <c r="N884" i="14" s="1"/>
  <c r="I851" i="14"/>
  <c r="I884" i="14" s="1"/>
  <c r="C851" i="14"/>
  <c r="C884" i="14" s="1"/>
  <c r="C850" i="14"/>
  <c r="C883" i="14" s="1"/>
  <c r="C848" i="14"/>
  <c r="E901" i="14" s="1"/>
  <c r="C847" i="14"/>
  <c r="C880" i="14" s="1"/>
  <c r="A846" i="14"/>
  <c r="A849" i="14" s="1"/>
  <c r="A862" i="14" s="1"/>
  <c r="A865" i="14" s="1"/>
  <c r="C845" i="14"/>
  <c r="C844" i="14"/>
  <c r="C877" i="14" s="1"/>
  <c r="AA842" i="14"/>
  <c r="C842" i="14"/>
  <c r="C875" i="14" s="1"/>
  <c r="AA840" i="14"/>
  <c r="C839" i="14"/>
  <c r="C872" i="14" s="1"/>
  <c r="G831" i="14"/>
  <c r="E826" i="14"/>
  <c r="G822" i="14"/>
  <c r="C819" i="14"/>
  <c r="C821" i="14" s="1"/>
  <c r="C817" i="14"/>
  <c r="A806" i="14"/>
  <c r="G804" i="14"/>
  <c r="E803" i="14"/>
  <c r="E802" i="14"/>
  <c r="E801" i="14"/>
  <c r="E795" i="14"/>
  <c r="O785" i="14"/>
  <c r="AO783" i="14"/>
  <c r="AO786" i="14" s="1"/>
  <c r="O783" i="14"/>
  <c r="C783" i="14"/>
  <c r="C780" i="14"/>
  <c r="C789" i="14" s="1"/>
  <c r="E830" i="14" s="1"/>
  <c r="O775" i="14"/>
  <c r="AO773" i="14"/>
  <c r="O773" i="14"/>
  <c r="C773" i="14"/>
  <c r="C770" i="14"/>
  <c r="C779" i="14" s="1"/>
  <c r="E829" i="14" s="1"/>
  <c r="C769" i="14"/>
  <c r="E827" i="14" s="1"/>
  <c r="C767" i="14"/>
  <c r="U765" i="14"/>
  <c r="N765" i="14"/>
  <c r="I765" i="14"/>
  <c r="C765" i="14"/>
  <c r="AO765" i="14" s="1"/>
  <c r="C764" i="14"/>
  <c r="U763" i="14"/>
  <c r="N763" i="14"/>
  <c r="I763" i="14"/>
  <c r="C763" i="14"/>
  <c r="AO763" i="14" s="1"/>
  <c r="C762" i="14"/>
  <c r="AO761" i="14"/>
  <c r="U761" i="14"/>
  <c r="N761" i="14"/>
  <c r="I761" i="14"/>
  <c r="C761" i="14"/>
  <c r="C760" i="14"/>
  <c r="U759" i="14"/>
  <c r="N759" i="14"/>
  <c r="AO759" i="14" s="1"/>
  <c r="I759" i="14"/>
  <c r="C759" i="14"/>
  <c r="C758" i="14"/>
  <c r="A770" i="14"/>
  <c r="A780" i="14" s="1"/>
  <c r="C756" i="14"/>
  <c r="C755" i="14"/>
  <c r="C753" i="14"/>
  <c r="E825" i="14" s="1"/>
  <c r="C752" i="14"/>
  <c r="C747" i="14"/>
  <c r="C742" i="14"/>
  <c r="AO741" i="14"/>
  <c r="AO742" i="14" s="1"/>
  <c r="AM803" i="14" s="1"/>
  <c r="N821" i="14" s="1"/>
  <c r="C739" i="14"/>
  <c r="AO738" i="14"/>
  <c r="AO739" i="14" s="1"/>
  <c r="AM802" i="14" s="1"/>
  <c r="N819" i="14" s="1"/>
  <c r="C736" i="14"/>
  <c r="E797" i="14" s="1"/>
  <c r="AO726" i="14"/>
  <c r="AA726" i="14"/>
  <c r="AA728" i="14" s="1"/>
  <c r="A737" i="14"/>
  <c r="A740" i="14" s="1"/>
  <c r="C723" i="14"/>
  <c r="E796" i="14" s="1"/>
  <c r="C720" i="14"/>
  <c r="AA719" i="14"/>
  <c r="G22" i="17" s="1"/>
  <c r="G24" i="18" s="1"/>
  <c r="C719" i="14"/>
  <c r="C718" i="14"/>
  <c r="C751" i="14" s="1"/>
  <c r="AA717" i="14"/>
  <c r="C717" i="14"/>
  <c r="C750" i="14" s="1"/>
  <c r="C716" i="14"/>
  <c r="C841" i="14" s="1"/>
  <c r="C874" i="14" s="1"/>
  <c r="AA715" i="14"/>
  <c r="G20" i="17" s="1"/>
  <c r="G22" i="18" s="1"/>
  <c r="C715" i="14"/>
  <c r="C748" i="14" s="1"/>
  <c r="C714" i="14"/>
  <c r="A713" i="14"/>
  <c r="C696" i="14"/>
  <c r="A684" i="14"/>
  <c r="A698" i="14" s="1"/>
  <c r="A701" i="14" s="1"/>
  <c r="C683" i="14"/>
  <c r="A670" i="14"/>
  <c r="H669" i="14"/>
  <c r="G657" i="14"/>
  <c r="E650" i="14"/>
  <c r="G647" i="14"/>
  <c r="I642" i="14"/>
  <c r="C642" i="14"/>
  <c r="C644" i="14" s="1"/>
  <c r="C646" i="14" s="1"/>
  <c r="I640" i="14"/>
  <c r="AH639" i="14"/>
  <c r="AH814" i="14" s="1"/>
  <c r="AH638" i="14"/>
  <c r="A631" i="14"/>
  <c r="G629" i="14"/>
  <c r="E626" i="14"/>
  <c r="E622" i="14"/>
  <c r="E618" i="14"/>
  <c r="O609" i="14"/>
  <c r="O607" i="14"/>
  <c r="O599" i="14"/>
  <c r="O597" i="14"/>
  <c r="C593" i="14"/>
  <c r="E653" i="14" s="1"/>
  <c r="U587" i="14"/>
  <c r="O587" i="14"/>
  <c r="C587" i="14"/>
  <c r="AO587" i="14" s="1"/>
  <c r="C586" i="14"/>
  <c r="I585" i="14"/>
  <c r="C582" i="14"/>
  <c r="C580" i="14"/>
  <c r="E652" i="14" s="1"/>
  <c r="A570" i="14"/>
  <c r="A578" i="14" s="1"/>
  <c r="A581" i="14" s="1"/>
  <c r="A594" i="14" s="1"/>
  <c r="A604" i="14" s="1"/>
  <c r="N562" i="14"/>
  <c r="C562" i="14"/>
  <c r="C561" i="14"/>
  <c r="C563" i="14" s="1"/>
  <c r="E628" i="14" s="1"/>
  <c r="N559" i="14"/>
  <c r="C559" i="14"/>
  <c r="C558" i="14"/>
  <c r="E627" i="14" s="1"/>
  <c r="A558" i="14"/>
  <c r="A561" i="14" s="1"/>
  <c r="C557" i="14"/>
  <c r="C555" i="14"/>
  <c r="C591" i="14" s="1"/>
  <c r="T553" i="14"/>
  <c r="U589" i="14" s="1"/>
  <c r="N553" i="14"/>
  <c r="O589" i="14" s="1"/>
  <c r="I553" i="14"/>
  <c r="I589" i="14" s="1"/>
  <c r="C553" i="14"/>
  <c r="C552" i="14"/>
  <c r="C588" i="14" s="1"/>
  <c r="T551" i="14"/>
  <c r="N551" i="14"/>
  <c r="I551" i="14"/>
  <c r="I587" i="14" s="1"/>
  <c r="C551" i="14"/>
  <c r="C550" i="14"/>
  <c r="T549" i="14"/>
  <c r="U585" i="14" s="1"/>
  <c r="N549" i="14"/>
  <c r="O585" i="14" s="1"/>
  <c r="I549" i="14"/>
  <c r="C549" i="14"/>
  <c r="C585" i="14" s="1"/>
  <c r="C548" i="14"/>
  <c r="C584" i="14" s="1"/>
  <c r="T547" i="14"/>
  <c r="U583" i="14" s="1"/>
  <c r="N547" i="14"/>
  <c r="O583" i="14" s="1"/>
  <c r="I547" i="14"/>
  <c r="I583" i="14" s="1"/>
  <c r="C547" i="14"/>
  <c r="C583" i="14" s="1"/>
  <c r="AO583" i="14" s="1"/>
  <c r="C546" i="14"/>
  <c r="A545" i="14"/>
  <c r="C544" i="14"/>
  <c r="E621" i="14" s="1"/>
  <c r="C543" i="14"/>
  <c r="C579" i="14" s="1"/>
  <c r="C541" i="14"/>
  <c r="E620" i="14" s="1"/>
  <c r="V540" i="14"/>
  <c r="X576" i="14" s="1"/>
  <c r="I540" i="14"/>
  <c r="I576" i="14" s="1"/>
  <c r="V538" i="14"/>
  <c r="X574" i="14" s="1"/>
  <c r="I538" i="14"/>
  <c r="I574" i="14" s="1"/>
  <c r="V536" i="14"/>
  <c r="X572" i="14" s="1"/>
  <c r="I536" i="14"/>
  <c r="I572" i="14" s="1"/>
  <c r="A534" i="14"/>
  <c r="N532" i="14"/>
  <c r="C528" i="14"/>
  <c r="C705" i="14" s="1"/>
  <c r="T524" i="14"/>
  <c r="T702" i="14" s="1"/>
  <c r="N524" i="14"/>
  <c r="N702" i="14" s="1"/>
  <c r="I524" i="14"/>
  <c r="I702" i="14" s="1"/>
  <c r="C524" i="14"/>
  <c r="C702" i="14" s="1"/>
  <c r="C523" i="14"/>
  <c r="C701" i="14" s="1"/>
  <c r="C703" i="14" s="1"/>
  <c r="T521" i="14"/>
  <c r="T699" i="14" s="1"/>
  <c r="N521" i="14"/>
  <c r="N699" i="14" s="1"/>
  <c r="I521" i="14"/>
  <c r="I699" i="14" s="1"/>
  <c r="C521" i="14"/>
  <c r="C520" i="14"/>
  <c r="C698" i="14" s="1"/>
  <c r="C700" i="14" s="1"/>
  <c r="C518" i="14"/>
  <c r="C516" i="14"/>
  <c r="C694" i="14" s="1"/>
  <c r="C515" i="14"/>
  <c r="T514" i="14"/>
  <c r="T692" i="14" s="1"/>
  <c r="N514" i="14"/>
  <c r="N692" i="14" s="1"/>
  <c r="I514" i="14"/>
  <c r="I692" i="14" s="1"/>
  <c r="C514" i="14"/>
  <c r="C692" i="14" s="1"/>
  <c r="C513" i="14"/>
  <c r="C691" i="14" s="1"/>
  <c r="T512" i="14"/>
  <c r="T690" i="14" s="1"/>
  <c r="N512" i="14"/>
  <c r="N690" i="14" s="1"/>
  <c r="I512" i="14"/>
  <c r="I690" i="14" s="1"/>
  <c r="C512" i="14"/>
  <c r="C690" i="14" s="1"/>
  <c r="C511" i="14"/>
  <c r="C689" i="14" s="1"/>
  <c r="T510" i="14"/>
  <c r="T688" i="14" s="1"/>
  <c r="N510" i="14"/>
  <c r="N688" i="14" s="1"/>
  <c r="I510" i="14"/>
  <c r="I688" i="14" s="1"/>
  <c r="C510" i="14"/>
  <c r="C688" i="14" s="1"/>
  <c r="C509" i="14"/>
  <c r="C687" i="14" s="1"/>
  <c r="T508" i="14"/>
  <c r="T686" i="14" s="1"/>
  <c r="N508" i="14"/>
  <c r="N686" i="14" s="1"/>
  <c r="I508" i="14"/>
  <c r="I686" i="14" s="1"/>
  <c r="C508" i="14"/>
  <c r="C686" i="14" s="1"/>
  <c r="C507" i="14"/>
  <c r="C685" i="14" s="1"/>
  <c r="C505" i="14"/>
  <c r="C504" i="14"/>
  <c r="C682" i="14" s="1"/>
  <c r="A503" i="14"/>
  <c r="A506" i="14" s="1"/>
  <c r="A520" i="14" s="1"/>
  <c r="A523" i="14" s="1"/>
  <c r="N501" i="14"/>
  <c r="N679" i="14" s="1"/>
  <c r="I499" i="14"/>
  <c r="I677" i="14" s="1"/>
  <c r="N497" i="14"/>
  <c r="N675" i="14" s="1"/>
  <c r="I497" i="14"/>
  <c r="I675" i="14" s="1"/>
  <c r="N495" i="14"/>
  <c r="N673" i="14" s="1"/>
  <c r="I495" i="14"/>
  <c r="I673" i="14" s="1"/>
  <c r="C494" i="14"/>
  <c r="C672" i="14" s="1"/>
  <c r="C492" i="14"/>
  <c r="A492" i="14"/>
  <c r="C489" i="14"/>
  <c r="F485" i="14"/>
  <c r="G483" i="14"/>
  <c r="E479" i="14"/>
  <c r="E476" i="14"/>
  <c r="G473" i="14"/>
  <c r="C471" i="14"/>
  <c r="C645" i="14" s="1"/>
  <c r="I470" i="14"/>
  <c r="C469" i="14"/>
  <c r="C643" i="14" s="1"/>
  <c r="C468" i="14"/>
  <c r="C470" i="14" s="1"/>
  <c r="C472" i="14" s="1"/>
  <c r="C467" i="14"/>
  <c r="C641" i="14" s="1"/>
  <c r="I466" i="14"/>
  <c r="I468" i="14" s="1"/>
  <c r="AH464" i="14"/>
  <c r="A457" i="14"/>
  <c r="G455" i="14"/>
  <c r="E446" i="14"/>
  <c r="E477" i="14" s="1"/>
  <c r="E444" i="14"/>
  <c r="AB442" i="14"/>
  <c r="V440" i="14"/>
  <c r="AS421" i="14"/>
  <c r="F20" i="19" s="1"/>
  <c r="AN421" i="14"/>
  <c r="AS418" i="14"/>
  <c r="F18" i="19" s="1"/>
  <c r="AS416" i="14"/>
  <c r="F17" i="19" s="1"/>
  <c r="C415" i="14"/>
  <c r="C399" i="14"/>
  <c r="C607" i="14" s="1"/>
  <c r="C396" i="14"/>
  <c r="E482" i="14" s="1"/>
  <c r="C391" i="14"/>
  <c r="C599" i="14" s="1"/>
  <c r="AO599" i="14" s="1"/>
  <c r="AO389" i="14"/>
  <c r="C389" i="14"/>
  <c r="C597" i="14" s="1"/>
  <c r="C386" i="14"/>
  <c r="C395" i="14" s="1"/>
  <c r="E481" i="14" s="1"/>
  <c r="C385" i="14"/>
  <c r="C384" i="14"/>
  <c r="C383" i="14"/>
  <c r="U381" i="14"/>
  <c r="N381" i="14"/>
  <c r="I381" i="14"/>
  <c r="C381" i="14"/>
  <c r="AO381" i="14" s="1"/>
  <c r="C380" i="14"/>
  <c r="AO379" i="14"/>
  <c r="U379" i="14"/>
  <c r="N379" i="14"/>
  <c r="I379" i="14"/>
  <c r="C379" i="14"/>
  <c r="C378" i="14"/>
  <c r="U377" i="14"/>
  <c r="N377" i="14"/>
  <c r="AO377" i="14" s="1"/>
  <c r="I377" i="14"/>
  <c r="C377" i="14"/>
  <c r="C376" i="14"/>
  <c r="U375" i="14"/>
  <c r="N375" i="14"/>
  <c r="I375" i="14"/>
  <c r="C375" i="14"/>
  <c r="AO375" i="14" s="1"/>
  <c r="C374" i="14"/>
  <c r="A373" i="14"/>
  <c r="A386" i="14" s="1"/>
  <c r="A396" i="14" s="1"/>
  <c r="C372" i="14"/>
  <c r="C371" i="14"/>
  <c r="C369" i="14"/>
  <c r="J368" i="14"/>
  <c r="J366" i="14"/>
  <c r="J364" i="14"/>
  <c r="C364" i="14"/>
  <c r="A362" i="14"/>
  <c r="C355" i="14"/>
  <c r="E454" i="14" s="1"/>
  <c r="AO354" i="14"/>
  <c r="AO355" i="14" s="1"/>
  <c r="AM454" i="14" s="1"/>
  <c r="AO352" i="14"/>
  <c r="AM453" i="14" s="1"/>
  <c r="C352" i="14"/>
  <c r="E453" i="14" s="1"/>
  <c r="AO351" i="14"/>
  <c r="C349" i="14"/>
  <c r="E448" i="14" s="1"/>
  <c r="C348" i="14"/>
  <c r="C336" i="14"/>
  <c r="E447" i="14" s="1"/>
  <c r="E478" i="14" s="1"/>
  <c r="C333" i="14"/>
  <c r="Z332" i="14"/>
  <c r="G15" i="17" s="1"/>
  <c r="G17" i="18" s="1"/>
  <c r="C332" i="14"/>
  <c r="C540" i="14" s="1"/>
  <c r="C331" i="14"/>
  <c r="C539" i="14" s="1"/>
  <c r="C575" i="14" s="1"/>
  <c r="Z330" i="14"/>
  <c r="G14" i="17" s="1"/>
  <c r="G16" i="18" s="1"/>
  <c r="C330" i="14"/>
  <c r="C366" i="14" s="1"/>
  <c r="C329" i="14"/>
  <c r="C496" i="14" s="1"/>
  <c r="C674" i="14" s="1"/>
  <c r="Z328" i="14"/>
  <c r="AA495" i="14" s="1"/>
  <c r="N328" i="14"/>
  <c r="AO328" i="14" s="1"/>
  <c r="C328" i="14"/>
  <c r="C495" i="14" s="1"/>
  <c r="C327" i="14"/>
  <c r="C535" i="14" s="1"/>
  <c r="C571" i="14" s="1"/>
  <c r="A326" i="14"/>
  <c r="A334" i="14" s="1"/>
  <c r="A350" i="14" s="1"/>
  <c r="A353" i="14" s="1"/>
  <c r="C325" i="14"/>
  <c r="C491" i="14" s="1"/>
  <c r="N324" i="14"/>
  <c r="N490" i="14" s="1"/>
  <c r="N668" i="14" s="1"/>
  <c r="C324" i="14"/>
  <c r="C490" i="14" s="1"/>
  <c r="AN305" i="14"/>
  <c r="AS305" i="14" s="1"/>
  <c r="F16" i="19" s="1"/>
  <c r="AN302" i="14"/>
  <c r="AS302" i="14" s="1"/>
  <c r="F14" i="19" s="1"/>
  <c r="AS300" i="14"/>
  <c r="F13" i="19" s="1"/>
  <c r="AN300" i="14"/>
  <c r="AN298" i="14"/>
  <c r="AS298" i="14" s="1"/>
  <c r="F12" i="19" s="1"/>
  <c r="AB290" i="14"/>
  <c r="AC358" i="14" s="1"/>
  <c r="AB407" i="14" s="1"/>
  <c r="C267" i="14"/>
  <c r="C265" i="14"/>
  <c r="C264" i="14"/>
  <c r="U263" i="14"/>
  <c r="N263" i="14"/>
  <c r="I263" i="14"/>
  <c r="C263" i="14"/>
  <c r="C262" i="14"/>
  <c r="U261" i="14"/>
  <c r="N261" i="14"/>
  <c r="I261" i="14"/>
  <c r="C261" i="14"/>
  <c r="C260" i="14"/>
  <c r="U259" i="14"/>
  <c r="N259" i="14"/>
  <c r="I259" i="14"/>
  <c r="C259" i="14"/>
  <c r="C258" i="14"/>
  <c r="U257" i="14"/>
  <c r="N257" i="14"/>
  <c r="I257" i="14"/>
  <c r="C257" i="14"/>
  <c r="C256" i="14"/>
  <c r="A255" i="14"/>
  <c r="C254" i="14"/>
  <c r="C253" i="14"/>
  <c r="C251" i="14"/>
  <c r="J250" i="14"/>
  <c r="C249" i="14"/>
  <c r="J248" i="14"/>
  <c r="C247" i="14"/>
  <c r="J246" i="14"/>
  <c r="A244" i="14"/>
  <c r="C241" i="14"/>
  <c r="C240" i="14"/>
  <c r="A229" i="14"/>
  <c r="C228" i="14"/>
  <c r="A226" i="14"/>
  <c r="C225" i="14"/>
  <c r="Z224" i="14"/>
  <c r="C224" i="14"/>
  <c r="C250" i="14" s="1"/>
  <c r="C223" i="14"/>
  <c r="Z222" i="14"/>
  <c r="C222" i="14"/>
  <c r="C248" i="14" s="1"/>
  <c r="C221" i="14"/>
  <c r="Z220" i="14"/>
  <c r="AA231" i="14" s="1"/>
  <c r="N220" i="14"/>
  <c r="O246" i="14" s="1"/>
  <c r="C220" i="14"/>
  <c r="AO220" i="14" s="1"/>
  <c r="C219" i="14"/>
  <c r="C245" i="14" s="1"/>
  <c r="A218" i="14"/>
  <c r="AR203" i="14"/>
  <c r="N222" i="14" s="1"/>
  <c r="O248" i="14" s="1"/>
  <c r="AM203" i="14"/>
  <c r="AL184" i="14"/>
  <c r="C785" i="14" s="1"/>
  <c r="AO785" i="14" s="1"/>
  <c r="AL183" i="14"/>
  <c r="C775" i="14" s="1"/>
  <c r="AO775" i="14" s="1"/>
  <c r="AD182" i="14"/>
  <c r="V182" i="14"/>
  <c r="N182" i="14"/>
  <c r="AL181" i="14"/>
  <c r="AL180" i="14"/>
  <c r="AL179" i="14"/>
  <c r="AL182" i="14" s="1"/>
  <c r="A127" i="14"/>
  <c r="A135" i="14" s="1"/>
  <c r="A145" i="14" s="1"/>
  <c r="A147" i="14" s="1"/>
  <c r="A151" i="14" s="1"/>
  <c r="A167" i="14" s="1"/>
  <c r="A169" i="14" s="1"/>
  <c r="A176" i="14" s="1"/>
  <c r="A185" i="14" s="1"/>
  <c r="A204" i="14" s="1"/>
  <c r="A210" i="14" s="1"/>
  <c r="A212" i="14" s="1"/>
  <c r="A268" i="14" s="1"/>
  <c r="AQ126" i="14"/>
  <c r="A116" i="14"/>
  <c r="P91" i="14"/>
  <c r="M90" i="14"/>
  <c r="M89" i="14"/>
  <c r="M88" i="14"/>
  <c r="M87" i="14"/>
  <c r="M82" i="14"/>
  <c r="M79" i="14"/>
  <c r="A76" i="14"/>
  <c r="K75" i="14"/>
  <c r="A75" i="14"/>
  <c r="O74" i="14"/>
  <c r="A74" i="14"/>
  <c r="O73" i="14"/>
  <c r="A73" i="14"/>
  <c r="O72" i="14"/>
  <c r="A71" i="14"/>
  <c r="A70" i="14"/>
  <c r="O69" i="14"/>
  <c r="O68" i="14"/>
  <c r="O67" i="14"/>
  <c r="Y64" i="14"/>
  <c r="E19" i="18" s="1"/>
  <c r="U64" i="14"/>
  <c r="O64" i="14"/>
  <c r="Y63" i="14"/>
  <c r="E18" i="18" s="1"/>
  <c r="O63" i="14"/>
  <c r="O62" i="14"/>
  <c r="K62" i="14"/>
  <c r="O61" i="14"/>
  <c r="K61" i="14"/>
  <c r="U60" i="14"/>
  <c r="A54" i="14"/>
  <c r="A53" i="14"/>
  <c r="U72" i="14"/>
  <c r="A52" i="14"/>
  <c r="A72" i="14" s="1"/>
  <c r="D21" i="17"/>
  <c r="D23" i="18" s="1"/>
  <c r="A21" i="17"/>
  <c r="A23" i="18" s="1"/>
  <c r="A20" i="17"/>
  <c r="A22" i="18" s="1"/>
  <c r="U44" i="14"/>
  <c r="D17" i="17" s="1"/>
  <c r="D19" i="18" s="1"/>
  <c r="K44" i="14"/>
  <c r="K64" i="14" s="1"/>
  <c r="A44" i="14"/>
  <c r="A17" i="17" s="1"/>
  <c r="A19" i="18" s="1"/>
  <c r="U43" i="14"/>
  <c r="D16" i="17" s="1"/>
  <c r="D18" i="18" s="1"/>
  <c r="K43" i="14"/>
  <c r="K63" i="14" s="1"/>
  <c r="A43" i="14"/>
  <c r="A16" i="17" s="1"/>
  <c r="A18" i="18" s="1"/>
  <c r="A42" i="14"/>
  <c r="A15" i="17" s="1"/>
  <c r="A17" i="18" s="1"/>
  <c r="D13" i="17"/>
  <c r="D15" i="18" s="1"/>
  <c r="K40" i="14"/>
  <c r="B13" i="17" s="1"/>
  <c r="A40" i="14"/>
  <c r="A13" i="17" s="1"/>
  <c r="A15" i="18" s="1"/>
  <c r="P17" i="14"/>
  <c r="F17" i="14"/>
  <c r="P16" i="14"/>
  <c r="F16" i="14"/>
  <c r="P15" i="14"/>
  <c r="F15" i="14"/>
  <c r="P13" i="14"/>
  <c r="A13" i="14"/>
  <c r="P12" i="14"/>
  <c r="A12" i="14"/>
  <c r="A11" i="14"/>
  <c r="AB10" i="14"/>
  <c r="S10" i="14"/>
  <c r="S290" i="14" s="1"/>
  <c r="AO863" i="14" l="1"/>
  <c r="AO864" i="14" s="1"/>
  <c r="AM907" i="14" s="1"/>
  <c r="N924" i="14" s="1"/>
  <c r="AO562" i="14"/>
  <c r="AO563" i="14" s="1"/>
  <c r="AM628" i="14" s="1"/>
  <c r="N646" i="14" s="1"/>
  <c r="AO890" i="14"/>
  <c r="AO886" i="14"/>
  <c r="AO607" i="14"/>
  <c r="AO264" i="14"/>
  <c r="O266" i="14" s="1"/>
  <c r="AO266" i="14" s="1"/>
  <c r="AO866" i="14"/>
  <c r="AO867" i="14" s="1"/>
  <c r="AM908" i="14" s="1"/>
  <c r="N926" i="14" s="1"/>
  <c r="AO597" i="14"/>
  <c r="AO600" i="14" s="1"/>
  <c r="C604" i="14"/>
  <c r="C613" i="14" s="1"/>
  <c r="E656" i="14" s="1"/>
  <c r="C594" i="14"/>
  <c r="C603" i="14" s="1"/>
  <c r="E655" i="14" s="1"/>
  <c r="C560" i="14"/>
  <c r="U62" i="14"/>
  <c r="U50" i="14"/>
  <c r="U67" i="14"/>
  <c r="AA673" i="14"/>
  <c r="AA501" i="14"/>
  <c r="AA679" i="14" s="1"/>
  <c r="C668" i="14"/>
  <c r="AO668" i="14" s="1"/>
  <c r="AO669" i="14" s="1"/>
  <c r="AO490" i="14"/>
  <c r="AO491" i="14" s="1"/>
  <c r="AO364" i="14"/>
  <c r="AO382" i="14"/>
  <c r="O384" i="14" s="1"/>
  <c r="AO384" i="14" s="1"/>
  <c r="AO385" i="14" s="1"/>
  <c r="AM479" i="14" s="1"/>
  <c r="S488" i="14"/>
  <c r="S666" i="14" s="1"/>
  <c r="T358" i="14"/>
  <c r="AA233" i="14"/>
  <c r="AO231" i="14"/>
  <c r="AE53" i="14"/>
  <c r="AE73" i="14" s="1"/>
  <c r="AK43" i="14"/>
  <c r="N470" i="14"/>
  <c r="AM470" i="14" s="1"/>
  <c r="C673" i="14"/>
  <c r="AO495" i="14"/>
  <c r="AO502" i="14" s="1"/>
  <c r="N504" i="14" s="1"/>
  <c r="AO504" i="14" s="1"/>
  <c r="AO505" i="14" s="1"/>
  <c r="AK44" i="14"/>
  <c r="N472" i="14"/>
  <c r="U74" i="14"/>
  <c r="U75" i="14" s="1"/>
  <c r="A60" i="14"/>
  <c r="A62" i="14"/>
  <c r="A63" i="14"/>
  <c r="A64" i="14"/>
  <c r="U68" i="14"/>
  <c r="N330" i="14"/>
  <c r="AA339" i="14"/>
  <c r="C363" i="14"/>
  <c r="C401" i="14"/>
  <c r="I472" i="14"/>
  <c r="C538" i="14"/>
  <c r="I15" i="17"/>
  <c r="I16" i="18"/>
  <c r="K60" i="14"/>
  <c r="K65" i="14" s="1"/>
  <c r="C735" i="14"/>
  <c r="C517" i="14"/>
  <c r="C367" i="14"/>
  <c r="C498" i="14"/>
  <c r="C676" i="14" s="1"/>
  <c r="C522" i="14"/>
  <c r="AO524" i="14"/>
  <c r="AO525" i="14" s="1"/>
  <c r="AH813" i="14"/>
  <c r="I815" i="14"/>
  <c r="I817" i="14" s="1"/>
  <c r="AO776" i="14"/>
  <c r="C246" i="14"/>
  <c r="AO330" i="14"/>
  <c r="Y41" i="14" s="1"/>
  <c r="C368" i="14"/>
  <c r="C499" i="14"/>
  <c r="C525" i="14"/>
  <c r="C536" i="14"/>
  <c r="AO728" i="14"/>
  <c r="AA853" i="14"/>
  <c r="AO853" i="14" s="1"/>
  <c r="AA730" i="14"/>
  <c r="AO766" i="14"/>
  <c r="O768" i="14" s="1"/>
  <c r="U61" i="14"/>
  <c r="U65" i="14" s="1"/>
  <c r="U63" i="14"/>
  <c r="C266" i="14"/>
  <c r="O364" i="14"/>
  <c r="AA538" i="14"/>
  <c r="C556" i="14"/>
  <c r="N717" i="14"/>
  <c r="N719" i="14"/>
  <c r="N715" i="14"/>
  <c r="AO715" i="14" s="1"/>
  <c r="AO222" i="14"/>
  <c r="Y53" i="14" s="1"/>
  <c r="G13" i="17"/>
  <c r="G15" i="18" s="1"/>
  <c r="AA536" i="14"/>
  <c r="C576" i="14"/>
  <c r="C405" i="14"/>
  <c r="F834" i="14"/>
  <c r="F937" i="14" s="1"/>
  <c r="F528" i="14"/>
  <c r="F705" i="14" s="1"/>
  <c r="F659" i="14"/>
  <c r="C497" i="14"/>
  <c r="N499" i="14"/>
  <c r="N677" i="14" s="1"/>
  <c r="N536" i="14"/>
  <c r="O572" i="14" s="1"/>
  <c r="AO585" i="14"/>
  <c r="A41" i="14"/>
  <c r="K45" i="14"/>
  <c r="U55" i="14"/>
  <c r="A69" i="14"/>
  <c r="AO324" i="14"/>
  <c r="AO325" i="14" s="1"/>
  <c r="AM444" i="14" s="1"/>
  <c r="O40" i="14" s="1"/>
  <c r="N332" i="14"/>
  <c r="C365" i="14"/>
  <c r="AB488" i="14"/>
  <c r="AB666" i="14" s="1"/>
  <c r="C670" i="14"/>
  <c r="C680" i="14" s="1"/>
  <c r="C502" i="14"/>
  <c r="AA499" i="14"/>
  <c r="AA677" i="14" s="1"/>
  <c r="C699" i="14"/>
  <c r="AO699" i="14" s="1"/>
  <c r="AO700" i="14" s="1"/>
  <c r="AO521" i="14"/>
  <c r="AO522" i="14" s="1"/>
  <c r="AO702" i="14"/>
  <c r="AO703" i="14" s="1"/>
  <c r="C532" i="14"/>
  <c r="AO532" i="14" s="1"/>
  <c r="AO533" i="14" s="1"/>
  <c r="AM618" i="14" s="1"/>
  <c r="AO884" i="14"/>
  <c r="AO891" i="14" s="1"/>
  <c r="N893" i="14" s="1"/>
  <c r="C589" i="14"/>
  <c r="AO589" i="14" s="1"/>
  <c r="AO590" i="14" s="1"/>
  <c r="O592" i="14" s="1"/>
  <c r="O788" i="14"/>
  <c r="AO788" i="14" s="1"/>
  <c r="AO789" i="14" s="1"/>
  <c r="AM830" i="14" s="1"/>
  <c r="T870" i="14"/>
  <c r="S897" i="14"/>
  <c r="S711" i="14"/>
  <c r="S745" i="14"/>
  <c r="S792" i="14"/>
  <c r="S616" i="14"/>
  <c r="T566" i="14"/>
  <c r="U45" i="14"/>
  <c r="A67" i="14"/>
  <c r="U69" i="14"/>
  <c r="N224" i="14"/>
  <c r="O250" i="14" s="1"/>
  <c r="AE54" i="14" s="1"/>
  <c r="AE74" i="14" s="1"/>
  <c r="AO332" i="14"/>
  <c r="Y42" i="14" s="1"/>
  <c r="AO391" i="14"/>
  <c r="AO392" i="14" s="1"/>
  <c r="AO399" i="14"/>
  <c r="AC711" i="14"/>
  <c r="AC745" i="14" s="1"/>
  <c r="AC566" i="14"/>
  <c r="AB616" i="14" s="1"/>
  <c r="AA497" i="14"/>
  <c r="AA675" i="14" s="1"/>
  <c r="C537" i="14"/>
  <c r="C573" i="14" s="1"/>
  <c r="AA540" i="14"/>
  <c r="AO559" i="14"/>
  <c r="AO560" i="14" s="1"/>
  <c r="AM627" i="14" s="1"/>
  <c r="N644" i="14" s="1"/>
  <c r="C749" i="14"/>
  <c r="C840" i="14"/>
  <c r="E906" i="14"/>
  <c r="C843" i="14"/>
  <c r="C876" i="14" s="1"/>
  <c r="I15" i="18"/>
  <c r="I644" i="14"/>
  <c r="C570" i="14"/>
  <c r="AA844" i="14"/>
  <c r="AA851" i="14"/>
  <c r="AO851" i="14" s="1"/>
  <c r="AH919" i="14"/>
  <c r="H43" i="3"/>
  <c r="AO267" i="14" l="1"/>
  <c r="U70" i="14"/>
  <c r="O394" i="14"/>
  <c r="AO394" i="14" s="1"/>
  <c r="AO395" i="14" s="1"/>
  <c r="AM481" i="14" s="1"/>
  <c r="AE43" i="14" s="1"/>
  <c r="U76" i="14"/>
  <c r="C677" i="14"/>
  <c r="AO677" i="14" s="1"/>
  <c r="AO499" i="14"/>
  <c r="C577" i="14"/>
  <c r="E651" i="14"/>
  <c r="C873" i="14"/>
  <c r="C675" i="14"/>
  <c r="AO675" i="14" s="1"/>
  <c r="AO497" i="14"/>
  <c r="C592" i="14"/>
  <c r="AO592" i="14" s="1"/>
  <c r="AO593" i="14" s="1"/>
  <c r="AM653" i="14" s="1"/>
  <c r="AA855" i="14"/>
  <c r="AO855" i="14" s="1"/>
  <c r="AA732" i="14"/>
  <c r="AO730" i="14"/>
  <c r="AA547" i="14"/>
  <c r="AO547" i="14" s="1"/>
  <c r="AA508" i="14"/>
  <c r="AA341" i="14"/>
  <c r="AO339" i="14"/>
  <c r="A14" i="17"/>
  <c r="A16" i="18" s="1"/>
  <c r="A61" i="14"/>
  <c r="E14" i="17"/>
  <c r="Y61" i="14"/>
  <c r="E16" i="18" s="1"/>
  <c r="AK41" i="14"/>
  <c r="N538" i="14"/>
  <c r="O574" i="14" s="1"/>
  <c r="O366" i="14"/>
  <c r="AO366" i="14" s="1"/>
  <c r="AE41" i="14" s="1"/>
  <c r="H17" i="17"/>
  <c r="AK64" i="14"/>
  <c r="H19" i="18" s="1"/>
  <c r="AQ44" i="14"/>
  <c r="U56" i="14"/>
  <c r="Y73" i="14"/>
  <c r="AK53" i="14"/>
  <c r="AO251" i="14"/>
  <c r="I16" i="17"/>
  <c r="I17" i="18"/>
  <c r="I646" i="14"/>
  <c r="AM646" i="14" s="1"/>
  <c r="AM644" i="14"/>
  <c r="O778" i="14"/>
  <c r="AO778" i="14" s="1"/>
  <c r="AO779" i="14" s="1"/>
  <c r="AM829" i="14" s="1"/>
  <c r="C574" i="14"/>
  <c r="AO574" i="14" s="1"/>
  <c r="AO538" i="14"/>
  <c r="C501" i="14"/>
  <c r="O748" i="14"/>
  <c r="AO748" i="14" s="1"/>
  <c r="N840" i="14"/>
  <c r="N873" i="14" s="1"/>
  <c r="N540" i="14"/>
  <c r="O368" i="14"/>
  <c r="AO368" i="14" s="1"/>
  <c r="AE42" i="14" s="1"/>
  <c r="O752" i="14"/>
  <c r="AO752" i="14" s="1"/>
  <c r="AE49" i="14" s="1"/>
  <c r="AO719" i="14"/>
  <c r="Y49" i="14" s="1"/>
  <c r="N844" i="14"/>
  <c r="C572" i="14"/>
  <c r="AO572" i="14" s="1"/>
  <c r="AO536" i="14"/>
  <c r="I819" i="14"/>
  <c r="AO673" i="14"/>
  <c r="AO680" i="14" s="1"/>
  <c r="N682" i="14" s="1"/>
  <c r="AO682" i="14" s="1"/>
  <c r="AO683" i="14" s="1"/>
  <c r="AB792" i="14"/>
  <c r="AC870" i="14"/>
  <c r="AB897" i="14" s="1"/>
  <c r="I920" i="14"/>
  <c r="I922" i="14" s="1"/>
  <c r="AH918" i="14"/>
  <c r="C13" i="17"/>
  <c r="O45" i="14"/>
  <c r="O56" i="14" s="1"/>
  <c r="O60" i="14"/>
  <c r="O602" i="14"/>
  <c r="AO602" i="14" s="1"/>
  <c r="AO603" i="14" s="1"/>
  <c r="AM655" i="14" s="1"/>
  <c r="AO717" i="14"/>
  <c r="Y48" i="14" s="1"/>
  <c r="N842" i="14"/>
  <c r="O750" i="14"/>
  <c r="AO750" i="14" s="1"/>
  <c r="AE48" i="14" s="1"/>
  <c r="C695" i="14"/>
  <c r="AM472" i="14"/>
  <c r="E15" i="17"/>
  <c r="AK42" i="14"/>
  <c r="Y62" i="14"/>
  <c r="E17" i="18" s="1"/>
  <c r="C860" i="14"/>
  <c r="C768" i="14"/>
  <c r="AO768" i="14" s="1"/>
  <c r="AO769" i="14" s="1"/>
  <c r="AM827" i="14" s="1"/>
  <c r="AO401" i="14"/>
  <c r="AO402" i="14" s="1"/>
  <c r="C609" i="14"/>
  <c r="AO609" i="14" s="1"/>
  <c r="AO610" i="14" s="1"/>
  <c r="AA235" i="14"/>
  <c r="AO233" i="14"/>
  <c r="AO224" i="14"/>
  <c r="Y54" i="14" s="1"/>
  <c r="H16" i="17"/>
  <c r="AK63" i="14"/>
  <c r="H18" i="18" s="1"/>
  <c r="AQ43" i="14"/>
  <c r="S442" i="14"/>
  <c r="S407" i="14"/>
  <c r="AO333" i="14"/>
  <c r="K51" i="3"/>
  <c r="K49" i="3"/>
  <c r="I51" i="3"/>
  <c r="I50" i="3"/>
  <c r="K50" i="3" s="1"/>
  <c r="I49" i="3"/>
  <c r="I48" i="3"/>
  <c r="K48" i="3" s="1"/>
  <c r="I47" i="3"/>
  <c r="K47" i="3" s="1"/>
  <c r="I46" i="3"/>
  <c r="I45" i="3"/>
  <c r="K45" i="3" s="1"/>
  <c r="I44" i="3"/>
  <c r="K44" i="3" s="1"/>
  <c r="I43" i="3"/>
  <c r="K43" i="3" s="1"/>
  <c r="I42" i="3"/>
  <c r="K42" i="3" s="1"/>
  <c r="H51" i="3"/>
  <c r="H50" i="3"/>
  <c r="H49" i="3"/>
  <c r="H48" i="3"/>
  <c r="H47" i="3"/>
  <c r="H46" i="3"/>
  <c r="H45" i="3"/>
  <c r="H44" i="3"/>
  <c r="O65" i="14" l="1"/>
  <c r="O76" i="14" s="1"/>
  <c r="C15" i="18"/>
  <c r="F15" i="17"/>
  <c r="AE62" i="14"/>
  <c r="F17" i="18" s="1"/>
  <c r="F16" i="17"/>
  <c r="AE63" i="14"/>
  <c r="F18" i="18" s="1"/>
  <c r="E22" i="17"/>
  <c r="AK49" i="14"/>
  <c r="Y69" i="14"/>
  <c r="E24" i="18" s="1"/>
  <c r="AO369" i="14"/>
  <c r="AA549" i="14"/>
  <c r="AO549" i="14" s="1"/>
  <c r="AA510" i="14"/>
  <c r="AA343" i="14"/>
  <c r="AO341" i="14"/>
  <c r="AO225" i="14"/>
  <c r="O576" i="14"/>
  <c r="AO576" i="14" s="1"/>
  <c r="AO577" i="14" s="1"/>
  <c r="AO540" i="14"/>
  <c r="AO541" i="14" s="1"/>
  <c r="M253" i="14"/>
  <c r="AA686" i="14"/>
  <c r="AO686" i="14" s="1"/>
  <c r="AO508" i="14"/>
  <c r="I821" i="14"/>
  <c r="AM821" i="14" s="1"/>
  <c r="AM819" i="14"/>
  <c r="O404" i="14"/>
  <c r="AO404" i="14" s="1"/>
  <c r="AO405" i="14" s="1"/>
  <c r="AM482" i="14" s="1"/>
  <c r="AE44" i="14" s="1"/>
  <c r="AK73" i="14"/>
  <c r="AQ53" i="14"/>
  <c r="AQ73" i="14" s="1"/>
  <c r="H14" i="17"/>
  <c r="AQ41" i="14"/>
  <c r="AK61" i="14"/>
  <c r="H16" i="18" s="1"/>
  <c r="C893" i="14"/>
  <c r="AO893" i="14" s="1"/>
  <c r="AO894" i="14" s="1"/>
  <c r="AM932" i="14" s="1"/>
  <c r="C679" i="14"/>
  <c r="AO679" i="14" s="1"/>
  <c r="AO501" i="14"/>
  <c r="AA446" i="14"/>
  <c r="N335" i="14"/>
  <c r="AO335" i="14" s="1"/>
  <c r="AO336" i="14" s="1"/>
  <c r="AO235" i="14"/>
  <c r="AO238" i="14" s="1"/>
  <c r="Q240" i="14" s="1"/>
  <c r="AO240" i="14" s="1"/>
  <c r="AO241" i="14" s="1"/>
  <c r="AA237" i="14"/>
  <c r="AO237" i="14" s="1"/>
  <c r="H15" i="17"/>
  <c r="AK62" i="14"/>
  <c r="H17" i="18" s="1"/>
  <c r="AQ42" i="14"/>
  <c r="F21" i="17"/>
  <c r="AE68" i="14"/>
  <c r="F23" i="18" s="1"/>
  <c r="AO873" i="14"/>
  <c r="AO720" i="14"/>
  <c r="F22" i="17"/>
  <c r="AE69" i="14"/>
  <c r="F24" i="18" s="1"/>
  <c r="I17" i="17"/>
  <c r="I18" i="18"/>
  <c r="O612" i="14"/>
  <c r="AO612" i="14" s="1"/>
  <c r="AO613" i="14" s="1"/>
  <c r="AM656" i="14" s="1"/>
  <c r="N875" i="14"/>
  <c r="AO875" i="14" s="1"/>
  <c r="AO842" i="14"/>
  <c r="AO753" i="14"/>
  <c r="AO733" i="14"/>
  <c r="Q735" i="14" s="1"/>
  <c r="AO735" i="14" s="1"/>
  <c r="AO736" i="14" s="1"/>
  <c r="AA797" i="14" s="1"/>
  <c r="AO840" i="14"/>
  <c r="Y74" i="14"/>
  <c r="AK54" i="14"/>
  <c r="F14" i="17"/>
  <c r="AE61" i="14"/>
  <c r="F16" i="18" s="1"/>
  <c r="J16" i="17"/>
  <c r="AQ63" i="14"/>
  <c r="J18" i="18" s="1"/>
  <c r="E21" i="17"/>
  <c r="AK48" i="14"/>
  <c r="Y68" i="14"/>
  <c r="E23" i="18" s="1"/>
  <c r="I924" i="14"/>
  <c r="AO844" i="14"/>
  <c r="N877" i="14"/>
  <c r="AO877" i="14" s="1"/>
  <c r="J17" i="17"/>
  <c r="AQ64" i="14"/>
  <c r="J19" i="18" s="1"/>
  <c r="AO732" i="14"/>
  <c r="AA857" i="14"/>
  <c r="AO857" i="14" s="1"/>
  <c r="AO858" i="14" s="1"/>
  <c r="Q860" i="14" s="1"/>
  <c r="AO860" i="14" s="1"/>
  <c r="AO861" i="14" s="1"/>
  <c r="AA902" i="14" s="1"/>
  <c r="I52" i="3"/>
  <c r="I53" i="3" s="1"/>
  <c r="K46" i="3"/>
  <c r="K52" i="3" s="1"/>
  <c r="K53" i="3" s="1"/>
  <c r="H52" i="3"/>
  <c r="H53" i="3" s="1"/>
  <c r="AO253" i="14" l="1"/>
  <c r="AO254" i="14" s="1"/>
  <c r="AA620" i="14"/>
  <c r="N543" i="14"/>
  <c r="AO543" i="14" s="1"/>
  <c r="AO544" i="14" s="1"/>
  <c r="AA621" i="14" s="1"/>
  <c r="F17" i="17"/>
  <c r="AE64" i="14"/>
  <c r="F19" i="18" s="1"/>
  <c r="I19" i="18"/>
  <c r="I22" i="18" s="1"/>
  <c r="I23" i="18" s="1"/>
  <c r="I24" i="18" s="1"/>
  <c r="I20" i="17"/>
  <c r="I21" i="17" s="1"/>
  <c r="I22" i="17" s="1"/>
  <c r="J15" i="17"/>
  <c r="AQ62" i="14"/>
  <c r="J17" i="18" s="1"/>
  <c r="AM477" i="14"/>
  <c r="M371" i="14"/>
  <c r="AO371" i="14" s="1"/>
  <c r="AO372" i="14" s="1"/>
  <c r="H22" i="17"/>
  <c r="AQ49" i="14"/>
  <c r="AK69" i="14"/>
  <c r="H24" i="18" s="1"/>
  <c r="AQ54" i="14"/>
  <c r="AQ74" i="14" s="1"/>
  <c r="AK74" i="14"/>
  <c r="N722" i="14"/>
  <c r="AO722" i="14" s="1"/>
  <c r="AO723" i="14" s="1"/>
  <c r="AA795" i="14"/>
  <c r="N227" i="14"/>
  <c r="AO227" i="14" s="1"/>
  <c r="AO228" i="14" s="1"/>
  <c r="Y52" i="14" s="1"/>
  <c r="H21" i="17"/>
  <c r="AQ48" i="14"/>
  <c r="AK68" i="14"/>
  <c r="H23" i="18" s="1"/>
  <c r="M755" i="14"/>
  <c r="AO755" i="14" s="1"/>
  <c r="AO756" i="14" s="1"/>
  <c r="AM825" i="14"/>
  <c r="AM651" i="14"/>
  <c r="O579" i="14"/>
  <c r="AO579" i="14" s="1"/>
  <c r="AO580" i="14" s="1"/>
  <c r="AM652" i="14" s="1"/>
  <c r="AO878" i="14"/>
  <c r="AA447" i="14"/>
  <c r="J14" i="17"/>
  <c r="AQ61" i="14"/>
  <c r="J16" i="18" s="1"/>
  <c r="AA551" i="14"/>
  <c r="AO551" i="14" s="1"/>
  <c r="AA345" i="14"/>
  <c r="AO343" i="14"/>
  <c r="AA512" i="14"/>
  <c r="AM924" i="14"/>
  <c r="I926" i="14"/>
  <c r="AM926" i="14" s="1"/>
  <c r="AO845" i="14"/>
  <c r="AA688" i="14"/>
  <c r="AO688" i="14" s="1"/>
  <c r="AO510" i="14"/>
  <c r="D15" i="3"/>
  <c r="H7" i="3"/>
  <c r="C7" i="3"/>
  <c r="AE52" i="14" l="1"/>
  <c r="Q216" i="14"/>
  <c r="AA90" i="14" s="1"/>
  <c r="J21" i="17"/>
  <c r="AQ68" i="14"/>
  <c r="J23" i="18" s="1"/>
  <c r="AO346" i="14"/>
  <c r="Q348" i="14" s="1"/>
  <c r="AO348" i="14" s="1"/>
  <c r="AO349" i="14" s="1"/>
  <c r="AM930" i="14"/>
  <c r="O880" i="14"/>
  <c r="AO880" i="14" s="1"/>
  <c r="AO881" i="14" s="1"/>
  <c r="AM931" i="14" s="1"/>
  <c r="Q215" i="14"/>
  <c r="AA89" i="14" s="1"/>
  <c r="AA690" i="14"/>
  <c r="AO690" i="14" s="1"/>
  <c r="AO512" i="14"/>
  <c r="AK52" i="14"/>
  <c r="Y55" i="14"/>
  <c r="Y72" i="14"/>
  <c r="Y75" i="14" s="1"/>
  <c r="AM478" i="14"/>
  <c r="AM480" i="14" s="1"/>
  <c r="AM483" i="14" s="1"/>
  <c r="AE40" i="14"/>
  <c r="AM654" i="14"/>
  <c r="AM657" i="14" s="1"/>
  <c r="J22" i="17"/>
  <c r="AQ69" i="14"/>
  <c r="J24" i="18" s="1"/>
  <c r="AA553" i="14"/>
  <c r="AO553" i="14" s="1"/>
  <c r="AO554" i="14" s="1"/>
  <c r="Q556" i="14" s="1"/>
  <c r="AO556" i="14" s="1"/>
  <c r="AO557" i="14" s="1"/>
  <c r="AA622" i="14" s="1"/>
  <c r="AM619" i="14" s="1"/>
  <c r="AM623" i="14" s="1"/>
  <c r="T626" i="14" s="1"/>
  <c r="AM626" i="14" s="1"/>
  <c r="AA514" i="14"/>
  <c r="AO345" i="14"/>
  <c r="AA796" i="14"/>
  <c r="AM794" i="14" s="1"/>
  <c r="AM798" i="14" s="1"/>
  <c r="T801" i="14" s="1"/>
  <c r="AM801" i="14" s="1"/>
  <c r="Y47" i="14"/>
  <c r="AA900" i="14"/>
  <c r="N847" i="14"/>
  <c r="AO847" i="14" s="1"/>
  <c r="AO848" i="14" s="1"/>
  <c r="AA901" i="14" s="1"/>
  <c r="AM826" i="14"/>
  <c r="AM828" i="14" s="1"/>
  <c r="AM831" i="14" s="1"/>
  <c r="AE47" i="14"/>
  <c r="F22" i="3"/>
  <c r="C832" i="14"/>
  <c r="C658" i="14"/>
  <c r="C484" i="14"/>
  <c r="AE55" i="14" l="1"/>
  <c r="AE72" i="14"/>
  <c r="AE75" i="14" s="1"/>
  <c r="F27" i="18" s="1"/>
  <c r="AM933" i="14"/>
  <c r="AO515" i="14"/>
  <c r="Q517" i="14" s="1"/>
  <c r="AO517" i="14" s="1"/>
  <c r="AO518" i="14" s="1"/>
  <c r="N642" i="14"/>
  <c r="AM642" i="14" s="1"/>
  <c r="AM647" i="14" s="1"/>
  <c r="AM629" i="14"/>
  <c r="N817" i="14"/>
  <c r="AM817" i="14" s="1"/>
  <c r="AM822" i="14" s="1"/>
  <c r="AM804" i="14"/>
  <c r="AA692" i="14"/>
  <c r="AO692" i="14" s="1"/>
  <c r="AO693" i="14" s="1"/>
  <c r="Q695" i="14" s="1"/>
  <c r="AO695" i="14" s="1"/>
  <c r="AO696" i="14" s="1"/>
  <c r="AO514" i="14"/>
  <c r="AA448" i="14"/>
  <c r="AM445" i="14" s="1"/>
  <c r="AM449" i="14" s="1"/>
  <c r="T452" i="14" s="1"/>
  <c r="AM452" i="14" s="1"/>
  <c r="Y40" i="14"/>
  <c r="AM899" i="14"/>
  <c r="AM903" i="14" s="1"/>
  <c r="T906" i="14" s="1"/>
  <c r="AM906" i="14" s="1"/>
  <c r="AK72" i="14"/>
  <c r="AK75" i="14" s="1"/>
  <c r="H27" i="18" s="1"/>
  <c r="AK55" i="14"/>
  <c r="AQ52" i="14"/>
  <c r="E20" i="17"/>
  <c r="Y50" i="14"/>
  <c r="Y67" i="14"/>
  <c r="AK47" i="14"/>
  <c r="F20" i="17"/>
  <c r="F23" i="17" s="1"/>
  <c r="AE67" i="14"/>
  <c r="AE50" i="14"/>
  <c r="D60" i="3" s="1"/>
  <c r="F13" i="17"/>
  <c r="F18" i="17" s="1"/>
  <c r="AE60" i="14"/>
  <c r="AE45" i="14"/>
  <c r="C934" i="14"/>
  <c r="C648" i="14"/>
  <c r="C823" i="14"/>
  <c r="C805" i="14"/>
  <c r="C630" i="14"/>
  <c r="F25" i="17" l="1"/>
  <c r="C78" i="3"/>
  <c r="D78" i="3" s="1"/>
  <c r="H25" i="17"/>
  <c r="C76" i="3"/>
  <c r="D76" i="3" s="1"/>
  <c r="E60" i="3"/>
  <c r="H54" i="3"/>
  <c r="H55" i="3" s="1"/>
  <c r="AE56" i="14"/>
  <c r="N468" i="14"/>
  <c r="AM468" i="14" s="1"/>
  <c r="AM473" i="14" s="1"/>
  <c r="AM455" i="14"/>
  <c r="E22" i="18"/>
  <c r="Y70" i="14"/>
  <c r="F22" i="18"/>
  <c r="F25" i="18" s="1"/>
  <c r="AE70" i="14"/>
  <c r="F15" i="18"/>
  <c r="F20" i="18" s="1"/>
  <c r="AE65" i="14"/>
  <c r="F27" i="17"/>
  <c r="N922" i="14"/>
  <c r="AM922" i="14" s="1"/>
  <c r="AM927" i="14" s="1"/>
  <c r="AM909" i="14"/>
  <c r="AQ72" i="14"/>
  <c r="AQ75" i="14" s="1"/>
  <c r="J27" i="18" s="1"/>
  <c r="AQ55" i="14"/>
  <c r="H20" i="17"/>
  <c r="H23" i="17" s="1"/>
  <c r="AK67" i="14"/>
  <c r="AK50" i="14"/>
  <c r="D58" i="3" s="1"/>
  <c r="E58" i="3" s="1"/>
  <c r="AQ47" i="14"/>
  <c r="E13" i="17"/>
  <c r="Y60" i="14"/>
  <c r="Y45" i="14"/>
  <c r="Y56" i="14" s="1"/>
  <c r="AK40" i="14"/>
  <c r="C928" i="14"/>
  <c r="C456" i="14"/>
  <c r="C910" i="14"/>
  <c r="C474" i="14"/>
  <c r="J25" i="17" l="1"/>
  <c r="C77" i="3"/>
  <c r="D77" i="3" s="1"/>
  <c r="AE76" i="14"/>
  <c r="F29" i="18"/>
  <c r="H22" i="18"/>
  <c r="H25" i="18" s="1"/>
  <c r="AK70" i="14"/>
  <c r="H13" i="17"/>
  <c r="H18" i="17" s="1"/>
  <c r="H27" i="17" s="1"/>
  <c r="AQ40" i="14"/>
  <c r="AK45" i="14"/>
  <c r="AK56" i="14" s="1"/>
  <c r="I38" i="3" s="1"/>
  <c r="AK60" i="14"/>
  <c r="J20" i="17"/>
  <c r="J23" i="17" s="1"/>
  <c r="AQ67" i="14"/>
  <c r="AQ50" i="14"/>
  <c r="D59" i="3" s="1"/>
  <c r="E59" i="3" s="1"/>
  <c r="E15" i="18"/>
  <c r="Y65" i="14"/>
  <c r="Y76" i="14" s="1"/>
  <c r="J13" i="17" l="1"/>
  <c r="J18" i="17" s="1"/>
  <c r="J27" i="17" s="1"/>
  <c r="AQ60" i="14"/>
  <c r="AQ45" i="14"/>
  <c r="AQ56" i="14" s="1"/>
  <c r="J22" i="18"/>
  <c r="J25" i="18" s="1"/>
  <c r="AQ70" i="14"/>
  <c r="H15" i="18"/>
  <c r="H20" i="18" s="1"/>
  <c r="H29" i="18" s="1"/>
  <c r="AK65" i="14"/>
  <c r="AK76" i="14" s="1"/>
  <c r="J15" i="18" l="1"/>
  <c r="J20" i="18" s="1"/>
  <c r="J29" i="18" s="1"/>
  <c r="AQ65" i="14"/>
  <c r="AQ7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LISSETH RAMIREZ</author>
    <author>ELENA LABAJOS</author>
    <author>DANIELA FERNANDEZ</author>
  </authors>
  <commentList>
    <comment ref="AQ45" authorId="0" shapeId="0" xr:uid="{8EE379CD-6883-400D-A365-061C83B673D7}">
      <text>
        <r>
          <rPr>
            <b/>
            <sz val="12"/>
            <color indexed="81"/>
            <rFont val="Tahoma"/>
            <family val="2"/>
          </rPr>
          <t xml:space="preserve">SOLO SE MUESTRA EL TOTAL GENERAL  (DIGITADORAS)
</t>
        </r>
        <r>
          <rPr>
            <sz val="12"/>
            <color indexed="81"/>
            <rFont val="Tahoma"/>
            <family val="2"/>
          </rPr>
          <t xml:space="preserve">
</t>
        </r>
      </text>
    </comment>
    <comment ref="AQ119" authorId="0" shapeId="0" xr:uid="{0E9EACAD-F7E0-4D74-B874-B1ECDBB033FE}">
      <text>
        <r>
          <rPr>
            <b/>
            <sz val="9"/>
            <color indexed="81"/>
            <rFont val="Tahoma"/>
            <family val="2"/>
          </rPr>
          <t xml:space="preserve">SI LINDEROS SON ILEGIBLES, PERITO TIENE QUE TRANSCRIBIR SEGÚN LO QUE VERIFICO)
</t>
        </r>
        <r>
          <rPr>
            <sz val="9"/>
            <color indexed="81"/>
            <rFont val="Tahoma"/>
            <family val="2"/>
          </rPr>
          <t xml:space="preserve">
</t>
        </r>
      </text>
    </comment>
    <comment ref="W140" authorId="1" shapeId="0" xr:uid="{18A1D6FD-6F90-483C-9FD9-25659FAF7BB3}">
      <text>
        <r>
          <rPr>
            <b/>
            <sz val="11"/>
            <color indexed="81"/>
            <rFont val="Tahoma"/>
            <family val="2"/>
          </rPr>
          <t>VER ANEXOS, PARA QUE SEPAN QUE DISTRITOS SON PELIGROS</t>
        </r>
        <r>
          <rPr>
            <sz val="11"/>
            <color indexed="81"/>
            <rFont val="Tahoma"/>
            <family val="2"/>
          </rPr>
          <t xml:space="preserve">
</t>
        </r>
      </text>
    </comment>
    <comment ref="AL178" authorId="0" shapeId="0" xr:uid="{5BF53BF9-F84C-4108-A84D-87A05B8D80CE}">
      <text>
        <r>
          <rPr>
            <b/>
            <sz val="9"/>
            <color indexed="81"/>
            <rFont val="Tahoma"/>
            <family val="2"/>
          </rPr>
          <t>cambiar a ÁREA OCUPADA (CASO DEPAS)</t>
        </r>
        <r>
          <rPr>
            <sz val="9"/>
            <color indexed="81"/>
            <rFont val="Tahoma"/>
            <family val="2"/>
          </rPr>
          <t xml:space="preserve">
</t>
        </r>
      </text>
    </comment>
    <comment ref="C298" authorId="2" shapeId="0" xr:uid="{4D0A106B-6688-4C81-8932-528B564F73D7}">
      <text>
        <r>
          <rPr>
            <b/>
            <sz val="9"/>
            <color indexed="81"/>
            <rFont val="Tahoma"/>
            <family val="2"/>
          </rPr>
          <t>INDICAR LA DISTANCIA DE CADA REFERENCIA DENTRO DE CADA CELDA</t>
        </r>
        <r>
          <rPr>
            <sz val="9"/>
            <color indexed="81"/>
            <rFont val="Tahoma"/>
            <family val="2"/>
          </rPr>
          <t xml:space="preserve">
</t>
        </r>
      </text>
    </comment>
    <comment ref="C416" authorId="2" shapeId="0" xr:uid="{3A7D0497-5D50-426A-A894-C362D6A12F95}">
      <text>
        <r>
          <rPr>
            <b/>
            <sz val="9"/>
            <color indexed="81"/>
            <rFont val="Tahoma"/>
            <family val="2"/>
          </rPr>
          <t>INDICAR LA DISTANCIA DE CADA REFERENCIA DENTRO DE CADA CELDA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Ingrid Lorena Benavides Padilla</author>
    <author>s3235371</author>
  </authors>
  <commentList>
    <comment ref="J18" authorId="0" shapeId="0" xr:uid="{E7E4278D-FF57-4A71-87E2-F482D9A729EF}">
      <text>
        <r>
          <rPr>
            <b/>
            <sz val="9"/>
            <color indexed="81"/>
            <rFont val="Tahoma"/>
            <family val="2"/>
          </rPr>
          <t xml:space="preserve">FORMULADO
</t>
        </r>
      </text>
    </comment>
    <comment ref="J23" authorId="1" shapeId="0" xr:uid="{3D3587B9-BAE6-4FEE-94B0-3BFAA216463C}">
      <text>
        <r>
          <rPr>
            <b/>
            <sz val="9"/>
            <color indexed="81"/>
            <rFont val="Tahoma"/>
            <family val="2"/>
          </rPr>
          <t>FORMULADO</t>
        </r>
      </text>
    </comment>
    <comment ref="J25" authorId="1" shapeId="0" xr:uid="{2484CC26-AD55-4E1C-B459-FE573A388AF1}">
      <text>
        <r>
          <rPr>
            <b/>
            <sz val="9"/>
            <color indexed="81"/>
            <rFont val="Tahoma"/>
            <family val="2"/>
          </rPr>
          <t>FORMULADO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s3235371</author>
  </authors>
  <commentList>
    <comment ref="J20" authorId="0" shapeId="0" xr:uid="{271B7A6A-6301-44CF-97F8-17F97A96BFD7}">
      <text>
        <r>
          <rPr>
            <b/>
            <sz val="9"/>
            <color indexed="81"/>
            <rFont val="Tahoma"/>
            <family val="2"/>
          </rPr>
          <t>FORMULADO</t>
        </r>
      </text>
    </comment>
    <comment ref="J27" authorId="0" shapeId="0" xr:uid="{3A804C1D-443E-4856-BC2E-C2FF646DDDCA}">
      <text>
        <r>
          <rPr>
            <b/>
            <sz val="9"/>
            <color indexed="81"/>
            <rFont val="Tahoma"/>
            <family val="2"/>
          </rPr>
          <t>FORMULADO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Ingrid Lorena Benavides Padilla</author>
    <author>LISSETH RAMIREZ</author>
    <author>INGRID BENAVIDES PADILLA</author>
    <author>s3235371</author>
  </authors>
  <commentList>
    <comment ref="B4" authorId="0" shapeId="0" xr:uid="{07D62DCB-6FBC-4928-A5A5-CF30237F36B7}">
      <text>
        <r>
          <rPr>
            <b/>
            <sz val="10"/>
            <color indexed="81"/>
            <rFont val="Tahoma"/>
            <family val="2"/>
          </rPr>
          <t>BANCA</t>
        </r>
        <r>
          <rPr>
            <b/>
            <sz val="10"/>
            <color indexed="23"/>
            <rFont val="Tahoma"/>
            <family val="2"/>
          </rPr>
          <t xml:space="preserve">
La Banca esta indicada en la asignacion</t>
        </r>
        <r>
          <rPr>
            <sz val="9"/>
            <color indexed="81"/>
            <rFont val="Tahoma"/>
            <family val="2"/>
          </rPr>
          <t xml:space="preserve">
</t>
        </r>
      </text>
    </comment>
    <comment ref="I5" authorId="0" shapeId="0" xr:uid="{EC05835F-553B-4100-827D-37CF2DA773C2}">
      <text>
        <r>
          <rPr>
            <b/>
            <sz val="9"/>
            <color indexed="81"/>
            <rFont val="Tahoma"/>
            <family val="2"/>
          </rPr>
          <t>NO LLENAR</t>
        </r>
        <r>
          <rPr>
            <sz val="9"/>
            <color indexed="81"/>
            <rFont val="Tahoma"/>
            <family val="2"/>
          </rPr>
          <t xml:space="preserve">
</t>
        </r>
      </text>
    </comment>
    <comment ref="K5" authorId="1" shapeId="0" xr:uid="{38447720-1E93-499D-B266-3EA593FE9D13}">
      <text>
        <r>
          <rPr>
            <b/>
            <sz val="18"/>
            <color indexed="81"/>
            <rFont val="Tahoma"/>
            <family val="2"/>
          </rPr>
          <t>QUITAR FORMULA: 
Funcionario
Cliente
Coord valorizacion
Telefonos
N° partida
Propietario
Ubicación del bien
Fecha de inspección
Fecha de expedición
Latitud /  longitud
Año construcción
Fila  38
Depre
Edificaciones de anexo / PU
REFERENCIAS</t>
        </r>
        <r>
          <rPr>
            <sz val="9"/>
            <color indexed="81"/>
            <rFont val="Tahoma"/>
            <family val="2"/>
          </rPr>
          <t xml:space="preserve">
</t>
        </r>
      </text>
    </comment>
    <comment ref="F7" authorId="0" shapeId="0" xr:uid="{B2F1446C-7AB5-42F1-84FD-53F1EA9D79AC}">
      <text>
        <r>
          <rPr>
            <b/>
            <sz val="11"/>
            <color indexed="63"/>
            <rFont val="Tahoma"/>
            <family val="2"/>
          </rPr>
          <t xml:space="preserve">SUBTIPO
</t>
        </r>
        <r>
          <rPr>
            <b/>
            <sz val="11"/>
            <color indexed="23"/>
            <rFont val="Tahoma"/>
            <family val="2"/>
          </rPr>
          <t>No es el uso, es como se valoriza</t>
        </r>
      </text>
    </comment>
    <comment ref="F15" authorId="0" shapeId="0" xr:uid="{7A21199E-ACE1-42CC-84D0-B88D5F072538}">
      <text>
        <r>
          <rPr>
            <b/>
            <sz val="9"/>
            <color indexed="81"/>
            <rFont val="Tahoma"/>
            <family val="2"/>
          </rPr>
          <t xml:space="preserve">REPEV
</t>
        </r>
        <r>
          <rPr>
            <b/>
            <sz val="10"/>
            <color indexed="23"/>
            <rFont val="Tahoma"/>
            <family val="2"/>
          </rPr>
          <t xml:space="preserve">Fecha de REPEV vigente
</t>
        </r>
      </text>
    </comment>
    <comment ref="J15" authorId="0" shapeId="0" xr:uid="{29A78CB2-C9F4-4CAB-AC81-5F6DB493CF9A}">
      <text>
        <r>
          <rPr>
            <b/>
            <sz val="9"/>
            <color indexed="81"/>
            <rFont val="Tahoma"/>
            <family val="2"/>
          </rPr>
          <t xml:space="preserve">INSPECTOR
</t>
        </r>
        <r>
          <rPr>
            <b/>
            <sz val="10"/>
            <color indexed="23"/>
            <rFont val="Tahoma"/>
            <family val="2"/>
          </rPr>
          <t>Quien realiza la visita o videollamada</t>
        </r>
        <r>
          <rPr>
            <sz val="9"/>
            <color indexed="81"/>
            <rFont val="Tahoma"/>
            <family val="2"/>
          </rPr>
          <t xml:space="preserve">
</t>
        </r>
      </text>
    </comment>
    <comment ref="K17" authorId="0" shapeId="0" xr:uid="{05092139-F808-4802-8650-8C373FCD6855}">
      <text>
        <r>
          <rPr>
            <b/>
            <sz val="9"/>
            <color indexed="81"/>
            <rFont val="Tahoma"/>
            <family val="2"/>
          </rPr>
          <t xml:space="preserve">EXPEDICION
</t>
        </r>
        <r>
          <rPr>
            <b/>
            <sz val="10"/>
            <color indexed="23"/>
            <rFont val="Tahoma"/>
            <family val="2"/>
          </rPr>
          <t>Fecha de entrega del informe</t>
        </r>
        <r>
          <rPr>
            <sz val="9"/>
            <color indexed="81"/>
            <rFont val="Tahoma"/>
            <family val="2"/>
          </rPr>
          <t xml:space="preserve">
</t>
        </r>
      </text>
    </comment>
    <comment ref="B18" authorId="0" shapeId="0" xr:uid="{E96D2F7E-C87F-4092-8A2C-2A8758CFF5FA}">
      <text>
        <r>
          <rPr>
            <b/>
            <sz val="9"/>
            <color indexed="81"/>
            <rFont val="Tahoma"/>
            <family val="2"/>
          </rPr>
          <t xml:space="preserve">PROPIETARIO
</t>
        </r>
        <r>
          <rPr>
            <b/>
            <sz val="10"/>
            <color indexed="23"/>
            <rFont val="Tahoma"/>
            <family val="2"/>
          </rPr>
          <t>Ubicado en la Copia Literal del inmueble</t>
        </r>
      </text>
    </comment>
    <comment ref="B19" authorId="0" shapeId="0" xr:uid="{3C5C089F-B184-41B4-AA6A-086B982C9E89}">
      <text>
        <r>
          <rPr>
            <b/>
            <sz val="9"/>
            <color indexed="81"/>
            <rFont val="Tahoma"/>
            <family val="2"/>
          </rPr>
          <t xml:space="preserve">DIRECCION
</t>
        </r>
        <r>
          <rPr>
            <b/>
            <sz val="10"/>
            <color indexed="23"/>
            <rFont val="Tahoma"/>
            <family val="2"/>
          </rPr>
          <t xml:space="preserve">Tal como se indica en la Partida
</t>
        </r>
      </text>
    </comment>
    <comment ref="B20" authorId="0" shapeId="0" xr:uid="{9136742E-4682-47D7-B251-AEE5EE5BFA32}">
      <text>
        <r>
          <rPr>
            <b/>
            <sz val="9"/>
            <color indexed="81"/>
            <rFont val="Tahoma"/>
            <family val="2"/>
          </rPr>
          <t xml:space="preserve">REFERENCIAS
</t>
        </r>
        <r>
          <rPr>
            <b/>
            <sz val="10"/>
            <color indexed="23"/>
            <rFont val="Tahoma"/>
            <family val="2"/>
          </rPr>
          <t>Todas las necesarias para llegar al predio</t>
        </r>
        <r>
          <rPr>
            <sz val="9"/>
            <color indexed="81"/>
            <rFont val="Tahoma"/>
            <family val="2"/>
          </rPr>
          <t xml:space="preserve">
</t>
        </r>
      </text>
    </comment>
    <comment ref="F22" authorId="2" shapeId="0" xr:uid="{00000000-0006-0000-0000-000004000000}">
      <text>
        <r>
          <rPr>
            <sz val="9"/>
            <color indexed="81"/>
            <rFont val="Tahoma"/>
            <family val="2"/>
          </rPr>
          <t>Celda con formula</t>
        </r>
        <r>
          <rPr>
            <b/>
            <sz val="9"/>
            <color indexed="81"/>
            <rFont val="Tahoma"/>
            <family val="2"/>
          </rPr>
          <t xml:space="preserve">:
UBIGEO
</t>
        </r>
        <r>
          <rPr>
            <sz val="9"/>
            <color indexed="81"/>
            <rFont val="Tahoma"/>
            <family val="2"/>
          </rPr>
          <t xml:space="preserve">
</t>
        </r>
      </text>
    </comment>
    <comment ref="H22" authorId="0" shapeId="0" xr:uid="{D2DA9C3F-EDE3-420D-A1B2-9E2B1D5A7503}">
      <text>
        <r>
          <rPr>
            <b/>
            <sz val="9"/>
            <color indexed="81"/>
            <rFont val="Tahoma"/>
            <family val="2"/>
          </rPr>
          <t>LLENAR EN DECIMALES</t>
        </r>
      </text>
    </comment>
    <comment ref="J22" authorId="0" shapeId="0" xr:uid="{B2AD354E-BAF5-40BE-AAFB-F0E9EC3D8E77}">
      <text>
        <r>
          <rPr>
            <b/>
            <sz val="9"/>
            <color indexed="81"/>
            <rFont val="Tahoma"/>
            <family val="2"/>
          </rPr>
          <t>LLENAR EN DECIMALES</t>
        </r>
        <r>
          <rPr>
            <sz val="9"/>
            <color indexed="81"/>
            <rFont val="Tahoma"/>
            <family val="2"/>
          </rPr>
          <t xml:space="preserve">
</t>
        </r>
      </text>
    </comment>
    <comment ref="F23" authorId="0" shapeId="0" xr:uid="{878A62B1-E07E-425B-87C8-01FDAF200B27}">
      <text>
        <r>
          <rPr>
            <b/>
            <sz val="10"/>
            <color indexed="81"/>
            <rFont val="Tahoma"/>
            <family val="2"/>
          </rPr>
          <t>TERRENO</t>
        </r>
        <r>
          <rPr>
            <b/>
            <sz val="10"/>
            <color indexed="23"/>
            <rFont val="Tahoma"/>
            <family val="2"/>
          </rPr>
          <t xml:space="preserve">
Validar si cuenta con accesos declarados en RRPP
</t>
        </r>
      </text>
    </comment>
    <comment ref="B24" authorId="0" shapeId="0" xr:uid="{9ACF2AEA-75FA-447F-A991-9A290EE969B1}">
      <text>
        <r>
          <rPr>
            <b/>
            <sz val="9"/>
            <color indexed="81"/>
            <rFont val="Tahoma"/>
            <family val="2"/>
          </rPr>
          <t xml:space="preserve">USO
</t>
        </r>
        <r>
          <rPr>
            <b/>
            <sz val="10"/>
            <color indexed="23"/>
            <rFont val="Tahoma"/>
            <family val="2"/>
          </rPr>
          <t>Colocar el uso de mayor porcentaje</t>
        </r>
        <r>
          <rPr>
            <sz val="9"/>
            <color indexed="81"/>
            <rFont val="Tahoma"/>
            <family val="2"/>
          </rPr>
          <t xml:space="preserve">
</t>
        </r>
      </text>
    </comment>
    <comment ref="D24" authorId="0" shapeId="0" xr:uid="{8802025B-0A5B-4864-8680-61C3B4E6437B}">
      <text>
        <r>
          <rPr>
            <b/>
            <sz val="10"/>
            <color indexed="81"/>
            <rFont val="Tahoma"/>
            <family val="2"/>
          </rPr>
          <t>% USO</t>
        </r>
        <r>
          <rPr>
            <b/>
            <sz val="10"/>
            <color indexed="23"/>
            <rFont val="Tahoma"/>
            <family val="2"/>
          </rPr>
          <t xml:space="preserve">
Colocar el porcentaje de mayor uso</t>
        </r>
        <r>
          <rPr>
            <sz val="9"/>
            <color indexed="81"/>
            <rFont val="Tahoma"/>
            <family val="2"/>
          </rPr>
          <t xml:space="preserve">
</t>
        </r>
      </text>
    </comment>
    <comment ref="K24" authorId="0" shapeId="0" xr:uid="{C493CB4E-CDF3-4D93-86FA-9C05CD9F47BB}">
      <text>
        <r>
          <rPr>
            <b/>
            <sz val="9"/>
            <color indexed="81"/>
            <rFont val="Tahoma"/>
            <family val="2"/>
          </rPr>
          <t xml:space="preserve">ANTIGÜEDAD
</t>
        </r>
        <r>
          <rPr>
            <b/>
            <sz val="10"/>
            <color indexed="23"/>
            <rFont val="Tahoma"/>
            <family val="2"/>
          </rPr>
          <t>Colocar el año mas antiguo</t>
        </r>
      </text>
    </comment>
    <comment ref="B27" authorId="2" shapeId="0" xr:uid="{00000000-0006-0000-0000-000005000000}">
      <text>
        <r>
          <rPr>
            <b/>
            <sz val="9"/>
            <color indexed="81"/>
            <rFont val="Tahoma"/>
            <family val="2"/>
          </rPr>
          <t xml:space="preserve">EJEMPLO:
</t>
        </r>
        <r>
          <rPr>
            <sz val="9"/>
            <color indexed="81"/>
            <rFont val="Tahoma"/>
            <family val="2"/>
          </rPr>
          <t>1-Actividad minera
2-Activacion de quebrada seca
3-Zona Inundable
4-Zona Pantanosa
Otros especificar</t>
        </r>
      </text>
    </comment>
    <comment ref="K27" authorId="0" shapeId="0" xr:uid="{00000000-0006-0000-0000-000006000000}">
      <text>
        <r>
          <rPr>
            <b/>
            <sz val="9"/>
            <color indexed="81"/>
            <rFont val="Tahoma"/>
            <family val="2"/>
          </rPr>
          <t xml:space="preserve">Colocar Otros, en caso exista mayor cultivo
</t>
        </r>
        <r>
          <rPr>
            <sz val="9"/>
            <color indexed="81"/>
            <rFont val="Tahoma"/>
            <family val="2"/>
          </rPr>
          <t xml:space="preserve">
</t>
        </r>
      </text>
    </comment>
    <comment ref="K28" authorId="0" shapeId="0" xr:uid="{00000000-0006-0000-0000-000007000000}">
      <text>
        <r>
          <rPr>
            <b/>
            <sz val="9"/>
            <color indexed="81"/>
            <rFont val="Tahoma"/>
            <family val="2"/>
          </rPr>
          <t xml:space="preserve">Colocar Otros, en caso exista mayor cultivo
</t>
        </r>
        <r>
          <rPr>
            <sz val="9"/>
            <color indexed="81"/>
            <rFont val="Tahoma"/>
            <family val="2"/>
          </rPr>
          <t xml:space="preserve">
</t>
        </r>
      </text>
    </comment>
    <comment ref="B38" authorId="0" shapeId="0" xr:uid="{BE450EA9-0215-46EA-A050-B0828A7BEECA}">
      <text>
        <r>
          <rPr>
            <b/>
            <sz val="9"/>
            <color indexed="81"/>
            <rFont val="Tahoma"/>
            <family val="2"/>
          </rPr>
          <t>VALOR UNITARIO</t>
        </r>
        <r>
          <rPr>
            <sz val="9"/>
            <color indexed="81"/>
            <rFont val="Tahoma"/>
            <family val="2"/>
          </rPr>
          <t xml:space="preserve">
</t>
        </r>
      </text>
    </comment>
    <comment ref="D38" authorId="0" shapeId="0" xr:uid="{610F5A95-74CB-4F34-849C-C06AA3783953}">
      <text>
        <r>
          <rPr>
            <b/>
            <sz val="9"/>
            <color indexed="81"/>
            <rFont val="Tahoma"/>
            <family val="2"/>
          </rPr>
          <t>AREA TOTAL DEL TERRENO</t>
        </r>
        <r>
          <rPr>
            <sz val="9"/>
            <color indexed="81"/>
            <rFont val="Tahoma"/>
            <family val="2"/>
          </rPr>
          <t xml:space="preserve">
</t>
        </r>
      </text>
    </comment>
    <comment ref="F38" authorId="0" shapeId="0" xr:uid="{13110334-6925-42E3-BD1E-28E47D93C40C}">
      <text>
        <r>
          <rPr>
            <b/>
            <sz val="9"/>
            <color indexed="81"/>
            <rFont val="Tahoma"/>
            <family val="2"/>
          </rPr>
          <t xml:space="preserve">AREA TOTAL CONSTRUIDA
</t>
        </r>
        <r>
          <rPr>
            <sz val="9"/>
            <color indexed="81"/>
            <rFont val="Tahoma"/>
            <family val="2"/>
          </rPr>
          <t xml:space="preserve">
</t>
        </r>
      </text>
    </comment>
    <comment ref="I38" authorId="0" shapeId="0" xr:uid="{C58AB154-0361-4824-BEDE-A66C04F473F8}">
      <text>
        <r>
          <rPr>
            <b/>
            <sz val="9"/>
            <color indexed="81"/>
            <rFont val="Tahoma"/>
            <family val="2"/>
          </rPr>
          <t>PROPIEDADES HORIZONTALES</t>
        </r>
        <r>
          <rPr>
            <sz val="9"/>
            <color indexed="81"/>
            <rFont val="Tahoma"/>
            <family val="2"/>
          </rPr>
          <t xml:space="preserve">
</t>
        </r>
      </text>
    </comment>
    <comment ref="K38" authorId="0" shapeId="0" xr:uid="{688AEE50-D249-4D39-A7B7-5DE85102F4DE}">
      <text>
        <r>
          <rPr>
            <b/>
            <sz val="9"/>
            <color indexed="81"/>
            <rFont val="Tahoma"/>
            <family val="2"/>
          </rPr>
          <t>TC DEL MES ENVIADO</t>
        </r>
      </text>
    </comment>
    <comment ref="H42" authorId="1" shapeId="0" xr:uid="{87E62ECD-0858-49D9-92EA-44856033A100}">
      <text>
        <r>
          <rPr>
            <b/>
            <sz val="14"/>
            <color indexed="81"/>
            <rFont val="Tahoma"/>
            <family val="2"/>
          </rPr>
          <t>ESTA FILA YA SE PUEDE EDITAR PARA CUADRAR 
CUANDO HAYA DEPRECIACIONES DIFERENTES</t>
        </r>
        <r>
          <rPr>
            <sz val="14"/>
            <color indexed="81"/>
            <rFont val="Tahoma"/>
            <family val="2"/>
          </rPr>
          <t xml:space="preserve">
</t>
        </r>
      </text>
    </comment>
    <comment ref="H52" authorId="3" shapeId="0" xr:uid="{00000000-0006-0000-0000-000008000000}">
      <text>
        <r>
          <rPr>
            <b/>
            <sz val="8"/>
            <color indexed="81"/>
            <rFont val="Tahoma"/>
            <family val="2"/>
          </rPr>
          <t xml:space="preserve">Celda Formulada:
SUMA SOLO DE VALORES DECLARADOS </t>
        </r>
      </text>
    </comment>
    <comment ref="I52" authorId="3" shapeId="0" xr:uid="{64503367-48AA-4A86-B1C0-E19A11AE0BB8}">
      <text>
        <r>
          <rPr>
            <b/>
            <sz val="8"/>
            <color indexed="81"/>
            <rFont val="Tahoma"/>
            <family val="2"/>
          </rPr>
          <t xml:space="preserve">Celda Formulada:
SUMA SOLO DE VALORES DECLARADOS </t>
        </r>
      </text>
    </comment>
    <comment ref="K52" authorId="3" shapeId="0" xr:uid="{062D33B2-82CD-49FC-921A-FB4E82A10B5F}">
      <text>
        <r>
          <rPr>
            <b/>
            <sz val="8"/>
            <color indexed="81"/>
            <rFont val="Tahoma"/>
            <family val="2"/>
          </rPr>
          <t xml:space="preserve">Celda Formulada:
SUMA SOLO DE VALORES DECLARADOS </t>
        </r>
      </text>
    </comment>
    <comment ref="H54" authorId="3" shapeId="0" xr:uid="{00000000-0006-0000-0000-000009000000}">
      <text>
        <r>
          <rPr>
            <sz val="8"/>
            <color indexed="81"/>
            <rFont val="Tahoma"/>
            <family val="2"/>
          </rPr>
          <t xml:space="preserve">Formulado(NO MOVER):
</t>
        </r>
        <r>
          <rPr>
            <b/>
            <sz val="8"/>
            <color indexed="81"/>
            <rFont val="Tahoma"/>
            <family val="2"/>
          </rPr>
          <t>SUMA VALORES ASEGURABLES Declarado+
Declarado en PU+ Estimados</t>
        </r>
      </text>
    </comment>
    <comment ref="H64" authorId="0" shapeId="0" xr:uid="{43885001-D81A-4F52-8B16-AA4071EA4895}">
      <text>
        <r>
          <rPr>
            <b/>
            <sz val="10"/>
            <color indexed="81"/>
            <rFont val="Tahoma"/>
            <family val="2"/>
          </rPr>
          <t>LLENAR EN DECIMALES</t>
        </r>
        <r>
          <rPr>
            <sz val="9"/>
            <color indexed="81"/>
            <rFont val="Tahoma"/>
            <family val="2"/>
          </rPr>
          <t xml:space="preserve">
</t>
        </r>
      </text>
    </comment>
    <comment ref="I64" authorId="0" shapeId="0" xr:uid="{3B01B555-5AD1-400D-B95B-B65E5AA79581}">
      <text>
        <r>
          <rPr>
            <b/>
            <sz val="9"/>
            <color indexed="81"/>
            <rFont val="Tahoma"/>
            <family val="2"/>
          </rPr>
          <t>LLENAR EN DECIMALES</t>
        </r>
        <r>
          <rPr>
            <sz val="9"/>
            <color indexed="81"/>
            <rFont val="Tahoma"/>
            <family val="2"/>
          </rPr>
          <t xml:space="preserve">
</t>
        </r>
      </text>
    </comment>
  </commentList>
</comments>
</file>

<file path=xl/sharedStrings.xml><?xml version="1.0" encoding="utf-8"?>
<sst xmlns="http://schemas.openxmlformats.org/spreadsheetml/2006/main" count="13391" uniqueCount="4650">
  <si>
    <t>Valor Comercial</t>
  </si>
  <si>
    <t>Terreno</t>
  </si>
  <si>
    <t>S/.</t>
  </si>
  <si>
    <t>DATOS GENERALES</t>
  </si>
  <si>
    <t>SCOTIABANK PERU S.A.A.</t>
  </si>
  <si>
    <t>DATOS DEL CLIENTE</t>
  </si>
  <si>
    <t>Distrito</t>
  </si>
  <si>
    <t>Email</t>
  </si>
  <si>
    <t>DATOS DEL PERITO</t>
  </si>
  <si>
    <t>VALORIZACIÓN</t>
  </si>
  <si>
    <t>m2</t>
  </si>
  <si>
    <t>Tipo de Acabados</t>
  </si>
  <si>
    <t>Estado de Conservación</t>
  </si>
  <si>
    <t>Año de Construc.</t>
  </si>
  <si>
    <t>Moneda / m2</t>
  </si>
  <si>
    <t>Factor Deprec.</t>
  </si>
  <si>
    <t>Valor Asegurable</t>
  </si>
  <si>
    <t>% Valor</t>
  </si>
  <si>
    <t>Valor Realización</t>
  </si>
  <si>
    <t>Valor Total en Dolares</t>
  </si>
  <si>
    <t>Valor Total en Soles</t>
  </si>
  <si>
    <t>Marcar con X la opción que corresponda:</t>
  </si>
  <si>
    <t>SI</t>
  </si>
  <si>
    <t>NO</t>
  </si>
  <si>
    <t>Inmueble está ubicado en zona segura (No Peligrosa)</t>
  </si>
  <si>
    <t>Inmueble destinado exclusivamente para casa/habitación</t>
  </si>
  <si>
    <t>Inmueble ubicado en zona urbanizada con pistas, veredas y servicios (luz,agua y/o desague)</t>
  </si>
  <si>
    <t>Inmueble construido con material noble</t>
  </si>
  <si>
    <t>Inmueble cuenta con todos los servicios básicos (luz,agua,desague)</t>
  </si>
  <si>
    <t>El inmueble se encuentra terminado (pisos,techos,ventanas,baños,puertas,etc)-No aplica para bien futuro</t>
  </si>
  <si>
    <t>Fecha</t>
  </si>
  <si>
    <t>ESPECIFICACIONES ADICIONALES</t>
  </si>
  <si>
    <t xml:space="preserve">HOJA RESUMEN - VALORIZACION DE INMUEBLES - SCOTIABANK </t>
  </si>
  <si>
    <t>DECLARADO</t>
  </si>
  <si>
    <t>Valor Comercial Estimado:</t>
  </si>
  <si>
    <t>Valor Asegurable Estimado:</t>
  </si>
  <si>
    <t>$</t>
  </si>
  <si>
    <t>Valor Asegurable Total Dólares</t>
  </si>
  <si>
    <t>Valor Asegurable Total Soles</t>
  </si>
  <si>
    <t>Valor de Realización Estimado:</t>
  </si>
  <si>
    <t>VALORES REFERENCIAS ( ESTUDIO DE MERCADO )</t>
  </si>
  <si>
    <t>Estudio de mercado 1</t>
  </si>
  <si>
    <t>Estudio de mercado 3</t>
  </si>
  <si>
    <t>Estudio de mercado 2</t>
  </si>
  <si>
    <t>Área Terreno m2</t>
  </si>
  <si>
    <t>Area Construida m2</t>
  </si>
  <si>
    <t>Precio Venta
US$</t>
  </si>
  <si>
    <t>SOLICITANTE</t>
  </si>
  <si>
    <t>N° DE SOLICITUD</t>
  </si>
  <si>
    <t>BANCA</t>
  </si>
  <si>
    <t>PRODUCTO</t>
  </si>
  <si>
    <t>FUNCIONARIO BANCO</t>
  </si>
  <si>
    <t>AGENCIA</t>
  </si>
  <si>
    <t>DATOS DE LA GTIA</t>
  </si>
  <si>
    <t>TIPO DE GARANTIA</t>
  </si>
  <si>
    <t>SUBTIPO</t>
  </si>
  <si>
    <t>CLIENTE</t>
  </si>
  <si>
    <t>TELEFONOS</t>
  </si>
  <si>
    <t>CTA BT</t>
  </si>
  <si>
    <t>DATOS COORD. VALORIZACION</t>
  </si>
  <si>
    <t>COORD. VALORIZACION CON:</t>
  </si>
  <si>
    <t>FECHA INSPECCIÓN</t>
  </si>
  <si>
    <t>FECHA EXPEDICIÓN</t>
  </si>
  <si>
    <t>PERITO ASIGNADO</t>
  </si>
  <si>
    <t>DATOS DEL BIEN</t>
  </si>
  <si>
    <t>PROPIETARIO</t>
  </si>
  <si>
    <t>UBICACIÓN DEL BIEN</t>
  </si>
  <si>
    <t>REFERENCIAS DE UBICACIÓN</t>
  </si>
  <si>
    <t>UBIGEO</t>
  </si>
  <si>
    <t>Latitud</t>
  </si>
  <si>
    <t>Longitud</t>
  </si>
  <si>
    <t>ZONIFICACIÓN</t>
  </si>
  <si>
    <t>Servicios</t>
  </si>
  <si>
    <t>Terreno Cercado</t>
  </si>
  <si>
    <t>TIPO TERRENO</t>
  </si>
  <si>
    <t>N° Pisos</t>
  </si>
  <si>
    <t>N° Sotanos</t>
  </si>
  <si>
    <t>USOS DEL BIEN</t>
  </si>
  <si>
    <t>VALORES UNITARIOS M2</t>
  </si>
  <si>
    <t xml:space="preserve">VALOR TERRENO X M2 </t>
  </si>
  <si>
    <t>TIPO CAMBIO:</t>
  </si>
  <si>
    <t>DISTRITO</t>
  </si>
  <si>
    <t>Zonificacion</t>
  </si>
  <si>
    <t>1-Hasta 4 pisos</t>
  </si>
  <si>
    <t>2-Entre 5 y 10 pisos</t>
  </si>
  <si>
    <t>1-Almacén</t>
  </si>
  <si>
    <t>3-Más de 10 pisos</t>
  </si>
  <si>
    <t>2-Comercial</t>
  </si>
  <si>
    <t>4-Nave Industrial</t>
  </si>
  <si>
    <t>3-Industrial</t>
  </si>
  <si>
    <t>5-Otros</t>
  </si>
  <si>
    <t>4-Oficina</t>
  </si>
  <si>
    <t>N/A</t>
  </si>
  <si>
    <t>5-Vivienda</t>
  </si>
  <si>
    <t>1-Concreto Armado</t>
  </si>
  <si>
    <t>2-Ladrillo y Cemento</t>
  </si>
  <si>
    <t>3-Estructura de Acero/Metálica</t>
  </si>
  <si>
    <t>1-Interior</t>
  </si>
  <si>
    <t>4-Adobe/Quincha</t>
  </si>
  <si>
    <t>2-Exterior</t>
  </si>
  <si>
    <t>5-Madera</t>
  </si>
  <si>
    <t>3-Mediterraneo</t>
  </si>
  <si>
    <t xml:space="preserve"> </t>
  </si>
  <si>
    <t>1-RDA (zona de densidad alta)</t>
  </si>
  <si>
    <t>2-RDM (zona de densidad media)</t>
  </si>
  <si>
    <t>3-RDB (zona de densidad baja)</t>
  </si>
  <si>
    <t>4-I1R (vivienda-taller)</t>
  </si>
  <si>
    <t>5-I (industgrial)</t>
  </si>
  <si>
    <t>6-I4 (zona industrial pesada)</t>
  </si>
  <si>
    <t>7-I3 (zona de gran industria)</t>
  </si>
  <si>
    <t>8-I2 (zona de industgria mediana)</t>
  </si>
  <si>
    <t>9-I1 (zona industrial elemental)</t>
  </si>
  <si>
    <t>10- C (comercial)</t>
  </si>
  <si>
    <t>11-CE (zona de comercio especializado)</t>
  </si>
  <si>
    <t>12-CM (zona de comercio metropolitano)</t>
  </si>
  <si>
    <t>13-CZ (zona de comercio zonal)</t>
  </si>
  <si>
    <t>14-CV (zona de comercio vecinal)</t>
  </si>
  <si>
    <t>Primera</t>
  </si>
  <si>
    <t>Muy Bueno</t>
  </si>
  <si>
    <t>Segunda</t>
  </si>
  <si>
    <t>Bueno</t>
  </si>
  <si>
    <t>Regular</t>
  </si>
  <si>
    <t>Malo</t>
  </si>
  <si>
    <t>Terreno Urbano</t>
  </si>
  <si>
    <t>En construcción</t>
  </si>
  <si>
    <t>Terreno Rustico</t>
  </si>
  <si>
    <t>Terreno Agricola</t>
  </si>
  <si>
    <t>Firma Perito</t>
  </si>
  <si>
    <t>Concepto
(Declarado en RRPP)</t>
  </si>
  <si>
    <t>(Valor total de Plantaciones)</t>
  </si>
  <si>
    <t>Valor de Realización :</t>
  </si>
  <si>
    <t>IDDIST</t>
  </si>
  <si>
    <t>NOMBDEP</t>
  </si>
  <si>
    <t>NOMBPROV</t>
  </si>
  <si>
    <t>NOMBDIST</t>
  </si>
  <si>
    <t>NOM_CAPITAL (LEGAL)</t>
  </si>
  <si>
    <t>010101</t>
  </si>
  <si>
    <t>AMAZONAS</t>
  </si>
  <si>
    <t>CHACHAPOYAS</t>
  </si>
  <si>
    <t>010102</t>
  </si>
  <si>
    <t>ASUNCION</t>
  </si>
  <si>
    <t>010103</t>
  </si>
  <si>
    <t>BALSAS</t>
  </si>
  <si>
    <t>010104</t>
  </si>
  <si>
    <t>CHETO</t>
  </si>
  <si>
    <t>010105</t>
  </si>
  <si>
    <t>CHILIQUIN</t>
  </si>
  <si>
    <t>010106</t>
  </si>
  <si>
    <t>CHUQUIBAMBA</t>
  </si>
  <si>
    <t>010107</t>
  </si>
  <si>
    <t>GRANADA</t>
  </si>
  <si>
    <t>010108</t>
  </si>
  <si>
    <t>HUANCAS</t>
  </si>
  <si>
    <t>010109</t>
  </si>
  <si>
    <t>LA JALCA</t>
  </si>
  <si>
    <t>010110</t>
  </si>
  <si>
    <t>LEIMEBAMBA</t>
  </si>
  <si>
    <t>010111</t>
  </si>
  <si>
    <t>LEVANTO</t>
  </si>
  <si>
    <t>010112</t>
  </si>
  <si>
    <t>MAGDALENA</t>
  </si>
  <si>
    <t>010113</t>
  </si>
  <si>
    <t>MARISCAL CASTILLA</t>
  </si>
  <si>
    <t>DURAZNOPAMPA</t>
  </si>
  <si>
    <t>010114</t>
  </si>
  <si>
    <t>MOLINOPAMPA</t>
  </si>
  <si>
    <t>010115</t>
  </si>
  <si>
    <t>MONTEVIDEO</t>
  </si>
  <si>
    <t>010116</t>
  </si>
  <si>
    <t>OLLEROS</t>
  </si>
  <si>
    <t>010117</t>
  </si>
  <si>
    <t>QUINJALCA</t>
  </si>
  <si>
    <t>010118</t>
  </si>
  <si>
    <t>SAN FRANCISCO DE DAGUAS</t>
  </si>
  <si>
    <t>DAGUAS</t>
  </si>
  <si>
    <t>010119</t>
  </si>
  <si>
    <t>SAN ISIDRO DE MAINO</t>
  </si>
  <si>
    <t>MAINO</t>
  </si>
  <si>
    <t>010120</t>
  </si>
  <si>
    <t>SOLOCO</t>
  </si>
  <si>
    <t>010121</t>
  </si>
  <si>
    <t>SONCHE</t>
  </si>
  <si>
    <t>SAN JUAN DE SONCHE</t>
  </si>
  <si>
    <t>010201</t>
  </si>
  <si>
    <t>BAGUA</t>
  </si>
  <si>
    <t>010202</t>
  </si>
  <si>
    <t>ARAMANGO</t>
  </si>
  <si>
    <t>010203</t>
  </si>
  <si>
    <t>COPALLIN</t>
  </si>
  <si>
    <t>010204</t>
  </si>
  <si>
    <t>EL PARCO</t>
  </si>
  <si>
    <t>010205</t>
  </si>
  <si>
    <t>IMAZA</t>
  </si>
  <si>
    <t>CHIRIACO</t>
  </si>
  <si>
    <t>010206</t>
  </si>
  <si>
    <t>LA PECA</t>
  </si>
  <si>
    <t>010301</t>
  </si>
  <si>
    <t>BONGARA</t>
  </si>
  <si>
    <t>JUMBILLA</t>
  </si>
  <si>
    <t>010302</t>
  </si>
  <si>
    <t>CHISQUILLA</t>
  </si>
  <si>
    <t>010303</t>
  </si>
  <si>
    <t>CHURUJA</t>
  </si>
  <si>
    <t>010304</t>
  </si>
  <si>
    <t>COROSHA</t>
  </si>
  <si>
    <t>010305</t>
  </si>
  <si>
    <t>CUISPES</t>
  </si>
  <si>
    <t>010306</t>
  </si>
  <si>
    <t>FLORIDA</t>
  </si>
  <si>
    <t>FLORIDA (POMACOCHAS)</t>
  </si>
  <si>
    <t>010307</t>
  </si>
  <si>
    <t>JAZAN</t>
  </si>
  <si>
    <t>PEDRO RUIZ GALLO</t>
  </si>
  <si>
    <t>010308</t>
  </si>
  <si>
    <t>RECTA</t>
  </si>
  <si>
    <t>010309</t>
  </si>
  <si>
    <t>SAN CARLOS</t>
  </si>
  <si>
    <t>010310</t>
  </si>
  <si>
    <t>SHIPASBAMBA</t>
  </si>
  <si>
    <t>010311</t>
  </si>
  <si>
    <t>VALERA</t>
  </si>
  <si>
    <t>VALERA (SAN PABLO)</t>
  </si>
  <si>
    <t>010312</t>
  </si>
  <si>
    <t>YAMBRASBAMBA</t>
  </si>
  <si>
    <t>010401</t>
  </si>
  <si>
    <t>CONDORCANQUI</t>
  </si>
  <si>
    <t>NIEVA</t>
  </si>
  <si>
    <t>SANTA MARIA DE NIEVA</t>
  </si>
  <si>
    <t>010402</t>
  </si>
  <si>
    <t>EL CENEPA</t>
  </si>
  <si>
    <t>HUAMPAMI</t>
  </si>
  <si>
    <t>010403</t>
  </si>
  <si>
    <t>RIO SANTIAGO</t>
  </si>
  <si>
    <t>PUERTO GALILEA</t>
  </si>
  <si>
    <t>010501</t>
  </si>
  <si>
    <t>LUYA</t>
  </si>
  <si>
    <t>LAMUD</t>
  </si>
  <si>
    <t>010502</t>
  </si>
  <si>
    <t>CAMPORREDONDO</t>
  </si>
  <si>
    <t>010503</t>
  </si>
  <si>
    <t>COCABAMBA</t>
  </si>
  <si>
    <t>010504</t>
  </si>
  <si>
    <t>COLCAMAR</t>
  </si>
  <si>
    <t>010505</t>
  </si>
  <si>
    <t>CONILA</t>
  </si>
  <si>
    <t>COHECHAN</t>
  </si>
  <si>
    <t>010506</t>
  </si>
  <si>
    <t>INGUILPATA</t>
  </si>
  <si>
    <t>010507</t>
  </si>
  <si>
    <t>LONGUITA</t>
  </si>
  <si>
    <t>010508</t>
  </si>
  <si>
    <t>LONYA CHICO</t>
  </si>
  <si>
    <t>010509</t>
  </si>
  <si>
    <t>010510</t>
  </si>
  <si>
    <t>LUYA VIEJO</t>
  </si>
  <si>
    <t>010511</t>
  </si>
  <si>
    <t>MARIA</t>
  </si>
  <si>
    <t>010512</t>
  </si>
  <si>
    <t>OCALLI</t>
  </si>
  <si>
    <t>010513</t>
  </si>
  <si>
    <t>OCUMAL</t>
  </si>
  <si>
    <t>COLLONCE</t>
  </si>
  <si>
    <t>010514</t>
  </si>
  <si>
    <t>PISUQUIA</t>
  </si>
  <si>
    <t>YOMBLON</t>
  </si>
  <si>
    <t>010515</t>
  </si>
  <si>
    <t>PROVIDENCIA</t>
  </si>
  <si>
    <t>010516</t>
  </si>
  <si>
    <t>SAN CRISTOBAL</t>
  </si>
  <si>
    <t>OLTO</t>
  </si>
  <si>
    <t>010517</t>
  </si>
  <si>
    <t>SAN FRANCISCO DEL YESO</t>
  </si>
  <si>
    <t>010518</t>
  </si>
  <si>
    <t>SAN JERONIMO</t>
  </si>
  <si>
    <t>PACLAS</t>
  </si>
  <si>
    <t>010519</t>
  </si>
  <si>
    <t>SAN JUAN DE LOPECANCHA</t>
  </si>
  <si>
    <t>010520</t>
  </si>
  <si>
    <t>SANTA CATALINA</t>
  </si>
  <si>
    <t>010521</t>
  </si>
  <si>
    <t>SANTO TOMAS</t>
  </si>
  <si>
    <t>010522</t>
  </si>
  <si>
    <t>TINGO</t>
  </si>
  <si>
    <t>010523</t>
  </si>
  <si>
    <t>TRITA</t>
  </si>
  <si>
    <t>010601</t>
  </si>
  <si>
    <t>RODRIGUEZ DE MENDOZA</t>
  </si>
  <si>
    <t>SAN NICOLAS</t>
  </si>
  <si>
    <t>MENDOZA</t>
  </si>
  <si>
    <t>010602</t>
  </si>
  <si>
    <t>CHIRIMOTO</t>
  </si>
  <si>
    <t>010603</t>
  </si>
  <si>
    <t>COCHAMAL</t>
  </si>
  <si>
    <t>010604</t>
  </si>
  <si>
    <t>HUAMBO</t>
  </si>
  <si>
    <t>010605</t>
  </si>
  <si>
    <t>LIMABAMBA</t>
  </si>
  <si>
    <t>010606</t>
  </si>
  <si>
    <t>LONGAR</t>
  </si>
  <si>
    <t>010607</t>
  </si>
  <si>
    <t>MARISCAL BENAVIDES</t>
  </si>
  <si>
    <t>010608</t>
  </si>
  <si>
    <t>MILPUC</t>
  </si>
  <si>
    <t>010609</t>
  </si>
  <si>
    <t>OMIA</t>
  </si>
  <si>
    <t>010610</t>
  </si>
  <si>
    <t>SANTA ROSA</t>
  </si>
  <si>
    <t>SANTA ROSA DE HUAYABAMBA</t>
  </si>
  <si>
    <t>010611</t>
  </si>
  <si>
    <t>TOTORA</t>
  </si>
  <si>
    <t>010612</t>
  </si>
  <si>
    <t>VISTA ALEGRE</t>
  </si>
  <si>
    <t>010701</t>
  </si>
  <si>
    <t>UTCUBAMBA</t>
  </si>
  <si>
    <t>BAGUA GRANDE</t>
  </si>
  <si>
    <t>010702</t>
  </si>
  <si>
    <t>CAJARURO</t>
  </si>
  <si>
    <t>010703</t>
  </si>
  <si>
    <t>CUMBA</t>
  </si>
  <si>
    <t>010704</t>
  </si>
  <si>
    <t>EL MILAGRO</t>
  </si>
  <si>
    <t>010705</t>
  </si>
  <si>
    <t>JAMALCA</t>
  </si>
  <si>
    <t>010706</t>
  </si>
  <si>
    <t>LONYA GRANDE</t>
  </si>
  <si>
    <t>010707</t>
  </si>
  <si>
    <t>YAMON</t>
  </si>
  <si>
    <t>020101</t>
  </si>
  <si>
    <t>ANCASH</t>
  </si>
  <si>
    <t>HUARAZ</t>
  </si>
  <si>
    <t>020102</t>
  </si>
  <si>
    <t>COCHABAMBA</t>
  </si>
  <si>
    <t>020103</t>
  </si>
  <si>
    <t>COLCABAMBA</t>
  </si>
  <si>
    <t>020104</t>
  </si>
  <si>
    <t>HUANCHAY</t>
  </si>
  <si>
    <t>020105</t>
  </si>
  <si>
    <t>INDEPENDENCIA</t>
  </si>
  <si>
    <t>CENTENARIO</t>
  </si>
  <si>
    <t>020106</t>
  </si>
  <si>
    <t>JANGAS</t>
  </si>
  <si>
    <t>020107</t>
  </si>
  <si>
    <t>LA LIBERTAD</t>
  </si>
  <si>
    <t>CAJAMARQUILLA</t>
  </si>
  <si>
    <t>020108</t>
  </si>
  <si>
    <t>020109</t>
  </si>
  <si>
    <t>PAMPAS GRANDE</t>
  </si>
  <si>
    <t>020110</t>
  </si>
  <si>
    <t>PARIACOTO</t>
  </si>
  <si>
    <t>020111</t>
  </si>
  <si>
    <t>PIRA</t>
  </si>
  <si>
    <t>020112</t>
  </si>
  <si>
    <t>TARICA</t>
  </si>
  <si>
    <t>020201</t>
  </si>
  <si>
    <t>AIJA</t>
  </si>
  <si>
    <t>020202</t>
  </si>
  <si>
    <t>CORIS</t>
  </si>
  <si>
    <t>020203</t>
  </si>
  <si>
    <t>HUACLLAN</t>
  </si>
  <si>
    <t>020204</t>
  </si>
  <si>
    <t>LA MERCED</t>
  </si>
  <si>
    <t>020205</t>
  </si>
  <si>
    <t>SUCCHA</t>
  </si>
  <si>
    <t>020301</t>
  </si>
  <si>
    <t>ANTONIO RAYMONDI</t>
  </si>
  <si>
    <t>LLAMELLIN</t>
  </si>
  <si>
    <t>020302</t>
  </si>
  <si>
    <t>ACZO</t>
  </si>
  <si>
    <t>020303</t>
  </si>
  <si>
    <t>CHACCHO</t>
  </si>
  <si>
    <t>020304</t>
  </si>
  <si>
    <t>CHINGAS</t>
  </si>
  <si>
    <t>020305</t>
  </si>
  <si>
    <t>MIRGAS</t>
  </si>
  <si>
    <t>020306</t>
  </si>
  <si>
    <t>SAN JUAN DE RONTOY</t>
  </si>
  <si>
    <t>020401</t>
  </si>
  <si>
    <t>CHACAS</t>
  </si>
  <si>
    <t>020402</t>
  </si>
  <si>
    <t>ACOCHACA</t>
  </si>
  <si>
    <t>020501</t>
  </si>
  <si>
    <t>BOLOGNESI</t>
  </si>
  <si>
    <t>CHIQUIAN</t>
  </si>
  <si>
    <t>020502</t>
  </si>
  <si>
    <t>ABELARDO PARDO LEZAMETA</t>
  </si>
  <si>
    <t>LLACLLA</t>
  </si>
  <si>
    <t>020503</t>
  </si>
  <si>
    <t>RAQUIA</t>
  </si>
  <si>
    <t>020504</t>
  </si>
  <si>
    <t>AQUIA</t>
  </si>
  <si>
    <t>020505</t>
  </si>
  <si>
    <t>CAJACAY</t>
  </si>
  <si>
    <t>020506</t>
  </si>
  <si>
    <t>CANIS</t>
  </si>
  <si>
    <t>020507</t>
  </si>
  <si>
    <t>COLQUIOC</t>
  </si>
  <si>
    <t>CHASQUITAMBO</t>
  </si>
  <si>
    <t>020508</t>
  </si>
  <si>
    <t>HUALLANCA</t>
  </si>
  <si>
    <t>020509</t>
  </si>
  <si>
    <t>HUASTA</t>
  </si>
  <si>
    <t>020510</t>
  </si>
  <si>
    <t>HUAYLLACAYAN</t>
  </si>
  <si>
    <t>020511</t>
  </si>
  <si>
    <t>LA PRIMAVERA</t>
  </si>
  <si>
    <t>GORGORILLO</t>
  </si>
  <si>
    <t>020512</t>
  </si>
  <si>
    <t>MANGAS</t>
  </si>
  <si>
    <t>020513</t>
  </si>
  <si>
    <t>PACLLON</t>
  </si>
  <si>
    <t>020514</t>
  </si>
  <si>
    <t>SAN MIGUEL DE CORPANQUI</t>
  </si>
  <si>
    <t>CORPANQUI</t>
  </si>
  <si>
    <t>020515</t>
  </si>
  <si>
    <t>TICLLOS</t>
  </si>
  <si>
    <t>020601</t>
  </si>
  <si>
    <t>CARHUAZ</t>
  </si>
  <si>
    <t>020602</t>
  </si>
  <si>
    <t>ACOPAMPA</t>
  </si>
  <si>
    <t>020603</t>
  </si>
  <si>
    <t>AMASHCA</t>
  </si>
  <si>
    <t>020604</t>
  </si>
  <si>
    <t>ANTA</t>
  </si>
  <si>
    <t>020605</t>
  </si>
  <si>
    <t>ATAQUERO</t>
  </si>
  <si>
    <t>CARHUAC</t>
  </si>
  <si>
    <t>020606</t>
  </si>
  <si>
    <t>MARCARA</t>
  </si>
  <si>
    <t>020607</t>
  </si>
  <si>
    <t>PARIAHUANCA</t>
  </si>
  <si>
    <t>020608</t>
  </si>
  <si>
    <t>SAN MIGUEL DE ACO</t>
  </si>
  <si>
    <t>ACO</t>
  </si>
  <si>
    <t>020609</t>
  </si>
  <si>
    <t>SHILLA</t>
  </si>
  <si>
    <t>020610</t>
  </si>
  <si>
    <t>TINCO</t>
  </si>
  <si>
    <t>020611</t>
  </si>
  <si>
    <t>YUNGAR</t>
  </si>
  <si>
    <t>020701</t>
  </si>
  <si>
    <t>CARLOS FERMIN FITZCARRALD</t>
  </si>
  <si>
    <t>SAN LUIS</t>
  </si>
  <si>
    <t>020702</t>
  </si>
  <si>
    <t>020703</t>
  </si>
  <si>
    <t>YAUYA</t>
  </si>
  <si>
    <t>020801</t>
  </si>
  <si>
    <t>CASMA</t>
  </si>
  <si>
    <t>020802</t>
  </si>
  <si>
    <t>BUENA VISTA ALTA</t>
  </si>
  <si>
    <t>020803</t>
  </si>
  <si>
    <t>COMANDANTE NOEL</t>
  </si>
  <si>
    <t>PUERTO CASMA</t>
  </si>
  <si>
    <t>020804</t>
  </si>
  <si>
    <t>YAUTAN</t>
  </si>
  <si>
    <t>020901</t>
  </si>
  <si>
    <t>CORONGO</t>
  </si>
  <si>
    <t>020902</t>
  </si>
  <si>
    <t>020903</t>
  </si>
  <si>
    <t>BAMBAS</t>
  </si>
  <si>
    <t>020904</t>
  </si>
  <si>
    <t>CUSCA</t>
  </si>
  <si>
    <t>020905</t>
  </si>
  <si>
    <t>LA PAMPA</t>
  </si>
  <si>
    <t>020906</t>
  </si>
  <si>
    <t>YANAC</t>
  </si>
  <si>
    <t>020907</t>
  </si>
  <si>
    <t>YUPAN</t>
  </si>
  <si>
    <t>021001</t>
  </si>
  <si>
    <t>HUARI</t>
  </si>
  <si>
    <t>021002</t>
  </si>
  <si>
    <t>ANRA</t>
  </si>
  <si>
    <t>021003</t>
  </si>
  <si>
    <t>CAJAY</t>
  </si>
  <si>
    <t>021004</t>
  </si>
  <si>
    <t>CHAVIN DE HUANTAR</t>
  </si>
  <si>
    <t>021005</t>
  </si>
  <si>
    <t>HUACACHI</t>
  </si>
  <si>
    <t>021006</t>
  </si>
  <si>
    <t>HUACCHIS</t>
  </si>
  <si>
    <t>021007</t>
  </si>
  <si>
    <t>HUACHIS</t>
  </si>
  <si>
    <t>021008</t>
  </si>
  <si>
    <t>HUANTAR</t>
  </si>
  <si>
    <t>021009</t>
  </si>
  <si>
    <t>MASIN</t>
  </si>
  <si>
    <t>021010</t>
  </si>
  <si>
    <t>PAUCAS</t>
  </si>
  <si>
    <t>021011</t>
  </si>
  <si>
    <t>PONTO</t>
  </si>
  <si>
    <t>021012</t>
  </si>
  <si>
    <t>RAHUAPAMPA</t>
  </si>
  <si>
    <t>021013</t>
  </si>
  <si>
    <t>RAPAYAN</t>
  </si>
  <si>
    <t>021014</t>
  </si>
  <si>
    <t>SAN MARCOS</t>
  </si>
  <si>
    <t>021015</t>
  </si>
  <si>
    <t>SAN PEDRO DE CHANA</t>
  </si>
  <si>
    <t>CHANA</t>
  </si>
  <si>
    <t>021016</t>
  </si>
  <si>
    <t>UCO</t>
  </si>
  <si>
    <t>021101</t>
  </si>
  <si>
    <t>HUARMEY</t>
  </si>
  <si>
    <t>021102</t>
  </si>
  <si>
    <t>COCHAPETI</t>
  </si>
  <si>
    <t>021103</t>
  </si>
  <si>
    <t>CULEBRAS</t>
  </si>
  <si>
    <t>LA CALETA CULEBRAS</t>
  </si>
  <si>
    <t>021104</t>
  </si>
  <si>
    <t>HUAYAN</t>
  </si>
  <si>
    <t>021105</t>
  </si>
  <si>
    <t>MALVAS</t>
  </si>
  <si>
    <t>021201</t>
  </si>
  <si>
    <t>HUAYLAS</t>
  </si>
  <si>
    <t>CARAZ</t>
  </si>
  <si>
    <t>021202</t>
  </si>
  <si>
    <t>021203</t>
  </si>
  <si>
    <t>HUATA</t>
  </si>
  <si>
    <t>021204</t>
  </si>
  <si>
    <t>021205</t>
  </si>
  <si>
    <t>MATO</t>
  </si>
  <si>
    <t>SUCRE</t>
  </si>
  <si>
    <t>021206</t>
  </si>
  <si>
    <t>PAMPAROMAS</t>
  </si>
  <si>
    <t>021207</t>
  </si>
  <si>
    <t>PUEBLO LIBRE</t>
  </si>
  <si>
    <t>PUEBLO LIBRE /1</t>
  </si>
  <si>
    <t>021208</t>
  </si>
  <si>
    <t>SANTA CRUZ</t>
  </si>
  <si>
    <t>HUARIPAMPA</t>
  </si>
  <si>
    <t>021209</t>
  </si>
  <si>
    <t>SANTO TORIBIO</t>
  </si>
  <si>
    <t>021210</t>
  </si>
  <si>
    <t>YURACMARCA</t>
  </si>
  <si>
    <t>021301</t>
  </si>
  <si>
    <t>MARISCAL LUZURIAGA</t>
  </si>
  <si>
    <t>PISCOBAMBA</t>
  </si>
  <si>
    <t>021302</t>
  </si>
  <si>
    <t>CASCA</t>
  </si>
  <si>
    <t>021303</t>
  </si>
  <si>
    <t>ELEAZAR GUZMAN BARRON</t>
  </si>
  <si>
    <t>PAMPACHACRA</t>
  </si>
  <si>
    <t>021304</t>
  </si>
  <si>
    <t>FIDEL OLIVAS ESCUDERO</t>
  </si>
  <si>
    <t>SANACHGAN</t>
  </si>
  <si>
    <t>021305</t>
  </si>
  <si>
    <t>LLAMA</t>
  </si>
  <si>
    <t>021306</t>
  </si>
  <si>
    <t>LLUMPA</t>
  </si>
  <si>
    <t>021307</t>
  </si>
  <si>
    <t>LUCMA</t>
  </si>
  <si>
    <t>021308</t>
  </si>
  <si>
    <t>MUSGA</t>
  </si>
  <si>
    <t>021401</t>
  </si>
  <si>
    <t>OCROS</t>
  </si>
  <si>
    <t>021402</t>
  </si>
  <si>
    <t>ACAS</t>
  </si>
  <si>
    <t>021403</t>
  </si>
  <si>
    <t>021404</t>
  </si>
  <si>
    <t>CARHUAPAMPA</t>
  </si>
  <si>
    <t>021405</t>
  </si>
  <si>
    <t>COCHAS</t>
  </si>
  <si>
    <t>021406</t>
  </si>
  <si>
    <t>CONGAS</t>
  </si>
  <si>
    <t>021407</t>
  </si>
  <si>
    <t>LLIPA</t>
  </si>
  <si>
    <t>021408</t>
  </si>
  <si>
    <t>SAN CRISTOBAL DE RAJAN</t>
  </si>
  <si>
    <t>RAJAN</t>
  </si>
  <si>
    <t>021409</t>
  </si>
  <si>
    <t>SAN PEDRO</t>
  </si>
  <si>
    <t>COPA</t>
  </si>
  <si>
    <t>021410</t>
  </si>
  <si>
    <t>SANTIAGO DE CHILCAS</t>
  </si>
  <si>
    <t>021501</t>
  </si>
  <si>
    <t>PALLASCA</t>
  </si>
  <si>
    <t>CABANA</t>
  </si>
  <si>
    <t>021502</t>
  </si>
  <si>
    <t>021503</t>
  </si>
  <si>
    <t>CONCHUCOS</t>
  </si>
  <si>
    <t>021504</t>
  </si>
  <si>
    <t>HUACASCHUQUE</t>
  </si>
  <si>
    <t>021505</t>
  </si>
  <si>
    <t>HUANDOVAL</t>
  </si>
  <si>
    <t>021506</t>
  </si>
  <si>
    <t>LACABAMBA</t>
  </si>
  <si>
    <t>021507</t>
  </si>
  <si>
    <t>LLAPO</t>
  </si>
  <si>
    <t>021508</t>
  </si>
  <si>
    <t>021509</t>
  </si>
  <si>
    <t>PAMPAS</t>
  </si>
  <si>
    <t>021510</t>
  </si>
  <si>
    <t>021511</t>
  </si>
  <si>
    <t>TAUCA</t>
  </si>
  <si>
    <t>021601</t>
  </si>
  <si>
    <t>POMABAMBA</t>
  </si>
  <si>
    <t>021602</t>
  </si>
  <si>
    <t>HUAYLLAN</t>
  </si>
  <si>
    <t>021603</t>
  </si>
  <si>
    <t>PAROBAMBA</t>
  </si>
  <si>
    <t>021604</t>
  </si>
  <si>
    <t>QUINUABAMBA</t>
  </si>
  <si>
    <t>021701</t>
  </si>
  <si>
    <t>RECUAY</t>
  </si>
  <si>
    <t>021702</t>
  </si>
  <si>
    <t>CATAC</t>
  </si>
  <si>
    <t>021703</t>
  </si>
  <si>
    <t>COTAPARACO</t>
  </si>
  <si>
    <t>021704</t>
  </si>
  <si>
    <t>HUAYLLAPAMPA</t>
  </si>
  <si>
    <t>021705</t>
  </si>
  <si>
    <t>LLACLLIN</t>
  </si>
  <si>
    <t>021706</t>
  </si>
  <si>
    <t>MARCA</t>
  </si>
  <si>
    <t>021707</t>
  </si>
  <si>
    <t>PAMPAS CHICO</t>
  </si>
  <si>
    <t>021708</t>
  </si>
  <si>
    <t>PARARIN</t>
  </si>
  <si>
    <t>021709</t>
  </si>
  <si>
    <t>TAPACOCHA</t>
  </si>
  <si>
    <t>021710</t>
  </si>
  <si>
    <t>TICAPAMPA</t>
  </si>
  <si>
    <t>021801</t>
  </si>
  <si>
    <t>SANTA</t>
  </si>
  <si>
    <t>CHIMBOTE</t>
  </si>
  <si>
    <t>021802</t>
  </si>
  <si>
    <t>CACERES DEL PERU</t>
  </si>
  <si>
    <t>JIMBE</t>
  </si>
  <si>
    <t>021803</t>
  </si>
  <si>
    <t>COISHCO</t>
  </si>
  <si>
    <t>021804</t>
  </si>
  <si>
    <t>MACATE</t>
  </si>
  <si>
    <t>021805</t>
  </si>
  <si>
    <t>MORO</t>
  </si>
  <si>
    <t>021806</t>
  </si>
  <si>
    <t>NEPEÑA</t>
  </si>
  <si>
    <t>021807</t>
  </si>
  <si>
    <t>SAMANCO</t>
  </si>
  <si>
    <t>021808</t>
  </si>
  <si>
    <t>021809</t>
  </si>
  <si>
    <t>NUEVO CHIMBOTE</t>
  </si>
  <si>
    <t>BUENOS AIRES</t>
  </si>
  <si>
    <t>021901</t>
  </si>
  <si>
    <t>SIHUAS</t>
  </si>
  <si>
    <t>021902</t>
  </si>
  <si>
    <t>ACOBAMBA</t>
  </si>
  <si>
    <t>021903</t>
  </si>
  <si>
    <t>ALFONSO UGARTE</t>
  </si>
  <si>
    <t>ULLULLUCO</t>
  </si>
  <si>
    <t>021904</t>
  </si>
  <si>
    <t>CASHAPAMPA</t>
  </si>
  <si>
    <t>021905</t>
  </si>
  <si>
    <t>CHINGALPO</t>
  </si>
  <si>
    <t>021906</t>
  </si>
  <si>
    <t>HUAYLLABAMBA</t>
  </si>
  <si>
    <t>021907</t>
  </si>
  <si>
    <t>QUICHES</t>
  </si>
  <si>
    <t>021908</t>
  </si>
  <si>
    <t>RAGASH</t>
  </si>
  <si>
    <t>021909</t>
  </si>
  <si>
    <t>SAN JUAN</t>
  </si>
  <si>
    <t>CHULLIN</t>
  </si>
  <si>
    <t>021910</t>
  </si>
  <si>
    <t>SICSIBAMBA</t>
  </si>
  <si>
    <t>UMBE</t>
  </si>
  <si>
    <t>022001</t>
  </si>
  <si>
    <t>YUNGAY</t>
  </si>
  <si>
    <t>022002</t>
  </si>
  <si>
    <t>CASCAPARA</t>
  </si>
  <si>
    <t>022003</t>
  </si>
  <si>
    <t>MANCOS</t>
  </si>
  <si>
    <t>022004</t>
  </si>
  <si>
    <t>MATACOTO</t>
  </si>
  <si>
    <t>022005</t>
  </si>
  <si>
    <t>QUILLO</t>
  </si>
  <si>
    <t>022006</t>
  </si>
  <si>
    <t>RANRAHIRCA</t>
  </si>
  <si>
    <t>022007</t>
  </si>
  <si>
    <t>SHUPLUY</t>
  </si>
  <si>
    <t>022008</t>
  </si>
  <si>
    <t>YANAMA</t>
  </si>
  <si>
    <t>030101</t>
  </si>
  <si>
    <t>APURIMAC</t>
  </si>
  <si>
    <t>ABANCAY</t>
  </si>
  <si>
    <t>030102</t>
  </si>
  <si>
    <t>CHACOCHE</t>
  </si>
  <si>
    <t>030103</t>
  </si>
  <si>
    <t>CIRCA</t>
  </si>
  <si>
    <t>030104</t>
  </si>
  <si>
    <t>CURAHUASI</t>
  </si>
  <si>
    <t>030105</t>
  </si>
  <si>
    <t>HUANIPACA</t>
  </si>
  <si>
    <t>030106</t>
  </si>
  <si>
    <t>LAMBRAMA</t>
  </si>
  <si>
    <t>030107</t>
  </si>
  <si>
    <t>PICHIRHUA</t>
  </si>
  <si>
    <t>030108</t>
  </si>
  <si>
    <t>SAN PEDRO DE CACHORA</t>
  </si>
  <si>
    <t>CACHORA</t>
  </si>
  <si>
    <t>030109</t>
  </si>
  <si>
    <t>TAMBURCO</t>
  </si>
  <si>
    <t>030201</t>
  </si>
  <si>
    <t>ANDAHUAYLAS</t>
  </si>
  <si>
    <t>030202</t>
  </si>
  <si>
    <t>ANDARAPA</t>
  </si>
  <si>
    <t>030203</t>
  </si>
  <si>
    <t>CHIARA</t>
  </si>
  <si>
    <t>030204</t>
  </si>
  <si>
    <t>HUANCARAMA</t>
  </si>
  <si>
    <t>030205</t>
  </si>
  <si>
    <t>HUANCARAY</t>
  </si>
  <si>
    <t>030206</t>
  </si>
  <si>
    <t>HUAYANA</t>
  </si>
  <si>
    <t>030207</t>
  </si>
  <si>
    <t>KISHUARA</t>
  </si>
  <si>
    <t>030208</t>
  </si>
  <si>
    <t>PACOBAMBA</t>
  </si>
  <si>
    <t>030209</t>
  </si>
  <si>
    <t>PACUCHA</t>
  </si>
  <si>
    <t>030210</t>
  </si>
  <si>
    <t>PAMPACHIRI</t>
  </si>
  <si>
    <t>030211</t>
  </si>
  <si>
    <t>POMACOCHA</t>
  </si>
  <si>
    <t>030212</t>
  </si>
  <si>
    <t>SAN ANTONIO DE CACHI</t>
  </si>
  <si>
    <t>030213</t>
  </si>
  <si>
    <t>030214</t>
  </si>
  <si>
    <t>SAN MIGUEL DE CHACCRAMPA</t>
  </si>
  <si>
    <t>CHACCRAMPA</t>
  </si>
  <si>
    <t>030215</t>
  </si>
  <si>
    <t>SANTA MARIA DE CHICMO</t>
  </si>
  <si>
    <t>030216</t>
  </si>
  <si>
    <t>TALAVERA</t>
  </si>
  <si>
    <t>030217</t>
  </si>
  <si>
    <t>TUMAY HUARACA</t>
  </si>
  <si>
    <t>UMAMARCA</t>
  </si>
  <si>
    <t>030218</t>
  </si>
  <si>
    <t>TURPO</t>
  </si>
  <si>
    <t>030219</t>
  </si>
  <si>
    <t>KAQUIABAMBA</t>
  </si>
  <si>
    <t>030220</t>
  </si>
  <si>
    <t>JOSE MARIA ARGUEDAS</t>
  </si>
  <si>
    <t>HUANCABAMBA</t>
  </si>
  <si>
    <t>030301</t>
  </si>
  <si>
    <t>ANTABAMBA</t>
  </si>
  <si>
    <t>030302</t>
  </si>
  <si>
    <t>EL ORO</t>
  </si>
  <si>
    <t>AYAHUAY</t>
  </si>
  <si>
    <t>030303</t>
  </si>
  <si>
    <t>HUAQUIRCA</t>
  </si>
  <si>
    <t>030304</t>
  </si>
  <si>
    <t>JUAN ESPINOZA MEDRANO</t>
  </si>
  <si>
    <t>MOLLEBAMBA</t>
  </si>
  <si>
    <t>030305</t>
  </si>
  <si>
    <t>OROPESA</t>
  </si>
  <si>
    <t>030306</t>
  </si>
  <si>
    <t>PACHACONAS</t>
  </si>
  <si>
    <t>030307</t>
  </si>
  <si>
    <t>SABAINO</t>
  </si>
  <si>
    <t>030401</t>
  </si>
  <si>
    <t>AYMARAES</t>
  </si>
  <si>
    <t>CHALHUANCA</t>
  </si>
  <si>
    <t>030402</t>
  </si>
  <si>
    <t>CAPAYA</t>
  </si>
  <si>
    <t>030403</t>
  </si>
  <si>
    <t>CARAYBAMBA</t>
  </si>
  <si>
    <t>030404</t>
  </si>
  <si>
    <t>CHAPIMARCA</t>
  </si>
  <si>
    <t>030405</t>
  </si>
  <si>
    <t>030406</t>
  </si>
  <si>
    <t>COTARUSE</t>
  </si>
  <si>
    <t>030407</t>
  </si>
  <si>
    <t>IHUAYLLO</t>
  </si>
  <si>
    <t>030408</t>
  </si>
  <si>
    <t>JUSTO APU SAHUARAURA</t>
  </si>
  <si>
    <t>PICHIHUA</t>
  </si>
  <si>
    <t>030409</t>
  </si>
  <si>
    <t>LUCRE</t>
  </si>
  <si>
    <t>030410</t>
  </si>
  <si>
    <t>POCOHUANCA</t>
  </si>
  <si>
    <t>030411</t>
  </si>
  <si>
    <t>SAN JUAN DE CHACÑA</t>
  </si>
  <si>
    <t>030412</t>
  </si>
  <si>
    <t>SAÑAYCA</t>
  </si>
  <si>
    <t>030413</t>
  </si>
  <si>
    <t>SORAYA</t>
  </si>
  <si>
    <t>030414</t>
  </si>
  <si>
    <t>TAPAIRIHUA</t>
  </si>
  <si>
    <t>030415</t>
  </si>
  <si>
    <t>TINTAY</t>
  </si>
  <si>
    <t>030416</t>
  </si>
  <si>
    <t>TORAYA</t>
  </si>
  <si>
    <t>030417</t>
  </si>
  <si>
    <t>YANACA</t>
  </si>
  <si>
    <t>030501</t>
  </si>
  <si>
    <t>COTABAMBAS</t>
  </si>
  <si>
    <t>TAMBOBAMBA</t>
  </si>
  <si>
    <t>030502</t>
  </si>
  <si>
    <t>030503</t>
  </si>
  <si>
    <t>COYLLURQUI</t>
  </si>
  <si>
    <t>030504</t>
  </si>
  <si>
    <t>HAQUIRA</t>
  </si>
  <si>
    <t>030505</t>
  </si>
  <si>
    <t>MARA</t>
  </si>
  <si>
    <t>030506</t>
  </si>
  <si>
    <t>CHALLHUAHUACHO</t>
  </si>
  <si>
    <t>030601</t>
  </si>
  <si>
    <t>CHINCHEROS</t>
  </si>
  <si>
    <t>030602</t>
  </si>
  <si>
    <t>ANCO_HUALLO</t>
  </si>
  <si>
    <t>URIPA</t>
  </si>
  <si>
    <t>030603</t>
  </si>
  <si>
    <t>COCHARCAS</t>
  </si>
  <si>
    <t>030604</t>
  </si>
  <si>
    <t>HUACCANA</t>
  </si>
  <si>
    <t>030605</t>
  </si>
  <si>
    <t>OCOBAMBA</t>
  </si>
  <si>
    <t>030606</t>
  </si>
  <si>
    <t>ONGOY</t>
  </si>
  <si>
    <t>030607</t>
  </si>
  <si>
    <t>URANMARCA</t>
  </si>
  <si>
    <t>030608</t>
  </si>
  <si>
    <t>RANRACANCHA</t>
  </si>
  <si>
    <t>030609</t>
  </si>
  <si>
    <t>ROCCHACC</t>
  </si>
  <si>
    <t>030610</t>
  </si>
  <si>
    <t>EL PORVENIR</t>
  </si>
  <si>
    <t>SAN PEDRO HUAMBURQUE</t>
  </si>
  <si>
    <t>030611</t>
  </si>
  <si>
    <t>LOS CHANKAS</t>
  </si>
  <si>
    <t>RIO BLANCO</t>
  </si>
  <si>
    <t>030701</t>
  </si>
  <si>
    <t>GRAU</t>
  </si>
  <si>
    <t>CHUQUIBAMBILLA</t>
  </si>
  <si>
    <t>030702</t>
  </si>
  <si>
    <t>CURPAHUASI</t>
  </si>
  <si>
    <t>030703</t>
  </si>
  <si>
    <t>GAMARRA</t>
  </si>
  <si>
    <t>PALPACACHI</t>
  </si>
  <si>
    <t>030704</t>
  </si>
  <si>
    <t>HUAYLLATI</t>
  </si>
  <si>
    <t>030705</t>
  </si>
  <si>
    <t>MAMARA</t>
  </si>
  <si>
    <t>030706</t>
  </si>
  <si>
    <t>MICAELA BASTIDAS</t>
  </si>
  <si>
    <t>AYRIHUANCA</t>
  </si>
  <si>
    <t>030707</t>
  </si>
  <si>
    <t>PATAYPAMPA</t>
  </si>
  <si>
    <t>030708</t>
  </si>
  <si>
    <t>PROGRESO</t>
  </si>
  <si>
    <t>030709</t>
  </si>
  <si>
    <t>SAN ANTONIO</t>
  </si>
  <si>
    <t>030710</t>
  </si>
  <si>
    <t>030711</t>
  </si>
  <si>
    <t>TURPAY</t>
  </si>
  <si>
    <t>030712</t>
  </si>
  <si>
    <t>VILCABAMBA</t>
  </si>
  <si>
    <t>030713</t>
  </si>
  <si>
    <t>VIRUNDO</t>
  </si>
  <si>
    <t>SAN JUAN DE VIRUNDO</t>
  </si>
  <si>
    <t>030714</t>
  </si>
  <si>
    <t>CURASCO</t>
  </si>
  <si>
    <t>040101</t>
  </si>
  <si>
    <t>AREQUIPA</t>
  </si>
  <si>
    <t>040102</t>
  </si>
  <si>
    <t>ALTO SELVA ALEGRE</t>
  </si>
  <si>
    <t>SELVA ALEGRE</t>
  </si>
  <si>
    <t>040103</t>
  </si>
  <si>
    <t>CAYMA</t>
  </si>
  <si>
    <t>040104</t>
  </si>
  <si>
    <t>CERRO COLORADO</t>
  </si>
  <si>
    <t>040105</t>
  </si>
  <si>
    <t>CHARACATO</t>
  </si>
  <si>
    <t>040106</t>
  </si>
  <si>
    <t>CHIGUATA</t>
  </si>
  <si>
    <t>040107</t>
  </si>
  <si>
    <t>JACOBO HUNTER</t>
  </si>
  <si>
    <t>040108</t>
  </si>
  <si>
    <t>LA JOYA</t>
  </si>
  <si>
    <t>040109</t>
  </si>
  <si>
    <t>MARIANO MELGAR</t>
  </si>
  <si>
    <t>040110</t>
  </si>
  <si>
    <t>MIRAFLORES</t>
  </si>
  <si>
    <t>040111</t>
  </si>
  <si>
    <t>MOLLEBAYA</t>
  </si>
  <si>
    <t>040112</t>
  </si>
  <si>
    <t>PAUCARPATA</t>
  </si>
  <si>
    <t>040113</t>
  </si>
  <si>
    <t>POCSI</t>
  </si>
  <si>
    <t>040114</t>
  </si>
  <si>
    <t>POLOBAYA</t>
  </si>
  <si>
    <t>POLOBAYA GRANDE</t>
  </si>
  <si>
    <t>040115</t>
  </si>
  <si>
    <t>QUEQUEÑA</t>
  </si>
  <si>
    <t>040116</t>
  </si>
  <si>
    <t>SABANDIA</t>
  </si>
  <si>
    <t>040117</t>
  </si>
  <si>
    <t>SACHACA</t>
  </si>
  <si>
    <t>040118</t>
  </si>
  <si>
    <t>SAN JUAN DE SIGUAS</t>
  </si>
  <si>
    <t>SAN JUAN DE SIGUAS /2</t>
  </si>
  <si>
    <t>040119</t>
  </si>
  <si>
    <t>SAN JUAN DE TARUCANI</t>
  </si>
  <si>
    <t>TARUCANI</t>
  </si>
  <si>
    <t>040120</t>
  </si>
  <si>
    <t>SANTA ISABEL DE SIGUAS</t>
  </si>
  <si>
    <t>040121</t>
  </si>
  <si>
    <t>SANTA RITA DE SIGUAS</t>
  </si>
  <si>
    <t>040122</t>
  </si>
  <si>
    <t>SOCABAYA</t>
  </si>
  <si>
    <t>040123</t>
  </si>
  <si>
    <t>TIABAYA</t>
  </si>
  <si>
    <t>040124</t>
  </si>
  <si>
    <t>UCHUMAYO</t>
  </si>
  <si>
    <t>040125</t>
  </si>
  <si>
    <t>VITOR</t>
  </si>
  <si>
    <t>040126</t>
  </si>
  <si>
    <t>YANAHUARA</t>
  </si>
  <si>
    <t>040127</t>
  </si>
  <si>
    <t>YARABAMBA</t>
  </si>
  <si>
    <t>040128</t>
  </si>
  <si>
    <t>YURA</t>
  </si>
  <si>
    <t>040129</t>
  </si>
  <si>
    <t>JOSE LUIS BUSTAMANTE Y RIVERO</t>
  </si>
  <si>
    <t>CIUDAD SATELITE</t>
  </si>
  <si>
    <t>040201</t>
  </si>
  <si>
    <t>CAMANA</t>
  </si>
  <si>
    <t>040202</t>
  </si>
  <si>
    <t>JOSE MARIA QUIMPER</t>
  </si>
  <si>
    <t>EL CARDO</t>
  </si>
  <si>
    <t>040203</t>
  </si>
  <si>
    <t>MARIANO NICOLAS VALCARCEL</t>
  </si>
  <si>
    <t>URASQUI</t>
  </si>
  <si>
    <t>040204</t>
  </si>
  <si>
    <t>MARISCAL CACERES</t>
  </si>
  <si>
    <t>SAN JOSE</t>
  </si>
  <si>
    <t>040205</t>
  </si>
  <si>
    <t>NICOLAS DE PIEROLA</t>
  </si>
  <si>
    <t>SAN GREGORIO</t>
  </si>
  <si>
    <t>040206</t>
  </si>
  <si>
    <t>OCOÑA</t>
  </si>
  <si>
    <t>040207</t>
  </si>
  <si>
    <t>QUILCA</t>
  </si>
  <si>
    <t>040208</t>
  </si>
  <si>
    <t>SAMUEL PASTOR</t>
  </si>
  <si>
    <t>040301</t>
  </si>
  <si>
    <t>CARAVELI</t>
  </si>
  <si>
    <t>040302</t>
  </si>
  <si>
    <t>ACARI</t>
  </si>
  <si>
    <t>040303</t>
  </si>
  <si>
    <t>ATICO</t>
  </si>
  <si>
    <t>040304</t>
  </si>
  <si>
    <t>ATIQUIPA</t>
  </si>
  <si>
    <t>040305</t>
  </si>
  <si>
    <t>BELLA UNION</t>
  </si>
  <si>
    <t>040306</t>
  </si>
  <si>
    <t>CAHUACHO</t>
  </si>
  <si>
    <t>040307</t>
  </si>
  <si>
    <t>CHALA</t>
  </si>
  <si>
    <t>040308</t>
  </si>
  <si>
    <t>CHAPARRA</t>
  </si>
  <si>
    <t>ACHANIZO</t>
  </si>
  <si>
    <t>040309</t>
  </si>
  <si>
    <t>HUANUHUANU</t>
  </si>
  <si>
    <t>TOCOTA</t>
  </si>
  <si>
    <t>040310</t>
  </si>
  <si>
    <t>JAQUI</t>
  </si>
  <si>
    <t>040311</t>
  </si>
  <si>
    <t>LOMAS</t>
  </si>
  <si>
    <t>040312</t>
  </si>
  <si>
    <t>QUICACHA</t>
  </si>
  <si>
    <t>040313</t>
  </si>
  <si>
    <t>YAUCA</t>
  </si>
  <si>
    <t>040401</t>
  </si>
  <si>
    <t>CASTILLA</t>
  </si>
  <si>
    <t>APLAO</t>
  </si>
  <si>
    <t>040402</t>
  </si>
  <si>
    <t>ANDAGUA</t>
  </si>
  <si>
    <t>040403</t>
  </si>
  <si>
    <t>AYO</t>
  </si>
  <si>
    <t>040404</t>
  </si>
  <si>
    <t>CHACHAS</t>
  </si>
  <si>
    <t>040405</t>
  </si>
  <si>
    <t>CHILCAYMARCA</t>
  </si>
  <si>
    <t>040406</t>
  </si>
  <si>
    <t>CHOCO</t>
  </si>
  <si>
    <t>040407</t>
  </si>
  <si>
    <t>HUANCARQUI</t>
  </si>
  <si>
    <t>040408</t>
  </si>
  <si>
    <t>MACHAGUAY</t>
  </si>
  <si>
    <t>040409</t>
  </si>
  <si>
    <t>ORCOPAMPA</t>
  </si>
  <si>
    <t>040410</t>
  </si>
  <si>
    <t>PAMPACOLCA</t>
  </si>
  <si>
    <t>040411</t>
  </si>
  <si>
    <t>TIPAN</t>
  </si>
  <si>
    <t>040412</t>
  </si>
  <si>
    <t>UÑON</t>
  </si>
  <si>
    <t>040413</t>
  </si>
  <si>
    <t>URACA</t>
  </si>
  <si>
    <t>CORIRI</t>
  </si>
  <si>
    <t>040414</t>
  </si>
  <si>
    <t>VIRACO</t>
  </si>
  <si>
    <t>040501</t>
  </si>
  <si>
    <t>CAYLLOMA</t>
  </si>
  <si>
    <t>CHIVAY</t>
  </si>
  <si>
    <t>040502</t>
  </si>
  <si>
    <t>ACHOMA</t>
  </si>
  <si>
    <t>040503</t>
  </si>
  <si>
    <t>CABANACONDE</t>
  </si>
  <si>
    <t>040504</t>
  </si>
  <si>
    <t>CALLALLI</t>
  </si>
  <si>
    <t>040505</t>
  </si>
  <si>
    <t>040506</t>
  </si>
  <si>
    <t>COPORAQUE</t>
  </si>
  <si>
    <t>040507</t>
  </si>
  <si>
    <t>040508</t>
  </si>
  <si>
    <t>HUANCA</t>
  </si>
  <si>
    <t>040509</t>
  </si>
  <si>
    <t>ICHUPAMPA</t>
  </si>
  <si>
    <t>040510</t>
  </si>
  <si>
    <t>LARI</t>
  </si>
  <si>
    <t>040511</t>
  </si>
  <si>
    <t>LLUTA</t>
  </si>
  <si>
    <t>040512</t>
  </si>
  <si>
    <t>MACA</t>
  </si>
  <si>
    <t>040513</t>
  </si>
  <si>
    <t>MADRIGAL</t>
  </si>
  <si>
    <t>040514</t>
  </si>
  <si>
    <t>SAN ANTONIO DE CHUCA</t>
  </si>
  <si>
    <t>SAN ANTONIO DE CHUCA /3</t>
  </si>
  <si>
    <t>040515</t>
  </si>
  <si>
    <t>SIBAYO</t>
  </si>
  <si>
    <t>040516</t>
  </si>
  <si>
    <t>TAPAY</t>
  </si>
  <si>
    <t>040517</t>
  </si>
  <si>
    <t>TISCO</t>
  </si>
  <si>
    <t>040518</t>
  </si>
  <si>
    <t>TUTI</t>
  </si>
  <si>
    <t>040519</t>
  </si>
  <si>
    <t>YANQUE</t>
  </si>
  <si>
    <t>040520</t>
  </si>
  <si>
    <t>MAJES</t>
  </si>
  <si>
    <t>EL PEDREGAL</t>
  </si>
  <si>
    <t>040601</t>
  </si>
  <si>
    <t>CONDESUYOS</t>
  </si>
  <si>
    <t>040602</t>
  </si>
  <si>
    <t>ANDARAY</t>
  </si>
  <si>
    <t>040603</t>
  </si>
  <si>
    <t>CAYARANI</t>
  </si>
  <si>
    <t>040604</t>
  </si>
  <si>
    <t>CHICHAS</t>
  </si>
  <si>
    <t>040605</t>
  </si>
  <si>
    <t>IRAY</t>
  </si>
  <si>
    <t>040606</t>
  </si>
  <si>
    <t>RIO GRANDE</t>
  </si>
  <si>
    <t>IQUIPI</t>
  </si>
  <si>
    <t>040607</t>
  </si>
  <si>
    <t>SALAMANCA</t>
  </si>
  <si>
    <t>040608</t>
  </si>
  <si>
    <t>YANAQUIHUA</t>
  </si>
  <si>
    <t>040701</t>
  </si>
  <si>
    <t>ISLAY</t>
  </si>
  <si>
    <t>MOLLENDO</t>
  </si>
  <si>
    <t>040702</t>
  </si>
  <si>
    <t>COCACHACRA</t>
  </si>
  <si>
    <t>040703</t>
  </si>
  <si>
    <t>DEAN VALDIVIA</t>
  </si>
  <si>
    <t>LA CURVA</t>
  </si>
  <si>
    <t>040704</t>
  </si>
  <si>
    <t>ISLAY (MATARANI)</t>
  </si>
  <si>
    <t>040705</t>
  </si>
  <si>
    <t>MEJIA</t>
  </si>
  <si>
    <t>040706</t>
  </si>
  <si>
    <t>PUNTA DE BOMBON</t>
  </si>
  <si>
    <t>040801</t>
  </si>
  <si>
    <t>LA UNION</t>
  </si>
  <si>
    <t>COTAHUASI</t>
  </si>
  <si>
    <t>040802</t>
  </si>
  <si>
    <t>ALCA</t>
  </si>
  <si>
    <t>040803</t>
  </si>
  <si>
    <t>CHARCANA</t>
  </si>
  <si>
    <t>040804</t>
  </si>
  <si>
    <t>HUAYNACOTAS</t>
  </si>
  <si>
    <t>TAURISMA</t>
  </si>
  <si>
    <t>040805</t>
  </si>
  <si>
    <t>PAMPAMARCA</t>
  </si>
  <si>
    <t>MUNGUI</t>
  </si>
  <si>
    <t>040806</t>
  </si>
  <si>
    <t>PUYCA</t>
  </si>
  <si>
    <t>040807</t>
  </si>
  <si>
    <t>QUECHUALLA</t>
  </si>
  <si>
    <t>VELINGA</t>
  </si>
  <si>
    <t>040808</t>
  </si>
  <si>
    <t>SAYLA</t>
  </si>
  <si>
    <t>040809</t>
  </si>
  <si>
    <t>TAURIA</t>
  </si>
  <si>
    <t>040810</t>
  </si>
  <si>
    <t>TOMEPAMPA</t>
  </si>
  <si>
    <t>040811</t>
  </si>
  <si>
    <t>TORO</t>
  </si>
  <si>
    <t>050101</t>
  </si>
  <si>
    <t>AYACUCHO</t>
  </si>
  <si>
    <t>HUAMANGA</t>
  </si>
  <si>
    <t>050102</t>
  </si>
  <si>
    <t>ACOCRO</t>
  </si>
  <si>
    <t>050103</t>
  </si>
  <si>
    <t>ACOS VINCHOS</t>
  </si>
  <si>
    <t>050104</t>
  </si>
  <si>
    <t>CARMEN ALTO</t>
  </si>
  <si>
    <t>050105</t>
  </si>
  <si>
    <t>050106</t>
  </si>
  <si>
    <t>050107</t>
  </si>
  <si>
    <t>PACAYCASA</t>
  </si>
  <si>
    <t>050108</t>
  </si>
  <si>
    <t>QUINUA</t>
  </si>
  <si>
    <t>050109</t>
  </si>
  <si>
    <t>SAN JOSE DE TICLLAS</t>
  </si>
  <si>
    <t>TICLLAS</t>
  </si>
  <si>
    <t>050110</t>
  </si>
  <si>
    <t>SAN JUAN BAUTISTA</t>
  </si>
  <si>
    <t>050111</t>
  </si>
  <si>
    <t>SANTIAGO DE PISCHA</t>
  </si>
  <si>
    <t>SAN PEDRO DE CACHI</t>
  </si>
  <si>
    <t>050112</t>
  </si>
  <si>
    <t>SOCOS</t>
  </si>
  <si>
    <t>050113</t>
  </si>
  <si>
    <t>TAMBILLO</t>
  </si>
  <si>
    <t>050114</t>
  </si>
  <si>
    <t>VINCHOS</t>
  </si>
  <si>
    <t>050115</t>
  </si>
  <si>
    <t>JESUS NAZARENO</t>
  </si>
  <si>
    <t>LAS NAZARENAS</t>
  </si>
  <si>
    <t>050116</t>
  </si>
  <si>
    <t>ANDRES AVELINO CACERES DORREGARAY</t>
  </si>
  <si>
    <t>JARDIN</t>
  </si>
  <si>
    <t>050201</t>
  </si>
  <si>
    <t>CANGALLO</t>
  </si>
  <si>
    <t>050202</t>
  </si>
  <si>
    <t>CHUSCHI</t>
  </si>
  <si>
    <t>050203</t>
  </si>
  <si>
    <t>LOS MOROCHUCOS</t>
  </si>
  <si>
    <t>PAMPA-CANGALLO</t>
  </si>
  <si>
    <t>050204</t>
  </si>
  <si>
    <t>MARIA PARADO DE BELLIDO</t>
  </si>
  <si>
    <t>050205</t>
  </si>
  <si>
    <t>PARAS</t>
  </si>
  <si>
    <t>050206</t>
  </si>
  <si>
    <t>TOTOS</t>
  </si>
  <si>
    <t>050301</t>
  </si>
  <si>
    <t>HUANCA SANCOS</t>
  </si>
  <si>
    <t>SANCOS</t>
  </si>
  <si>
    <t>050302</t>
  </si>
  <si>
    <t>CARAPO</t>
  </si>
  <si>
    <t>050303</t>
  </si>
  <si>
    <t>SACSAMARCA</t>
  </si>
  <si>
    <t>050304</t>
  </si>
  <si>
    <t>SANTIAGO DE LUCANAMARCA</t>
  </si>
  <si>
    <t>050401</t>
  </si>
  <si>
    <t>HUANTA</t>
  </si>
  <si>
    <t>050402</t>
  </si>
  <si>
    <t>AYAHUANCO</t>
  </si>
  <si>
    <t>VIRACOCHAN</t>
  </si>
  <si>
    <t>050403</t>
  </si>
  <si>
    <t>HUAMANGUILLA</t>
  </si>
  <si>
    <t>050404</t>
  </si>
  <si>
    <t>IGUAIN</t>
  </si>
  <si>
    <t>MACACHACRA</t>
  </si>
  <si>
    <t>050405</t>
  </si>
  <si>
    <t>LURICOCHA</t>
  </si>
  <si>
    <t>050406</t>
  </si>
  <si>
    <t>SANTILLANA</t>
  </si>
  <si>
    <t>SAN JOSE DE SECCE</t>
  </si>
  <si>
    <t>050407</t>
  </si>
  <si>
    <t>SIVIA</t>
  </si>
  <si>
    <t>050408</t>
  </si>
  <si>
    <t>LLOCHEGUA</t>
  </si>
  <si>
    <t>050409</t>
  </si>
  <si>
    <t>CANAYRE</t>
  </si>
  <si>
    <t>050410</t>
  </si>
  <si>
    <t>UCHURACCAY</t>
  </si>
  <si>
    <t>HUAYNACANCHA</t>
  </si>
  <si>
    <t>050411</t>
  </si>
  <si>
    <t>PUCACOLPA</t>
  </si>
  <si>
    <t>HUALLHUA</t>
  </si>
  <si>
    <t>050412</t>
  </si>
  <si>
    <t>CHACA</t>
  </si>
  <si>
    <t>050501</t>
  </si>
  <si>
    <t>LA MAR</t>
  </si>
  <si>
    <t>SAN MIGUEL</t>
  </si>
  <si>
    <t>050502</t>
  </si>
  <si>
    <t>ANCO</t>
  </si>
  <si>
    <t>CHIQUINTIRCA</t>
  </si>
  <si>
    <t>050503</t>
  </si>
  <si>
    <t>AYNA</t>
  </si>
  <si>
    <t>SAN FRANCISCO</t>
  </si>
  <si>
    <t>050504</t>
  </si>
  <si>
    <t>CHILCAS</t>
  </si>
  <si>
    <t>050505</t>
  </si>
  <si>
    <t>CHUNGUI</t>
  </si>
  <si>
    <t>050506</t>
  </si>
  <si>
    <t>LUIS CARRANZA</t>
  </si>
  <si>
    <t>050507</t>
  </si>
  <si>
    <t>050508</t>
  </si>
  <si>
    <t>TAMBO</t>
  </si>
  <si>
    <t>050509</t>
  </si>
  <si>
    <t>SAMUGARI</t>
  </si>
  <si>
    <t>PALMAPAMPA</t>
  </si>
  <si>
    <t>050510</t>
  </si>
  <si>
    <t>ANCHIHUAY</t>
  </si>
  <si>
    <t>050511</t>
  </si>
  <si>
    <t>ORONCCOY</t>
  </si>
  <si>
    <t>050601</t>
  </si>
  <si>
    <t>LUCANAS</t>
  </si>
  <si>
    <t>PUQUIO</t>
  </si>
  <si>
    <t>050602</t>
  </si>
  <si>
    <t>AUCARA</t>
  </si>
  <si>
    <t>050603</t>
  </si>
  <si>
    <t>050604</t>
  </si>
  <si>
    <t>CARMEN SALCEDO</t>
  </si>
  <si>
    <t>ANDAMARCA</t>
  </si>
  <si>
    <t>050605</t>
  </si>
  <si>
    <t>CHAVIÑA</t>
  </si>
  <si>
    <t>050606</t>
  </si>
  <si>
    <t>CHIPAO</t>
  </si>
  <si>
    <t>050607</t>
  </si>
  <si>
    <t>HUAC-HUAS</t>
  </si>
  <si>
    <t>050608</t>
  </si>
  <si>
    <t>LARAMATE</t>
  </si>
  <si>
    <t>050609</t>
  </si>
  <si>
    <t>LEONCIO PRADO</t>
  </si>
  <si>
    <t>TAMBO QUEMADO</t>
  </si>
  <si>
    <t>050610</t>
  </si>
  <si>
    <t>LLAUTA</t>
  </si>
  <si>
    <t>050611</t>
  </si>
  <si>
    <t>050612</t>
  </si>
  <si>
    <t>OCAÑA</t>
  </si>
  <si>
    <t>050613</t>
  </si>
  <si>
    <t>OTOCA</t>
  </si>
  <si>
    <t>050614</t>
  </si>
  <si>
    <t>SAISA</t>
  </si>
  <si>
    <t>050615</t>
  </si>
  <si>
    <t>050616</t>
  </si>
  <si>
    <t>050617</t>
  </si>
  <si>
    <t>050618</t>
  </si>
  <si>
    <t>SAN PEDRO DE PALCO</t>
  </si>
  <si>
    <t>050619</t>
  </si>
  <si>
    <t>050620</t>
  </si>
  <si>
    <t>SANTA ANA DE HUAYCAHUACHO</t>
  </si>
  <si>
    <t>050621</t>
  </si>
  <si>
    <t>SANTA LUCIA</t>
  </si>
  <si>
    <t>050701</t>
  </si>
  <si>
    <t>PARINACOCHAS</t>
  </si>
  <si>
    <t>CORACORA</t>
  </si>
  <si>
    <t>050702</t>
  </si>
  <si>
    <t>CHUMPI</t>
  </si>
  <si>
    <t>050703</t>
  </si>
  <si>
    <t>CORONEL CASTAÑEDA</t>
  </si>
  <si>
    <t>ANISO</t>
  </si>
  <si>
    <t>050704</t>
  </si>
  <si>
    <t>PACAPAUSA</t>
  </si>
  <si>
    <t>050705</t>
  </si>
  <si>
    <t>PULLO</t>
  </si>
  <si>
    <t>050706</t>
  </si>
  <si>
    <t>PUYUSCA</t>
  </si>
  <si>
    <t>INCUYO</t>
  </si>
  <si>
    <t>050707</t>
  </si>
  <si>
    <t>SAN FRANCISCO DE RAVACAYCO</t>
  </si>
  <si>
    <t>050708</t>
  </si>
  <si>
    <t>UPAHUACHO</t>
  </si>
  <si>
    <t>050801</t>
  </si>
  <si>
    <t>PAUCAR DEL SARA SARA</t>
  </si>
  <si>
    <t>PAUSA</t>
  </si>
  <si>
    <t>050802</t>
  </si>
  <si>
    <t>COLTA</t>
  </si>
  <si>
    <t>050803</t>
  </si>
  <si>
    <t>CORCULLA</t>
  </si>
  <si>
    <t>050804</t>
  </si>
  <si>
    <t>LAMPA</t>
  </si>
  <si>
    <t>050805</t>
  </si>
  <si>
    <t>MARCABAMBA</t>
  </si>
  <si>
    <t>050806</t>
  </si>
  <si>
    <t>OYOLO</t>
  </si>
  <si>
    <t>050807</t>
  </si>
  <si>
    <t>PARARCA</t>
  </si>
  <si>
    <t>050808</t>
  </si>
  <si>
    <t>SAN JAVIER DE ALPABAMBA</t>
  </si>
  <si>
    <t>050809</t>
  </si>
  <si>
    <t>SAN JOSE DE USHUA</t>
  </si>
  <si>
    <t>050810</t>
  </si>
  <si>
    <t>SARA SARA</t>
  </si>
  <si>
    <t>QUILCATA</t>
  </si>
  <si>
    <t>050901</t>
  </si>
  <si>
    <t>QUEROBAMBA</t>
  </si>
  <si>
    <t>050902</t>
  </si>
  <si>
    <t>BELEN</t>
  </si>
  <si>
    <t>050903</t>
  </si>
  <si>
    <t>CHALCOS</t>
  </si>
  <si>
    <t>050904</t>
  </si>
  <si>
    <t>CHILCAYOC</t>
  </si>
  <si>
    <t>050905</t>
  </si>
  <si>
    <t>HUACAÑA</t>
  </si>
  <si>
    <t>050906</t>
  </si>
  <si>
    <t>MORCOLLA</t>
  </si>
  <si>
    <t>050907</t>
  </si>
  <si>
    <t>PAICO</t>
  </si>
  <si>
    <t>050908</t>
  </si>
  <si>
    <t>SAN PEDRO DE LARCAY</t>
  </si>
  <si>
    <t>050909</t>
  </si>
  <si>
    <t>SAN SALVADOR DE QUIJE</t>
  </si>
  <si>
    <t>050910</t>
  </si>
  <si>
    <t>SANTIAGO DE PAUCARAY</t>
  </si>
  <si>
    <t>050911</t>
  </si>
  <si>
    <t>SORAS</t>
  </si>
  <si>
    <t>051001</t>
  </si>
  <si>
    <t>VICTOR FAJARDO</t>
  </si>
  <si>
    <t>HUANCAPI</t>
  </si>
  <si>
    <t>051002</t>
  </si>
  <si>
    <t>ALCAMENCA</t>
  </si>
  <si>
    <t>051003</t>
  </si>
  <si>
    <t>APONGO</t>
  </si>
  <si>
    <t>051004</t>
  </si>
  <si>
    <t>ASQUIPATA</t>
  </si>
  <si>
    <t>051005</t>
  </si>
  <si>
    <t>CANARIA</t>
  </si>
  <si>
    <t>051006</t>
  </si>
  <si>
    <t>CAYARA</t>
  </si>
  <si>
    <t>051007</t>
  </si>
  <si>
    <t>COLCA</t>
  </si>
  <si>
    <t>051008</t>
  </si>
  <si>
    <t>HUAMANQUIQUIA</t>
  </si>
  <si>
    <t>051009</t>
  </si>
  <si>
    <t>HUANCARAYLLA</t>
  </si>
  <si>
    <t>051010</t>
  </si>
  <si>
    <t>HUALLA</t>
  </si>
  <si>
    <t>SAN PEDRO DE HUALLA</t>
  </si>
  <si>
    <t>051011</t>
  </si>
  <si>
    <t>SARHUA</t>
  </si>
  <si>
    <t>051012</t>
  </si>
  <si>
    <t>VILCANCHOS</t>
  </si>
  <si>
    <t>051101</t>
  </si>
  <si>
    <t>VILCAS HUAMAN</t>
  </si>
  <si>
    <t>051102</t>
  </si>
  <si>
    <t>ACCOMARCA</t>
  </si>
  <si>
    <t>051103</t>
  </si>
  <si>
    <t>CARHUANCA</t>
  </si>
  <si>
    <t>051104</t>
  </si>
  <si>
    <t>CONCEPCION</t>
  </si>
  <si>
    <t>051105</t>
  </si>
  <si>
    <t>HUAMBALPA</t>
  </si>
  <si>
    <t>051106</t>
  </si>
  <si>
    <t>PACCHA HUALLHUA /4</t>
  </si>
  <si>
    <t>051107</t>
  </si>
  <si>
    <t>SAURAMA</t>
  </si>
  <si>
    <t>051108</t>
  </si>
  <si>
    <t>VISCHONGO</t>
  </si>
  <si>
    <t>060101</t>
  </si>
  <si>
    <t>CAJAMARCA</t>
  </si>
  <si>
    <t>060102</t>
  </si>
  <si>
    <t>060103</t>
  </si>
  <si>
    <t>CHETILLA</t>
  </si>
  <si>
    <t>060104</t>
  </si>
  <si>
    <t>COSPAN</t>
  </si>
  <si>
    <t>060105</t>
  </si>
  <si>
    <t>ENCAÑADA</t>
  </si>
  <si>
    <t>060106</t>
  </si>
  <si>
    <t>JESUS</t>
  </si>
  <si>
    <t>060107</t>
  </si>
  <si>
    <t>LLACANORA</t>
  </si>
  <si>
    <t>060108</t>
  </si>
  <si>
    <t>LOS BAÑOS DEL INCA</t>
  </si>
  <si>
    <t>060109</t>
  </si>
  <si>
    <t>060110</t>
  </si>
  <si>
    <t>MATARA</t>
  </si>
  <si>
    <t>060111</t>
  </si>
  <si>
    <t>NAMORA</t>
  </si>
  <si>
    <t>060112</t>
  </si>
  <si>
    <t>060201</t>
  </si>
  <si>
    <t>CAJABAMBA</t>
  </si>
  <si>
    <t>060202</t>
  </si>
  <si>
    <t>CACHACHI</t>
  </si>
  <si>
    <t>060203</t>
  </si>
  <si>
    <t>CONDEBAMBA</t>
  </si>
  <si>
    <t>CAUDAY</t>
  </si>
  <si>
    <t>060204</t>
  </si>
  <si>
    <t>SITACOCHA</t>
  </si>
  <si>
    <t>LLUCHUBAMBA</t>
  </si>
  <si>
    <t>060301</t>
  </si>
  <si>
    <t>CELENDIN</t>
  </si>
  <si>
    <t>060302</t>
  </si>
  <si>
    <t>CHUMUCH</t>
  </si>
  <si>
    <t>060303</t>
  </si>
  <si>
    <t>CORTEGANA</t>
  </si>
  <si>
    <t>CHIMUCH (CORTEGANA)</t>
  </si>
  <si>
    <t>060304</t>
  </si>
  <si>
    <t>HUASMIN</t>
  </si>
  <si>
    <t>060305</t>
  </si>
  <si>
    <t>JORGE CHAVEZ</t>
  </si>
  <si>
    <t>LUCMAPAMPA</t>
  </si>
  <si>
    <t>060306</t>
  </si>
  <si>
    <t>JOSE GALVEZ</t>
  </si>
  <si>
    <t>HUACAPAMPA</t>
  </si>
  <si>
    <t>060307</t>
  </si>
  <si>
    <t>MIGUEL IGLESIAS</t>
  </si>
  <si>
    <t>CHALAN</t>
  </si>
  <si>
    <t>060308</t>
  </si>
  <si>
    <t>OXAMARCA</t>
  </si>
  <si>
    <t>060309</t>
  </si>
  <si>
    <t>SOROCHUCO</t>
  </si>
  <si>
    <t>060310</t>
  </si>
  <si>
    <t>060311</t>
  </si>
  <si>
    <t>UTCO</t>
  </si>
  <si>
    <t>060312</t>
  </si>
  <si>
    <t>LA LIBERTAD DE PALLAN</t>
  </si>
  <si>
    <t>060401</t>
  </si>
  <si>
    <t>CHOTA</t>
  </si>
  <si>
    <t>060402</t>
  </si>
  <si>
    <t>ANGUIA</t>
  </si>
  <si>
    <t>060403</t>
  </si>
  <si>
    <t>CHADIN</t>
  </si>
  <si>
    <t>060404</t>
  </si>
  <si>
    <t>CHIGUIRIP</t>
  </si>
  <si>
    <t>060405</t>
  </si>
  <si>
    <t>CHIMBAN</t>
  </si>
  <si>
    <t>060406</t>
  </si>
  <si>
    <t>CHOROPAMPA</t>
  </si>
  <si>
    <t>060407</t>
  </si>
  <si>
    <t>060408</t>
  </si>
  <si>
    <t>CONCHAN</t>
  </si>
  <si>
    <t>060409</t>
  </si>
  <si>
    <t>HUAMBOS</t>
  </si>
  <si>
    <t>060410</t>
  </si>
  <si>
    <t>LAJAS</t>
  </si>
  <si>
    <t>060411</t>
  </si>
  <si>
    <t>060412</t>
  </si>
  <si>
    <t>MIRACOSTA</t>
  </si>
  <si>
    <t>060413</t>
  </si>
  <si>
    <t>PACCHA</t>
  </si>
  <si>
    <t>060414</t>
  </si>
  <si>
    <t>PION</t>
  </si>
  <si>
    <t>060415</t>
  </si>
  <si>
    <t>QUEROCOTO</t>
  </si>
  <si>
    <t>060416</t>
  </si>
  <si>
    <t>SAN JUAN DE LICUPIS</t>
  </si>
  <si>
    <t>LICUPIS</t>
  </si>
  <si>
    <t>060417</t>
  </si>
  <si>
    <t>TACABAMBA</t>
  </si>
  <si>
    <t>060418</t>
  </si>
  <si>
    <t>TOCMOCHE</t>
  </si>
  <si>
    <t>060419</t>
  </si>
  <si>
    <t>CHALAMARCA</t>
  </si>
  <si>
    <t>060501</t>
  </si>
  <si>
    <t>CONTUMAZA</t>
  </si>
  <si>
    <t>060502</t>
  </si>
  <si>
    <t>CHILETE</t>
  </si>
  <si>
    <t>060503</t>
  </si>
  <si>
    <t>CUPISNIQUE</t>
  </si>
  <si>
    <t>TRINIDAD</t>
  </si>
  <si>
    <t>060504</t>
  </si>
  <si>
    <t>GUZMANGO</t>
  </si>
  <si>
    <t>060505</t>
  </si>
  <si>
    <t>SAN BENITO</t>
  </si>
  <si>
    <t>060506</t>
  </si>
  <si>
    <t>SANTA CRUZ DE TOLED</t>
  </si>
  <si>
    <t>060507</t>
  </si>
  <si>
    <t>TANTARICA</t>
  </si>
  <si>
    <t>CATAN</t>
  </si>
  <si>
    <t>060508</t>
  </si>
  <si>
    <t>YONAN</t>
  </si>
  <si>
    <t>TEMBLADERA</t>
  </si>
  <si>
    <t>060601</t>
  </si>
  <si>
    <t>CUTERVO</t>
  </si>
  <si>
    <t>060602</t>
  </si>
  <si>
    <t>CALLAYUC</t>
  </si>
  <si>
    <t>060603</t>
  </si>
  <si>
    <t>CHOROS</t>
  </si>
  <si>
    <t>060604</t>
  </si>
  <si>
    <t>CUJILLO</t>
  </si>
  <si>
    <t>060605</t>
  </si>
  <si>
    <t>LA RAMADA</t>
  </si>
  <si>
    <t>060606</t>
  </si>
  <si>
    <t>PIMPINGOS</t>
  </si>
  <si>
    <t>060607</t>
  </si>
  <si>
    <t>QUEROCOTILLO</t>
  </si>
  <si>
    <t>060608</t>
  </si>
  <si>
    <t>SAN ANDRES DE CUTERVO</t>
  </si>
  <si>
    <t>060609</t>
  </si>
  <si>
    <t>SAN JUAN DE CUTERVO</t>
  </si>
  <si>
    <t>060610</t>
  </si>
  <si>
    <t>SAN LUIS DE LUCMA</t>
  </si>
  <si>
    <t>060611</t>
  </si>
  <si>
    <t>060612</t>
  </si>
  <si>
    <t>SANTO DOMINGO DE LA CAPILLA</t>
  </si>
  <si>
    <t>060613</t>
  </si>
  <si>
    <t>060614</t>
  </si>
  <si>
    <t>SOCOTA</t>
  </si>
  <si>
    <t>060615</t>
  </si>
  <si>
    <t>TORIBIO CASANOVA</t>
  </si>
  <si>
    <t>LA SACILIA</t>
  </si>
  <si>
    <t>060701</t>
  </si>
  <si>
    <t>HUALGAYOC</t>
  </si>
  <si>
    <t>BAMBAMARCA</t>
  </si>
  <si>
    <t>060702</t>
  </si>
  <si>
    <t>CHUGUR</t>
  </si>
  <si>
    <t>060703</t>
  </si>
  <si>
    <t>060801</t>
  </si>
  <si>
    <t>JAEN</t>
  </si>
  <si>
    <t>060802</t>
  </si>
  <si>
    <t>BELLAVISTA</t>
  </si>
  <si>
    <t>060803</t>
  </si>
  <si>
    <t>CHONTALI</t>
  </si>
  <si>
    <t>060804</t>
  </si>
  <si>
    <t>COLASAY</t>
  </si>
  <si>
    <t>060805</t>
  </si>
  <si>
    <t>HUABAL</t>
  </si>
  <si>
    <t>060806</t>
  </si>
  <si>
    <t>LAS PIRIAS</t>
  </si>
  <si>
    <t>060807</t>
  </si>
  <si>
    <t>POMAHUACA</t>
  </si>
  <si>
    <t>060808</t>
  </si>
  <si>
    <t>PUCARA</t>
  </si>
  <si>
    <t>060809</t>
  </si>
  <si>
    <t>SALLIQUE</t>
  </si>
  <si>
    <t>060810</t>
  </si>
  <si>
    <t>SAN FELIPE</t>
  </si>
  <si>
    <t>060811</t>
  </si>
  <si>
    <t>SAN JOSE DEL ALTO</t>
  </si>
  <si>
    <t>060812</t>
  </si>
  <si>
    <t>060901</t>
  </si>
  <si>
    <t>SAN IGNACIO</t>
  </si>
  <si>
    <t>060902</t>
  </si>
  <si>
    <t>CHIRINOS</t>
  </si>
  <si>
    <t>060903</t>
  </si>
  <si>
    <t>HUARANGO</t>
  </si>
  <si>
    <t>060904</t>
  </si>
  <si>
    <t>LA COIPA</t>
  </si>
  <si>
    <t>060905</t>
  </si>
  <si>
    <t>NAMBALLE</t>
  </si>
  <si>
    <t>060906</t>
  </si>
  <si>
    <t>SAN JOSE DE LOURDES</t>
  </si>
  <si>
    <t>060907</t>
  </si>
  <si>
    <t>TABACONAS</t>
  </si>
  <si>
    <t>061001</t>
  </si>
  <si>
    <t>PEDRO GALVEZ</t>
  </si>
  <si>
    <t>061002</t>
  </si>
  <si>
    <t>CHANCAY</t>
  </si>
  <si>
    <t>061003</t>
  </si>
  <si>
    <t>EDUARDO VILLANUEVA</t>
  </si>
  <si>
    <t>LA GRAMA</t>
  </si>
  <si>
    <t>061004</t>
  </si>
  <si>
    <t>GREGORIO PITA</t>
  </si>
  <si>
    <t>PAUCAMARCA</t>
  </si>
  <si>
    <t>061005</t>
  </si>
  <si>
    <t>ICHOCAN</t>
  </si>
  <si>
    <t>061006</t>
  </si>
  <si>
    <t>JOSE MANUEL QUIROZ</t>
  </si>
  <si>
    <t>SHIRAC</t>
  </si>
  <si>
    <t>061007</t>
  </si>
  <si>
    <t>JOSE SABOGAL</t>
  </si>
  <si>
    <t>VENECIA</t>
  </si>
  <si>
    <t>061101</t>
  </si>
  <si>
    <t>SAN MIGUEL DE PALLAQUES</t>
  </si>
  <si>
    <t>061102</t>
  </si>
  <si>
    <t>BOLIVAR</t>
  </si>
  <si>
    <t>061103</t>
  </si>
  <si>
    <t>CALQUIS</t>
  </si>
  <si>
    <t>061104</t>
  </si>
  <si>
    <t>CATILLUC</t>
  </si>
  <si>
    <t>061105</t>
  </si>
  <si>
    <t>EL PRADO</t>
  </si>
  <si>
    <t>061106</t>
  </si>
  <si>
    <t>LA FLORIDA</t>
  </si>
  <si>
    <t>061107</t>
  </si>
  <si>
    <t>LLAPA</t>
  </si>
  <si>
    <t>061108</t>
  </si>
  <si>
    <t>NANCHOC</t>
  </si>
  <si>
    <t>061109</t>
  </si>
  <si>
    <t>NIEPOS</t>
  </si>
  <si>
    <t>061110</t>
  </si>
  <si>
    <t>061111</t>
  </si>
  <si>
    <t>SAN SILVESTRE DE COCHAN</t>
  </si>
  <si>
    <t>061112</t>
  </si>
  <si>
    <t>TONGOD</t>
  </si>
  <si>
    <t>061113</t>
  </si>
  <si>
    <t>UNION AGUA BLANCA</t>
  </si>
  <si>
    <t>AGUA BLANCA</t>
  </si>
  <si>
    <t>061201</t>
  </si>
  <si>
    <t>SAN PABLO</t>
  </si>
  <si>
    <t>061202</t>
  </si>
  <si>
    <t>SAN BERNARDINO</t>
  </si>
  <si>
    <t>061203</t>
  </si>
  <si>
    <t>SAN LUIS GRANDE</t>
  </si>
  <si>
    <t>061204</t>
  </si>
  <si>
    <t>TUMBADEN</t>
  </si>
  <si>
    <t>061301</t>
  </si>
  <si>
    <t>SANTA CRUZ DE SUCCHABAMBA</t>
  </si>
  <si>
    <t>061302</t>
  </si>
  <si>
    <t>ANDABAMBA</t>
  </si>
  <si>
    <t>061303</t>
  </si>
  <si>
    <t>CATACHE</t>
  </si>
  <si>
    <t>061304</t>
  </si>
  <si>
    <t>CHANCAYBAÑOS</t>
  </si>
  <si>
    <t>061305</t>
  </si>
  <si>
    <t>LA ESPERANZA</t>
  </si>
  <si>
    <t>061306</t>
  </si>
  <si>
    <t>NINABAMBA</t>
  </si>
  <si>
    <t>061307</t>
  </si>
  <si>
    <t>PULAN</t>
  </si>
  <si>
    <t>061308</t>
  </si>
  <si>
    <t>SAUCEPAMPA</t>
  </si>
  <si>
    <t>061309</t>
  </si>
  <si>
    <t>SEXI</t>
  </si>
  <si>
    <t>061310</t>
  </si>
  <si>
    <t>UTICYACU</t>
  </si>
  <si>
    <t>061311</t>
  </si>
  <si>
    <t>YAUYUCAN</t>
  </si>
  <si>
    <t>070101</t>
  </si>
  <si>
    <t>CALLAO</t>
  </si>
  <si>
    <t>070102</t>
  </si>
  <si>
    <t>070103</t>
  </si>
  <si>
    <t>CARMEN DE LA LEGUA REYNOSO</t>
  </si>
  <si>
    <t>070104</t>
  </si>
  <si>
    <t>LA PERLA</t>
  </si>
  <si>
    <t>070105</t>
  </si>
  <si>
    <t>LA PUNTA</t>
  </si>
  <si>
    <t>070106</t>
  </si>
  <si>
    <t>VENTANILLA</t>
  </si>
  <si>
    <t>070107</t>
  </si>
  <si>
    <t>MI PERU</t>
  </si>
  <si>
    <t>080101</t>
  </si>
  <si>
    <t>CUSCO</t>
  </si>
  <si>
    <t>080102</t>
  </si>
  <si>
    <t>CCORCA</t>
  </si>
  <si>
    <t>080103</t>
  </si>
  <si>
    <t>POROY</t>
  </si>
  <si>
    <t>080104</t>
  </si>
  <si>
    <t>080105</t>
  </si>
  <si>
    <t>SAN SEBASTIAN</t>
  </si>
  <si>
    <t>080106</t>
  </si>
  <si>
    <t>SANTIAGO</t>
  </si>
  <si>
    <t>080107</t>
  </si>
  <si>
    <t>SAYLLA</t>
  </si>
  <si>
    <t>080108</t>
  </si>
  <si>
    <t>WANCHAQ</t>
  </si>
  <si>
    <t>080201</t>
  </si>
  <si>
    <t>ACOMAYO</t>
  </si>
  <si>
    <t>080202</t>
  </si>
  <si>
    <t>ACOPIA</t>
  </si>
  <si>
    <t>080203</t>
  </si>
  <si>
    <t>ACOS</t>
  </si>
  <si>
    <t>080204</t>
  </si>
  <si>
    <t>MOSOC LLACTA</t>
  </si>
  <si>
    <t>080205</t>
  </si>
  <si>
    <t>POMACANCHI</t>
  </si>
  <si>
    <t>080206</t>
  </si>
  <si>
    <t>RONDOCAN</t>
  </si>
  <si>
    <t>080207</t>
  </si>
  <si>
    <t>SANGARARA</t>
  </si>
  <si>
    <t>080301</t>
  </si>
  <si>
    <t>080302</t>
  </si>
  <si>
    <t>ANCAHUASI</t>
  </si>
  <si>
    <t>080303</t>
  </si>
  <si>
    <t>CACHIMAYO</t>
  </si>
  <si>
    <t>080304</t>
  </si>
  <si>
    <t>CHINCHAYPUJIO</t>
  </si>
  <si>
    <t>080305</t>
  </si>
  <si>
    <t>HUAROCONDO</t>
  </si>
  <si>
    <t>080306</t>
  </si>
  <si>
    <t>LIMATAMBO</t>
  </si>
  <si>
    <t>080307</t>
  </si>
  <si>
    <t>MOLLEPATA</t>
  </si>
  <si>
    <t>080308</t>
  </si>
  <si>
    <t>PUCYURA</t>
  </si>
  <si>
    <t>080309</t>
  </si>
  <si>
    <t>ZURITE</t>
  </si>
  <si>
    <t>080401</t>
  </si>
  <si>
    <t>CALCA</t>
  </si>
  <si>
    <t>080402</t>
  </si>
  <si>
    <t>COYA</t>
  </si>
  <si>
    <t>080403</t>
  </si>
  <si>
    <t>LAMAY</t>
  </si>
  <si>
    <t>080404</t>
  </si>
  <si>
    <t>LARES</t>
  </si>
  <si>
    <t>080405</t>
  </si>
  <si>
    <t>PISAC</t>
  </si>
  <si>
    <t>080406</t>
  </si>
  <si>
    <t>SAN SALVADOR</t>
  </si>
  <si>
    <t>080407</t>
  </si>
  <si>
    <t>TARAY</t>
  </si>
  <si>
    <t>080408</t>
  </si>
  <si>
    <t>YANATILE</t>
  </si>
  <si>
    <t>QUEBRADA HONDA</t>
  </si>
  <si>
    <t>080501</t>
  </si>
  <si>
    <t>CANAS</t>
  </si>
  <si>
    <t>YANAOCA</t>
  </si>
  <si>
    <t>080502</t>
  </si>
  <si>
    <t>CHECCA</t>
  </si>
  <si>
    <t>080503</t>
  </si>
  <si>
    <t>KUNTURKANKI</t>
  </si>
  <si>
    <t>EL DESCANSO</t>
  </si>
  <si>
    <t>080504</t>
  </si>
  <si>
    <t>LANGUI</t>
  </si>
  <si>
    <t>080505</t>
  </si>
  <si>
    <t>LAYO</t>
  </si>
  <si>
    <t>080506</t>
  </si>
  <si>
    <t>080507</t>
  </si>
  <si>
    <t>QUEHUE</t>
  </si>
  <si>
    <t>080508</t>
  </si>
  <si>
    <t>TUPAC AMARU</t>
  </si>
  <si>
    <t>TUNGASUCA</t>
  </si>
  <si>
    <t>080601</t>
  </si>
  <si>
    <t>CANCHIS</t>
  </si>
  <si>
    <t>SICUANI</t>
  </si>
  <si>
    <t>080602</t>
  </si>
  <si>
    <t>CHECACUPE</t>
  </si>
  <si>
    <t>080603</t>
  </si>
  <si>
    <t>COMBAPATA</t>
  </si>
  <si>
    <t>080604</t>
  </si>
  <si>
    <t>MARANGANI</t>
  </si>
  <si>
    <t>080605</t>
  </si>
  <si>
    <t>PITUMARCA</t>
  </si>
  <si>
    <t>080606</t>
  </si>
  <si>
    <t>080607</t>
  </si>
  <si>
    <t>080608</t>
  </si>
  <si>
    <t>TINTA</t>
  </si>
  <si>
    <t>080701</t>
  </si>
  <si>
    <t>CHUMBIVILCAS</t>
  </si>
  <si>
    <t>080702</t>
  </si>
  <si>
    <t>CAPACMARCA</t>
  </si>
  <si>
    <t>080703</t>
  </si>
  <si>
    <t>CHAMACA</t>
  </si>
  <si>
    <t>080704</t>
  </si>
  <si>
    <t>COLQUEMARCA</t>
  </si>
  <si>
    <t>080705</t>
  </si>
  <si>
    <t>LIVITACA</t>
  </si>
  <si>
    <t>080706</t>
  </si>
  <si>
    <t>LLUSCO</t>
  </si>
  <si>
    <t>080707</t>
  </si>
  <si>
    <t>QUIÑOTA</t>
  </si>
  <si>
    <t>080708</t>
  </si>
  <si>
    <t>VELILLE</t>
  </si>
  <si>
    <t>080801</t>
  </si>
  <si>
    <t>ESPINAR</t>
  </si>
  <si>
    <t>YAURI</t>
  </si>
  <si>
    <t>080802</t>
  </si>
  <si>
    <t>CONDOROMA</t>
  </si>
  <si>
    <t>080803</t>
  </si>
  <si>
    <t>080804</t>
  </si>
  <si>
    <t>OCORURO</t>
  </si>
  <si>
    <t>080805</t>
  </si>
  <si>
    <t>PALLPATA</t>
  </si>
  <si>
    <t>HECTOR TEJADA</t>
  </si>
  <si>
    <t>080806</t>
  </si>
  <si>
    <t>PICHIGUA</t>
  </si>
  <si>
    <t>080807</t>
  </si>
  <si>
    <t>SUYCKUTAMBO</t>
  </si>
  <si>
    <t>SUYCKUTAMBO /5</t>
  </si>
  <si>
    <t>080808</t>
  </si>
  <si>
    <t>ALTO PICHIGUA</t>
  </si>
  <si>
    <t>ACCOCUNCA</t>
  </si>
  <si>
    <t>080901</t>
  </si>
  <si>
    <t>LA CONVENCION</t>
  </si>
  <si>
    <t>SANTA ANA</t>
  </si>
  <si>
    <t>QUILLABAMBA</t>
  </si>
  <si>
    <t>080902</t>
  </si>
  <si>
    <t>ECHARATE</t>
  </si>
  <si>
    <t>080903</t>
  </si>
  <si>
    <t>HUAYOPATA</t>
  </si>
  <si>
    <t>IPAL /6</t>
  </si>
  <si>
    <t>080904</t>
  </si>
  <si>
    <t>MARANURA</t>
  </si>
  <si>
    <t>080905</t>
  </si>
  <si>
    <t>OCOBAMBA /7</t>
  </si>
  <si>
    <t>080906</t>
  </si>
  <si>
    <t>QUELLOUNO</t>
  </si>
  <si>
    <t>080907</t>
  </si>
  <si>
    <t>KIMBIRI</t>
  </si>
  <si>
    <t>080908</t>
  </si>
  <si>
    <t>SANTA TERESA</t>
  </si>
  <si>
    <t>080909</t>
  </si>
  <si>
    <t>080910</t>
  </si>
  <si>
    <t>PICHARI</t>
  </si>
  <si>
    <t>080911</t>
  </si>
  <si>
    <t>INKAWASI</t>
  </si>
  <si>
    <t>AMAYBAMBA</t>
  </si>
  <si>
    <t>080912</t>
  </si>
  <si>
    <t>VILLA VIRGEN</t>
  </si>
  <si>
    <t>080913</t>
  </si>
  <si>
    <t>VILLA KINTIARINA</t>
  </si>
  <si>
    <t>080914</t>
  </si>
  <si>
    <t>MEGANTONI</t>
  </si>
  <si>
    <t>CAMISEA</t>
  </si>
  <si>
    <t>081001</t>
  </si>
  <si>
    <t>PARURO</t>
  </si>
  <si>
    <t>081002</t>
  </si>
  <si>
    <t>ACCHA</t>
  </si>
  <si>
    <t>081003</t>
  </si>
  <si>
    <t>CCAPI</t>
  </si>
  <si>
    <t>081004</t>
  </si>
  <si>
    <t>COLCHA</t>
  </si>
  <si>
    <t>081005</t>
  </si>
  <si>
    <t>HUANOQUITE</t>
  </si>
  <si>
    <t>081006</t>
  </si>
  <si>
    <t>OMACHA</t>
  </si>
  <si>
    <t>081007</t>
  </si>
  <si>
    <t>PACCARITAMBO</t>
  </si>
  <si>
    <t>081008</t>
  </si>
  <si>
    <t>PILLPINTO</t>
  </si>
  <si>
    <t>081009</t>
  </si>
  <si>
    <t>YAURISQUE</t>
  </si>
  <si>
    <t>081101</t>
  </si>
  <si>
    <t>PAUCARTAMBO</t>
  </si>
  <si>
    <t>081102</t>
  </si>
  <si>
    <t>CAICAY</t>
  </si>
  <si>
    <t>081103</t>
  </si>
  <si>
    <t>CHALLABAMBA</t>
  </si>
  <si>
    <t>081104</t>
  </si>
  <si>
    <t>COLQUEPATA</t>
  </si>
  <si>
    <t>081105</t>
  </si>
  <si>
    <t>HUANCARANI</t>
  </si>
  <si>
    <t>081106</t>
  </si>
  <si>
    <t>KOSÑIPATA</t>
  </si>
  <si>
    <t>PILLCOPATA</t>
  </si>
  <si>
    <t>081201</t>
  </si>
  <si>
    <t>QUISPICANCHI</t>
  </si>
  <si>
    <t>URCOS</t>
  </si>
  <si>
    <t>081202</t>
  </si>
  <si>
    <t>ANDAHUAYLILLAS</t>
  </si>
  <si>
    <t>081203</t>
  </si>
  <si>
    <t>CAMANTI</t>
  </si>
  <si>
    <t>QUINCE MIL</t>
  </si>
  <si>
    <t>081204</t>
  </si>
  <si>
    <t>CCARHUAYO</t>
  </si>
  <si>
    <t>081205</t>
  </si>
  <si>
    <t>CCATCA</t>
  </si>
  <si>
    <t>081206</t>
  </si>
  <si>
    <t>CUSIPATA</t>
  </si>
  <si>
    <t>081207</t>
  </si>
  <si>
    <t>HUARO</t>
  </si>
  <si>
    <t>081208</t>
  </si>
  <si>
    <t>081209</t>
  </si>
  <si>
    <t>MARCAPATA</t>
  </si>
  <si>
    <t>081210</t>
  </si>
  <si>
    <t>OCONGATE</t>
  </si>
  <si>
    <t>081211</t>
  </si>
  <si>
    <t>081212</t>
  </si>
  <si>
    <t>QUIQUIJANA</t>
  </si>
  <si>
    <t>081301</t>
  </si>
  <si>
    <t>URUBAMBA</t>
  </si>
  <si>
    <t>081302</t>
  </si>
  <si>
    <t>CHINCHERO</t>
  </si>
  <si>
    <t>081303</t>
  </si>
  <si>
    <t>081304</t>
  </si>
  <si>
    <t>MACHUPICCHU</t>
  </si>
  <si>
    <t>081305</t>
  </si>
  <si>
    <t>MARAS</t>
  </si>
  <si>
    <t>081306</t>
  </si>
  <si>
    <t>OLLANTAYTAMBO</t>
  </si>
  <si>
    <t>081307</t>
  </si>
  <si>
    <t>YUCAY</t>
  </si>
  <si>
    <t>090101</t>
  </si>
  <si>
    <t>HUANCAVELICA</t>
  </si>
  <si>
    <t>090102</t>
  </si>
  <si>
    <t>ACOBAMBILLA</t>
  </si>
  <si>
    <t>090103</t>
  </si>
  <si>
    <t>ACORIA</t>
  </si>
  <si>
    <t>090104</t>
  </si>
  <si>
    <t>CONAYCA</t>
  </si>
  <si>
    <t>090105</t>
  </si>
  <si>
    <t>CUENCA</t>
  </si>
  <si>
    <t>090106</t>
  </si>
  <si>
    <t>HUACHOCOLPA</t>
  </si>
  <si>
    <t>090107</t>
  </si>
  <si>
    <t>HUAYLLAHUARA</t>
  </si>
  <si>
    <t>090108</t>
  </si>
  <si>
    <t>IZCUCHACA</t>
  </si>
  <si>
    <t>090109</t>
  </si>
  <si>
    <t>LARIA</t>
  </si>
  <si>
    <t>090110</t>
  </si>
  <si>
    <t>MANTA</t>
  </si>
  <si>
    <t>090111</t>
  </si>
  <si>
    <t>090112</t>
  </si>
  <si>
    <t>MOYA</t>
  </si>
  <si>
    <t>090113</t>
  </si>
  <si>
    <t>NUEVO OCCORO</t>
  </si>
  <si>
    <t>OCCORO</t>
  </si>
  <si>
    <t>090114</t>
  </si>
  <si>
    <t>PALCA</t>
  </si>
  <si>
    <t>090115</t>
  </si>
  <si>
    <t>PILCHACA</t>
  </si>
  <si>
    <t>090116</t>
  </si>
  <si>
    <t>VILCA</t>
  </si>
  <si>
    <t>090117</t>
  </si>
  <si>
    <t>YAULI</t>
  </si>
  <si>
    <t>090118</t>
  </si>
  <si>
    <t>ASCENSION</t>
  </si>
  <si>
    <t>090119</t>
  </si>
  <si>
    <t>HUANDO</t>
  </si>
  <si>
    <t>090201</t>
  </si>
  <si>
    <t>090202</t>
  </si>
  <si>
    <t>090203</t>
  </si>
  <si>
    <t>090204</t>
  </si>
  <si>
    <t>CAJA</t>
  </si>
  <si>
    <t>090205</t>
  </si>
  <si>
    <t>MARCAS</t>
  </si>
  <si>
    <t>090206</t>
  </si>
  <si>
    <t>PAUCARA</t>
  </si>
  <si>
    <t>090207</t>
  </si>
  <si>
    <t>090208</t>
  </si>
  <si>
    <t>ROSARIO</t>
  </si>
  <si>
    <t>090301</t>
  </si>
  <si>
    <t>ANGARAES</t>
  </si>
  <si>
    <t>LIRCAY</t>
  </si>
  <si>
    <t>090302</t>
  </si>
  <si>
    <t>ANCHONGA</t>
  </si>
  <si>
    <t>090303</t>
  </si>
  <si>
    <t>CALLANMARCA</t>
  </si>
  <si>
    <t>090304</t>
  </si>
  <si>
    <t>CCOCHACCASA</t>
  </si>
  <si>
    <t>090305</t>
  </si>
  <si>
    <t>CHINCHO</t>
  </si>
  <si>
    <t>090306</t>
  </si>
  <si>
    <t>CONGALLA</t>
  </si>
  <si>
    <t>090307</t>
  </si>
  <si>
    <t>HUANCA-HUANCA</t>
  </si>
  <si>
    <t>090308</t>
  </si>
  <si>
    <t>HUAYLLAY GRANDE</t>
  </si>
  <si>
    <t>090309</t>
  </si>
  <si>
    <t>JULCAMARCA</t>
  </si>
  <si>
    <t>090310</t>
  </si>
  <si>
    <t>SAN ANTONIO DE ANTAPARCO</t>
  </si>
  <si>
    <t>ANTAPARCO</t>
  </si>
  <si>
    <t>090311</t>
  </si>
  <si>
    <t>SANTO TOMAS DE PATA</t>
  </si>
  <si>
    <t>090312</t>
  </si>
  <si>
    <t>SECCLLA</t>
  </si>
  <si>
    <t>090401</t>
  </si>
  <si>
    <t>CASTROVIRREYNA</t>
  </si>
  <si>
    <t>090402</t>
  </si>
  <si>
    <t>ARMA</t>
  </si>
  <si>
    <t>090403</t>
  </si>
  <si>
    <t>AURAHUA</t>
  </si>
  <si>
    <t>090404</t>
  </si>
  <si>
    <t>CAPILLAS</t>
  </si>
  <si>
    <t>090405</t>
  </si>
  <si>
    <t>CHUPAMARCA</t>
  </si>
  <si>
    <t>090406</t>
  </si>
  <si>
    <t>COCAS</t>
  </si>
  <si>
    <t>090407</t>
  </si>
  <si>
    <t>HUACHOS</t>
  </si>
  <si>
    <t>090408</t>
  </si>
  <si>
    <t>HUAMATAMBO</t>
  </si>
  <si>
    <t>090409</t>
  </si>
  <si>
    <t>MOLLEPAMPA</t>
  </si>
  <si>
    <t>090410</t>
  </si>
  <si>
    <t>090411</t>
  </si>
  <si>
    <t>090412</t>
  </si>
  <si>
    <t>TANTARA</t>
  </si>
  <si>
    <t>090413</t>
  </si>
  <si>
    <t>TICRAPO</t>
  </si>
  <si>
    <t>090501</t>
  </si>
  <si>
    <t>CHURCAMPA</t>
  </si>
  <si>
    <t>090502</t>
  </si>
  <si>
    <t>LA ESMERALDA</t>
  </si>
  <si>
    <t>090503</t>
  </si>
  <si>
    <t>CHINCHIHUASI</t>
  </si>
  <si>
    <t>090504</t>
  </si>
  <si>
    <t>EL CARMEN</t>
  </si>
  <si>
    <t>PAUCARBAMBILLA</t>
  </si>
  <si>
    <t>090505</t>
  </si>
  <si>
    <t>090506</t>
  </si>
  <si>
    <t>LOCROJA</t>
  </si>
  <si>
    <t>090507</t>
  </si>
  <si>
    <t>PAUCARBAMBA</t>
  </si>
  <si>
    <t>090508</t>
  </si>
  <si>
    <t>SAN MIGUEL DE MAYOCC</t>
  </si>
  <si>
    <t>MAYOCC</t>
  </si>
  <si>
    <t>090509</t>
  </si>
  <si>
    <t>SAN PEDRO DE CORIS</t>
  </si>
  <si>
    <t>090510</t>
  </si>
  <si>
    <t>PACHAMARCA</t>
  </si>
  <si>
    <t>090511</t>
  </si>
  <si>
    <t>COSME</t>
  </si>
  <si>
    <t>SANTA CLARA DE COSME</t>
  </si>
  <si>
    <t>090601</t>
  </si>
  <si>
    <t>HUAYTARA</t>
  </si>
  <si>
    <t>090602</t>
  </si>
  <si>
    <t>AYAVI</t>
  </si>
  <si>
    <t>090603</t>
  </si>
  <si>
    <t>CORDOVA</t>
  </si>
  <si>
    <t>090604</t>
  </si>
  <si>
    <t>HUAYACUNDO ARMA</t>
  </si>
  <si>
    <t>090605</t>
  </si>
  <si>
    <t>LARAMARCA</t>
  </si>
  <si>
    <t>090606</t>
  </si>
  <si>
    <t>OCOYO</t>
  </si>
  <si>
    <t>090607</t>
  </si>
  <si>
    <t>PILPICHACA</t>
  </si>
  <si>
    <t>090608</t>
  </si>
  <si>
    <t>QUERCO</t>
  </si>
  <si>
    <t>090609</t>
  </si>
  <si>
    <t>QUITO-ARMA</t>
  </si>
  <si>
    <t>090610</t>
  </si>
  <si>
    <t>SAN ANTONIO DE CUSICANCHA</t>
  </si>
  <si>
    <t>CUSICANCHA</t>
  </si>
  <si>
    <t>090611</t>
  </si>
  <si>
    <t>SAN FRANCISCO DE SANGAYAICO</t>
  </si>
  <si>
    <t>090612</t>
  </si>
  <si>
    <t>SAN ISIDRO</t>
  </si>
  <si>
    <t>SAN JUAN DE HUIRPACANCHA</t>
  </si>
  <si>
    <t>090613</t>
  </si>
  <si>
    <t>SANTIAGO DE CHOCORVOS</t>
  </si>
  <si>
    <t>090614</t>
  </si>
  <si>
    <t>SANTIAGO DE QUIRAHUARA</t>
  </si>
  <si>
    <t>090615</t>
  </si>
  <si>
    <t>SANTO DOMINGO DE CAPILLAS</t>
  </si>
  <si>
    <t>090616</t>
  </si>
  <si>
    <t>090701</t>
  </si>
  <si>
    <t>TAYACAJA</t>
  </si>
  <si>
    <t>090702</t>
  </si>
  <si>
    <t>ACOSTAMBO</t>
  </si>
  <si>
    <t>090703</t>
  </si>
  <si>
    <t>ACRAQUIA</t>
  </si>
  <si>
    <t>090704</t>
  </si>
  <si>
    <t>AHUAYCHA</t>
  </si>
  <si>
    <t>090705</t>
  </si>
  <si>
    <t>090706</t>
  </si>
  <si>
    <t>DANIEL HERNANDEZ</t>
  </si>
  <si>
    <t>090707</t>
  </si>
  <si>
    <t>090709</t>
  </si>
  <si>
    <t>HUARIBAMBA</t>
  </si>
  <si>
    <t>090710</t>
  </si>
  <si>
    <t>ÑAHUIMPUQUIO</t>
  </si>
  <si>
    <t>090711</t>
  </si>
  <si>
    <t>PAZOS</t>
  </si>
  <si>
    <t>090713</t>
  </si>
  <si>
    <t>QUISHUAR</t>
  </si>
  <si>
    <t>090714</t>
  </si>
  <si>
    <t>SALCABAMBA</t>
  </si>
  <si>
    <t>090715</t>
  </si>
  <si>
    <t>SALCAHUASI</t>
  </si>
  <si>
    <t>090716</t>
  </si>
  <si>
    <t>SAN MARCOS DE ROCCHAC</t>
  </si>
  <si>
    <t>090717</t>
  </si>
  <si>
    <t>SURCUBAMBA</t>
  </si>
  <si>
    <t>090718</t>
  </si>
  <si>
    <t>TINTAY PUNCU</t>
  </si>
  <si>
    <t>090719</t>
  </si>
  <si>
    <t>QUICHUAS</t>
  </si>
  <si>
    <t>090720</t>
  </si>
  <si>
    <t>ANDAYMARCA</t>
  </si>
  <si>
    <t>090721</t>
  </si>
  <si>
    <t>ROBLE</t>
  </si>
  <si>
    <t>PUERTO SAN ANTONIO</t>
  </si>
  <si>
    <t>090722</t>
  </si>
  <si>
    <t>PICHOS</t>
  </si>
  <si>
    <t>090723</t>
  </si>
  <si>
    <t>SANTIAGO DE TUCUMA</t>
  </si>
  <si>
    <t>100101</t>
  </si>
  <si>
    <t>HUANUCO</t>
  </si>
  <si>
    <t>100102</t>
  </si>
  <si>
    <t>AMARILIS</t>
  </si>
  <si>
    <t>100103</t>
  </si>
  <si>
    <t>CHINCHAO</t>
  </si>
  <si>
    <t>100104</t>
  </si>
  <si>
    <t>CHURUBAMBA</t>
  </si>
  <si>
    <t>100105</t>
  </si>
  <si>
    <t>MARGOS</t>
  </si>
  <si>
    <t>100106</t>
  </si>
  <si>
    <t>QUISQUI (KICHKI)</t>
  </si>
  <si>
    <t>HUANCAPALLAC</t>
  </si>
  <si>
    <t>100107</t>
  </si>
  <si>
    <t>SAN FRANCISCO DE CAYRAN</t>
  </si>
  <si>
    <t>CAYRAN</t>
  </si>
  <si>
    <t>100108</t>
  </si>
  <si>
    <t>SAN PEDRO DE CHAULAN</t>
  </si>
  <si>
    <t>CHAULAN</t>
  </si>
  <si>
    <t>100109</t>
  </si>
  <si>
    <t>SANTA MARIA DEL VALLE</t>
  </si>
  <si>
    <t>100110</t>
  </si>
  <si>
    <t>YARUMAYO</t>
  </si>
  <si>
    <t>100111</t>
  </si>
  <si>
    <t>PILLCO MARCA</t>
  </si>
  <si>
    <t>CAYHUAYNA</t>
  </si>
  <si>
    <t>100112</t>
  </si>
  <si>
    <t>YACUS</t>
  </si>
  <si>
    <t>100113</t>
  </si>
  <si>
    <t>SAN PABLO DE PILLAO</t>
  </si>
  <si>
    <t>100201</t>
  </si>
  <si>
    <t>AMBO</t>
  </si>
  <si>
    <t>100202</t>
  </si>
  <si>
    <t>CAYNA</t>
  </si>
  <si>
    <t>100203</t>
  </si>
  <si>
    <t>COLPAS</t>
  </si>
  <si>
    <t>100204</t>
  </si>
  <si>
    <t>CONCHAMARCA</t>
  </si>
  <si>
    <t>100205</t>
  </si>
  <si>
    <t>HUACAR</t>
  </si>
  <si>
    <t>100206</t>
  </si>
  <si>
    <t>MOSCA</t>
  </si>
  <si>
    <t>100207</t>
  </si>
  <si>
    <t>SAN RAFAEL</t>
  </si>
  <si>
    <t>100208</t>
  </si>
  <si>
    <t>TOMAY KICHWA</t>
  </si>
  <si>
    <t>100301</t>
  </si>
  <si>
    <t>DOS DE MAYO</t>
  </si>
  <si>
    <t>100307</t>
  </si>
  <si>
    <t>CHUQUIS</t>
  </si>
  <si>
    <t>100311</t>
  </si>
  <si>
    <t>MARIAS</t>
  </si>
  <si>
    <t>100313</t>
  </si>
  <si>
    <t>PACHAS</t>
  </si>
  <si>
    <t>100316</t>
  </si>
  <si>
    <t>QUIVILLA</t>
  </si>
  <si>
    <t>100317</t>
  </si>
  <si>
    <t>RIPAN</t>
  </si>
  <si>
    <t>100321</t>
  </si>
  <si>
    <t>SHUNQUI</t>
  </si>
  <si>
    <t>100322</t>
  </si>
  <si>
    <t>SILLAPATA</t>
  </si>
  <si>
    <t>100323</t>
  </si>
  <si>
    <t>YANAS</t>
  </si>
  <si>
    <t>100401</t>
  </si>
  <si>
    <t>HUACAYBAMBA</t>
  </si>
  <si>
    <t>100402</t>
  </si>
  <si>
    <t>CANCHABAMBA</t>
  </si>
  <si>
    <t>100403</t>
  </si>
  <si>
    <t>100404</t>
  </si>
  <si>
    <t>PINRA</t>
  </si>
  <si>
    <t>100501</t>
  </si>
  <si>
    <t>HUAMALIES</t>
  </si>
  <si>
    <t>LLATA</t>
  </si>
  <si>
    <t>100502</t>
  </si>
  <si>
    <t>ARANCAY</t>
  </si>
  <si>
    <t>100503</t>
  </si>
  <si>
    <t>CHAVIN DE PARIARCA</t>
  </si>
  <si>
    <t>100504</t>
  </si>
  <si>
    <t>JACAS GRANDE</t>
  </si>
  <si>
    <t>100505</t>
  </si>
  <si>
    <t>JIRCAN</t>
  </si>
  <si>
    <t>100506</t>
  </si>
  <si>
    <t>100507</t>
  </si>
  <si>
    <t>MONZON</t>
  </si>
  <si>
    <t>100508</t>
  </si>
  <si>
    <t>PUNCHAO</t>
  </si>
  <si>
    <t>100509</t>
  </si>
  <si>
    <t>PUÑOS</t>
  </si>
  <si>
    <t>100510</t>
  </si>
  <si>
    <t>SINGA</t>
  </si>
  <si>
    <t>100511</t>
  </si>
  <si>
    <t>TANTAMAYO</t>
  </si>
  <si>
    <t>100601</t>
  </si>
  <si>
    <t>RUPA-RUPA</t>
  </si>
  <si>
    <t>TINGO MARIA</t>
  </si>
  <si>
    <t>100602</t>
  </si>
  <si>
    <t>DANIEL ALOMIA ROBLES</t>
  </si>
  <si>
    <t>100603</t>
  </si>
  <si>
    <t>HERMILIO VALDIZAN</t>
  </si>
  <si>
    <t>100604</t>
  </si>
  <si>
    <t>JOSE CRESPO Y CASTILLO</t>
  </si>
  <si>
    <t>AUCAYACU</t>
  </si>
  <si>
    <t>100605</t>
  </si>
  <si>
    <t>LUYANDO</t>
  </si>
  <si>
    <t>LUYANDO /8</t>
  </si>
  <si>
    <t>100606</t>
  </si>
  <si>
    <t>MARIANO DAMASO BERAUN</t>
  </si>
  <si>
    <t>LAS PALMAS</t>
  </si>
  <si>
    <t>100607</t>
  </si>
  <si>
    <t>PUCAYACU</t>
  </si>
  <si>
    <t>100608</t>
  </si>
  <si>
    <t>CASTILLO GRANDE</t>
  </si>
  <si>
    <t>100609</t>
  </si>
  <si>
    <t>PUEBLO NUEVO</t>
  </si>
  <si>
    <t>100610</t>
  </si>
  <si>
    <t>SANTO DOMINGO DE ANDIA</t>
  </si>
  <si>
    <t>PACAE</t>
  </si>
  <si>
    <t>100701</t>
  </si>
  <si>
    <t>MARAÑON</t>
  </si>
  <si>
    <t>HUACRACHUCO</t>
  </si>
  <si>
    <t>100702</t>
  </si>
  <si>
    <t>CHOLON</t>
  </si>
  <si>
    <t>SAN PEDRO DE CHONTA</t>
  </si>
  <si>
    <t>100703</t>
  </si>
  <si>
    <t>SAN BUENAVENTURA</t>
  </si>
  <si>
    <t>100704</t>
  </si>
  <si>
    <t>LA MORADA</t>
  </si>
  <si>
    <t>100705</t>
  </si>
  <si>
    <t>SANTA ROSA DE ALTO YANAJANCA</t>
  </si>
  <si>
    <t>100801</t>
  </si>
  <si>
    <t>PACHITEA</t>
  </si>
  <si>
    <t>PANAO</t>
  </si>
  <si>
    <t>100802</t>
  </si>
  <si>
    <t>CHAGLLA</t>
  </si>
  <si>
    <t>100803</t>
  </si>
  <si>
    <t>MOLINO</t>
  </si>
  <si>
    <t>100804</t>
  </si>
  <si>
    <t>UMARI</t>
  </si>
  <si>
    <t>UMARI (TAMBILLO)</t>
  </si>
  <si>
    <t>100901</t>
  </si>
  <si>
    <t>PUERTO INCA</t>
  </si>
  <si>
    <t>100902</t>
  </si>
  <si>
    <t>CODO DEL POZUZO</t>
  </si>
  <si>
    <t>100903</t>
  </si>
  <si>
    <t>HONORIA</t>
  </si>
  <si>
    <t>100904</t>
  </si>
  <si>
    <t>TOURNAVISTA</t>
  </si>
  <si>
    <t>100905</t>
  </si>
  <si>
    <t>YUYAPICHIS</t>
  </si>
  <si>
    <t>101001</t>
  </si>
  <si>
    <t>LAURICOCHA</t>
  </si>
  <si>
    <t>101002</t>
  </si>
  <si>
    <t>BAÑOS</t>
  </si>
  <si>
    <t>101003</t>
  </si>
  <si>
    <t>JIVIA</t>
  </si>
  <si>
    <t>101004</t>
  </si>
  <si>
    <t>QUEROPALCA</t>
  </si>
  <si>
    <t>101005</t>
  </si>
  <si>
    <t>RONDOS</t>
  </si>
  <si>
    <t>101006</t>
  </si>
  <si>
    <t>SAN FRANCISCO DE ASIS</t>
  </si>
  <si>
    <t>HUARIN</t>
  </si>
  <si>
    <t>101007</t>
  </si>
  <si>
    <t>SAN MIGUEL DE CAURI</t>
  </si>
  <si>
    <t>CAURI</t>
  </si>
  <si>
    <t>101101</t>
  </si>
  <si>
    <t>YAROWILCA</t>
  </si>
  <si>
    <t>CHAVINILLO</t>
  </si>
  <si>
    <t>101102</t>
  </si>
  <si>
    <t>CAHUAC</t>
  </si>
  <si>
    <t>101103</t>
  </si>
  <si>
    <t>CHACABAMBA</t>
  </si>
  <si>
    <t>101104</t>
  </si>
  <si>
    <t>APARICIO POMARES</t>
  </si>
  <si>
    <t>CHUPAN</t>
  </si>
  <si>
    <t>101105</t>
  </si>
  <si>
    <t>JACAS CHICO</t>
  </si>
  <si>
    <t>SAN CRISTOBAL DE JACAS CHICO</t>
  </si>
  <si>
    <t>101106</t>
  </si>
  <si>
    <t>OBAS</t>
  </si>
  <si>
    <t>101107</t>
  </si>
  <si>
    <t>101108</t>
  </si>
  <si>
    <t>CHORAS</t>
  </si>
  <si>
    <t>110101</t>
  </si>
  <si>
    <t>ICA</t>
  </si>
  <si>
    <t>110102</t>
  </si>
  <si>
    <t>LA TINGUIÑA</t>
  </si>
  <si>
    <t>110103</t>
  </si>
  <si>
    <t>LOS AQUIJES</t>
  </si>
  <si>
    <t>110104</t>
  </si>
  <si>
    <t>OCUCAJE</t>
  </si>
  <si>
    <t>110105</t>
  </si>
  <si>
    <t>PACHACUTEC</t>
  </si>
  <si>
    <t>PAMPA DE TATE</t>
  </si>
  <si>
    <t>110106</t>
  </si>
  <si>
    <t>PARCONA</t>
  </si>
  <si>
    <t>110107</t>
  </si>
  <si>
    <t>110108</t>
  </si>
  <si>
    <t>SALAS</t>
  </si>
  <si>
    <t>GUADALUPE</t>
  </si>
  <si>
    <t>110109</t>
  </si>
  <si>
    <t>SAN JOSE DE LOS MOLINOS</t>
  </si>
  <si>
    <t>110110</t>
  </si>
  <si>
    <t>110111</t>
  </si>
  <si>
    <t>110112</t>
  </si>
  <si>
    <t>SUBTANJALLA</t>
  </si>
  <si>
    <t>110113</t>
  </si>
  <si>
    <t>TATE</t>
  </si>
  <si>
    <t>TATE DE LA CAPILLA</t>
  </si>
  <si>
    <t>110114</t>
  </si>
  <si>
    <t>YAUCA DEL ROSARIO</t>
  </si>
  <si>
    <t>CURIS /9</t>
  </si>
  <si>
    <t>110201</t>
  </si>
  <si>
    <t>CHINCHA</t>
  </si>
  <si>
    <t>CHINCHA ALTA</t>
  </si>
  <si>
    <t>110202</t>
  </si>
  <si>
    <t>ALTO LARAN</t>
  </si>
  <si>
    <t>110203</t>
  </si>
  <si>
    <t>CHAVIN</t>
  </si>
  <si>
    <t>110204</t>
  </si>
  <si>
    <t>CHINCHA BAJA</t>
  </si>
  <si>
    <t>110205</t>
  </si>
  <si>
    <t>110206</t>
  </si>
  <si>
    <t>GROCIO PRADO</t>
  </si>
  <si>
    <t>110207</t>
  </si>
  <si>
    <t>110208</t>
  </si>
  <si>
    <t>SAN JUAN DE YANAC</t>
  </si>
  <si>
    <t>110209</t>
  </si>
  <si>
    <t>SAN PEDRO DE HUACARPANA</t>
  </si>
  <si>
    <t>110210</t>
  </si>
  <si>
    <t>SUNAMPE</t>
  </si>
  <si>
    <t>110211</t>
  </si>
  <si>
    <t>TAMBO DE MORA</t>
  </si>
  <si>
    <t>110301</t>
  </si>
  <si>
    <t>NASCA</t>
  </si>
  <si>
    <t>110302</t>
  </si>
  <si>
    <t>CHANGUILLO</t>
  </si>
  <si>
    <t>110303</t>
  </si>
  <si>
    <t>EL INGENIO</t>
  </si>
  <si>
    <t>110304</t>
  </si>
  <si>
    <t>MARCONA</t>
  </si>
  <si>
    <t>110305</t>
  </si>
  <si>
    <t>110401</t>
  </si>
  <si>
    <t>PALPA</t>
  </si>
  <si>
    <t>110402</t>
  </si>
  <si>
    <t>LLIPATA</t>
  </si>
  <si>
    <t>110403</t>
  </si>
  <si>
    <t>110404</t>
  </si>
  <si>
    <t>110405</t>
  </si>
  <si>
    <t>TIBILLO</t>
  </si>
  <si>
    <t>110501</t>
  </si>
  <si>
    <t>PISCO</t>
  </si>
  <si>
    <t>110502</t>
  </si>
  <si>
    <t>HUANCANO</t>
  </si>
  <si>
    <t>110503</t>
  </si>
  <si>
    <t>HUMAY</t>
  </si>
  <si>
    <t>110504</t>
  </si>
  <si>
    <t>110505</t>
  </si>
  <si>
    <t>PARACAS</t>
  </si>
  <si>
    <t>110506</t>
  </si>
  <si>
    <t>SAN ANDRES</t>
  </si>
  <si>
    <t>110507</t>
  </si>
  <si>
    <t>SAN CLEMENTE</t>
  </si>
  <si>
    <t>110508</t>
  </si>
  <si>
    <t>TUPAC AMARU INCA</t>
  </si>
  <si>
    <t>120101</t>
  </si>
  <si>
    <t>JUNIN</t>
  </si>
  <si>
    <t>HUANCAYO</t>
  </si>
  <si>
    <t>120104</t>
  </si>
  <si>
    <t>CARHUACALLANGA</t>
  </si>
  <si>
    <t>120105</t>
  </si>
  <si>
    <t>CHACAPAMPA</t>
  </si>
  <si>
    <t>120106</t>
  </si>
  <si>
    <t>CHICCHE</t>
  </si>
  <si>
    <t>120107</t>
  </si>
  <si>
    <t>CHILCA</t>
  </si>
  <si>
    <t>120108</t>
  </si>
  <si>
    <t>CHONGOS ALTO</t>
  </si>
  <si>
    <t>120111</t>
  </si>
  <si>
    <t>CHUPURO</t>
  </si>
  <si>
    <t>120112</t>
  </si>
  <si>
    <t>120113</t>
  </si>
  <si>
    <t>CULLHUAS</t>
  </si>
  <si>
    <t>120114</t>
  </si>
  <si>
    <t>EL TAMBO</t>
  </si>
  <si>
    <t>120116</t>
  </si>
  <si>
    <t>HUACRAPUQUIO</t>
  </si>
  <si>
    <t>120117</t>
  </si>
  <si>
    <t>HUALHUAS</t>
  </si>
  <si>
    <t>120119</t>
  </si>
  <si>
    <t>HUANCAN</t>
  </si>
  <si>
    <t>120120</t>
  </si>
  <si>
    <t>HUASICANCHA</t>
  </si>
  <si>
    <t>120121</t>
  </si>
  <si>
    <t>HUAYUCACHI</t>
  </si>
  <si>
    <t>120122</t>
  </si>
  <si>
    <t>INGENIO</t>
  </si>
  <si>
    <t>120124</t>
  </si>
  <si>
    <t>PARIAHUANCA /10</t>
  </si>
  <si>
    <t>120125</t>
  </si>
  <si>
    <t>PILCOMAYO</t>
  </si>
  <si>
    <t>120126</t>
  </si>
  <si>
    <t>120127</t>
  </si>
  <si>
    <t>QUICHUAY</t>
  </si>
  <si>
    <t>120128</t>
  </si>
  <si>
    <t>QUILCAS</t>
  </si>
  <si>
    <t>120129</t>
  </si>
  <si>
    <t>SAN AGUSTIN</t>
  </si>
  <si>
    <t>120130</t>
  </si>
  <si>
    <t>SAN JERONIMO DE TUNAN</t>
  </si>
  <si>
    <t>120132</t>
  </si>
  <si>
    <t>SAÑO</t>
  </si>
  <si>
    <t>120133</t>
  </si>
  <si>
    <t>SAPALLANGA</t>
  </si>
  <si>
    <t>120134</t>
  </si>
  <si>
    <t>SICAYA</t>
  </si>
  <si>
    <t>120135</t>
  </si>
  <si>
    <t>SANTO DOMINGO DE ACOBAMBA</t>
  </si>
  <si>
    <t>120136</t>
  </si>
  <si>
    <t>VIQUES</t>
  </si>
  <si>
    <t>120201</t>
  </si>
  <si>
    <t>120202</t>
  </si>
  <si>
    <t>120203</t>
  </si>
  <si>
    <t>120204</t>
  </si>
  <si>
    <t>CHAMBARA</t>
  </si>
  <si>
    <t>120205</t>
  </si>
  <si>
    <t>120206</t>
  </si>
  <si>
    <t>COMAS</t>
  </si>
  <si>
    <t>120207</t>
  </si>
  <si>
    <t>HEROINAS TOLEDO</t>
  </si>
  <si>
    <t>SAN ANTONIO DE OCOPA</t>
  </si>
  <si>
    <t>120208</t>
  </si>
  <si>
    <t>MANZANARES</t>
  </si>
  <si>
    <t>120209</t>
  </si>
  <si>
    <t>MUCLLO</t>
  </si>
  <si>
    <t>120210</t>
  </si>
  <si>
    <t>MATAHUASI</t>
  </si>
  <si>
    <t>120211</t>
  </si>
  <si>
    <t>MITO</t>
  </si>
  <si>
    <t>120212</t>
  </si>
  <si>
    <t>NUEVE DE JULIO</t>
  </si>
  <si>
    <t>SANTO DOMINGO DEL PRADO</t>
  </si>
  <si>
    <t>120213</t>
  </si>
  <si>
    <t>ORCOTUNA</t>
  </si>
  <si>
    <t>120214</t>
  </si>
  <si>
    <t>SAN JOSE DE QUERO</t>
  </si>
  <si>
    <t>120215</t>
  </si>
  <si>
    <t>SANTA ROSA DE OCOPA</t>
  </si>
  <si>
    <t>120301</t>
  </si>
  <si>
    <t>CHANCHAMAYO</t>
  </si>
  <si>
    <t>120302</t>
  </si>
  <si>
    <t>PERENE</t>
  </si>
  <si>
    <t>120303</t>
  </si>
  <si>
    <t>PICHANAQUI</t>
  </si>
  <si>
    <t>BAJO PICHANAQUI</t>
  </si>
  <si>
    <t>120304</t>
  </si>
  <si>
    <t>SAN LUIS DE SHUARO</t>
  </si>
  <si>
    <t>120305</t>
  </si>
  <si>
    <t>SAN RAMON</t>
  </si>
  <si>
    <t>120306</t>
  </si>
  <si>
    <t>VITOC</t>
  </si>
  <si>
    <t>120401</t>
  </si>
  <si>
    <t>JAUJA</t>
  </si>
  <si>
    <t>120402</t>
  </si>
  <si>
    <t>ACOLLA</t>
  </si>
  <si>
    <t>120403</t>
  </si>
  <si>
    <t>APATA</t>
  </si>
  <si>
    <t>120404</t>
  </si>
  <si>
    <t>ATAURA</t>
  </si>
  <si>
    <t>120405</t>
  </si>
  <si>
    <t>CANCHAYLLO</t>
  </si>
  <si>
    <t>120406</t>
  </si>
  <si>
    <t>CURICACA</t>
  </si>
  <si>
    <t>EL ROSARIO</t>
  </si>
  <si>
    <t>120407</t>
  </si>
  <si>
    <t>EL MANTARO</t>
  </si>
  <si>
    <t>PUCUCHO</t>
  </si>
  <si>
    <t>120408</t>
  </si>
  <si>
    <t>HUAMALI</t>
  </si>
  <si>
    <t>120409</t>
  </si>
  <si>
    <t>120410</t>
  </si>
  <si>
    <t>HUERTAS</t>
  </si>
  <si>
    <t>120411</t>
  </si>
  <si>
    <t>JANJAILLO</t>
  </si>
  <si>
    <t>JANJAILLO /11</t>
  </si>
  <si>
    <t>120412</t>
  </si>
  <si>
    <t>JULCAN</t>
  </si>
  <si>
    <t>120413</t>
  </si>
  <si>
    <t>LEONOR ORDOÑEZ</t>
  </si>
  <si>
    <t>HUANCANI</t>
  </si>
  <si>
    <t>120414</t>
  </si>
  <si>
    <t>LLOCLLAPAMPA</t>
  </si>
  <si>
    <t>120415</t>
  </si>
  <si>
    <t>MARCO</t>
  </si>
  <si>
    <t>120416</t>
  </si>
  <si>
    <t>MASMA</t>
  </si>
  <si>
    <t>120417</t>
  </si>
  <si>
    <t>MASMA CHICCHE</t>
  </si>
  <si>
    <t>120418</t>
  </si>
  <si>
    <t>MOLINOS</t>
  </si>
  <si>
    <t>120419</t>
  </si>
  <si>
    <t>MONOBAMBA</t>
  </si>
  <si>
    <t>120420</t>
  </si>
  <si>
    <t>MUQUI</t>
  </si>
  <si>
    <t>120421</t>
  </si>
  <si>
    <t>MUQUIYAUYO</t>
  </si>
  <si>
    <t>120422</t>
  </si>
  <si>
    <t>PACA</t>
  </si>
  <si>
    <t>120423</t>
  </si>
  <si>
    <t>120424</t>
  </si>
  <si>
    <t>PANCAN</t>
  </si>
  <si>
    <t>120425</t>
  </si>
  <si>
    <t>PARCO</t>
  </si>
  <si>
    <t>120426</t>
  </si>
  <si>
    <t>POMACANCHA</t>
  </si>
  <si>
    <t>120427</t>
  </si>
  <si>
    <t>RICRAN</t>
  </si>
  <si>
    <t>120428</t>
  </si>
  <si>
    <t>SAN LORENZO</t>
  </si>
  <si>
    <t>120429</t>
  </si>
  <si>
    <t>SAN PEDRO DE CHUNAN</t>
  </si>
  <si>
    <t>120430</t>
  </si>
  <si>
    <t>SAUSA</t>
  </si>
  <si>
    <t>120431</t>
  </si>
  <si>
    <t>SINCOS</t>
  </si>
  <si>
    <t>120432</t>
  </si>
  <si>
    <t>TUNAN MARCA</t>
  </si>
  <si>
    <t>CONCHO</t>
  </si>
  <si>
    <t>120433</t>
  </si>
  <si>
    <t>120434</t>
  </si>
  <si>
    <t>YAUYOS</t>
  </si>
  <si>
    <t>120501</t>
  </si>
  <si>
    <t>120502</t>
  </si>
  <si>
    <t>CARHUAMAYO</t>
  </si>
  <si>
    <t>120503</t>
  </si>
  <si>
    <t>ONDORES</t>
  </si>
  <si>
    <t>120504</t>
  </si>
  <si>
    <t>ULCUMAYO</t>
  </si>
  <si>
    <t>120601</t>
  </si>
  <si>
    <t>SATIPO</t>
  </si>
  <si>
    <t>120602</t>
  </si>
  <si>
    <t>COVIRIALI</t>
  </si>
  <si>
    <t>120603</t>
  </si>
  <si>
    <t>LLAYLLA</t>
  </si>
  <si>
    <t>120604</t>
  </si>
  <si>
    <t>MAZAMARI</t>
  </si>
  <si>
    <t>120605</t>
  </si>
  <si>
    <t>PAMPA HERMOSA</t>
  </si>
  <si>
    <t>MARIPOSA</t>
  </si>
  <si>
    <t>120606</t>
  </si>
  <si>
    <t>PANGOA</t>
  </si>
  <si>
    <t>SAN MARTIN DE PANGOA</t>
  </si>
  <si>
    <t>120607</t>
  </si>
  <si>
    <t>RIO NEGRO</t>
  </si>
  <si>
    <t>120608</t>
  </si>
  <si>
    <t>RIO TAMBO</t>
  </si>
  <si>
    <t>PUERTO OCOPA</t>
  </si>
  <si>
    <t>120609</t>
  </si>
  <si>
    <t>VIZCATAN DEL ENE</t>
  </si>
  <si>
    <t>SAN MIGUEL DEL ENE</t>
  </si>
  <si>
    <t>120701</t>
  </si>
  <si>
    <t>TARMA</t>
  </si>
  <si>
    <t>120702</t>
  </si>
  <si>
    <t>120703</t>
  </si>
  <si>
    <t>HUARICOLCA</t>
  </si>
  <si>
    <t>120704</t>
  </si>
  <si>
    <t>HUASAHUASI</t>
  </si>
  <si>
    <t>120705</t>
  </si>
  <si>
    <t>LETICIA</t>
  </si>
  <si>
    <t>120706</t>
  </si>
  <si>
    <t>120707</t>
  </si>
  <si>
    <t>PALCAMAYO</t>
  </si>
  <si>
    <t>120708</t>
  </si>
  <si>
    <t>SAN PEDRO DE CAJAS</t>
  </si>
  <si>
    <t>120709</t>
  </si>
  <si>
    <t>TAPO</t>
  </si>
  <si>
    <t>120801</t>
  </si>
  <si>
    <t>LA OROYA</t>
  </si>
  <si>
    <t>120802</t>
  </si>
  <si>
    <t>CHACAPALPA</t>
  </si>
  <si>
    <t>120803</t>
  </si>
  <si>
    <t>HUAY-HUAY</t>
  </si>
  <si>
    <t>120804</t>
  </si>
  <si>
    <t>MARCAPOMACOCHA</t>
  </si>
  <si>
    <t>120805</t>
  </si>
  <si>
    <t>MOROCOCHA</t>
  </si>
  <si>
    <t>NUEVA MOROCOCHA</t>
  </si>
  <si>
    <t>120806</t>
  </si>
  <si>
    <t>120807</t>
  </si>
  <si>
    <t>SANTA BARBARA DE CARHUACAYAN</t>
  </si>
  <si>
    <t>120808</t>
  </si>
  <si>
    <t>SANTA ROSA DE SACCO</t>
  </si>
  <si>
    <t>120809</t>
  </si>
  <si>
    <t>SUITUCANCHA</t>
  </si>
  <si>
    <t>120810</t>
  </si>
  <si>
    <t>120901</t>
  </si>
  <si>
    <t>CHUPACA</t>
  </si>
  <si>
    <t>120902</t>
  </si>
  <si>
    <t>AHUAC</t>
  </si>
  <si>
    <t>120903</t>
  </si>
  <si>
    <t>CHONGOS BAJO</t>
  </si>
  <si>
    <t>120904</t>
  </si>
  <si>
    <t>HUACHAC</t>
  </si>
  <si>
    <t>120905</t>
  </si>
  <si>
    <t>HUAMANCACA CHICO</t>
  </si>
  <si>
    <t>120906</t>
  </si>
  <si>
    <t>SAN JUAN DE ISCOS</t>
  </si>
  <si>
    <t>ISCOS</t>
  </si>
  <si>
    <t>120907</t>
  </si>
  <si>
    <t>SAN JUAN DE JARPA</t>
  </si>
  <si>
    <t>JARPA</t>
  </si>
  <si>
    <t>120908</t>
  </si>
  <si>
    <t>TRES DE DICIEMBRE</t>
  </si>
  <si>
    <t>120909</t>
  </si>
  <si>
    <t>YANACANCHA</t>
  </si>
  <si>
    <t>130101</t>
  </si>
  <si>
    <t>TRUJILLO</t>
  </si>
  <si>
    <t>130102</t>
  </si>
  <si>
    <t>130103</t>
  </si>
  <si>
    <t>FLORENCIA DE MORA</t>
  </si>
  <si>
    <t>130104</t>
  </si>
  <si>
    <t>HUANCHACO</t>
  </si>
  <si>
    <t>130105</t>
  </si>
  <si>
    <t>130106</t>
  </si>
  <si>
    <t>LAREDO</t>
  </si>
  <si>
    <t>130107</t>
  </si>
  <si>
    <t>MOCHE</t>
  </si>
  <si>
    <t>130108</t>
  </si>
  <si>
    <t>POROTO</t>
  </si>
  <si>
    <t>130109</t>
  </si>
  <si>
    <t>SALAVERRY</t>
  </si>
  <si>
    <t>130110</t>
  </si>
  <si>
    <t>SIMBAL</t>
  </si>
  <si>
    <t>130111</t>
  </si>
  <si>
    <t>VICTOR LARCO HERRERA</t>
  </si>
  <si>
    <t>130201</t>
  </si>
  <si>
    <t>ASCOPE</t>
  </si>
  <si>
    <t>130202</t>
  </si>
  <si>
    <t>CHICAMA</t>
  </si>
  <si>
    <t>130203</t>
  </si>
  <si>
    <t>CHOCOPE</t>
  </si>
  <si>
    <t>130204</t>
  </si>
  <si>
    <t>MAGDALENA DE CAO</t>
  </si>
  <si>
    <t>130205</t>
  </si>
  <si>
    <t>PAIJAN</t>
  </si>
  <si>
    <t>130206</t>
  </si>
  <si>
    <t>RAZURI</t>
  </si>
  <si>
    <t>PUERTO DE MALABRIGO</t>
  </si>
  <si>
    <t>130207</t>
  </si>
  <si>
    <t>SANTIAGO DE CAO</t>
  </si>
  <si>
    <t>130208</t>
  </si>
  <si>
    <t>CASA GRANDE</t>
  </si>
  <si>
    <t>130301</t>
  </si>
  <si>
    <t>130302</t>
  </si>
  <si>
    <t>130303</t>
  </si>
  <si>
    <t>CONDORMARCA</t>
  </si>
  <si>
    <t>CONDORMARCA /12</t>
  </si>
  <si>
    <t>130304</t>
  </si>
  <si>
    <t>LONGOTEA</t>
  </si>
  <si>
    <t>130305</t>
  </si>
  <si>
    <t>UCHUMARCA</t>
  </si>
  <si>
    <t>130306</t>
  </si>
  <si>
    <t>UCUNCHA</t>
  </si>
  <si>
    <t>130401</t>
  </si>
  <si>
    <t>CHEPEN</t>
  </si>
  <si>
    <t>130402</t>
  </si>
  <si>
    <t>PACANGA</t>
  </si>
  <si>
    <t>130403</t>
  </si>
  <si>
    <t>130501</t>
  </si>
  <si>
    <t>130502</t>
  </si>
  <si>
    <t>CALAMARCA</t>
  </si>
  <si>
    <t>130503</t>
  </si>
  <si>
    <t>CARABAMBA</t>
  </si>
  <si>
    <t>130504</t>
  </si>
  <si>
    <t>HUASO</t>
  </si>
  <si>
    <t>130601</t>
  </si>
  <si>
    <t>OTUZCO</t>
  </si>
  <si>
    <t>130602</t>
  </si>
  <si>
    <t>AGALLPAMPA</t>
  </si>
  <si>
    <t>130604</t>
  </si>
  <si>
    <t>CHARAT</t>
  </si>
  <si>
    <t>130605</t>
  </si>
  <si>
    <t>HUARANCHAL</t>
  </si>
  <si>
    <t>130606</t>
  </si>
  <si>
    <t>LA CUESTA</t>
  </si>
  <si>
    <t>130608</t>
  </si>
  <si>
    <t>MACHE</t>
  </si>
  <si>
    <t>130610</t>
  </si>
  <si>
    <t>PARANDAY</t>
  </si>
  <si>
    <t>130611</t>
  </si>
  <si>
    <t>SALPO</t>
  </si>
  <si>
    <t>130613</t>
  </si>
  <si>
    <t>SINSICAP</t>
  </si>
  <si>
    <t>130614</t>
  </si>
  <si>
    <t>USQUIL</t>
  </si>
  <si>
    <t>130701</t>
  </si>
  <si>
    <t>PACASMAYO</t>
  </si>
  <si>
    <t>SAN PEDRO DE LLOC</t>
  </si>
  <si>
    <t>130702</t>
  </si>
  <si>
    <t>130703</t>
  </si>
  <si>
    <t>JEQUETEPEQUE</t>
  </si>
  <si>
    <t>130704</t>
  </si>
  <si>
    <t>130705</t>
  </si>
  <si>
    <t>130801</t>
  </si>
  <si>
    <t>PATAZ</t>
  </si>
  <si>
    <t>TAYABAMBA</t>
  </si>
  <si>
    <t>130802</t>
  </si>
  <si>
    <t>BULDIBUYO</t>
  </si>
  <si>
    <t>130803</t>
  </si>
  <si>
    <t>CHILLIA</t>
  </si>
  <si>
    <t>130804</t>
  </si>
  <si>
    <t>HUANCASPATA</t>
  </si>
  <si>
    <t>130805</t>
  </si>
  <si>
    <t>HUAYLILLAS</t>
  </si>
  <si>
    <t>130806</t>
  </si>
  <si>
    <t>HUAYO</t>
  </si>
  <si>
    <t>130807</t>
  </si>
  <si>
    <t>ONGON</t>
  </si>
  <si>
    <t>130808</t>
  </si>
  <si>
    <t>PARCOY</t>
  </si>
  <si>
    <t>130809</t>
  </si>
  <si>
    <t>130810</t>
  </si>
  <si>
    <t>PIAS</t>
  </si>
  <si>
    <t>130811</t>
  </si>
  <si>
    <t>SANTIAGO DE CHALLAS</t>
  </si>
  <si>
    <t>CHALLAS</t>
  </si>
  <si>
    <t>130812</t>
  </si>
  <si>
    <t>TAURIJA</t>
  </si>
  <si>
    <t>130813</t>
  </si>
  <si>
    <t>URPAY</t>
  </si>
  <si>
    <t>130901</t>
  </si>
  <si>
    <t>SANCHEZ CARRION</t>
  </si>
  <si>
    <t>HUAMACHUCO</t>
  </si>
  <si>
    <t>130902</t>
  </si>
  <si>
    <t>CHUGAY</t>
  </si>
  <si>
    <t>130903</t>
  </si>
  <si>
    <t>COCHORCO</t>
  </si>
  <si>
    <t>ARICAPAMPA</t>
  </si>
  <si>
    <t>130904</t>
  </si>
  <si>
    <t>CURGOS</t>
  </si>
  <si>
    <t>130905</t>
  </si>
  <si>
    <t>MARCABAL</t>
  </si>
  <si>
    <t>130906</t>
  </si>
  <si>
    <t>SANAGORAN</t>
  </si>
  <si>
    <t>130907</t>
  </si>
  <si>
    <t>SARIN</t>
  </si>
  <si>
    <t>130908</t>
  </si>
  <si>
    <t>SARTIMBAMBA</t>
  </si>
  <si>
    <t>131001</t>
  </si>
  <si>
    <t>SANTIAGO DE CHUCO</t>
  </si>
  <si>
    <t>131002</t>
  </si>
  <si>
    <t>ANGASMARCA</t>
  </si>
  <si>
    <t>131003</t>
  </si>
  <si>
    <t>CACHICADAN</t>
  </si>
  <si>
    <t>131004</t>
  </si>
  <si>
    <t>131005</t>
  </si>
  <si>
    <t>131006</t>
  </si>
  <si>
    <t>QUIRUVILCA</t>
  </si>
  <si>
    <t>131007</t>
  </si>
  <si>
    <t>SANTA CRUZ DE CHUCA</t>
  </si>
  <si>
    <t>131008</t>
  </si>
  <si>
    <t>SITABAMBA</t>
  </si>
  <si>
    <t>131101</t>
  </si>
  <si>
    <t>GRAN CHIMU</t>
  </si>
  <si>
    <t>CASCAS</t>
  </si>
  <si>
    <t>131102</t>
  </si>
  <si>
    <t>131103</t>
  </si>
  <si>
    <t>MARMOT</t>
  </si>
  <si>
    <t>MARMOT /13</t>
  </si>
  <si>
    <t>131104</t>
  </si>
  <si>
    <t>SAYAPULLO</t>
  </si>
  <si>
    <t>131201</t>
  </si>
  <si>
    <t>VIRU</t>
  </si>
  <si>
    <t>131202</t>
  </si>
  <si>
    <t>CHAO</t>
  </si>
  <si>
    <t>131203</t>
  </si>
  <si>
    <t>GUADALUPITO</t>
  </si>
  <si>
    <t>140101</t>
  </si>
  <si>
    <t>LAMBAYEQUE</t>
  </si>
  <si>
    <t>CHICLAYO</t>
  </si>
  <si>
    <t>140102</t>
  </si>
  <si>
    <t>CHONGOYAPE</t>
  </si>
  <si>
    <t>140103</t>
  </si>
  <si>
    <t>ETEN</t>
  </si>
  <si>
    <t>140104</t>
  </si>
  <si>
    <t>ETEN PUERTO</t>
  </si>
  <si>
    <t>140105</t>
  </si>
  <si>
    <t>JOSE LEONARDO ORTIZ</t>
  </si>
  <si>
    <t>140106</t>
  </si>
  <si>
    <t>LA VICTORIA</t>
  </si>
  <si>
    <t>140107</t>
  </si>
  <si>
    <t>LAGUNAS</t>
  </si>
  <si>
    <t>MOCUPE</t>
  </si>
  <si>
    <t>140108</t>
  </si>
  <si>
    <t>MONSEFU</t>
  </si>
  <si>
    <t>140109</t>
  </si>
  <si>
    <t>NUEVA ARICA</t>
  </si>
  <si>
    <t>140110</t>
  </si>
  <si>
    <t>OYOTUN</t>
  </si>
  <si>
    <t>140111</t>
  </si>
  <si>
    <t>PICSI</t>
  </si>
  <si>
    <t>140112</t>
  </si>
  <si>
    <t>PIMENTEL</t>
  </si>
  <si>
    <t>140113</t>
  </si>
  <si>
    <t>REQUE</t>
  </si>
  <si>
    <t>140114</t>
  </si>
  <si>
    <t>140115</t>
  </si>
  <si>
    <t>SAÑA</t>
  </si>
  <si>
    <t>140116</t>
  </si>
  <si>
    <t>CAYALTI</t>
  </si>
  <si>
    <t>140117</t>
  </si>
  <si>
    <t>PATAPO</t>
  </si>
  <si>
    <t>140118</t>
  </si>
  <si>
    <t>POMALCA</t>
  </si>
  <si>
    <t>140119</t>
  </si>
  <si>
    <t>PUCALA</t>
  </si>
  <si>
    <t>140120</t>
  </si>
  <si>
    <t>TUMAN</t>
  </si>
  <si>
    <t>140201</t>
  </si>
  <si>
    <t>FERREÑAFE</t>
  </si>
  <si>
    <t>140202</t>
  </si>
  <si>
    <t>CAÑARIS</t>
  </si>
  <si>
    <t>140203</t>
  </si>
  <si>
    <t>INCAHUASI</t>
  </si>
  <si>
    <t>140204</t>
  </si>
  <si>
    <t>MANUEL ANTONIO MESONES MURO</t>
  </si>
  <si>
    <t>140205</t>
  </si>
  <si>
    <t>PITIPO</t>
  </si>
  <si>
    <t>140206</t>
  </si>
  <si>
    <t>140301</t>
  </si>
  <si>
    <t>140302</t>
  </si>
  <si>
    <t>CHOCHOPE</t>
  </si>
  <si>
    <t>140303</t>
  </si>
  <si>
    <t>ILLIMO</t>
  </si>
  <si>
    <t>140304</t>
  </si>
  <si>
    <t>JAYANCA</t>
  </si>
  <si>
    <t>140305</t>
  </si>
  <si>
    <t>MOCHUMI</t>
  </si>
  <si>
    <t>140306</t>
  </si>
  <si>
    <t>MORROPE</t>
  </si>
  <si>
    <t>140307</t>
  </si>
  <si>
    <t>MOTUPE</t>
  </si>
  <si>
    <t>140308</t>
  </si>
  <si>
    <t>OLMOS</t>
  </si>
  <si>
    <t>140309</t>
  </si>
  <si>
    <t>PACORA</t>
  </si>
  <si>
    <t>140310</t>
  </si>
  <si>
    <t>140311</t>
  </si>
  <si>
    <t>140312</t>
  </si>
  <si>
    <t>TUCUME</t>
  </si>
  <si>
    <t>150101</t>
  </si>
  <si>
    <t>LIMA</t>
  </si>
  <si>
    <t>150102</t>
  </si>
  <si>
    <t>ANCON</t>
  </si>
  <si>
    <t>150103</t>
  </si>
  <si>
    <t>ATE</t>
  </si>
  <si>
    <t>VITARTE</t>
  </si>
  <si>
    <t>150104</t>
  </si>
  <si>
    <t>BARRANCO</t>
  </si>
  <si>
    <t>150105</t>
  </si>
  <si>
    <t>BREÑA</t>
  </si>
  <si>
    <t>150106</t>
  </si>
  <si>
    <t>CARABAYLLO</t>
  </si>
  <si>
    <t>150107</t>
  </si>
  <si>
    <t>CHACLACAYO</t>
  </si>
  <si>
    <t>150108</t>
  </si>
  <si>
    <t>CHORRILLOS</t>
  </si>
  <si>
    <t>150109</t>
  </si>
  <si>
    <t>CIENEGUILLA</t>
  </si>
  <si>
    <t>150110</t>
  </si>
  <si>
    <t>150111</t>
  </si>
  <si>
    <t>EL AGUSTINO</t>
  </si>
  <si>
    <t>150112</t>
  </si>
  <si>
    <t>150113</t>
  </si>
  <si>
    <t>JESUS MARIA</t>
  </si>
  <si>
    <t>150114</t>
  </si>
  <si>
    <t>LA MOLINA</t>
  </si>
  <si>
    <t>150115</t>
  </si>
  <si>
    <t>150116</t>
  </si>
  <si>
    <t>LINCE</t>
  </si>
  <si>
    <t>150117</t>
  </si>
  <si>
    <t>LOS OLIVOS</t>
  </si>
  <si>
    <t>LAS PALMERAS</t>
  </si>
  <si>
    <t>150118</t>
  </si>
  <si>
    <t>LURIGANCHO</t>
  </si>
  <si>
    <t>CHOSICA</t>
  </si>
  <si>
    <t>150119</t>
  </si>
  <si>
    <t>LURIN</t>
  </si>
  <si>
    <t>150120</t>
  </si>
  <si>
    <t>MAGDALENA DEL MAR</t>
  </si>
  <si>
    <t>150121</t>
  </si>
  <si>
    <t>150122</t>
  </si>
  <si>
    <t>150123</t>
  </si>
  <si>
    <t>PACHACAMAC</t>
  </si>
  <si>
    <t>150124</t>
  </si>
  <si>
    <t>PUCUSANA</t>
  </si>
  <si>
    <t>150125</t>
  </si>
  <si>
    <t>PUENTE PIEDRA</t>
  </si>
  <si>
    <t>150126</t>
  </si>
  <si>
    <t>PUNTA HERMOSA</t>
  </si>
  <si>
    <t>150127</t>
  </si>
  <si>
    <t>PUNTA NEGRA</t>
  </si>
  <si>
    <t>150128</t>
  </si>
  <si>
    <t>RIMAC</t>
  </si>
  <si>
    <t>150129</t>
  </si>
  <si>
    <t>SAN BARTOLO</t>
  </si>
  <si>
    <t>150130</t>
  </si>
  <si>
    <t>SAN BORJA</t>
  </si>
  <si>
    <t>SAN FRANCISCO DE BORJA</t>
  </si>
  <si>
    <t>150131</t>
  </si>
  <si>
    <t>150132</t>
  </si>
  <si>
    <t>SAN JUAN DE LURIGANCHO</t>
  </si>
  <si>
    <t>150133</t>
  </si>
  <si>
    <t>SAN JUAN DE MIRAFLORES</t>
  </si>
  <si>
    <t>CIUDAD DE DIOS</t>
  </si>
  <si>
    <t>150134</t>
  </si>
  <si>
    <t>150135</t>
  </si>
  <si>
    <t>SAN MARTIN DE PORRES</t>
  </si>
  <si>
    <t>BARRIO OBRERO INDUSTRIAL</t>
  </si>
  <si>
    <t>150136</t>
  </si>
  <si>
    <t>150137</t>
  </si>
  <si>
    <t>SANTA ANITA</t>
  </si>
  <si>
    <t>SANTA ANITA - LOS FICUS</t>
  </si>
  <si>
    <t>150138</t>
  </si>
  <si>
    <t>SANTA MARIA DEL MAR</t>
  </si>
  <si>
    <t>150139</t>
  </si>
  <si>
    <t>150140</t>
  </si>
  <si>
    <t>SANTIAGO DE SURCO</t>
  </si>
  <si>
    <t>150141</t>
  </si>
  <si>
    <t>SURQUILLO</t>
  </si>
  <si>
    <t>150142</t>
  </si>
  <si>
    <t>VILLA EL SALVADOR</t>
  </si>
  <si>
    <t>150143</t>
  </si>
  <si>
    <t>VILLA MARIA DEL TRIUNFO</t>
  </si>
  <si>
    <t>150201</t>
  </si>
  <si>
    <t>BARRANCA</t>
  </si>
  <si>
    <t>150202</t>
  </si>
  <si>
    <t>PARAMONGA</t>
  </si>
  <si>
    <t>150203</t>
  </si>
  <si>
    <t>PATIVILCA</t>
  </si>
  <si>
    <t>150204</t>
  </si>
  <si>
    <t>SUPE</t>
  </si>
  <si>
    <t>150205</t>
  </si>
  <si>
    <t>SUPE PUERTO</t>
  </si>
  <si>
    <t>150301</t>
  </si>
  <si>
    <t>CAJATAMBO</t>
  </si>
  <si>
    <t>150302</t>
  </si>
  <si>
    <t>150303</t>
  </si>
  <si>
    <t>GORGOR</t>
  </si>
  <si>
    <t>150304</t>
  </si>
  <si>
    <t>HUANCAPON</t>
  </si>
  <si>
    <t>150305</t>
  </si>
  <si>
    <t>MANAS</t>
  </si>
  <si>
    <t>150401</t>
  </si>
  <si>
    <t>CANTA</t>
  </si>
  <si>
    <t>150402</t>
  </si>
  <si>
    <t>ARAHUAY</t>
  </si>
  <si>
    <t>150403</t>
  </si>
  <si>
    <t>HUAMANTANGA</t>
  </si>
  <si>
    <t>150404</t>
  </si>
  <si>
    <t>HUAROS</t>
  </si>
  <si>
    <t>150405</t>
  </si>
  <si>
    <t>LACHAQUI</t>
  </si>
  <si>
    <t>150406</t>
  </si>
  <si>
    <t>150407</t>
  </si>
  <si>
    <t>SANTA ROSA DE QUIVES</t>
  </si>
  <si>
    <t>YANGAS</t>
  </si>
  <si>
    <t>150501</t>
  </si>
  <si>
    <t>CAÑETE</t>
  </si>
  <si>
    <t>SAN VICENTE DE CAÑETE</t>
  </si>
  <si>
    <t>150502</t>
  </si>
  <si>
    <t>ASIA</t>
  </si>
  <si>
    <t>150503</t>
  </si>
  <si>
    <t>CALANGO</t>
  </si>
  <si>
    <t>150504</t>
  </si>
  <si>
    <t>CERRO AZUL</t>
  </si>
  <si>
    <t>150505</t>
  </si>
  <si>
    <t>150506</t>
  </si>
  <si>
    <t>COAYLLO</t>
  </si>
  <si>
    <t>150507</t>
  </si>
  <si>
    <t>IMPERIAL</t>
  </si>
  <si>
    <t>150508</t>
  </si>
  <si>
    <t>LUNAHUANA</t>
  </si>
  <si>
    <t>150509</t>
  </si>
  <si>
    <t>MALA</t>
  </si>
  <si>
    <t>150510</t>
  </si>
  <si>
    <t>NUEVO IMPERIAL</t>
  </si>
  <si>
    <t>150511</t>
  </si>
  <si>
    <t>PACARAN</t>
  </si>
  <si>
    <t>150512</t>
  </si>
  <si>
    <t>QUILMANA</t>
  </si>
  <si>
    <t>150513</t>
  </si>
  <si>
    <t>150514</t>
  </si>
  <si>
    <t>150515</t>
  </si>
  <si>
    <t>SANTA CRUZ DE FLORES</t>
  </si>
  <si>
    <t>150516</t>
  </si>
  <si>
    <t>ZUÑIGA</t>
  </si>
  <si>
    <t>150601</t>
  </si>
  <si>
    <t>HUARAL</t>
  </si>
  <si>
    <t>150602</t>
  </si>
  <si>
    <t>ATAVILLOS ALTO</t>
  </si>
  <si>
    <t>PIRCA</t>
  </si>
  <si>
    <t>150603</t>
  </si>
  <si>
    <t>ATAVILLOS BAJO</t>
  </si>
  <si>
    <t>SAN AGUSTIN DE HUAYOPAMPA</t>
  </si>
  <si>
    <t>150604</t>
  </si>
  <si>
    <t>AUCALLAMA</t>
  </si>
  <si>
    <t>150605</t>
  </si>
  <si>
    <t>150606</t>
  </si>
  <si>
    <t>IHUARI</t>
  </si>
  <si>
    <t>150607</t>
  </si>
  <si>
    <t>LAMPIAN</t>
  </si>
  <si>
    <t>150608</t>
  </si>
  <si>
    <t>PACARAOS</t>
  </si>
  <si>
    <t>150609</t>
  </si>
  <si>
    <t>SAN MIGUEL DE ACOS</t>
  </si>
  <si>
    <t>150610</t>
  </si>
  <si>
    <t>SANTA CRUZ DE ANDAMARCA</t>
  </si>
  <si>
    <t>150611</t>
  </si>
  <si>
    <t>SUMBILCA</t>
  </si>
  <si>
    <t>150612</t>
  </si>
  <si>
    <t>VEINTISIETE DE NOVIEMBRE</t>
  </si>
  <si>
    <t>CARAC</t>
  </si>
  <si>
    <t>150701</t>
  </si>
  <si>
    <t>HUAROCHIRI</t>
  </si>
  <si>
    <t>MATUCANA</t>
  </si>
  <si>
    <t>150702</t>
  </si>
  <si>
    <t>ANTIOQUIA</t>
  </si>
  <si>
    <t>150703</t>
  </si>
  <si>
    <t>CALLAHUANCA</t>
  </si>
  <si>
    <t>150704</t>
  </si>
  <si>
    <t>CARAMPOMA</t>
  </si>
  <si>
    <t>150705</t>
  </si>
  <si>
    <t>CHICLA</t>
  </si>
  <si>
    <t>150706</t>
  </si>
  <si>
    <t>SAN JOSE DE LOS CHORRILLOS</t>
  </si>
  <si>
    <t>150707</t>
  </si>
  <si>
    <t>HUACHUPAMPA</t>
  </si>
  <si>
    <t>SAN LORENZO DE HUACHUPAMPA</t>
  </si>
  <si>
    <t>150708</t>
  </si>
  <si>
    <t>HUANZA</t>
  </si>
  <si>
    <t>150709</t>
  </si>
  <si>
    <t>150710</t>
  </si>
  <si>
    <t>LAHUAYTAMBO</t>
  </si>
  <si>
    <t>150711</t>
  </si>
  <si>
    <t>LANGA</t>
  </si>
  <si>
    <t>150712</t>
  </si>
  <si>
    <t>SAN PEDRO DE LARAOS</t>
  </si>
  <si>
    <t>LARAOS</t>
  </si>
  <si>
    <t>150713</t>
  </si>
  <si>
    <t>MARIATANA</t>
  </si>
  <si>
    <t>150714</t>
  </si>
  <si>
    <t>RICARDO PALMA</t>
  </si>
  <si>
    <t>150715</t>
  </si>
  <si>
    <t>SAN ANDRES DE TUPICOCHA</t>
  </si>
  <si>
    <t>150716</t>
  </si>
  <si>
    <t>CHACLLA</t>
  </si>
  <si>
    <t>150717</t>
  </si>
  <si>
    <t>SAN BARTOLOME</t>
  </si>
  <si>
    <t>150718</t>
  </si>
  <si>
    <t>SAN DAMIAN</t>
  </si>
  <si>
    <t>150719</t>
  </si>
  <si>
    <t>SAN JUAN DE IRIS</t>
  </si>
  <si>
    <t>150720</t>
  </si>
  <si>
    <t>SAN JUAN DE TANTARANCHE</t>
  </si>
  <si>
    <t>150721</t>
  </si>
  <si>
    <t>SAN LORENZO DE QUINTI</t>
  </si>
  <si>
    <t>150722</t>
  </si>
  <si>
    <t>SAN MATEO</t>
  </si>
  <si>
    <t>150723</t>
  </si>
  <si>
    <t>SAN MATEO DE OTAO</t>
  </si>
  <si>
    <t>SAN JUAN DE LANCA</t>
  </si>
  <si>
    <t>150724</t>
  </si>
  <si>
    <t>SAN PEDRO DE CASTA</t>
  </si>
  <si>
    <t>150725</t>
  </si>
  <si>
    <t>SAN PEDRO DE HUANCAYRE</t>
  </si>
  <si>
    <t>150726</t>
  </si>
  <si>
    <t>SANGALLAYA</t>
  </si>
  <si>
    <t>150727</t>
  </si>
  <si>
    <t>SANTA CRUZ DE COCACHACRA</t>
  </si>
  <si>
    <t>150728</t>
  </si>
  <si>
    <t>SANTA EULALIA</t>
  </si>
  <si>
    <t>150729</t>
  </si>
  <si>
    <t>SANTIAGO DE ANCHUCAYA</t>
  </si>
  <si>
    <t>150730</t>
  </si>
  <si>
    <t>SANTIAGO DE TUNA</t>
  </si>
  <si>
    <t>150731</t>
  </si>
  <si>
    <t>SANTO DOMINGO DE LOS OLLEROS</t>
  </si>
  <si>
    <t>150732</t>
  </si>
  <si>
    <t>SURCO</t>
  </si>
  <si>
    <t>150801</t>
  </si>
  <si>
    <t>HUAURA</t>
  </si>
  <si>
    <t>HUACHO</t>
  </si>
  <si>
    <t>150802</t>
  </si>
  <si>
    <t>AMBAR</t>
  </si>
  <si>
    <t>150803</t>
  </si>
  <si>
    <t>CALETA DE CARQUIN</t>
  </si>
  <si>
    <t>150804</t>
  </si>
  <si>
    <t>CHECRAS</t>
  </si>
  <si>
    <t>MARAY</t>
  </si>
  <si>
    <t>150805</t>
  </si>
  <si>
    <t>HUALMAY</t>
  </si>
  <si>
    <t>150806</t>
  </si>
  <si>
    <t>150807</t>
  </si>
  <si>
    <t>150808</t>
  </si>
  <si>
    <t>PACCHO</t>
  </si>
  <si>
    <t>150809</t>
  </si>
  <si>
    <t>SANTA LEONOR</t>
  </si>
  <si>
    <t>JUCUL</t>
  </si>
  <si>
    <t>150810</t>
  </si>
  <si>
    <t>SANTA MARIA</t>
  </si>
  <si>
    <t>CRUZ BLANCA</t>
  </si>
  <si>
    <t>150811</t>
  </si>
  <si>
    <t>SAYAN</t>
  </si>
  <si>
    <t>150812</t>
  </si>
  <si>
    <t>VEGUETA</t>
  </si>
  <si>
    <t>150901</t>
  </si>
  <si>
    <t>OYON</t>
  </si>
  <si>
    <t>150902</t>
  </si>
  <si>
    <t>ANDAJES</t>
  </si>
  <si>
    <t>150903</t>
  </si>
  <si>
    <t>CAUJUL</t>
  </si>
  <si>
    <t>150904</t>
  </si>
  <si>
    <t>COCHAMARCA</t>
  </si>
  <si>
    <t>150905</t>
  </si>
  <si>
    <t>NAVAN</t>
  </si>
  <si>
    <t>150906</t>
  </si>
  <si>
    <t>PACHANGARA</t>
  </si>
  <si>
    <t>CHURIN</t>
  </si>
  <si>
    <t>151001</t>
  </si>
  <si>
    <t>151002</t>
  </si>
  <si>
    <t>ALIS</t>
  </si>
  <si>
    <t>151003</t>
  </si>
  <si>
    <t>ALLAUCA</t>
  </si>
  <si>
    <t>151004</t>
  </si>
  <si>
    <t>AYAVIRI</t>
  </si>
  <si>
    <t>151005</t>
  </si>
  <si>
    <t>AZANGARO</t>
  </si>
  <si>
    <t>151006</t>
  </si>
  <si>
    <t>CACRA</t>
  </si>
  <si>
    <t>151007</t>
  </si>
  <si>
    <t>CARANIA</t>
  </si>
  <si>
    <t>151008</t>
  </si>
  <si>
    <t>CATAHUASI</t>
  </si>
  <si>
    <t>151009</t>
  </si>
  <si>
    <t>CHOCOS</t>
  </si>
  <si>
    <t>151010</t>
  </si>
  <si>
    <t>151011</t>
  </si>
  <si>
    <t>COLONIA</t>
  </si>
  <si>
    <t>151012</t>
  </si>
  <si>
    <t>HONGOS</t>
  </si>
  <si>
    <t>151013</t>
  </si>
  <si>
    <t>HUAMPARA</t>
  </si>
  <si>
    <t>151014</t>
  </si>
  <si>
    <t>HUANCAYA</t>
  </si>
  <si>
    <t>151015</t>
  </si>
  <si>
    <t>HUANGASCAR</t>
  </si>
  <si>
    <t>151016</t>
  </si>
  <si>
    <t>HUANTAN</t>
  </si>
  <si>
    <t>151017</t>
  </si>
  <si>
    <t>HUAÑEC</t>
  </si>
  <si>
    <t>151018</t>
  </si>
  <si>
    <t>151019</t>
  </si>
  <si>
    <t>LINCHA</t>
  </si>
  <si>
    <t>151020</t>
  </si>
  <si>
    <t>MADEAN</t>
  </si>
  <si>
    <t>151021</t>
  </si>
  <si>
    <t>151022</t>
  </si>
  <si>
    <t>OMAS</t>
  </si>
  <si>
    <t>151023</t>
  </si>
  <si>
    <t>PUTINZA</t>
  </si>
  <si>
    <t>SAN LORENZO DE PUTINZA</t>
  </si>
  <si>
    <t>151024</t>
  </si>
  <si>
    <t>QUINCHES</t>
  </si>
  <si>
    <t>151025</t>
  </si>
  <si>
    <t>QUINOCAY</t>
  </si>
  <si>
    <t>151026</t>
  </si>
  <si>
    <t>SAN JOAQUIN</t>
  </si>
  <si>
    <t>151027</t>
  </si>
  <si>
    <t>SAN PEDRO DE PILAS</t>
  </si>
  <si>
    <t>151028</t>
  </si>
  <si>
    <t>TANTA</t>
  </si>
  <si>
    <t>151029</t>
  </si>
  <si>
    <t>TAURIPAMPA</t>
  </si>
  <si>
    <t>151030</t>
  </si>
  <si>
    <t>TOMAS</t>
  </si>
  <si>
    <t>151031</t>
  </si>
  <si>
    <t>TUPE</t>
  </si>
  <si>
    <t>151032</t>
  </si>
  <si>
    <t>VIÑAC</t>
  </si>
  <si>
    <t>151033</t>
  </si>
  <si>
    <t>VITIS</t>
  </si>
  <si>
    <t>160101</t>
  </si>
  <si>
    <t>LORETO</t>
  </si>
  <si>
    <t>MAYNAS</t>
  </si>
  <si>
    <t>IQUITOS</t>
  </si>
  <si>
    <t>160102</t>
  </si>
  <si>
    <t>ALTO NANAY</t>
  </si>
  <si>
    <t>SANTA MARIA DE NANAY</t>
  </si>
  <si>
    <t>160103</t>
  </si>
  <si>
    <t>FERNANDO LORES</t>
  </si>
  <si>
    <t>TAMSHIYACU</t>
  </si>
  <si>
    <t>160104</t>
  </si>
  <si>
    <t>INDIANA</t>
  </si>
  <si>
    <t>160105</t>
  </si>
  <si>
    <t>LAS AMAZONAS</t>
  </si>
  <si>
    <t>FRANCISCO DE ORELLANA</t>
  </si>
  <si>
    <t>160106</t>
  </si>
  <si>
    <t>MAZAN</t>
  </si>
  <si>
    <t>160107</t>
  </si>
  <si>
    <t>NAPO</t>
  </si>
  <si>
    <t>SANTA CLOTILDE</t>
  </si>
  <si>
    <t>160108</t>
  </si>
  <si>
    <t>PUNCHANA</t>
  </si>
  <si>
    <t>160110</t>
  </si>
  <si>
    <t>TORRES CAUSANA</t>
  </si>
  <si>
    <t>PANTOJA</t>
  </si>
  <si>
    <t>160112</t>
  </si>
  <si>
    <t>160113</t>
  </si>
  <si>
    <t>160201</t>
  </si>
  <si>
    <t>ALTO AMAZONAS</t>
  </si>
  <si>
    <t>YURIMAGUAS</t>
  </si>
  <si>
    <t>160202</t>
  </si>
  <si>
    <t>BALSAPUERTO</t>
  </si>
  <si>
    <t>160205</t>
  </si>
  <si>
    <t>JEBEROS</t>
  </si>
  <si>
    <t>160206</t>
  </si>
  <si>
    <t>160210</t>
  </si>
  <si>
    <t>160211</t>
  </si>
  <si>
    <t>TENIENTE CESAR LOPEZ ROJAS</t>
  </si>
  <si>
    <t>SHUCUSHUYACU</t>
  </si>
  <si>
    <t>160301</t>
  </si>
  <si>
    <t>NAUTA</t>
  </si>
  <si>
    <t>160302</t>
  </si>
  <si>
    <t>PARINARI</t>
  </si>
  <si>
    <t>160303</t>
  </si>
  <si>
    <t>TIGRE</t>
  </si>
  <si>
    <t>INTUTU</t>
  </si>
  <si>
    <t>160304</t>
  </si>
  <si>
    <t>TROMPETEROS</t>
  </si>
  <si>
    <t>VILLA TROMPETEROS</t>
  </si>
  <si>
    <t>160305</t>
  </si>
  <si>
    <t>URARINAS</t>
  </si>
  <si>
    <t>CONCORDIA</t>
  </si>
  <si>
    <t>160401</t>
  </si>
  <si>
    <t>MARISCAL RAMON CASTILLA</t>
  </si>
  <si>
    <t>RAMON CASTILLA</t>
  </si>
  <si>
    <t>CABALLOCOCHA</t>
  </si>
  <si>
    <t>160402</t>
  </si>
  <si>
    <t>PEBAS</t>
  </si>
  <si>
    <t>160403</t>
  </si>
  <si>
    <t>YAVARI</t>
  </si>
  <si>
    <t>AMELIA /14</t>
  </si>
  <si>
    <t>160404</t>
  </si>
  <si>
    <t>SAN PABLO DE LORETO</t>
  </si>
  <si>
    <t>160501</t>
  </si>
  <si>
    <t>REQUENA</t>
  </si>
  <si>
    <t>160502</t>
  </si>
  <si>
    <t>ALTO TAPICHE</t>
  </si>
  <si>
    <t>SANTA ELENA</t>
  </si>
  <si>
    <t>160503</t>
  </si>
  <si>
    <t>CAPELO</t>
  </si>
  <si>
    <t>FLOR DE PUNGA</t>
  </si>
  <si>
    <t>160504</t>
  </si>
  <si>
    <t>EMILIO SAN MARTIN</t>
  </si>
  <si>
    <t>TAMANCO</t>
  </si>
  <si>
    <t>160505</t>
  </si>
  <si>
    <t>MAQUIA</t>
  </si>
  <si>
    <t>SANTA ISABEL</t>
  </si>
  <si>
    <t>160506</t>
  </si>
  <si>
    <t>PUINAHUA</t>
  </si>
  <si>
    <t>BRETAÑA</t>
  </si>
  <si>
    <t>160507</t>
  </si>
  <si>
    <t>SAQUENA</t>
  </si>
  <si>
    <t>BAGAZAN</t>
  </si>
  <si>
    <t>160508</t>
  </si>
  <si>
    <t>SOPLIN</t>
  </si>
  <si>
    <t>NUEVA ALEJANDRIA (CURINGA)</t>
  </si>
  <si>
    <t>160509</t>
  </si>
  <si>
    <t>TAPICHE</t>
  </si>
  <si>
    <t>IBERIA</t>
  </si>
  <si>
    <t>160510</t>
  </si>
  <si>
    <t>JENARO HERRERA</t>
  </si>
  <si>
    <t>160511</t>
  </si>
  <si>
    <t>YAQUERANA</t>
  </si>
  <si>
    <t>ANGAMOS</t>
  </si>
  <si>
    <t>160601</t>
  </si>
  <si>
    <t>UCAYALI</t>
  </si>
  <si>
    <t>CONTAMANA</t>
  </si>
  <si>
    <t>160602</t>
  </si>
  <si>
    <t>INAHUAYA</t>
  </si>
  <si>
    <t>160603</t>
  </si>
  <si>
    <t>PADRE MARQUEZ</t>
  </si>
  <si>
    <t>TIRUNTAN</t>
  </si>
  <si>
    <t>160604</t>
  </si>
  <si>
    <t>160605</t>
  </si>
  <si>
    <t>SARAYACU</t>
  </si>
  <si>
    <t>160606</t>
  </si>
  <si>
    <t>VARGAS GUERRA</t>
  </si>
  <si>
    <t>ORELLANA</t>
  </si>
  <si>
    <t>160701</t>
  </si>
  <si>
    <t>DATEM DEL MARAÑON</t>
  </si>
  <si>
    <t>160702</t>
  </si>
  <si>
    <t>CAHUAPANAS</t>
  </si>
  <si>
    <t>SANTA MARIA DE CAHUAPANAS</t>
  </si>
  <si>
    <t>160703</t>
  </si>
  <si>
    <t>MANSERICHE</t>
  </si>
  <si>
    <t>SARAMIRIZA</t>
  </si>
  <si>
    <t>160704</t>
  </si>
  <si>
    <t>MORONA</t>
  </si>
  <si>
    <t>PUERTO ALEGRIA</t>
  </si>
  <si>
    <t>160705</t>
  </si>
  <si>
    <t>PASTAZA</t>
  </si>
  <si>
    <t>ULLPAYACU</t>
  </si>
  <si>
    <t>160706</t>
  </si>
  <si>
    <t>ANDOAS</t>
  </si>
  <si>
    <t>ALIANZA CRISTIANA</t>
  </si>
  <si>
    <t>160801</t>
  </si>
  <si>
    <t>PUTUMAYO</t>
  </si>
  <si>
    <t>SAN ANTONIO DEL ESTRECHO</t>
  </si>
  <si>
    <t>160802</t>
  </si>
  <si>
    <t>ROSA PANDURO</t>
  </si>
  <si>
    <t>SANTA MERCEDES</t>
  </si>
  <si>
    <t>160803</t>
  </si>
  <si>
    <t>TENIENTE MANUEL CLAVERO</t>
  </si>
  <si>
    <t>SOPLIN VARGAS</t>
  </si>
  <si>
    <t>160804</t>
  </si>
  <si>
    <t>YAGUAS</t>
  </si>
  <si>
    <t>REMANSO</t>
  </si>
  <si>
    <t>170101</t>
  </si>
  <si>
    <t>MADRE DE DIOS</t>
  </si>
  <si>
    <t>TAMBOPATA</t>
  </si>
  <si>
    <t>PUERTO MALDONADO</t>
  </si>
  <si>
    <t>170102</t>
  </si>
  <si>
    <t>INAMBARI</t>
  </si>
  <si>
    <t>MAZUKO</t>
  </si>
  <si>
    <t>170103</t>
  </si>
  <si>
    <t>LAS PIEDRAS</t>
  </si>
  <si>
    <t>LAS PIEDRAS (PLANCHON)</t>
  </si>
  <si>
    <t>170104</t>
  </si>
  <si>
    <t>LABERINTO</t>
  </si>
  <si>
    <t>PUERTO ROSARIO DE LABERINTO</t>
  </si>
  <si>
    <t>170201</t>
  </si>
  <si>
    <t>MANU</t>
  </si>
  <si>
    <t>SALVACION</t>
  </si>
  <si>
    <t>170202</t>
  </si>
  <si>
    <t>FITZCARRALD</t>
  </si>
  <si>
    <t>BOCA MANU</t>
  </si>
  <si>
    <t>170203</t>
  </si>
  <si>
    <t>BOCA COLORADO</t>
  </si>
  <si>
    <t>170204</t>
  </si>
  <si>
    <t>HUEPETUHE</t>
  </si>
  <si>
    <t>170301</t>
  </si>
  <si>
    <t>TAHUAMANU</t>
  </si>
  <si>
    <t>IÑAPARI</t>
  </si>
  <si>
    <t>170302</t>
  </si>
  <si>
    <t>170303</t>
  </si>
  <si>
    <t>180101</t>
  </si>
  <si>
    <t>MOQUEGUA</t>
  </si>
  <si>
    <t>MARISCAL NIETO</t>
  </si>
  <si>
    <t>180102</t>
  </si>
  <si>
    <t>CARUMAS</t>
  </si>
  <si>
    <t>180103</t>
  </si>
  <si>
    <t>CUCHUMBAYA</t>
  </si>
  <si>
    <t>180104</t>
  </si>
  <si>
    <t>SAMEGUA</t>
  </si>
  <si>
    <t>180105</t>
  </si>
  <si>
    <t>CALACOA</t>
  </si>
  <si>
    <t>180106</t>
  </si>
  <si>
    <t>TORATA</t>
  </si>
  <si>
    <t>180201</t>
  </si>
  <si>
    <t>GENERAL SANCHEZ CERRO</t>
  </si>
  <si>
    <t>OMATE</t>
  </si>
  <si>
    <t>180202</t>
  </si>
  <si>
    <t>CHOJATA</t>
  </si>
  <si>
    <t>180203</t>
  </si>
  <si>
    <t>COALAQUE</t>
  </si>
  <si>
    <t>180204</t>
  </si>
  <si>
    <t>ICHUÑA</t>
  </si>
  <si>
    <t>180205</t>
  </si>
  <si>
    <t>LA CAPILLA</t>
  </si>
  <si>
    <t>180206</t>
  </si>
  <si>
    <t>LLOQUE</t>
  </si>
  <si>
    <t>180207</t>
  </si>
  <si>
    <t>MATALAQUE</t>
  </si>
  <si>
    <t>180208</t>
  </si>
  <si>
    <t>PUQUINA</t>
  </si>
  <si>
    <t>180209</t>
  </si>
  <si>
    <t>QUINISTAQUILLAS</t>
  </si>
  <si>
    <t>180210</t>
  </si>
  <si>
    <t>UBINAS</t>
  </si>
  <si>
    <t>180211</t>
  </si>
  <si>
    <t>YUNGA</t>
  </si>
  <si>
    <t>180301</t>
  </si>
  <si>
    <t>ILO</t>
  </si>
  <si>
    <t>180302</t>
  </si>
  <si>
    <t>EL ALGARROBAL</t>
  </si>
  <si>
    <t>180303</t>
  </si>
  <si>
    <t>PACOCHA</t>
  </si>
  <si>
    <t>190101</t>
  </si>
  <si>
    <t>PASCO</t>
  </si>
  <si>
    <t>CHAUPIMARCA</t>
  </si>
  <si>
    <t>CERRO DE PASCO</t>
  </si>
  <si>
    <t>190102</t>
  </si>
  <si>
    <t>HUACHON</t>
  </si>
  <si>
    <t>190103</t>
  </si>
  <si>
    <t>HUARIACA</t>
  </si>
  <si>
    <t>190104</t>
  </si>
  <si>
    <t>HUAYLLAY</t>
  </si>
  <si>
    <t>190105</t>
  </si>
  <si>
    <t>NINACACA</t>
  </si>
  <si>
    <t>190106</t>
  </si>
  <si>
    <t>PALLANCHACRA</t>
  </si>
  <si>
    <t>190107</t>
  </si>
  <si>
    <t>190108</t>
  </si>
  <si>
    <t>SAN FRANCISCO DE ASIS DE YARUSYACAN</t>
  </si>
  <si>
    <t>YARUSYACAN</t>
  </si>
  <si>
    <t>190109</t>
  </si>
  <si>
    <t>SIMON BOLIVAR</t>
  </si>
  <si>
    <t>SAN ANTONIO DE RANCAS</t>
  </si>
  <si>
    <t>190110</t>
  </si>
  <si>
    <t>TICLACAYAN</t>
  </si>
  <si>
    <t>190111</t>
  </si>
  <si>
    <t>TINYAHUARCO</t>
  </si>
  <si>
    <t>TINYAHUARCO (SMELTER)</t>
  </si>
  <si>
    <t>190112</t>
  </si>
  <si>
    <t>VICCO</t>
  </si>
  <si>
    <t>190113</t>
  </si>
  <si>
    <t>190201</t>
  </si>
  <si>
    <t>DANIEL ALCIDES CARRION</t>
  </si>
  <si>
    <t>YANAHUANCA</t>
  </si>
  <si>
    <t>190202</t>
  </si>
  <si>
    <t>CHACAYAN</t>
  </si>
  <si>
    <t>190203</t>
  </si>
  <si>
    <t>GOYLLARISQUIZGA</t>
  </si>
  <si>
    <t>190204</t>
  </si>
  <si>
    <t>PAUCAR</t>
  </si>
  <si>
    <t>190205</t>
  </si>
  <si>
    <t>SAN PEDRO DE PILLAO</t>
  </si>
  <si>
    <t>190206</t>
  </si>
  <si>
    <t>SANTA ANA DE TUSI</t>
  </si>
  <si>
    <t>190207</t>
  </si>
  <si>
    <t>TAPUC</t>
  </si>
  <si>
    <t>190208</t>
  </si>
  <si>
    <t>190301</t>
  </si>
  <si>
    <t>OXAPAMPA</t>
  </si>
  <si>
    <t>190302</t>
  </si>
  <si>
    <t>CHONTABAMBA</t>
  </si>
  <si>
    <t>190303</t>
  </si>
  <si>
    <t>190304</t>
  </si>
  <si>
    <t>PALCAZU</t>
  </si>
  <si>
    <t>ISCOZACIN</t>
  </si>
  <si>
    <t>190305</t>
  </si>
  <si>
    <t>POZUZO</t>
  </si>
  <si>
    <t>190306</t>
  </si>
  <si>
    <t>PUERTO BERMUDEZ</t>
  </si>
  <si>
    <t>190307</t>
  </si>
  <si>
    <t>VILLA RICA</t>
  </si>
  <si>
    <t>190308</t>
  </si>
  <si>
    <t>CONSTITUCION</t>
  </si>
  <si>
    <t>200101</t>
  </si>
  <si>
    <t>PIURA</t>
  </si>
  <si>
    <t>200104</t>
  </si>
  <si>
    <t>200105</t>
  </si>
  <si>
    <t>CATACAOS</t>
  </si>
  <si>
    <t>200107</t>
  </si>
  <si>
    <t>CURA MORI</t>
  </si>
  <si>
    <t>CUCUNGARA</t>
  </si>
  <si>
    <t>200108</t>
  </si>
  <si>
    <t>EL TALLAN</t>
  </si>
  <si>
    <t>SINCHAO</t>
  </si>
  <si>
    <t>200109</t>
  </si>
  <si>
    <t>LA ARENA</t>
  </si>
  <si>
    <t>200110</t>
  </si>
  <si>
    <t>200111</t>
  </si>
  <si>
    <t>LAS LOMAS</t>
  </si>
  <si>
    <t>200114</t>
  </si>
  <si>
    <t>TAMBO GRANDE</t>
  </si>
  <si>
    <t>200115</t>
  </si>
  <si>
    <t>VEINTISEIS DE OCTUBRE</t>
  </si>
  <si>
    <t>SAN MARTIN</t>
  </si>
  <si>
    <t>200201</t>
  </si>
  <si>
    <t>AYABACA</t>
  </si>
  <si>
    <t>200202</t>
  </si>
  <si>
    <t>FRIAS</t>
  </si>
  <si>
    <t>200203</t>
  </si>
  <si>
    <t>JILILI</t>
  </si>
  <si>
    <t>200204</t>
  </si>
  <si>
    <t>200205</t>
  </si>
  <si>
    <t>MONTERO</t>
  </si>
  <si>
    <t>200206</t>
  </si>
  <si>
    <t>PACAIPAMPA</t>
  </si>
  <si>
    <t>200207</t>
  </si>
  <si>
    <t>PAIMAS</t>
  </si>
  <si>
    <t>200208</t>
  </si>
  <si>
    <t>SAPILLICA</t>
  </si>
  <si>
    <t>200209</t>
  </si>
  <si>
    <t>SICCHEZ</t>
  </si>
  <si>
    <t>200210</t>
  </si>
  <si>
    <t>SUYO</t>
  </si>
  <si>
    <t>200301</t>
  </si>
  <si>
    <t>200302</t>
  </si>
  <si>
    <t>CANCHAQUE</t>
  </si>
  <si>
    <t>200303</t>
  </si>
  <si>
    <t>EL CARMEN DE LA FRONTERA</t>
  </si>
  <si>
    <t>SAPALACHE</t>
  </si>
  <si>
    <t>200304</t>
  </si>
  <si>
    <t>HUARMACA</t>
  </si>
  <si>
    <t>200305</t>
  </si>
  <si>
    <t>LALAQUIZ</t>
  </si>
  <si>
    <t>TUNAL</t>
  </si>
  <si>
    <t>200306</t>
  </si>
  <si>
    <t>SAN MIGUEL DE EL FAIQUE</t>
  </si>
  <si>
    <t>200307</t>
  </si>
  <si>
    <t>SONDOR</t>
  </si>
  <si>
    <t>200308</t>
  </si>
  <si>
    <t>SONDORILLO</t>
  </si>
  <si>
    <t>200401</t>
  </si>
  <si>
    <t>MORROPON</t>
  </si>
  <si>
    <t>CHULUCANAS</t>
  </si>
  <si>
    <t>200402</t>
  </si>
  <si>
    <t>200403</t>
  </si>
  <si>
    <t>CHALACO</t>
  </si>
  <si>
    <t>200404</t>
  </si>
  <si>
    <t>LA MATANZA</t>
  </si>
  <si>
    <t>200405</t>
  </si>
  <si>
    <t>200406</t>
  </si>
  <si>
    <t>SALITRAL</t>
  </si>
  <si>
    <t>200407</t>
  </si>
  <si>
    <t>SAN JUAN DE BIGOTE</t>
  </si>
  <si>
    <t>BIGOTE</t>
  </si>
  <si>
    <t>200408</t>
  </si>
  <si>
    <t>SANTA CATALINA DE MOSSA</t>
  </si>
  <si>
    <t>PALTASHACO</t>
  </si>
  <si>
    <t>200409</t>
  </si>
  <si>
    <t>SANTO DOMINGO</t>
  </si>
  <si>
    <t>200410</t>
  </si>
  <si>
    <t>YAMANGO</t>
  </si>
  <si>
    <t>200501</t>
  </si>
  <si>
    <t>PAITA</t>
  </si>
  <si>
    <t>200502</t>
  </si>
  <si>
    <t>AMOTAPE</t>
  </si>
  <si>
    <t>200503</t>
  </si>
  <si>
    <t>ARENAL</t>
  </si>
  <si>
    <t>200504</t>
  </si>
  <si>
    <t>COLAN</t>
  </si>
  <si>
    <t>SAN LUCAS (PUEBLO NUEVO DE COLAN)</t>
  </si>
  <si>
    <t>200505</t>
  </si>
  <si>
    <t>LA HUACA</t>
  </si>
  <si>
    <t>200506</t>
  </si>
  <si>
    <t>TAMARINDO</t>
  </si>
  <si>
    <t>200507</t>
  </si>
  <si>
    <t>VICHAYAL</t>
  </si>
  <si>
    <t>SAN FELIPE DE VICHAYAL</t>
  </si>
  <si>
    <t>200601</t>
  </si>
  <si>
    <t>SULLANA</t>
  </si>
  <si>
    <t>200602</t>
  </si>
  <si>
    <t>200603</t>
  </si>
  <si>
    <t>IGNACIO ESCUDERO</t>
  </si>
  <si>
    <t>SAN JACINTO</t>
  </si>
  <si>
    <t>200604</t>
  </si>
  <si>
    <t>LANCONES</t>
  </si>
  <si>
    <t>200605</t>
  </si>
  <si>
    <t>MARCAVELICA</t>
  </si>
  <si>
    <t>200606</t>
  </si>
  <si>
    <t>MIGUEL CHECA</t>
  </si>
  <si>
    <t>SOJO</t>
  </si>
  <si>
    <t>200607</t>
  </si>
  <si>
    <t>QUERECOTILLO</t>
  </si>
  <si>
    <t>200608</t>
  </si>
  <si>
    <t>200701</t>
  </si>
  <si>
    <t>TALARA</t>
  </si>
  <si>
    <t>PARIÑAS</t>
  </si>
  <si>
    <t>200702</t>
  </si>
  <si>
    <t>EL ALTO</t>
  </si>
  <si>
    <t>200703</t>
  </si>
  <si>
    <t>LA BREA</t>
  </si>
  <si>
    <t>NEGRITOS</t>
  </si>
  <si>
    <t>200704</t>
  </si>
  <si>
    <t>LOBITOS</t>
  </si>
  <si>
    <t>200705</t>
  </si>
  <si>
    <t>LOS ORGANOS</t>
  </si>
  <si>
    <t>200706</t>
  </si>
  <si>
    <t>MANCORA</t>
  </si>
  <si>
    <t>200801</t>
  </si>
  <si>
    <t>SECHURA</t>
  </si>
  <si>
    <t>200802</t>
  </si>
  <si>
    <t>BELLAVISTA DE LA UNION</t>
  </si>
  <si>
    <t>200803</t>
  </si>
  <si>
    <t>BERNAL</t>
  </si>
  <si>
    <t>200804</t>
  </si>
  <si>
    <t>CRISTO NOS VALGA</t>
  </si>
  <si>
    <t>SAN CRISTO</t>
  </si>
  <si>
    <t>200805</t>
  </si>
  <si>
    <t>VICE</t>
  </si>
  <si>
    <t>200806</t>
  </si>
  <si>
    <t>RINCONADA LLICUAR</t>
  </si>
  <si>
    <t>DOS PUEBLOS</t>
  </si>
  <si>
    <t>210101</t>
  </si>
  <si>
    <t>PUNO</t>
  </si>
  <si>
    <t>210102</t>
  </si>
  <si>
    <t>ACORA</t>
  </si>
  <si>
    <t>210103</t>
  </si>
  <si>
    <t>AMANTANI</t>
  </si>
  <si>
    <t>210104</t>
  </si>
  <si>
    <t>ATUNCOLLA</t>
  </si>
  <si>
    <t>210105</t>
  </si>
  <si>
    <t>CAPACHICA</t>
  </si>
  <si>
    <t>210106</t>
  </si>
  <si>
    <t>CHUCUITO</t>
  </si>
  <si>
    <t>210107</t>
  </si>
  <si>
    <t>COATA</t>
  </si>
  <si>
    <t>210108</t>
  </si>
  <si>
    <t>210109</t>
  </si>
  <si>
    <t>MAÑAZO</t>
  </si>
  <si>
    <t>210110</t>
  </si>
  <si>
    <t>PAUCARCOLLA</t>
  </si>
  <si>
    <t>210111</t>
  </si>
  <si>
    <t>PICHACANI</t>
  </si>
  <si>
    <t>LARAQUERI</t>
  </si>
  <si>
    <t>210112</t>
  </si>
  <si>
    <t>PLATERIA</t>
  </si>
  <si>
    <t>210113</t>
  </si>
  <si>
    <t>SAN ANTONIO DE ESQUILACHE /15</t>
  </si>
  <si>
    <t>210114</t>
  </si>
  <si>
    <t>TIQUILLACA</t>
  </si>
  <si>
    <t>210115</t>
  </si>
  <si>
    <t>VILQUE</t>
  </si>
  <si>
    <t>210201</t>
  </si>
  <si>
    <t>210202</t>
  </si>
  <si>
    <t>ACHAYA</t>
  </si>
  <si>
    <t>210203</t>
  </si>
  <si>
    <t>ARAPA</t>
  </si>
  <si>
    <t>210204</t>
  </si>
  <si>
    <t>ASILLO</t>
  </si>
  <si>
    <t>210205</t>
  </si>
  <si>
    <t>CAMINACA</t>
  </si>
  <si>
    <t>210206</t>
  </si>
  <si>
    <t>CHUPA</t>
  </si>
  <si>
    <t>210207</t>
  </si>
  <si>
    <t>JOSE DOMINGO CHOQUEHUANCA</t>
  </si>
  <si>
    <t>ESTACION DE PUCARA</t>
  </si>
  <si>
    <t>210208</t>
  </si>
  <si>
    <t>MUÑANI</t>
  </si>
  <si>
    <t>210209</t>
  </si>
  <si>
    <t>POTONI</t>
  </si>
  <si>
    <t>210210</t>
  </si>
  <si>
    <t>SAMAN</t>
  </si>
  <si>
    <t>210211</t>
  </si>
  <si>
    <t>SAN ANTON</t>
  </si>
  <si>
    <t>210212</t>
  </si>
  <si>
    <t>210213</t>
  </si>
  <si>
    <t>SAN JUAN DE SALINAS</t>
  </si>
  <si>
    <t>210214</t>
  </si>
  <si>
    <t>SANTIAGO DE PUPUJA</t>
  </si>
  <si>
    <t>210215</t>
  </si>
  <si>
    <t>TIRAPATA</t>
  </si>
  <si>
    <t>210301</t>
  </si>
  <si>
    <t>CARABAYA</t>
  </si>
  <si>
    <t>MACUSANI</t>
  </si>
  <si>
    <t>210302</t>
  </si>
  <si>
    <t>AJOYANI</t>
  </si>
  <si>
    <t>210303</t>
  </si>
  <si>
    <t>AYAPATA</t>
  </si>
  <si>
    <t>210304</t>
  </si>
  <si>
    <t>COASA</t>
  </si>
  <si>
    <t>210305</t>
  </si>
  <si>
    <t>CORANI</t>
  </si>
  <si>
    <t>210306</t>
  </si>
  <si>
    <t>CRUCERO</t>
  </si>
  <si>
    <t>210307</t>
  </si>
  <si>
    <t>ITUATA</t>
  </si>
  <si>
    <t>ITUATA /16</t>
  </si>
  <si>
    <t>210308</t>
  </si>
  <si>
    <t>OLLACHEA</t>
  </si>
  <si>
    <t>210309</t>
  </si>
  <si>
    <t>SAN GABAN</t>
  </si>
  <si>
    <t>LANLACUNI BAJO</t>
  </si>
  <si>
    <t>210310</t>
  </si>
  <si>
    <t>USICAYOS</t>
  </si>
  <si>
    <t>210401</t>
  </si>
  <si>
    <t>JULI</t>
  </si>
  <si>
    <t>210402</t>
  </si>
  <si>
    <t>DESAGUADERO</t>
  </si>
  <si>
    <t>210403</t>
  </si>
  <si>
    <t>HUACULLANI</t>
  </si>
  <si>
    <t>210404</t>
  </si>
  <si>
    <t>KELLUYO</t>
  </si>
  <si>
    <t>210405</t>
  </si>
  <si>
    <t>PISACOMA</t>
  </si>
  <si>
    <t>210406</t>
  </si>
  <si>
    <t>POMATA</t>
  </si>
  <si>
    <t>210407</t>
  </si>
  <si>
    <t>ZEPITA</t>
  </si>
  <si>
    <t>210501</t>
  </si>
  <si>
    <t>EL COLLAO</t>
  </si>
  <si>
    <t>ILAVE</t>
  </si>
  <si>
    <t>210502</t>
  </si>
  <si>
    <t>CAPAZO</t>
  </si>
  <si>
    <t>210503</t>
  </si>
  <si>
    <t>PILCUYO</t>
  </si>
  <si>
    <t>210504</t>
  </si>
  <si>
    <t>MAZO CRUZ</t>
  </si>
  <si>
    <t>210505</t>
  </si>
  <si>
    <t>CONDURIRI</t>
  </si>
  <si>
    <t>210601</t>
  </si>
  <si>
    <t>HUANCANE</t>
  </si>
  <si>
    <t>210602</t>
  </si>
  <si>
    <t>COJATA</t>
  </si>
  <si>
    <t>210603</t>
  </si>
  <si>
    <t>HUATASANI</t>
  </si>
  <si>
    <t>210604</t>
  </si>
  <si>
    <t>INCHUPALLA</t>
  </si>
  <si>
    <t>210605</t>
  </si>
  <si>
    <t>PUSI</t>
  </si>
  <si>
    <t>210606</t>
  </si>
  <si>
    <t>ROSASPATA</t>
  </si>
  <si>
    <t>210607</t>
  </si>
  <si>
    <t>TARACO</t>
  </si>
  <si>
    <t>210608</t>
  </si>
  <si>
    <t>VILQUE CHICO</t>
  </si>
  <si>
    <t>210701</t>
  </si>
  <si>
    <t>210702</t>
  </si>
  <si>
    <t>CABANILLA</t>
  </si>
  <si>
    <t>210703</t>
  </si>
  <si>
    <t>CALAPUJA</t>
  </si>
  <si>
    <t>210704</t>
  </si>
  <si>
    <t>NICASIO</t>
  </si>
  <si>
    <t>210705</t>
  </si>
  <si>
    <t>OCUVIRI</t>
  </si>
  <si>
    <t>210706</t>
  </si>
  <si>
    <t>210707</t>
  </si>
  <si>
    <t>PARATIA</t>
  </si>
  <si>
    <t>210708</t>
  </si>
  <si>
    <t>210709</t>
  </si>
  <si>
    <t>210710</t>
  </si>
  <si>
    <t>VILAVILA</t>
  </si>
  <si>
    <t>210801</t>
  </si>
  <si>
    <t>MELGAR</t>
  </si>
  <si>
    <t>210802</t>
  </si>
  <si>
    <t>ANTAUTA</t>
  </si>
  <si>
    <t>210803</t>
  </si>
  <si>
    <t>CUPI</t>
  </si>
  <si>
    <t>210804</t>
  </si>
  <si>
    <t>LLALLI</t>
  </si>
  <si>
    <t>210805</t>
  </si>
  <si>
    <t>MACARI</t>
  </si>
  <si>
    <t>210806</t>
  </si>
  <si>
    <t>NUÑOA</t>
  </si>
  <si>
    <t>210807</t>
  </si>
  <si>
    <t>ORURILLO</t>
  </si>
  <si>
    <t>210808</t>
  </si>
  <si>
    <t>210809</t>
  </si>
  <si>
    <t>UMACHIRI</t>
  </si>
  <si>
    <t>210901</t>
  </si>
  <si>
    <t>MOHO</t>
  </si>
  <si>
    <t>210902</t>
  </si>
  <si>
    <t>CONIMA</t>
  </si>
  <si>
    <t>210903</t>
  </si>
  <si>
    <t>HUAYRAPATA</t>
  </si>
  <si>
    <t>210904</t>
  </si>
  <si>
    <t>TILALI</t>
  </si>
  <si>
    <t>211001</t>
  </si>
  <si>
    <t>SAN ANTONIO DE PUTINA</t>
  </si>
  <si>
    <t>PUTINA</t>
  </si>
  <si>
    <t>211002</t>
  </si>
  <si>
    <t>ANANEA</t>
  </si>
  <si>
    <t>211003</t>
  </si>
  <si>
    <t>PEDRO VILCA APAZA</t>
  </si>
  <si>
    <t>AYRAMPUNI</t>
  </si>
  <si>
    <t>211004</t>
  </si>
  <si>
    <t>QUILCAPUNCU</t>
  </si>
  <si>
    <t>211005</t>
  </si>
  <si>
    <t>SINA</t>
  </si>
  <si>
    <t>211101</t>
  </si>
  <si>
    <t>SAN ROMAN</t>
  </si>
  <si>
    <t>JULIACA</t>
  </si>
  <si>
    <t>211102</t>
  </si>
  <si>
    <t>211103</t>
  </si>
  <si>
    <t>CABANILLAS</t>
  </si>
  <si>
    <t>DEUSTUA</t>
  </si>
  <si>
    <t>211104</t>
  </si>
  <si>
    <t>CARACOTO</t>
  </si>
  <si>
    <t>211105</t>
  </si>
  <si>
    <t>211201</t>
  </si>
  <si>
    <t>SANDIA</t>
  </si>
  <si>
    <t>211202</t>
  </si>
  <si>
    <t>CUYOCUYO</t>
  </si>
  <si>
    <t>211203</t>
  </si>
  <si>
    <t>LIMBANI</t>
  </si>
  <si>
    <t>211204</t>
  </si>
  <si>
    <t>PATAMBUCO</t>
  </si>
  <si>
    <t>211205</t>
  </si>
  <si>
    <t>PHARA</t>
  </si>
  <si>
    <t>211206</t>
  </si>
  <si>
    <t>QUIACA</t>
  </si>
  <si>
    <t>211207</t>
  </si>
  <si>
    <t>SAN JUAN DEL ORO</t>
  </si>
  <si>
    <t>211208</t>
  </si>
  <si>
    <t>YANAHUAYA</t>
  </si>
  <si>
    <t>211209</t>
  </si>
  <si>
    <t>ALTO INAMBARI</t>
  </si>
  <si>
    <t>MASSIAPO</t>
  </si>
  <si>
    <t>211210</t>
  </si>
  <si>
    <t>SAN PEDRO DE PUTINA PUNCO</t>
  </si>
  <si>
    <t>PUTINA PUNCO</t>
  </si>
  <si>
    <t>211301</t>
  </si>
  <si>
    <t>YUNGUYO</t>
  </si>
  <si>
    <t>211302</t>
  </si>
  <si>
    <t>ANAPIA</t>
  </si>
  <si>
    <t>211303</t>
  </si>
  <si>
    <t>COPANI</t>
  </si>
  <si>
    <t>211304</t>
  </si>
  <si>
    <t>CUTURAPI</t>
  </si>
  <si>
    <t>SAN JUAN DE CUTURAPI</t>
  </si>
  <si>
    <t>211305</t>
  </si>
  <si>
    <t>OLLARAYA</t>
  </si>
  <si>
    <t>SAN MIGUEL DE OLLARAYA</t>
  </si>
  <si>
    <t>211306</t>
  </si>
  <si>
    <t>TINICACHI</t>
  </si>
  <si>
    <t>211307</t>
  </si>
  <si>
    <t>UNICACHI</t>
  </si>
  <si>
    <t>MARCAJA</t>
  </si>
  <si>
    <t>220101</t>
  </si>
  <si>
    <t>MOYOBAMBA</t>
  </si>
  <si>
    <t>220102</t>
  </si>
  <si>
    <t>CALZADA</t>
  </si>
  <si>
    <t>220103</t>
  </si>
  <si>
    <t>HABANA</t>
  </si>
  <si>
    <t>220104</t>
  </si>
  <si>
    <t>JEPELACIO</t>
  </si>
  <si>
    <t>220105</t>
  </si>
  <si>
    <t>SORITOR</t>
  </si>
  <si>
    <t>220106</t>
  </si>
  <si>
    <t>YANTALO</t>
  </si>
  <si>
    <t>220201</t>
  </si>
  <si>
    <t>220202</t>
  </si>
  <si>
    <t>ALTO BIAVO</t>
  </si>
  <si>
    <t>CUZCO</t>
  </si>
  <si>
    <t>220203</t>
  </si>
  <si>
    <t>BAJO BIAVO</t>
  </si>
  <si>
    <t>NUEVO LIMA</t>
  </si>
  <si>
    <t>220204</t>
  </si>
  <si>
    <t>HUALLAGA</t>
  </si>
  <si>
    <t>LEDOY</t>
  </si>
  <si>
    <t>220205</t>
  </si>
  <si>
    <t>220206</t>
  </si>
  <si>
    <t>220301</t>
  </si>
  <si>
    <t>EL DORADO</t>
  </si>
  <si>
    <t>SAN JOSE DE SISA</t>
  </si>
  <si>
    <t>220302</t>
  </si>
  <si>
    <t>220303</t>
  </si>
  <si>
    <t>220304</t>
  </si>
  <si>
    <t>220305</t>
  </si>
  <si>
    <t>SHATOJA</t>
  </si>
  <si>
    <t>220401</t>
  </si>
  <si>
    <t>SAPOSOA</t>
  </si>
  <si>
    <t>220402</t>
  </si>
  <si>
    <t>ALTO SAPOSOA</t>
  </si>
  <si>
    <t>PASARRAYA</t>
  </si>
  <si>
    <t>220403</t>
  </si>
  <si>
    <t>EL ESLABON</t>
  </si>
  <si>
    <t>220404</t>
  </si>
  <si>
    <t>PISCOYACU</t>
  </si>
  <si>
    <t>220405</t>
  </si>
  <si>
    <t>SACANCHE</t>
  </si>
  <si>
    <t>220406</t>
  </si>
  <si>
    <t>TINGO DE SAPOSOA</t>
  </si>
  <si>
    <t>220501</t>
  </si>
  <si>
    <t>LAMAS</t>
  </si>
  <si>
    <t>220502</t>
  </si>
  <si>
    <t>ALONSO DE ALVARADO</t>
  </si>
  <si>
    <t>ROQUE</t>
  </si>
  <si>
    <t>220503</t>
  </si>
  <si>
    <t>BARRANQUITA</t>
  </si>
  <si>
    <t>220504</t>
  </si>
  <si>
    <t>CAYNARACHI</t>
  </si>
  <si>
    <t>PONGO DE CAYNARACHI</t>
  </si>
  <si>
    <t>220505</t>
  </si>
  <si>
    <t>CUÑUMBUQUI</t>
  </si>
  <si>
    <t>220506</t>
  </si>
  <si>
    <t>PINTO RECODO</t>
  </si>
  <si>
    <t>220507</t>
  </si>
  <si>
    <t>RUMISAPA</t>
  </si>
  <si>
    <t>220508</t>
  </si>
  <si>
    <t>SAN ROQUE DE CUMBAZA</t>
  </si>
  <si>
    <t>220509</t>
  </si>
  <si>
    <t>SHANAO</t>
  </si>
  <si>
    <t>220510</t>
  </si>
  <si>
    <t>TABALOSOS</t>
  </si>
  <si>
    <t>220511</t>
  </si>
  <si>
    <t>ZAPATERO</t>
  </si>
  <si>
    <t>220601</t>
  </si>
  <si>
    <t>JUANJUI</t>
  </si>
  <si>
    <t>220602</t>
  </si>
  <si>
    <t>CAMPANILLA</t>
  </si>
  <si>
    <t>220603</t>
  </si>
  <si>
    <t>HUICUNGO</t>
  </si>
  <si>
    <t>220604</t>
  </si>
  <si>
    <t>PACHIZA</t>
  </si>
  <si>
    <t>220605</t>
  </si>
  <si>
    <t>PAJARILLO</t>
  </si>
  <si>
    <t>220701</t>
  </si>
  <si>
    <t>PICOTA</t>
  </si>
  <si>
    <t>220702</t>
  </si>
  <si>
    <t>220703</t>
  </si>
  <si>
    <t>CASPISAPA</t>
  </si>
  <si>
    <t>220704</t>
  </si>
  <si>
    <t>PILLUANA</t>
  </si>
  <si>
    <t>220705</t>
  </si>
  <si>
    <t>PUCACACA</t>
  </si>
  <si>
    <t>220706</t>
  </si>
  <si>
    <t>PUERTO RICO</t>
  </si>
  <si>
    <t>220707</t>
  </si>
  <si>
    <t>SAN HILARION</t>
  </si>
  <si>
    <t>SAN CRISTOBAL DE SISA</t>
  </si>
  <si>
    <t>220708</t>
  </si>
  <si>
    <t>SHAMBOYACU</t>
  </si>
  <si>
    <t>220709</t>
  </si>
  <si>
    <t>TINGO DE PONASA</t>
  </si>
  <si>
    <t>220710</t>
  </si>
  <si>
    <t>TRES UNIDOS</t>
  </si>
  <si>
    <t>220801</t>
  </si>
  <si>
    <t>RIOJA</t>
  </si>
  <si>
    <t>220802</t>
  </si>
  <si>
    <t>AWAJUN</t>
  </si>
  <si>
    <t>BAJO NARANJILLO</t>
  </si>
  <si>
    <t>220803</t>
  </si>
  <si>
    <t>ELIAS SOPLIN VARGAS</t>
  </si>
  <si>
    <t>SEGUNDA JERUSALEN-AZUNGUILLO</t>
  </si>
  <si>
    <t>220804</t>
  </si>
  <si>
    <t>NUEVA CAJAMARCA</t>
  </si>
  <si>
    <t>220805</t>
  </si>
  <si>
    <t>PARDO MIGUEL</t>
  </si>
  <si>
    <t>NARANJOS</t>
  </si>
  <si>
    <t>220806</t>
  </si>
  <si>
    <t>POSIC</t>
  </si>
  <si>
    <t>220807</t>
  </si>
  <si>
    <t>SAN FERNANDO</t>
  </si>
  <si>
    <t>220808</t>
  </si>
  <si>
    <t>YORONGOS</t>
  </si>
  <si>
    <t>220809</t>
  </si>
  <si>
    <t>YURACYACU</t>
  </si>
  <si>
    <t>220901</t>
  </si>
  <si>
    <t>TARAPOTO</t>
  </si>
  <si>
    <t>220902</t>
  </si>
  <si>
    <t>ALBERTO LEVEAU</t>
  </si>
  <si>
    <t>UTCURARCA</t>
  </si>
  <si>
    <t>220903</t>
  </si>
  <si>
    <t>CACATACHI</t>
  </si>
  <si>
    <t>220904</t>
  </si>
  <si>
    <t>CHAZUTA</t>
  </si>
  <si>
    <t>220905</t>
  </si>
  <si>
    <t>CHIPURANA</t>
  </si>
  <si>
    <t>NAVARRO</t>
  </si>
  <si>
    <t>220906</t>
  </si>
  <si>
    <t>PELEJO</t>
  </si>
  <si>
    <t>220907</t>
  </si>
  <si>
    <t>HUIMBAYOC</t>
  </si>
  <si>
    <t>220908</t>
  </si>
  <si>
    <t>JUAN GUERRA</t>
  </si>
  <si>
    <t>220909</t>
  </si>
  <si>
    <t>LA BANDA DE SHILCAYO</t>
  </si>
  <si>
    <t>LA BANDA</t>
  </si>
  <si>
    <t>220910</t>
  </si>
  <si>
    <t>MORALES</t>
  </si>
  <si>
    <t>220911</t>
  </si>
  <si>
    <t>PAPAPLAYA</t>
  </si>
  <si>
    <t>220912</t>
  </si>
  <si>
    <t>220913</t>
  </si>
  <si>
    <t>SAUCE</t>
  </si>
  <si>
    <t>220914</t>
  </si>
  <si>
    <t>SHAPAJA</t>
  </si>
  <si>
    <t>221001</t>
  </si>
  <si>
    <t>TOCACHE</t>
  </si>
  <si>
    <t>221002</t>
  </si>
  <si>
    <t>NUEVO PROGRESO</t>
  </si>
  <si>
    <t>221003</t>
  </si>
  <si>
    <t>POLVORA</t>
  </si>
  <si>
    <t>221004</t>
  </si>
  <si>
    <t>SHUNTE</t>
  </si>
  <si>
    <t>TAMBO DE PAJA /18</t>
  </si>
  <si>
    <t>221005</t>
  </si>
  <si>
    <t>UCHIZA</t>
  </si>
  <si>
    <t>230101</t>
  </si>
  <si>
    <t>TACNA</t>
  </si>
  <si>
    <t>230102</t>
  </si>
  <si>
    <t>ALTO DE LA ALIANZA</t>
  </si>
  <si>
    <t>230103</t>
  </si>
  <si>
    <t>CALANA</t>
  </si>
  <si>
    <t>230104</t>
  </si>
  <si>
    <t>CIUDAD NUEVA</t>
  </si>
  <si>
    <t>230105</t>
  </si>
  <si>
    <t>INCLAN</t>
  </si>
  <si>
    <t>SAMA GRANDE</t>
  </si>
  <si>
    <t>230106</t>
  </si>
  <si>
    <t>PACHIA</t>
  </si>
  <si>
    <t>230107</t>
  </si>
  <si>
    <t>230108</t>
  </si>
  <si>
    <t>POCOLLAY</t>
  </si>
  <si>
    <t>230109</t>
  </si>
  <si>
    <t>SAMA</t>
  </si>
  <si>
    <t>LAS YARAS</t>
  </si>
  <si>
    <t>230110</t>
  </si>
  <si>
    <t>CORONEL GREGORIO ALBARRACIN LANCHIPA</t>
  </si>
  <si>
    <t>230111</t>
  </si>
  <si>
    <t>LA YARADA LOS PALOS</t>
  </si>
  <si>
    <t>LOS PALOS</t>
  </si>
  <si>
    <t>230201</t>
  </si>
  <si>
    <t>CANDARAVE</t>
  </si>
  <si>
    <t>230202</t>
  </si>
  <si>
    <t>CAIRANI</t>
  </si>
  <si>
    <t>230203</t>
  </si>
  <si>
    <t>CAMILACA</t>
  </si>
  <si>
    <t>ALTO CAMILACA</t>
  </si>
  <si>
    <t>230204</t>
  </si>
  <si>
    <t>CURIBAYA</t>
  </si>
  <si>
    <t>230205</t>
  </si>
  <si>
    <t>HUANUARA</t>
  </si>
  <si>
    <t>230206</t>
  </si>
  <si>
    <t>QUILAHUANI</t>
  </si>
  <si>
    <t>230301</t>
  </si>
  <si>
    <t>JORGE BASADRE</t>
  </si>
  <si>
    <t>LOCUMBA</t>
  </si>
  <si>
    <t>230302</t>
  </si>
  <si>
    <t>ILABAYA</t>
  </si>
  <si>
    <t>230303</t>
  </si>
  <si>
    <t>ITE</t>
  </si>
  <si>
    <t>230401</t>
  </si>
  <si>
    <t>TARATA</t>
  </si>
  <si>
    <t>230402</t>
  </si>
  <si>
    <t>HEROES ALBARRACIN</t>
  </si>
  <si>
    <t>CHUCATAMANI</t>
  </si>
  <si>
    <t>230403</t>
  </si>
  <si>
    <t>ESTIQUE</t>
  </si>
  <si>
    <t>230404</t>
  </si>
  <si>
    <t>ESTIQUE-PAMPA</t>
  </si>
  <si>
    <t>230405</t>
  </si>
  <si>
    <t>SITAJARA</t>
  </si>
  <si>
    <t>230406</t>
  </si>
  <si>
    <t>SUSAPAYA</t>
  </si>
  <si>
    <t>230407</t>
  </si>
  <si>
    <t>TARUCACHI</t>
  </si>
  <si>
    <t>230408</t>
  </si>
  <si>
    <t>TICACO</t>
  </si>
  <si>
    <t>240101</t>
  </si>
  <si>
    <t>TUMBES</t>
  </si>
  <si>
    <t>240102</t>
  </si>
  <si>
    <t>CORRALES</t>
  </si>
  <si>
    <t>SAN PEDRO DE LOS INCAS</t>
  </si>
  <si>
    <t>240103</t>
  </si>
  <si>
    <t>LA CRUZ</t>
  </si>
  <si>
    <t>CALETA CRUZ</t>
  </si>
  <si>
    <t>240104</t>
  </si>
  <si>
    <t>PAMPAS DE HOSPITAL</t>
  </si>
  <si>
    <t>240105</t>
  </si>
  <si>
    <t>240106</t>
  </si>
  <si>
    <t>SAN JUAN DE LA VIRGEN</t>
  </si>
  <si>
    <t>240201</t>
  </si>
  <si>
    <t>CONTRALMIRANTE VILLAR</t>
  </si>
  <si>
    <t>ZORRITOS</t>
  </si>
  <si>
    <t>240202</t>
  </si>
  <si>
    <t>CASITAS</t>
  </si>
  <si>
    <t>CAÑAVERAL</t>
  </si>
  <si>
    <t>240203</t>
  </si>
  <si>
    <t>CANOAS DE PUNTA SAL</t>
  </si>
  <si>
    <t>CANCAS</t>
  </si>
  <si>
    <t>240301</t>
  </si>
  <si>
    <t>ZARUMILLA</t>
  </si>
  <si>
    <t>240302</t>
  </si>
  <si>
    <t>AGUAS VERDES</t>
  </si>
  <si>
    <t>240303</t>
  </si>
  <si>
    <t>MATAPALO</t>
  </si>
  <si>
    <t>240304</t>
  </si>
  <si>
    <t>PAPAYAL</t>
  </si>
  <si>
    <t>250101</t>
  </si>
  <si>
    <t>CORONEL PORTILLO</t>
  </si>
  <si>
    <t>CALLERIA</t>
  </si>
  <si>
    <t>PUCALLPA</t>
  </si>
  <si>
    <t>250102</t>
  </si>
  <si>
    <t>CAMPOVERDE</t>
  </si>
  <si>
    <t>CAMPO VERDE</t>
  </si>
  <si>
    <t>250103</t>
  </si>
  <si>
    <t>IPARIA</t>
  </si>
  <si>
    <t>250104</t>
  </si>
  <si>
    <t>MASISEA</t>
  </si>
  <si>
    <t>250105</t>
  </si>
  <si>
    <t>YARINACOCHA</t>
  </si>
  <si>
    <t>PUERTO CALLAO</t>
  </si>
  <si>
    <t>250106</t>
  </si>
  <si>
    <t>NUEVA REQUENA</t>
  </si>
  <si>
    <t>250107</t>
  </si>
  <si>
    <t>MANANTAY</t>
  </si>
  <si>
    <t>250201</t>
  </si>
  <si>
    <t>ATALAYA</t>
  </si>
  <si>
    <t>RAYMONDI</t>
  </si>
  <si>
    <t>250202</t>
  </si>
  <si>
    <t>SEPAHUA</t>
  </si>
  <si>
    <t>250203</t>
  </si>
  <si>
    <t>TAHUANIA</t>
  </si>
  <si>
    <t>250204</t>
  </si>
  <si>
    <t>YURUA</t>
  </si>
  <si>
    <t>BREU</t>
  </si>
  <si>
    <t>250301</t>
  </si>
  <si>
    <t>PADRE ABAD</t>
  </si>
  <si>
    <t>AGUAYTIA</t>
  </si>
  <si>
    <t>250302</t>
  </si>
  <si>
    <t>IRAZOLA</t>
  </si>
  <si>
    <t>SAN ALEJANDRO</t>
  </si>
  <si>
    <t>250303</t>
  </si>
  <si>
    <t>CURIMANA</t>
  </si>
  <si>
    <t>250304</t>
  </si>
  <si>
    <t>NESHUYA</t>
  </si>
  <si>
    <t>MONTE ALEGRE</t>
  </si>
  <si>
    <t>250305</t>
  </si>
  <si>
    <t>ALEXANDER VON HUMBOLDT</t>
  </si>
  <si>
    <t>250401</t>
  </si>
  <si>
    <t>PURUS</t>
  </si>
  <si>
    <t>ESPERANZA</t>
  </si>
  <si>
    <t>RODRIGUEZ_DE_MENDOZA</t>
  </si>
  <si>
    <t>ANTONIO_RAYMONDI</t>
  </si>
  <si>
    <t>CARLOS_FERMIN_FITZCARRALD</t>
  </si>
  <si>
    <t>MARISCAL_LUZURIAGA</t>
  </si>
  <si>
    <t>LA_UNION</t>
  </si>
  <si>
    <t>HUANCA_SANCOS</t>
  </si>
  <si>
    <t>LA_MAR</t>
  </si>
  <si>
    <t>PAUCAR_DEL_SARA_SARA</t>
  </si>
  <si>
    <t>VICTOR_FAJARDO</t>
  </si>
  <si>
    <t>VILCAS_HUAMAN</t>
  </si>
  <si>
    <t>SAN_IGNACIO</t>
  </si>
  <si>
    <t>SAN_MARCOS</t>
  </si>
  <si>
    <t>SAN_MIGUEL</t>
  </si>
  <si>
    <t>SAN_PABLO</t>
  </si>
  <si>
    <t>SANTA_CRUZ</t>
  </si>
  <si>
    <t>LA_CONVENCION</t>
  </si>
  <si>
    <t>DOS_DE_MAYO</t>
  </si>
  <si>
    <t>LEONCIO_PRADO</t>
  </si>
  <si>
    <t>PUERTO_INCA</t>
  </si>
  <si>
    <t>GRAN_CHIMU</t>
  </si>
  <si>
    <t>SANCHEZ_CARRION</t>
  </si>
  <si>
    <t>SANTIAGO_DE_CHUCO</t>
  </si>
  <si>
    <t>ALTO_AMAZONAS</t>
  </si>
  <si>
    <t>DATEM_DEL_MARAÑON</t>
  </si>
  <si>
    <t>MARISCAL_RAMON_CASTILLA</t>
  </si>
  <si>
    <t>GENERAL_SANCHEZ_CERRO</t>
  </si>
  <si>
    <t>MARISCAL_NIETO</t>
  </si>
  <si>
    <t>DANIEL_ALCIDES_CARRION</t>
  </si>
  <si>
    <t>EL_COLLAO</t>
  </si>
  <si>
    <t>SAN_ANTONIO_DE_PUTINA</t>
  </si>
  <si>
    <t>SAN_ROMAN</t>
  </si>
  <si>
    <t>EL_DORADO</t>
  </si>
  <si>
    <t>MARISCAL_CACERES</t>
  </si>
  <si>
    <t>SAN_MARTIN</t>
  </si>
  <si>
    <t>JORGE_BASADRE</t>
  </si>
  <si>
    <t>CONTRALMIRANTE_VILLAR</t>
  </si>
  <si>
    <t>CORONEL_PORTILLO</t>
  </si>
  <si>
    <t>PADRE_ABAD</t>
  </si>
  <si>
    <t>AREQUIPA.</t>
  </si>
  <si>
    <t>LA_LIBERTAD</t>
  </si>
  <si>
    <t>MADRE_DE_DIOS</t>
  </si>
  <si>
    <t>LIMA.</t>
  </si>
  <si>
    <t>TACNA.</t>
  </si>
  <si>
    <t>CALLAO.</t>
  </si>
  <si>
    <t>CAJAMARCA.</t>
  </si>
  <si>
    <t>CUSCO.</t>
  </si>
  <si>
    <t>HUANCAVELICA.</t>
  </si>
  <si>
    <t>HUANUCO.</t>
  </si>
  <si>
    <t>LAMBAYEQUE.</t>
  </si>
  <si>
    <t>LORETO.</t>
  </si>
  <si>
    <t>PUNO.</t>
  </si>
  <si>
    <t>PASCO.</t>
  </si>
  <si>
    <t>PIURA.</t>
  </si>
  <si>
    <t>SAN_MARTIN.</t>
  </si>
  <si>
    <t>TUMBES.</t>
  </si>
  <si>
    <t>6-Terreno</t>
  </si>
  <si>
    <t>N° Deposito</t>
  </si>
  <si>
    <t>N° Estacionamto</t>
  </si>
  <si>
    <t>AMENAZAS</t>
  </si>
  <si>
    <t>Tipo de Edificacion</t>
  </si>
  <si>
    <t>HR - PU</t>
  </si>
  <si>
    <t>PLANO DE UBICACIÓN</t>
  </si>
  <si>
    <t>COPIA LITERAL</t>
  </si>
  <si>
    <t xml:space="preserve"> N° PARTIDA</t>
  </si>
  <si>
    <t xml:space="preserve">N° de Pozos </t>
  </si>
  <si>
    <t>1-Agua</t>
  </si>
  <si>
    <t>2-Luz</t>
  </si>
  <si>
    <t>3-Luz y Agua</t>
  </si>
  <si>
    <t>ESPECIFICACIONES GENERALES - TERRENO AGRICOLA</t>
  </si>
  <si>
    <t>Valor Comercial:</t>
  </si>
  <si>
    <t>Prenda</t>
  </si>
  <si>
    <t>VALORES ADICIONALES - EDIFICACION</t>
  </si>
  <si>
    <t>VALORES ADICIONALES - AGRICOLA</t>
  </si>
  <si>
    <t>4-Desague</t>
  </si>
  <si>
    <t>Caudal total (lt/sg)</t>
  </si>
  <si>
    <t>Area total del terreno (ha)</t>
  </si>
  <si>
    <t>Area sembrada (ha)</t>
  </si>
  <si>
    <t>Cultivos y Variedades</t>
  </si>
  <si>
    <t>CON POZOS</t>
  </si>
  <si>
    <t>CON AGUA SUPERFICIAL</t>
  </si>
  <si>
    <t>Caudal (lt/sg)</t>
  </si>
  <si>
    <t>SERVIDUMBRES DE PASO TERRENO</t>
  </si>
  <si>
    <t>SUPERFICIAL</t>
  </si>
  <si>
    <t>SUBTERRANEA</t>
  </si>
  <si>
    <t xml:space="preserve">SERVIDUMBRES DE PASO DE TERRENO DE UBICACIÓN DE POZOS A CAMPOS </t>
  </si>
  <si>
    <t>1. Inquilino precario</t>
  </si>
  <si>
    <t>2. Inquilinos</t>
  </si>
  <si>
    <t>3. Propietario</t>
  </si>
  <si>
    <t>4. Desocupado</t>
  </si>
  <si>
    <t>LICENCIAS DE  USO DE AGUA:</t>
  </si>
  <si>
    <t>Ubicación de Pozos</t>
  </si>
  <si>
    <t>Ubicación de Terreno</t>
  </si>
  <si>
    <t xml:space="preserve">Materiales </t>
  </si>
  <si>
    <t xml:space="preserve">Ocupantes </t>
  </si>
  <si>
    <t xml:space="preserve">DOCUMENTOS SUSTENTATORIOS </t>
  </si>
  <si>
    <t xml:space="preserve">DESCRIPCIONES Y OBSERVACIONES (Hallazgos/Eventos relevantes que limiten o impacten en el valor de mercado) </t>
  </si>
  <si>
    <t>(Edificacion Estimada, No esta en PU ni en RRPP)</t>
  </si>
  <si>
    <t xml:space="preserve">CUENTA CON LICENCIAS DE AGUA </t>
  </si>
  <si>
    <t>Vigencia de Licencia</t>
  </si>
  <si>
    <t>MEMORIA DESCRIPTIVA</t>
  </si>
  <si>
    <t>MINUTA COMPRA VENTA</t>
  </si>
  <si>
    <t>CERTIFICADO DE PARAMETROS / LICENCIA DE EDIFICACION</t>
  </si>
  <si>
    <t>AERONAVES</t>
  </si>
  <si>
    <t>TALLER</t>
  </si>
  <si>
    <t>COLEGIO</t>
  </si>
  <si>
    <t>CENTRO DE SALUD</t>
  </si>
  <si>
    <t>ALMACENES - DEPOSITOS</t>
  </si>
  <si>
    <t>PLANTA INDUSTRIAL</t>
  </si>
  <si>
    <t>EDIFICIO</t>
  </si>
  <si>
    <t>BIEN FUTURO-CASA HABITACION</t>
  </si>
  <si>
    <t>BIEN TERMINADO-CASA HABITACION</t>
  </si>
  <si>
    <t>Banca Personal</t>
  </si>
  <si>
    <t>Banca Empresa</t>
  </si>
  <si>
    <t>SCI</t>
  </si>
  <si>
    <t>Adjudicados</t>
  </si>
  <si>
    <t>Bca. Especial</t>
  </si>
  <si>
    <t xml:space="preserve">Wholesale Banking </t>
  </si>
  <si>
    <t>DNI/RUC</t>
  </si>
  <si>
    <t>Edificacion Declarada en PU (Municipalidad) y no declarado en RRPP</t>
  </si>
  <si>
    <t>Valor Comercial  Edificacion en PU:</t>
  </si>
  <si>
    <t>Valor de Realización Edificacion en PU:</t>
  </si>
  <si>
    <t>Valor Asegurable Edificacion en PU:</t>
  </si>
  <si>
    <t>% de uso del bien</t>
  </si>
  <si>
    <t>5. Familiar</t>
  </si>
  <si>
    <t>Hipoteca</t>
  </si>
  <si>
    <t>Año de construccion</t>
  </si>
  <si>
    <t>VUT US$</t>
  </si>
  <si>
    <t>Valor Util Vendible US$</t>
  </si>
  <si>
    <t>Achata Arias, Oscar Emiliano</t>
  </si>
  <si>
    <t>Alvarez Barrantes Julio</t>
  </si>
  <si>
    <t>American Tasaciones S.A.C.</t>
  </si>
  <si>
    <t>Arenas Callenueva, Ramón Fernando</t>
  </si>
  <si>
    <t>Arestegui Rodriguez Marianela</t>
  </si>
  <si>
    <t>Astete Lopez Francois</t>
  </si>
  <si>
    <t>Balarezo Flores Luis Enrique</t>
  </si>
  <si>
    <t>Bravo Hidalgo Félix Enrique</t>
  </si>
  <si>
    <t>Bravo Puccio Emilio</t>
  </si>
  <si>
    <t>Castillo Alzamora Pedro</t>
  </si>
  <si>
    <t>Cesar Luis Reyes Cano</t>
  </si>
  <si>
    <t>Cieza Paredes Antonio</t>
  </si>
  <si>
    <t>Clavijo Coronado Roger</t>
  </si>
  <si>
    <t>Cynthia Ochoa Pino</t>
  </si>
  <si>
    <t>Flores Herrera Javier</t>
  </si>
  <si>
    <t>Giancarlo Martino Herrera</t>
  </si>
  <si>
    <t>Guibovich Jose</t>
  </si>
  <si>
    <t>Juan Enrique Naveda Sarmiento</t>
  </si>
  <si>
    <t>K &amp; S Ingenieros</t>
  </si>
  <si>
    <t>Llontop Vigil Jose Eleuterio</t>
  </si>
  <si>
    <t>Mendoza Antezana Jorge Enrique</t>
  </si>
  <si>
    <t>Moises Obregon Velasquez</t>
  </si>
  <si>
    <t>Monroy Piazze Jose Ricardo</t>
  </si>
  <si>
    <t>Noel Cotera Enrique</t>
  </si>
  <si>
    <t>Pinto Manrique Rosa Maria</t>
  </si>
  <si>
    <t>Romero Castro Carlos Arturo</t>
  </si>
  <si>
    <t>Rosado Silva Patricia</t>
  </si>
  <si>
    <t>Salinas Pedemonte Pedro Arturo</t>
  </si>
  <si>
    <t>Teddy Alegria Patow</t>
  </si>
  <si>
    <t>Valortec S.A.C.</t>
  </si>
  <si>
    <t>William Moran Salinas</t>
  </si>
  <si>
    <t>Nombre del tasador</t>
  </si>
  <si>
    <t>Cod.</t>
  </si>
  <si>
    <r>
      <t xml:space="preserve">FECHA </t>
    </r>
    <r>
      <rPr>
        <sz val="9"/>
        <rFont val="Verdana"/>
        <family val="2"/>
      </rPr>
      <t>de</t>
    </r>
    <r>
      <rPr>
        <b/>
        <sz val="9"/>
        <rFont val="Verdana"/>
        <family val="2"/>
      </rPr>
      <t xml:space="preserve"> REPEV</t>
    </r>
  </si>
  <si>
    <t xml:space="preserve">NOMBRE del  INSPECTOR </t>
  </si>
  <si>
    <t>DEPARTAMENTO</t>
  </si>
  <si>
    <t>PROVINCIA</t>
  </si>
  <si>
    <t>MINA</t>
  </si>
  <si>
    <t>UNIVERSIDAD</t>
  </si>
  <si>
    <t>INSTITUTO</t>
  </si>
  <si>
    <t>MALL</t>
  </si>
  <si>
    <t>PREDIO AGRICOLA</t>
  </si>
  <si>
    <t>6. Se desconoce</t>
  </si>
  <si>
    <t>AREA DE TECHADA TOTAL m2</t>
  </si>
  <si>
    <t>AREA DE TERRENO TOTAL m2</t>
  </si>
  <si>
    <t>VALOR AREA UTIL VENDIBLE X m2 del inmueble</t>
  </si>
  <si>
    <t>Recomienda el inmueble como garantia Banco</t>
  </si>
  <si>
    <t>7-Mampostería de Arcilla</t>
  </si>
  <si>
    <t>8-Concreto Armado con Placas</t>
  </si>
  <si>
    <t>9-Ladrillo y Cemento DFlex</t>
  </si>
  <si>
    <t>A-Constr Informal Albañería</t>
  </si>
  <si>
    <t>B-Estructura Industrial/Comer</t>
  </si>
  <si>
    <t>C-Muros Concreto Armado Duc</t>
  </si>
  <si>
    <t xml:space="preserve">Nueva Plantilla </t>
  </si>
  <si>
    <t>MONEDA</t>
  </si>
  <si>
    <t>ANEXO N° 01</t>
  </si>
  <si>
    <t>CLIENTE:</t>
  </si>
  <si>
    <t>CUADRO DE EDIFICACIÓN DE ÁREAS DECLARADAS Y NO DECLARADAS EN RR.PP.</t>
  </si>
  <si>
    <t>MONEDA: DOLARES AMERICANOS US$</t>
  </si>
  <si>
    <t>DESCRIPCIÓN</t>
  </si>
  <si>
    <t>Valor Terreno 
US$</t>
  </si>
  <si>
    <t>Área Construida m2</t>
  </si>
  <si>
    <t>Valor Construcción
 US$ /M2</t>
  </si>
  <si>
    <t>Valor Importe Asegurable
 US$</t>
  </si>
  <si>
    <t>Depreciación</t>
  </si>
  <si>
    <t>Valor Comercial US$</t>
  </si>
  <si>
    <t>Valor de Realización 
US$</t>
  </si>
  <si>
    <t>m2.</t>
  </si>
  <si>
    <t>US$</t>
  </si>
  <si>
    <t>Área Declarada en RRPP</t>
  </si>
  <si>
    <t>TOTAL DECLARADO</t>
  </si>
  <si>
    <t>Edificación Declarada en Autovalúo</t>
  </si>
  <si>
    <t>TOTAL DECLARADO EN PU</t>
  </si>
  <si>
    <t>Edificacion No esta en PU ni en RRPP</t>
  </si>
  <si>
    <t>TOTAL ESTIMADO</t>
  </si>
  <si>
    <t>TOTAL DECLARADO + DECLARADO EN PU + ESTIMADO</t>
  </si>
  <si>
    <t>ANEXO N° 02</t>
  </si>
  <si>
    <t>MONEDA: NUEVOS SOLES S/.</t>
  </si>
  <si>
    <t>TIPO DE CAMBIO: S/.</t>
  </si>
  <si>
    <t>Valor Terreno 
S/</t>
  </si>
  <si>
    <t>Valor Construcción
 S/M2</t>
  </si>
  <si>
    <t>Valor Importe Asegurable
S/</t>
  </si>
  <si>
    <t>Valor Comercial S/</t>
  </si>
  <si>
    <t>Valor de Realización 
S/</t>
  </si>
  <si>
    <t>ANEXO N° 03</t>
  </si>
  <si>
    <t>OFERTA INMOBILIARIA</t>
  </si>
  <si>
    <t>Ubicación y Descripción</t>
  </si>
  <si>
    <t>Distancia al Inmueble</t>
  </si>
  <si>
    <t>Área Terreno 
m2</t>
  </si>
  <si>
    <t>VUT 
m2</t>
  </si>
  <si>
    <t>Referencia
Telefonos</t>
  </si>
  <si>
    <t>Conclusión:</t>
  </si>
  <si>
    <t>DECLARACIÓN JURADA POR CALIDAD DE INFORME DE TASACIÓN</t>
  </si>
  <si>
    <t>Descripción</t>
  </si>
  <si>
    <t>INDICE*
(Ubicación Pagina)</t>
  </si>
  <si>
    <t>Cumplimiento
(Check List)</t>
  </si>
  <si>
    <t>Fecha de la información técnica y de los precios que está utilizando.</t>
  </si>
  <si>
    <t>Presenta tres secciones: memoria descriptiva, valuación y anexos.</t>
  </si>
  <si>
    <t>Se justifica el factor de corrección al valor comercial.</t>
  </si>
  <si>
    <t>Informa sobre la Zonificación y uso actual del predio.</t>
  </si>
  <si>
    <t>Evalúa la existencia de Infraestructura de servicios urbanos que afecten al predio.</t>
  </si>
  <si>
    <t>Detalla las características del entorno urbano.</t>
  </si>
  <si>
    <t>Realiza análisis de la documentación registral (RR.PP. Y Autovaluo)</t>
  </si>
  <si>
    <t>Determina el valor del terreno en base al valor unitario obtenido del estudio de mercado inmobiliario de la zona.</t>
  </si>
  <si>
    <t>Cuenta con REPEV vigente.</t>
  </si>
  <si>
    <t>Declara que no pertenece al mismo grupo económico, no tener relación laboral ni tener vínculo con los propietarios.</t>
  </si>
  <si>
    <t>Metodología para determinar el VC de un bien inmueble; VC=valor del terreno valor de la edificación + valor de las instalaciones fijas y obras complementarias.</t>
  </si>
  <si>
    <t>5-Todos</t>
  </si>
  <si>
    <t>TERRENO URBANO (sin valor asegurable)</t>
  </si>
  <si>
    <t>TERRENO RUSTICO (sin valor asegurable)</t>
  </si>
  <si>
    <t>Horizontal BIEN TERMINADO-DEPARTAMENTO</t>
  </si>
  <si>
    <t>Horizontal BIEN TERMINADO-OFICINA</t>
  </si>
  <si>
    <t>Horizontal BIEN FUTURO-DEPARTAMENTO</t>
  </si>
  <si>
    <t>Horizontal BIEN FUTURO-OFICINA</t>
  </si>
  <si>
    <t>Exclusivo LOCAL COMERCIAL</t>
  </si>
  <si>
    <t>Horizontal BIEN TERMINADO-LOCAL COMERCIAL</t>
  </si>
  <si>
    <t>GRANJA</t>
  </si>
  <si>
    <t>Microempresa</t>
  </si>
  <si>
    <t>Angulo Roldan Diego</t>
  </si>
  <si>
    <t>Ara Contratistas Generales S.A.C.</t>
  </si>
  <si>
    <t>Avaluos E Ingenieria S.A.C</t>
  </si>
  <si>
    <t>Cesar Arroyo Burga S.R.L.</t>
  </si>
  <si>
    <t xml:space="preserve">Constructora Piedra Angular S.A.C.                               </t>
  </si>
  <si>
    <t>Consultora Y Constructora "Fisavi" S.A.C.</t>
  </si>
  <si>
    <t>Dante Alex Vega Aranda</t>
  </si>
  <si>
    <t>Estudio Jalvo S.A.C</t>
  </si>
  <si>
    <t>Grupo Vargo Sac</t>
  </si>
  <si>
    <t>Ingenieria Maxima Eirl- Imax</t>
  </si>
  <si>
    <t>Inversiones Trica Sac</t>
  </si>
  <si>
    <t>J &amp; E Mesias Consultores S.A.C.</t>
  </si>
  <si>
    <t>Jl Viterri Ingenieros S.A.C.</t>
  </si>
  <si>
    <t>Jrb Consultores Sac</t>
  </si>
  <si>
    <t>Jrz Valuaciones</t>
  </si>
  <si>
    <t xml:space="preserve">Luna Mera Juan </t>
  </si>
  <si>
    <t>Machicado Sandra</t>
  </si>
  <si>
    <t>Perez Duarte Javier Alexis</t>
  </si>
  <si>
    <t>Piedra Angular Asociados Sac</t>
  </si>
  <si>
    <t>Quantum Valuaciones</t>
  </si>
  <si>
    <t>R Y B Tasadores Y Supervisores S.A.C.</t>
  </si>
  <si>
    <t>Sti Soporte Ingenieria</t>
  </si>
  <si>
    <t>Tinoco Bernuy Evelyn</t>
  </si>
  <si>
    <t>Tinsa Sac</t>
  </si>
  <si>
    <t>Top Agro Sa</t>
  </si>
  <si>
    <t>Vale Perú Tasaciones Arquitectura E Inmobiliaria Srl</t>
  </si>
  <si>
    <t>Vanet S.A.C.</t>
  </si>
  <si>
    <t>Victor Guevara Del Castillo</t>
  </si>
  <si>
    <t>Wendy Jaqueline Lao Odicio</t>
  </si>
  <si>
    <t>X</t>
  </si>
  <si>
    <t>ASESORÍA VALUATORÍA S.A.</t>
  </si>
  <si>
    <t>CENTRA VALUACIONES SAC</t>
  </si>
  <si>
    <t>Diaz Villacorta Carlos Ricardo</t>
  </si>
  <si>
    <t>Perea Vela Janeth</t>
  </si>
  <si>
    <t>Rodriguez Alvarez Luis Antonio</t>
  </si>
  <si>
    <t>ICA.</t>
  </si>
  <si>
    <t>:</t>
  </si>
  <si>
    <t>LEGAJO N°</t>
  </si>
  <si>
    <t>Ubicación</t>
  </si>
  <si>
    <t>PLANO Y FACHADA</t>
  </si>
  <si>
    <t>GEOREFERENCIAS</t>
  </si>
  <si>
    <t>VALORES DÓLARES AMERICANOS</t>
  </si>
  <si>
    <t>Área Terreno 
(m²)</t>
  </si>
  <si>
    <t>Valor
Terreno
US$</t>
  </si>
  <si>
    <t>Área 
Const.
(m²)</t>
  </si>
  <si>
    <t>Valor
Construcción
US$</t>
  </si>
  <si>
    <t>Valor Importe Asegurable
US$</t>
  </si>
  <si>
    <t>Valor
Comercial
US$</t>
  </si>
  <si>
    <t>Valor
Realización
US$</t>
  </si>
  <si>
    <t>Detalle de áreas declaradas en Partida registral</t>
  </si>
  <si>
    <t>Total Declarado en Partida Registral</t>
  </si>
  <si>
    <t>Detalle de áreas declaradas en Autoavalúo</t>
  </si>
  <si>
    <t>Total área declarada en Autoavalúo</t>
  </si>
  <si>
    <t>Detalle de áreas NO declaradas en Partida Registral ni Autoavalúo</t>
  </si>
  <si>
    <t>Total área NO declarada en Partida Registral ni Autoavalúo</t>
  </si>
  <si>
    <t xml:space="preserve">TOTALES </t>
  </si>
  <si>
    <t>VALORES EN NUEVOS SOLES</t>
  </si>
  <si>
    <t>Valor
Terreno
S/.</t>
  </si>
  <si>
    <t>Valor
Construcción
S/.</t>
  </si>
  <si>
    <t>Valor Importe Asegurable
S/.</t>
  </si>
  <si>
    <t>Valor
Comercial
S/.</t>
  </si>
  <si>
    <t>Valor
Realización
S/.</t>
  </si>
  <si>
    <t>Tipo de Cambio</t>
  </si>
  <si>
    <t>/Dólar</t>
  </si>
  <si>
    <t>Antigüedad del inmueble</t>
  </si>
  <si>
    <t>años</t>
  </si>
  <si>
    <t>Material de construcción</t>
  </si>
  <si>
    <t>Tipo</t>
  </si>
  <si>
    <t>Ocupación y Usos</t>
  </si>
  <si>
    <t>Número de pisos</t>
  </si>
  <si>
    <t>Número de sótanos</t>
  </si>
  <si>
    <t>-</t>
  </si>
  <si>
    <t>Perito Responsable</t>
  </si>
  <si>
    <t>VANET SAC  - REPEV SBS Nº 561-2001</t>
  </si>
  <si>
    <t>Funcionario</t>
  </si>
  <si>
    <t>Observaciones</t>
  </si>
  <si>
    <t>Fecha Informe</t>
  </si>
  <si>
    <t>Lima ,</t>
  </si>
  <si>
    <t>Control Interno</t>
  </si>
  <si>
    <t xml:space="preserve"> /  / JT</t>
  </si>
  <si>
    <t xml:space="preserve">  INFORME N°26</t>
  </si>
  <si>
    <t>"VALUACIÓN COMERCIAL DE INMUEBLE "</t>
  </si>
  <si>
    <t>CLIENTE DEL</t>
  </si>
  <si>
    <t>FECHA INFORME</t>
  </si>
  <si>
    <t>Lima,</t>
  </si>
  <si>
    <t>A)</t>
  </si>
  <si>
    <t>OBJETO / ANTECEDENTES / METODOLOGIA</t>
  </si>
  <si>
    <t>El objetivo del presente informe es determinar el valor de mercado y de realización del inmueble.</t>
  </si>
  <si>
    <t>La visita de inspección se realizó el</t>
  </si>
  <si>
    <t>en presencia del</t>
  </si>
  <si>
    <t>,  previa</t>
  </si>
  <si>
    <t>coordinación al teléfono:</t>
  </si>
  <si>
    <t>procediéndose a las tomas fotográficas correspondientes.</t>
  </si>
  <si>
    <t>Para efectos del presente informe se contó con la siguiente documentación: Partida registral, Autoavalúo, …....</t>
  </si>
  <si>
    <t>La metodología aplicada en el presente informe es la indicada en el Reglamento Nacional de Tasaciones del Perú vigente a la fecha.</t>
  </si>
  <si>
    <t>B)</t>
  </si>
  <si>
    <t>UBICACIÓN</t>
  </si>
  <si>
    <t xml:space="preserve">El inmueble materia de valuación se encuentra ubicado en: </t>
  </si>
  <si>
    <t>Según Ficha Registral</t>
  </si>
  <si>
    <t xml:space="preserve">Según Autoavalúo </t>
  </si>
  <si>
    <t>Según Inspección ocular</t>
  </si>
  <si>
    <t>LINDEROS Y PERÍMETRO</t>
  </si>
  <si>
    <t>Frente</t>
  </si>
  <si>
    <t>=</t>
  </si>
  <si>
    <t>ml</t>
  </si>
  <si>
    <t>Derecha</t>
  </si>
  <si>
    <t>Izquierda</t>
  </si>
  <si>
    <t>Fondo</t>
  </si>
  <si>
    <t>TOTAL DEL PERÍMETRO</t>
  </si>
  <si>
    <t>ÁREA DE TERRENO</t>
  </si>
  <si>
    <t>(Según Partida Registral y Autoavalúo)</t>
  </si>
  <si>
    <t>. Terreno matriz</t>
  </si>
  <si>
    <t>. Porcentaje correspondiente al ………………….%</t>
  </si>
  <si>
    <t>Al Inmueble le corresponde un área de terreno de:</t>
  </si>
  <si>
    <r>
      <t>m</t>
    </r>
    <r>
      <rPr>
        <b/>
        <vertAlign val="superscript"/>
        <sz val="10"/>
        <rFont val="Arial"/>
        <family val="2"/>
      </rPr>
      <t>2</t>
    </r>
  </si>
  <si>
    <t>. Porcentaje correspondiente al estacionamiento %</t>
  </si>
  <si>
    <t>Al estacionamiento le corresponde un área de terreno de:</t>
  </si>
  <si>
    <t>. Porcentaje correspondiente al depósito %</t>
  </si>
  <si>
    <t>Al depósito le corresponde un área de terreno de:</t>
  </si>
  <si>
    <t>Vista interior</t>
  </si>
  <si>
    <t>Vista exterior</t>
  </si>
  <si>
    <t>Zona Peligrosa</t>
  </si>
  <si>
    <t>Estacionamiento (s):</t>
  </si>
  <si>
    <t>Tipo:</t>
  </si>
  <si>
    <t>Simple</t>
  </si>
  <si>
    <t>Doble lineal</t>
  </si>
  <si>
    <t>Doble paralelo</t>
  </si>
  <si>
    <t>Depósito(s):</t>
  </si>
  <si>
    <t>OCUPACIÓN Y USOS</t>
  </si>
  <si>
    <t>INSCRIPCIÓN</t>
  </si>
  <si>
    <t>(Según Partida Registral)</t>
  </si>
  <si>
    <t>El inmueble corre inscrito según Partida Registral Nº</t>
  </si>
  <si>
    <t xml:space="preserve">de la Oficina Registral de la </t>
  </si>
  <si>
    <t>Propiedad Inmueble de …........</t>
  </si>
  <si>
    <t>El inmueble corre inscrito según Partida Nº  de la Oficina Registral de la Propiedad Inmueble de Lima y Callao.</t>
  </si>
  <si>
    <t>ZONIFICACION</t>
  </si>
  <si>
    <t>(Referencial / no oficial)</t>
  </si>
  <si>
    <r>
      <rPr>
        <b/>
        <u/>
        <sz val="10"/>
        <rFont val="Arial"/>
        <family val="2"/>
      </rPr>
      <t>Nota.-</t>
    </r>
    <r>
      <rPr>
        <sz val="10"/>
        <rFont val="Arial"/>
        <family val="2"/>
      </rPr>
      <t xml:space="preserve"> Se recomienda solicitar Certificado de Parámetros.</t>
    </r>
  </si>
  <si>
    <t>MAPA</t>
  </si>
  <si>
    <t>LEYENDA</t>
  </si>
  <si>
    <t>ENTORNO URBANO E INFRAESTRUCTURA DE SERVICIOS</t>
  </si>
  <si>
    <t>DISTRIBUCIÓN</t>
  </si>
  <si>
    <t>Primer piso:</t>
  </si>
  <si>
    <t>Segundo piso:</t>
  </si>
  <si>
    <t>Azotea:</t>
  </si>
  <si>
    <t>ÁREAS CONSTRUIDAS</t>
  </si>
  <si>
    <t>Detalle</t>
  </si>
  <si>
    <t>Area declarada en Partida</t>
  </si>
  <si>
    <t>Area declarada solo en Autoavalúo. (Anexo)</t>
  </si>
  <si>
    <t>Area no declarada - estimada  (Observaciones)</t>
  </si>
  <si>
    <t>Total</t>
  </si>
  <si>
    <t>Primer piso</t>
  </si>
  <si>
    <r>
      <t>m</t>
    </r>
    <r>
      <rPr>
        <vertAlign val="superscript"/>
        <sz val="10"/>
        <rFont val="Arial"/>
        <family val="2"/>
      </rPr>
      <t>2</t>
    </r>
  </si>
  <si>
    <r>
      <t>m</t>
    </r>
    <r>
      <rPr>
        <vertAlign val="superscript"/>
        <sz val="10"/>
        <color rgb="FFC00000"/>
        <rFont val="Arial"/>
        <family val="2"/>
      </rPr>
      <t>2</t>
    </r>
  </si>
  <si>
    <t>Segundo piso</t>
  </si>
  <si>
    <t>Tercer piso</t>
  </si>
  <si>
    <t>TOTALES</t>
  </si>
  <si>
    <r>
      <t>m</t>
    </r>
    <r>
      <rPr>
        <b/>
        <vertAlign val="superscript"/>
        <sz val="10"/>
        <color rgb="FFC00000"/>
        <rFont val="Arial"/>
        <family val="2"/>
      </rPr>
      <t>2</t>
    </r>
  </si>
  <si>
    <t>Estacionamiento Nº..</t>
  </si>
  <si>
    <t>Depósito Nº …</t>
  </si>
  <si>
    <t xml:space="preserve">EDIFICACIÓN </t>
  </si>
  <si>
    <t>Valor Unit. US$/m2</t>
  </si>
  <si>
    <t>Muros, cimentación, elementos estructurales y columnas:</t>
  </si>
  <si>
    <t>Techos:</t>
  </si>
  <si>
    <t>Pisos:</t>
  </si>
  <si>
    <t>Puertas y Ventanas</t>
  </si>
  <si>
    <t>Revestimientos</t>
  </si>
  <si>
    <t>Baños:</t>
  </si>
  <si>
    <t>Instalaciones</t>
  </si>
  <si>
    <t>TOTAL VALOR UNITARIO</t>
  </si>
  <si>
    <t>ANTIGÜEDAD, ESTADO Y DEPRECIACIÓN</t>
  </si>
  <si>
    <t>EDIFICACIÓN</t>
  </si>
  <si>
    <t>ANTIGÜEDAD</t>
  </si>
  <si>
    <t>ESTADO</t>
  </si>
  <si>
    <t>DEPRECIACIÓN</t>
  </si>
  <si>
    <t>ESTADO DE EMERGENCIA POR PELIGRO INMINENTE ANTE EL PERIODO DE LLUVIAS 2019-2020, SEGÚN DECRETO SUPREMO N° 201-2019-PCM</t>
  </si>
  <si>
    <t>El distrito de ….., (SI / NO) está comprendido en la zona de riesgos de lluvias 2019 - 2020.</t>
  </si>
  <si>
    <t>OBSERVACIONES</t>
  </si>
  <si>
    <t>Parte del área construida se ha estimado en la inspección con …..…. m2.</t>
  </si>
  <si>
    <t>Valor comercial estimado de:</t>
  </si>
  <si>
    <t>Valor asegurable estimado de:</t>
  </si>
  <si>
    <t>C.-</t>
  </si>
  <si>
    <t>DESARROLLO DE LA VALUACIÓN COMERCIAL</t>
  </si>
  <si>
    <t>ESTA PARTE SE DEBE OCULTAR AL MOMENTO DE ENVIAR A REVISION, NO OLVIDARRRRRRRRRR</t>
  </si>
  <si>
    <t>VALOR DE EDIFICACION</t>
  </si>
  <si>
    <t>x</t>
  </si>
  <si>
    <t>/m2</t>
  </si>
  <si>
    <t>VALOR DE LAS AREAS COMUNES</t>
  </si>
  <si>
    <t>/Und</t>
  </si>
  <si>
    <t>VALOR DE LAS OBRAS COMPLEMENTARIAS</t>
  </si>
  <si>
    <t>a) Cisterna (estimado):</t>
  </si>
  <si>
    <t>m3</t>
  </si>
  <si>
    <t>/m3</t>
  </si>
  <si>
    <t>b) Tanque elevado (estimado):</t>
  </si>
  <si>
    <t>c) Cerco Perimétrico (estimado):</t>
  </si>
  <si>
    <t>/ml</t>
  </si>
  <si>
    <t>d) Ascensor (estimado):</t>
  </si>
  <si>
    <t>Und</t>
  </si>
  <si>
    <t>TOTAL</t>
  </si>
  <si>
    <t>Porcentaje de áreas comunes correspondiente al inmueble %</t>
  </si>
  <si>
    <t>D.-</t>
  </si>
  <si>
    <t>DESARROLLO DEL IMPORTE ASEGURABLE</t>
  </si>
  <si>
    <t>VALOR  DE LA EDIFICACIÓN</t>
  </si>
  <si>
    <t>(Sin depreciación)</t>
  </si>
  <si>
    <t>VALOR  DE LAS OBRAS COMPLEMENTARIAS</t>
  </si>
  <si>
    <t>NOTAS FINALES</t>
  </si>
  <si>
    <t>F</t>
  </si>
  <si>
    <t>El informe ha sido elaborado en base al numeral 7 del oficio circular Nº 6731-97 de fecha 24 de Octubre de 1997 y a la Modificación de la Resolución N° 992-98 de fecha 23 de Septiembre de 1998 emitida por la SBS. (sin inspección ocular interior).</t>
  </si>
  <si>
    <t>Es recomendable practicar una valuación en el momento de la adjudicación del bien.</t>
  </si>
  <si>
    <t>A solicitud del Banco, el presente informe se realiza en base a lo indicado en documentación presentada, no responsabilizándonos de la información contenida en dicho documento.</t>
  </si>
  <si>
    <t>f</t>
  </si>
  <si>
    <t>El presente informe no considera los vicios ocultos que tenga el inmueble que no han podido ser identificados en el momento de la inspección o que pudiese tener el inmueble a futuro.</t>
  </si>
  <si>
    <t>La presente valuación no incluye estudio de títulos de propiedad.</t>
  </si>
  <si>
    <t>El nombre del propietario se consigna según la documentación presentada.</t>
  </si>
  <si>
    <t>VANET S.A.C. sólo se responsabiliza por los valores vertidos en el presente informe, los cuales son determinados en base a la documentación presentada e inspección ocular realizada.</t>
  </si>
  <si>
    <t>VANET S.A.C. declara que no pertenece al mismo grupo económico, no tener relación laboral ni vínculos con los propietarios.</t>
  </si>
  <si>
    <t>Este informe incluye un código QR en la parte superior derecha de la hoja frontal, el cual permite verificar su autenticidad. Al escanearlo, debe redirigir al sitio oficial www.vanetperu.com, donde podrá consultarse la versión original emitida por la empresa.</t>
  </si>
  <si>
    <t>-.&amp;&amp;&amp;&amp;&amp;&amp;&amp;.-</t>
  </si>
  <si>
    <t>VALORES EN DOLARES AMERICANOS (US$)</t>
  </si>
  <si>
    <t>VALOR DEL TERRENO</t>
  </si>
  <si>
    <r>
      <t xml:space="preserve">Para determinar el valor de mercado del </t>
    </r>
    <r>
      <rPr>
        <b/>
        <sz val="8"/>
        <rFont val="Arial"/>
        <family val="2"/>
      </rPr>
      <t>TERRENO</t>
    </r>
    <r>
      <rPr>
        <sz val="10"/>
        <rFont val="Arial"/>
        <family val="2"/>
      </rPr>
      <t xml:space="preserve"> se han tomado en consideración las últimas operaciones de compra venta de los inmuebles adyacentes al que es materia de valuación por ser de características similares; así mismo, se ha considerado la oferta y demanda existente para inmuebles de condiciones semejantes.</t>
    </r>
  </si>
  <si>
    <t>CUADRO COMPARATIVO</t>
  </si>
  <si>
    <t>Zonificación</t>
  </si>
  <si>
    <t>Antigüedad</t>
  </si>
  <si>
    <t>Área de terreno  m2</t>
  </si>
  <si>
    <t>Área construida  m2</t>
  </si>
  <si>
    <t>V. Tot. Inm. US$</t>
  </si>
  <si>
    <t>V. Const.
US$</t>
  </si>
  <si>
    <t>Valor de
Terr.US$</t>
  </si>
  <si>
    <t>V. U.
US$/m2</t>
  </si>
  <si>
    <t>"OFERTA EN EL MERCADO"</t>
  </si>
  <si>
    <t>"INMUEBLES VENDIDOS - VENTAS CERRADAS"
Tomado del aplicativo Vanetmap</t>
  </si>
  <si>
    <t xml:space="preserve">                                                                                                                                                                                                                                                                                                                                                                                                                                                                                                                                                                                                                                                                                                                                                                                                                                                                                                                                                                                                                                                                                                                                                                                                                                                                                                                                                                                                                                                                                                                                                                                                                                                                                                                                                                                                                                                                                                                                                                                                                                                                                                                                                                                                                                                                                                                                                                                                                                                                                                                                                                                                                                                                                                                                                                                                                                                                                                                                                                                                                                                                                                                                                                                                                                                                                                                                                                                                                                                                                                                                                                                                                                                                                                                                                                                                                                                                                                                                                                                                                                                                                                                                                                                                                                    </t>
  </si>
  <si>
    <t>/ m2</t>
  </si>
  <si>
    <t>Valor del Terreno</t>
  </si>
  <si>
    <t>VALOR DEL ESTACIONAMIENTO Nº …</t>
  </si>
  <si>
    <t>VALOR DEL DEPOSITO Nº ..</t>
  </si>
  <si>
    <t>-&amp;&amp;&amp;&amp;&amp;&amp;&amp;-</t>
  </si>
  <si>
    <t>VALOR DE TERRENO</t>
  </si>
  <si>
    <t>No se considera para efectos del IMPORTE ASEGURABLE</t>
  </si>
  <si>
    <t>a) Valor de la edificación:</t>
  </si>
  <si>
    <t>- Área techada:</t>
  </si>
  <si>
    <t>- Área sin techar:</t>
  </si>
  <si>
    <t>b) Valor de áreas comunes:</t>
  </si>
  <si>
    <t>VALOR DE ÁREA UTIL VENDIBLE</t>
  </si>
  <si>
    <r>
      <t>Para determinar el valor de área util vendible</t>
    </r>
    <r>
      <rPr>
        <sz val="10"/>
        <rFont val="Arial"/>
        <family val="2"/>
      </rPr>
      <t xml:space="preserve"> se han tomado en consideración las últimas operaciones de compra venta de los inmuebles adyacentes al que es materia de valuación por ser de características similares; así mismo, se ha considerado la oferta y demanda existente para inmuebles de condiciones semejantes.</t>
    </r>
  </si>
  <si>
    <t>Para determinar el valor de área útil vendible (valor por metro cuadrado), se ha procedido a elaborar el siguiente estudio de mercado.</t>
  </si>
  <si>
    <t>V. U. A. U. V.
US$/m2</t>
  </si>
  <si>
    <t>Bajo este esquema, al valor de reposición se le aplica un factor de:</t>
  </si>
  <si>
    <t>E.-</t>
  </si>
  <si>
    <t>R E S U M E N  - US$</t>
  </si>
  <si>
    <t>VALOR  COMERCIAL DEL INMUEBLE (VCI)</t>
  </si>
  <si>
    <t>a)</t>
  </si>
  <si>
    <t>b)</t>
  </si>
  <si>
    <t>VALOR CONSTRUCCION</t>
  </si>
  <si>
    <t>VALOR DE REPOSICION DEL INMUEBLE</t>
  </si>
  <si>
    <t>FACTOR DE REAJUSTE COMERCIAL</t>
  </si>
  <si>
    <t>Debido a que el valor de reposición no refleja el valor comercial del inmueble, el perito considera conveniente aplicar un factor de reajuste comercial de:</t>
  </si>
  <si>
    <t>c)</t>
  </si>
  <si>
    <t>d)</t>
  </si>
  <si>
    <t>VALOR DE REALIZACIÓN AUTOMÁTICA (VRA)</t>
  </si>
  <si>
    <t>DEDUCCIONES APLICABLES</t>
  </si>
  <si>
    <t>Para el caso de realización se consideran las siguientes deducciones aplicables:</t>
  </si>
  <si>
    <t>?</t>
  </si>
  <si>
    <t>Gastos de Publicidad</t>
  </si>
  <si>
    <t>Gastos de Valuación</t>
  </si>
  <si>
    <t>Comisiones de Venta</t>
  </si>
  <si>
    <t>Gastos de Mantenimiento</t>
  </si>
  <si>
    <t>Otros para poder vender  el  bien  en un plazo de 60 días.</t>
  </si>
  <si>
    <t>TOTAL DEDUCCIONES</t>
  </si>
  <si>
    <t>VRA        =</t>
  </si>
  <si>
    <t>de  VCI</t>
  </si>
  <si>
    <t xml:space="preserve">  </t>
  </si>
  <si>
    <t>VALOR DEL IMPORTE ASEGURABLE (VIA)</t>
  </si>
  <si>
    <t>VALOR DEL INMUEBLE</t>
  </si>
  <si>
    <t>e)</t>
  </si>
  <si>
    <t>f)</t>
  </si>
  <si>
    <t>MIVIVIENDA</t>
  </si>
  <si>
    <t>CASCO HABITABLE</t>
  </si>
  <si>
    <t>ACABADOS</t>
  </si>
  <si>
    <t>A.</t>
  </si>
  <si>
    <t>VALORES EN NUEVOS SOLES (S/.)</t>
  </si>
  <si>
    <t>VALOR DE LA EDIFICACION</t>
  </si>
  <si>
    <t>VALOR DE LAS ÁREAS COMUNES</t>
  </si>
  <si>
    <t>B.</t>
  </si>
  <si>
    <t>VALOR  DE LAS ÁREAS COMUNES</t>
  </si>
  <si>
    <t>R E S U M E N - S/.</t>
  </si>
  <si>
    <t>ANEXO</t>
  </si>
  <si>
    <t>DESARROLLO DE VALORES DE EDIFICACION (AREA DECLARADA EN AUTOAVALUO)</t>
  </si>
  <si>
    <t>VALOR DE LA EDIFICACIÓN</t>
  </si>
  <si>
    <t>RESUMEN</t>
  </si>
  <si>
    <t>VALOR DE CONSTRUCCIÓN</t>
  </si>
  <si>
    <t>VALOR REPOSICION DEL INMUEBLE</t>
  </si>
  <si>
    <t>A) INMUEBLE:</t>
  </si>
  <si>
    <t>B) ESTACIONAMIENTO:</t>
  </si>
  <si>
    <t>C) DEPOSITO:</t>
  </si>
  <si>
    <t xml:space="preserve">CHECK LIST </t>
  </si>
  <si>
    <t>Fecha de la información técnica y de los precios que está utilizando en el informe.</t>
  </si>
  <si>
    <t xml:space="preserve">Justificación del factor de corrección al valor comercial. </t>
  </si>
  <si>
    <t>Información sobre la zonificación y uso actual del predio.</t>
  </si>
  <si>
    <t>Evalúa la existencia de infraestructura de servicios urbanos que afectan al predio.</t>
  </si>
  <si>
    <t>Realiza análisis de la documentación registral (ficha RR.PP y Autoavalúo).</t>
  </si>
  <si>
    <t xml:space="preserve">Determina el valor del terreno en base al valor unitario obtenido del estudio de mercado inmobiliario de la zona. </t>
  </si>
  <si>
    <t>Cuenta con Repev vigente.</t>
  </si>
  <si>
    <t xml:space="preserve">Declara que no pertenece al mismo grupo económico, no tener relación laboral ni vínculo con los propietarios. </t>
  </si>
  <si>
    <t>Metodología para determinar el VC de un bien inmueble; VC= Valor del terreno  + Valor de la edificación + Valor de las instalaciones fijas y obras complementarias.</t>
  </si>
  <si>
    <t xml:space="preserve">/ </t>
  </si>
  <si>
    <t xml:space="preserve">                                                                      </t>
  </si>
  <si>
    <t>PLANO BGR</t>
  </si>
  <si>
    <t xml:space="preserve"> PLANO DE VISOR GEOLLACTA</t>
  </si>
  <si>
    <t xml:space="preserve">GOOGLE EARTH CON MEDICION </t>
  </si>
  <si>
    <t>PLANO ÁREA DE TERRENO</t>
  </si>
  <si>
    <t>2-3</t>
  </si>
  <si>
    <t>a</t>
  </si>
  <si>
    <t>3-4-5-6</t>
  </si>
  <si>
    <t>10(E.1)</t>
  </si>
  <si>
    <t>4(B.7-5)</t>
  </si>
  <si>
    <t>4(B-8)</t>
  </si>
  <si>
    <t>4(B-6)</t>
  </si>
  <si>
    <t>7-8</t>
  </si>
  <si>
    <t>29</t>
  </si>
  <si>
    <t>6(B-15)</t>
  </si>
  <si>
    <t>7-8(C.1)</t>
  </si>
  <si>
    <t>Ing. Ricardo Barthelmess Saco</t>
  </si>
  <si>
    <t>Obras complementarias</t>
  </si>
  <si>
    <r>
      <rPr>
        <b/>
        <u/>
        <sz val="9"/>
        <color indexed="8"/>
        <rFont val="Arial"/>
        <family val="2"/>
      </rPr>
      <t>Descripción:</t>
    </r>
    <r>
      <rPr>
        <sz val="9"/>
        <color indexed="8"/>
        <rFont val="Arial"/>
        <family val="2"/>
      </rPr>
      <t xml:space="preserve">
</t>
    </r>
    <r>
      <rPr>
        <b/>
        <u/>
        <sz val="9"/>
        <color indexed="8"/>
        <rFont val="Arial"/>
        <family val="2"/>
      </rPr>
      <t>Observación:</t>
    </r>
  </si>
  <si>
    <t>PONER DISTANCIAS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</si>
</sst>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1" formatCode="_-* #,##0_-;\-* #,##0_-;_-* &quot;-&quot;_-;_-@_-"/>
    <numFmt numFmtId="43" formatCode="_-* #,##0.00_-;\-* #,##0.00_-;_-* &quot;-&quot;??_-;_-@_-"/>
    <numFmt numFmtId="164" formatCode="_-* #,##0.00\ _P_t_s_-;\-* #,##0.00\ _P_t_s_-;_-* &quot;-&quot;??\ _P_t_s_-;_-@_-"/>
    <numFmt numFmtId="165" formatCode="&quot;$&quot;#,##0.00;[Red]\-&quot;$&quot;#,##0.00"/>
    <numFmt numFmtId="166" formatCode="_(* #,##0.00_);_(* \(#,##0.00\);_(* \-??_);_(@_)"/>
    <numFmt numFmtId="167" formatCode="_ * #,##0.00_ ;_ * \-#,##0.00_ ;_ * &quot;-&quot;??_ ;_ @_ "/>
    <numFmt numFmtId="168" formatCode="0.000000"/>
    <numFmt numFmtId="169" formatCode="\-\ \ 0###"/>
    <numFmt numFmtId="170" formatCode="\-\ 000#"/>
    <numFmt numFmtId="171" formatCode="mmmm\ dd\,\ yyyy"/>
    <numFmt numFmtId="172" formatCode="[$-C0A]d\-mmm\-yy;@"/>
    <numFmt numFmtId="173" formatCode="_-[$S/.-280A]\ * #,##0.000_ ;_-[$S/.-280A]\ * \-#,##0.000\ ;_-[$S/.-280A]\ * &quot;-&quot;??_ ;_-@_ "/>
    <numFmt numFmtId="174" formatCode="mmmm\ d\,\ yyyy"/>
    <numFmt numFmtId="175" formatCode="[$$-409]#,##0.00"/>
    <numFmt numFmtId="176" formatCode="\-\ 0###"/>
    <numFmt numFmtId="177" formatCode="#.\-"/>
    <numFmt numFmtId="178" formatCode="0.000%"/>
    <numFmt numFmtId="179" formatCode="#,##0.00_ ;\-#,##0.00\ "/>
    <numFmt numFmtId="180" formatCode="_-[$$-409]* #,##0.00_ ;_-[$$-409]* \-#,##0.00\ ;_-[$$-409]* &quot;-&quot;??_ ;_-@_ "/>
    <numFmt numFmtId="181" formatCode="_(&quot;$&quot;* #,##0.00_);_(&quot;$&quot;* \(#,##0.00\);_(&quot;$&quot;* &quot;-&quot;??_);_(@_)"/>
    <numFmt numFmtId="182" formatCode="_(* #,##0_);_(* \(#,##0\);_(* &quot;-&quot;_);_(@_)"/>
    <numFmt numFmtId="183" formatCode="_([$$-409]* #,##0.00_);_([$$-409]* \(#,##0.00\);_([$$-409]* &quot;-&quot;??_);_(@_)"/>
    <numFmt numFmtId="184" formatCode="_-[$S/.-280A]\ * #,##0.00_ ;_-[$S/.-280A]\ * \-#,##0.00\ ;_-[$S/.-280A]\ * &quot;-&quot;??_ ;_-@_ "/>
    <numFmt numFmtId="185" formatCode="_-&quot;S/&quot;* #,##0.00_-;\-&quot;S/&quot;* #,##0.00_-;_-&quot;S/&quot;* &quot;-&quot;_-;_-@_-"/>
    <numFmt numFmtId="186" formatCode="_-[$S/-280A]* #,##0.00_-;\-[$S/-280A]* #,##0.00_-;_-[$S/-280A]* &quot;-&quot;??_-;_-@_-"/>
    <numFmt numFmtId="187" formatCode="0000"/>
    <numFmt numFmtId="188" formatCode="[$$-540A]#,##0.00"/>
    <numFmt numFmtId="189" formatCode="000#"/>
    <numFmt numFmtId="190" formatCode="\F\o\t\o\ \N\r\o\ 0#"/>
    <numFmt numFmtId="191" formatCode="0.000"/>
  </numFmts>
  <fonts count="156">
    <font>
      <sz val="11"/>
      <color theme="1"/>
      <name val="Calibri"/>
      <family val="2"/>
      <scheme val="minor"/>
    </font>
    <font>
      <sz val="7"/>
      <color indexed="8"/>
      <name val="Arial"/>
      <family val="2"/>
    </font>
    <font>
      <b/>
      <sz val="7"/>
      <color indexed="8"/>
      <name val="Arial"/>
      <family val="2"/>
    </font>
    <font>
      <b/>
      <sz val="7"/>
      <color indexed="9"/>
      <name val="Arial"/>
      <family val="2"/>
    </font>
    <font>
      <sz val="7"/>
      <color theme="1"/>
      <name val="Arial"/>
      <family val="2"/>
    </font>
    <font>
      <b/>
      <sz val="9"/>
      <color indexed="81"/>
      <name val="Tahoma"/>
      <family val="2"/>
    </font>
    <font>
      <b/>
      <sz val="11"/>
      <color theme="1"/>
      <name val="Calibri"/>
      <family val="2"/>
      <scheme val="minor"/>
    </font>
    <font>
      <sz val="8"/>
      <color indexed="81"/>
      <name val="Tahoma"/>
      <family val="2"/>
    </font>
    <font>
      <b/>
      <u/>
      <sz val="7"/>
      <color indexed="8"/>
      <name val="Arial"/>
      <family val="2"/>
    </font>
    <font>
      <b/>
      <sz val="8"/>
      <color indexed="8"/>
      <name val="Arial"/>
      <family val="2"/>
    </font>
    <font>
      <sz val="11"/>
      <color theme="1"/>
      <name val="Calibri"/>
      <family val="2"/>
      <scheme val="minor"/>
    </font>
    <font>
      <sz val="11"/>
      <color rgb="FFFF0000"/>
      <name val="Calibri"/>
      <family val="2"/>
      <scheme val="minor"/>
    </font>
    <font>
      <sz val="9"/>
      <color theme="1"/>
      <name val="Arial"/>
      <family val="2"/>
    </font>
    <font>
      <sz val="12"/>
      <color theme="1"/>
      <name val="Calibri"/>
      <family val="2"/>
      <scheme val="minor"/>
    </font>
    <font>
      <b/>
      <sz val="7"/>
      <name val="Verdana"/>
      <family val="2"/>
    </font>
    <font>
      <sz val="7"/>
      <name val="Verdana"/>
      <family val="2"/>
    </font>
    <font>
      <b/>
      <sz val="7"/>
      <color indexed="9"/>
      <name val="Verdana"/>
      <family val="2"/>
    </font>
    <font>
      <sz val="10"/>
      <name val="Verdana"/>
      <family val="2"/>
    </font>
    <font>
      <b/>
      <sz val="10"/>
      <name val="Verdana"/>
      <family val="2"/>
    </font>
    <font>
      <b/>
      <sz val="11"/>
      <color theme="1"/>
      <name val="Arial Narrow"/>
      <family val="2"/>
    </font>
    <font>
      <sz val="11"/>
      <color theme="1"/>
      <name val="Arial Narrow"/>
      <family val="2"/>
    </font>
    <font>
      <sz val="10"/>
      <name val="Arial"/>
      <family val="2"/>
    </font>
    <font>
      <sz val="11"/>
      <color rgb="FF00B0F0"/>
      <name val="Calibri"/>
      <family val="2"/>
      <scheme val="minor"/>
    </font>
    <font>
      <sz val="11"/>
      <color rgb="FFFFC000"/>
      <name val="Calibri"/>
      <family val="2"/>
      <scheme val="minor"/>
    </font>
    <font>
      <sz val="11"/>
      <color theme="6"/>
      <name val="Calibri"/>
      <family val="2"/>
      <scheme val="minor"/>
    </font>
    <font>
      <sz val="9"/>
      <color indexed="81"/>
      <name val="Tahoma"/>
      <family val="2"/>
    </font>
    <font>
      <b/>
      <sz val="8"/>
      <color indexed="81"/>
      <name val="Tahoma"/>
      <family val="2"/>
    </font>
    <font>
      <b/>
      <sz val="8"/>
      <name val="Verdana"/>
      <family val="2"/>
    </font>
    <font>
      <b/>
      <sz val="9"/>
      <color indexed="9"/>
      <name val="Arial"/>
      <family val="2"/>
    </font>
    <font>
      <b/>
      <sz val="9"/>
      <color indexed="8"/>
      <name val="Arial"/>
      <family val="2"/>
    </font>
    <font>
      <sz val="9"/>
      <color indexed="8"/>
      <name val="Arial"/>
      <family val="2"/>
    </font>
    <font>
      <b/>
      <sz val="9"/>
      <color theme="0"/>
      <name val="Arial"/>
      <family val="2"/>
    </font>
    <font>
      <sz val="9"/>
      <color rgb="FFFF0000"/>
      <name val="Arial"/>
      <family val="2"/>
    </font>
    <font>
      <b/>
      <sz val="9"/>
      <color indexed="9"/>
      <name val="Verdana"/>
      <family val="2"/>
    </font>
    <font>
      <b/>
      <sz val="9"/>
      <name val="Verdana"/>
      <family val="2"/>
    </font>
    <font>
      <sz val="9"/>
      <name val="Verdana"/>
      <family val="2"/>
    </font>
    <font>
      <sz val="8"/>
      <name val="Verdana"/>
      <family val="2"/>
    </font>
    <font>
      <b/>
      <sz val="9"/>
      <color theme="3" tint="0.39997558519241921"/>
      <name val="Verdana"/>
      <family val="2"/>
    </font>
    <font>
      <sz val="11"/>
      <color rgb="FF0D0D0D"/>
      <name val="Arial"/>
      <family val="2"/>
    </font>
    <font>
      <sz val="11"/>
      <color rgb="FF000000"/>
      <name val="Arial"/>
      <family val="2"/>
    </font>
    <font>
      <b/>
      <sz val="12"/>
      <color rgb="FFFF0000"/>
      <name val="Arial"/>
      <family val="2"/>
    </font>
    <font>
      <sz val="10"/>
      <name val="BERNHARD"/>
    </font>
    <font>
      <sz val="10"/>
      <name val="Helv"/>
    </font>
    <font>
      <sz val="12"/>
      <name val="Arial"/>
      <family val="2"/>
    </font>
    <font>
      <sz val="8"/>
      <name val="Helv"/>
    </font>
    <font>
      <sz val="10"/>
      <color indexed="8"/>
      <name val="ARIAL"/>
      <family val="2"/>
      <charset val="1"/>
    </font>
    <font>
      <sz val="10"/>
      <name val="Arial"/>
      <family val="2"/>
      <charset val="1"/>
    </font>
    <font>
      <u/>
      <sz val="10"/>
      <color indexed="12"/>
      <name val="Arial"/>
      <family val="2"/>
    </font>
    <font>
      <b/>
      <u/>
      <sz val="12"/>
      <color theme="1"/>
      <name val="Arial Narrow"/>
      <family val="2"/>
    </font>
    <font>
      <b/>
      <sz val="12"/>
      <color theme="1"/>
      <name val="Arial Narrow"/>
      <family val="2"/>
    </font>
    <font>
      <b/>
      <sz val="9"/>
      <color theme="1"/>
      <name val="Calibri"/>
      <family val="2"/>
      <scheme val="minor"/>
    </font>
    <font>
      <sz val="9"/>
      <color theme="1"/>
      <name val="Calibri"/>
      <family val="2"/>
      <scheme val="minor"/>
    </font>
    <font>
      <b/>
      <sz val="11"/>
      <name val="Arial"/>
      <family val="2"/>
    </font>
    <font>
      <sz val="11"/>
      <name val="Arial"/>
      <family val="2"/>
    </font>
    <font>
      <sz val="10"/>
      <color theme="1"/>
      <name val="Arial Narrow"/>
      <family val="2"/>
    </font>
    <font>
      <sz val="10"/>
      <color rgb="FFFF0000"/>
      <name val="Arial Narrow"/>
      <family val="2"/>
    </font>
    <font>
      <b/>
      <sz val="10"/>
      <color theme="1"/>
      <name val="Arial Narrow"/>
      <family val="2"/>
    </font>
    <font>
      <b/>
      <sz val="11"/>
      <color theme="1"/>
      <name val="Times New Roman"/>
      <family val="1"/>
    </font>
    <font>
      <b/>
      <sz val="12"/>
      <color theme="1"/>
      <name val="Times New Roman"/>
      <family val="1"/>
    </font>
    <font>
      <b/>
      <u/>
      <sz val="11"/>
      <color theme="1"/>
      <name val="Arial Narrow"/>
      <family val="2"/>
    </font>
    <font>
      <b/>
      <sz val="11"/>
      <color theme="1"/>
      <name val="Arial"/>
      <family val="2"/>
    </font>
    <font>
      <b/>
      <sz val="12"/>
      <color theme="1"/>
      <name val="Arial"/>
      <family val="2"/>
    </font>
    <font>
      <b/>
      <sz val="10.5"/>
      <color theme="1"/>
      <name val="Arial"/>
      <family val="2"/>
    </font>
    <font>
      <i/>
      <sz val="10.5"/>
      <color theme="1"/>
      <name val="Times New Roman"/>
      <family val="1"/>
    </font>
    <font>
      <i/>
      <sz val="11"/>
      <color theme="1"/>
      <name val="Times New Roman"/>
      <family val="1"/>
    </font>
    <font>
      <b/>
      <sz val="10"/>
      <color theme="1"/>
      <name val="Arial"/>
      <family val="2"/>
    </font>
    <font>
      <sz val="10"/>
      <color theme="1"/>
      <name val="Arial"/>
      <family val="2"/>
    </font>
    <font>
      <sz val="11"/>
      <color theme="1"/>
      <name val="Arial"/>
      <family val="2"/>
    </font>
    <font>
      <sz val="10"/>
      <color theme="1"/>
      <name val="Times New Roman"/>
      <family val="1"/>
    </font>
    <font>
      <sz val="10"/>
      <color theme="1"/>
      <name val="Calibri"/>
      <family val="2"/>
      <scheme val="minor"/>
    </font>
    <font>
      <sz val="9"/>
      <color rgb="FF000000"/>
      <name val="Arial"/>
      <family val="2"/>
    </font>
    <font>
      <b/>
      <sz val="11"/>
      <color indexed="63"/>
      <name val="Tahoma"/>
      <family val="2"/>
    </font>
    <font>
      <b/>
      <sz val="11"/>
      <color indexed="23"/>
      <name val="Tahoma"/>
      <family val="2"/>
    </font>
    <font>
      <b/>
      <sz val="10"/>
      <color indexed="23"/>
      <name val="Tahoma"/>
      <family val="2"/>
    </font>
    <font>
      <b/>
      <sz val="10"/>
      <color indexed="81"/>
      <name val="Tahoma"/>
      <family val="2"/>
    </font>
    <font>
      <b/>
      <sz val="10"/>
      <color theme="1"/>
      <name val="Calibri"/>
      <family val="2"/>
      <scheme val="minor"/>
    </font>
    <font>
      <sz val="9"/>
      <name val="Arial"/>
      <family val="2"/>
    </font>
    <font>
      <b/>
      <u val="double"/>
      <sz val="9"/>
      <name val="Arial"/>
      <family val="2"/>
    </font>
    <font>
      <b/>
      <sz val="9"/>
      <name val="Arial"/>
      <family val="2"/>
    </font>
    <font>
      <b/>
      <u/>
      <sz val="10"/>
      <name val="Arial"/>
      <family val="2"/>
    </font>
    <font>
      <sz val="8"/>
      <name val="Arial"/>
      <family val="2"/>
    </font>
    <font>
      <sz val="7"/>
      <name val="Arial"/>
      <family val="2"/>
    </font>
    <font>
      <b/>
      <sz val="9"/>
      <name val="Garamond"/>
      <family val="1"/>
    </font>
    <font>
      <b/>
      <sz val="7"/>
      <name val="Arial"/>
      <family val="2"/>
    </font>
    <font>
      <b/>
      <u/>
      <sz val="9"/>
      <name val="Arial"/>
      <family val="2"/>
    </font>
    <font>
      <sz val="10"/>
      <name val="Arial Narrow"/>
      <family val="2"/>
    </font>
    <font>
      <b/>
      <sz val="8"/>
      <name val="Arial"/>
      <family val="2"/>
    </font>
    <font>
      <b/>
      <sz val="10"/>
      <name val="Arial"/>
      <family val="2"/>
    </font>
    <font>
      <sz val="12"/>
      <color theme="1"/>
      <name val="Arial Narrow"/>
      <family val="2"/>
    </font>
    <font>
      <b/>
      <u/>
      <sz val="10"/>
      <name val="Arial Narrow"/>
      <family val="2"/>
    </font>
    <font>
      <sz val="6"/>
      <name val="Arial"/>
      <family val="2"/>
    </font>
    <font>
      <b/>
      <sz val="9"/>
      <color theme="6" tint="-0.499984740745262"/>
      <name val="Arial Narrow"/>
      <family val="2"/>
    </font>
    <font>
      <b/>
      <sz val="9"/>
      <color theme="6" tint="-0.499984740745262"/>
      <name val="Arial"/>
      <family val="2"/>
    </font>
    <font>
      <b/>
      <sz val="6"/>
      <name val="Arial"/>
      <family val="2"/>
    </font>
    <font>
      <sz val="9"/>
      <color theme="6" tint="-0.499984740745262"/>
      <name val="Arial Narrow"/>
      <family val="2"/>
    </font>
    <font>
      <sz val="9"/>
      <color theme="6" tint="-0.499984740745262"/>
      <name val="Arial"/>
      <family val="2"/>
    </font>
    <font>
      <b/>
      <sz val="9"/>
      <color rgb="FFFF0000"/>
      <name val="Arial Narrow"/>
      <family val="2"/>
    </font>
    <font>
      <sz val="9"/>
      <color rgb="FFFF0000"/>
      <name val="Arial Narrow"/>
      <family val="2"/>
    </font>
    <font>
      <b/>
      <sz val="9"/>
      <color theme="3" tint="0.39997558519241921"/>
      <name val="Arial Narrow"/>
      <family val="2"/>
    </font>
    <font>
      <b/>
      <sz val="9"/>
      <color rgb="FF002060"/>
      <name val="Arial"/>
      <family val="2"/>
    </font>
    <font>
      <sz val="9"/>
      <color theme="3" tint="0.39997558519241921"/>
      <name val="Arial Narrow"/>
      <family val="2"/>
    </font>
    <font>
      <sz val="9"/>
      <color theme="3" tint="0.39997558519241921"/>
      <name val="Arial"/>
      <family val="2"/>
    </font>
    <font>
      <sz val="9"/>
      <color rgb="FF002060"/>
      <name val="Arial"/>
      <family val="2"/>
    </font>
    <font>
      <b/>
      <sz val="10"/>
      <name val="Arial Narrow"/>
      <family val="2"/>
    </font>
    <font>
      <b/>
      <sz val="9"/>
      <name val="Arial Narrow"/>
      <family val="2"/>
    </font>
    <font>
      <sz val="9"/>
      <name val="Arial Narrow"/>
      <family val="2"/>
    </font>
    <font>
      <b/>
      <sz val="10.5"/>
      <name val="Arial"/>
      <family val="2"/>
    </font>
    <font>
      <sz val="10.5"/>
      <name val="Arial"/>
      <family val="2"/>
    </font>
    <font>
      <b/>
      <u/>
      <sz val="10.5"/>
      <name val="Arial"/>
      <family val="2"/>
    </font>
    <font>
      <sz val="9.9"/>
      <name val="Arial"/>
      <family val="2"/>
    </font>
    <font>
      <b/>
      <i/>
      <u/>
      <sz val="10"/>
      <name val="Arial"/>
      <family val="2"/>
    </font>
    <font>
      <b/>
      <i/>
      <sz val="10"/>
      <name val="Arial"/>
      <family val="2"/>
    </font>
    <font>
      <u/>
      <sz val="10"/>
      <name val="Arial"/>
      <family val="2"/>
    </font>
    <font>
      <b/>
      <sz val="10"/>
      <color rgb="FFFFFF00"/>
      <name val="Arial"/>
      <family val="2"/>
    </font>
    <font>
      <b/>
      <vertAlign val="superscript"/>
      <sz val="10"/>
      <name val="Arial"/>
      <family val="2"/>
    </font>
    <font>
      <sz val="9.5"/>
      <name val="Arial"/>
      <family val="2"/>
    </font>
    <font>
      <b/>
      <sz val="10"/>
      <color rgb="FFC00000"/>
      <name val="Arial Narrow"/>
      <family val="2"/>
    </font>
    <font>
      <vertAlign val="superscript"/>
      <sz val="10"/>
      <name val="Arial"/>
      <family val="2"/>
    </font>
    <font>
      <sz val="10"/>
      <color rgb="FFC00000"/>
      <name val="Arial"/>
      <family val="2"/>
    </font>
    <font>
      <vertAlign val="superscript"/>
      <sz val="10"/>
      <color rgb="FFC00000"/>
      <name val="Arial"/>
      <family val="2"/>
    </font>
    <font>
      <b/>
      <sz val="10"/>
      <color rgb="FFC00000"/>
      <name val="Arial"/>
      <family val="2"/>
    </font>
    <font>
      <b/>
      <vertAlign val="superscript"/>
      <sz val="10"/>
      <color rgb="FFC00000"/>
      <name val="Arial"/>
      <family val="2"/>
    </font>
    <font>
      <b/>
      <sz val="8"/>
      <name val="Arial Narrow"/>
      <family val="2"/>
    </font>
    <font>
      <i/>
      <sz val="10"/>
      <name val="Arial"/>
      <family val="2"/>
    </font>
    <font>
      <sz val="10"/>
      <name val="Wingdings"/>
      <charset val="2"/>
    </font>
    <font>
      <sz val="10"/>
      <color indexed="31"/>
      <name val="Arial"/>
      <family val="2"/>
    </font>
    <font>
      <b/>
      <u/>
      <sz val="8"/>
      <name val="Arial"/>
      <family val="2"/>
    </font>
    <font>
      <b/>
      <sz val="10"/>
      <color rgb="FF212121"/>
      <name val="Arial"/>
      <family val="2"/>
    </font>
    <font>
      <sz val="10"/>
      <color rgb="FF212121"/>
      <name val="Arial"/>
      <family val="2"/>
    </font>
    <font>
      <i/>
      <sz val="10"/>
      <color rgb="FF212121"/>
      <name val="Arial"/>
      <family val="2"/>
    </font>
    <font>
      <u/>
      <sz val="10"/>
      <color rgb="FF212121"/>
      <name val="Arial"/>
      <family val="2"/>
    </font>
    <font>
      <b/>
      <u/>
      <sz val="11"/>
      <name val="Arial"/>
      <family val="2"/>
    </font>
    <font>
      <u/>
      <sz val="11"/>
      <name val="Arial"/>
      <family val="2"/>
    </font>
    <font>
      <u/>
      <sz val="9"/>
      <name val="Arial"/>
      <family val="2"/>
    </font>
    <font>
      <u/>
      <sz val="8"/>
      <name val="Arial"/>
      <family val="2"/>
    </font>
    <font>
      <sz val="9"/>
      <name val="Wingdings 2"/>
      <family val="1"/>
      <charset val="2"/>
    </font>
    <font>
      <b/>
      <u/>
      <sz val="14"/>
      <name val="Arial"/>
      <family val="2"/>
    </font>
    <font>
      <sz val="14"/>
      <name val="Arial"/>
      <family val="2"/>
    </font>
    <font>
      <b/>
      <u/>
      <sz val="10.5"/>
      <color rgb="FF212121"/>
      <name val="Arial"/>
      <family val="2"/>
    </font>
    <font>
      <b/>
      <u/>
      <sz val="12"/>
      <name val="Arial"/>
      <family val="2"/>
    </font>
    <font>
      <b/>
      <i/>
      <u/>
      <sz val="9"/>
      <name val="Arial"/>
      <family val="2"/>
    </font>
    <font>
      <b/>
      <sz val="12"/>
      <color indexed="81"/>
      <name val="Tahoma"/>
      <family val="2"/>
    </font>
    <font>
      <sz val="12"/>
      <color indexed="81"/>
      <name val="Tahoma"/>
      <family val="2"/>
    </font>
    <font>
      <b/>
      <sz val="11"/>
      <color indexed="81"/>
      <name val="Tahoma"/>
      <family val="2"/>
    </font>
    <font>
      <sz val="11"/>
      <color indexed="81"/>
      <name val="Tahoma"/>
      <family val="2"/>
    </font>
    <font>
      <sz val="8"/>
      <name val="Comic Sans MS"/>
      <family val="4"/>
    </font>
    <font>
      <sz val="9"/>
      <name val="Comic Sans MS"/>
      <family val="4"/>
    </font>
    <font>
      <sz val="10"/>
      <name val="Comic Sans MS"/>
      <family val="4"/>
    </font>
    <font>
      <b/>
      <sz val="8"/>
      <name val="Comic Sans MS"/>
      <family val="4"/>
    </font>
    <font>
      <sz val="9"/>
      <name val="Calibri"/>
      <family val="2"/>
      <scheme val="minor"/>
    </font>
    <font>
      <sz val="11"/>
      <color theme="1"/>
      <name val="Webdings"/>
      <family val="1"/>
      <charset val="2"/>
    </font>
    <font>
      <b/>
      <sz val="14"/>
      <color indexed="81"/>
      <name val="Tahoma"/>
      <family val="2"/>
    </font>
    <font>
      <b/>
      <sz val="18"/>
      <color indexed="81"/>
      <name val="Tahoma"/>
      <family val="2"/>
    </font>
    <font>
      <sz val="14"/>
      <color indexed="81"/>
      <name val="Tahoma"/>
      <family val="2"/>
    </font>
    <font>
      <b/>
      <u/>
      <sz val="9"/>
      <color indexed="8"/>
      <name val="Arial"/>
      <family val="2"/>
    </font>
    <font>
      <b/>
      <sz val="16"/>
      <name val="Arial Narrow"/>
      <family val="2"/>
    </font>
  </fonts>
  <fills count="4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10"/>
        <bgColor indexed="64"/>
      </patternFill>
    </fill>
    <fill>
      <patternFill patternType="solid">
        <fgColor indexed="27"/>
        <bgColor indexed="64"/>
      </patternFill>
    </fill>
    <fill>
      <patternFill patternType="solid">
        <fgColor theme="0" tint="-0.249977111117893"/>
        <bgColor indexed="64"/>
      </patternFill>
    </fill>
    <fill>
      <patternFill patternType="solid">
        <fgColor rgb="FFFF0000"/>
        <bgColor indexed="64"/>
      </patternFill>
    </fill>
    <fill>
      <patternFill patternType="solid">
        <fgColor rgb="FFCCFFFF"/>
        <bgColor indexed="64"/>
      </patternFill>
    </fill>
    <fill>
      <patternFill patternType="solid">
        <fgColor theme="3" tint="0.59999389629810485"/>
        <bgColor indexed="64"/>
      </patternFill>
    </fill>
    <fill>
      <patternFill patternType="solid">
        <fgColor rgb="FFC0C0C0"/>
        <bgColor indexed="64"/>
      </patternFill>
    </fill>
    <fill>
      <patternFill patternType="solid">
        <fgColor indexed="9"/>
        <bgColor indexed="64"/>
      </patternFill>
    </fill>
    <fill>
      <patternFill patternType="solid">
        <fgColor rgb="FFFEF1E6"/>
        <bgColor indexed="64"/>
      </patternFill>
    </fill>
    <fill>
      <patternFill patternType="solid">
        <fgColor rgb="FFFFFF00"/>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rgb="FFC00000"/>
        <bgColor indexed="64"/>
      </patternFill>
    </fill>
    <fill>
      <patternFill patternType="solid">
        <fgColor rgb="FF92D050"/>
        <bgColor indexed="64"/>
      </patternFill>
    </fill>
    <fill>
      <patternFill patternType="solid">
        <fgColor rgb="FF7030A0"/>
        <bgColor indexed="64"/>
      </patternFill>
    </fill>
    <fill>
      <patternFill patternType="solid">
        <fgColor rgb="FF00B0F0"/>
        <bgColor indexed="64"/>
      </patternFill>
    </fill>
    <fill>
      <patternFill patternType="solid">
        <fgColor rgb="FFFFC000"/>
        <bgColor indexed="64"/>
      </patternFill>
    </fill>
    <fill>
      <patternFill patternType="solid">
        <fgColor rgb="FFCCFF33"/>
        <bgColor indexed="64"/>
      </patternFill>
    </fill>
    <fill>
      <patternFill patternType="solid">
        <fgColor theme="8" tint="0.39997558519241921"/>
        <bgColor indexed="64"/>
      </patternFill>
    </fill>
    <fill>
      <patternFill patternType="solid">
        <fgColor rgb="FFFFFF99"/>
        <bgColor indexed="64"/>
      </patternFill>
    </fill>
    <fill>
      <patternFill patternType="solid">
        <fgColor theme="3"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79998168889431442"/>
        <bgColor indexed="45"/>
      </patternFill>
    </fill>
    <fill>
      <patternFill patternType="gray0625">
        <bgColor theme="0" tint="-4.9989318521683403E-2"/>
      </patternFill>
    </fill>
    <fill>
      <patternFill patternType="solid">
        <fgColor theme="0" tint="-4.9989318521683403E-2"/>
        <bgColor indexed="8"/>
      </patternFill>
    </fill>
    <fill>
      <patternFill patternType="gray0625"/>
    </fill>
  </fills>
  <borders count="1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dashed">
        <color indexed="64"/>
      </left>
      <right style="dashed">
        <color indexed="64"/>
      </right>
      <top style="dashed">
        <color indexed="64"/>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32"/>
      </left>
      <right/>
      <top style="hair">
        <color indexed="32"/>
      </top>
      <bottom/>
      <diagonal/>
    </border>
    <border>
      <left/>
      <right/>
      <top style="hair">
        <color indexed="32"/>
      </top>
      <bottom/>
      <diagonal/>
    </border>
    <border>
      <left/>
      <right style="double">
        <color indexed="32"/>
      </right>
      <top style="hair">
        <color indexed="32"/>
      </top>
      <bottom/>
      <diagonal/>
    </border>
    <border>
      <left style="hair">
        <color indexed="32"/>
      </left>
      <right/>
      <top/>
      <bottom/>
      <diagonal/>
    </border>
    <border>
      <left/>
      <right style="double">
        <color indexed="32"/>
      </right>
      <top/>
      <bottom/>
      <diagonal/>
    </border>
    <border>
      <left style="hair">
        <color indexed="32"/>
      </left>
      <right/>
      <top/>
      <bottom style="thick">
        <color indexed="32"/>
      </bottom>
      <diagonal/>
    </border>
    <border>
      <left/>
      <right/>
      <top/>
      <bottom style="thick">
        <color indexed="32"/>
      </bottom>
      <diagonal/>
    </border>
    <border>
      <left/>
      <right style="double">
        <color indexed="32"/>
      </right>
      <top/>
      <bottom style="thick">
        <color indexed="3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thin">
        <color indexed="32"/>
      </bottom>
      <diagonal/>
    </border>
    <border>
      <left/>
      <right/>
      <top style="hair">
        <color indexed="64"/>
      </top>
      <bottom style="double">
        <color indexed="64"/>
      </bottom>
      <diagonal/>
    </border>
    <border>
      <left style="thin">
        <color indexed="32"/>
      </left>
      <right/>
      <top style="thin">
        <color indexed="32"/>
      </top>
      <bottom style="thin">
        <color indexed="32"/>
      </bottom>
      <diagonal/>
    </border>
    <border>
      <left/>
      <right/>
      <top style="thin">
        <color indexed="32"/>
      </top>
      <bottom style="thin">
        <color indexed="32"/>
      </bottom>
      <diagonal/>
    </border>
    <border>
      <left/>
      <right style="thin">
        <color indexed="32"/>
      </right>
      <top style="thin">
        <color indexed="32"/>
      </top>
      <bottom style="thin">
        <color indexed="32"/>
      </bottom>
      <diagonal/>
    </border>
    <border>
      <left/>
      <right style="medium">
        <color indexed="64"/>
      </right>
      <top style="medium">
        <color indexed="64"/>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double">
        <color indexed="64"/>
      </right>
      <top style="hair">
        <color indexed="64"/>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double">
        <color indexed="64"/>
      </right>
      <top style="hair">
        <color indexed="64"/>
      </top>
      <bottom style="medium">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right style="double">
        <color indexed="64"/>
      </right>
      <top style="medium">
        <color indexed="64"/>
      </top>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style="hair">
        <color indexed="32"/>
      </right>
      <top style="hair">
        <color indexed="32"/>
      </top>
      <bottom/>
      <diagonal/>
    </border>
    <border>
      <left style="hair">
        <color indexed="32"/>
      </left>
      <right/>
      <top style="hair">
        <color indexed="32"/>
      </top>
      <bottom style="hair">
        <color indexed="32"/>
      </bottom>
      <diagonal/>
    </border>
    <border>
      <left/>
      <right/>
      <top style="hair">
        <color indexed="32"/>
      </top>
      <bottom style="hair">
        <color indexed="32"/>
      </bottom>
      <diagonal/>
    </border>
    <border>
      <left/>
      <right style="hair">
        <color indexed="32"/>
      </right>
      <top style="hair">
        <color indexed="32"/>
      </top>
      <bottom style="hair">
        <color indexed="32"/>
      </bottom>
      <diagonal/>
    </border>
    <border>
      <left/>
      <right style="double">
        <color indexed="32"/>
      </right>
      <top style="hair">
        <color indexed="32"/>
      </top>
      <bottom style="hair">
        <color indexed="32"/>
      </bottom>
      <diagonal/>
    </border>
    <border>
      <left/>
      <right/>
      <top/>
      <bottom style="hair">
        <color indexed="32"/>
      </bottom>
      <diagonal/>
    </border>
    <border>
      <left/>
      <right style="hair">
        <color indexed="32"/>
      </right>
      <top/>
      <bottom style="hair">
        <color indexed="32"/>
      </bottom>
      <diagonal/>
    </border>
    <border>
      <left style="hair">
        <color indexed="32"/>
      </left>
      <right/>
      <top/>
      <bottom style="hair">
        <color indexed="32"/>
      </bottom>
      <diagonal/>
    </border>
    <border>
      <left/>
      <right style="double">
        <color indexed="32"/>
      </right>
      <top/>
      <bottom style="hair">
        <color indexed="32"/>
      </bottom>
      <diagonal/>
    </border>
    <border>
      <left style="hair">
        <color indexed="32"/>
      </left>
      <right/>
      <top/>
      <bottom style="medium">
        <color indexed="32"/>
      </bottom>
      <diagonal/>
    </border>
    <border>
      <left/>
      <right/>
      <top/>
      <bottom style="medium">
        <color indexed="32"/>
      </bottom>
      <diagonal/>
    </border>
    <border>
      <left/>
      <right style="hair">
        <color indexed="32"/>
      </right>
      <top/>
      <bottom style="medium">
        <color indexed="32"/>
      </bottom>
      <diagonal/>
    </border>
    <border>
      <left/>
      <right style="double">
        <color indexed="32"/>
      </right>
      <top/>
      <bottom style="medium">
        <color indexed="32"/>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double">
        <color indexed="64"/>
      </right>
      <top/>
      <bottom style="thin">
        <color indexed="64"/>
      </bottom>
      <diagonal/>
    </border>
    <border>
      <left/>
      <right/>
      <top style="thin">
        <color theme="1"/>
      </top>
      <bottom style="double">
        <color theme="1"/>
      </bottom>
      <diagonal/>
    </border>
    <border>
      <left/>
      <right/>
      <top style="thin">
        <color theme="6" tint="-0.499984740745262"/>
      </top>
      <bottom style="double">
        <color theme="6" tint="-0.499984740745262"/>
      </bottom>
      <diagonal/>
    </border>
    <border>
      <left style="hair">
        <color indexed="32"/>
      </left>
      <right style="hair">
        <color indexed="32"/>
      </right>
      <top style="hair">
        <color indexed="32"/>
      </top>
      <bottom style="hair">
        <color indexed="3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bottom style="thin">
        <color indexed="12"/>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double">
        <color theme="1"/>
      </right>
      <top style="thin">
        <color theme="1"/>
      </top>
      <bottom style="medium">
        <color theme="1"/>
      </bottom>
      <diagonal/>
    </border>
    <border>
      <left/>
      <right/>
      <top/>
      <bottom style="thin">
        <color rgb="FFC00000"/>
      </bottom>
      <diagonal/>
    </border>
    <border>
      <left/>
      <right/>
      <top style="thin">
        <color rgb="FFC00000"/>
      </top>
      <bottom style="thin">
        <color rgb="FFC00000"/>
      </bottom>
      <diagonal/>
    </border>
    <border>
      <left/>
      <right/>
      <top style="thin">
        <color rgb="FFC00000"/>
      </top>
      <bottom style="double">
        <color rgb="FFC00000"/>
      </bottom>
      <diagonal/>
    </border>
    <border>
      <left style="thin">
        <color rgb="FFC00000"/>
      </left>
      <right/>
      <top style="thin">
        <color rgb="FFC00000"/>
      </top>
      <bottom style="medium">
        <color rgb="FFC00000"/>
      </bottom>
      <diagonal/>
    </border>
    <border>
      <left/>
      <right/>
      <top style="thin">
        <color rgb="FFC00000"/>
      </top>
      <bottom style="medium">
        <color rgb="FFC00000"/>
      </bottom>
      <diagonal/>
    </border>
    <border>
      <left/>
      <right style="double">
        <color rgb="FFC00000"/>
      </right>
      <top style="thin">
        <color rgb="FFC00000"/>
      </top>
      <bottom style="medium">
        <color rgb="FFC00000"/>
      </bottom>
      <diagonal/>
    </border>
    <border>
      <left/>
      <right/>
      <top/>
      <bottom style="thin">
        <color theme="6" tint="-0.499984740745262"/>
      </bottom>
      <diagonal/>
    </border>
    <border>
      <left style="thin">
        <color theme="6" tint="-0.499984740745262"/>
      </left>
      <right/>
      <top style="thin">
        <color theme="6" tint="-0.499984740745262"/>
      </top>
      <bottom style="medium">
        <color theme="6" tint="-0.499984740745262"/>
      </bottom>
      <diagonal/>
    </border>
    <border>
      <left/>
      <right/>
      <top style="thin">
        <color theme="6" tint="-0.499984740745262"/>
      </top>
      <bottom style="medium">
        <color theme="6" tint="-0.499984740745262"/>
      </bottom>
      <diagonal/>
    </border>
    <border>
      <left/>
      <right style="double">
        <color theme="6" tint="-0.499984740745262"/>
      </right>
      <top style="thin">
        <color theme="6" tint="-0.499984740745262"/>
      </top>
      <bottom style="medium">
        <color theme="6" tint="-0.499984740745262"/>
      </bottom>
      <diagonal/>
    </border>
    <border>
      <left/>
      <right/>
      <top style="thin">
        <color indexed="32"/>
      </top>
      <bottom style="double">
        <color indexed="32"/>
      </bottom>
      <diagonal/>
    </border>
    <border>
      <left/>
      <right/>
      <top/>
      <bottom style="hair">
        <color indexed="64"/>
      </bottom>
      <diagonal/>
    </border>
  </borders>
  <cellStyleXfs count="42">
    <xf numFmtId="0" fontId="0" fillId="0" borderId="0"/>
    <xf numFmtId="9" fontId="10" fillId="0" borderId="0" applyFont="0" applyFill="0" applyBorder="0" applyAlignment="0" applyProtection="0"/>
    <xf numFmtId="0" fontId="10" fillId="0" borderId="0"/>
    <xf numFmtId="0" fontId="21" fillId="0" borderId="0"/>
    <xf numFmtId="0" fontId="21" fillId="0" borderId="0"/>
    <xf numFmtId="9" fontId="21" fillId="0" borderId="0" applyFont="0" applyFill="0" applyBorder="0" applyAlignment="0" applyProtection="0"/>
    <xf numFmtId="164" fontId="21" fillId="0" borderId="0" applyFont="0" applyFill="0" applyBorder="0" applyAlignment="0" applyProtection="0"/>
    <xf numFmtId="0" fontId="41" fillId="0" borderId="0"/>
    <xf numFmtId="0" fontId="42" fillId="0" borderId="0"/>
    <xf numFmtId="0" fontId="42" fillId="0" borderId="0"/>
    <xf numFmtId="0" fontId="43" fillId="0" borderId="0" applyFont="0" applyFill="0" applyBorder="0" applyAlignment="0" applyProtection="0"/>
    <xf numFmtId="165" fontId="21" fillId="0" borderId="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2" fontId="43" fillId="0" borderId="0" applyFont="0" applyFill="0" applyBorder="0" applyAlignment="0" applyProtection="0"/>
    <xf numFmtId="0" fontId="43" fillId="0" borderId="0" applyNumberFormat="0" applyFont="0" applyFill="0" applyBorder="0" applyAlignment="0" applyProtection="0"/>
    <xf numFmtId="0" fontId="43" fillId="0" borderId="0" applyNumberFormat="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6" fontId="46" fillId="0" borderId="0" applyBorder="0" applyProtection="0"/>
    <xf numFmtId="0" fontId="45" fillId="0" borderId="0">
      <alignment vertical="top"/>
    </xf>
    <xf numFmtId="0" fontId="42" fillId="0" borderId="0"/>
    <xf numFmtId="9" fontId="21" fillId="0" borderId="0" applyFont="0" applyFill="0" applyBorder="0" applyAlignment="0" applyProtection="0"/>
    <xf numFmtId="9" fontId="45" fillId="0" borderId="0" applyFill="0" applyBorder="0" applyProtection="0">
      <alignment vertical="top"/>
    </xf>
    <xf numFmtId="9" fontId="21" fillId="0" borderId="0" applyFont="0" applyFill="0" applyBorder="0" applyAlignment="0" applyProtection="0"/>
    <xf numFmtId="38" fontId="44" fillId="0" borderId="0"/>
    <xf numFmtId="0" fontId="43" fillId="0" borderId="40" applyNumberFormat="0" applyFont="0" applyFill="0" applyAlignment="0" applyProtection="0"/>
    <xf numFmtId="167" fontId="10" fillId="0" borderId="0" applyFont="0" applyFill="0" applyBorder="0" applyAlignment="0" applyProtection="0"/>
    <xf numFmtId="0" fontId="47" fillId="0" borderId="0" applyNumberFormat="0" applyFill="0" applyBorder="0" applyAlignment="0" applyProtection="0">
      <alignment vertical="top"/>
      <protection locked="0"/>
    </xf>
    <xf numFmtId="0" fontId="10" fillId="0" borderId="0"/>
    <xf numFmtId="0" fontId="10" fillId="0" borderId="0"/>
    <xf numFmtId="9" fontId="21" fillId="0" borderId="0" applyFont="0" applyFill="0" applyBorder="0" applyAlignment="0" applyProtection="0"/>
    <xf numFmtId="0" fontId="10" fillId="0" borderId="0"/>
    <xf numFmtId="9" fontId="10" fillId="0" borderId="0" applyFont="0" applyFill="0" applyBorder="0" applyAlignment="0" applyProtection="0"/>
    <xf numFmtId="164"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cellStyleXfs>
  <cellXfs count="1419">
    <xf numFmtId="0" fontId="0" fillId="0" borderId="0" xfId="0"/>
    <xf numFmtId="0" fontId="19" fillId="12" borderId="37" xfId="0" applyFont="1" applyFill="1" applyBorder="1" applyAlignment="1">
      <alignment horizontal="center" vertical="center"/>
    </xf>
    <xf numFmtId="0" fontId="20" fillId="0" borderId="37" xfId="0" applyFont="1" applyBorder="1" applyAlignment="1">
      <alignment vertical="center"/>
    </xf>
    <xf numFmtId="0" fontId="20" fillId="0" borderId="0" xfId="0" applyFont="1"/>
    <xf numFmtId="0" fontId="20" fillId="0" borderId="0" xfId="0" applyFont="1" applyAlignment="1">
      <alignment vertical="center"/>
    </xf>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8" borderId="0" xfId="0" applyFill="1"/>
    <xf numFmtId="0" fontId="0" fillId="29" borderId="0" xfId="0" applyFill="1"/>
    <xf numFmtId="0" fontId="0" fillId="30" borderId="0" xfId="0" applyFill="1"/>
    <xf numFmtId="0" fontId="0" fillId="31" borderId="0" xfId="0" applyFill="1"/>
    <xf numFmtId="0" fontId="11" fillId="0" borderId="0" xfId="0" applyFont="1"/>
    <xf numFmtId="0" fontId="22" fillId="0" borderId="0" xfId="0" applyFont="1"/>
    <xf numFmtId="0" fontId="23" fillId="0" borderId="0" xfId="0" applyFont="1"/>
    <xf numFmtId="0" fontId="24" fillId="0" borderId="0" xfId="0" applyFont="1"/>
    <xf numFmtId="0" fontId="0" fillId="32" borderId="0" xfId="0" applyFill="1"/>
    <xf numFmtId="0" fontId="34" fillId="6" borderId="0" xfId="0" applyFont="1" applyFill="1" applyAlignment="1" applyProtection="1">
      <alignment horizontal="right" vertical="center"/>
      <protection locked="0"/>
    </xf>
    <xf numFmtId="0" fontId="34" fillId="6" borderId="0" xfId="0" applyFont="1" applyFill="1" applyAlignment="1" applyProtection="1">
      <alignment vertical="center"/>
      <protection locked="0"/>
    </xf>
    <xf numFmtId="0" fontId="35" fillId="6" borderId="0" xfId="0" applyFont="1" applyFill="1" applyAlignment="1" applyProtection="1">
      <alignment vertical="center"/>
      <protection locked="0"/>
    </xf>
    <xf numFmtId="0" fontId="34" fillId="6" borderId="0" xfId="0" applyFont="1" applyFill="1" applyAlignment="1" applyProtection="1">
      <alignment horizontal="left" vertical="center"/>
      <protection locked="0"/>
    </xf>
    <xf numFmtId="0" fontId="37" fillId="6" borderId="0" xfId="0" applyFont="1" applyFill="1" applyAlignment="1" applyProtection="1">
      <alignment vertical="center"/>
      <protection locked="0"/>
    </xf>
    <xf numFmtId="0" fontId="37" fillId="6" borderId="0" xfId="0" applyFont="1" applyFill="1" applyAlignment="1" applyProtection="1">
      <alignment horizontal="right" vertical="center"/>
      <protection locked="0"/>
    </xf>
    <xf numFmtId="0" fontId="34" fillId="3" borderId="15" xfId="0" applyFont="1" applyFill="1" applyBorder="1" applyAlignment="1" applyProtection="1">
      <alignment vertical="center"/>
      <protection locked="0"/>
    </xf>
    <xf numFmtId="0" fontId="34" fillId="3" borderId="16" xfId="0" applyFont="1" applyFill="1" applyBorder="1" applyAlignment="1" applyProtection="1">
      <alignment vertical="center"/>
      <protection locked="0"/>
    </xf>
    <xf numFmtId="0" fontId="35" fillId="3" borderId="0" xfId="0" applyFont="1" applyFill="1" applyAlignment="1" applyProtection="1">
      <alignment vertical="center"/>
      <protection locked="0"/>
    </xf>
    <xf numFmtId="0" fontId="35" fillId="3" borderId="23" xfId="0" applyFont="1" applyFill="1" applyBorder="1" applyAlignment="1" applyProtection="1">
      <alignment vertical="center"/>
      <protection locked="0"/>
    </xf>
    <xf numFmtId="0" fontId="35" fillId="34" borderId="10" xfId="0" applyFont="1" applyFill="1" applyBorder="1" applyAlignment="1" applyProtection="1">
      <alignment horizontal="center" vertical="center"/>
      <protection locked="0"/>
    </xf>
    <xf numFmtId="0" fontId="36" fillId="34" borderId="18" xfId="0" applyFont="1" applyFill="1" applyBorder="1" applyAlignment="1" applyProtection="1">
      <alignment vertical="center"/>
      <protection locked="0"/>
    </xf>
    <xf numFmtId="0" fontId="35" fillId="34" borderId="8" xfId="0" applyFont="1" applyFill="1" applyBorder="1" applyAlignment="1" applyProtection="1">
      <alignment vertical="center"/>
      <protection locked="0"/>
    </xf>
    <xf numFmtId="0" fontId="15" fillId="34" borderId="8" xfId="0" applyFont="1" applyFill="1" applyBorder="1" applyAlignment="1" applyProtection="1">
      <alignment vertical="center"/>
      <protection locked="0"/>
    </xf>
    <xf numFmtId="0" fontId="35" fillId="34" borderId="18" xfId="0" applyFont="1" applyFill="1" applyBorder="1" applyAlignment="1" applyProtection="1">
      <alignment horizontal="center" vertical="center"/>
      <protection locked="0"/>
    </xf>
    <xf numFmtId="0" fontId="35" fillId="34" borderId="18" xfId="0" applyFont="1" applyFill="1" applyBorder="1" applyAlignment="1" applyProtection="1">
      <alignment vertical="center"/>
      <protection locked="0"/>
    </xf>
    <xf numFmtId="0" fontId="35" fillId="34" borderId="18" xfId="0" applyFont="1" applyFill="1" applyBorder="1" applyAlignment="1" applyProtection="1">
      <alignment horizontal="left" vertical="center"/>
      <protection locked="0"/>
    </xf>
    <xf numFmtId="0" fontId="9" fillId="0" borderId="0" xfId="0" applyFont="1" applyAlignment="1" applyProtection="1">
      <alignment horizontal="center" vertical="center"/>
      <protection locked="0"/>
    </xf>
    <xf numFmtId="0" fontId="1" fillId="0" borderId="0" xfId="0" applyFont="1" applyAlignment="1" applyProtection="1">
      <alignment vertical="center"/>
      <protection locked="0"/>
    </xf>
    <xf numFmtId="0" fontId="17" fillId="11" borderId="0" xfId="0" applyFont="1" applyFill="1" applyProtection="1">
      <protection locked="0"/>
    </xf>
    <xf numFmtId="0" fontId="2" fillId="0" borderId="0" xfId="0" applyFont="1" applyAlignment="1" applyProtection="1">
      <alignment vertical="center"/>
      <protection locked="0"/>
    </xf>
    <xf numFmtId="0" fontId="34" fillId="2" borderId="18" xfId="0" applyFont="1" applyFill="1" applyBorder="1" applyAlignment="1" applyProtection="1">
      <alignment vertical="center"/>
      <protection locked="0"/>
    </xf>
    <xf numFmtId="0" fontId="30" fillId="0" borderId="0" xfId="0" applyFont="1" applyAlignment="1" applyProtection="1">
      <alignment horizontal="left" vertical="center"/>
      <protection locked="0"/>
    </xf>
    <xf numFmtId="0" fontId="17" fillId="34" borderId="0" xfId="0" applyFont="1" applyFill="1" applyAlignment="1" applyProtection="1">
      <alignment horizontal="center"/>
      <protection locked="0"/>
    </xf>
    <xf numFmtId="0" fontId="35" fillId="6" borderId="9" xfId="0" applyFont="1" applyFill="1" applyBorder="1" applyAlignment="1" applyProtection="1">
      <alignment vertical="center"/>
      <protection locked="0"/>
    </xf>
    <xf numFmtId="0" fontId="35" fillId="6" borderId="10" xfId="0" applyFont="1" applyFill="1" applyBorder="1" applyAlignment="1" applyProtection="1">
      <alignment vertical="center"/>
      <protection locked="0"/>
    </xf>
    <xf numFmtId="0" fontId="14" fillId="2" borderId="0" xfId="0" applyFont="1" applyFill="1" applyAlignment="1" applyProtection="1">
      <alignment vertical="center"/>
      <protection locked="0"/>
    </xf>
    <xf numFmtId="9" fontId="35" fillId="34" borderId="18" xfId="1" applyFont="1" applyFill="1" applyBorder="1" applyAlignment="1" applyProtection="1">
      <alignment horizontal="center" vertical="center"/>
      <protection locked="0"/>
    </xf>
    <xf numFmtId="0" fontId="15" fillId="34" borderId="18" xfId="0" applyFont="1" applyFill="1" applyBorder="1" applyAlignment="1" applyProtection="1">
      <alignment horizontal="left" vertical="center"/>
      <protection locked="0"/>
    </xf>
    <xf numFmtId="0" fontId="34" fillId="2" borderId="0" xfId="0" applyFont="1" applyFill="1" applyAlignment="1" applyProtection="1">
      <alignment vertical="center"/>
      <protection locked="0"/>
    </xf>
    <xf numFmtId="0" fontId="30" fillId="0" borderId="21" xfId="0" applyFont="1" applyBorder="1" applyAlignment="1" applyProtection="1">
      <alignment vertical="center"/>
      <protection locked="0"/>
    </xf>
    <xf numFmtId="0" fontId="29" fillId="5" borderId="38" xfId="0" applyFont="1" applyFill="1" applyBorder="1" applyAlignment="1" applyProtection="1">
      <alignment vertical="center"/>
      <protection locked="0"/>
    </xf>
    <xf numFmtId="0" fontId="29" fillId="5" borderId="9" xfId="0" applyFont="1" applyFill="1" applyBorder="1" applyAlignment="1" applyProtection="1">
      <alignment vertical="center"/>
      <protection locked="0"/>
    </xf>
    <xf numFmtId="0" fontId="1" fillId="5" borderId="15" xfId="0" applyFont="1" applyFill="1" applyBorder="1" applyAlignment="1" applyProtection="1">
      <alignment vertical="center" wrapText="1"/>
      <protection locked="0"/>
    </xf>
    <xf numFmtId="0" fontId="1" fillId="5" borderId="28" xfId="0" applyFont="1" applyFill="1" applyBorder="1" applyAlignment="1" applyProtection="1">
      <alignment vertical="center" wrapText="1"/>
      <protection locked="0"/>
    </xf>
    <xf numFmtId="4" fontId="29" fillId="5" borderId="0" xfId="0" applyNumberFormat="1" applyFont="1" applyFill="1" applyAlignment="1" applyProtection="1">
      <alignment horizontal="right" vertical="center" wrapText="1"/>
      <protection locked="0"/>
    </xf>
    <xf numFmtId="4" fontId="29" fillId="34" borderId="18" xfId="0" applyNumberFormat="1" applyFont="1" applyFill="1" applyBorder="1" applyAlignment="1" applyProtection="1">
      <alignment horizontal="right" vertical="center" wrapText="1"/>
      <protection locked="0"/>
    </xf>
    <xf numFmtId="0" fontId="29" fillId="5" borderId="0" xfId="0" applyFont="1" applyFill="1" applyAlignment="1" applyProtection="1">
      <alignment horizontal="left" vertical="center" wrapText="1"/>
      <protection locked="0"/>
    </xf>
    <xf numFmtId="0" fontId="1" fillId="5" borderId="0" xfId="0" applyFont="1" applyFill="1" applyAlignment="1" applyProtection="1">
      <alignment vertical="center" wrapText="1"/>
      <protection locked="0"/>
    </xf>
    <xf numFmtId="0" fontId="1" fillId="5" borderId="5" xfId="0" applyFont="1" applyFill="1" applyBorder="1" applyAlignment="1" applyProtection="1">
      <alignment vertical="center" wrapText="1"/>
      <protection locked="0"/>
    </xf>
    <xf numFmtId="0" fontId="2" fillId="5" borderId="4" xfId="0" applyFont="1" applyFill="1" applyBorder="1" applyAlignment="1" applyProtection="1">
      <alignment horizontal="left" vertical="center" wrapText="1"/>
      <protection locked="0"/>
    </xf>
    <xf numFmtId="0" fontId="2" fillId="5" borderId="0" xfId="0" applyFont="1" applyFill="1" applyAlignment="1" applyProtection="1">
      <alignment horizontal="left" vertical="center" wrapText="1"/>
      <protection locked="0"/>
    </xf>
    <xf numFmtId="4" fontId="2" fillId="5" borderId="0" xfId="0" applyNumberFormat="1" applyFont="1" applyFill="1" applyAlignment="1" applyProtection="1">
      <alignment horizontal="right" vertical="center" wrapText="1"/>
      <protection locked="0"/>
    </xf>
    <xf numFmtId="4" fontId="1" fillId="5" borderId="0" xfId="0" applyNumberFormat="1" applyFont="1" applyFill="1" applyAlignment="1" applyProtection="1">
      <alignment horizontal="right" vertical="center" wrapText="1"/>
      <protection locked="0"/>
    </xf>
    <xf numFmtId="0" fontId="1" fillId="5" borderId="11" xfId="0" applyFont="1" applyFill="1" applyBorder="1" applyAlignment="1" applyProtection="1">
      <alignment vertical="center" wrapText="1"/>
      <protection locked="0"/>
    </xf>
    <xf numFmtId="0" fontId="1" fillId="5" borderId="12" xfId="0" applyFont="1" applyFill="1" applyBorder="1" applyAlignment="1" applyProtection="1">
      <alignment vertical="center" wrapText="1"/>
      <protection locked="0"/>
    </xf>
    <xf numFmtId="0" fontId="1" fillId="5" borderId="13" xfId="0" applyFont="1" applyFill="1" applyBorder="1" applyAlignment="1" applyProtection="1">
      <alignment vertical="center" wrapText="1"/>
      <protection locked="0"/>
    </xf>
    <xf numFmtId="0" fontId="1" fillId="0" borderId="0" xfId="0" applyFont="1" applyAlignment="1" applyProtection="1">
      <alignment horizontal="center" vertical="center"/>
      <protection locked="0"/>
    </xf>
    <xf numFmtId="0" fontId="30" fillId="5" borderId="15" xfId="0" applyFont="1" applyFill="1" applyBorder="1" applyAlignment="1" applyProtection="1">
      <alignment vertical="center" wrapText="1"/>
      <protection locked="0"/>
    </xf>
    <xf numFmtId="0" fontId="30" fillId="5" borderId="28" xfId="0" applyFont="1" applyFill="1" applyBorder="1" applyAlignment="1" applyProtection="1">
      <alignment vertical="center" wrapText="1"/>
      <protection locked="0"/>
    </xf>
    <xf numFmtId="0" fontId="30" fillId="5" borderId="0" xfId="0" applyFont="1" applyFill="1" applyAlignment="1" applyProtection="1">
      <alignment vertical="center" wrapText="1"/>
      <protection locked="0"/>
    </xf>
    <xf numFmtId="0" fontId="30" fillId="5" borderId="5" xfId="0" applyFont="1" applyFill="1" applyBorder="1" applyAlignment="1" applyProtection="1">
      <alignment vertical="center" wrapText="1"/>
      <protection locked="0"/>
    </xf>
    <xf numFmtId="4" fontId="30" fillId="5" borderId="0" xfId="0" applyNumberFormat="1" applyFont="1" applyFill="1" applyAlignment="1" applyProtection="1">
      <alignment horizontal="right" vertical="center" wrapText="1"/>
      <protection locked="0"/>
    </xf>
    <xf numFmtId="0" fontId="30" fillId="5" borderId="6" xfId="0" applyFont="1" applyFill="1" applyBorder="1" applyAlignment="1" applyProtection="1">
      <alignment vertical="center" wrapText="1"/>
      <protection locked="0"/>
    </xf>
    <xf numFmtId="0" fontId="30" fillId="5" borderId="12" xfId="0" applyFont="1" applyFill="1" applyBorder="1" applyAlignment="1" applyProtection="1">
      <alignment vertical="center" wrapText="1"/>
      <protection locked="0"/>
    </xf>
    <xf numFmtId="0" fontId="30" fillId="3" borderId="0" xfId="0" applyFont="1" applyFill="1" applyAlignment="1" applyProtection="1">
      <alignment vertical="center" wrapText="1"/>
      <protection locked="0"/>
    </xf>
    <xf numFmtId="0" fontId="1" fillId="3" borderId="0" xfId="0" applyFont="1" applyFill="1" applyAlignment="1" applyProtection="1">
      <alignment vertical="center" wrapText="1"/>
      <protection locked="0"/>
    </xf>
    <xf numFmtId="0" fontId="30" fillId="0" borderId="0" xfId="0" applyFont="1" applyAlignment="1" applyProtection="1">
      <alignment vertical="center"/>
      <protection locked="0"/>
    </xf>
    <xf numFmtId="0" fontId="1" fillId="0" borderId="6" xfId="0" applyFont="1" applyBorder="1" applyAlignment="1" applyProtection="1">
      <alignment vertical="center"/>
      <protection locked="0"/>
    </xf>
    <xf numFmtId="4" fontId="29" fillId="34" borderId="33" xfId="0" applyNumberFormat="1" applyFont="1" applyFill="1" applyBorder="1" applyAlignment="1" applyProtection="1">
      <alignment horizontal="right" vertical="center" wrapText="1"/>
      <protection locked="0"/>
    </xf>
    <xf numFmtId="4" fontId="1" fillId="34" borderId="14" xfId="0" applyNumberFormat="1" applyFont="1" applyFill="1" applyBorder="1" applyAlignment="1" applyProtection="1">
      <alignment vertical="center"/>
      <protection locked="0"/>
    </xf>
    <xf numFmtId="1" fontId="1" fillId="34" borderId="14" xfId="0" applyNumberFormat="1" applyFont="1" applyFill="1" applyBorder="1" applyAlignment="1" applyProtection="1">
      <alignment vertical="center"/>
      <protection locked="0"/>
    </xf>
    <xf numFmtId="1" fontId="1" fillId="34" borderId="19" xfId="0" applyNumberFormat="1" applyFont="1" applyFill="1" applyBorder="1" applyAlignment="1" applyProtection="1">
      <alignment vertical="center"/>
      <protection locked="0"/>
    </xf>
    <xf numFmtId="1" fontId="1" fillId="34" borderId="16" xfId="0" applyNumberFormat="1" applyFont="1" applyFill="1" applyBorder="1" applyAlignment="1" applyProtection="1">
      <alignment vertical="center"/>
      <protection locked="0"/>
    </xf>
    <xf numFmtId="3" fontId="1" fillId="34" borderId="19" xfId="0" applyNumberFormat="1" applyFont="1" applyFill="1" applyBorder="1" applyAlignment="1" applyProtection="1">
      <alignment vertical="center"/>
      <protection locked="0"/>
    </xf>
    <xf numFmtId="4" fontId="1" fillId="34" borderId="19" xfId="0" applyNumberFormat="1" applyFont="1" applyFill="1" applyBorder="1" applyAlignment="1" applyProtection="1">
      <alignment vertical="center"/>
      <protection locked="0"/>
    </xf>
    <xf numFmtId="9" fontId="1" fillId="34" borderId="15" xfId="1" applyFont="1" applyFill="1" applyBorder="1" applyAlignment="1" applyProtection="1">
      <alignment vertical="center"/>
      <protection locked="0"/>
    </xf>
    <xf numFmtId="9" fontId="30" fillId="34" borderId="0" xfId="1" applyFont="1" applyFill="1" applyBorder="1" applyAlignment="1" applyProtection="1">
      <alignment vertical="center"/>
      <protection locked="0"/>
    </xf>
    <xf numFmtId="14" fontId="35" fillId="34" borderId="0" xfId="0" applyNumberFormat="1" applyFont="1" applyFill="1" applyAlignment="1" applyProtection="1">
      <alignment horizontal="center" vertical="center" wrapText="1"/>
      <protection locked="0"/>
    </xf>
    <xf numFmtId="0" fontId="15" fillId="34" borderId="18" xfId="0" applyFont="1" applyFill="1" applyBorder="1" applyAlignment="1" applyProtection="1">
      <alignment vertical="center"/>
      <protection locked="0"/>
    </xf>
    <xf numFmtId="0" fontId="35" fillId="0" borderId="18" xfId="0" applyFont="1" applyBorder="1" applyAlignment="1" applyProtection="1">
      <alignment vertical="center"/>
      <protection locked="0"/>
    </xf>
    <xf numFmtId="0" fontId="48" fillId="0" borderId="0" xfId="0" applyFont="1" applyAlignment="1">
      <alignment horizontal="center"/>
    </xf>
    <xf numFmtId="0" fontId="48" fillId="0" borderId="0" xfId="0" applyFont="1"/>
    <xf numFmtId="0" fontId="50" fillId="35" borderId="18" xfId="0" applyFont="1" applyFill="1" applyBorder="1" applyAlignment="1">
      <alignment horizontal="justify" vertical="center" wrapText="1"/>
    </xf>
    <xf numFmtId="0" fontId="52" fillId="0" borderId="0" xfId="0" applyFont="1"/>
    <xf numFmtId="0" fontId="52" fillId="0" borderId="0" xfId="0" applyFont="1" applyAlignment="1">
      <alignment horizontal="left"/>
    </xf>
    <xf numFmtId="0" fontId="52" fillId="0" borderId="0" xfId="0" applyFont="1" applyAlignment="1">
      <alignment horizontal="right"/>
    </xf>
    <xf numFmtId="0" fontId="53" fillId="0" borderId="0" xfId="0" applyFont="1"/>
    <xf numFmtId="0" fontId="55" fillId="0" borderId="18" xfId="0" applyFont="1" applyBorder="1" applyAlignment="1">
      <alignment horizontal="justify" vertical="center" wrapText="1"/>
    </xf>
    <xf numFmtId="0" fontId="54" fillId="35" borderId="18" xfId="0" applyFont="1" applyFill="1" applyBorder="1" applyAlignment="1">
      <alignment horizontal="center" vertical="center" wrapText="1"/>
    </xf>
    <xf numFmtId="0" fontId="50" fillId="3" borderId="0" xfId="0" applyFont="1" applyFill="1" applyAlignment="1">
      <alignment vertical="center" wrapText="1"/>
    </xf>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48" fillId="3" borderId="0" xfId="0" applyFont="1" applyFill="1"/>
    <xf numFmtId="0" fontId="62" fillId="0" borderId="0" xfId="0" applyFont="1"/>
    <xf numFmtId="0" fontId="63" fillId="0" borderId="0" xfId="0" applyFont="1"/>
    <xf numFmtId="0" fontId="6" fillId="0" borderId="0" xfId="0" applyFont="1" applyAlignment="1">
      <alignment horizontal="center" vertical="center"/>
    </xf>
    <xf numFmtId="0" fontId="64" fillId="0" borderId="0" xfId="0" applyFont="1"/>
    <xf numFmtId="0" fontId="6" fillId="0" borderId="0" xfId="0" applyFont="1" applyAlignment="1">
      <alignment horizontal="center" wrapText="1"/>
    </xf>
    <xf numFmtId="0" fontId="6" fillId="0" borderId="0" xfId="0" applyFont="1" applyAlignment="1">
      <alignment horizontal="center" vertical="center" wrapText="1"/>
    </xf>
    <xf numFmtId="0" fontId="52" fillId="0" borderId="0" xfId="0" applyFont="1" applyAlignment="1">
      <alignment wrapText="1"/>
    </xf>
    <xf numFmtId="0" fontId="0" fillId="3" borderId="0" xfId="0" applyFill="1"/>
    <xf numFmtId="0" fontId="53" fillId="3" borderId="0" xfId="0" applyFont="1" applyFill="1"/>
    <xf numFmtId="0" fontId="52" fillId="3" borderId="0" xfId="0" applyFont="1" applyFill="1"/>
    <xf numFmtId="0" fontId="68" fillId="3" borderId="0" xfId="0" applyFont="1" applyFill="1"/>
    <xf numFmtId="0" fontId="52" fillId="3" borderId="0" xfId="0" applyFont="1" applyFill="1" applyAlignment="1">
      <alignment horizontal="left"/>
    </xf>
    <xf numFmtId="14" fontId="35" fillId="34" borderId="18" xfId="0" applyNumberFormat="1" applyFont="1" applyFill="1" applyBorder="1" applyAlignment="1" applyProtection="1">
      <alignment horizontal="center" vertical="center" wrapText="1"/>
      <protection locked="0"/>
    </xf>
    <xf numFmtId="0" fontId="30" fillId="34" borderId="22" xfId="0" applyFont="1" applyFill="1" applyBorder="1" applyAlignment="1" applyProtection="1">
      <alignment vertical="center"/>
      <protection locked="0"/>
    </xf>
    <xf numFmtId="0" fontId="30" fillId="34" borderId="35" xfId="0" applyFont="1" applyFill="1" applyBorder="1" applyAlignment="1" applyProtection="1">
      <alignment vertical="center"/>
      <protection locked="0"/>
    </xf>
    <xf numFmtId="0" fontId="30" fillId="34" borderId="23" xfId="0" applyFont="1" applyFill="1" applyBorder="1" applyAlignment="1" applyProtection="1">
      <alignment vertical="center"/>
      <protection locked="0"/>
    </xf>
    <xf numFmtId="0" fontId="30" fillId="34" borderId="36" xfId="0" applyFont="1" applyFill="1" applyBorder="1" applyAlignment="1" applyProtection="1">
      <alignment vertical="center"/>
      <protection locked="0"/>
    </xf>
    <xf numFmtId="0" fontId="30" fillId="34" borderId="33" xfId="0" applyFont="1" applyFill="1" applyBorder="1" applyAlignment="1" applyProtection="1">
      <alignment vertical="center"/>
      <protection locked="0"/>
    </xf>
    <xf numFmtId="0" fontId="30" fillId="34" borderId="34" xfId="0" applyFont="1" applyFill="1" applyBorder="1" applyAlignment="1" applyProtection="1">
      <alignment vertical="center"/>
      <protection locked="0"/>
    </xf>
    <xf numFmtId="0" fontId="32" fillId="0" borderId="21" xfId="0" applyFont="1" applyBorder="1" applyAlignment="1" applyProtection="1">
      <alignment vertical="center"/>
      <protection locked="0"/>
    </xf>
    <xf numFmtId="0" fontId="32" fillId="0" borderId="21" xfId="0" applyFont="1" applyBorder="1" applyAlignment="1" applyProtection="1">
      <alignment horizontal="left" vertical="top" wrapText="1"/>
      <protection locked="0"/>
    </xf>
    <xf numFmtId="0" fontId="30" fillId="34" borderId="18" xfId="0" applyFont="1" applyFill="1" applyBorder="1" applyAlignment="1" applyProtection="1">
      <alignment horizontal="center" vertical="center" wrapText="1"/>
      <protection locked="0"/>
    </xf>
    <xf numFmtId="0" fontId="30" fillId="34" borderId="18" xfId="0" applyFont="1" applyFill="1" applyBorder="1" applyAlignment="1" applyProtection="1">
      <alignment vertical="center" wrapText="1"/>
      <protection locked="0"/>
    </xf>
    <xf numFmtId="168" fontId="35" fillId="34" borderId="8" xfId="0" applyNumberFormat="1" applyFont="1" applyFill="1" applyBorder="1" applyAlignment="1" applyProtection="1">
      <alignment horizontal="right" vertical="center"/>
      <protection locked="0"/>
    </xf>
    <xf numFmtId="168" fontId="30" fillId="34" borderId="18" xfId="0" applyNumberFormat="1" applyFont="1" applyFill="1" applyBorder="1" applyAlignment="1" applyProtection="1">
      <alignment vertical="center"/>
      <protection locked="0"/>
    </xf>
    <xf numFmtId="0" fontId="48" fillId="0" borderId="0" xfId="0" applyFont="1" applyAlignment="1">
      <alignment horizontal="left"/>
    </xf>
    <xf numFmtId="0" fontId="49" fillId="0" borderId="0" xfId="0" applyFont="1" applyAlignment="1">
      <alignment horizontal="center"/>
    </xf>
    <xf numFmtId="0" fontId="13" fillId="0" borderId="0" xfId="0" applyFont="1"/>
    <xf numFmtId="2" fontId="54" fillId="0" borderId="18" xfId="0" applyNumberFormat="1" applyFont="1" applyBorder="1" applyAlignment="1">
      <alignment horizontal="center" vertical="center" wrapText="1"/>
    </xf>
    <xf numFmtId="2" fontId="54" fillId="35" borderId="18" xfId="32" applyNumberFormat="1" applyFont="1" applyFill="1" applyBorder="1" applyAlignment="1">
      <alignment horizontal="center" vertical="center" wrapText="1"/>
    </xf>
    <xf numFmtId="2" fontId="56" fillId="35" borderId="18" xfId="32" applyNumberFormat="1" applyFont="1" applyFill="1" applyBorder="1" applyAlignment="1">
      <alignment horizontal="center" vertical="center" wrapText="1"/>
    </xf>
    <xf numFmtId="2" fontId="51" fillId="35" borderId="18" xfId="32" applyNumberFormat="1" applyFont="1" applyFill="1" applyBorder="1" applyAlignment="1">
      <alignment horizontal="center" vertical="center" wrapText="1"/>
    </xf>
    <xf numFmtId="2" fontId="75" fillId="35" borderId="18" xfId="32" applyNumberFormat="1" applyFont="1" applyFill="1" applyBorder="1" applyAlignment="1">
      <alignment horizontal="center" vertical="center" wrapText="1"/>
    </xf>
    <xf numFmtId="0" fontId="65" fillId="35" borderId="18" xfId="0" applyFont="1" applyFill="1" applyBorder="1" applyAlignment="1">
      <alignment horizontal="center" vertical="center" wrapText="1"/>
    </xf>
    <xf numFmtId="0" fontId="65" fillId="35" borderId="19" xfId="0" applyFont="1" applyFill="1" applyBorder="1" applyAlignment="1">
      <alignment horizontal="center" vertical="center" wrapText="1"/>
    </xf>
    <xf numFmtId="0" fontId="66" fillId="0" borderId="18" xfId="0" applyFont="1" applyBorder="1" applyAlignment="1">
      <alignment horizontal="justify" vertical="center" wrapText="1"/>
    </xf>
    <xf numFmtId="0" fontId="67" fillId="0" borderId="18" xfId="0" applyFont="1" applyBorder="1" applyAlignment="1">
      <alignment horizontal="center" vertical="center" wrapText="1"/>
    </xf>
    <xf numFmtId="0" fontId="65" fillId="0" borderId="0" xfId="0" applyFont="1" applyAlignment="1">
      <alignment vertical="top"/>
    </xf>
    <xf numFmtId="0" fontId="59" fillId="3" borderId="0" xfId="0" applyFont="1" applyFill="1" applyAlignment="1">
      <alignment horizontal="center"/>
    </xf>
    <xf numFmtId="0" fontId="6" fillId="35" borderId="18" xfId="0" applyFont="1" applyFill="1" applyBorder="1" applyAlignment="1">
      <alignment horizontal="center" vertical="center" wrapText="1"/>
    </xf>
    <xf numFmtId="0" fontId="2" fillId="0" borderId="0" xfId="0" applyFont="1" applyAlignment="1">
      <alignment vertical="center"/>
    </xf>
    <xf numFmtId="0" fontId="1" fillId="0" borderId="0" xfId="0" applyFont="1" applyAlignment="1">
      <alignment vertical="center"/>
    </xf>
    <xf numFmtId="0" fontId="40" fillId="0" borderId="0" xfId="0" applyFont="1" applyAlignment="1">
      <alignment vertical="center"/>
    </xf>
    <xf numFmtId="0" fontId="34" fillId="2" borderId="14" xfId="0" applyFont="1" applyFill="1" applyBorder="1" applyAlignment="1">
      <alignment vertical="center"/>
    </xf>
    <xf numFmtId="0" fontId="34" fillId="2" borderId="35" xfId="0" applyFont="1" applyFill="1" applyBorder="1" applyAlignment="1">
      <alignment vertical="center"/>
    </xf>
    <xf numFmtId="0" fontId="34" fillId="6" borderId="18" xfId="0" applyFont="1" applyFill="1" applyBorder="1" applyAlignment="1">
      <alignment vertical="center"/>
    </xf>
    <xf numFmtId="0" fontId="34" fillId="2" borderId="18" xfId="0" applyFont="1" applyFill="1" applyBorder="1" applyAlignment="1">
      <alignment vertical="center"/>
    </xf>
    <xf numFmtId="0" fontId="34" fillId="0" borderId="18" xfId="0" applyFont="1" applyBorder="1" applyAlignment="1">
      <alignment vertical="center"/>
    </xf>
    <xf numFmtId="0" fontId="34" fillId="2" borderId="35" xfId="0" applyFont="1" applyFill="1" applyBorder="1" applyAlignment="1">
      <alignment horizontal="left" vertical="center"/>
    </xf>
    <xf numFmtId="0" fontId="34" fillId="6" borderId="18" xfId="0" applyFont="1" applyFill="1" applyBorder="1" applyAlignment="1">
      <alignment horizontal="center" vertical="center"/>
    </xf>
    <xf numFmtId="0" fontId="34" fillId="2" borderId="18" xfId="0" applyFont="1" applyFill="1" applyBorder="1" applyAlignment="1">
      <alignment horizontal="left" vertical="center"/>
    </xf>
    <xf numFmtId="0" fontId="34" fillId="6" borderId="18" xfId="0" applyFont="1" applyFill="1" applyBorder="1" applyAlignment="1">
      <alignment horizontal="left" vertical="center"/>
    </xf>
    <xf numFmtId="0" fontId="34" fillId="2" borderId="8" xfId="0" applyFont="1" applyFill="1" applyBorder="1" applyAlignment="1">
      <alignment vertical="center"/>
    </xf>
    <xf numFmtId="0" fontId="34" fillId="2" borderId="18" xfId="0" applyFont="1" applyFill="1" applyBorder="1" applyAlignment="1">
      <alignment horizontal="left" vertical="center" wrapText="1"/>
    </xf>
    <xf numFmtId="0" fontId="14" fillId="6" borderId="8" xfId="0" applyFont="1" applyFill="1" applyBorder="1" applyAlignment="1">
      <alignment vertical="center"/>
    </xf>
    <xf numFmtId="0" fontId="34" fillId="2" borderId="10" xfId="0" applyFont="1" applyFill="1" applyBorder="1" applyAlignment="1">
      <alignment horizontal="left" vertical="center"/>
    </xf>
    <xf numFmtId="0" fontId="34" fillId="2" borderId="33" xfId="0" applyFont="1" applyFill="1" applyBorder="1" applyAlignment="1">
      <alignment horizontal="left" vertical="center"/>
    </xf>
    <xf numFmtId="0" fontId="14" fillId="2" borderId="0" xfId="0" applyFont="1" applyFill="1" applyAlignment="1">
      <alignment vertical="center"/>
    </xf>
    <xf numFmtId="0" fontId="14" fillId="2" borderId="18" xfId="0" applyFont="1" applyFill="1" applyBorder="1" applyAlignment="1">
      <alignment horizontal="left" vertical="center"/>
    </xf>
    <xf numFmtId="0" fontId="27" fillId="2" borderId="18" xfId="0" applyFont="1" applyFill="1" applyBorder="1" applyAlignment="1">
      <alignment horizontal="left" vertical="center"/>
    </xf>
    <xf numFmtId="0" fontId="14" fillId="2" borderId="18" xfId="0" applyFont="1" applyFill="1" applyBorder="1" applyAlignment="1">
      <alignment vertical="center"/>
    </xf>
    <xf numFmtId="0" fontId="14" fillId="6" borderId="10" xfId="0" applyFont="1" applyFill="1" applyBorder="1" applyAlignment="1">
      <alignment vertical="center"/>
    </xf>
    <xf numFmtId="0" fontId="27" fillId="2" borderId="18" xfId="0" applyFont="1" applyFill="1" applyBorder="1" applyAlignment="1">
      <alignment vertical="center"/>
    </xf>
    <xf numFmtId="0" fontId="14" fillId="6" borderId="0" xfId="0" applyFont="1" applyFill="1" applyAlignment="1">
      <alignment vertical="center"/>
    </xf>
    <xf numFmtId="0" fontId="34" fillId="2" borderId="36" xfId="0" applyFont="1" applyFill="1" applyBorder="1" applyAlignment="1">
      <alignment vertical="center"/>
    </xf>
    <xf numFmtId="0" fontId="27" fillId="33" borderId="36" xfId="0" applyFont="1" applyFill="1" applyBorder="1" applyAlignment="1">
      <alignment vertical="center" wrapText="1"/>
    </xf>
    <xf numFmtId="0" fontId="27" fillId="2" borderId="14" xfId="0" applyFont="1" applyFill="1" applyBorder="1" applyAlignment="1">
      <alignment vertical="center"/>
    </xf>
    <xf numFmtId="0" fontId="29" fillId="5" borderId="38" xfId="0" applyFont="1" applyFill="1" applyBorder="1" applyAlignment="1">
      <alignment vertical="center"/>
    </xf>
    <xf numFmtId="0" fontId="29" fillId="5" borderId="15" xfId="0" applyFont="1" applyFill="1" applyBorder="1" applyAlignment="1">
      <alignment horizontal="center" vertical="center" wrapText="1"/>
    </xf>
    <xf numFmtId="0" fontId="31" fillId="6" borderId="17" xfId="0" applyFont="1" applyFill="1" applyBorder="1" applyAlignment="1">
      <alignment horizontal="center" vertical="center"/>
    </xf>
    <xf numFmtId="0" fontId="30" fillId="33" borderId="18" xfId="0" applyFont="1" applyFill="1" applyBorder="1" applyAlignment="1">
      <alignment horizontal="center" vertical="center"/>
    </xf>
    <xf numFmtId="0" fontId="30" fillId="33" borderId="18" xfId="0" applyFont="1" applyFill="1" applyBorder="1" applyAlignment="1">
      <alignment horizontal="center" vertical="center" wrapText="1"/>
    </xf>
    <xf numFmtId="0" fontId="30" fillId="0" borderId="17" xfId="0" applyFont="1" applyBorder="1" applyAlignment="1">
      <alignment horizontal="left" vertical="center"/>
    </xf>
    <xf numFmtId="0" fontId="30" fillId="0" borderId="31" xfId="0" applyFont="1" applyBorder="1" applyAlignment="1">
      <alignment horizontal="left" vertical="center"/>
    </xf>
    <xf numFmtId="0" fontId="29" fillId="5" borderId="6" xfId="0" applyFont="1" applyFill="1" applyBorder="1" applyAlignment="1">
      <alignment horizontal="center" vertical="center" wrapText="1"/>
    </xf>
    <xf numFmtId="0" fontId="30" fillId="2" borderId="18" xfId="0" applyFont="1" applyFill="1" applyBorder="1" applyAlignment="1">
      <alignment vertical="center" wrapText="1"/>
    </xf>
    <xf numFmtId="0" fontId="30" fillId="2" borderId="18" xfId="0" applyFont="1" applyFill="1" applyBorder="1" applyAlignment="1">
      <alignment horizontal="center" vertical="center"/>
    </xf>
    <xf numFmtId="0" fontId="17" fillId="34" borderId="0" xfId="0" applyFont="1" applyFill="1" applyAlignment="1">
      <alignment horizontal="center"/>
    </xf>
    <xf numFmtId="0" fontId="30" fillId="0" borderId="17" xfId="0" applyFont="1" applyBorder="1" applyAlignment="1" applyProtection="1">
      <alignment horizontal="center" vertical="center" wrapText="1"/>
      <protection hidden="1"/>
    </xf>
    <xf numFmtId="0" fontId="30" fillId="0" borderId="18" xfId="0" applyFont="1" applyBorder="1" applyAlignment="1" applyProtection="1">
      <alignment horizontal="center" vertical="center" wrapText="1"/>
      <protection hidden="1"/>
    </xf>
    <xf numFmtId="0" fontId="30" fillId="0" borderId="19" xfId="0" applyFont="1" applyBorder="1" applyAlignment="1" applyProtection="1">
      <alignment horizontal="center" vertical="center" wrapText="1"/>
      <protection hidden="1"/>
    </xf>
    <xf numFmtId="0" fontId="30" fillId="0" borderId="20" xfId="0" applyFont="1" applyBorder="1" applyAlignment="1" applyProtection="1">
      <alignment horizontal="center" vertical="center" wrapText="1"/>
      <protection hidden="1"/>
    </xf>
    <xf numFmtId="0" fontId="8" fillId="0" borderId="4" xfId="0" applyFont="1" applyBorder="1" applyAlignment="1">
      <alignment vertical="center"/>
    </xf>
    <xf numFmtId="0" fontId="29" fillId="9" borderId="27" xfId="0" applyFont="1" applyFill="1" applyBorder="1" applyAlignment="1" applyProtection="1">
      <alignment vertical="center"/>
      <protection hidden="1"/>
    </xf>
    <xf numFmtId="4" fontId="29" fillId="9" borderId="15" xfId="0" applyNumberFormat="1" applyFont="1" applyFill="1" applyBorder="1" applyAlignment="1" applyProtection="1">
      <alignment vertical="center"/>
      <protection hidden="1"/>
    </xf>
    <xf numFmtId="4" fontId="29" fillId="9" borderId="0" xfId="0" applyNumberFormat="1" applyFont="1" applyFill="1" applyAlignment="1" applyProtection="1">
      <alignment vertical="center"/>
      <protection hidden="1"/>
    </xf>
    <xf numFmtId="9" fontId="29" fillId="10" borderId="18" xfId="0" applyNumberFormat="1" applyFont="1" applyFill="1" applyBorder="1" applyAlignment="1" applyProtection="1">
      <alignment vertical="center"/>
      <protection hidden="1"/>
    </xf>
    <xf numFmtId="0" fontId="30" fillId="2" borderId="24" xfId="0" applyFont="1" applyFill="1" applyBorder="1" applyAlignment="1" applyProtection="1">
      <alignment vertical="center"/>
      <protection hidden="1"/>
    </xf>
    <xf numFmtId="4" fontId="30" fillId="2" borderId="25" xfId="0" applyNumberFormat="1" applyFont="1" applyFill="1" applyBorder="1" applyAlignment="1" applyProtection="1">
      <alignment vertical="center"/>
      <protection hidden="1"/>
    </xf>
    <xf numFmtId="0" fontId="29" fillId="2" borderId="1" xfId="0" applyFont="1" applyFill="1" applyBorder="1" applyAlignment="1" applyProtection="1">
      <alignment vertical="center"/>
      <protection hidden="1"/>
    </xf>
    <xf numFmtId="4" fontId="30" fillId="2" borderId="2" xfId="0" applyNumberFormat="1" applyFont="1" applyFill="1" applyBorder="1" applyAlignment="1" applyProtection="1">
      <alignment vertical="center"/>
      <protection hidden="1"/>
    </xf>
    <xf numFmtId="4" fontId="30" fillId="2" borderId="0" xfId="0" applyNumberFormat="1" applyFont="1" applyFill="1" applyAlignment="1" applyProtection="1">
      <alignment vertical="center"/>
      <protection hidden="1"/>
    </xf>
    <xf numFmtId="4" fontId="30" fillId="2" borderId="3" xfId="0" applyNumberFormat="1" applyFont="1" applyFill="1" applyBorder="1" applyAlignment="1" applyProtection="1">
      <alignment vertical="center"/>
      <protection hidden="1"/>
    </xf>
    <xf numFmtId="0" fontId="29" fillId="2" borderId="11" xfId="0" applyFont="1" applyFill="1" applyBorder="1" applyAlignment="1" applyProtection="1">
      <alignment vertical="center"/>
      <protection hidden="1"/>
    </xf>
    <xf numFmtId="4" fontId="30" fillId="2" borderId="12" xfId="0" applyNumberFormat="1" applyFont="1" applyFill="1" applyBorder="1" applyAlignment="1" applyProtection="1">
      <alignment vertical="center"/>
      <protection hidden="1"/>
    </xf>
    <xf numFmtId="4" fontId="30" fillId="2" borderId="13" xfId="0" applyNumberFormat="1" applyFont="1" applyFill="1" applyBorder="1" applyAlignment="1" applyProtection="1">
      <alignment vertical="center"/>
      <protection hidden="1"/>
    </xf>
    <xf numFmtId="0" fontId="48" fillId="0" borderId="0" xfId="0" applyFont="1" applyAlignment="1" applyProtection="1">
      <alignment horizontal="center"/>
      <protection locked="0"/>
    </xf>
    <xf numFmtId="0" fontId="49" fillId="0" borderId="0" xfId="0" applyFont="1" applyAlignment="1" applyProtection="1">
      <alignment horizontal="center"/>
      <protection locked="0"/>
    </xf>
    <xf numFmtId="0" fontId="13" fillId="0" borderId="0" xfId="0" applyFont="1" applyProtection="1">
      <protection locked="0"/>
    </xf>
    <xf numFmtId="0" fontId="0" fillId="0" borderId="0" xfId="0" applyProtection="1">
      <protection locked="0"/>
    </xf>
    <xf numFmtId="0" fontId="48" fillId="0" borderId="0" xfId="0" applyFont="1" applyAlignment="1" applyProtection="1">
      <alignment horizontal="left"/>
      <protection locked="0"/>
    </xf>
    <xf numFmtId="0" fontId="48" fillId="0" borderId="0" xfId="0" applyFont="1" applyProtection="1">
      <protection locked="0"/>
    </xf>
    <xf numFmtId="4" fontId="4" fillId="0" borderId="20" xfId="0" applyNumberFormat="1" applyFont="1" applyBorder="1" applyAlignment="1">
      <alignment vertical="center"/>
    </xf>
    <xf numFmtId="43" fontId="12" fillId="0" borderId="32" xfId="41" applyFont="1" applyBorder="1" applyAlignment="1" applyProtection="1">
      <alignment vertical="center"/>
    </xf>
    <xf numFmtId="4" fontId="29" fillId="34" borderId="18" xfId="0" applyNumberFormat="1" applyFont="1" applyFill="1" applyBorder="1" applyAlignment="1">
      <alignment vertical="center"/>
    </xf>
    <xf numFmtId="4" fontId="30" fillId="34" borderId="30" xfId="0" applyNumberFormat="1" applyFont="1" applyFill="1" applyBorder="1" applyAlignment="1">
      <alignment vertical="center"/>
    </xf>
    <xf numFmtId="4" fontId="30" fillId="34" borderId="26" xfId="0" applyNumberFormat="1" applyFont="1" applyFill="1" applyBorder="1" applyAlignment="1">
      <alignment vertical="center"/>
    </xf>
    <xf numFmtId="4" fontId="29" fillId="34" borderId="2" xfId="0" applyNumberFormat="1" applyFont="1" applyFill="1" applyBorder="1" applyAlignment="1">
      <alignment vertical="center"/>
    </xf>
    <xf numFmtId="4" fontId="30" fillId="34" borderId="12" xfId="0" applyNumberFormat="1" applyFont="1" applyFill="1" applyBorder="1" applyAlignment="1">
      <alignment vertical="center"/>
    </xf>
    <xf numFmtId="4" fontId="30" fillId="34" borderId="18" xfId="0" applyNumberFormat="1" applyFont="1" applyFill="1" applyBorder="1" applyAlignment="1">
      <alignment horizontal="right" vertical="center" wrapText="1"/>
    </xf>
    <xf numFmtId="4" fontId="30" fillId="34" borderId="33" xfId="0" applyNumberFormat="1" applyFont="1" applyFill="1" applyBorder="1" applyAlignment="1">
      <alignment horizontal="right" vertical="center" wrapText="1"/>
    </xf>
    <xf numFmtId="0" fontId="0" fillId="0" borderId="0" xfId="0" applyAlignment="1" applyProtection="1">
      <alignment vertical="center"/>
      <protection locked="0"/>
    </xf>
    <xf numFmtId="0" fontId="17" fillId="11" borderId="0" xfId="0" applyFont="1" applyFill="1" applyAlignment="1" applyProtection="1">
      <alignment vertical="center"/>
      <protection locked="0"/>
    </xf>
    <xf numFmtId="0" fontId="1" fillId="36" borderId="0" xfId="0" applyFont="1" applyFill="1" applyAlignment="1">
      <alignment vertical="center"/>
    </xf>
    <xf numFmtId="0" fontId="0" fillId="36" borderId="0" xfId="0" applyFill="1"/>
    <xf numFmtId="0" fontId="17" fillId="36" borderId="0" xfId="0" applyFont="1" applyFill="1"/>
    <xf numFmtId="0" fontId="34" fillId="36" borderId="18" xfId="0" applyFont="1" applyFill="1" applyBorder="1" applyAlignment="1">
      <alignment horizontal="center" vertical="center"/>
    </xf>
    <xf numFmtId="0" fontId="18" fillId="36" borderId="0" xfId="0" applyFont="1" applyFill="1"/>
    <xf numFmtId="0" fontId="34" fillId="36" borderId="18" xfId="0" applyFont="1" applyFill="1" applyBorder="1" applyAlignment="1">
      <alignment horizontal="left" vertical="center"/>
    </xf>
    <xf numFmtId="0" fontId="34" fillId="36" borderId="8" xfId="0" applyFont="1" applyFill="1" applyBorder="1" applyAlignment="1">
      <alignment horizontal="center" vertical="center"/>
    </xf>
    <xf numFmtId="0" fontId="14" fillId="36" borderId="18" xfId="0" applyFont="1" applyFill="1" applyBorder="1" applyAlignment="1">
      <alignment vertical="center"/>
    </xf>
    <xf numFmtId="0" fontId="38" fillId="36" borderId="18" xfId="0" applyFont="1" applyFill="1" applyBorder="1" applyAlignment="1">
      <alignment vertical="center" wrapText="1"/>
    </xf>
    <xf numFmtId="0" fontId="39" fillId="36" borderId="18" xfId="0" applyFont="1" applyFill="1" applyBorder="1" applyAlignment="1">
      <alignment horizontal="center" vertical="center" wrapText="1"/>
    </xf>
    <xf numFmtId="0" fontId="17" fillId="36" borderId="18" xfId="0" applyFont="1" applyFill="1" applyBorder="1"/>
    <xf numFmtId="0" fontId="0" fillId="36" borderId="18" xfId="2" applyFont="1" applyFill="1" applyBorder="1"/>
    <xf numFmtId="0" fontId="39" fillId="36" borderId="18" xfId="0" applyFont="1" applyFill="1" applyBorder="1" applyAlignment="1">
      <alignment vertical="center" wrapText="1"/>
    </xf>
    <xf numFmtId="0" fontId="0" fillId="36" borderId="18" xfId="2" applyFont="1" applyFill="1" applyBorder="1" applyAlignment="1">
      <alignment vertical="center"/>
    </xf>
    <xf numFmtId="0" fontId="0" fillId="36" borderId="0" xfId="0" applyFill="1" applyAlignment="1">
      <alignment vertical="center"/>
    </xf>
    <xf numFmtId="0" fontId="17" fillId="36" borderId="18" xfId="0" applyFont="1" applyFill="1" applyBorder="1" applyAlignment="1">
      <alignment vertical="center"/>
    </xf>
    <xf numFmtId="0" fontId="17" fillId="36" borderId="0" xfId="0" applyFont="1" applyFill="1" applyAlignment="1">
      <alignment vertical="center"/>
    </xf>
    <xf numFmtId="0" fontId="13" fillId="36" borderId="18" xfId="0" applyFont="1" applyFill="1" applyBorder="1"/>
    <xf numFmtId="0" fontId="0" fillId="36" borderId="18" xfId="0" applyFill="1" applyBorder="1"/>
    <xf numFmtId="0" fontId="0" fillId="36" borderId="18" xfId="0" applyFill="1" applyBorder="1" applyAlignment="1">
      <alignment vertical="center" wrapText="1"/>
    </xf>
    <xf numFmtId="0" fontId="70" fillId="36" borderId="8" xfId="0" applyFont="1" applyFill="1" applyBorder="1" applyAlignment="1">
      <alignment vertical="center" wrapText="1"/>
    </xf>
    <xf numFmtId="0" fontId="17" fillId="36" borderId="18" xfId="0" applyFont="1" applyFill="1" applyBorder="1" applyAlignment="1">
      <alignment horizontal="left"/>
    </xf>
    <xf numFmtId="0" fontId="17" fillId="36" borderId="18" xfId="0" applyFont="1" applyFill="1" applyBorder="1" applyAlignment="1">
      <alignment horizontal="left" vertical="center"/>
    </xf>
    <xf numFmtId="0" fontId="2" fillId="36" borderId="0" xfId="0" applyFont="1" applyFill="1" applyAlignment="1">
      <alignment vertical="center"/>
    </xf>
    <xf numFmtId="0" fontId="0" fillId="36" borderId="18" xfId="0" applyFill="1" applyBorder="1" applyAlignment="1">
      <alignment horizontal="center"/>
    </xf>
    <xf numFmtId="4" fontId="17" fillId="36" borderId="0" xfId="0" applyNumberFormat="1" applyFont="1" applyFill="1"/>
    <xf numFmtId="0" fontId="1" fillId="36" borderId="0" xfId="0" applyFont="1" applyFill="1" applyAlignment="1">
      <alignment horizontal="center" vertical="center"/>
    </xf>
    <xf numFmtId="4" fontId="4" fillId="0" borderId="16" xfId="0" applyNumberFormat="1" applyFont="1" applyBorder="1" applyAlignment="1" applyProtection="1">
      <alignment vertical="center"/>
      <protection locked="0"/>
    </xf>
    <xf numFmtId="4" fontId="4" fillId="0" borderId="19" xfId="0" applyNumberFormat="1" applyFont="1" applyBorder="1" applyAlignment="1" applyProtection="1">
      <alignment vertical="center"/>
      <protection locked="0"/>
    </xf>
    <xf numFmtId="43" fontId="12" fillId="0" borderId="23" xfId="41" applyFont="1" applyBorder="1" applyAlignment="1" applyProtection="1">
      <alignment vertical="center"/>
      <protection locked="0"/>
    </xf>
    <xf numFmtId="43" fontId="12" fillId="0" borderId="22" xfId="41" applyFont="1" applyBorder="1" applyAlignment="1" applyProtection="1">
      <alignment vertical="center"/>
      <protection locked="0"/>
    </xf>
    <xf numFmtId="0" fontId="21" fillId="0" borderId="0" xfId="4"/>
    <xf numFmtId="0" fontId="76" fillId="0" borderId="0" xfId="4" applyFont="1"/>
    <xf numFmtId="0" fontId="77" fillId="0" borderId="0" xfId="4" applyFont="1" applyAlignment="1">
      <alignment horizontal="centerContinuous"/>
    </xf>
    <xf numFmtId="0" fontId="76" fillId="0" borderId="0" xfId="4" applyFont="1" applyAlignment="1">
      <alignment horizontal="centerContinuous"/>
    </xf>
    <xf numFmtId="169" fontId="78" fillId="0" borderId="0" xfId="4" applyNumberFormat="1" applyFont="1" applyAlignment="1">
      <alignment horizontal="left" indent="1"/>
    </xf>
    <xf numFmtId="0" fontId="78" fillId="0" borderId="0" xfId="4" applyFont="1" applyAlignment="1">
      <alignment horizontal="left"/>
    </xf>
    <xf numFmtId="0" fontId="21" fillId="0" borderId="0" xfId="4" applyAlignment="1">
      <alignment vertical="top"/>
    </xf>
    <xf numFmtId="0" fontId="80" fillId="0" borderId="0" xfId="4" applyFont="1"/>
    <xf numFmtId="0" fontId="78" fillId="0" borderId="0" xfId="4" applyFont="1" applyAlignment="1">
      <alignment horizontal="left" vertical="center"/>
    </xf>
    <xf numFmtId="0" fontId="76" fillId="0" borderId="0" xfId="4" applyFont="1" applyAlignment="1">
      <alignment horizontal="left" vertical="center"/>
    </xf>
    <xf numFmtId="0" fontId="81" fillId="0" borderId="0" xfId="4" applyFont="1" applyAlignment="1">
      <alignment horizontal="left" vertical="center"/>
    </xf>
    <xf numFmtId="0" fontId="81" fillId="0" borderId="0" xfId="4" applyFont="1" applyAlignment="1">
      <alignment vertical="center"/>
    </xf>
    <xf numFmtId="0" fontId="82" fillId="0" borderId="0" xfId="4" applyFont="1" applyAlignment="1">
      <alignment vertical="center"/>
    </xf>
    <xf numFmtId="0" fontId="83" fillId="0" borderId="0" xfId="4" applyFont="1" applyAlignment="1">
      <alignment vertical="center"/>
    </xf>
    <xf numFmtId="0" fontId="84" fillId="0" borderId="0" xfId="4" applyFont="1" applyAlignment="1">
      <alignment horizontal="left" vertical="center"/>
    </xf>
    <xf numFmtId="0" fontId="78" fillId="0" borderId="0" xfId="4" applyFont="1" applyAlignment="1">
      <alignment horizontal="center" vertical="center"/>
    </xf>
    <xf numFmtId="0" fontId="83" fillId="0" borderId="0" xfId="4" applyFont="1" applyAlignment="1">
      <alignment horizontal="center" vertical="center"/>
    </xf>
    <xf numFmtId="0" fontId="21" fillId="0" borderId="0" xfId="4" applyAlignment="1">
      <alignment horizontal="justify" vertical="center" wrapText="1"/>
    </xf>
    <xf numFmtId="0" fontId="84" fillId="0" borderId="0" xfId="4" applyFont="1" applyAlignment="1">
      <alignment horizontal="left" vertical="top"/>
    </xf>
    <xf numFmtId="0" fontId="78" fillId="0" borderId="0" xfId="4" applyFont="1" applyAlignment="1">
      <alignment horizontal="center" vertical="top"/>
    </xf>
    <xf numFmtId="0" fontId="83" fillId="0" borderId="0" xfId="4" applyFont="1" applyAlignment="1">
      <alignment horizontal="center" vertical="top"/>
    </xf>
    <xf numFmtId="0" fontId="81" fillId="0" borderId="0" xfId="4" applyFont="1" applyAlignment="1">
      <alignment vertical="top"/>
    </xf>
    <xf numFmtId="0" fontId="76" fillId="0" borderId="0" xfId="4" applyFont="1" applyAlignment="1">
      <alignment horizontal="justify" vertical="center"/>
    </xf>
    <xf numFmtId="0" fontId="87" fillId="0" borderId="0" xfId="4" applyFont="1"/>
    <xf numFmtId="0" fontId="78" fillId="0" borderId="0" xfId="0" applyFont="1" applyAlignment="1">
      <alignment horizontal="left" vertical="center"/>
    </xf>
    <xf numFmtId="0" fontId="78" fillId="0" borderId="0" xfId="0" applyFont="1" applyAlignment="1">
      <alignment horizontal="center" vertical="center"/>
    </xf>
    <xf numFmtId="0" fontId="76" fillId="0" borderId="0" xfId="0" applyFont="1" applyAlignment="1">
      <alignment vertical="top"/>
    </xf>
    <xf numFmtId="0" fontId="76" fillId="0" borderId="0" xfId="0" applyFont="1" applyAlignment="1">
      <alignment vertical="center"/>
    </xf>
    <xf numFmtId="0" fontId="76" fillId="0" borderId="0" xfId="0" applyFont="1" applyAlignment="1">
      <alignment horizontal="justify" vertical="center"/>
    </xf>
    <xf numFmtId="0" fontId="78" fillId="0" borderId="0" xfId="0" applyFont="1" applyAlignment="1">
      <alignment horizontal="justify" vertical="center"/>
    </xf>
    <xf numFmtId="171" fontId="21" fillId="0" borderId="0" xfId="0" applyNumberFormat="1" applyFont="1" applyAlignment="1">
      <alignment horizontal="left" vertical="center"/>
    </xf>
    <xf numFmtId="171" fontId="85" fillId="0" borderId="0" xfId="0" applyNumberFormat="1" applyFont="1" applyAlignment="1">
      <alignment vertical="center" wrapText="1"/>
    </xf>
    <xf numFmtId="168" fontId="88" fillId="0" borderId="0" xfId="0" applyNumberFormat="1" applyFont="1" applyAlignment="1" applyProtection="1">
      <alignment vertical="center"/>
      <protection locked="0"/>
    </xf>
    <xf numFmtId="172" fontId="78" fillId="0" borderId="0" xfId="0" applyNumberFormat="1" applyFont="1" applyAlignment="1">
      <alignment vertical="center"/>
    </xf>
    <xf numFmtId="172" fontId="76" fillId="0" borderId="0" xfId="0" applyNumberFormat="1" applyFont="1" applyAlignment="1">
      <alignment vertical="center"/>
    </xf>
    <xf numFmtId="1" fontId="78" fillId="0" borderId="0" xfId="0" applyNumberFormat="1" applyFont="1" applyAlignment="1">
      <alignment vertical="center"/>
    </xf>
    <xf numFmtId="0" fontId="85" fillId="0" borderId="0" xfId="4" applyFont="1" applyAlignment="1">
      <alignment horizontal="center"/>
    </xf>
    <xf numFmtId="0" fontId="89" fillId="0" borderId="0" xfId="4" applyFont="1"/>
    <xf numFmtId="0" fontId="85" fillId="0" borderId="0" xfId="4" applyFont="1"/>
    <xf numFmtId="0" fontId="90" fillId="0" borderId="0" xfId="4" applyFont="1"/>
    <xf numFmtId="0" fontId="93" fillId="0" borderId="0" xfId="4" applyFont="1" applyAlignment="1">
      <alignment vertical="center"/>
    </xf>
    <xf numFmtId="0" fontId="78" fillId="0" borderId="0" xfId="4" applyFont="1"/>
    <xf numFmtId="0" fontId="32" fillId="0" borderId="0" xfId="4" applyFont="1"/>
    <xf numFmtId="0" fontId="99" fillId="0" borderId="0" xfId="4" applyFont="1"/>
    <xf numFmtId="0" fontId="102" fillId="0" borderId="0" xfId="4" applyFont="1"/>
    <xf numFmtId="0" fontId="103" fillId="6" borderId="57" xfId="4" applyFont="1" applyFill="1" applyBorder="1" applyAlignment="1">
      <alignment vertical="center"/>
    </xf>
    <xf numFmtId="0" fontId="103" fillId="6" borderId="58" xfId="4" applyFont="1" applyFill="1" applyBorder="1" applyAlignment="1">
      <alignment vertical="center"/>
    </xf>
    <xf numFmtId="0" fontId="93" fillId="0" borderId="0" xfId="4" applyFont="1"/>
    <xf numFmtId="0" fontId="93" fillId="37" borderId="0" xfId="4" applyFont="1" applyFill="1"/>
    <xf numFmtId="0" fontId="103" fillId="0" borderId="0" xfId="4" applyFont="1"/>
    <xf numFmtId="4" fontId="104" fillId="0" borderId="0" xfId="4" applyNumberFormat="1" applyFont="1"/>
    <xf numFmtId="4" fontId="103" fillId="0" borderId="0" xfId="4" applyNumberFormat="1" applyFont="1"/>
    <xf numFmtId="4" fontId="87" fillId="0" borderId="0" xfId="4" applyNumberFormat="1" applyFont="1"/>
    <xf numFmtId="0" fontId="85" fillId="0" borderId="0" xfId="4" applyFont="1" applyAlignment="1">
      <alignment vertical="center"/>
    </xf>
    <xf numFmtId="0" fontId="85" fillId="0" borderId="0" xfId="4" applyFont="1" applyAlignment="1">
      <alignment horizontal="justify" vertical="center"/>
    </xf>
    <xf numFmtId="0" fontId="85" fillId="0" borderId="0" xfId="4" quotePrefix="1" applyFont="1" applyAlignment="1">
      <alignment vertical="center"/>
    </xf>
    <xf numFmtId="0" fontId="105" fillId="0" borderId="0" xfId="4" applyFont="1" applyAlignment="1">
      <alignment horizontal="justify" vertical="center"/>
    </xf>
    <xf numFmtId="0" fontId="105" fillId="0" borderId="0" xfId="4" applyFont="1"/>
    <xf numFmtId="0" fontId="85" fillId="0" borderId="0" xfId="4" applyFont="1" applyAlignment="1">
      <alignment vertical="top"/>
    </xf>
    <xf numFmtId="0" fontId="103" fillId="0" borderId="0" xfId="4" applyFont="1" applyAlignment="1">
      <alignment vertical="top"/>
    </xf>
    <xf numFmtId="0" fontId="103" fillId="0" borderId="0" xfId="4" applyFont="1" applyAlignment="1">
      <alignment horizontal="center" vertical="top"/>
    </xf>
    <xf numFmtId="174" fontId="85" fillId="0" borderId="0" xfId="4" applyNumberFormat="1" applyFont="1" applyAlignment="1">
      <alignment horizontal="left" vertical="top"/>
    </xf>
    <xf numFmtId="0" fontId="21" fillId="0" borderId="0" xfId="4" applyAlignment="1">
      <alignment vertical="center"/>
    </xf>
    <xf numFmtId="0" fontId="21" fillId="0" borderId="0" xfId="4" applyAlignment="1">
      <alignment vertical="center" wrapText="1"/>
    </xf>
    <xf numFmtId="174" fontId="85" fillId="0" borderId="0" xfId="4" applyNumberFormat="1" applyFont="1" applyAlignment="1">
      <alignment vertical="top"/>
    </xf>
    <xf numFmtId="49" fontId="85" fillId="13" borderId="0" xfId="4" applyNumberFormat="1" applyFont="1" applyFill="1" applyAlignment="1">
      <alignment vertical="top"/>
    </xf>
    <xf numFmtId="0" fontId="85" fillId="13" borderId="0" xfId="4" applyFont="1" applyFill="1" applyAlignment="1">
      <alignment vertical="top"/>
    </xf>
    <xf numFmtId="174" fontId="85" fillId="13" borderId="0" xfId="4" applyNumberFormat="1" applyFont="1" applyFill="1" applyAlignment="1">
      <alignment horizontal="left" vertical="top"/>
    </xf>
    <xf numFmtId="49" fontId="85" fillId="0" borderId="0" xfId="4" applyNumberFormat="1" applyFont="1" applyAlignment="1">
      <alignment vertical="top"/>
    </xf>
    <xf numFmtId="0" fontId="53" fillId="0" borderId="0" xfId="4" applyFont="1"/>
    <xf numFmtId="0" fontId="106" fillId="0" borderId="0" xfId="4" applyFont="1"/>
    <xf numFmtId="176" fontId="106" fillId="0" borderId="0" xfId="4" applyNumberFormat="1" applyFont="1" applyAlignment="1">
      <alignment horizontal="left"/>
    </xf>
    <xf numFmtId="176" fontId="107" fillId="0" borderId="0" xfId="4" applyNumberFormat="1" applyFont="1" applyAlignment="1">
      <alignment horizontal="left"/>
    </xf>
    <xf numFmtId="0" fontId="21" fillId="13" borderId="0" xfId="0" applyFont="1" applyFill="1"/>
    <xf numFmtId="0" fontId="106" fillId="0" borderId="0" xfId="4" applyFont="1" applyAlignment="1">
      <alignment horizontal="left" vertical="center"/>
    </xf>
    <xf numFmtId="0" fontId="21" fillId="0" borderId="0" xfId="4" applyAlignment="1">
      <alignment horizontal="left" vertical="center"/>
    </xf>
    <xf numFmtId="0" fontId="87" fillId="0" borderId="0" xfId="4" applyFont="1" applyAlignment="1">
      <alignment horizontal="center" vertical="center"/>
    </xf>
    <xf numFmtId="0" fontId="87" fillId="0" borderId="0" xfId="4" applyFont="1" applyAlignment="1">
      <alignment horizontal="left" vertical="center"/>
    </xf>
    <xf numFmtId="0" fontId="106" fillId="0" borderId="0" xfId="4" applyFont="1" applyAlignment="1">
      <alignment vertical="center"/>
    </xf>
    <xf numFmtId="0" fontId="87" fillId="0" borderId="69" xfId="4" applyFont="1" applyBorder="1"/>
    <xf numFmtId="0" fontId="21" fillId="0" borderId="69" xfId="4" applyBorder="1"/>
    <xf numFmtId="0" fontId="87" fillId="0" borderId="69" xfId="4" applyFont="1" applyBorder="1" applyAlignment="1">
      <alignment horizontal="center"/>
    </xf>
    <xf numFmtId="0" fontId="79" fillId="0" borderId="0" xfId="4" applyFont="1"/>
    <xf numFmtId="0" fontId="87" fillId="0" borderId="0" xfId="4" applyFont="1" applyAlignment="1">
      <alignment horizontal="center"/>
    </xf>
    <xf numFmtId="4" fontId="21" fillId="0" borderId="0" xfId="4" applyNumberFormat="1" applyProtection="1">
      <protection locked="0"/>
    </xf>
    <xf numFmtId="4" fontId="21" fillId="0" borderId="0" xfId="4" applyNumberFormat="1" applyAlignment="1" applyProtection="1">
      <alignment horizontal="justify"/>
      <protection locked="0"/>
    </xf>
    <xf numFmtId="0" fontId="21" fillId="0" borderId="0" xfId="4" applyAlignment="1">
      <alignment horizontal="justify" vertical="center"/>
    </xf>
    <xf numFmtId="4" fontId="21" fillId="0" borderId="0" xfId="4" applyNumberFormat="1" applyAlignment="1" applyProtection="1">
      <alignment vertical="center"/>
      <protection locked="0"/>
    </xf>
    <xf numFmtId="4" fontId="21" fillId="0" borderId="0" xfId="4" applyNumberFormat="1" applyAlignment="1" applyProtection="1">
      <alignment horizontal="justify" vertical="center"/>
      <protection locked="0"/>
    </xf>
    <xf numFmtId="0" fontId="21" fillId="0" borderId="0" xfId="4" applyAlignment="1" applyProtection="1">
      <alignment vertical="center" wrapText="1"/>
      <protection locked="0"/>
    </xf>
    <xf numFmtId="0" fontId="21" fillId="0" borderId="0" xfId="4" applyAlignment="1">
      <alignment horizontal="center" vertical="center"/>
    </xf>
    <xf numFmtId="0" fontId="21" fillId="13" borderId="0" xfId="4" applyFill="1" applyAlignment="1">
      <alignment horizontal="justify" vertical="center"/>
    </xf>
    <xf numFmtId="177" fontId="87" fillId="0" borderId="0" xfId="4" applyNumberFormat="1" applyFont="1" applyAlignment="1">
      <alignment horizontal="left"/>
    </xf>
    <xf numFmtId="0" fontId="21" fillId="0" borderId="0" xfId="4" applyAlignment="1">
      <alignment horizontal="left"/>
    </xf>
    <xf numFmtId="0" fontId="108" fillId="0" borderId="0" xfId="4" applyFont="1"/>
    <xf numFmtId="0" fontId="110" fillId="0" borderId="0" xfId="4" applyFont="1"/>
    <xf numFmtId="0" fontId="111" fillId="0" borderId="0" xfId="4" applyFont="1"/>
    <xf numFmtId="0" fontId="21" fillId="13" borderId="0" xfId="4" applyFill="1" applyAlignment="1">
      <alignment vertical="center"/>
    </xf>
    <xf numFmtId="0" fontId="87" fillId="0" borderId="0" xfId="4" applyFont="1" applyAlignment="1">
      <alignment horizontal="justify" vertical="center"/>
    </xf>
    <xf numFmtId="177" fontId="87" fillId="0" borderId="0" xfId="0" applyNumberFormat="1" applyFont="1" applyAlignment="1">
      <alignment horizontal="left"/>
    </xf>
    <xf numFmtId="0" fontId="21" fillId="0" borderId="0" xfId="0" applyFont="1" applyAlignment="1">
      <alignment horizontal="left"/>
    </xf>
    <xf numFmtId="0" fontId="21" fillId="0" borderId="0" xfId="0" applyFont="1" applyAlignment="1">
      <alignment horizontal="justify" vertical="center"/>
    </xf>
    <xf numFmtId="0" fontId="21" fillId="0" borderId="0" xfId="0" applyFont="1"/>
    <xf numFmtId="0" fontId="87" fillId="0" borderId="0" xfId="0" applyFont="1" applyAlignment="1">
      <alignment horizontal="justify" vertical="center"/>
    </xf>
    <xf numFmtId="0" fontId="87" fillId="0" borderId="70" xfId="4" applyFont="1" applyBorder="1" applyAlignment="1">
      <alignment horizontal="justify" vertical="center"/>
    </xf>
    <xf numFmtId="0" fontId="21" fillId="0" borderId="70" xfId="4" applyBorder="1" applyAlignment="1">
      <alignment horizontal="justify" vertical="center"/>
    </xf>
    <xf numFmtId="0" fontId="21" fillId="0" borderId="0" xfId="4" applyAlignment="1">
      <alignment horizontal="center"/>
    </xf>
    <xf numFmtId="0" fontId="76" fillId="0" borderId="0" xfId="0" applyFont="1"/>
    <xf numFmtId="4" fontId="21" fillId="0" borderId="0" xfId="4" applyNumberFormat="1" applyAlignment="1">
      <alignment vertical="center"/>
    </xf>
    <xf numFmtId="177" fontId="87" fillId="13" borderId="0" xfId="4" applyNumberFormat="1" applyFont="1" applyFill="1" applyAlignment="1">
      <alignment horizontal="left"/>
    </xf>
    <xf numFmtId="0" fontId="21" fillId="13" borderId="0" xfId="4" applyFill="1" applyAlignment="1">
      <alignment horizontal="left"/>
    </xf>
    <xf numFmtId="0" fontId="21" fillId="13" borderId="0" xfId="4" applyFill="1"/>
    <xf numFmtId="0" fontId="108" fillId="13" borderId="0" xfId="4" applyFont="1" applyFill="1"/>
    <xf numFmtId="0" fontId="21" fillId="13" borderId="0" xfId="4" applyFill="1" applyAlignment="1">
      <alignment horizontal="center"/>
    </xf>
    <xf numFmtId="0" fontId="87" fillId="13" borderId="0" xfId="4" applyFont="1" applyFill="1"/>
    <xf numFmtId="4" fontId="21" fillId="13" borderId="0" xfId="4" applyNumberFormat="1" applyFill="1" applyAlignment="1">
      <alignment vertical="center"/>
    </xf>
    <xf numFmtId="0" fontId="21" fillId="37" borderId="71" xfId="0" applyFont="1" applyFill="1" applyBorder="1" applyAlignment="1">
      <alignment vertical="center"/>
    </xf>
    <xf numFmtId="0" fontId="113" fillId="37" borderId="72" xfId="4" applyFont="1" applyFill="1" applyBorder="1" applyAlignment="1">
      <alignment vertical="center"/>
    </xf>
    <xf numFmtId="0" fontId="113" fillId="37" borderId="72" xfId="4" applyFont="1" applyFill="1" applyBorder="1" applyAlignment="1">
      <alignment horizontal="center" vertical="center"/>
    </xf>
    <xf numFmtId="0" fontId="87" fillId="37" borderId="72" xfId="4" applyFont="1" applyFill="1" applyBorder="1" applyAlignment="1">
      <alignment vertical="center"/>
    </xf>
    <xf numFmtId="0" fontId="87" fillId="37" borderId="73" xfId="4" applyFont="1" applyFill="1" applyBorder="1" applyAlignment="1">
      <alignment vertical="center"/>
    </xf>
    <xf numFmtId="0" fontId="87" fillId="0" borderId="0" xfId="4" applyFont="1" applyAlignment="1">
      <alignment vertical="center"/>
    </xf>
    <xf numFmtId="0" fontId="21" fillId="37" borderId="71" xfId="4" applyFill="1" applyBorder="1" applyAlignment="1">
      <alignment vertical="center"/>
    </xf>
    <xf numFmtId="0" fontId="87" fillId="37" borderId="72" xfId="4" applyFont="1" applyFill="1" applyBorder="1" applyAlignment="1">
      <alignment horizontal="center" vertical="center"/>
    </xf>
    <xf numFmtId="0" fontId="21" fillId="0" borderId="0" xfId="0" applyFont="1" applyAlignment="1">
      <alignment vertical="center"/>
    </xf>
    <xf numFmtId="0" fontId="21" fillId="32" borderId="0" xfId="0" applyFont="1" applyFill="1" applyAlignment="1">
      <alignment vertical="center"/>
    </xf>
    <xf numFmtId="0" fontId="21" fillId="32" borderId="0" xfId="4" applyFill="1"/>
    <xf numFmtId="0" fontId="21" fillId="32" borderId="0" xfId="4" applyFill="1" applyAlignment="1">
      <alignment horizontal="justify" vertical="center"/>
    </xf>
    <xf numFmtId="0" fontId="21" fillId="32" borderId="0" xfId="4" applyFill="1" applyAlignment="1">
      <alignment vertical="center" wrapText="1"/>
    </xf>
    <xf numFmtId="0" fontId="21" fillId="32" borderId="0" xfId="4" applyFill="1" applyAlignment="1">
      <alignment horizontal="center"/>
    </xf>
    <xf numFmtId="0" fontId="21" fillId="0" borderId="0" xfId="4" applyAlignment="1">
      <alignment horizontal="center" vertical="center" wrapText="1"/>
    </xf>
    <xf numFmtId="0" fontId="115" fillId="13" borderId="0" xfId="4" applyFont="1" applyFill="1"/>
    <xf numFmtId="0" fontId="21" fillId="13" borderId="0" xfId="4" applyFill="1" applyAlignment="1">
      <alignment vertical="center" wrapText="1"/>
    </xf>
    <xf numFmtId="0" fontId="21" fillId="13" borderId="0" xfId="0" applyFont="1" applyFill="1" applyAlignment="1">
      <alignment vertical="center"/>
    </xf>
    <xf numFmtId="0" fontId="21" fillId="13" borderId="0" xfId="4" applyFill="1" applyAlignment="1">
      <alignment horizontal="center" vertical="center"/>
    </xf>
    <xf numFmtId="0" fontId="21" fillId="0" borderId="0" xfId="4" applyAlignment="1">
      <alignment horizontal="justify" wrapText="1"/>
    </xf>
    <xf numFmtId="0" fontId="21" fillId="0" borderId="0" xfId="4" applyAlignment="1">
      <alignment horizontal="justify"/>
    </xf>
    <xf numFmtId="4" fontId="21" fillId="0" borderId="0" xfId="4" applyNumberFormat="1"/>
    <xf numFmtId="0" fontId="103" fillId="0" borderId="0" xfId="4" applyFont="1" applyAlignment="1">
      <alignment vertical="center" wrapText="1"/>
    </xf>
    <xf numFmtId="179" fontId="21" fillId="0" borderId="80" xfId="4" applyNumberFormat="1" applyBorder="1" applyAlignment="1">
      <alignment vertical="center"/>
    </xf>
    <xf numFmtId="179" fontId="118" fillId="0" borderId="80" xfId="4" applyNumberFormat="1" applyFont="1" applyBorder="1" applyAlignment="1">
      <alignment vertical="center"/>
    </xf>
    <xf numFmtId="41" fontId="21" fillId="0" borderId="80" xfId="4" applyNumberFormat="1" applyBorder="1" applyAlignment="1">
      <alignment vertical="center"/>
    </xf>
    <xf numFmtId="0" fontId="21" fillId="0" borderId="81" xfId="4" applyBorder="1" applyAlignment="1">
      <alignment vertical="center"/>
    </xf>
    <xf numFmtId="0" fontId="87" fillId="37" borderId="82" xfId="4" applyFont="1" applyFill="1" applyBorder="1" applyAlignment="1">
      <alignment vertical="center"/>
    </xf>
    <xf numFmtId="0" fontId="87" fillId="37" borderId="83" xfId="4" applyFont="1" applyFill="1" applyBorder="1" applyAlignment="1">
      <alignment vertical="center"/>
    </xf>
    <xf numFmtId="179" fontId="87" fillId="37" borderId="83" xfId="4" applyNumberFormat="1" applyFont="1" applyFill="1" applyBorder="1" applyAlignment="1">
      <alignment vertical="center"/>
    </xf>
    <xf numFmtId="179" fontId="120" fillId="37" borderId="83" xfId="4" applyNumberFormat="1" applyFont="1" applyFill="1" applyBorder="1" applyAlignment="1">
      <alignment vertical="center"/>
    </xf>
    <xf numFmtId="41" fontId="87" fillId="37" borderId="83" xfId="4" applyNumberFormat="1" applyFont="1" applyFill="1" applyBorder="1" applyAlignment="1">
      <alignment vertical="center"/>
    </xf>
    <xf numFmtId="0" fontId="87" fillId="37" borderId="84" xfId="4" applyFont="1" applyFill="1" applyBorder="1" applyAlignment="1">
      <alignment vertical="center"/>
    </xf>
    <xf numFmtId="179" fontId="21" fillId="0" borderId="88" xfId="4" applyNumberFormat="1" applyBorder="1" applyAlignment="1">
      <alignment vertical="center"/>
    </xf>
    <xf numFmtId="179" fontId="118" fillId="0" borderId="87" xfId="4" applyNumberFormat="1" applyFont="1" applyBorder="1" applyAlignment="1">
      <alignment vertical="center"/>
    </xf>
    <xf numFmtId="0" fontId="21" fillId="0" borderId="90" xfId="4" applyBorder="1" applyAlignment="1">
      <alignment vertical="center"/>
    </xf>
    <xf numFmtId="179" fontId="21" fillId="0" borderId="83" xfId="4" applyNumberFormat="1" applyBorder="1" applyAlignment="1">
      <alignment vertical="center"/>
    </xf>
    <xf numFmtId="179" fontId="21" fillId="0" borderId="91" xfId="4" applyNumberFormat="1" applyBorder="1" applyAlignment="1">
      <alignment vertical="center"/>
    </xf>
    <xf numFmtId="179" fontId="118" fillId="0" borderId="83" xfId="4" applyNumberFormat="1" applyFont="1" applyBorder="1" applyAlignment="1">
      <alignment vertical="center"/>
    </xf>
    <xf numFmtId="179" fontId="118" fillId="0" borderId="91" xfId="4" applyNumberFormat="1" applyFont="1" applyBorder="1" applyAlignment="1">
      <alignment vertical="center"/>
    </xf>
    <xf numFmtId="41" fontId="21" fillId="0" borderId="83" xfId="4" applyNumberFormat="1" applyBorder="1" applyAlignment="1">
      <alignment vertical="center"/>
    </xf>
    <xf numFmtId="0" fontId="21" fillId="0" borderId="84" xfId="4" applyBorder="1" applyAlignment="1">
      <alignment vertical="center"/>
    </xf>
    <xf numFmtId="0" fontId="107" fillId="0" borderId="0" xfId="4" applyFont="1" applyAlignment="1">
      <alignment vertical="center"/>
    </xf>
    <xf numFmtId="180" fontId="87" fillId="0" borderId="0" xfId="4" applyNumberFormat="1" applyFont="1" applyAlignment="1">
      <alignment vertical="center"/>
    </xf>
    <xf numFmtId="180" fontId="21" fillId="0" borderId="0" xfId="4" applyNumberFormat="1" applyAlignment="1">
      <alignment vertical="center"/>
    </xf>
    <xf numFmtId="0" fontId="106" fillId="37" borderId="44" xfId="0" applyFont="1" applyFill="1" applyBorder="1" applyAlignment="1">
      <alignment vertical="center"/>
    </xf>
    <xf numFmtId="0" fontId="106" fillId="37" borderId="45" xfId="0" applyFont="1" applyFill="1" applyBorder="1" applyAlignment="1">
      <alignment vertical="center"/>
    </xf>
    <xf numFmtId="0" fontId="103" fillId="37" borderId="93" xfId="0" applyFont="1" applyFill="1" applyBorder="1" applyAlignment="1">
      <alignment vertical="center" wrapText="1"/>
    </xf>
    <xf numFmtId="0" fontId="106" fillId="37" borderId="47" xfId="0" applyFont="1" applyFill="1" applyBorder="1" applyAlignment="1">
      <alignment vertical="center"/>
    </xf>
    <xf numFmtId="0" fontId="106" fillId="37" borderId="0" xfId="0" applyFont="1" applyFill="1" applyAlignment="1">
      <alignment vertical="center"/>
    </xf>
    <xf numFmtId="0" fontId="110" fillId="0" borderId="44" xfId="0" applyFont="1" applyBorder="1"/>
    <xf numFmtId="0" fontId="0" fillId="0" borderId="45" xfId="0" applyBorder="1"/>
    <xf numFmtId="180" fontId="21" fillId="0" borderId="45" xfId="0" applyNumberFormat="1" applyFont="1" applyBorder="1" applyAlignment="1">
      <alignment vertical="center"/>
    </xf>
    <xf numFmtId="180" fontId="0" fillId="0" borderId="45" xfId="0" applyNumberFormat="1" applyBorder="1" applyAlignment="1">
      <alignment vertical="center"/>
    </xf>
    <xf numFmtId="0" fontId="0" fillId="0" borderId="45" xfId="0" applyBorder="1" applyAlignment="1">
      <alignment vertical="center"/>
    </xf>
    <xf numFmtId="0" fontId="0" fillId="0" borderId="93" xfId="0" applyBorder="1" applyAlignment="1">
      <alignment vertical="center"/>
    </xf>
    <xf numFmtId="0" fontId="106" fillId="37" borderId="102" xfId="0" applyFont="1" applyFill="1" applyBorder="1" applyAlignment="1">
      <alignment vertical="center"/>
    </xf>
    <xf numFmtId="0" fontId="106" fillId="37" borderId="103" xfId="0" applyFont="1" applyFill="1" applyBorder="1" applyAlignment="1">
      <alignment vertical="center"/>
    </xf>
    <xf numFmtId="0" fontId="107" fillId="37" borderId="103" xfId="0" applyFont="1" applyFill="1" applyBorder="1" applyAlignment="1">
      <alignment vertical="center"/>
    </xf>
    <xf numFmtId="0" fontId="21" fillId="0" borderId="77" xfId="0" applyFont="1" applyBorder="1" applyAlignment="1">
      <alignment horizontal="left" vertical="center"/>
    </xf>
    <xf numFmtId="0" fontId="21" fillId="0" borderId="75" xfId="0" applyFont="1" applyBorder="1" applyAlignment="1">
      <alignment horizontal="left" vertical="center"/>
    </xf>
    <xf numFmtId="0" fontId="21" fillId="0" borderId="76" xfId="0" applyFont="1" applyBorder="1" applyAlignment="1">
      <alignment horizontal="left" vertical="center"/>
    </xf>
    <xf numFmtId="0" fontId="21" fillId="0" borderId="79" xfId="0" applyFont="1" applyBorder="1" applyAlignment="1">
      <alignment horizontal="left" vertical="center"/>
    </xf>
    <xf numFmtId="0" fontId="21" fillId="0" borderId="106" xfId="0" applyFont="1" applyBorder="1" applyAlignment="1">
      <alignment horizontal="left" vertical="center"/>
    </xf>
    <xf numFmtId="0" fontId="21" fillId="0" borderId="107" xfId="0" applyFont="1" applyBorder="1" applyAlignment="1">
      <alignment horizontal="left" vertical="center"/>
    </xf>
    <xf numFmtId="0" fontId="21" fillId="0" borderId="6" xfId="0" applyFont="1" applyBorder="1" applyAlignment="1">
      <alignment horizontal="left" vertical="center"/>
    </xf>
    <xf numFmtId="0" fontId="21" fillId="0" borderId="108" xfId="0" applyFont="1" applyBorder="1" applyAlignment="1">
      <alignment horizontal="left" vertical="center"/>
    </xf>
    <xf numFmtId="177" fontId="21" fillId="0" borderId="0" xfId="4" applyNumberFormat="1" applyAlignment="1">
      <alignment horizontal="left"/>
    </xf>
    <xf numFmtId="177" fontId="87" fillId="39" borderId="0" xfId="4" applyNumberFormat="1" applyFont="1" applyFill="1" applyAlignment="1">
      <alignment horizontal="left"/>
    </xf>
    <xf numFmtId="177" fontId="21" fillId="39" borderId="0" xfId="4" applyNumberFormat="1" applyFill="1" applyAlignment="1">
      <alignment horizontal="left"/>
    </xf>
    <xf numFmtId="0" fontId="112" fillId="39" borderId="0" xfId="4" applyFont="1" applyFill="1"/>
    <xf numFmtId="0" fontId="21" fillId="39" borderId="0" xfId="4" applyFill="1"/>
    <xf numFmtId="0" fontId="21" fillId="39" borderId="0" xfId="4" applyFill="1" applyAlignment="1">
      <alignment horizontal="left"/>
    </xf>
    <xf numFmtId="4" fontId="21" fillId="39" borderId="0" xfId="4" applyNumberFormat="1" applyFill="1"/>
    <xf numFmtId="2" fontId="21" fillId="39" borderId="0" xfId="4" applyNumberFormat="1" applyFill="1" applyAlignment="1">
      <alignment horizontal="center"/>
    </xf>
    <xf numFmtId="181" fontId="21" fillId="39" borderId="0" xfId="4" applyNumberFormat="1" applyFill="1" applyAlignment="1">
      <alignment horizontal="right"/>
    </xf>
    <xf numFmtId="0" fontId="21" fillId="39" borderId="0" xfId="4" quotePrefix="1" applyFill="1" applyAlignment="1">
      <alignment horizontal="left"/>
    </xf>
    <xf numFmtId="2" fontId="106" fillId="37" borderId="110" xfId="4" applyNumberFormat="1" applyFont="1" applyFill="1" applyBorder="1" applyAlignment="1">
      <alignment vertical="center"/>
    </xf>
    <xf numFmtId="0" fontId="21" fillId="37" borderId="110" xfId="4" applyFill="1" applyBorder="1" applyAlignment="1">
      <alignment vertical="center"/>
    </xf>
    <xf numFmtId="0" fontId="21" fillId="37" borderId="110" xfId="4" applyFill="1" applyBorder="1" applyAlignment="1">
      <alignment horizontal="left" vertical="center"/>
    </xf>
    <xf numFmtId="2" fontId="21" fillId="37" borderId="110" xfId="4" applyNumberFormat="1" applyFill="1" applyBorder="1" applyAlignment="1">
      <alignment horizontal="center" vertical="center"/>
    </xf>
    <xf numFmtId="181" fontId="21" fillId="37" borderId="110" xfId="4" applyNumberFormat="1" applyFill="1" applyBorder="1" applyAlignment="1">
      <alignment horizontal="right" vertical="center"/>
    </xf>
    <xf numFmtId="0" fontId="21" fillId="37" borderId="110" xfId="4" applyFill="1" applyBorder="1" applyAlignment="1">
      <alignment horizontal="right" vertical="center"/>
    </xf>
    <xf numFmtId="0" fontId="21" fillId="37" borderId="110" xfId="4" quotePrefix="1" applyFill="1" applyBorder="1" applyAlignment="1">
      <alignment horizontal="left" vertical="center"/>
    </xf>
    <xf numFmtId="0" fontId="21" fillId="37" borderId="110" xfId="4" quotePrefix="1" applyFill="1" applyBorder="1" applyAlignment="1">
      <alignment horizontal="center" vertical="center"/>
    </xf>
    <xf numFmtId="0" fontId="21" fillId="13" borderId="0" xfId="4" applyFill="1" applyAlignment="1">
      <alignment horizontal="left" vertical="center"/>
    </xf>
    <xf numFmtId="4" fontId="123" fillId="39" borderId="0" xfId="4" applyNumberFormat="1" applyFont="1" applyFill="1"/>
    <xf numFmtId="0" fontId="21" fillId="39" borderId="0" xfId="4" applyFill="1" applyAlignment="1">
      <alignment wrapText="1"/>
    </xf>
    <xf numFmtId="4" fontId="21" fillId="39" borderId="0" xfId="4" applyNumberFormat="1" applyFill="1" applyAlignment="1">
      <alignment horizontal="right"/>
    </xf>
    <xf numFmtId="4" fontId="87" fillId="39" borderId="0" xfId="4" applyNumberFormat="1" applyFont="1" applyFill="1"/>
    <xf numFmtId="181" fontId="85" fillId="39" borderId="0" xfId="4" applyNumberFormat="1" applyFont="1" applyFill="1" applyAlignment="1">
      <alignment horizontal="right"/>
    </xf>
    <xf numFmtId="0" fontId="85" fillId="39" borderId="0" xfId="4" applyFont="1" applyFill="1" applyAlignment="1">
      <alignment horizontal="right"/>
    </xf>
    <xf numFmtId="0" fontId="85" fillId="39" borderId="0" xfId="4" applyFont="1" applyFill="1"/>
    <xf numFmtId="2" fontId="106" fillId="0" borderId="0" xfId="4" applyNumberFormat="1" applyFont="1" applyAlignment="1">
      <alignment vertical="center"/>
    </xf>
    <xf numFmtId="2" fontId="21" fillId="0" borderId="0" xfId="4" applyNumberFormat="1" applyAlignment="1">
      <alignment horizontal="center" vertical="center"/>
    </xf>
    <xf numFmtId="181" fontId="21" fillId="0" borderId="0" xfId="4" applyNumberFormat="1" applyAlignment="1">
      <alignment horizontal="right" vertical="center"/>
    </xf>
    <xf numFmtId="0" fontId="21" fillId="0" borderId="0" xfId="4" applyAlignment="1">
      <alignment horizontal="right" vertical="center"/>
    </xf>
    <xf numFmtId="0" fontId="21" fillId="0" borderId="0" xfId="4" quotePrefix="1" applyAlignment="1">
      <alignment horizontal="left" vertical="center"/>
    </xf>
    <xf numFmtId="0" fontId="21" fillId="0" borderId="0" xfId="4" quotePrefix="1" applyAlignment="1">
      <alignment horizontal="center" vertical="center"/>
    </xf>
    <xf numFmtId="181" fontId="87" fillId="0" borderId="0" xfId="4" applyNumberFormat="1" applyFont="1" applyAlignment="1">
      <alignment horizontal="right" vertical="center"/>
    </xf>
    <xf numFmtId="177" fontId="87" fillId="40" borderId="0" xfId="4" applyNumberFormat="1" applyFont="1" applyFill="1" applyAlignment="1">
      <alignment horizontal="left"/>
    </xf>
    <xf numFmtId="0" fontId="21" fillId="40" borderId="0" xfId="4" applyFill="1" applyAlignment="1">
      <alignment horizontal="left"/>
    </xf>
    <xf numFmtId="0" fontId="112" fillId="40" borderId="0" xfId="4" applyFont="1" applyFill="1"/>
    <xf numFmtId="0" fontId="21" fillId="40" borderId="0" xfId="4" applyFill="1"/>
    <xf numFmtId="0" fontId="21" fillId="40" borderId="0" xfId="4" applyFill="1" applyAlignment="1">
      <alignment horizontal="left" vertical="center"/>
    </xf>
    <xf numFmtId="4" fontId="21" fillId="40" borderId="0" xfId="4" applyNumberFormat="1" applyFill="1"/>
    <xf numFmtId="2" fontId="21" fillId="40" borderId="0" xfId="4" applyNumberFormat="1" applyFill="1" applyAlignment="1">
      <alignment horizontal="center"/>
    </xf>
    <xf numFmtId="0" fontId="21" fillId="40" borderId="0" xfId="4" quotePrefix="1" applyFill="1" applyAlignment="1">
      <alignment horizontal="left"/>
    </xf>
    <xf numFmtId="4" fontId="21" fillId="40" borderId="0" xfId="4" applyNumberFormat="1" applyFill="1" applyAlignment="1">
      <alignment horizontal="right"/>
    </xf>
    <xf numFmtId="181" fontId="21" fillId="40" borderId="0" xfId="4" applyNumberFormat="1" applyFill="1" applyAlignment="1">
      <alignment horizontal="center"/>
    </xf>
    <xf numFmtId="2" fontId="106" fillId="41" borderId="111" xfId="4" applyNumberFormat="1" applyFont="1" applyFill="1" applyBorder="1"/>
    <xf numFmtId="0" fontId="21" fillId="41" borderId="111" xfId="4" applyFill="1" applyBorder="1"/>
    <xf numFmtId="0" fontId="21" fillId="41" borderId="111" xfId="4" applyFill="1" applyBorder="1" applyAlignment="1">
      <alignment horizontal="left"/>
    </xf>
    <xf numFmtId="2" fontId="21" fillId="41" borderId="111" xfId="4" applyNumberFormat="1" applyFill="1" applyBorder="1" applyAlignment="1">
      <alignment horizontal="center"/>
    </xf>
    <xf numFmtId="181" fontId="21" fillId="41" borderId="111" xfId="4" applyNumberFormat="1" applyFill="1" applyBorder="1" applyAlignment="1">
      <alignment horizontal="right"/>
    </xf>
    <xf numFmtId="0" fontId="21" fillId="41" borderId="111" xfId="4" applyFill="1" applyBorder="1" applyAlignment="1">
      <alignment horizontal="right"/>
    </xf>
    <xf numFmtId="0" fontId="21" fillId="41" borderId="111" xfId="4" quotePrefix="1" applyFill="1" applyBorder="1" applyAlignment="1">
      <alignment horizontal="left"/>
    </xf>
    <xf numFmtId="0" fontId="21" fillId="41" borderId="111" xfId="4" quotePrefix="1" applyFill="1" applyBorder="1" applyAlignment="1">
      <alignment horizontal="center"/>
    </xf>
    <xf numFmtId="181" fontId="21" fillId="0" borderId="0" xfId="4" applyNumberFormat="1" applyAlignment="1">
      <alignment horizontal="center"/>
    </xf>
    <xf numFmtId="0" fontId="21" fillId="0" borderId="0" xfId="4" quotePrefix="1" applyAlignment="1">
      <alignment horizontal="left"/>
    </xf>
    <xf numFmtId="2" fontId="21" fillId="0" borderId="0" xfId="4" applyNumberFormat="1" applyAlignment="1">
      <alignment horizontal="center"/>
    </xf>
    <xf numFmtId="4" fontId="123" fillId="40" borderId="0" xfId="4" applyNumberFormat="1" applyFont="1" applyFill="1"/>
    <xf numFmtId="0" fontId="21" fillId="40" borderId="0" xfId="4" applyFill="1" applyAlignment="1">
      <alignment wrapText="1"/>
    </xf>
    <xf numFmtId="181" fontId="85" fillId="40" borderId="0" xfId="4" applyNumberFormat="1" applyFont="1" applyFill="1" applyAlignment="1">
      <alignment horizontal="right"/>
    </xf>
    <xf numFmtId="0" fontId="85" fillId="40" borderId="0" xfId="4" applyFont="1" applyFill="1" applyAlignment="1">
      <alignment horizontal="right"/>
    </xf>
    <xf numFmtId="0" fontId="85" fillId="40" borderId="0" xfId="4" applyFont="1" applyFill="1"/>
    <xf numFmtId="0" fontId="79" fillId="0" borderId="0" xfId="4" applyFont="1" applyAlignment="1">
      <alignment horizontal="left"/>
    </xf>
    <xf numFmtId="9" fontId="21" fillId="0" borderId="0" xfId="5" applyAlignment="1">
      <alignment horizontal="center" vertical="center"/>
    </xf>
    <xf numFmtId="0" fontId="87" fillId="0" borderId="0" xfId="0" quotePrefix="1" applyFont="1" applyAlignment="1">
      <alignment horizontal="left"/>
    </xf>
    <xf numFmtId="0" fontId="79" fillId="0" borderId="0" xfId="0" applyFont="1" applyAlignment="1">
      <alignment horizontal="left"/>
    </xf>
    <xf numFmtId="0" fontId="21" fillId="0" borderId="0" xfId="0" applyFont="1" applyAlignment="1">
      <alignment horizontal="center" vertical="center"/>
    </xf>
    <xf numFmtId="9" fontId="21" fillId="0" borderId="0" xfId="1" applyFont="1" applyFill="1" applyBorder="1" applyAlignment="1">
      <alignment horizontal="center" vertical="center"/>
    </xf>
    <xf numFmtId="0" fontId="124" fillId="0" borderId="0" xfId="0" applyFont="1" applyAlignment="1">
      <alignment vertical="top"/>
    </xf>
    <xf numFmtId="0" fontId="21" fillId="0" borderId="0" xfId="0" applyFont="1" applyAlignment="1">
      <alignment horizontal="justify" vertical="top" wrapText="1"/>
    </xf>
    <xf numFmtId="0" fontId="21" fillId="0" borderId="0" xfId="0" applyFont="1" applyAlignment="1">
      <alignment horizontal="justify" wrapText="1"/>
    </xf>
    <xf numFmtId="0" fontId="125" fillId="0" borderId="0" xfId="0" applyFont="1"/>
    <xf numFmtId="0" fontId="79" fillId="0" borderId="0" xfId="0" applyFont="1" applyAlignment="1">
      <alignment horizontal="justify"/>
    </xf>
    <xf numFmtId="0" fontId="21" fillId="0" borderId="0" xfId="0" applyFont="1" applyAlignment="1">
      <alignment horizontal="justify"/>
    </xf>
    <xf numFmtId="0" fontId="21" fillId="0" borderId="0" xfId="4" applyAlignment="1">
      <alignment horizontal="justify" vertical="top"/>
    </xf>
    <xf numFmtId="0" fontId="124" fillId="0" borderId="0" xfId="4" applyFont="1" applyAlignment="1">
      <alignment vertical="center"/>
    </xf>
    <xf numFmtId="0" fontId="87" fillId="0" borderId="0" xfId="4" quotePrefix="1" applyFont="1" applyAlignment="1">
      <alignment horizontal="left" vertical="center"/>
    </xf>
    <xf numFmtId="0" fontId="79" fillId="0" borderId="0" xfId="4" applyFont="1" applyAlignment="1">
      <alignment horizontal="left" vertical="center"/>
    </xf>
    <xf numFmtId="0" fontId="21" fillId="0" borderId="0" xfId="4" quotePrefix="1" applyAlignment="1">
      <alignment horizontal="justify" vertical="center"/>
    </xf>
    <xf numFmtId="170" fontId="21" fillId="0" borderId="0" xfId="4" applyNumberFormat="1"/>
    <xf numFmtId="0" fontId="106" fillId="0" borderId="69" xfId="4" applyFont="1" applyBorder="1"/>
    <xf numFmtId="0" fontId="106" fillId="0" borderId="69" xfId="4" applyFont="1" applyBorder="1" applyAlignment="1">
      <alignment horizontal="left"/>
    </xf>
    <xf numFmtId="0" fontId="21" fillId="37" borderId="95" xfId="4" applyFill="1" applyBorder="1"/>
    <xf numFmtId="0" fontId="21" fillId="37" borderId="96" xfId="4" applyFill="1" applyBorder="1"/>
    <xf numFmtId="0" fontId="21" fillId="0" borderId="95" xfId="4" applyBorder="1"/>
    <xf numFmtId="1" fontId="104" fillId="0" borderId="0" xfId="4" applyNumberFormat="1" applyFont="1" applyAlignment="1">
      <alignment horizontal="right" vertical="center"/>
    </xf>
    <xf numFmtId="1" fontId="104" fillId="0" borderId="0" xfId="0" applyNumberFormat="1" applyFont="1" applyAlignment="1">
      <alignment horizontal="right" vertical="center"/>
    </xf>
    <xf numFmtId="1" fontId="105" fillId="0" borderId="0" xfId="4" applyNumberFormat="1" applyFont="1" applyAlignment="1">
      <alignment horizontal="right" vertical="center"/>
    </xf>
    <xf numFmtId="0" fontId="126" fillId="0" borderId="0" xfId="4" applyFont="1" applyAlignment="1">
      <alignment horizontal="left"/>
    </xf>
    <xf numFmtId="0" fontId="21" fillId="0" borderId="0" xfId="4" applyAlignment="1">
      <alignment horizontal="right"/>
    </xf>
    <xf numFmtId="0" fontId="21" fillId="0" borderId="0" xfId="4" quotePrefix="1" applyAlignment="1">
      <alignment horizontal="center"/>
    </xf>
    <xf numFmtId="181" fontId="21" fillId="0" borderId="0" xfId="4" applyNumberFormat="1" applyAlignment="1">
      <alignment horizontal="right"/>
    </xf>
    <xf numFmtId="0" fontId="87" fillId="0" borderId="0" xfId="4" applyFont="1" applyAlignment="1">
      <alignment horizontal="left"/>
    </xf>
    <xf numFmtId="2" fontId="106" fillId="37" borderId="40" xfId="0" applyNumberFormat="1" applyFont="1" applyFill="1" applyBorder="1"/>
    <xf numFmtId="0" fontId="87" fillId="37" borderId="40" xfId="0" applyFont="1" applyFill="1" applyBorder="1"/>
    <xf numFmtId="0" fontId="87" fillId="37" borderId="40" xfId="0" applyFont="1" applyFill="1" applyBorder="1" applyAlignment="1">
      <alignment horizontal="left"/>
    </xf>
    <xf numFmtId="2" fontId="87" fillId="37" borderId="40" xfId="0" applyNumberFormat="1" applyFont="1" applyFill="1" applyBorder="1" applyAlignment="1">
      <alignment horizontal="center"/>
    </xf>
    <xf numFmtId="181" fontId="87" fillId="37" borderId="40" xfId="0" applyNumberFormat="1" applyFont="1" applyFill="1" applyBorder="1" applyAlignment="1">
      <alignment horizontal="right"/>
    </xf>
    <xf numFmtId="0" fontId="106" fillId="37" borderId="40" xfId="0" applyFont="1" applyFill="1" applyBorder="1" applyAlignment="1">
      <alignment horizontal="left"/>
    </xf>
    <xf numFmtId="0" fontId="87" fillId="37" borderId="40" xfId="0" quotePrefix="1" applyFont="1" applyFill="1" applyBorder="1" applyAlignment="1">
      <alignment horizontal="center"/>
    </xf>
    <xf numFmtId="0" fontId="112" fillId="0" borderId="0" xfId="4" applyFont="1"/>
    <xf numFmtId="4" fontId="123" fillId="0" borderId="0" xfId="4" applyNumberFormat="1" applyFont="1"/>
    <xf numFmtId="0" fontId="21" fillId="0" borderId="0" xfId="4" applyAlignment="1">
      <alignment wrapText="1"/>
    </xf>
    <xf numFmtId="4" fontId="21" fillId="0" borderId="0" xfId="4" applyNumberFormat="1" applyAlignment="1">
      <alignment horizontal="right"/>
    </xf>
    <xf numFmtId="181" fontId="85" fillId="0" borderId="0" xfId="4" applyNumberFormat="1" applyFont="1" applyAlignment="1">
      <alignment horizontal="right"/>
    </xf>
    <xf numFmtId="0" fontId="85" fillId="0" borderId="0" xfId="4" applyFont="1" applyAlignment="1">
      <alignment horizontal="right"/>
    </xf>
    <xf numFmtId="0" fontId="53" fillId="40" borderId="0" xfId="4" applyFont="1" applyFill="1"/>
    <xf numFmtId="0" fontId="87" fillId="40" borderId="0" xfId="4" applyFont="1" applyFill="1"/>
    <xf numFmtId="0" fontId="106" fillId="40" borderId="0" xfId="4" applyFont="1" applyFill="1"/>
    <xf numFmtId="176" fontId="106" fillId="40" borderId="0" xfId="4" applyNumberFormat="1" applyFont="1" applyFill="1" applyAlignment="1">
      <alignment horizontal="left"/>
    </xf>
    <xf numFmtId="176" fontId="107" fillId="40" borderId="0" xfId="4" applyNumberFormat="1" applyFont="1" applyFill="1" applyAlignment="1">
      <alignment horizontal="left"/>
    </xf>
    <xf numFmtId="0" fontId="21" fillId="40" borderId="0" xfId="0" applyFont="1" applyFill="1"/>
    <xf numFmtId="177" fontId="127" fillId="0" borderId="0" xfId="0" applyNumberFormat="1" applyFont="1" applyAlignment="1">
      <alignment horizontal="left"/>
    </xf>
    <xf numFmtId="0" fontId="128" fillId="0" borderId="0" xfId="0" applyFont="1" applyAlignment="1">
      <alignment horizontal="left"/>
    </xf>
    <xf numFmtId="0" fontId="129" fillId="0" borderId="0" xfId="0" applyFont="1"/>
    <xf numFmtId="0" fontId="128" fillId="0" borderId="0" xfId="0" applyFont="1"/>
    <xf numFmtId="0" fontId="128" fillId="0" borderId="0" xfId="0" applyFont="1" applyAlignment="1">
      <alignment horizontal="left" vertical="center"/>
    </xf>
    <xf numFmtId="0" fontId="130" fillId="0" borderId="0" xfId="0" quotePrefix="1" applyFont="1"/>
    <xf numFmtId="4" fontId="128" fillId="0" borderId="0" xfId="0" applyNumberFormat="1" applyFont="1"/>
    <xf numFmtId="2" fontId="128" fillId="0" borderId="0" xfId="0" applyNumberFormat="1" applyFont="1" applyAlignment="1">
      <alignment horizontal="center"/>
    </xf>
    <xf numFmtId="181" fontId="128" fillId="0" borderId="0" xfId="0" applyNumberFormat="1" applyFont="1" applyAlignment="1">
      <alignment horizontal="right"/>
    </xf>
    <xf numFmtId="0" fontId="128" fillId="0" borderId="0" xfId="0" quotePrefix="1" applyFont="1" applyAlignment="1">
      <alignment horizontal="left"/>
    </xf>
    <xf numFmtId="0" fontId="128" fillId="0" borderId="0" xfId="0" applyFont="1" applyAlignment="1">
      <alignment horizontal="right"/>
    </xf>
    <xf numFmtId="4" fontId="128" fillId="0" borderId="0" xfId="0" applyNumberFormat="1" applyFont="1" applyAlignment="1">
      <alignment horizontal="right"/>
    </xf>
    <xf numFmtId="181" fontId="128" fillId="0" borderId="0" xfId="0" applyNumberFormat="1" applyFont="1"/>
    <xf numFmtId="181" fontId="128" fillId="0" borderId="15" xfId="0" applyNumberFormat="1" applyFont="1" applyBorder="1"/>
    <xf numFmtId="0" fontId="128" fillId="0" borderId="0" xfId="0" applyFont="1" applyAlignment="1">
      <alignment horizontal="center"/>
    </xf>
    <xf numFmtId="181" fontId="128" fillId="0" borderId="121" xfId="0" applyNumberFormat="1" applyFont="1" applyBorder="1"/>
    <xf numFmtId="0" fontId="78" fillId="0" borderId="69" xfId="4" applyFont="1" applyBorder="1"/>
    <xf numFmtId="0" fontId="133" fillId="0" borderId="69" xfId="4" applyFont="1" applyBorder="1"/>
    <xf numFmtId="0" fontId="133" fillId="0" borderId="0" xfId="4" applyFont="1"/>
    <xf numFmtId="0" fontId="134" fillId="0" borderId="0" xfId="4" applyFont="1"/>
    <xf numFmtId="177" fontId="76" fillId="0" borderId="0" xfId="4" applyNumberFormat="1" applyFont="1"/>
    <xf numFmtId="0" fontId="76" fillId="0" borderId="0" xfId="4" applyFont="1" applyAlignment="1">
      <alignment horizontal="center"/>
    </xf>
    <xf numFmtId="3" fontId="76" fillId="0" borderId="0" xfId="4" applyNumberFormat="1" applyFont="1"/>
    <xf numFmtId="0" fontId="76" fillId="0" borderId="0" xfId="4" applyFont="1" applyAlignment="1">
      <alignment horizontal="right"/>
    </xf>
    <xf numFmtId="181" fontId="76" fillId="0" borderId="0" xfId="4" applyNumberFormat="1" applyFont="1"/>
    <xf numFmtId="2" fontId="76" fillId="0" borderId="0" xfId="4" applyNumberFormat="1" applyFont="1"/>
    <xf numFmtId="0" fontId="80" fillId="0" borderId="6" xfId="4" applyFont="1" applyBorder="1"/>
    <xf numFmtId="2" fontId="78" fillId="0" borderId="0" xfId="4" applyNumberFormat="1" applyFont="1"/>
    <xf numFmtId="0" fontId="78" fillId="0" borderId="0" xfId="4" applyFont="1" applyAlignment="1">
      <alignment vertical="center"/>
    </xf>
    <xf numFmtId="0" fontId="78" fillId="37" borderId="122" xfId="4" applyFont="1" applyFill="1" applyBorder="1" applyAlignment="1">
      <alignment vertical="center"/>
    </xf>
    <xf numFmtId="0" fontId="78" fillId="37" borderId="123" xfId="4" applyFont="1" applyFill="1" applyBorder="1" applyAlignment="1">
      <alignment vertical="center"/>
    </xf>
    <xf numFmtId="0" fontId="78" fillId="37" borderId="123" xfId="4" applyFont="1" applyFill="1" applyBorder="1" applyAlignment="1">
      <alignment horizontal="center" vertical="center"/>
    </xf>
    <xf numFmtId="3" fontId="78" fillId="37" borderId="123" xfId="4" applyNumberFormat="1" applyFont="1" applyFill="1" applyBorder="1" applyAlignment="1">
      <alignment vertical="center"/>
    </xf>
    <xf numFmtId="3" fontId="78" fillId="37" borderId="124" xfId="4" applyNumberFormat="1" applyFont="1" applyFill="1" applyBorder="1" applyAlignment="1">
      <alignment vertical="center"/>
    </xf>
    <xf numFmtId="0" fontId="86" fillId="0" borderId="0" xfId="4" applyFont="1" applyAlignment="1">
      <alignment vertical="center"/>
    </xf>
    <xf numFmtId="0" fontId="78" fillId="0" borderId="0" xfId="4" applyFont="1" applyAlignment="1">
      <alignment horizontal="justify" vertical="center"/>
    </xf>
    <xf numFmtId="0" fontId="78" fillId="0" borderId="125" xfId="4" applyFont="1" applyBorder="1"/>
    <xf numFmtId="0" fontId="76" fillId="0" borderId="125" xfId="4" applyFont="1" applyBorder="1"/>
    <xf numFmtId="0" fontId="78" fillId="0" borderId="126" xfId="4" applyFont="1" applyBorder="1"/>
    <xf numFmtId="0" fontId="76" fillId="0" borderId="126" xfId="4" applyFont="1" applyBorder="1"/>
    <xf numFmtId="4" fontId="76" fillId="0" borderId="126" xfId="4" applyNumberFormat="1" applyFont="1" applyBorder="1"/>
    <xf numFmtId="4" fontId="78" fillId="0" borderId="126" xfId="4" applyNumberFormat="1" applyFont="1" applyBorder="1"/>
    <xf numFmtId="4" fontId="76" fillId="0" borderId="0" xfId="4" applyNumberFormat="1" applyFont="1"/>
    <xf numFmtId="4" fontId="76" fillId="0" borderId="0" xfId="4" applyNumberFormat="1" applyFont="1" applyAlignment="1">
      <alignment horizontal="right"/>
    </xf>
    <xf numFmtId="0" fontId="78" fillId="0" borderId="127" xfId="4" applyFont="1" applyBorder="1"/>
    <xf numFmtId="0" fontId="76" fillId="0" borderId="127" xfId="4" applyFont="1" applyBorder="1"/>
    <xf numFmtId="4" fontId="76" fillId="0" borderId="127" xfId="4" applyNumberFormat="1" applyFont="1" applyBorder="1" applyAlignment="1">
      <alignment horizontal="right"/>
    </xf>
    <xf numFmtId="4" fontId="76" fillId="0" borderId="127" xfId="4" applyNumberFormat="1" applyFont="1" applyBorder="1"/>
    <xf numFmtId="9" fontId="76" fillId="0" borderId="0" xfId="5" applyFont="1" applyAlignment="1">
      <alignment horizontal="center"/>
    </xf>
    <xf numFmtId="0" fontId="78" fillId="16" borderId="128" xfId="4" applyFont="1" applyFill="1" applyBorder="1" applyAlignment="1">
      <alignment vertical="center"/>
    </xf>
    <xf numFmtId="0" fontId="78" fillId="16" borderId="129" xfId="4" applyFont="1" applyFill="1" applyBorder="1" applyAlignment="1">
      <alignment vertical="center"/>
    </xf>
    <xf numFmtId="0" fontId="78" fillId="16" borderId="129" xfId="4" applyFont="1" applyFill="1" applyBorder="1" applyAlignment="1">
      <alignment horizontal="center" vertical="center"/>
    </xf>
    <xf numFmtId="3" fontId="78" fillId="16" borderId="129" xfId="4" applyNumberFormat="1" applyFont="1" applyFill="1" applyBorder="1" applyAlignment="1">
      <alignment vertical="center"/>
    </xf>
    <xf numFmtId="3" fontId="78" fillId="16" borderId="129" xfId="4" quotePrefix="1" applyNumberFormat="1" applyFont="1" applyFill="1" applyBorder="1" applyAlignment="1">
      <alignment vertical="center"/>
    </xf>
    <xf numFmtId="3" fontId="78" fillId="16" borderId="130" xfId="4" applyNumberFormat="1" applyFont="1" applyFill="1" applyBorder="1" applyAlignment="1">
      <alignment vertical="center"/>
    </xf>
    <xf numFmtId="0" fontId="78" fillId="0" borderId="131" xfId="4" applyFont="1" applyBorder="1"/>
    <xf numFmtId="0" fontId="133" fillId="0" borderId="131" xfId="4" applyFont="1" applyBorder="1"/>
    <xf numFmtId="0" fontId="78" fillId="40" borderId="132" xfId="4" applyFont="1" applyFill="1" applyBorder="1" applyAlignment="1">
      <alignment vertical="center"/>
    </xf>
    <xf numFmtId="0" fontId="78" fillId="40" borderId="133" xfId="4" applyFont="1" applyFill="1" applyBorder="1" applyAlignment="1">
      <alignment vertical="center"/>
    </xf>
    <xf numFmtId="0" fontId="78" fillId="40" borderId="133" xfId="4" applyFont="1" applyFill="1" applyBorder="1" applyAlignment="1">
      <alignment horizontal="center" vertical="center"/>
    </xf>
    <xf numFmtId="3" fontId="78" fillId="40" borderId="133" xfId="4" applyNumberFormat="1" applyFont="1" applyFill="1" applyBorder="1" applyAlignment="1">
      <alignment vertical="center"/>
    </xf>
    <xf numFmtId="3" fontId="78" fillId="40" borderId="134" xfId="4" applyNumberFormat="1" applyFont="1" applyFill="1" applyBorder="1" applyAlignment="1">
      <alignment vertical="center"/>
    </xf>
    <xf numFmtId="174" fontId="21" fillId="0" borderId="0" xfId="4" applyNumberFormat="1" applyAlignment="1">
      <alignment horizontal="left"/>
    </xf>
    <xf numFmtId="0" fontId="87" fillId="0" borderId="0" xfId="0" applyFont="1"/>
    <xf numFmtId="0" fontId="21" fillId="0" borderId="0" xfId="0" applyFont="1" applyAlignment="1">
      <alignment horizontal="center"/>
    </xf>
    <xf numFmtId="0" fontId="106" fillId="0" borderId="0" xfId="0" applyFont="1"/>
    <xf numFmtId="176" fontId="106" fillId="0" borderId="0" xfId="0" applyNumberFormat="1" applyFont="1" applyAlignment="1">
      <alignment horizontal="left"/>
    </xf>
    <xf numFmtId="176" fontId="107" fillId="0" borderId="0" xfId="0" applyNumberFormat="1" applyFont="1" applyAlignment="1">
      <alignment horizontal="left"/>
    </xf>
    <xf numFmtId="177" fontId="21" fillId="0" borderId="0" xfId="0" applyNumberFormat="1" applyFont="1" applyAlignment="1">
      <alignment horizontal="left"/>
    </xf>
    <xf numFmtId="0" fontId="126" fillId="0" borderId="0" xfId="0" applyFont="1" applyAlignment="1">
      <alignment horizontal="left"/>
    </xf>
    <xf numFmtId="0" fontId="21" fillId="0" borderId="0" xfId="0" applyFont="1" applyAlignment="1">
      <alignment horizontal="right"/>
    </xf>
    <xf numFmtId="2" fontId="21" fillId="0" borderId="0" xfId="0" applyNumberFormat="1" applyFont="1" applyAlignment="1">
      <alignment horizontal="center"/>
    </xf>
    <xf numFmtId="0" fontId="21" fillId="0" borderId="0" xfId="0" quotePrefix="1" applyFont="1" applyAlignment="1">
      <alignment horizontal="left"/>
    </xf>
    <xf numFmtId="0" fontId="21" fillId="0" borderId="69" xfId="0" applyFont="1" applyBorder="1" applyAlignment="1">
      <alignment horizontal="left"/>
    </xf>
    <xf numFmtId="0" fontId="21" fillId="0" borderId="0" xfId="0" quotePrefix="1" applyFont="1" applyAlignment="1">
      <alignment horizontal="center"/>
    </xf>
    <xf numFmtId="183" fontId="21" fillId="0" borderId="0" xfId="0" applyNumberFormat="1" applyFont="1"/>
    <xf numFmtId="0" fontId="87" fillId="0" borderId="0" xfId="0" applyFont="1" applyAlignment="1">
      <alignment horizontal="left"/>
    </xf>
    <xf numFmtId="2" fontId="106" fillId="37" borderId="135" xfId="0" applyNumberFormat="1" applyFont="1" applyFill="1" applyBorder="1"/>
    <xf numFmtId="0" fontId="87" fillId="37" borderId="135" xfId="0" applyFont="1" applyFill="1" applyBorder="1"/>
    <xf numFmtId="0" fontId="87" fillId="37" borderId="135" xfId="0" applyFont="1" applyFill="1" applyBorder="1" applyAlignment="1">
      <alignment horizontal="left"/>
    </xf>
    <xf numFmtId="2" fontId="87" fillId="37" borderId="135" xfId="0" applyNumberFormat="1" applyFont="1" applyFill="1" applyBorder="1"/>
    <xf numFmtId="181" fontId="87" fillId="37" borderId="135" xfId="0" applyNumberFormat="1" applyFont="1" applyFill="1" applyBorder="1" applyAlignment="1">
      <alignment horizontal="right"/>
    </xf>
    <xf numFmtId="0" fontId="106" fillId="37" borderId="135" xfId="0" applyFont="1" applyFill="1" applyBorder="1" applyAlignment="1">
      <alignment horizontal="left"/>
    </xf>
    <xf numFmtId="0" fontId="87" fillId="37" borderId="135" xfId="0" quotePrefix="1" applyFont="1" applyFill="1" applyBorder="1" applyAlignment="1">
      <alignment horizontal="center"/>
    </xf>
    <xf numFmtId="0" fontId="108" fillId="0" borderId="0" xfId="0" applyFont="1"/>
    <xf numFmtId="0" fontId="112" fillId="0" borderId="0" xfId="0" applyFont="1"/>
    <xf numFmtId="4" fontId="21" fillId="0" borderId="0" xfId="0" applyNumberFormat="1" applyFont="1" applyAlignment="1">
      <alignment horizontal="left"/>
    </xf>
    <xf numFmtId="0" fontId="21" fillId="0" borderId="0" xfId="0" applyFont="1" applyAlignment="1">
      <alignment horizontal="left" vertical="center"/>
    </xf>
    <xf numFmtId="2" fontId="87" fillId="37" borderId="135" xfId="0" applyNumberFormat="1" applyFont="1" applyFill="1" applyBorder="1" applyAlignment="1">
      <alignment vertical="center"/>
    </xf>
    <xf numFmtId="0" fontId="21" fillId="37" borderId="135" xfId="0" applyFont="1" applyFill="1" applyBorder="1" applyAlignment="1">
      <alignment vertical="center"/>
    </xf>
    <xf numFmtId="0" fontId="21" fillId="37" borderId="135" xfId="0" applyFont="1" applyFill="1" applyBorder="1" applyAlignment="1">
      <alignment horizontal="left" vertical="center"/>
    </xf>
    <xf numFmtId="2" fontId="21" fillId="37" borderId="135" xfId="0" applyNumberFormat="1" applyFont="1" applyFill="1" applyBorder="1" applyAlignment="1">
      <alignment horizontal="center" vertical="center"/>
    </xf>
    <xf numFmtId="181" fontId="21" fillId="37" borderId="135" xfId="0" applyNumberFormat="1" applyFont="1" applyFill="1" applyBorder="1" applyAlignment="1">
      <alignment horizontal="right" vertical="center"/>
    </xf>
    <xf numFmtId="0" fontId="21" fillId="37" borderId="135" xfId="0" applyFont="1" applyFill="1" applyBorder="1" applyAlignment="1">
      <alignment horizontal="right" vertical="center"/>
    </xf>
    <xf numFmtId="0" fontId="21" fillId="37" borderId="135" xfId="0" quotePrefix="1" applyFont="1" applyFill="1" applyBorder="1" applyAlignment="1">
      <alignment horizontal="left" vertical="center"/>
    </xf>
    <xf numFmtId="0" fontId="21" fillId="37" borderId="135" xfId="0" quotePrefix="1" applyFont="1" applyFill="1" applyBorder="1" applyAlignment="1">
      <alignment horizontal="center" vertical="center"/>
    </xf>
    <xf numFmtId="184" fontId="21" fillId="0" borderId="0" xfId="4" applyNumberFormat="1"/>
    <xf numFmtId="2" fontId="106" fillId="37" borderId="110" xfId="4" applyNumberFormat="1" applyFont="1" applyFill="1" applyBorder="1"/>
    <xf numFmtId="0" fontId="87" fillId="37" borderId="110" xfId="4" applyFont="1" applyFill="1" applyBorder="1"/>
    <xf numFmtId="2" fontId="87" fillId="37" borderId="110" xfId="4" applyNumberFormat="1" applyFont="1" applyFill="1" applyBorder="1" applyAlignment="1">
      <alignment horizontal="left"/>
    </xf>
    <xf numFmtId="2" fontId="87" fillId="37" borderId="110" xfId="4" applyNumberFormat="1" applyFont="1" applyFill="1" applyBorder="1" applyAlignment="1">
      <alignment horizontal="center"/>
    </xf>
    <xf numFmtId="181" fontId="87" fillId="37" borderId="110" xfId="4" applyNumberFormat="1" applyFont="1" applyFill="1" applyBorder="1" applyAlignment="1">
      <alignment horizontal="right"/>
    </xf>
    <xf numFmtId="0" fontId="106" fillId="37" borderId="110" xfId="4" applyFont="1" applyFill="1" applyBorder="1" applyAlignment="1">
      <alignment horizontal="left"/>
    </xf>
    <xf numFmtId="0" fontId="87" fillId="37" borderId="110" xfId="4" applyFont="1" applyFill="1" applyBorder="1" applyAlignment="1">
      <alignment horizontal="left"/>
    </xf>
    <xf numFmtId="0" fontId="87" fillId="37" borderId="110" xfId="4" quotePrefix="1" applyFont="1" applyFill="1" applyBorder="1" applyAlignment="1">
      <alignment horizontal="center"/>
    </xf>
    <xf numFmtId="2" fontId="108" fillId="0" borderId="0" xfId="4" applyNumberFormat="1" applyFont="1"/>
    <xf numFmtId="2" fontId="112" fillId="0" borderId="0" xfId="4" applyNumberFormat="1" applyFont="1"/>
    <xf numFmtId="185" fontId="128" fillId="0" borderId="0" xfId="0" applyNumberFormat="1" applyFont="1"/>
    <xf numFmtId="184" fontId="21" fillId="0" borderId="0" xfId="0" applyNumberFormat="1" applyFont="1"/>
    <xf numFmtId="0" fontId="52" fillId="44" borderId="0" xfId="4" applyFont="1" applyFill="1"/>
    <xf numFmtId="0" fontId="87" fillId="44" borderId="0" xfId="4" applyFont="1" applyFill="1"/>
    <xf numFmtId="0" fontId="106" fillId="44" borderId="0" xfId="4" applyFont="1" applyFill="1"/>
    <xf numFmtId="0" fontId="87" fillId="44" borderId="0" xfId="4" applyFont="1" applyFill="1" applyAlignment="1">
      <alignment horizontal="left" vertical="center"/>
    </xf>
    <xf numFmtId="176" fontId="106" fillId="44" borderId="0" xfId="4" applyNumberFormat="1" applyFont="1" applyFill="1" applyAlignment="1">
      <alignment horizontal="left"/>
    </xf>
    <xf numFmtId="170" fontId="87" fillId="44" borderId="0" xfId="4" applyNumberFormat="1" applyFont="1" applyFill="1"/>
    <xf numFmtId="4" fontId="21" fillId="0" borderId="69" xfId="4" applyNumberFormat="1" applyBorder="1"/>
    <xf numFmtId="0" fontId="52" fillId="0" borderId="0" xfId="4" applyFont="1"/>
    <xf numFmtId="170" fontId="87" fillId="0" borderId="0" xfId="4" applyNumberFormat="1" applyFont="1"/>
    <xf numFmtId="4" fontId="112" fillId="0" borderId="0" xfId="4" applyNumberFormat="1" applyFont="1"/>
    <xf numFmtId="177" fontId="78" fillId="0" borderId="0" xfId="4" applyNumberFormat="1" applyFont="1"/>
    <xf numFmtId="0" fontId="78" fillId="0" borderId="0" xfId="4" applyFont="1" applyAlignment="1">
      <alignment horizontal="center"/>
    </xf>
    <xf numFmtId="3" fontId="78" fillId="0" borderId="0" xfId="4" applyNumberFormat="1" applyFont="1"/>
    <xf numFmtId="181" fontId="78" fillId="0" borderId="0" xfId="4" applyNumberFormat="1" applyFont="1"/>
    <xf numFmtId="0" fontId="86" fillId="0" borderId="0" xfId="4" applyFont="1"/>
    <xf numFmtId="2" fontId="140" fillId="0" borderId="0" xfId="4" applyNumberFormat="1" applyFont="1"/>
    <xf numFmtId="0" fontId="145" fillId="0" borderId="136" xfId="4" applyFont="1" applyBorder="1" applyAlignment="1">
      <alignment horizontal="left" indent="1"/>
    </xf>
    <xf numFmtId="0" fontId="145" fillId="0" borderId="0" xfId="4" applyFont="1"/>
    <xf numFmtId="189" fontId="145" fillId="0" borderId="0" xfId="4" quotePrefix="1" applyNumberFormat="1" applyFont="1" applyAlignment="1">
      <alignment horizontal="left" indent="1"/>
    </xf>
    <xf numFmtId="189" fontId="145" fillId="0" borderId="0" xfId="4" applyNumberFormat="1" applyFont="1" applyAlignment="1">
      <alignment horizontal="left" indent="1"/>
    </xf>
    <xf numFmtId="189" fontId="145" fillId="0" borderId="0" xfId="4" applyNumberFormat="1" applyFont="1"/>
    <xf numFmtId="189" fontId="145" fillId="0" borderId="80" xfId="4" applyNumberFormat="1" applyFont="1" applyBorder="1"/>
    <xf numFmtId="189" fontId="145" fillId="0" borderId="0" xfId="4" applyNumberFormat="1" applyFont="1" applyAlignment="1">
      <alignment horizontal="right"/>
    </xf>
    <xf numFmtId="0" fontId="145" fillId="0" borderId="0" xfId="4" applyFont="1" applyAlignment="1">
      <alignment horizontal="left" indent="1"/>
    </xf>
    <xf numFmtId="0" fontId="145" fillId="0" borderId="0" xfId="4" applyFont="1" applyAlignment="1">
      <alignment horizontal="center"/>
    </xf>
    <xf numFmtId="0" fontId="145" fillId="0" borderId="75" xfId="4" applyFont="1" applyBorder="1" applyAlignment="1">
      <alignment horizontal="left" indent="1"/>
    </xf>
    <xf numFmtId="190" fontId="145" fillId="0" borderId="0" xfId="4" applyNumberFormat="1" applyFont="1" applyAlignment="1">
      <alignment horizontal="left" indent="1"/>
    </xf>
    <xf numFmtId="190" fontId="145" fillId="0" borderId="0" xfId="4" applyNumberFormat="1" applyFont="1"/>
    <xf numFmtId="0" fontId="147" fillId="0" borderId="0" xfId="4" applyFont="1" applyAlignment="1">
      <alignment vertical="top"/>
    </xf>
    <xf numFmtId="190" fontId="145" fillId="0" borderId="0" xfId="4" applyNumberFormat="1" applyFont="1" applyAlignment="1">
      <alignment vertical="top"/>
    </xf>
    <xf numFmtId="190" fontId="145" fillId="0" borderId="0" xfId="4" applyNumberFormat="1" applyFont="1" applyAlignment="1">
      <alignment vertical="top" wrapText="1"/>
    </xf>
    <xf numFmtId="189" fontId="145" fillId="0" borderId="0" xfId="4" applyNumberFormat="1" applyFont="1" applyAlignment="1">
      <alignment horizontal="right" vertical="center"/>
    </xf>
    <xf numFmtId="189" fontId="145" fillId="0" borderId="0" xfId="4" applyNumberFormat="1" applyFont="1" applyAlignment="1">
      <alignment vertical="center"/>
    </xf>
    <xf numFmtId="0" fontId="145" fillId="0" borderId="0" xfId="4" applyFont="1" applyAlignment="1">
      <alignment horizontal="left" vertical="center"/>
    </xf>
    <xf numFmtId="0" fontId="145" fillId="0" borderId="0" xfId="4" applyFont="1" applyAlignment="1">
      <alignment vertical="center"/>
    </xf>
    <xf numFmtId="0" fontId="149" fillId="13" borderId="18" xfId="0" applyFont="1" applyFill="1" applyBorder="1" applyAlignment="1">
      <alignment horizontal="justify" vertical="center" wrapText="1"/>
    </xf>
    <xf numFmtId="4" fontId="54" fillId="0" borderId="18" xfId="32" applyNumberFormat="1" applyFont="1" applyBorder="1" applyAlignment="1">
      <alignment horizontal="center" vertical="center" wrapText="1"/>
    </xf>
    <xf numFmtId="9" fontId="51" fillId="0" borderId="18" xfId="32" applyNumberFormat="1" applyFont="1" applyBorder="1" applyAlignment="1">
      <alignment horizontal="center" vertical="center" wrapText="1"/>
    </xf>
    <xf numFmtId="4" fontId="54" fillId="35" borderId="18" xfId="0" applyNumberFormat="1" applyFont="1" applyFill="1" applyBorder="1" applyAlignment="1">
      <alignment horizontal="center" vertical="center" wrapText="1"/>
    </xf>
    <xf numFmtId="4" fontId="56" fillId="35" borderId="18" xfId="32" applyNumberFormat="1" applyFont="1" applyFill="1" applyBorder="1" applyAlignment="1">
      <alignment horizontal="center" vertical="center" wrapText="1"/>
    </xf>
    <xf numFmtId="4" fontId="54" fillId="0" borderId="18" xfId="0" applyNumberFormat="1" applyFont="1" applyBorder="1" applyAlignment="1">
      <alignment horizontal="center" vertical="center" wrapText="1"/>
    </xf>
    <xf numFmtId="4" fontId="56" fillId="35" borderId="18" xfId="0" applyNumberFormat="1" applyFont="1" applyFill="1" applyBorder="1" applyAlignment="1">
      <alignment horizontal="center" vertical="center" wrapText="1"/>
    </xf>
    <xf numFmtId="4" fontId="54" fillId="35" borderId="18" xfId="32" applyNumberFormat="1" applyFont="1" applyFill="1" applyBorder="1" applyAlignment="1">
      <alignment horizontal="center" vertical="center" wrapText="1"/>
    </xf>
    <xf numFmtId="4" fontId="0" fillId="0" borderId="0" xfId="0" applyNumberFormat="1"/>
    <xf numFmtId="4" fontId="56" fillId="35" borderId="10" xfId="32" applyNumberFormat="1" applyFont="1" applyFill="1" applyBorder="1" applyAlignment="1">
      <alignment horizontal="center" vertical="center" wrapText="1"/>
    </xf>
    <xf numFmtId="4" fontId="75" fillId="35" borderId="18" xfId="32" applyNumberFormat="1" applyFont="1" applyFill="1" applyBorder="1" applyAlignment="1">
      <alignment horizontal="center" vertical="center" wrapText="1"/>
    </xf>
    <xf numFmtId="4" fontId="51" fillId="35" borderId="18" xfId="32" applyNumberFormat="1" applyFont="1" applyFill="1" applyBorder="1" applyAlignment="1">
      <alignment horizontal="center" vertical="center" wrapText="1"/>
    </xf>
    <xf numFmtId="191" fontId="48" fillId="0" borderId="0" xfId="0" applyNumberFormat="1" applyFont="1" applyAlignment="1">
      <alignment horizontal="center"/>
    </xf>
    <xf numFmtId="0" fontId="85" fillId="0" borderId="18" xfId="0" applyFont="1" applyBorder="1" applyAlignment="1">
      <alignment horizontal="justify" vertical="center" wrapText="1"/>
    </xf>
    <xf numFmtId="4" fontId="54" fillId="0" borderId="18" xfId="32" applyNumberFormat="1" applyFont="1" applyFill="1" applyBorder="1" applyAlignment="1">
      <alignment horizontal="center" vertical="center" wrapText="1"/>
    </xf>
    <xf numFmtId="170" fontId="87" fillId="0" borderId="0" xfId="4" applyNumberFormat="1" applyFont="1" applyAlignment="1">
      <alignment horizontal="left"/>
    </xf>
    <xf numFmtId="0" fontId="66" fillId="13" borderId="18" xfId="0" applyFont="1" applyFill="1" applyBorder="1" applyAlignment="1">
      <alignment horizontal="center" vertical="center" wrapText="1"/>
    </xf>
    <xf numFmtId="2" fontId="67" fillId="0" borderId="18" xfId="0" applyNumberFormat="1" applyFont="1" applyBorder="1" applyAlignment="1">
      <alignment horizontal="center" vertical="center" wrapText="1"/>
    </xf>
    <xf numFmtId="4" fontId="67" fillId="0" borderId="18" xfId="0" applyNumberFormat="1" applyFont="1" applyBorder="1" applyAlignment="1">
      <alignment horizontal="center" vertical="center"/>
    </xf>
    <xf numFmtId="0" fontId="12" fillId="13" borderId="18" xfId="0" applyFont="1" applyFill="1" applyBorder="1" applyAlignment="1">
      <alignment horizontal="center" vertical="center" wrapText="1"/>
    </xf>
    <xf numFmtId="0" fontId="65" fillId="0" borderId="18" xfId="0" applyFont="1" applyBorder="1" applyAlignment="1">
      <alignment horizontal="justify" vertical="center" wrapText="1"/>
    </xf>
    <xf numFmtId="2" fontId="67" fillId="0" borderId="15" xfId="0" applyNumberFormat="1" applyFont="1" applyBorder="1" applyAlignment="1">
      <alignment horizontal="center" vertical="center" wrapText="1"/>
    </xf>
    <xf numFmtId="0" fontId="0" fillId="0" borderId="0" xfId="0" applyAlignment="1">
      <alignment horizontal="left" vertical="center" wrapText="1"/>
    </xf>
    <xf numFmtId="0" fontId="65" fillId="35" borderId="75" xfId="0" applyFont="1" applyFill="1" applyBorder="1" applyAlignment="1">
      <alignment horizontal="center" vertical="center" wrapText="1"/>
    </xf>
    <xf numFmtId="0" fontId="21" fillId="35" borderId="76" xfId="4" applyFill="1" applyBorder="1"/>
    <xf numFmtId="181" fontId="87" fillId="35" borderId="76" xfId="4" applyNumberFormat="1" applyFont="1" applyFill="1" applyBorder="1"/>
    <xf numFmtId="4" fontId="87" fillId="35" borderId="76" xfId="4" applyNumberFormat="1" applyFont="1" applyFill="1" applyBorder="1" applyAlignment="1">
      <alignment horizontal="center"/>
    </xf>
    <xf numFmtId="0" fontId="87" fillId="35" borderId="76" xfId="4" quotePrefix="1" applyFont="1" applyFill="1" applyBorder="1"/>
    <xf numFmtId="0" fontId="21" fillId="35" borderId="79" xfId="4" applyFill="1" applyBorder="1"/>
    <xf numFmtId="0" fontId="21" fillId="37" borderId="0" xfId="4" applyFill="1"/>
    <xf numFmtId="181" fontId="87" fillId="37" borderId="95" xfId="4" applyNumberFormat="1" applyFont="1" applyFill="1" applyBorder="1"/>
    <xf numFmtId="0" fontId="87" fillId="37" borderId="95" xfId="4" quotePrefix="1" applyFont="1" applyFill="1" applyBorder="1"/>
    <xf numFmtId="49" fontId="0" fillId="13" borderId="18" xfId="0" quotePrefix="1" applyNumberFormat="1" applyFill="1" applyBorder="1" applyAlignment="1">
      <alignment horizontal="center" vertical="center"/>
    </xf>
    <xf numFmtId="0" fontId="150" fillId="0" borderId="18" xfId="0" applyFont="1" applyBorder="1" applyAlignment="1">
      <alignment horizontal="center" vertical="center"/>
    </xf>
    <xf numFmtId="49" fontId="0" fillId="13" borderId="18" xfId="0" applyNumberFormat="1" applyFill="1" applyBorder="1" applyAlignment="1">
      <alignment horizontal="center" vertical="center"/>
    </xf>
    <xf numFmtId="191" fontId="35" fillId="34" borderId="33" xfId="0" applyNumberFormat="1" applyFont="1" applyFill="1" applyBorder="1" applyAlignment="1" applyProtection="1">
      <alignment horizontal="center" vertical="center"/>
      <protection locked="0"/>
    </xf>
    <xf numFmtId="0" fontId="30" fillId="34" borderId="18" xfId="0" applyFont="1" applyFill="1" applyBorder="1" applyAlignment="1" applyProtection="1">
      <alignment horizontal="center" vertical="center"/>
      <protection locked="0"/>
    </xf>
    <xf numFmtId="4" fontId="30" fillId="34" borderId="18" xfId="0" applyNumberFormat="1" applyFont="1" applyFill="1" applyBorder="1" applyAlignment="1" applyProtection="1">
      <alignment vertical="center"/>
      <protection locked="0"/>
    </xf>
    <xf numFmtId="4" fontId="30" fillId="34" borderId="22" xfId="0" applyNumberFormat="1" applyFont="1" applyFill="1" applyBorder="1" applyAlignment="1" applyProtection="1">
      <alignment vertical="center"/>
      <protection locked="0"/>
    </xf>
    <xf numFmtId="4" fontId="35" fillId="34" borderId="33" xfId="0" applyNumberFormat="1" applyFont="1" applyFill="1" applyBorder="1" applyAlignment="1" applyProtection="1">
      <alignment vertical="center"/>
      <protection locked="0"/>
    </xf>
    <xf numFmtId="4" fontId="35" fillId="34" borderId="33" xfId="0" applyNumberFormat="1" applyFont="1" applyFill="1" applyBorder="1" applyAlignment="1" applyProtection="1">
      <alignment horizontal="center" vertical="center"/>
      <protection locked="0"/>
    </xf>
    <xf numFmtId="0" fontId="80" fillId="0" borderId="47" xfId="4" applyFont="1" applyBorder="1"/>
    <xf numFmtId="0" fontId="21" fillId="0" borderId="0" xfId="4"/>
    <xf numFmtId="0" fontId="21" fillId="0" borderId="48" xfId="4" applyBorder="1"/>
    <xf numFmtId="0" fontId="21" fillId="0" borderId="47" xfId="4" applyBorder="1"/>
    <xf numFmtId="0" fontId="21" fillId="0" borderId="49" xfId="4" applyBorder="1"/>
    <xf numFmtId="0" fontId="21" fillId="0" borderId="50" xfId="4" applyBorder="1"/>
    <xf numFmtId="0" fontId="21" fillId="0" borderId="51" xfId="4" applyBorder="1"/>
    <xf numFmtId="0" fontId="85" fillId="37" borderId="0" xfId="4" applyFont="1" applyFill="1" applyAlignment="1">
      <alignment horizontal="center"/>
    </xf>
    <xf numFmtId="0" fontId="91" fillId="0" borderId="41" xfId="4" applyFont="1" applyBorder="1" applyAlignment="1">
      <alignment horizontal="center" vertical="center" wrapText="1"/>
    </xf>
    <xf numFmtId="0" fontId="92" fillId="0" borderId="42" xfId="4" applyFont="1" applyBorder="1" applyAlignment="1">
      <alignment horizontal="center" vertical="center" wrapText="1"/>
    </xf>
    <xf numFmtId="0" fontId="92" fillId="0" borderId="52" xfId="4" applyFont="1" applyBorder="1" applyAlignment="1">
      <alignment horizontal="center" vertical="center" wrapText="1"/>
    </xf>
    <xf numFmtId="4" fontId="91" fillId="0" borderId="53" xfId="4" applyNumberFormat="1" applyFont="1" applyBorder="1" applyAlignment="1">
      <alignment horizontal="center" vertical="center" wrapText="1"/>
    </xf>
    <xf numFmtId="0" fontId="92" fillId="0" borderId="53" xfId="4" applyFont="1" applyBorder="1" applyAlignment="1">
      <alignment horizontal="center" vertical="center" wrapText="1"/>
    </xf>
    <xf numFmtId="4" fontId="92" fillId="0" borderId="53" xfId="4" applyNumberFormat="1" applyFont="1" applyBorder="1" applyAlignment="1">
      <alignment horizontal="center" vertical="center" wrapText="1"/>
    </xf>
    <xf numFmtId="0" fontId="78" fillId="0" borderId="0" xfId="4" applyFont="1" applyAlignment="1">
      <alignment horizontal="justify" vertical="center" wrapText="1"/>
    </xf>
    <xf numFmtId="0" fontId="21" fillId="0" borderId="0" xfId="4" applyAlignment="1">
      <alignment horizontal="justify" vertical="center" wrapText="1"/>
    </xf>
    <xf numFmtId="0" fontId="85" fillId="0" borderId="0" xfId="4" applyFont="1" applyAlignment="1">
      <alignment horizontal="justify" vertical="center" wrapText="1"/>
    </xf>
    <xf numFmtId="0" fontId="21" fillId="0" borderId="44" xfId="4" applyBorder="1"/>
    <xf numFmtId="0" fontId="21" fillId="0" borderId="45" xfId="4" applyBorder="1"/>
    <xf numFmtId="0" fontId="21" fillId="0" borderId="46" xfId="4" applyBorder="1"/>
    <xf numFmtId="0" fontId="86" fillId="0" borderId="47" xfId="4" applyFont="1" applyBorder="1"/>
    <xf numFmtId="0" fontId="87" fillId="0" borderId="0" xfId="4" applyFont="1"/>
    <xf numFmtId="0" fontId="87" fillId="0" borderId="48" xfId="4" applyFont="1" applyBorder="1"/>
    <xf numFmtId="0" fontId="87" fillId="0" borderId="47" xfId="4" applyFont="1" applyBorder="1"/>
    <xf numFmtId="170" fontId="78" fillId="0" borderId="0" xfId="4" applyNumberFormat="1" applyFont="1" applyAlignment="1">
      <alignment horizontal="left"/>
    </xf>
    <xf numFmtId="170" fontId="76" fillId="0" borderId="0" xfId="4" applyNumberFormat="1" applyFont="1"/>
    <xf numFmtId="0" fontId="79" fillId="0" borderId="0" xfId="4" applyFont="1" applyAlignment="1">
      <alignment horizontal="center" vertical="top"/>
    </xf>
    <xf numFmtId="0" fontId="21" fillId="0" borderId="0" xfId="4" applyAlignment="1">
      <alignment vertical="top"/>
    </xf>
    <xf numFmtId="0" fontId="78" fillId="0" borderId="0" xfId="4" applyFont="1" applyAlignment="1">
      <alignment horizontal="left" vertical="center" wrapText="1"/>
    </xf>
    <xf numFmtId="0" fontId="21" fillId="0" borderId="0" xfId="4" applyAlignment="1">
      <alignment horizontal="left" vertical="center" wrapText="1"/>
    </xf>
    <xf numFmtId="4" fontId="94" fillId="0" borderId="19" xfId="4" applyNumberFormat="1" applyFont="1" applyBorder="1" applyAlignment="1">
      <alignment horizontal="center" vertical="center"/>
    </xf>
    <xf numFmtId="4" fontId="95" fillId="0" borderId="19" xfId="4" applyNumberFormat="1" applyFont="1" applyBorder="1" applyAlignment="1">
      <alignment horizontal="center" vertical="center"/>
    </xf>
    <xf numFmtId="4" fontId="95" fillId="0" borderId="20" xfId="4" applyNumberFormat="1" applyFont="1" applyBorder="1" applyAlignment="1">
      <alignment horizontal="center" vertical="center"/>
    </xf>
    <xf numFmtId="0" fontId="94" fillId="0" borderId="38" xfId="4" applyFont="1" applyBorder="1" applyAlignment="1">
      <alignment horizontal="justify"/>
    </xf>
    <xf numFmtId="0" fontId="94" fillId="0" borderId="9" xfId="4" applyFont="1" applyBorder="1" applyAlignment="1">
      <alignment horizontal="justify"/>
    </xf>
    <xf numFmtId="0" fontId="94" fillId="0" borderId="10" xfId="4" applyFont="1" applyBorder="1" applyAlignment="1">
      <alignment horizontal="justify"/>
    </xf>
    <xf numFmtId="4" fontId="94" fillId="0" borderId="18" xfId="4" applyNumberFormat="1" applyFont="1" applyBorder="1" applyAlignment="1">
      <alignment horizontal="center" vertical="center"/>
    </xf>
    <xf numFmtId="0" fontId="95" fillId="0" borderId="18" xfId="4" applyFont="1" applyBorder="1" applyAlignment="1">
      <alignment horizontal="center" vertical="center"/>
    </xf>
    <xf numFmtId="4" fontId="94" fillId="0" borderId="8" xfId="4" applyNumberFormat="1" applyFont="1" applyBorder="1" applyAlignment="1">
      <alignment horizontal="center" vertical="center"/>
    </xf>
    <xf numFmtId="0" fontId="95" fillId="0" borderId="9" xfId="4" applyFont="1" applyBorder="1" applyAlignment="1">
      <alignment horizontal="center" vertical="center"/>
    </xf>
    <xf numFmtId="0" fontId="95" fillId="0" borderId="10" xfId="4" applyFont="1" applyBorder="1" applyAlignment="1">
      <alignment horizontal="center" vertical="center"/>
    </xf>
    <xf numFmtId="4" fontId="95" fillId="0" borderId="18" xfId="4" applyNumberFormat="1" applyFont="1" applyBorder="1" applyAlignment="1">
      <alignment horizontal="center" vertical="center"/>
    </xf>
    <xf numFmtId="4" fontId="92" fillId="0" borderId="54" xfId="4" applyNumberFormat="1" applyFont="1" applyBorder="1" applyAlignment="1">
      <alignment horizontal="center" vertical="center" wrapText="1"/>
    </xf>
    <xf numFmtId="0" fontId="91" fillId="0" borderId="38" xfId="4" applyFont="1" applyBorder="1" applyAlignment="1">
      <alignment horizontal="left" vertical="center" wrapText="1"/>
    </xf>
    <xf numFmtId="0" fontId="91" fillId="0" borderId="9" xfId="4" applyFont="1" applyBorder="1" applyAlignment="1">
      <alignment horizontal="left" vertical="center" wrapText="1"/>
    </xf>
    <xf numFmtId="0" fontId="91" fillId="0" borderId="39" xfId="4" applyFont="1" applyBorder="1" applyAlignment="1">
      <alignment horizontal="left" vertical="center" wrapText="1"/>
    </xf>
    <xf numFmtId="0" fontId="91" fillId="38" borderId="57" xfId="4" applyFont="1" applyFill="1" applyBorder="1" applyAlignment="1">
      <alignment horizontal="justify"/>
    </xf>
    <xf numFmtId="0" fontId="91" fillId="38" borderId="58" xfId="4" applyFont="1" applyFill="1" applyBorder="1" applyAlignment="1">
      <alignment horizontal="justify"/>
    </xf>
    <xf numFmtId="0" fontId="91" fillId="38" borderId="59" xfId="4" applyFont="1" applyFill="1" applyBorder="1" applyAlignment="1">
      <alignment horizontal="justify"/>
    </xf>
    <xf numFmtId="4" fontId="91" fillId="38" borderId="60" xfId="4" applyNumberFormat="1" applyFont="1" applyFill="1" applyBorder="1" applyAlignment="1">
      <alignment horizontal="center" vertical="center"/>
    </xf>
    <xf numFmtId="0" fontId="92" fillId="38" borderId="60" xfId="4" applyFont="1" applyFill="1" applyBorder="1" applyAlignment="1">
      <alignment horizontal="center" vertical="center"/>
    </xf>
    <xf numFmtId="4" fontId="91" fillId="38" borderId="61" xfId="4" applyNumberFormat="1" applyFont="1" applyFill="1" applyBorder="1" applyAlignment="1">
      <alignment horizontal="center" vertical="center"/>
    </xf>
    <xf numFmtId="0" fontId="92" fillId="38" borderId="58" xfId="4" applyFont="1" applyFill="1" applyBorder="1" applyAlignment="1">
      <alignment horizontal="center" vertical="center"/>
    </xf>
    <xf numFmtId="0" fontId="92" fillId="38" borderId="59" xfId="4" applyFont="1" applyFill="1" applyBorder="1" applyAlignment="1">
      <alignment horizontal="center" vertical="center"/>
    </xf>
    <xf numFmtId="4" fontId="92" fillId="38" borderId="60" xfId="4" applyNumberFormat="1" applyFont="1" applyFill="1" applyBorder="1" applyAlignment="1">
      <alignment horizontal="center" vertical="center"/>
    </xf>
    <xf numFmtId="0" fontId="94" fillId="0" borderId="55" xfId="4" applyFont="1" applyBorder="1" applyAlignment="1">
      <alignment horizontal="justify"/>
    </xf>
    <xf numFmtId="0" fontId="94" fillId="0" borderId="40" xfId="4" applyFont="1" applyBorder="1" applyAlignment="1">
      <alignment horizontal="justify"/>
    </xf>
    <xf numFmtId="0" fontId="94" fillId="0" borderId="56" xfId="4" applyFont="1" applyBorder="1" applyAlignment="1">
      <alignment horizontal="justify"/>
    </xf>
    <xf numFmtId="4" fontId="97" fillId="0" borderId="18" xfId="4" applyNumberFormat="1" applyFont="1" applyBorder="1" applyAlignment="1">
      <alignment horizontal="center" vertical="center"/>
    </xf>
    <xf numFmtId="4" fontId="32" fillId="0" borderId="18" xfId="4" applyNumberFormat="1" applyFont="1" applyBorder="1" applyAlignment="1">
      <alignment horizontal="center" vertical="center"/>
    </xf>
    <xf numFmtId="4" fontId="97" fillId="0" borderId="19" xfId="4" applyNumberFormat="1" applyFont="1" applyBorder="1" applyAlignment="1">
      <alignment horizontal="center" vertical="center"/>
    </xf>
    <xf numFmtId="4" fontId="32" fillId="0" borderId="19" xfId="4" applyNumberFormat="1" applyFont="1" applyBorder="1" applyAlignment="1">
      <alignment horizontal="center" vertical="center"/>
    </xf>
    <xf numFmtId="4" fontId="32" fillId="0" borderId="20" xfId="4" applyNumberFormat="1" applyFont="1" applyBorder="1" applyAlignment="1">
      <alignment horizontal="center" vertical="center"/>
    </xf>
    <xf numFmtId="0" fontId="97" fillId="0" borderId="24" xfId="4" applyFont="1" applyBorder="1" applyAlignment="1">
      <alignment horizontal="justify"/>
    </xf>
    <xf numFmtId="0" fontId="97" fillId="0" borderId="25" xfId="4" applyFont="1" applyBorder="1" applyAlignment="1">
      <alignment horizontal="justify"/>
    </xf>
    <xf numFmtId="0" fontId="97" fillId="0" borderId="62" xfId="4" applyFont="1" applyBorder="1" applyAlignment="1">
      <alignment horizontal="justify"/>
    </xf>
    <xf numFmtId="0" fontId="32" fillId="0" borderId="18" xfId="4" applyFont="1" applyBorder="1" applyAlignment="1">
      <alignment horizontal="center" vertical="center"/>
    </xf>
    <xf numFmtId="4" fontId="97" fillId="0" borderId="8" xfId="4" applyNumberFormat="1" applyFont="1" applyBorder="1" applyAlignment="1">
      <alignment horizontal="center" vertical="center"/>
    </xf>
    <xf numFmtId="0" fontId="32" fillId="0" borderId="9" xfId="4" applyFont="1" applyBorder="1" applyAlignment="1">
      <alignment horizontal="center" vertical="center"/>
    </xf>
    <xf numFmtId="0" fontId="32" fillId="0" borderId="10" xfId="4" applyFont="1" applyBorder="1" applyAlignment="1">
      <alignment horizontal="center" vertical="center"/>
    </xf>
    <xf numFmtId="0" fontId="97" fillId="0" borderId="38" xfId="4" applyFont="1" applyBorder="1" applyAlignment="1">
      <alignment horizontal="justify"/>
    </xf>
    <xf numFmtId="0" fontId="97" fillId="0" borderId="9" xfId="4" applyFont="1" applyBorder="1" applyAlignment="1">
      <alignment horizontal="justify"/>
    </xf>
    <xf numFmtId="0" fontId="97" fillId="0" borderId="10" xfId="4" applyFont="1" applyBorder="1" applyAlignment="1">
      <alignment horizontal="justify"/>
    </xf>
    <xf numFmtId="0" fontId="96" fillId="0" borderId="38" xfId="4" applyFont="1" applyBorder="1" applyAlignment="1">
      <alignment horizontal="left" vertical="center" wrapText="1"/>
    </xf>
    <xf numFmtId="0" fontId="96" fillId="0" borderId="9" xfId="4" applyFont="1" applyBorder="1" applyAlignment="1">
      <alignment horizontal="left" vertical="center" wrapText="1"/>
    </xf>
    <xf numFmtId="0" fontId="96" fillId="0" borderId="39" xfId="4" applyFont="1" applyBorder="1" applyAlignment="1">
      <alignment horizontal="left" vertical="center" wrapText="1"/>
    </xf>
    <xf numFmtId="4" fontId="100" fillId="0" borderId="19" xfId="4" applyNumberFormat="1" applyFont="1" applyBorder="1" applyAlignment="1">
      <alignment horizontal="center" vertical="center"/>
    </xf>
    <xf numFmtId="4" fontId="101" fillId="0" borderId="19" xfId="4" applyNumberFormat="1" applyFont="1" applyBorder="1" applyAlignment="1">
      <alignment horizontal="center" vertical="center"/>
    </xf>
    <xf numFmtId="4" fontId="101" fillId="0" borderId="20" xfId="4" applyNumberFormat="1" applyFont="1" applyBorder="1" applyAlignment="1">
      <alignment horizontal="center" vertical="center"/>
    </xf>
    <xf numFmtId="0" fontId="100" fillId="0" borderId="38" xfId="4" applyFont="1" applyBorder="1" applyAlignment="1">
      <alignment horizontal="justify"/>
    </xf>
    <xf numFmtId="0" fontId="100" fillId="0" borderId="9" xfId="4" applyFont="1" applyBorder="1" applyAlignment="1">
      <alignment horizontal="justify"/>
    </xf>
    <xf numFmtId="0" fontId="100" fillId="0" borderId="10" xfId="4" applyFont="1" applyBorder="1" applyAlignment="1">
      <alignment horizontal="justify"/>
    </xf>
    <xf numFmtId="4" fontId="100" fillId="0" borderId="18" xfId="4" applyNumberFormat="1" applyFont="1" applyBorder="1" applyAlignment="1">
      <alignment horizontal="center" vertical="center"/>
    </xf>
    <xf numFmtId="0" fontId="101" fillId="0" borderId="18" xfId="4" applyFont="1" applyBorder="1" applyAlignment="1">
      <alignment horizontal="center" vertical="center"/>
    </xf>
    <xf numFmtId="4" fontId="100" fillId="0" borderId="8" xfId="4" applyNumberFormat="1" applyFont="1" applyBorder="1" applyAlignment="1">
      <alignment horizontal="center" vertical="center"/>
    </xf>
    <xf numFmtId="0" fontId="101" fillId="0" borderId="9" xfId="4" applyFont="1" applyBorder="1" applyAlignment="1">
      <alignment horizontal="center" vertical="center"/>
    </xf>
    <xf numFmtId="0" fontId="101" fillId="0" borderId="10" xfId="4" applyFont="1" applyBorder="1" applyAlignment="1">
      <alignment horizontal="center" vertical="center"/>
    </xf>
    <xf numFmtId="4" fontId="101" fillId="0" borderId="18" xfId="4" applyNumberFormat="1" applyFont="1" applyBorder="1" applyAlignment="1">
      <alignment horizontal="center" vertical="center"/>
    </xf>
    <xf numFmtId="4" fontId="96" fillId="39" borderId="63" xfId="4" applyNumberFormat="1" applyFont="1" applyFill="1" applyBorder="1" applyAlignment="1">
      <alignment horizontal="center" vertical="center"/>
    </xf>
    <xf numFmtId="4" fontId="96" fillId="39" borderId="42" xfId="4" applyNumberFormat="1" applyFont="1" applyFill="1" applyBorder="1" applyAlignment="1">
      <alignment horizontal="center" vertical="center"/>
    </xf>
    <xf numFmtId="4" fontId="96" fillId="39" borderId="52" xfId="4" applyNumberFormat="1" applyFont="1" applyFill="1" applyBorder="1" applyAlignment="1">
      <alignment horizontal="center" vertical="center"/>
    </xf>
    <xf numFmtId="0" fontId="98" fillId="0" borderId="38" xfId="4" applyFont="1" applyBorder="1" applyAlignment="1">
      <alignment horizontal="left" vertical="center" wrapText="1"/>
    </xf>
    <xf numFmtId="0" fontId="98" fillId="0" borderId="9" xfId="4" applyFont="1" applyBorder="1" applyAlignment="1">
      <alignment horizontal="left" vertical="center" wrapText="1"/>
    </xf>
    <xf numFmtId="0" fontId="98" fillId="0" borderId="39" xfId="4" applyFont="1" applyBorder="1" applyAlignment="1">
      <alignment horizontal="left" vertical="center" wrapText="1"/>
    </xf>
    <xf numFmtId="0" fontId="96" fillId="39" borderId="41" xfId="4" applyFont="1" applyFill="1" applyBorder="1" applyAlignment="1">
      <alignment horizontal="left" vertical="center" wrapText="1"/>
    </xf>
    <xf numFmtId="0" fontId="96" fillId="39" borderId="42" xfId="4" applyFont="1" applyFill="1" applyBorder="1" applyAlignment="1">
      <alignment horizontal="left" vertical="center" wrapText="1"/>
    </xf>
    <xf numFmtId="0" fontId="96" fillId="39" borderId="52" xfId="4" applyFont="1" applyFill="1" applyBorder="1" applyAlignment="1">
      <alignment horizontal="left" vertical="center" wrapText="1"/>
    </xf>
    <xf numFmtId="4" fontId="103" fillId="6" borderId="60" xfId="4" applyNumberFormat="1" applyFont="1" applyFill="1" applyBorder="1" applyAlignment="1">
      <alignment horizontal="center" vertical="center"/>
    </xf>
    <xf numFmtId="4" fontId="87" fillId="6" borderId="60" xfId="4" applyNumberFormat="1" applyFont="1" applyFill="1" applyBorder="1" applyAlignment="1">
      <alignment horizontal="center" vertical="center"/>
    </xf>
    <xf numFmtId="4" fontId="87" fillId="6" borderId="64" xfId="4" applyNumberFormat="1" applyFont="1" applyFill="1" applyBorder="1" applyAlignment="1">
      <alignment horizontal="center" vertical="center"/>
    </xf>
    <xf numFmtId="4" fontId="104" fillId="6" borderId="60" xfId="4" applyNumberFormat="1" applyFont="1" applyFill="1" applyBorder="1" applyAlignment="1">
      <alignment horizontal="center" vertical="center"/>
    </xf>
    <xf numFmtId="0" fontId="78" fillId="6" borderId="60" xfId="4" applyFont="1" applyFill="1" applyBorder="1" applyAlignment="1">
      <alignment horizontal="center" vertical="center"/>
    </xf>
    <xf numFmtId="4" fontId="103" fillId="6" borderId="61" xfId="4" applyNumberFormat="1" applyFont="1" applyFill="1" applyBorder="1" applyAlignment="1">
      <alignment horizontal="center" vertical="center"/>
    </xf>
    <xf numFmtId="0" fontId="87" fillId="6" borderId="58" xfId="4" applyFont="1" applyFill="1" applyBorder="1" applyAlignment="1">
      <alignment horizontal="center" vertical="center"/>
    </xf>
    <xf numFmtId="0" fontId="87" fillId="6" borderId="59" xfId="4" applyFont="1" applyFill="1" applyBorder="1" applyAlignment="1">
      <alignment horizontal="center" vertical="center"/>
    </xf>
    <xf numFmtId="0" fontId="98" fillId="35" borderId="41" xfId="4" applyFont="1" applyFill="1" applyBorder="1" applyAlignment="1">
      <alignment horizontal="left" vertical="center" wrapText="1"/>
    </xf>
    <xf numFmtId="0" fontId="98" fillId="35" borderId="42" xfId="4" applyFont="1" applyFill="1" applyBorder="1" applyAlignment="1">
      <alignment horizontal="left" vertical="center" wrapText="1"/>
    </xf>
    <xf numFmtId="0" fontId="98" fillId="35" borderId="52" xfId="4" applyFont="1" applyFill="1" applyBorder="1" applyAlignment="1">
      <alignment horizontal="left" vertical="center" wrapText="1"/>
    </xf>
    <xf numFmtId="4" fontId="98" fillId="35" borderId="63" xfId="4" applyNumberFormat="1" applyFont="1" applyFill="1" applyBorder="1" applyAlignment="1">
      <alignment horizontal="center" vertical="center"/>
    </xf>
    <xf numFmtId="4" fontId="98" fillId="35" borderId="42" xfId="4" applyNumberFormat="1" applyFont="1" applyFill="1" applyBorder="1" applyAlignment="1">
      <alignment horizontal="center" vertical="center"/>
    </xf>
    <xf numFmtId="4" fontId="98" fillId="35" borderId="52" xfId="4" applyNumberFormat="1" applyFont="1" applyFill="1" applyBorder="1" applyAlignment="1">
      <alignment horizontal="center" vertical="center"/>
    </xf>
    <xf numFmtId="0" fontId="100" fillId="0" borderId="24" xfId="4" applyFont="1" applyBorder="1" applyAlignment="1">
      <alignment horizontal="justify"/>
    </xf>
    <xf numFmtId="0" fontId="100" fillId="0" borderId="25" xfId="4" applyFont="1" applyBorder="1" applyAlignment="1">
      <alignment horizontal="justify"/>
    </xf>
    <xf numFmtId="0" fontId="100" fillId="0" borderId="62" xfId="4" applyFont="1" applyBorder="1" applyAlignment="1">
      <alignment horizontal="justify"/>
    </xf>
    <xf numFmtId="4" fontId="91" fillId="38" borderId="68" xfId="4" applyNumberFormat="1" applyFont="1" applyFill="1" applyBorder="1" applyAlignment="1">
      <alignment horizontal="center" vertical="center"/>
    </xf>
    <xf numFmtId="4" fontId="91" fillId="38" borderId="66" xfId="4" applyNumberFormat="1" applyFont="1" applyFill="1" applyBorder="1" applyAlignment="1">
      <alignment horizontal="center" vertical="center"/>
    </xf>
    <xf numFmtId="4" fontId="91" fillId="38" borderId="67" xfId="4" applyNumberFormat="1" applyFont="1" applyFill="1" applyBorder="1" applyAlignment="1">
      <alignment horizontal="center" vertical="center"/>
    </xf>
    <xf numFmtId="0" fontId="91" fillId="38" borderId="65" xfId="4" applyFont="1" applyFill="1" applyBorder="1" applyAlignment="1">
      <alignment horizontal="justify"/>
    </xf>
    <xf numFmtId="0" fontId="91" fillId="38" borderId="66" xfId="4" applyFont="1" applyFill="1" applyBorder="1" applyAlignment="1">
      <alignment horizontal="justify"/>
    </xf>
    <xf numFmtId="0" fontId="91" fillId="38" borderId="67" xfId="4" applyFont="1" applyFill="1" applyBorder="1" applyAlignment="1">
      <alignment horizontal="justify"/>
    </xf>
    <xf numFmtId="0" fontId="94" fillId="0" borderId="24" xfId="4" applyFont="1" applyBorder="1" applyAlignment="1">
      <alignment horizontal="justify"/>
    </xf>
    <xf numFmtId="0" fontId="94" fillId="0" borderId="25" xfId="4" applyFont="1" applyBorder="1" applyAlignment="1">
      <alignment horizontal="justify"/>
    </xf>
    <xf numFmtId="0" fontId="94" fillId="0" borderId="62" xfId="4" applyFont="1" applyBorder="1" applyAlignment="1">
      <alignment horizontal="justify"/>
    </xf>
    <xf numFmtId="0" fontId="95" fillId="0" borderId="19" xfId="4" applyFont="1" applyBorder="1" applyAlignment="1">
      <alignment horizontal="center" vertical="center"/>
    </xf>
    <xf numFmtId="0" fontId="96" fillId="39" borderId="65" xfId="4" applyFont="1" applyFill="1" applyBorder="1" applyAlignment="1">
      <alignment horizontal="left" vertical="center" wrapText="1"/>
    </xf>
    <xf numFmtId="0" fontId="96" fillId="39" borderId="66" xfId="4" applyFont="1" applyFill="1" applyBorder="1" applyAlignment="1">
      <alignment horizontal="left" vertical="center" wrapText="1"/>
    </xf>
    <xf numFmtId="0" fontId="96" fillId="39" borderId="67" xfId="4" applyFont="1" applyFill="1" applyBorder="1" applyAlignment="1">
      <alignment horizontal="left" vertical="center" wrapText="1"/>
    </xf>
    <xf numFmtId="4" fontId="96" fillId="39" borderId="68" xfId="4" applyNumberFormat="1" applyFont="1" applyFill="1" applyBorder="1" applyAlignment="1">
      <alignment horizontal="center" vertical="center"/>
    </xf>
    <xf numFmtId="4" fontId="96" fillId="39" borderId="66" xfId="4" applyNumberFormat="1" applyFont="1" applyFill="1" applyBorder="1" applyAlignment="1">
      <alignment horizontal="center" vertical="center"/>
    </xf>
    <xf numFmtId="4" fontId="96" fillId="39" borderId="67" xfId="4" applyNumberFormat="1" applyFont="1" applyFill="1" applyBorder="1" applyAlignment="1">
      <alignment horizontal="center" vertical="center"/>
    </xf>
    <xf numFmtId="4" fontId="100" fillId="0" borderId="36" xfId="4" applyNumberFormat="1" applyFont="1" applyBorder="1" applyAlignment="1">
      <alignment horizontal="center" vertical="center"/>
    </xf>
    <xf numFmtId="0" fontId="101" fillId="0" borderId="6" xfId="4" applyFont="1" applyBorder="1" applyAlignment="1">
      <alignment horizontal="center" vertical="center"/>
    </xf>
    <xf numFmtId="0" fontId="101" fillId="0" borderId="34" xfId="4" applyFont="1" applyBorder="1" applyAlignment="1">
      <alignment horizontal="center" vertical="center"/>
    </xf>
    <xf numFmtId="4" fontId="100" fillId="0" borderId="33" xfId="4" applyNumberFormat="1" applyFont="1" applyBorder="1" applyAlignment="1">
      <alignment horizontal="center" vertical="center"/>
    </xf>
    <xf numFmtId="4" fontId="101" fillId="0" borderId="33" xfId="4" applyNumberFormat="1" applyFont="1" applyBorder="1" applyAlignment="1">
      <alignment horizontal="center" vertical="center"/>
    </xf>
    <xf numFmtId="0" fontId="98" fillId="0" borderId="29" xfId="4" applyFont="1" applyBorder="1" applyAlignment="1">
      <alignment horizontal="left" vertical="center" wrapText="1"/>
    </xf>
    <xf numFmtId="0" fontId="98" fillId="0" borderId="6" xfId="4" applyFont="1" applyBorder="1" applyAlignment="1">
      <alignment horizontal="left" vertical="center" wrapText="1"/>
    </xf>
    <xf numFmtId="0" fontId="98" fillId="0" borderId="7" xfId="4" applyFont="1" applyBorder="1" applyAlignment="1">
      <alignment horizontal="left" vertical="center" wrapText="1"/>
    </xf>
    <xf numFmtId="0" fontId="101" fillId="0" borderId="33" xfId="4" applyFont="1" applyBorder="1" applyAlignment="1">
      <alignment horizontal="center" vertical="center"/>
    </xf>
    <xf numFmtId="0" fontId="103" fillId="0" borderId="0" xfId="4" applyFont="1" applyAlignment="1">
      <alignment horizontal="justify" vertical="center" wrapText="1"/>
    </xf>
    <xf numFmtId="0" fontId="21" fillId="13" borderId="0" xfId="4" applyFill="1" applyAlignment="1">
      <alignment vertical="top"/>
    </xf>
    <xf numFmtId="0" fontId="85" fillId="0" borderId="0" xfId="4" applyFont="1" applyAlignment="1">
      <alignment horizontal="center" vertical="center"/>
    </xf>
    <xf numFmtId="0" fontId="76" fillId="0" borderId="0" xfId="4" applyFont="1" applyAlignment="1">
      <alignment horizontal="left" vertical="center"/>
    </xf>
    <xf numFmtId="175" fontId="21" fillId="0" borderId="0" xfId="4" applyNumberFormat="1" applyAlignment="1">
      <alignment horizontal="center" vertical="center" wrapText="1"/>
    </xf>
    <xf numFmtId="173" fontId="85" fillId="13" borderId="0" xfId="4" applyNumberFormat="1" applyFont="1" applyFill="1" applyAlignment="1">
      <alignment horizontal="center" vertical="center"/>
    </xf>
    <xf numFmtId="0" fontId="85" fillId="0" borderId="0" xfId="4" applyFont="1" applyAlignment="1">
      <alignment horizontal="center" vertical="top"/>
    </xf>
    <xf numFmtId="49" fontId="85" fillId="13" borderId="0" xfId="4" applyNumberFormat="1" applyFont="1" applyFill="1" applyAlignment="1">
      <alignment horizontal="justify" vertical="center" wrapText="1"/>
    </xf>
    <xf numFmtId="0" fontId="85" fillId="13" borderId="0" xfId="4" applyFont="1" applyFill="1" applyAlignment="1">
      <alignment horizontal="justify" vertical="center" wrapText="1"/>
    </xf>
    <xf numFmtId="4" fontId="21" fillId="13" borderId="0" xfId="4" applyNumberFormat="1" applyFill="1" applyAlignment="1" applyProtection="1">
      <alignment horizontal="justify" vertical="center" wrapText="1"/>
      <protection locked="0"/>
    </xf>
    <xf numFmtId="0" fontId="21" fillId="13" borderId="0" xfId="4" applyFill="1" applyAlignment="1">
      <alignment horizontal="justify" vertical="center"/>
    </xf>
    <xf numFmtId="4" fontId="21" fillId="0" borderId="0" xfId="4" applyNumberFormat="1" applyAlignment="1" applyProtection="1">
      <alignment horizontal="justify" vertical="center" wrapText="1"/>
      <protection locked="0"/>
    </xf>
    <xf numFmtId="0" fontId="21" fillId="0" borderId="0" xfId="4" applyAlignment="1">
      <alignment horizontal="justify" vertical="center"/>
    </xf>
    <xf numFmtId="0" fontId="108" fillId="0" borderId="0" xfId="4" applyFont="1" applyAlignment="1">
      <alignment horizontal="left"/>
    </xf>
    <xf numFmtId="177" fontId="87" fillId="0" borderId="0" xfId="4" applyNumberFormat="1" applyFont="1" applyAlignment="1">
      <alignment horizontal="left"/>
    </xf>
    <xf numFmtId="0" fontId="21" fillId="0" borderId="0" xfId="4" applyAlignment="1">
      <alignment horizontal="left"/>
    </xf>
    <xf numFmtId="0" fontId="21" fillId="13" borderId="0" xfId="4" applyFill="1" applyAlignment="1">
      <alignment horizontal="justify" vertical="center" wrapText="1"/>
    </xf>
    <xf numFmtId="0" fontId="21" fillId="13" borderId="0" xfId="4" applyFill="1" applyAlignment="1">
      <alignment vertical="center"/>
    </xf>
    <xf numFmtId="4" fontId="21" fillId="0" borderId="0" xfId="4" applyNumberFormat="1" applyAlignment="1" applyProtection="1">
      <alignment horizontal="left" vertical="center" wrapText="1"/>
      <protection locked="0"/>
    </xf>
    <xf numFmtId="14" fontId="21" fillId="13" borderId="0" xfId="4" applyNumberFormat="1" applyFill="1" applyAlignment="1">
      <alignment horizontal="center" vertical="center"/>
    </xf>
    <xf numFmtId="0" fontId="76" fillId="0" borderId="0" xfId="4" applyFont="1" applyAlignment="1">
      <alignment horizontal="left" vertical="center" wrapText="1"/>
    </xf>
    <xf numFmtId="0" fontId="21" fillId="13" borderId="0" xfId="4" applyFill="1" applyAlignment="1">
      <alignment horizontal="center" vertical="center" wrapText="1"/>
    </xf>
    <xf numFmtId="4" fontId="109" fillId="0" borderId="0" xfId="4" applyNumberFormat="1" applyFont="1" applyAlignment="1" applyProtection="1">
      <alignment horizontal="left" vertical="center" wrapText="1"/>
      <protection locked="0"/>
    </xf>
    <xf numFmtId="0" fontId="21" fillId="13" borderId="0" xfId="4" applyFill="1" applyAlignment="1" applyProtection="1">
      <alignment horizontal="center" vertical="center" wrapText="1"/>
      <protection locked="0"/>
    </xf>
    <xf numFmtId="174" fontId="85" fillId="0" borderId="0" xfId="4" applyNumberFormat="1" applyFont="1" applyAlignment="1">
      <alignment horizontal="left" vertical="top"/>
    </xf>
    <xf numFmtId="170" fontId="106" fillId="32" borderId="0" xfId="4" applyNumberFormat="1" applyFont="1" applyFill="1" applyAlignment="1">
      <alignment horizontal="left"/>
    </xf>
    <xf numFmtId="170" fontId="21" fillId="32" borderId="0" xfId="4" applyNumberFormat="1" applyFill="1" applyAlignment="1">
      <alignment horizontal="left"/>
    </xf>
    <xf numFmtId="0" fontId="108" fillId="13" borderId="0" xfId="0" applyFont="1" applyFill="1" applyAlignment="1">
      <alignment horizontal="center"/>
    </xf>
    <xf numFmtId="0" fontId="21" fillId="13" borderId="0" xfId="0" applyFont="1" applyFill="1"/>
    <xf numFmtId="0" fontId="87" fillId="0" borderId="0" xfId="4" applyFont="1" applyAlignment="1">
      <alignment horizontal="left" vertical="center"/>
    </xf>
    <xf numFmtId="0" fontId="21" fillId="0" borderId="0" xfId="4" applyAlignment="1">
      <alignment horizontal="left" vertical="center"/>
    </xf>
    <xf numFmtId="0" fontId="87" fillId="0" borderId="0" xfId="4" applyFont="1" applyAlignment="1">
      <alignment horizontal="justify" vertical="center" wrapText="1"/>
    </xf>
    <xf numFmtId="174" fontId="21" fillId="0" borderId="0" xfId="4" applyNumberFormat="1" applyAlignment="1">
      <alignment horizontal="left" vertical="center"/>
    </xf>
    <xf numFmtId="0" fontId="21" fillId="0" borderId="0" xfId="4" applyAlignment="1">
      <alignment vertical="center"/>
    </xf>
    <xf numFmtId="0" fontId="79" fillId="0" borderId="0" xfId="0" applyFont="1" applyAlignment="1">
      <alignment horizontal="justify" vertical="center"/>
    </xf>
    <xf numFmtId="0" fontId="21" fillId="0" borderId="0" xfId="0" applyFont="1" applyAlignment="1">
      <alignment horizontal="justify" vertical="center"/>
    </xf>
    <xf numFmtId="2" fontId="21" fillId="0" borderId="0" xfId="0" applyNumberFormat="1" applyFont="1" applyAlignment="1">
      <alignment horizontal="right" vertical="center"/>
    </xf>
    <xf numFmtId="0" fontId="87" fillId="0" borderId="70" xfId="4" applyFont="1" applyBorder="1" applyAlignment="1">
      <alignment horizontal="justify" vertical="center"/>
    </xf>
    <xf numFmtId="2" fontId="87" fillId="0" borderId="70" xfId="4" applyNumberFormat="1" applyFont="1" applyBorder="1" applyAlignment="1">
      <alignment horizontal="right" vertical="center"/>
    </xf>
    <xf numFmtId="0" fontId="112" fillId="0" borderId="0" xfId="0" applyFont="1" applyAlignment="1">
      <alignment horizontal="justify" vertical="center"/>
    </xf>
    <xf numFmtId="0" fontId="79" fillId="0" borderId="0" xfId="4" applyFont="1" applyAlignment="1">
      <alignment horizontal="justify" vertical="center"/>
    </xf>
    <xf numFmtId="0" fontId="21" fillId="0" borderId="65" xfId="4" applyBorder="1" applyAlignment="1">
      <alignment horizontal="center" vertical="center" wrapText="1"/>
    </xf>
    <xf numFmtId="0" fontId="21" fillId="0" borderId="74" xfId="4" applyBorder="1" applyAlignment="1">
      <alignment horizontal="center" vertical="center" wrapText="1"/>
    </xf>
    <xf numFmtId="0" fontId="21" fillId="32" borderId="65" xfId="4" applyFill="1" applyBorder="1" applyAlignment="1">
      <alignment horizontal="center" vertical="center" wrapText="1"/>
    </xf>
    <xf numFmtId="0" fontId="21" fillId="32" borderId="74" xfId="4" applyFill="1" applyBorder="1" applyAlignment="1">
      <alignment horizontal="center" vertical="center" wrapText="1"/>
    </xf>
    <xf numFmtId="0" fontId="21" fillId="13" borderId="65" xfId="4" applyFill="1" applyBorder="1" applyAlignment="1">
      <alignment horizontal="center" vertical="center" wrapText="1"/>
    </xf>
    <xf numFmtId="0" fontId="21" fillId="13" borderId="74" xfId="4" applyFill="1" applyBorder="1" applyAlignment="1">
      <alignment horizontal="center" vertical="center" wrapText="1"/>
    </xf>
    <xf numFmtId="10" fontId="21" fillId="0" borderId="69" xfId="5" applyNumberFormat="1" applyBorder="1" applyAlignment="1">
      <alignment horizontal="center" vertical="center"/>
    </xf>
    <xf numFmtId="4" fontId="87" fillId="37" borderId="72" xfId="4" applyNumberFormat="1" applyFont="1" applyFill="1" applyBorder="1" applyAlignment="1">
      <alignment vertical="center"/>
    </xf>
    <xf numFmtId="0" fontId="87" fillId="37" borderId="72" xfId="4" applyFont="1" applyFill="1" applyBorder="1" applyAlignment="1">
      <alignment vertical="center"/>
    </xf>
    <xf numFmtId="0" fontId="21" fillId="37" borderId="72" xfId="4" applyFill="1" applyBorder="1" applyAlignment="1">
      <alignment vertical="center"/>
    </xf>
    <xf numFmtId="4" fontId="21" fillId="0" borderId="0" xfId="4" applyNumberFormat="1" applyAlignment="1">
      <alignment vertical="center"/>
    </xf>
    <xf numFmtId="178" fontId="21" fillId="13" borderId="69" xfId="5" applyNumberFormat="1" applyFill="1" applyBorder="1" applyAlignment="1">
      <alignment horizontal="center" vertical="center"/>
    </xf>
    <xf numFmtId="0" fontId="111" fillId="0" borderId="0" xfId="4" applyFont="1" applyAlignment="1">
      <alignment horizontal="justify"/>
    </xf>
    <xf numFmtId="0" fontId="111" fillId="0" borderId="0" xfId="4" applyFont="1"/>
    <xf numFmtId="0" fontId="21" fillId="0" borderId="14" xfId="4" applyBorder="1" applyAlignment="1">
      <alignment horizontal="center" vertical="top" wrapText="1"/>
    </xf>
    <xf numFmtId="0" fontId="21" fillId="0" borderId="15" xfId="4" applyBorder="1" applyAlignment="1">
      <alignment horizontal="center" vertical="top" wrapText="1"/>
    </xf>
    <xf numFmtId="0" fontId="21" fillId="0" borderId="16" xfId="4" applyBorder="1" applyAlignment="1">
      <alignment horizontal="center" vertical="top" wrapText="1"/>
    </xf>
    <xf numFmtId="0" fontId="21" fillId="0" borderId="35" xfId="4" applyBorder="1" applyAlignment="1">
      <alignment horizontal="center" vertical="top" wrapText="1"/>
    </xf>
    <xf numFmtId="0" fontId="21" fillId="0" borderId="0" xfId="4" applyAlignment="1">
      <alignment horizontal="center" vertical="top" wrapText="1"/>
    </xf>
    <xf numFmtId="0" fontId="21" fillId="0" borderId="23" xfId="4" applyBorder="1" applyAlignment="1">
      <alignment horizontal="center" vertical="top" wrapText="1"/>
    </xf>
    <xf numFmtId="0" fontId="21" fillId="0" borderId="36" xfId="4" applyBorder="1" applyAlignment="1">
      <alignment horizontal="center" vertical="top" wrapText="1"/>
    </xf>
    <xf numFmtId="0" fontId="21" fillId="0" borderId="6" xfId="4" applyBorder="1" applyAlignment="1">
      <alignment horizontal="center" vertical="top" wrapText="1"/>
    </xf>
    <xf numFmtId="0" fontId="21" fillId="0" borderId="34" xfId="4" applyBorder="1" applyAlignment="1">
      <alignment horizontal="center" vertical="top" wrapText="1"/>
    </xf>
    <xf numFmtId="0" fontId="21" fillId="13" borderId="0" xfId="4" applyFill="1" applyAlignment="1">
      <alignment horizontal="center" vertical="center"/>
    </xf>
    <xf numFmtId="0" fontId="21" fillId="0" borderId="0" xfId="4" applyAlignment="1">
      <alignment horizontal="justify" wrapText="1"/>
    </xf>
    <xf numFmtId="0" fontId="85" fillId="0" borderId="75" xfId="4" applyFont="1" applyBorder="1" applyAlignment="1">
      <alignment horizontal="left" vertical="center"/>
    </xf>
    <xf numFmtId="0" fontId="85" fillId="0" borderId="76" xfId="4" applyFont="1" applyBorder="1" applyAlignment="1">
      <alignment horizontal="left" vertical="center"/>
    </xf>
    <xf numFmtId="0" fontId="85" fillId="0" borderId="79" xfId="4" applyFont="1" applyBorder="1" applyAlignment="1">
      <alignment horizontal="left" vertical="center"/>
    </xf>
    <xf numFmtId="179" fontId="21" fillId="0" borderId="75" xfId="4" applyNumberFormat="1" applyBorder="1" applyAlignment="1">
      <alignment vertical="center"/>
    </xf>
    <xf numFmtId="179" fontId="21" fillId="0" borderId="76" xfId="4" applyNumberFormat="1" applyBorder="1" applyAlignment="1">
      <alignment vertical="center"/>
    </xf>
    <xf numFmtId="179" fontId="118" fillId="0" borderId="75" xfId="4" applyNumberFormat="1" applyFont="1" applyBorder="1" applyAlignment="1">
      <alignment vertical="center"/>
    </xf>
    <xf numFmtId="179" fontId="118" fillId="0" borderId="76" xfId="4" applyNumberFormat="1" applyFont="1" applyBorder="1" applyAlignment="1">
      <alignment vertical="center"/>
    </xf>
    <xf numFmtId="0" fontId="103" fillId="37" borderId="75" xfId="4" applyFont="1" applyFill="1" applyBorder="1" applyAlignment="1">
      <alignment horizontal="center" vertical="center" wrapText="1"/>
    </xf>
    <xf numFmtId="0" fontId="103" fillId="37" borderId="76" xfId="4" applyFont="1" applyFill="1" applyBorder="1" applyAlignment="1">
      <alignment horizontal="center" vertical="center" wrapText="1"/>
    </xf>
    <xf numFmtId="0" fontId="103" fillId="37" borderId="77" xfId="4" applyFont="1" applyFill="1" applyBorder="1" applyAlignment="1">
      <alignment horizontal="center" vertical="center" wrapText="1"/>
    </xf>
    <xf numFmtId="0" fontId="116" fillId="37" borderId="77" xfId="4" applyFont="1" applyFill="1" applyBorder="1" applyAlignment="1">
      <alignment horizontal="center" vertical="center" wrapText="1"/>
    </xf>
    <xf numFmtId="0" fontId="116" fillId="37" borderId="75" xfId="4" applyFont="1" applyFill="1" applyBorder="1" applyAlignment="1">
      <alignment horizontal="center" vertical="center" wrapText="1"/>
    </xf>
    <xf numFmtId="0" fontId="103" fillId="37" borderId="78" xfId="4" applyFont="1" applyFill="1" applyBorder="1" applyAlignment="1">
      <alignment horizontal="center" vertical="center" wrapText="1"/>
    </xf>
    <xf numFmtId="0" fontId="85" fillId="0" borderId="85" xfId="4" applyFont="1" applyBorder="1" applyAlignment="1">
      <alignment horizontal="left" vertical="center"/>
    </xf>
    <xf numFmtId="0" fontId="85" fillId="0" borderId="86" xfId="4" applyFont="1" applyBorder="1" applyAlignment="1">
      <alignment horizontal="left" vertical="center"/>
    </xf>
    <xf numFmtId="0" fontId="85" fillId="0" borderId="87" xfId="4" applyFont="1" applyBorder="1" applyAlignment="1">
      <alignment horizontal="left" vertical="center"/>
    </xf>
    <xf numFmtId="179" fontId="21" fillId="0" borderId="85" xfId="4" applyNumberFormat="1" applyBorder="1" applyAlignment="1">
      <alignment vertical="center"/>
    </xf>
    <xf numFmtId="179" fontId="21" fillId="0" borderId="86" xfId="4" applyNumberFormat="1" applyBorder="1" applyAlignment="1">
      <alignment vertical="center"/>
    </xf>
    <xf numFmtId="179" fontId="118" fillId="0" borderId="89" xfId="4" applyNumberFormat="1" applyFont="1" applyBorder="1" applyAlignment="1">
      <alignment vertical="center"/>
    </xf>
    <xf numFmtId="179" fontId="118" fillId="0" borderId="85" xfId="4" applyNumberFormat="1" applyFont="1" applyBorder="1" applyAlignment="1">
      <alignment vertical="center"/>
    </xf>
    <xf numFmtId="179" fontId="21" fillId="0" borderId="89" xfId="4" applyNumberFormat="1" applyBorder="1" applyAlignment="1">
      <alignment vertical="center"/>
    </xf>
    <xf numFmtId="0" fontId="85" fillId="0" borderId="82" xfId="4" applyFont="1" applyBorder="1" applyAlignment="1">
      <alignment horizontal="left" vertical="center"/>
    </xf>
    <xf numFmtId="0" fontId="85" fillId="0" borderId="83" xfId="4" applyFont="1" applyBorder="1" applyAlignment="1">
      <alignment horizontal="left" vertical="center"/>
    </xf>
    <xf numFmtId="0" fontId="85" fillId="0" borderId="91" xfId="4" applyFont="1" applyBorder="1" applyAlignment="1">
      <alignment horizontal="left" vertical="center"/>
    </xf>
    <xf numFmtId="179" fontId="21" fillId="0" borderId="82" xfId="4" applyNumberFormat="1" applyBorder="1" applyAlignment="1">
      <alignment vertical="center"/>
    </xf>
    <xf numFmtId="179" fontId="21" fillId="0" borderId="83" xfId="4" applyNumberFormat="1" applyBorder="1" applyAlignment="1">
      <alignment vertical="center"/>
    </xf>
    <xf numFmtId="179" fontId="118" fillId="0" borderId="92" xfId="4" applyNumberFormat="1" applyFont="1" applyBorder="1" applyAlignment="1">
      <alignment vertical="center"/>
    </xf>
    <xf numFmtId="179" fontId="118" fillId="0" borderId="82" xfId="4" applyNumberFormat="1" applyFont="1" applyBorder="1" applyAlignment="1">
      <alignment vertical="center"/>
    </xf>
    <xf numFmtId="179" fontId="21" fillId="0" borderId="92" xfId="4" applyNumberFormat="1" applyBorder="1" applyAlignment="1">
      <alignment vertical="center"/>
    </xf>
    <xf numFmtId="179" fontId="87" fillId="37" borderId="82" xfId="4" applyNumberFormat="1" applyFont="1" applyFill="1" applyBorder="1" applyAlignment="1">
      <alignment vertical="center"/>
    </xf>
    <xf numFmtId="179" fontId="87" fillId="37" borderId="83" xfId="4" applyNumberFormat="1" applyFont="1" applyFill="1" applyBorder="1" applyAlignment="1">
      <alignment vertical="center"/>
    </xf>
    <xf numFmtId="179" fontId="120" fillId="37" borderId="82" xfId="4" applyNumberFormat="1" applyFont="1" applyFill="1" applyBorder="1" applyAlignment="1">
      <alignment vertical="center"/>
    </xf>
    <xf numFmtId="179" fontId="120" fillId="37" borderId="83" xfId="4" applyNumberFormat="1" applyFont="1" applyFill="1" applyBorder="1" applyAlignment="1">
      <alignment vertical="center"/>
    </xf>
    <xf numFmtId="180" fontId="21" fillId="0" borderId="44" xfId="0" applyNumberFormat="1" applyFont="1" applyBorder="1" applyAlignment="1">
      <alignment horizontal="center" vertical="center"/>
    </xf>
    <xf numFmtId="180" fontId="0" fillId="0" borderId="45" xfId="0" applyNumberFormat="1" applyBorder="1" applyAlignment="1">
      <alignment horizontal="center" vertical="center"/>
    </xf>
    <xf numFmtId="0" fontId="0" fillId="0" borderId="45" xfId="0" applyBorder="1" applyAlignment="1">
      <alignment vertical="center"/>
    </xf>
    <xf numFmtId="0" fontId="0" fillId="0" borderId="93" xfId="0" applyBorder="1" applyAlignment="1">
      <alignment vertical="center"/>
    </xf>
    <xf numFmtId="180" fontId="21" fillId="0" borderId="100" xfId="0" applyNumberFormat="1" applyFont="1" applyBorder="1" applyAlignment="1">
      <alignment horizontal="center" vertical="center"/>
    </xf>
    <xf numFmtId="180" fontId="0" fillId="0" borderId="98" xfId="0" applyNumberFormat="1" applyBorder="1" applyAlignment="1">
      <alignment horizontal="center" vertical="center"/>
    </xf>
    <xf numFmtId="0" fontId="0" fillId="0" borderId="98" xfId="0" applyBorder="1" applyAlignment="1">
      <alignment vertical="center"/>
    </xf>
    <xf numFmtId="0" fontId="0" fillId="0" borderId="99" xfId="0" applyBorder="1" applyAlignment="1">
      <alignment vertical="center"/>
    </xf>
    <xf numFmtId="180" fontId="76" fillId="0" borderId="45" xfId="0" applyNumberFormat="1" applyFont="1" applyBorder="1" applyAlignment="1">
      <alignment horizontal="center" vertical="center"/>
    </xf>
    <xf numFmtId="0" fontId="76" fillId="0" borderId="45" xfId="0" applyFont="1" applyBorder="1" applyAlignment="1">
      <alignment vertical="center"/>
    </xf>
    <xf numFmtId="0" fontId="76" fillId="0" borderId="46" xfId="0" applyFont="1" applyBorder="1" applyAlignment="1">
      <alignment vertical="center"/>
    </xf>
    <xf numFmtId="180" fontId="76" fillId="0" borderId="98" xfId="0" applyNumberFormat="1" applyFont="1" applyBorder="1" applyAlignment="1">
      <alignment horizontal="center" vertical="center"/>
    </xf>
    <xf numFmtId="0" fontId="76" fillId="0" borderId="98" xfId="0" applyFont="1" applyBorder="1" applyAlignment="1">
      <alignment vertical="center"/>
    </xf>
    <xf numFmtId="0" fontId="76" fillId="0" borderId="101" xfId="0" applyFont="1" applyBorder="1" applyAlignment="1">
      <alignment vertical="center"/>
    </xf>
    <xf numFmtId="0" fontId="21" fillId="0" borderId="100" xfId="0" applyFont="1" applyBorder="1" applyAlignment="1">
      <alignment horizontal="justify" vertical="center"/>
    </xf>
    <xf numFmtId="0" fontId="0" fillId="0" borderId="98" xfId="0" applyBorder="1" applyAlignment="1">
      <alignment horizontal="justify" vertical="center"/>
    </xf>
    <xf numFmtId="0" fontId="0" fillId="0" borderId="99" xfId="0" applyBorder="1" applyAlignment="1">
      <alignment horizontal="justify" vertical="center"/>
    </xf>
    <xf numFmtId="180" fontId="0" fillId="0" borderId="100" xfId="0" applyNumberFormat="1" applyBorder="1" applyAlignment="1">
      <alignment horizontal="center" vertical="center"/>
    </xf>
    <xf numFmtId="0" fontId="21" fillId="0" borderId="100" xfId="0" applyFont="1" applyBorder="1" applyAlignment="1">
      <alignment horizontal="justify" vertical="center" wrapText="1"/>
    </xf>
    <xf numFmtId="0" fontId="21" fillId="0" borderId="94" xfId="0" applyFont="1" applyBorder="1" applyAlignment="1">
      <alignment horizontal="justify" vertical="center"/>
    </xf>
    <xf numFmtId="0" fontId="0" fillId="0" borderId="95" xfId="0" applyBorder="1" applyAlignment="1">
      <alignment horizontal="justify" vertical="center"/>
    </xf>
    <xf numFmtId="0" fontId="0" fillId="0" borderId="96" xfId="0" applyBorder="1" applyAlignment="1">
      <alignment horizontal="justify" vertical="center"/>
    </xf>
    <xf numFmtId="0" fontId="103" fillId="37" borderId="94" xfId="0" applyFont="1" applyFill="1" applyBorder="1" applyAlignment="1">
      <alignment horizontal="center" vertical="center" wrapText="1"/>
    </xf>
    <xf numFmtId="0" fontId="103" fillId="37" borderId="95" xfId="0" applyFont="1" applyFill="1" applyBorder="1" applyAlignment="1">
      <alignment horizontal="center" vertical="center" wrapText="1"/>
    </xf>
    <xf numFmtId="0" fontId="103" fillId="37" borderId="96" xfId="0" applyFont="1" applyFill="1" applyBorder="1" applyAlignment="1">
      <alignment horizontal="center" vertical="center" wrapText="1"/>
    </xf>
    <xf numFmtId="0" fontId="122" fillId="37" borderId="95" xfId="0" applyFont="1" applyFill="1" applyBorder="1" applyAlignment="1">
      <alignment horizontal="center" vertical="center" wrapText="1"/>
    </xf>
    <xf numFmtId="0" fontId="122" fillId="37" borderId="97" xfId="0" applyFont="1" applyFill="1" applyBorder="1" applyAlignment="1">
      <alignment horizontal="center" vertical="center" wrapText="1"/>
    </xf>
    <xf numFmtId="0" fontId="103" fillId="37" borderId="98" xfId="0" applyFont="1" applyFill="1" applyBorder="1" applyAlignment="1">
      <alignment horizontal="center" vertical="center" wrapText="1"/>
    </xf>
    <xf numFmtId="0" fontId="103" fillId="37" borderId="99" xfId="0" applyFont="1" applyFill="1" applyBorder="1" applyAlignment="1">
      <alignment horizontal="center" vertical="center" wrapText="1"/>
    </xf>
    <xf numFmtId="0" fontId="122" fillId="37" borderId="94" xfId="0" applyFont="1" applyFill="1" applyBorder="1" applyAlignment="1">
      <alignment horizontal="center" vertical="center" wrapText="1"/>
    </xf>
    <xf numFmtId="0" fontId="122" fillId="37" borderId="96" xfId="0" applyFont="1" applyFill="1" applyBorder="1" applyAlignment="1">
      <alignment horizontal="center" vertical="center" wrapText="1"/>
    </xf>
    <xf numFmtId="0" fontId="87" fillId="37" borderId="77" xfId="4" applyFont="1" applyFill="1" applyBorder="1" applyAlignment="1">
      <alignment horizontal="center" vertical="center"/>
    </xf>
    <xf numFmtId="0" fontId="87" fillId="37" borderId="77" xfId="4" applyFont="1" applyFill="1" applyBorder="1" applyAlignment="1">
      <alignment horizontal="center" vertical="center" wrapText="1"/>
    </xf>
    <xf numFmtId="0" fontId="87" fillId="37" borderId="78" xfId="4" applyFont="1" applyFill="1" applyBorder="1" applyAlignment="1">
      <alignment horizontal="center" vertical="center"/>
    </xf>
    <xf numFmtId="0" fontId="76" fillId="0" borderId="77" xfId="0" applyFont="1" applyBorder="1" applyAlignment="1">
      <alignment horizontal="left" vertical="center" wrapText="1"/>
    </xf>
    <xf numFmtId="0" fontId="21" fillId="0" borderId="77" xfId="0" applyFont="1" applyBorder="1" applyAlignment="1">
      <alignment horizontal="right" vertical="center"/>
    </xf>
    <xf numFmtId="0" fontId="21" fillId="0" borderId="77" xfId="0" applyFont="1" applyBorder="1" applyAlignment="1">
      <alignment horizontal="center" vertical="center"/>
    </xf>
    <xf numFmtId="9" fontId="21" fillId="0" borderId="77" xfId="1" applyFont="1" applyBorder="1" applyAlignment="1">
      <alignment horizontal="center" vertical="center"/>
    </xf>
    <xf numFmtId="9" fontId="21" fillId="0" borderId="78" xfId="1" applyFont="1" applyBorder="1" applyAlignment="1">
      <alignment horizontal="center" vertical="center"/>
    </xf>
    <xf numFmtId="180" fontId="87" fillId="37" borderId="103" xfId="0" applyNumberFormat="1" applyFont="1" applyFill="1" applyBorder="1" applyAlignment="1">
      <alignment vertical="center"/>
    </xf>
    <xf numFmtId="180" fontId="0" fillId="37" borderId="103" xfId="0" applyNumberFormat="1" applyFill="1" applyBorder="1" applyAlignment="1">
      <alignment vertical="center"/>
    </xf>
    <xf numFmtId="0" fontId="0" fillId="37" borderId="103" xfId="0" applyFill="1" applyBorder="1" applyAlignment="1">
      <alignment vertical="center"/>
    </xf>
    <xf numFmtId="0" fontId="0" fillId="37" borderId="104" xfId="0" applyFill="1" applyBorder="1" applyAlignment="1">
      <alignment vertical="center"/>
    </xf>
    <xf numFmtId="180" fontId="87" fillId="37" borderId="102" xfId="0" applyNumberFormat="1" applyFont="1" applyFill="1" applyBorder="1" applyAlignment="1">
      <alignment vertical="center"/>
    </xf>
    <xf numFmtId="180" fontId="78" fillId="37" borderId="103" xfId="0" applyNumberFormat="1" applyFont="1" applyFill="1" applyBorder="1" applyAlignment="1">
      <alignment vertical="center"/>
    </xf>
    <xf numFmtId="180" fontId="76" fillId="37" borderId="103" xfId="0" applyNumberFormat="1" applyFont="1" applyFill="1" applyBorder="1" applyAlignment="1">
      <alignment vertical="center"/>
    </xf>
    <xf numFmtId="0" fontId="76" fillId="37" borderId="103" xfId="0" applyFont="1" applyFill="1" applyBorder="1" applyAlignment="1">
      <alignment vertical="center"/>
    </xf>
    <xf numFmtId="0" fontId="76" fillId="37" borderId="105" xfId="0" applyFont="1" applyFill="1" applyBorder="1" applyAlignment="1">
      <alignment vertical="center"/>
    </xf>
    <xf numFmtId="0" fontId="21" fillId="0" borderId="0" xfId="4" applyAlignment="1">
      <alignment horizontal="center" wrapText="1"/>
    </xf>
    <xf numFmtId="175" fontId="21" fillId="13" borderId="0" xfId="4" applyNumberFormat="1" applyFill="1" applyAlignment="1">
      <alignment horizontal="center" vertical="center" wrapText="1"/>
    </xf>
    <xf numFmtId="0" fontId="108" fillId="0" borderId="0" xfId="4" applyFont="1" applyAlignment="1">
      <alignment horizontal="justify"/>
    </xf>
    <xf numFmtId="0" fontId="21" fillId="0" borderId="0" xfId="4" applyAlignment="1">
      <alignment horizontal="justify"/>
    </xf>
    <xf numFmtId="0" fontId="21" fillId="13" borderId="0" xfId="4" quotePrefix="1" applyFill="1" applyAlignment="1">
      <alignment horizontal="left" vertical="center" wrapText="1"/>
    </xf>
    <xf numFmtId="0" fontId="21" fillId="13" borderId="0" xfId="4" applyFill="1" applyAlignment="1">
      <alignment horizontal="left" vertical="center" wrapText="1"/>
    </xf>
    <xf numFmtId="0" fontId="76" fillId="0" borderId="106" xfId="0" applyFont="1" applyBorder="1" applyAlignment="1">
      <alignment horizontal="left" vertical="center" wrapText="1"/>
    </xf>
    <xf numFmtId="0" fontId="21" fillId="0" borderId="106" xfId="0" applyFont="1" applyBorder="1" applyAlignment="1">
      <alignment horizontal="right" vertical="center"/>
    </xf>
    <xf numFmtId="0" fontId="21" fillId="0" borderId="106" xfId="0" applyFont="1" applyBorder="1" applyAlignment="1">
      <alignment horizontal="center" vertical="center"/>
    </xf>
    <xf numFmtId="9" fontId="21" fillId="0" borderId="106" xfId="1" applyFont="1" applyBorder="1" applyAlignment="1">
      <alignment horizontal="center" vertical="center"/>
    </xf>
    <xf numFmtId="9" fontId="21" fillId="0" borderId="109" xfId="1" applyFont="1" applyBorder="1" applyAlignment="1">
      <alignment horizontal="center" vertical="center"/>
    </xf>
    <xf numFmtId="181" fontId="87" fillId="37" borderId="110" xfId="4" applyNumberFormat="1" applyFont="1" applyFill="1" applyBorder="1" applyAlignment="1">
      <alignment horizontal="right" vertical="center"/>
    </xf>
    <xf numFmtId="0" fontId="21" fillId="37" borderId="110" xfId="4" applyFill="1" applyBorder="1" applyAlignment="1">
      <alignment vertical="center"/>
    </xf>
    <xf numFmtId="10" fontId="21" fillId="39" borderId="0" xfId="4" applyNumberFormat="1" applyFill="1"/>
    <xf numFmtId="181" fontId="21" fillId="39" borderId="0" xfId="4" applyNumberFormat="1" applyFill="1" applyAlignment="1">
      <alignment horizontal="right"/>
    </xf>
    <xf numFmtId="4" fontId="21" fillId="39" borderId="0" xfId="4" applyNumberFormat="1" applyFill="1"/>
    <xf numFmtId="4" fontId="21" fillId="39" borderId="0" xfId="4" applyNumberFormat="1" applyFill="1" applyAlignment="1">
      <alignment horizontal="center"/>
    </xf>
    <xf numFmtId="0" fontId="108" fillId="39" borderId="0" xfId="4" applyFont="1" applyFill="1" applyAlignment="1">
      <alignment horizontal="center"/>
    </xf>
    <xf numFmtId="0" fontId="21" fillId="39" borderId="0" xfId="4" applyFill="1" applyAlignment="1">
      <alignment horizontal="center"/>
    </xf>
    <xf numFmtId="177" fontId="21" fillId="0" borderId="0" xfId="4" applyNumberFormat="1" applyAlignment="1">
      <alignment horizontal="left"/>
    </xf>
    <xf numFmtId="181" fontId="21" fillId="39" borderId="0" xfId="4" applyNumberFormat="1" applyFill="1"/>
    <xf numFmtId="4" fontId="21" fillId="39" borderId="0" xfId="4" applyNumberFormat="1" applyFill="1" applyAlignment="1">
      <alignment horizontal="right"/>
    </xf>
    <xf numFmtId="0" fontId="21" fillId="39" borderId="0" xfId="4" applyFill="1"/>
    <xf numFmtId="0" fontId="21" fillId="39" borderId="0" xfId="4" applyFill="1" applyAlignment="1">
      <alignment horizontal="right"/>
    </xf>
    <xf numFmtId="4" fontId="21" fillId="40" borderId="0" xfId="4" applyNumberFormat="1" applyFill="1"/>
    <xf numFmtId="181" fontId="21" fillId="40" borderId="0" xfId="4" applyNumberFormat="1" applyFill="1" applyAlignment="1">
      <alignment horizontal="right"/>
    </xf>
    <xf numFmtId="4" fontId="21" fillId="40" borderId="0" xfId="4" applyNumberFormat="1" applyFill="1" applyAlignment="1">
      <alignment horizontal="right"/>
    </xf>
    <xf numFmtId="181" fontId="21" fillId="40" borderId="0" xfId="4" applyNumberFormat="1" applyFill="1" applyAlignment="1">
      <alignment horizontal="center"/>
    </xf>
    <xf numFmtId="181" fontId="87" fillId="41" borderId="111" xfId="4" applyNumberFormat="1" applyFont="1" applyFill="1" applyBorder="1" applyAlignment="1">
      <alignment horizontal="center"/>
    </xf>
    <xf numFmtId="181" fontId="21" fillId="39" borderId="15" xfId="4" applyNumberFormat="1" applyFill="1" applyBorder="1" applyAlignment="1">
      <alignment horizontal="right"/>
    </xf>
    <xf numFmtId="0" fontId="21" fillId="39" borderId="15" xfId="4" applyFill="1" applyBorder="1"/>
    <xf numFmtId="10" fontId="21" fillId="39" borderId="0" xfId="5" applyNumberFormat="1" applyFill="1" applyAlignment="1">
      <alignment horizontal="center"/>
    </xf>
    <xf numFmtId="181" fontId="21" fillId="39" borderId="0" xfId="4" applyNumberFormat="1" applyFill="1" applyAlignment="1">
      <alignment horizontal="center"/>
    </xf>
    <xf numFmtId="0" fontId="108" fillId="40" borderId="0" xfId="4" applyFont="1" applyFill="1" applyAlignment="1">
      <alignment horizontal="center"/>
    </xf>
    <xf numFmtId="0" fontId="21" fillId="40" borderId="0" xfId="4" applyFill="1"/>
    <xf numFmtId="10" fontId="21" fillId="0" borderId="0" xfId="4" applyNumberFormat="1"/>
    <xf numFmtId="181" fontId="21" fillId="0" borderId="0" xfId="4" applyNumberFormat="1" applyAlignment="1">
      <alignment horizontal="center"/>
    </xf>
    <xf numFmtId="0" fontId="124" fillId="0" borderId="0" xfId="0" applyFont="1" applyAlignment="1">
      <alignment vertical="top"/>
    </xf>
    <xf numFmtId="0" fontId="21" fillId="0" borderId="0" xfId="0" applyFont="1" applyAlignment="1">
      <alignment horizontal="justify" vertical="center" wrapText="1"/>
    </xf>
    <xf numFmtId="0" fontId="124" fillId="0" borderId="0" xfId="4" applyFont="1" applyAlignment="1">
      <alignment vertical="center"/>
    </xf>
    <xf numFmtId="0" fontId="21" fillId="0" borderId="0" xfId="0" applyFont="1" applyAlignment="1">
      <alignment horizontal="justify" vertical="top" wrapText="1"/>
    </xf>
    <xf numFmtId="0" fontId="21" fillId="0" borderId="0" xfId="0" applyFont="1" applyAlignment="1">
      <alignment horizontal="justify" wrapText="1"/>
    </xf>
    <xf numFmtId="10" fontId="21" fillId="40" borderId="0" xfId="5" applyNumberFormat="1" applyFill="1"/>
    <xf numFmtId="177" fontId="103" fillId="0" borderId="0" xfId="4" applyNumberFormat="1" applyFont="1" applyAlignment="1">
      <alignment horizontal="left"/>
    </xf>
    <xf numFmtId="0" fontId="106" fillId="37" borderId="94" xfId="4" applyFont="1" applyFill="1" applyBorder="1" applyAlignment="1">
      <alignment horizontal="center"/>
    </xf>
    <xf numFmtId="0" fontId="21" fillId="37" borderId="95" xfId="4" applyFill="1" applyBorder="1"/>
    <xf numFmtId="0" fontId="21" fillId="37" borderId="96" xfId="4" applyFill="1" applyBorder="1"/>
    <xf numFmtId="1" fontId="104" fillId="37" borderId="94" xfId="4" applyNumberFormat="1" applyFont="1" applyFill="1" applyBorder="1" applyAlignment="1">
      <alignment horizontal="center" vertical="center"/>
    </xf>
    <xf numFmtId="1" fontId="104" fillId="37" borderId="95" xfId="4" applyNumberFormat="1" applyFont="1" applyFill="1" applyBorder="1" applyAlignment="1">
      <alignment horizontal="center" vertical="center"/>
    </xf>
    <xf numFmtId="1" fontId="104" fillId="43" borderId="94" xfId="4" applyNumberFormat="1" applyFont="1" applyFill="1" applyBorder="1" applyAlignment="1">
      <alignment horizontal="center" vertical="center" textRotation="90" wrapText="1"/>
    </xf>
    <xf numFmtId="1" fontId="104" fillId="43" borderId="95" xfId="4" applyNumberFormat="1" applyFont="1" applyFill="1" applyBorder="1" applyAlignment="1">
      <alignment horizontal="center" vertical="center" textRotation="90" wrapText="1"/>
    </xf>
    <xf numFmtId="1" fontId="104" fillId="43" borderId="96" xfId="4" applyNumberFormat="1" applyFont="1" applyFill="1" applyBorder="1" applyAlignment="1">
      <alignment horizontal="center" vertical="center" textRotation="90" wrapText="1"/>
    </xf>
    <xf numFmtId="1" fontId="104" fillId="43" borderId="94" xfId="4" applyNumberFormat="1" applyFont="1" applyFill="1" applyBorder="1" applyAlignment="1">
      <alignment horizontal="center" vertical="center" textRotation="90"/>
    </xf>
    <xf numFmtId="1" fontId="104" fillId="43" borderId="95" xfId="4" applyNumberFormat="1" applyFont="1" applyFill="1" applyBorder="1" applyAlignment="1">
      <alignment horizontal="center" vertical="center" textRotation="90"/>
    </xf>
    <xf numFmtId="1" fontId="104" fillId="43" borderId="96" xfId="4" applyNumberFormat="1" applyFont="1" applyFill="1" applyBorder="1" applyAlignment="1">
      <alignment horizontal="center" vertical="center" textRotation="90"/>
    </xf>
    <xf numFmtId="1" fontId="104" fillId="43" borderId="112" xfId="4" applyNumberFormat="1" applyFont="1" applyFill="1" applyBorder="1" applyAlignment="1">
      <alignment horizontal="center" vertical="center" wrapText="1"/>
    </xf>
    <xf numFmtId="1" fontId="104" fillId="43" borderId="112" xfId="4" applyNumberFormat="1" applyFont="1" applyFill="1" applyBorder="1" applyAlignment="1">
      <alignment horizontal="center" vertical="center"/>
    </xf>
    <xf numFmtId="0" fontId="21" fillId="43" borderId="112" xfId="4" applyFill="1" applyBorder="1" applyAlignment="1">
      <alignment vertical="center"/>
    </xf>
    <xf numFmtId="0" fontId="80" fillId="0" borderId="0" xfId="4" quotePrefix="1" applyFont="1" applyAlignment="1">
      <alignment horizontal="center"/>
    </xf>
    <xf numFmtId="0" fontId="80" fillId="0" borderId="0" xfId="4" applyFont="1"/>
    <xf numFmtId="0" fontId="108" fillId="0" borderId="0" xfId="4" applyFont="1" applyAlignment="1">
      <alignment horizontal="center"/>
    </xf>
    <xf numFmtId="0" fontId="21" fillId="0" borderId="0" xfId="4" applyAlignment="1">
      <alignment horizontal="center"/>
    </xf>
    <xf numFmtId="0" fontId="87" fillId="0" borderId="0" xfId="4" applyFont="1" applyAlignment="1">
      <alignment horizontal="center"/>
    </xf>
    <xf numFmtId="0" fontId="106" fillId="42" borderId="0" xfId="4" applyFont="1" applyFill="1" applyAlignment="1">
      <alignment horizontal="center" vertical="center"/>
    </xf>
    <xf numFmtId="170" fontId="106" fillId="0" borderId="0" xfId="4" applyNumberFormat="1" applyFont="1" applyAlignment="1">
      <alignment horizontal="left"/>
    </xf>
    <xf numFmtId="170" fontId="21" fillId="0" borderId="0" xfId="4" applyNumberFormat="1"/>
    <xf numFmtId="182" fontId="105" fillId="0" borderId="44" xfId="4" applyNumberFormat="1" applyFont="1" applyBorder="1" applyAlignment="1">
      <alignment horizontal="center" vertical="center"/>
    </xf>
    <xf numFmtId="182" fontId="105" fillId="0" borderId="45" xfId="4" applyNumberFormat="1" applyFont="1" applyBorder="1" applyAlignment="1">
      <alignment horizontal="center" vertical="center"/>
    </xf>
    <xf numFmtId="182" fontId="105" fillId="0" borderId="93" xfId="4" applyNumberFormat="1" applyFont="1" applyBorder="1" applyAlignment="1">
      <alignment horizontal="center" vertical="center"/>
    </xf>
    <xf numFmtId="182" fontId="105" fillId="0" borderId="100" xfId="4" applyNumberFormat="1" applyFont="1" applyBorder="1" applyAlignment="1">
      <alignment horizontal="center" vertical="center"/>
    </xf>
    <xf numFmtId="182" fontId="105" fillId="0" borderId="98" xfId="4" applyNumberFormat="1" applyFont="1" applyBorder="1" applyAlignment="1">
      <alignment horizontal="center" vertical="center"/>
    </xf>
    <xf numFmtId="182" fontId="105" fillId="0" borderId="99" xfId="4" applyNumberFormat="1" applyFont="1" applyBorder="1" applyAlignment="1">
      <alignment horizontal="center" vertical="center"/>
    </xf>
    <xf numFmtId="3" fontId="105" fillId="0" borderId="44" xfId="6" applyNumberFormat="1" applyFont="1" applyBorder="1" applyAlignment="1">
      <alignment horizontal="center" vertical="center" wrapText="1"/>
    </xf>
    <xf numFmtId="3" fontId="105" fillId="0" borderId="45" xfId="6" applyNumberFormat="1" applyFont="1" applyBorder="1" applyAlignment="1">
      <alignment horizontal="center" vertical="center" wrapText="1"/>
    </xf>
    <xf numFmtId="3" fontId="105" fillId="0" borderId="93" xfId="6" applyNumberFormat="1" applyFont="1" applyBorder="1" applyAlignment="1">
      <alignment horizontal="center" vertical="center" wrapText="1"/>
    </xf>
    <xf numFmtId="3" fontId="105" fillId="0" borderId="100" xfId="6" applyNumberFormat="1" applyFont="1" applyBorder="1" applyAlignment="1">
      <alignment horizontal="center" vertical="center" wrapText="1"/>
    </xf>
    <xf numFmtId="3" fontId="105" fillId="0" borderId="98" xfId="6" applyNumberFormat="1" applyFont="1" applyBorder="1" applyAlignment="1">
      <alignment horizontal="center" vertical="center" wrapText="1"/>
    </xf>
    <xf numFmtId="3" fontId="105" fillId="0" borderId="99" xfId="6" applyNumberFormat="1" applyFont="1" applyBorder="1" applyAlignment="1">
      <alignment horizontal="center" vertical="center" wrapText="1"/>
    </xf>
    <xf numFmtId="182" fontId="105" fillId="13" borderId="94" xfId="4" applyNumberFormat="1" applyFont="1" applyFill="1" applyBorder="1" applyAlignment="1">
      <alignment horizontal="center" vertical="center" wrapText="1"/>
    </xf>
    <xf numFmtId="182" fontId="105" fillId="13" borderId="95" xfId="4" applyNumberFormat="1" applyFont="1" applyFill="1" applyBorder="1" applyAlignment="1">
      <alignment horizontal="center" vertical="center" wrapText="1"/>
    </xf>
    <xf numFmtId="182" fontId="105" fillId="13" borderId="96" xfId="4" applyNumberFormat="1" applyFont="1" applyFill="1" applyBorder="1" applyAlignment="1">
      <alignment horizontal="center" vertical="center" wrapText="1"/>
    </xf>
    <xf numFmtId="182" fontId="105" fillId="0" borderId="94" xfId="4" applyNumberFormat="1" applyFont="1" applyBorder="1" applyAlignment="1">
      <alignment horizontal="justify" vertical="center" wrapText="1"/>
    </xf>
    <xf numFmtId="182" fontId="105" fillId="0" borderId="95" xfId="4" applyNumberFormat="1" applyFont="1" applyBorder="1" applyAlignment="1">
      <alignment horizontal="justify" vertical="center" wrapText="1"/>
    </xf>
    <xf numFmtId="182" fontId="105" fillId="0" borderId="96" xfId="4" applyNumberFormat="1" applyFont="1" applyBorder="1" applyAlignment="1">
      <alignment horizontal="justify" vertical="center" wrapText="1"/>
    </xf>
    <xf numFmtId="0" fontId="21" fillId="43" borderId="112" xfId="4" applyFill="1" applyBorder="1" applyAlignment="1">
      <alignment horizontal="center" vertical="center"/>
    </xf>
    <xf numFmtId="1" fontId="104" fillId="37" borderId="112" xfId="4" applyNumberFormat="1" applyFont="1" applyFill="1" applyBorder="1" applyAlignment="1">
      <alignment horizontal="center" vertical="center" wrapText="1"/>
    </xf>
    <xf numFmtId="1" fontId="104" fillId="37" borderId="112" xfId="4" applyNumberFormat="1" applyFont="1" applyFill="1" applyBorder="1" applyAlignment="1">
      <alignment horizontal="center" vertical="center"/>
    </xf>
    <xf numFmtId="0" fontId="21" fillId="37" borderId="112" xfId="4" applyFill="1" applyBorder="1" applyAlignment="1">
      <alignment vertical="center"/>
    </xf>
    <xf numFmtId="1" fontId="104" fillId="37" borderId="94" xfId="0" applyNumberFormat="1" applyFont="1" applyFill="1" applyBorder="1" applyAlignment="1">
      <alignment horizontal="center" vertical="center"/>
    </xf>
    <xf numFmtId="1" fontId="104" fillId="37" borderId="95" xfId="0" applyNumberFormat="1" applyFont="1" applyFill="1" applyBorder="1" applyAlignment="1">
      <alignment horizontal="center" vertical="center"/>
    </xf>
    <xf numFmtId="1" fontId="104" fillId="37" borderId="96" xfId="0" applyNumberFormat="1" applyFont="1" applyFill="1" applyBorder="1" applyAlignment="1">
      <alignment horizontal="center" vertical="center"/>
    </xf>
    <xf numFmtId="182" fontId="155" fillId="0" borderId="94" xfId="4" applyNumberFormat="1" applyFont="1" applyBorder="1" applyAlignment="1">
      <alignment horizontal="justify" vertical="center" wrapText="1"/>
    </xf>
    <xf numFmtId="1" fontId="104" fillId="37" borderId="94" xfId="0" applyNumberFormat="1" applyFont="1" applyFill="1" applyBorder="1" applyAlignment="1">
      <alignment horizontal="center" vertical="center" wrapText="1"/>
    </xf>
    <xf numFmtId="4" fontId="21" fillId="0" borderId="0" xfId="4" applyNumberFormat="1"/>
    <xf numFmtId="181" fontId="21" fillId="0" borderId="0" xfId="4" applyNumberFormat="1" applyAlignment="1">
      <alignment horizontal="left"/>
    </xf>
    <xf numFmtId="181" fontId="21" fillId="0" borderId="0" xfId="4" applyNumberFormat="1" applyAlignment="1">
      <alignment horizontal="right"/>
    </xf>
    <xf numFmtId="181" fontId="87" fillId="37" borderId="40" xfId="0" applyNumberFormat="1" applyFont="1" applyFill="1" applyBorder="1" applyAlignment="1">
      <alignment horizontal="right"/>
    </xf>
    <xf numFmtId="0" fontId="87" fillId="37" borderId="40" xfId="0" applyFont="1" applyFill="1" applyBorder="1"/>
    <xf numFmtId="4" fontId="21" fillId="0" borderId="0" xfId="4" applyNumberFormat="1" applyAlignment="1">
      <alignment horizontal="center"/>
    </xf>
    <xf numFmtId="0" fontId="21" fillId="0" borderId="113" xfId="4" applyBorder="1" applyAlignment="1">
      <alignment horizontal="center"/>
    </xf>
    <xf numFmtId="0" fontId="21" fillId="0" borderId="114" xfId="4" applyBorder="1" applyAlignment="1">
      <alignment horizontal="center"/>
    </xf>
    <xf numFmtId="0" fontId="21" fillId="0" borderId="115" xfId="4" applyBorder="1" applyAlignment="1">
      <alignment horizontal="center"/>
    </xf>
    <xf numFmtId="0" fontId="21" fillId="0" borderId="116" xfId="4" applyBorder="1" applyAlignment="1">
      <alignment horizontal="center"/>
    </xf>
    <xf numFmtId="0" fontId="21" fillId="0" borderId="117" xfId="4" applyBorder="1" applyAlignment="1">
      <alignment horizontal="center"/>
    </xf>
    <xf numFmtId="0" fontId="21" fillId="0" borderId="118" xfId="4" applyBorder="1" applyAlignment="1">
      <alignment horizontal="center"/>
    </xf>
    <xf numFmtId="0" fontId="21" fillId="0" borderId="119" xfId="4" applyBorder="1" applyAlignment="1">
      <alignment horizontal="center"/>
    </xf>
    <xf numFmtId="0" fontId="21" fillId="0" borderId="120" xfId="4" applyBorder="1" applyAlignment="1">
      <alignment horizontal="center"/>
    </xf>
    <xf numFmtId="0" fontId="21" fillId="37" borderId="94" xfId="4" applyFill="1" applyBorder="1"/>
    <xf numFmtId="181" fontId="87" fillId="37" borderId="95" xfId="4" applyNumberFormat="1" applyFont="1" applyFill="1" applyBorder="1" applyAlignment="1">
      <alignment horizontal="justify"/>
    </xf>
    <xf numFmtId="0" fontId="21" fillId="37" borderId="95" xfId="4" applyFill="1" applyBorder="1" applyAlignment="1">
      <alignment horizontal="justify"/>
    </xf>
    <xf numFmtId="0" fontId="87" fillId="37" borderId="95" xfId="4" quotePrefix="1" applyFont="1" applyFill="1" applyBorder="1" applyAlignment="1">
      <alignment horizontal="justify"/>
    </xf>
    <xf numFmtId="181" fontId="21" fillId="0" borderId="0" xfId="4" applyNumberFormat="1"/>
    <xf numFmtId="4" fontId="21" fillId="0" borderId="0" xfId="4" applyNumberFormat="1" applyAlignment="1">
      <alignment horizontal="right"/>
    </xf>
    <xf numFmtId="0" fontId="21" fillId="0" borderId="0" xfId="4" applyAlignment="1">
      <alignment horizontal="right"/>
    </xf>
    <xf numFmtId="181" fontId="21" fillId="13" borderId="0" xfId="4" applyNumberFormat="1" applyFill="1" applyAlignment="1">
      <alignment horizontal="right"/>
    </xf>
    <xf numFmtId="0" fontId="21" fillId="13" borderId="0" xfId="4" applyFill="1" applyAlignment="1">
      <alignment horizontal="right"/>
    </xf>
    <xf numFmtId="0" fontId="21" fillId="13" borderId="0" xfId="4" applyFill="1"/>
    <xf numFmtId="181" fontId="21" fillId="0" borderId="15" xfId="4" applyNumberFormat="1" applyBorder="1" applyAlignment="1">
      <alignment horizontal="right"/>
    </xf>
    <xf numFmtId="0" fontId="21" fillId="0" borderId="15" xfId="4" applyBorder="1"/>
    <xf numFmtId="10" fontId="21" fillId="0" borderId="0" xfId="5" applyNumberFormat="1" applyAlignment="1">
      <alignment horizontal="center"/>
    </xf>
    <xf numFmtId="2" fontId="21" fillId="0" borderId="0" xfId="4" quotePrefix="1" applyNumberFormat="1" applyAlignment="1">
      <alignment horizontal="center" vertical="center"/>
    </xf>
    <xf numFmtId="2" fontId="21" fillId="0" borderId="0" xfId="4" applyNumberFormat="1" applyAlignment="1">
      <alignment horizontal="center" vertical="center"/>
    </xf>
    <xf numFmtId="170" fontId="21" fillId="0" borderId="0" xfId="4" applyNumberFormat="1" applyAlignment="1">
      <alignment horizontal="left"/>
    </xf>
    <xf numFmtId="181" fontId="128" fillId="0" borderId="15" xfId="0" applyNumberFormat="1" applyFont="1" applyBorder="1" applyAlignment="1">
      <alignment horizontal="center"/>
    </xf>
    <xf numFmtId="10" fontId="128" fillId="0" borderId="0" xfId="1" applyNumberFormat="1" applyFont="1"/>
    <xf numFmtId="4" fontId="128" fillId="0" borderId="0" xfId="0" applyNumberFormat="1" applyFont="1"/>
    <xf numFmtId="181" fontId="128" fillId="0" borderId="0" xfId="0" applyNumberFormat="1" applyFont="1" applyAlignment="1">
      <alignment horizontal="right"/>
    </xf>
    <xf numFmtId="181" fontId="128" fillId="0" borderId="0" xfId="0" applyNumberFormat="1" applyFont="1" applyAlignment="1">
      <alignment horizontal="center"/>
    </xf>
    <xf numFmtId="181" fontId="21" fillId="0" borderId="15" xfId="4" applyNumberFormat="1" applyBorder="1" applyAlignment="1">
      <alignment horizontal="center"/>
    </xf>
    <xf numFmtId="10" fontId="21" fillId="0" borderId="0" xfId="5" applyNumberFormat="1"/>
    <xf numFmtId="0" fontId="0" fillId="0" borderId="0" xfId="4" applyFont="1" applyAlignment="1">
      <alignment horizontal="justify"/>
    </xf>
    <xf numFmtId="4" fontId="128" fillId="0" borderId="0" xfId="0" applyNumberFormat="1" applyFont="1" applyAlignment="1">
      <alignment horizontal="right"/>
    </xf>
    <xf numFmtId="0" fontId="128" fillId="0" borderId="0" xfId="0" applyFont="1"/>
    <xf numFmtId="0" fontId="128" fillId="0" borderId="0" xfId="0" applyFont="1" applyAlignment="1">
      <alignment horizontal="right"/>
    </xf>
    <xf numFmtId="0" fontId="87" fillId="37" borderId="75" xfId="4" applyFont="1" applyFill="1" applyBorder="1"/>
    <xf numFmtId="0" fontId="87" fillId="37" borderId="76" xfId="4" applyFont="1" applyFill="1" applyBorder="1"/>
    <xf numFmtId="2" fontId="87" fillId="37" borderId="76" xfId="4" applyNumberFormat="1" applyFont="1" applyFill="1" applyBorder="1" applyAlignment="1">
      <alignment horizontal="center"/>
    </xf>
    <xf numFmtId="0" fontId="21" fillId="37" borderId="76" xfId="4" applyFill="1" applyBorder="1" applyAlignment="1">
      <alignment horizontal="center"/>
    </xf>
    <xf numFmtId="0" fontId="87" fillId="37" borderId="76" xfId="4" quotePrefix="1" applyFont="1" applyFill="1" applyBorder="1" applyAlignment="1">
      <alignment horizontal="justify"/>
    </xf>
    <xf numFmtId="0" fontId="21" fillId="37" borderId="76" xfId="4" applyFill="1" applyBorder="1"/>
    <xf numFmtId="0" fontId="21" fillId="37" borderId="76" xfId="4" applyFill="1" applyBorder="1" applyAlignment="1">
      <alignment horizontal="justify"/>
    </xf>
    <xf numFmtId="0" fontId="21" fillId="37" borderId="79" xfId="4" applyFill="1" applyBorder="1"/>
    <xf numFmtId="0" fontId="131" fillId="0" borderId="0" xfId="4" applyFont="1" applyAlignment="1">
      <alignment horizontal="center"/>
    </xf>
    <xf numFmtId="0" fontId="132" fillId="0" borderId="0" xfId="4" applyFont="1" applyAlignment="1">
      <alignment horizontal="center"/>
    </xf>
    <xf numFmtId="0" fontId="132" fillId="0" borderId="0" xfId="4" applyFont="1"/>
    <xf numFmtId="177" fontId="78" fillId="0" borderId="0" xfId="4" applyNumberFormat="1" applyFont="1" applyAlignment="1">
      <alignment horizontal="left"/>
    </xf>
    <xf numFmtId="0" fontId="76" fillId="0" borderId="0" xfId="4" applyFont="1" applyAlignment="1">
      <alignment horizontal="left"/>
    </xf>
    <xf numFmtId="2" fontId="78" fillId="0" borderId="0" xfId="4" applyNumberFormat="1" applyFont="1" applyAlignment="1">
      <alignment horizontal="center"/>
    </xf>
    <xf numFmtId="181" fontId="76" fillId="0" borderId="0" xfId="4" applyNumberFormat="1" applyFont="1"/>
    <xf numFmtId="0" fontId="76" fillId="0" borderId="0" xfId="4" applyFont="1"/>
    <xf numFmtId="0" fontId="76" fillId="0" borderId="0" xfId="4" applyFont="1" applyAlignment="1">
      <alignment horizontal="right"/>
    </xf>
    <xf numFmtId="2" fontId="76" fillId="0" borderId="0" xfId="4" applyNumberFormat="1" applyFont="1" applyAlignment="1">
      <alignment horizontal="left" vertical="center" wrapText="1"/>
    </xf>
    <xf numFmtId="177" fontId="76" fillId="0" borderId="0" xfId="4" applyNumberFormat="1" applyFont="1"/>
    <xf numFmtId="0" fontId="135" fillId="0" borderId="0" xfId="4" applyFont="1"/>
    <xf numFmtId="10" fontId="76" fillId="0" borderId="0" xfId="5" applyNumberFormat="1" applyFont="1"/>
    <xf numFmtId="10" fontId="78" fillId="0" borderId="127" xfId="5" applyNumberFormat="1" applyFont="1" applyBorder="1"/>
    <xf numFmtId="0" fontId="76" fillId="0" borderId="127" xfId="4" applyFont="1" applyBorder="1"/>
    <xf numFmtId="9" fontId="76" fillId="0" borderId="0" xfId="5" applyFont="1" applyAlignment="1">
      <alignment horizontal="center"/>
    </xf>
    <xf numFmtId="0" fontId="78" fillId="37" borderId="123" xfId="4" applyFont="1" applyFill="1" applyBorder="1" applyAlignment="1">
      <alignment horizontal="right" vertical="center"/>
    </xf>
    <xf numFmtId="181" fontId="78" fillId="37" borderId="123" xfId="4" applyNumberFormat="1" applyFont="1" applyFill="1" applyBorder="1" applyAlignment="1">
      <alignment vertical="center"/>
    </xf>
    <xf numFmtId="0" fontId="76" fillId="37" borderId="123" xfId="4" applyFont="1" applyFill="1" applyBorder="1" applyAlignment="1">
      <alignment vertical="center"/>
    </xf>
    <xf numFmtId="0" fontId="78" fillId="0" borderId="0" xfId="4" applyFont="1" applyAlignment="1">
      <alignment horizontal="justify" vertical="center"/>
    </xf>
    <xf numFmtId="181" fontId="76" fillId="0" borderId="0" xfId="4" applyNumberFormat="1" applyFont="1" applyAlignment="1">
      <alignment horizontal="center"/>
    </xf>
    <xf numFmtId="0" fontId="76" fillId="0" borderId="0" xfId="4" applyFont="1" applyAlignment="1">
      <alignment horizontal="center"/>
    </xf>
    <xf numFmtId="183" fontId="76" fillId="0" borderId="0" xfId="4" applyNumberFormat="1" applyFont="1"/>
    <xf numFmtId="181" fontId="76" fillId="0" borderId="0" xfId="4" applyNumberFormat="1" applyFont="1" applyAlignment="1">
      <alignment vertical="center"/>
    </xf>
    <xf numFmtId="0" fontId="76" fillId="0" borderId="0" xfId="4" applyFont="1" applyAlignment="1">
      <alignment vertical="center"/>
    </xf>
    <xf numFmtId="0" fontId="78" fillId="16" borderId="129" xfId="4" applyFont="1" applyFill="1" applyBorder="1" applyAlignment="1">
      <alignment horizontal="right" vertical="center"/>
    </xf>
    <xf numFmtId="0" fontId="76" fillId="16" borderId="129" xfId="4" applyFont="1" applyFill="1" applyBorder="1" applyAlignment="1">
      <alignment horizontal="right" vertical="center"/>
    </xf>
    <xf numFmtId="181" fontId="78" fillId="16" borderId="129" xfId="4" applyNumberFormat="1" applyFont="1" applyFill="1" applyBorder="1" applyAlignment="1">
      <alignment vertical="center"/>
    </xf>
    <xf numFmtId="0" fontId="76" fillId="16" borderId="129" xfId="4" applyFont="1" applyFill="1" applyBorder="1" applyAlignment="1">
      <alignment vertical="center"/>
    </xf>
    <xf numFmtId="174" fontId="21" fillId="0" borderId="0" xfId="4" applyNumberFormat="1" applyAlignment="1">
      <alignment horizontal="left"/>
    </xf>
    <xf numFmtId="0" fontId="136" fillId="0" borderId="0" xfId="0" applyFont="1" applyAlignment="1">
      <alignment horizontal="center"/>
    </xf>
    <xf numFmtId="0" fontId="137" fillId="0" borderId="0" xfId="0" applyFont="1" applyAlignment="1">
      <alignment horizontal="center"/>
    </xf>
    <xf numFmtId="176" fontId="106" fillId="0" borderId="0" xfId="0" applyNumberFormat="1" applyFont="1" applyAlignment="1">
      <alignment horizontal="left"/>
    </xf>
    <xf numFmtId="0" fontId="21" fillId="0" borderId="0" xfId="0" applyFont="1"/>
    <xf numFmtId="177" fontId="87" fillId="0" borderId="0" xfId="0" applyNumberFormat="1" applyFont="1" applyAlignment="1">
      <alignment horizontal="left"/>
    </xf>
    <xf numFmtId="177" fontId="21" fillId="0" borderId="0" xfId="0" applyNumberFormat="1" applyFont="1" applyAlignment="1">
      <alignment horizontal="left"/>
    </xf>
    <xf numFmtId="4" fontId="21" fillId="0" borderId="69" xfId="0" applyNumberFormat="1" applyFont="1" applyBorder="1"/>
    <xf numFmtId="181" fontId="21" fillId="0" borderId="69" xfId="4" applyNumberFormat="1" applyBorder="1" applyAlignment="1">
      <alignment horizontal="center"/>
    </xf>
    <xf numFmtId="183" fontId="21" fillId="0" borderId="0" xfId="0" applyNumberFormat="1" applyFont="1" applyAlignment="1">
      <alignment horizontal="right"/>
    </xf>
    <xf numFmtId="183" fontId="21" fillId="0" borderId="0" xfId="0" applyNumberFormat="1" applyFont="1"/>
    <xf numFmtId="0" fontId="78" fillId="40" borderId="133" xfId="4" applyFont="1" applyFill="1" applyBorder="1" applyAlignment="1">
      <alignment horizontal="right" vertical="center"/>
    </xf>
    <xf numFmtId="181" fontId="78" fillId="40" borderId="133" xfId="4" applyNumberFormat="1" applyFont="1" applyFill="1" applyBorder="1" applyAlignment="1">
      <alignment vertical="center"/>
    </xf>
    <xf numFmtId="0" fontId="76" fillId="40" borderId="133" xfId="4" applyFont="1" applyFill="1" applyBorder="1" applyAlignment="1">
      <alignment vertical="center"/>
    </xf>
    <xf numFmtId="181" fontId="76" fillId="0" borderId="6" xfId="4" applyNumberFormat="1" applyFont="1" applyBorder="1"/>
    <xf numFmtId="0" fontId="76" fillId="0" borderId="6" xfId="4" applyFont="1" applyBorder="1"/>
    <xf numFmtId="4" fontId="21" fillId="0" borderId="0" xfId="0" applyNumberFormat="1" applyFont="1"/>
    <xf numFmtId="4" fontId="21" fillId="0" borderId="0" xfId="0" applyNumberFormat="1" applyFont="1" applyAlignment="1">
      <alignment horizontal="right"/>
    </xf>
    <xf numFmtId="183" fontId="87" fillId="37" borderId="135" xfId="0" applyNumberFormat="1" applyFont="1" applyFill="1" applyBorder="1" applyAlignment="1">
      <alignment horizontal="right"/>
    </xf>
    <xf numFmtId="183" fontId="87" fillId="37" borderId="135" xfId="0" applyNumberFormat="1" applyFont="1" applyFill="1" applyBorder="1"/>
    <xf numFmtId="181" fontId="76" fillId="0" borderId="0" xfId="4" applyNumberFormat="1" applyFont="1" applyAlignment="1">
      <alignment horizontal="right"/>
    </xf>
    <xf numFmtId="174" fontId="21" fillId="0" borderId="0" xfId="0" applyNumberFormat="1" applyFont="1" applyAlignment="1">
      <alignment horizontal="left"/>
    </xf>
    <xf numFmtId="0" fontId="21" fillId="0" borderId="0" xfId="0" applyFont="1" applyAlignment="1">
      <alignment horizontal="left"/>
    </xf>
    <xf numFmtId="4" fontId="21" fillId="0" borderId="0" xfId="5" applyNumberFormat="1"/>
    <xf numFmtId="184" fontId="21" fillId="0" borderId="0" xfId="4" applyNumberFormat="1" applyAlignment="1">
      <alignment horizontal="center"/>
    </xf>
    <xf numFmtId="184" fontId="21" fillId="0" borderId="0" xfId="4" applyNumberFormat="1" applyAlignment="1">
      <alignment horizontal="right"/>
    </xf>
    <xf numFmtId="184" fontId="21" fillId="0" borderId="0" xfId="4" applyNumberFormat="1"/>
    <xf numFmtId="184" fontId="87" fillId="37" borderId="110" xfId="4" applyNumberFormat="1" applyFont="1" applyFill="1" applyBorder="1" applyAlignment="1">
      <alignment horizontal="right"/>
    </xf>
    <xf numFmtId="184" fontId="87" fillId="37" borderId="110" xfId="4" applyNumberFormat="1" applyFont="1" applyFill="1" applyBorder="1"/>
    <xf numFmtId="0" fontId="87" fillId="0" borderId="0" xfId="4" applyFont="1" applyAlignment="1">
      <alignment horizontal="center" vertical="center"/>
    </xf>
    <xf numFmtId="0" fontId="131" fillId="42" borderId="0" xfId="4" applyFont="1" applyFill="1" applyAlignment="1">
      <alignment horizontal="center" vertical="center"/>
    </xf>
    <xf numFmtId="184" fontId="21" fillId="0" borderId="0" xfId="4" applyNumberFormat="1" applyAlignment="1">
      <alignment horizontal="left"/>
    </xf>
    <xf numFmtId="184" fontId="85" fillId="0" borderId="0" xfId="4" applyNumberFormat="1" applyFont="1" applyAlignment="1">
      <alignment horizontal="right"/>
    </xf>
    <xf numFmtId="184" fontId="85" fillId="0" borderId="0" xfId="4" applyNumberFormat="1" applyFont="1"/>
    <xf numFmtId="9" fontId="21" fillId="0" borderId="0" xfId="5"/>
    <xf numFmtId="2" fontId="80" fillId="0" borderId="0" xfId="4" quotePrefix="1" applyNumberFormat="1" applyFont="1" applyAlignment="1">
      <alignment horizontal="center" vertical="center"/>
    </xf>
    <xf numFmtId="2" fontId="80" fillId="0" borderId="0" xfId="4" applyNumberFormat="1" applyFont="1" applyAlignment="1">
      <alignment horizontal="center" vertical="center"/>
    </xf>
    <xf numFmtId="184" fontId="21" fillId="0" borderId="6" xfId="4" applyNumberFormat="1" applyBorder="1" applyAlignment="1">
      <alignment horizontal="right"/>
    </xf>
    <xf numFmtId="184" fontId="21" fillId="0" borderId="6" xfId="4" applyNumberFormat="1" applyBorder="1"/>
    <xf numFmtId="184" fontId="78" fillId="41" borderId="111" xfId="4" applyNumberFormat="1" applyFont="1" applyFill="1" applyBorder="1" applyAlignment="1">
      <alignment horizontal="center"/>
    </xf>
    <xf numFmtId="184" fontId="76" fillId="0" borderId="0" xfId="4" applyNumberFormat="1" applyFont="1" applyAlignment="1">
      <alignment horizontal="center"/>
    </xf>
    <xf numFmtId="184" fontId="76" fillId="0" borderId="0" xfId="4" applyNumberFormat="1" applyFont="1" applyAlignment="1">
      <alignment horizontal="right"/>
    </xf>
    <xf numFmtId="184" fontId="76" fillId="0" borderId="0" xfId="4" applyNumberFormat="1" applyFont="1"/>
    <xf numFmtId="184" fontId="76" fillId="0" borderId="6" xfId="4" applyNumberFormat="1" applyFont="1" applyBorder="1" applyAlignment="1">
      <alignment horizontal="center"/>
    </xf>
    <xf numFmtId="186" fontId="128" fillId="0" borderId="0" xfId="0" applyNumberFormat="1" applyFont="1" applyAlignment="1">
      <alignment horizontal="right"/>
    </xf>
    <xf numFmtId="186" fontId="128" fillId="0" borderId="0" xfId="0" applyNumberFormat="1" applyFont="1"/>
    <xf numFmtId="186" fontId="128" fillId="0" borderId="0" xfId="0" applyNumberFormat="1" applyFont="1" applyAlignment="1">
      <alignment horizontal="left"/>
    </xf>
    <xf numFmtId="186" fontId="128" fillId="0" borderId="6" xfId="0" applyNumberFormat="1" applyFont="1" applyBorder="1" applyAlignment="1">
      <alignment horizontal="center"/>
    </xf>
    <xf numFmtId="185" fontId="128" fillId="0" borderId="15" xfId="0" applyNumberFormat="1" applyFont="1" applyBorder="1" applyAlignment="1">
      <alignment horizontal="center"/>
    </xf>
    <xf numFmtId="184" fontId="21" fillId="0" borderId="0" xfId="0" applyNumberFormat="1" applyFont="1" applyAlignment="1">
      <alignment horizontal="right"/>
    </xf>
    <xf numFmtId="184" fontId="21" fillId="0" borderId="0" xfId="0" applyNumberFormat="1" applyFont="1"/>
    <xf numFmtId="185" fontId="128" fillId="0" borderId="0" xfId="0" applyNumberFormat="1" applyFont="1" applyAlignment="1">
      <alignment horizontal="center"/>
    </xf>
    <xf numFmtId="186" fontId="128" fillId="0" borderId="0" xfId="0" applyNumberFormat="1" applyFont="1" applyAlignment="1">
      <alignment horizontal="center"/>
    </xf>
    <xf numFmtId="184" fontId="78" fillId="37" borderId="123" xfId="4" applyNumberFormat="1" applyFont="1" applyFill="1" applyBorder="1" applyAlignment="1">
      <alignment vertical="center"/>
    </xf>
    <xf numFmtId="184" fontId="76" fillId="37" borderId="123" xfId="4" applyNumberFormat="1" applyFont="1" applyFill="1" applyBorder="1" applyAlignment="1">
      <alignment vertical="center"/>
    </xf>
    <xf numFmtId="2" fontId="76" fillId="0" borderId="0" xfId="4" applyNumberFormat="1" applyFont="1" applyAlignment="1">
      <alignment horizontal="left" wrapText="1"/>
    </xf>
    <xf numFmtId="184" fontId="76" fillId="0" borderId="0" xfId="4" applyNumberFormat="1" applyFont="1" applyAlignment="1">
      <alignment vertical="center"/>
    </xf>
    <xf numFmtId="184" fontId="78" fillId="16" borderId="129" xfId="4" applyNumberFormat="1" applyFont="1" applyFill="1" applyBorder="1" applyAlignment="1">
      <alignment vertical="center"/>
    </xf>
    <xf numFmtId="184" fontId="76" fillId="16" borderId="129" xfId="4" applyNumberFormat="1" applyFont="1" applyFill="1" applyBorder="1" applyAlignment="1">
      <alignment vertical="center"/>
    </xf>
    <xf numFmtId="184" fontId="78" fillId="40" borderId="133" xfId="4" applyNumberFormat="1" applyFont="1" applyFill="1" applyBorder="1" applyAlignment="1">
      <alignment horizontal="center" vertical="center"/>
    </xf>
    <xf numFmtId="184" fontId="76" fillId="40" borderId="133" xfId="4" applyNumberFormat="1" applyFont="1" applyFill="1" applyBorder="1" applyAlignment="1">
      <alignment horizontal="center" vertical="center"/>
    </xf>
    <xf numFmtId="184" fontId="76" fillId="0" borderId="6" xfId="4" applyNumberFormat="1" applyFont="1" applyBorder="1"/>
    <xf numFmtId="184" fontId="76" fillId="0" borderId="0" xfId="0" applyNumberFormat="1" applyFont="1"/>
    <xf numFmtId="184" fontId="87" fillId="37" borderId="135" xfId="0" applyNumberFormat="1" applyFont="1" applyFill="1" applyBorder="1" applyAlignment="1">
      <alignment horizontal="right"/>
    </xf>
    <xf numFmtId="184" fontId="87" fillId="37" borderId="135" xfId="0" applyNumberFormat="1" applyFont="1" applyFill="1" applyBorder="1"/>
    <xf numFmtId="0" fontId="108" fillId="44" borderId="0" xfId="4" applyFont="1" applyFill="1" applyAlignment="1">
      <alignment horizontal="center"/>
    </xf>
    <xf numFmtId="0" fontId="138" fillId="44" borderId="0" xfId="4" applyFont="1" applyFill="1" applyAlignment="1">
      <alignment horizontal="center"/>
    </xf>
    <xf numFmtId="187" fontId="106" fillId="44" borderId="0" xfId="4" applyNumberFormat="1" applyFont="1" applyFill="1" applyAlignment="1">
      <alignment horizontal="left"/>
    </xf>
    <xf numFmtId="187" fontId="87" fillId="44" borderId="0" xfId="4" applyNumberFormat="1" applyFont="1" applyFill="1"/>
    <xf numFmtId="10" fontId="21" fillId="0" borderId="69" xfId="4" applyNumberFormat="1" applyBorder="1"/>
    <xf numFmtId="181" fontId="21" fillId="0" borderId="69" xfId="4" applyNumberFormat="1" applyBorder="1" applyAlignment="1">
      <alignment horizontal="right"/>
    </xf>
    <xf numFmtId="187" fontId="106" fillId="0" borderId="0" xfId="4" applyNumberFormat="1" applyFont="1" applyAlignment="1">
      <alignment horizontal="left"/>
    </xf>
    <xf numFmtId="187" fontId="87" fillId="0" borderId="0" xfId="4" applyNumberFormat="1" applyFont="1"/>
    <xf numFmtId="181" fontId="21" fillId="0" borderId="131" xfId="4" applyNumberFormat="1" applyBorder="1" applyAlignment="1">
      <alignment horizontal="center"/>
    </xf>
    <xf numFmtId="0" fontId="139" fillId="0" borderId="0" xfId="4" applyFont="1" applyAlignment="1">
      <alignment horizontal="center"/>
    </xf>
    <xf numFmtId="188" fontId="21" fillId="0" borderId="131" xfId="4" applyNumberFormat="1" applyBorder="1" applyAlignment="1">
      <alignment horizontal="center"/>
    </xf>
    <xf numFmtId="181" fontId="87" fillId="37" borderId="123" xfId="4" applyNumberFormat="1" applyFont="1" applyFill="1" applyBorder="1" applyAlignment="1">
      <alignment vertical="center"/>
    </xf>
    <xf numFmtId="0" fontId="21" fillId="37" borderId="123" xfId="4" applyFill="1" applyBorder="1" applyAlignment="1">
      <alignment vertical="center"/>
    </xf>
    <xf numFmtId="0" fontId="78" fillId="0" borderId="0" xfId="4" applyFont="1" applyAlignment="1">
      <alignment horizontal="right"/>
    </xf>
    <xf numFmtId="181" fontId="87" fillId="16" borderId="129" xfId="4" applyNumberFormat="1" applyFont="1" applyFill="1" applyBorder="1" applyAlignment="1">
      <alignment vertical="center"/>
    </xf>
    <xf numFmtId="0" fontId="21" fillId="16" borderId="129" xfId="4" applyFill="1" applyBorder="1" applyAlignment="1">
      <alignment vertical="center"/>
    </xf>
    <xf numFmtId="184" fontId="85" fillId="0" borderId="0" xfId="4" applyNumberFormat="1" applyFont="1" applyAlignment="1">
      <alignment horizontal="left"/>
    </xf>
    <xf numFmtId="181" fontId="87" fillId="40" borderId="133" xfId="4" applyNumberFormat="1" applyFont="1" applyFill="1" applyBorder="1" applyAlignment="1">
      <alignment vertical="center"/>
    </xf>
    <xf numFmtId="184" fontId="103" fillId="41" borderId="111" xfId="4" applyNumberFormat="1" applyFont="1" applyFill="1" applyBorder="1" applyAlignment="1">
      <alignment horizontal="center"/>
    </xf>
    <xf numFmtId="184" fontId="85" fillId="0" borderId="0" xfId="4" applyNumberFormat="1" applyFont="1" applyAlignment="1">
      <alignment horizontal="center"/>
    </xf>
    <xf numFmtId="176" fontId="106" fillId="0" borderId="0" xfId="4" applyNumberFormat="1" applyFont="1" applyAlignment="1">
      <alignment horizontal="left"/>
    </xf>
    <xf numFmtId="184" fontId="76" fillId="0" borderId="15" xfId="4" applyNumberFormat="1" applyFont="1" applyBorder="1" applyAlignment="1">
      <alignment horizontal="center"/>
    </xf>
    <xf numFmtId="0" fontId="87" fillId="0" borderId="18" xfId="4" applyFont="1" applyBorder="1" applyAlignment="1">
      <alignment horizontal="center" vertical="center"/>
    </xf>
    <xf numFmtId="0" fontId="21" fillId="0" borderId="18" xfId="4" applyBorder="1" applyAlignment="1">
      <alignment horizontal="justify" vertical="center" wrapText="1"/>
    </xf>
    <xf numFmtId="0" fontId="87" fillId="0" borderId="8" xfId="4" applyFont="1" applyBorder="1" applyAlignment="1">
      <alignment horizontal="center" vertical="center"/>
    </xf>
    <xf numFmtId="0" fontId="87" fillId="0" borderId="9" xfId="4" applyFont="1" applyBorder="1" applyAlignment="1">
      <alignment horizontal="center" vertical="center"/>
    </xf>
    <xf numFmtId="0" fontId="87" fillId="0" borderId="10" xfId="4" applyFont="1" applyBorder="1" applyAlignment="1">
      <alignment horizontal="center" vertical="center"/>
    </xf>
    <xf numFmtId="184" fontId="78" fillId="40" borderId="133" xfId="4" applyNumberFormat="1" applyFont="1" applyFill="1" applyBorder="1" applyAlignment="1">
      <alignment vertical="center"/>
    </xf>
    <xf numFmtId="184" fontId="76" fillId="40" borderId="133" xfId="4" applyNumberFormat="1" applyFont="1" applyFill="1" applyBorder="1" applyAlignment="1">
      <alignment vertical="center"/>
    </xf>
    <xf numFmtId="0" fontId="145" fillId="0" borderId="75" xfId="4" applyFont="1" applyBorder="1" applyAlignment="1">
      <alignment horizontal="center"/>
    </xf>
    <xf numFmtId="0" fontId="145" fillId="0" borderId="76" xfId="4" applyFont="1" applyBorder="1" applyAlignment="1">
      <alignment horizontal="center"/>
    </xf>
    <xf numFmtId="0" fontId="145" fillId="0" borderId="79" xfId="4" applyFont="1" applyBorder="1" applyAlignment="1">
      <alignment horizontal="center"/>
    </xf>
    <xf numFmtId="0" fontId="146" fillId="0" borderId="136" xfId="4" applyFont="1" applyBorder="1" applyAlignment="1">
      <alignment horizontal="left" indent="1"/>
    </xf>
    <xf numFmtId="189" fontId="145" fillId="0" borderId="80" xfId="4" applyNumberFormat="1" applyFont="1" applyBorder="1" applyAlignment="1">
      <alignment horizontal="right"/>
    </xf>
    <xf numFmtId="189" fontId="148" fillId="37" borderId="0" xfId="4" applyNumberFormat="1" applyFont="1" applyFill="1" applyAlignment="1">
      <alignment horizontal="center" vertical="center"/>
    </xf>
    <xf numFmtId="0" fontId="145" fillId="0" borderId="0" xfId="4" applyFont="1" applyAlignment="1">
      <alignment horizontal="center"/>
    </xf>
    <xf numFmtId="0" fontId="48" fillId="0" borderId="0" xfId="0" applyFont="1" applyAlignment="1" applyProtection="1">
      <alignment horizontal="center"/>
      <protection locked="0"/>
    </xf>
    <xf numFmtId="0" fontId="50" fillId="35" borderId="18" xfId="0" applyFont="1" applyFill="1" applyBorder="1" applyAlignment="1">
      <alignment horizontal="center" vertical="center" wrapText="1"/>
    </xf>
    <xf numFmtId="0" fontId="50" fillId="35" borderId="14" xfId="0" applyFont="1" applyFill="1" applyBorder="1" applyAlignment="1">
      <alignment horizontal="center" vertical="center" wrapText="1"/>
    </xf>
    <xf numFmtId="0" fontId="50" fillId="35" borderId="36" xfId="0" applyFont="1" applyFill="1" applyBorder="1" applyAlignment="1">
      <alignment horizontal="center" vertical="center" wrapText="1"/>
    </xf>
    <xf numFmtId="4" fontId="56" fillId="35" borderId="8" xfId="0" applyNumberFormat="1" applyFont="1" applyFill="1" applyBorder="1" applyAlignment="1">
      <alignment horizontal="left" vertical="center" wrapText="1"/>
    </xf>
    <xf numFmtId="4" fontId="56" fillId="35" borderId="9" xfId="0" applyNumberFormat="1" applyFont="1" applyFill="1" applyBorder="1" applyAlignment="1">
      <alignment horizontal="left" vertical="center" wrapText="1"/>
    </xf>
    <xf numFmtId="0" fontId="56" fillId="35" borderId="8" xfId="0" applyFont="1" applyFill="1" applyBorder="1" applyAlignment="1">
      <alignment horizontal="right" vertical="center" wrapText="1"/>
    </xf>
    <xf numFmtId="0" fontId="56" fillId="35" borderId="9" xfId="0" applyFont="1" applyFill="1" applyBorder="1" applyAlignment="1">
      <alignment horizontal="right" vertical="center" wrapText="1"/>
    </xf>
    <xf numFmtId="0" fontId="50" fillId="0" borderId="8" xfId="0" applyFont="1" applyBorder="1" applyAlignment="1">
      <alignment horizontal="left" vertical="center" wrapText="1"/>
    </xf>
    <xf numFmtId="0" fontId="50" fillId="0" borderId="9" xfId="0" applyFont="1" applyBorder="1" applyAlignment="1">
      <alignment horizontal="left" vertical="center" wrapText="1"/>
    </xf>
    <xf numFmtId="0" fontId="50" fillId="0" borderId="10" xfId="0" applyFont="1" applyBorder="1" applyAlignment="1">
      <alignment horizontal="left" vertical="center" wrapText="1"/>
    </xf>
    <xf numFmtId="0" fontId="48" fillId="0" borderId="0" xfId="0" applyFont="1" applyAlignment="1">
      <alignment horizontal="center"/>
    </xf>
    <xf numFmtId="0" fontId="56" fillId="35" borderId="8" xfId="0" applyFont="1" applyFill="1" applyBorder="1" applyAlignment="1">
      <alignment horizontal="left" vertical="center" wrapText="1"/>
    </xf>
    <xf numFmtId="0" fontId="56" fillId="35" borderId="9" xfId="0" applyFont="1" applyFill="1" applyBorder="1" applyAlignment="1">
      <alignment horizontal="left" vertical="center" wrapText="1"/>
    </xf>
    <xf numFmtId="0" fontId="67" fillId="0" borderId="0" xfId="0" applyFont="1" applyAlignment="1">
      <alignment horizontal="justify" vertical="top" wrapText="1"/>
    </xf>
    <xf numFmtId="170" fontId="87" fillId="0" borderId="0" xfId="4" applyNumberFormat="1" applyFont="1" applyAlignment="1">
      <alignment horizontal="left"/>
    </xf>
    <xf numFmtId="0" fontId="59" fillId="0" borderId="0" xfId="0" applyFont="1" applyAlignment="1">
      <alignment horizontal="center"/>
    </xf>
    <xf numFmtId="0" fontId="53" fillId="0" borderId="0" xfId="0" applyFont="1" applyAlignment="1">
      <alignment horizontal="justify" vertical="top"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35"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0" fillId="0" borderId="36" xfId="0" applyBorder="1" applyAlignment="1">
      <alignment horizontal="left" vertical="center" wrapText="1"/>
    </xf>
    <xf numFmtId="0" fontId="0" fillId="0" borderId="6" xfId="0" applyBorder="1" applyAlignment="1">
      <alignment horizontal="left" vertical="center" wrapText="1"/>
    </xf>
    <xf numFmtId="0" fontId="0" fillId="0" borderId="34" xfId="0" applyBorder="1" applyAlignment="1">
      <alignment horizontal="left" vertical="center" wrapText="1"/>
    </xf>
    <xf numFmtId="0" fontId="69" fillId="3" borderId="8" xfId="0" applyFont="1" applyFill="1" applyBorder="1" applyAlignment="1">
      <alignment horizontal="justify" vertical="center"/>
    </xf>
    <xf numFmtId="0" fontId="69" fillId="3" borderId="9" xfId="0" applyFont="1" applyFill="1" applyBorder="1" applyAlignment="1">
      <alignment horizontal="justify" vertical="center"/>
    </xf>
    <xf numFmtId="0" fontId="87" fillId="0" borderId="0" xfId="4" applyFont="1" applyAlignment="1">
      <alignment horizontal="right"/>
    </xf>
    <xf numFmtId="0" fontId="48" fillId="3" borderId="0" xfId="0" applyFont="1" applyFill="1" applyAlignment="1">
      <alignment horizontal="center"/>
    </xf>
    <xf numFmtId="0" fontId="6" fillId="35" borderId="18" xfId="0" applyFont="1" applyFill="1" applyBorder="1" applyAlignment="1">
      <alignment horizontal="center" vertical="center"/>
    </xf>
    <xf numFmtId="0" fontId="69" fillId="3" borderId="18" xfId="0" applyFont="1" applyFill="1" applyBorder="1" applyAlignment="1">
      <alignment horizontal="justify" vertical="center"/>
    </xf>
    <xf numFmtId="0" fontId="52" fillId="3" borderId="0" xfId="0" applyFont="1" applyFill="1" applyAlignment="1">
      <alignment horizontal="left" wrapText="1"/>
    </xf>
    <xf numFmtId="0" fontId="52" fillId="3" borderId="0" xfId="0" applyFont="1" applyFill="1" applyAlignment="1">
      <alignment horizontal="left"/>
    </xf>
    <xf numFmtId="0" fontId="33" fillId="4" borderId="8" xfId="0" applyFont="1" applyFill="1" applyBorder="1" applyAlignment="1">
      <alignment horizontal="left" vertical="center"/>
    </xf>
    <xf numFmtId="0" fontId="33" fillId="4" borderId="9" xfId="0" applyFont="1" applyFill="1" applyBorder="1" applyAlignment="1">
      <alignment horizontal="left" vertical="center"/>
    </xf>
    <xf numFmtId="0" fontId="33" fillId="4" borderId="10" xfId="0" applyFont="1" applyFill="1" applyBorder="1" applyAlignment="1">
      <alignment horizontal="left" vertical="center"/>
    </xf>
    <xf numFmtId="0" fontId="27" fillId="33" borderId="8" xfId="0" applyFont="1" applyFill="1" applyBorder="1" applyAlignment="1">
      <alignment horizontal="left" vertical="center" wrapText="1"/>
    </xf>
    <xf numFmtId="0" fontId="27" fillId="33" borderId="10" xfId="0" applyFont="1" applyFill="1" applyBorder="1" applyAlignment="1">
      <alignment horizontal="left" vertical="center" wrapText="1"/>
    </xf>
    <xf numFmtId="0" fontId="29" fillId="2" borderId="8" xfId="0" applyFont="1" applyFill="1" applyBorder="1" applyAlignment="1">
      <alignment horizontal="left" vertical="center"/>
    </xf>
    <xf numFmtId="0" fontId="29" fillId="2" borderId="9" xfId="0" applyFont="1" applyFill="1" applyBorder="1" applyAlignment="1">
      <alignment horizontal="left" vertical="center"/>
    </xf>
    <xf numFmtId="0" fontId="29" fillId="2" borderId="10" xfId="0" applyFont="1" applyFill="1" applyBorder="1" applyAlignment="1">
      <alignment horizontal="left" vertical="center"/>
    </xf>
    <xf numFmtId="0" fontId="30" fillId="34" borderId="4" xfId="0" applyFont="1" applyFill="1" applyBorder="1" applyAlignment="1" applyProtection="1">
      <alignment horizontal="left" vertical="top" wrapText="1"/>
      <protection locked="0"/>
    </xf>
    <xf numFmtId="0" fontId="30" fillId="34" borderId="0" xfId="0" applyFont="1" applyFill="1" applyAlignment="1" applyProtection="1">
      <alignment horizontal="left" vertical="top" wrapText="1"/>
      <protection locked="0"/>
    </xf>
    <xf numFmtId="0" fontId="30" fillId="34" borderId="5" xfId="0" applyFont="1" applyFill="1" applyBorder="1" applyAlignment="1" applyProtection="1">
      <alignment horizontal="left" vertical="top" wrapText="1"/>
      <protection locked="0"/>
    </xf>
    <xf numFmtId="0" fontId="30" fillId="34" borderId="29" xfId="0" applyFont="1" applyFill="1" applyBorder="1" applyAlignment="1" applyProtection="1">
      <alignment horizontal="left" vertical="top" wrapText="1"/>
      <protection locked="0"/>
    </xf>
    <xf numFmtId="0" fontId="30" fillId="34" borderId="6" xfId="0" applyFont="1" applyFill="1" applyBorder="1" applyAlignment="1" applyProtection="1">
      <alignment horizontal="left" vertical="top" wrapText="1"/>
      <protection locked="0"/>
    </xf>
    <xf numFmtId="0" fontId="30" fillId="34" borderId="7" xfId="0" applyFont="1" applyFill="1" applyBorder="1" applyAlignment="1" applyProtection="1">
      <alignment horizontal="left" vertical="top" wrapText="1"/>
      <protection locked="0"/>
    </xf>
    <xf numFmtId="0" fontId="29" fillId="5" borderId="4" xfId="0" applyFont="1" applyFill="1" applyBorder="1" applyAlignment="1">
      <alignment horizontal="left" vertical="center" wrapText="1"/>
    </xf>
    <xf numFmtId="0" fontId="29" fillId="5" borderId="0" xfId="0" applyFont="1" applyFill="1" applyAlignment="1">
      <alignment horizontal="left" vertical="center" wrapText="1"/>
    </xf>
    <xf numFmtId="0" fontId="29" fillId="5" borderId="27" xfId="0" applyFont="1" applyFill="1" applyBorder="1" applyAlignment="1">
      <alignment horizontal="left" vertical="center" wrapText="1"/>
    </xf>
    <xf numFmtId="0" fontId="29" fillId="5" borderId="15" xfId="0" applyFont="1" applyFill="1" applyBorder="1" applyAlignment="1">
      <alignment horizontal="left" vertical="center" wrapText="1"/>
    </xf>
    <xf numFmtId="0" fontId="30" fillId="33" borderId="8" xfId="0" applyFont="1" applyFill="1" applyBorder="1" applyAlignment="1">
      <alignment horizontal="center" vertical="center"/>
    </xf>
    <xf numFmtId="0" fontId="30" fillId="33" borderId="39" xfId="0" applyFont="1" applyFill="1" applyBorder="1" applyAlignment="1">
      <alignment horizontal="center" vertical="center"/>
    </xf>
    <xf numFmtId="0" fontId="30" fillId="34" borderId="8" xfId="0" applyFont="1" applyFill="1" applyBorder="1" applyAlignment="1" applyProtection="1">
      <alignment horizontal="center" vertical="center"/>
      <protection locked="0"/>
    </xf>
    <xf numFmtId="0" fontId="30" fillId="34" borderId="10" xfId="0" applyFont="1" applyFill="1" applyBorder="1" applyAlignment="1" applyProtection="1">
      <alignment horizontal="center" vertical="center"/>
      <protection locked="0"/>
    </xf>
    <xf numFmtId="0" fontId="28" fillId="4" borderId="29" xfId="0" applyFont="1" applyFill="1" applyBorder="1" applyAlignment="1">
      <alignment horizontal="left" vertical="center"/>
    </xf>
    <xf numFmtId="0" fontId="28" fillId="4" borderId="6" xfId="0" applyFont="1" applyFill="1" applyBorder="1" applyAlignment="1">
      <alignment horizontal="left" vertical="center"/>
    </xf>
    <xf numFmtId="0" fontId="28" fillId="4" borderId="7" xfId="0" applyFont="1" applyFill="1" applyBorder="1" applyAlignment="1">
      <alignment horizontal="left" vertical="center"/>
    </xf>
    <xf numFmtId="0" fontId="28" fillId="4" borderId="41" xfId="0" applyFont="1" applyFill="1" applyBorder="1" applyAlignment="1">
      <alignment horizontal="left" vertical="center"/>
    </xf>
    <xf numFmtId="0" fontId="28" fillId="4" borderId="42" xfId="0" applyFont="1" applyFill="1" applyBorder="1" applyAlignment="1">
      <alignment horizontal="left" vertical="center"/>
    </xf>
    <xf numFmtId="0" fontId="28" fillId="4" borderId="43" xfId="0" applyFont="1" applyFill="1" applyBorder="1" applyAlignment="1">
      <alignment horizontal="left" vertical="center"/>
    </xf>
    <xf numFmtId="0" fontId="29" fillId="0" borderId="15" xfId="0" applyFont="1" applyBorder="1" applyAlignment="1" applyProtection="1">
      <alignment horizontal="center" vertical="center"/>
      <protection locked="0"/>
    </xf>
    <xf numFmtId="0" fontId="29" fillId="5" borderId="29" xfId="0" applyFont="1" applyFill="1" applyBorder="1" applyAlignment="1">
      <alignment horizontal="left" vertical="center" wrapText="1"/>
    </xf>
    <xf numFmtId="0" fontId="29" fillId="5" borderId="6" xfId="0" applyFont="1" applyFill="1" applyBorder="1" applyAlignment="1">
      <alignment horizontal="left" vertical="center" wrapText="1"/>
    </xf>
    <xf numFmtId="0" fontId="30" fillId="0" borderId="8" xfId="0" applyFont="1" applyBorder="1" applyAlignment="1">
      <alignment vertical="center"/>
    </xf>
    <xf numFmtId="0" fontId="30" fillId="0" borderId="9" xfId="0" applyFont="1" applyBorder="1" applyAlignment="1">
      <alignment vertical="center"/>
    </xf>
    <xf numFmtId="0" fontId="30" fillId="0" borderId="10" xfId="0" applyFont="1" applyBorder="1" applyAlignment="1">
      <alignment vertical="center"/>
    </xf>
    <xf numFmtId="0" fontId="31" fillId="7" borderId="41" xfId="0" applyFont="1" applyFill="1" applyBorder="1" applyAlignment="1">
      <alignment horizontal="left" vertical="center"/>
    </xf>
    <xf numFmtId="0" fontId="31" fillId="7" borderId="42" xfId="0" applyFont="1" applyFill="1" applyBorder="1" applyAlignment="1">
      <alignment horizontal="left" vertical="center"/>
    </xf>
    <xf numFmtId="0" fontId="31" fillId="7" borderId="43" xfId="0" applyFont="1" applyFill="1" applyBorder="1" applyAlignment="1">
      <alignment horizontal="left" vertical="center"/>
    </xf>
    <xf numFmtId="0" fontId="3" fillId="4" borderId="4" xfId="0" applyFont="1" applyFill="1" applyBorder="1" applyAlignment="1">
      <alignment horizontal="left" vertical="center"/>
    </xf>
    <xf numFmtId="0" fontId="3" fillId="4" borderId="0" xfId="0" applyFont="1" applyFill="1" applyAlignment="1">
      <alignment horizontal="left" vertical="center"/>
    </xf>
    <xf numFmtId="0" fontId="3" fillId="4" borderId="5" xfId="0" applyFont="1" applyFill="1" applyBorder="1" applyAlignment="1">
      <alignment horizontal="left" vertical="center"/>
    </xf>
    <xf numFmtId="0" fontId="9" fillId="0" borderId="0" xfId="0" applyFont="1" applyAlignment="1">
      <alignment horizontal="center" vertical="center"/>
    </xf>
    <xf numFmtId="14" fontId="30" fillId="34" borderId="36" xfId="0" applyNumberFormat="1" applyFont="1" applyFill="1" applyBorder="1" applyAlignment="1" applyProtection="1">
      <alignment vertical="center"/>
      <protection locked="0"/>
    </xf>
    <xf numFmtId="14" fontId="30" fillId="34" borderId="34" xfId="0" applyNumberFormat="1" applyFont="1" applyFill="1" applyBorder="1" applyAlignment="1" applyProtection="1">
      <alignment vertical="center"/>
      <protection locked="0"/>
    </xf>
    <xf numFmtId="0" fontId="35" fillId="3" borderId="6" xfId="0" applyFont="1" applyFill="1" applyBorder="1" applyAlignment="1" applyProtection="1">
      <alignment horizontal="left" vertical="center"/>
      <protection locked="0"/>
    </xf>
    <xf numFmtId="0" fontId="35" fillId="3" borderId="34" xfId="0" applyFont="1" applyFill="1" applyBorder="1" applyAlignment="1" applyProtection="1">
      <alignment horizontal="left" vertical="center"/>
      <protection locked="0"/>
    </xf>
    <xf numFmtId="14" fontId="35" fillId="34" borderId="8" xfId="0" applyNumberFormat="1" applyFont="1" applyFill="1" applyBorder="1" applyAlignment="1" applyProtection="1">
      <alignment horizontal="left" vertical="center"/>
      <protection locked="0"/>
    </xf>
    <xf numFmtId="14" fontId="35" fillId="34" borderId="10" xfId="0" applyNumberFormat="1" applyFont="1" applyFill="1" applyBorder="1" applyAlignment="1" applyProtection="1">
      <alignment horizontal="left" vertical="center"/>
      <protection locked="0"/>
    </xf>
    <xf numFmtId="0" fontId="15" fillId="34" borderId="8" xfId="0" applyFont="1" applyFill="1" applyBorder="1" applyAlignment="1" applyProtection="1">
      <alignment horizontal="left" vertical="center"/>
      <protection locked="0"/>
    </xf>
    <xf numFmtId="0" fontId="15" fillId="34" borderId="10" xfId="0" applyFont="1" applyFill="1" applyBorder="1" applyAlignment="1" applyProtection="1">
      <alignment horizontal="left" vertical="center"/>
      <protection locked="0"/>
    </xf>
    <xf numFmtId="0" fontId="35" fillId="34" borderId="18" xfId="0" applyFont="1" applyFill="1" applyBorder="1" applyAlignment="1" applyProtection="1">
      <alignment horizontal="left" vertical="center"/>
      <protection locked="0"/>
    </xf>
    <xf numFmtId="0" fontId="34" fillId="2" borderId="18" xfId="0" applyFont="1" applyFill="1" applyBorder="1" applyAlignment="1">
      <alignment horizontal="center" vertical="center"/>
    </xf>
    <xf numFmtId="0" fontId="35" fillId="3" borderId="35" xfId="0" applyFont="1" applyFill="1" applyBorder="1" applyAlignment="1" applyProtection="1">
      <alignment horizontal="left" vertical="center"/>
      <protection locked="0"/>
    </xf>
    <xf numFmtId="0" fontId="35" fillId="3" borderId="0" xfId="0" applyFont="1" applyFill="1" applyAlignment="1" applyProtection="1">
      <alignment horizontal="left" vertical="center"/>
      <protection locked="0"/>
    </xf>
    <xf numFmtId="0" fontId="35" fillId="34" borderId="8" xfId="0" applyFont="1" applyFill="1" applyBorder="1" applyAlignment="1" applyProtection="1">
      <alignment horizontal="left" vertical="center"/>
      <protection locked="0"/>
    </xf>
    <xf numFmtId="0" fontId="35" fillId="34" borderId="9" xfId="0" applyFont="1" applyFill="1" applyBorder="1" applyAlignment="1" applyProtection="1">
      <alignment horizontal="left" vertical="center"/>
      <protection locked="0"/>
    </xf>
    <xf numFmtId="0" fontId="35" fillId="34" borderId="10" xfId="0" applyFont="1" applyFill="1" applyBorder="1" applyAlignment="1" applyProtection="1">
      <alignment horizontal="left" vertical="center"/>
      <protection locked="0"/>
    </xf>
    <xf numFmtId="0" fontId="35" fillId="34" borderId="0" xfId="0" applyFont="1" applyFill="1" applyAlignment="1" applyProtection="1">
      <alignment horizontal="left" vertical="center"/>
      <protection locked="0"/>
    </xf>
    <xf numFmtId="0" fontId="35" fillId="3" borderId="0" xfId="0" applyFont="1" applyFill="1" applyAlignment="1" applyProtection="1">
      <alignment horizontal="center" vertical="center"/>
      <protection locked="0"/>
    </xf>
    <xf numFmtId="0" fontId="35" fillId="3" borderId="23" xfId="0" applyFont="1" applyFill="1" applyBorder="1" applyAlignment="1" applyProtection="1">
      <alignment horizontal="center" vertical="center"/>
      <protection locked="0"/>
    </xf>
    <xf numFmtId="0" fontId="17" fillId="34" borderId="9" xfId="0" applyFont="1" applyFill="1" applyBorder="1" applyAlignment="1" applyProtection="1">
      <alignment horizontal="center"/>
      <protection hidden="1"/>
    </xf>
    <xf numFmtId="0" fontId="17" fillId="34" borderId="10" xfId="0" applyFont="1" applyFill="1" applyBorder="1" applyAlignment="1" applyProtection="1">
      <alignment horizontal="center"/>
      <protection hidden="1"/>
    </xf>
    <xf numFmtId="0" fontId="16" fillId="4" borderId="33" xfId="0" applyFont="1" applyFill="1" applyBorder="1" applyAlignment="1">
      <alignment horizontal="left" vertical="center"/>
    </xf>
    <xf numFmtId="0" fontId="16" fillId="4" borderId="18" xfId="0" applyFont="1" applyFill="1" applyBorder="1" applyAlignment="1">
      <alignment horizontal="left" vertical="center"/>
    </xf>
    <xf numFmtId="0" fontId="35" fillId="34" borderId="8" xfId="0" applyFont="1" applyFill="1" applyBorder="1" applyAlignment="1" applyProtection="1">
      <alignment horizontal="justify" vertical="center"/>
      <protection locked="0"/>
    </xf>
    <xf numFmtId="0" fontId="35" fillId="34" borderId="9" xfId="0" applyFont="1" applyFill="1" applyBorder="1" applyAlignment="1" applyProtection="1">
      <alignment horizontal="justify" vertical="center"/>
      <protection locked="0"/>
    </xf>
    <xf numFmtId="0" fontId="16" fillId="4" borderId="22" xfId="0" applyFont="1" applyFill="1" applyBorder="1" applyAlignment="1">
      <alignment horizontal="left" vertical="center"/>
    </xf>
    <xf numFmtId="0" fontId="33" fillId="4" borderId="19" xfId="0" applyFont="1" applyFill="1" applyBorder="1" applyAlignment="1">
      <alignment horizontal="left" vertical="center"/>
    </xf>
    <xf numFmtId="0" fontId="33" fillId="4" borderId="18" xfId="0" applyFont="1" applyFill="1" applyBorder="1" applyAlignment="1">
      <alignment horizontal="left" vertical="center"/>
    </xf>
    <xf numFmtId="0" fontId="35" fillId="34" borderId="10" xfId="0" applyFont="1" applyFill="1" applyBorder="1" applyAlignment="1" applyProtection="1">
      <alignment horizontal="justify" vertical="center"/>
      <protection locked="0"/>
    </xf>
    <xf numFmtId="0" fontId="35" fillId="34" borderId="18" xfId="0" applyFont="1" applyFill="1" applyBorder="1" applyAlignment="1" applyProtection="1">
      <alignment horizontal="justify" vertical="center"/>
      <protection locked="0"/>
    </xf>
    <xf numFmtId="168" fontId="35" fillId="34" borderId="8" xfId="0" applyNumberFormat="1" applyFont="1" applyFill="1" applyBorder="1" applyAlignment="1" applyProtection="1">
      <alignment horizontal="right" vertical="center"/>
      <protection locked="0"/>
    </xf>
    <xf numFmtId="168" fontId="35" fillId="34" borderId="9" xfId="0" applyNumberFormat="1" applyFont="1" applyFill="1" applyBorder="1" applyAlignment="1" applyProtection="1">
      <alignment horizontal="right" vertical="center"/>
      <protection locked="0"/>
    </xf>
    <xf numFmtId="0" fontId="34" fillId="33" borderId="18" xfId="0" applyFont="1" applyFill="1" applyBorder="1" applyAlignment="1">
      <alignment horizontal="left" vertical="center"/>
    </xf>
    <xf numFmtId="0" fontId="34" fillId="36" borderId="18" xfId="0" applyFont="1" applyFill="1" applyBorder="1" applyAlignment="1">
      <alignment horizontal="center" vertical="center"/>
    </xf>
    <xf numFmtId="0" fontId="36" fillId="34" borderId="8" xfId="0" applyFont="1" applyFill="1" applyBorder="1" applyAlignment="1" applyProtection="1">
      <alignment horizontal="left" vertical="center"/>
      <protection locked="0"/>
    </xf>
    <xf numFmtId="0" fontId="36" fillId="34" borderId="10" xfId="0" applyFont="1" applyFill="1" applyBorder="1" applyAlignment="1" applyProtection="1">
      <alignment horizontal="left" vertical="center"/>
      <protection locked="0"/>
    </xf>
    <xf numFmtId="14" fontId="14" fillId="6" borderId="8" xfId="0" applyNumberFormat="1" applyFont="1" applyFill="1" applyBorder="1" applyAlignment="1">
      <alignment horizontal="center" vertical="center" wrapText="1"/>
    </xf>
    <xf numFmtId="14" fontId="14" fillId="6" borderId="10" xfId="0" applyNumberFormat="1"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27" fillId="6" borderId="8" xfId="0" applyFont="1" applyFill="1" applyBorder="1" applyAlignment="1">
      <alignment horizontal="left" vertical="center"/>
    </xf>
    <xf numFmtId="0" fontId="27" fillId="6" borderId="10" xfId="0" applyFont="1" applyFill="1" applyBorder="1" applyAlignment="1">
      <alignment horizontal="left" vertical="center"/>
    </xf>
    <xf numFmtId="0" fontId="35" fillId="3" borderId="15" xfId="0" applyFont="1" applyFill="1" applyBorder="1" applyAlignment="1" applyProtection="1">
      <alignment horizontal="left" vertical="center"/>
      <protection locked="0"/>
    </xf>
    <xf numFmtId="0" fontId="35" fillId="3" borderId="16" xfId="0" applyFont="1" applyFill="1" applyBorder="1" applyAlignment="1" applyProtection="1">
      <alignment horizontal="left" vertical="center"/>
      <protection locked="0"/>
    </xf>
    <xf numFmtId="0" fontId="33" fillId="7" borderId="8" xfId="0" applyFont="1" applyFill="1" applyBorder="1" applyAlignment="1">
      <alignment horizontal="left" vertical="center"/>
    </xf>
    <xf numFmtId="0" fontId="33" fillId="7" borderId="9" xfId="0" applyFont="1" applyFill="1" applyBorder="1" applyAlignment="1">
      <alignment horizontal="left" vertical="center"/>
    </xf>
    <xf numFmtId="0" fontId="33" fillId="7" borderId="10" xfId="0" applyFont="1" applyFill="1" applyBorder="1" applyAlignment="1">
      <alignment horizontal="left" vertical="center"/>
    </xf>
    <xf numFmtId="0" fontId="30" fillId="0" borderId="0" xfId="0" applyFont="1" applyAlignment="1" applyProtection="1">
      <alignment horizontal="left" vertical="center"/>
      <protection locked="0"/>
    </xf>
  </cellXfs>
  <cellStyles count="42">
    <cellStyle name="Comma0 - Style1" xfId="7" xr:uid="{177A715A-D9C1-4AAD-9F22-F5B235FE45C0}"/>
    <cellStyle name="Comma1 - Style1" xfId="8" xr:uid="{8C41693D-0792-4DED-A679-3DA5B12B4953}"/>
    <cellStyle name="Comma1 - Style2" xfId="9" xr:uid="{0A5251F0-12FF-4382-9837-51F24C709429}"/>
    <cellStyle name="Date" xfId="10" xr:uid="{98DD4C6C-D483-4C7C-B51A-FC86B317FD8F}"/>
    <cellStyle name="Euro" xfId="11" xr:uid="{966DC369-7729-43F4-B96E-B50DAAA0210E}"/>
    <cellStyle name="F2" xfId="12" xr:uid="{16B7D65B-6B9C-4880-A7AF-6FE36D621881}"/>
    <cellStyle name="F3" xfId="13" xr:uid="{65C5BFD7-D404-4278-8087-E12591A2FFCF}"/>
    <cellStyle name="F4" xfId="14" xr:uid="{D1038C2F-57B8-4548-AF9D-C1EEE75EC915}"/>
    <cellStyle name="F5" xfId="15" xr:uid="{68E5FF8A-62F2-42C6-A039-3CE606CA7D56}"/>
    <cellStyle name="F6" xfId="16" xr:uid="{2B5D59D5-5921-4EC4-8360-A23A78085CC2}"/>
    <cellStyle name="F7" xfId="17" xr:uid="{BEE32D93-2592-4871-97B5-B612116AF884}"/>
    <cellStyle name="F8" xfId="18" xr:uid="{1AB7ED4B-21FF-4CC6-B669-6D71AA1E1713}"/>
    <cellStyle name="Fixed" xfId="19" xr:uid="{B30E559B-247D-436E-9D22-7A9E5753041E}"/>
    <cellStyle name="HEADING1" xfId="20" xr:uid="{F3817029-FFAB-419E-9C8F-B0845FDA7BDA}"/>
    <cellStyle name="HEADING2" xfId="21" xr:uid="{6A1B3A6B-65AD-441E-8834-ED54C09B5A63}"/>
    <cellStyle name="Hipervínculo 2" xfId="33" xr:uid="{6887E607-65A0-4DCD-80E8-F2A82A5DFAE8}"/>
    <cellStyle name="Millares" xfId="41" builtinId="3"/>
    <cellStyle name="Millares 2" xfId="6" xr:uid="{0558DC76-CB92-4F3D-8CCD-A95C8E58FE6D}"/>
    <cellStyle name="Millares 2 2" xfId="23" xr:uid="{DD901A0F-A8C1-4202-84BB-1C8F698D1343}"/>
    <cellStyle name="Millares 2 2 2" xfId="39" xr:uid="{81B44DAE-4390-464E-946D-47283DACC6F7}"/>
    <cellStyle name="Millares 3" xfId="24" xr:uid="{8F6A6816-BAEB-4A4D-803E-F2E3EBE90C1F}"/>
    <cellStyle name="Millares 3 2" xfId="32" xr:uid="{1496BB31-9BC9-4BCC-B504-2916002CE916}"/>
    <cellStyle name="Millares 4" xfId="22" xr:uid="{7D3E2A49-76E6-4ABA-896F-D11474385C82}"/>
    <cellStyle name="Millares 5" xfId="40" xr:uid="{BC3E65FB-4F0A-4798-BBD7-6253EDB33BD6}"/>
    <cellStyle name="Normal" xfId="0" builtinId="0"/>
    <cellStyle name="Normal 2" xfId="4" xr:uid="{2A1C1A86-9626-4E42-B91A-700697DD064F}"/>
    <cellStyle name="Normal 2 2 2" xfId="2" xr:uid="{00000000-0005-0000-0000-000002000000}"/>
    <cellStyle name="Normal 3" xfId="3" xr:uid="{00000000-0005-0000-0000-000003000000}"/>
    <cellStyle name="Normal 3 2" xfId="25" xr:uid="{99C1A497-E42D-4595-A09B-60DA5060D7D5}"/>
    <cellStyle name="Normal 3 2 2" xfId="37" xr:uid="{632A12EF-562D-4009-BD48-282E5BF220A1}"/>
    <cellStyle name="Normal 3 3" xfId="35" xr:uid="{0DB239DB-D429-41EE-840C-329549D71438}"/>
    <cellStyle name="Normal 4" xfId="34" xr:uid="{514C57E2-4610-4711-87F0-DA659160B996}"/>
    <cellStyle name="Percen - Style2" xfId="26" xr:uid="{97EAF49D-3412-4CD1-A863-0AFD19CF9315}"/>
    <cellStyle name="Porcentaje" xfId="1" builtinId="5"/>
    <cellStyle name="Porcentaje 2" xfId="5" xr:uid="{8F388761-48F4-4B75-B2A2-863E4E19C655}"/>
    <cellStyle name="Porcentaje 2 2" xfId="28" xr:uid="{9B9A45BF-75EF-4CCA-8FB1-48130B4B1028}"/>
    <cellStyle name="Porcentaje 2 2 2" xfId="36" xr:uid="{5CE7CAA6-039F-4ED5-A834-6C9935F040D4}"/>
    <cellStyle name="Porcentaje 2 3" xfId="38" xr:uid="{B078BCC9-A75B-4BCF-8BA3-B85CF635203C}"/>
    <cellStyle name="Porcentaje 3" xfId="29" xr:uid="{F0C6C9D8-A274-4042-A904-7FCAD8B0E939}"/>
    <cellStyle name="Porcentaje 4" xfId="27" xr:uid="{E0AC4EF0-D125-4CC8-9412-249ADBD3524C}"/>
    <cellStyle name="RM" xfId="30" xr:uid="{B5344D04-9DAB-4ED5-8C9D-D1F9769BF7AD}"/>
    <cellStyle name="Total 2" xfId="31" xr:uid="{B8CB434F-655D-4AA5-B6FA-36CAF987A9C7}"/>
  </cellStyles>
  <dxfs count="1">
    <dxf>
      <fill>
        <patternFill>
          <bgColor theme="5" tint="0.39994506668294322"/>
        </patternFill>
      </fill>
    </dxf>
  </dxfs>
  <tableStyles count="0" defaultTableStyle="TableStyleMedium9" defaultPivotStyle="PivotStyleLight16"/>
  <colors>
    <mruColors>
      <color rgb="FFFFFF99"/>
      <color rgb="FFCCFFFF"/>
      <color rgb="FFCCFF33"/>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34</xdr:col>
      <xdr:colOff>20708</xdr:colOff>
      <xdr:row>483</xdr:row>
      <xdr:rowOff>142875</xdr:rowOff>
    </xdr:from>
    <xdr:to>
      <xdr:col>46</xdr:col>
      <xdr:colOff>85466</xdr:colOff>
      <xdr:row>705</xdr:row>
      <xdr:rowOff>91530</xdr:rowOff>
    </xdr:to>
    <xdr:pic>
      <xdr:nvPicPr>
        <xdr:cNvPr id="2" name="8 Imagen">
          <a:extLst>
            <a:ext uri="{FF2B5EF4-FFF2-40B4-BE49-F238E27FC236}">
              <a16:creationId xmlns:a16="http://schemas.microsoft.com/office/drawing/2014/main" id="{4BF21C6B-E5FE-42FC-BCC5-7BCE7379B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4354583" y="90716100"/>
          <a:ext cx="1712583" cy="8440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47625</xdr:colOff>
      <xdr:row>834</xdr:row>
      <xdr:rowOff>86535</xdr:rowOff>
    </xdr:from>
    <xdr:to>
      <xdr:col>46</xdr:col>
      <xdr:colOff>59660</xdr:colOff>
      <xdr:row>835</xdr:row>
      <xdr:rowOff>646046</xdr:rowOff>
    </xdr:to>
    <xdr:pic>
      <xdr:nvPicPr>
        <xdr:cNvPr id="3" name="8 Imagen">
          <a:extLst>
            <a:ext uri="{FF2B5EF4-FFF2-40B4-BE49-F238E27FC236}">
              <a16:creationId xmlns:a16="http://schemas.microsoft.com/office/drawing/2014/main" id="{64D31100-2A2F-4375-9E5E-E1F2854111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3876675" y="135446310"/>
          <a:ext cx="2164685" cy="1073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28575</xdr:colOff>
      <xdr:row>22</xdr:row>
      <xdr:rowOff>9525</xdr:rowOff>
    </xdr:from>
    <xdr:to>
      <xdr:col>44</xdr:col>
      <xdr:colOff>0</xdr:colOff>
      <xdr:row>25</xdr:row>
      <xdr:rowOff>133350</xdr:rowOff>
    </xdr:to>
    <xdr:sp macro="" textlink="">
      <xdr:nvSpPr>
        <xdr:cNvPr id="4" name="Oval 121">
          <a:extLst>
            <a:ext uri="{FF2B5EF4-FFF2-40B4-BE49-F238E27FC236}">
              <a16:creationId xmlns:a16="http://schemas.microsoft.com/office/drawing/2014/main" id="{BD62DFCE-0A91-4325-B87C-A8CA3DF411E8}"/>
            </a:ext>
          </a:extLst>
        </xdr:cNvPr>
        <xdr:cNvSpPr>
          <a:spLocks noChangeArrowheads="1"/>
        </xdr:cNvSpPr>
      </xdr:nvSpPr>
      <xdr:spPr bwMode="auto">
        <a:xfrm>
          <a:off x="4962525" y="4543425"/>
          <a:ext cx="638175" cy="638175"/>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29</xdr:col>
      <xdr:colOff>10893</xdr:colOff>
      <xdr:row>313</xdr:row>
      <xdr:rowOff>128221</xdr:rowOff>
    </xdr:from>
    <xdr:to>
      <xdr:col>32</xdr:col>
      <xdr:colOff>21981</xdr:colOff>
      <xdr:row>314</xdr:row>
      <xdr:rowOff>205154</xdr:rowOff>
    </xdr:to>
    <xdr:sp macro="" textlink="">
      <xdr:nvSpPr>
        <xdr:cNvPr id="5" name="Oval 121">
          <a:extLst>
            <a:ext uri="{FF2B5EF4-FFF2-40B4-BE49-F238E27FC236}">
              <a16:creationId xmlns:a16="http://schemas.microsoft.com/office/drawing/2014/main" id="{12E2D031-83D3-4BED-B1EF-7D0B2C9AE76F}"/>
            </a:ext>
          </a:extLst>
        </xdr:cNvPr>
        <xdr:cNvSpPr>
          <a:spLocks noChangeArrowheads="1"/>
        </xdr:cNvSpPr>
      </xdr:nvSpPr>
      <xdr:spPr bwMode="auto">
        <a:xfrm flipH="1">
          <a:off x="3725643" y="69822646"/>
          <a:ext cx="353988" cy="343633"/>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40934</xdr:colOff>
      <xdr:row>313</xdr:row>
      <xdr:rowOff>211748</xdr:rowOff>
    </xdr:from>
    <xdr:to>
      <xdr:col>10</xdr:col>
      <xdr:colOff>11528</xdr:colOff>
      <xdr:row>315</xdr:row>
      <xdr:rowOff>17587</xdr:rowOff>
    </xdr:to>
    <xdr:sp macro="" textlink="">
      <xdr:nvSpPr>
        <xdr:cNvPr id="7" name="17 Elipse">
          <a:extLst>
            <a:ext uri="{FF2B5EF4-FFF2-40B4-BE49-F238E27FC236}">
              <a16:creationId xmlns:a16="http://schemas.microsoft.com/office/drawing/2014/main" id="{D2E62D41-BE67-4051-9370-4D83D32225B6}"/>
            </a:ext>
          </a:extLst>
        </xdr:cNvPr>
        <xdr:cNvSpPr/>
      </xdr:nvSpPr>
      <xdr:spPr bwMode="auto">
        <a:xfrm>
          <a:off x="955334" y="69906173"/>
          <a:ext cx="313494"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editAs="oneCell">
    <xdr:from>
      <xdr:col>6</xdr:col>
      <xdr:colOff>42206</xdr:colOff>
      <xdr:row>11</xdr:row>
      <xdr:rowOff>32188</xdr:rowOff>
    </xdr:from>
    <xdr:to>
      <xdr:col>12</xdr:col>
      <xdr:colOff>80306</xdr:colOff>
      <xdr:row>11</xdr:row>
      <xdr:rowOff>262759</xdr:rowOff>
    </xdr:to>
    <xdr:pic>
      <xdr:nvPicPr>
        <xdr:cNvPr id="9" name="1 Imagen">
          <a:extLst>
            <a:ext uri="{FF2B5EF4-FFF2-40B4-BE49-F238E27FC236}">
              <a16:creationId xmlns:a16="http://schemas.microsoft.com/office/drawing/2014/main" id="{3DF18BA3-532B-4B1E-9950-FF320182F2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2306" y="2013388"/>
          <a:ext cx="723900" cy="230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76200</xdr:colOff>
      <xdr:row>96</xdr:row>
      <xdr:rowOff>9525</xdr:rowOff>
    </xdr:from>
    <xdr:to>
      <xdr:col>16</xdr:col>
      <xdr:colOff>84992</xdr:colOff>
      <xdr:row>97</xdr:row>
      <xdr:rowOff>104776</xdr:rowOff>
    </xdr:to>
    <xdr:pic>
      <xdr:nvPicPr>
        <xdr:cNvPr id="10" name="Picture 289">
          <a:extLst>
            <a:ext uri="{FF2B5EF4-FFF2-40B4-BE49-F238E27FC236}">
              <a16:creationId xmlns:a16="http://schemas.microsoft.com/office/drawing/2014/main" id="{15B2189F-C6FE-4D72-AA21-F06BB007270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6897"/>
        <a:stretch>
          <a:fillRect/>
        </a:stretch>
      </xdr:blipFill>
      <xdr:spPr bwMode="auto">
        <a:xfrm>
          <a:off x="990600" y="20164425"/>
          <a:ext cx="1094642" cy="3429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27</xdr:col>
      <xdr:colOff>40201</xdr:colOff>
      <xdr:row>428</xdr:row>
      <xdr:rowOff>142875</xdr:rowOff>
    </xdr:from>
    <xdr:to>
      <xdr:col>30</xdr:col>
      <xdr:colOff>97351</xdr:colOff>
      <xdr:row>430</xdr:row>
      <xdr:rowOff>28575</xdr:rowOff>
    </xdr:to>
    <xdr:sp macro="" textlink="">
      <xdr:nvSpPr>
        <xdr:cNvPr id="11" name="Oval 121">
          <a:extLst>
            <a:ext uri="{FF2B5EF4-FFF2-40B4-BE49-F238E27FC236}">
              <a16:creationId xmlns:a16="http://schemas.microsoft.com/office/drawing/2014/main" id="{9EB1FF7D-7146-4DE3-B84E-182171BCD227}"/>
            </a:ext>
          </a:extLst>
        </xdr:cNvPr>
        <xdr:cNvSpPr>
          <a:spLocks noChangeArrowheads="1"/>
        </xdr:cNvSpPr>
      </xdr:nvSpPr>
      <xdr:spPr bwMode="auto">
        <a:xfrm flipH="1">
          <a:off x="3488251" y="98307525"/>
          <a:ext cx="438150" cy="41910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106876</xdr:colOff>
      <xdr:row>425</xdr:row>
      <xdr:rowOff>228600</xdr:rowOff>
    </xdr:from>
    <xdr:to>
      <xdr:col>24</xdr:col>
      <xdr:colOff>80402</xdr:colOff>
      <xdr:row>427</xdr:row>
      <xdr:rowOff>34439</xdr:rowOff>
    </xdr:to>
    <xdr:sp macro="" textlink="">
      <xdr:nvSpPr>
        <xdr:cNvPr id="12" name="18 Elipse">
          <a:extLst>
            <a:ext uri="{FF2B5EF4-FFF2-40B4-BE49-F238E27FC236}">
              <a16:creationId xmlns:a16="http://schemas.microsoft.com/office/drawing/2014/main" id="{6B90D15D-BA9D-4F85-9CA0-5C2E17321176}"/>
            </a:ext>
          </a:extLst>
        </xdr:cNvPr>
        <xdr:cNvSpPr/>
      </xdr:nvSpPr>
      <xdr:spPr bwMode="auto">
        <a:xfrm>
          <a:off x="2821501" y="97593150"/>
          <a:ext cx="364051"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6</a:t>
          </a:r>
          <a:endParaRPr lang="es-PE" sz="1100" b="1">
            <a:solidFill>
              <a:sysClr val="windowText" lastClr="000000"/>
            </a:solidFill>
          </a:endParaRPr>
        </a:p>
      </xdr:txBody>
    </xdr:sp>
    <xdr:clientData/>
  </xdr:twoCellAnchor>
  <xdr:twoCellAnchor>
    <xdr:from>
      <xdr:col>31</xdr:col>
      <xdr:colOff>49726</xdr:colOff>
      <xdr:row>425</xdr:row>
      <xdr:rowOff>209550</xdr:rowOff>
    </xdr:from>
    <xdr:to>
      <xdr:col>34</xdr:col>
      <xdr:colOff>23252</xdr:colOff>
      <xdr:row>427</xdr:row>
      <xdr:rowOff>15389</xdr:rowOff>
    </xdr:to>
    <xdr:sp macro="" textlink="">
      <xdr:nvSpPr>
        <xdr:cNvPr id="13" name="20 Elipse">
          <a:extLst>
            <a:ext uri="{FF2B5EF4-FFF2-40B4-BE49-F238E27FC236}">
              <a16:creationId xmlns:a16="http://schemas.microsoft.com/office/drawing/2014/main" id="{4174ED37-9DCC-46A5-9F52-777D1D76F4BA}"/>
            </a:ext>
          </a:extLst>
        </xdr:cNvPr>
        <xdr:cNvSpPr/>
      </xdr:nvSpPr>
      <xdr:spPr bwMode="auto">
        <a:xfrm>
          <a:off x="3993076" y="97574100"/>
          <a:ext cx="364051"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5</a:t>
          </a:r>
          <a:endParaRPr lang="es-PE" sz="1100" b="1">
            <a:solidFill>
              <a:sysClr val="windowText" lastClr="000000"/>
            </a:solidFill>
          </a:endParaRPr>
        </a:p>
      </xdr:txBody>
    </xdr:sp>
    <xdr:clientData/>
  </xdr:twoCellAnchor>
  <xdr:twoCellAnchor editAs="oneCell">
    <xdr:from>
      <xdr:col>45</xdr:col>
      <xdr:colOff>95250</xdr:colOff>
      <xdr:row>438</xdr:row>
      <xdr:rowOff>123825</xdr:rowOff>
    </xdr:from>
    <xdr:to>
      <xdr:col>45</xdr:col>
      <xdr:colOff>125481</xdr:colOff>
      <xdr:row>441</xdr:row>
      <xdr:rowOff>107706</xdr:rowOff>
    </xdr:to>
    <xdr:pic>
      <xdr:nvPicPr>
        <xdr:cNvPr id="14" name="228 Imagen">
          <a:extLst>
            <a:ext uri="{FF2B5EF4-FFF2-40B4-BE49-F238E27FC236}">
              <a16:creationId xmlns:a16="http://schemas.microsoft.com/office/drawing/2014/main" id="{CF088FC0-4306-4032-9C78-37A1F7622A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34075" y="100422075"/>
          <a:ext cx="30231" cy="298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78132</xdr:colOff>
      <xdr:row>952</xdr:row>
      <xdr:rowOff>293077</xdr:rowOff>
    </xdr:from>
    <xdr:to>
      <xdr:col>45</xdr:col>
      <xdr:colOff>105184</xdr:colOff>
      <xdr:row>959</xdr:row>
      <xdr:rowOff>49087</xdr:rowOff>
    </xdr:to>
    <xdr:pic>
      <xdr:nvPicPr>
        <xdr:cNvPr id="15" name="8 Imagen">
          <a:extLst>
            <a:ext uri="{FF2B5EF4-FFF2-40B4-BE49-F238E27FC236}">
              <a16:creationId xmlns:a16="http://schemas.microsoft.com/office/drawing/2014/main" id="{190DCFF3-61F1-44A4-9E43-04CBDFE8CD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t="7574" b="7021"/>
        <a:stretch>
          <a:fillRect/>
        </a:stretch>
      </xdr:blipFill>
      <xdr:spPr bwMode="auto">
        <a:xfrm>
          <a:off x="3907182" y="140491552"/>
          <a:ext cx="2036827" cy="10228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73269</xdr:colOff>
      <xdr:row>158</xdr:row>
      <xdr:rowOff>7328</xdr:rowOff>
    </xdr:from>
    <xdr:to>
      <xdr:col>18</xdr:col>
      <xdr:colOff>110637</xdr:colOff>
      <xdr:row>160</xdr:row>
      <xdr:rowOff>153134</xdr:rowOff>
    </xdr:to>
    <xdr:sp macro="" textlink="">
      <xdr:nvSpPr>
        <xdr:cNvPr id="16" name="Oval 121">
          <a:extLst>
            <a:ext uri="{FF2B5EF4-FFF2-40B4-BE49-F238E27FC236}">
              <a16:creationId xmlns:a16="http://schemas.microsoft.com/office/drawing/2014/main" id="{BD04ED7A-7231-4946-81A3-BE46BE2E4555}"/>
            </a:ext>
          </a:extLst>
        </xdr:cNvPr>
        <xdr:cNvSpPr>
          <a:spLocks noChangeArrowheads="1"/>
        </xdr:cNvSpPr>
      </xdr:nvSpPr>
      <xdr:spPr bwMode="auto">
        <a:xfrm>
          <a:off x="1673469" y="33925853"/>
          <a:ext cx="751743" cy="622056"/>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25168</xdr:colOff>
      <xdr:row>0</xdr:row>
      <xdr:rowOff>8965</xdr:rowOff>
    </xdr:from>
    <xdr:to>
      <xdr:col>46</xdr:col>
      <xdr:colOff>80681</xdr:colOff>
      <xdr:row>7</xdr:row>
      <xdr:rowOff>133775</xdr:rowOff>
    </xdr:to>
    <xdr:pic>
      <xdr:nvPicPr>
        <xdr:cNvPr id="17" name="Imagen 16">
          <a:extLst>
            <a:ext uri="{FF2B5EF4-FFF2-40B4-BE49-F238E27FC236}">
              <a16:creationId xmlns:a16="http://schemas.microsoft.com/office/drawing/2014/main" id="{0B4F4363-CDB9-43DA-8117-DD33A937A0AE}"/>
            </a:ext>
          </a:extLst>
        </xdr:cNvPr>
        <xdr:cNvPicPr>
          <a:picLocks noChangeAspect="1"/>
        </xdr:cNvPicPr>
      </xdr:nvPicPr>
      <xdr:blipFill>
        <a:blip xmlns:r="http://schemas.openxmlformats.org/officeDocument/2006/relationships" r:embed="rId7"/>
        <a:stretch>
          <a:fillRect/>
        </a:stretch>
      </xdr:blipFill>
      <xdr:spPr>
        <a:xfrm>
          <a:off x="25168" y="8965"/>
          <a:ext cx="6037213" cy="1458310"/>
        </a:xfrm>
        <a:prstGeom prst="rect">
          <a:avLst/>
        </a:prstGeom>
      </xdr:spPr>
    </xdr:pic>
    <xdr:clientData/>
  </xdr:twoCellAnchor>
  <xdr:twoCellAnchor editAs="oneCell">
    <xdr:from>
      <xdr:col>28</xdr:col>
      <xdr:colOff>92106</xdr:colOff>
      <xdr:row>92</xdr:row>
      <xdr:rowOff>99392</xdr:rowOff>
    </xdr:from>
    <xdr:to>
      <xdr:col>42</xdr:col>
      <xdr:colOff>14575</xdr:colOff>
      <xdr:row>92</xdr:row>
      <xdr:rowOff>948581</xdr:rowOff>
    </xdr:to>
    <xdr:pic>
      <xdr:nvPicPr>
        <xdr:cNvPr id="18" name="8 Imagen">
          <a:extLst>
            <a:ext uri="{FF2B5EF4-FFF2-40B4-BE49-F238E27FC236}">
              <a16:creationId xmlns:a16="http://schemas.microsoft.com/office/drawing/2014/main" id="{4F63938F-4CB2-47FB-AD7B-40602984C75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t="7574" b="7021"/>
        <a:stretch>
          <a:fillRect/>
        </a:stretch>
      </xdr:blipFill>
      <xdr:spPr bwMode="auto">
        <a:xfrm>
          <a:off x="3692556" y="18663617"/>
          <a:ext cx="1694119" cy="849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77568</xdr:colOff>
      <xdr:row>425</xdr:row>
      <xdr:rowOff>250580</xdr:rowOff>
    </xdr:from>
    <xdr:to>
      <xdr:col>29</xdr:col>
      <xdr:colOff>58421</xdr:colOff>
      <xdr:row>427</xdr:row>
      <xdr:rowOff>56419</xdr:rowOff>
    </xdr:to>
    <xdr:sp macro="" textlink="">
      <xdr:nvSpPr>
        <xdr:cNvPr id="19" name="18 Elipse">
          <a:extLst>
            <a:ext uri="{FF2B5EF4-FFF2-40B4-BE49-F238E27FC236}">
              <a16:creationId xmlns:a16="http://schemas.microsoft.com/office/drawing/2014/main" id="{B903E329-B75B-40ED-B7A9-6BCA162C1447}"/>
            </a:ext>
          </a:extLst>
        </xdr:cNvPr>
        <xdr:cNvSpPr/>
      </xdr:nvSpPr>
      <xdr:spPr bwMode="auto">
        <a:xfrm>
          <a:off x="3411318" y="97615130"/>
          <a:ext cx="361853"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4</a:t>
          </a:r>
          <a:endParaRPr lang="es-PE" sz="1100" b="1">
            <a:solidFill>
              <a:sysClr val="windowText" lastClr="000000"/>
            </a:solidFill>
          </a:endParaRPr>
        </a:p>
      </xdr:txBody>
    </xdr:sp>
    <xdr:clientData/>
  </xdr:twoCellAnchor>
  <xdr:twoCellAnchor>
    <xdr:from>
      <xdr:col>13</xdr:col>
      <xdr:colOff>24369</xdr:colOff>
      <xdr:row>315</xdr:row>
      <xdr:rowOff>70943</xdr:rowOff>
    </xdr:from>
    <xdr:to>
      <xdr:col>15</xdr:col>
      <xdr:colOff>110920</xdr:colOff>
      <xdr:row>316</xdr:row>
      <xdr:rowOff>141826</xdr:rowOff>
    </xdr:to>
    <xdr:sp macro="" textlink="">
      <xdr:nvSpPr>
        <xdr:cNvPr id="20" name="17 Elipse">
          <a:extLst>
            <a:ext uri="{FF2B5EF4-FFF2-40B4-BE49-F238E27FC236}">
              <a16:creationId xmlns:a16="http://schemas.microsoft.com/office/drawing/2014/main" id="{F97ED6B6-09AE-A17F-F433-3556222B2FB7}"/>
            </a:ext>
          </a:extLst>
        </xdr:cNvPr>
        <xdr:cNvSpPr/>
      </xdr:nvSpPr>
      <xdr:spPr bwMode="auto">
        <a:xfrm>
          <a:off x="1631195" y="70456552"/>
          <a:ext cx="318464" cy="335926"/>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twoCellAnchor>
    <xdr:from>
      <xdr:col>15</xdr:col>
      <xdr:colOff>173456</xdr:colOff>
      <xdr:row>316</xdr:row>
      <xdr:rowOff>12965</xdr:rowOff>
    </xdr:from>
    <xdr:to>
      <xdr:col>18</xdr:col>
      <xdr:colOff>3246</xdr:colOff>
      <xdr:row>317</xdr:row>
      <xdr:rowOff>83847</xdr:rowOff>
    </xdr:to>
    <xdr:sp macro="" textlink="">
      <xdr:nvSpPr>
        <xdr:cNvPr id="21" name="17 Elipse">
          <a:extLst>
            <a:ext uri="{FF2B5EF4-FFF2-40B4-BE49-F238E27FC236}">
              <a16:creationId xmlns:a16="http://schemas.microsoft.com/office/drawing/2014/main" id="{BEE2E201-8FE2-937A-C799-0B7720076B5C}"/>
            </a:ext>
          </a:extLst>
        </xdr:cNvPr>
        <xdr:cNvSpPr/>
      </xdr:nvSpPr>
      <xdr:spPr bwMode="auto">
        <a:xfrm>
          <a:off x="2012195" y="70663617"/>
          <a:ext cx="318464" cy="335926"/>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3</a:t>
          </a:r>
          <a:endParaRPr lang="es-PE" sz="11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4</xdr:col>
      <xdr:colOff>219636</xdr:colOff>
      <xdr:row>0</xdr:row>
      <xdr:rowOff>476250</xdr:rowOff>
    </xdr:to>
    <xdr:pic>
      <xdr:nvPicPr>
        <xdr:cNvPr id="2" name="1 Imagen">
          <a:extLst>
            <a:ext uri="{FF2B5EF4-FFF2-40B4-BE49-F238E27FC236}">
              <a16:creationId xmlns:a16="http://schemas.microsoft.com/office/drawing/2014/main" id="{02C1CD38-336E-4AFA-96F8-27E7BEC47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47625" y="57150"/>
          <a:ext cx="165791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92448</xdr:colOff>
      <xdr:row>0</xdr:row>
      <xdr:rowOff>34738</xdr:rowOff>
    </xdr:from>
    <xdr:ext cx="1651187" cy="419100"/>
    <xdr:pic>
      <xdr:nvPicPr>
        <xdr:cNvPr id="3" name="1 Imagen">
          <a:extLst>
            <a:ext uri="{FF2B5EF4-FFF2-40B4-BE49-F238E27FC236}">
              <a16:creationId xmlns:a16="http://schemas.microsoft.com/office/drawing/2014/main" id="{ED763EC1-30F9-4580-B053-A30177ED7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6645648" y="34738"/>
          <a:ext cx="1651187"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30</xdr:col>
      <xdr:colOff>47625</xdr:colOff>
      <xdr:row>0</xdr:row>
      <xdr:rowOff>57150</xdr:rowOff>
    </xdr:from>
    <xdr:ext cx="1651187" cy="419100"/>
    <xdr:pic>
      <xdr:nvPicPr>
        <xdr:cNvPr id="4" name="1 Imagen">
          <a:extLst>
            <a:ext uri="{FF2B5EF4-FFF2-40B4-BE49-F238E27FC236}">
              <a16:creationId xmlns:a16="http://schemas.microsoft.com/office/drawing/2014/main" id="{A996654C-FA15-4AFC-B197-6CB9BC4F8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13296900" y="57150"/>
          <a:ext cx="1651187"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92448</xdr:colOff>
      <xdr:row>0</xdr:row>
      <xdr:rowOff>34738</xdr:rowOff>
    </xdr:from>
    <xdr:ext cx="1651187" cy="419100"/>
    <xdr:pic>
      <xdr:nvPicPr>
        <xdr:cNvPr id="5" name="1 Imagen">
          <a:extLst>
            <a:ext uri="{FF2B5EF4-FFF2-40B4-BE49-F238E27FC236}">
              <a16:creationId xmlns:a16="http://schemas.microsoft.com/office/drawing/2014/main" id="{73DC3B9F-D69A-4598-84AA-C98634C61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19894923" y="34738"/>
          <a:ext cx="1651187"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60</xdr:col>
      <xdr:colOff>47625</xdr:colOff>
      <xdr:row>0</xdr:row>
      <xdr:rowOff>57150</xdr:rowOff>
    </xdr:from>
    <xdr:ext cx="1644056" cy="419100"/>
    <xdr:pic>
      <xdr:nvPicPr>
        <xdr:cNvPr id="6" name="1 Imagen">
          <a:extLst>
            <a:ext uri="{FF2B5EF4-FFF2-40B4-BE49-F238E27FC236}">
              <a16:creationId xmlns:a16="http://schemas.microsoft.com/office/drawing/2014/main" id="{1E794521-014C-4C70-AFEE-6F04C16E0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26812875" y="57150"/>
          <a:ext cx="1644056"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75</xdr:col>
      <xdr:colOff>92448</xdr:colOff>
      <xdr:row>0</xdr:row>
      <xdr:rowOff>34738</xdr:rowOff>
    </xdr:from>
    <xdr:ext cx="1651187" cy="419100"/>
    <xdr:pic>
      <xdr:nvPicPr>
        <xdr:cNvPr id="7" name="1 Imagen">
          <a:extLst>
            <a:ext uri="{FF2B5EF4-FFF2-40B4-BE49-F238E27FC236}">
              <a16:creationId xmlns:a16="http://schemas.microsoft.com/office/drawing/2014/main" id="{31F269F4-F57A-421C-9507-F877418B0E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33410898" y="34738"/>
          <a:ext cx="1651187"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90</xdr:col>
      <xdr:colOff>47625</xdr:colOff>
      <xdr:row>0</xdr:row>
      <xdr:rowOff>57150</xdr:rowOff>
    </xdr:from>
    <xdr:ext cx="1651187" cy="419100"/>
    <xdr:pic>
      <xdr:nvPicPr>
        <xdr:cNvPr id="8" name="1 Imagen">
          <a:extLst>
            <a:ext uri="{FF2B5EF4-FFF2-40B4-BE49-F238E27FC236}">
              <a16:creationId xmlns:a16="http://schemas.microsoft.com/office/drawing/2014/main" id="{ED0B21C5-9FA3-4090-BFFD-E3164E5E41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40062150" y="57150"/>
          <a:ext cx="1651187"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4</xdr:col>
      <xdr:colOff>219636</xdr:colOff>
      <xdr:row>0</xdr:row>
      <xdr:rowOff>476250</xdr:rowOff>
    </xdr:to>
    <xdr:pic>
      <xdr:nvPicPr>
        <xdr:cNvPr id="2" name="1 Imagen">
          <a:extLst>
            <a:ext uri="{FF2B5EF4-FFF2-40B4-BE49-F238E27FC236}">
              <a16:creationId xmlns:a16="http://schemas.microsoft.com/office/drawing/2014/main" id="{855EE50F-FD19-4991-B4D4-E088D49300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47625" y="57150"/>
          <a:ext cx="165791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92448</xdr:colOff>
      <xdr:row>0</xdr:row>
      <xdr:rowOff>34738</xdr:rowOff>
    </xdr:from>
    <xdr:ext cx="1651187" cy="419100"/>
    <xdr:pic>
      <xdr:nvPicPr>
        <xdr:cNvPr id="3" name="1 Imagen">
          <a:extLst>
            <a:ext uri="{FF2B5EF4-FFF2-40B4-BE49-F238E27FC236}">
              <a16:creationId xmlns:a16="http://schemas.microsoft.com/office/drawing/2014/main" id="{60AC0F0A-037C-4770-AC89-1DE1E7364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6645648" y="34738"/>
          <a:ext cx="1651187"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47625</xdr:colOff>
      <xdr:row>0</xdr:row>
      <xdr:rowOff>57150</xdr:rowOff>
    </xdr:from>
    <xdr:ext cx="1657911" cy="419100"/>
    <xdr:pic>
      <xdr:nvPicPr>
        <xdr:cNvPr id="4" name="1 Imagen">
          <a:extLst>
            <a:ext uri="{FF2B5EF4-FFF2-40B4-BE49-F238E27FC236}">
              <a16:creationId xmlns:a16="http://schemas.microsoft.com/office/drawing/2014/main" id="{8E46F1D2-74BA-4C2C-A06F-E0532658D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6600825" y="57150"/>
          <a:ext cx="165791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30</xdr:col>
      <xdr:colOff>47625</xdr:colOff>
      <xdr:row>0</xdr:row>
      <xdr:rowOff>57150</xdr:rowOff>
    </xdr:from>
    <xdr:ext cx="1657911" cy="419100"/>
    <xdr:pic>
      <xdr:nvPicPr>
        <xdr:cNvPr id="5" name="1 Imagen">
          <a:extLst>
            <a:ext uri="{FF2B5EF4-FFF2-40B4-BE49-F238E27FC236}">
              <a16:creationId xmlns:a16="http://schemas.microsoft.com/office/drawing/2014/main" id="{E547E9B9-77E9-492B-81F2-4714D23F0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323" t="8459" r="25493" b="32317"/>
        <a:stretch>
          <a:fillRect/>
        </a:stretch>
      </xdr:blipFill>
      <xdr:spPr bwMode="auto">
        <a:xfrm>
          <a:off x="13154025" y="57150"/>
          <a:ext cx="165791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95250</xdr:colOff>
      <xdr:row>28</xdr:row>
      <xdr:rowOff>0</xdr:rowOff>
    </xdr:from>
    <xdr:to>
      <xdr:col>9</xdr:col>
      <xdr:colOff>785532</xdr:colOff>
      <xdr:row>29</xdr:row>
      <xdr:rowOff>647700</xdr:rowOff>
    </xdr:to>
    <xdr:pic>
      <xdr:nvPicPr>
        <xdr:cNvPr id="2" name="8 Imagen">
          <a:extLst>
            <a:ext uri="{FF2B5EF4-FFF2-40B4-BE49-F238E27FC236}">
              <a16:creationId xmlns:a16="http://schemas.microsoft.com/office/drawing/2014/main" id="{39447EB1-C9C8-476E-B73D-5225AB6926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6343650" y="5524500"/>
          <a:ext cx="1985682"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685800</xdr:colOff>
      <xdr:row>30</xdr:row>
      <xdr:rowOff>47625</xdr:rowOff>
    </xdr:from>
    <xdr:to>
      <xdr:col>9</xdr:col>
      <xdr:colOff>585507</xdr:colOff>
      <xdr:row>33</xdr:row>
      <xdr:rowOff>552450</xdr:rowOff>
    </xdr:to>
    <xdr:pic>
      <xdr:nvPicPr>
        <xdr:cNvPr id="2" name="8 Imagen">
          <a:extLst>
            <a:ext uri="{FF2B5EF4-FFF2-40B4-BE49-F238E27FC236}">
              <a16:creationId xmlns:a16="http://schemas.microsoft.com/office/drawing/2014/main" id="{BDDD5815-0DC1-402E-A64C-C1582A73E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6372225" y="5838825"/>
          <a:ext cx="1985682"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119684</xdr:colOff>
      <xdr:row>30</xdr:row>
      <xdr:rowOff>47625</xdr:rowOff>
    </xdr:from>
    <xdr:to>
      <xdr:col>6</xdr:col>
      <xdr:colOff>1593988</xdr:colOff>
      <xdr:row>35</xdr:row>
      <xdr:rowOff>190318</xdr:rowOff>
    </xdr:to>
    <xdr:pic>
      <xdr:nvPicPr>
        <xdr:cNvPr id="2" name="8 Imagen">
          <a:extLst>
            <a:ext uri="{FF2B5EF4-FFF2-40B4-BE49-F238E27FC236}">
              <a16:creationId xmlns:a16="http://schemas.microsoft.com/office/drawing/2014/main" id="{BCF5D638-4CE6-489E-A908-903DB7F19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5615609" y="11296650"/>
          <a:ext cx="2236304" cy="10951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733425</xdr:colOff>
      <xdr:row>24</xdr:row>
      <xdr:rowOff>19050</xdr:rowOff>
    </xdr:from>
    <xdr:to>
      <xdr:col>5</xdr:col>
      <xdr:colOff>1095375</xdr:colOff>
      <xdr:row>31</xdr:row>
      <xdr:rowOff>95479</xdr:rowOff>
    </xdr:to>
    <xdr:pic>
      <xdr:nvPicPr>
        <xdr:cNvPr id="2" name="8 Imagen">
          <a:extLst>
            <a:ext uri="{FF2B5EF4-FFF2-40B4-BE49-F238E27FC236}">
              <a16:creationId xmlns:a16="http://schemas.microsoft.com/office/drawing/2014/main" id="{7FF5786E-309B-496E-9470-C051A30124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4229100" y="7191375"/>
          <a:ext cx="2819400" cy="1409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6</xdr:col>
      <xdr:colOff>14495</xdr:colOff>
      <xdr:row>3</xdr:row>
      <xdr:rowOff>76199</xdr:rowOff>
    </xdr:to>
    <xdr:pic>
      <xdr:nvPicPr>
        <xdr:cNvPr id="3" name="Imagen 2">
          <a:extLst>
            <a:ext uri="{FF2B5EF4-FFF2-40B4-BE49-F238E27FC236}">
              <a16:creationId xmlns:a16="http://schemas.microsoft.com/office/drawing/2014/main" id="{4BA50C08-13AE-46F5-9A81-9F608EFF4A49}"/>
            </a:ext>
          </a:extLst>
        </xdr:cNvPr>
        <xdr:cNvPicPr>
          <a:picLocks noChangeAspect="1"/>
        </xdr:cNvPicPr>
      </xdr:nvPicPr>
      <xdr:blipFill>
        <a:blip xmlns:r="http://schemas.openxmlformats.org/officeDocument/2006/relationships" r:embed="rId2"/>
        <a:stretch>
          <a:fillRect/>
        </a:stretch>
      </xdr:blipFill>
      <xdr:spPr>
        <a:xfrm>
          <a:off x="0" y="0"/>
          <a:ext cx="7205870" cy="18573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32</xdr:row>
          <xdr:rowOff>0</xdr:rowOff>
        </xdr:from>
        <xdr:to>
          <xdr:col>1</xdr:col>
          <xdr:colOff>419100</xdr:colOff>
          <xdr:row>33</xdr:row>
          <xdr:rowOff>9525</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7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676275</xdr:colOff>
          <xdr:row>33</xdr:row>
          <xdr:rowOff>114300</xdr:rowOff>
        </xdr:from>
        <xdr:to>
          <xdr:col>10</xdr:col>
          <xdr:colOff>942975</xdr:colOff>
          <xdr:row>34</xdr:row>
          <xdr:rowOff>152400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7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333375</xdr:colOff>
          <xdr:row>31</xdr:row>
          <xdr:rowOff>161925</xdr:rowOff>
        </xdr:from>
        <xdr:to>
          <xdr:col>5</xdr:col>
          <xdr:colOff>657225</xdr:colOff>
          <xdr:row>32</xdr:row>
          <xdr:rowOff>180975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7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790575</xdr:colOff>
          <xdr:row>31</xdr:row>
          <xdr:rowOff>142875</xdr:rowOff>
        </xdr:from>
        <xdr:to>
          <xdr:col>6</xdr:col>
          <xdr:colOff>1152525</xdr:colOff>
          <xdr:row>32</xdr:row>
          <xdr:rowOff>180975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7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1628775</xdr:colOff>
          <xdr:row>28</xdr:row>
          <xdr:rowOff>190500</xdr:rowOff>
        </xdr:from>
        <xdr:to>
          <xdr:col>1</xdr:col>
          <xdr:colOff>123825</xdr:colOff>
          <xdr:row>29</xdr:row>
          <xdr:rowOff>180975</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7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1628775</xdr:colOff>
          <xdr:row>30</xdr:row>
          <xdr:rowOff>28575</xdr:rowOff>
        </xdr:from>
        <xdr:to>
          <xdr:col>1</xdr:col>
          <xdr:colOff>123825</xdr:colOff>
          <xdr:row>31</xdr:row>
          <xdr:rowOff>9525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7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34</xdr:row>
          <xdr:rowOff>28575</xdr:rowOff>
        </xdr:from>
        <xdr:to>
          <xdr:col>1</xdr:col>
          <xdr:colOff>419100</xdr:colOff>
          <xdr:row>35</xdr:row>
          <xdr:rowOff>9525</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7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314325</xdr:colOff>
          <xdr:row>32</xdr:row>
          <xdr:rowOff>142875</xdr:rowOff>
        </xdr:from>
        <xdr:to>
          <xdr:col>5</xdr:col>
          <xdr:colOff>590550</xdr:colOff>
          <xdr:row>33</xdr:row>
          <xdr:rowOff>180975</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7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676275</xdr:colOff>
          <xdr:row>34</xdr:row>
          <xdr:rowOff>114300</xdr:rowOff>
        </xdr:from>
        <xdr:to>
          <xdr:col>10</xdr:col>
          <xdr:colOff>990600</xdr:colOff>
          <xdr:row>35</xdr:row>
          <xdr:rowOff>180975</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7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35</xdr:row>
          <xdr:rowOff>28575</xdr:rowOff>
        </xdr:from>
        <xdr:to>
          <xdr:col>1</xdr:col>
          <xdr:colOff>419100</xdr:colOff>
          <xdr:row>36</xdr:row>
          <xdr:rowOff>9525</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7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314325</xdr:colOff>
          <xdr:row>33</xdr:row>
          <xdr:rowOff>142875</xdr:rowOff>
        </xdr:from>
        <xdr:to>
          <xdr:col>5</xdr:col>
          <xdr:colOff>590550</xdr:colOff>
          <xdr:row>34</xdr:row>
          <xdr:rowOff>180975</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7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314325</xdr:colOff>
          <xdr:row>34</xdr:row>
          <xdr:rowOff>142875</xdr:rowOff>
        </xdr:from>
        <xdr:to>
          <xdr:col>5</xdr:col>
          <xdr:colOff>609600</xdr:colOff>
          <xdr:row>35</xdr:row>
          <xdr:rowOff>180975</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7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728382</xdr:colOff>
      <xdr:row>95</xdr:row>
      <xdr:rowOff>100853</xdr:rowOff>
    </xdr:from>
    <xdr:to>
      <xdr:col>8</xdr:col>
      <xdr:colOff>303118</xdr:colOff>
      <xdr:row>102</xdr:row>
      <xdr:rowOff>57261</xdr:rowOff>
    </xdr:to>
    <xdr:pic>
      <xdr:nvPicPr>
        <xdr:cNvPr id="2" name="8 Imagen">
          <a:extLst>
            <a:ext uri="{FF2B5EF4-FFF2-40B4-BE49-F238E27FC236}">
              <a16:creationId xmlns:a16="http://schemas.microsoft.com/office/drawing/2014/main" id="{FFD1969B-A926-4FC5-8217-0DB87B25B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6723529" y="19341353"/>
          <a:ext cx="2757207" cy="1289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otiabank-my.sharepoint.com/personal/ingrid_benavides_scotiabank_com_pe/Documents/Documentos/FORMATOS/ANEXOS%201%202%203%20modificado%20(3)%20(003).xlsx" TargetMode="External"/><Relationship Id="rId1" Type="http://schemas.openxmlformats.org/officeDocument/2006/relationships/externalLinkPath" Target="https://scotiabank-my.sharepoint.com/personal/ingrid_benavides_scotiabank_com_pe/Documents/Documentos/FORMATOS/ANEXOS%201%202%203%20modificado%20(3)%20(0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10585/AppData/Local/Microsoft/Windows/Temporary%20Internet%20Files/Content.Outlook/DCPDFB34/Plantilla%20-%20Hoja%20de%20Resumen%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cotiabank-my.sharepoint.com/Users/u10585/AppData/Local/Microsoft/Windows/Temporary%20Internet%20Files/Content.Outlook/DCPDFB34/Plantilla%20-%20Hoja%20de%20Resumen%20(3).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LISETH%20RAMIREZ\AppData\Roaming\Microsoft\AddIns\Funcion-numeros-a-letra%20(1).xlam" TargetMode="External"/><Relationship Id="rId1" Type="http://schemas.openxmlformats.org/officeDocument/2006/relationships/externalLinkPath" Target="/Users/LISETH%20RAMIREZ/AppData/Roaming/Microsoft/AddIns/Funcion-numeros-a-letra%20(1).xla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LISETH%20RAMIREZ\Desktop\FORMATOS%20XL%202026\FORMATO_SCOTIABANK_NUEVA%20PLANTILLA_DEPA.xlsx" TargetMode="External"/><Relationship Id="rId1" Type="http://schemas.openxmlformats.org/officeDocument/2006/relationships/externalLinkPath" Target="FORMATO_SCOTIABANK_NUEVA%20PLANTILLA_DEPA.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LISETH%20RAMIREZ\Desktop\FORMATOS%20XL%202026\FORMATO_SCOTIABANK_DESGLOSADO_07.xlsx" TargetMode="External"/><Relationship Id="rId1" Type="http://schemas.openxmlformats.org/officeDocument/2006/relationships/externalLinkPath" Target="FORMATO_SCOTIABANK_DESGLOSADO_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R"/>
      <sheetName val="Anexo 1"/>
      <sheetName val="Anexo 2"/>
      <sheetName val="Anexo 3"/>
      <sheetName val="DECLARACIÓN JURADA"/>
      <sheetName val="Limites2015"/>
      <sheetName val="Hoja4"/>
      <sheetName val="DPTOS"/>
    </sheetNames>
    <sheetDataSet>
      <sheetData sheetId="0">
        <row r="42">
          <cell r="A42" t="str">
            <v>Terreno</v>
          </cell>
        </row>
      </sheetData>
      <sheetData sheetId="1"/>
      <sheetData sheetId="2"/>
      <sheetData sheetId="3"/>
      <sheetData sheetId="4"/>
      <sheetData sheetId="5"/>
      <sheetData sheetId="6">
        <row r="2">
          <cell r="A2" t="str">
            <v>1. Concreto Armado</v>
          </cell>
          <cell r="B2" t="str">
            <v>1. Hasta 4 Pisos</v>
          </cell>
        </row>
        <row r="3">
          <cell r="A3" t="str">
            <v>2. Ladrillo y Cemento</v>
          </cell>
          <cell r="B3" t="str">
            <v>2. Entre 5 y 10 Pisos</v>
          </cell>
        </row>
        <row r="4">
          <cell r="A4" t="str">
            <v>3. Estructura de acero/Metalica</v>
          </cell>
          <cell r="B4" t="str">
            <v>3. Mas de 10 Pisos</v>
          </cell>
        </row>
        <row r="5">
          <cell r="A5" t="str">
            <v>4. Adobe/Quincha</v>
          </cell>
          <cell r="B5" t="str">
            <v>4. Nave Industrial</v>
          </cell>
        </row>
        <row r="6">
          <cell r="A6" t="str">
            <v>5. Madera</v>
          </cell>
          <cell r="B6" t="str">
            <v>5. Otros</v>
          </cell>
        </row>
        <row r="7">
          <cell r="A7" t="str">
            <v>6. Otros</v>
          </cell>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1"/>
      <sheetName val="VALUA2"/>
      <sheetName val="VALUA3"/>
      <sheetName val="RESUMEN"/>
      <sheetName val="DATOS"/>
      <sheetName val="Hoja5"/>
      <sheetName val="Hoja1"/>
      <sheetName val="HR "/>
      <sheetName val="Anexo 1"/>
      <sheetName val="Anexo 2"/>
      <sheetName val="Anexo 3"/>
      <sheetName val="DECLARACIÓN JURADA"/>
      <sheetName val="MEMORIA Y VAL"/>
      <sheetName val="C2"/>
      <sheetName val="FOTOS"/>
      <sheetName val="Hoja4"/>
    </sheetNames>
    <sheetDataSet>
      <sheetData sheetId="0"/>
      <sheetData sheetId="1"/>
      <sheetData sheetId="2"/>
      <sheetData sheetId="3"/>
      <sheetData sheetId="4">
        <row r="1">
          <cell r="A1" t="str">
            <v>1-Concreto Armado</v>
          </cell>
          <cell r="C1">
            <v>0</v>
          </cell>
          <cell r="D1">
            <v>0</v>
          </cell>
          <cell r="E1" t="str">
            <v>Muy Bueno</v>
          </cell>
          <cell r="F1" t="str">
            <v>Primera</v>
          </cell>
        </row>
        <row r="2">
          <cell r="C2">
            <v>1</v>
          </cell>
          <cell r="D2">
            <v>1</v>
          </cell>
          <cell r="E2" t="str">
            <v>Bueno</v>
          </cell>
          <cell r="F2" t="str">
            <v>Segunda</v>
          </cell>
        </row>
        <row r="3">
          <cell r="C3">
            <v>2</v>
          </cell>
          <cell r="D3">
            <v>2</v>
          </cell>
          <cell r="E3" t="str">
            <v>Regular</v>
          </cell>
        </row>
        <row r="4">
          <cell r="C4">
            <v>3</v>
          </cell>
          <cell r="D4">
            <v>3</v>
          </cell>
          <cell r="E4" t="str">
            <v>Malo</v>
          </cell>
        </row>
        <row r="5">
          <cell r="C5">
            <v>4</v>
          </cell>
          <cell r="D5">
            <v>4</v>
          </cell>
          <cell r="E5" t="str">
            <v>En construcción</v>
          </cell>
        </row>
        <row r="6">
          <cell r="C6">
            <v>5</v>
          </cell>
          <cell r="D6">
            <v>5</v>
          </cell>
        </row>
        <row r="7">
          <cell r="C7">
            <v>6</v>
          </cell>
          <cell r="D7">
            <v>6</v>
          </cell>
        </row>
        <row r="8">
          <cell r="C8">
            <v>7</v>
          </cell>
          <cell r="D8">
            <v>7</v>
          </cell>
        </row>
        <row r="9">
          <cell r="C9">
            <v>8</v>
          </cell>
          <cell r="D9">
            <v>8</v>
          </cell>
        </row>
        <row r="10">
          <cell r="C10">
            <v>9</v>
          </cell>
          <cell r="D10">
            <v>9</v>
          </cell>
        </row>
        <row r="11">
          <cell r="C11">
            <v>10</v>
          </cell>
          <cell r="D11">
            <v>10</v>
          </cell>
        </row>
        <row r="12">
          <cell r="C12">
            <v>11</v>
          </cell>
        </row>
        <row r="13">
          <cell r="C13">
            <v>12</v>
          </cell>
        </row>
        <row r="14">
          <cell r="C14">
            <v>13</v>
          </cell>
        </row>
        <row r="15">
          <cell r="C15">
            <v>14</v>
          </cell>
        </row>
        <row r="16">
          <cell r="C16">
            <v>15</v>
          </cell>
        </row>
        <row r="17">
          <cell r="C17">
            <v>16</v>
          </cell>
        </row>
        <row r="18">
          <cell r="C18">
            <v>17</v>
          </cell>
        </row>
        <row r="19">
          <cell r="C19">
            <v>18</v>
          </cell>
        </row>
        <row r="20">
          <cell r="C20">
            <v>19</v>
          </cell>
        </row>
        <row r="21">
          <cell r="C21">
            <v>20</v>
          </cell>
        </row>
        <row r="22">
          <cell r="C22">
            <v>21</v>
          </cell>
        </row>
        <row r="23">
          <cell r="C23">
            <v>22</v>
          </cell>
        </row>
        <row r="24">
          <cell r="C24">
            <v>23</v>
          </cell>
        </row>
        <row r="25">
          <cell r="C25">
            <v>24</v>
          </cell>
        </row>
        <row r="26">
          <cell r="C26">
            <v>25</v>
          </cell>
        </row>
        <row r="27">
          <cell r="C27">
            <v>26</v>
          </cell>
        </row>
        <row r="28">
          <cell r="C28">
            <v>27</v>
          </cell>
        </row>
        <row r="29">
          <cell r="C29">
            <v>28</v>
          </cell>
        </row>
        <row r="30">
          <cell r="C30">
            <v>29</v>
          </cell>
        </row>
        <row r="31">
          <cell r="C31">
            <v>30</v>
          </cell>
        </row>
      </sheetData>
      <sheetData sheetId="5"/>
      <sheetData sheetId="6"/>
      <sheetData sheetId="7">
        <row r="1">
          <cell r="E1" t="str">
            <v>HOJA RESUMEN N° 20</v>
          </cell>
        </row>
      </sheetData>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1"/>
      <sheetName val="VALUA2"/>
      <sheetName val="VALUA3"/>
      <sheetName val="RESUMEN"/>
      <sheetName val="DATOS"/>
      <sheetName val="Hoja5"/>
      <sheetName val="Hoja1"/>
      <sheetName val="HR "/>
      <sheetName val="Anexo 1"/>
      <sheetName val="Anexo 2"/>
      <sheetName val="Anexo 3"/>
      <sheetName val="DECLARACIÓN JURADA"/>
      <sheetName val="MEMORIA Y VAL"/>
      <sheetName val="C2"/>
      <sheetName val="FOTOS"/>
      <sheetName val="Hoja4"/>
    </sheetNames>
    <sheetDataSet>
      <sheetData sheetId="0"/>
      <sheetData sheetId="1"/>
      <sheetData sheetId="2"/>
      <sheetData sheetId="3"/>
      <sheetData sheetId="4">
        <row r="1">
          <cell r="A1" t="str">
            <v>1-Concreto Armado</v>
          </cell>
          <cell r="C1">
            <v>0</v>
          </cell>
          <cell r="D1">
            <v>0</v>
          </cell>
          <cell r="E1" t="str">
            <v>Muy Bueno</v>
          </cell>
          <cell r="F1" t="str">
            <v>Primera</v>
          </cell>
        </row>
        <row r="2">
          <cell r="C2">
            <v>1</v>
          </cell>
          <cell r="D2">
            <v>1</v>
          </cell>
          <cell r="E2" t="str">
            <v>Bueno</v>
          </cell>
          <cell r="F2" t="str">
            <v>Segunda</v>
          </cell>
        </row>
        <row r="3">
          <cell r="C3">
            <v>2</v>
          </cell>
          <cell r="D3">
            <v>2</v>
          </cell>
          <cell r="E3" t="str">
            <v>Regular</v>
          </cell>
        </row>
        <row r="4">
          <cell r="C4">
            <v>3</v>
          </cell>
          <cell r="D4">
            <v>3</v>
          </cell>
          <cell r="E4" t="str">
            <v>Malo</v>
          </cell>
        </row>
        <row r="5">
          <cell r="C5">
            <v>4</v>
          </cell>
          <cell r="D5">
            <v>4</v>
          </cell>
          <cell r="E5" t="str">
            <v>En construcción</v>
          </cell>
        </row>
        <row r="6">
          <cell r="C6">
            <v>5</v>
          </cell>
          <cell r="D6">
            <v>5</v>
          </cell>
        </row>
        <row r="7">
          <cell r="C7">
            <v>6</v>
          </cell>
          <cell r="D7">
            <v>6</v>
          </cell>
        </row>
        <row r="8">
          <cell r="C8">
            <v>7</v>
          </cell>
          <cell r="D8">
            <v>7</v>
          </cell>
        </row>
        <row r="9">
          <cell r="C9">
            <v>8</v>
          </cell>
          <cell r="D9">
            <v>8</v>
          </cell>
        </row>
        <row r="10">
          <cell r="C10">
            <v>9</v>
          </cell>
          <cell r="D10">
            <v>9</v>
          </cell>
        </row>
        <row r="11">
          <cell r="C11">
            <v>10</v>
          </cell>
          <cell r="D11">
            <v>10</v>
          </cell>
        </row>
        <row r="12">
          <cell r="C12">
            <v>11</v>
          </cell>
        </row>
        <row r="13">
          <cell r="C13">
            <v>12</v>
          </cell>
        </row>
        <row r="14">
          <cell r="C14">
            <v>13</v>
          </cell>
        </row>
        <row r="15">
          <cell r="C15">
            <v>14</v>
          </cell>
        </row>
        <row r="16">
          <cell r="C16">
            <v>15</v>
          </cell>
        </row>
        <row r="17">
          <cell r="C17">
            <v>16</v>
          </cell>
        </row>
        <row r="18">
          <cell r="C18">
            <v>17</v>
          </cell>
        </row>
        <row r="19">
          <cell r="C19">
            <v>18</v>
          </cell>
        </row>
        <row r="20">
          <cell r="C20">
            <v>19</v>
          </cell>
        </row>
        <row r="21">
          <cell r="C21">
            <v>20</v>
          </cell>
        </row>
        <row r="22">
          <cell r="C22">
            <v>21</v>
          </cell>
        </row>
        <row r="23">
          <cell r="C23">
            <v>22</v>
          </cell>
        </row>
        <row r="24">
          <cell r="C24">
            <v>23</v>
          </cell>
        </row>
        <row r="25">
          <cell r="C25">
            <v>24</v>
          </cell>
        </row>
        <row r="26">
          <cell r="C26">
            <v>25</v>
          </cell>
        </row>
        <row r="27">
          <cell r="C27">
            <v>26</v>
          </cell>
        </row>
        <row r="28">
          <cell r="C28">
            <v>27</v>
          </cell>
        </row>
        <row r="29">
          <cell r="C29">
            <v>28</v>
          </cell>
        </row>
        <row r="30">
          <cell r="C30">
            <v>29</v>
          </cell>
        </row>
        <row r="31">
          <cell r="C31">
            <v>30</v>
          </cell>
        </row>
      </sheetData>
      <sheetData sheetId="5"/>
      <sheetData sheetId="6"/>
      <sheetData sheetId="7">
        <row r="1">
          <cell r="E1" t="str">
            <v>HOJA RESUMEN N° 20</v>
          </cell>
        </row>
      </sheetData>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definedNames>
      <definedName name="NumeLetras"/>
    </defined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RIA Y VAL"/>
      <sheetName val="FOTO"/>
      <sheetName val="SUSTENTO DE UBICACION"/>
      <sheetName val="Anexo 1"/>
      <sheetName val="Anexo 2"/>
      <sheetName val="Anexo 3 "/>
      <sheetName val="DECLARACIÓN JURADA"/>
      <sheetName val="HR"/>
      <sheetName val="Limites2015"/>
      <sheetName val="DPTOS"/>
    </sheetNames>
    <sheetDataSet>
      <sheetData sheetId="0"/>
      <sheetData sheetId="1"/>
      <sheetData sheetId="2"/>
      <sheetData sheetId="3"/>
      <sheetData sheetId="4"/>
      <sheetData sheetId="5"/>
      <sheetData sheetId="6"/>
      <sheetData sheetId="7">
        <row r="38">
          <cell r="K38">
            <v>3.508</v>
          </cell>
        </row>
      </sheetData>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RIA Y VAL"/>
      <sheetName val="C2"/>
      <sheetName val="FOTO"/>
      <sheetName val="SUSTENTO DE UBICACION"/>
      <sheetName val="Anexo 1"/>
      <sheetName val="Anexo 2"/>
      <sheetName val="Anexo 3"/>
      <sheetName val="DECLARACIÓN JURADA"/>
      <sheetName val="HR"/>
      <sheetName val="Limites2015"/>
      <sheetName val="Hoja4"/>
      <sheetName val="DPTOS"/>
    </sheetNames>
    <sheetDataSet>
      <sheetData sheetId="0"/>
      <sheetData sheetId="1"/>
      <sheetData sheetId="2"/>
      <sheetData sheetId="3"/>
      <sheetData sheetId="4"/>
      <sheetData sheetId="5">
        <row r="2">
          <cell r="D2" t="str">
            <v xml:space="preserve">  INFORME N°26</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5.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8.xml"/><Relationship Id="rId16" Type="http://schemas.openxmlformats.org/officeDocument/2006/relationships/comments" Target="../comments4.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5A8B-4BCE-41AB-94E4-3244D719AF43}">
  <dimension ref="A1:WXE952"/>
  <sheetViews>
    <sheetView tabSelected="1" view="pageBreakPreview" topLeftCell="A474" zoomScaleNormal="100" zoomScaleSheetLayoutView="100" workbookViewId="0">
      <selection activeCell="C710" sqref="C710:AV710"/>
    </sheetView>
  </sheetViews>
  <sheetFormatPr baseColWidth="10" defaultColWidth="0" defaultRowHeight="12.75"/>
  <cols>
    <col min="1" max="2" width="2" style="261" customWidth="1"/>
    <col min="3" max="3" width="2.28515625" style="261" customWidth="1"/>
    <col min="4" max="5" width="1.7109375" style="261" customWidth="1"/>
    <col min="6" max="6" width="2.28515625" style="261" customWidth="1"/>
    <col min="7" max="15" width="1.7109375" style="261" customWidth="1"/>
    <col min="16" max="16" width="2.5703125" style="261" customWidth="1"/>
    <col min="17" max="17" width="2.7109375" style="261" customWidth="1"/>
    <col min="18" max="18" width="2" style="261" customWidth="1"/>
    <col min="19" max="20" width="2.140625" style="261" customWidth="1"/>
    <col min="21" max="23" width="1.7109375" style="261" customWidth="1"/>
    <col min="24" max="24" width="2.42578125" style="261" customWidth="1"/>
    <col min="25" max="27" width="1.7109375" style="261" customWidth="1"/>
    <col min="28" max="28" width="2.28515625" style="261" customWidth="1"/>
    <col min="29" max="33" width="1.7109375" style="261" customWidth="1"/>
    <col min="34" max="34" width="2.42578125" style="261" customWidth="1"/>
    <col min="35" max="37" width="1.7109375" style="261" customWidth="1"/>
    <col min="38" max="38" width="2.140625" style="261" customWidth="1"/>
    <col min="39" max="40" width="1.7109375" style="261" customWidth="1"/>
    <col min="41" max="41" width="3.140625" style="261" customWidth="1"/>
    <col min="42" max="44" width="1.7109375" style="261" customWidth="1"/>
    <col min="45" max="45" width="3.5703125" style="261" customWidth="1"/>
    <col min="46" max="46" width="2.140625" style="261" customWidth="1"/>
    <col min="47" max="47" width="2.28515625" style="261" customWidth="1"/>
    <col min="48" max="48" width="1.7109375" style="261" customWidth="1"/>
    <col min="49" max="49" width="5.7109375" style="261" customWidth="1"/>
    <col min="50" max="256" width="1.7109375" style="261" hidden="1"/>
    <col min="257" max="258" width="2" style="261" customWidth="1"/>
    <col min="259" max="259" width="2.28515625" style="261" customWidth="1"/>
    <col min="260" max="261" width="1.7109375" style="261" customWidth="1"/>
    <col min="262" max="262" width="2.28515625" style="261" customWidth="1"/>
    <col min="263" max="296" width="1.7109375" style="261" customWidth="1"/>
    <col min="297" max="297" width="3.140625" style="261" customWidth="1"/>
    <col min="298" max="304" width="1.7109375" style="261" customWidth="1"/>
    <col min="305" max="305" width="5.7109375" style="261" customWidth="1"/>
    <col min="306" max="512" width="1.7109375" style="261" hidden="1"/>
    <col min="513" max="514" width="2" style="261" customWidth="1"/>
    <col min="515" max="515" width="2.28515625" style="261" customWidth="1"/>
    <col min="516" max="517" width="1.7109375" style="261" customWidth="1"/>
    <col min="518" max="518" width="2.28515625" style="261" customWidth="1"/>
    <col min="519" max="552" width="1.7109375" style="261" customWidth="1"/>
    <col min="553" max="553" width="3.140625" style="261" customWidth="1"/>
    <col min="554" max="560" width="1.7109375" style="261" customWidth="1"/>
    <col min="561" max="561" width="5.7109375" style="261" customWidth="1"/>
    <col min="562" max="768" width="1.7109375" style="261" hidden="1"/>
    <col min="769" max="770" width="2" style="261" customWidth="1"/>
    <col min="771" max="771" width="2.28515625" style="261" customWidth="1"/>
    <col min="772" max="773" width="1.7109375" style="261" customWidth="1"/>
    <col min="774" max="774" width="2.28515625" style="261" customWidth="1"/>
    <col min="775" max="808" width="1.7109375" style="261" customWidth="1"/>
    <col min="809" max="809" width="3.140625" style="261" customWidth="1"/>
    <col min="810" max="816" width="1.7109375" style="261" customWidth="1"/>
    <col min="817" max="817" width="5.7109375" style="261" customWidth="1"/>
    <col min="818" max="1024" width="1.7109375" style="261" hidden="1"/>
    <col min="1025" max="1026" width="2" style="261" customWidth="1"/>
    <col min="1027" max="1027" width="2.28515625" style="261" customWidth="1"/>
    <col min="1028" max="1029" width="1.7109375" style="261" customWidth="1"/>
    <col min="1030" max="1030" width="2.28515625" style="261" customWidth="1"/>
    <col min="1031" max="1064" width="1.7109375" style="261" customWidth="1"/>
    <col min="1065" max="1065" width="3.140625" style="261" customWidth="1"/>
    <col min="1066" max="1072" width="1.7109375" style="261" customWidth="1"/>
    <col min="1073" max="1073" width="5.7109375" style="261" customWidth="1"/>
    <col min="1074" max="1280" width="1.7109375" style="261" hidden="1"/>
    <col min="1281" max="1282" width="2" style="261" customWidth="1"/>
    <col min="1283" max="1283" width="2.28515625" style="261" customWidth="1"/>
    <col min="1284" max="1285" width="1.7109375" style="261" customWidth="1"/>
    <col min="1286" max="1286" width="2.28515625" style="261" customWidth="1"/>
    <col min="1287" max="1320" width="1.7109375" style="261" customWidth="1"/>
    <col min="1321" max="1321" width="3.140625" style="261" customWidth="1"/>
    <col min="1322" max="1328" width="1.7109375" style="261" customWidth="1"/>
    <col min="1329" max="1329" width="5.7109375" style="261" customWidth="1"/>
    <col min="1330" max="1536" width="1.7109375" style="261" hidden="1"/>
    <col min="1537" max="1538" width="2" style="261" customWidth="1"/>
    <col min="1539" max="1539" width="2.28515625" style="261" customWidth="1"/>
    <col min="1540" max="1541" width="1.7109375" style="261" customWidth="1"/>
    <col min="1542" max="1542" width="2.28515625" style="261" customWidth="1"/>
    <col min="1543" max="1576" width="1.7109375" style="261" customWidth="1"/>
    <col min="1577" max="1577" width="3.140625" style="261" customWidth="1"/>
    <col min="1578" max="1584" width="1.7109375" style="261" customWidth="1"/>
    <col min="1585" max="1585" width="5.7109375" style="261" customWidth="1"/>
    <col min="1586" max="1792" width="1.7109375" style="261" hidden="1"/>
    <col min="1793" max="1794" width="2" style="261" customWidth="1"/>
    <col min="1795" max="1795" width="2.28515625" style="261" customWidth="1"/>
    <col min="1796" max="1797" width="1.7109375" style="261" customWidth="1"/>
    <col min="1798" max="1798" width="2.28515625" style="261" customWidth="1"/>
    <col min="1799" max="1832" width="1.7109375" style="261" customWidth="1"/>
    <col min="1833" max="1833" width="3.140625" style="261" customWidth="1"/>
    <col min="1834" max="1840" width="1.7109375" style="261" customWidth="1"/>
    <col min="1841" max="1841" width="5.7109375" style="261" customWidth="1"/>
    <col min="1842" max="2048" width="1.7109375" style="261" hidden="1"/>
    <col min="2049" max="2050" width="2" style="261" customWidth="1"/>
    <col min="2051" max="2051" width="2.28515625" style="261" customWidth="1"/>
    <col min="2052" max="2053" width="1.7109375" style="261" customWidth="1"/>
    <col min="2054" max="2054" width="2.28515625" style="261" customWidth="1"/>
    <col min="2055" max="2088" width="1.7109375" style="261" customWidth="1"/>
    <col min="2089" max="2089" width="3.140625" style="261" customWidth="1"/>
    <col min="2090" max="2096" width="1.7109375" style="261" customWidth="1"/>
    <col min="2097" max="2097" width="5.7109375" style="261" customWidth="1"/>
    <col min="2098" max="2304" width="1.7109375" style="261" hidden="1"/>
    <col min="2305" max="2306" width="2" style="261" customWidth="1"/>
    <col min="2307" max="2307" width="2.28515625" style="261" customWidth="1"/>
    <col min="2308" max="2309" width="1.7109375" style="261" customWidth="1"/>
    <col min="2310" max="2310" width="2.28515625" style="261" customWidth="1"/>
    <col min="2311" max="2344" width="1.7109375" style="261" customWidth="1"/>
    <col min="2345" max="2345" width="3.140625" style="261" customWidth="1"/>
    <col min="2346" max="2352" width="1.7109375" style="261" customWidth="1"/>
    <col min="2353" max="2353" width="5.7109375" style="261" customWidth="1"/>
    <col min="2354" max="2560" width="1.7109375" style="261" hidden="1"/>
    <col min="2561" max="2562" width="2" style="261" customWidth="1"/>
    <col min="2563" max="2563" width="2.28515625" style="261" customWidth="1"/>
    <col min="2564" max="2565" width="1.7109375" style="261" customWidth="1"/>
    <col min="2566" max="2566" width="2.28515625" style="261" customWidth="1"/>
    <col min="2567" max="2600" width="1.7109375" style="261" customWidth="1"/>
    <col min="2601" max="2601" width="3.140625" style="261" customWidth="1"/>
    <col min="2602" max="2608" width="1.7109375" style="261" customWidth="1"/>
    <col min="2609" max="2609" width="5.7109375" style="261" customWidth="1"/>
    <col min="2610" max="2816" width="1.7109375" style="261" hidden="1"/>
    <col min="2817" max="2818" width="2" style="261" customWidth="1"/>
    <col min="2819" max="2819" width="2.28515625" style="261" customWidth="1"/>
    <col min="2820" max="2821" width="1.7109375" style="261" customWidth="1"/>
    <col min="2822" max="2822" width="2.28515625" style="261" customWidth="1"/>
    <col min="2823" max="2856" width="1.7109375" style="261" customWidth="1"/>
    <col min="2857" max="2857" width="3.140625" style="261" customWidth="1"/>
    <col min="2858" max="2864" width="1.7109375" style="261" customWidth="1"/>
    <col min="2865" max="2865" width="5.7109375" style="261" customWidth="1"/>
    <col min="2866" max="3072" width="1.7109375" style="261" hidden="1"/>
    <col min="3073" max="3074" width="2" style="261" customWidth="1"/>
    <col min="3075" max="3075" width="2.28515625" style="261" customWidth="1"/>
    <col min="3076" max="3077" width="1.7109375" style="261" customWidth="1"/>
    <col min="3078" max="3078" width="2.28515625" style="261" customWidth="1"/>
    <col min="3079" max="3112" width="1.7109375" style="261" customWidth="1"/>
    <col min="3113" max="3113" width="3.140625" style="261" customWidth="1"/>
    <col min="3114" max="3120" width="1.7109375" style="261" customWidth="1"/>
    <col min="3121" max="3121" width="5.7109375" style="261" customWidth="1"/>
    <col min="3122" max="3328" width="1.7109375" style="261" hidden="1"/>
    <col min="3329" max="3330" width="2" style="261" customWidth="1"/>
    <col min="3331" max="3331" width="2.28515625" style="261" customWidth="1"/>
    <col min="3332" max="3333" width="1.7109375" style="261" customWidth="1"/>
    <col min="3334" max="3334" width="2.28515625" style="261" customWidth="1"/>
    <col min="3335" max="3368" width="1.7109375" style="261" customWidth="1"/>
    <col min="3369" max="3369" width="3.140625" style="261" customWidth="1"/>
    <col min="3370" max="3376" width="1.7109375" style="261" customWidth="1"/>
    <col min="3377" max="3377" width="5.7109375" style="261" customWidth="1"/>
    <col min="3378" max="3584" width="1.7109375" style="261" hidden="1"/>
    <col min="3585" max="3586" width="2" style="261" customWidth="1"/>
    <col min="3587" max="3587" width="2.28515625" style="261" customWidth="1"/>
    <col min="3588" max="3589" width="1.7109375" style="261" customWidth="1"/>
    <col min="3590" max="3590" width="2.28515625" style="261" customWidth="1"/>
    <col min="3591" max="3624" width="1.7109375" style="261" customWidth="1"/>
    <col min="3625" max="3625" width="3.140625" style="261" customWidth="1"/>
    <col min="3626" max="3632" width="1.7109375" style="261" customWidth="1"/>
    <col min="3633" max="3633" width="5.7109375" style="261" customWidth="1"/>
    <col min="3634" max="3840" width="1.7109375" style="261" hidden="1"/>
    <col min="3841" max="3842" width="2" style="261" customWidth="1"/>
    <col min="3843" max="3843" width="2.28515625" style="261" customWidth="1"/>
    <col min="3844" max="3845" width="1.7109375" style="261" customWidth="1"/>
    <col min="3846" max="3846" width="2.28515625" style="261" customWidth="1"/>
    <col min="3847" max="3880" width="1.7109375" style="261" customWidth="1"/>
    <col min="3881" max="3881" width="3.140625" style="261" customWidth="1"/>
    <col min="3882" max="3888" width="1.7109375" style="261" customWidth="1"/>
    <col min="3889" max="3889" width="5.7109375" style="261" customWidth="1"/>
    <col min="3890" max="4096" width="1.7109375" style="261" hidden="1"/>
    <col min="4097" max="4098" width="2" style="261" customWidth="1"/>
    <col min="4099" max="4099" width="2.28515625" style="261" customWidth="1"/>
    <col min="4100" max="4101" width="1.7109375" style="261" customWidth="1"/>
    <col min="4102" max="4102" width="2.28515625" style="261" customWidth="1"/>
    <col min="4103" max="4136" width="1.7109375" style="261" customWidth="1"/>
    <col min="4137" max="4137" width="3.140625" style="261" customWidth="1"/>
    <col min="4138" max="4144" width="1.7109375" style="261" customWidth="1"/>
    <col min="4145" max="4145" width="5.7109375" style="261" customWidth="1"/>
    <col min="4146" max="4352" width="1.7109375" style="261" hidden="1"/>
    <col min="4353" max="4354" width="2" style="261" customWidth="1"/>
    <col min="4355" max="4355" width="2.28515625" style="261" customWidth="1"/>
    <col min="4356" max="4357" width="1.7109375" style="261" customWidth="1"/>
    <col min="4358" max="4358" width="2.28515625" style="261" customWidth="1"/>
    <col min="4359" max="4392" width="1.7109375" style="261" customWidth="1"/>
    <col min="4393" max="4393" width="3.140625" style="261" customWidth="1"/>
    <col min="4394" max="4400" width="1.7109375" style="261" customWidth="1"/>
    <col min="4401" max="4401" width="5.7109375" style="261" customWidth="1"/>
    <col min="4402" max="4608" width="1.7109375" style="261" hidden="1"/>
    <col min="4609" max="4610" width="2" style="261" customWidth="1"/>
    <col min="4611" max="4611" width="2.28515625" style="261" customWidth="1"/>
    <col min="4612" max="4613" width="1.7109375" style="261" customWidth="1"/>
    <col min="4614" max="4614" width="2.28515625" style="261" customWidth="1"/>
    <col min="4615" max="4648" width="1.7109375" style="261" customWidth="1"/>
    <col min="4649" max="4649" width="3.140625" style="261" customWidth="1"/>
    <col min="4650" max="4656" width="1.7109375" style="261" customWidth="1"/>
    <col min="4657" max="4657" width="5.7109375" style="261" customWidth="1"/>
    <col min="4658" max="4864" width="1.7109375" style="261" hidden="1"/>
    <col min="4865" max="4866" width="2" style="261" customWidth="1"/>
    <col min="4867" max="4867" width="2.28515625" style="261" customWidth="1"/>
    <col min="4868" max="4869" width="1.7109375" style="261" customWidth="1"/>
    <col min="4870" max="4870" width="2.28515625" style="261" customWidth="1"/>
    <col min="4871" max="4904" width="1.7109375" style="261" customWidth="1"/>
    <col min="4905" max="4905" width="3.140625" style="261" customWidth="1"/>
    <col min="4906" max="4912" width="1.7109375" style="261" customWidth="1"/>
    <col min="4913" max="4913" width="5.7109375" style="261" customWidth="1"/>
    <col min="4914" max="5120" width="1.7109375" style="261" hidden="1"/>
    <col min="5121" max="5122" width="2" style="261" customWidth="1"/>
    <col min="5123" max="5123" width="2.28515625" style="261" customWidth="1"/>
    <col min="5124" max="5125" width="1.7109375" style="261" customWidth="1"/>
    <col min="5126" max="5126" width="2.28515625" style="261" customWidth="1"/>
    <col min="5127" max="5160" width="1.7109375" style="261" customWidth="1"/>
    <col min="5161" max="5161" width="3.140625" style="261" customWidth="1"/>
    <col min="5162" max="5168" width="1.7109375" style="261" customWidth="1"/>
    <col min="5169" max="5169" width="5.7109375" style="261" customWidth="1"/>
    <col min="5170" max="5376" width="1.7109375" style="261" hidden="1"/>
    <col min="5377" max="5378" width="2" style="261" customWidth="1"/>
    <col min="5379" max="5379" width="2.28515625" style="261" customWidth="1"/>
    <col min="5380" max="5381" width="1.7109375" style="261" customWidth="1"/>
    <col min="5382" max="5382" width="2.28515625" style="261" customWidth="1"/>
    <col min="5383" max="5416" width="1.7109375" style="261" customWidth="1"/>
    <col min="5417" max="5417" width="3.140625" style="261" customWidth="1"/>
    <col min="5418" max="5424" width="1.7109375" style="261" customWidth="1"/>
    <col min="5425" max="5425" width="5.7109375" style="261" customWidth="1"/>
    <col min="5426" max="5632" width="1.7109375" style="261" hidden="1"/>
    <col min="5633" max="5634" width="2" style="261" customWidth="1"/>
    <col min="5635" max="5635" width="2.28515625" style="261" customWidth="1"/>
    <col min="5636" max="5637" width="1.7109375" style="261" customWidth="1"/>
    <col min="5638" max="5638" width="2.28515625" style="261" customWidth="1"/>
    <col min="5639" max="5672" width="1.7109375" style="261" customWidth="1"/>
    <col min="5673" max="5673" width="3.140625" style="261" customWidth="1"/>
    <col min="5674" max="5680" width="1.7109375" style="261" customWidth="1"/>
    <col min="5681" max="5681" width="5.7109375" style="261" customWidth="1"/>
    <col min="5682" max="5888" width="1.7109375" style="261" hidden="1"/>
    <col min="5889" max="5890" width="2" style="261" customWidth="1"/>
    <col min="5891" max="5891" width="2.28515625" style="261" customWidth="1"/>
    <col min="5892" max="5893" width="1.7109375" style="261" customWidth="1"/>
    <col min="5894" max="5894" width="2.28515625" style="261" customWidth="1"/>
    <col min="5895" max="5928" width="1.7109375" style="261" customWidth="1"/>
    <col min="5929" max="5929" width="3.140625" style="261" customWidth="1"/>
    <col min="5930" max="5936" width="1.7109375" style="261" customWidth="1"/>
    <col min="5937" max="5937" width="5.7109375" style="261" customWidth="1"/>
    <col min="5938" max="6144" width="1.7109375" style="261" hidden="1"/>
    <col min="6145" max="6146" width="2" style="261" customWidth="1"/>
    <col min="6147" max="6147" width="2.28515625" style="261" customWidth="1"/>
    <col min="6148" max="6149" width="1.7109375" style="261" customWidth="1"/>
    <col min="6150" max="6150" width="2.28515625" style="261" customWidth="1"/>
    <col min="6151" max="6184" width="1.7109375" style="261" customWidth="1"/>
    <col min="6185" max="6185" width="3.140625" style="261" customWidth="1"/>
    <col min="6186" max="6192" width="1.7109375" style="261" customWidth="1"/>
    <col min="6193" max="6193" width="5.7109375" style="261" customWidth="1"/>
    <col min="6194" max="6400" width="1.7109375" style="261" hidden="1"/>
    <col min="6401" max="6402" width="2" style="261" customWidth="1"/>
    <col min="6403" max="6403" width="2.28515625" style="261" customWidth="1"/>
    <col min="6404" max="6405" width="1.7109375" style="261" customWidth="1"/>
    <col min="6406" max="6406" width="2.28515625" style="261" customWidth="1"/>
    <col min="6407" max="6440" width="1.7109375" style="261" customWidth="1"/>
    <col min="6441" max="6441" width="3.140625" style="261" customWidth="1"/>
    <col min="6442" max="6448" width="1.7109375" style="261" customWidth="1"/>
    <col min="6449" max="6449" width="5.7109375" style="261" customWidth="1"/>
    <col min="6450" max="6656" width="1.7109375" style="261" hidden="1"/>
    <col min="6657" max="6658" width="2" style="261" customWidth="1"/>
    <col min="6659" max="6659" width="2.28515625" style="261" customWidth="1"/>
    <col min="6660" max="6661" width="1.7109375" style="261" customWidth="1"/>
    <col min="6662" max="6662" width="2.28515625" style="261" customWidth="1"/>
    <col min="6663" max="6696" width="1.7109375" style="261" customWidth="1"/>
    <col min="6697" max="6697" width="3.140625" style="261" customWidth="1"/>
    <col min="6698" max="6704" width="1.7109375" style="261" customWidth="1"/>
    <col min="6705" max="6705" width="5.7109375" style="261" customWidth="1"/>
    <col min="6706" max="6912" width="1.7109375" style="261" hidden="1"/>
    <col min="6913" max="6914" width="2" style="261" customWidth="1"/>
    <col min="6915" max="6915" width="2.28515625" style="261" customWidth="1"/>
    <col min="6916" max="6917" width="1.7109375" style="261" customWidth="1"/>
    <col min="6918" max="6918" width="2.28515625" style="261" customWidth="1"/>
    <col min="6919" max="6952" width="1.7109375" style="261" customWidth="1"/>
    <col min="6953" max="6953" width="3.140625" style="261" customWidth="1"/>
    <col min="6954" max="6960" width="1.7109375" style="261" customWidth="1"/>
    <col min="6961" max="6961" width="5.7109375" style="261" customWidth="1"/>
    <col min="6962" max="7168" width="1.7109375" style="261" hidden="1"/>
    <col min="7169" max="7170" width="2" style="261" customWidth="1"/>
    <col min="7171" max="7171" width="2.28515625" style="261" customWidth="1"/>
    <col min="7172" max="7173" width="1.7109375" style="261" customWidth="1"/>
    <col min="7174" max="7174" width="2.28515625" style="261" customWidth="1"/>
    <col min="7175" max="7208" width="1.7109375" style="261" customWidth="1"/>
    <col min="7209" max="7209" width="3.140625" style="261" customWidth="1"/>
    <col min="7210" max="7216" width="1.7109375" style="261" customWidth="1"/>
    <col min="7217" max="7217" width="5.7109375" style="261" customWidth="1"/>
    <col min="7218" max="7424" width="1.7109375" style="261" hidden="1"/>
    <col min="7425" max="7426" width="2" style="261" customWidth="1"/>
    <col min="7427" max="7427" width="2.28515625" style="261" customWidth="1"/>
    <col min="7428" max="7429" width="1.7109375" style="261" customWidth="1"/>
    <col min="7430" max="7430" width="2.28515625" style="261" customWidth="1"/>
    <col min="7431" max="7464" width="1.7109375" style="261" customWidth="1"/>
    <col min="7465" max="7465" width="3.140625" style="261" customWidth="1"/>
    <col min="7466" max="7472" width="1.7109375" style="261" customWidth="1"/>
    <col min="7473" max="7473" width="5.7109375" style="261" customWidth="1"/>
    <col min="7474" max="7680" width="1.7109375" style="261" hidden="1"/>
    <col min="7681" max="7682" width="2" style="261" customWidth="1"/>
    <col min="7683" max="7683" width="2.28515625" style="261" customWidth="1"/>
    <col min="7684" max="7685" width="1.7109375" style="261" customWidth="1"/>
    <col min="7686" max="7686" width="2.28515625" style="261" customWidth="1"/>
    <col min="7687" max="7720" width="1.7109375" style="261" customWidth="1"/>
    <col min="7721" max="7721" width="3.140625" style="261" customWidth="1"/>
    <col min="7722" max="7728" width="1.7109375" style="261" customWidth="1"/>
    <col min="7729" max="7729" width="5.7109375" style="261" customWidth="1"/>
    <col min="7730" max="7936" width="1.7109375" style="261" hidden="1"/>
    <col min="7937" max="7938" width="2" style="261" customWidth="1"/>
    <col min="7939" max="7939" width="2.28515625" style="261" customWidth="1"/>
    <col min="7940" max="7941" width="1.7109375" style="261" customWidth="1"/>
    <col min="7942" max="7942" width="2.28515625" style="261" customWidth="1"/>
    <col min="7943" max="7976" width="1.7109375" style="261" customWidth="1"/>
    <col min="7977" max="7977" width="3.140625" style="261" customWidth="1"/>
    <col min="7978" max="7984" width="1.7109375" style="261" customWidth="1"/>
    <col min="7985" max="7985" width="5.7109375" style="261" customWidth="1"/>
    <col min="7986" max="8192" width="1.7109375" style="261" hidden="1"/>
    <col min="8193" max="8194" width="2" style="261" customWidth="1"/>
    <col min="8195" max="8195" width="2.28515625" style="261" customWidth="1"/>
    <col min="8196" max="8197" width="1.7109375" style="261" customWidth="1"/>
    <col min="8198" max="8198" width="2.28515625" style="261" customWidth="1"/>
    <col min="8199" max="8232" width="1.7109375" style="261" customWidth="1"/>
    <col min="8233" max="8233" width="3.140625" style="261" customWidth="1"/>
    <col min="8234" max="8240" width="1.7109375" style="261" customWidth="1"/>
    <col min="8241" max="8241" width="5.7109375" style="261" customWidth="1"/>
    <col min="8242" max="8448" width="1.7109375" style="261" hidden="1"/>
    <col min="8449" max="8450" width="2" style="261" customWidth="1"/>
    <col min="8451" max="8451" width="2.28515625" style="261" customWidth="1"/>
    <col min="8452" max="8453" width="1.7109375" style="261" customWidth="1"/>
    <col min="8454" max="8454" width="2.28515625" style="261" customWidth="1"/>
    <col min="8455" max="8488" width="1.7109375" style="261" customWidth="1"/>
    <col min="8489" max="8489" width="3.140625" style="261" customWidth="1"/>
    <col min="8490" max="8496" width="1.7109375" style="261" customWidth="1"/>
    <col min="8497" max="8497" width="5.7109375" style="261" customWidth="1"/>
    <col min="8498" max="8704" width="1.7109375" style="261" hidden="1"/>
    <col min="8705" max="8706" width="2" style="261" customWidth="1"/>
    <col min="8707" max="8707" width="2.28515625" style="261" customWidth="1"/>
    <col min="8708" max="8709" width="1.7109375" style="261" customWidth="1"/>
    <col min="8710" max="8710" width="2.28515625" style="261" customWidth="1"/>
    <col min="8711" max="8744" width="1.7109375" style="261" customWidth="1"/>
    <col min="8745" max="8745" width="3.140625" style="261" customWidth="1"/>
    <col min="8746" max="8752" width="1.7109375" style="261" customWidth="1"/>
    <col min="8753" max="8753" width="5.7109375" style="261" customWidth="1"/>
    <col min="8754" max="8960" width="1.7109375" style="261" hidden="1"/>
    <col min="8961" max="8962" width="2" style="261" customWidth="1"/>
    <col min="8963" max="8963" width="2.28515625" style="261" customWidth="1"/>
    <col min="8964" max="8965" width="1.7109375" style="261" customWidth="1"/>
    <col min="8966" max="8966" width="2.28515625" style="261" customWidth="1"/>
    <col min="8967" max="9000" width="1.7109375" style="261" customWidth="1"/>
    <col min="9001" max="9001" width="3.140625" style="261" customWidth="1"/>
    <col min="9002" max="9008" width="1.7109375" style="261" customWidth="1"/>
    <col min="9009" max="9009" width="5.7109375" style="261" customWidth="1"/>
    <col min="9010" max="9216" width="1.7109375" style="261" hidden="1"/>
    <col min="9217" max="9218" width="2" style="261" customWidth="1"/>
    <col min="9219" max="9219" width="2.28515625" style="261" customWidth="1"/>
    <col min="9220" max="9221" width="1.7109375" style="261" customWidth="1"/>
    <col min="9222" max="9222" width="2.28515625" style="261" customWidth="1"/>
    <col min="9223" max="9256" width="1.7109375" style="261" customWidth="1"/>
    <col min="9257" max="9257" width="3.140625" style="261" customWidth="1"/>
    <col min="9258" max="9264" width="1.7109375" style="261" customWidth="1"/>
    <col min="9265" max="9265" width="5.7109375" style="261" customWidth="1"/>
    <col min="9266" max="9472" width="1.7109375" style="261" hidden="1"/>
    <col min="9473" max="9474" width="2" style="261" customWidth="1"/>
    <col min="9475" max="9475" width="2.28515625" style="261" customWidth="1"/>
    <col min="9476" max="9477" width="1.7109375" style="261" customWidth="1"/>
    <col min="9478" max="9478" width="2.28515625" style="261" customWidth="1"/>
    <col min="9479" max="9512" width="1.7109375" style="261" customWidth="1"/>
    <col min="9513" max="9513" width="3.140625" style="261" customWidth="1"/>
    <col min="9514" max="9520" width="1.7109375" style="261" customWidth="1"/>
    <col min="9521" max="9521" width="5.7109375" style="261" customWidth="1"/>
    <col min="9522" max="9728" width="1.7109375" style="261" hidden="1"/>
    <col min="9729" max="9730" width="2" style="261" customWidth="1"/>
    <col min="9731" max="9731" width="2.28515625" style="261" customWidth="1"/>
    <col min="9732" max="9733" width="1.7109375" style="261" customWidth="1"/>
    <col min="9734" max="9734" width="2.28515625" style="261" customWidth="1"/>
    <col min="9735" max="9768" width="1.7109375" style="261" customWidth="1"/>
    <col min="9769" max="9769" width="3.140625" style="261" customWidth="1"/>
    <col min="9770" max="9776" width="1.7109375" style="261" customWidth="1"/>
    <col min="9777" max="9777" width="5.7109375" style="261" customWidth="1"/>
    <col min="9778" max="9984" width="1.7109375" style="261" hidden="1"/>
    <col min="9985" max="9986" width="2" style="261" customWidth="1"/>
    <col min="9987" max="9987" width="2.28515625" style="261" customWidth="1"/>
    <col min="9988" max="9989" width="1.7109375" style="261" customWidth="1"/>
    <col min="9990" max="9990" width="2.28515625" style="261" customWidth="1"/>
    <col min="9991" max="10024" width="1.7109375" style="261" customWidth="1"/>
    <col min="10025" max="10025" width="3.140625" style="261" customWidth="1"/>
    <col min="10026" max="10032" width="1.7109375" style="261" customWidth="1"/>
    <col min="10033" max="10033" width="5.7109375" style="261" customWidth="1"/>
    <col min="10034" max="10240" width="1.7109375" style="261" hidden="1"/>
    <col min="10241" max="10242" width="2" style="261" customWidth="1"/>
    <col min="10243" max="10243" width="2.28515625" style="261" customWidth="1"/>
    <col min="10244" max="10245" width="1.7109375" style="261" customWidth="1"/>
    <col min="10246" max="10246" width="2.28515625" style="261" customWidth="1"/>
    <col min="10247" max="10280" width="1.7109375" style="261" customWidth="1"/>
    <col min="10281" max="10281" width="3.140625" style="261" customWidth="1"/>
    <col min="10282" max="10288" width="1.7109375" style="261" customWidth="1"/>
    <col min="10289" max="10289" width="5.7109375" style="261" customWidth="1"/>
    <col min="10290" max="10496" width="1.7109375" style="261" hidden="1"/>
    <col min="10497" max="10498" width="2" style="261" customWidth="1"/>
    <col min="10499" max="10499" width="2.28515625" style="261" customWidth="1"/>
    <col min="10500" max="10501" width="1.7109375" style="261" customWidth="1"/>
    <col min="10502" max="10502" width="2.28515625" style="261" customWidth="1"/>
    <col min="10503" max="10536" width="1.7109375" style="261" customWidth="1"/>
    <col min="10537" max="10537" width="3.140625" style="261" customWidth="1"/>
    <col min="10538" max="10544" width="1.7109375" style="261" customWidth="1"/>
    <col min="10545" max="10545" width="5.7109375" style="261" customWidth="1"/>
    <col min="10546" max="10752" width="1.7109375" style="261" hidden="1"/>
    <col min="10753" max="10754" width="2" style="261" customWidth="1"/>
    <col min="10755" max="10755" width="2.28515625" style="261" customWidth="1"/>
    <col min="10756" max="10757" width="1.7109375" style="261" customWidth="1"/>
    <col min="10758" max="10758" width="2.28515625" style="261" customWidth="1"/>
    <col min="10759" max="10792" width="1.7109375" style="261" customWidth="1"/>
    <col min="10793" max="10793" width="3.140625" style="261" customWidth="1"/>
    <col min="10794" max="10800" width="1.7109375" style="261" customWidth="1"/>
    <col min="10801" max="10801" width="5.7109375" style="261" customWidth="1"/>
    <col min="10802" max="11008" width="1.7109375" style="261" hidden="1"/>
    <col min="11009" max="11010" width="2" style="261" customWidth="1"/>
    <col min="11011" max="11011" width="2.28515625" style="261" customWidth="1"/>
    <col min="11012" max="11013" width="1.7109375" style="261" customWidth="1"/>
    <col min="11014" max="11014" width="2.28515625" style="261" customWidth="1"/>
    <col min="11015" max="11048" width="1.7109375" style="261" customWidth="1"/>
    <col min="11049" max="11049" width="3.140625" style="261" customWidth="1"/>
    <col min="11050" max="11056" width="1.7109375" style="261" customWidth="1"/>
    <col min="11057" max="11057" width="5.7109375" style="261" customWidth="1"/>
    <col min="11058" max="11264" width="1.7109375" style="261" hidden="1"/>
    <col min="11265" max="11266" width="2" style="261" customWidth="1"/>
    <col min="11267" max="11267" width="2.28515625" style="261" customWidth="1"/>
    <col min="11268" max="11269" width="1.7109375" style="261" customWidth="1"/>
    <col min="11270" max="11270" width="2.28515625" style="261" customWidth="1"/>
    <col min="11271" max="11304" width="1.7109375" style="261" customWidth="1"/>
    <col min="11305" max="11305" width="3.140625" style="261" customWidth="1"/>
    <col min="11306" max="11312" width="1.7109375" style="261" customWidth="1"/>
    <col min="11313" max="11313" width="5.7109375" style="261" customWidth="1"/>
    <col min="11314" max="11520" width="1.7109375" style="261" hidden="1"/>
    <col min="11521" max="11522" width="2" style="261" customWidth="1"/>
    <col min="11523" max="11523" width="2.28515625" style="261" customWidth="1"/>
    <col min="11524" max="11525" width="1.7109375" style="261" customWidth="1"/>
    <col min="11526" max="11526" width="2.28515625" style="261" customWidth="1"/>
    <col min="11527" max="11560" width="1.7109375" style="261" customWidth="1"/>
    <col min="11561" max="11561" width="3.140625" style="261" customWidth="1"/>
    <col min="11562" max="11568" width="1.7109375" style="261" customWidth="1"/>
    <col min="11569" max="11569" width="5.7109375" style="261" customWidth="1"/>
    <col min="11570" max="11776" width="1.7109375" style="261" hidden="1"/>
    <col min="11777" max="11778" width="2" style="261" customWidth="1"/>
    <col min="11779" max="11779" width="2.28515625" style="261" customWidth="1"/>
    <col min="11780" max="11781" width="1.7109375" style="261" customWidth="1"/>
    <col min="11782" max="11782" width="2.28515625" style="261" customWidth="1"/>
    <col min="11783" max="11816" width="1.7109375" style="261" customWidth="1"/>
    <col min="11817" max="11817" width="3.140625" style="261" customWidth="1"/>
    <col min="11818" max="11824" width="1.7109375" style="261" customWidth="1"/>
    <col min="11825" max="11825" width="5.7109375" style="261" customWidth="1"/>
    <col min="11826" max="12032" width="1.7109375" style="261" hidden="1"/>
    <col min="12033" max="12034" width="2" style="261" customWidth="1"/>
    <col min="12035" max="12035" width="2.28515625" style="261" customWidth="1"/>
    <col min="12036" max="12037" width="1.7109375" style="261" customWidth="1"/>
    <col min="12038" max="12038" width="2.28515625" style="261" customWidth="1"/>
    <col min="12039" max="12072" width="1.7109375" style="261" customWidth="1"/>
    <col min="12073" max="12073" width="3.140625" style="261" customWidth="1"/>
    <col min="12074" max="12080" width="1.7109375" style="261" customWidth="1"/>
    <col min="12081" max="12081" width="5.7109375" style="261" customWidth="1"/>
    <col min="12082" max="12288" width="1.7109375" style="261" hidden="1"/>
    <col min="12289" max="12290" width="2" style="261" customWidth="1"/>
    <col min="12291" max="12291" width="2.28515625" style="261" customWidth="1"/>
    <col min="12292" max="12293" width="1.7109375" style="261" customWidth="1"/>
    <col min="12294" max="12294" width="2.28515625" style="261" customWidth="1"/>
    <col min="12295" max="12328" width="1.7109375" style="261" customWidth="1"/>
    <col min="12329" max="12329" width="3.140625" style="261" customWidth="1"/>
    <col min="12330" max="12336" width="1.7109375" style="261" customWidth="1"/>
    <col min="12337" max="12337" width="5.7109375" style="261" customWidth="1"/>
    <col min="12338" max="12544" width="1.7109375" style="261" hidden="1"/>
    <col min="12545" max="12546" width="2" style="261" customWidth="1"/>
    <col min="12547" max="12547" width="2.28515625" style="261" customWidth="1"/>
    <col min="12548" max="12549" width="1.7109375" style="261" customWidth="1"/>
    <col min="12550" max="12550" width="2.28515625" style="261" customWidth="1"/>
    <col min="12551" max="12584" width="1.7109375" style="261" customWidth="1"/>
    <col min="12585" max="12585" width="3.140625" style="261" customWidth="1"/>
    <col min="12586" max="12592" width="1.7109375" style="261" customWidth="1"/>
    <col min="12593" max="12593" width="5.7109375" style="261" customWidth="1"/>
    <col min="12594" max="12800" width="1.7109375" style="261" hidden="1"/>
    <col min="12801" max="12802" width="2" style="261" customWidth="1"/>
    <col min="12803" max="12803" width="2.28515625" style="261" customWidth="1"/>
    <col min="12804" max="12805" width="1.7109375" style="261" customWidth="1"/>
    <col min="12806" max="12806" width="2.28515625" style="261" customWidth="1"/>
    <col min="12807" max="12840" width="1.7109375" style="261" customWidth="1"/>
    <col min="12841" max="12841" width="3.140625" style="261" customWidth="1"/>
    <col min="12842" max="12848" width="1.7109375" style="261" customWidth="1"/>
    <col min="12849" max="12849" width="5.7109375" style="261" customWidth="1"/>
    <col min="12850" max="13056" width="1.7109375" style="261" hidden="1"/>
    <col min="13057" max="13058" width="2" style="261" customWidth="1"/>
    <col min="13059" max="13059" width="2.28515625" style="261" customWidth="1"/>
    <col min="13060" max="13061" width="1.7109375" style="261" customWidth="1"/>
    <col min="13062" max="13062" width="2.28515625" style="261" customWidth="1"/>
    <col min="13063" max="13096" width="1.7109375" style="261" customWidth="1"/>
    <col min="13097" max="13097" width="3.140625" style="261" customWidth="1"/>
    <col min="13098" max="13104" width="1.7109375" style="261" customWidth="1"/>
    <col min="13105" max="13105" width="5.7109375" style="261" customWidth="1"/>
    <col min="13106" max="13312" width="1.7109375" style="261" hidden="1"/>
    <col min="13313" max="13314" width="2" style="261" customWidth="1"/>
    <col min="13315" max="13315" width="2.28515625" style="261" customWidth="1"/>
    <col min="13316" max="13317" width="1.7109375" style="261" customWidth="1"/>
    <col min="13318" max="13318" width="2.28515625" style="261" customWidth="1"/>
    <col min="13319" max="13352" width="1.7109375" style="261" customWidth="1"/>
    <col min="13353" max="13353" width="3.140625" style="261" customWidth="1"/>
    <col min="13354" max="13360" width="1.7109375" style="261" customWidth="1"/>
    <col min="13361" max="13361" width="5.7109375" style="261" customWidth="1"/>
    <col min="13362" max="13568" width="1.7109375" style="261" hidden="1"/>
    <col min="13569" max="13570" width="2" style="261" customWidth="1"/>
    <col min="13571" max="13571" width="2.28515625" style="261" customWidth="1"/>
    <col min="13572" max="13573" width="1.7109375" style="261" customWidth="1"/>
    <col min="13574" max="13574" width="2.28515625" style="261" customWidth="1"/>
    <col min="13575" max="13608" width="1.7109375" style="261" customWidth="1"/>
    <col min="13609" max="13609" width="3.140625" style="261" customWidth="1"/>
    <col min="13610" max="13616" width="1.7109375" style="261" customWidth="1"/>
    <col min="13617" max="13617" width="5.7109375" style="261" customWidth="1"/>
    <col min="13618" max="13824" width="1.7109375" style="261" hidden="1"/>
    <col min="13825" max="13826" width="2" style="261" customWidth="1"/>
    <col min="13827" max="13827" width="2.28515625" style="261" customWidth="1"/>
    <col min="13828" max="13829" width="1.7109375" style="261" customWidth="1"/>
    <col min="13830" max="13830" width="2.28515625" style="261" customWidth="1"/>
    <col min="13831" max="13864" width="1.7109375" style="261" customWidth="1"/>
    <col min="13865" max="13865" width="3.140625" style="261" customWidth="1"/>
    <col min="13866" max="13872" width="1.7109375" style="261" customWidth="1"/>
    <col min="13873" max="13873" width="5.7109375" style="261" customWidth="1"/>
    <col min="13874" max="14080" width="1.7109375" style="261" hidden="1"/>
    <col min="14081" max="14082" width="2" style="261" customWidth="1"/>
    <col min="14083" max="14083" width="2.28515625" style="261" customWidth="1"/>
    <col min="14084" max="14085" width="1.7109375" style="261" customWidth="1"/>
    <col min="14086" max="14086" width="2.28515625" style="261" customWidth="1"/>
    <col min="14087" max="14120" width="1.7109375" style="261" customWidth="1"/>
    <col min="14121" max="14121" width="3.140625" style="261" customWidth="1"/>
    <col min="14122" max="14128" width="1.7109375" style="261" customWidth="1"/>
    <col min="14129" max="14129" width="5.7109375" style="261" customWidth="1"/>
    <col min="14130" max="14336" width="1.7109375" style="261" hidden="1"/>
    <col min="14337" max="14338" width="2" style="261" customWidth="1"/>
    <col min="14339" max="14339" width="2.28515625" style="261" customWidth="1"/>
    <col min="14340" max="14341" width="1.7109375" style="261" customWidth="1"/>
    <col min="14342" max="14342" width="2.28515625" style="261" customWidth="1"/>
    <col min="14343" max="14376" width="1.7109375" style="261" customWidth="1"/>
    <col min="14377" max="14377" width="3.140625" style="261" customWidth="1"/>
    <col min="14378" max="14384" width="1.7109375" style="261" customWidth="1"/>
    <col min="14385" max="14385" width="5.7109375" style="261" customWidth="1"/>
    <col min="14386" max="14592" width="1.7109375" style="261" hidden="1"/>
    <col min="14593" max="14594" width="2" style="261" customWidth="1"/>
    <col min="14595" max="14595" width="2.28515625" style="261" customWidth="1"/>
    <col min="14596" max="14597" width="1.7109375" style="261" customWidth="1"/>
    <col min="14598" max="14598" width="2.28515625" style="261" customWidth="1"/>
    <col min="14599" max="14632" width="1.7109375" style="261" customWidth="1"/>
    <col min="14633" max="14633" width="3.140625" style="261" customWidth="1"/>
    <col min="14634" max="14640" width="1.7109375" style="261" customWidth="1"/>
    <col min="14641" max="14641" width="5.7109375" style="261" customWidth="1"/>
    <col min="14642" max="14848" width="1.7109375" style="261" hidden="1"/>
    <col min="14849" max="14850" width="2" style="261" customWidth="1"/>
    <col min="14851" max="14851" width="2.28515625" style="261" customWidth="1"/>
    <col min="14852" max="14853" width="1.7109375" style="261" customWidth="1"/>
    <col min="14854" max="14854" width="2.28515625" style="261" customWidth="1"/>
    <col min="14855" max="14888" width="1.7109375" style="261" customWidth="1"/>
    <col min="14889" max="14889" width="3.140625" style="261" customWidth="1"/>
    <col min="14890" max="14896" width="1.7109375" style="261" customWidth="1"/>
    <col min="14897" max="14897" width="5.7109375" style="261" customWidth="1"/>
    <col min="14898" max="15104" width="1.7109375" style="261" hidden="1"/>
    <col min="15105" max="15106" width="2" style="261" customWidth="1"/>
    <col min="15107" max="15107" width="2.28515625" style="261" customWidth="1"/>
    <col min="15108" max="15109" width="1.7109375" style="261" customWidth="1"/>
    <col min="15110" max="15110" width="2.28515625" style="261" customWidth="1"/>
    <col min="15111" max="15144" width="1.7109375" style="261" customWidth="1"/>
    <col min="15145" max="15145" width="3.140625" style="261" customWidth="1"/>
    <col min="15146" max="15152" width="1.7109375" style="261" customWidth="1"/>
    <col min="15153" max="15153" width="5.7109375" style="261" customWidth="1"/>
    <col min="15154" max="15360" width="1.7109375" style="261" hidden="1"/>
    <col min="15361" max="15362" width="2" style="261" customWidth="1"/>
    <col min="15363" max="15363" width="2.28515625" style="261" customWidth="1"/>
    <col min="15364" max="15365" width="1.7109375" style="261" customWidth="1"/>
    <col min="15366" max="15366" width="2.28515625" style="261" customWidth="1"/>
    <col min="15367" max="15400" width="1.7109375" style="261" customWidth="1"/>
    <col min="15401" max="15401" width="3.140625" style="261" customWidth="1"/>
    <col min="15402" max="15408" width="1.7109375" style="261" customWidth="1"/>
    <col min="15409" max="15409" width="5.7109375" style="261" customWidth="1"/>
    <col min="15410" max="15616" width="1.7109375" style="261" hidden="1"/>
    <col min="15617" max="15618" width="2" style="261" customWidth="1"/>
    <col min="15619" max="15619" width="2.28515625" style="261" customWidth="1"/>
    <col min="15620" max="15621" width="1.7109375" style="261" customWidth="1"/>
    <col min="15622" max="15622" width="2.28515625" style="261" customWidth="1"/>
    <col min="15623" max="15656" width="1.7109375" style="261" customWidth="1"/>
    <col min="15657" max="15657" width="3.140625" style="261" customWidth="1"/>
    <col min="15658" max="15664" width="1.7109375" style="261" customWidth="1"/>
    <col min="15665" max="15665" width="5.7109375" style="261" customWidth="1"/>
    <col min="15666" max="15872" width="1.7109375" style="261" hidden="1"/>
    <col min="15873" max="15874" width="2" style="261" customWidth="1"/>
    <col min="15875" max="15875" width="2.28515625" style="261" customWidth="1"/>
    <col min="15876" max="15877" width="1.7109375" style="261" customWidth="1"/>
    <col min="15878" max="15878" width="2.28515625" style="261" customWidth="1"/>
    <col min="15879" max="15912" width="1.7109375" style="261" customWidth="1"/>
    <col min="15913" max="15913" width="3.140625" style="261" customWidth="1"/>
    <col min="15914" max="15920" width="1.7109375" style="261" customWidth="1"/>
    <col min="15921" max="15921" width="5.7109375" style="261" customWidth="1"/>
    <col min="15922" max="16128" width="1.7109375" style="261" hidden="1"/>
    <col min="16129" max="16130" width="2" style="261" customWidth="1"/>
    <col min="16131" max="16131" width="2.28515625" style="261" customWidth="1"/>
    <col min="16132" max="16133" width="1.7109375" style="261" customWidth="1"/>
    <col min="16134" max="16134" width="2.28515625" style="261" customWidth="1"/>
    <col min="16135" max="16168" width="1.7109375" style="261" customWidth="1"/>
    <col min="16169" max="16169" width="3.140625" style="261" customWidth="1"/>
    <col min="16170" max="16176" width="1.7109375" style="261" customWidth="1"/>
    <col min="16177" max="16177" width="5.7109375" style="261" customWidth="1"/>
    <col min="16178" max="16384" width="1.7109375" style="261" hidden="1"/>
  </cols>
  <sheetData>
    <row r="1" spans="1:48" ht="15" customHeight="1"/>
    <row r="2" spans="1:48" ht="15" customHeight="1"/>
    <row r="3" spans="1:48" ht="15" customHeight="1"/>
    <row r="4" spans="1:48" ht="15" customHeight="1"/>
    <row r="5" spans="1:48" ht="15" customHeight="1"/>
    <row r="6" spans="1:48" ht="15" customHeight="1"/>
    <row r="7" spans="1:48" ht="15" customHeight="1"/>
    <row r="8" spans="1:48" ht="11.25" customHeight="1"/>
    <row r="9" spans="1:48" ht="11.25" customHeight="1"/>
    <row r="10" spans="1:48" s="262" customFormat="1" ht="12">
      <c r="C10" s="263"/>
      <c r="D10" s="263"/>
      <c r="E10" s="264"/>
      <c r="F10" s="264"/>
      <c r="G10" s="264"/>
      <c r="H10" s="264"/>
      <c r="K10" s="264"/>
      <c r="L10" s="264"/>
      <c r="M10" s="265"/>
      <c r="N10" s="264"/>
      <c r="O10" s="264"/>
      <c r="P10" s="264"/>
      <c r="S10" s="266" t="str">
        <f>+R94</f>
        <v xml:space="preserve">  INFORME N°26</v>
      </c>
      <c r="T10" s="264"/>
      <c r="AB10" s="762">
        <f>+AB94</f>
        <v>0</v>
      </c>
      <c r="AC10" s="763"/>
      <c r="AD10" s="763"/>
      <c r="AE10" s="763"/>
      <c r="AF10" s="763"/>
    </row>
    <row r="11" spans="1:48" s="268" customFormat="1" ht="16.5" customHeight="1">
      <c r="A11" s="764" t="str">
        <f>+A95</f>
        <v>"VALUACIÓN COMERCIAL DE INMUEBLE "</v>
      </c>
      <c r="B11" s="765"/>
      <c r="C11" s="765"/>
      <c r="D11" s="765"/>
      <c r="E11" s="765"/>
      <c r="F11" s="765"/>
      <c r="G11" s="765"/>
      <c r="H11" s="765"/>
      <c r="I11" s="765"/>
      <c r="J11" s="765"/>
      <c r="K11" s="765"/>
      <c r="L11" s="765"/>
      <c r="M11" s="765"/>
      <c r="N11" s="765"/>
      <c r="O11" s="765"/>
      <c r="P11" s="765"/>
      <c r="Q11" s="765"/>
      <c r="R11" s="765"/>
      <c r="S11" s="765"/>
      <c r="T11" s="765"/>
      <c r="U11" s="765"/>
      <c r="V11" s="765"/>
      <c r="W11" s="765"/>
      <c r="X11" s="765"/>
      <c r="Y11" s="765"/>
      <c r="Z11" s="765"/>
      <c r="AA11" s="765"/>
      <c r="AB11" s="765"/>
      <c r="AC11" s="765"/>
      <c r="AD11" s="765"/>
      <c r="AE11" s="765"/>
      <c r="AF11" s="765"/>
      <c r="AG11" s="765"/>
      <c r="AH11" s="765"/>
      <c r="AI11" s="765"/>
      <c r="AJ11" s="765"/>
      <c r="AK11" s="765"/>
      <c r="AL11" s="765"/>
      <c r="AM11" s="765"/>
      <c r="AN11" s="765"/>
      <c r="AO11" s="765"/>
      <c r="AP11" s="765"/>
      <c r="AQ11" s="765"/>
      <c r="AR11" s="765"/>
      <c r="AS11" s="765"/>
      <c r="AT11" s="765"/>
      <c r="AU11" s="765"/>
      <c r="AV11" s="765"/>
    </row>
    <row r="12" spans="1:48" s="272" customFormat="1" ht="21" customHeight="1">
      <c r="A12" s="269" t="str">
        <f>+A97</f>
        <v>CLIENTE DEL</v>
      </c>
      <c r="B12" s="270"/>
      <c r="C12" s="270"/>
      <c r="D12" s="271"/>
      <c r="E12" s="271"/>
      <c r="F12" s="271"/>
      <c r="G12" s="271"/>
      <c r="H12" s="271"/>
      <c r="K12" s="273"/>
      <c r="L12" s="273"/>
      <c r="M12" s="273"/>
      <c r="N12" s="273"/>
      <c r="O12" s="274" t="s">
        <v>4359</v>
      </c>
      <c r="P12" s="752">
        <f>+S97</f>
        <v>0</v>
      </c>
      <c r="Q12" s="752"/>
      <c r="R12" s="752"/>
      <c r="S12" s="752"/>
      <c r="T12" s="752"/>
      <c r="U12" s="752"/>
      <c r="V12" s="752"/>
      <c r="W12" s="752"/>
      <c r="X12" s="752"/>
      <c r="Y12" s="752"/>
      <c r="Z12" s="752"/>
      <c r="AA12" s="752"/>
      <c r="AB12" s="752"/>
      <c r="AC12" s="752"/>
      <c r="AD12" s="752"/>
      <c r="AE12" s="752"/>
      <c r="AF12" s="752"/>
      <c r="AG12" s="752"/>
      <c r="AH12" s="752"/>
      <c r="AI12" s="752"/>
      <c r="AJ12" s="752"/>
      <c r="AK12" s="752"/>
      <c r="AL12" s="752"/>
      <c r="AM12" s="752"/>
      <c r="AN12" s="752"/>
      <c r="AO12" s="752"/>
      <c r="AP12" s="752"/>
      <c r="AQ12" s="752"/>
      <c r="AR12" s="752"/>
      <c r="AS12" s="752"/>
      <c r="AT12" s="752"/>
      <c r="AU12" s="752"/>
      <c r="AV12" s="752"/>
    </row>
    <row r="13" spans="1:48" s="272" customFormat="1" ht="21.6" customHeight="1">
      <c r="A13" s="269" t="str">
        <f>+A98</f>
        <v>PROPIETARIO</v>
      </c>
      <c r="B13" s="270"/>
      <c r="C13" s="270"/>
      <c r="D13" s="271"/>
      <c r="E13" s="271"/>
      <c r="F13" s="271"/>
      <c r="G13" s="271"/>
      <c r="H13" s="271"/>
      <c r="K13" s="273"/>
      <c r="L13" s="273"/>
      <c r="M13" s="273"/>
      <c r="N13" s="273"/>
      <c r="O13" s="274" t="s">
        <v>4359</v>
      </c>
      <c r="P13" s="752">
        <f>+S98</f>
        <v>0</v>
      </c>
      <c r="Q13" s="752"/>
      <c r="R13" s="752"/>
      <c r="S13" s="752"/>
      <c r="T13" s="752"/>
      <c r="U13" s="752"/>
      <c r="V13" s="752"/>
      <c r="W13" s="752"/>
      <c r="X13" s="752"/>
      <c r="Y13" s="752"/>
      <c r="Z13" s="752"/>
      <c r="AA13" s="752"/>
      <c r="AB13" s="752"/>
      <c r="AC13" s="752"/>
      <c r="AD13" s="752"/>
      <c r="AE13" s="752"/>
      <c r="AF13" s="752"/>
      <c r="AG13" s="752"/>
      <c r="AH13" s="752"/>
      <c r="AI13" s="752"/>
      <c r="AJ13" s="752"/>
      <c r="AK13" s="752"/>
      <c r="AL13" s="752"/>
      <c r="AM13" s="752"/>
      <c r="AN13" s="752"/>
      <c r="AO13" s="752"/>
      <c r="AP13" s="752"/>
      <c r="AQ13" s="752"/>
      <c r="AR13" s="752"/>
      <c r="AS13" s="752"/>
      <c r="AT13" s="752"/>
      <c r="AU13" s="752"/>
      <c r="AV13" s="752"/>
    </row>
    <row r="14" spans="1:48" s="272" customFormat="1" ht="14.25" hidden="1" customHeight="1">
      <c r="A14" s="269" t="s">
        <v>4360</v>
      </c>
      <c r="B14" s="270"/>
      <c r="C14" s="270"/>
      <c r="D14" s="271"/>
      <c r="E14" s="271"/>
      <c r="F14" s="271"/>
      <c r="G14" s="271"/>
      <c r="H14" s="271"/>
      <c r="K14" s="273"/>
      <c r="L14" s="273"/>
      <c r="M14" s="273"/>
      <c r="N14" s="273"/>
      <c r="O14" s="274" t="s">
        <v>4359</v>
      </c>
      <c r="P14" s="752">
        <f>+HR!F3</f>
        <v>0</v>
      </c>
      <c r="Q14" s="752"/>
      <c r="R14" s="752"/>
      <c r="S14" s="752"/>
      <c r="T14" s="752"/>
      <c r="U14" s="752"/>
      <c r="V14" s="752"/>
      <c r="W14" s="752"/>
      <c r="X14" s="752"/>
      <c r="Y14" s="752"/>
      <c r="Z14" s="752"/>
      <c r="AA14" s="752"/>
      <c r="AB14" s="752"/>
      <c r="AC14" s="752"/>
      <c r="AD14" s="752"/>
      <c r="AE14" s="752"/>
      <c r="AF14" s="752"/>
      <c r="AG14" s="752"/>
      <c r="AH14" s="752"/>
      <c r="AI14" s="752"/>
      <c r="AJ14" s="752"/>
      <c r="AK14" s="752"/>
      <c r="AL14" s="752"/>
      <c r="AM14" s="752"/>
      <c r="AN14" s="752"/>
      <c r="AO14" s="752"/>
      <c r="AP14" s="752"/>
      <c r="AQ14" s="752"/>
      <c r="AR14" s="752"/>
      <c r="AS14" s="752"/>
      <c r="AT14" s="752"/>
      <c r="AU14" s="752"/>
      <c r="AV14" s="752"/>
    </row>
    <row r="15" spans="1:48" s="272" customFormat="1" ht="32.25" customHeight="1">
      <c r="A15" s="275" t="s">
        <v>4361</v>
      </c>
      <c r="B15" s="276"/>
      <c r="C15" s="276"/>
      <c r="D15" s="277"/>
      <c r="E15" s="277"/>
      <c r="F15" s="766" t="str">
        <f>+C110</f>
        <v>Según Ficha Registral</v>
      </c>
      <c r="G15" s="767"/>
      <c r="H15" s="767"/>
      <c r="I15" s="767"/>
      <c r="J15" s="767"/>
      <c r="K15" s="767"/>
      <c r="L15" s="767"/>
      <c r="M15" s="767"/>
      <c r="N15" s="767"/>
      <c r="O15" s="277" t="s">
        <v>4359</v>
      </c>
      <c r="P15" s="754">
        <f>+C111</f>
        <v>0</v>
      </c>
      <c r="Q15" s="754"/>
      <c r="R15" s="754"/>
      <c r="S15" s="754"/>
      <c r="T15" s="754"/>
      <c r="U15" s="754"/>
      <c r="V15" s="754"/>
      <c r="W15" s="754"/>
      <c r="X15" s="754"/>
      <c r="Y15" s="754"/>
      <c r="Z15" s="754"/>
      <c r="AA15" s="754"/>
      <c r="AB15" s="754"/>
      <c r="AC15" s="754"/>
      <c r="AD15" s="754"/>
      <c r="AE15" s="754"/>
      <c r="AF15" s="754"/>
      <c r="AG15" s="754"/>
      <c r="AH15" s="754"/>
      <c r="AI15" s="754"/>
      <c r="AJ15" s="754"/>
      <c r="AK15" s="754"/>
      <c r="AL15" s="754"/>
      <c r="AM15" s="754"/>
      <c r="AN15" s="754"/>
      <c r="AO15" s="754"/>
      <c r="AP15" s="754"/>
      <c r="AQ15" s="754"/>
      <c r="AR15" s="754"/>
      <c r="AS15" s="754"/>
      <c r="AT15" s="754"/>
      <c r="AU15" s="754"/>
      <c r="AV15" s="754"/>
    </row>
    <row r="16" spans="1:48" s="272" customFormat="1" ht="40.5" customHeight="1">
      <c r="A16" s="275"/>
      <c r="B16" s="276"/>
      <c r="C16" s="276"/>
      <c r="D16" s="277"/>
      <c r="E16" s="277"/>
      <c r="F16" s="752" t="str">
        <f>+C112</f>
        <v xml:space="preserve">Según Autoavalúo </v>
      </c>
      <c r="G16" s="753"/>
      <c r="H16" s="753"/>
      <c r="I16" s="753"/>
      <c r="J16" s="753"/>
      <c r="K16" s="753"/>
      <c r="L16" s="753"/>
      <c r="M16" s="753"/>
      <c r="N16" s="753"/>
      <c r="O16" s="277" t="s">
        <v>4359</v>
      </c>
      <c r="P16" s="754">
        <f>+C113</f>
        <v>0</v>
      </c>
      <c r="Q16" s="754"/>
      <c r="R16" s="754"/>
      <c r="S16" s="754"/>
      <c r="T16" s="754"/>
      <c r="U16" s="754"/>
      <c r="V16" s="754"/>
      <c r="W16" s="754"/>
      <c r="X16" s="754"/>
      <c r="Y16" s="754"/>
      <c r="Z16" s="754"/>
      <c r="AA16" s="754"/>
      <c r="AB16" s="754"/>
      <c r="AC16" s="754"/>
      <c r="AD16" s="754"/>
      <c r="AE16" s="754"/>
      <c r="AF16" s="754"/>
      <c r="AG16" s="754"/>
      <c r="AH16" s="754"/>
      <c r="AI16" s="754"/>
      <c r="AJ16" s="754"/>
      <c r="AK16" s="754"/>
      <c r="AL16" s="754"/>
      <c r="AM16" s="754"/>
      <c r="AN16" s="754"/>
      <c r="AO16" s="754"/>
      <c r="AP16" s="754"/>
      <c r="AQ16" s="754"/>
      <c r="AR16" s="754"/>
      <c r="AS16" s="754"/>
      <c r="AT16" s="754"/>
      <c r="AU16" s="754"/>
      <c r="AV16" s="754"/>
    </row>
    <row r="17" spans="1:48" s="272" customFormat="1" ht="33" customHeight="1">
      <c r="A17" s="275"/>
      <c r="B17" s="276"/>
      <c r="C17" s="276"/>
      <c r="D17" s="277"/>
      <c r="E17" s="277"/>
      <c r="F17" s="752" t="str">
        <f>+C114</f>
        <v>Según Inspección ocular</v>
      </c>
      <c r="G17" s="753"/>
      <c r="H17" s="753"/>
      <c r="I17" s="753"/>
      <c r="J17" s="753"/>
      <c r="K17" s="753"/>
      <c r="L17" s="753"/>
      <c r="M17" s="753"/>
      <c r="N17" s="753"/>
      <c r="O17" s="277" t="s">
        <v>4359</v>
      </c>
      <c r="P17" s="754">
        <f>+C115</f>
        <v>0</v>
      </c>
      <c r="Q17" s="754"/>
      <c r="R17" s="754"/>
      <c r="S17" s="754"/>
      <c r="T17" s="754"/>
      <c r="U17" s="754"/>
      <c r="V17" s="754"/>
      <c r="W17" s="754"/>
      <c r="X17" s="754"/>
      <c r="Y17" s="754"/>
      <c r="Z17" s="754"/>
      <c r="AA17" s="754"/>
      <c r="AB17" s="754"/>
      <c r="AC17" s="754"/>
      <c r="AD17" s="754"/>
      <c r="AE17" s="754"/>
      <c r="AF17" s="754"/>
      <c r="AG17" s="754"/>
      <c r="AH17" s="754"/>
      <c r="AI17" s="754"/>
      <c r="AJ17" s="754"/>
      <c r="AK17" s="754"/>
      <c r="AL17" s="754"/>
      <c r="AM17" s="754"/>
      <c r="AN17" s="754"/>
      <c r="AO17" s="754"/>
      <c r="AP17" s="754"/>
      <c r="AQ17" s="754"/>
      <c r="AR17" s="754"/>
      <c r="AS17" s="754"/>
      <c r="AT17" s="754"/>
      <c r="AU17" s="754"/>
      <c r="AV17" s="754"/>
    </row>
    <row r="18" spans="1:48" s="282" customFormat="1" ht="4.5" customHeight="1">
      <c r="A18" s="279"/>
      <c r="B18" s="280"/>
      <c r="C18" s="280"/>
      <c r="D18" s="281"/>
      <c r="E18" s="281"/>
      <c r="F18" s="281"/>
      <c r="H18" s="267"/>
      <c r="I18" s="281"/>
      <c r="J18" s="283"/>
      <c r="K18" s="283"/>
      <c r="L18" s="283"/>
      <c r="M18" s="283"/>
      <c r="N18" s="283"/>
      <c r="O18" s="283"/>
      <c r="P18" s="283"/>
      <c r="Q18" s="283"/>
      <c r="R18" s="283"/>
      <c r="S18" s="283"/>
      <c r="T18" s="283"/>
      <c r="U18" s="283"/>
      <c r="V18" s="283"/>
      <c r="W18" s="283"/>
      <c r="X18" s="283"/>
      <c r="Y18" s="283"/>
      <c r="Z18" s="283"/>
      <c r="AA18" s="283"/>
      <c r="AB18" s="283"/>
      <c r="AC18" s="283"/>
      <c r="AD18" s="283"/>
      <c r="AE18" s="283"/>
      <c r="AF18" s="283"/>
      <c r="AG18" s="283"/>
      <c r="AH18" s="283"/>
      <c r="AI18" s="283"/>
      <c r="AJ18" s="283"/>
      <c r="AK18" s="283"/>
      <c r="AL18" s="283"/>
      <c r="AM18" s="283"/>
      <c r="AN18" s="283"/>
      <c r="AO18" s="283"/>
      <c r="AP18" s="283"/>
      <c r="AQ18" s="283"/>
      <c r="AR18" s="283"/>
      <c r="AS18" s="283"/>
      <c r="AT18" s="283"/>
      <c r="AU18" s="283"/>
      <c r="AV18" s="283"/>
    </row>
    <row r="19" spans="1:48" s="268" customFormat="1" ht="13.5" customHeight="1">
      <c r="A19" s="755"/>
      <c r="B19" s="756"/>
      <c r="C19" s="756"/>
      <c r="D19" s="756"/>
      <c r="E19" s="756"/>
      <c r="F19" s="756"/>
      <c r="G19" s="756"/>
      <c r="H19" s="756"/>
      <c r="I19" s="756"/>
      <c r="J19" s="756"/>
      <c r="K19" s="756"/>
      <c r="L19" s="756"/>
      <c r="M19" s="756"/>
      <c r="N19" s="756"/>
      <c r="O19" s="756"/>
      <c r="P19" s="756"/>
      <c r="Q19" s="756"/>
      <c r="R19" s="756"/>
      <c r="S19" s="756"/>
      <c r="T19" s="756"/>
      <c r="U19" s="756"/>
      <c r="V19" s="756"/>
      <c r="W19" s="756"/>
      <c r="X19" s="756"/>
      <c r="Y19" s="756"/>
      <c r="Z19" s="756"/>
      <c r="AA19" s="756"/>
      <c r="AB19" s="756"/>
      <c r="AC19" s="756"/>
      <c r="AD19" s="756"/>
      <c r="AE19" s="756"/>
      <c r="AF19" s="756"/>
      <c r="AG19" s="756"/>
      <c r="AH19" s="756"/>
      <c r="AI19" s="756"/>
      <c r="AJ19" s="756"/>
      <c r="AK19" s="756"/>
      <c r="AL19" s="756"/>
      <c r="AM19" s="756"/>
      <c r="AN19" s="756"/>
      <c r="AO19" s="756"/>
      <c r="AP19" s="756"/>
      <c r="AQ19" s="756"/>
      <c r="AR19" s="756"/>
      <c r="AS19" s="756"/>
      <c r="AT19" s="756"/>
      <c r="AU19" s="756"/>
      <c r="AV19" s="757"/>
    </row>
    <row r="20" spans="1:48" s="268" customFormat="1" ht="8.25" customHeight="1">
      <c r="A20" s="741"/>
      <c r="B20" s="739"/>
      <c r="C20" s="739"/>
      <c r="D20" s="739"/>
      <c r="E20" s="739"/>
      <c r="F20" s="739"/>
      <c r="G20" s="739"/>
      <c r="H20" s="739"/>
      <c r="I20" s="739"/>
      <c r="J20" s="739"/>
      <c r="K20" s="739"/>
      <c r="L20" s="739"/>
      <c r="M20" s="739"/>
      <c r="N20" s="739"/>
      <c r="O20" s="739"/>
      <c r="P20" s="739"/>
      <c r="Q20" s="739"/>
      <c r="R20" s="739"/>
      <c r="S20" s="739"/>
      <c r="T20" s="739"/>
      <c r="U20" s="739"/>
      <c r="V20" s="739"/>
      <c r="W20" s="739"/>
      <c r="X20" s="739"/>
      <c r="Y20" s="739"/>
      <c r="Z20" s="739"/>
      <c r="AA20" s="739"/>
      <c r="AB20" s="739"/>
      <c r="AC20" s="739"/>
      <c r="AD20" s="739"/>
      <c r="AE20" s="739"/>
      <c r="AF20" s="739"/>
      <c r="AG20" s="739"/>
      <c r="AH20" s="739"/>
      <c r="AI20" s="739"/>
      <c r="AJ20" s="739"/>
      <c r="AK20" s="739"/>
      <c r="AL20" s="739"/>
      <c r="AM20" s="739"/>
      <c r="AN20" s="739"/>
      <c r="AO20" s="739"/>
      <c r="AP20" s="739"/>
      <c r="AQ20" s="739"/>
      <c r="AR20" s="739"/>
      <c r="AS20" s="739"/>
      <c r="AT20" s="739"/>
      <c r="AU20" s="739"/>
      <c r="AV20" s="740"/>
    </row>
    <row r="21" spans="1:48" s="268" customFormat="1" ht="13.5" customHeight="1">
      <c r="A21" s="758" t="s">
        <v>4362</v>
      </c>
      <c r="B21" s="759"/>
      <c r="C21" s="759"/>
      <c r="D21" s="759"/>
      <c r="E21" s="759"/>
      <c r="F21" s="759"/>
      <c r="G21" s="759"/>
      <c r="H21" s="759"/>
      <c r="I21" s="759"/>
      <c r="J21" s="759"/>
      <c r="K21" s="759"/>
      <c r="L21" s="759"/>
      <c r="M21" s="759"/>
      <c r="N21" s="759"/>
      <c r="O21" s="759"/>
      <c r="P21" s="759"/>
      <c r="Q21" s="759"/>
      <c r="R21" s="759"/>
      <c r="S21" s="759"/>
      <c r="T21" s="759"/>
      <c r="U21" s="759"/>
      <c r="V21" s="759"/>
      <c r="W21" s="759"/>
      <c r="X21" s="759"/>
      <c r="Y21" s="759"/>
      <c r="Z21" s="759"/>
      <c r="AA21" s="759"/>
      <c r="AB21" s="759"/>
      <c r="AC21" s="759"/>
      <c r="AD21" s="759"/>
      <c r="AE21" s="759"/>
      <c r="AF21" s="759"/>
      <c r="AG21" s="759"/>
      <c r="AH21" s="759"/>
      <c r="AI21" s="759"/>
      <c r="AJ21" s="759"/>
      <c r="AK21" s="759"/>
      <c r="AL21" s="759"/>
      <c r="AM21" s="759"/>
      <c r="AN21" s="759"/>
      <c r="AO21" s="759"/>
      <c r="AP21" s="759"/>
      <c r="AQ21" s="759"/>
      <c r="AR21" s="759"/>
      <c r="AS21" s="759"/>
      <c r="AT21" s="759"/>
      <c r="AU21" s="759"/>
      <c r="AV21" s="760"/>
    </row>
    <row r="22" spans="1:48" s="268" customFormat="1" ht="13.5" customHeight="1">
      <c r="A22" s="761"/>
      <c r="B22" s="759"/>
      <c r="C22" s="759"/>
      <c r="D22" s="759"/>
      <c r="E22" s="759"/>
      <c r="F22" s="759"/>
      <c r="G22" s="759"/>
      <c r="H22" s="759"/>
      <c r="I22" s="759"/>
      <c r="J22" s="759"/>
      <c r="K22" s="759"/>
      <c r="L22" s="759"/>
      <c r="M22" s="759"/>
      <c r="N22" s="759"/>
      <c r="O22" s="759"/>
      <c r="P22" s="759"/>
      <c r="Q22" s="759"/>
      <c r="R22" s="759"/>
      <c r="S22" s="759"/>
      <c r="T22" s="759"/>
      <c r="U22" s="759"/>
      <c r="V22" s="759"/>
      <c r="W22" s="759"/>
      <c r="X22" s="759"/>
      <c r="Y22" s="759"/>
      <c r="Z22" s="759"/>
      <c r="AA22" s="759"/>
      <c r="AB22" s="759"/>
      <c r="AC22" s="759"/>
      <c r="AD22" s="759"/>
      <c r="AE22" s="759"/>
      <c r="AF22" s="759"/>
      <c r="AG22" s="759"/>
      <c r="AH22" s="759"/>
      <c r="AI22" s="759"/>
      <c r="AJ22" s="759"/>
      <c r="AK22" s="759"/>
      <c r="AL22" s="759"/>
      <c r="AM22" s="759"/>
      <c r="AN22" s="759"/>
      <c r="AO22" s="759"/>
      <c r="AP22" s="759"/>
      <c r="AQ22" s="759"/>
      <c r="AR22" s="759"/>
      <c r="AS22" s="759"/>
      <c r="AT22" s="759"/>
      <c r="AU22" s="759"/>
      <c r="AV22" s="760"/>
    </row>
    <row r="23" spans="1:48" s="268" customFormat="1" ht="13.5" customHeight="1">
      <c r="A23" s="761"/>
      <c r="B23" s="759"/>
      <c r="C23" s="759"/>
      <c r="D23" s="759"/>
      <c r="E23" s="759"/>
      <c r="F23" s="759"/>
      <c r="G23" s="759"/>
      <c r="H23" s="759"/>
      <c r="I23" s="759"/>
      <c r="J23" s="759"/>
      <c r="K23" s="759"/>
      <c r="L23" s="759"/>
      <c r="M23" s="759"/>
      <c r="N23" s="759"/>
      <c r="O23" s="759"/>
      <c r="P23" s="759"/>
      <c r="Q23" s="759"/>
      <c r="R23" s="759"/>
      <c r="S23" s="759"/>
      <c r="T23" s="759"/>
      <c r="U23" s="759"/>
      <c r="V23" s="759"/>
      <c r="W23" s="759"/>
      <c r="X23" s="759"/>
      <c r="Y23" s="759"/>
      <c r="Z23" s="759"/>
      <c r="AA23" s="759"/>
      <c r="AB23" s="759"/>
      <c r="AC23" s="759"/>
      <c r="AD23" s="759"/>
      <c r="AE23" s="759"/>
      <c r="AF23" s="759"/>
      <c r="AG23" s="759"/>
      <c r="AH23" s="759"/>
      <c r="AI23" s="759"/>
      <c r="AJ23" s="759"/>
      <c r="AK23" s="759"/>
      <c r="AL23" s="759"/>
      <c r="AM23" s="759"/>
      <c r="AN23" s="759"/>
      <c r="AO23" s="759"/>
      <c r="AP23" s="759"/>
      <c r="AQ23" s="759"/>
      <c r="AR23" s="759"/>
      <c r="AS23" s="759"/>
      <c r="AT23" s="759"/>
      <c r="AU23" s="759"/>
      <c r="AV23" s="760"/>
    </row>
    <row r="24" spans="1:48" s="268" customFormat="1" ht="13.5" customHeight="1">
      <c r="A24" s="761"/>
      <c r="B24" s="759"/>
      <c r="C24" s="759"/>
      <c r="D24" s="759"/>
      <c r="E24" s="759"/>
      <c r="F24" s="759"/>
      <c r="G24" s="759"/>
      <c r="H24" s="759"/>
      <c r="I24" s="759"/>
      <c r="J24" s="759"/>
      <c r="K24" s="759"/>
      <c r="L24" s="759"/>
      <c r="M24" s="759"/>
      <c r="N24" s="759"/>
      <c r="O24" s="759"/>
      <c r="P24" s="759"/>
      <c r="Q24" s="759"/>
      <c r="R24" s="759"/>
      <c r="S24" s="759"/>
      <c r="T24" s="759"/>
      <c r="U24" s="759"/>
      <c r="V24" s="759"/>
      <c r="W24" s="759"/>
      <c r="X24" s="759"/>
      <c r="Y24" s="759"/>
      <c r="Z24" s="759"/>
      <c r="AA24" s="759"/>
      <c r="AB24" s="759"/>
      <c r="AC24" s="759"/>
      <c r="AD24" s="759"/>
      <c r="AE24" s="759"/>
      <c r="AF24" s="759"/>
      <c r="AG24" s="759"/>
      <c r="AH24" s="759"/>
      <c r="AI24" s="759"/>
      <c r="AJ24" s="759"/>
      <c r="AK24" s="759"/>
      <c r="AL24" s="759"/>
      <c r="AM24" s="759"/>
      <c r="AN24" s="759"/>
      <c r="AO24" s="759"/>
      <c r="AP24" s="759"/>
      <c r="AQ24" s="759"/>
      <c r="AR24" s="759"/>
      <c r="AS24" s="759"/>
      <c r="AT24" s="759"/>
      <c r="AU24" s="759"/>
      <c r="AV24" s="760"/>
    </row>
    <row r="25" spans="1:48" s="268" customFormat="1" ht="13.5" customHeight="1">
      <c r="A25" s="761"/>
      <c r="B25" s="759"/>
      <c r="C25" s="759"/>
      <c r="D25" s="759"/>
      <c r="E25" s="759"/>
      <c r="F25" s="759"/>
      <c r="G25" s="759"/>
      <c r="H25" s="759"/>
      <c r="I25" s="759"/>
      <c r="J25" s="759"/>
      <c r="K25" s="759"/>
      <c r="L25" s="759"/>
      <c r="M25" s="759"/>
      <c r="N25" s="759"/>
      <c r="O25" s="759"/>
      <c r="P25" s="759"/>
      <c r="Q25" s="759"/>
      <c r="R25" s="759"/>
      <c r="S25" s="759"/>
      <c r="T25" s="759"/>
      <c r="U25" s="759"/>
      <c r="V25" s="759"/>
      <c r="W25" s="759"/>
      <c r="X25" s="759"/>
      <c r="Y25" s="759"/>
      <c r="Z25" s="759"/>
      <c r="AA25" s="759"/>
      <c r="AB25" s="759"/>
      <c r="AC25" s="759"/>
      <c r="AD25" s="759"/>
      <c r="AE25" s="759"/>
      <c r="AF25" s="759"/>
      <c r="AG25" s="759"/>
      <c r="AH25" s="759"/>
      <c r="AI25" s="759"/>
      <c r="AJ25" s="759"/>
      <c r="AK25" s="759"/>
      <c r="AL25" s="759"/>
      <c r="AM25" s="759"/>
      <c r="AN25" s="759"/>
      <c r="AO25" s="759"/>
      <c r="AP25" s="759"/>
      <c r="AQ25" s="759"/>
      <c r="AR25" s="759"/>
      <c r="AS25" s="759"/>
      <c r="AT25" s="759"/>
      <c r="AU25" s="759"/>
      <c r="AV25" s="760"/>
    </row>
    <row r="26" spans="1:48" s="268" customFormat="1" ht="13.5" customHeight="1">
      <c r="A26" s="761"/>
      <c r="B26" s="759"/>
      <c r="C26" s="759"/>
      <c r="D26" s="759"/>
      <c r="E26" s="759"/>
      <c r="F26" s="759"/>
      <c r="G26" s="759"/>
      <c r="H26" s="759"/>
      <c r="I26" s="759"/>
      <c r="J26" s="759"/>
      <c r="K26" s="759"/>
      <c r="L26" s="759"/>
      <c r="M26" s="759"/>
      <c r="N26" s="759"/>
      <c r="O26" s="759"/>
      <c r="P26" s="759"/>
      <c r="Q26" s="759"/>
      <c r="R26" s="759"/>
      <c r="S26" s="759"/>
      <c r="T26" s="759"/>
      <c r="U26" s="759"/>
      <c r="V26" s="759"/>
      <c r="W26" s="759"/>
      <c r="X26" s="759"/>
      <c r="Y26" s="759"/>
      <c r="Z26" s="759"/>
      <c r="AA26" s="759"/>
      <c r="AB26" s="759"/>
      <c r="AC26" s="759"/>
      <c r="AD26" s="759"/>
      <c r="AE26" s="759"/>
      <c r="AF26" s="759"/>
      <c r="AG26" s="759"/>
      <c r="AH26" s="759"/>
      <c r="AI26" s="759"/>
      <c r="AJ26" s="759"/>
      <c r="AK26" s="759"/>
      <c r="AL26" s="759"/>
      <c r="AM26" s="759"/>
      <c r="AN26" s="759"/>
      <c r="AO26" s="759"/>
      <c r="AP26" s="759"/>
      <c r="AQ26" s="759"/>
      <c r="AR26" s="759"/>
      <c r="AS26" s="759"/>
      <c r="AT26" s="759"/>
      <c r="AU26" s="759"/>
      <c r="AV26" s="760"/>
    </row>
    <row r="27" spans="1:48" s="268" customFormat="1" ht="13.5" customHeight="1">
      <c r="A27" s="761"/>
      <c r="B27" s="759"/>
      <c r="C27" s="759"/>
      <c r="D27" s="759"/>
      <c r="E27" s="759"/>
      <c r="F27" s="759"/>
      <c r="G27" s="759"/>
      <c r="H27" s="759"/>
      <c r="I27" s="759"/>
      <c r="J27" s="759"/>
      <c r="K27" s="759"/>
      <c r="L27" s="759"/>
      <c r="M27" s="759"/>
      <c r="N27" s="759"/>
      <c r="O27" s="759"/>
      <c r="P27" s="759"/>
      <c r="Q27" s="759"/>
      <c r="R27" s="759"/>
      <c r="S27" s="759"/>
      <c r="T27" s="759"/>
      <c r="U27" s="759"/>
      <c r="V27" s="759"/>
      <c r="W27" s="759"/>
      <c r="X27" s="759"/>
      <c r="Y27" s="759"/>
      <c r="Z27" s="759"/>
      <c r="AA27" s="759"/>
      <c r="AB27" s="759"/>
      <c r="AC27" s="759"/>
      <c r="AD27" s="759"/>
      <c r="AE27" s="759"/>
      <c r="AF27" s="759"/>
      <c r="AG27" s="759"/>
      <c r="AH27" s="759"/>
      <c r="AI27" s="759"/>
      <c r="AJ27" s="759"/>
      <c r="AK27" s="759"/>
      <c r="AL27" s="759"/>
      <c r="AM27" s="759"/>
      <c r="AN27" s="759"/>
      <c r="AO27" s="759"/>
      <c r="AP27" s="759"/>
      <c r="AQ27" s="759"/>
      <c r="AR27" s="759"/>
      <c r="AS27" s="759"/>
      <c r="AT27" s="759"/>
      <c r="AU27" s="759"/>
      <c r="AV27" s="760"/>
    </row>
    <row r="28" spans="1:48" s="268" customFormat="1" ht="12.6" customHeight="1">
      <c r="A28" s="738"/>
      <c r="B28" s="739"/>
      <c r="C28" s="739"/>
      <c r="D28" s="739"/>
      <c r="E28" s="739"/>
      <c r="F28" s="739"/>
      <c r="G28" s="739"/>
      <c r="H28" s="739"/>
      <c r="I28" s="739"/>
      <c r="J28" s="739"/>
      <c r="K28" s="739"/>
      <c r="L28" s="739"/>
      <c r="M28" s="739"/>
      <c r="N28" s="739"/>
      <c r="O28" s="739"/>
      <c r="P28" s="739"/>
      <c r="Q28" s="739"/>
      <c r="R28" s="739"/>
      <c r="S28" s="739"/>
      <c r="T28" s="739"/>
      <c r="U28" s="739"/>
      <c r="V28" s="739"/>
      <c r="W28" s="739"/>
      <c r="X28" s="739"/>
      <c r="Y28" s="739"/>
      <c r="Z28" s="739"/>
      <c r="AA28" s="739"/>
      <c r="AB28" s="739"/>
      <c r="AC28" s="739"/>
      <c r="AD28" s="739"/>
      <c r="AE28" s="739"/>
      <c r="AF28" s="739"/>
      <c r="AG28" s="739"/>
      <c r="AH28" s="739"/>
      <c r="AI28" s="739"/>
      <c r="AJ28" s="739"/>
      <c r="AK28" s="739"/>
      <c r="AL28" s="739"/>
      <c r="AM28" s="739"/>
      <c r="AN28" s="739"/>
      <c r="AO28" s="739"/>
      <c r="AP28" s="739"/>
      <c r="AQ28" s="739"/>
      <c r="AR28" s="739"/>
      <c r="AS28" s="739"/>
      <c r="AT28" s="739"/>
      <c r="AU28" s="739"/>
      <c r="AV28" s="740"/>
    </row>
    <row r="29" spans="1:48" s="268" customFormat="1" ht="12.6" customHeight="1">
      <c r="A29" s="741"/>
      <c r="B29" s="739"/>
      <c r="C29" s="739"/>
      <c r="D29" s="739"/>
      <c r="E29" s="739"/>
      <c r="F29" s="739"/>
      <c r="G29" s="739"/>
      <c r="H29" s="739"/>
      <c r="I29" s="739"/>
      <c r="J29" s="739"/>
      <c r="K29" s="739"/>
      <c r="L29" s="739"/>
      <c r="M29" s="739"/>
      <c r="N29" s="739"/>
      <c r="O29" s="739"/>
      <c r="P29" s="739"/>
      <c r="Q29" s="739"/>
      <c r="R29" s="739"/>
      <c r="S29" s="739"/>
      <c r="T29" s="739"/>
      <c r="U29" s="739"/>
      <c r="V29" s="739"/>
      <c r="W29" s="739"/>
      <c r="X29" s="739"/>
      <c r="Y29" s="739"/>
      <c r="Z29" s="739"/>
      <c r="AA29" s="739"/>
      <c r="AB29" s="739"/>
      <c r="AC29" s="739"/>
      <c r="AD29" s="739"/>
      <c r="AE29" s="739"/>
      <c r="AF29" s="739"/>
      <c r="AG29" s="739"/>
      <c r="AH29" s="739"/>
      <c r="AI29" s="739"/>
      <c r="AJ29" s="739"/>
      <c r="AK29" s="739"/>
      <c r="AL29" s="739"/>
      <c r="AM29" s="739"/>
      <c r="AN29" s="739"/>
      <c r="AO29" s="739"/>
      <c r="AP29" s="739"/>
      <c r="AQ29" s="739"/>
      <c r="AR29" s="739"/>
      <c r="AS29" s="739"/>
      <c r="AT29" s="739"/>
      <c r="AU29" s="739"/>
      <c r="AV29" s="740"/>
    </row>
    <row r="30" spans="1:48" s="268" customFormat="1" ht="13.5" customHeight="1">
      <c r="A30" s="738"/>
      <c r="B30" s="739"/>
      <c r="C30" s="739"/>
      <c r="D30" s="739"/>
      <c r="E30" s="739"/>
      <c r="F30" s="739"/>
      <c r="G30" s="739"/>
      <c r="H30" s="739"/>
      <c r="I30" s="739"/>
      <c r="J30" s="739"/>
      <c r="K30" s="739"/>
      <c r="L30" s="739"/>
      <c r="M30" s="739"/>
      <c r="N30" s="739"/>
      <c r="O30" s="739"/>
      <c r="P30" s="739"/>
      <c r="Q30" s="739"/>
      <c r="R30" s="739"/>
      <c r="S30" s="739"/>
      <c r="T30" s="739"/>
      <c r="U30" s="739"/>
      <c r="V30" s="739"/>
      <c r="W30" s="739"/>
      <c r="X30" s="739"/>
      <c r="Y30" s="739"/>
      <c r="Z30" s="739"/>
      <c r="AA30" s="739"/>
      <c r="AB30" s="739"/>
      <c r="AC30" s="739"/>
      <c r="AD30" s="739"/>
      <c r="AE30" s="739"/>
      <c r="AF30" s="739"/>
      <c r="AG30" s="739"/>
      <c r="AH30" s="739"/>
      <c r="AI30" s="739"/>
      <c r="AJ30" s="739"/>
      <c r="AK30" s="739"/>
      <c r="AL30" s="739"/>
      <c r="AM30" s="739"/>
      <c r="AN30" s="739"/>
      <c r="AO30" s="739"/>
      <c r="AP30" s="739"/>
      <c r="AQ30" s="739"/>
      <c r="AR30" s="739"/>
      <c r="AS30" s="739"/>
      <c r="AT30" s="739"/>
      <c r="AU30" s="739"/>
      <c r="AV30" s="740"/>
    </row>
    <row r="31" spans="1:48" s="268" customFormat="1" ht="7.5" customHeight="1">
      <c r="A31" s="741"/>
      <c r="B31" s="739"/>
      <c r="C31" s="739"/>
      <c r="D31" s="739"/>
      <c r="E31" s="739"/>
      <c r="F31" s="739"/>
      <c r="G31" s="739"/>
      <c r="H31" s="739"/>
      <c r="I31" s="739"/>
      <c r="J31" s="739"/>
      <c r="K31" s="739"/>
      <c r="L31" s="739"/>
      <c r="M31" s="739"/>
      <c r="N31" s="739"/>
      <c r="O31" s="739"/>
      <c r="P31" s="739"/>
      <c r="Q31" s="739"/>
      <c r="R31" s="739"/>
      <c r="S31" s="739"/>
      <c r="T31" s="739"/>
      <c r="U31" s="739"/>
      <c r="V31" s="739"/>
      <c r="W31" s="739"/>
      <c r="X31" s="739"/>
      <c r="Y31" s="739"/>
      <c r="Z31" s="739"/>
      <c r="AA31" s="739"/>
      <c r="AB31" s="739"/>
      <c r="AC31" s="739"/>
      <c r="AD31" s="739"/>
      <c r="AE31" s="739"/>
      <c r="AF31" s="739"/>
      <c r="AG31" s="739"/>
      <c r="AH31" s="739"/>
      <c r="AI31" s="739"/>
      <c r="AJ31" s="739"/>
      <c r="AK31" s="739"/>
      <c r="AL31" s="739"/>
      <c r="AM31" s="739"/>
      <c r="AN31" s="739"/>
      <c r="AO31" s="739"/>
      <c r="AP31" s="739"/>
      <c r="AQ31" s="739"/>
      <c r="AR31" s="739"/>
      <c r="AS31" s="739"/>
      <c r="AT31" s="739"/>
      <c r="AU31" s="739"/>
      <c r="AV31" s="740"/>
    </row>
    <row r="32" spans="1:48" s="268" customFormat="1" ht="9" customHeight="1" thickBot="1">
      <c r="A32" s="742"/>
      <c r="B32" s="743"/>
      <c r="C32" s="743"/>
      <c r="D32" s="743"/>
      <c r="E32" s="743"/>
      <c r="F32" s="743"/>
      <c r="G32" s="743"/>
      <c r="H32" s="743"/>
      <c r="I32" s="743"/>
      <c r="J32" s="743"/>
      <c r="K32" s="743"/>
      <c r="L32" s="743"/>
      <c r="M32" s="743"/>
      <c r="N32" s="743"/>
      <c r="O32" s="743"/>
      <c r="P32" s="743"/>
      <c r="Q32" s="743"/>
      <c r="R32" s="743"/>
      <c r="S32" s="743"/>
      <c r="T32" s="743"/>
      <c r="U32" s="743"/>
      <c r="V32" s="743"/>
      <c r="W32" s="743"/>
      <c r="X32" s="743"/>
      <c r="Y32" s="743"/>
      <c r="Z32" s="743"/>
      <c r="AA32" s="743"/>
      <c r="AB32" s="743"/>
      <c r="AC32" s="743"/>
      <c r="AD32" s="743"/>
      <c r="AE32" s="743"/>
      <c r="AF32" s="743"/>
      <c r="AG32" s="743"/>
      <c r="AH32" s="743"/>
      <c r="AI32" s="743"/>
      <c r="AJ32" s="743"/>
      <c r="AK32" s="743"/>
      <c r="AL32" s="743"/>
      <c r="AM32" s="743"/>
      <c r="AN32" s="743"/>
      <c r="AO32" s="743"/>
      <c r="AP32" s="743"/>
      <c r="AQ32" s="743"/>
      <c r="AR32" s="743"/>
      <c r="AS32" s="743"/>
      <c r="AT32" s="743"/>
      <c r="AU32" s="743"/>
      <c r="AV32" s="744"/>
    </row>
    <row r="33" spans="1:269" s="268" customFormat="1" ht="3" customHeight="1" thickTop="1">
      <c r="A33" s="261"/>
      <c r="B33" s="261"/>
      <c r="C33" s="261"/>
      <c r="D33" s="261"/>
      <c r="E33" s="261"/>
      <c r="F33" s="261"/>
      <c r="G33" s="261"/>
      <c r="H33" s="261"/>
      <c r="I33" s="261"/>
      <c r="J33" s="261"/>
      <c r="K33" s="261"/>
      <c r="L33" s="261"/>
      <c r="M33" s="261"/>
      <c r="N33" s="261"/>
      <c r="O33" s="261"/>
      <c r="P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row>
    <row r="34" spans="1:269" s="287" customFormat="1" ht="14.25" customHeight="1">
      <c r="A34" s="285" t="s">
        <v>4363</v>
      </c>
      <c r="B34" s="286"/>
      <c r="C34" s="286"/>
      <c r="D34" s="286"/>
      <c r="E34" s="286"/>
      <c r="F34" s="286"/>
      <c r="H34" s="288"/>
      <c r="I34" s="286"/>
      <c r="J34" s="289"/>
      <c r="K34" s="289"/>
      <c r="L34" s="289"/>
      <c r="M34" s="289"/>
      <c r="N34" s="289"/>
      <c r="O34" s="290" t="s">
        <v>4359</v>
      </c>
      <c r="P34" s="291" t="s">
        <v>69</v>
      </c>
      <c r="Q34" s="292"/>
      <c r="R34" s="292"/>
      <c r="T34" s="293"/>
      <c r="U34" s="745"/>
      <c r="V34" s="745"/>
      <c r="W34" s="745"/>
      <c r="X34" s="745"/>
      <c r="Y34" s="745"/>
      <c r="Z34" s="745"/>
      <c r="AA34" s="745"/>
      <c r="AB34" s="745"/>
      <c r="AC34" s="745"/>
      <c r="AD34" s="292"/>
      <c r="AE34" s="292"/>
      <c r="AF34" s="291" t="s">
        <v>70</v>
      </c>
      <c r="AG34" s="292"/>
      <c r="AH34" s="294"/>
      <c r="AJ34" s="295"/>
      <c r="AK34" s="745"/>
      <c r="AL34" s="745"/>
      <c r="AM34" s="745"/>
      <c r="AN34" s="745"/>
      <c r="AO34" s="745"/>
      <c r="AP34" s="745"/>
      <c r="AQ34" s="745"/>
      <c r="AR34" s="745"/>
      <c r="AS34" s="745"/>
      <c r="AT34" s="296"/>
      <c r="AU34" s="292"/>
      <c r="AV34" s="292"/>
    </row>
    <row r="35" spans="1:269" s="287" customFormat="1" ht="2.25" customHeight="1">
      <c r="A35" s="285"/>
      <c r="B35" s="286"/>
      <c r="C35" s="286"/>
      <c r="D35" s="286"/>
      <c r="E35" s="286"/>
      <c r="F35" s="286"/>
      <c r="H35" s="288"/>
      <c r="I35" s="286"/>
      <c r="J35" s="289"/>
      <c r="K35" s="289"/>
      <c r="L35" s="289"/>
      <c r="M35" s="289"/>
      <c r="N35" s="289"/>
      <c r="O35" s="290"/>
      <c r="P35" s="291"/>
      <c r="Q35" s="292"/>
      <c r="R35" s="292"/>
      <c r="T35" s="293"/>
      <c r="U35" s="297"/>
      <c r="V35" s="297"/>
      <c r="W35" s="297"/>
      <c r="X35" s="297"/>
      <c r="Y35" s="297"/>
      <c r="Z35" s="297"/>
      <c r="AA35" s="297"/>
      <c r="AB35" s="297"/>
      <c r="AC35" s="297"/>
      <c r="AD35" s="292"/>
      <c r="AE35" s="292"/>
      <c r="AF35" s="291"/>
      <c r="AG35" s="292"/>
      <c r="AH35" s="294"/>
      <c r="AJ35" s="295"/>
      <c r="AK35" s="297"/>
      <c r="AL35" s="297"/>
      <c r="AM35" s="297"/>
      <c r="AN35" s="297"/>
      <c r="AO35" s="297"/>
      <c r="AP35" s="297"/>
      <c r="AQ35" s="297"/>
      <c r="AR35" s="297"/>
      <c r="AS35" s="297"/>
      <c r="AT35" s="296"/>
      <c r="AU35" s="292"/>
      <c r="AV35" s="292"/>
    </row>
    <row r="36" spans="1:269" s="299" customFormat="1">
      <c r="A36" s="298" t="s">
        <v>4364</v>
      </c>
    </row>
    <row r="37" spans="1:269" s="300" customFormat="1" ht="1.5" customHeight="1" thickBot="1">
      <c r="A37" s="299"/>
      <c r="B37" s="299"/>
      <c r="C37" s="299"/>
      <c r="D37" s="299"/>
      <c r="E37" s="299"/>
      <c r="F37" s="299"/>
      <c r="G37" s="299"/>
      <c r="H37" s="299"/>
      <c r="I37" s="299"/>
      <c r="J37" s="299"/>
      <c r="K37" s="299"/>
      <c r="L37" s="299"/>
      <c r="M37" s="299"/>
      <c r="N37" s="299"/>
      <c r="O37" s="299"/>
      <c r="P37" s="299"/>
      <c r="Q37" s="299"/>
      <c r="R37" s="299"/>
      <c r="S37" s="299"/>
      <c r="T37" s="299"/>
      <c r="U37" s="299"/>
      <c r="V37" s="299"/>
      <c r="W37" s="299"/>
      <c r="X37" s="299"/>
      <c r="Y37" s="299"/>
      <c r="Z37" s="299"/>
      <c r="AA37" s="299"/>
      <c r="AB37" s="299"/>
      <c r="AC37" s="299"/>
      <c r="AD37" s="299"/>
      <c r="AE37" s="299"/>
      <c r="AF37" s="299"/>
      <c r="AG37" s="299"/>
      <c r="AH37" s="299"/>
      <c r="AI37" s="299"/>
      <c r="AJ37" s="299"/>
      <c r="AK37" s="299"/>
      <c r="AL37" s="299"/>
      <c r="AM37" s="299"/>
      <c r="AN37" s="299"/>
      <c r="AO37" s="299"/>
      <c r="AP37" s="299"/>
      <c r="AQ37" s="299"/>
      <c r="AR37" s="299"/>
      <c r="AS37" s="299"/>
      <c r="AT37" s="299"/>
      <c r="AU37" s="299"/>
      <c r="AV37" s="299"/>
    </row>
    <row r="38" spans="1:269" s="301" customFormat="1" ht="45.75" customHeight="1">
      <c r="A38" s="746" t="s">
        <v>4264</v>
      </c>
      <c r="B38" s="747"/>
      <c r="C38" s="747"/>
      <c r="D38" s="747"/>
      <c r="E38" s="747"/>
      <c r="F38" s="747"/>
      <c r="G38" s="747"/>
      <c r="H38" s="747"/>
      <c r="I38" s="747"/>
      <c r="J38" s="748"/>
      <c r="K38" s="749" t="s">
        <v>4365</v>
      </c>
      <c r="L38" s="750"/>
      <c r="M38" s="750"/>
      <c r="N38" s="750"/>
      <c r="O38" s="749" t="s">
        <v>4366</v>
      </c>
      <c r="P38" s="751"/>
      <c r="Q38" s="751"/>
      <c r="R38" s="751"/>
      <c r="S38" s="751"/>
      <c r="T38" s="751"/>
      <c r="U38" s="749" t="s">
        <v>4367</v>
      </c>
      <c r="V38" s="750"/>
      <c r="W38" s="750"/>
      <c r="X38" s="750"/>
      <c r="Y38" s="749" t="s">
        <v>4368</v>
      </c>
      <c r="Z38" s="751"/>
      <c r="AA38" s="751"/>
      <c r="AB38" s="751"/>
      <c r="AC38" s="751"/>
      <c r="AD38" s="751"/>
      <c r="AE38" s="749" t="s">
        <v>4369</v>
      </c>
      <c r="AF38" s="751"/>
      <c r="AG38" s="751"/>
      <c r="AH38" s="751"/>
      <c r="AI38" s="751"/>
      <c r="AJ38" s="751"/>
      <c r="AK38" s="749" t="s">
        <v>4370</v>
      </c>
      <c r="AL38" s="751"/>
      <c r="AM38" s="751"/>
      <c r="AN38" s="751"/>
      <c r="AO38" s="751"/>
      <c r="AP38" s="751"/>
      <c r="AQ38" s="749" t="s">
        <v>4371</v>
      </c>
      <c r="AR38" s="751"/>
      <c r="AS38" s="751"/>
      <c r="AT38" s="751"/>
      <c r="AU38" s="751"/>
      <c r="AV38" s="780"/>
    </row>
    <row r="39" spans="1:269" s="302" customFormat="1" ht="15.75" customHeight="1">
      <c r="A39" s="781" t="s">
        <v>4372</v>
      </c>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3"/>
    </row>
    <row r="40" spans="1:269" s="262" customFormat="1" ht="13.5">
      <c r="A40" s="771" t="str">
        <f>+C327</f>
        <v>Primer piso</v>
      </c>
      <c r="B40" s="772"/>
      <c r="C40" s="772"/>
      <c r="D40" s="772"/>
      <c r="E40" s="772"/>
      <c r="F40" s="772"/>
      <c r="G40" s="772"/>
      <c r="H40" s="772"/>
      <c r="I40" s="772"/>
      <c r="J40" s="773"/>
      <c r="K40" s="774">
        <f>+AO130</f>
        <v>0</v>
      </c>
      <c r="L40" s="775"/>
      <c r="M40" s="775"/>
      <c r="N40" s="775"/>
      <c r="O40" s="776">
        <f>+AM444</f>
        <v>0</v>
      </c>
      <c r="P40" s="777"/>
      <c r="Q40" s="777"/>
      <c r="R40" s="777"/>
      <c r="S40" s="777"/>
      <c r="T40" s="778"/>
      <c r="U40" s="774">
        <f>+C328</f>
        <v>0</v>
      </c>
      <c r="V40" s="779"/>
      <c r="W40" s="779"/>
      <c r="X40" s="779"/>
      <c r="Y40" s="774">
        <f>+AO328+AO336+AO349</f>
        <v>0</v>
      </c>
      <c r="Z40" s="779"/>
      <c r="AA40" s="779"/>
      <c r="AB40" s="779"/>
      <c r="AC40" s="779"/>
      <c r="AD40" s="779"/>
      <c r="AE40" s="774">
        <f>+AO364+AO372+AO385</f>
        <v>0</v>
      </c>
      <c r="AF40" s="779"/>
      <c r="AG40" s="779"/>
      <c r="AH40" s="779"/>
      <c r="AI40" s="779"/>
      <c r="AJ40" s="779"/>
      <c r="AK40" s="774">
        <f>+(O40+Y40)*E$452</f>
        <v>0</v>
      </c>
      <c r="AL40" s="779"/>
      <c r="AM40" s="779"/>
      <c r="AN40" s="779"/>
      <c r="AO40" s="779"/>
      <c r="AP40" s="779"/>
      <c r="AQ40" s="768">
        <f>ROUND(AK40*I$466,1)</f>
        <v>0</v>
      </c>
      <c r="AR40" s="769"/>
      <c r="AS40" s="769"/>
      <c r="AT40" s="769"/>
      <c r="AU40" s="769"/>
      <c r="AV40" s="770"/>
    </row>
    <row r="41" spans="1:269" s="262" customFormat="1" ht="13.5">
      <c r="A41" s="771" t="str">
        <f>+C329</f>
        <v>Segundo piso</v>
      </c>
      <c r="B41" s="772"/>
      <c r="C41" s="772"/>
      <c r="D41" s="772"/>
      <c r="E41" s="772"/>
      <c r="F41" s="772"/>
      <c r="G41" s="772"/>
      <c r="H41" s="772"/>
      <c r="I41" s="772"/>
      <c r="J41" s="773"/>
      <c r="K41" s="774">
        <v>0</v>
      </c>
      <c r="L41" s="775"/>
      <c r="M41" s="775"/>
      <c r="N41" s="775"/>
      <c r="O41" s="776">
        <v>0</v>
      </c>
      <c r="P41" s="777"/>
      <c r="Q41" s="777"/>
      <c r="R41" s="777"/>
      <c r="S41" s="777"/>
      <c r="T41" s="778"/>
      <c r="U41" s="774">
        <f>+C330</f>
        <v>0</v>
      </c>
      <c r="V41" s="779"/>
      <c r="W41" s="779"/>
      <c r="X41" s="779"/>
      <c r="Y41" s="774">
        <f>+AO330</f>
        <v>0</v>
      </c>
      <c r="Z41" s="779"/>
      <c r="AA41" s="779"/>
      <c r="AB41" s="779"/>
      <c r="AC41" s="779"/>
      <c r="AD41" s="779"/>
      <c r="AE41" s="774">
        <f>+AO366</f>
        <v>0</v>
      </c>
      <c r="AF41" s="779"/>
      <c r="AG41" s="779"/>
      <c r="AH41" s="779"/>
      <c r="AI41" s="779"/>
      <c r="AJ41" s="779"/>
      <c r="AK41" s="774">
        <f>+Y41*E$452</f>
        <v>0</v>
      </c>
      <c r="AL41" s="779"/>
      <c r="AM41" s="779"/>
      <c r="AN41" s="779"/>
      <c r="AO41" s="779"/>
      <c r="AP41" s="779"/>
      <c r="AQ41" s="768">
        <f t="shared" ref="AQ41:AQ44" si="0">ROUND(AK41*I$466,1)</f>
        <v>0</v>
      </c>
      <c r="AR41" s="769"/>
      <c r="AS41" s="769"/>
      <c r="AT41" s="769"/>
      <c r="AU41" s="769"/>
      <c r="AV41" s="770"/>
    </row>
    <row r="42" spans="1:269" s="262" customFormat="1" ht="13.5">
      <c r="A42" s="771" t="str">
        <f>+C331</f>
        <v>Tercer piso</v>
      </c>
      <c r="B42" s="772"/>
      <c r="C42" s="772"/>
      <c r="D42" s="772"/>
      <c r="E42" s="772"/>
      <c r="F42" s="772"/>
      <c r="G42" s="772"/>
      <c r="H42" s="772"/>
      <c r="I42" s="772"/>
      <c r="J42" s="773"/>
      <c r="K42" s="774">
        <v>0</v>
      </c>
      <c r="L42" s="775"/>
      <c r="M42" s="775"/>
      <c r="N42" s="775"/>
      <c r="O42" s="776">
        <v>0</v>
      </c>
      <c r="P42" s="777"/>
      <c r="Q42" s="777"/>
      <c r="R42" s="777"/>
      <c r="S42" s="777"/>
      <c r="T42" s="778"/>
      <c r="U42" s="774">
        <f>+C332</f>
        <v>0</v>
      </c>
      <c r="V42" s="779"/>
      <c r="W42" s="779"/>
      <c r="X42" s="779"/>
      <c r="Y42" s="774">
        <f>+AO332</f>
        <v>0</v>
      </c>
      <c r="Z42" s="779"/>
      <c r="AA42" s="779"/>
      <c r="AB42" s="779"/>
      <c r="AC42" s="779"/>
      <c r="AD42" s="779"/>
      <c r="AE42" s="774">
        <f>+AO368</f>
        <v>0</v>
      </c>
      <c r="AF42" s="779"/>
      <c r="AG42" s="779"/>
      <c r="AH42" s="779"/>
      <c r="AI42" s="779"/>
      <c r="AJ42" s="779"/>
      <c r="AK42" s="774">
        <f>+Y42*E$452</f>
        <v>0</v>
      </c>
      <c r="AL42" s="779"/>
      <c r="AM42" s="779"/>
      <c r="AN42" s="779"/>
      <c r="AO42" s="779"/>
      <c r="AP42" s="779"/>
      <c r="AQ42" s="768">
        <f t="shared" si="0"/>
        <v>0</v>
      </c>
      <c r="AR42" s="769"/>
      <c r="AS42" s="769"/>
      <c r="AT42" s="769"/>
      <c r="AU42" s="769"/>
      <c r="AV42" s="770"/>
    </row>
    <row r="43" spans="1:269" s="262" customFormat="1" ht="13.5">
      <c r="A43" s="771" t="str">
        <f>+C183</f>
        <v>Estacionamiento Nº..</v>
      </c>
      <c r="B43" s="772"/>
      <c r="C43" s="772"/>
      <c r="D43" s="772"/>
      <c r="E43" s="772"/>
      <c r="F43" s="772"/>
      <c r="G43" s="772"/>
      <c r="H43" s="772"/>
      <c r="I43" s="772"/>
      <c r="J43" s="773"/>
      <c r="K43" s="774">
        <f>+AO132</f>
        <v>0</v>
      </c>
      <c r="L43" s="775"/>
      <c r="M43" s="775"/>
      <c r="N43" s="775"/>
      <c r="O43" s="776">
        <v>0</v>
      </c>
      <c r="P43" s="777"/>
      <c r="Q43" s="777"/>
      <c r="R43" s="777"/>
      <c r="S43" s="777"/>
      <c r="T43" s="778"/>
      <c r="U43" s="774">
        <f>+N183</f>
        <v>0</v>
      </c>
      <c r="V43" s="779"/>
      <c r="W43" s="779"/>
      <c r="X43" s="779"/>
      <c r="Y43" s="774">
        <v>0</v>
      </c>
      <c r="Z43" s="779"/>
      <c r="AA43" s="779"/>
      <c r="AB43" s="779"/>
      <c r="AC43" s="779"/>
      <c r="AD43" s="779"/>
      <c r="AE43" s="774">
        <f>+AM481</f>
        <v>0</v>
      </c>
      <c r="AF43" s="779"/>
      <c r="AG43" s="779"/>
      <c r="AH43" s="779"/>
      <c r="AI43" s="779"/>
      <c r="AJ43" s="779"/>
      <c r="AK43" s="774">
        <f>+AM453</f>
        <v>0</v>
      </c>
      <c r="AL43" s="779"/>
      <c r="AM43" s="779"/>
      <c r="AN43" s="779"/>
      <c r="AO43" s="779"/>
      <c r="AP43" s="779"/>
      <c r="AQ43" s="768">
        <f t="shared" si="0"/>
        <v>0</v>
      </c>
      <c r="AR43" s="769"/>
      <c r="AS43" s="769"/>
      <c r="AT43" s="769"/>
      <c r="AU43" s="769"/>
      <c r="AV43" s="770"/>
    </row>
    <row r="44" spans="1:269" s="262" customFormat="1" ht="14.25" thickBot="1">
      <c r="A44" s="793" t="str">
        <f>+C184</f>
        <v>Depósito Nº …</v>
      </c>
      <c r="B44" s="794"/>
      <c r="C44" s="794"/>
      <c r="D44" s="794"/>
      <c r="E44" s="794"/>
      <c r="F44" s="794"/>
      <c r="G44" s="794"/>
      <c r="H44" s="794"/>
      <c r="I44" s="794"/>
      <c r="J44" s="795"/>
      <c r="K44" s="774">
        <f>+AO134</f>
        <v>0</v>
      </c>
      <c r="L44" s="775"/>
      <c r="M44" s="775"/>
      <c r="N44" s="775"/>
      <c r="O44" s="776">
        <v>0</v>
      </c>
      <c r="P44" s="777"/>
      <c r="Q44" s="777"/>
      <c r="R44" s="777"/>
      <c r="S44" s="777"/>
      <c r="T44" s="778"/>
      <c r="U44" s="774">
        <f>+N184</f>
        <v>0</v>
      </c>
      <c r="V44" s="779"/>
      <c r="W44" s="779"/>
      <c r="X44" s="779"/>
      <c r="Y44" s="774">
        <v>0</v>
      </c>
      <c r="Z44" s="779"/>
      <c r="AA44" s="779"/>
      <c r="AB44" s="779"/>
      <c r="AC44" s="779"/>
      <c r="AD44" s="779"/>
      <c r="AE44" s="774">
        <f>+AM482</f>
        <v>0</v>
      </c>
      <c r="AF44" s="779"/>
      <c r="AG44" s="779"/>
      <c r="AH44" s="779"/>
      <c r="AI44" s="779"/>
      <c r="AJ44" s="779"/>
      <c r="AK44" s="774">
        <f>+AM454</f>
        <v>0</v>
      </c>
      <c r="AL44" s="779"/>
      <c r="AM44" s="779"/>
      <c r="AN44" s="779"/>
      <c r="AO44" s="779"/>
      <c r="AP44" s="779"/>
      <c r="AQ44" s="768">
        <f t="shared" si="0"/>
        <v>0</v>
      </c>
      <c r="AR44" s="769"/>
      <c r="AS44" s="769"/>
      <c r="AT44" s="769"/>
      <c r="AU44" s="769"/>
      <c r="AV44" s="770"/>
    </row>
    <row r="45" spans="1:269" s="302" customFormat="1" ht="28.5" customHeight="1" thickTop="1" thickBot="1">
      <c r="A45" s="784" t="s">
        <v>4373</v>
      </c>
      <c r="B45" s="785"/>
      <c r="C45" s="785"/>
      <c r="D45" s="785"/>
      <c r="E45" s="785"/>
      <c r="F45" s="785"/>
      <c r="G45" s="785"/>
      <c r="H45" s="785"/>
      <c r="I45" s="785"/>
      <c r="J45" s="786"/>
      <c r="K45" s="787">
        <f>+K40</f>
        <v>0</v>
      </c>
      <c r="L45" s="788"/>
      <c r="M45" s="788"/>
      <c r="N45" s="788"/>
      <c r="O45" s="789">
        <f>ROUND(SUM(O40:T44),1)</f>
        <v>0</v>
      </c>
      <c r="P45" s="790"/>
      <c r="Q45" s="790"/>
      <c r="R45" s="790"/>
      <c r="S45" s="790"/>
      <c r="T45" s="791"/>
      <c r="U45" s="787">
        <f>SUM(U40:X44)</f>
        <v>0</v>
      </c>
      <c r="V45" s="792"/>
      <c r="W45" s="792"/>
      <c r="X45" s="792"/>
      <c r="Y45" s="789">
        <f>ROUND(SUM(Y40:AD44),1)</f>
        <v>0</v>
      </c>
      <c r="Z45" s="790"/>
      <c r="AA45" s="790"/>
      <c r="AB45" s="790"/>
      <c r="AC45" s="790"/>
      <c r="AD45" s="791"/>
      <c r="AE45" s="789">
        <f t="shared" ref="AE45" si="1">ROUND(SUM(AE40:AJ44),1)</f>
        <v>0</v>
      </c>
      <c r="AF45" s="790"/>
      <c r="AG45" s="790"/>
      <c r="AH45" s="790"/>
      <c r="AI45" s="790"/>
      <c r="AJ45" s="791"/>
      <c r="AK45" s="789">
        <f t="shared" ref="AK45" si="2">ROUND(SUM(AK40:AP44),1)</f>
        <v>0</v>
      </c>
      <c r="AL45" s="790"/>
      <c r="AM45" s="790"/>
      <c r="AN45" s="790"/>
      <c r="AO45" s="790"/>
      <c r="AP45" s="791"/>
      <c r="AQ45" s="789">
        <f t="shared" ref="AQ45" si="3">ROUND(SUM(AQ40:AV44),1)</f>
        <v>0</v>
      </c>
      <c r="AR45" s="790"/>
      <c r="AS45" s="790"/>
      <c r="AT45" s="790"/>
      <c r="AU45" s="790"/>
      <c r="AV45" s="791"/>
    </row>
    <row r="46" spans="1:269" s="302" customFormat="1" ht="16.5" customHeight="1">
      <c r="A46" s="811" t="s">
        <v>4374</v>
      </c>
      <c r="B46" s="812"/>
      <c r="C46" s="812"/>
      <c r="D46" s="812"/>
      <c r="E46" s="812"/>
      <c r="F46" s="812"/>
      <c r="G46" s="812"/>
      <c r="H46" s="812"/>
      <c r="I46" s="812"/>
      <c r="J46" s="812"/>
      <c r="K46" s="812"/>
      <c r="L46" s="812"/>
      <c r="M46" s="812"/>
      <c r="N46" s="812"/>
      <c r="O46" s="812"/>
      <c r="P46" s="812"/>
      <c r="Q46" s="812"/>
      <c r="R46" s="812"/>
      <c r="S46" s="812"/>
      <c r="T46" s="812"/>
      <c r="U46" s="812"/>
      <c r="V46" s="812"/>
      <c r="W46" s="812"/>
      <c r="X46" s="812"/>
      <c r="Y46" s="812"/>
      <c r="Z46" s="812"/>
      <c r="AA46" s="812"/>
      <c r="AB46" s="812"/>
      <c r="AC46" s="812"/>
      <c r="AD46" s="812"/>
      <c r="AE46" s="812"/>
      <c r="AF46" s="812"/>
      <c r="AG46" s="812"/>
      <c r="AH46" s="812"/>
      <c r="AI46" s="812"/>
      <c r="AJ46" s="812"/>
      <c r="AK46" s="812"/>
      <c r="AL46" s="812"/>
      <c r="AM46" s="812"/>
      <c r="AN46" s="812"/>
      <c r="AO46" s="812"/>
      <c r="AP46" s="812"/>
      <c r="AQ46" s="812"/>
      <c r="AR46" s="812"/>
      <c r="AS46" s="812"/>
      <c r="AT46" s="812"/>
      <c r="AU46" s="812"/>
      <c r="AV46" s="813"/>
    </row>
    <row r="47" spans="1:269" s="262" customFormat="1" ht="13.5">
      <c r="A47" s="808" t="str">
        <f>+C714</f>
        <v>Primer piso</v>
      </c>
      <c r="B47" s="809"/>
      <c r="C47" s="809"/>
      <c r="D47" s="809"/>
      <c r="E47" s="809"/>
      <c r="F47" s="809"/>
      <c r="G47" s="809"/>
      <c r="H47" s="809"/>
      <c r="I47" s="809"/>
      <c r="J47" s="810"/>
      <c r="K47" s="796">
        <v>0</v>
      </c>
      <c r="L47" s="804"/>
      <c r="M47" s="804"/>
      <c r="N47" s="804"/>
      <c r="O47" s="805">
        <v>0</v>
      </c>
      <c r="P47" s="806"/>
      <c r="Q47" s="806"/>
      <c r="R47" s="806"/>
      <c r="S47" s="806"/>
      <c r="T47" s="807"/>
      <c r="U47" s="796">
        <f>+C715</f>
        <v>0</v>
      </c>
      <c r="V47" s="797"/>
      <c r="W47" s="797"/>
      <c r="X47" s="797"/>
      <c r="Y47" s="796">
        <f>+AO715+AO723+AO736</f>
        <v>0</v>
      </c>
      <c r="Z47" s="797"/>
      <c r="AA47" s="797"/>
      <c r="AB47" s="797"/>
      <c r="AC47" s="797"/>
      <c r="AD47" s="797"/>
      <c r="AE47" s="796">
        <f>+AO748+AO756+AO769</f>
        <v>0</v>
      </c>
      <c r="AF47" s="797"/>
      <c r="AG47" s="797"/>
      <c r="AH47" s="797"/>
      <c r="AI47" s="797"/>
      <c r="AJ47" s="797"/>
      <c r="AK47" s="796">
        <f>+Y47*E$801</f>
        <v>0</v>
      </c>
      <c r="AL47" s="797"/>
      <c r="AM47" s="797"/>
      <c r="AN47" s="797"/>
      <c r="AO47" s="797"/>
      <c r="AP47" s="797"/>
      <c r="AQ47" s="798">
        <f>ROUND(AK47*I$815,1)</f>
        <v>0</v>
      </c>
      <c r="AR47" s="799"/>
      <c r="AS47" s="799"/>
      <c r="AT47" s="799"/>
      <c r="AU47" s="799"/>
      <c r="AV47" s="800"/>
      <c r="IX47" s="302"/>
      <c r="IY47" s="302"/>
      <c r="IZ47" s="302"/>
      <c r="JA47" s="302"/>
      <c r="JB47" s="302"/>
      <c r="JC47" s="302"/>
      <c r="JD47" s="302"/>
      <c r="JE47" s="302"/>
      <c r="JF47" s="302"/>
      <c r="JG47" s="302"/>
      <c r="JH47" s="302"/>
      <c r="JI47" s="302"/>
    </row>
    <row r="48" spans="1:269" s="262" customFormat="1" ht="13.5">
      <c r="A48" s="808" t="str">
        <f>+C716</f>
        <v>Segundo piso</v>
      </c>
      <c r="B48" s="809"/>
      <c r="C48" s="809"/>
      <c r="D48" s="809"/>
      <c r="E48" s="809"/>
      <c r="F48" s="809"/>
      <c r="G48" s="809"/>
      <c r="H48" s="809"/>
      <c r="I48" s="809"/>
      <c r="J48" s="810"/>
      <c r="K48" s="796">
        <v>0</v>
      </c>
      <c r="L48" s="804"/>
      <c r="M48" s="804"/>
      <c r="N48" s="804"/>
      <c r="O48" s="805">
        <v>0</v>
      </c>
      <c r="P48" s="806"/>
      <c r="Q48" s="806"/>
      <c r="R48" s="806"/>
      <c r="S48" s="806"/>
      <c r="T48" s="807"/>
      <c r="U48" s="796">
        <f>+C717</f>
        <v>0</v>
      </c>
      <c r="V48" s="797"/>
      <c r="W48" s="797"/>
      <c r="X48" s="797"/>
      <c r="Y48" s="796">
        <f>+AO717</f>
        <v>0</v>
      </c>
      <c r="Z48" s="797"/>
      <c r="AA48" s="797"/>
      <c r="AB48" s="797"/>
      <c r="AC48" s="797"/>
      <c r="AD48" s="797"/>
      <c r="AE48" s="796">
        <f>+AO750</f>
        <v>0</v>
      </c>
      <c r="AF48" s="797"/>
      <c r="AG48" s="797"/>
      <c r="AH48" s="797"/>
      <c r="AI48" s="797"/>
      <c r="AJ48" s="797"/>
      <c r="AK48" s="796">
        <f>+Y48*E$801</f>
        <v>0</v>
      </c>
      <c r="AL48" s="797"/>
      <c r="AM48" s="797"/>
      <c r="AN48" s="797"/>
      <c r="AO48" s="797"/>
      <c r="AP48" s="797"/>
      <c r="AQ48" s="798">
        <f t="shared" ref="AQ48:AQ49" si="4">ROUND(AK48*I$815,1)</f>
        <v>0</v>
      </c>
      <c r="AR48" s="799"/>
      <c r="AS48" s="799"/>
      <c r="AT48" s="799"/>
      <c r="AU48" s="799"/>
      <c r="AV48" s="800"/>
      <c r="IX48" s="302"/>
      <c r="IY48" s="302"/>
      <c r="IZ48" s="302"/>
      <c r="JA48" s="302"/>
      <c r="JB48" s="302"/>
      <c r="JC48" s="302"/>
      <c r="JD48" s="302"/>
      <c r="JE48" s="302"/>
      <c r="JF48" s="302"/>
      <c r="JG48" s="302"/>
      <c r="JH48" s="302"/>
      <c r="JI48" s="302"/>
    </row>
    <row r="49" spans="1:269" s="262" customFormat="1" ht="14.25" thickBot="1">
      <c r="A49" s="801" t="str">
        <f>+C718</f>
        <v>Tercer piso</v>
      </c>
      <c r="B49" s="802"/>
      <c r="C49" s="802"/>
      <c r="D49" s="802"/>
      <c r="E49" s="802"/>
      <c r="F49" s="802"/>
      <c r="G49" s="802"/>
      <c r="H49" s="802"/>
      <c r="I49" s="802"/>
      <c r="J49" s="803"/>
      <c r="K49" s="796">
        <v>0</v>
      </c>
      <c r="L49" s="804"/>
      <c r="M49" s="804"/>
      <c r="N49" s="804"/>
      <c r="O49" s="805">
        <v>0</v>
      </c>
      <c r="P49" s="806"/>
      <c r="Q49" s="806"/>
      <c r="R49" s="806"/>
      <c r="S49" s="806"/>
      <c r="T49" s="807"/>
      <c r="U49" s="796">
        <f>+C719</f>
        <v>0</v>
      </c>
      <c r="V49" s="797"/>
      <c r="W49" s="797"/>
      <c r="X49" s="797"/>
      <c r="Y49" s="796">
        <f>+AO719</f>
        <v>0</v>
      </c>
      <c r="Z49" s="797"/>
      <c r="AA49" s="797"/>
      <c r="AB49" s="797"/>
      <c r="AC49" s="797"/>
      <c r="AD49" s="797"/>
      <c r="AE49" s="796">
        <f>+AO752</f>
        <v>0</v>
      </c>
      <c r="AF49" s="797"/>
      <c r="AG49" s="797"/>
      <c r="AH49" s="797"/>
      <c r="AI49" s="797"/>
      <c r="AJ49" s="797"/>
      <c r="AK49" s="796">
        <f>+Y49*E$801</f>
        <v>0</v>
      </c>
      <c r="AL49" s="797"/>
      <c r="AM49" s="797"/>
      <c r="AN49" s="797"/>
      <c r="AO49" s="797"/>
      <c r="AP49" s="797"/>
      <c r="AQ49" s="798">
        <f t="shared" si="4"/>
        <v>0</v>
      </c>
      <c r="AR49" s="799"/>
      <c r="AS49" s="799"/>
      <c r="AT49" s="799"/>
      <c r="AU49" s="799"/>
      <c r="AV49" s="800"/>
      <c r="IX49" s="302"/>
      <c r="IY49" s="302"/>
      <c r="IZ49" s="302"/>
      <c r="JA49" s="302"/>
      <c r="JB49" s="302"/>
      <c r="JC49" s="302"/>
      <c r="JD49" s="302"/>
      <c r="JE49" s="302"/>
      <c r="JF49" s="302"/>
      <c r="JG49" s="302"/>
      <c r="JH49" s="302"/>
      <c r="JI49" s="302"/>
    </row>
    <row r="50" spans="1:269" s="303" customFormat="1" ht="26.25" customHeight="1">
      <c r="A50" s="832" t="s">
        <v>4375</v>
      </c>
      <c r="B50" s="833"/>
      <c r="C50" s="833"/>
      <c r="D50" s="833"/>
      <c r="E50" s="833"/>
      <c r="F50" s="833"/>
      <c r="G50" s="833"/>
      <c r="H50" s="833"/>
      <c r="I50" s="833"/>
      <c r="J50" s="834"/>
      <c r="K50" s="826">
        <v>0</v>
      </c>
      <c r="L50" s="827"/>
      <c r="M50" s="827"/>
      <c r="N50" s="828"/>
      <c r="O50" s="826">
        <v>0</v>
      </c>
      <c r="P50" s="827"/>
      <c r="Q50" s="827"/>
      <c r="R50" s="827"/>
      <c r="S50" s="827"/>
      <c r="T50" s="828"/>
      <c r="U50" s="826">
        <f>SUM(U47:X49)</f>
        <v>0</v>
      </c>
      <c r="V50" s="827"/>
      <c r="W50" s="827"/>
      <c r="X50" s="828"/>
      <c r="Y50" s="826">
        <f>ROUND(SUM(Y47:AD49),1)</f>
        <v>0</v>
      </c>
      <c r="Z50" s="827"/>
      <c r="AA50" s="827"/>
      <c r="AB50" s="827"/>
      <c r="AC50" s="827"/>
      <c r="AD50" s="828"/>
      <c r="AE50" s="826">
        <f t="shared" ref="AE50" si="5">ROUND(SUM(AE47:AJ49),1)</f>
        <v>0</v>
      </c>
      <c r="AF50" s="827"/>
      <c r="AG50" s="827"/>
      <c r="AH50" s="827"/>
      <c r="AI50" s="827"/>
      <c r="AJ50" s="828"/>
      <c r="AK50" s="826">
        <f t="shared" ref="AK50" si="6">ROUND(SUM(AK47:AP49),1)</f>
        <v>0</v>
      </c>
      <c r="AL50" s="827"/>
      <c r="AM50" s="827"/>
      <c r="AN50" s="827"/>
      <c r="AO50" s="827"/>
      <c r="AP50" s="828"/>
      <c r="AQ50" s="826">
        <f t="shared" ref="AQ50" si="7">ROUND(SUM(AQ47:AV49),1)</f>
        <v>0</v>
      </c>
      <c r="AR50" s="827"/>
      <c r="AS50" s="827"/>
      <c r="AT50" s="827"/>
      <c r="AU50" s="827"/>
      <c r="AV50" s="828"/>
    </row>
    <row r="51" spans="1:269" s="304" customFormat="1" ht="16.5" customHeight="1">
      <c r="A51" s="829" t="s">
        <v>4376</v>
      </c>
      <c r="B51" s="830"/>
      <c r="C51" s="830"/>
      <c r="D51" s="830"/>
      <c r="E51" s="830"/>
      <c r="F51" s="830"/>
      <c r="G51" s="830"/>
      <c r="H51" s="830"/>
      <c r="I51" s="830"/>
      <c r="J51" s="830"/>
      <c r="K51" s="830"/>
      <c r="L51" s="830"/>
      <c r="M51" s="830"/>
      <c r="N51" s="830"/>
      <c r="O51" s="830"/>
      <c r="P51" s="830"/>
      <c r="Q51" s="830"/>
      <c r="R51" s="830"/>
      <c r="S51" s="830"/>
      <c r="T51" s="830"/>
      <c r="U51" s="830"/>
      <c r="V51" s="830"/>
      <c r="W51" s="830"/>
      <c r="X51" s="830"/>
      <c r="Y51" s="830"/>
      <c r="Z51" s="830"/>
      <c r="AA51" s="830"/>
      <c r="AB51" s="830"/>
      <c r="AC51" s="830"/>
      <c r="AD51" s="830"/>
      <c r="AE51" s="830"/>
      <c r="AF51" s="830"/>
      <c r="AG51" s="830"/>
      <c r="AH51" s="830"/>
      <c r="AI51" s="830"/>
      <c r="AJ51" s="830"/>
      <c r="AK51" s="830"/>
      <c r="AL51" s="830"/>
      <c r="AM51" s="830"/>
      <c r="AN51" s="830"/>
      <c r="AO51" s="830"/>
      <c r="AP51" s="830"/>
      <c r="AQ51" s="830"/>
      <c r="AR51" s="830"/>
      <c r="AS51" s="830"/>
      <c r="AT51" s="830"/>
      <c r="AU51" s="830"/>
      <c r="AV51" s="831"/>
    </row>
    <row r="52" spans="1:269" s="305" customFormat="1" ht="13.5">
      <c r="A52" s="817" t="str">
        <f>+C219</f>
        <v>Primer piso</v>
      </c>
      <c r="B52" s="818"/>
      <c r="C52" s="818"/>
      <c r="D52" s="818"/>
      <c r="E52" s="818"/>
      <c r="F52" s="818"/>
      <c r="G52" s="818"/>
      <c r="H52" s="818"/>
      <c r="I52" s="818"/>
      <c r="J52" s="819"/>
      <c r="K52" s="820">
        <v>0</v>
      </c>
      <c r="L52" s="821"/>
      <c r="M52" s="821"/>
      <c r="N52" s="821"/>
      <c r="O52" s="822">
        <v>0</v>
      </c>
      <c r="P52" s="823"/>
      <c r="Q52" s="823"/>
      <c r="R52" s="823"/>
      <c r="S52" s="823"/>
      <c r="T52" s="824"/>
      <c r="U52" s="820">
        <f>+C220</f>
        <v>0</v>
      </c>
      <c r="V52" s="825"/>
      <c r="W52" s="825"/>
      <c r="X52" s="825"/>
      <c r="Y52" s="820">
        <f>+AO220+AO228+AO241</f>
        <v>0</v>
      </c>
      <c r="Z52" s="825"/>
      <c r="AA52" s="825"/>
      <c r="AB52" s="825"/>
      <c r="AC52" s="825"/>
      <c r="AD52" s="825"/>
      <c r="AE52" s="820">
        <f>+AO246+AO254+AO267</f>
        <v>0</v>
      </c>
      <c r="AF52" s="825"/>
      <c r="AG52" s="825"/>
      <c r="AH52" s="825"/>
      <c r="AI52" s="825"/>
      <c r="AJ52" s="825"/>
      <c r="AK52" s="820">
        <f>+Y52*$E$452</f>
        <v>0</v>
      </c>
      <c r="AL52" s="825"/>
      <c r="AM52" s="825"/>
      <c r="AN52" s="825"/>
      <c r="AO52" s="825"/>
      <c r="AP52" s="825"/>
      <c r="AQ52" s="814">
        <f>ROUND(AK52*I$466,1)</f>
        <v>0</v>
      </c>
      <c r="AR52" s="815"/>
      <c r="AS52" s="815"/>
      <c r="AT52" s="815"/>
      <c r="AU52" s="815"/>
      <c r="AV52" s="816"/>
      <c r="IX52" s="304"/>
      <c r="IY52" s="304"/>
      <c r="IZ52" s="304"/>
      <c r="JA52" s="304"/>
      <c r="JB52" s="304"/>
      <c r="JC52" s="304"/>
      <c r="JD52" s="304"/>
      <c r="JE52" s="304"/>
      <c r="JF52" s="304"/>
      <c r="JG52" s="304"/>
      <c r="JH52" s="304"/>
      <c r="JI52" s="304"/>
    </row>
    <row r="53" spans="1:269" s="305" customFormat="1" ht="13.5">
      <c r="A53" s="817" t="str">
        <f>+C221</f>
        <v>Segundo piso</v>
      </c>
      <c r="B53" s="818"/>
      <c r="C53" s="818"/>
      <c r="D53" s="818"/>
      <c r="E53" s="818"/>
      <c r="F53" s="818"/>
      <c r="G53" s="818"/>
      <c r="H53" s="818"/>
      <c r="I53" s="818"/>
      <c r="J53" s="819"/>
      <c r="K53" s="820">
        <v>0</v>
      </c>
      <c r="L53" s="821"/>
      <c r="M53" s="821"/>
      <c r="N53" s="821"/>
      <c r="O53" s="822">
        <v>0</v>
      </c>
      <c r="P53" s="823"/>
      <c r="Q53" s="823"/>
      <c r="R53" s="823"/>
      <c r="S53" s="823"/>
      <c r="T53" s="824"/>
      <c r="U53" s="820">
        <f>+C222</f>
        <v>0</v>
      </c>
      <c r="V53" s="825"/>
      <c r="W53" s="825"/>
      <c r="X53" s="825"/>
      <c r="Y53" s="820">
        <f>+AO222</f>
        <v>0</v>
      </c>
      <c r="Z53" s="825"/>
      <c r="AA53" s="825"/>
      <c r="AB53" s="825"/>
      <c r="AC53" s="825"/>
      <c r="AD53" s="825"/>
      <c r="AE53" s="820">
        <f>+AO248</f>
        <v>0</v>
      </c>
      <c r="AF53" s="825"/>
      <c r="AG53" s="825"/>
      <c r="AH53" s="825"/>
      <c r="AI53" s="825"/>
      <c r="AJ53" s="825"/>
      <c r="AK53" s="820">
        <f t="shared" ref="AK53:AK54" si="8">+Y53*$E$452</f>
        <v>0</v>
      </c>
      <c r="AL53" s="825"/>
      <c r="AM53" s="825"/>
      <c r="AN53" s="825"/>
      <c r="AO53" s="825"/>
      <c r="AP53" s="825"/>
      <c r="AQ53" s="814">
        <f t="shared" ref="AQ53:AQ54" si="9">ROUND(AK53*I$466,1)</f>
        <v>0</v>
      </c>
      <c r="AR53" s="815"/>
      <c r="AS53" s="815"/>
      <c r="AT53" s="815"/>
      <c r="AU53" s="815"/>
      <c r="AV53" s="816"/>
      <c r="IX53" s="304"/>
      <c r="IY53" s="304"/>
      <c r="IZ53" s="304"/>
      <c r="JA53" s="304"/>
      <c r="JB53" s="304"/>
      <c r="JC53" s="304"/>
      <c r="JD53" s="304"/>
      <c r="JE53" s="304"/>
      <c r="JF53" s="304"/>
      <c r="JG53" s="304"/>
      <c r="JH53" s="304"/>
      <c r="JI53" s="304"/>
    </row>
    <row r="54" spans="1:269" s="305" customFormat="1" ht="14.25" thickBot="1">
      <c r="A54" s="849" t="str">
        <f>+C223</f>
        <v>Tercer piso</v>
      </c>
      <c r="B54" s="850"/>
      <c r="C54" s="850"/>
      <c r="D54" s="850"/>
      <c r="E54" s="850"/>
      <c r="F54" s="850"/>
      <c r="G54" s="850"/>
      <c r="H54" s="850"/>
      <c r="I54" s="850"/>
      <c r="J54" s="851"/>
      <c r="K54" s="820">
        <v>0</v>
      </c>
      <c r="L54" s="821"/>
      <c r="M54" s="821"/>
      <c r="N54" s="821"/>
      <c r="O54" s="822">
        <v>0</v>
      </c>
      <c r="P54" s="823"/>
      <c r="Q54" s="823"/>
      <c r="R54" s="823"/>
      <c r="S54" s="823"/>
      <c r="T54" s="824"/>
      <c r="U54" s="820">
        <f>+C224</f>
        <v>0</v>
      </c>
      <c r="V54" s="825"/>
      <c r="W54" s="825"/>
      <c r="X54" s="825"/>
      <c r="Y54" s="820">
        <f>+AO224</f>
        <v>0</v>
      </c>
      <c r="Z54" s="825"/>
      <c r="AA54" s="825"/>
      <c r="AB54" s="825"/>
      <c r="AC54" s="825"/>
      <c r="AD54" s="825"/>
      <c r="AE54" s="820">
        <f>+AO250</f>
        <v>0</v>
      </c>
      <c r="AF54" s="825"/>
      <c r="AG54" s="825"/>
      <c r="AH54" s="825"/>
      <c r="AI54" s="825"/>
      <c r="AJ54" s="825"/>
      <c r="AK54" s="820">
        <f t="shared" si="8"/>
        <v>0</v>
      </c>
      <c r="AL54" s="825"/>
      <c r="AM54" s="825"/>
      <c r="AN54" s="825"/>
      <c r="AO54" s="825"/>
      <c r="AP54" s="825"/>
      <c r="AQ54" s="814">
        <f t="shared" si="9"/>
        <v>0</v>
      </c>
      <c r="AR54" s="815"/>
      <c r="AS54" s="815"/>
      <c r="AT54" s="815"/>
      <c r="AU54" s="815"/>
      <c r="AV54" s="816"/>
      <c r="IX54" s="304"/>
      <c r="IY54" s="304"/>
      <c r="IZ54" s="304"/>
      <c r="JA54" s="304"/>
      <c r="JB54" s="304"/>
      <c r="JC54" s="304"/>
      <c r="JD54" s="304"/>
      <c r="JE54" s="304"/>
      <c r="JF54" s="304"/>
      <c r="JG54" s="304"/>
      <c r="JH54" s="304"/>
      <c r="JI54" s="304"/>
    </row>
    <row r="55" spans="1:269" s="305" customFormat="1" ht="40.5" customHeight="1" thickBot="1">
      <c r="A55" s="843" t="s">
        <v>4377</v>
      </c>
      <c r="B55" s="844"/>
      <c r="C55" s="844"/>
      <c r="D55" s="844"/>
      <c r="E55" s="844"/>
      <c r="F55" s="844"/>
      <c r="G55" s="844"/>
      <c r="H55" s="844"/>
      <c r="I55" s="844"/>
      <c r="J55" s="845"/>
      <c r="K55" s="846">
        <v>0</v>
      </c>
      <c r="L55" s="847"/>
      <c r="M55" s="847"/>
      <c r="N55" s="848"/>
      <c r="O55" s="846">
        <v>0</v>
      </c>
      <c r="P55" s="847"/>
      <c r="Q55" s="847"/>
      <c r="R55" s="847"/>
      <c r="S55" s="847"/>
      <c r="T55" s="848"/>
      <c r="U55" s="846">
        <f>SUM(U52:X54)</f>
        <v>0</v>
      </c>
      <c r="V55" s="847"/>
      <c r="W55" s="847"/>
      <c r="X55" s="848"/>
      <c r="Y55" s="846">
        <f>ROUND(SUM(Y52:AD54),1)</f>
        <v>0</v>
      </c>
      <c r="Z55" s="847"/>
      <c r="AA55" s="847"/>
      <c r="AB55" s="847"/>
      <c r="AC55" s="847"/>
      <c r="AD55" s="848"/>
      <c r="AE55" s="846">
        <f t="shared" ref="AE55" si="10">ROUND(SUM(AE52:AJ54),1)</f>
        <v>0</v>
      </c>
      <c r="AF55" s="847"/>
      <c r="AG55" s="847"/>
      <c r="AH55" s="847"/>
      <c r="AI55" s="847"/>
      <c r="AJ55" s="848"/>
      <c r="AK55" s="846">
        <f t="shared" ref="AK55" si="11">ROUND(SUM(AK52:AP54),1)</f>
        <v>0</v>
      </c>
      <c r="AL55" s="847"/>
      <c r="AM55" s="847"/>
      <c r="AN55" s="847"/>
      <c r="AO55" s="847"/>
      <c r="AP55" s="848"/>
      <c r="AQ55" s="846">
        <f t="shared" ref="AQ55" si="12">ROUND(SUM(AQ52:AV54),1)</f>
        <v>0</v>
      </c>
      <c r="AR55" s="847"/>
      <c r="AS55" s="847"/>
      <c r="AT55" s="847"/>
      <c r="AU55" s="847"/>
      <c r="AV55" s="848"/>
    </row>
    <row r="56" spans="1:269" s="309" customFormat="1" ht="24.75" customHeight="1" thickTop="1" thickBot="1">
      <c r="A56" s="306" t="s">
        <v>4378</v>
      </c>
      <c r="B56" s="307"/>
      <c r="C56" s="307"/>
      <c r="D56" s="307"/>
      <c r="E56" s="307"/>
      <c r="F56" s="307"/>
      <c r="G56" s="307"/>
      <c r="H56" s="307"/>
      <c r="I56" s="307"/>
      <c r="J56" s="307"/>
      <c r="K56" s="838"/>
      <c r="L56" s="839"/>
      <c r="M56" s="839"/>
      <c r="N56" s="839"/>
      <c r="O56" s="840">
        <f>+O45+O50+O55</f>
        <v>0</v>
      </c>
      <c r="P56" s="841"/>
      <c r="Q56" s="841"/>
      <c r="R56" s="841"/>
      <c r="S56" s="841"/>
      <c r="T56" s="842"/>
      <c r="U56" s="835">
        <f>+U45+U50+U55</f>
        <v>0</v>
      </c>
      <c r="V56" s="836"/>
      <c r="W56" s="836"/>
      <c r="X56" s="836"/>
      <c r="Y56" s="840">
        <f>+Y45+Y50+Y55</f>
        <v>0</v>
      </c>
      <c r="Z56" s="841"/>
      <c r="AA56" s="841"/>
      <c r="AB56" s="841"/>
      <c r="AC56" s="841"/>
      <c r="AD56" s="842"/>
      <c r="AE56" s="840">
        <f>+AE45+AE50+AE55</f>
        <v>0</v>
      </c>
      <c r="AF56" s="841"/>
      <c r="AG56" s="841"/>
      <c r="AH56" s="841"/>
      <c r="AI56" s="841"/>
      <c r="AJ56" s="842"/>
      <c r="AK56" s="840">
        <f>+AK45+AK50+AK55</f>
        <v>0</v>
      </c>
      <c r="AL56" s="841"/>
      <c r="AM56" s="841"/>
      <c r="AN56" s="841"/>
      <c r="AO56" s="841"/>
      <c r="AP56" s="842"/>
      <c r="AQ56" s="835">
        <f>+AQ45+AQ50+AQ55</f>
        <v>0</v>
      </c>
      <c r="AR56" s="836"/>
      <c r="AS56" s="836"/>
      <c r="AT56" s="836"/>
      <c r="AU56" s="836"/>
      <c r="AV56" s="837"/>
      <c r="AW56" s="308"/>
      <c r="AX56" s="308"/>
      <c r="AY56" s="308"/>
      <c r="AZ56" s="308"/>
      <c r="BA56" s="308"/>
      <c r="BB56" s="308"/>
      <c r="BC56" s="308"/>
      <c r="BD56" s="308"/>
      <c r="BE56" s="308"/>
      <c r="BF56" s="308"/>
      <c r="BG56" s="308"/>
      <c r="BH56" s="308"/>
      <c r="BI56" s="308"/>
      <c r="BJ56" s="308"/>
      <c r="BK56" s="308"/>
      <c r="BL56" s="308"/>
      <c r="BM56" s="308"/>
      <c r="BN56" s="308"/>
      <c r="BO56" s="308"/>
      <c r="BP56" s="308"/>
      <c r="BQ56" s="308"/>
      <c r="BR56" s="308"/>
      <c r="BS56" s="308"/>
      <c r="BT56" s="308"/>
      <c r="BU56" s="308"/>
      <c r="BV56" s="308"/>
      <c r="BW56" s="308"/>
      <c r="BX56" s="308"/>
      <c r="BY56" s="308"/>
      <c r="BZ56" s="308"/>
      <c r="CA56" s="308"/>
      <c r="CB56" s="308"/>
      <c r="CC56" s="308"/>
      <c r="CD56" s="308"/>
      <c r="CE56" s="308"/>
      <c r="CF56" s="308"/>
      <c r="CG56" s="308"/>
      <c r="CH56" s="308"/>
      <c r="CI56" s="308"/>
      <c r="CJ56" s="308"/>
      <c r="CK56" s="308"/>
      <c r="CL56" s="308"/>
      <c r="CM56" s="308"/>
      <c r="CN56" s="308"/>
      <c r="CO56" s="308"/>
      <c r="CP56" s="308"/>
      <c r="CQ56" s="308"/>
      <c r="CR56" s="308"/>
      <c r="CS56" s="308"/>
      <c r="CT56" s="308"/>
      <c r="CU56" s="308"/>
      <c r="CV56" s="308"/>
      <c r="CW56" s="308"/>
      <c r="CX56" s="308"/>
      <c r="CY56" s="308"/>
      <c r="CZ56" s="308"/>
      <c r="DA56" s="308"/>
      <c r="DB56" s="308"/>
      <c r="DC56" s="308"/>
      <c r="DD56" s="308"/>
      <c r="DE56" s="308"/>
      <c r="DF56" s="308"/>
      <c r="DG56" s="308"/>
      <c r="DH56" s="308"/>
      <c r="DI56" s="308"/>
      <c r="DJ56" s="308"/>
      <c r="DK56" s="308"/>
      <c r="DL56" s="308"/>
      <c r="DM56" s="308"/>
      <c r="DN56" s="308"/>
      <c r="DO56" s="308"/>
      <c r="DP56" s="308"/>
      <c r="DQ56" s="308"/>
      <c r="DR56" s="308"/>
      <c r="DS56" s="308"/>
      <c r="DT56" s="308"/>
      <c r="DU56" s="308"/>
      <c r="DV56" s="308"/>
      <c r="DW56" s="308"/>
      <c r="DX56" s="308"/>
      <c r="DY56" s="308"/>
      <c r="DZ56" s="308"/>
      <c r="EA56" s="308"/>
      <c r="EB56" s="308"/>
      <c r="EC56" s="308"/>
      <c r="ED56" s="308"/>
      <c r="EE56" s="308"/>
      <c r="EF56" s="308"/>
      <c r="EG56" s="308"/>
      <c r="EH56" s="308"/>
      <c r="EI56" s="308"/>
      <c r="EJ56" s="308"/>
      <c r="EK56" s="308"/>
      <c r="EL56" s="308"/>
      <c r="EM56" s="308"/>
      <c r="EN56" s="308"/>
      <c r="EO56" s="308"/>
      <c r="EP56" s="308"/>
      <c r="EQ56" s="308"/>
      <c r="ER56" s="308"/>
      <c r="ES56" s="308"/>
      <c r="ET56" s="308"/>
      <c r="EU56" s="308"/>
      <c r="EV56" s="308"/>
      <c r="EW56" s="308"/>
      <c r="EX56" s="308"/>
      <c r="EY56" s="308"/>
      <c r="EZ56" s="308"/>
      <c r="FA56" s="308"/>
      <c r="FB56" s="308"/>
      <c r="FC56" s="308"/>
      <c r="FD56" s="308"/>
      <c r="FE56" s="308"/>
      <c r="FF56" s="308"/>
      <c r="FG56" s="308"/>
      <c r="FH56" s="308"/>
      <c r="FI56" s="308"/>
      <c r="FJ56" s="308"/>
      <c r="FK56" s="308"/>
      <c r="FL56" s="308"/>
      <c r="FM56" s="308"/>
      <c r="FN56" s="308"/>
      <c r="FO56" s="308"/>
      <c r="FP56" s="308"/>
      <c r="FQ56" s="308"/>
      <c r="FR56" s="308"/>
      <c r="FS56" s="308"/>
      <c r="FT56" s="308"/>
      <c r="FU56" s="308"/>
      <c r="FV56" s="308"/>
      <c r="FW56" s="308"/>
      <c r="FX56" s="308"/>
      <c r="FY56" s="308"/>
      <c r="FZ56" s="308"/>
      <c r="GA56" s="308"/>
      <c r="GB56" s="308"/>
      <c r="GC56" s="308"/>
      <c r="GD56" s="308"/>
      <c r="GE56" s="308"/>
      <c r="GF56" s="308"/>
      <c r="GG56" s="308"/>
      <c r="GH56" s="308"/>
      <c r="GI56" s="308"/>
      <c r="GJ56" s="308"/>
      <c r="GK56" s="308"/>
      <c r="GL56" s="308"/>
      <c r="GM56" s="308"/>
      <c r="GN56" s="308"/>
      <c r="GO56" s="308"/>
      <c r="GP56" s="308"/>
      <c r="GQ56" s="308"/>
      <c r="GR56" s="308"/>
      <c r="GS56" s="308"/>
      <c r="GT56" s="308"/>
      <c r="GU56" s="308"/>
      <c r="GV56" s="308"/>
      <c r="GW56" s="308"/>
      <c r="GX56" s="308"/>
      <c r="GY56" s="308"/>
      <c r="GZ56" s="308"/>
      <c r="HA56" s="308"/>
      <c r="HB56" s="308"/>
      <c r="HC56" s="308"/>
      <c r="HD56" s="308"/>
      <c r="HE56" s="308"/>
      <c r="HF56" s="308"/>
      <c r="HG56" s="308"/>
      <c r="HH56" s="308"/>
      <c r="HI56" s="308"/>
      <c r="HJ56" s="308"/>
      <c r="HK56" s="308"/>
      <c r="HL56" s="308"/>
      <c r="HM56" s="308"/>
      <c r="HN56" s="308"/>
      <c r="HO56" s="308"/>
      <c r="HP56" s="308"/>
      <c r="HQ56" s="308"/>
      <c r="HR56" s="308"/>
      <c r="HS56" s="308"/>
      <c r="HT56" s="308"/>
      <c r="HU56" s="308"/>
      <c r="HV56" s="308"/>
      <c r="HW56" s="308"/>
      <c r="HX56" s="308"/>
      <c r="HY56" s="308"/>
      <c r="HZ56" s="308"/>
      <c r="IA56" s="308"/>
      <c r="IB56" s="308"/>
      <c r="IC56" s="308"/>
      <c r="ID56" s="308"/>
      <c r="IE56" s="308"/>
      <c r="IF56" s="308"/>
      <c r="IG56" s="308"/>
      <c r="IH56" s="308"/>
      <c r="II56" s="308"/>
      <c r="IJ56" s="308"/>
      <c r="IK56" s="308"/>
      <c r="IL56" s="308"/>
      <c r="IM56" s="308"/>
      <c r="IN56" s="308"/>
      <c r="IO56" s="308"/>
      <c r="IP56" s="308"/>
      <c r="IQ56" s="308"/>
      <c r="IR56" s="308"/>
      <c r="IS56" s="308"/>
      <c r="IT56" s="308"/>
      <c r="IU56" s="308"/>
      <c r="IV56" s="308"/>
      <c r="IW56" s="308"/>
      <c r="IX56" s="308"/>
      <c r="IY56" s="308"/>
    </row>
    <row r="57" spans="1:269" ht="12.75" customHeight="1" thickBot="1">
      <c r="A57" s="298" t="s">
        <v>4379</v>
      </c>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AB57" s="299"/>
      <c r="AC57" s="299"/>
      <c r="AD57" s="299"/>
      <c r="AE57" s="299"/>
      <c r="AH57" s="299"/>
      <c r="AI57" s="299"/>
      <c r="AJ57" s="299"/>
      <c r="AK57" s="299"/>
      <c r="AN57" s="299"/>
      <c r="AO57" s="299"/>
      <c r="AP57" s="299"/>
      <c r="AQ57" s="299"/>
      <c r="AR57" s="299"/>
      <c r="AS57" s="299"/>
      <c r="AT57" s="299"/>
      <c r="AW57" s="299"/>
      <c r="AX57" s="299"/>
    </row>
    <row r="58" spans="1:269" s="308" customFormat="1" ht="39" customHeight="1">
      <c r="A58" s="746" t="s">
        <v>4264</v>
      </c>
      <c r="B58" s="747"/>
      <c r="C58" s="747"/>
      <c r="D58" s="747"/>
      <c r="E58" s="747"/>
      <c r="F58" s="747"/>
      <c r="G58" s="747"/>
      <c r="H58" s="747"/>
      <c r="I58" s="747"/>
      <c r="J58" s="748"/>
      <c r="K58" s="749" t="s">
        <v>4365</v>
      </c>
      <c r="L58" s="750"/>
      <c r="M58" s="750"/>
      <c r="N58" s="750"/>
      <c r="O58" s="749" t="s">
        <v>4380</v>
      </c>
      <c r="P58" s="751"/>
      <c r="Q58" s="751"/>
      <c r="R58" s="751"/>
      <c r="S58" s="751"/>
      <c r="T58" s="751"/>
      <c r="U58" s="749" t="s">
        <v>4367</v>
      </c>
      <c r="V58" s="750"/>
      <c r="W58" s="750"/>
      <c r="X58" s="750"/>
      <c r="Y58" s="749" t="s">
        <v>4381</v>
      </c>
      <c r="Z58" s="751"/>
      <c r="AA58" s="751"/>
      <c r="AB58" s="751"/>
      <c r="AC58" s="751"/>
      <c r="AD58" s="751"/>
      <c r="AE58" s="749" t="s">
        <v>4382</v>
      </c>
      <c r="AF58" s="751"/>
      <c r="AG58" s="751"/>
      <c r="AH58" s="751"/>
      <c r="AI58" s="751"/>
      <c r="AJ58" s="751"/>
      <c r="AK58" s="749" t="s">
        <v>4383</v>
      </c>
      <c r="AL58" s="751"/>
      <c r="AM58" s="751"/>
      <c r="AN58" s="751"/>
      <c r="AO58" s="751"/>
      <c r="AP58" s="751"/>
      <c r="AQ58" s="749" t="s">
        <v>4384</v>
      </c>
      <c r="AR58" s="751"/>
      <c r="AS58" s="751"/>
      <c r="AT58" s="751"/>
      <c r="AU58" s="751"/>
      <c r="AV58" s="780"/>
    </row>
    <row r="59" spans="1:269" s="308" customFormat="1" ht="15.75" customHeight="1">
      <c r="A59" s="781" t="s">
        <v>4372</v>
      </c>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3"/>
    </row>
    <row r="60" spans="1:269" s="262" customFormat="1" ht="13.5">
      <c r="A60" s="771" t="str">
        <f>+A40</f>
        <v>Primer piso</v>
      </c>
      <c r="B60" s="772"/>
      <c r="C60" s="772"/>
      <c r="D60" s="772"/>
      <c r="E60" s="772"/>
      <c r="F60" s="772"/>
      <c r="G60" s="772"/>
      <c r="H60" s="772"/>
      <c r="I60" s="772"/>
      <c r="J60" s="773"/>
      <c r="K60" s="774">
        <f>+K40</f>
        <v>0</v>
      </c>
      <c r="L60" s="775"/>
      <c r="M60" s="775"/>
      <c r="N60" s="775"/>
      <c r="O60" s="776">
        <f>ROUND(O40*$M$78,1)</f>
        <v>0</v>
      </c>
      <c r="P60" s="777"/>
      <c r="Q60" s="777"/>
      <c r="R60" s="777"/>
      <c r="S60" s="777"/>
      <c r="T60" s="778"/>
      <c r="U60" s="774">
        <f>+U40</f>
        <v>0</v>
      </c>
      <c r="V60" s="779"/>
      <c r="W60" s="779"/>
      <c r="X60" s="779"/>
      <c r="Y60" s="774">
        <f>ROUND(Y40*$M$78,1)</f>
        <v>0</v>
      </c>
      <c r="Z60" s="779"/>
      <c r="AA60" s="779"/>
      <c r="AB60" s="779"/>
      <c r="AC60" s="779"/>
      <c r="AD60" s="779"/>
      <c r="AE60" s="774">
        <f>ROUND(AE40*$M$78,1)</f>
        <v>0</v>
      </c>
      <c r="AF60" s="779"/>
      <c r="AG60" s="779"/>
      <c r="AH60" s="779"/>
      <c r="AI60" s="779"/>
      <c r="AJ60" s="779"/>
      <c r="AK60" s="774">
        <f t="shared" ref="AK60:AK64" si="13">ROUND(AK40*$M$78,1)</f>
        <v>0</v>
      </c>
      <c r="AL60" s="779"/>
      <c r="AM60" s="779"/>
      <c r="AN60" s="779"/>
      <c r="AO60" s="779"/>
      <c r="AP60" s="779"/>
      <c r="AQ60" s="774">
        <f t="shared" ref="AQ60:AQ64" si="14">ROUND(AQ40*$M$78,1)</f>
        <v>0</v>
      </c>
      <c r="AR60" s="779"/>
      <c r="AS60" s="779"/>
      <c r="AT60" s="779"/>
      <c r="AU60" s="779"/>
      <c r="AV60" s="779"/>
    </row>
    <row r="61" spans="1:269" s="262" customFormat="1" ht="13.5">
      <c r="A61" s="771" t="str">
        <f>+A41</f>
        <v>Segundo piso</v>
      </c>
      <c r="B61" s="772"/>
      <c r="C61" s="772"/>
      <c r="D61" s="772"/>
      <c r="E61" s="772"/>
      <c r="F61" s="772"/>
      <c r="G61" s="772"/>
      <c r="H61" s="772"/>
      <c r="I61" s="772"/>
      <c r="J61" s="773"/>
      <c r="K61" s="774">
        <f>+K41</f>
        <v>0</v>
      </c>
      <c r="L61" s="775"/>
      <c r="M61" s="775"/>
      <c r="N61" s="775"/>
      <c r="O61" s="776">
        <f t="shared" ref="O61:O64" si="15">ROUND(O41*$M$78,1)</f>
        <v>0</v>
      </c>
      <c r="P61" s="777"/>
      <c r="Q61" s="777"/>
      <c r="R61" s="777"/>
      <c r="S61" s="777"/>
      <c r="T61" s="778"/>
      <c r="U61" s="774">
        <f>+U41</f>
        <v>0</v>
      </c>
      <c r="V61" s="779"/>
      <c r="W61" s="779"/>
      <c r="X61" s="779"/>
      <c r="Y61" s="774">
        <f t="shared" ref="Y61:Y64" si="16">ROUND(Y41*$M$78,1)</f>
        <v>0</v>
      </c>
      <c r="Z61" s="779"/>
      <c r="AA61" s="779"/>
      <c r="AB61" s="779"/>
      <c r="AC61" s="779"/>
      <c r="AD61" s="779"/>
      <c r="AE61" s="774">
        <f t="shared" ref="AE61:AE64" si="17">ROUND(AE41*$M$78,1)</f>
        <v>0</v>
      </c>
      <c r="AF61" s="779"/>
      <c r="AG61" s="779"/>
      <c r="AH61" s="779"/>
      <c r="AI61" s="779"/>
      <c r="AJ61" s="779"/>
      <c r="AK61" s="774">
        <f t="shared" si="13"/>
        <v>0</v>
      </c>
      <c r="AL61" s="779"/>
      <c r="AM61" s="779"/>
      <c r="AN61" s="779"/>
      <c r="AO61" s="779"/>
      <c r="AP61" s="779"/>
      <c r="AQ61" s="774">
        <f t="shared" si="14"/>
        <v>0</v>
      </c>
      <c r="AR61" s="779"/>
      <c r="AS61" s="779"/>
      <c r="AT61" s="779"/>
      <c r="AU61" s="779"/>
      <c r="AV61" s="779"/>
    </row>
    <row r="62" spans="1:269" s="262" customFormat="1" ht="13.5">
      <c r="A62" s="771" t="str">
        <f>+A42</f>
        <v>Tercer piso</v>
      </c>
      <c r="B62" s="772"/>
      <c r="C62" s="772"/>
      <c r="D62" s="772"/>
      <c r="E62" s="772"/>
      <c r="F62" s="772"/>
      <c r="G62" s="772"/>
      <c r="H62" s="772"/>
      <c r="I62" s="772"/>
      <c r="J62" s="773"/>
      <c r="K62" s="774">
        <f>+K42</f>
        <v>0</v>
      </c>
      <c r="L62" s="775"/>
      <c r="M62" s="775"/>
      <c r="N62" s="775"/>
      <c r="O62" s="776">
        <f t="shared" si="15"/>
        <v>0</v>
      </c>
      <c r="P62" s="777"/>
      <c r="Q62" s="777"/>
      <c r="R62" s="777"/>
      <c r="S62" s="777"/>
      <c r="T62" s="778"/>
      <c r="U62" s="774">
        <f>+U42</f>
        <v>0</v>
      </c>
      <c r="V62" s="779"/>
      <c r="W62" s="779"/>
      <c r="X62" s="779"/>
      <c r="Y62" s="774">
        <f t="shared" si="16"/>
        <v>0</v>
      </c>
      <c r="Z62" s="779"/>
      <c r="AA62" s="779"/>
      <c r="AB62" s="779"/>
      <c r="AC62" s="779"/>
      <c r="AD62" s="779"/>
      <c r="AE62" s="774">
        <f t="shared" si="17"/>
        <v>0</v>
      </c>
      <c r="AF62" s="779"/>
      <c r="AG62" s="779"/>
      <c r="AH62" s="779"/>
      <c r="AI62" s="779"/>
      <c r="AJ62" s="779"/>
      <c r="AK62" s="774">
        <f t="shared" si="13"/>
        <v>0</v>
      </c>
      <c r="AL62" s="779"/>
      <c r="AM62" s="779"/>
      <c r="AN62" s="779"/>
      <c r="AO62" s="779"/>
      <c r="AP62" s="779"/>
      <c r="AQ62" s="774">
        <f t="shared" si="14"/>
        <v>0</v>
      </c>
      <c r="AR62" s="779"/>
      <c r="AS62" s="779"/>
      <c r="AT62" s="779"/>
      <c r="AU62" s="779"/>
      <c r="AV62" s="779"/>
    </row>
    <row r="63" spans="1:269" s="262" customFormat="1" ht="13.5">
      <c r="A63" s="771" t="str">
        <f>+A43</f>
        <v>Estacionamiento Nº..</v>
      </c>
      <c r="B63" s="772"/>
      <c r="C63" s="772"/>
      <c r="D63" s="772"/>
      <c r="E63" s="772"/>
      <c r="F63" s="772"/>
      <c r="G63" s="772"/>
      <c r="H63" s="772"/>
      <c r="I63" s="772"/>
      <c r="J63" s="773"/>
      <c r="K63" s="774">
        <f>+K43</f>
        <v>0</v>
      </c>
      <c r="L63" s="775"/>
      <c r="M63" s="775"/>
      <c r="N63" s="775"/>
      <c r="O63" s="776">
        <f t="shared" si="15"/>
        <v>0</v>
      </c>
      <c r="P63" s="777"/>
      <c r="Q63" s="777"/>
      <c r="R63" s="777"/>
      <c r="S63" s="777"/>
      <c r="T63" s="778"/>
      <c r="U63" s="774">
        <f>+U43</f>
        <v>0</v>
      </c>
      <c r="V63" s="779"/>
      <c r="W63" s="779"/>
      <c r="X63" s="779"/>
      <c r="Y63" s="774">
        <f t="shared" si="16"/>
        <v>0</v>
      </c>
      <c r="Z63" s="779"/>
      <c r="AA63" s="779"/>
      <c r="AB63" s="779"/>
      <c r="AC63" s="779"/>
      <c r="AD63" s="779"/>
      <c r="AE63" s="774">
        <f t="shared" si="17"/>
        <v>0</v>
      </c>
      <c r="AF63" s="779"/>
      <c r="AG63" s="779"/>
      <c r="AH63" s="779"/>
      <c r="AI63" s="779"/>
      <c r="AJ63" s="779"/>
      <c r="AK63" s="774">
        <f t="shared" si="13"/>
        <v>0</v>
      </c>
      <c r="AL63" s="779"/>
      <c r="AM63" s="779"/>
      <c r="AN63" s="779"/>
      <c r="AO63" s="779"/>
      <c r="AP63" s="779"/>
      <c r="AQ63" s="774">
        <f t="shared" si="14"/>
        <v>0</v>
      </c>
      <c r="AR63" s="779"/>
      <c r="AS63" s="779"/>
      <c r="AT63" s="779"/>
      <c r="AU63" s="779"/>
      <c r="AV63" s="779"/>
    </row>
    <row r="64" spans="1:269" s="262" customFormat="1" ht="14.25" thickBot="1">
      <c r="A64" s="858" t="str">
        <f>+A44</f>
        <v>Depósito Nº …</v>
      </c>
      <c r="B64" s="859"/>
      <c r="C64" s="859"/>
      <c r="D64" s="859"/>
      <c r="E64" s="859"/>
      <c r="F64" s="859"/>
      <c r="G64" s="859"/>
      <c r="H64" s="859"/>
      <c r="I64" s="859"/>
      <c r="J64" s="860"/>
      <c r="K64" s="768">
        <f>+K44</f>
        <v>0</v>
      </c>
      <c r="L64" s="861"/>
      <c r="M64" s="861"/>
      <c r="N64" s="861"/>
      <c r="O64" s="776">
        <f t="shared" si="15"/>
        <v>0</v>
      </c>
      <c r="P64" s="777"/>
      <c r="Q64" s="777"/>
      <c r="R64" s="777"/>
      <c r="S64" s="777"/>
      <c r="T64" s="778"/>
      <c r="U64" s="768">
        <f>+U44</f>
        <v>0</v>
      </c>
      <c r="V64" s="769"/>
      <c r="W64" s="769"/>
      <c r="X64" s="769"/>
      <c r="Y64" s="774">
        <f t="shared" si="16"/>
        <v>0</v>
      </c>
      <c r="Z64" s="779"/>
      <c r="AA64" s="779"/>
      <c r="AB64" s="779"/>
      <c r="AC64" s="779"/>
      <c r="AD64" s="779"/>
      <c r="AE64" s="774">
        <f t="shared" si="17"/>
        <v>0</v>
      </c>
      <c r="AF64" s="779"/>
      <c r="AG64" s="779"/>
      <c r="AH64" s="779"/>
      <c r="AI64" s="779"/>
      <c r="AJ64" s="779"/>
      <c r="AK64" s="774">
        <f t="shared" si="13"/>
        <v>0</v>
      </c>
      <c r="AL64" s="779"/>
      <c r="AM64" s="779"/>
      <c r="AN64" s="779"/>
      <c r="AO64" s="779"/>
      <c r="AP64" s="779"/>
      <c r="AQ64" s="774">
        <f t="shared" si="14"/>
        <v>0</v>
      </c>
      <c r="AR64" s="779"/>
      <c r="AS64" s="779"/>
      <c r="AT64" s="779"/>
      <c r="AU64" s="779"/>
      <c r="AV64" s="779"/>
    </row>
    <row r="65" spans="1:269" s="302" customFormat="1" ht="27" customHeight="1" thickBot="1">
      <c r="A65" s="855" t="s">
        <v>4373</v>
      </c>
      <c r="B65" s="856"/>
      <c r="C65" s="856"/>
      <c r="D65" s="856"/>
      <c r="E65" s="856"/>
      <c r="F65" s="856"/>
      <c r="G65" s="856"/>
      <c r="H65" s="856"/>
      <c r="I65" s="856"/>
      <c r="J65" s="857"/>
      <c r="K65" s="852">
        <f>+K60</f>
        <v>0</v>
      </c>
      <c r="L65" s="853"/>
      <c r="M65" s="853"/>
      <c r="N65" s="854"/>
      <c r="O65" s="852">
        <f>ROUND(SUM(O60:T64),1)</f>
        <v>0</v>
      </c>
      <c r="P65" s="853"/>
      <c r="Q65" s="853"/>
      <c r="R65" s="853"/>
      <c r="S65" s="853"/>
      <c r="T65" s="854"/>
      <c r="U65" s="852">
        <f>SUM(U60:X64)</f>
        <v>0</v>
      </c>
      <c r="V65" s="853"/>
      <c r="W65" s="853"/>
      <c r="X65" s="854"/>
      <c r="Y65" s="852">
        <f>ROUND(SUM(Y60:AD64),1)</f>
        <v>0</v>
      </c>
      <c r="Z65" s="853"/>
      <c r="AA65" s="853"/>
      <c r="AB65" s="853"/>
      <c r="AC65" s="853"/>
      <c r="AD65" s="854"/>
      <c r="AE65" s="852">
        <f t="shared" ref="AE65" si="18">ROUND(SUM(AE60:AJ64),1)</f>
        <v>0</v>
      </c>
      <c r="AF65" s="853"/>
      <c r="AG65" s="853"/>
      <c r="AH65" s="853"/>
      <c r="AI65" s="853"/>
      <c r="AJ65" s="854"/>
      <c r="AK65" s="852">
        <f t="shared" ref="AK65" si="19">ROUND(SUM(AK60:AP64),1)</f>
        <v>0</v>
      </c>
      <c r="AL65" s="853"/>
      <c r="AM65" s="853"/>
      <c r="AN65" s="853"/>
      <c r="AO65" s="853"/>
      <c r="AP65" s="854"/>
      <c r="AQ65" s="852">
        <f t="shared" ref="AQ65" si="20">ROUND(SUM(AQ60:AV64),1)</f>
        <v>0</v>
      </c>
      <c r="AR65" s="853"/>
      <c r="AS65" s="853"/>
      <c r="AT65" s="853"/>
      <c r="AU65" s="853"/>
      <c r="AV65" s="854"/>
    </row>
    <row r="66" spans="1:269" s="302" customFormat="1" ht="16.5" customHeight="1">
      <c r="A66" s="811" t="s">
        <v>4374</v>
      </c>
      <c r="B66" s="812"/>
      <c r="C66" s="812"/>
      <c r="D66" s="812"/>
      <c r="E66" s="812"/>
      <c r="F66" s="812"/>
      <c r="G66" s="812"/>
      <c r="H66" s="812"/>
      <c r="I66" s="812"/>
      <c r="J66" s="812"/>
      <c r="K66" s="812"/>
      <c r="L66" s="812"/>
      <c r="M66" s="812"/>
      <c r="N66" s="812"/>
      <c r="O66" s="812"/>
      <c r="P66" s="812"/>
      <c r="Q66" s="812"/>
      <c r="R66" s="812"/>
      <c r="S66" s="812"/>
      <c r="T66" s="812"/>
      <c r="U66" s="812"/>
      <c r="V66" s="812"/>
      <c r="W66" s="812"/>
      <c r="X66" s="812"/>
      <c r="Y66" s="812"/>
      <c r="Z66" s="812"/>
      <c r="AA66" s="812"/>
      <c r="AB66" s="812"/>
      <c r="AC66" s="812"/>
      <c r="AD66" s="812"/>
      <c r="AE66" s="812"/>
      <c r="AF66" s="812"/>
      <c r="AG66" s="812"/>
      <c r="AH66" s="812"/>
      <c r="AI66" s="812"/>
      <c r="AJ66" s="812"/>
      <c r="AK66" s="812"/>
      <c r="AL66" s="812"/>
      <c r="AM66" s="812"/>
      <c r="AN66" s="812"/>
      <c r="AO66" s="812"/>
      <c r="AP66" s="812"/>
      <c r="AQ66" s="812"/>
      <c r="AR66" s="812"/>
      <c r="AS66" s="812"/>
      <c r="AT66" s="812"/>
      <c r="AU66" s="812"/>
      <c r="AV66" s="813"/>
    </row>
    <row r="67" spans="1:269" s="262" customFormat="1" ht="13.5">
      <c r="A67" s="808" t="str">
        <f t="shared" ref="A67:A71" si="21">+A47</f>
        <v>Primer piso</v>
      </c>
      <c r="B67" s="809"/>
      <c r="C67" s="809"/>
      <c r="D67" s="809"/>
      <c r="E67" s="809"/>
      <c r="F67" s="809"/>
      <c r="G67" s="809"/>
      <c r="H67" s="809"/>
      <c r="I67" s="809"/>
      <c r="J67" s="810"/>
      <c r="K67" s="796">
        <v>0</v>
      </c>
      <c r="L67" s="804"/>
      <c r="M67" s="804"/>
      <c r="N67" s="804"/>
      <c r="O67" s="805">
        <f>ROUND(O47*$M$78,1)</f>
        <v>0</v>
      </c>
      <c r="P67" s="806"/>
      <c r="Q67" s="806"/>
      <c r="R67" s="806"/>
      <c r="S67" s="806"/>
      <c r="T67" s="807"/>
      <c r="U67" s="796">
        <f>+U47</f>
        <v>0</v>
      </c>
      <c r="V67" s="797"/>
      <c r="W67" s="797"/>
      <c r="X67" s="797"/>
      <c r="Y67" s="796">
        <f>ROUND(Y47*$M$78,1)</f>
        <v>0</v>
      </c>
      <c r="Z67" s="797"/>
      <c r="AA67" s="797"/>
      <c r="AB67" s="797"/>
      <c r="AC67" s="797"/>
      <c r="AD67" s="797"/>
      <c r="AE67" s="796">
        <f t="shared" ref="AE67:AE69" si="22">ROUND(AE47*$M$78,1)</f>
        <v>0</v>
      </c>
      <c r="AF67" s="797"/>
      <c r="AG67" s="797"/>
      <c r="AH67" s="797"/>
      <c r="AI67" s="797"/>
      <c r="AJ67" s="797"/>
      <c r="AK67" s="796">
        <f t="shared" ref="AK67:AK69" si="23">ROUND(AK47*$M$78,1)</f>
        <v>0</v>
      </c>
      <c r="AL67" s="797"/>
      <c r="AM67" s="797"/>
      <c r="AN67" s="797"/>
      <c r="AO67" s="797"/>
      <c r="AP67" s="797"/>
      <c r="AQ67" s="796">
        <f t="shared" ref="AQ67:AQ69" si="24">ROUND(AQ47*$M$78,1)</f>
        <v>0</v>
      </c>
      <c r="AR67" s="797"/>
      <c r="AS67" s="797"/>
      <c r="AT67" s="797"/>
      <c r="AU67" s="797"/>
      <c r="AV67" s="797"/>
      <c r="IX67" s="302"/>
      <c r="IY67" s="302"/>
      <c r="IZ67" s="302"/>
      <c r="JA67" s="302"/>
      <c r="JB67" s="302"/>
      <c r="JC67" s="302"/>
      <c r="JD67" s="302"/>
      <c r="JE67" s="302"/>
      <c r="JF67" s="302"/>
      <c r="JG67" s="302"/>
      <c r="JH67" s="302"/>
      <c r="JI67" s="302"/>
    </row>
    <row r="68" spans="1:269" s="262" customFormat="1" ht="13.5">
      <c r="A68" s="808" t="str">
        <f t="shared" si="21"/>
        <v>Segundo piso</v>
      </c>
      <c r="B68" s="809"/>
      <c r="C68" s="809"/>
      <c r="D68" s="809"/>
      <c r="E68" s="809"/>
      <c r="F68" s="809"/>
      <c r="G68" s="809"/>
      <c r="H68" s="809"/>
      <c r="I68" s="809"/>
      <c r="J68" s="810"/>
      <c r="K68" s="796">
        <v>0</v>
      </c>
      <c r="L68" s="804"/>
      <c r="M68" s="804"/>
      <c r="N68" s="804"/>
      <c r="O68" s="805">
        <f t="shared" ref="O68:O69" si="25">ROUND(O48*$M$78,1)</f>
        <v>0</v>
      </c>
      <c r="P68" s="806"/>
      <c r="Q68" s="806"/>
      <c r="R68" s="806"/>
      <c r="S68" s="806"/>
      <c r="T68" s="807"/>
      <c r="U68" s="796">
        <f>+U48</f>
        <v>0</v>
      </c>
      <c r="V68" s="797"/>
      <c r="W68" s="797"/>
      <c r="X68" s="797"/>
      <c r="Y68" s="796">
        <f t="shared" ref="Y68:Y69" si="26">ROUND(Y48*$M$78,1)</f>
        <v>0</v>
      </c>
      <c r="Z68" s="797"/>
      <c r="AA68" s="797"/>
      <c r="AB68" s="797"/>
      <c r="AC68" s="797"/>
      <c r="AD68" s="797"/>
      <c r="AE68" s="796">
        <f t="shared" si="22"/>
        <v>0</v>
      </c>
      <c r="AF68" s="797"/>
      <c r="AG68" s="797"/>
      <c r="AH68" s="797"/>
      <c r="AI68" s="797"/>
      <c r="AJ68" s="797"/>
      <c r="AK68" s="796">
        <f t="shared" si="23"/>
        <v>0</v>
      </c>
      <c r="AL68" s="797"/>
      <c r="AM68" s="797"/>
      <c r="AN68" s="797"/>
      <c r="AO68" s="797"/>
      <c r="AP68" s="797"/>
      <c r="AQ68" s="796">
        <f t="shared" si="24"/>
        <v>0</v>
      </c>
      <c r="AR68" s="797"/>
      <c r="AS68" s="797"/>
      <c r="AT68" s="797"/>
      <c r="AU68" s="797"/>
      <c r="AV68" s="797"/>
      <c r="IX68" s="302"/>
      <c r="IY68" s="302"/>
      <c r="IZ68" s="302"/>
      <c r="JA68" s="302"/>
      <c r="JB68" s="302"/>
      <c r="JC68" s="302"/>
      <c r="JD68" s="302"/>
      <c r="JE68" s="302"/>
      <c r="JF68" s="302"/>
      <c r="JG68" s="302"/>
      <c r="JH68" s="302"/>
      <c r="JI68" s="302"/>
    </row>
    <row r="69" spans="1:269" s="262" customFormat="1" ht="14.25" thickBot="1">
      <c r="A69" s="801" t="str">
        <f t="shared" si="21"/>
        <v>Tercer piso</v>
      </c>
      <c r="B69" s="802"/>
      <c r="C69" s="802"/>
      <c r="D69" s="802"/>
      <c r="E69" s="802"/>
      <c r="F69" s="802"/>
      <c r="G69" s="802"/>
      <c r="H69" s="802"/>
      <c r="I69" s="802"/>
      <c r="J69" s="803"/>
      <c r="K69" s="796">
        <v>0</v>
      </c>
      <c r="L69" s="804"/>
      <c r="M69" s="804"/>
      <c r="N69" s="804"/>
      <c r="O69" s="805">
        <f t="shared" si="25"/>
        <v>0</v>
      </c>
      <c r="P69" s="806"/>
      <c r="Q69" s="806"/>
      <c r="R69" s="806"/>
      <c r="S69" s="806"/>
      <c r="T69" s="807"/>
      <c r="U69" s="796">
        <f>+U49</f>
        <v>0</v>
      </c>
      <c r="V69" s="797"/>
      <c r="W69" s="797"/>
      <c r="X69" s="797"/>
      <c r="Y69" s="796">
        <f t="shared" si="26"/>
        <v>0</v>
      </c>
      <c r="Z69" s="797"/>
      <c r="AA69" s="797"/>
      <c r="AB69" s="797"/>
      <c r="AC69" s="797"/>
      <c r="AD69" s="797"/>
      <c r="AE69" s="796">
        <f t="shared" si="22"/>
        <v>0</v>
      </c>
      <c r="AF69" s="797"/>
      <c r="AG69" s="797"/>
      <c r="AH69" s="797"/>
      <c r="AI69" s="797"/>
      <c r="AJ69" s="797"/>
      <c r="AK69" s="796">
        <f t="shared" si="23"/>
        <v>0</v>
      </c>
      <c r="AL69" s="797"/>
      <c r="AM69" s="797"/>
      <c r="AN69" s="797"/>
      <c r="AO69" s="797"/>
      <c r="AP69" s="797"/>
      <c r="AQ69" s="796">
        <f t="shared" si="24"/>
        <v>0</v>
      </c>
      <c r="AR69" s="797"/>
      <c r="AS69" s="797"/>
      <c r="AT69" s="797"/>
      <c r="AU69" s="797"/>
      <c r="AV69" s="797"/>
      <c r="IX69" s="302"/>
      <c r="IY69" s="302"/>
      <c r="IZ69" s="302"/>
      <c r="JA69" s="302"/>
      <c r="JB69" s="302"/>
      <c r="JC69" s="302"/>
      <c r="JD69" s="302"/>
      <c r="JE69" s="302"/>
      <c r="JF69" s="302"/>
      <c r="JG69" s="302"/>
      <c r="JH69" s="302"/>
      <c r="JI69" s="302"/>
    </row>
    <row r="70" spans="1:269" s="262" customFormat="1" ht="29.25" customHeight="1" thickBot="1">
      <c r="A70" s="862" t="str">
        <f t="shared" si="21"/>
        <v>Total área declarada en Autoavalúo</v>
      </c>
      <c r="B70" s="863"/>
      <c r="C70" s="863"/>
      <c r="D70" s="863"/>
      <c r="E70" s="863"/>
      <c r="F70" s="863"/>
      <c r="G70" s="863"/>
      <c r="H70" s="863"/>
      <c r="I70" s="863"/>
      <c r="J70" s="864"/>
      <c r="K70" s="865">
        <v>0</v>
      </c>
      <c r="L70" s="866"/>
      <c r="M70" s="866"/>
      <c r="N70" s="867"/>
      <c r="O70" s="865">
        <v>0</v>
      </c>
      <c r="P70" s="866"/>
      <c r="Q70" s="866"/>
      <c r="R70" s="866"/>
      <c r="S70" s="866"/>
      <c r="T70" s="867"/>
      <c r="U70" s="865">
        <f>SUM(U67:X69)</f>
        <v>0</v>
      </c>
      <c r="V70" s="866"/>
      <c r="W70" s="866"/>
      <c r="X70" s="867"/>
      <c r="Y70" s="865">
        <f>ROUND(SUM(Y67:AD69),1)</f>
        <v>0</v>
      </c>
      <c r="Z70" s="866"/>
      <c r="AA70" s="866"/>
      <c r="AB70" s="866"/>
      <c r="AC70" s="866"/>
      <c r="AD70" s="867"/>
      <c r="AE70" s="865">
        <f t="shared" ref="AE70" si="27">ROUND(SUM(AE67:AJ69),1)</f>
        <v>0</v>
      </c>
      <c r="AF70" s="866"/>
      <c r="AG70" s="866"/>
      <c r="AH70" s="866"/>
      <c r="AI70" s="866"/>
      <c r="AJ70" s="867"/>
      <c r="AK70" s="865">
        <f t="shared" ref="AK70" si="28">ROUND(SUM(AK67:AP69),1)</f>
        <v>0</v>
      </c>
      <c r="AL70" s="866"/>
      <c r="AM70" s="866"/>
      <c r="AN70" s="866"/>
      <c r="AO70" s="866"/>
      <c r="AP70" s="867"/>
      <c r="AQ70" s="865">
        <f t="shared" ref="AQ70" si="29">ROUND(SUM(AQ67:AV69),1)</f>
        <v>0</v>
      </c>
      <c r="AR70" s="866"/>
      <c r="AS70" s="866"/>
      <c r="AT70" s="866"/>
      <c r="AU70" s="866"/>
      <c r="AV70" s="867"/>
    </row>
    <row r="71" spans="1:269" s="304" customFormat="1" ht="16.5" customHeight="1">
      <c r="A71" s="873" t="str">
        <f t="shared" si="21"/>
        <v>Detalle de áreas NO declaradas en Partida Registral ni Autoavalúo</v>
      </c>
      <c r="B71" s="874"/>
      <c r="C71" s="874"/>
      <c r="D71" s="874"/>
      <c r="E71" s="874"/>
      <c r="F71" s="874"/>
      <c r="G71" s="874"/>
      <c r="H71" s="874"/>
      <c r="I71" s="874"/>
      <c r="J71" s="874"/>
      <c r="K71" s="874"/>
      <c r="L71" s="874"/>
      <c r="M71" s="874"/>
      <c r="N71" s="874"/>
      <c r="O71" s="874"/>
      <c r="P71" s="874"/>
      <c r="Q71" s="874"/>
      <c r="R71" s="874"/>
      <c r="S71" s="874"/>
      <c r="T71" s="874"/>
      <c r="U71" s="874"/>
      <c r="V71" s="874"/>
      <c r="W71" s="874"/>
      <c r="X71" s="874"/>
      <c r="Y71" s="874"/>
      <c r="Z71" s="874"/>
      <c r="AA71" s="874"/>
      <c r="AB71" s="874"/>
      <c r="AC71" s="874"/>
      <c r="AD71" s="874"/>
      <c r="AE71" s="874"/>
      <c r="AF71" s="874"/>
      <c r="AG71" s="874"/>
      <c r="AH71" s="874"/>
      <c r="AI71" s="874"/>
      <c r="AJ71" s="874"/>
      <c r="AK71" s="874"/>
      <c r="AL71" s="874"/>
      <c r="AM71" s="874"/>
      <c r="AN71" s="874"/>
      <c r="AO71" s="874"/>
      <c r="AP71" s="874"/>
      <c r="AQ71" s="874"/>
      <c r="AR71" s="874"/>
      <c r="AS71" s="874"/>
      <c r="AT71" s="874"/>
      <c r="AU71" s="874"/>
      <c r="AV71" s="875"/>
    </row>
    <row r="72" spans="1:269" s="305" customFormat="1" ht="13.5">
      <c r="A72" s="817" t="str">
        <f>+A52</f>
        <v>Primer piso</v>
      </c>
      <c r="B72" s="818"/>
      <c r="C72" s="818"/>
      <c r="D72" s="818"/>
      <c r="E72" s="818"/>
      <c r="F72" s="818"/>
      <c r="G72" s="818"/>
      <c r="H72" s="818"/>
      <c r="I72" s="818"/>
      <c r="J72" s="819"/>
      <c r="K72" s="871">
        <v>0</v>
      </c>
      <c r="L72" s="876"/>
      <c r="M72" s="876"/>
      <c r="N72" s="876"/>
      <c r="O72" s="868">
        <f>ROUND(O52*$M$78,1)</f>
        <v>0</v>
      </c>
      <c r="P72" s="869"/>
      <c r="Q72" s="869"/>
      <c r="R72" s="869"/>
      <c r="S72" s="869"/>
      <c r="T72" s="870"/>
      <c r="U72" s="871">
        <f>+U52</f>
        <v>0</v>
      </c>
      <c r="V72" s="872"/>
      <c r="W72" s="872"/>
      <c r="X72" s="872"/>
      <c r="Y72" s="868">
        <f>ROUND(Y52*$M$78,1)</f>
        <v>0</v>
      </c>
      <c r="Z72" s="869"/>
      <c r="AA72" s="869"/>
      <c r="AB72" s="869"/>
      <c r="AC72" s="869"/>
      <c r="AD72" s="870"/>
      <c r="AE72" s="868">
        <f t="shared" ref="AE72:AE74" si="30">ROUND(AE52*$M$78,1)</f>
        <v>0</v>
      </c>
      <c r="AF72" s="869"/>
      <c r="AG72" s="869"/>
      <c r="AH72" s="869"/>
      <c r="AI72" s="869"/>
      <c r="AJ72" s="870"/>
      <c r="AK72" s="868">
        <f t="shared" ref="AK72:AK74" si="31">ROUND(AK52*$M$78,1)</f>
        <v>0</v>
      </c>
      <c r="AL72" s="869"/>
      <c r="AM72" s="869"/>
      <c r="AN72" s="869"/>
      <c r="AO72" s="869"/>
      <c r="AP72" s="870"/>
      <c r="AQ72" s="868">
        <f t="shared" ref="AQ72:AQ74" si="32">ROUND(AQ52*$M$78,1)</f>
        <v>0</v>
      </c>
      <c r="AR72" s="869"/>
      <c r="AS72" s="869"/>
      <c r="AT72" s="869"/>
      <c r="AU72" s="869"/>
      <c r="AV72" s="870"/>
      <c r="IX72" s="304"/>
      <c r="IY72" s="304"/>
      <c r="IZ72" s="304"/>
      <c r="JA72" s="304"/>
      <c r="JB72" s="304"/>
      <c r="JC72" s="304"/>
      <c r="JD72" s="304"/>
      <c r="JE72" s="304"/>
      <c r="JF72" s="304"/>
      <c r="JG72" s="304"/>
      <c r="JH72" s="304"/>
      <c r="JI72" s="304"/>
    </row>
    <row r="73" spans="1:269" s="305" customFormat="1" ht="13.5">
      <c r="A73" s="817" t="str">
        <f>+C221</f>
        <v>Segundo piso</v>
      </c>
      <c r="B73" s="818"/>
      <c r="C73" s="818"/>
      <c r="D73" s="818"/>
      <c r="E73" s="818"/>
      <c r="F73" s="818"/>
      <c r="G73" s="818"/>
      <c r="H73" s="818"/>
      <c r="I73" s="818"/>
      <c r="J73" s="819"/>
      <c r="K73" s="820">
        <v>0</v>
      </c>
      <c r="L73" s="821"/>
      <c r="M73" s="821"/>
      <c r="N73" s="821"/>
      <c r="O73" s="868">
        <f t="shared" ref="O73:O74" si="33">ROUND(O53*$M$78,1)</f>
        <v>0</v>
      </c>
      <c r="P73" s="869"/>
      <c r="Q73" s="869"/>
      <c r="R73" s="869"/>
      <c r="S73" s="869"/>
      <c r="T73" s="870"/>
      <c r="U73" s="871">
        <f t="shared" ref="U73:U74" si="34">+U53</f>
        <v>0</v>
      </c>
      <c r="V73" s="872"/>
      <c r="W73" s="872"/>
      <c r="X73" s="872"/>
      <c r="Y73" s="868">
        <f t="shared" ref="Y73:Y74" si="35">ROUND(Y53*$M$78,1)</f>
        <v>0</v>
      </c>
      <c r="Z73" s="869"/>
      <c r="AA73" s="869"/>
      <c r="AB73" s="869"/>
      <c r="AC73" s="869"/>
      <c r="AD73" s="870"/>
      <c r="AE73" s="868">
        <f t="shared" si="30"/>
        <v>0</v>
      </c>
      <c r="AF73" s="869"/>
      <c r="AG73" s="869"/>
      <c r="AH73" s="869"/>
      <c r="AI73" s="869"/>
      <c r="AJ73" s="870"/>
      <c r="AK73" s="868">
        <f t="shared" si="31"/>
        <v>0</v>
      </c>
      <c r="AL73" s="869"/>
      <c r="AM73" s="869"/>
      <c r="AN73" s="869"/>
      <c r="AO73" s="869"/>
      <c r="AP73" s="870"/>
      <c r="AQ73" s="868">
        <f t="shared" si="32"/>
        <v>0</v>
      </c>
      <c r="AR73" s="869"/>
      <c r="AS73" s="869"/>
      <c r="AT73" s="869"/>
      <c r="AU73" s="869"/>
      <c r="AV73" s="870"/>
      <c r="IX73" s="304"/>
      <c r="IY73" s="304"/>
      <c r="IZ73" s="304"/>
      <c r="JA73" s="304"/>
      <c r="JB73" s="304"/>
      <c r="JC73" s="304"/>
      <c r="JD73" s="304"/>
      <c r="JE73" s="304"/>
      <c r="JF73" s="304"/>
      <c r="JG73" s="304"/>
      <c r="JH73" s="304"/>
      <c r="JI73" s="304"/>
    </row>
    <row r="74" spans="1:269" s="305" customFormat="1" ht="14.25" thickBot="1">
      <c r="A74" s="849" t="str">
        <f>+C223</f>
        <v>Tercer piso</v>
      </c>
      <c r="B74" s="850"/>
      <c r="C74" s="850"/>
      <c r="D74" s="850"/>
      <c r="E74" s="850"/>
      <c r="F74" s="850"/>
      <c r="G74" s="850"/>
      <c r="H74" s="850"/>
      <c r="I74" s="850"/>
      <c r="J74" s="851"/>
      <c r="K74" s="820">
        <v>0</v>
      </c>
      <c r="L74" s="821"/>
      <c r="M74" s="821"/>
      <c r="N74" s="821"/>
      <c r="O74" s="868">
        <f t="shared" si="33"/>
        <v>0</v>
      </c>
      <c r="P74" s="869"/>
      <c r="Q74" s="869"/>
      <c r="R74" s="869"/>
      <c r="S74" s="869"/>
      <c r="T74" s="870"/>
      <c r="U74" s="871">
        <f t="shared" si="34"/>
        <v>0</v>
      </c>
      <c r="V74" s="872"/>
      <c r="W74" s="872"/>
      <c r="X74" s="872"/>
      <c r="Y74" s="868">
        <f t="shared" si="35"/>
        <v>0</v>
      </c>
      <c r="Z74" s="869"/>
      <c r="AA74" s="869"/>
      <c r="AB74" s="869"/>
      <c r="AC74" s="869"/>
      <c r="AD74" s="870"/>
      <c r="AE74" s="868">
        <f t="shared" si="30"/>
        <v>0</v>
      </c>
      <c r="AF74" s="869"/>
      <c r="AG74" s="869"/>
      <c r="AH74" s="869"/>
      <c r="AI74" s="869"/>
      <c r="AJ74" s="870"/>
      <c r="AK74" s="868">
        <f t="shared" si="31"/>
        <v>0</v>
      </c>
      <c r="AL74" s="869"/>
      <c r="AM74" s="869"/>
      <c r="AN74" s="869"/>
      <c r="AO74" s="869"/>
      <c r="AP74" s="870"/>
      <c r="AQ74" s="868">
        <f t="shared" si="32"/>
        <v>0</v>
      </c>
      <c r="AR74" s="869"/>
      <c r="AS74" s="869"/>
      <c r="AT74" s="869"/>
      <c r="AU74" s="869"/>
      <c r="AV74" s="870"/>
      <c r="IX74" s="304"/>
      <c r="IY74" s="304"/>
      <c r="IZ74" s="304"/>
      <c r="JA74" s="304"/>
      <c r="JB74" s="304"/>
      <c r="JC74" s="304"/>
      <c r="JD74" s="304"/>
      <c r="JE74" s="304"/>
      <c r="JF74" s="304"/>
      <c r="JG74" s="304"/>
      <c r="JH74" s="304"/>
      <c r="JI74" s="304"/>
    </row>
    <row r="75" spans="1:269" s="305" customFormat="1" ht="40.5" customHeight="1" thickBot="1">
      <c r="A75" s="843" t="str">
        <f>+A55</f>
        <v>Total área NO declarada en Partida Registral ni Autoavalúo</v>
      </c>
      <c r="B75" s="844"/>
      <c r="C75" s="844"/>
      <c r="D75" s="844"/>
      <c r="E75" s="844"/>
      <c r="F75" s="844"/>
      <c r="G75" s="844"/>
      <c r="H75" s="844"/>
      <c r="I75" s="844"/>
      <c r="J75" s="845"/>
      <c r="K75" s="846">
        <f>+K55</f>
        <v>0</v>
      </c>
      <c r="L75" s="847"/>
      <c r="M75" s="847"/>
      <c r="N75" s="848"/>
      <c r="O75" s="846">
        <v>0</v>
      </c>
      <c r="P75" s="847"/>
      <c r="Q75" s="847"/>
      <c r="R75" s="847"/>
      <c r="S75" s="847"/>
      <c r="T75" s="848"/>
      <c r="U75" s="846">
        <f>SUM(U72:X74)</f>
        <v>0</v>
      </c>
      <c r="V75" s="847"/>
      <c r="W75" s="847"/>
      <c r="X75" s="848"/>
      <c r="Y75" s="846">
        <f>ROUND(SUM(Y72:AD74),1)</f>
        <v>0</v>
      </c>
      <c r="Z75" s="847"/>
      <c r="AA75" s="847"/>
      <c r="AB75" s="847"/>
      <c r="AC75" s="847"/>
      <c r="AD75" s="848"/>
      <c r="AE75" s="846">
        <f t="shared" ref="AE75" si="36">ROUND(SUM(AE72:AJ74),1)</f>
        <v>0</v>
      </c>
      <c r="AF75" s="847"/>
      <c r="AG75" s="847"/>
      <c r="AH75" s="847"/>
      <c r="AI75" s="847"/>
      <c r="AJ75" s="848"/>
      <c r="AK75" s="846">
        <f t="shared" ref="AK75" si="37">ROUND(SUM(AK72:AP74),1)</f>
        <v>0</v>
      </c>
      <c r="AL75" s="847"/>
      <c r="AM75" s="847"/>
      <c r="AN75" s="847"/>
      <c r="AO75" s="847"/>
      <c r="AP75" s="848"/>
      <c r="AQ75" s="846">
        <f t="shared" ref="AQ75" si="38">ROUND(SUM(AQ72:AV74),1)</f>
        <v>0</v>
      </c>
      <c r="AR75" s="847"/>
      <c r="AS75" s="847"/>
      <c r="AT75" s="847"/>
      <c r="AU75" s="847"/>
      <c r="AV75" s="848"/>
    </row>
    <row r="76" spans="1:269" s="309" customFormat="1" ht="24.75" customHeight="1" thickTop="1" thickBot="1">
      <c r="A76" s="306" t="str">
        <f>+A56</f>
        <v xml:space="preserve">TOTALES </v>
      </c>
      <c r="B76" s="307"/>
      <c r="C76" s="307"/>
      <c r="D76" s="307"/>
      <c r="E76" s="307"/>
      <c r="F76" s="307"/>
      <c r="G76" s="307"/>
      <c r="H76" s="307"/>
      <c r="I76" s="307"/>
      <c r="J76" s="307"/>
      <c r="K76" s="838"/>
      <c r="L76" s="839"/>
      <c r="M76" s="839"/>
      <c r="N76" s="839"/>
      <c r="O76" s="840">
        <f>ROUND(SUM(O65+O70+O75),1)</f>
        <v>0</v>
      </c>
      <c r="P76" s="841"/>
      <c r="Q76" s="841"/>
      <c r="R76" s="841"/>
      <c r="S76" s="841"/>
      <c r="T76" s="842"/>
      <c r="U76" s="835">
        <f>+U65+U70+U75</f>
        <v>0</v>
      </c>
      <c r="V76" s="836"/>
      <c r="W76" s="836"/>
      <c r="X76" s="836"/>
      <c r="Y76" s="840">
        <f>ROUND(SUM(Y65+Y70+Y75),1)</f>
        <v>0</v>
      </c>
      <c r="Z76" s="841"/>
      <c r="AA76" s="841"/>
      <c r="AB76" s="841"/>
      <c r="AC76" s="841"/>
      <c r="AD76" s="842"/>
      <c r="AE76" s="840">
        <f t="shared" ref="AE76" si="39">ROUND(SUM(AE65+AE70+AE75),1)</f>
        <v>0</v>
      </c>
      <c r="AF76" s="841"/>
      <c r="AG76" s="841"/>
      <c r="AH76" s="841"/>
      <c r="AI76" s="841"/>
      <c r="AJ76" s="842"/>
      <c r="AK76" s="840">
        <f t="shared" ref="AK76" si="40">ROUND(SUM(AK65+AK70+AK75),1)</f>
        <v>0</v>
      </c>
      <c r="AL76" s="841"/>
      <c r="AM76" s="841"/>
      <c r="AN76" s="841"/>
      <c r="AO76" s="841"/>
      <c r="AP76" s="842"/>
      <c r="AQ76" s="840">
        <f t="shared" ref="AQ76" si="41">ROUND(SUM(AQ65+AQ70+AQ75),1)</f>
        <v>0</v>
      </c>
      <c r="AR76" s="841"/>
      <c r="AS76" s="841"/>
      <c r="AT76" s="841"/>
      <c r="AU76" s="841"/>
      <c r="AV76" s="842"/>
      <c r="AW76" s="308"/>
      <c r="AX76" s="308"/>
      <c r="AY76" s="308"/>
      <c r="AZ76" s="308"/>
      <c r="BA76" s="308"/>
      <c r="BB76" s="308"/>
      <c r="BC76" s="308"/>
      <c r="BD76" s="308"/>
      <c r="BE76" s="308"/>
      <c r="BF76" s="308"/>
      <c r="BG76" s="308"/>
      <c r="BH76" s="308"/>
      <c r="BI76" s="308"/>
      <c r="BJ76" s="308"/>
      <c r="BK76" s="308"/>
      <c r="BL76" s="308"/>
      <c r="BM76" s="308"/>
      <c r="BN76" s="308"/>
      <c r="BO76" s="308"/>
      <c r="BP76" s="308"/>
      <c r="BQ76" s="308"/>
      <c r="BR76" s="308"/>
      <c r="BS76" s="308"/>
      <c r="BT76" s="308"/>
      <c r="BU76" s="308"/>
      <c r="BV76" s="308"/>
      <c r="BW76" s="308"/>
      <c r="BX76" s="308"/>
      <c r="BY76" s="308"/>
      <c r="BZ76" s="308"/>
      <c r="CA76" s="308"/>
      <c r="CB76" s="308"/>
      <c r="CC76" s="308"/>
      <c r="CD76" s="308"/>
      <c r="CE76" s="308"/>
      <c r="CF76" s="308"/>
      <c r="CG76" s="308"/>
      <c r="CH76" s="308"/>
      <c r="CI76" s="308"/>
      <c r="CJ76" s="308"/>
      <c r="CK76" s="308"/>
      <c r="CL76" s="308"/>
      <c r="CM76" s="308"/>
      <c r="CN76" s="308"/>
      <c r="CO76" s="308"/>
      <c r="CP76" s="308"/>
      <c r="CQ76" s="308"/>
      <c r="CR76" s="308"/>
      <c r="CS76" s="308"/>
      <c r="CT76" s="308"/>
      <c r="CU76" s="308"/>
      <c r="CV76" s="308"/>
      <c r="CW76" s="308"/>
      <c r="CX76" s="308"/>
      <c r="CY76" s="308"/>
      <c r="CZ76" s="308"/>
      <c r="DA76" s="308"/>
      <c r="DB76" s="308"/>
      <c r="DC76" s="308"/>
      <c r="DD76" s="308"/>
      <c r="DE76" s="308"/>
      <c r="DF76" s="308"/>
      <c r="DG76" s="308"/>
      <c r="DH76" s="308"/>
      <c r="DI76" s="308"/>
      <c r="DJ76" s="308"/>
      <c r="DK76" s="308"/>
      <c r="DL76" s="308"/>
      <c r="DM76" s="308"/>
      <c r="DN76" s="308"/>
      <c r="DO76" s="308"/>
      <c r="DP76" s="308"/>
      <c r="DQ76" s="308"/>
      <c r="DR76" s="308"/>
      <c r="DS76" s="308"/>
      <c r="DT76" s="308"/>
      <c r="DU76" s="308"/>
      <c r="DV76" s="308"/>
      <c r="DW76" s="308"/>
      <c r="DX76" s="308"/>
      <c r="DY76" s="308"/>
      <c r="DZ76" s="308"/>
      <c r="EA76" s="308"/>
      <c r="EB76" s="308"/>
      <c r="EC76" s="308"/>
      <c r="ED76" s="308"/>
      <c r="EE76" s="308"/>
      <c r="EF76" s="308"/>
      <c r="EG76" s="308"/>
      <c r="EH76" s="308"/>
      <c r="EI76" s="308"/>
      <c r="EJ76" s="308"/>
      <c r="EK76" s="308"/>
      <c r="EL76" s="308"/>
      <c r="EM76" s="308"/>
      <c r="EN76" s="308"/>
      <c r="EO76" s="308"/>
      <c r="EP76" s="308"/>
      <c r="EQ76" s="308"/>
      <c r="ER76" s="308"/>
      <c r="ES76" s="308"/>
      <c r="ET76" s="308"/>
      <c r="EU76" s="308"/>
      <c r="EV76" s="308"/>
      <c r="EW76" s="308"/>
      <c r="EX76" s="308"/>
      <c r="EY76" s="308"/>
      <c r="EZ76" s="308"/>
      <c r="FA76" s="308"/>
      <c r="FB76" s="308"/>
      <c r="FC76" s="308"/>
      <c r="FD76" s="308"/>
      <c r="FE76" s="308"/>
      <c r="FF76" s="308"/>
      <c r="FG76" s="308"/>
      <c r="FH76" s="308"/>
      <c r="FI76" s="308"/>
      <c r="FJ76" s="308"/>
      <c r="FK76" s="308"/>
      <c r="FL76" s="308"/>
      <c r="FM76" s="308"/>
      <c r="FN76" s="308"/>
      <c r="FO76" s="308"/>
      <c r="FP76" s="308"/>
      <c r="FQ76" s="308"/>
      <c r="FR76" s="308"/>
      <c r="FS76" s="308"/>
      <c r="FT76" s="308"/>
      <c r="FU76" s="308"/>
      <c r="FV76" s="308"/>
      <c r="FW76" s="308"/>
      <c r="FX76" s="308"/>
      <c r="FY76" s="308"/>
      <c r="FZ76" s="308"/>
      <c r="GA76" s="308"/>
      <c r="GB76" s="308"/>
      <c r="GC76" s="308"/>
      <c r="GD76" s="308"/>
      <c r="GE76" s="308"/>
      <c r="GF76" s="308"/>
      <c r="GG76" s="308"/>
      <c r="GH76" s="308"/>
      <c r="GI76" s="308"/>
      <c r="GJ76" s="308"/>
      <c r="GK76" s="308"/>
      <c r="GL76" s="308"/>
      <c r="GM76" s="308"/>
      <c r="GN76" s="308"/>
      <c r="GO76" s="308"/>
      <c r="GP76" s="308"/>
      <c r="GQ76" s="308"/>
      <c r="GR76" s="308"/>
      <c r="GS76" s="308"/>
      <c r="GT76" s="308"/>
      <c r="GU76" s="308"/>
      <c r="GV76" s="308"/>
      <c r="GW76" s="308"/>
      <c r="GX76" s="308"/>
      <c r="GY76" s="308"/>
      <c r="GZ76" s="308"/>
      <c r="HA76" s="308"/>
      <c r="HB76" s="308"/>
      <c r="HC76" s="308"/>
      <c r="HD76" s="308"/>
      <c r="HE76" s="308"/>
      <c r="HF76" s="308"/>
      <c r="HG76" s="308"/>
      <c r="HH76" s="308"/>
      <c r="HI76" s="308"/>
      <c r="HJ76" s="308"/>
      <c r="HK76" s="308"/>
      <c r="HL76" s="308"/>
      <c r="HM76" s="308"/>
      <c r="HN76" s="308"/>
      <c r="HO76" s="308"/>
      <c r="HP76" s="308"/>
      <c r="HQ76" s="308"/>
      <c r="HR76" s="308"/>
      <c r="HS76" s="308"/>
      <c r="HT76" s="308"/>
      <c r="HU76" s="308"/>
      <c r="HV76" s="308"/>
      <c r="HW76" s="308"/>
      <c r="HX76" s="308"/>
      <c r="HY76" s="308"/>
      <c r="HZ76" s="308"/>
      <c r="IA76" s="308"/>
      <c r="IB76" s="308"/>
      <c r="IC76" s="308"/>
      <c r="ID76" s="308"/>
      <c r="IE76" s="308"/>
      <c r="IF76" s="308"/>
      <c r="IG76" s="308"/>
      <c r="IH76" s="308"/>
      <c r="II76" s="308"/>
      <c r="IJ76" s="308"/>
      <c r="IK76" s="308"/>
      <c r="IL76" s="308"/>
      <c r="IM76" s="308"/>
      <c r="IN76" s="308"/>
      <c r="IO76" s="308"/>
      <c r="IP76" s="308"/>
      <c r="IQ76" s="308"/>
      <c r="IR76" s="308"/>
      <c r="IS76" s="308"/>
      <c r="IT76" s="308"/>
      <c r="IU76" s="308"/>
      <c r="IV76" s="308"/>
      <c r="IW76" s="308"/>
      <c r="IX76" s="308"/>
      <c r="IY76" s="308"/>
    </row>
    <row r="77" spans="1:269" s="308" customFormat="1" ht="6" customHeight="1">
      <c r="A77" s="310"/>
      <c r="B77" s="310"/>
      <c r="C77" s="310"/>
      <c r="D77" s="310"/>
      <c r="E77" s="310"/>
      <c r="F77" s="310"/>
      <c r="G77" s="310"/>
      <c r="H77" s="310"/>
      <c r="I77" s="310"/>
      <c r="J77" s="310"/>
      <c r="K77" s="311"/>
      <c r="L77" s="302"/>
      <c r="M77" s="302"/>
      <c r="N77" s="302"/>
      <c r="O77" s="312"/>
      <c r="P77" s="284"/>
      <c r="Q77" s="284"/>
      <c r="R77" s="284"/>
      <c r="S77" s="284"/>
      <c r="T77" s="284"/>
      <c r="U77" s="312"/>
      <c r="V77" s="313"/>
      <c r="W77" s="313"/>
      <c r="X77" s="313"/>
      <c r="Y77" s="312"/>
      <c r="Z77" s="284"/>
      <c r="AA77" s="284"/>
      <c r="AB77" s="284"/>
      <c r="AC77" s="284"/>
      <c r="AD77" s="284"/>
      <c r="AE77" s="312"/>
      <c r="AF77" s="284"/>
      <c r="AG77" s="284"/>
      <c r="AH77" s="284"/>
      <c r="AI77" s="284"/>
      <c r="AJ77" s="284"/>
      <c r="AK77" s="312"/>
      <c r="AL77" s="284"/>
      <c r="AM77" s="284"/>
      <c r="AN77" s="284"/>
      <c r="AO77" s="284"/>
      <c r="AP77" s="284"/>
      <c r="AQ77" s="312"/>
      <c r="AR77" s="313"/>
      <c r="AS77" s="313"/>
      <c r="AT77" s="313"/>
      <c r="AU77" s="313"/>
      <c r="AV77" s="313"/>
    </row>
    <row r="78" spans="1:269" s="318" customFormat="1" ht="12" customHeight="1">
      <c r="A78" s="314" t="s">
        <v>4385</v>
      </c>
      <c r="B78" s="315"/>
      <c r="C78" s="315"/>
      <c r="D78" s="315"/>
      <c r="E78" s="315"/>
      <c r="F78" s="315"/>
      <c r="G78" s="315"/>
      <c r="H78" s="315"/>
      <c r="I78" s="299"/>
      <c r="J78" s="299"/>
      <c r="K78" s="299" t="s">
        <v>4359</v>
      </c>
      <c r="L78" s="299"/>
      <c r="M78" s="882">
        <v>3.4950000000000001</v>
      </c>
      <c r="N78" s="882"/>
      <c r="O78" s="882"/>
      <c r="P78" s="882"/>
      <c r="Q78" s="882"/>
      <c r="R78" s="882"/>
      <c r="S78" s="316" t="s">
        <v>4386</v>
      </c>
      <c r="T78" s="315"/>
      <c r="U78" s="315"/>
      <c r="V78" s="315"/>
      <c r="W78" s="315"/>
      <c r="X78" s="315"/>
      <c r="Y78" s="315"/>
      <c r="Z78" s="315"/>
      <c r="AA78" s="315"/>
      <c r="AB78" s="315"/>
      <c r="AC78" s="315"/>
      <c r="AD78" s="299"/>
      <c r="AE78" s="299"/>
      <c r="AF78" s="299"/>
      <c r="AG78" s="299"/>
      <c r="AH78" s="299"/>
      <c r="AI78" s="299"/>
      <c r="AJ78" s="315"/>
      <c r="AK78" s="315"/>
      <c r="AL78" s="315"/>
      <c r="AM78" s="315"/>
      <c r="AN78" s="315"/>
      <c r="AO78" s="315"/>
      <c r="AP78" s="315"/>
      <c r="AQ78" s="315"/>
      <c r="AR78" s="315"/>
      <c r="AS78" s="315"/>
      <c r="AT78" s="315"/>
      <c r="AU78" s="315"/>
      <c r="AV78" s="315"/>
      <c r="AW78" s="317"/>
      <c r="AX78" s="317"/>
    </row>
    <row r="79" spans="1:269" s="262" customFormat="1" ht="12" customHeight="1">
      <c r="A79" s="319" t="s">
        <v>4387</v>
      </c>
      <c r="B79" s="319"/>
      <c r="C79" s="319"/>
      <c r="D79" s="320"/>
      <c r="E79" s="319"/>
      <c r="F79" s="319"/>
      <c r="G79" s="319"/>
      <c r="H79" s="319"/>
      <c r="I79" s="261"/>
      <c r="J79" s="261"/>
      <c r="K79" s="321" t="s">
        <v>4359</v>
      </c>
      <c r="L79" s="319"/>
      <c r="M79" s="883">
        <f>+M207</f>
        <v>0</v>
      </c>
      <c r="N79" s="883"/>
      <c r="O79" s="319" t="s">
        <v>4388</v>
      </c>
      <c r="P79" s="319"/>
      <c r="Q79" s="319"/>
      <c r="R79" s="319"/>
      <c r="S79" s="319"/>
      <c r="T79" s="319"/>
      <c r="U79" s="319"/>
      <c r="V79" s="319"/>
      <c r="W79" s="319"/>
      <c r="X79" s="319"/>
      <c r="Y79" s="319"/>
      <c r="Z79" s="319"/>
      <c r="AA79" s="319"/>
      <c r="AB79" s="319"/>
      <c r="AC79" s="319"/>
      <c r="AD79" s="319"/>
      <c r="AE79" s="319"/>
      <c r="AF79" s="319"/>
      <c r="AG79" s="319"/>
      <c r="AH79" s="319"/>
      <c r="AI79" s="319"/>
      <c r="AJ79" s="319"/>
      <c r="AK79" s="319"/>
      <c r="AL79" s="319"/>
      <c r="AM79" s="319"/>
      <c r="AN79" s="319"/>
      <c r="AO79" s="319"/>
      <c r="AP79" s="319"/>
      <c r="AQ79" s="319"/>
      <c r="AR79" s="319"/>
      <c r="AS79" s="319"/>
      <c r="AT79" s="319"/>
      <c r="AU79" s="319"/>
      <c r="AV79" s="319"/>
    </row>
    <row r="80" spans="1:269" s="262" customFormat="1" ht="12" customHeight="1">
      <c r="A80" s="319" t="s">
        <v>4389</v>
      </c>
      <c r="B80" s="319"/>
      <c r="C80" s="319"/>
      <c r="D80" s="320"/>
      <c r="E80" s="319"/>
      <c r="F80" s="319"/>
      <c r="G80" s="319"/>
      <c r="H80" s="319"/>
      <c r="I80" s="261"/>
      <c r="J80" s="261"/>
      <c r="K80" s="321" t="s">
        <v>4359</v>
      </c>
      <c r="L80" s="261"/>
      <c r="M80" s="884" t="s">
        <v>102</v>
      </c>
      <c r="N80" s="885"/>
      <c r="O80" s="885"/>
      <c r="P80" s="885"/>
      <c r="Q80" s="885"/>
      <c r="R80" s="885"/>
      <c r="S80" s="885"/>
      <c r="T80" s="885"/>
      <c r="U80" s="885"/>
      <c r="V80" s="885"/>
      <c r="W80" s="885"/>
      <c r="X80" s="885"/>
      <c r="Y80" s="885"/>
      <c r="Z80" s="885"/>
      <c r="AA80" s="885"/>
      <c r="AB80" s="885"/>
      <c r="AC80" s="885"/>
      <c r="AD80" s="885"/>
      <c r="AE80" s="885"/>
      <c r="AF80" s="885"/>
      <c r="AG80" s="885"/>
      <c r="AH80" s="885"/>
      <c r="AI80" s="885"/>
      <c r="AJ80" s="885"/>
      <c r="AK80" s="885"/>
      <c r="AL80" s="885"/>
      <c r="AM80" s="885"/>
      <c r="AN80" s="885"/>
      <c r="AO80" s="885"/>
      <c r="AP80" s="885"/>
      <c r="AQ80" s="885"/>
      <c r="AR80" s="885"/>
      <c r="AS80" s="885"/>
      <c r="AT80" s="885"/>
      <c r="AU80" s="885"/>
      <c r="AV80" s="885"/>
    </row>
    <row r="81" spans="1:48" s="262" customFormat="1" ht="12" customHeight="1">
      <c r="A81" s="319" t="s">
        <v>4390</v>
      </c>
      <c r="B81" s="319"/>
      <c r="C81" s="319"/>
      <c r="D81" s="320"/>
      <c r="E81" s="319"/>
      <c r="F81" s="319"/>
      <c r="G81" s="319"/>
      <c r="H81" s="319"/>
      <c r="I81" s="261"/>
      <c r="J81" s="261"/>
      <c r="K81" s="321" t="s">
        <v>4359</v>
      </c>
      <c r="L81" s="261"/>
      <c r="M81" s="885"/>
      <c r="N81" s="885"/>
      <c r="O81" s="885"/>
      <c r="P81" s="885"/>
      <c r="Q81" s="885"/>
      <c r="R81" s="885"/>
      <c r="S81" s="885"/>
      <c r="T81" s="885"/>
      <c r="U81" s="885"/>
      <c r="V81" s="885"/>
      <c r="W81" s="885"/>
      <c r="X81" s="885"/>
      <c r="Y81" s="885"/>
      <c r="Z81" s="885"/>
      <c r="AA81" s="885"/>
      <c r="AB81" s="885"/>
      <c r="AC81" s="885"/>
      <c r="AD81" s="885"/>
      <c r="AE81" s="885"/>
      <c r="AF81" s="885"/>
      <c r="AG81" s="885"/>
      <c r="AH81" s="885"/>
      <c r="AI81" s="885"/>
      <c r="AJ81" s="885"/>
      <c r="AK81" s="885"/>
      <c r="AL81" s="885"/>
      <c r="AM81" s="885"/>
      <c r="AN81" s="885"/>
      <c r="AO81" s="885"/>
      <c r="AP81" s="885"/>
      <c r="AQ81" s="885"/>
      <c r="AR81" s="885"/>
      <c r="AS81" s="885"/>
      <c r="AT81" s="885"/>
      <c r="AU81" s="885"/>
      <c r="AV81" s="885"/>
    </row>
    <row r="82" spans="1:48" s="262" customFormat="1" ht="12" customHeight="1">
      <c r="A82" s="319" t="s">
        <v>4391</v>
      </c>
      <c r="B82" s="319"/>
      <c r="C82" s="319"/>
      <c r="D82" s="320"/>
      <c r="E82" s="319"/>
      <c r="F82" s="319"/>
      <c r="G82" s="319"/>
      <c r="H82" s="319"/>
      <c r="I82" s="261"/>
      <c r="J82" s="261"/>
      <c r="K82" s="321" t="s">
        <v>4359</v>
      </c>
      <c r="L82" s="261"/>
      <c r="M82" s="754">
        <f>+C146</f>
        <v>0</v>
      </c>
      <c r="N82" s="754"/>
      <c r="O82" s="754"/>
      <c r="P82" s="754"/>
      <c r="Q82" s="754"/>
      <c r="R82" s="754"/>
      <c r="S82" s="754"/>
      <c r="T82" s="754"/>
      <c r="U82" s="754"/>
      <c r="V82" s="754"/>
      <c r="W82" s="754"/>
      <c r="X82" s="754"/>
      <c r="Y82" s="754"/>
      <c r="Z82" s="754"/>
      <c r="AA82" s="754"/>
      <c r="AB82" s="754"/>
      <c r="AC82" s="754"/>
      <c r="AD82" s="754"/>
      <c r="AE82" s="754"/>
      <c r="AF82" s="754"/>
      <c r="AG82" s="754"/>
      <c r="AH82" s="754"/>
      <c r="AI82" s="754"/>
      <c r="AJ82" s="754"/>
      <c r="AK82" s="754"/>
      <c r="AL82" s="754"/>
      <c r="AM82" s="754"/>
      <c r="AN82" s="754"/>
      <c r="AO82" s="754"/>
      <c r="AP82" s="754"/>
      <c r="AQ82" s="754"/>
      <c r="AR82" s="754"/>
      <c r="AS82" s="754"/>
      <c r="AT82" s="754"/>
      <c r="AU82" s="754"/>
      <c r="AV82" s="754"/>
    </row>
    <row r="83" spans="1:48" s="262" customFormat="1" ht="12" customHeight="1">
      <c r="A83" s="319" t="s">
        <v>4392</v>
      </c>
      <c r="B83" s="319"/>
      <c r="C83" s="319"/>
      <c r="D83" s="320"/>
      <c r="E83" s="319"/>
      <c r="F83" s="319"/>
      <c r="G83" s="319"/>
      <c r="H83" s="319"/>
      <c r="I83" s="261"/>
      <c r="J83" s="261"/>
      <c r="K83" s="321" t="s">
        <v>4359</v>
      </c>
      <c r="L83" s="261"/>
      <c r="M83" s="885"/>
      <c r="N83" s="885"/>
      <c r="O83" s="885"/>
      <c r="P83" s="885"/>
      <c r="Q83" s="885"/>
      <c r="R83" s="885"/>
      <c r="S83" s="885"/>
      <c r="T83" s="885"/>
      <c r="U83" s="885"/>
      <c r="V83" s="885"/>
      <c r="W83" s="885"/>
      <c r="X83" s="885"/>
      <c r="Y83" s="885"/>
      <c r="Z83" s="885"/>
      <c r="AA83" s="885"/>
      <c r="AB83" s="885"/>
      <c r="AC83" s="885"/>
      <c r="AD83" s="885"/>
      <c r="AE83" s="885"/>
      <c r="AF83" s="885"/>
      <c r="AG83" s="885"/>
      <c r="AH83" s="885"/>
      <c r="AI83" s="885"/>
      <c r="AJ83" s="885"/>
      <c r="AK83" s="885"/>
      <c r="AL83" s="885"/>
      <c r="AM83" s="885"/>
      <c r="AN83" s="885"/>
      <c r="AO83" s="885"/>
      <c r="AP83" s="885"/>
      <c r="AQ83" s="885"/>
      <c r="AR83" s="885"/>
      <c r="AS83" s="885"/>
      <c r="AT83" s="885"/>
      <c r="AU83" s="885"/>
      <c r="AV83" s="885"/>
    </row>
    <row r="84" spans="1:48" s="262" customFormat="1" ht="12" customHeight="1">
      <c r="A84" s="319" t="s">
        <v>4393</v>
      </c>
      <c r="B84" s="319"/>
      <c r="C84" s="319"/>
      <c r="D84" s="320"/>
      <c r="E84" s="319"/>
      <c r="F84" s="319"/>
      <c r="G84" s="319"/>
      <c r="H84" s="319"/>
      <c r="I84" s="261"/>
      <c r="J84" s="261"/>
      <c r="K84" s="321" t="s">
        <v>4359</v>
      </c>
      <c r="L84" s="261"/>
      <c r="M84" s="754" t="s">
        <v>4394</v>
      </c>
      <c r="N84" s="754"/>
      <c r="O84" s="754"/>
      <c r="P84" s="754"/>
      <c r="Q84" s="754"/>
      <c r="R84" s="754"/>
      <c r="S84" s="754"/>
      <c r="T84" s="754"/>
      <c r="U84" s="754"/>
      <c r="V84" s="754"/>
      <c r="W84" s="754"/>
      <c r="X84" s="754"/>
      <c r="Y84" s="754"/>
      <c r="Z84" s="754"/>
      <c r="AA84" s="754"/>
      <c r="AB84" s="754"/>
      <c r="AC84" s="754"/>
      <c r="AD84" s="754"/>
      <c r="AE84" s="754"/>
      <c r="AF84" s="754"/>
      <c r="AG84" s="754"/>
      <c r="AH84" s="754"/>
      <c r="AI84" s="754"/>
      <c r="AJ84" s="754"/>
      <c r="AK84" s="754"/>
      <c r="AL84" s="754"/>
      <c r="AM84" s="754"/>
      <c r="AN84" s="754"/>
      <c r="AO84" s="754"/>
      <c r="AP84" s="754"/>
      <c r="AQ84" s="754"/>
      <c r="AR84" s="754"/>
      <c r="AS84" s="754"/>
      <c r="AT84" s="754"/>
      <c r="AU84" s="754"/>
      <c r="AV84" s="754"/>
    </row>
    <row r="85" spans="1:48" s="262" customFormat="1" ht="12" customHeight="1">
      <c r="A85" s="319" t="s">
        <v>4395</v>
      </c>
      <c r="B85" s="319"/>
      <c r="C85" s="319"/>
      <c r="D85" s="320"/>
      <c r="E85" s="319"/>
      <c r="F85" s="319"/>
      <c r="G85" s="319"/>
      <c r="H85" s="319"/>
      <c r="I85" s="261"/>
      <c r="J85" s="261"/>
      <c r="K85" s="321" t="s">
        <v>4359</v>
      </c>
      <c r="L85" s="261"/>
      <c r="M85" s="877" t="s">
        <v>4396</v>
      </c>
      <c r="N85" s="877"/>
      <c r="O85" s="877"/>
      <c r="P85" s="877"/>
      <c r="Q85" s="877"/>
      <c r="R85" s="877"/>
      <c r="S85" s="877"/>
      <c r="T85" s="877"/>
      <c r="U85" s="877"/>
      <c r="V85" s="877"/>
      <c r="W85" s="877"/>
      <c r="X85" s="877"/>
      <c r="Y85" s="877"/>
      <c r="Z85" s="877"/>
      <c r="AA85" s="877"/>
      <c r="AB85" s="877"/>
      <c r="AC85" s="877"/>
      <c r="AD85" s="877"/>
      <c r="AE85" s="877"/>
      <c r="AF85" s="877"/>
      <c r="AG85" s="877"/>
      <c r="AH85" s="877"/>
      <c r="AI85" s="877"/>
      <c r="AJ85" s="877"/>
      <c r="AK85" s="877"/>
      <c r="AL85" s="877"/>
      <c r="AM85" s="877"/>
      <c r="AN85" s="877"/>
      <c r="AO85" s="877"/>
      <c r="AP85" s="877"/>
      <c r="AQ85" s="877"/>
      <c r="AR85" s="877"/>
      <c r="AS85" s="877"/>
      <c r="AT85" s="877"/>
      <c r="AU85" s="877"/>
      <c r="AV85" s="877"/>
    </row>
    <row r="86" spans="1:48" s="262" customFormat="1" ht="12" customHeight="1">
      <c r="A86" s="319" t="s">
        <v>4397</v>
      </c>
      <c r="B86" s="319"/>
      <c r="C86" s="319"/>
      <c r="D86" s="320"/>
      <c r="E86" s="319"/>
      <c r="F86" s="319"/>
      <c r="G86" s="319"/>
      <c r="H86" s="319"/>
      <c r="I86" s="261"/>
      <c r="J86" s="261"/>
      <c r="K86" s="321" t="s">
        <v>4359</v>
      </c>
      <c r="L86" s="261"/>
      <c r="M86" s="878"/>
      <c r="N86" s="878"/>
      <c r="O86" s="878"/>
      <c r="P86" s="878"/>
      <c r="Q86" s="878"/>
      <c r="R86" s="878"/>
      <c r="S86" s="878"/>
      <c r="T86" s="878"/>
      <c r="U86" s="878"/>
      <c r="V86" s="878"/>
      <c r="W86" s="878"/>
      <c r="X86" s="878"/>
      <c r="Y86" s="878"/>
      <c r="Z86" s="878"/>
      <c r="AA86" s="878"/>
      <c r="AB86" s="878"/>
      <c r="AC86" s="878"/>
      <c r="AD86" s="878"/>
      <c r="AE86" s="878"/>
      <c r="AF86" s="878"/>
      <c r="AG86" s="878"/>
      <c r="AH86" s="878"/>
      <c r="AI86" s="878"/>
      <c r="AJ86" s="878"/>
      <c r="AK86" s="878"/>
      <c r="AL86" s="878"/>
      <c r="AM86" s="878"/>
      <c r="AN86" s="878"/>
      <c r="AO86" s="878"/>
      <c r="AP86" s="878"/>
      <c r="AQ86" s="878"/>
      <c r="AR86" s="878"/>
      <c r="AS86" s="878"/>
      <c r="AT86" s="878"/>
      <c r="AU86" s="878"/>
      <c r="AV86" s="878"/>
    </row>
    <row r="87" spans="1:48" s="262" customFormat="1" ht="72.75" customHeight="1">
      <c r="A87" s="879" t="s">
        <v>4398</v>
      </c>
      <c r="B87" s="879"/>
      <c r="C87" s="879"/>
      <c r="D87" s="879"/>
      <c r="E87" s="879"/>
      <c r="F87" s="879"/>
      <c r="G87" s="319"/>
      <c r="H87" s="319"/>
      <c r="I87" s="261"/>
      <c r="J87" s="261"/>
      <c r="K87" s="321" t="s">
        <v>4359</v>
      </c>
      <c r="L87" s="261"/>
      <c r="M87" s="754">
        <f>+C213</f>
        <v>0</v>
      </c>
      <c r="N87" s="754"/>
      <c r="O87" s="754"/>
      <c r="P87" s="754"/>
      <c r="Q87" s="754"/>
      <c r="R87" s="754"/>
      <c r="S87" s="754"/>
      <c r="T87" s="754"/>
      <c r="U87" s="754"/>
      <c r="V87" s="754"/>
      <c r="W87" s="754"/>
      <c r="X87" s="754"/>
      <c r="Y87" s="754"/>
      <c r="Z87" s="754"/>
      <c r="AA87" s="754"/>
      <c r="AB87" s="754"/>
      <c r="AC87" s="754"/>
      <c r="AD87" s="754"/>
      <c r="AE87" s="754"/>
      <c r="AF87" s="754"/>
      <c r="AG87" s="754"/>
      <c r="AH87" s="754"/>
      <c r="AI87" s="754"/>
      <c r="AJ87" s="754"/>
      <c r="AK87" s="754"/>
      <c r="AL87" s="754"/>
      <c r="AM87" s="754"/>
      <c r="AN87" s="754"/>
      <c r="AO87" s="754"/>
      <c r="AP87" s="754"/>
      <c r="AQ87" s="754"/>
      <c r="AR87" s="754"/>
      <c r="AS87" s="754"/>
      <c r="AT87" s="754"/>
      <c r="AU87" s="754"/>
      <c r="AV87" s="754"/>
    </row>
    <row r="88" spans="1:48" s="262" customFormat="1" ht="16.5" hidden="1" customHeight="1">
      <c r="A88" s="879"/>
      <c r="B88" s="879"/>
      <c r="C88" s="879"/>
      <c r="D88" s="879"/>
      <c r="E88" s="879"/>
      <c r="F88" s="879"/>
      <c r="G88" s="319"/>
      <c r="H88" s="319"/>
      <c r="I88" s="261"/>
      <c r="J88" s="261"/>
      <c r="K88" s="321" t="s">
        <v>4359</v>
      </c>
      <c r="L88" s="261"/>
      <c r="M88" s="322" t="str">
        <f>+C214</f>
        <v>Parte del área construida se ha estimado en la inspección con …..…. m2.</v>
      </c>
      <c r="N88" s="322"/>
      <c r="O88" s="322"/>
      <c r="P88" s="322"/>
      <c r="Q88" s="322"/>
      <c r="R88" s="322"/>
      <c r="S88" s="322"/>
      <c r="T88" s="322"/>
      <c r="U88" s="322"/>
      <c r="V88" s="322"/>
      <c r="W88" s="322"/>
      <c r="X88" s="322"/>
      <c r="Y88" s="322"/>
      <c r="Z88" s="322"/>
      <c r="AA88" s="322"/>
      <c r="AB88" s="322"/>
      <c r="AC88" s="322"/>
      <c r="AD88" s="322"/>
      <c r="AE88" s="322"/>
      <c r="AF88" s="322"/>
      <c r="AG88" s="322"/>
      <c r="AH88" s="322"/>
      <c r="AI88" s="322"/>
      <c r="AJ88" s="322"/>
      <c r="AK88" s="322"/>
      <c r="AL88" s="322"/>
      <c r="AM88" s="322"/>
      <c r="AN88" s="322"/>
      <c r="AO88" s="322"/>
      <c r="AP88" s="322"/>
      <c r="AQ88" s="322"/>
      <c r="AR88" s="322"/>
      <c r="AS88" s="322"/>
      <c r="AT88" s="322"/>
      <c r="AU88" s="322"/>
      <c r="AV88" s="322"/>
    </row>
    <row r="89" spans="1:48" s="262" customFormat="1" ht="15.75" hidden="1" customHeight="1">
      <c r="A89" s="879"/>
      <c r="B89" s="879"/>
      <c r="C89" s="879"/>
      <c r="D89" s="879"/>
      <c r="E89" s="879"/>
      <c r="F89" s="879"/>
      <c r="G89" s="319"/>
      <c r="H89" s="319"/>
      <c r="I89" s="261"/>
      <c r="J89" s="261"/>
      <c r="K89" s="321" t="s">
        <v>4359</v>
      </c>
      <c r="L89" s="261"/>
      <c r="M89" s="880" t="str">
        <f>+C215</f>
        <v>Valor comercial estimado de:</v>
      </c>
      <c r="N89" s="880"/>
      <c r="O89" s="880"/>
      <c r="P89" s="880"/>
      <c r="Q89" s="880"/>
      <c r="R89" s="880"/>
      <c r="S89" s="880"/>
      <c r="T89" s="880"/>
      <c r="U89" s="880"/>
      <c r="V89" s="880"/>
      <c r="W89" s="880"/>
      <c r="X89" s="880"/>
      <c r="Y89" s="880"/>
      <c r="Z89" s="880"/>
      <c r="AA89" s="881">
        <f>+Q215</f>
        <v>0</v>
      </c>
      <c r="AB89" s="881"/>
      <c r="AC89" s="881"/>
      <c r="AD89" s="881"/>
      <c r="AE89" s="881"/>
      <c r="AF89" s="881"/>
      <c r="AG89" s="881"/>
      <c r="AH89" s="323"/>
      <c r="AI89" s="323"/>
      <c r="AJ89" s="323"/>
      <c r="AK89" s="323"/>
      <c r="AL89" s="323"/>
      <c r="AM89" s="323"/>
      <c r="AN89" s="323"/>
      <c r="AO89" s="323"/>
      <c r="AP89" s="324"/>
      <c r="AQ89" s="324"/>
      <c r="AR89" s="324"/>
      <c r="AS89" s="324"/>
      <c r="AT89" s="324"/>
      <c r="AU89" s="324"/>
      <c r="AV89" s="324"/>
    </row>
    <row r="90" spans="1:48" s="262" customFormat="1" ht="15" hidden="1" customHeight="1">
      <c r="A90" s="879"/>
      <c r="B90" s="879"/>
      <c r="C90" s="879"/>
      <c r="D90" s="879"/>
      <c r="E90" s="879"/>
      <c r="F90" s="879"/>
      <c r="G90" s="319"/>
      <c r="H90" s="319"/>
      <c r="I90" s="261"/>
      <c r="J90" s="261"/>
      <c r="K90" s="321" t="s">
        <v>4359</v>
      </c>
      <c r="L90" s="261"/>
      <c r="M90" s="880" t="str">
        <f>+C216</f>
        <v>Valor asegurable estimado de:</v>
      </c>
      <c r="N90" s="880"/>
      <c r="O90" s="880"/>
      <c r="P90" s="880"/>
      <c r="Q90" s="880"/>
      <c r="R90" s="880"/>
      <c r="S90" s="880"/>
      <c r="T90" s="880"/>
      <c r="U90" s="880"/>
      <c r="V90" s="880"/>
      <c r="W90" s="880"/>
      <c r="X90" s="880"/>
      <c r="Y90" s="880"/>
      <c r="Z90" s="880"/>
      <c r="AA90" s="881">
        <f>+Q216</f>
        <v>0</v>
      </c>
      <c r="AB90" s="881"/>
      <c r="AC90" s="881"/>
      <c r="AD90" s="881"/>
      <c r="AE90" s="881"/>
      <c r="AF90" s="881"/>
      <c r="AG90" s="881"/>
      <c r="AH90" s="323"/>
      <c r="AI90" s="323"/>
      <c r="AJ90" s="323"/>
      <c r="AK90" s="323"/>
      <c r="AL90" s="323"/>
      <c r="AM90" s="323"/>
      <c r="AN90" s="323"/>
      <c r="AO90" s="323"/>
      <c r="AP90" s="324"/>
      <c r="AQ90" s="324"/>
      <c r="AR90" s="324"/>
      <c r="AS90" s="324"/>
      <c r="AT90" s="324"/>
      <c r="AU90" s="324"/>
      <c r="AV90" s="324"/>
    </row>
    <row r="91" spans="1:48" s="262" customFormat="1" ht="12" customHeight="1">
      <c r="A91" s="319" t="s">
        <v>4399</v>
      </c>
      <c r="B91" s="319"/>
      <c r="C91" s="319"/>
      <c r="D91" s="320"/>
      <c r="E91" s="319"/>
      <c r="F91" s="319"/>
      <c r="G91" s="319"/>
      <c r="H91" s="319"/>
      <c r="I91" s="261"/>
      <c r="J91" s="261"/>
      <c r="K91" s="321" t="s">
        <v>4359</v>
      </c>
      <c r="L91" s="261"/>
      <c r="M91" s="319" t="s">
        <v>4400</v>
      </c>
      <c r="N91" s="319"/>
      <c r="O91" s="319"/>
      <c r="P91" s="901">
        <f>+V99</f>
        <v>0</v>
      </c>
      <c r="Q91" s="901"/>
      <c r="R91" s="901"/>
      <c r="S91" s="901"/>
      <c r="T91" s="901"/>
      <c r="U91" s="901"/>
      <c r="V91" s="901"/>
      <c r="W91" s="901"/>
      <c r="X91" s="901"/>
      <c r="Y91" s="901"/>
      <c r="Z91" s="901"/>
      <c r="AA91" s="901"/>
      <c r="AB91" s="325"/>
      <c r="AC91" s="325"/>
      <c r="AD91" s="325"/>
      <c r="AE91" s="325"/>
      <c r="AF91" s="325"/>
      <c r="AG91" s="325"/>
      <c r="AH91" s="325"/>
      <c r="AI91" s="325"/>
      <c r="AJ91" s="325"/>
      <c r="AK91" s="325"/>
      <c r="AL91" s="325"/>
      <c r="AM91" s="325"/>
      <c r="AN91" s="325"/>
      <c r="AO91" s="325"/>
      <c r="AP91" s="325"/>
      <c r="AQ91" s="325"/>
      <c r="AR91" s="325"/>
      <c r="AS91" s="325"/>
      <c r="AT91" s="325"/>
      <c r="AU91" s="325"/>
      <c r="AV91" s="325"/>
    </row>
    <row r="92" spans="1:48" s="262" customFormat="1" ht="12.75" customHeight="1">
      <c r="A92" s="319" t="s">
        <v>4401</v>
      </c>
      <c r="B92" s="322"/>
      <c r="C92" s="322"/>
      <c r="D92" s="322"/>
      <c r="E92" s="322"/>
      <c r="F92" s="322"/>
      <c r="G92" s="322"/>
      <c r="H92" s="322"/>
      <c r="I92" s="261"/>
      <c r="J92" s="261"/>
      <c r="K92" s="321" t="s">
        <v>4359</v>
      </c>
      <c r="L92" s="261"/>
      <c r="M92" s="326" t="s">
        <v>4402</v>
      </c>
      <c r="N92" s="327"/>
      <c r="O92" s="328"/>
      <c r="P92" s="329"/>
      <c r="Q92" s="319"/>
      <c r="R92" s="322"/>
      <c r="S92" s="329"/>
      <c r="T92" s="319"/>
      <c r="U92" s="261"/>
      <c r="V92" s="261"/>
      <c r="W92" s="261"/>
      <c r="X92" s="261"/>
      <c r="Y92" s="322"/>
      <c r="Z92" s="322"/>
      <c r="AA92" s="322"/>
      <c r="AB92" s="322"/>
      <c r="AC92" s="322"/>
      <c r="AD92" s="322"/>
      <c r="AE92" s="322"/>
      <c r="AF92" s="322"/>
      <c r="AG92" s="322"/>
      <c r="AH92" s="322"/>
      <c r="AI92" s="322"/>
      <c r="AJ92" s="322"/>
      <c r="AK92" s="322"/>
      <c r="AL92" s="322"/>
      <c r="AM92" s="322"/>
      <c r="AN92" s="322"/>
      <c r="AO92" s="322"/>
      <c r="AP92" s="322"/>
      <c r="AQ92" s="322"/>
      <c r="AR92" s="322"/>
      <c r="AS92" s="322"/>
      <c r="AT92" s="322"/>
      <c r="AU92" s="322"/>
      <c r="AV92" s="322"/>
    </row>
    <row r="93" spans="1:48" s="262" customFormat="1" ht="93.75" customHeight="1">
      <c r="A93" s="319"/>
      <c r="B93" s="322"/>
      <c r="C93" s="322"/>
      <c r="D93" s="322"/>
      <c r="E93" s="322"/>
      <c r="F93" s="322"/>
      <c r="G93" s="322"/>
      <c r="H93" s="322"/>
      <c r="I93" s="261"/>
      <c r="J93" s="261"/>
      <c r="K93" s="321"/>
      <c r="L93" s="261"/>
      <c r="M93" s="329"/>
      <c r="N93" s="319"/>
      <c r="O93" s="322"/>
      <c r="P93" s="329"/>
      <c r="Q93" s="319"/>
      <c r="R93" s="322"/>
      <c r="S93" s="329"/>
      <c r="T93" s="319"/>
      <c r="U93" s="261"/>
      <c r="V93" s="261"/>
      <c r="W93" s="261"/>
      <c r="X93" s="261"/>
      <c r="Y93" s="322"/>
      <c r="Z93" s="322"/>
      <c r="AA93" s="322"/>
      <c r="AB93" s="322"/>
      <c r="AC93" s="322"/>
      <c r="AD93" s="322"/>
      <c r="AE93" s="322"/>
      <c r="AF93" s="322"/>
      <c r="AG93" s="322"/>
      <c r="AH93" s="322"/>
      <c r="AI93" s="322"/>
      <c r="AJ93" s="322"/>
      <c r="AK93" s="322"/>
      <c r="AL93" s="322"/>
      <c r="AM93" s="322"/>
      <c r="AN93" s="322"/>
      <c r="AO93" s="322"/>
      <c r="AP93" s="322"/>
      <c r="AQ93" s="322"/>
      <c r="AR93" s="322"/>
      <c r="AS93" s="322"/>
      <c r="AT93" s="322"/>
      <c r="AU93" s="322"/>
      <c r="AV93" s="322"/>
    </row>
    <row r="94" spans="1:48" ht="12.95" customHeight="1">
      <c r="C94" s="330"/>
      <c r="D94" s="330"/>
      <c r="H94" s="284"/>
      <c r="J94" s="331"/>
      <c r="R94" s="331" t="s">
        <v>4403</v>
      </c>
      <c r="U94" s="332"/>
      <c r="V94" s="333"/>
      <c r="AB94" s="902"/>
      <c r="AC94" s="903"/>
      <c r="AD94" s="903"/>
      <c r="AE94" s="903"/>
      <c r="AF94" s="903"/>
    </row>
    <row r="95" spans="1:48" s="268" customFormat="1" ht="12.95" customHeight="1">
      <c r="A95" s="904" t="s">
        <v>4404</v>
      </c>
      <c r="B95" s="904"/>
      <c r="C95" s="905"/>
      <c r="D95" s="905"/>
      <c r="E95" s="905"/>
      <c r="F95" s="905"/>
      <c r="G95" s="905"/>
      <c r="H95" s="905"/>
      <c r="I95" s="905"/>
      <c r="J95" s="905"/>
      <c r="K95" s="905"/>
      <c r="L95" s="905"/>
      <c r="M95" s="905"/>
      <c r="N95" s="905"/>
      <c r="O95" s="905"/>
      <c r="P95" s="905"/>
      <c r="Q95" s="905"/>
      <c r="R95" s="905"/>
      <c r="S95" s="905"/>
      <c r="T95" s="905"/>
      <c r="U95" s="905"/>
      <c r="V95" s="905"/>
      <c r="W95" s="905"/>
      <c r="X95" s="905"/>
      <c r="Y95" s="905"/>
      <c r="Z95" s="905"/>
      <c r="AA95" s="905"/>
      <c r="AB95" s="905"/>
      <c r="AC95" s="905"/>
      <c r="AD95" s="905"/>
      <c r="AE95" s="905"/>
      <c r="AF95" s="905"/>
      <c r="AG95" s="905"/>
      <c r="AH95" s="905"/>
      <c r="AI95" s="905"/>
      <c r="AJ95" s="905"/>
      <c r="AK95" s="905"/>
      <c r="AL95" s="905"/>
      <c r="AM95" s="905"/>
      <c r="AN95" s="905"/>
      <c r="AO95" s="905"/>
      <c r="AP95" s="905"/>
      <c r="AQ95" s="905"/>
      <c r="AR95" s="905"/>
      <c r="AS95" s="905"/>
      <c r="AT95" s="905"/>
      <c r="AU95" s="905"/>
      <c r="AV95" s="905"/>
    </row>
    <row r="96" spans="1:48" ht="6" customHeight="1"/>
    <row r="97" spans="1:48" s="323" customFormat="1" ht="20.100000000000001" customHeight="1">
      <c r="A97" s="335" t="s">
        <v>4405</v>
      </c>
      <c r="B97" s="336"/>
      <c r="C97" s="336"/>
      <c r="D97" s="336"/>
      <c r="E97" s="336"/>
      <c r="F97" s="336"/>
      <c r="G97" s="336"/>
      <c r="H97" s="336"/>
      <c r="I97" s="336"/>
      <c r="J97" s="336"/>
      <c r="K97" s="336"/>
      <c r="L97" s="336"/>
      <c r="M97" s="336"/>
      <c r="N97" s="336"/>
      <c r="O97" s="336"/>
      <c r="P97" s="336"/>
      <c r="Q97" s="336"/>
      <c r="R97" s="337" t="s">
        <v>4359</v>
      </c>
      <c r="S97" s="906"/>
      <c r="T97" s="907"/>
      <c r="U97" s="907"/>
      <c r="V97" s="907"/>
      <c r="W97" s="907"/>
      <c r="X97" s="907"/>
      <c r="Y97" s="907"/>
      <c r="Z97" s="907"/>
      <c r="AA97" s="907"/>
      <c r="AB97" s="907"/>
      <c r="AC97" s="907"/>
      <c r="AD97" s="907"/>
      <c r="AE97" s="907"/>
      <c r="AF97" s="907"/>
      <c r="AG97" s="907"/>
      <c r="AH97" s="907"/>
      <c r="AI97" s="907"/>
      <c r="AJ97" s="907"/>
      <c r="AK97" s="907"/>
      <c r="AL97" s="907"/>
      <c r="AM97" s="907"/>
      <c r="AN97" s="907"/>
      <c r="AO97" s="907"/>
      <c r="AP97" s="907"/>
      <c r="AQ97" s="907"/>
      <c r="AR97" s="907"/>
      <c r="AS97" s="907"/>
      <c r="AT97" s="907"/>
      <c r="AU97" s="907"/>
      <c r="AV97" s="338"/>
    </row>
    <row r="98" spans="1:48" s="323" customFormat="1" ht="30" customHeight="1">
      <c r="A98" s="335" t="s">
        <v>65</v>
      </c>
      <c r="B98" s="336"/>
      <c r="C98" s="336"/>
      <c r="D98" s="336"/>
      <c r="E98" s="336"/>
      <c r="F98" s="336"/>
      <c r="G98" s="336"/>
      <c r="H98" s="336"/>
      <c r="I98" s="336"/>
      <c r="J98" s="336"/>
      <c r="K98" s="336"/>
      <c r="L98" s="336"/>
      <c r="M98" s="336"/>
      <c r="N98" s="336"/>
      <c r="O98" s="336"/>
      <c r="P98" s="336"/>
      <c r="Q98" s="336"/>
      <c r="R98" s="337" t="s">
        <v>4359</v>
      </c>
      <c r="S98" s="908"/>
      <c r="T98" s="908"/>
      <c r="U98" s="908"/>
      <c r="V98" s="908"/>
      <c r="W98" s="908"/>
      <c r="X98" s="908"/>
      <c r="Y98" s="908"/>
      <c r="Z98" s="908"/>
      <c r="AA98" s="908"/>
      <c r="AB98" s="908"/>
      <c r="AC98" s="908"/>
      <c r="AD98" s="908"/>
      <c r="AE98" s="908"/>
      <c r="AF98" s="908"/>
      <c r="AG98" s="908"/>
      <c r="AH98" s="908"/>
      <c r="AI98" s="908"/>
      <c r="AJ98" s="908"/>
      <c r="AK98" s="908"/>
      <c r="AL98" s="908"/>
      <c r="AM98" s="908"/>
      <c r="AN98" s="908"/>
      <c r="AO98" s="908"/>
      <c r="AP98" s="908"/>
      <c r="AQ98" s="908"/>
      <c r="AR98" s="908"/>
      <c r="AS98" s="908"/>
      <c r="AT98" s="908"/>
      <c r="AU98" s="908"/>
      <c r="AV98" s="908"/>
    </row>
    <row r="99" spans="1:48" s="323" customFormat="1" ht="16.5" customHeight="1">
      <c r="A99" s="339" t="s">
        <v>4406</v>
      </c>
      <c r="B99" s="339"/>
      <c r="C99" s="339"/>
      <c r="D99" s="339"/>
      <c r="Q99" s="336"/>
      <c r="R99" s="337" t="s">
        <v>4359</v>
      </c>
      <c r="S99" s="336" t="s">
        <v>4407</v>
      </c>
      <c r="T99" s="336"/>
      <c r="U99" s="336"/>
      <c r="V99" s="909"/>
      <c r="W99" s="910"/>
      <c r="X99" s="910"/>
      <c r="Y99" s="910"/>
      <c r="Z99" s="910"/>
      <c r="AA99" s="910"/>
      <c r="AB99" s="910"/>
      <c r="AC99" s="910"/>
      <c r="AD99" s="910"/>
      <c r="AE99" s="910"/>
      <c r="AF99" s="910"/>
      <c r="AG99" s="910"/>
      <c r="AH99" s="910"/>
      <c r="AI99" s="910"/>
      <c r="AJ99" s="910"/>
      <c r="AK99" s="910"/>
      <c r="AL99" s="910"/>
      <c r="AM99" s="910"/>
      <c r="AN99" s="910"/>
      <c r="AO99" s="910"/>
      <c r="AP99" s="910"/>
      <c r="AQ99" s="910"/>
      <c r="AR99" s="910"/>
      <c r="AS99" s="910"/>
      <c r="AT99" s="910"/>
      <c r="AU99" s="910"/>
      <c r="AV99" s="910"/>
    </row>
    <row r="100" spans="1:48" ht="3.95" customHeight="1">
      <c r="A100" s="340"/>
      <c r="B100" s="340"/>
      <c r="C100" s="340"/>
      <c r="D100" s="340"/>
      <c r="E100" s="341"/>
      <c r="F100" s="341"/>
      <c r="G100" s="341"/>
      <c r="H100" s="341"/>
      <c r="I100" s="342"/>
      <c r="J100" s="342"/>
      <c r="K100" s="341"/>
      <c r="L100" s="341"/>
      <c r="M100" s="341"/>
      <c r="N100" s="341"/>
      <c r="O100" s="341"/>
      <c r="P100" s="341"/>
      <c r="Q100" s="341"/>
      <c r="R100" s="341"/>
      <c r="S100" s="341"/>
      <c r="T100" s="341"/>
      <c r="U100" s="341"/>
      <c r="V100" s="341"/>
      <c r="W100" s="341"/>
      <c r="X100" s="341"/>
      <c r="Y100" s="341"/>
      <c r="Z100" s="341"/>
      <c r="AA100" s="341"/>
      <c r="AB100" s="341"/>
      <c r="AC100" s="341"/>
      <c r="AD100" s="341"/>
      <c r="AE100" s="341"/>
      <c r="AF100" s="341"/>
      <c r="AG100" s="341"/>
      <c r="AH100" s="341"/>
      <c r="AI100" s="341"/>
      <c r="AJ100" s="341"/>
      <c r="AK100" s="341"/>
      <c r="AL100" s="341"/>
      <c r="AM100" s="341"/>
      <c r="AN100" s="341"/>
      <c r="AO100" s="341"/>
      <c r="AP100" s="341"/>
      <c r="AQ100" s="341"/>
      <c r="AR100" s="341"/>
      <c r="AS100" s="341"/>
      <c r="AT100" s="341"/>
      <c r="AU100" s="341"/>
      <c r="AV100" s="341"/>
    </row>
    <row r="101" spans="1:48" s="284" customFormat="1" ht="24.95" customHeight="1">
      <c r="A101" s="284" t="s">
        <v>4408</v>
      </c>
      <c r="C101" s="343" t="s">
        <v>4409</v>
      </c>
      <c r="I101" s="344"/>
      <c r="J101" s="344"/>
    </row>
    <row r="102" spans="1:48" s="345" customFormat="1" ht="24.95" customHeight="1">
      <c r="B102" s="346"/>
      <c r="C102" s="888" t="s">
        <v>4410</v>
      </c>
      <c r="D102" s="889"/>
      <c r="E102" s="889"/>
      <c r="F102" s="889"/>
      <c r="G102" s="889"/>
      <c r="H102" s="889"/>
      <c r="I102" s="889"/>
      <c r="J102" s="889"/>
      <c r="K102" s="889"/>
      <c r="L102" s="889"/>
      <c r="M102" s="889"/>
      <c r="N102" s="889"/>
      <c r="O102" s="889"/>
      <c r="P102" s="889"/>
      <c r="Q102" s="889"/>
      <c r="R102" s="889"/>
      <c r="S102" s="889"/>
      <c r="T102" s="889"/>
      <c r="U102" s="889"/>
      <c r="V102" s="889"/>
      <c r="W102" s="889"/>
      <c r="X102" s="889"/>
      <c r="Y102" s="889"/>
      <c r="Z102" s="889"/>
      <c r="AA102" s="889"/>
      <c r="AB102" s="889"/>
      <c r="AC102" s="889"/>
      <c r="AD102" s="889"/>
      <c r="AE102" s="889"/>
      <c r="AF102" s="889"/>
      <c r="AG102" s="889"/>
      <c r="AH102" s="889"/>
      <c r="AI102" s="889"/>
      <c r="AJ102" s="889"/>
      <c r="AK102" s="889"/>
      <c r="AL102" s="889"/>
      <c r="AM102" s="889"/>
      <c r="AN102" s="889"/>
      <c r="AO102" s="889"/>
      <c r="AP102" s="889"/>
      <c r="AQ102" s="889"/>
      <c r="AR102" s="889"/>
      <c r="AS102" s="889"/>
      <c r="AT102" s="889"/>
      <c r="AU102" s="889"/>
      <c r="AV102" s="889"/>
    </row>
    <row r="103" spans="1:48" s="345" customFormat="1" ht="26.25" customHeight="1">
      <c r="B103" s="346"/>
      <c r="C103" s="895" t="s">
        <v>4411</v>
      </c>
      <c r="D103" s="895"/>
      <c r="E103" s="895"/>
      <c r="F103" s="895"/>
      <c r="G103" s="895"/>
      <c r="H103" s="895"/>
      <c r="I103" s="895"/>
      <c r="J103" s="895"/>
      <c r="K103" s="895"/>
      <c r="L103" s="895"/>
      <c r="M103" s="895"/>
      <c r="N103" s="895"/>
      <c r="O103" s="895"/>
      <c r="P103" s="895"/>
      <c r="Q103" s="895"/>
      <c r="R103" s="895"/>
      <c r="S103" s="895"/>
      <c r="T103" s="895"/>
      <c r="U103" s="896"/>
      <c r="V103" s="896"/>
      <c r="W103" s="896"/>
      <c r="X103" s="896"/>
      <c r="Y103" s="896"/>
      <c r="Z103" s="896"/>
      <c r="AA103" s="897" t="s">
        <v>4412</v>
      </c>
      <c r="AB103" s="897"/>
      <c r="AC103" s="897"/>
      <c r="AD103" s="897"/>
      <c r="AE103" s="897"/>
      <c r="AF103" s="897"/>
      <c r="AG103" s="897"/>
      <c r="AH103" s="897"/>
      <c r="AI103" s="898"/>
      <c r="AJ103" s="898"/>
      <c r="AK103" s="898"/>
      <c r="AL103" s="898"/>
      <c r="AM103" s="898"/>
      <c r="AN103" s="898"/>
      <c r="AO103" s="898"/>
      <c r="AP103" s="898"/>
      <c r="AQ103" s="898"/>
      <c r="AR103" s="898"/>
      <c r="AS103" s="323" t="s">
        <v>4413</v>
      </c>
      <c r="AT103" s="323"/>
      <c r="AU103" s="323"/>
      <c r="AV103" s="323"/>
    </row>
    <row r="104" spans="1:48" s="348" customFormat="1" ht="18" customHeight="1">
      <c r="B104" s="349"/>
      <c r="C104" s="899" t="s">
        <v>4414</v>
      </c>
      <c r="D104" s="899"/>
      <c r="E104" s="899"/>
      <c r="F104" s="899"/>
      <c r="G104" s="899"/>
      <c r="H104" s="899"/>
      <c r="I104" s="899"/>
      <c r="J104" s="899"/>
      <c r="K104" s="899"/>
      <c r="L104" s="899"/>
      <c r="M104" s="899"/>
      <c r="N104" s="899"/>
      <c r="O104" s="900"/>
      <c r="P104" s="900"/>
      <c r="Q104" s="900"/>
      <c r="R104" s="900"/>
      <c r="S104" s="900"/>
      <c r="T104" s="900"/>
      <c r="U104" s="900"/>
      <c r="V104" s="323" t="s">
        <v>4415</v>
      </c>
      <c r="W104" s="350"/>
      <c r="X104" s="323"/>
      <c r="Y104" s="350"/>
      <c r="Z104" s="323"/>
      <c r="AA104" s="350"/>
      <c r="AB104" s="350"/>
      <c r="AC104" s="323"/>
      <c r="AD104" s="323"/>
      <c r="AE104" s="323"/>
      <c r="AF104" s="323"/>
      <c r="AG104" s="323"/>
      <c r="AH104" s="323"/>
      <c r="AI104" s="323"/>
      <c r="AJ104" s="323"/>
      <c r="AK104" s="323"/>
      <c r="AL104" s="323"/>
      <c r="AM104" s="323"/>
      <c r="AN104" s="323"/>
      <c r="AO104" s="351"/>
      <c r="AP104" s="323"/>
      <c r="AQ104" s="323"/>
      <c r="AR104" s="323"/>
      <c r="AS104" s="323"/>
      <c r="AT104" s="323"/>
      <c r="AU104" s="323"/>
      <c r="AV104" s="323"/>
    </row>
    <row r="105" spans="1:48" s="345" customFormat="1" ht="25.5" customHeight="1">
      <c r="B105" s="346"/>
      <c r="C105" s="886" t="s">
        <v>4416</v>
      </c>
      <c r="D105" s="887"/>
      <c r="E105" s="887"/>
      <c r="F105" s="887"/>
      <c r="G105" s="887"/>
      <c r="H105" s="887"/>
      <c r="I105" s="887"/>
      <c r="J105" s="887"/>
      <c r="K105" s="887"/>
      <c r="L105" s="887"/>
      <c r="M105" s="887"/>
      <c r="N105" s="887"/>
      <c r="O105" s="887"/>
      <c r="P105" s="887"/>
      <c r="Q105" s="887"/>
      <c r="R105" s="887"/>
      <c r="S105" s="887"/>
      <c r="T105" s="887"/>
      <c r="U105" s="887"/>
      <c r="V105" s="887"/>
      <c r="W105" s="887"/>
      <c r="X105" s="887"/>
      <c r="Y105" s="887"/>
      <c r="Z105" s="887"/>
      <c r="AA105" s="887"/>
      <c r="AB105" s="887"/>
      <c r="AC105" s="887"/>
      <c r="AD105" s="887"/>
      <c r="AE105" s="887"/>
      <c r="AF105" s="887"/>
      <c r="AG105" s="887"/>
      <c r="AH105" s="887"/>
      <c r="AI105" s="887"/>
      <c r="AJ105" s="887"/>
      <c r="AK105" s="887"/>
      <c r="AL105" s="887"/>
      <c r="AM105" s="887"/>
      <c r="AN105" s="887"/>
      <c r="AO105" s="887"/>
      <c r="AP105" s="887"/>
      <c r="AQ105" s="887"/>
      <c r="AR105" s="887"/>
      <c r="AS105" s="887"/>
      <c r="AT105" s="887"/>
      <c r="AU105" s="887"/>
      <c r="AV105" s="887"/>
    </row>
    <row r="106" spans="1:48" s="345" customFormat="1" ht="27" customHeight="1">
      <c r="B106" s="346"/>
      <c r="C106" s="888" t="s">
        <v>4417</v>
      </c>
      <c r="D106" s="889"/>
      <c r="E106" s="889"/>
      <c r="F106" s="889"/>
      <c r="G106" s="889"/>
      <c r="H106" s="889"/>
      <c r="I106" s="889"/>
      <c r="J106" s="889"/>
      <c r="K106" s="889"/>
      <c r="L106" s="889"/>
      <c r="M106" s="889"/>
      <c r="N106" s="889"/>
      <c r="O106" s="889"/>
      <c r="P106" s="889"/>
      <c r="Q106" s="889"/>
      <c r="R106" s="889"/>
      <c r="S106" s="889"/>
      <c r="T106" s="889"/>
      <c r="U106" s="889"/>
      <c r="V106" s="889"/>
      <c r="W106" s="889"/>
      <c r="X106" s="889"/>
      <c r="Y106" s="889"/>
      <c r="Z106" s="889"/>
      <c r="AA106" s="889"/>
      <c r="AB106" s="889"/>
      <c r="AC106" s="889"/>
      <c r="AD106" s="889"/>
      <c r="AE106" s="889"/>
      <c r="AF106" s="889"/>
      <c r="AG106" s="889"/>
      <c r="AH106" s="889"/>
      <c r="AI106" s="889"/>
      <c r="AJ106" s="889"/>
      <c r="AK106" s="889"/>
      <c r="AL106" s="889"/>
      <c r="AM106" s="889"/>
      <c r="AN106" s="889"/>
      <c r="AO106" s="889"/>
      <c r="AP106" s="889"/>
      <c r="AQ106" s="889"/>
      <c r="AR106" s="889"/>
      <c r="AS106" s="889"/>
      <c r="AT106" s="889"/>
      <c r="AU106" s="889"/>
      <c r="AV106" s="889"/>
    </row>
    <row r="107" spans="1:48" s="284" customFormat="1" ht="22.5" customHeight="1">
      <c r="A107" s="284" t="s">
        <v>4418</v>
      </c>
      <c r="C107" s="890" t="s">
        <v>4176</v>
      </c>
      <c r="D107" s="890"/>
      <c r="E107" s="890"/>
      <c r="F107" s="890"/>
      <c r="G107" s="890"/>
      <c r="H107" s="890"/>
      <c r="I107" s="890"/>
      <c r="J107" s="890"/>
      <c r="K107" s="890"/>
      <c r="L107" s="890"/>
      <c r="M107" s="890"/>
      <c r="N107" s="890"/>
      <c r="O107" s="890"/>
      <c r="P107" s="890"/>
      <c r="Q107" s="890"/>
      <c r="R107" s="890"/>
      <c r="S107" s="890"/>
      <c r="T107" s="890"/>
      <c r="U107" s="890"/>
      <c r="V107" s="890"/>
      <c r="W107" s="890"/>
      <c r="X107" s="890"/>
      <c r="Y107" s="890"/>
      <c r="Z107" s="890"/>
      <c r="AA107" s="890"/>
      <c r="AB107" s="890"/>
      <c r="AC107" s="890"/>
      <c r="AD107" s="890"/>
      <c r="AE107" s="890"/>
      <c r="AF107" s="890"/>
      <c r="AG107" s="890"/>
      <c r="AH107" s="890"/>
      <c r="AI107" s="890"/>
      <c r="AJ107" s="890"/>
      <c r="AK107" s="890"/>
      <c r="AL107" s="890"/>
      <c r="AM107" s="890"/>
      <c r="AN107" s="890"/>
      <c r="AO107" s="890"/>
      <c r="AP107" s="890"/>
      <c r="AQ107" s="890"/>
      <c r="AR107" s="890"/>
      <c r="AS107" s="890"/>
      <c r="AT107" s="890"/>
      <c r="AU107" s="890"/>
      <c r="AV107" s="890"/>
    </row>
    <row r="108" spans="1:48" ht="13.5">
      <c r="A108" s="891">
        <v>1</v>
      </c>
      <c r="B108" s="892"/>
      <c r="C108" s="355" t="s">
        <v>4419</v>
      </c>
      <c r="D108" s="355"/>
    </row>
    <row r="109" spans="1:48" ht="12.95" customHeight="1">
      <c r="C109" s="261" t="s">
        <v>4420</v>
      </c>
    </row>
    <row r="110" spans="1:48" ht="17.100000000000001" customHeight="1">
      <c r="C110" s="356" t="s">
        <v>4421</v>
      </c>
      <c r="O110" s="357" t="s">
        <v>4359</v>
      </c>
    </row>
    <row r="111" spans="1:48" ht="27" customHeight="1">
      <c r="C111" s="893"/>
      <c r="D111" s="887"/>
      <c r="E111" s="887"/>
      <c r="F111" s="887"/>
      <c r="G111" s="887"/>
      <c r="H111" s="887"/>
      <c r="I111" s="887"/>
      <c r="J111" s="887"/>
      <c r="K111" s="887"/>
      <c r="L111" s="887"/>
      <c r="M111" s="887"/>
      <c r="N111" s="887"/>
      <c r="O111" s="887"/>
      <c r="P111" s="887"/>
      <c r="Q111" s="887"/>
      <c r="R111" s="887"/>
      <c r="S111" s="887"/>
      <c r="T111" s="887"/>
      <c r="U111" s="894"/>
      <c r="V111" s="894"/>
      <c r="W111" s="894"/>
      <c r="X111" s="894"/>
      <c r="Y111" s="894"/>
      <c r="Z111" s="894"/>
      <c r="AA111" s="894"/>
      <c r="AB111" s="894"/>
      <c r="AC111" s="894"/>
      <c r="AD111" s="894"/>
      <c r="AE111" s="894"/>
      <c r="AF111" s="894"/>
      <c r="AG111" s="894"/>
      <c r="AH111" s="894"/>
      <c r="AI111" s="894"/>
      <c r="AJ111" s="894"/>
      <c r="AK111" s="894"/>
      <c r="AL111" s="894"/>
      <c r="AM111" s="894"/>
      <c r="AN111" s="894"/>
      <c r="AO111" s="894"/>
      <c r="AP111" s="894"/>
      <c r="AQ111" s="894"/>
      <c r="AR111" s="894"/>
      <c r="AS111" s="894"/>
      <c r="AT111" s="894"/>
      <c r="AU111" s="894"/>
      <c r="AV111" s="894"/>
    </row>
    <row r="112" spans="1:48" ht="17.100000000000001" customHeight="1">
      <c r="C112" s="356" t="s">
        <v>4422</v>
      </c>
      <c r="N112" s="284" t="s">
        <v>4359</v>
      </c>
      <c r="O112" s="357"/>
    </row>
    <row r="113" spans="1:48" ht="27" customHeight="1">
      <c r="C113" s="893"/>
      <c r="D113" s="887"/>
      <c r="E113" s="887"/>
      <c r="F113" s="887"/>
      <c r="G113" s="887"/>
      <c r="H113" s="887"/>
      <c r="I113" s="887"/>
      <c r="J113" s="887"/>
      <c r="K113" s="887"/>
      <c r="L113" s="887"/>
      <c r="M113" s="887"/>
      <c r="N113" s="887"/>
      <c r="O113" s="887"/>
      <c r="P113" s="887"/>
      <c r="Q113" s="887"/>
      <c r="R113" s="887"/>
      <c r="S113" s="887"/>
      <c r="T113" s="887"/>
      <c r="U113" s="894"/>
      <c r="V113" s="894"/>
      <c r="W113" s="894"/>
      <c r="X113" s="894"/>
      <c r="Y113" s="894"/>
      <c r="Z113" s="894"/>
      <c r="AA113" s="894"/>
      <c r="AB113" s="894"/>
      <c r="AC113" s="894"/>
      <c r="AD113" s="894"/>
      <c r="AE113" s="894"/>
      <c r="AF113" s="894"/>
      <c r="AG113" s="894"/>
      <c r="AH113" s="894"/>
      <c r="AI113" s="894"/>
      <c r="AJ113" s="894"/>
      <c r="AK113" s="894"/>
      <c r="AL113" s="894"/>
      <c r="AM113" s="894"/>
      <c r="AN113" s="894"/>
      <c r="AO113" s="894"/>
      <c r="AP113" s="894"/>
      <c r="AQ113" s="894"/>
      <c r="AR113" s="894"/>
      <c r="AS113" s="894"/>
      <c r="AT113" s="894"/>
      <c r="AU113" s="894"/>
      <c r="AV113" s="894"/>
    </row>
    <row r="114" spans="1:48" ht="17.100000000000001" customHeight="1">
      <c r="C114" s="356" t="s">
        <v>4423</v>
      </c>
      <c r="P114" s="357" t="s">
        <v>4359</v>
      </c>
    </row>
    <row r="115" spans="1:48" ht="27" customHeight="1">
      <c r="C115" s="893"/>
      <c r="D115" s="887"/>
      <c r="E115" s="887"/>
      <c r="F115" s="887"/>
      <c r="G115" s="887"/>
      <c r="H115" s="887"/>
      <c r="I115" s="887"/>
      <c r="J115" s="887"/>
      <c r="K115" s="887"/>
      <c r="L115" s="887"/>
      <c r="M115" s="887"/>
      <c r="N115" s="887"/>
      <c r="O115" s="887"/>
      <c r="P115" s="887"/>
      <c r="Q115" s="887"/>
      <c r="R115" s="887"/>
      <c r="S115" s="887"/>
      <c r="T115" s="887"/>
      <c r="U115" s="894"/>
      <c r="V115" s="894"/>
      <c r="W115" s="894"/>
      <c r="X115" s="894"/>
      <c r="Y115" s="894"/>
      <c r="Z115" s="894"/>
      <c r="AA115" s="894"/>
      <c r="AB115" s="894"/>
      <c r="AC115" s="894"/>
      <c r="AD115" s="894"/>
      <c r="AE115" s="894"/>
      <c r="AF115" s="894"/>
      <c r="AG115" s="894"/>
      <c r="AH115" s="894"/>
      <c r="AI115" s="894"/>
      <c r="AJ115" s="894"/>
      <c r="AK115" s="894"/>
      <c r="AL115" s="894"/>
      <c r="AM115" s="894"/>
      <c r="AN115" s="894"/>
      <c r="AO115" s="894"/>
      <c r="AP115" s="894"/>
      <c r="AQ115" s="894"/>
      <c r="AR115" s="894"/>
      <c r="AS115" s="894"/>
      <c r="AT115" s="894"/>
      <c r="AU115" s="894"/>
      <c r="AV115" s="894"/>
    </row>
    <row r="116" spans="1:48" ht="22.5" customHeight="1">
      <c r="A116" s="891">
        <f>1+A108</f>
        <v>2</v>
      </c>
      <c r="B116" s="892"/>
      <c r="C116" s="355" t="s">
        <v>4424</v>
      </c>
      <c r="D116" s="355"/>
      <c r="S116" s="284"/>
      <c r="T116" s="284"/>
    </row>
    <row r="117" spans="1:48">
      <c r="C117" s="753"/>
      <c r="D117" s="889"/>
      <c r="E117" s="889"/>
      <c r="F117" s="889"/>
      <c r="G117" s="889"/>
      <c r="H117" s="889"/>
      <c r="I117" s="889"/>
      <c r="J117" s="889"/>
      <c r="K117" s="889"/>
      <c r="L117" s="889"/>
      <c r="M117" s="889"/>
      <c r="N117" s="889"/>
      <c r="O117" s="889"/>
      <c r="P117" s="889"/>
      <c r="Q117" s="889"/>
      <c r="R117" s="889"/>
      <c r="S117" s="889"/>
      <c r="T117" s="889"/>
      <c r="U117" s="910"/>
      <c r="V117" s="910"/>
      <c r="W117" s="910"/>
      <c r="X117" s="910"/>
      <c r="Y117" s="910"/>
      <c r="Z117" s="910"/>
      <c r="AA117" s="910"/>
      <c r="AB117" s="910"/>
      <c r="AC117" s="910"/>
      <c r="AD117" s="910"/>
      <c r="AE117" s="910"/>
      <c r="AF117" s="910"/>
      <c r="AG117" s="910"/>
      <c r="AH117" s="910"/>
      <c r="AI117" s="910"/>
      <c r="AJ117" s="910"/>
      <c r="AK117" s="910"/>
      <c r="AL117" s="910"/>
      <c r="AM117" s="910"/>
      <c r="AN117" s="910"/>
      <c r="AO117" s="910"/>
      <c r="AP117" s="910"/>
      <c r="AQ117" s="910"/>
      <c r="AR117" s="910"/>
      <c r="AS117" s="910"/>
      <c r="AT117" s="910"/>
      <c r="AU117" s="910"/>
      <c r="AV117" s="910"/>
    </row>
    <row r="118" spans="1:48" ht="15" customHeight="1">
      <c r="A118" s="353"/>
      <c r="B118" s="354"/>
      <c r="C118" s="917" t="s">
        <v>4425</v>
      </c>
      <c r="D118" s="917"/>
      <c r="E118" s="917"/>
      <c r="F118" s="917"/>
      <c r="G118" s="917"/>
      <c r="H118" s="359" t="s">
        <v>4359</v>
      </c>
      <c r="I118" s="347"/>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347"/>
      <c r="AH118" s="347"/>
      <c r="AI118" s="347"/>
      <c r="AJ118" s="347"/>
      <c r="AK118" s="347"/>
      <c r="AL118" s="347"/>
      <c r="AM118" s="347"/>
      <c r="AN118" s="347"/>
      <c r="AO118" s="347"/>
      <c r="AP118" s="347"/>
      <c r="AQ118" s="347"/>
      <c r="AR118" s="347"/>
      <c r="AS118" s="347"/>
      <c r="AT118" s="347"/>
      <c r="AU118" s="347"/>
      <c r="AV118" s="347"/>
    </row>
    <row r="119" spans="1:48" s="363" customFormat="1" ht="15" customHeight="1">
      <c r="A119" s="360"/>
      <c r="B119" s="361"/>
      <c r="C119" s="912"/>
      <c r="D119" s="912"/>
      <c r="E119" s="912"/>
      <c r="F119" s="912"/>
      <c r="G119" s="912"/>
      <c r="H119" s="912"/>
      <c r="I119" s="912"/>
      <c r="J119" s="912"/>
      <c r="K119" s="912"/>
      <c r="L119" s="912"/>
      <c r="M119" s="912"/>
      <c r="N119" s="912"/>
      <c r="O119" s="912"/>
      <c r="P119" s="912"/>
      <c r="Q119" s="912"/>
      <c r="R119" s="912"/>
      <c r="S119" s="912"/>
      <c r="T119" s="912"/>
      <c r="U119" s="912"/>
      <c r="V119" s="912"/>
      <c r="W119" s="912"/>
      <c r="X119" s="912"/>
      <c r="Y119" s="912"/>
      <c r="Z119" s="912"/>
      <c r="AA119" s="912"/>
      <c r="AB119" s="912"/>
      <c r="AC119" s="912"/>
      <c r="AD119" s="912"/>
      <c r="AE119" s="912"/>
      <c r="AF119" s="912"/>
      <c r="AG119" s="912"/>
      <c r="AH119" s="912"/>
      <c r="AI119" s="912"/>
      <c r="AJ119" s="912"/>
      <c r="AK119" s="912"/>
      <c r="AL119" s="912"/>
      <c r="AM119" s="912"/>
      <c r="AN119" s="912"/>
      <c r="AO119" s="362"/>
      <c r="AP119" s="362" t="s">
        <v>4426</v>
      </c>
      <c r="AQ119" s="913"/>
      <c r="AR119" s="913"/>
      <c r="AS119" s="913"/>
      <c r="AT119" s="913"/>
      <c r="AU119" s="912" t="s">
        <v>4427</v>
      </c>
      <c r="AV119" s="912"/>
    </row>
    <row r="120" spans="1:48" s="363" customFormat="1" ht="15" customHeight="1">
      <c r="A120" s="360"/>
      <c r="B120" s="361"/>
      <c r="C120" s="911" t="s">
        <v>4428</v>
      </c>
      <c r="D120" s="911"/>
      <c r="E120" s="911"/>
      <c r="F120" s="911"/>
      <c r="G120" s="911"/>
      <c r="H120" s="364" t="s">
        <v>4359</v>
      </c>
      <c r="I120" s="362"/>
      <c r="J120" s="362"/>
      <c r="K120" s="362"/>
      <c r="L120" s="362"/>
      <c r="M120" s="362"/>
      <c r="N120" s="362"/>
      <c r="O120" s="362"/>
      <c r="P120" s="362"/>
      <c r="Q120" s="362"/>
      <c r="R120" s="362"/>
      <c r="S120" s="362"/>
      <c r="T120" s="362"/>
      <c r="U120" s="362"/>
      <c r="V120" s="362"/>
      <c r="W120" s="362"/>
      <c r="X120" s="362"/>
      <c r="Y120" s="362"/>
      <c r="Z120" s="362"/>
      <c r="AA120" s="362"/>
      <c r="AB120" s="362"/>
      <c r="AC120" s="362"/>
      <c r="AD120" s="362"/>
      <c r="AE120" s="362"/>
      <c r="AF120" s="362"/>
      <c r="AG120" s="362"/>
      <c r="AH120" s="362"/>
      <c r="AI120" s="362"/>
      <c r="AJ120" s="362"/>
      <c r="AK120" s="362"/>
      <c r="AL120" s="362"/>
      <c r="AM120" s="362"/>
      <c r="AN120" s="362"/>
      <c r="AO120" s="362"/>
      <c r="AP120" s="362"/>
      <c r="AQ120" s="362"/>
      <c r="AR120" s="362"/>
      <c r="AS120" s="362"/>
      <c r="AT120" s="362"/>
      <c r="AU120" s="362"/>
      <c r="AV120" s="362"/>
    </row>
    <row r="121" spans="1:48" s="363" customFormat="1" ht="15" customHeight="1">
      <c r="A121" s="360"/>
      <c r="B121" s="361"/>
      <c r="C121" s="912"/>
      <c r="D121" s="912"/>
      <c r="E121" s="912"/>
      <c r="F121" s="912"/>
      <c r="G121" s="912"/>
      <c r="H121" s="912"/>
      <c r="I121" s="912"/>
      <c r="J121" s="912"/>
      <c r="K121" s="912"/>
      <c r="L121" s="912"/>
      <c r="M121" s="912"/>
      <c r="N121" s="912"/>
      <c r="O121" s="912"/>
      <c r="P121" s="912"/>
      <c r="Q121" s="912"/>
      <c r="R121" s="912"/>
      <c r="S121" s="912"/>
      <c r="T121" s="912"/>
      <c r="U121" s="912"/>
      <c r="V121" s="912"/>
      <c r="W121" s="912"/>
      <c r="X121" s="912"/>
      <c r="Y121" s="912"/>
      <c r="Z121" s="912"/>
      <c r="AA121" s="912"/>
      <c r="AB121" s="912"/>
      <c r="AC121" s="912"/>
      <c r="AD121" s="912"/>
      <c r="AE121" s="912"/>
      <c r="AF121" s="912"/>
      <c r="AG121" s="912"/>
      <c r="AH121" s="912"/>
      <c r="AI121" s="912"/>
      <c r="AJ121" s="912"/>
      <c r="AK121" s="912"/>
      <c r="AL121" s="912"/>
      <c r="AM121" s="912"/>
      <c r="AN121" s="912"/>
      <c r="AO121" s="362"/>
      <c r="AP121" s="362" t="s">
        <v>4426</v>
      </c>
      <c r="AQ121" s="913"/>
      <c r="AR121" s="913"/>
      <c r="AS121" s="913"/>
      <c r="AT121" s="913"/>
      <c r="AU121" s="912" t="s">
        <v>4427</v>
      </c>
      <c r="AV121" s="912"/>
    </row>
    <row r="122" spans="1:48" s="363" customFormat="1" ht="15" customHeight="1">
      <c r="A122" s="360"/>
      <c r="B122" s="361"/>
      <c r="C122" s="911" t="s">
        <v>4429</v>
      </c>
      <c r="D122" s="911"/>
      <c r="E122" s="911"/>
      <c r="F122" s="911"/>
      <c r="G122" s="911"/>
      <c r="H122" s="916"/>
      <c r="I122" s="916"/>
      <c r="J122" s="364" t="s">
        <v>4359</v>
      </c>
      <c r="K122" s="362"/>
      <c r="L122" s="362"/>
      <c r="M122" s="362"/>
      <c r="N122" s="362"/>
      <c r="O122" s="362"/>
      <c r="P122" s="362"/>
      <c r="Q122" s="362"/>
      <c r="R122" s="362"/>
      <c r="S122" s="362"/>
      <c r="T122" s="362"/>
      <c r="U122" s="362"/>
      <c r="V122" s="362"/>
      <c r="W122" s="362"/>
      <c r="X122" s="362"/>
      <c r="Y122" s="362"/>
      <c r="Z122" s="362"/>
      <c r="AA122" s="362"/>
      <c r="AB122" s="362"/>
      <c r="AC122" s="362"/>
      <c r="AD122" s="362"/>
      <c r="AE122" s="362"/>
      <c r="AF122" s="362"/>
      <c r="AG122" s="362"/>
      <c r="AH122" s="362"/>
      <c r="AI122" s="362"/>
      <c r="AJ122" s="362"/>
      <c r="AK122" s="362"/>
      <c r="AL122" s="362"/>
      <c r="AM122" s="362"/>
      <c r="AN122" s="362"/>
      <c r="AO122" s="362"/>
      <c r="AP122" s="362"/>
      <c r="AQ122" s="362"/>
      <c r="AR122" s="362"/>
      <c r="AS122" s="362"/>
      <c r="AT122" s="362"/>
      <c r="AU122" s="362"/>
      <c r="AV122" s="362"/>
    </row>
    <row r="123" spans="1:48" s="363" customFormat="1" ht="25.5" customHeight="1">
      <c r="A123" s="360"/>
      <c r="B123" s="361"/>
      <c r="C123" s="912"/>
      <c r="D123" s="912"/>
      <c r="E123" s="912"/>
      <c r="F123" s="912"/>
      <c r="G123" s="912"/>
      <c r="H123" s="912"/>
      <c r="I123" s="912"/>
      <c r="J123" s="912"/>
      <c r="K123" s="912"/>
      <c r="L123" s="912"/>
      <c r="M123" s="912"/>
      <c r="N123" s="912"/>
      <c r="O123" s="912"/>
      <c r="P123" s="912"/>
      <c r="Q123" s="912"/>
      <c r="R123" s="912"/>
      <c r="S123" s="912"/>
      <c r="T123" s="912"/>
      <c r="U123" s="912"/>
      <c r="V123" s="912"/>
      <c r="W123" s="912"/>
      <c r="X123" s="912"/>
      <c r="Y123" s="912"/>
      <c r="Z123" s="912"/>
      <c r="AA123" s="912"/>
      <c r="AB123" s="912"/>
      <c r="AC123" s="912"/>
      <c r="AD123" s="912"/>
      <c r="AE123" s="912"/>
      <c r="AF123" s="912"/>
      <c r="AG123" s="912"/>
      <c r="AH123" s="912"/>
      <c r="AI123" s="912"/>
      <c r="AJ123" s="912"/>
      <c r="AK123" s="912"/>
      <c r="AL123" s="912"/>
      <c r="AM123" s="912"/>
      <c r="AN123" s="912"/>
      <c r="AO123" s="362"/>
      <c r="AP123" s="362" t="s">
        <v>4426</v>
      </c>
      <c r="AQ123" s="913"/>
      <c r="AR123" s="913"/>
      <c r="AS123" s="913"/>
      <c r="AT123" s="913"/>
      <c r="AU123" s="912" t="s">
        <v>4427</v>
      </c>
      <c r="AV123" s="912"/>
    </row>
    <row r="124" spans="1:48" s="363" customFormat="1" ht="15" customHeight="1">
      <c r="A124" s="360"/>
      <c r="B124" s="361"/>
      <c r="C124" s="911" t="s">
        <v>4430</v>
      </c>
      <c r="D124" s="911"/>
      <c r="E124" s="911"/>
      <c r="F124" s="911"/>
      <c r="G124" s="911"/>
      <c r="H124" s="364" t="s">
        <v>4359</v>
      </c>
      <c r="I124" s="362"/>
      <c r="J124" s="362"/>
      <c r="K124" s="362"/>
      <c r="L124" s="362"/>
      <c r="M124" s="362"/>
      <c r="N124" s="362"/>
      <c r="O124" s="362"/>
      <c r="P124" s="362"/>
      <c r="Q124" s="362"/>
      <c r="R124" s="362"/>
      <c r="S124" s="362"/>
      <c r="T124" s="362"/>
      <c r="U124" s="362"/>
      <c r="V124" s="362"/>
      <c r="W124" s="362"/>
      <c r="X124" s="362"/>
      <c r="Y124" s="362"/>
      <c r="Z124" s="362"/>
      <c r="AA124" s="362"/>
      <c r="AB124" s="362"/>
      <c r="AC124" s="362"/>
      <c r="AD124" s="362"/>
      <c r="AE124" s="362"/>
      <c r="AF124" s="362"/>
      <c r="AG124" s="362"/>
      <c r="AH124" s="362"/>
      <c r="AI124" s="362"/>
      <c r="AJ124" s="362"/>
      <c r="AK124" s="362"/>
      <c r="AL124" s="362"/>
      <c r="AM124" s="362"/>
      <c r="AN124" s="362"/>
      <c r="AO124" s="362"/>
      <c r="AP124" s="362"/>
      <c r="AQ124" s="362"/>
      <c r="AR124" s="362"/>
      <c r="AS124" s="362"/>
      <c r="AT124" s="362"/>
      <c r="AU124" s="362"/>
      <c r="AV124" s="362"/>
    </row>
    <row r="125" spans="1:48" s="363" customFormat="1" ht="15" customHeight="1">
      <c r="A125" s="360"/>
      <c r="B125" s="361"/>
      <c r="C125" s="912"/>
      <c r="D125" s="912"/>
      <c r="E125" s="912"/>
      <c r="F125" s="912"/>
      <c r="G125" s="912"/>
      <c r="H125" s="912"/>
      <c r="I125" s="912"/>
      <c r="J125" s="912"/>
      <c r="K125" s="912"/>
      <c r="L125" s="912"/>
      <c r="M125" s="912"/>
      <c r="N125" s="912"/>
      <c r="O125" s="912"/>
      <c r="P125" s="912"/>
      <c r="Q125" s="912"/>
      <c r="R125" s="912"/>
      <c r="S125" s="912"/>
      <c r="T125" s="912"/>
      <c r="U125" s="912"/>
      <c r="V125" s="912"/>
      <c r="W125" s="912"/>
      <c r="X125" s="912"/>
      <c r="Y125" s="912"/>
      <c r="Z125" s="912"/>
      <c r="AA125" s="912"/>
      <c r="AB125" s="912"/>
      <c r="AC125" s="912"/>
      <c r="AD125" s="912"/>
      <c r="AE125" s="912"/>
      <c r="AF125" s="912"/>
      <c r="AG125" s="912"/>
      <c r="AH125" s="912"/>
      <c r="AI125" s="912"/>
      <c r="AJ125" s="912"/>
      <c r="AK125" s="912"/>
      <c r="AL125" s="912"/>
      <c r="AM125" s="912"/>
      <c r="AN125" s="912"/>
      <c r="AO125" s="362"/>
      <c r="AP125" s="362" t="s">
        <v>4426</v>
      </c>
      <c r="AQ125" s="913"/>
      <c r="AR125" s="913"/>
      <c r="AS125" s="913"/>
      <c r="AT125" s="913"/>
      <c r="AU125" s="912" t="s">
        <v>4427</v>
      </c>
      <c r="AV125" s="912"/>
    </row>
    <row r="126" spans="1:48" ht="15.75" customHeight="1" thickBot="1">
      <c r="A126" s="353"/>
      <c r="B126" s="354"/>
      <c r="C126" s="914" t="s">
        <v>4431</v>
      </c>
      <c r="D126" s="914"/>
      <c r="E126" s="914"/>
      <c r="F126" s="914"/>
      <c r="G126" s="914"/>
      <c r="H126" s="914"/>
      <c r="I126" s="914"/>
      <c r="J126" s="914"/>
      <c r="K126" s="914"/>
      <c r="L126" s="914"/>
      <c r="M126" s="914"/>
      <c r="N126" s="914"/>
      <c r="O126" s="914"/>
      <c r="P126" s="914"/>
      <c r="Q126" s="914"/>
      <c r="R126" s="914"/>
      <c r="S126" s="914"/>
      <c r="T126" s="366"/>
      <c r="U126" s="366"/>
      <c r="V126" s="366"/>
      <c r="W126" s="366"/>
      <c r="X126" s="366"/>
      <c r="Y126" s="366"/>
      <c r="Z126" s="366"/>
      <c r="AA126" s="366"/>
      <c r="AB126" s="366"/>
      <c r="AC126" s="366"/>
      <c r="AD126" s="366"/>
      <c r="AE126" s="366"/>
      <c r="AF126" s="366"/>
      <c r="AG126" s="366"/>
      <c r="AH126" s="366"/>
      <c r="AI126" s="366"/>
      <c r="AJ126" s="366"/>
      <c r="AK126" s="366"/>
      <c r="AL126" s="366"/>
      <c r="AM126" s="366"/>
      <c r="AN126" s="366"/>
      <c r="AO126" s="366"/>
      <c r="AP126" s="365" t="s">
        <v>4426</v>
      </c>
      <c r="AQ126" s="915">
        <f>SUM(AQ119:AT125)</f>
        <v>0</v>
      </c>
      <c r="AR126" s="915"/>
      <c r="AS126" s="915"/>
      <c r="AT126" s="915"/>
      <c r="AU126" s="914" t="s">
        <v>4427</v>
      </c>
      <c r="AV126" s="914"/>
    </row>
    <row r="127" spans="1:48" ht="26.25" customHeight="1" thickTop="1">
      <c r="A127" s="891">
        <f>1+A116</f>
        <v>3</v>
      </c>
      <c r="B127" s="892"/>
      <c r="C127" s="355" t="s">
        <v>4432</v>
      </c>
      <c r="D127" s="355"/>
      <c r="F127" s="367"/>
      <c r="N127" s="368"/>
      <c r="O127" s="368" t="s">
        <v>4433</v>
      </c>
      <c r="P127" s="284"/>
    </row>
    <row r="128" spans="1:48" ht="13.5">
      <c r="A128" s="353"/>
      <c r="B128" s="354"/>
      <c r="C128" s="261" t="s">
        <v>4434</v>
      </c>
      <c r="D128" s="355"/>
      <c r="F128" s="367"/>
      <c r="P128" s="284"/>
      <c r="AO128" s="928"/>
      <c r="AP128" s="910"/>
      <c r="AQ128" s="910"/>
      <c r="AR128" s="910"/>
      <c r="AS128" s="910"/>
      <c r="AT128" s="323" t="s">
        <v>10</v>
      </c>
    </row>
    <row r="129" spans="1:269" s="372" customFormat="1" ht="13.5">
      <c r="A129" s="370"/>
      <c r="B129" s="371"/>
      <c r="C129" s="372" t="s">
        <v>4435</v>
      </c>
      <c r="D129" s="373"/>
      <c r="F129" s="374"/>
      <c r="P129" s="375"/>
      <c r="AO129" s="376"/>
      <c r="AP129" s="929"/>
      <c r="AQ129" s="929"/>
      <c r="AR129" s="929"/>
      <c r="AS129" s="929"/>
      <c r="AT129" s="929"/>
      <c r="AW129" s="261"/>
      <c r="AX129" s="261"/>
      <c r="AY129" s="261"/>
      <c r="AZ129" s="261"/>
      <c r="BA129" s="261"/>
      <c r="BB129" s="261"/>
      <c r="BC129" s="261"/>
      <c r="BD129" s="261"/>
      <c r="BE129" s="261"/>
      <c r="BF129" s="261"/>
      <c r="BG129" s="261"/>
      <c r="BH129" s="261"/>
      <c r="BI129" s="261"/>
      <c r="BJ129" s="261"/>
      <c r="BK129" s="261"/>
      <c r="BL129" s="261"/>
      <c r="BM129" s="261"/>
      <c r="BN129" s="261"/>
      <c r="BO129" s="261"/>
      <c r="BP129" s="261"/>
      <c r="BQ129" s="261"/>
      <c r="BR129" s="261"/>
      <c r="BS129" s="261"/>
      <c r="BT129" s="261"/>
      <c r="BU129" s="261"/>
      <c r="BV129" s="261"/>
      <c r="BW129" s="261"/>
      <c r="BX129" s="261"/>
      <c r="BY129" s="261"/>
      <c r="BZ129" s="261"/>
      <c r="CA129" s="261"/>
      <c r="CB129" s="261"/>
      <c r="CC129" s="261"/>
      <c r="CD129" s="261"/>
      <c r="CE129" s="261"/>
      <c r="CF129" s="261"/>
      <c r="CG129" s="261"/>
      <c r="CH129" s="261"/>
      <c r="CI129" s="261"/>
      <c r="CJ129" s="261"/>
      <c r="CK129" s="261"/>
      <c r="CL129" s="261"/>
      <c r="CM129" s="261"/>
      <c r="CN129" s="261"/>
      <c r="CO129" s="261"/>
      <c r="CP129" s="261"/>
      <c r="CQ129" s="261"/>
      <c r="CR129" s="261"/>
      <c r="CS129" s="261"/>
      <c r="CT129" s="261"/>
      <c r="CU129" s="261"/>
      <c r="CV129" s="261"/>
      <c r="CW129" s="261"/>
      <c r="CX129" s="261"/>
      <c r="CY129" s="261"/>
      <c r="CZ129" s="261"/>
      <c r="DA129" s="261"/>
      <c r="DB129" s="261"/>
      <c r="DC129" s="261"/>
      <c r="DD129" s="261"/>
      <c r="DE129" s="261"/>
      <c r="DF129" s="261"/>
      <c r="DG129" s="261"/>
      <c r="DH129" s="261"/>
      <c r="DI129" s="261"/>
      <c r="DJ129" s="261"/>
      <c r="DK129" s="261"/>
      <c r="DL129" s="261"/>
      <c r="DM129" s="261"/>
      <c r="DN129" s="261"/>
      <c r="DO129" s="261"/>
      <c r="DP129" s="261"/>
      <c r="DQ129" s="261"/>
      <c r="DR129" s="261"/>
      <c r="DS129" s="261"/>
      <c r="DT129" s="261"/>
      <c r="DU129" s="261"/>
      <c r="DV129" s="261"/>
      <c r="DW129" s="261"/>
      <c r="DX129" s="261"/>
      <c r="DY129" s="261"/>
      <c r="DZ129" s="261"/>
      <c r="EA129" s="261"/>
      <c r="EB129" s="261"/>
      <c r="EC129" s="261"/>
      <c r="ED129" s="261"/>
      <c r="EE129" s="261"/>
      <c r="EF129" s="261"/>
      <c r="EG129" s="261"/>
      <c r="EH129" s="261"/>
      <c r="EI129" s="261"/>
      <c r="EJ129" s="261"/>
      <c r="EK129" s="261"/>
      <c r="EL129" s="261"/>
      <c r="EM129" s="261"/>
      <c r="EN129" s="261"/>
      <c r="EO129" s="261"/>
      <c r="EP129" s="261"/>
      <c r="EQ129" s="261"/>
      <c r="ER129" s="261"/>
      <c r="ES129" s="261"/>
      <c r="ET129" s="261"/>
      <c r="EU129" s="261"/>
      <c r="EV129" s="261"/>
      <c r="EW129" s="261"/>
      <c r="EX129" s="261"/>
      <c r="EY129" s="261"/>
      <c r="EZ129" s="261"/>
      <c r="FA129" s="261"/>
      <c r="FB129" s="261"/>
      <c r="FC129" s="261"/>
      <c r="FD129" s="261"/>
      <c r="FE129" s="261"/>
      <c r="FF129" s="261"/>
      <c r="FG129" s="261"/>
      <c r="FH129" s="261"/>
      <c r="FI129" s="261"/>
      <c r="FJ129" s="261"/>
      <c r="FK129" s="261"/>
      <c r="FL129" s="261"/>
      <c r="FM129" s="261"/>
      <c r="FN129" s="261"/>
      <c r="FO129" s="261"/>
      <c r="FP129" s="261"/>
      <c r="FQ129" s="261"/>
      <c r="FR129" s="261"/>
      <c r="FS129" s="261"/>
      <c r="FT129" s="261"/>
      <c r="FU129" s="261"/>
      <c r="FV129" s="261"/>
      <c r="FW129" s="261"/>
      <c r="FX129" s="261"/>
      <c r="FY129" s="261"/>
      <c r="FZ129" s="261"/>
      <c r="GA129" s="261"/>
      <c r="GB129" s="261"/>
      <c r="GC129" s="261"/>
      <c r="GD129" s="261"/>
      <c r="GE129" s="261"/>
      <c r="GF129" s="261"/>
      <c r="GG129" s="261"/>
      <c r="GH129" s="261"/>
      <c r="GI129" s="261"/>
      <c r="GJ129" s="261"/>
      <c r="GK129" s="261"/>
      <c r="GL129" s="261"/>
      <c r="GM129" s="261"/>
      <c r="GN129" s="261"/>
      <c r="GO129" s="261"/>
      <c r="GP129" s="261"/>
      <c r="GQ129" s="261"/>
      <c r="GR129" s="261"/>
      <c r="GS129" s="261"/>
      <c r="GT129" s="261"/>
      <c r="GU129" s="261"/>
      <c r="GV129" s="261"/>
      <c r="GW129" s="261"/>
      <c r="GX129" s="261"/>
      <c r="GY129" s="261"/>
      <c r="GZ129" s="261"/>
      <c r="HA129" s="261"/>
      <c r="HB129" s="261"/>
      <c r="HC129" s="261"/>
      <c r="HD129" s="261"/>
      <c r="HE129" s="261"/>
      <c r="HF129" s="261"/>
      <c r="HG129" s="261"/>
      <c r="HH129" s="261"/>
      <c r="HI129" s="261"/>
      <c r="HJ129" s="261"/>
      <c r="HK129" s="261"/>
      <c r="HL129" s="261"/>
      <c r="HM129" s="261"/>
      <c r="HN129" s="261"/>
      <c r="HO129" s="261"/>
      <c r="HP129" s="261"/>
      <c r="HQ129" s="261"/>
      <c r="HR129" s="261"/>
      <c r="HS129" s="261"/>
      <c r="HT129" s="261"/>
      <c r="HU129" s="261"/>
      <c r="HV129" s="261"/>
      <c r="HW129" s="261"/>
      <c r="HX129" s="261"/>
      <c r="HY129" s="261"/>
      <c r="HZ129" s="261"/>
      <c r="IA129" s="261"/>
      <c r="IB129" s="261"/>
      <c r="IC129" s="261"/>
      <c r="ID129" s="261"/>
      <c r="IE129" s="261"/>
      <c r="IF129" s="261"/>
      <c r="IG129" s="261"/>
      <c r="IH129" s="261"/>
      <c r="II129" s="261"/>
      <c r="IJ129" s="261"/>
      <c r="IK129" s="261"/>
      <c r="IL129" s="261"/>
      <c r="IM129" s="261"/>
      <c r="IN129" s="261"/>
      <c r="IO129" s="261"/>
      <c r="IP129" s="261"/>
      <c r="IQ129" s="261"/>
      <c r="IR129" s="261"/>
      <c r="IS129" s="261"/>
      <c r="IT129" s="261"/>
      <c r="IU129" s="261"/>
      <c r="IV129" s="261"/>
      <c r="IW129" s="261"/>
      <c r="IX129" s="261"/>
      <c r="IY129" s="261"/>
    </row>
    <row r="130" spans="1:269" s="382" customFormat="1" ht="14.25">
      <c r="A130" s="261"/>
      <c r="B130" s="261"/>
      <c r="C130" s="377" t="s">
        <v>4436</v>
      </c>
      <c r="D130" s="378"/>
      <c r="E130" s="378"/>
      <c r="F130" s="379"/>
      <c r="G130" s="378"/>
      <c r="H130" s="378"/>
      <c r="I130" s="378"/>
      <c r="J130" s="378"/>
      <c r="K130" s="380"/>
      <c r="L130" s="380"/>
      <c r="M130" s="380"/>
      <c r="N130" s="380"/>
      <c r="O130" s="380"/>
      <c r="P130" s="380"/>
      <c r="Q130" s="380"/>
      <c r="R130" s="380"/>
      <c r="S130" s="380"/>
      <c r="T130" s="380"/>
      <c r="U130" s="380"/>
      <c r="V130" s="380"/>
      <c r="W130" s="380"/>
      <c r="X130" s="380"/>
      <c r="Y130" s="380"/>
      <c r="Z130" s="380"/>
      <c r="AA130" s="380"/>
      <c r="AB130" s="380"/>
      <c r="AC130" s="380"/>
      <c r="AD130" s="380"/>
      <c r="AE130" s="380"/>
      <c r="AF130" s="380"/>
      <c r="AG130" s="380"/>
      <c r="AH130" s="380"/>
      <c r="AI130" s="380"/>
      <c r="AJ130" s="380"/>
      <c r="AK130" s="380"/>
      <c r="AL130" s="380" t="s">
        <v>4426</v>
      </c>
      <c r="AM130" s="380"/>
      <c r="AN130" s="380"/>
      <c r="AO130" s="925">
        <v>0</v>
      </c>
      <c r="AP130" s="926"/>
      <c r="AQ130" s="927"/>
      <c r="AR130" s="927"/>
      <c r="AS130" s="927"/>
      <c r="AT130" s="380" t="s">
        <v>4437</v>
      </c>
      <c r="AU130" s="381"/>
    </row>
    <row r="131" spans="1:269" ht="13.5">
      <c r="A131" s="353"/>
      <c r="B131" s="354"/>
      <c r="C131" s="261" t="s">
        <v>4438</v>
      </c>
      <c r="D131" s="355"/>
      <c r="F131" s="367"/>
      <c r="P131" s="284"/>
      <c r="AO131" s="369"/>
      <c r="AP131" s="924"/>
      <c r="AQ131" s="924"/>
      <c r="AR131" s="924"/>
      <c r="AS131" s="924"/>
      <c r="AT131" s="924"/>
    </row>
    <row r="132" spans="1:269" s="382" customFormat="1" ht="14.25">
      <c r="A132" s="261"/>
      <c r="B132" s="261"/>
      <c r="C132" s="383" t="s">
        <v>4439</v>
      </c>
      <c r="D132" s="380"/>
      <c r="E132" s="380"/>
      <c r="F132" s="384"/>
      <c r="G132" s="380"/>
      <c r="H132" s="380"/>
      <c r="I132" s="380"/>
      <c r="J132" s="380"/>
      <c r="K132" s="380"/>
      <c r="L132" s="380"/>
      <c r="M132" s="380"/>
      <c r="N132" s="380"/>
      <c r="O132" s="380"/>
      <c r="P132" s="380"/>
      <c r="Q132" s="380"/>
      <c r="R132" s="380"/>
      <c r="S132" s="380"/>
      <c r="T132" s="380"/>
      <c r="U132" s="380"/>
      <c r="V132" s="380"/>
      <c r="W132" s="380"/>
      <c r="X132" s="380"/>
      <c r="Y132" s="380"/>
      <c r="Z132" s="380"/>
      <c r="AA132" s="380"/>
      <c r="AB132" s="380"/>
      <c r="AC132" s="380"/>
      <c r="AD132" s="380"/>
      <c r="AE132" s="380"/>
      <c r="AF132" s="380"/>
      <c r="AG132" s="380"/>
      <c r="AH132" s="380"/>
      <c r="AI132" s="380"/>
      <c r="AJ132" s="380"/>
      <c r="AK132" s="380"/>
      <c r="AL132" s="380" t="s">
        <v>4426</v>
      </c>
      <c r="AM132" s="380"/>
      <c r="AN132" s="380"/>
      <c r="AO132" s="925">
        <v>0</v>
      </c>
      <c r="AP132" s="926"/>
      <c r="AQ132" s="927"/>
      <c r="AR132" s="927"/>
      <c r="AS132" s="927"/>
      <c r="AT132" s="380" t="s">
        <v>4437</v>
      </c>
      <c r="AU132" s="381"/>
    </row>
    <row r="133" spans="1:269" ht="13.5">
      <c r="A133" s="353"/>
      <c r="B133" s="354"/>
      <c r="C133" s="261" t="s">
        <v>4440</v>
      </c>
      <c r="D133" s="355"/>
      <c r="F133" s="367"/>
      <c r="P133" s="284"/>
      <c r="AO133" s="369"/>
      <c r="AP133" s="924"/>
      <c r="AQ133" s="924"/>
      <c r="AR133" s="924"/>
      <c r="AS133" s="924"/>
      <c r="AT133" s="924"/>
    </row>
    <row r="134" spans="1:269" s="382" customFormat="1" ht="14.25">
      <c r="A134" s="261"/>
      <c r="B134" s="261"/>
      <c r="C134" s="383" t="s">
        <v>4441</v>
      </c>
      <c r="D134" s="380"/>
      <c r="E134" s="380"/>
      <c r="F134" s="384"/>
      <c r="G134" s="380"/>
      <c r="H134" s="380"/>
      <c r="I134" s="380"/>
      <c r="J134" s="380"/>
      <c r="K134" s="380"/>
      <c r="L134" s="380"/>
      <c r="M134" s="380"/>
      <c r="N134" s="380"/>
      <c r="O134" s="380"/>
      <c r="P134" s="380"/>
      <c r="Q134" s="380"/>
      <c r="R134" s="380"/>
      <c r="S134" s="380"/>
      <c r="T134" s="380"/>
      <c r="U134" s="380"/>
      <c r="V134" s="380"/>
      <c r="W134" s="380"/>
      <c r="X134" s="380"/>
      <c r="Y134" s="380"/>
      <c r="Z134" s="380"/>
      <c r="AA134" s="380"/>
      <c r="AB134" s="380"/>
      <c r="AC134" s="380"/>
      <c r="AD134" s="380"/>
      <c r="AE134" s="380"/>
      <c r="AF134" s="380"/>
      <c r="AG134" s="380"/>
      <c r="AH134" s="380"/>
      <c r="AI134" s="380"/>
      <c r="AJ134" s="380"/>
      <c r="AK134" s="380"/>
      <c r="AL134" s="380" t="s">
        <v>4426</v>
      </c>
      <c r="AM134" s="380"/>
      <c r="AN134" s="380"/>
      <c r="AO134" s="925">
        <v>0</v>
      </c>
      <c r="AP134" s="926"/>
      <c r="AQ134" s="927"/>
      <c r="AR134" s="927"/>
      <c r="AS134" s="927"/>
      <c r="AT134" s="380" t="s">
        <v>4437</v>
      </c>
      <c r="AU134" s="381"/>
    </row>
    <row r="135" spans="1:269" ht="24.95" customHeight="1">
      <c r="A135" s="891">
        <f>+A127+1</f>
        <v>4</v>
      </c>
      <c r="B135" s="892"/>
      <c r="C135" s="355" t="s">
        <v>4264</v>
      </c>
      <c r="D135" s="355"/>
      <c r="F135" s="367"/>
    </row>
    <row r="136" spans="1:269" ht="60.75" customHeight="1">
      <c r="C136" s="893"/>
      <c r="D136" s="887"/>
      <c r="E136" s="887"/>
      <c r="F136" s="887"/>
      <c r="G136" s="887"/>
      <c r="H136" s="887"/>
      <c r="I136" s="887"/>
      <c r="J136" s="887"/>
      <c r="K136" s="887"/>
      <c r="L136" s="887"/>
      <c r="M136" s="887"/>
      <c r="N136" s="887"/>
      <c r="O136" s="887"/>
      <c r="P136" s="887"/>
      <c r="Q136" s="887"/>
      <c r="R136" s="887"/>
      <c r="S136" s="887"/>
      <c r="T136" s="887"/>
      <c r="U136" s="894"/>
      <c r="V136" s="894"/>
      <c r="W136" s="894"/>
      <c r="X136" s="894"/>
      <c r="Y136" s="894"/>
      <c r="Z136" s="894"/>
      <c r="AA136" s="894"/>
      <c r="AB136" s="894"/>
      <c r="AC136" s="894"/>
      <c r="AD136" s="894"/>
      <c r="AE136" s="894"/>
      <c r="AF136" s="894"/>
      <c r="AG136" s="894"/>
      <c r="AH136" s="894"/>
      <c r="AI136" s="894"/>
      <c r="AJ136" s="894"/>
      <c r="AK136" s="894"/>
      <c r="AL136" s="894"/>
      <c r="AM136" s="894"/>
      <c r="AN136" s="894"/>
      <c r="AO136" s="894"/>
      <c r="AP136" s="894"/>
      <c r="AQ136" s="894"/>
      <c r="AR136" s="894"/>
      <c r="AS136" s="894"/>
      <c r="AT136" s="894"/>
      <c r="AU136" s="894"/>
      <c r="AV136" s="894"/>
    </row>
    <row r="137" spans="1:269" ht="4.5" customHeight="1" thickBot="1">
      <c r="C137" s="278"/>
      <c r="D137" s="347"/>
      <c r="E137" s="347"/>
      <c r="F137" s="347"/>
      <c r="G137" s="347"/>
      <c r="H137" s="347"/>
      <c r="I137" s="347"/>
      <c r="J137" s="347"/>
      <c r="K137" s="347"/>
      <c r="L137" s="347"/>
      <c r="M137" s="347"/>
      <c r="N137" s="347"/>
      <c r="O137" s="347"/>
      <c r="P137" s="347"/>
      <c r="Q137" s="347"/>
      <c r="R137" s="347"/>
      <c r="S137" s="347"/>
      <c r="T137" s="347"/>
      <c r="U137" s="323"/>
      <c r="V137" s="323"/>
      <c r="W137" s="323"/>
      <c r="X137" s="323"/>
      <c r="Y137" s="323"/>
      <c r="Z137" s="323"/>
      <c r="AA137" s="323"/>
      <c r="AB137" s="323"/>
      <c r="AC137" s="323"/>
      <c r="AD137" s="323"/>
      <c r="AE137" s="323"/>
      <c r="AF137" s="323"/>
      <c r="AG137" s="323"/>
      <c r="AH137" s="323"/>
      <c r="AI137" s="323"/>
      <c r="AJ137" s="323"/>
      <c r="AK137" s="323"/>
      <c r="AL137" s="323"/>
      <c r="AM137" s="323"/>
      <c r="AN137" s="323"/>
      <c r="AO137" s="323"/>
      <c r="AP137" s="323"/>
      <c r="AQ137" s="323"/>
      <c r="AR137" s="323"/>
      <c r="AS137" s="323"/>
      <c r="AT137" s="323"/>
      <c r="AU137" s="323"/>
      <c r="AV137" s="323"/>
    </row>
    <row r="138" spans="1:269" ht="13.5" thickBot="1">
      <c r="C138" s="261" t="s">
        <v>4442</v>
      </c>
      <c r="E138" s="347"/>
      <c r="F138" s="347"/>
      <c r="G138" s="347"/>
      <c r="H138" s="347"/>
      <c r="M138" s="918"/>
      <c r="N138" s="919"/>
      <c r="P138" s="261" t="s">
        <v>4443</v>
      </c>
      <c r="R138" s="347"/>
      <c r="S138" s="347"/>
      <c r="T138" s="347"/>
      <c r="U138" s="347"/>
      <c r="W138" s="918"/>
      <c r="X138" s="919"/>
      <c r="Y138" s="323"/>
      <c r="Z138" s="323"/>
      <c r="AA138" s="323"/>
      <c r="AB138" s="323"/>
      <c r="AC138" s="323"/>
      <c r="AD138" s="323"/>
      <c r="AE138" s="323"/>
      <c r="AF138" s="323"/>
      <c r="AG138" s="323"/>
      <c r="AH138" s="323"/>
      <c r="AI138" s="323"/>
      <c r="AJ138" s="323"/>
      <c r="AK138" s="323"/>
      <c r="AL138" s="323"/>
      <c r="AM138" s="323"/>
      <c r="AN138" s="323"/>
      <c r="AO138" s="323"/>
      <c r="AP138" s="323"/>
      <c r="AQ138" s="323"/>
      <c r="AR138" s="323"/>
      <c r="AS138" s="323"/>
      <c r="AT138" s="323"/>
      <c r="AU138" s="323"/>
      <c r="AV138" s="323"/>
      <c r="JH138" s="918" t="s">
        <v>4352</v>
      </c>
      <c r="JI138" s="919"/>
    </row>
    <row r="139" spans="1:269" s="363" customFormat="1" ht="5.25" customHeight="1" thickBot="1">
      <c r="C139" s="385"/>
      <c r="D139" s="385"/>
      <c r="E139" s="385"/>
      <c r="F139" s="385"/>
      <c r="G139" s="385"/>
      <c r="H139" s="385"/>
      <c r="I139" s="385"/>
      <c r="J139" s="385"/>
      <c r="K139" s="385"/>
      <c r="L139" s="385"/>
      <c r="M139" s="385"/>
      <c r="N139" s="385"/>
      <c r="O139" s="385"/>
      <c r="P139" s="385"/>
      <c r="Q139" s="385"/>
      <c r="R139" s="385"/>
      <c r="S139" s="385"/>
      <c r="T139" s="385"/>
      <c r="U139" s="385"/>
      <c r="V139" s="261"/>
      <c r="W139" s="261"/>
      <c r="X139" s="261"/>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23"/>
      <c r="AU139" s="323"/>
      <c r="AV139" s="323"/>
      <c r="AW139" s="385"/>
    </row>
    <row r="140" spans="1:269" ht="13.5" thickBot="1">
      <c r="C140" s="386" t="s">
        <v>4444</v>
      </c>
      <c r="D140" s="387"/>
      <c r="E140" s="388"/>
      <c r="F140" s="388"/>
      <c r="G140" s="388"/>
      <c r="H140" s="388"/>
      <c r="I140" s="387"/>
      <c r="J140" s="389"/>
      <c r="K140" s="387" t="s">
        <v>22</v>
      </c>
      <c r="L140" s="387"/>
      <c r="M140" s="920"/>
      <c r="N140" s="921"/>
      <c r="O140" s="387"/>
      <c r="P140" s="387"/>
      <c r="Q140" s="390" t="s">
        <v>23</v>
      </c>
      <c r="R140" s="387"/>
      <c r="U140" s="387"/>
      <c r="V140" s="387"/>
      <c r="W140" s="920"/>
      <c r="X140" s="921"/>
      <c r="AR140" s="323"/>
      <c r="AS140" s="323"/>
      <c r="AT140" s="323"/>
      <c r="AU140" s="323"/>
      <c r="AV140" s="323"/>
    </row>
    <row r="141" spans="1:269" s="363" customFormat="1" ht="5.25" customHeight="1" thickBot="1">
      <c r="C141" s="261"/>
      <c r="D141" s="261"/>
      <c r="E141" s="347"/>
      <c r="F141" s="347"/>
      <c r="G141" s="347"/>
      <c r="H141" s="347"/>
      <c r="I141" s="261"/>
      <c r="J141" s="391"/>
      <c r="K141" s="391"/>
      <c r="L141" s="261"/>
      <c r="M141" s="347"/>
      <c r="N141" s="347"/>
      <c r="O141" s="261"/>
      <c r="P141" s="261"/>
      <c r="Q141" s="261"/>
      <c r="R141" s="347"/>
      <c r="S141" s="347"/>
      <c r="T141" s="347"/>
      <c r="U141" s="347"/>
      <c r="V141" s="391"/>
      <c r="W141" s="391"/>
      <c r="X141" s="323"/>
      <c r="Y141" s="323"/>
      <c r="Z141" s="323"/>
      <c r="AA141" s="323"/>
      <c r="AB141" s="323"/>
      <c r="AC141" s="323"/>
      <c r="AD141" s="323"/>
      <c r="AE141" s="323"/>
      <c r="AF141" s="323"/>
      <c r="AG141" s="323"/>
      <c r="AH141" s="323"/>
      <c r="AI141" s="323"/>
      <c r="AJ141" s="323"/>
      <c r="AK141" s="323"/>
      <c r="AL141" s="323"/>
      <c r="AM141" s="323"/>
      <c r="AN141" s="323"/>
      <c r="AO141" s="323"/>
      <c r="AP141" s="323"/>
      <c r="AQ141" s="323"/>
      <c r="AR141" s="323"/>
      <c r="AS141" s="323"/>
      <c r="AT141" s="323"/>
      <c r="AU141" s="323"/>
      <c r="AV141" s="323"/>
      <c r="AW141" s="385"/>
    </row>
    <row r="142" spans="1:269" s="372" customFormat="1" ht="13.5" thickBot="1">
      <c r="C142" s="392" t="s">
        <v>4445</v>
      </c>
      <c r="E142" s="352"/>
      <c r="F142" s="352"/>
      <c r="G142" s="352"/>
      <c r="H142" s="352"/>
      <c r="J142" s="393"/>
      <c r="M142" s="922"/>
      <c r="N142" s="923"/>
      <c r="Q142" s="372" t="s">
        <v>4446</v>
      </c>
      <c r="T142" s="352"/>
      <c r="U142" s="352"/>
      <c r="W142" s="922"/>
      <c r="X142" s="923"/>
      <c r="Y142" s="372" t="s">
        <v>4447</v>
      </c>
      <c r="Z142" s="358"/>
      <c r="AD142" s="922"/>
      <c r="AE142" s="923"/>
      <c r="AF142" s="372" t="s">
        <v>4448</v>
      </c>
      <c r="AG142" s="358"/>
      <c r="AH142" s="358"/>
      <c r="AI142" s="358"/>
      <c r="AJ142" s="358"/>
      <c r="AK142" s="358"/>
      <c r="AM142" s="922"/>
      <c r="AN142" s="923"/>
      <c r="AO142" s="372" t="s">
        <v>4449</v>
      </c>
      <c r="AQ142" s="358"/>
      <c r="AR142" s="358"/>
      <c r="AS142" s="358"/>
      <c r="AT142" s="358"/>
      <c r="AU142" s="358"/>
      <c r="AV142" s="358"/>
    </row>
    <row r="143" spans="1:269" s="334" customFormat="1" ht="5.25" customHeight="1" thickBot="1">
      <c r="C143" s="394"/>
      <c r="D143" s="394"/>
      <c r="E143" s="394"/>
      <c r="F143" s="394"/>
      <c r="G143" s="394"/>
      <c r="H143" s="394"/>
      <c r="I143" s="394"/>
      <c r="J143" s="394"/>
      <c r="K143" s="394"/>
      <c r="L143" s="394"/>
      <c r="M143" s="394"/>
      <c r="N143" s="394"/>
      <c r="O143" s="394"/>
      <c r="P143" s="394"/>
      <c r="Q143" s="394"/>
      <c r="R143" s="394"/>
      <c r="S143" s="394"/>
      <c r="T143" s="394"/>
      <c r="U143" s="394"/>
      <c r="V143" s="372"/>
      <c r="W143" s="372"/>
      <c r="X143" s="372"/>
      <c r="Y143" s="394"/>
      <c r="Z143" s="394"/>
      <c r="AA143" s="394"/>
      <c r="AB143" s="394"/>
      <c r="AC143" s="394"/>
      <c r="AD143" s="394"/>
      <c r="AE143" s="394"/>
      <c r="AF143" s="394"/>
      <c r="AG143" s="394"/>
      <c r="AH143" s="394"/>
      <c r="AI143" s="394"/>
      <c r="AJ143" s="394"/>
      <c r="AK143" s="394"/>
      <c r="AL143" s="394"/>
      <c r="AM143" s="394"/>
      <c r="AN143" s="394"/>
      <c r="AO143" s="394"/>
      <c r="AP143" s="394"/>
      <c r="AQ143" s="394"/>
      <c r="AR143" s="394"/>
      <c r="AS143" s="394"/>
      <c r="AT143" s="358"/>
      <c r="AU143" s="358"/>
      <c r="AV143" s="358"/>
      <c r="AW143" s="394"/>
    </row>
    <row r="144" spans="1:269" s="372" customFormat="1" ht="13.5" thickBot="1">
      <c r="C144" s="394" t="s">
        <v>4450</v>
      </c>
      <c r="E144" s="352"/>
      <c r="F144" s="352"/>
      <c r="G144" s="352"/>
      <c r="H144" s="352"/>
      <c r="J144" s="393"/>
      <c r="M144" s="922"/>
      <c r="N144" s="923"/>
      <c r="AR144" s="358"/>
      <c r="AS144" s="358"/>
      <c r="AT144" s="358"/>
      <c r="AU144" s="358"/>
      <c r="AV144" s="358"/>
    </row>
    <row r="145" spans="1:259" ht="21" customHeight="1">
      <c r="A145" s="891">
        <f>+A135+1</f>
        <v>5</v>
      </c>
      <c r="B145" s="891"/>
      <c r="C145" s="355" t="s">
        <v>4451</v>
      </c>
      <c r="D145" s="355"/>
      <c r="F145" s="367"/>
    </row>
    <row r="146" spans="1:259" ht="18" customHeight="1">
      <c r="C146" s="887"/>
      <c r="D146" s="887"/>
      <c r="E146" s="887"/>
      <c r="F146" s="887"/>
      <c r="G146" s="887"/>
      <c r="H146" s="887"/>
      <c r="I146" s="887"/>
      <c r="J146" s="887"/>
      <c r="K146" s="887"/>
      <c r="L146" s="887"/>
      <c r="M146" s="887"/>
      <c r="N146" s="887"/>
      <c r="O146" s="887"/>
      <c r="P146" s="887"/>
      <c r="Q146" s="887"/>
      <c r="R146" s="887"/>
      <c r="S146" s="887"/>
      <c r="T146" s="887"/>
      <c r="U146" s="887"/>
      <c r="V146" s="887"/>
      <c r="W146" s="887"/>
      <c r="X146" s="887"/>
      <c r="Y146" s="887"/>
      <c r="Z146" s="887"/>
      <c r="AA146" s="887"/>
      <c r="AB146" s="887"/>
      <c r="AC146" s="887"/>
      <c r="AD146" s="887"/>
      <c r="AE146" s="887"/>
      <c r="AF146" s="887"/>
      <c r="AG146" s="887"/>
      <c r="AH146" s="887"/>
      <c r="AI146" s="887"/>
      <c r="AJ146" s="887"/>
      <c r="AK146" s="887"/>
      <c r="AL146" s="887"/>
      <c r="AM146" s="887"/>
      <c r="AN146" s="887"/>
      <c r="AO146" s="887"/>
      <c r="AP146" s="887"/>
      <c r="AQ146" s="887"/>
      <c r="AR146" s="887"/>
      <c r="AS146" s="887"/>
      <c r="AT146" s="887"/>
      <c r="AU146" s="887"/>
      <c r="AV146" s="887"/>
    </row>
    <row r="147" spans="1:259" ht="21.75" customHeight="1">
      <c r="A147" s="891">
        <f>+A145+1</f>
        <v>6</v>
      </c>
      <c r="B147" s="891"/>
      <c r="C147" s="355" t="s">
        <v>4452</v>
      </c>
      <c r="D147" s="355"/>
      <c r="F147" s="367"/>
      <c r="K147" s="368" t="s">
        <v>4453</v>
      </c>
      <c r="M147" s="284"/>
    </row>
    <row r="148" spans="1:259" ht="21" customHeight="1">
      <c r="A148" s="353"/>
      <c r="B148" s="353"/>
      <c r="C148" s="323" t="s">
        <v>4454</v>
      </c>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941"/>
      <c r="AD148" s="941"/>
      <c r="AE148" s="941"/>
      <c r="AF148" s="941"/>
      <c r="AG148" s="941"/>
      <c r="AH148" s="941"/>
      <c r="AI148" s="941"/>
      <c r="AJ148" s="323" t="s">
        <v>4455</v>
      </c>
      <c r="AK148" s="323"/>
      <c r="AL148" s="323"/>
      <c r="AM148" s="323"/>
      <c r="AN148" s="323"/>
      <c r="AO148" s="323"/>
      <c r="AP148" s="323"/>
      <c r="AQ148" s="323"/>
      <c r="AR148" s="323"/>
      <c r="AS148" s="323"/>
      <c r="AT148" s="323"/>
      <c r="AU148" s="323"/>
      <c r="AV148" s="323"/>
    </row>
    <row r="149" spans="1:259" s="372" customFormat="1" ht="17.25" customHeight="1">
      <c r="A149" s="370"/>
      <c r="B149" s="370"/>
      <c r="C149" s="358" t="s">
        <v>4456</v>
      </c>
      <c r="D149" s="358"/>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c r="AA149" s="358"/>
      <c r="AB149" s="358"/>
      <c r="AC149" s="395"/>
      <c r="AD149" s="395"/>
      <c r="AE149" s="395"/>
      <c r="AF149" s="395"/>
      <c r="AG149" s="395"/>
      <c r="AH149" s="395"/>
      <c r="AI149" s="395"/>
      <c r="AJ149" s="395"/>
      <c r="AK149" s="395"/>
      <c r="AL149" s="395"/>
      <c r="AM149" s="395"/>
      <c r="AN149" s="358"/>
      <c r="AO149" s="358"/>
      <c r="AP149" s="358"/>
      <c r="AQ149" s="358"/>
      <c r="AR149" s="358"/>
      <c r="AS149" s="358"/>
      <c r="AT149" s="358"/>
      <c r="AU149" s="358"/>
      <c r="AV149" s="358"/>
      <c r="AW149" s="261"/>
      <c r="AX149" s="261"/>
      <c r="AY149" s="261"/>
      <c r="AZ149" s="261"/>
      <c r="BA149" s="261"/>
      <c r="BB149" s="261"/>
      <c r="BC149" s="261"/>
      <c r="BD149" s="261"/>
      <c r="BE149" s="261"/>
      <c r="BF149" s="261"/>
      <c r="BG149" s="261"/>
      <c r="BH149" s="261"/>
      <c r="BI149" s="261"/>
      <c r="BJ149" s="261"/>
      <c r="BK149" s="261"/>
      <c r="BL149" s="261"/>
      <c r="BM149" s="261"/>
      <c r="BN149" s="261"/>
      <c r="BO149" s="261"/>
      <c r="BP149" s="261"/>
      <c r="BQ149" s="261"/>
      <c r="BR149" s="261"/>
      <c r="BS149" s="261"/>
      <c r="BT149" s="261"/>
      <c r="BU149" s="261"/>
      <c r="BV149" s="261"/>
      <c r="BW149" s="261"/>
      <c r="BX149" s="261"/>
      <c r="BY149" s="261"/>
      <c r="BZ149" s="261"/>
      <c r="CA149" s="261"/>
      <c r="CB149" s="261"/>
      <c r="CC149" s="261"/>
      <c r="CD149" s="261"/>
      <c r="CE149" s="261"/>
      <c r="CF149" s="261"/>
      <c r="CG149" s="261"/>
      <c r="CH149" s="261"/>
      <c r="CI149" s="261"/>
      <c r="CJ149" s="261"/>
      <c r="CK149" s="261"/>
      <c r="CL149" s="261"/>
      <c r="CM149" s="261"/>
      <c r="CN149" s="261"/>
      <c r="CO149" s="261"/>
      <c r="CP149" s="261"/>
      <c r="CQ149" s="261"/>
      <c r="CR149" s="261"/>
      <c r="CS149" s="261"/>
      <c r="CT149" s="261"/>
      <c r="CU149" s="261"/>
      <c r="CV149" s="261"/>
      <c r="CW149" s="261"/>
      <c r="CX149" s="261"/>
      <c r="CY149" s="261"/>
      <c r="CZ149" s="261"/>
      <c r="DA149" s="261"/>
      <c r="DB149" s="261"/>
      <c r="DC149" s="261"/>
      <c r="DD149" s="261"/>
      <c r="DE149" s="261"/>
      <c r="DF149" s="261"/>
      <c r="DG149" s="261"/>
      <c r="DH149" s="261"/>
      <c r="DI149" s="261"/>
      <c r="DJ149" s="261"/>
      <c r="DK149" s="261"/>
      <c r="DL149" s="261"/>
      <c r="DM149" s="261"/>
      <c r="DN149" s="261"/>
      <c r="DO149" s="261"/>
      <c r="DP149" s="261"/>
      <c r="DQ149" s="261"/>
      <c r="DR149" s="261"/>
      <c r="DS149" s="261"/>
      <c r="DT149" s="261"/>
      <c r="DU149" s="261"/>
      <c r="DV149" s="261"/>
      <c r="DW149" s="261"/>
      <c r="DX149" s="261"/>
      <c r="DY149" s="261"/>
      <c r="DZ149" s="261"/>
      <c r="EA149" s="261"/>
      <c r="EB149" s="261"/>
      <c r="EC149" s="261"/>
      <c r="ED149" s="261"/>
      <c r="EE149" s="261"/>
      <c r="EF149" s="261"/>
      <c r="EG149" s="261"/>
      <c r="EH149" s="261"/>
      <c r="EI149" s="261"/>
      <c r="EJ149" s="261"/>
      <c r="EK149" s="261"/>
      <c r="EL149" s="261"/>
      <c r="EM149" s="261"/>
      <c r="EN149" s="261"/>
      <c r="EO149" s="261"/>
      <c r="EP149" s="261"/>
      <c r="EQ149" s="261"/>
      <c r="ER149" s="261"/>
      <c r="ES149" s="261"/>
      <c r="ET149" s="261"/>
      <c r="EU149" s="261"/>
      <c r="EV149" s="261"/>
      <c r="EW149" s="261"/>
      <c r="EX149" s="261"/>
      <c r="EY149" s="261"/>
      <c r="EZ149" s="261"/>
      <c r="FA149" s="261"/>
      <c r="FB149" s="261"/>
      <c r="FC149" s="261"/>
      <c r="FD149" s="261"/>
      <c r="FE149" s="261"/>
      <c r="FF149" s="261"/>
      <c r="FG149" s="261"/>
      <c r="FH149" s="261"/>
      <c r="FI149" s="261"/>
      <c r="FJ149" s="261"/>
      <c r="FK149" s="261"/>
      <c r="FL149" s="261"/>
      <c r="FM149" s="261"/>
      <c r="FN149" s="261"/>
      <c r="FO149" s="261"/>
      <c r="FP149" s="261"/>
      <c r="FQ149" s="261"/>
      <c r="FR149" s="261"/>
      <c r="FS149" s="261"/>
      <c r="FT149" s="261"/>
      <c r="FU149" s="261"/>
      <c r="FV149" s="261"/>
      <c r="FW149" s="261"/>
      <c r="FX149" s="261"/>
      <c r="FY149" s="261"/>
      <c r="FZ149" s="261"/>
      <c r="GA149" s="261"/>
      <c r="GB149" s="261"/>
      <c r="GC149" s="261"/>
      <c r="GD149" s="261"/>
      <c r="GE149" s="261"/>
      <c r="GF149" s="261"/>
      <c r="GG149" s="261"/>
      <c r="GH149" s="261"/>
      <c r="GI149" s="261"/>
      <c r="GJ149" s="261"/>
      <c r="GK149" s="261"/>
      <c r="GL149" s="261"/>
      <c r="GM149" s="261"/>
      <c r="GN149" s="261"/>
      <c r="GO149" s="261"/>
      <c r="GP149" s="261"/>
      <c r="GQ149" s="261"/>
      <c r="GR149" s="261"/>
      <c r="GS149" s="261"/>
      <c r="GT149" s="261"/>
      <c r="GU149" s="261"/>
      <c r="GV149" s="261"/>
      <c r="GW149" s="261"/>
      <c r="GX149" s="261"/>
      <c r="GY149" s="261"/>
      <c r="GZ149" s="261"/>
      <c r="HA149" s="261"/>
      <c r="HB149" s="261"/>
      <c r="HC149" s="261"/>
      <c r="HD149" s="261"/>
      <c r="HE149" s="261"/>
      <c r="HF149" s="261"/>
      <c r="HG149" s="261"/>
      <c r="HH149" s="261"/>
      <c r="HI149" s="261"/>
      <c r="HJ149" s="261"/>
      <c r="HK149" s="261"/>
      <c r="HL149" s="261"/>
      <c r="HM149" s="261"/>
      <c r="HN149" s="261"/>
      <c r="HO149" s="261"/>
      <c r="HP149" s="261"/>
      <c r="HQ149" s="261"/>
      <c r="HR149" s="261"/>
      <c r="HS149" s="261"/>
      <c r="HT149" s="261"/>
      <c r="HU149" s="261"/>
      <c r="HV149" s="261"/>
      <c r="HW149" s="261"/>
      <c r="HX149" s="261"/>
      <c r="HY149" s="261"/>
      <c r="HZ149" s="261"/>
      <c r="IA149" s="261"/>
      <c r="IB149" s="261"/>
      <c r="IC149" s="261"/>
      <c r="ID149" s="261"/>
      <c r="IE149" s="261"/>
      <c r="IF149" s="261"/>
      <c r="IG149" s="261"/>
      <c r="IH149" s="261"/>
      <c r="II149" s="261"/>
      <c r="IJ149" s="261"/>
      <c r="IK149" s="261"/>
      <c r="IL149" s="261"/>
      <c r="IM149" s="261"/>
      <c r="IN149" s="261"/>
      <c r="IO149" s="261"/>
      <c r="IP149" s="261"/>
      <c r="IQ149" s="261"/>
      <c r="IR149" s="261"/>
      <c r="IS149" s="261"/>
      <c r="IT149" s="261"/>
      <c r="IU149" s="261"/>
      <c r="IV149" s="261"/>
      <c r="IW149" s="261"/>
      <c r="IX149" s="261"/>
      <c r="IY149" s="261"/>
    </row>
    <row r="150" spans="1:259" ht="25.5" hidden="1" customHeight="1">
      <c r="C150" s="942" t="s">
        <v>4457</v>
      </c>
      <c r="D150" s="942"/>
      <c r="E150" s="942"/>
      <c r="F150" s="942"/>
      <c r="G150" s="942"/>
      <c r="H150" s="942"/>
      <c r="I150" s="942"/>
      <c r="J150" s="942"/>
      <c r="K150" s="942"/>
      <c r="L150" s="942"/>
      <c r="M150" s="942"/>
      <c r="N150" s="942"/>
      <c r="O150" s="942"/>
      <c r="P150" s="942"/>
      <c r="Q150" s="942"/>
      <c r="R150" s="942"/>
      <c r="S150" s="942"/>
      <c r="T150" s="942"/>
      <c r="U150" s="942"/>
      <c r="V150" s="942"/>
      <c r="W150" s="942"/>
      <c r="X150" s="942"/>
      <c r="Y150" s="942"/>
      <c r="Z150" s="942"/>
      <c r="AA150" s="942"/>
      <c r="AB150" s="942"/>
      <c r="AC150" s="942"/>
      <c r="AD150" s="942"/>
      <c r="AE150" s="942"/>
      <c r="AF150" s="942"/>
      <c r="AG150" s="942"/>
      <c r="AH150" s="942"/>
      <c r="AI150" s="942"/>
      <c r="AJ150" s="942"/>
      <c r="AK150" s="942"/>
      <c r="AL150" s="942"/>
      <c r="AM150" s="942"/>
      <c r="AN150" s="942"/>
      <c r="AO150" s="942"/>
      <c r="AP150" s="942"/>
      <c r="AQ150" s="942"/>
      <c r="AR150" s="942"/>
      <c r="AS150" s="942"/>
      <c r="AT150" s="942"/>
      <c r="AU150" s="942"/>
      <c r="AV150" s="942"/>
    </row>
    <row r="151" spans="1:259" ht="22.5" customHeight="1">
      <c r="A151" s="891">
        <f>+A147+1</f>
        <v>7</v>
      </c>
      <c r="B151" s="891"/>
      <c r="C151" s="355" t="s">
        <v>4458</v>
      </c>
      <c r="D151" s="355"/>
      <c r="F151" s="367"/>
      <c r="L151" s="261" t="s">
        <v>4459</v>
      </c>
      <c r="M151" s="284"/>
    </row>
    <row r="152" spans="1:259">
      <c r="C152" s="893"/>
      <c r="D152" s="887"/>
      <c r="E152" s="887"/>
      <c r="F152" s="887"/>
      <c r="G152" s="887"/>
      <c r="H152" s="887"/>
      <c r="I152" s="887"/>
      <c r="J152" s="887"/>
      <c r="K152" s="887"/>
      <c r="L152" s="887"/>
      <c r="M152" s="887"/>
      <c r="N152" s="887"/>
      <c r="O152" s="887"/>
      <c r="P152" s="887"/>
      <c r="Q152" s="887"/>
      <c r="R152" s="887"/>
      <c r="S152" s="887"/>
      <c r="T152" s="887"/>
      <c r="U152" s="894"/>
      <c r="V152" s="894"/>
      <c r="W152" s="894"/>
      <c r="X152" s="894"/>
      <c r="Y152" s="894"/>
      <c r="Z152" s="894"/>
      <c r="AA152" s="894"/>
      <c r="AB152" s="894"/>
      <c r="AC152" s="894"/>
      <c r="AD152" s="894"/>
      <c r="AE152" s="894"/>
      <c r="AF152" s="894"/>
      <c r="AG152" s="894"/>
      <c r="AH152" s="894"/>
      <c r="AI152" s="894"/>
      <c r="AJ152" s="894"/>
      <c r="AK152" s="894"/>
      <c r="AL152" s="894"/>
      <c r="AM152" s="894"/>
      <c r="AN152" s="894"/>
      <c r="AO152" s="894"/>
      <c r="AP152" s="894"/>
      <c r="AQ152" s="894"/>
      <c r="AR152" s="894"/>
      <c r="AS152" s="894"/>
      <c r="AT152" s="894"/>
      <c r="AU152" s="894"/>
      <c r="AV152" s="894"/>
    </row>
    <row r="153" spans="1:259">
      <c r="C153" s="753" t="s">
        <v>4460</v>
      </c>
      <c r="D153" s="889"/>
      <c r="E153" s="889"/>
      <c r="F153" s="889"/>
      <c r="G153" s="889"/>
      <c r="H153" s="889"/>
      <c r="I153" s="889"/>
      <c r="J153" s="889"/>
      <c r="K153" s="889"/>
      <c r="L153" s="889"/>
      <c r="M153" s="889"/>
      <c r="N153" s="889"/>
      <c r="O153" s="889"/>
      <c r="P153" s="889"/>
      <c r="Q153" s="889"/>
      <c r="R153" s="889"/>
      <c r="S153" s="889"/>
      <c r="T153" s="889"/>
      <c r="U153" s="910"/>
      <c r="V153" s="910"/>
      <c r="W153" s="910"/>
      <c r="X153" s="910"/>
      <c r="Y153" s="910"/>
      <c r="Z153" s="910"/>
      <c r="AA153" s="910"/>
      <c r="AB153" s="910"/>
      <c r="AC153" s="910"/>
      <c r="AD153" s="910"/>
      <c r="AE153" s="910"/>
      <c r="AF153" s="910"/>
      <c r="AG153" s="910"/>
      <c r="AH153" s="910"/>
      <c r="AI153" s="910"/>
      <c r="AJ153" s="910"/>
      <c r="AK153" s="910"/>
      <c r="AL153" s="910"/>
      <c r="AM153" s="910"/>
      <c r="AN153" s="910"/>
      <c r="AO153" s="910"/>
      <c r="AP153" s="910"/>
      <c r="AQ153" s="910"/>
      <c r="AR153" s="910"/>
      <c r="AS153" s="910"/>
      <c r="AT153" s="910"/>
      <c r="AU153" s="910"/>
      <c r="AV153" s="910"/>
    </row>
    <row r="154" spans="1:259" ht="2.25" customHeight="1">
      <c r="C154" s="396"/>
      <c r="D154" s="397"/>
      <c r="E154" s="397"/>
      <c r="F154" s="397"/>
      <c r="G154" s="397"/>
      <c r="H154" s="397"/>
      <c r="I154" s="397"/>
      <c r="J154" s="397"/>
      <c r="K154" s="397"/>
      <c r="L154" s="397"/>
      <c r="M154" s="397"/>
      <c r="N154" s="397"/>
      <c r="O154" s="397"/>
      <c r="P154" s="397"/>
      <c r="Q154" s="397"/>
      <c r="R154" s="397"/>
      <c r="S154" s="397"/>
      <c r="T154" s="397"/>
    </row>
    <row r="155" spans="1:259" ht="18.75" customHeight="1">
      <c r="C155" s="932" t="s">
        <v>4461</v>
      </c>
      <c r="D155" s="933"/>
      <c r="E155" s="933"/>
      <c r="F155" s="933"/>
      <c r="G155" s="933"/>
      <c r="H155" s="933"/>
      <c r="I155" s="933"/>
      <c r="J155" s="933"/>
      <c r="K155" s="933"/>
      <c r="L155" s="933"/>
      <c r="M155" s="933"/>
      <c r="N155" s="933"/>
      <c r="O155" s="933"/>
      <c r="P155" s="933"/>
      <c r="Q155" s="933"/>
      <c r="R155" s="933"/>
      <c r="S155" s="933"/>
      <c r="T155" s="933"/>
      <c r="U155" s="933"/>
      <c r="V155" s="933"/>
      <c r="W155" s="933"/>
      <c r="X155" s="933"/>
      <c r="Y155" s="933"/>
      <c r="Z155" s="933"/>
      <c r="AA155" s="933"/>
      <c r="AB155" s="933"/>
      <c r="AC155" s="933"/>
      <c r="AD155" s="933"/>
      <c r="AE155" s="933"/>
      <c r="AF155" s="933"/>
      <c r="AG155" s="933"/>
      <c r="AH155" s="933"/>
      <c r="AI155" s="934"/>
      <c r="AJ155" s="933" t="s">
        <v>4462</v>
      </c>
      <c r="AK155" s="933"/>
      <c r="AL155" s="933"/>
      <c r="AM155" s="933"/>
      <c r="AN155" s="933"/>
      <c r="AO155" s="933"/>
      <c r="AP155" s="933"/>
      <c r="AQ155" s="933"/>
      <c r="AR155" s="933"/>
      <c r="AS155" s="933"/>
      <c r="AT155" s="933"/>
      <c r="AU155" s="933"/>
      <c r="AV155" s="934"/>
    </row>
    <row r="156" spans="1:259" ht="18.75" customHeight="1">
      <c r="C156" s="935"/>
      <c r="D156" s="936"/>
      <c r="E156" s="936"/>
      <c r="F156" s="936"/>
      <c r="G156" s="936"/>
      <c r="H156" s="936"/>
      <c r="I156" s="936"/>
      <c r="J156" s="936"/>
      <c r="K156" s="936"/>
      <c r="L156" s="936"/>
      <c r="M156" s="936"/>
      <c r="N156" s="936"/>
      <c r="O156" s="936"/>
      <c r="P156" s="936"/>
      <c r="Q156" s="936"/>
      <c r="R156" s="936"/>
      <c r="S156" s="936"/>
      <c r="T156" s="936"/>
      <c r="U156" s="936"/>
      <c r="V156" s="936"/>
      <c r="W156" s="936"/>
      <c r="X156" s="936"/>
      <c r="Y156" s="936"/>
      <c r="Z156" s="936"/>
      <c r="AA156" s="936"/>
      <c r="AB156" s="936"/>
      <c r="AC156" s="936"/>
      <c r="AD156" s="936"/>
      <c r="AE156" s="936"/>
      <c r="AF156" s="936"/>
      <c r="AG156" s="936"/>
      <c r="AH156" s="936"/>
      <c r="AI156" s="937"/>
      <c r="AJ156" s="936"/>
      <c r="AK156" s="936"/>
      <c r="AL156" s="936"/>
      <c r="AM156" s="936"/>
      <c r="AN156" s="936"/>
      <c r="AO156" s="936"/>
      <c r="AP156" s="936"/>
      <c r="AQ156" s="936"/>
      <c r="AR156" s="936"/>
      <c r="AS156" s="936"/>
      <c r="AT156" s="936"/>
      <c r="AU156" s="936"/>
      <c r="AV156" s="937"/>
    </row>
    <row r="157" spans="1:259" ht="18.75" customHeight="1">
      <c r="C157" s="935"/>
      <c r="D157" s="936"/>
      <c r="E157" s="936"/>
      <c r="F157" s="936"/>
      <c r="G157" s="936"/>
      <c r="H157" s="936"/>
      <c r="I157" s="936"/>
      <c r="J157" s="936"/>
      <c r="K157" s="936"/>
      <c r="L157" s="936"/>
      <c r="M157" s="936"/>
      <c r="N157" s="936"/>
      <c r="O157" s="936"/>
      <c r="P157" s="936"/>
      <c r="Q157" s="936"/>
      <c r="R157" s="936"/>
      <c r="S157" s="936"/>
      <c r="T157" s="936"/>
      <c r="U157" s="936"/>
      <c r="V157" s="936"/>
      <c r="W157" s="936"/>
      <c r="X157" s="936"/>
      <c r="Y157" s="936"/>
      <c r="Z157" s="936"/>
      <c r="AA157" s="936"/>
      <c r="AB157" s="936"/>
      <c r="AC157" s="936"/>
      <c r="AD157" s="936"/>
      <c r="AE157" s="936"/>
      <c r="AF157" s="936"/>
      <c r="AG157" s="936"/>
      <c r="AH157" s="936"/>
      <c r="AI157" s="937"/>
      <c r="AJ157" s="936"/>
      <c r="AK157" s="936"/>
      <c r="AL157" s="936"/>
      <c r="AM157" s="936"/>
      <c r="AN157" s="936"/>
      <c r="AO157" s="936"/>
      <c r="AP157" s="936"/>
      <c r="AQ157" s="936"/>
      <c r="AR157" s="936"/>
      <c r="AS157" s="936"/>
      <c r="AT157" s="936"/>
      <c r="AU157" s="936"/>
      <c r="AV157" s="937"/>
    </row>
    <row r="158" spans="1:259" ht="18.75" customHeight="1">
      <c r="C158" s="935"/>
      <c r="D158" s="936"/>
      <c r="E158" s="936"/>
      <c r="F158" s="936"/>
      <c r="G158" s="936"/>
      <c r="H158" s="936"/>
      <c r="I158" s="936"/>
      <c r="J158" s="936"/>
      <c r="K158" s="936"/>
      <c r="L158" s="936"/>
      <c r="M158" s="936"/>
      <c r="N158" s="936"/>
      <c r="O158" s="936"/>
      <c r="P158" s="936"/>
      <c r="Q158" s="936"/>
      <c r="R158" s="936"/>
      <c r="S158" s="936"/>
      <c r="T158" s="936"/>
      <c r="U158" s="936"/>
      <c r="V158" s="936"/>
      <c r="W158" s="936"/>
      <c r="X158" s="936"/>
      <c r="Y158" s="936"/>
      <c r="Z158" s="936"/>
      <c r="AA158" s="936"/>
      <c r="AB158" s="936"/>
      <c r="AC158" s="936"/>
      <c r="AD158" s="936"/>
      <c r="AE158" s="936"/>
      <c r="AF158" s="936"/>
      <c r="AG158" s="936"/>
      <c r="AH158" s="936"/>
      <c r="AI158" s="937"/>
      <c r="AJ158" s="936"/>
      <c r="AK158" s="936"/>
      <c r="AL158" s="936"/>
      <c r="AM158" s="936"/>
      <c r="AN158" s="936"/>
      <c r="AO158" s="936"/>
      <c r="AP158" s="936"/>
      <c r="AQ158" s="936"/>
      <c r="AR158" s="936"/>
      <c r="AS158" s="936"/>
      <c r="AT158" s="936"/>
      <c r="AU158" s="936"/>
      <c r="AV158" s="937"/>
    </row>
    <row r="159" spans="1:259" ht="18.75" customHeight="1">
      <c r="C159" s="935"/>
      <c r="D159" s="936"/>
      <c r="E159" s="936"/>
      <c r="F159" s="936"/>
      <c r="G159" s="936"/>
      <c r="H159" s="936"/>
      <c r="I159" s="936"/>
      <c r="J159" s="936"/>
      <c r="K159" s="936"/>
      <c r="L159" s="936"/>
      <c r="M159" s="936"/>
      <c r="N159" s="936"/>
      <c r="O159" s="936"/>
      <c r="P159" s="936"/>
      <c r="Q159" s="936"/>
      <c r="R159" s="936"/>
      <c r="S159" s="936"/>
      <c r="T159" s="936"/>
      <c r="U159" s="936"/>
      <c r="V159" s="936"/>
      <c r="W159" s="936"/>
      <c r="X159" s="936"/>
      <c r="Y159" s="936"/>
      <c r="Z159" s="936"/>
      <c r="AA159" s="936"/>
      <c r="AB159" s="936"/>
      <c r="AC159" s="936"/>
      <c r="AD159" s="936"/>
      <c r="AE159" s="936"/>
      <c r="AF159" s="936"/>
      <c r="AG159" s="936"/>
      <c r="AH159" s="936"/>
      <c r="AI159" s="937"/>
      <c r="AJ159" s="936"/>
      <c r="AK159" s="936"/>
      <c r="AL159" s="936"/>
      <c r="AM159" s="936"/>
      <c r="AN159" s="936"/>
      <c r="AO159" s="936"/>
      <c r="AP159" s="936"/>
      <c r="AQ159" s="936"/>
      <c r="AR159" s="936"/>
      <c r="AS159" s="936"/>
      <c r="AT159" s="936"/>
      <c r="AU159" s="936"/>
      <c r="AV159" s="937"/>
    </row>
    <row r="160" spans="1:259" ht="18.75" customHeight="1">
      <c r="C160" s="935"/>
      <c r="D160" s="936"/>
      <c r="E160" s="936"/>
      <c r="F160" s="936"/>
      <c r="G160" s="936"/>
      <c r="H160" s="936"/>
      <c r="I160" s="936"/>
      <c r="J160" s="936"/>
      <c r="K160" s="936"/>
      <c r="L160" s="936"/>
      <c r="M160" s="936"/>
      <c r="N160" s="936"/>
      <c r="O160" s="936"/>
      <c r="P160" s="936"/>
      <c r="Q160" s="936"/>
      <c r="R160" s="936"/>
      <c r="S160" s="936"/>
      <c r="T160" s="936"/>
      <c r="U160" s="936"/>
      <c r="V160" s="936"/>
      <c r="W160" s="936"/>
      <c r="X160" s="936"/>
      <c r="Y160" s="936"/>
      <c r="Z160" s="936"/>
      <c r="AA160" s="936"/>
      <c r="AB160" s="936"/>
      <c r="AC160" s="936"/>
      <c r="AD160" s="936"/>
      <c r="AE160" s="936"/>
      <c r="AF160" s="936"/>
      <c r="AG160" s="936"/>
      <c r="AH160" s="936"/>
      <c r="AI160" s="937"/>
      <c r="AJ160" s="936"/>
      <c r="AK160" s="936"/>
      <c r="AL160" s="936"/>
      <c r="AM160" s="936"/>
      <c r="AN160" s="936"/>
      <c r="AO160" s="936"/>
      <c r="AP160" s="936"/>
      <c r="AQ160" s="936"/>
      <c r="AR160" s="936"/>
      <c r="AS160" s="936"/>
      <c r="AT160" s="936"/>
      <c r="AU160" s="936"/>
      <c r="AV160" s="937"/>
    </row>
    <row r="161" spans="1:48" ht="18.75" customHeight="1">
      <c r="C161" s="935"/>
      <c r="D161" s="936"/>
      <c r="E161" s="936"/>
      <c r="F161" s="936"/>
      <c r="G161" s="936"/>
      <c r="H161" s="936"/>
      <c r="I161" s="936"/>
      <c r="J161" s="936"/>
      <c r="K161" s="936"/>
      <c r="L161" s="936"/>
      <c r="M161" s="936"/>
      <c r="N161" s="936"/>
      <c r="O161" s="936"/>
      <c r="P161" s="936"/>
      <c r="Q161" s="936"/>
      <c r="R161" s="936"/>
      <c r="S161" s="936"/>
      <c r="T161" s="936"/>
      <c r="U161" s="936"/>
      <c r="V161" s="936"/>
      <c r="W161" s="936"/>
      <c r="X161" s="936"/>
      <c r="Y161" s="936"/>
      <c r="Z161" s="936"/>
      <c r="AA161" s="936"/>
      <c r="AB161" s="936"/>
      <c r="AC161" s="936"/>
      <c r="AD161" s="936"/>
      <c r="AE161" s="936"/>
      <c r="AF161" s="936"/>
      <c r="AG161" s="936"/>
      <c r="AH161" s="936"/>
      <c r="AI161" s="937"/>
      <c r="AJ161" s="936"/>
      <c r="AK161" s="936"/>
      <c r="AL161" s="936"/>
      <c r="AM161" s="936"/>
      <c r="AN161" s="936"/>
      <c r="AO161" s="936"/>
      <c r="AP161" s="936"/>
      <c r="AQ161" s="936"/>
      <c r="AR161" s="936"/>
      <c r="AS161" s="936"/>
      <c r="AT161" s="936"/>
      <c r="AU161" s="936"/>
      <c r="AV161" s="937"/>
    </row>
    <row r="162" spans="1:48" ht="18.75" customHeight="1">
      <c r="C162" s="935"/>
      <c r="D162" s="936"/>
      <c r="E162" s="936"/>
      <c r="F162" s="936"/>
      <c r="G162" s="936"/>
      <c r="H162" s="936"/>
      <c r="I162" s="936"/>
      <c r="J162" s="936"/>
      <c r="K162" s="936"/>
      <c r="L162" s="936"/>
      <c r="M162" s="936"/>
      <c r="N162" s="936"/>
      <c r="O162" s="936"/>
      <c r="P162" s="936"/>
      <c r="Q162" s="936"/>
      <c r="R162" s="936"/>
      <c r="S162" s="936"/>
      <c r="T162" s="936"/>
      <c r="U162" s="936"/>
      <c r="V162" s="936"/>
      <c r="W162" s="936"/>
      <c r="X162" s="936"/>
      <c r="Y162" s="936"/>
      <c r="Z162" s="936"/>
      <c r="AA162" s="936"/>
      <c r="AB162" s="936"/>
      <c r="AC162" s="936"/>
      <c r="AD162" s="936"/>
      <c r="AE162" s="936"/>
      <c r="AF162" s="936"/>
      <c r="AG162" s="936"/>
      <c r="AH162" s="936"/>
      <c r="AI162" s="937"/>
      <c r="AJ162" s="936"/>
      <c r="AK162" s="936"/>
      <c r="AL162" s="936"/>
      <c r="AM162" s="936"/>
      <c r="AN162" s="936"/>
      <c r="AO162" s="936"/>
      <c r="AP162" s="936"/>
      <c r="AQ162" s="936"/>
      <c r="AR162" s="936"/>
      <c r="AS162" s="936"/>
      <c r="AT162" s="936"/>
      <c r="AU162" s="936"/>
      <c r="AV162" s="937"/>
    </row>
    <row r="163" spans="1:48" ht="18.75" customHeight="1">
      <c r="C163" s="935"/>
      <c r="D163" s="936"/>
      <c r="E163" s="936"/>
      <c r="F163" s="936"/>
      <c r="G163" s="936"/>
      <c r="H163" s="936"/>
      <c r="I163" s="936"/>
      <c r="J163" s="936"/>
      <c r="K163" s="936"/>
      <c r="L163" s="936"/>
      <c r="M163" s="936"/>
      <c r="N163" s="936"/>
      <c r="O163" s="936"/>
      <c r="P163" s="936"/>
      <c r="Q163" s="936"/>
      <c r="R163" s="936"/>
      <c r="S163" s="936"/>
      <c r="T163" s="936"/>
      <c r="U163" s="936"/>
      <c r="V163" s="936"/>
      <c r="W163" s="936"/>
      <c r="X163" s="936"/>
      <c r="Y163" s="936"/>
      <c r="Z163" s="936"/>
      <c r="AA163" s="936"/>
      <c r="AB163" s="936"/>
      <c r="AC163" s="936"/>
      <c r="AD163" s="936"/>
      <c r="AE163" s="936"/>
      <c r="AF163" s="936"/>
      <c r="AG163" s="936"/>
      <c r="AH163" s="936"/>
      <c r="AI163" s="937"/>
      <c r="AJ163" s="936"/>
      <c r="AK163" s="936"/>
      <c r="AL163" s="936"/>
      <c r="AM163" s="936"/>
      <c r="AN163" s="936"/>
      <c r="AO163" s="936"/>
      <c r="AP163" s="936"/>
      <c r="AQ163" s="936"/>
      <c r="AR163" s="936"/>
      <c r="AS163" s="936"/>
      <c r="AT163" s="936"/>
      <c r="AU163" s="936"/>
      <c r="AV163" s="937"/>
    </row>
    <row r="164" spans="1:48" ht="18.75" customHeight="1">
      <c r="C164" s="935"/>
      <c r="D164" s="936"/>
      <c r="E164" s="936"/>
      <c r="F164" s="936"/>
      <c r="G164" s="936"/>
      <c r="H164" s="936"/>
      <c r="I164" s="936"/>
      <c r="J164" s="936"/>
      <c r="K164" s="936"/>
      <c r="L164" s="936"/>
      <c r="M164" s="936"/>
      <c r="N164" s="936"/>
      <c r="O164" s="936"/>
      <c r="P164" s="936"/>
      <c r="Q164" s="936"/>
      <c r="R164" s="936"/>
      <c r="S164" s="936"/>
      <c r="T164" s="936"/>
      <c r="U164" s="936"/>
      <c r="V164" s="936"/>
      <c r="W164" s="936"/>
      <c r="X164" s="936"/>
      <c r="Y164" s="936"/>
      <c r="Z164" s="936"/>
      <c r="AA164" s="936"/>
      <c r="AB164" s="936"/>
      <c r="AC164" s="936"/>
      <c r="AD164" s="936"/>
      <c r="AE164" s="936"/>
      <c r="AF164" s="936"/>
      <c r="AG164" s="936"/>
      <c r="AH164" s="936"/>
      <c r="AI164" s="937"/>
      <c r="AJ164" s="936"/>
      <c r="AK164" s="936"/>
      <c r="AL164" s="936"/>
      <c r="AM164" s="936"/>
      <c r="AN164" s="936"/>
      <c r="AO164" s="936"/>
      <c r="AP164" s="936"/>
      <c r="AQ164" s="936"/>
      <c r="AR164" s="936"/>
      <c r="AS164" s="936"/>
      <c r="AT164" s="936"/>
      <c r="AU164" s="936"/>
      <c r="AV164" s="937"/>
    </row>
    <row r="165" spans="1:48" ht="18.75" customHeight="1">
      <c r="C165" s="935"/>
      <c r="D165" s="936"/>
      <c r="E165" s="936"/>
      <c r="F165" s="936"/>
      <c r="G165" s="936"/>
      <c r="H165" s="936"/>
      <c r="I165" s="936"/>
      <c r="J165" s="936"/>
      <c r="K165" s="936"/>
      <c r="L165" s="936"/>
      <c r="M165" s="936"/>
      <c r="N165" s="936"/>
      <c r="O165" s="936"/>
      <c r="P165" s="936"/>
      <c r="Q165" s="936"/>
      <c r="R165" s="936"/>
      <c r="S165" s="936"/>
      <c r="T165" s="936"/>
      <c r="U165" s="936"/>
      <c r="V165" s="936"/>
      <c r="W165" s="936"/>
      <c r="X165" s="936"/>
      <c r="Y165" s="936"/>
      <c r="Z165" s="936"/>
      <c r="AA165" s="936"/>
      <c r="AB165" s="936"/>
      <c r="AC165" s="936"/>
      <c r="AD165" s="936"/>
      <c r="AE165" s="936"/>
      <c r="AF165" s="936"/>
      <c r="AG165" s="936"/>
      <c r="AH165" s="936"/>
      <c r="AI165" s="937"/>
      <c r="AJ165" s="936"/>
      <c r="AK165" s="936"/>
      <c r="AL165" s="936"/>
      <c r="AM165" s="936"/>
      <c r="AN165" s="936"/>
      <c r="AO165" s="936"/>
      <c r="AP165" s="936"/>
      <c r="AQ165" s="936"/>
      <c r="AR165" s="936"/>
      <c r="AS165" s="936"/>
      <c r="AT165" s="936"/>
      <c r="AU165" s="936"/>
      <c r="AV165" s="937"/>
    </row>
    <row r="166" spans="1:48" ht="18.75" customHeight="1">
      <c r="C166" s="938"/>
      <c r="D166" s="939"/>
      <c r="E166" s="939"/>
      <c r="F166" s="939"/>
      <c r="G166" s="939"/>
      <c r="H166" s="939"/>
      <c r="I166" s="939"/>
      <c r="J166" s="939"/>
      <c r="K166" s="939"/>
      <c r="L166" s="939"/>
      <c r="M166" s="939"/>
      <c r="N166" s="939"/>
      <c r="O166" s="939"/>
      <c r="P166" s="939"/>
      <c r="Q166" s="939"/>
      <c r="R166" s="939"/>
      <c r="S166" s="939"/>
      <c r="T166" s="939"/>
      <c r="U166" s="939"/>
      <c r="V166" s="939"/>
      <c r="W166" s="939"/>
      <c r="X166" s="939"/>
      <c r="Y166" s="939"/>
      <c r="Z166" s="939"/>
      <c r="AA166" s="939"/>
      <c r="AB166" s="939"/>
      <c r="AC166" s="939"/>
      <c r="AD166" s="939"/>
      <c r="AE166" s="939"/>
      <c r="AF166" s="939"/>
      <c r="AG166" s="939"/>
      <c r="AH166" s="939"/>
      <c r="AI166" s="940"/>
      <c r="AJ166" s="939"/>
      <c r="AK166" s="939"/>
      <c r="AL166" s="939"/>
      <c r="AM166" s="939"/>
      <c r="AN166" s="939"/>
      <c r="AO166" s="939"/>
      <c r="AP166" s="939"/>
      <c r="AQ166" s="939"/>
      <c r="AR166" s="939"/>
      <c r="AS166" s="939"/>
      <c r="AT166" s="939"/>
      <c r="AU166" s="939"/>
      <c r="AV166" s="940"/>
    </row>
    <row r="167" spans="1:48" ht="22.5" customHeight="1">
      <c r="A167" s="891">
        <f>+A151+1</f>
        <v>8</v>
      </c>
      <c r="B167" s="739"/>
      <c r="C167" s="343" t="s">
        <v>4463</v>
      </c>
      <c r="D167" s="355"/>
      <c r="F167" s="367"/>
    </row>
    <row r="168" spans="1:48" ht="51.75" customHeight="1">
      <c r="C168" s="893"/>
      <c r="D168" s="887"/>
      <c r="E168" s="887"/>
      <c r="F168" s="887"/>
      <c r="G168" s="887"/>
      <c r="H168" s="887"/>
      <c r="I168" s="887"/>
      <c r="J168" s="887"/>
      <c r="K168" s="887"/>
      <c r="L168" s="887"/>
      <c r="M168" s="887"/>
      <c r="N168" s="887"/>
      <c r="O168" s="887"/>
      <c r="P168" s="887"/>
      <c r="Q168" s="887"/>
      <c r="R168" s="887"/>
      <c r="S168" s="887"/>
      <c r="T168" s="887"/>
      <c r="U168" s="894"/>
      <c r="V168" s="894"/>
      <c r="W168" s="894"/>
      <c r="X168" s="894"/>
      <c r="Y168" s="894"/>
      <c r="Z168" s="894"/>
      <c r="AA168" s="894"/>
      <c r="AB168" s="894"/>
      <c r="AC168" s="894"/>
      <c r="AD168" s="894"/>
      <c r="AE168" s="894"/>
      <c r="AF168" s="894"/>
      <c r="AG168" s="894"/>
      <c r="AH168" s="894"/>
      <c r="AI168" s="894"/>
      <c r="AJ168" s="894"/>
      <c r="AK168" s="894"/>
      <c r="AL168" s="894"/>
      <c r="AM168" s="894"/>
      <c r="AN168" s="894"/>
      <c r="AO168" s="894"/>
      <c r="AP168" s="894"/>
      <c r="AQ168" s="894"/>
      <c r="AR168" s="894"/>
      <c r="AS168" s="894"/>
      <c r="AT168" s="894"/>
      <c r="AU168" s="894"/>
      <c r="AV168" s="894"/>
    </row>
    <row r="169" spans="1:48" ht="23.25" customHeight="1">
      <c r="A169" s="891">
        <f>+A167+1</f>
        <v>9</v>
      </c>
      <c r="B169" s="892"/>
      <c r="C169" s="355" t="s">
        <v>4464</v>
      </c>
      <c r="D169" s="355"/>
      <c r="F169" s="367"/>
      <c r="M169" s="284"/>
    </row>
    <row r="170" spans="1:48" s="284" customFormat="1" ht="17.25" customHeight="1">
      <c r="C170" s="930" t="s">
        <v>4465</v>
      </c>
      <c r="D170" s="930"/>
      <c r="E170" s="930"/>
      <c r="F170" s="930"/>
      <c r="G170" s="930"/>
      <c r="H170" s="930"/>
      <c r="I170" s="930"/>
      <c r="J170" s="930"/>
      <c r="K170" s="930"/>
      <c r="L170" s="930"/>
      <c r="M170" s="930"/>
      <c r="N170" s="930"/>
      <c r="O170" s="930"/>
      <c r="P170" s="930"/>
      <c r="Q170" s="930"/>
      <c r="R170" s="930"/>
      <c r="S170" s="930"/>
      <c r="T170" s="930"/>
      <c r="U170" s="931"/>
      <c r="V170" s="931"/>
      <c r="W170" s="931"/>
      <c r="X170" s="931"/>
      <c r="Y170" s="931"/>
      <c r="Z170" s="931"/>
      <c r="AA170" s="931"/>
      <c r="AB170" s="931"/>
      <c r="AC170" s="931"/>
      <c r="AD170" s="931"/>
      <c r="AE170" s="931"/>
      <c r="AF170" s="931"/>
      <c r="AG170" s="931"/>
      <c r="AH170" s="931"/>
      <c r="AI170" s="931"/>
      <c r="AJ170" s="931"/>
      <c r="AK170" s="931"/>
      <c r="AL170" s="931"/>
      <c r="AM170" s="931"/>
      <c r="AN170" s="931"/>
      <c r="AO170" s="931"/>
      <c r="AP170" s="931"/>
      <c r="AQ170" s="931"/>
      <c r="AR170" s="931"/>
      <c r="AS170" s="931"/>
      <c r="AT170" s="931"/>
      <c r="AU170" s="931"/>
      <c r="AV170" s="931"/>
    </row>
    <row r="171" spans="1:48" ht="24.75" customHeight="1">
      <c r="C171" s="893"/>
      <c r="D171" s="887"/>
      <c r="E171" s="887"/>
      <c r="F171" s="887"/>
      <c r="G171" s="887"/>
      <c r="H171" s="887"/>
      <c r="I171" s="887"/>
      <c r="J171" s="887"/>
      <c r="K171" s="887"/>
      <c r="L171" s="887"/>
      <c r="M171" s="887"/>
      <c r="N171" s="887"/>
      <c r="O171" s="887"/>
      <c r="P171" s="887"/>
      <c r="Q171" s="887"/>
      <c r="R171" s="887"/>
      <c r="S171" s="887"/>
      <c r="T171" s="887"/>
      <c r="U171" s="894"/>
      <c r="V171" s="894"/>
      <c r="W171" s="894"/>
      <c r="X171" s="894"/>
      <c r="Y171" s="894"/>
      <c r="Z171" s="894"/>
      <c r="AA171" s="894"/>
      <c r="AB171" s="894"/>
      <c r="AC171" s="894"/>
      <c r="AD171" s="894"/>
      <c r="AE171" s="894"/>
      <c r="AF171" s="894"/>
      <c r="AG171" s="894"/>
      <c r="AH171" s="894"/>
      <c r="AI171" s="894"/>
      <c r="AJ171" s="894"/>
      <c r="AK171" s="894"/>
      <c r="AL171" s="894"/>
      <c r="AM171" s="894"/>
      <c r="AN171" s="894"/>
      <c r="AO171" s="894"/>
      <c r="AP171" s="894"/>
      <c r="AQ171" s="894"/>
      <c r="AR171" s="894"/>
      <c r="AS171" s="894"/>
      <c r="AT171" s="894"/>
      <c r="AU171" s="894"/>
      <c r="AV171" s="894"/>
    </row>
    <row r="172" spans="1:48" s="284" customFormat="1" ht="15.75" customHeight="1">
      <c r="C172" s="930" t="s">
        <v>4466</v>
      </c>
      <c r="D172" s="930"/>
      <c r="E172" s="930"/>
      <c r="F172" s="930"/>
      <c r="G172" s="930"/>
      <c r="H172" s="930"/>
      <c r="I172" s="930"/>
      <c r="J172" s="930"/>
      <c r="K172" s="930"/>
      <c r="L172" s="930"/>
      <c r="M172" s="930"/>
      <c r="N172" s="930"/>
      <c r="O172" s="930"/>
      <c r="P172" s="930"/>
      <c r="Q172" s="930"/>
      <c r="R172" s="930"/>
      <c r="S172" s="930"/>
      <c r="T172" s="930"/>
      <c r="U172" s="931"/>
      <c r="V172" s="931"/>
      <c r="W172" s="931"/>
      <c r="X172" s="931"/>
      <c r="Y172" s="931"/>
      <c r="Z172" s="931"/>
      <c r="AA172" s="931"/>
      <c r="AB172" s="931"/>
      <c r="AC172" s="931"/>
      <c r="AD172" s="931"/>
      <c r="AE172" s="931"/>
      <c r="AF172" s="931"/>
      <c r="AG172" s="931"/>
      <c r="AH172" s="931"/>
      <c r="AI172" s="931"/>
      <c r="AJ172" s="931"/>
      <c r="AK172" s="931"/>
      <c r="AL172" s="931"/>
      <c r="AM172" s="931"/>
      <c r="AN172" s="931"/>
      <c r="AO172" s="931"/>
      <c r="AP172" s="931"/>
      <c r="AQ172" s="931"/>
      <c r="AR172" s="931"/>
      <c r="AS172" s="931"/>
      <c r="AT172" s="931"/>
      <c r="AU172" s="931"/>
      <c r="AV172" s="931"/>
    </row>
    <row r="173" spans="1:48" ht="27" customHeight="1">
      <c r="C173" s="753"/>
      <c r="D173" s="889"/>
      <c r="E173" s="889"/>
      <c r="F173" s="889"/>
      <c r="G173" s="889"/>
      <c r="H173" s="889"/>
      <c r="I173" s="889"/>
      <c r="J173" s="889"/>
      <c r="K173" s="889"/>
      <c r="L173" s="889"/>
      <c r="M173" s="889"/>
      <c r="N173" s="889"/>
      <c r="O173" s="889"/>
      <c r="P173" s="889"/>
      <c r="Q173" s="889"/>
      <c r="R173" s="889"/>
      <c r="S173" s="889"/>
      <c r="T173" s="889"/>
      <c r="U173" s="910"/>
      <c r="V173" s="910"/>
      <c r="W173" s="910"/>
      <c r="X173" s="910"/>
      <c r="Y173" s="910"/>
      <c r="Z173" s="910"/>
      <c r="AA173" s="910"/>
      <c r="AB173" s="910"/>
      <c r="AC173" s="910"/>
      <c r="AD173" s="910"/>
      <c r="AE173" s="910"/>
      <c r="AF173" s="910"/>
      <c r="AG173" s="910"/>
      <c r="AH173" s="910"/>
      <c r="AI173" s="910"/>
      <c r="AJ173" s="910"/>
      <c r="AK173" s="910"/>
      <c r="AL173" s="910"/>
      <c r="AM173" s="910"/>
      <c r="AN173" s="910"/>
      <c r="AO173" s="910"/>
      <c r="AP173" s="910"/>
      <c r="AQ173" s="910"/>
      <c r="AR173" s="910"/>
      <c r="AS173" s="910"/>
      <c r="AT173" s="910"/>
      <c r="AU173" s="910"/>
      <c r="AV173" s="910"/>
    </row>
    <row r="174" spans="1:48" s="284" customFormat="1" ht="16.5" customHeight="1">
      <c r="C174" s="930" t="s">
        <v>4467</v>
      </c>
      <c r="D174" s="930"/>
      <c r="E174" s="930"/>
      <c r="F174" s="930"/>
      <c r="G174" s="930"/>
      <c r="H174" s="930"/>
      <c r="I174" s="930"/>
      <c r="J174" s="930"/>
      <c r="K174" s="930"/>
      <c r="L174" s="930"/>
      <c r="M174" s="930"/>
      <c r="N174" s="930"/>
      <c r="O174" s="930"/>
      <c r="P174" s="930"/>
      <c r="Q174" s="930"/>
      <c r="R174" s="930"/>
      <c r="S174" s="930"/>
      <c r="T174" s="930"/>
      <c r="U174" s="931"/>
      <c r="V174" s="931"/>
      <c r="W174" s="931"/>
      <c r="X174" s="931"/>
      <c r="Y174" s="931"/>
      <c r="Z174" s="931"/>
      <c r="AA174" s="931"/>
      <c r="AB174" s="931"/>
      <c r="AC174" s="931"/>
      <c r="AD174" s="931"/>
      <c r="AE174" s="931"/>
      <c r="AF174" s="931"/>
      <c r="AG174" s="931"/>
      <c r="AH174" s="931"/>
      <c r="AI174" s="931"/>
      <c r="AJ174" s="931"/>
      <c r="AK174" s="931"/>
      <c r="AL174" s="931"/>
      <c r="AM174" s="931"/>
      <c r="AN174" s="931"/>
      <c r="AO174" s="931"/>
      <c r="AP174" s="931"/>
      <c r="AQ174" s="931"/>
      <c r="AR174" s="931"/>
      <c r="AS174" s="931"/>
      <c r="AT174" s="931"/>
      <c r="AU174" s="931"/>
      <c r="AV174" s="931"/>
    </row>
    <row r="175" spans="1:48" ht="21.75" customHeight="1">
      <c r="C175" s="753"/>
      <c r="D175" s="889"/>
      <c r="E175" s="889"/>
      <c r="F175" s="889"/>
      <c r="G175" s="889"/>
      <c r="H175" s="889"/>
      <c r="I175" s="889"/>
      <c r="J175" s="889"/>
      <c r="K175" s="889"/>
      <c r="L175" s="889"/>
      <c r="M175" s="889"/>
      <c r="N175" s="889"/>
      <c r="O175" s="889"/>
      <c r="P175" s="889"/>
      <c r="Q175" s="889"/>
      <c r="R175" s="889"/>
      <c r="S175" s="889"/>
      <c r="T175" s="889"/>
      <c r="U175" s="910"/>
      <c r="V175" s="910"/>
      <c r="W175" s="910"/>
      <c r="X175" s="910"/>
      <c r="Y175" s="910"/>
      <c r="Z175" s="910"/>
      <c r="AA175" s="910"/>
      <c r="AB175" s="910"/>
      <c r="AC175" s="910"/>
      <c r="AD175" s="910"/>
      <c r="AE175" s="910"/>
      <c r="AF175" s="910"/>
      <c r="AG175" s="910"/>
      <c r="AH175" s="910"/>
      <c r="AI175" s="910"/>
      <c r="AJ175" s="910"/>
      <c r="AK175" s="910"/>
      <c r="AL175" s="910"/>
      <c r="AM175" s="910"/>
      <c r="AN175" s="910"/>
      <c r="AO175" s="910"/>
      <c r="AP175" s="910"/>
      <c r="AQ175" s="910"/>
      <c r="AR175" s="910"/>
      <c r="AS175" s="910"/>
      <c r="AT175" s="910"/>
      <c r="AU175" s="910"/>
      <c r="AV175" s="910"/>
    </row>
    <row r="176" spans="1:48" ht="24" customHeight="1">
      <c r="A176" s="891">
        <f>+A169+1</f>
        <v>10</v>
      </c>
      <c r="B176" s="891"/>
      <c r="C176" s="355" t="s">
        <v>4468</v>
      </c>
      <c r="D176" s="343"/>
      <c r="F176" s="367"/>
      <c r="P176" s="368" t="s">
        <v>4433</v>
      </c>
      <c r="Q176" s="343"/>
      <c r="S176" s="367"/>
    </row>
    <row r="177" spans="1:48" ht="5.25" customHeight="1">
      <c r="C177" s="262"/>
      <c r="D177" s="262"/>
      <c r="F177" s="367"/>
      <c r="J177" s="344"/>
      <c r="AE177" s="398"/>
      <c r="AN177" s="399"/>
      <c r="AO177" s="399"/>
      <c r="AP177" s="399"/>
      <c r="AQ177" s="399"/>
      <c r="AR177" s="399"/>
      <c r="AS177" s="399"/>
      <c r="AT177" s="399"/>
      <c r="AU177" s="399"/>
    </row>
    <row r="178" spans="1:48" ht="53.25" customHeight="1">
      <c r="C178" s="950" t="s">
        <v>4469</v>
      </c>
      <c r="D178" s="951"/>
      <c r="E178" s="951"/>
      <c r="F178" s="951"/>
      <c r="G178" s="951"/>
      <c r="H178" s="951"/>
      <c r="I178" s="951"/>
      <c r="J178" s="951"/>
      <c r="K178" s="951"/>
      <c r="L178" s="951"/>
      <c r="M178" s="951"/>
      <c r="N178" s="952" t="s">
        <v>4470</v>
      </c>
      <c r="O178" s="952"/>
      <c r="P178" s="952"/>
      <c r="Q178" s="952"/>
      <c r="R178" s="952"/>
      <c r="S178" s="952"/>
      <c r="T178" s="952"/>
      <c r="U178" s="950"/>
      <c r="V178" s="953" t="s">
        <v>4471</v>
      </c>
      <c r="W178" s="953"/>
      <c r="X178" s="953"/>
      <c r="Y178" s="953"/>
      <c r="Z178" s="953"/>
      <c r="AA178" s="953"/>
      <c r="AB178" s="953"/>
      <c r="AC178" s="954"/>
      <c r="AD178" s="952" t="s">
        <v>4472</v>
      </c>
      <c r="AE178" s="952"/>
      <c r="AF178" s="952"/>
      <c r="AG178" s="952"/>
      <c r="AH178" s="952"/>
      <c r="AI178" s="952"/>
      <c r="AJ178" s="952"/>
      <c r="AK178" s="950"/>
      <c r="AL178" s="952" t="s">
        <v>4473</v>
      </c>
      <c r="AM178" s="952"/>
      <c r="AN178" s="952"/>
      <c r="AO178" s="952"/>
      <c r="AP178" s="952"/>
      <c r="AQ178" s="952"/>
      <c r="AR178" s="952"/>
      <c r="AS178" s="955"/>
    </row>
    <row r="179" spans="1:48" s="323" customFormat="1" ht="18" customHeight="1">
      <c r="C179" s="943" t="s">
        <v>4474</v>
      </c>
      <c r="D179" s="944"/>
      <c r="E179" s="944"/>
      <c r="F179" s="944"/>
      <c r="G179" s="944"/>
      <c r="H179" s="944"/>
      <c r="I179" s="944"/>
      <c r="J179" s="944"/>
      <c r="K179" s="944"/>
      <c r="L179" s="944"/>
      <c r="M179" s="945"/>
      <c r="N179" s="946">
        <v>0</v>
      </c>
      <c r="O179" s="947"/>
      <c r="P179" s="947"/>
      <c r="Q179" s="947"/>
      <c r="R179" s="947"/>
      <c r="S179" s="947"/>
      <c r="T179" s="400" t="s">
        <v>4475</v>
      </c>
      <c r="U179" s="400"/>
      <c r="V179" s="948">
        <v>0</v>
      </c>
      <c r="W179" s="949"/>
      <c r="X179" s="949"/>
      <c r="Y179" s="949"/>
      <c r="Z179" s="949"/>
      <c r="AA179" s="949"/>
      <c r="AB179" s="401" t="s">
        <v>4476</v>
      </c>
      <c r="AC179" s="401"/>
      <c r="AD179" s="946">
        <v>0</v>
      </c>
      <c r="AE179" s="947"/>
      <c r="AF179" s="947"/>
      <c r="AG179" s="947"/>
      <c r="AH179" s="947"/>
      <c r="AI179" s="947"/>
      <c r="AJ179" s="400" t="s">
        <v>4475</v>
      </c>
      <c r="AK179" s="400"/>
      <c r="AL179" s="946">
        <f>SUM(N179:AI179)</f>
        <v>0</v>
      </c>
      <c r="AM179" s="947"/>
      <c r="AN179" s="947"/>
      <c r="AO179" s="947"/>
      <c r="AP179" s="947"/>
      <c r="AQ179" s="947"/>
      <c r="AR179" s="402" t="s">
        <v>4475</v>
      </c>
      <c r="AS179" s="403"/>
    </row>
    <row r="180" spans="1:48" s="323" customFormat="1" ht="18" customHeight="1">
      <c r="C180" s="943" t="s">
        <v>4477</v>
      </c>
      <c r="D180" s="944"/>
      <c r="E180" s="944"/>
      <c r="F180" s="944"/>
      <c r="G180" s="944"/>
      <c r="H180" s="944"/>
      <c r="I180" s="944"/>
      <c r="J180" s="944"/>
      <c r="K180" s="944"/>
      <c r="L180" s="944"/>
      <c r="M180" s="945"/>
      <c r="N180" s="946">
        <v>0</v>
      </c>
      <c r="O180" s="947"/>
      <c r="P180" s="947"/>
      <c r="Q180" s="947"/>
      <c r="R180" s="947"/>
      <c r="S180" s="947"/>
      <c r="T180" s="400" t="s">
        <v>4475</v>
      </c>
      <c r="U180" s="400"/>
      <c r="V180" s="948">
        <v>0</v>
      </c>
      <c r="W180" s="949"/>
      <c r="X180" s="949"/>
      <c r="Y180" s="949"/>
      <c r="Z180" s="949"/>
      <c r="AA180" s="949"/>
      <c r="AB180" s="401" t="s">
        <v>4476</v>
      </c>
      <c r="AC180" s="401"/>
      <c r="AD180" s="946">
        <v>0</v>
      </c>
      <c r="AE180" s="947"/>
      <c r="AF180" s="947"/>
      <c r="AG180" s="947"/>
      <c r="AH180" s="947"/>
      <c r="AI180" s="947"/>
      <c r="AJ180" s="400" t="s">
        <v>4475</v>
      </c>
      <c r="AK180" s="400"/>
      <c r="AL180" s="946">
        <f t="shared" ref="AL180:AL181" si="42">SUM(N180:AI180)</f>
        <v>0</v>
      </c>
      <c r="AM180" s="947"/>
      <c r="AN180" s="947"/>
      <c r="AO180" s="947"/>
      <c r="AP180" s="947"/>
      <c r="AQ180" s="947"/>
      <c r="AR180" s="402" t="s">
        <v>4475</v>
      </c>
      <c r="AS180" s="403"/>
    </row>
    <row r="181" spans="1:48" s="323" customFormat="1" ht="18" customHeight="1">
      <c r="C181" s="943" t="s">
        <v>4478</v>
      </c>
      <c r="D181" s="944"/>
      <c r="E181" s="944"/>
      <c r="F181" s="944"/>
      <c r="G181" s="944"/>
      <c r="H181" s="944"/>
      <c r="I181" s="944"/>
      <c r="J181" s="944"/>
      <c r="K181" s="944"/>
      <c r="L181" s="944"/>
      <c r="M181" s="945"/>
      <c r="N181" s="946">
        <v>0</v>
      </c>
      <c r="O181" s="947"/>
      <c r="P181" s="947"/>
      <c r="Q181" s="947"/>
      <c r="R181" s="947"/>
      <c r="S181" s="947"/>
      <c r="T181" s="400" t="s">
        <v>4475</v>
      </c>
      <c r="U181" s="400"/>
      <c r="V181" s="948">
        <v>0</v>
      </c>
      <c r="W181" s="949"/>
      <c r="X181" s="949"/>
      <c r="Y181" s="949"/>
      <c r="Z181" s="949"/>
      <c r="AA181" s="949"/>
      <c r="AB181" s="401" t="s">
        <v>4476</v>
      </c>
      <c r="AC181" s="401"/>
      <c r="AD181" s="946">
        <v>0</v>
      </c>
      <c r="AE181" s="947"/>
      <c r="AF181" s="947"/>
      <c r="AG181" s="947"/>
      <c r="AH181" s="947"/>
      <c r="AI181" s="947"/>
      <c r="AJ181" s="400" t="s">
        <v>4475</v>
      </c>
      <c r="AK181" s="400"/>
      <c r="AL181" s="946">
        <f t="shared" si="42"/>
        <v>0</v>
      </c>
      <c r="AM181" s="947"/>
      <c r="AN181" s="947"/>
      <c r="AO181" s="947"/>
      <c r="AP181" s="947"/>
      <c r="AQ181" s="947"/>
      <c r="AR181" s="402" t="s">
        <v>4475</v>
      </c>
      <c r="AS181" s="403"/>
    </row>
    <row r="182" spans="1:48" s="382" customFormat="1" ht="20.100000000000001" customHeight="1" thickBot="1">
      <c r="C182" s="404" t="s">
        <v>4479</v>
      </c>
      <c r="D182" s="405"/>
      <c r="E182" s="405"/>
      <c r="F182" s="405"/>
      <c r="G182" s="405"/>
      <c r="H182" s="405"/>
      <c r="I182" s="405"/>
      <c r="J182" s="405"/>
      <c r="K182" s="405"/>
      <c r="L182" s="405"/>
      <c r="M182" s="405"/>
      <c r="N182" s="972">
        <f>SUM(N179:S181)</f>
        <v>0</v>
      </c>
      <c r="O182" s="973"/>
      <c r="P182" s="973"/>
      <c r="Q182" s="973"/>
      <c r="R182" s="973"/>
      <c r="S182" s="973"/>
      <c r="T182" s="406" t="s">
        <v>4437</v>
      </c>
      <c r="U182" s="406"/>
      <c r="V182" s="974">
        <f>SUM(V179:AA181)</f>
        <v>0</v>
      </c>
      <c r="W182" s="975"/>
      <c r="X182" s="975"/>
      <c r="Y182" s="975"/>
      <c r="Z182" s="975"/>
      <c r="AA182" s="975"/>
      <c r="AB182" s="407" t="s">
        <v>4480</v>
      </c>
      <c r="AC182" s="407"/>
      <c r="AD182" s="972">
        <f>SUM(AD179:AI181)</f>
        <v>0</v>
      </c>
      <c r="AE182" s="973"/>
      <c r="AF182" s="973"/>
      <c r="AG182" s="973"/>
      <c r="AH182" s="973"/>
      <c r="AI182" s="973"/>
      <c r="AJ182" s="406" t="s">
        <v>4437</v>
      </c>
      <c r="AK182" s="406"/>
      <c r="AL182" s="972">
        <f>SUM(AL179:AQ181)</f>
        <v>0</v>
      </c>
      <c r="AM182" s="973"/>
      <c r="AN182" s="973"/>
      <c r="AO182" s="973"/>
      <c r="AP182" s="973"/>
      <c r="AQ182" s="973"/>
      <c r="AR182" s="408" t="s">
        <v>4437</v>
      </c>
      <c r="AS182" s="409"/>
    </row>
    <row r="183" spans="1:48" s="323" customFormat="1" ht="18" customHeight="1">
      <c r="A183" s="323" t="s">
        <v>102</v>
      </c>
      <c r="C183" s="956" t="s">
        <v>4481</v>
      </c>
      <c r="D183" s="957"/>
      <c r="E183" s="957"/>
      <c r="F183" s="957"/>
      <c r="G183" s="957"/>
      <c r="H183" s="957"/>
      <c r="I183" s="957"/>
      <c r="J183" s="957"/>
      <c r="K183" s="957"/>
      <c r="L183" s="957"/>
      <c r="M183" s="958"/>
      <c r="N183" s="959">
        <v>0</v>
      </c>
      <c r="O183" s="960"/>
      <c r="P183" s="960"/>
      <c r="Q183" s="960"/>
      <c r="R183" s="960"/>
      <c r="S183" s="960"/>
      <c r="T183" s="400" t="s">
        <v>4475</v>
      </c>
      <c r="U183" s="410"/>
      <c r="V183" s="961">
        <v>0</v>
      </c>
      <c r="W183" s="961"/>
      <c r="X183" s="961"/>
      <c r="Y183" s="961"/>
      <c r="Z183" s="961"/>
      <c r="AA183" s="962"/>
      <c r="AB183" s="401" t="s">
        <v>4476</v>
      </c>
      <c r="AC183" s="411"/>
      <c r="AD183" s="963">
        <v>0</v>
      </c>
      <c r="AE183" s="963"/>
      <c r="AF183" s="963"/>
      <c r="AG183" s="963"/>
      <c r="AH183" s="963"/>
      <c r="AI183" s="959"/>
      <c r="AJ183" s="400" t="s">
        <v>4475</v>
      </c>
      <c r="AK183" s="410"/>
      <c r="AL183" s="963">
        <f>SUM(N183:AI183)</f>
        <v>0</v>
      </c>
      <c r="AM183" s="963"/>
      <c r="AN183" s="963"/>
      <c r="AO183" s="963"/>
      <c r="AP183" s="963"/>
      <c r="AQ183" s="959"/>
      <c r="AR183" s="402" t="s">
        <v>4475</v>
      </c>
      <c r="AS183" s="412"/>
    </row>
    <row r="184" spans="1:48" s="323" customFormat="1" ht="18" customHeight="1" thickBot="1">
      <c r="C184" s="964" t="s">
        <v>4482</v>
      </c>
      <c r="D184" s="965"/>
      <c r="E184" s="965"/>
      <c r="F184" s="965"/>
      <c r="G184" s="965"/>
      <c r="H184" s="965"/>
      <c r="I184" s="965"/>
      <c r="J184" s="965"/>
      <c r="K184" s="965"/>
      <c r="L184" s="965"/>
      <c r="M184" s="966"/>
      <c r="N184" s="967">
        <v>0</v>
      </c>
      <c r="O184" s="968"/>
      <c r="P184" s="968"/>
      <c r="Q184" s="968"/>
      <c r="R184" s="968"/>
      <c r="S184" s="968"/>
      <c r="T184" s="413" t="s">
        <v>4475</v>
      </c>
      <c r="U184" s="414"/>
      <c r="V184" s="969">
        <v>0</v>
      </c>
      <c r="W184" s="969"/>
      <c r="X184" s="969"/>
      <c r="Y184" s="969"/>
      <c r="Z184" s="969"/>
      <c r="AA184" s="970"/>
      <c r="AB184" s="415" t="s">
        <v>4476</v>
      </c>
      <c r="AC184" s="416"/>
      <c r="AD184" s="971">
        <v>0</v>
      </c>
      <c r="AE184" s="971"/>
      <c r="AF184" s="971"/>
      <c r="AG184" s="971"/>
      <c r="AH184" s="971"/>
      <c r="AI184" s="967"/>
      <c r="AJ184" s="413" t="s">
        <v>4475</v>
      </c>
      <c r="AK184" s="414"/>
      <c r="AL184" s="971">
        <f>SUM(N184:AI184)</f>
        <v>0</v>
      </c>
      <c r="AM184" s="971"/>
      <c r="AN184" s="971"/>
      <c r="AO184" s="971"/>
      <c r="AP184" s="971"/>
      <c r="AQ184" s="967"/>
      <c r="AR184" s="417" t="s">
        <v>4475</v>
      </c>
      <c r="AS184" s="418"/>
    </row>
    <row r="185" spans="1:48" ht="27" customHeight="1">
      <c r="A185" s="891">
        <f>1+A176</f>
        <v>11</v>
      </c>
      <c r="B185" s="891"/>
      <c r="C185" s="355" t="s">
        <v>4483</v>
      </c>
      <c r="D185" s="355"/>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row>
    <row r="186" spans="1:48" s="323" customFormat="1" ht="5.25" customHeight="1">
      <c r="C186" s="339"/>
      <c r="D186" s="339"/>
      <c r="E186" s="419"/>
      <c r="F186" s="419"/>
      <c r="G186" s="419"/>
      <c r="H186" s="419"/>
      <c r="I186" s="419"/>
      <c r="J186" s="419"/>
      <c r="K186" s="419"/>
      <c r="L186" s="419"/>
      <c r="M186" s="419"/>
      <c r="N186" s="419"/>
      <c r="O186" s="419"/>
      <c r="P186" s="419"/>
      <c r="Q186" s="419"/>
      <c r="R186" s="419"/>
      <c r="S186" s="419"/>
      <c r="T186" s="419"/>
      <c r="U186" s="419"/>
      <c r="V186" s="419"/>
      <c r="W186" s="419"/>
      <c r="X186" s="419"/>
      <c r="Y186" s="419"/>
      <c r="Z186" s="419"/>
      <c r="AA186" s="419"/>
      <c r="AB186" s="419"/>
      <c r="AC186" s="419"/>
      <c r="AD186" s="419"/>
      <c r="AE186" s="419"/>
      <c r="AF186" s="419"/>
      <c r="AG186" s="419"/>
      <c r="AH186" s="419"/>
      <c r="AI186" s="419"/>
      <c r="AJ186" s="419"/>
      <c r="AK186" s="419"/>
      <c r="AL186" s="419"/>
      <c r="AM186" s="420"/>
      <c r="AN186" s="421"/>
      <c r="AR186" s="420"/>
      <c r="AS186" s="421"/>
    </row>
    <row r="187" spans="1:48" s="385" customFormat="1" ht="53.25" customHeight="1">
      <c r="A187" s="363"/>
      <c r="B187" s="363"/>
      <c r="C187" s="422"/>
      <c r="D187" s="423"/>
      <c r="E187" s="423"/>
      <c r="F187" s="423"/>
      <c r="G187" s="423"/>
      <c r="H187" s="423"/>
      <c r="I187" s="423"/>
      <c r="J187" s="423"/>
      <c r="K187" s="423"/>
      <c r="L187" s="423"/>
      <c r="M187" s="423"/>
      <c r="N187" s="423"/>
      <c r="O187" s="423"/>
      <c r="P187" s="423"/>
      <c r="Q187" s="423"/>
      <c r="R187" s="423"/>
      <c r="S187" s="423"/>
      <c r="T187" s="423"/>
      <c r="U187" s="423"/>
      <c r="V187" s="423"/>
      <c r="W187" s="423"/>
      <c r="X187" s="423"/>
      <c r="Y187" s="423"/>
      <c r="Z187" s="423"/>
      <c r="AA187" s="423"/>
      <c r="AB187" s="423"/>
      <c r="AC187" s="423"/>
      <c r="AD187" s="423"/>
      <c r="AE187" s="423"/>
      <c r="AF187" s="423"/>
      <c r="AG187" s="423"/>
      <c r="AH187" s="423"/>
      <c r="AI187" s="423"/>
      <c r="AJ187" s="423"/>
      <c r="AK187" s="423"/>
      <c r="AL187" s="424"/>
      <c r="AM187" s="998"/>
      <c r="AN187" s="999"/>
      <c r="AO187" s="999"/>
      <c r="AP187" s="999"/>
      <c r="AQ187" s="1000"/>
      <c r="AR187" s="1001" t="s">
        <v>4484</v>
      </c>
      <c r="AS187" s="1001"/>
      <c r="AT187" s="1001"/>
      <c r="AU187" s="1001"/>
      <c r="AV187" s="1002"/>
    </row>
    <row r="188" spans="1:48" s="385" customFormat="1" ht="25.5" customHeight="1">
      <c r="A188" s="363"/>
      <c r="B188" s="363"/>
      <c r="C188" s="425"/>
      <c r="D188" s="426"/>
      <c r="E188" s="426"/>
      <c r="F188" s="426"/>
      <c r="G188" s="426"/>
      <c r="H188" s="426"/>
      <c r="I188" s="426"/>
      <c r="J188" s="426"/>
      <c r="K188" s="426"/>
      <c r="L188" s="426"/>
      <c r="M188" s="426"/>
      <c r="N188" s="426"/>
      <c r="O188" s="426"/>
      <c r="P188" s="426"/>
      <c r="Q188" s="426"/>
      <c r="R188" s="426"/>
      <c r="S188" s="426"/>
      <c r="T188" s="426"/>
      <c r="U188" s="426"/>
      <c r="V188" s="426"/>
      <c r="W188" s="426"/>
      <c r="X188" s="426"/>
      <c r="Y188" s="426"/>
      <c r="Z188" s="426"/>
      <c r="AA188" s="426"/>
      <c r="AB188" s="426"/>
      <c r="AC188" s="426"/>
      <c r="AD188" s="426"/>
      <c r="AE188" s="426"/>
      <c r="AF188" s="426"/>
      <c r="AG188" s="426"/>
      <c r="AH188" s="1003"/>
      <c r="AI188" s="1003"/>
      <c r="AJ188" s="1003"/>
      <c r="AK188" s="1003"/>
      <c r="AL188" s="1004"/>
      <c r="AM188" s="1005"/>
      <c r="AN188" s="1001"/>
      <c r="AO188" s="1001"/>
      <c r="AP188" s="1001"/>
      <c r="AQ188" s="1006"/>
      <c r="AR188" s="1001"/>
      <c r="AS188" s="1001"/>
      <c r="AT188" s="1001"/>
      <c r="AU188" s="1001"/>
      <c r="AV188" s="1002"/>
    </row>
    <row r="189" spans="1:48" s="385" customFormat="1" ht="15">
      <c r="A189" s="363"/>
      <c r="B189" s="363"/>
      <c r="C189" s="427" t="s">
        <v>4485</v>
      </c>
      <c r="D189" s="428"/>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c r="AA189" s="428"/>
      <c r="AB189" s="428"/>
      <c r="AC189" s="428"/>
      <c r="AD189" s="428"/>
      <c r="AE189" s="428"/>
      <c r="AF189" s="428"/>
      <c r="AG189" s="428"/>
      <c r="AH189" s="429"/>
      <c r="AI189" s="430"/>
      <c r="AJ189" s="431"/>
      <c r="AK189" s="431"/>
      <c r="AL189" s="432"/>
      <c r="AM189" s="976"/>
      <c r="AN189" s="977"/>
      <c r="AO189" s="978"/>
      <c r="AP189" s="978"/>
      <c r="AQ189" s="979"/>
      <c r="AR189" s="984"/>
      <c r="AS189" s="984"/>
      <c r="AT189" s="985"/>
      <c r="AU189" s="985"/>
      <c r="AV189" s="986"/>
    </row>
    <row r="190" spans="1:48" s="385" customFormat="1" ht="54" customHeight="1">
      <c r="A190" s="363"/>
      <c r="B190" s="363"/>
      <c r="C190" s="995"/>
      <c r="D190" s="996"/>
      <c r="E190" s="996"/>
      <c r="F190" s="996"/>
      <c r="G190" s="996"/>
      <c r="H190" s="996"/>
      <c r="I190" s="996"/>
      <c r="J190" s="996"/>
      <c r="K190" s="996"/>
      <c r="L190" s="996"/>
      <c r="M190" s="996"/>
      <c r="N190" s="996"/>
      <c r="O190" s="996"/>
      <c r="P190" s="996"/>
      <c r="Q190" s="996"/>
      <c r="R190" s="996"/>
      <c r="S190" s="996"/>
      <c r="T190" s="996"/>
      <c r="U190" s="996"/>
      <c r="V190" s="996"/>
      <c r="W190" s="996"/>
      <c r="X190" s="996"/>
      <c r="Y190" s="996"/>
      <c r="Z190" s="996"/>
      <c r="AA190" s="996"/>
      <c r="AB190" s="996"/>
      <c r="AC190" s="996"/>
      <c r="AD190" s="996"/>
      <c r="AE190" s="996"/>
      <c r="AF190" s="996"/>
      <c r="AG190" s="996"/>
      <c r="AH190" s="996"/>
      <c r="AI190" s="996"/>
      <c r="AJ190" s="996"/>
      <c r="AK190" s="996"/>
      <c r="AL190" s="997"/>
      <c r="AM190" s="993"/>
      <c r="AN190" s="981"/>
      <c r="AO190" s="982"/>
      <c r="AP190" s="982"/>
      <c r="AQ190" s="983"/>
      <c r="AR190" s="987"/>
      <c r="AS190" s="987"/>
      <c r="AT190" s="988"/>
      <c r="AU190" s="988"/>
      <c r="AV190" s="989"/>
    </row>
    <row r="191" spans="1:48" s="385" customFormat="1" ht="15">
      <c r="A191" s="363"/>
      <c r="B191" s="363"/>
      <c r="C191" s="427" t="s">
        <v>4486</v>
      </c>
      <c r="D191" s="428"/>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c r="AA191" s="428"/>
      <c r="AB191" s="428"/>
      <c r="AC191" s="428"/>
      <c r="AD191" s="428"/>
      <c r="AE191" s="428"/>
      <c r="AF191" s="428"/>
      <c r="AG191" s="428"/>
      <c r="AH191" s="429"/>
      <c r="AI191" s="430"/>
      <c r="AJ191" s="431"/>
      <c r="AK191" s="431"/>
      <c r="AL191" s="432"/>
      <c r="AM191" s="976"/>
      <c r="AN191" s="977"/>
      <c r="AO191" s="978"/>
      <c r="AP191" s="978"/>
      <c r="AQ191" s="979"/>
      <c r="AR191" s="984"/>
      <c r="AS191" s="984"/>
      <c r="AT191" s="985"/>
      <c r="AU191" s="985"/>
      <c r="AV191" s="986"/>
    </row>
    <row r="192" spans="1:48" s="385" customFormat="1" ht="22.5" customHeight="1">
      <c r="A192" s="363"/>
      <c r="B192" s="363"/>
      <c r="C192" s="990"/>
      <c r="D192" s="991"/>
      <c r="E192" s="991"/>
      <c r="F192" s="991"/>
      <c r="G192" s="991"/>
      <c r="H192" s="991"/>
      <c r="I192" s="991"/>
      <c r="J192" s="991"/>
      <c r="K192" s="991"/>
      <c r="L192" s="991"/>
      <c r="M192" s="991"/>
      <c r="N192" s="991"/>
      <c r="O192" s="991"/>
      <c r="P192" s="991"/>
      <c r="Q192" s="991"/>
      <c r="R192" s="991"/>
      <c r="S192" s="991"/>
      <c r="T192" s="991"/>
      <c r="U192" s="991"/>
      <c r="V192" s="991"/>
      <c r="W192" s="991"/>
      <c r="X192" s="991"/>
      <c r="Y192" s="991"/>
      <c r="Z192" s="991"/>
      <c r="AA192" s="991"/>
      <c r="AB192" s="991"/>
      <c r="AC192" s="991"/>
      <c r="AD192" s="991"/>
      <c r="AE192" s="991"/>
      <c r="AF192" s="991"/>
      <c r="AG192" s="991"/>
      <c r="AH192" s="991"/>
      <c r="AI192" s="991"/>
      <c r="AJ192" s="991"/>
      <c r="AK192" s="991"/>
      <c r="AL192" s="992"/>
      <c r="AM192" s="993"/>
      <c r="AN192" s="981"/>
      <c r="AO192" s="982"/>
      <c r="AP192" s="982"/>
      <c r="AQ192" s="983"/>
      <c r="AR192" s="987"/>
      <c r="AS192" s="987"/>
      <c r="AT192" s="988"/>
      <c r="AU192" s="988"/>
      <c r="AV192" s="989"/>
    </row>
    <row r="193" spans="1:48" s="385" customFormat="1" ht="15">
      <c r="A193" s="363"/>
      <c r="B193" s="363"/>
      <c r="C193" s="427" t="s">
        <v>4487</v>
      </c>
      <c r="D193" s="428"/>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c r="AA193" s="428"/>
      <c r="AB193" s="428"/>
      <c r="AC193" s="428"/>
      <c r="AD193" s="428"/>
      <c r="AE193" s="428"/>
      <c r="AF193" s="428"/>
      <c r="AG193" s="428"/>
      <c r="AH193" s="429"/>
      <c r="AI193" s="430"/>
      <c r="AJ193" s="431"/>
      <c r="AK193" s="431"/>
      <c r="AL193" s="432"/>
      <c r="AM193" s="976"/>
      <c r="AN193" s="977"/>
      <c r="AO193" s="978"/>
      <c r="AP193" s="978"/>
      <c r="AQ193" s="979"/>
      <c r="AR193" s="984"/>
      <c r="AS193" s="984"/>
      <c r="AT193" s="985"/>
      <c r="AU193" s="985"/>
      <c r="AV193" s="986"/>
    </row>
    <row r="194" spans="1:48" s="385" customFormat="1" ht="18" customHeight="1">
      <c r="A194" s="363"/>
      <c r="B194" s="363"/>
      <c r="C194" s="990"/>
      <c r="D194" s="991"/>
      <c r="E194" s="991"/>
      <c r="F194" s="991"/>
      <c r="G194" s="991"/>
      <c r="H194" s="991"/>
      <c r="I194" s="991"/>
      <c r="J194" s="991"/>
      <c r="K194" s="991"/>
      <c r="L194" s="991"/>
      <c r="M194" s="991"/>
      <c r="N194" s="991"/>
      <c r="O194" s="991"/>
      <c r="P194" s="991"/>
      <c r="Q194" s="991"/>
      <c r="R194" s="991"/>
      <c r="S194" s="991"/>
      <c r="T194" s="991"/>
      <c r="U194" s="991"/>
      <c r="V194" s="991"/>
      <c r="W194" s="991"/>
      <c r="X194" s="991"/>
      <c r="Y194" s="991"/>
      <c r="Z194" s="991"/>
      <c r="AA194" s="991"/>
      <c r="AB194" s="991"/>
      <c r="AC194" s="991"/>
      <c r="AD194" s="991"/>
      <c r="AE194" s="991"/>
      <c r="AF194" s="991"/>
      <c r="AG194" s="991"/>
      <c r="AH194" s="991"/>
      <c r="AI194" s="991"/>
      <c r="AJ194" s="991"/>
      <c r="AK194" s="991"/>
      <c r="AL194" s="992"/>
      <c r="AM194" s="980"/>
      <c r="AN194" s="981"/>
      <c r="AO194" s="982"/>
      <c r="AP194" s="982"/>
      <c r="AQ194" s="983"/>
      <c r="AR194" s="987"/>
      <c r="AS194" s="987"/>
      <c r="AT194" s="988"/>
      <c r="AU194" s="988"/>
      <c r="AV194" s="989"/>
    </row>
    <row r="195" spans="1:48" s="385" customFormat="1" ht="15">
      <c r="A195" s="363"/>
      <c r="B195" s="363"/>
      <c r="C195" s="427" t="s">
        <v>4488</v>
      </c>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c r="AD195" s="428"/>
      <c r="AE195" s="428"/>
      <c r="AF195" s="428"/>
      <c r="AG195" s="428"/>
      <c r="AH195" s="429"/>
      <c r="AI195" s="430"/>
      <c r="AJ195" s="431"/>
      <c r="AK195" s="431"/>
      <c r="AL195" s="432"/>
      <c r="AM195" s="976"/>
      <c r="AN195" s="977"/>
      <c r="AO195" s="978"/>
      <c r="AP195" s="978"/>
      <c r="AQ195" s="979"/>
      <c r="AR195" s="984"/>
      <c r="AS195" s="984"/>
      <c r="AT195" s="985"/>
      <c r="AU195" s="985"/>
      <c r="AV195" s="986"/>
    </row>
    <row r="196" spans="1:48" s="385" customFormat="1" ht="38.25" customHeight="1">
      <c r="A196" s="363"/>
      <c r="B196" s="363"/>
      <c r="C196" s="994"/>
      <c r="D196" s="991"/>
      <c r="E196" s="991"/>
      <c r="F196" s="991"/>
      <c r="G196" s="991"/>
      <c r="H196" s="991"/>
      <c r="I196" s="991"/>
      <c r="J196" s="991"/>
      <c r="K196" s="991"/>
      <c r="L196" s="991"/>
      <c r="M196" s="991"/>
      <c r="N196" s="991"/>
      <c r="O196" s="991"/>
      <c r="P196" s="991"/>
      <c r="Q196" s="991"/>
      <c r="R196" s="991"/>
      <c r="S196" s="991"/>
      <c r="T196" s="991"/>
      <c r="U196" s="991"/>
      <c r="V196" s="991"/>
      <c r="W196" s="991"/>
      <c r="X196" s="991"/>
      <c r="Y196" s="991"/>
      <c r="Z196" s="991"/>
      <c r="AA196" s="991"/>
      <c r="AB196" s="991"/>
      <c r="AC196" s="991"/>
      <c r="AD196" s="991"/>
      <c r="AE196" s="991"/>
      <c r="AF196" s="991"/>
      <c r="AG196" s="991"/>
      <c r="AH196" s="991"/>
      <c r="AI196" s="991"/>
      <c r="AJ196" s="991"/>
      <c r="AK196" s="991"/>
      <c r="AL196" s="992"/>
      <c r="AM196" s="993"/>
      <c r="AN196" s="981"/>
      <c r="AO196" s="982"/>
      <c r="AP196" s="982"/>
      <c r="AQ196" s="983"/>
      <c r="AR196" s="987"/>
      <c r="AS196" s="987"/>
      <c r="AT196" s="988"/>
      <c r="AU196" s="988"/>
      <c r="AV196" s="989"/>
    </row>
    <row r="197" spans="1:48" s="385" customFormat="1" ht="15">
      <c r="A197" s="363"/>
      <c r="B197" s="363"/>
      <c r="C197" s="427" t="s">
        <v>4489</v>
      </c>
      <c r="D197" s="428"/>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c r="AA197" s="428"/>
      <c r="AB197" s="428"/>
      <c r="AC197" s="428"/>
      <c r="AD197" s="428"/>
      <c r="AE197" s="428"/>
      <c r="AF197" s="428"/>
      <c r="AG197" s="428"/>
      <c r="AH197" s="429"/>
      <c r="AI197" s="430"/>
      <c r="AJ197" s="431"/>
      <c r="AK197" s="431"/>
      <c r="AL197" s="432"/>
      <c r="AM197" s="976"/>
      <c r="AN197" s="977"/>
      <c r="AO197" s="978"/>
      <c r="AP197" s="978"/>
      <c r="AQ197" s="979"/>
      <c r="AR197" s="984"/>
      <c r="AS197" s="984"/>
      <c r="AT197" s="985"/>
      <c r="AU197" s="985"/>
      <c r="AV197" s="986"/>
    </row>
    <row r="198" spans="1:48" s="385" customFormat="1" ht="35.25" customHeight="1">
      <c r="A198" s="363"/>
      <c r="B198" s="363"/>
      <c r="C198" s="990"/>
      <c r="D198" s="991"/>
      <c r="E198" s="991"/>
      <c r="F198" s="991"/>
      <c r="G198" s="991"/>
      <c r="H198" s="991"/>
      <c r="I198" s="991"/>
      <c r="J198" s="991"/>
      <c r="K198" s="991"/>
      <c r="L198" s="991"/>
      <c r="M198" s="991"/>
      <c r="N198" s="991"/>
      <c r="O198" s="991"/>
      <c r="P198" s="991"/>
      <c r="Q198" s="991"/>
      <c r="R198" s="991"/>
      <c r="S198" s="991"/>
      <c r="T198" s="991"/>
      <c r="U198" s="991"/>
      <c r="V198" s="991"/>
      <c r="W198" s="991"/>
      <c r="X198" s="991"/>
      <c r="Y198" s="991"/>
      <c r="Z198" s="991"/>
      <c r="AA198" s="991"/>
      <c r="AB198" s="991"/>
      <c r="AC198" s="991"/>
      <c r="AD198" s="991"/>
      <c r="AE198" s="991"/>
      <c r="AF198" s="991"/>
      <c r="AG198" s="991"/>
      <c r="AH198" s="991"/>
      <c r="AI198" s="991"/>
      <c r="AJ198" s="991"/>
      <c r="AK198" s="991"/>
      <c r="AL198" s="992"/>
      <c r="AM198" s="993"/>
      <c r="AN198" s="981"/>
      <c r="AO198" s="982"/>
      <c r="AP198" s="982"/>
      <c r="AQ198" s="983"/>
      <c r="AR198" s="987"/>
      <c r="AS198" s="987"/>
      <c r="AT198" s="988"/>
      <c r="AU198" s="988"/>
      <c r="AV198" s="989"/>
    </row>
    <row r="199" spans="1:48" s="385" customFormat="1" ht="15">
      <c r="A199" s="363"/>
      <c r="B199" s="363"/>
      <c r="C199" s="427" t="s">
        <v>4490</v>
      </c>
      <c r="D199" s="428"/>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c r="AA199" s="428"/>
      <c r="AB199" s="428"/>
      <c r="AC199" s="428"/>
      <c r="AD199" s="428"/>
      <c r="AE199" s="428"/>
      <c r="AF199" s="428"/>
      <c r="AG199" s="428"/>
      <c r="AH199" s="429"/>
      <c r="AI199" s="430"/>
      <c r="AJ199" s="431"/>
      <c r="AK199" s="431"/>
      <c r="AL199" s="432"/>
      <c r="AM199" s="976"/>
      <c r="AN199" s="977"/>
      <c r="AO199" s="978"/>
      <c r="AP199" s="978"/>
      <c r="AQ199" s="979"/>
      <c r="AR199" s="984"/>
      <c r="AS199" s="984"/>
      <c r="AT199" s="985"/>
      <c r="AU199" s="985"/>
      <c r="AV199" s="986"/>
    </row>
    <row r="200" spans="1:48" s="385" customFormat="1" ht="27" customHeight="1">
      <c r="A200" s="363"/>
      <c r="B200" s="363"/>
      <c r="C200" s="990"/>
      <c r="D200" s="991"/>
      <c r="E200" s="991"/>
      <c r="F200" s="991"/>
      <c r="G200" s="991"/>
      <c r="H200" s="991"/>
      <c r="I200" s="991"/>
      <c r="J200" s="991"/>
      <c r="K200" s="991"/>
      <c r="L200" s="991"/>
      <c r="M200" s="991"/>
      <c r="N200" s="991"/>
      <c r="O200" s="991"/>
      <c r="P200" s="991"/>
      <c r="Q200" s="991"/>
      <c r="R200" s="991"/>
      <c r="S200" s="991"/>
      <c r="T200" s="991"/>
      <c r="U200" s="991"/>
      <c r="V200" s="991"/>
      <c r="W200" s="991"/>
      <c r="X200" s="991"/>
      <c r="Y200" s="991"/>
      <c r="Z200" s="991"/>
      <c r="AA200" s="991"/>
      <c r="AB200" s="991"/>
      <c r="AC200" s="991"/>
      <c r="AD200" s="991"/>
      <c r="AE200" s="991"/>
      <c r="AF200" s="991"/>
      <c r="AG200" s="991"/>
      <c r="AH200" s="991"/>
      <c r="AI200" s="991"/>
      <c r="AJ200" s="991"/>
      <c r="AK200" s="991"/>
      <c r="AL200" s="992"/>
      <c r="AM200" s="993"/>
      <c r="AN200" s="981"/>
      <c r="AO200" s="982"/>
      <c r="AP200" s="982"/>
      <c r="AQ200" s="983"/>
      <c r="AR200" s="987"/>
      <c r="AS200" s="987"/>
      <c r="AT200" s="988"/>
      <c r="AU200" s="988"/>
      <c r="AV200" s="989"/>
    </row>
    <row r="201" spans="1:48" s="385" customFormat="1" ht="15">
      <c r="A201" s="363"/>
      <c r="B201" s="363"/>
      <c r="C201" s="427" t="s">
        <v>4491</v>
      </c>
      <c r="D201" s="428"/>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c r="AA201" s="428"/>
      <c r="AB201" s="428"/>
      <c r="AC201" s="428"/>
      <c r="AD201" s="428"/>
      <c r="AE201" s="428"/>
      <c r="AF201" s="428"/>
      <c r="AG201" s="428"/>
      <c r="AH201" s="429"/>
      <c r="AI201" s="430"/>
      <c r="AJ201" s="431"/>
      <c r="AK201" s="431"/>
      <c r="AL201" s="432"/>
      <c r="AM201" s="976"/>
      <c r="AN201" s="977"/>
      <c r="AO201" s="978"/>
      <c r="AP201" s="978"/>
      <c r="AQ201" s="979"/>
      <c r="AR201" s="984"/>
      <c r="AS201" s="984"/>
      <c r="AT201" s="985"/>
      <c r="AU201" s="985"/>
      <c r="AV201" s="986"/>
    </row>
    <row r="202" spans="1:48" s="385" customFormat="1" ht="21" customHeight="1">
      <c r="A202" s="363"/>
      <c r="B202" s="363"/>
      <c r="C202" s="990"/>
      <c r="D202" s="991"/>
      <c r="E202" s="991"/>
      <c r="F202" s="991"/>
      <c r="G202" s="991"/>
      <c r="H202" s="991"/>
      <c r="I202" s="991"/>
      <c r="J202" s="991"/>
      <c r="K202" s="991"/>
      <c r="L202" s="991"/>
      <c r="M202" s="991"/>
      <c r="N202" s="991"/>
      <c r="O202" s="991"/>
      <c r="P202" s="991"/>
      <c r="Q202" s="991"/>
      <c r="R202" s="991"/>
      <c r="S202" s="991"/>
      <c r="T202" s="991"/>
      <c r="U202" s="991"/>
      <c r="V202" s="991"/>
      <c r="W202" s="991"/>
      <c r="X202" s="991"/>
      <c r="Y202" s="991"/>
      <c r="Z202" s="991"/>
      <c r="AA202" s="991"/>
      <c r="AB202" s="991"/>
      <c r="AC202" s="991"/>
      <c r="AD202" s="991"/>
      <c r="AE202" s="991"/>
      <c r="AF202" s="991"/>
      <c r="AG202" s="991"/>
      <c r="AH202" s="991"/>
      <c r="AI202" s="991"/>
      <c r="AJ202" s="991"/>
      <c r="AK202" s="991"/>
      <c r="AL202" s="992"/>
      <c r="AM202" s="993"/>
      <c r="AN202" s="981"/>
      <c r="AO202" s="982"/>
      <c r="AP202" s="982"/>
      <c r="AQ202" s="983"/>
      <c r="AR202" s="987"/>
      <c r="AS202" s="987"/>
      <c r="AT202" s="988"/>
      <c r="AU202" s="988"/>
      <c r="AV202" s="989"/>
    </row>
    <row r="203" spans="1:48" s="385" customFormat="1" ht="15.75" customHeight="1" thickBot="1">
      <c r="C203" s="433" t="s">
        <v>4492</v>
      </c>
      <c r="D203" s="434"/>
      <c r="E203" s="435"/>
      <c r="F203" s="435"/>
      <c r="G203" s="435"/>
      <c r="H203" s="435"/>
      <c r="I203" s="435"/>
      <c r="J203" s="435"/>
      <c r="K203" s="435"/>
      <c r="L203" s="435"/>
      <c r="M203" s="435"/>
      <c r="N203" s="435"/>
      <c r="O203" s="435"/>
      <c r="P203" s="435"/>
      <c r="Q203" s="435"/>
      <c r="R203" s="435"/>
      <c r="S203" s="435"/>
      <c r="T203" s="435"/>
      <c r="U203" s="435"/>
      <c r="V203" s="435"/>
      <c r="W203" s="435"/>
      <c r="X203" s="435"/>
      <c r="Y203" s="435"/>
      <c r="Z203" s="435"/>
      <c r="AA203" s="435"/>
      <c r="AB203" s="435"/>
      <c r="AC203" s="435"/>
      <c r="AD203" s="435"/>
      <c r="AE203" s="435"/>
      <c r="AF203" s="435"/>
      <c r="AG203" s="435"/>
      <c r="AH203" s="1015"/>
      <c r="AI203" s="1016"/>
      <c r="AJ203" s="1017"/>
      <c r="AK203" s="1017"/>
      <c r="AL203" s="1018"/>
      <c r="AM203" s="1019">
        <f>SUM(AM189:AQ202)</f>
        <v>0</v>
      </c>
      <c r="AN203" s="1016"/>
      <c r="AO203" s="1017"/>
      <c r="AP203" s="1017"/>
      <c r="AQ203" s="1018"/>
      <c r="AR203" s="1020">
        <f>SUM(AR189:AV202)</f>
        <v>0</v>
      </c>
      <c r="AS203" s="1021"/>
      <c r="AT203" s="1022"/>
      <c r="AU203" s="1022"/>
      <c r="AV203" s="1023"/>
    </row>
    <row r="204" spans="1:48" ht="30" customHeight="1">
      <c r="A204" s="891">
        <f>1+A185</f>
        <v>12</v>
      </c>
      <c r="B204" s="892"/>
      <c r="C204" s="355" t="s">
        <v>4493</v>
      </c>
      <c r="D204" s="355"/>
    </row>
    <row r="205" spans="1:48" ht="3" customHeight="1">
      <c r="A205" s="353"/>
      <c r="B205" s="354"/>
      <c r="C205" s="355"/>
      <c r="D205" s="355"/>
    </row>
    <row r="206" spans="1:48" ht="20.100000000000001" customHeight="1">
      <c r="C206" s="1007" t="s">
        <v>4494</v>
      </c>
      <c r="D206" s="1007"/>
      <c r="E206" s="1007"/>
      <c r="F206" s="1007"/>
      <c r="G206" s="1007"/>
      <c r="H206" s="1007"/>
      <c r="I206" s="1007"/>
      <c r="J206" s="1007"/>
      <c r="K206" s="1007"/>
      <c r="L206" s="1007"/>
      <c r="M206" s="1008" t="s">
        <v>4495</v>
      </c>
      <c r="N206" s="1007"/>
      <c r="O206" s="1007"/>
      <c r="P206" s="1007"/>
      <c r="Q206" s="1007"/>
      <c r="R206" s="1007"/>
      <c r="S206" s="1007"/>
      <c r="T206" s="1007"/>
      <c r="U206" s="1007"/>
      <c r="V206" s="1007"/>
      <c r="W206" s="1007" t="s">
        <v>4496</v>
      </c>
      <c r="X206" s="1007"/>
      <c r="Y206" s="1007"/>
      <c r="Z206" s="1007"/>
      <c r="AA206" s="1007"/>
      <c r="AB206" s="1007"/>
      <c r="AC206" s="1007"/>
      <c r="AD206" s="1007"/>
      <c r="AE206" s="1007"/>
      <c r="AF206" s="1007"/>
      <c r="AG206" s="1007" t="s">
        <v>4497</v>
      </c>
      <c r="AH206" s="1007"/>
      <c r="AI206" s="1007"/>
      <c r="AJ206" s="1007"/>
      <c r="AK206" s="1007"/>
      <c r="AL206" s="1007"/>
      <c r="AM206" s="1007"/>
      <c r="AN206" s="1007"/>
      <c r="AO206" s="1007"/>
      <c r="AP206" s="1009"/>
    </row>
    <row r="207" spans="1:48" s="363" customFormat="1" ht="18" customHeight="1">
      <c r="C207" s="1010"/>
      <c r="D207" s="1010"/>
      <c r="E207" s="1010"/>
      <c r="F207" s="1010"/>
      <c r="G207" s="1010"/>
      <c r="H207" s="1010"/>
      <c r="I207" s="1010"/>
      <c r="J207" s="1010"/>
      <c r="K207" s="1010"/>
      <c r="L207" s="1010"/>
      <c r="M207" s="1011"/>
      <c r="N207" s="1011"/>
      <c r="O207" s="1011"/>
      <c r="P207" s="1011"/>
      <c r="Q207" s="1011"/>
      <c r="R207" s="436" t="s">
        <v>4388</v>
      </c>
      <c r="S207" s="436"/>
      <c r="T207" s="437"/>
      <c r="U207" s="438"/>
      <c r="V207" s="439"/>
      <c r="W207" s="1012"/>
      <c r="X207" s="1012"/>
      <c r="Y207" s="1012"/>
      <c r="Z207" s="1012"/>
      <c r="AA207" s="1012"/>
      <c r="AB207" s="1012"/>
      <c r="AC207" s="1012"/>
      <c r="AD207" s="1012"/>
      <c r="AE207" s="1012"/>
      <c r="AF207" s="1012"/>
      <c r="AG207" s="1013">
        <v>0</v>
      </c>
      <c r="AH207" s="1013"/>
      <c r="AI207" s="1013"/>
      <c r="AJ207" s="1013"/>
      <c r="AK207" s="1013"/>
      <c r="AL207" s="1013"/>
      <c r="AM207" s="1013"/>
      <c r="AN207" s="1013"/>
      <c r="AO207" s="1013"/>
      <c r="AP207" s="1014"/>
    </row>
    <row r="208" spans="1:48" s="363" customFormat="1" ht="18" customHeight="1">
      <c r="C208" s="1010"/>
      <c r="D208" s="1010"/>
      <c r="E208" s="1010"/>
      <c r="F208" s="1010"/>
      <c r="G208" s="1010"/>
      <c r="H208" s="1010"/>
      <c r="I208" s="1010"/>
      <c r="J208" s="1010"/>
      <c r="K208" s="1010"/>
      <c r="L208" s="1010"/>
      <c r="M208" s="1011"/>
      <c r="N208" s="1011"/>
      <c r="O208" s="1011"/>
      <c r="P208" s="1011"/>
      <c r="Q208" s="1011"/>
      <c r="R208" s="436" t="s">
        <v>4388</v>
      </c>
      <c r="S208" s="436"/>
      <c r="T208" s="437"/>
      <c r="U208" s="438"/>
      <c r="V208" s="439"/>
      <c r="W208" s="1012"/>
      <c r="X208" s="1012"/>
      <c r="Y208" s="1012"/>
      <c r="Z208" s="1012"/>
      <c r="AA208" s="1012"/>
      <c r="AB208" s="1012"/>
      <c r="AC208" s="1012"/>
      <c r="AD208" s="1012"/>
      <c r="AE208" s="1012"/>
      <c r="AF208" s="1012"/>
      <c r="AG208" s="1013">
        <v>0</v>
      </c>
      <c r="AH208" s="1013"/>
      <c r="AI208" s="1013"/>
      <c r="AJ208" s="1013"/>
      <c r="AK208" s="1013"/>
      <c r="AL208" s="1013"/>
      <c r="AM208" s="1013"/>
      <c r="AN208" s="1013"/>
      <c r="AO208" s="1013"/>
      <c r="AP208" s="1014"/>
    </row>
    <row r="209" spans="1:513" s="363" customFormat="1" ht="18" customHeight="1">
      <c r="C209" s="1030"/>
      <c r="D209" s="1030"/>
      <c r="E209" s="1030"/>
      <c r="F209" s="1030"/>
      <c r="G209" s="1030"/>
      <c r="H209" s="1030"/>
      <c r="I209" s="1030"/>
      <c r="J209" s="1030"/>
      <c r="K209" s="1030"/>
      <c r="L209" s="1030"/>
      <c r="M209" s="1031"/>
      <c r="N209" s="1031"/>
      <c r="O209" s="1031"/>
      <c r="P209" s="1031"/>
      <c r="Q209" s="1031"/>
      <c r="R209" s="440" t="s">
        <v>4388</v>
      </c>
      <c r="S209" s="440"/>
      <c r="T209" s="441"/>
      <c r="U209" s="442"/>
      <c r="V209" s="443"/>
      <c r="W209" s="1032"/>
      <c r="X209" s="1032"/>
      <c r="Y209" s="1032"/>
      <c r="Z209" s="1032"/>
      <c r="AA209" s="1032"/>
      <c r="AB209" s="1032"/>
      <c r="AC209" s="1032"/>
      <c r="AD209" s="1032"/>
      <c r="AE209" s="1032"/>
      <c r="AF209" s="1032"/>
      <c r="AG209" s="1033">
        <v>0</v>
      </c>
      <c r="AH209" s="1033"/>
      <c r="AI209" s="1033"/>
      <c r="AJ209" s="1033"/>
      <c r="AK209" s="1033"/>
      <c r="AL209" s="1033"/>
      <c r="AM209" s="1033"/>
      <c r="AN209" s="1033"/>
      <c r="AO209" s="1033"/>
      <c r="AP209" s="1034"/>
    </row>
    <row r="210" spans="1:513" ht="37.5" customHeight="1">
      <c r="A210" s="891">
        <f>1+A204</f>
        <v>13</v>
      </c>
      <c r="B210" s="892"/>
      <c r="C210" s="1026" t="s">
        <v>4498</v>
      </c>
      <c r="D210" s="1027"/>
      <c r="E210" s="1027"/>
      <c r="F210" s="1027"/>
      <c r="G210" s="1027"/>
      <c r="H210" s="1027"/>
      <c r="I210" s="1027"/>
      <c r="J210" s="1027"/>
      <c r="K210" s="1027"/>
      <c r="L210" s="1027"/>
      <c r="M210" s="1027"/>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row>
    <row r="211" spans="1:513" ht="51.75" customHeight="1">
      <c r="C211" s="893" t="s">
        <v>4499</v>
      </c>
      <c r="D211" s="887"/>
      <c r="E211" s="887"/>
      <c r="F211" s="887"/>
      <c r="G211" s="887"/>
      <c r="H211" s="887"/>
      <c r="I211" s="887"/>
      <c r="J211" s="887"/>
      <c r="K211" s="887"/>
      <c r="L211" s="887"/>
      <c r="M211" s="887"/>
      <c r="N211" s="887"/>
      <c r="O211" s="887"/>
      <c r="P211" s="887"/>
      <c r="Q211" s="887"/>
      <c r="R211" s="887"/>
      <c r="S211" s="887"/>
      <c r="T211" s="887"/>
      <c r="U211" s="894"/>
      <c r="V211" s="894"/>
      <c r="W211" s="894"/>
      <c r="X211" s="894"/>
      <c r="Y211" s="894"/>
      <c r="Z211" s="894"/>
      <c r="AA211" s="894"/>
      <c r="AB211" s="894"/>
      <c r="AC211" s="894"/>
      <c r="AD211" s="894"/>
      <c r="AE211" s="894"/>
      <c r="AF211" s="894"/>
      <c r="AG211" s="894"/>
      <c r="AH211" s="894"/>
      <c r="AI211" s="894"/>
      <c r="AJ211" s="894"/>
      <c r="AK211" s="894"/>
      <c r="AL211" s="894"/>
      <c r="AM211" s="894"/>
      <c r="AN211" s="894"/>
      <c r="AO211" s="894"/>
      <c r="AP211" s="894"/>
      <c r="AQ211" s="894"/>
      <c r="AR211" s="894"/>
      <c r="AS211" s="894"/>
      <c r="AT211" s="894"/>
      <c r="AU211" s="894"/>
      <c r="AV211" s="894"/>
    </row>
    <row r="212" spans="1:513" ht="30" customHeight="1">
      <c r="A212" s="891">
        <f>1+A210</f>
        <v>14</v>
      </c>
      <c r="B212" s="892"/>
      <c r="C212" s="1026" t="s">
        <v>4500</v>
      </c>
      <c r="D212" s="1027"/>
      <c r="E212" s="1027"/>
      <c r="F212" s="1027"/>
      <c r="G212" s="1027"/>
      <c r="H212" s="1027"/>
      <c r="I212" s="1027"/>
      <c r="J212" s="1027"/>
      <c r="K212" s="1027"/>
      <c r="L212" s="1027"/>
      <c r="M212" s="1027"/>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row>
    <row r="213" spans="1:513" ht="63" customHeight="1">
      <c r="C213" s="1028"/>
      <c r="D213" s="1029"/>
      <c r="E213" s="1029"/>
      <c r="F213" s="1029"/>
      <c r="G213" s="1029"/>
      <c r="H213" s="1029"/>
      <c r="I213" s="1029"/>
      <c r="J213" s="1029"/>
      <c r="K213" s="1029"/>
      <c r="L213" s="1029"/>
      <c r="M213" s="1029"/>
      <c r="N213" s="1029"/>
      <c r="O213" s="1029"/>
      <c r="P213" s="1029"/>
      <c r="Q213" s="1029"/>
      <c r="R213" s="1029"/>
      <c r="S213" s="1029"/>
      <c r="T213" s="1029"/>
      <c r="U213" s="1029"/>
      <c r="V213" s="1029"/>
      <c r="W213" s="1029"/>
      <c r="X213" s="1029"/>
      <c r="Y213" s="1029"/>
      <c r="Z213" s="1029"/>
      <c r="AA213" s="1029"/>
      <c r="AB213" s="1029"/>
      <c r="AC213" s="1029"/>
      <c r="AD213" s="1029"/>
      <c r="AE213" s="1029"/>
      <c r="AF213" s="1029"/>
      <c r="AG213" s="1029"/>
      <c r="AH213" s="1029"/>
      <c r="AI213" s="1029"/>
      <c r="AJ213" s="1029"/>
      <c r="AK213" s="1029"/>
      <c r="AL213" s="1029"/>
      <c r="AM213" s="1029"/>
      <c r="AN213" s="1029"/>
      <c r="AO213" s="1029"/>
      <c r="AP213" s="1029"/>
      <c r="AQ213" s="1029"/>
      <c r="AR213" s="1029"/>
      <c r="AS213" s="1029"/>
      <c r="AT213" s="1029"/>
      <c r="AU213" s="1029"/>
      <c r="AV213" s="1029"/>
      <c r="IW213" s="1024"/>
      <c r="IX213" s="1024"/>
      <c r="IY213" s="1024"/>
      <c r="IZ213" s="1024"/>
      <c r="JA213" s="1024"/>
      <c r="JB213" s="1024"/>
      <c r="JC213" s="1024"/>
      <c r="JD213" s="1024"/>
      <c r="JE213" s="1024"/>
      <c r="JF213" s="1024"/>
      <c r="JG213" s="1024"/>
      <c r="JH213" s="1024"/>
      <c r="JI213" s="1024"/>
      <c r="JJ213" s="1024"/>
      <c r="JK213" s="1024"/>
      <c r="JL213" s="1024"/>
      <c r="JM213" s="1024"/>
      <c r="JN213" s="1024"/>
      <c r="JO213" s="1024"/>
      <c r="JP213" s="1024"/>
      <c r="JQ213" s="1024"/>
      <c r="JR213" s="1024"/>
      <c r="JS213" s="1024"/>
      <c r="JT213" s="1024"/>
      <c r="JU213" s="1024"/>
      <c r="JV213" s="1024"/>
      <c r="JW213" s="1024"/>
      <c r="JX213" s="1024"/>
      <c r="JY213" s="1024"/>
      <c r="JZ213" s="1024"/>
      <c r="KA213" s="1024"/>
      <c r="KB213" s="1024"/>
      <c r="KC213" s="1024"/>
      <c r="KD213" s="1024"/>
      <c r="KE213" s="1024"/>
      <c r="KF213" s="1024"/>
      <c r="KG213" s="1024"/>
      <c r="KH213" s="1024"/>
      <c r="KI213" s="1024"/>
      <c r="KJ213" s="1024"/>
      <c r="KK213" s="1024"/>
      <c r="KL213" s="1024"/>
      <c r="KM213" s="1024"/>
    </row>
    <row r="214" spans="1:513">
      <c r="C214" s="767" t="s">
        <v>4501</v>
      </c>
      <c r="D214" s="767"/>
      <c r="E214" s="767"/>
      <c r="F214" s="767"/>
      <c r="G214" s="767"/>
      <c r="H214" s="767"/>
      <c r="I214" s="767"/>
      <c r="J214" s="767"/>
      <c r="K214" s="767"/>
      <c r="L214" s="767"/>
      <c r="M214" s="767"/>
      <c r="N214" s="767"/>
      <c r="O214" s="767"/>
      <c r="P214" s="767"/>
      <c r="Q214" s="767"/>
      <c r="R214" s="767"/>
      <c r="S214" s="767"/>
      <c r="T214" s="767"/>
      <c r="U214" s="767"/>
      <c r="V214" s="767"/>
      <c r="W214" s="767"/>
      <c r="X214" s="767"/>
      <c r="Y214" s="767"/>
      <c r="Z214" s="767"/>
      <c r="AA214" s="767"/>
      <c r="AB214" s="767"/>
      <c r="AC214" s="767"/>
      <c r="AD214" s="767"/>
      <c r="AE214" s="767"/>
      <c r="AF214" s="767"/>
      <c r="AG214" s="767"/>
      <c r="AH214" s="767"/>
      <c r="AI214" s="767"/>
      <c r="AJ214" s="767"/>
      <c r="AK214" s="767"/>
      <c r="AL214" s="767"/>
      <c r="AM214" s="767"/>
      <c r="AN214" s="767"/>
      <c r="AO214" s="767"/>
      <c r="AP214" s="767"/>
      <c r="AQ214" s="767"/>
      <c r="AR214" s="767"/>
      <c r="AS214" s="767"/>
      <c r="AT214" s="767"/>
      <c r="AU214" s="767"/>
      <c r="AV214" s="767"/>
      <c r="IW214" s="1024"/>
      <c r="IX214" s="1024"/>
      <c r="IY214" s="1024"/>
      <c r="IZ214" s="1024"/>
      <c r="JA214" s="1024"/>
      <c r="JB214" s="1024"/>
      <c r="JC214" s="1024"/>
      <c r="JD214" s="1024"/>
      <c r="JE214" s="1024"/>
      <c r="JF214" s="1024"/>
      <c r="JG214" s="1024"/>
      <c r="JH214" s="1024"/>
      <c r="JI214" s="1024"/>
      <c r="JJ214" s="1024"/>
      <c r="JK214" s="1024"/>
      <c r="JL214" s="1024"/>
      <c r="JM214" s="1024"/>
      <c r="JN214" s="1024"/>
      <c r="JO214" s="1024"/>
      <c r="JP214" s="1024"/>
      <c r="JQ214" s="1024"/>
      <c r="JR214" s="1024"/>
      <c r="JS214" s="1024"/>
      <c r="JT214" s="1024"/>
      <c r="JU214" s="1024"/>
      <c r="JV214" s="1024"/>
      <c r="JW214" s="1024"/>
      <c r="JX214" s="1024"/>
      <c r="JY214" s="1024"/>
      <c r="JZ214" s="1024"/>
      <c r="KA214" s="1024"/>
      <c r="KB214" s="1024"/>
      <c r="KC214" s="1024"/>
      <c r="KD214" s="1024"/>
      <c r="KE214" s="1024"/>
      <c r="KF214" s="1024"/>
      <c r="KG214" s="1024"/>
      <c r="KH214" s="1024"/>
      <c r="KI214" s="1024"/>
      <c r="KJ214" s="1024"/>
      <c r="KK214" s="1024"/>
      <c r="KL214" s="1024"/>
      <c r="KM214" s="1024"/>
    </row>
    <row r="215" spans="1:513" ht="12.75" customHeight="1">
      <c r="C215" s="323" t="s">
        <v>4502</v>
      </c>
      <c r="D215" s="323"/>
      <c r="E215" s="323"/>
      <c r="F215" s="323"/>
      <c r="G215" s="323"/>
      <c r="H215" s="323"/>
      <c r="I215" s="323"/>
      <c r="J215" s="323"/>
      <c r="K215" s="323"/>
      <c r="L215" s="323"/>
      <c r="M215" s="323"/>
      <c r="N215" s="323"/>
      <c r="Q215" s="1025">
        <f>ROUND(SUM(AO225+AO228+AO241)*E452,1)</f>
        <v>0</v>
      </c>
      <c r="R215" s="1025"/>
      <c r="S215" s="1025"/>
      <c r="T215" s="1025"/>
      <c r="U215" s="1025"/>
      <c r="V215" s="1025"/>
      <c r="W215" s="1025"/>
      <c r="AF215" s="324"/>
      <c r="AG215" s="324"/>
      <c r="AH215" s="324"/>
      <c r="AI215" s="324"/>
      <c r="AJ215" s="324"/>
      <c r="AK215" s="324"/>
      <c r="AL215" s="324"/>
      <c r="AM215" s="324"/>
      <c r="AN215" s="324"/>
      <c r="AO215" s="324"/>
      <c r="AP215" s="324"/>
      <c r="AQ215" s="324"/>
      <c r="AR215" s="324"/>
      <c r="AS215" s="324"/>
      <c r="AT215" s="324"/>
      <c r="AU215" s="324"/>
      <c r="AV215" s="324"/>
    </row>
    <row r="216" spans="1:513" ht="12.75" customHeight="1">
      <c r="C216" s="897" t="s">
        <v>4503</v>
      </c>
      <c r="D216" s="897"/>
      <c r="E216" s="897"/>
      <c r="F216" s="897"/>
      <c r="G216" s="897"/>
      <c r="H216" s="897"/>
      <c r="I216" s="897"/>
      <c r="J216" s="897"/>
      <c r="K216" s="897"/>
      <c r="L216" s="897"/>
      <c r="M216" s="897"/>
      <c r="N216" s="897"/>
      <c r="O216" s="897"/>
      <c r="P216" s="897"/>
      <c r="Q216" s="1025">
        <f>ROUND(AO251+AO254+AO267,1)</f>
        <v>0</v>
      </c>
      <c r="R216" s="1025"/>
      <c r="S216" s="1025"/>
      <c r="T216" s="1025"/>
      <c r="U216" s="1025"/>
      <c r="V216" s="1025"/>
      <c r="W216" s="1025"/>
      <c r="AG216" s="324"/>
      <c r="AH216" s="324"/>
      <c r="AI216" s="324"/>
      <c r="AJ216" s="324"/>
      <c r="AK216" s="324"/>
      <c r="AL216" s="324"/>
      <c r="AM216" s="324"/>
      <c r="AN216" s="324"/>
      <c r="AO216" s="324"/>
      <c r="AP216" s="324"/>
      <c r="AQ216" s="324"/>
      <c r="AR216" s="324"/>
      <c r="AS216" s="324"/>
      <c r="AT216" s="324"/>
      <c r="AU216" s="324"/>
      <c r="AV216" s="324"/>
    </row>
    <row r="217" spans="1:513" ht="14.1" customHeight="1">
      <c r="A217" s="759" t="s">
        <v>4504</v>
      </c>
      <c r="B217" s="739"/>
      <c r="C217" s="1041" t="s">
        <v>4505</v>
      </c>
      <c r="D217" s="1042"/>
      <c r="E217" s="1042"/>
      <c r="F217" s="1042"/>
      <c r="G217" s="1042"/>
      <c r="H217" s="1042"/>
      <c r="I217" s="1042"/>
      <c r="J217" s="1042"/>
      <c r="K217" s="1042"/>
      <c r="L217" s="1042"/>
      <c r="M217" s="1042"/>
      <c r="N217" s="1042"/>
      <c r="O217" s="1042"/>
      <c r="P217" s="1042"/>
      <c r="Q217" s="1042"/>
      <c r="R217" s="1042"/>
      <c r="S217" s="1042"/>
      <c r="T217" s="1042"/>
      <c r="U217" s="1042"/>
      <c r="V217" s="1042"/>
      <c r="W217" s="1042"/>
      <c r="X217" s="1042"/>
      <c r="Y217" s="1042"/>
      <c r="Z217" s="1042"/>
      <c r="AA217" s="1042"/>
      <c r="AB217" s="1042"/>
      <c r="AC217" s="1042"/>
      <c r="AD217" s="1042"/>
      <c r="AE217" s="1042"/>
      <c r="AF217" s="1042"/>
      <c r="AG217" s="1042"/>
      <c r="AH217" s="1042"/>
      <c r="AI217" s="1042"/>
      <c r="AJ217" s="1042"/>
      <c r="AK217" s="1042"/>
      <c r="AL217" s="1042"/>
      <c r="AM217" s="1042"/>
      <c r="AN217" s="1042"/>
      <c r="AO217" s="1042"/>
      <c r="AP217" s="1042"/>
      <c r="AQ217" s="1042"/>
      <c r="AR217" s="1042"/>
      <c r="AS217" s="1042"/>
      <c r="AT217" s="1042"/>
      <c r="AU217" s="1042"/>
      <c r="AV217" s="1042"/>
      <c r="IW217" s="284" t="s">
        <v>4506</v>
      </c>
      <c r="IZ217" s="372"/>
      <c r="JA217" s="372"/>
      <c r="JB217" s="372"/>
      <c r="JC217" s="372"/>
      <c r="JD217" s="372"/>
      <c r="JE217" s="372"/>
      <c r="JF217" s="372"/>
      <c r="JG217" s="372"/>
      <c r="JH217" s="372"/>
      <c r="JI217" s="372"/>
      <c r="JJ217" s="372"/>
      <c r="JK217" s="372"/>
      <c r="JL217" s="372"/>
      <c r="JM217" s="372"/>
      <c r="JN217" s="372"/>
      <c r="JO217" s="372"/>
      <c r="JP217" s="372"/>
      <c r="JQ217" s="372"/>
      <c r="JR217" s="372"/>
      <c r="JS217" s="372"/>
      <c r="JT217" s="372"/>
      <c r="JU217" s="372"/>
      <c r="JV217" s="372"/>
      <c r="JW217" s="372"/>
      <c r="JX217" s="372"/>
      <c r="JY217" s="372"/>
      <c r="JZ217" s="372"/>
      <c r="KA217" s="372"/>
      <c r="KB217" s="372"/>
      <c r="KC217" s="372"/>
      <c r="KD217" s="372"/>
      <c r="KE217" s="372"/>
      <c r="KF217" s="372"/>
      <c r="KG217" s="372"/>
    </row>
    <row r="218" spans="1:513" ht="18.75" customHeight="1">
      <c r="A218" s="891">
        <f>+A182+1</f>
        <v>1</v>
      </c>
      <c r="B218" s="1043"/>
      <c r="C218" s="355" t="s">
        <v>4507</v>
      </c>
      <c r="IZ218" s="372"/>
      <c r="JA218" s="372"/>
      <c r="JB218" s="372"/>
      <c r="JC218" s="372"/>
      <c r="JD218" s="372"/>
      <c r="JE218" s="372"/>
      <c r="JF218" s="372"/>
      <c r="JG218" s="372"/>
      <c r="JH218" s="372"/>
      <c r="JI218" s="372"/>
      <c r="JJ218" s="372"/>
      <c r="JK218" s="372"/>
      <c r="JL218" s="372"/>
      <c r="JM218" s="372"/>
      <c r="JN218" s="372"/>
      <c r="JO218" s="372"/>
      <c r="JP218" s="372"/>
      <c r="JQ218" s="372"/>
      <c r="JR218" s="372"/>
      <c r="JS218" s="372"/>
      <c r="JT218" s="372"/>
      <c r="JU218" s="372"/>
      <c r="JV218" s="372"/>
      <c r="JW218" s="372"/>
      <c r="JX218" s="372"/>
      <c r="JY218" s="372"/>
      <c r="JZ218" s="372"/>
      <c r="KA218" s="372"/>
      <c r="KB218" s="372"/>
      <c r="KC218" s="372"/>
      <c r="KD218" s="372"/>
      <c r="KE218" s="372"/>
      <c r="KF218" s="372"/>
      <c r="KG218" s="372"/>
    </row>
    <row r="219" spans="1:513" s="448" customFormat="1" ht="18.75" customHeight="1">
      <c r="A219" s="445"/>
      <c r="B219" s="446"/>
      <c r="C219" s="447" t="str">
        <f>+C179</f>
        <v>Primer piso</v>
      </c>
      <c r="AW219" s="261"/>
      <c r="AX219" s="261"/>
      <c r="AY219" s="261"/>
      <c r="AZ219" s="261"/>
      <c r="BA219" s="261"/>
      <c r="BB219" s="261"/>
      <c r="BC219" s="261"/>
      <c r="BD219" s="261"/>
      <c r="BE219" s="261"/>
      <c r="BF219" s="261"/>
      <c r="BG219" s="261"/>
      <c r="BH219" s="261"/>
      <c r="BI219" s="261"/>
      <c r="BJ219" s="261"/>
      <c r="BK219" s="261"/>
      <c r="BL219" s="261"/>
      <c r="BM219" s="261"/>
      <c r="BN219" s="261"/>
      <c r="BO219" s="261"/>
      <c r="BP219" s="261"/>
      <c r="BQ219" s="261"/>
      <c r="BR219" s="261"/>
      <c r="BS219" s="261"/>
      <c r="BT219" s="261"/>
      <c r="BU219" s="261"/>
      <c r="BV219" s="261"/>
      <c r="BW219" s="261"/>
      <c r="BX219" s="261"/>
      <c r="BY219" s="261"/>
      <c r="BZ219" s="261"/>
      <c r="CA219" s="261"/>
      <c r="CB219" s="261"/>
      <c r="CC219" s="261"/>
      <c r="CD219" s="261"/>
      <c r="CE219" s="261"/>
      <c r="CF219" s="261"/>
      <c r="CG219" s="261"/>
      <c r="CH219" s="261"/>
      <c r="CI219" s="261"/>
      <c r="CJ219" s="261"/>
      <c r="CK219" s="261"/>
      <c r="CL219" s="261"/>
      <c r="CM219" s="261"/>
      <c r="CN219" s="261"/>
      <c r="CO219" s="261"/>
      <c r="CP219" s="261"/>
      <c r="CQ219" s="261"/>
      <c r="CR219" s="261"/>
      <c r="CS219" s="261"/>
      <c r="CT219" s="261"/>
      <c r="CU219" s="261"/>
      <c r="CV219" s="261"/>
      <c r="CW219" s="261"/>
      <c r="CX219" s="261"/>
      <c r="CY219" s="261"/>
      <c r="CZ219" s="261"/>
      <c r="DA219" s="261"/>
      <c r="DB219" s="261"/>
      <c r="DC219" s="261"/>
      <c r="DD219" s="261"/>
      <c r="DE219" s="261"/>
      <c r="DF219" s="261"/>
      <c r="DG219" s="261"/>
      <c r="DH219" s="261"/>
      <c r="DI219" s="261"/>
      <c r="DJ219" s="261"/>
      <c r="DK219" s="261"/>
      <c r="DL219" s="261"/>
      <c r="DM219" s="261"/>
      <c r="DN219" s="261"/>
      <c r="DO219" s="261"/>
      <c r="DP219" s="261"/>
      <c r="DQ219" s="261"/>
      <c r="DR219" s="261"/>
      <c r="DS219" s="261"/>
      <c r="DT219" s="261"/>
      <c r="DU219" s="261"/>
      <c r="DV219" s="261"/>
      <c r="DW219" s="261"/>
      <c r="DX219" s="261"/>
      <c r="DY219" s="261"/>
      <c r="DZ219" s="261"/>
      <c r="EA219" s="261"/>
      <c r="EB219" s="261"/>
      <c r="EC219" s="261"/>
      <c r="ED219" s="261"/>
      <c r="EE219" s="261"/>
      <c r="EF219" s="261"/>
      <c r="EG219" s="261"/>
      <c r="EH219" s="261"/>
      <c r="EI219" s="261"/>
      <c r="EJ219" s="261"/>
      <c r="EK219" s="261"/>
      <c r="EL219" s="261"/>
      <c r="EM219" s="261"/>
      <c r="EN219" s="261"/>
      <c r="EO219" s="261"/>
      <c r="EP219" s="261"/>
      <c r="EQ219" s="261"/>
      <c r="ER219" s="261"/>
      <c r="ES219" s="261"/>
      <c r="ET219" s="261"/>
      <c r="EU219" s="261"/>
      <c r="EV219" s="261"/>
      <c r="EW219" s="261"/>
      <c r="EX219" s="261"/>
      <c r="EY219" s="261"/>
      <c r="EZ219" s="261"/>
      <c r="FA219" s="261"/>
      <c r="FB219" s="261"/>
      <c r="FC219" s="261"/>
      <c r="FD219" s="261"/>
      <c r="FE219" s="261"/>
      <c r="FF219" s="261"/>
      <c r="FG219" s="261"/>
      <c r="FH219" s="261"/>
      <c r="FI219" s="261"/>
      <c r="FJ219" s="261"/>
      <c r="FK219" s="261"/>
      <c r="FL219" s="261"/>
      <c r="FM219" s="261"/>
      <c r="FN219" s="261"/>
      <c r="FO219" s="261"/>
      <c r="FP219" s="261"/>
      <c r="FQ219" s="261"/>
      <c r="FR219" s="261"/>
      <c r="FS219" s="261"/>
      <c r="FT219" s="261"/>
      <c r="FU219" s="261"/>
      <c r="FV219" s="261"/>
      <c r="FW219" s="261"/>
      <c r="FX219" s="261"/>
      <c r="FY219" s="261"/>
      <c r="FZ219" s="261"/>
      <c r="GA219" s="261"/>
      <c r="GB219" s="261"/>
      <c r="GC219" s="261"/>
      <c r="GD219" s="261"/>
      <c r="GE219" s="261"/>
      <c r="GF219" s="261"/>
      <c r="GG219" s="261"/>
      <c r="GH219" s="261"/>
      <c r="GI219" s="261"/>
      <c r="GJ219" s="261"/>
      <c r="GK219" s="261"/>
      <c r="GL219" s="261"/>
      <c r="GM219" s="261"/>
      <c r="GN219" s="261"/>
      <c r="GO219" s="261"/>
      <c r="GP219" s="261"/>
      <c r="GQ219" s="261"/>
      <c r="GR219" s="261"/>
      <c r="GS219" s="261"/>
      <c r="GT219" s="261"/>
      <c r="GU219" s="261"/>
      <c r="GV219" s="261"/>
      <c r="GW219" s="261"/>
      <c r="GX219" s="261"/>
      <c r="GY219" s="261"/>
      <c r="GZ219" s="261"/>
      <c r="HA219" s="261"/>
      <c r="HB219" s="261"/>
      <c r="HC219" s="261"/>
      <c r="HD219" s="261"/>
      <c r="HE219" s="261"/>
      <c r="HF219" s="261"/>
      <c r="HG219" s="261"/>
      <c r="HH219" s="261"/>
      <c r="HI219" s="261"/>
      <c r="HJ219" s="261"/>
      <c r="HK219" s="261"/>
      <c r="HL219" s="261"/>
      <c r="HM219" s="261"/>
      <c r="HN219" s="261"/>
      <c r="HO219" s="261"/>
      <c r="HP219" s="261"/>
      <c r="HQ219" s="261"/>
      <c r="HR219" s="261"/>
      <c r="HS219" s="261"/>
      <c r="HT219" s="261"/>
      <c r="HU219" s="261"/>
      <c r="HV219" s="261"/>
      <c r="HW219" s="261"/>
      <c r="HX219" s="261"/>
      <c r="HY219" s="261"/>
      <c r="HZ219" s="261"/>
      <c r="IA219" s="261"/>
      <c r="IB219" s="261"/>
      <c r="IC219" s="261"/>
      <c r="ID219" s="261"/>
      <c r="IE219" s="261"/>
      <c r="IF219" s="261"/>
      <c r="IG219" s="261"/>
      <c r="IH219" s="261"/>
      <c r="II219" s="261"/>
      <c r="IJ219" s="261"/>
      <c r="IK219" s="261"/>
      <c r="IL219" s="261"/>
      <c r="IM219" s="261"/>
      <c r="IN219" s="261"/>
      <c r="IO219" s="261"/>
      <c r="IP219" s="261"/>
      <c r="IQ219" s="261"/>
      <c r="IR219" s="261"/>
      <c r="IS219" s="261"/>
      <c r="IT219" s="261"/>
      <c r="IU219" s="261"/>
      <c r="IV219" s="261"/>
      <c r="IW219" s="261"/>
      <c r="IX219" s="261"/>
      <c r="IY219" s="261"/>
      <c r="IZ219" s="372"/>
      <c r="JA219" s="372"/>
      <c r="JB219" s="372"/>
      <c r="JC219" s="372"/>
      <c r="JD219" s="372"/>
      <c r="JE219" s="372"/>
      <c r="JF219" s="372"/>
      <c r="JG219" s="372"/>
      <c r="JH219" s="372"/>
      <c r="JI219" s="372"/>
      <c r="JJ219" s="372"/>
      <c r="JK219" s="372"/>
      <c r="JL219" s="372"/>
      <c r="JM219" s="372"/>
      <c r="JN219" s="372"/>
      <c r="JO219" s="372"/>
      <c r="JP219" s="372"/>
      <c r="JQ219" s="372"/>
      <c r="JR219" s="372"/>
      <c r="JS219" s="372"/>
      <c r="JT219" s="372"/>
      <c r="JU219" s="372"/>
      <c r="JV219" s="372"/>
      <c r="JW219" s="372"/>
      <c r="JX219" s="372"/>
      <c r="JY219" s="372"/>
      <c r="JZ219" s="372"/>
      <c r="KA219" s="372"/>
      <c r="KB219" s="372"/>
      <c r="KC219" s="372"/>
      <c r="KD219" s="372"/>
      <c r="KE219" s="372"/>
      <c r="KF219" s="372"/>
      <c r="KG219" s="372"/>
      <c r="KH219" s="261"/>
      <c r="KI219" s="261"/>
      <c r="KJ219" s="261"/>
      <c r="KK219" s="261"/>
      <c r="KL219" s="261"/>
      <c r="KM219" s="261"/>
      <c r="KN219" s="261"/>
      <c r="KO219" s="261"/>
      <c r="KP219" s="261"/>
      <c r="KQ219" s="261"/>
      <c r="KR219" s="261"/>
      <c r="KS219" s="261"/>
      <c r="KT219" s="261"/>
      <c r="KU219" s="261"/>
      <c r="KV219" s="261"/>
      <c r="KW219" s="261"/>
      <c r="KX219" s="261"/>
      <c r="KY219" s="261"/>
      <c r="KZ219" s="261"/>
      <c r="LA219" s="261"/>
      <c r="LB219" s="261"/>
      <c r="LC219" s="261"/>
      <c r="LD219" s="261"/>
      <c r="LE219" s="261"/>
      <c r="LF219" s="261"/>
      <c r="LG219" s="261"/>
      <c r="LH219" s="261"/>
      <c r="LI219" s="261"/>
      <c r="LJ219" s="261"/>
      <c r="LK219" s="261"/>
      <c r="LL219" s="261"/>
      <c r="LM219" s="261"/>
      <c r="LN219" s="261"/>
      <c r="LO219" s="261"/>
      <c r="LP219" s="261"/>
      <c r="LQ219" s="261"/>
      <c r="LR219" s="261"/>
      <c r="LS219" s="261"/>
      <c r="LT219" s="261"/>
      <c r="LU219" s="261"/>
      <c r="LV219" s="261"/>
      <c r="LW219" s="261"/>
      <c r="LX219" s="261"/>
      <c r="LY219" s="261"/>
      <c r="LZ219" s="261"/>
      <c r="MA219" s="261"/>
      <c r="MB219" s="261"/>
      <c r="MC219" s="261"/>
      <c r="MD219" s="261"/>
      <c r="ME219" s="261"/>
      <c r="MF219" s="261"/>
      <c r="MG219" s="261"/>
      <c r="MH219" s="261"/>
      <c r="MI219" s="261"/>
      <c r="MJ219" s="261"/>
      <c r="MK219" s="261"/>
      <c r="ML219" s="261"/>
      <c r="MM219" s="261"/>
      <c r="MN219" s="261"/>
      <c r="MO219" s="261"/>
      <c r="MP219" s="261"/>
      <c r="MQ219" s="261"/>
      <c r="MR219" s="261"/>
      <c r="MS219" s="261"/>
      <c r="MT219" s="261"/>
      <c r="MU219" s="261"/>
      <c r="MV219" s="261"/>
      <c r="MW219" s="261"/>
      <c r="MX219" s="261"/>
      <c r="MY219" s="261"/>
      <c r="MZ219" s="261"/>
      <c r="NA219" s="261"/>
      <c r="NB219" s="261"/>
      <c r="NC219" s="261"/>
      <c r="ND219" s="261"/>
      <c r="NE219" s="261"/>
      <c r="NF219" s="261"/>
      <c r="NG219" s="261"/>
      <c r="NH219" s="261"/>
      <c r="NI219" s="261"/>
      <c r="NJ219" s="261"/>
      <c r="NK219" s="261"/>
      <c r="NL219" s="261"/>
      <c r="NM219" s="261"/>
      <c r="NN219" s="261"/>
      <c r="NO219" s="261"/>
      <c r="NP219" s="261"/>
      <c r="NQ219" s="261"/>
      <c r="NR219" s="261"/>
      <c r="NS219" s="261"/>
      <c r="NT219" s="261"/>
      <c r="NU219" s="261"/>
      <c r="NV219" s="261"/>
      <c r="NW219" s="261"/>
      <c r="NX219" s="261"/>
      <c r="NY219" s="261"/>
      <c r="NZ219" s="261"/>
      <c r="OA219" s="261"/>
      <c r="OB219" s="261"/>
      <c r="OC219" s="261"/>
      <c r="OD219" s="261"/>
      <c r="OE219" s="261"/>
      <c r="OF219" s="261"/>
      <c r="OG219" s="261"/>
      <c r="OH219" s="261"/>
      <c r="OI219" s="261"/>
      <c r="OJ219" s="261"/>
      <c r="OK219" s="261"/>
      <c r="OL219" s="261"/>
      <c r="OM219" s="261"/>
      <c r="ON219" s="261"/>
      <c r="OO219" s="261"/>
      <c r="OP219" s="261"/>
      <c r="OQ219" s="261"/>
      <c r="OR219" s="261"/>
      <c r="OS219" s="261"/>
      <c r="OT219" s="261"/>
      <c r="OU219" s="261"/>
      <c r="OV219" s="261"/>
      <c r="OW219" s="261"/>
      <c r="OX219" s="261"/>
      <c r="OY219" s="261"/>
      <c r="OZ219" s="261"/>
      <c r="PA219" s="261"/>
      <c r="PB219" s="261"/>
      <c r="PC219" s="261"/>
      <c r="PD219" s="261"/>
      <c r="PE219" s="261"/>
      <c r="PF219" s="261"/>
      <c r="PG219" s="261"/>
      <c r="PH219" s="261"/>
      <c r="PI219" s="261"/>
      <c r="PJ219" s="261"/>
      <c r="PK219" s="261"/>
      <c r="PL219" s="261"/>
      <c r="PM219" s="261"/>
      <c r="PN219" s="261"/>
      <c r="PO219" s="261"/>
      <c r="PP219" s="261"/>
      <c r="PQ219" s="261"/>
      <c r="PR219" s="261"/>
      <c r="PS219" s="261"/>
      <c r="PT219" s="261"/>
      <c r="PU219" s="261"/>
      <c r="PV219" s="261"/>
      <c r="PW219" s="261"/>
      <c r="PX219" s="261"/>
      <c r="PY219" s="261"/>
      <c r="PZ219" s="261"/>
      <c r="QA219" s="261"/>
      <c r="QB219" s="261"/>
      <c r="QC219" s="261"/>
      <c r="QD219" s="261"/>
      <c r="QE219" s="261"/>
      <c r="QF219" s="261"/>
      <c r="QG219" s="261"/>
      <c r="QH219" s="261"/>
      <c r="QI219" s="261"/>
      <c r="QJ219" s="261"/>
      <c r="QK219" s="261"/>
      <c r="QL219" s="261"/>
      <c r="QM219" s="261"/>
      <c r="QN219" s="261"/>
      <c r="QO219" s="261"/>
      <c r="QP219" s="261"/>
      <c r="QQ219" s="261"/>
      <c r="QR219" s="261"/>
      <c r="QS219" s="261"/>
      <c r="QT219" s="261"/>
      <c r="QU219" s="261"/>
      <c r="QV219" s="261"/>
      <c r="QW219" s="261"/>
      <c r="QX219" s="261"/>
      <c r="QY219" s="261"/>
      <c r="QZ219" s="261"/>
      <c r="RA219" s="261"/>
      <c r="RB219" s="261"/>
      <c r="RC219" s="261"/>
      <c r="RD219" s="261"/>
      <c r="RE219" s="261"/>
      <c r="RF219" s="261"/>
      <c r="RG219" s="261"/>
      <c r="RH219" s="261"/>
      <c r="RI219" s="261"/>
      <c r="RJ219" s="261"/>
      <c r="RK219" s="261"/>
      <c r="RL219" s="261"/>
      <c r="RM219" s="261"/>
      <c r="RN219" s="261"/>
      <c r="RO219" s="261"/>
      <c r="RP219" s="261"/>
      <c r="RQ219" s="261"/>
      <c r="RR219" s="261"/>
      <c r="RS219" s="261"/>
      <c r="RT219" s="261"/>
      <c r="RU219" s="261"/>
      <c r="RV219" s="261"/>
      <c r="RW219" s="261"/>
      <c r="RX219" s="261"/>
      <c r="RY219" s="261"/>
      <c r="RZ219" s="261"/>
      <c r="SA219" s="261"/>
      <c r="SB219" s="261"/>
      <c r="SC219" s="261"/>
      <c r="SD219" s="261"/>
      <c r="SE219" s="261"/>
      <c r="SF219" s="261"/>
      <c r="SG219" s="261"/>
      <c r="SH219" s="261"/>
      <c r="SI219" s="261"/>
      <c r="SJ219" s="261"/>
      <c r="SK219" s="261"/>
      <c r="SL219" s="261"/>
      <c r="SM219" s="261"/>
      <c r="SN219" s="261"/>
      <c r="SO219" s="261"/>
      <c r="SP219" s="261"/>
      <c r="SQ219" s="261"/>
      <c r="SR219" s="261"/>
      <c r="SS219" s="261"/>
    </row>
    <row r="220" spans="1:513" s="449" customFormat="1" ht="15.95" customHeight="1">
      <c r="C220" s="1039">
        <f>+AD179</f>
        <v>0</v>
      </c>
      <c r="D220" s="1039"/>
      <c r="E220" s="1039"/>
      <c r="F220" s="1039"/>
      <c r="G220" s="1039"/>
      <c r="H220" s="1039"/>
      <c r="I220" s="449" t="s">
        <v>10</v>
      </c>
      <c r="L220" s="449" t="s">
        <v>4508</v>
      </c>
      <c r="M220" s="451"/>
      <c r="N220" s="1038">
        <f>+AR203</f>
        <v>0</v>
      </c>
      <c r="O220" s="1038"/>
      <c r="P220" s="1038"/>
      <c r="Q220" s="1038"/>
      <c r="R220" s="1038"/>
      <c r="S220" s="1038"/>
      <c r="T220" s="453" t="s">
        <v>4509</v>
      </c>
      <c r="X220" s="451" t="s">
        <v>4508</v>
      </c>
      <c r="Z220" s="1040">
        <f>1-AG207</f>
        <v>1</v>
      </c>
      <c r="AA220" s="1040"/>
      <c r="AB220" s="1040"/>
      <c r="AC220" s="1040"/>
      <c r="AD220" s="1040"/>
      <c r="AM220" s="453" t="s">
        <v>4426</v>
      </c>
      <c r="AO220" s="1038">
        <f>ROUND(C220*N220*Z220,1)</f>
        <v>0</v>
      </c>
      <c r="AP220" s="1038"/>
      <c r="AQ220" s="1038"/>
      <c r="AR220" s="1038"/>
      <c r="AS220" s="1038"/>
      <c r="AT220" s="1038"/>
      <c r="AU220" s="1038"/>
      <c r="AV220" s="1038"/>
      <c r="AW220" s="354"/>
      <c r="AX220" s="354"/>
      <c r="AY220" s="354"/>
      <c r="AZ220" s="354"/>
      <c r="BA220" s="354"/>
      <c r="BB220" s="354"/>
      <c r="BC220" s="354"/>
      <c r="BD220" s="354"/>
      <c r="BE220" s="354"/>
      <c r="BF220" s="354"/>
      <c r="BG220" s="354"/>
      <c r="BH220" s="354"/>
      <c r="BI220" s="354"/>
      <c r="BJ220" s="354"/>
      <c r="BK220" s="354"/>
      <c r="BL220" s="354"/>
      <c r="BM220" s="354"/>
      <c r="BN220" s="354"/>
      <c r="BO220" s="354"/>
      <c r="BP220" s="354"/>
      <c r="BQ220" s="354"/>
      <c r="BR220" s="354"/>
      <c r="BS220" s="354"/>
      <c r="BT220" s="354"/>
      <c r="BU220" s="354"/>
      <c r="BV220" s="354"/>
      <c r="BW220" s="354"/>
      <c r="BX220" s="354"/>
      <c r="BY220" s="354"/>
      <c r="BZ220" s="354"/>
      <c r="CA220" s="354"/>
      <c r="CB220" s="354"/>
      <c r="CC220" s="354"/>
      <c r="CD220" s="354"/>
      <c r="CE220" s="354"/>
      <c r="CF220" s="354"/>
      <c r="CG220" s="354"/>
      <c r="CH220" s="354"/>
      <c r="CI220" s="354"/>
      <c r="CJ220" s="354"/>
      <c r="CK220" s="354"/>
      <c r="CL220" s="354"/>
      <c r="CM220" s="354"/>
      <c r="CN220" s="354"/>
      <c r="CO220" s="354"/>
      <c r="CP220" s="354"/>
      <c r="CQ220" s="354"/>
      <c r="CR220" s="354"/>
      <c r="CS220" s="354"/>
      <c r="CT220" s="354"/>
      <c r="CU220" s="354"/>
      <c r="CV220" s="354"/>
      <c r="CW220" s="354"/>
      <c r="CX220" s="354"/>
      <c r="CY220" s="354"/>
      <c r="CZ220" s="354"/>
      <c r="DA220" s="354"/>
      <c r="DB220" s="354"/>
      <c r="DC220" s="354"/>
      <c r="DD220" s="354"/>
      <c r="DE220" s="354"/>
      <c r="DF220" s="354"/>
      <c r="DG220" s="354"/>
      <c r="DH220" s="354"/>
      <c r="DI220" s="354"/>
      <c r="DJ220" s="354"/>
      <c r="DK220" s="354"/>
      <c r="DL220" s="354"/>
      <c r="DM220" s="354"/>
      <c r="DN220" s="354"/>
      <c r="DO220" s="354"/>
      <c r="DP220" s="354"/>
      <c r="DQ220" s="354"/>
      <c r="DR220" s="354"/>
      <c r="DS220" s="354"/>
      <c r="DT220" s="354"/>
      <c r="DU220" s="354"/>
      <c r="DV220" s="354"/>
      <c r="DW220" s="354"/>
      <c r="DX220" s="354"/>
      <c r="DY220" s="354"/>
      <c r="DZ220" s="354"/>
      <c r="EA220" s="354"/>
      <c r="EB220" s="354"/>
      <c r="EC220" s="354"/>
      <c r="ED220" s="354"/>
      <c r="EE220" s="354"/>
      <c r="EF220" s="354"/>
      <c r="EG220" s="354"/>
      <c r="EH220" s="354"/>
      <c r="EI220" s="354"/>
      <c r="EJ220" s="354"/>
      <c r="EK220" s="354"/>
      <c r="EL220" s="354"/>
      <c r="EM220" s="354"/>
      <c r="EN220" s="354"/>
      <c r="EO220" s="354"/>
      <c r="EP220" s="354"/>
      <c r="EQ220" s="354"/>
      <c r="ER220" s="354"/>
      <c r="ES220" s="354"/>
      <c r="ET220" s="354"/>
      <c r="EU220" s="354"/>
      <c r="EV220" s="354"/>
      <c r="EW220" s="354"/>
      <c r="EX220" s="354"/>
      <c r="EY220" s="354"/>
      <c r="EZ220" s="354"/>
      <c r="FA220" s="354"/>
      <c r="FB220" s="354"/>
      <c r="FC220" s="354"/>
      <c r="FD220" s="354"/>
      <c r="FE220" s="354"/>
      <c r="FF220" s="354"/>
      <c r="FG220" s="354"/>
      <c r="FH220" s="354"/>
      <c r="FI220" s="354"/>
      <c r="FJ220" s="354"/>
      <c r="FK220" s="354"/>
      <c r="FL220" s="354"/>
      <c r="FM220" s="354"/>
      <c r="FN220" s="354"/>
      <c r="FO220" s="354"/>
      <c r="FP220" s="354"/>
      <c r="FQ220" s="354"/>
      <c r="FR220" s="354"/>
      <c r="FS220" s="354"/>
      <c r="FT220" s="354"/>
      <c r="FU220" s="354"/>
      <c r="FV220" s="354"/>
      <c r="FW220" s="354"/>
      <c r="FX220" s="354"/>
      <c r="FY220" s="354"/>
      <c r="FZ220" s="354"/>
      <c r="GA220" s="354"/>
      <c r="GB220" s="354"/>
      <c r="GC220" s="354"/>
      <c r="GD220" s="354"/>
      <c r="GE220" s="354"/>
      <c r="GF220" s="354"/>
      <c r="GG220" s="354"/>
      <c r="GH220" s="354"/>
      <c r="GI220" s="354"/>
      <c r="GJ220" s="354"/>
      <c r="GK220" s="354"/>
      <c r="GL220" s="354"/>
      <c r="GM220" s="354"/>
      <c r="GN220" s="354"/>
      <c r="GO220" s="354"/>
      <c r="GP220" s="354"/>
      <c r="GQ220" s="354"/>
      <c r="GR220" s="354"/>
      <c r="GS220" s="354"/>
      <c r="GT220" s="354"/>
      <c r="GU220" s="354"/>
      <c r="GV220" s="354"/>
      <c r="GW220" s="354"/>
      <c r="GX220" s="354"/>
      <c r="GY220" s="354"/>
      <c r="GZ220" s="354"/>
      <c r="HA220" s="354"/>
      <c r="HB220" s="354"/>
      <c r="HC220" s="354"/>
      <c r="HD220" s="354"/>
      <c r="HE220" s="354"/>
      <c r="HF220" s="354"/>
      <c r="HG220" s="354"/>
      <c r="HH220" s="354"/>
      <c r="HI220" s="354"/>
      <c r="HJ220" s="354"/>
      <c r="HK220" s="354"/>
      <c r="HL220" s="354"/>
      <c r="HM220" s="354"/>
      <c r="HN220" s="354"/>
      <c r="HO220" s="354"/>
      <c r="HP220" s="354"/>
      <c r="HQ220" s="354"/>
      <c r="HR220" s="354"/>
      <c r="HS220" s="354"/>
      <c r="HT220" s="354"/>
      <c r="HU220" s="354"/>
      <c r="HV220" s="354"/>
      <c r="HW220" s="354"/>
      <c r="HX220" s="354"/>
      <c r="HY220" s="354"/>
      <c r="HZ220" s="354"/>
      <c r="IA220" s="354"/>
      <c r="IB220" s="354"/>
      <c r="IC220" s="354"/>
      <c r="ID220" s="354"/>
      <c r="IE220" s="354"/>
      <c r="IF220" s="354"/>
      <c r="IG220" s="354"/>
      <c r="IH220" s="354"/>
      <c r="II220" s="354"/>
      <c r="IJ220" s="354"/>
      <c r="IK220" s="354"/>
      <c r="IL220" s="354"/>
      <c r="IM220" s="354"/>
      <c r="IN220" s="354"/>
      <c r="IO220" s="354"/>
      <c r="IP220" s="354"/>
      <c r="IQ220" s="354"/>
      <c r="IR220" s="354"/>
      <c r="IS220" s="354"/>
      <c r="IT220" s="354"/>
      <c r="IU220" s="354"/>
      <c r="IV220" s="354"/>
      <c r="IW220" s="354"/>
      <c r="IX220" s="354"/>
      <c r="IY220" s="354"/>
      <c r="IZ220" s="371"/>
      <c r="JA220" s="371"/>
      <c r="JB220" s="371"/>
      <c r="JC220" s="371"/>
      <c r="JD220" s="371"/>
      <c r="JE220" s="371"/>
      <c r="JF220" s="371"/>
      <c r="JG220" s="371"/>
      <c r="JH220" s="371"/>
      <c r="JI220" s="371"/>
      <c r="JJ220" s="371"/>
      <c r="JK220" s="371"/>
      <c r="JL220" s="371"/>
      <c r="JM220" s="371"/>
      <c r="JN220" s="371"/>
      <c r="JO220" s="371"/>
      <c r="JP220" s="371"/>
      <c r="JQ220" s="371"/>
      <c r="JR220" s="371"/>
      <c r="JS220" s="371"/>
      <c r="JT220" s="371"/>
      <c r="JU220" s="371"/>
      <c r="JV220" s="371"/>
      <c r="JW220" s="371"/>
      <c r="JX220" s="371"/>
      <c r="JY220" s="371"/>
      <c r="JZ220" s="371"/>
      <c r="KA220" s="371"/>
      <c r="KB220" s="371"/>
      <c r="KC220" s="371"/>
      <c r="KD220" s="371"/>
      <c r="KE220" s="371"/>
      <c r="KF220" s="371"/>
      <c r="KG220" s="371"/>
      <c r="KH220" s="354"/>
      <c r="KI220" s="354"/>
      <c r="KJ220" s="354"/>
      <c r="KK220" s="354"/>
      <c r="KL220" s="354"/>
      <c r="KM220" s="354"/>
      <c r="KN220" s="354"/>
      <c r="KO220" s="354"/>
      <c r="KP220" s="354"/>
      <c r="KQ220" s="354"/>
      <c r="KR220" s="354"/>
      <c r="KS220" s="354"/>
      <c r="KT220" s="354"/>
      <c r="KU220" s="354"/>
      <c r="KV220" s="354"/>
      <c r="KW220" s="354"/>
      <c r="KX220" s="354"/>
      <c r="KY220" s="354"/>
      <c r="KZ220" s="354"/>
      <c r="LA220" s="354"/>
      <c r="LB220" s="354"/>
      <c r="LC220" s="354"/>
      <c r="LD220" s="354"/>
      <c r="LE220" s="354"/>
      <c r="LF220" s="354"/>
      <c r="LG220" s="354"/>
      <c r="LH220" s="354"/>
      <c r="LI220" s="354"/>
      <c r="LJ220" s="354"/>
      <c r="LK220" s="354"/>
      <c r="LL220" s="354"/>
      <c r="LM220" s="354"/>
      <c r="LN220" s="354"/>
      <c r="LO220" s="354"/>
      <c r="LP220" s="354"/>
      <c r="LQ220" s="354"/>
      <c r="LR220" s="354"/>
      <c r="LS220" s="354"/>
      <c r="LT220" s="354"/>
      <c r="LU220" s="354"/>
      <c r="LV220" s="354"/>
      <c r="LW220" s="354"/>
      <c r="LX220" s="354"/>
      <c r="LY220" s="354"/>
      <c r="LZ220" s="354"/>
      <c r="MA220" s="354"/>
      <c r="MB220" s="354"/>
      <c r="MC220" s="354"/>
      <c r="MD220" s="354"/>
      <c r="ME220" s="354"/>
      <c r="MF220" s="354"/>
      <c r="MG220" s="354"/>
      <c r="MH220" s="354"/>
      <c r="MI220" s="354"/>
      <c r="MJ220" s="354"/>
      <c r="MK220" s="354"/>
      <c r="ML220" s="354"/>
      <c r="MM220" s="354"/>
      <c r="MN220" s="354"/>
      <c r="MO220" s="354"/>
      <c r="MP220" s="354"/>
      <c r="MQ220" s="354"/>
      <c r="MR220" s="354"/>
      <c r="MS220" s="354"/>
      <c r="MT220" s="354"/>
      <c r="MU220" s="354"/>
      <c r="MV220" s="354"/>
      <c r="MW220" s="354"/>
      <c r="MX220" s="354"/>
      <c r="MY220" s="354"/>
      <c r="MZ220" s="354"/>
      <c r="NA220" s="354"/>
      <c r="NB220" s="354"/>
      <c r="NC220" s="354"/>
      <c r="ND220" s="354"/>
      <c r="NE220" s="354"/>
      <c r="NF220" s="354"/>
      <c r="NG220" s="354"/>
      <c r="NH220" s="354"/>
      <c r="NI220" s="354"/>
      <c r="NJ220" s="354"/>
      <c r="NK220" s="354"/>
      <c r="NL220" s="354"/>
      <c r="NM220" s="354"/>
      <c r="NN220" s="354"/>
      <c r="NO220" s="354"/>
      <c r="NP220" s="354"/>
      <c r="NQ220" s="354"/>
      <c r="NR220" s="354"/>
      <c r="NS220" s="354"/>
      <c r="NT220" s="354"/>
      <c r="NU220" s="354"/>
      <c r="NV220" s="354"/>
      <c r="NW220" s="354"/>
      <c r="NX220" s="354"/>
      <c r="NY220" s="354"/>
      <c r="NZ220" s="354"/>
      <c r="OA220" s="354"/>
      <c r="OB220" s="354"/>
      <c r="OC220" s="354"/>
      <c r="OD220" s="354"/>
      <c r="OE220" s="354"/>
      <c r="OF220" s="354"/>
      <c r="OG220" s="354"/>
      <c r="OH220" s="354"/>
      <c r="OI220" s="354"/>
      <c r="OJ220" s="354"/>
      <c r="OK220" s="354"/>
      <c r="OL220" s="354"/>
      <c r="OM220" s="354"/>
      <c r="ON220" s="354"/>
      <c r="OO220" s="354"/>
      <c r="OP220" s="354"/>
      <c r="OQ220" s="354"/>
      <c r="OR220" s="354"/>
      <c r="OS220" s="354"/>
      <c r="OT220" s="354"/>
      <c r="OU220" s="354"/>
      <c r="OV220" s="354"/>
      <c r="OW220" s="354"/>
      <c r="OX220" s="354"/>
      <c r="OY220" s="354"/>
      <c r="OZ220" s="354"/>
      <c r="PA220" s="354"/>
      <c r="PB220" s="354"/>
      <c r="PC220" s="354"/>
      <c r="PD220" s="354"/>
      <c r="PE220" s="354"/>
      <c r="PF220" s="354"/>
      <c r="PG220" s="354"/>
      <c r="PH220" s="354"/>
      <c r="PI220" s="354"/>
      <c r="PJ220" s="354"/>
      <c r="PK220" s="354"/>
      <c r="PL220" s="354"/>
      <c r="PM220" s="354"/>
      <c r="PN220" s="354"/>
      <c r="PO220" s="354"/>
      <c r="PP220" s="354"/>
      <c r="PQ220" s="354"/>
      <c r="PR220" s="354"/>
      <c r="PS220" s="354"/>
      <c r="PT220" s="354"/>
      <c r="PU220" s="354"/>
      <c r="PV220" s="354"/>
      <c r="PW220" s="354"/>
      <c r="PX220" s="354"/>
      <c r="PY220" s="354"/>
      <c r="PZ220" s="354"/>
      <c r="QA220" s="354"/>
      <c r="QB220" s="354"/>
      <c r="QC220" s="354"/>
      <c r="QD220" s="354"/>
      <c r="QE220" s="354"/>
      <c r="QF220" s="354"/>
      <c r="QG220" s="354"/>
      <c r="QH220" s="354"/>
      <c r="QI220" s="354"/>
      <c r="QJ220" s="354"/>
      <c r="QK220" s="354"/>
      <c r="QL220" s="354"/>
      <c r="QM220" s="354"/>
      <c r="QN220" s="354"/>
      <c r="QO220" s="354"/>
      <c r="QP220" s="354"/>
      <c r="QQ220" s="354"/>
      <c r="QR220" s="354"/>
      <c r="QS220" s="354"/>
      <c r="QT220" s="354"/>
      <c r="QU220" s="354"/>
      <c r="QV220" s="354"/>
      <c r="QW220" s="354"/>
      <c r="QX220" s="354"/>
      <c r="QY220" s="354"/>
      <c r="QZ220" s="354"/>
      <c r="RA220" s="354"/>
      <c r="RB220" s="354"/>
      <c r="RC220" s="354"/>
      <c r="RD220" s="354"/>
      <c r="RE220" s="354"/>
      <c r="RF220" s="354"/>
      <c r="RG220" s="354"/>
      <c r="RH220" s="354"/>
      <c r="RI220" s="354"/>
      <c r="RJ220" s="354"/>
      <c r="RK220" s="354"/>
      <c r="RL220" s="354"/>
      <c r="RM220" s="354"/>
      <c r="RN220" s="354"/>
      <c r="RO220" s="354"/>
      <c r="RP220" s="354"/>
      <c r="RQ220" s="354"/>
      <c r="RR220" s="354"/>
      <c r="RS220" s="354"/>
      <c r="RT220" s="354"/>
      <c r="RU220" s="354"/>
      <c r="RV220" s="354"/>
      <c r="RW220" s="354"/>
      <c r="RX220" s="354"/>
      <c r="RY220" s="354"/>
      <c r="RZ220" s="354"/>
      <c r="SA220" s="354"/>
      <c r="SB220" s="354"/>
      <c r="SC220" s="354"/>
      <c r="SD220" s="354"/>
      <c r="SE220" s="354"/>
      <c r="SF220" s="354"/>
      <c r="SG220" s="354"/>
      <c r="SH220" s="354"/>
      <c r="SI220" s="354"/>
      <c r="SJ220" s="354"/>
      <c r="SK220" s="354"/>
      <c r="SL220" s="354"/>
      <c r="SM220" s="354"/>
      <c r="SN220" s="354"/>
      <c r="SO220" s="354"/>
      <c r="SP220" s="354"/>
      <c r="SQ220" s="354"/>
      <c r="SR220" s="354"/>
      <c r="SS220" s="354"/>
    </row>
    <row r="221" spans="1:513" s="448" customFormat="1" ht="18.75" customHeight="1">
      <c r="A221" s="445"/>
      <c r="B221" s="446"/>
      <c r="C221" s="447" t="str">
        <f>+C180</f>
        <v>Segundo piso</v>
      </c>
      <c r="AW221" s="261"/>
      <c r="AX221" s="261"/>
      <c r="AY221" s="261"/>
      <c r="AZ221" s="261"/>
      <c r="BA221" s="261"/>
      <c r="BB221" s="261"/>
      <c r="BC221" s="261"/>
      <c r="BD221" s="261"/>
      <c r="BE221" s="261"/>
      <c r="BF221" s="261"/>
      <c r="BG221" s="261"/>
      <c r="BH221" s="261"/>
      <c r="BI221" s="261"/>
      <c r="BJ221" s="261"/>
      <c r="BK221" s="261"/>
      <c r="BL221" s="261"/>
      <c r="BM221" s="261"/>
      <c r="BN221" s="261"/>
      <c r="BO221" s="261"/>
      <c r="BP221" s="261"/>
      <c r="BQ221" s="261"/>
      <c r="BR221" s="261"/>
      <c r="BS221" s="261"/>
      <c r="BT221" s="261"/>
      <c r="BU221" s="261"/>
      <c r="BV221" s="261"/>
      <c r="BW221" s="261"/>
      <c r="BX221" s="261"/>
      <c r="BY221" s="261"/>
      <c r="BZ221" s="261"/>
      <c r="CA221" s="261"/>
      <c r="CB221" s="261"/>
      <c r="CC221" s="261"/>
      <c r="CD221" s="261"/>
      <c r="CE221" s="261"/>
      <c r="CF221" s="261"/>
      <c r="CG221" s="261"/>
      <c r="CH221" s="261"/>
      <c r="CI221" s="261"/>
      <c r="CJ221" s="261"/>
      <c r="CK221" s="261"/>
      <c r="CL221" s="261"/>
      <c r="CM221" s="261"/>
      <c r="CN221" s="261"/>
      <c r="CO221" s="261"/>
      <c r="CP221" s="261"/>
      <c r="CQ221" s="261"/>
      <c r="CR221" s="261"/>
      <c r="CS221" s="261"/>
      <c r="CT221" s="261"/>
      <c r="CU221" s="261"/>
      <c r="CV221" s="261"/>
      <c r="CW221" s="261"/>
      <c r="CX221" s="261"/>
      <c r="CY221" s="261"/>
      <c r="CZ221" s="261"/>
      <c r="DA221" s="261"/>
      <c r="DB221" s="261"/>
      <c r="DC221" s="261"/>
      <c r="DD221" s="261"/>
      <c r="DE221" s="261"/>
      <c r="DF221" s="261"/>
      <c r="DG221" s="261"/>
      <c r="DH221" s="261"/>
      <c r="DI221" s="261"/>
      <c r="DJ221" s="261"/>
      <c r="DK221" s="261"/>
      <c r="DL221" s="261"/>
      <c r="DM221" s="261"/>
      <c r="DN221" s="261"/>
      <c r="DO221" s="261"/>
      <c r="DP221" s="261"/>
      <c r="DQ221" s="261"/>
      <c r="DR221" s="261"/>
      <c r="DS221" s="261"/>
      <c r="DT221" s="261"/>
      <c r="DU221" s="261"/>
      <c r="DV221" s="261"/>
      <c r="DW221" s="261"/>
      <c r="DX221" s="261"/>
      <c r="DY221" s="261"/>
      <c r="DZ221" s="261"/>
      <c r="EA221" s="261"/>
      <c r="EB221" s="261"/>
      <c r="EC221" s="261"/>
      <c r="ED221" s="261"/>
      <c r="EE221" s="261"/>
      <c r="EF221" s="261"/>
      <c r="EG221" s="261"/>
      <c r="EH221" s="261"/>
      <c r="EI221" s="261"/>
      <c r="EJ221" s="261"/>
      <c r="EK221" s="261"/>
      <c r="EL221" s="261"/>
      <c r="EM221" s="261"/>
      <c r="EN221" s="261"/>
      <c r="EO221" s="261"/>
      <c r="EP221" s="261"/>
      <c r="EQ221" s="261"/>
      <c r="ER221" s="261"/>
      <c r="ES221" s="261"/>
      <c r="ET221" s="261"/>
      <c r="EU221" s="261"/>
      <c r="EV221" s="261"/>
      <c r="EW221" s="261"/>
      <c r="EX221" s="261"/>
      <c r="EY221" s="261"/>
      <c r="EZ221" s="261"/>
      <c r="FA221" s="261"/>
      <c r="FB221" s="261"/>
      <c r="FC221" s="261"/>
      <c r="FD221" s="261"/>
      <c r="FE221" s="261"/>
      <c r="FF221" s="261"/>
      <c r="FG221" s="261"/>
      <c r="FH221" s="261"/>
      <c r="FI221" s="261"/>
      <c r="FJ221" s="261"/>
      <c r="FK221" s="261"/>
      <c r="FL221" s="261"/>
      <c r="FM221" s="261"/>
      <c r="FN221" s="261"/>
      <c r="FO221" s="261"/>
      <c r="FP221" s="261"/>
      <c r="FQ221" s="261"/>
      <c r="FR221" s="261"/>
      <c r="FS221" s="261"/>
      <c r="FT221" s="261"/>
      <c r="FU221" s="261"/>
      <c r="FV221" s="261"/>
      <c r="FW221" s="261"/>
      <c r="FX221" s="261"/>
      <c r="FY221" s="261"/>
      <c r="FZ221" s="261"/>
      <c r="GA221" s="261"/>
      <c r="GB221" s="261"/>
      <c r="GC221" s="261"/>
      <c r="GD221" s="261"/>
      <c r="GE221" s="261"/>
      <c r="GF221" s="261"/>
      <c r="GG221" s="261"/>
      <c r="GH221" s="261"/>
      <c r="GI221" s="261"/>
      <c r="GJ221" s="261"/>
      <c r="GK221" s="261"/>
      <c r="GL221" s="261"/>
      <c r="GM221" s="261"/>
      <c r="GN221" s="261"/>
      <c r="GO221" s="261"/>
      <c r="GP221" s="261"/>
      <c r="GQ221" s="261"/>
      <c r="GR221" s="261"/>
      <c r="GS221" s="261"/>
      <c r="GT221" s="261"/>
      <c r="GU221" s="261"/>
      <c r="GV221" s="261"/>
      <c r="GW221" s="261"/>
      <c r="GX221" s="261"/>
      <c r="GY221" s="261"/>
      <c r="GZ221" s="261"/>
      <c r="HA221" s="261"/>
      <c r="HB221" s="261"/>
      <c r="HC221" s="261"/>
      <c r="HD221" s="261"/>
      <c r="HE221" s="261"/>
      <c r="HF221" s="261"/>
      <c r="HG221" s="261"/>
      <c r="HH221" s="261"/>
      <c r="HI221" s="261"/>
      <c r="HJ221" s="261"/>
      <c r="HK221" s="261"/>
      <c r="HL221" s="261"/>
      <c r="HM221" s="261"/>
      <c r="HN221" s="261"/>
      <c r="HO221" s="261"/>
      <c r="HP221" s="261"/>
      <c r="HQ221" s="261"/>
      <c r="HR221" s="261"/>
      <c r="HS221" s="261"/>
      <c r="HT221" s="261"/>
      <c r="HU221" s="261"/>
      <c r="HV221" s="261"/>
      <c r="HW221" s="261"/>
      <c r="HX221" s="261"/>
      <c r="HY221" s="261"/>
      <c r="HZ221" s="261"/>
      <c r="IA221" s="261"/>
      <c r="IB221" s="261"/>
      <c r="IC221" s="261"/>
      <c r="ID221" s="261"/>
      <c r="IE221" s="261"/>
      <c r="IF221" s="261"/>
      <c r="IG221" s="261"/>
      <c r="IH221" s="261"/>
      <c r="II221" s="261"/>
      <c r="IJ221" s="261"/>
      <c r="IK221" s="261"/>
      <c r="IL221" s="261"/>
      <c r="IM221" s="261"/>
      <c r="IN221" s="261"/>
      <c r="IO221" s="261"/>
      <c r="IP221" s="261"/>
      <c r="IQ221" s="261"/>
      <c r="IR221" s="261"/>
      <c r="IS221" s="261"/>
      <c r="IT221" s="261"/>
      <c r="IU221" s="261"/>
      <c r="IV221" s="261"/>
      <c r="IW221" s="261"/>
      <c r="IX221" s="261"/>
      <c r="IY221" s="261"/>
      <c r="IZ221" s="372"/>
      <c r="JA221" s="372"/>
      <c r="JB221" s="372"/>
      <c r="JC221" s="372"/>
      <c r="JD221" s="372"/>
      <c r="JE221" s="372"/>
      <c r="JF221" s="372"/>
      <c r="JG221" s="372"/>
      <c r="JH221" s="372"/>
      <c r="JI221" s="372"/>
      <c r="JJ221" s="372"/>
      <c r="JK221" s="372"/>
      <c r="JL221" s="372"/>
      <c r="JM221" s="372"/>
      <c r="JN221" s="372"/>
      <c r="JO221" s="372"/>
      <c r="JP221" s="372"/>
      <c r="JQ221" s="372"/>
      <c r="JR221" s="372"/>
      <c r="JS221" s="372"/>
      <c r="JT221" s="372"/>
      <c r="JU221" s="372"/>
      <c r="JV221" s="372"/>
      <c r="JW221" s="372"/>
      <c r="JX221" s="372"/>
      <c r="JY221" s="372"/>
      <c r="JZ221" s="372"/>
      <c r="KA221" s="372"/>
      <c r="KB221" s="372"/>
      <c r="KC221" s="372"/>
      <c r="KD221" s="372"/>
      <c r="KE221" s="372"/>
      <c r="KF221" s="372"/>
      <c r="KG221" s="372"/>
      <c r="KH221" s="261"/>
      <c r="KI221" s="261"/>
      <c r="KJ221" s="261"/>
      <c r="KK221" s="261"/>
      <c r="KL221" s="261"/>
      <c r="KM221" s="261"/>
      <c r="KN221" s="261"/>
      <c r="KO221" s="261"/>
      <c r="KP221" s="261"/>
      <c r="KQ221" s="261"/>
      <c r="KR221" s="261"/>
      <c r="KS221" s="261"/>
      <c r="KT221" s="261"/>
      <c r="KU221" s="261"/>
      <c r="KV221" s="261"/>
      <c r="KW221" s="261"/>
      <c r="KX221" s="261"/>
      <c r="KY221" s="261"/>
      <c r="KZ221" s="261"/>
      <c r="LA221" s="261"/>
      <c r="LB221" s="261"/>
      <c r="LC221" s="261"/>
      <c r="LD221" s="261"/>
      <c r="LE221" s="261"/>
      <c r="LF221" s="261"/>
      <c r="LG221" s="261"/>
      <c r="LH221" s="261"/>
      <c r="LI221" s="261"/>
      <c r="LJ221" s="261"/>
      <c r="LK221" s="261"/>
      <c r="LL221" s="261"/>
      <c r="LM221" s="261"/>
      <c r="LN221" s="261"/>
      <c r="LO221" s="261"/>
      <c r="LP221" s="261"/>
      <c r="LQ221" s="261"/>
      <c r="LR221" s="261"/>
      <c r="LS221" s="261"/>
      <c r="LT221" s="261"/>
      <c r="LU221" s="261"/>
      <c r="LV221" s="261"/>
      <c r="LW221" s="261"/>
      <c r="LX221" s="261"/>
      <c r="LY221" s="261"/>
      <c r="LZ221" s="261"/>
      <c r="MA221" s="261"/>
      <c r="MB221" s="261"/>
      <c r="MC221" s="261"/>
      <c r="MD221" s="261"/>
      <c r="ME221" s="261"/>
      <c r="MF221" s="261"/>
      <c r="MG221" s="261"/>
      <c r="MH221" s="261"/>
      <c r="MI221" s="261"/>
      <c r="MJ221" s="261"/>
      <c r="MK221" s="261"/>
      <c r="ML221" s="261"/>
      <c r="MM221" s="261"/>
      <c r="MN221" s="261"/>
      <c r="MO221" s="261"/>
      <c r="MP221" s="261"/>
      <c r="MQ221" s="261"/>
      <c r="MR221" s="261"/>
      <c r="MS221" s="261"/>
      <c r="MT221" s="261"/>
      <c r="MU221" s="261"/>
      <c r="MV221" s="261"/>
      <c r="MW221" s="261"/>
      <c r="MX221" s="261"/>
      <c r="MY221" s="261"/>
      <c r="MZ221" s="261"/>
      <c r="NA221" s="261"/>
      <c r="NB221" s="261"/>
      <c r="NC221" s="261"/>
      <c r="ND221" s="261"/>
      <c r="NE221" s="261"/>
      <c r="NF221" s="261"/>
      <c r="NG221" s="261"/>
      <c r="NH221" s="261"/>
      <c r="NI221" s="261"/>
      <c r="NJ221" s="261"/>
      <c r="NK221" s="261"/>
      <c r="NL221" s="261"/>
      <c r="NM221" s="261"/>
      <c r="NN221" s="261"/>
      <c r="NO221" s="261"/>
      <c r="NP221" s="261"/>
      <c r="NQ221" s="261"/>
      <c r="NR221" s="261"/>
      <c r="NS221" s="261"/>
      <c r="NT221" s="261"/>
      <c r="NU221" s="261"/>
      <c r="NV221" s="261"/>
      <c r="NW221" s="261"/>
      <c r="NX221" s="261"/>
      <c r="NY221" s="261"/>
      <c r="NZ221" s="261"/>
      <c r="OA221" s="261"/>
      <c r="OB221" s="261"/>
      <c r="OC221" s="261"/>
      <c r="OD221" s="261"/>
      <c r="OE221" s="261"/>
      <c r="OF221" s="261"/>
      <c r="OG221" s="261"/>
      <c r="OH221" s="261"/>
      <c r="OI221" s="261"/>
      <c r="OJ221" s="261"/>
      <c r="OK221" s="261"/>
      <c r="OL221" s="261"/>
      <c r="OM221" s="261"/>
      <c r="ON221" s="261"/>
      <c r="OO221" s="261"/>
      <c r="OP221" s="261"/>
      <c r="OQ221" s="261"/>
      <c r="OR221" s="261"/>
      <c r="OS221" s="261"/>
      <c r="OT221" s="261"/>
      <c r="OU221" s="261"/>
      <c r="OV221" s="261"/>
      <c r="OW221" s="261"/>
      <c r="OX221" s="261"/>
      <c r="OY221" s="261"/>
      <c r="OZ221" s="261"/>
      <c r="PA221" s="261"/>
      <c r="PB221" s="261"/>
      <c r="PC221" s="261"/>
      <c r="PD221" s="261"/>
      <c r="PE221" s="261"/>
      <c r="PF221" s="261"/>
      <c r="PG221" s="261"/>
      <c r="PH221" s="261"/>
      <c r="PI221" s="261"/>
      <c r="PJ221" s="261"/>
      <c r="PK221" s="261"/>
      <c r="PL221" s="261"/>
      <c r="PM221" s="261"/>
      <c r="PN221" s="261"/>
      <c r="PO221" s="261"/>
      <c r="PP221" s="261"/>
      <c r="PQ221" s="261"/>
      <c r="PR221" s="261"/>
      <c r="PS221" s="261"/>
      <c r="PT221" s="261"/>
      <c r="PU221" s="261"/>
      <c r="PV221" s="261"/>
      <c r="PW221" s="261"/>
      <c r="PX221" s="261"/>
      <c r="PY221" s="261"/>
      <c r="PZ221" s="261"/>
      <c r="QA221" s="261"/>
      <c r="QB221" s="261"/>
      <c r="QC221" s="261"/>
      <c r="QD221" s="261"/>
      <c r="QE221" s="261"/>
      <c r="QF221" s="261"/>
      <c r="QG221" s="261"/>
      <c r="QH221" s="261"/>
      <c r="QI221" s="261"/>
      <c r="QJ221" s="261"/>
      <c r="QK221" s="261"/>
      <c r="QL221" s="261"/>
      <c r="QM221" s="261"/>
      <c r="QN221" s="261"/>
      <c r="QO221" s="261"/>
      <c r="QP221" s="261"/>
      <c r="QQ221" s="261"/>
      <c r="QR221" s="261"/>
      <c r="QS221" s="261"/>
      <c r="QT221" s="261"/>
      <c r="QU221" s="261"/>
      <c r="QV221" s="261"/>
      <c r="QW221" s="261"/>
      <c r="QX221" s="261"/>
      <c r="QY221" s="261"/>
      <c r="QZ221" s="261"/>
      <c r="RA221" s="261"/>
      <c r="RB221" s="261"/>
      <c r="RC221" s="261"/>
      <c r="RD221" s="261"/>
      <c r="RE221" s="261"/>
      <c r="RF221" s="261"/>
      <c r="RG221" s="261"/>
      <c r="RH221" s="261"/>
      <c r="RI221" s="261"/>
      <c r="RJ221" s="261"/>
      <c r="RK221" s="261"/>
      <c r="RL221" s="261"/>
      <c r="RM221" s="261"/>
      <c r="RN221" s="261"/>
      <c r="RO221" s="261"/>
      <c r="RP221" s="261"/>
      <c r="RQ221" s="261"/>
      <c r="RR221" s="261"/>
      <c r="RS221" s="261"/>
      <c r="RT221" s="261"/>
      <c r="RU221" s="261"/>
      <c r="RV221" s="261"/>
      <c r="RW221" s="261"/>
      <c r="RX221" s="261"/>
      <c r="RY221" s="261"/>
      <c r="RZ221" s="261"/>
      <c r="SA221" s="261"/>
      <c r="SB221" s="261"/>
      <c r="SC221" s="261"/>
      <c r="SD221" s="261"/>
      <c r="SE221" s="261"/>
      <c r="SF221" s="261"/>
      <c r="SG221" s="261"/>
      <c r="SH221" s="261"/>
      <c r="SI221" s="261"/>
      <c r="SJ221" s="261"/>
      <c r="SK221" s="261"/>
      <c r="SL221" s="261"/>
      <c r="SM221" s="261"/>
      <c r="SN221" s="261"/>
      <c r="SO221" s="261"/>
      <c r="SP221" s="261"/>
      <c r="SQ221" s="261"/>
      <c r="SR221" s="261"/>
      <c r="SS221" s="261"/>
    </row>
    <row r="222" spans="1:513" s="449" customFormat="1" ht="15.95" customHeight="1">
      <c r="C222" s="1039">
        <f>+AD180</f>
        <v>0</v>
      </c>
      <c r="D222" s="1039"/>
      <c r="E222" s="1039"/>
      <c r="F222" s="1039"/>
      <c r="G222" s="1039"/>
      <c r="H222" s="1039"/>
      <c r="I222" s="449" t="s">
        <v>10</v>
      </c>
      <c r="L222" s="449" t="s">
        <v>4508</v>
      </c>
      <c r="M222" s="451"/>
      <c r="N222" s="1038">
        <f>+AR203</f>
        <v>0</v>
      </c>
      <c r="O222" s="1038"/>
      <c r="P222" s="1038"/>
      <c r="Q222" s="1038"/>
      <c r="R222" s="1038"/>
      <c r="S222" s="1038"/>
      <c r="T222" s="453" t="s">
        <v>4509</v>
      </c>
      <c r="X222" s="451" t="s">
        <v>4508</v>
      </c>
      <c r="Z222" s="1040">
        <f>1-AG208</f>
        <v>1</v>
      </c>
      <c r="AA222" s="1040"/>
      <c r="AB222" s="1040"/>
      <c r="AC222" s="1040"/>
      <c r="AD222" s="1040"/>
      <c r="AM222" s="453" t="s">
        <v>4426</v>
      </c>
      <c r="AO222" s="1038">
        <f>ROUND(C222*N222*Z222,1)</f>
        <v>0</v>
      </c>
      <c r="AP222" s="1038"/>
      <c r="AQ222" s="1038"/>
      <c r="AR222" s="1038"/>
      <c r="AS222" s="1038"/>
      <c r="AT222" s="1038"/>
      <c r="AU222" s="1038"/>
      <c r="AV222" s="1038"/>
      <c r="AW222" s="354"/>
      <c r="AX222" s="354"/>
      <c r="AY222" s="354"/>
      <c r="AZ222" s="354"/>
      <c r="BA222" s="354"/>
      <c r="BB222" s="354"/>
      <c r="BC222" s="354"/>
      <c r="BD222" s="354"/>
      <c r="BE222" s="354"/>
      <c r="BF222" s="354"/>
      <c r="BG222" s="354"/>
      <c r="BH222" s="354"/>
      <c r="BI222" s="354"/>
      <c r="BJ222" s="354"/>
      <c r="BK222" s="354"/>
      <c r="BL222" s="354"/>
      <c r="BM222" s="354"/>
      <c r="BN222" s="354"/>
      <c r="BO222" s="354"/>
      <c r="BP222" s="354"/>
      <c r="BQ222" s="354"/>
      <c r="BR222" s="354"/>
      <c r="BS222" s="354"/>
      <c r="BT222" s="354"/>
      <c r="BU222" s="354"/>
      <c r="BV222" s="354"/>
      <c r="BW222" s="354"/>
      <c r="BX222" s="354"/>
      <c r="BY222" s="354"/>
      <c r="BZ222" s="354"/>
      <c r="CA222" s="354"/>
      <c r="CB222" s="354"/>
      <c r="CC222" s="354"/>
      <c r="CD222" s="354"/>
      <c r="CE222" s="354"/>
      <c r="CF222" s="354"/>
      <c r="CG222" s="354"/>
      <c r="CH222" s="354"/>
      <c r="CI222" s="354"/>
      <c r="CJ222" s="354"/>
      <c r="CK222" s="354"/>
      <c r="CL222" s="354"/>
      <c r="CM222" s="354"/>
      <c r="CN222" s="354"/>
      <c r="CO222" s="354"/>
      <c r="CP222" s="354"/>
      <c r="CQ222" s="354"/>
      <c r="CR222" s="354"/>
      <c r="CS222" s="354"/>
      <c r="CT222" s="354"/>
      <c r="CU222" s="354"/>
      <c r="CV222" s="354"/>
      <c r="CW222" s="354"/>
      <c r="CX222" s="354"/>
      <c r="CY222" s="354"/>
      <c r="CZ222" s="354"/>
      <c r="DA222" s="354"/>
      <c r="DB222" s="354"/>
      <c r="DC222" s="354"/>
      <c r="DD222" s="354"/>
      <c r="DE222" s="354"/>
      <c r="DF222" s="354"/>
      <c r="DG222" s="354"/>
      <c r="DH222" s="354"/>
      <c r="DI222" s="354"/>
      <c r="DJ222" s="354"/>
      <c r="DK222" s="354"/>
      <c r="DL222" s="354"/>
      <c r="DM222" s="354"/>
      <c r="DN222" s="354"/>
      <c r="DO222" s="354"/>
      <c r="DP222" s="354"/>
      <c r="DQ222" s="354"/>
      <c r="DR222" s="354"/>
      <c r="DS222" s="354"/>
      <c r="DT222" s="354"/>
      <c r="DU222" s="354"/>
      <c r="DV222" s="354"/>
      <c r="DW222" s="354"/>
      <c r="DX222" s="354"/>
      <c r="DY222" s="354"/>
      <c r="DZ222" s="354"/>
      <c r="EA222" s="354"/>
      <c r="EB222" s="354"/>
      <c r="EC222" s="354"/>
      <c r="ED222" s="354"/>
      <c r="EE222" s="354"/>
      <c r="EF222" s="354"/>
      <c r="EG222" s="354"/>
      <c r="EH222" s="354"/>
      <c r="EI222" s="354"/>
      <c r="EJ222" s="354"/>
      <c r="EK222" s="354"/>
      <c r="EL222" s="354"/>
      <c r="EM222" s="354"/>
      <c r="EN222" s="354"/>
      <c r="EO222" s="354"/>
      <c r="EP222" s="354"/>
      <c r="EQ222" s="354"/>
      <c r="ER222" s="354"/>
      <c r="ES222" s="354"/>
      <c r="ET222" s="354"/>
      <c r="EU222" s="354"/>
      <c r="EV222" s="354"/>
      <c r="EW222" s="354"/>
      <c r="EX222" s="354"/>
      <c r="EY222" s="354"/>
      <c r="EZ222" s="354"/>
      <c r="FA222" s="354"/>
      <c r="FB222" s="354"/>
      <c r="FC222" s="354"/>
      <c r="FD222" s="354"/>
      <c r="FE222" s="354"/>
      <c r="FF222" s="354"/>
      <c r="FG222" s="354"/>
      <c r="FH222" s="354"/>
      <c r="FI222" s="354"/>
      <c r="FJ222" s="354"/>
      <c r="FK222" s="354"/>
      <c r="FL222" s="354"/>
      <c r="FM222" s="354"/>
      <c r="FN222" s="354"/>
      <c r="FO222" s="354"/>
      <c r="FP222" s="354"/>
      <c r="FQ222" s="354"/>
      <c r="FR222" s="354"/>
      <c r="FS222" s="354"/>
      <c r="FT222" s="354"/>
      <c r="FU222" s="354"/>
      <c r="FV222" s="354"/>
      <c r="FW222" s="354"/>
      <c r="FX222" s="354"/>
      <c r="FY222" s="354"/>
      <c r="FZ222" s="354"/>
      <c r="GA222" s="354"/>
      <c r="GB222" s="354"/>
      <c r="GC222" s="354"/>
      <c r="GD222" s="354"/>
      <c r="GE222" s="354"/>
      <c r="GF222" s="354"/>
      <c r="GG222" s="354"/>
      <c r="GH222" s="354"/>
      <c r="GI222" s="354"/>
      <c r="GJ222" s="354"/>
      <c r="GK222" s="354"/>
      <c r="GL222" s="354"/>
      <c r="GM222" s="354"/>
      <c r="GN222" s="354"/>
      <c r="GO222" s="354"/>
      <c r="GP222" s="354"/>
      <c r="GQ222" s="354"/>
      <c r="GR222" s="354"/>
      <c r="GS222" s="354"/>
      <c r="GT222" s="354"/>
      <c r="GU222" s="354"/>
      <c r="GV222" s="354"/>
      <c r="GW222" s="354"/>
      <c r="GX222" s="354"/>
      <c r="GY222" s="354"/>
      <c r="GZ222" s="354"/>
      <c r="HA222" s="354"/>
      <c r="HB222" s="354"/>
      <c r="HC222" s="354"/>
      <c r="HD222" s="354"/>
      <c r="HE222" s="354"/>
      <c r="HF222" s="354"/>
      <c r="HG222" s="354"/>
      <c r="HH222" s="354"/>
      <c r="HI222" s="354"/>
      <c r="HJ222" s="354"/>
      <c r="HK222" s="354"/>
      <c r="HL222" s="354"/>
      <c r="HM222" s="354"/>
      <c r="HN222" s="354"/>
      <c r="HO222" s="354"/>
      <c r="HP222" s="354"/>
      <c r="HQ222" s="354"/>
      <c r="HR222" s="354"/>
      <c r="HS222" s="354"/>
      <c r="HT222" s="354"/>
      <c r="HU222" s="354"/>
      <c r="HV222" s="354"/>
      <c r="HW222" s="354"/>
      <c r="HX222" s="354"/>
      <c r="HY222" s="354"/>
      <c r="HZ222" s="354"/>
      <c r="IA222" s="354"/>
      <c r="IB222" s="354"/>
      <c r="IC222" s="354"/>
      <c r="ID222" s="354"/>
      <c r="IE222" s="354"/>
      <c r="IF222" s="354"/>
      <c r="IG222" s="354"/>
      <c r="IH222" s="354"/>
      <c r="II222" s="354"/>
      <c r="IJ222" s="354"/>
      <c r="IK222" s="354"/>
      <c r="IL222" s="354"/>
      <c r="IM222" s="354"/>
      <c r="IN222" s="354"/>
      <c r="IO222" s="354"/>
      <c r="IP222" s="354"/>
      <c r="IQ222" s="354"/>
      <c r="IR222" s="354"/>
      <c r="IS222" s="354"/>
      <c r="IT222" s="354"/>
      <c r="IU222" s="354"/>
      <c r="IV222" s="354"/>
      <c r="IW222" s="354"/>
      <c r="IX222" s="354"/>
      <c r="IY222" s="354"/>
      <c r="IZ222" s="371"/>
      <c r="JA222" s="371"/>
      <c r="JB222" s="371"/>
      <c r="JC222" s="371"/>
      <c r="JD222" s="371"/>
      <c r="JE222" s="371"/>
      <c r="JF222" s="371"/>
      <c r="JG222" s="371"/>
      <c r="JH222" s="371"/>
      <c r="JI222" s="371"/>
      <c r="JJ222" s="371"/>
      <c r="JK222" s="371"/>
      <c r="JL222" s="371"/>
      <c r="JM222" s="371"/>
      <c r="JN222" s="371"/>
      <c r="JO222" s="371"/>
      <c r="JP222" s="371"/>
      <c r="JQ222" s="371"/>
      <c r="JR222" s="371"/>
      <c r="JS222" s="371"/>
      <c r="JT222" s="371"/>
      <c r="JU222" s="371"/>
      <c r="JV222" s="371"/>
      <c r="JW222" s="371"/>
      <c r="JX222" s="371"/>
      <c r="JY222" s="371"/>
      <c r="JZ222" s="371"/>
      <c r="KA222" s="371"/>
      <c r="KB222" s="371"/>
      <c r="KC222" s="371"/>
      <c r="KD222" s="371"/>
      <c r="KE222" s="371"/>
      <c r="KF222" s="371"/>
      <c r="KG222" s="371"/>
      <c r="KH222" s="354"/>
      <c r="KI222" s="354"/>
      <c r="KJ222" s="354"/>
      <c r="KK222" s="354"/>
      <c r="KL222" s="354"/>
      <c r="KM222" s="354"/>
      <c r="KN222" s="354"/>
      <c r="KO222" s="354"/>
      <c r="KP222" s="354"/>
      <c r="KQ222" s="354"/>
      <c r="KR222" s="354"/>
      <c r="KS222" s="354"/>
      <c r="KT222" s="354"/>
      <c r="KU222" s="354"/>
      <c r="KV222" s="354"/>
      <c r="KW222" s="354"/>
      <c r="KX222" s="354"/>
      <c r="KY222" s="354"/>
      <c r="KZ222" s="354"/>
      <c r="LA222" s="354"/>
      <c r="LB222" s="354"/>
      <c r="LC222" s="354"/>
      <c r="LD222" s="354"/>
      <c r="LE222" s="354"/>
      <c r="LF222" s="354"/>
      <c r="LG222" s="354"/>
      <c r="LH222" s="354"/>
      <c r="LI222" s="354"/>
      <c r="LJ222" s="354"/>
      <c r="LK222" s="354"/>
      <c r="LL222" s="354"/>
      <c r="LM222" s="354"/>
      <c r="LN222" s="354"/>
      <c r="LO222" s="354"/>
      <c r="LP222" s="354"/>
      <c r="LQ222" s="354"/>
      <c r="LR222" s="354"/>
      <c r="LS222" s="354"/>
      <c r="LT222" s="354"/>
      <c r="LU222" s="354"/>
      <c r="LV222" s="354"/>
      <c r="LW222" s="354"/>
      <c r="LX222" s="354"/>
      <c r="LY222" s="354"/>
      <c r="LZ222" s="354"/>
      <c r="MA222" s="354"/>
      <c r="MB222" s="354"/>
      <c r="MC222" s="354"/>
      <c r="MD222" s="354"/>
      <c r="ME222" s="354"/>
      <c r="MF222" s="354"/>
      <c r="MG222" s="354"/>
      <c r="MH222" s="354"/>
      <c r="MI222" s="354"/>
      <c r="MJ222" s="354"/>
      <c r="MK222" s="354"/>
      <c r="ML222" s="354"/>
      <c r="MM222" s="354"/>
      <c r="MN222" s="354"/>
      <c r="MO222" s="354"/>
      <c r="MP222" s="354"/>
      <c r="MQ222" s="354"/>
      <c r="MR222" s="354"/>
      <c r="MS222" s="354"/>
      <c r="MT222" s="354"/>
      <c r="MU222" s="354"/>
      <c r="MV222" s="354"/>
      <c r="MW222" s="354"/>
      <c r="MX222" s="354"/>
      <c r="MY222" s="354"/>
      <c r="MZ222" s="354"/>
      <c r="NA222" s="354"/>
      <c r="NB222" s="354"/>
      <c r="NC222" s="354"/>
      <c r="ND222" s="354"/>
      <c r="NE222" s="354"/>
      <c r="NF222" s="354"/>
      <c r="NG222" s="354"/>
      <c r="NH222" s="354"/>
      <c r="NI222" s="354"/>
      <c r="NJ222" s="354"/>
      <c r="NK222" s="354"/>
      <c r="NL222" s="354"/>
      <c r="NM222" s="354"/>
      <c r="NN222" s="354"/>
      <c r="NO222" s="354"/>
      <c r="NP222" s="354"/>
      <c r="NQ222" s="354"/>
      <c r="NR222" s="354"/>
      <c r="NS222" s="354"/>
      <c r="NT222" s="354"/>
      <c r="NU222" s="354"/>
      <c r="NV222" s="354"/>
      <c r="NW222" s="354"/>
      <c r="NX222" s="354"/>
      <c r="NY222" s="354"/>
      <c r="NZ222" s="354"/>
      <c r="OA222" s="354"/>
      <c r="OB222" s="354"/>
      <c r="OC222" s="354"/>
      <c r="OD222" s="354"/>
      <c r="OE222" s="354"/>
      <c r="OF222" s="354"/>
      <c r="OG222" s="354"/>
      <c r="OH222" s="354"/>
      <c r="OI222" s="354"/>
      <c r="OJ222" s="354"/>
      <c r="OK222" s="354"/>
      <c r="OL222" s="354"/>
      <c r="OM222" s="354"/>
      <c r="ON222" s="354"/>
      <c r="OO222" s="354"/>
      <c r="OP222" s="354"/>
      <c r="OQ222" s="354"/>
      <c r="OR222" s="354"/>
      <c r="OS222" s="354"/>
      <c r="OT222" s="354"/>
      <c r="OU222" s="354"/>
      <c r="OV222" s="354"/>
      <c r="OW222" s="354"/>
      <c r="OX222" s="354"/>
      <c r="OY222" s="354"/>
      <c r="OZ222" s="354"/>
      <c r="PA222" s="354"/>
      <c r="PB222" s="354"/>
      <c r="PC222" s="354"/>
      <c r="PD222" s="354"/>
      <c r="PE222" s="354"/>
      <c r="PF222" s="354"/>
      <c r="PG222" s="354"/>
      <c r="PH222" s="354"/>
      <c r="PI222" s="354"/>
      <c r="PJ222" s="354"/>
      <c r="PK222" s="354"/>
      <c r="PL222" s="354"/>
      <c r="PM222" s="354"/>
      <c r="PN222" s="354"/>
      <c r="PO222" s="354"/>
      <c r="PP222" s="354"/>
      <c r="PQ222" s="354"/>
      <c r="PR222" s="354"/>
      <c r="PS222" s="354"/>
      <c r="PT222" s="354"/>
      <c r="PU222" s="354"/>
      <c r="PV222" s="354"/>
      <c r="PW222" s="354"/>
      <c r="PX222" s="354"/>
      <c r="PY222" s="354"/>
      <c r="PZ222" s="354"/>
      <c r="QA222" s="354"/>
      <c r="QB222" s="354"/>
      <c r="QC222" s="354"/>
      <c r="QD222" s="354"/>
      <c r="QE222" s="354"/>
      <c r="QF222" s="354"/>
      <c r="QG222" s="354"/>
      <c r="QH222" s="354"/>
      <c r="QI222" s="354"/>
      <c r="QJ222" s="354"/>
      <c r="QK222" s="354"/>
      <c r="QL222" s="354"/>
      <c r="QM222" s="354"/>
      <c r="QN222" s="354"/>
      <c r="QO222" s="354"/>
      <c r="QP222" s="354"/>
      <c r="QQ222" s="354"/>
      <c r="QR222" s="354"/>
      <c r="QS222" s="354"/>
      <c r="QT222" s="354"/>
      <c r="QU222" s="354"/>
      <c r="QV222" s="354"/>
      <c r="QW222" s="354"/>
      <c r="QX222" s="354"/>
      <c r="QY222" s="354"/>
      <c r="QZ222" s="354"/>
      <c r="RA222" s="354"/>
      <c r="RB222" s="354"/>
      <c r="RC222" s="354"/>
      <c r="RD222" s="354"/>
      <c r="RE222" s="354"/>
      <c r="RF222" s="354"/>
      <c r="RG222" s="354"/>
      <c r="RH222" s="354"/>
      <c r="RI222" s="354"/>
      <c r="RJ222" s="354"/>
      <c r="RK222" s="354"/>
      <c r="RL222" s="354"/>
      <c r="RM222" s="354"/>
      <c r="RN222" s="354"/>
      <c r="RO222" s="354"/>
      <c r="RP222" s="354"/>
      <c r="RQ222" s="354"/>
      <c r="RR222" s="354"/>
      <c r="RS222" s="354"/>
      <c r="RT222" s="354"/>
      <c r="RU222" s="354"/>
      <c r="RV222" s="354"/>
      <c r="RW222" s="354"/>
      <c r="RX222" s="354"/>
      <c r="RY222" s="354"/>
      <c r="RZ222" s="354"/>
      <c r="SA222" s="354"/>
      <c r="SB222" s="354"/>
      <c r="SC222" s="354"/>
      <c r="SD222" s="354"/>
      <c r="SE222" s="354"/>
      <c r="SF222" s="354"/>
      <c r="SG222" s="354"/>
      <c r="SH222" s="354"/>
      <c r="SI222" s="354"/>
      <c r="SJ222" s="354"/>
      <c r="SK222" s="354"/>
      <c r="SL222" s="354"/>
      <c r="SM222" s="354"/>
      <c r="SN222" s="354"/>
      <c r="SO222" s="354"/>
      <c r="SP222" s="354"/>
      <c r="SQ222" s="354"/>
      <c r="SR222" s="354"/>
      <c r="SS222" s="354"/>
    </row>
    <row r="223" spans="1:513" s="448" customFormat="1" ht="18.75" customHeight="1">
      <c r="A223" s="445"/>
      <c r="B223" s="446"/>
      <c r="C223" s="447" t="str">
        <f>+C181</f>
        <v>Tercer piso</v>
      </c>
      <c r="AW223" s="261"/>
      <c r="AX223" s="261"/>
      <c r="AY223" s="261"/>
      <c r="AZ223" s="261"/>
      <c r="BA223" s="261"/>
      <c r="BB223" s="261"/>
      <c r="BC223" s="261"/>
      <c r="BD223" s="261"/>
      <c r="BE223" s="261"/>
      <c r="BF223" s="261"/>
      <c r="BG223" s="261"/>
      <c r="BH223" s="261"/>
      <c r="BI223" s="261"/>
      <c r="BJ223" s="261"/>
      <c r="BK223" s="261"/>
      <c r="BL223" s="261"/>
      <c r="BM223" s="261"/>
      <c r="BN223" s="261"/>
      <c r="BO223" s="261"/>
      <c r="BP223" s="261"/>
      <c r="BQ223" s="261"/>
      <c r="BR223" s="261"/>
      <c r="BS223" s="261"/>
      <c r="BT223" s="261"/>
      <c r="BU223" s="261"/>
      <c r="BV223" s="261"/>
      <c r="BW223" s="261"/>
      <c r="BX223" s="261"/>
      <c r="BY223" s="261"/>
      <c r="BZ223" s="261"/>
      <c r="CA223" s="261"/>
      <c r="CB223" s="261"/>
      <c r="CC223" s="261"/>
      <c r="CD223" s="261"/>
      <c r="CE223" s="261"/>
      <c r="CF223" s="261"/>
      <c r="CG223" s="261"/>
      <c r="CH223" s="261"/>
      <c r="CI223" s="261"/>
      <c r="CJ223" s="261"/>
      <c r="CK223" s="261"/>
      <c r="CL223" s="261"/>
      <c r="CM223" s="261"/>
      <c r="CN223" s="261"/>
      <c r="CO223" s="261"/>
      <c r="CP223" s="261"/>
      <c r="CQ223" s="261"/>
      <c r="CR223" s="261"/>
      <c r="CS223" s="261"/>
      <c r="CT223" s="261"/>
      <c r="CU223" s="261"/>
      <c r="CV223" s="261"/>
      <c r="CW223" s="261"/>
      <c r="CX223" s="261"/>
      <c r="CY223" s="261"/>
      <c r="CZ223" s="261"/>
      <c r="DA223" s="261"/>
      <c r="DB223" s="261"/>
      <c r="DC223" s="261"/>
      <c r="DD223" s="261"/>
      <c r="DE223" s="261"/>
      <c r="DF223" s="261"/>
      <c r="DG223" s="261"/>
      <c r="DH223" s="261"/>
      <c r="DI223" s="261"/>
      <c r="DJ223" s="261"/>
      <c r="DK223" s="261"/>
      <c r="DL223" s="261"/>
      <c r="DM223" s="261"/>
      <c r="DN223" s="261"/>
      <c r="DO223" s="261"/>
      <c r="DP223" s="261"/>
      <c r="DQ223" s="261"/>
      <c r="DR223" s="261"/>
      <c r="DS223" s="261"/>
      <c r="DT223" s="261"/>
      <c r="DU223" s="261"/>
      <c r="DV223" s="261"/>
      <c r="DW223" s="261"/>
      <c r="DX223" s="261"/>
      <c r="DY223" s="261"/>
      <c r="DZ223" s="261"/>
      <c r="EA223" s="261"/>
      <c r="EB223" s="261"/>
      <c r="EC223" s="261"/>
      <c r="ED223" s="261"/>
      <c r="EE223" s="261"/>
      <c r="EF223" s="261"/>
      <c r="EG223" s="261"/>
      <c r="EH223" s="261"/>
      <c r="EI223" s="261"/>
      <c r="EJ223" s="261"/>
      <c r="EK223" s="261"/>
      <c r="EL223" s="261"/>
      <c r="EM223" s="261"/>
      <c r="EN223" s="261"/>
      <c r="EO223" s="261"/>
      <c r="EP223" s="261"/>
      <c r="EQ223" s="261"/>
      <c r="ER223" s="261"/>
      <c r="ES223" s="261"/>
      <c r="ET223" s="261"/>
      <c r="EU223" s="261"/>
      <c r="EV223" s="261"/>
      <c r="EW223" s="261"/>
      <c r="EX223" s="261"/>
      <c r="EY223" s="261"/>
      <c r="EZ223" s="261"/>
      <c r="FA223" s="261"/>
      <c r="FB223" s="261"/>
      <c r="FC223" s="261"/>
      <c r="FD223" s="261"/>
      <c r="FE223" s="261"/>
      <c r="FF223" s="261"/>
      <c r="FG223" s="261"/>
      <c r="FH223" s="261"/>
      <c r="FI223" s="261"/>
      <c r="FJ223" s="261"/>
      <c r="FK223" s="261"/>
      <c r="FL223" s="261"/>
      <c r="FM223" s="261"/>
      <c r="FN223" s="261"/>
      <c r="FO223" s="261"/>
      <c r="FP223" s="261"/>
      <c r="FQ223" s="261"/>
      <c r="FR223" s="261"/>
      <c r="FS223" s="261"/>
      <c r="FT223" s="261"/>
      <c r="FU223" s="261"/>
      <c r="FV223" s="261"/>
      <c r="FW223" s="261"/>
      <c r="FX223" s="261"/>
      <c r="FY223" s="261"/>
      <c r="FZ223" s="261"/>
      <c r="GA223" s="261"/>
      <c r="GB223" s="261"/>
      <c r="GC223" s="261"/>
      <c r="GD223" s="261"/>
      <c r="GE223" s="261"/>
      <c r="GF223" s="261"/>
      <c r="GG223" s="261"/>
      <c r="GH223" s="261"/>
      <c r="GI223" s="261"/>
      <c r="GJ223" s="261"/>
      <c r="GK223" s="261"/>
      <c r="GL223" s="261"/>
      <c r="GM223" s="261"/>
      <c r="GN223" s="261"/>
      <c r="GO223" s="261"/>
      <c r="GP223" s="261"/>
      <c r="GQ223" s="261"/>
      <c r="GR223" s="261"/>
      <c r="GS223" s="261"/>
      <c r="GT223" s="261"/>
      <c r="GU223" s="261"/>
      <c r="GV223" s="261"/>
      <c r="GW223" s="261"/>
      <c r="GX223" s="261"/>
      <c r="GY223" s="261"/>
      <c r="GZ223" s="261"/>
      <c r="HA223" s="261"/>
      <c r="HB223" s="261"/>
      <c r="HC223" s="261"/>
      <c r="HD223" s="261"/>
      <c r="HE223" s="261"/>
      <c r="HF223" s="261"/>
      <c r="HG223" s="261"/>
      <c r="HH223" s="261"/>
      <c r="HI223" s="261"/>
      <c r="HJ223" s="261"/>
      <c r="HK223" s="261"/>
      <c r="HL223" s="261"/>
      <c r="HM223" s="261"/>
      <c r="HN223" s="261"/>
      <c r="HO223" s="261"/>
      <c r="HP223" s="261"/>
      <c r="HQ223" s="261"/>
      <c r="HR223" s="261"/>
      <c r="HS223" s="261"/>
      <c r="HT223" s="261"/>
      <c r="HU223" s="261"/>
      <c r="HV223" s="261"/>
      <c r="HW223" s="261"/>
      <c r="HX223" s="261"/>
      <c r="HY223" s="261"/>
      <c r="HZ223" s="261"/>
      <c r="IA223" s="261"/>
      <c r="IB223" s="261"/>
      <c r="IC223" s="261"/>
      <c r="ID223" s="261"/>
      <c r="IE223" s="261"/>
      <c r="IF223" s="261"/>
      <c r="IG223" s="261"/>
      <c r="IH223" s="261"/>
      <c r="II223" s="261"/>
      <c r="IJ223" s="261"/>
      <c r="IK223" s="261"/>
      <c r="IL223" s="261"/>
      <c r="IM223" s="261"/>
      <c r="IN223" s="261"/>
      <c r="IO223" s="261"/>
      <c r="IP223" s="261"/>
      <c r="IQ223" s="261"/>
      <c r="IR223" s="261"/>
      <c r="IS223" s="261"/>
      <c r="IT223" s="261"/>
      <c r="IU223" s="261"/>
      <c r="IV223" s="261"/>
      <c r="IW223" s="261"/>
      <c r="IX223" s="261"/>
      <c r="IY223" s="261"/>
      <c r="IZ223" s="372"/>
      <c r="JA223" s="372"/>
      <c r="JB223" s="372"/>
      <c r="JC223" s="372"/>
      <c r="JD223" s="372"/>
      <c r="JE223" s="372"/>
      <c r="JF223" s="372"/>
      <c r="JG223" s="372"/>
      <c r="JH223" s="372"/>
      <c r="JI223" s="372"/>
      <c r="JJ223" s="372"/>
      <c r="JK223" s="372"/>
      <c r="JL223" s="372"/>
      <c r="JM223" s="372"/>
      <c r="JN223" s="372"/>
      <c r="JO223" s="372"/>
      <c r="JP223" s="372"/>
      <c r="JQ223" s="372"/>
      <c r="JR223" s="372"/>
      <c r="JS223" s="372"/>
      <c r="JT223" s="372"/>
      <c r="JU223" s="372"/>
      <c r="JV223" s="372"/>
      <c r="JW223" s="372"/>
      <c r="JX223" s="372"/>
      <c r="JY223" s="372"/>
      <c r="JZ223" s="372"/>
      <c r="KA223" s="372"/>
      <c r="KB223" s="372"/>
      <c r="KC223" s="372"/>
      <c r="KD223" s="372"/>
      <c r="KE223" s="372"/>
      <c r="KF223" s="372"/>
      <c r="KG223" s="372"/>
      <c r="KH223" s="261"/>
      <c r="KI223" s="261"/>
      <c r="KJ223" s="261"/>
      <c r="KK223" s="261"/>
      <c r="KL223" s="261"/>
      <c r="KM223" s="261"/>
      <c r="KN223" s="261"/>
      <c r="KO223" s="261"/>
      <c r="KP223" s="261"/>
      <c r="KQ223" s="261"/>
      <c r="KR223" s="261"/>
      <c r="KS223" s="261"/>
      <c r="KT223" s="261"/>
      <c r="KU223" s="261"/>
      <c r="KV223" s="261"/>
      <c r="KW223" s="261"/>
      <c r="KX223" s="261"/>
      <c r="KY223" s="261"/>
      <c r="KZ223" s="261"/>
      <c r="LA223" s="261"/>
      <c r="LB223" s="261"/>
      <c r="LC223" s="261"/>
      <c r="LD223" s="261"/>
      <c r="LE223" s="261"/>
      <c r="LF223" s="261"/>
      <c r="LG223" s="261"/>
      <c r="LH223" s="261"/>
      <c r="LI223" s="261"/>
      <c r="LJ223" s="261"/>
      <c r="LK223" s="261"/>
      <c r="LL223" s="261"/>
      <c r="LM223" s="261"/>
      <c r="LN223" s="261"/>
      <c r="LO223" s="261"/>
      <c r="LP223" s="261"/>
      <c r="LQ223" s="261"/>
      <c r="LR223" s="261"/>
      <c r="LS223" s="261"/>
      <c r="LT223" s="261"/>
      <c r="LU223" s="261"/>
      <c r="LV223" s="261"/>
      <c r="LW223" s="261"/>
      <c r="LX223" s="261"/>
      <c r="LY223" s="261"/>
      <c r="LZ223" s="261"/>
      <c r="MA223" s="261"/>
      <c r="MB223" s="261"/>
      <c r="MC223" s="261"/>
      <c r="MD223" s="261"/>
      <c r="ME223" s="261"/>
      <c r="MF223" s="261"/>
      <c r="MG223" s="261"/>
      <c r="MH223" s="261"/>
      <c r="MI223" s="261"/>
      <c r="MJ223" s="261"/>
      <c r="MK223" s="261"/>
      <c r="ML223" s="261"/>
      <c r="MM223" s="261"/>
      <c r="MN223" s="261"/>
      <c r="MO223" s="261"/>
      <c r="MP223" s="261"/>
      <c r="MQ223" s="261"/>
      <c r="MR223" s="261"/>
      <c r="MS223" s="261"/>
      <c r="MT223" s="261"/>
      <c r="MU223" s="261"/>
      <c r="MV223" s="261"/>
      <c r="MW223" s="261"/>
      <c r="MX223" s="261"/>
      <c r="MY223" s="261"/>
      <c r="MZ223" s="261"/>
      <c r="NA223" s="261"/>
      <c r="NB223" s="261"/>
      <c r="NC223" s="261"/>
      <c r="ND223" s="261"/>
      <c r="NE223" s="261"/>
      <c r="NF223" s="261"/>
      <c r="NG223" s="261"/>
      <c r="NH223" s="261"/>
      <c r="NI223" s="261"/>
      <c r="NJ223" s="261"/>
      <c r="NK223" s="261"/>
      <c r="NL223" s="261"/>
      <c r="NM223" s="261"/>
      <c r="NN223" s="261"/>
      <c r="NO223" s="261"/>
      <c r="NP223" s="261"/>
      <c r="NQ223" s="261"/>
      <c r="NR223" s="261"/>
      <c r="NS223" s="261"/>
      <c r="NT223" s="261"/>
      <c r="NU223" s="261"/>
      <c r="NV223" s="261"/>
      <c r="NW223" s="261"/>
      <c r="NX223" s="261"/>
      <c r="NY223" s="261"/>
      <c r="NZ223" s="261"/>
      <c r="OA223" s="261"/>
      <c r="OB223" s="261"/>
      <c r="OC223" s="261"/>
      <c r="OD223" s="261"/>
      <c r="OE223" s="261"/>
      <c r="OF223" s="261"/>
      <c r="OG223" s="261"/>
      <c r="OH223" s="261"/>
      <c r="OI223" s="261"/>
      <c r="OJ223" s="261"/>
      <c r="OK223" s="261"/>
      <c r="OL223" s="261"/>
      <c r="OM223" s="261"/>
      <c r="ON223" s="261"/>
      <c r="OO223" s="261"/>
      <c r="OP223" s="261"/>
      <c r="OQ223" s="261"/>
      <c r="OR223" s="261"/>
      <c r="OS223" s="261"/>
      <c r="OT223" s="261"/>
      <c r="OU223" s="261"/>
      <c r="OV223" s="261"/>
      <c r="OW223" s="261"/>
      <c r="OX223" s="261"/>
      <c r="OY223" s="261"/>
      <c r="OZ223" s="261"/>
      <c r="PA223" s="261"/>
      <c r="PB223" s="261"/>
      <c r="PC223" s="261"/>
      <c r="PD223" s="261"/>
      <c r="PE223" s="261"/>
      <c r="PF223" s="261"/>
      <c r="PG223" s="261"/>
      <c r="PH223" s="261"/>
      <c r="PI223" s="261"/>
      <c r="PJ223" s="261"/>
      <c r="PK223" s="261"/>
      <c r="PL223" s="261"/>
      <c r="PM223" s="261"/>
      <c r="PN223" s="261"/>
      <c r="PO223" s="261"/>
      <c r="PP223" s="261"/>
      <c r="PQ223" s="261"/>
      <c r="PR223" s="261"/>
      <c r="PS223" s="261"/>
      <c r="PT223" s="261"/>
      <c r="PU223" s="261"/>
      <c r="PV223" s="261"/>
      <c r="PW223" s="261"/>
      <c r="PX223" s="261"/>
      <c r="PY223" s="261"/>
      <c r="PZ223" s="261"/>
      <c r="QA223" s="261"/>
      <c r="QB223" s="261"/>
      <c r="QC223" s="261"/>
      <c r="QD223" s="261"/>
      <c r="QE223" s="261"/>
      <c r="QF223" s="261"/>
      <c r="QG223" s="261"/>
      <c r="QH223" s="261"/>
      <c r="QI223" s="261"/>
      <c r="QJ223" s="261"/>
      <c r="QK223" s="261"/>
      <c r="QL223" s="261"/>
      <c r="QM223" s="261"/>
      <c r="QN223" s="261"/>
      <c r="QO223" s="261"/>
      <c r="QP223" s="261"/>
      <c r="QQ223" s="261"/>
      <c r="QR223" s="261"/>
      <c r="QS223" s="261"/>
      <c r="QT223" s="261"/>
      <c r="QU223" s="261"/>
      <c r="QV223" s="261"/>
      <c r="QW223" s="261"/>
      <c r="QX223" s="261"/>
      <c r="QY223" s="261"/>
      <c r="QZ223" s="261"/>
      <c r="RA223" s="261"/>
      <c r="RB223" s="261"/>
      <c r="RC223" s="261"/>
      <c r="RD223" s="261"/>
      <c r="RE223" s="261"/>
      <c r="RF223" s="261"/>
      <c r="RG223" s="261"/>
      <c r="RH223" s="261"/>
      <c r="RI223" s="261"/>
      <c r="RJ223" s="261"/>
      <c r="RK223" s="261"/>
      <c r="RL223" s="261"/>
      <c r="RM223" s="261"/>
      <c r="RN223" s="261"/>
      <c r="RO223" s="261"/>
      <c r="RP223" s="261"/>
      <c r="RQ223" s="261"/>
      <c r="RR223" s="261"/>
      <c r="RS223" s="261"/>
      <c r="RT223" s="261"/>
      <c r="RU223" s="261"/>
      <c r="RV223" s="261"/>
      <c r="RW223" s="261"/>
      <c r="RX223" s="261"/>
      <c r="RY223" s="261"/>
      <c r="RZ223" s="261"/>
      <c r="SA223" s="261"/>
      <c r="SB223" s="261"/>
      <c r="SC223" s="261"/>
      <c r="SD223" s="261"/>
      <c r="SE223" s="261"/>
      <c r="SF223" s="261"/>
      <c r="SG223" s="261"/>
      <c r="SH223" s="261"/>
      <c r="SI223" s="261"/>
      <c r="SJ223" s="261"/>
      <c r="SK223" s="261"/>
      <c r="SL223" s="261"/>
      <c r="SM223" s="261"/>
      <c r="SN223" s="261"/>
      <c r="SO223" s="261"/>
      <c r="SP223" s="261"/>
      <c r="SQ223" s="261"/>
      <c r="SR223" s="261"/>
      <c r="SS223" s="261"/>
    </row>
    <row r="224" spans="1:513" s="449" customFormat="1" ht="15.95" customHeight="1">
      <c r="C224" s="1039">
        <f>+AD181</f>
        <v>0</v>
      </c>
      <c r="D224" s="1039"/>
      <c r="E224" s="1039"/>
      <c r="F224" s="1039"/>
      <c r="G224" s="1039"/>
      <c r="H224" s="1039"/>
      <c r="I224" s="449" t="s">
        <v>10</v>
      </c>
      <c r="L224" s="449" t="s">
        <v>4508</v>
      </c>
      <c r="M224" s="451"/>
      <c r="N224" s="1038">
        <f>+AR203</f>
        <v>0</v>
      </c>
      <c r="O224" s="1038"/>
      <c r="P224" s="1038"/>
      <c r="Q224" s="1038"/>
      <c r="R224" s="1038"/>
      <c r="S224" s="1038"/>
      <c r="T224" s="453" t="s">
        <v>4509</v>
      </c>
      <c r="X224" s="451" t="s">
        <v>4508</v>
      </c>
      <c r="Z224" s="1040">
        <f>1-AG209</f>
        <v>1</v>
      </c>
      <c r="AA224" s="1040"/>
      <c r="AB224" s="1040"/>
      <c r="AC224" s="1040"/>
      <c r="AD224" s="1040"/>
      <c r="AM224" s="453" t="s">
        <v>4426</v>
      </c>
      <c r="AO224" s="1038">
        <f>ROUND(C224*N224*Z224,1)</f>
        <v>0</v>
      </c>
      <c r="AP224" s="1038"/>
      <c r="AQ224" s="1038"/>
      <c r="AR224" s="1038"/>
      <c r="AS224" s="1038"/>
      <c r="AT224" s="1038"/>
      <c r="AU224" s="1038"/>
      <c r="AV224" s="1038"/>
      <c r="AW224" s="354"/>
      <c r="AX224" s="354"/>
      <c r="AY224" s="354"/>
      <c r="AZ224" s="354"/>
      <c r="BA224" s="354"/>
      <c r="BB224" s="354"/>
      <c r="BC224" s="354"/>
      <c r="BD224" s="354"/>
      <c r="BE224" s="354"/>
      <c r="BF224" s="354"/>
      <c r="BG224" s="354"/>
      <c r="BH224" s="354"/>
      <c r="BI224" s="354"/>
      <c r="BJ224" s="354"/>
      <c r="BK224" s="354"/>
      <c r="BL224" s="354"/>
      <c r="BM224" s="354"/>
      <c r="BN224" s="354"/>
      <c r="BO224" s="354"/>
      <c r="BP224" s="354"/>
      <c r="BQ224" s="354"/>
      <c r="BR224" s="354"/>
      <c r="BS224" s="354"/>
      <c r="BT224" s="354"/>
      <c r="BU224" s="354"/>
      <c r="BV224" s="354"/>
      <c r="BW224" s="354"/>
      <c r="BX224" s="354"/>
      <c r="BY224" s="354"/>
      <c r="BZ224" s="354"/>
      <c r="CA224" s="354"/>
      <c r="CB224" s="354"/>
      <c r="CC224" s="354"/>
      <c r="CD224" s="354"/>
      <c r="CE224" s="354"/>
      <c r="CF224" s="354"/>
      <c r="CG224" s="354"/>
      <c r="CH224" s="354"/>
      <c r="CI224" s="354"/>
      <c r="CJ224" s="354"/>
      <c r="CK224" s="354"/>
      <c r="CL224" s="354"/>
      <c r="CM224" s="354"/>
      <c r="CN224" s="354"/>
      <c r="CO224" s="354"/>
      <c r="CP224" s="354"/>
      <c r="CQ224" s="354"/>
      <c r="CR224" s="354"/>
      <c r="CS224" s="354"/>
      <c r="CT224" s="354"/>
      <c r="CU224" s="354"/>
      <c r="CV224" s="354"/>
      <c r="CW224" s="354"/>
      <c r="CX224" s="354"/>
      <c r="CY224" s="354"/>
      <c r="CZ224" s="354"/>
      <c r="DA224" s="354"/>
      <c r="DB224" s="354"/>
      <c r="DC224" s="354"/>
      <c r="DD224" s="354"/>
      <c r="DE224" s="354"/>
      <c r="DF224" s="354"/>
      <c r="DG224" s="354"/>
      <c r="DH224" s="354"/>
      <c r="DI224" s="354"/>
      <c r="DJ224" s="354"/>
      <c r="DK224" s="354"/>
      <c r="DL224" s="354"/>
      <c r="DM224" s="354"/>
      <c r="DN224" s="354"/>
      <c r="DO224" s="354"/>
      <c r="DP224" s="354"/>
      <c r="DQ224" s="354"/>
      <c r="DR224" s="354"/>
      <c r="DS224" s="354"/>
      <c r="DT224" s="354"/>
      <c r="DU224" s="354"/>
      <c r="DV224" s="354"/>
      <c r="DW224" s="354"/>
      <c r="DX224" s="354"/>
      <c r="DY224" s="354"/>
      <c r="DZ224" s="354"/>
      <c r="EA224" s="354"/>
      <c r="EB224" s="354"/>
      <c r="EC224" s="354"/>
      <c r="ED224" s="354"/>
      <c r="EE224" s="354"/>
      <c r="EF224" s="354"/>
      <c r="EG224" s="354"/>
      <c r="EH224" s="354"/>
      <c r="EI224" s="354"/>
      <c r="EJ224" s="354"/>
      <c r="EK224" s="354"/>
      <c r="EL224" s="354"/>
      <c r="EM224" s="354"/>
      <c r="EN224" s="354"/>
      <c r="EO224" s="354"/>
      <c r="EP224" s="354"/>
      <c r="EQ224" s="354"/>
      <c r="ER224" s="354"/>
      <c r="ES224" s="354"/>
      <c r="ET224" s="354"/>
      <c r="EU224" s="354"/>
      <c r="EV224" s="354"/>
      <c r="EW224" s="354"/>
      <c r="EX224" s="354"/>
      <c r="EY224" s="354"/>
      <c r="EZ224" s="354"/>
      <c r="FA224" s="354"/>
      <c r="FB224" s="354"/>
      <c r="FC224" s="354"/>
      <c r="FD224" s="354"/>
      <c r="FE224" s="354"/>
      <c r="FF224" s="354"/>
      <c r="FG224" s="354"/>
      <c r="FH224" s="354"/>
      <c r="FI224" s="354"/>
      <c r="FJ224" s="354"/>
      <c r="FK224" s="354"/>
      <c r="FL224" s="354"/>
      <c r="FM224" s="354"/>
      <c r="FN224" s="354"/>
      <c r="FO224" s="354"/>
      <c r="FP224" s="354"/>
      <c r="FQ224" s="354"/>
      <c r="FR224" s="354"/>
      <c r="FS224" s="354"/>
      <c r="FT224" s="354"/>
      <c r="FU224" s="354"/>
      <c r="FV224" s="354"/>
      <c r="FW224" s="354"/>
      <c r="FX224" s="354"/>
      <c r="FY224" s="354"/>
      <c r="FZ224" s="354"/>
      <c r="GA224" s="354"/>
      <c r="GB224" s="354"/>
      <c r="GC224" s="354"/>
      <c r="GD224" s="354"/>
      <c r="GE224" s="354"/>
      <c r="GF224" s="354"/>
      <c r="GG224" s="354"/>
      <c r="GH224" s="354"/>
      <c r="GI224" s="354"/>
      <c r="GJ224" s="354"/>
      <c r="GK224" s="354"/>
      <c r="GL224" s="354"/>
      <c r="GM224" s="354"/>
      <c r="GN224" s="354"/>
      <c r="GO224" s="354"/>
      <c r="GP224" s="354"/>
      <c r="GQ224" s="354"/>
      <c r="GR224" s="354"/>
      <c r="GS224" s="354"/>
      <c r="GT224" s="354"/>
      <c r="GU224" s="354"/>
      <c r="GV224" s="354"/>
      <c r="GW224" s="354"/>
      <c r="GX224" s="354"/>
      <c r="GY224" s="354"/>
      <c r="GZ224" s="354"/>
      <c r="HA224" s="354"/>
      <c r="HB224" s="354"/>
      <c r="HC224" s="354"/>
      <c r="HD224" s="354"/>
      <c r="HE224" s="354"/>
      <c r="HF224" s="354"/>
      <c r="HG224" s="354"/>
      <c r="HH224" s="354"/>
      <c r="HI224" s="354"/>
      <c r="HJ224" s="354"/>
      <c r="HK224" s="354"/>
      <c r="HL224" s="354"/>
      <c r="HM224" s="354"/>
      <c r="HN224" s="354"/>
      <c r="HO224" s="354"/>
      <c r="HP224" s="354"/>
      <c r="HQ224" s="354"/>
      <c r="HR224" s="354"/>
      <c r="HS224" s="354"/>
      <c r="HT224" s="354"/>
      <c r="HU224" s="354"/>
      <c r="HV224" s="354"/>
      <c r="HW224" s="354"/>
      <c r="HX224" s="354"/>
      <c r="HY224" s="354"/>
      <c r="HZ224" s="354"/>
      <c r="IA224" s="354"/>
      <c r="IB224" s="354"/>
      <c r="IC224" s="354"/>
      <c r="ID224" s="354"/>
      <c r="IE224" s="354"/>
      <c r="IF224" s="354"/>
      <c r="IG224" s="354"/>
      <c r="IH224" s="354"/>
      <c r="II224" s="354"/>
      <c r="IJ224" s="354"/>
      <c r="IK224" s="354"/>
      <c r="IL224" s="354"/>
      <c r="IM224" s="354"/>
      <c r="IN224" s="354"/>
      <c r="IO224" s="354"/>
      <c r="IP224" s="354"/>
      <c r="IQ224" s="354"/>
      <c r="IR224" s="354"/>
      <c r="IS224" s="354"/>
      <c r="IT224" s="354"/>
      <c r="IU224" s="354"/>
      <c r="IV224" s="354"/>
      <c r="IW224" s="354"/>
      <c r="IX224" s="354"/>
      <c r="IY224" s="354"/>
      <c r="IZ224" s="371"/>
      <c r="JA224" s="371"/>
      <c r="JB224" s="371"/>
      <c r="JC224" s="371"/>
      <c r="JD224" s="371"/>
      <c r="JE224" s="371"/>
      <c r="JF224" s="371"/>
      <c r="JG224" s="371"/>
      <c r="JH224" s="371"/>
      <c r="JI224" s="371"/>
      <c r="JJ224" s="371"/>
      <c r="JK224" s="371"/>
      <c r="JL224" s="371"/>
      <c r="JM224" s="371"/>
      <c r="JN224" s="371"/>
      <c r="JO224" s="371"/>
      <c r="JP224" s="371"/>
      <c r="JQ224" s="371"/>
      <c r="JR224" s="371"/>
      <c r="JS224" s="371"/>
      <c r="JT224" s="371"/>
      <c r="JU224" s="371"/>
      <c r="JV224" s="371"/>
      <c r="JW224" s="371"/>
      <c r="JX224" s="371"/>
      <c r="JY224" s="371"/>
      <c r="JZ224" s="371"/>
      <c r="KA224" s="371"/>
      <c r="KB224" s="371"/>
      <c r="KC224" s="371"/>
      <c r="KD224" s="371"/>
      <c r="KE224" s="371"/>
      <c r="KF224" s="371"/>
      <c r="KG224" s="371"/>
      <c r="KH224" s="354"/>
      <c r="KI224" s="354"/>
      <c r="KJ224" s="354"/>
      <c r="KK224" s="354"/>
      <c r="KL224" s="354"/>
      <c r="KM224" s="354"/>
      <c r="KN224" s="354"/>
      <c r="KO224" s="354"/>
      <c r="KP224" s="354"/>
      <c r="KQ224" s="354"/>
      <c r="KR224" s="354"/>
      <c r="KS224" s="354"/>
      <c r="KT224" s="354"/>
      <c r="KU224" s="354"/>
      <c r="KV224" s="354"/>
      <c r="KW224" s="354"/>
      <c r="KX224" s="354"/>
      <c r="KY224" s="354"/>
      <c r="KZ224" s="354"/>
      <c r="LA224" s="354"/>
      <c r="LB224" s="354"/>
      <c r="LC224" s="354"/>
      <c r="LD224" s="354"/>
      <c r="LE224" s="354"/>
      <c r="LF224" s="354"/>
      <c r="LG224" s="354"/>
      <c r="LH224" s="354"/>
      <c r="LI224" s="354"/>
      <c r="LJ224" s="354"/>
      <c r="LK224" s="354"/>
      <c r="LL224" s="354"/>
      <c r="LM224" s="354"/>
      <c r="LN224" s="354"/>
      <c r="LO224" s="354"/>
      <c r="LP224" s="354"/>
      <c r="LQ224" s="354"/>
      <c r="LR224" s="354"/>
      <c r="LS224" s="354"/>
      <c r="LT224" s="354"/>
      <c r="LU224" s="354"/>
      <c r="LV224" s="354"/>
      <c r="LW224" s="354"/>
      <c r="LX224" s="354"/>
      <c r="LY224" s="354"/>
      <c r="LZ224" s="354"/>
      <c r="MA224" s="354"/>
      <c r="MB224" s="354"/>
      <c r="MC224" s="354"/>
      <c r="MD224" s="354"/>
      <c r="ME224" s="354"/>
      <c r="MF224" s="354"/>
      <c r="MG224" s="354"/>
      <c r="MH224" s="354"/>
      <c r="MI224" s="354"/>
      <c r="MJ224" s="354"/>
      <c r="MK224" s="354"/>
      <c r="ML224" s="354"/>
      <c r="MM224" s="354"/>
      <c r="MN224" s="354"/>
      <c r="MO224" s="354"/>
      <c r="MP224" s="354"/>
      <c r="MQ224" s="354"/>
      <c r="MR224" s="354"/>
      <c r="MS224" s="354"/>
      <c r="MT224" s="354"/>
      <c r="MU224" s="354"/>
      <c r="MV224" s="354"/>
      <c r="MW224" s="354"/>
      <c r="MX224" s="354"/>
      <c r="MY224" s="354"/>
      <c r="MZ224" s="354"/>
      <c r="NA224" s="354"/>
      <c r="NB224" s="354"/>
      <c r="NC224" s="354"/>
      <c r="ND224" s="354"/>
      <c r="NE224" s="354"/>
      <c r="NF224" s="354"/>
      <c r="NG224" s="354"/>
      <c r="NH224" s="354"/>
      <c r="NI224" s="354"/>
      <c r="NJ224" s="354"/>
      <c r="NK224" s="354"/>
      <c r="NL224" s="354"/>
      <c r="NM224" s="354"/>
      <c r="NN224" s="354"/>
      <c r="NO224" s="354"/>
      <c r="NP224" s="354"/>
      <c r="NQ224" s="354"/>
      <c r="NR224" s="354"/>
      <c r="NS224" s="354"/>
      <c r="NT224" s="354"/>
      <c r="NU224" s="354"/>
      <c r="NV224" s="354"/>
      <c r="NW224" s="354"/>
      <c r="NX224" s="354"/>
      <c r="NY224" s="354"/>
      <c r="NZ224" s="354"/>
      <c r="OA224" s="354"/>
      <c r="OB224" s="354"/>
      <c r="OC224" s="354"/>
      <c r="OD224" s="354"/>
      <c r="OE224" s="354"/>
      <c r="OF224" s="354"/>
      <c r="OG224" s="354"/>
      <c r="OH224" s="354"/>
      <c r="OI224" s="354"/>
      <c r="OJ224" s="354"/>
      <c r="OK224" s="354"/>
      <c r="OL224" s="354"/>
      <c r="OM224" s="354"/>
      <c r="ON224" s="354"/>
      <c r="OO224" s="354"/>
      <c r="OP224" s="354"/>
      <c r="OQ224" s="354"/>
      <c r="OR224" s="354"/>
      <c r="OS224" s="354"/>
      <c r="OT224" s="354"/>
      <c r="OU224" s="354"/>
      <c r="OV224" s="354"/>
      <c r="OW224" s="354"/>
      <c r="OX224" s="354"/>
      <c r="OY224" s="354"/>
      <c r="OZ224" s="354"/>
      <c r="PA224" s="354"/>
      <c r="PB224" s="354"/>
      <c r="PC224" s="354"/>
      <c r="PD224" s="354"/>
      <c r="PE224" s="354"/>
      <c r="PF224" s="354"/>
      <c r="PG224" s="354"/>
      <c r="PH224" s="354"/>
      <c r="PI224" s="354"/>
      <c r="PJ224" s="354"/>
      <c r="PK224" s="354"/>
      <c r="PL224" s="354"/>
      <c r="PM224" s="354"/>
      <c r="PN224" s="354"/>
      <c r="PO224" s="354"/>
      <c r="PP224" s="354"/>
      <c r="PQ224" s="354"/>
      <c r="PR224" s="354"/>
      <c r="PS224" s="354"/>
      <c r="PT224" s="354"/>
      <c r="PU224" s="354"/>
      <c r="PV224" s="354"/>
      <c r="PW224" s="354"/>
      <c r="PX224" s="354"/>
      <c r="PY224" s="354"/>
      <c r="PZ224" s="354"/>
      <c r="QA224" s="354"/>
      <c r="QB224" s="354"/>
      <c r="QC224" s="354"/>
      <c r="QD224" s="354"/>
      <c r="QE224" s="354"/>
      <c r="QF224" s="354"/>
      <c r="QG224" s="354"/>
      <c r="QH224" s="354"/>
      <c r="QI224" s="354"/>
      <c r="QJ224" s="354"/>
      <c r="QK224" s="354"/>
      <c r="QL224" s="354"/>
      <c r="QM224" s="354"/>
      <c r="QN224" s="354"/>
      <c r="QO224" s="354"/>
      <c r="QP224" s="354"/>
      <c r="QQ224" s="354"/>
      <c r="QR224" s="354"/>
      <c r="QS224" s="354"/>
      <c r="QT224" s="354"/>
      <c r="QU224" s="354"/>
      <c r="QV224" s="354"/>
      <c r="QW224" s="354"/>
      <c r="QX224" s="354"/>
      <c r="QY224" s="354"/>
      <c r="QZ224" s="354"/>
      <c r="RA224" s="354"/>
      <c r="RB224" s="354"/>
      <c r="RC224" s="354"/>
      <c r="RD224" s="354"/>
      <c r="RE224" s="354"/>
      <c r="RF224" s="354"/>
      <c r="RG224" s="354"/>
      <c r="RH224" s="354"/>
      <c r="RI224" s="354"/>
      <c r="RJ224" s="354"/>
      <c r="RK224" s="354"/>
      <c r="RL224" s="354"/>
      <c r="RM224" s="354"/>
      <c r="RN224" s="354"/>
      <c r="RO224" s="354"/>
      <c r="RP224" s="354"/>
      <c r="RQ224" s="354"/>
      <c r="RR224" s="354"/>
      <c r="RS224" s="354"/>
      <c r="RT224" s="354"/>
      <c r="RU224" s="354"/>
      <c r="RV224" s="354"/>
      <c r="RW224" s="354"/>
      <c r="RX224" s="354"/>
      <c r="RY224" s="354"/>
      <c r="RZ224" s="354"/>
      <c r="SA224" s="354"/>
      <c r="SB224" s="354"/>
      <c r="SC224" s="354"/>
      <c r="SD224" s="354"/>
      <c r="SE224" s="354"/>
      <c r="SF224" s="354"/>
      <c r="SG224" s="354"/>
      <c r="SH224" s="354"/>
      <c r="SI224" s="354"/>
      <c r="SJ224" s="354"/>
      <c r="SK224" s="354"/>
      <c r="SL224" s="354"/>
      <c r="SM224" s="354"/>
      <c r="SN224" s="354"/>
      <c r="SO224" s="354"/>
      <c r="SP224" s="354"/>
      <c r="SQ224" s="354"/>
      <c r="SR224" s="354"/>
      <c r="SS224" s="354"/>
    </row>
    <row r="225" spans="1:513" s="336" customFormat="1" ht="15" customHeight="1" thickBot="1">
      <c r="C225" s="454" t="str">
        <f>+C218</f>
        <v>VALOR DE EDIFICACION</v>
      </c>
      <c r="D225" s="455"/>
      <c r="E225" s="455"/>
      <c r="F225" s="455"/>
      <c r="G225" s="456"/>
      <c r="H225" s="457"/>
      <c r="I225" s="458"/>
      <c r="J225" s="459"/>
      <c r="K225" s="460"/>
      <c r="L225" s="456"/>
      <c r="M225" s="456"/>
      <c r="N225" s="456"/>
      <c r="O225" s="456"/>
      <c r="P225" s="456"/>
      <c r="Q225" s="456"/>
      <c r="R225" s="456"/>
      <c r="S225" s="456"/>
      <c r="T225" s="456"/>
      <c r="U225" s="456"/>
      <c r="V225" s="456"/>
      <c r="W225" s="456"/>
      <c r="X225" s="456"/>
      <c r="Y225" s="456"/>
      <c r="Z225" s="456"/>
      <c r="AA225" s="456"/>
      <c r="AB225" s="456"/>
      <c r="AC225" s="456"/>
      <c r="AD225" s="456"/>
      <c r="AE225" s="456"/>
      <c r="AF225" s="456"/>
      <c r="AG225" s="456"/>
      <c r="AH225" s="456"/>
      <c r="AI225" s="456"/>
      <c r="AJ225" s="456"/>
      <c r="AK225" s="456"/>
      <c r="AL225" s="456"/>
      <c r="AM225" s="461" t="s">
        <v>4426</v>
      </c>
      <c r="AN225" s="456"/>
      <c r="AO225" s="1035">
        <f>SUM(AO220:AV224)</f>
        <v>0</v>
      </c>
      <c r="AP225" s="1035"/>
      <c r="AQ225" s="1035"/>
      <c r="AR225" s="1036"/>
      <c r="AS225" s="1036"/>
      <c r="AT225" s="1036"/>
      <c r="AU225" s="1036"/>
      <c r="AV225" s="1036"/>
      <c r="IZ225" s="462"/>
      <c r="JA225" s="462"/>
      <c r="JB225" s="462"/>
      <c r="JC225" s="462"/>
      <c r="JD225" s="462"/>
      <c r="JE225" s="462"/>
      <c r="JF225" s="462"/>
      <c r="JG225" s="462"/>
      <c r="JH225" s="462"/>
      <c r="JI225" s="462"/>
      <c r="JJ225" s="462"/>
      <c r="JK225" s="462"/>
      <c r="JL225" s="462"/>
      <c r="JM225" s="462"/>
      <c r="JN225" s="462"/>
      <c r="JO225" s="462"/>
      <c r="JP225" s="462"/>
      <c r="JQ225" s="462"/>
      <c r="JR225" s="462"/>
      <c r="JS225" s="462"/>
      <c r="JT225" s="462"/>
      <c r="JU225" s="462"/>
      <c r="JV225" s="462"/>
      <c r="JW225" s="462"/>
      <c r="JX225" s="462"/>
      <c r="JY225" s="462"/>
      <c r="JZ225" s="462"/>
      <c r="KA225" s="462"/>
      <c r="KB225" s="462"/>
      <c r="KC225" s="462"/>
      <c r="KD225" s="462"/>
      <c r="KE225" s="462"/>
      <c r="KF225" s="462"/>
      <c r="KG225" s="462"/>
    </row>
    <row r="226" spans="1:513" ht="18.75" customHeight="1" thickTop="1">
      <c r="A226" s="891">
        <f>+A218+1</f>
        <v>2</v>
      </c>
      <c r="B226" s="891"/>
      <c r="C226" s="355" t="s">
        <v>4510</v>
      </c>
      <c r="IZ226" s="372"/>
      <c r="JA226" s="372"/>
      <c r="JB226" s="372"/>
      <c r="JC226" s="372"/>
      <c r="JD226" s="372"/>
      <c r="JE226" s="372"/>
      <c r="JF226" s="372"/>
      <c r="JG226" s="372"/>
      <c r="JH226" s="372"/>
      <c r="JI226" s="372"/>
      <c r="JJ226" s="372"/>
      <c r="JK226" s="372"/>
      <c r="JL226" s="372"/>
      <c r="JM226" s="372"/>
      <c r="JN226" s="372"/>
      <c r="JO226" s="372"/>
      <c r="JP226" s="372"/>
      <c r="JQ226" s="372"/>
      <c r="JR226" s="372"/>
      <c r="JS226" s="372"/>
      <c r="JT226" s="372"/>
      <c r="JU226" s="372"/>
      <c r="JV226" s="372"/>
      <c r="JW226" s="372"/>
      <c r="JX226" s="372"/>
      <c r="JY226" s="372"/>
      <c r="JZ226" s="372"/>
      <c r="KA226" s="372"/>
      <c r="KB226" s="372"/>
      <c r="KC226" s="372"/>
      <c r="KD226" s="372"/>
      <c r="KE226" s="372"/>
      <c r="KF226" s="372"/>
      <c r="KG226" s="372"/>
    </row>
    <row r="227" spans="1:513" s="449" customFormat="1" ht="15.95" customHeight="1">
      <c r="C227" s="1037">
        <v>0.15</v>
      </c>
      <c r="D227" s="1037"/>
      <c r="E227" s="1037"/>
      <c r="F227" s="1037"/>
      <c r="G227" s="1037"/>
      <c r="H227" s="1037"/>
      <c r="L227" s="449" t="s">
        <v>4508</v>
      </c>
      <c r="M227" s="451"/>
      <c r="N227" s="1038">
        <f>+AO225</f>
        <v>0</v>
      </c>
      <c r="O227" s="1038"/>
      <c r="P227" s="1038"/>
      <c r="Q227" s="1038"/>
      <c r="R227" s="1038"/>
      <c r="S227" s="1038"/>
      <c r="T227" s="453" t="s">
        <v>4511</v>
      </c>
      <c r="Y227" s="451"/>
      <c r="AA227" s="450"/>
      <c r="AB227" s="450"/>
      <c r="AC227" s="448"/>
      <c r="AD227" s="448"/>
      <c r="AM227" s="453" t="s">
        <v>4426</v>
      </c>
      <c r="AO227" s="1038">
        <f>ROUND(C227*N227,1)</f>
        <v>0</v>
      </c>
      <c r="AP227" s="1038"/>
      <c r="AQ227" s="1038"/>
      <c r="AR227" s="1038"/>
      <c r="AS227" s="1038"/>
      <c r="AT227" s="1038"/>
      <c r="AU227" s="1038"/>
      <c r="AV227" s="1038"/>
      <c r="AW227" s="354"/>
      <c r="AX227" s="354"/>
      <c r="AY227" s="354"/>
      <c r="AZ227" s="354"/>
      <c r="BA227" s="354"/>
      <c r="BB227" s="354"/>
      <c r="BC227" s="354"/>
      <c r="BD227" s="354"/>
      <c r="BE227" s="354"/>
      <c r="BF227" s="354"/>
      <c r="BG227" s="354"/>
      <c r="BH227" s="354"/>
      <c r="BI227" s="354"/>
      <c r="BJ227" s="354"/>
      <c r="BK227" s="354"/>
      <c r="BL227" s="354"/>
      <c r="BM227" s="354"/>
      <c r="BN227" s="354"/>
      <c r="BO227" s="354"/>
      <c r="BP227" s="354"/>
      <c r="BQ227" s="354"/>
      <c r="BR227" s="354"/>
      <c r="BS227" s="354"/>
      <c r="BT227" s="354"/>
      <c r="BU227" s="354"/>
      <c r="BV227" s="354"/>
      <c r="BW227" s="354"/>
      <c r="BX227" s="354"/>
      <c r="BY227" s="354"/>
      <c r="BZ227" s="354"/>
      <c r="CA227" s="354"/>
      <c r="CB227" s="354"/>
      <c r="CC227" s="354"/>
      <c r="CD227" s="354"/>
      <c r="CE227" s="354"/>
      <c r="CF227" s="354"/>
      <c r="CG227" s="354"/>
      <c r="CH227" s="354"/>
      <c r="CI227" s="354"/>
      <c r="CJ227" s="354"/>
      <c r="CK227" s="354"/>
      <c r="CL227" s="354"/>
      <c r="CM227" s="354"/>
      <c r="CN227" s="354"/>
      <c r="CO227" s="354"/>
      <c r="CP227" s="354"/>
      <c r="CQ227" s="354"/>
      <c r="CR227" s="354"/>
      <c r="CS227" s="354"/>
      <c r="CT227" s="354"/>
      <c r="CU227" s="354"/>
      <c r="CV227" s="354"/>
      <c r="CW227" s="354"/>
      <c r="CX227" s="354"/>
      <c r="CY227" s="354"/>
      <c r="CZ227" s="354"/>
      <c r="DA227" s="354"/>
      <c r="DB227" s="354"/>
      <c r="DC227" s="354"/>
      <c r="DD227" s="354"/>
      <c r="DE227" s="354"/>
      <c r="DF227" s="354"/>
      <c r="DG227" s="354"/>
      <c r="DH227" s="354"/>
      <c r="DI227" s="354"/>
      <c r="DJ227" s="354"/>
      <c r="DK227" s="354"/>
      <c r="DL227" s="354"/>
      <c r="DM227" s="354"/>
      <c r="DN227" s="354"/>
      <c r="DO227" s="354"/>
      <c r="DP227" s="354"/>
      <c r="DQ227" s="354"/>
      <c r="DR227" s="354"/>
      <c r="DS227" s="354"/>
      <c r="DT227" s="354"/>
      <c r="DU227" s="354"/>
      <c r="DV227" s="354"/>
      <c r="DW227" s="354"/>
      <c r="DX227" s="354"/>
      <c r="DY227" s="354"/>
      <c r="DZ227" s="354"/>
      <c r="EA227" s="354"/>
      <c r="EB227" s="354"/>
      <c r="EC227" s="354"/>
      <c r="ED227" s="354"/>
      <c r="EE227" s="354"/>
      <c r="EF227" s="354"/>
      <c r="EG227" s="354"/>
      <c r="EH227" s="354"/>
      <c r="EI227" s="354"/>
      <c r="EJ227" s="354"/>
      <c r="EK227" s="354"/>
      <c r="EL227" s="354"/>
      <c r="EM227" s="354"/>
      <c r="EN227" s="354"/>
      <c r="EO227" s="354"/>
      <c r="EP227" s="354"/>
      <c r="EQ227" s="354"/>
      <c r="ER227" s="354"/>
      <c r="ES227" s="354"/>
      <c r="ET227" s="354"/>
      <c r="EU227" s="354"/>
      <c r="EV227" s="354"/>
      <c r="EW227" s="354"/>
      <c r="EX227" s="354"/>
      <c r="EY227" s="354"/>
      <c r="EZ227" s="354"/>
      <c r="FA227" s="354"/>
      <c r="FB227" s="354"/>
      <c r="FC227" s="354"/>
      <c r="FD227" s="354"/>
      <c r="FE227" s="354"/>
      <c r="FF227" s="354"/>
      <c r="FG227" s="354"/>
      <c r="FH227" s="354"/>
      <c r="FI227" s="354"/>
      <c r="FJ227" s="354"/>
      <c r="FK227" s="354"/>
      <c r="FL227" s="354"/>
      <c r="FM227" s="354"/>
      <c r="FN227" s="354"/>
      <c r="FO227" s="354"/>
      <c r="FP227" s="354"/>
      <c r="FQ227" s="354"/>
      <c r="FR227" s="354"/>
      <c r="FS227" s="354"/>
      <c r="FT227" s="354"/>
      <c r="FU227" s="354"/>
      <c r="FV227" s="354"/>
      <c r="FW227" s="354"/>
      <c r="FX227" s="354"/>
      <c r="FY227" s="354"/>
      <c r="FZ227" s="354"/>
      <c r="GA227" s="354"/>
      <c r="GB227" s="354"/>
      <c r="GC227" s="354"/>
      <c r="GD227" s="354"/>
      <c r="GE227" s="354"/>
      <c r="GF227" s="354"/>
      <c r="GG227" s="354"/>
      <c r="GH227" s="354"/>
      <c r="GI227" s="354"/>
      <c r="GJ227" s="354"/>
      <c r="GK227" s="354"/>
      <c r="GL227" s="354"/>
      <c r="GM227" s="354"/>
      <c r="GN227" s="354"/>
      <c r="GO227" s="354"/>
      <c r="GP227" s="354"/>
      <c r="GQ227" s="354"/>
      <c r="GR227" s="354"/>
      <c r="GS227" s="354"/>
      <c r="GT227" s="354"/>
      <c r="GU227" s="354"/>
      <c r="GV227" s="354"/>
      <c r="GW227" s="354"/>
      <c r="GX227" s="354"/>
      <c r="GY227" s="354"/>
      <c r="GZ227" s="354"/>
      <c r="HA227" s="354"/>
      <c r="HB227" s="354"/>
      <c r="HC227" s="354"/>
      <c r="HD227" s="354"/>
      <c r="HE227" s="354"/>
      <c r="HF227" s="354"/>
      <c r="HG227" s="354"/>
      <c r="HH227" s="354"/>
      <c r="HI227" s="354"/>
      <c r="HJ227" s="354"/>
      <c r="HK227" s="354"/>
      <c r="HL227" s="354"/>
      <c r="HM227" s="354"/>
      <c r="HN227" s="354"/>
      <c r="HO227" s="354"/>
      <c r="HP227" s="354"/>
      <c r="HQ227" s="354"/>
      <c r="HR227" s="354"/>
      <c r="HS227" s="354"/>
      <c r="HT227" s="354"/>
      <c r="HU227" s="354"/>
      <c r="HV227" s="354"/>
      <c r="HW227" s="354"/>
      <c r="HX227" s="354"/>
      <c r="HY227" s="354"/>
      <c r="HZ227" s="354"/>
      <c r="IA227" s="354"/>
      <c r="IB227" s="354"/>
      <c r="IC227" s="354"/>
      <c r="ID227" s="354"/>
      <c r="IE227" s="354"/>
      <c r="IF227" s="354"/>
      <c r="IG227" s="354"/>
      <c r="IH227" s="354"/>
      <c r="II227" s="354"/>
      <c r="IJ227" s="354"/>
      <c r="IK227" s="354"/>
      <c r="IL227" s="354"/>
      <c r="IM227" s="354"/>
      <c r="IN227" s="354"/>
      <c r="IO227" s="354"/>
      <c r="IP227" s="354"/>
      <c r="IQ227" s="354"/>
      <c r="IR227" s="354"/>
      <c r="IS227" s="354"/>
      <c r="IT227" s="354"/>
      <c r="IU227" s="354"/>
      <c r="IV227" s="354"/>
      <c r="IW227" s="354"/>
      <c r="IX227" s="354"/>
      <c r="IY227" s="354"/>
      <c r="IZ227" s="371"/>
      <c r="JA227" s="371"/>
      <c r="JB227" s="371"/>
      <c r="JC227" s="371"/>
      <c r="JD227" s="371"/>
      <c r="JE227" s="371"/>
      <c r="JF227" s="371"/>
      <c r="JG227" s="371"/>
      <c r="JH227" s="371"/>
      <c r="JI227" s="371"/>
      <c r="JJ227" s="371"/>
      <c r="JK227" s="371"/>
      <c r="JL227" s="371"/>
      <c r="JM227" s="371"/>
      <c r="JN227" s="371"/>
      <c r="JO227" s="371"/>
      <c r="JP227" s="371"/>
      <c r="JQ227" s="371"/>
      <c r="JR227" s="371"/>
      <c r="JS227" s="371"/>
      <c r="JT227" s="371"/>
      <c r="JU227" s="371"/>
      <c r="JV227" s="371"/>
      <c r="JW227" s="371"/>
      <c r="JX227" s="371"/>
      <c r="JY227" s="371"/>
      <c r="JZ227" s="371"/>
      <c r="KA227" s="371"/>
      <c r="KB227" s="371"/>
      <c r="KC227" s="371"/>
      <c r="KD227" s="371"/>
      <c r="KE227" s="371"/>
      <c r="KF227" s="371"/>
      <c r="KG227" s="371"/>
      <c r="KH227" s="354"/>
      <c r="KI227" s="354"/>
      <c r="KJ227" s="354"/>
      <c r="KK227" s="354"/>
      <c r="KL227" s="354"/>
      <c r="KM227" s="354"/>
      <c r="KN227" s="354"/>
      <c r="KO227" s="354"/>
      <c r="KP227" s="354"/>
      <c r="KQ227" s="354"/>
      <c r="KR227" s="354"/>
      <c r="KS227" s="354"/>
      <c r="KT227" s="354"/>
      <c r="KU227" s="354"/>
      <c r="KV227" s="354"/>
      <c r="KW227" s="354"/>
      <c r="KX227" s="354"/>
      <c r="KY227" s="354"/>
      <c r="KZ227" s="354"/>
      <c r="LA227" s="354"/>
      <c r="LB227" s="354"/>
      <c r="LC227" s="354"/>
      <c r="LD227" s="354"/>
      <c r="LE227" s="354"/>
      <c r="LF227" s="354"/>
      <c r="LG227" s="354"/>
      <c r="LH227" s="354"/>
      <c r="LI227" s="354"/>
      <c r="LJ227" s="354"/>
      <c r="LK227" s="354"/>
      <c r="LL227" s="354"/>
      <c r="LM227" s="354"/>
      <c r="LN227" s="354"/>
      <c r="LO227" s="354"/>
      <c r="LP227" s="354"/>
      <c r="LQ227" s="354"/>
      <c r="LR227" s="354"/>
      <c r="LS227" s="354"/>
      <c r="LT227" s="354"/>
      <c r="LU227" s="354"/>
      <c r="LV227" s="354"/>
      <c r="LW227" s="354"/>
      <c r="LX227" s="354"/>
      <c r="LY227" s="354"/>
      <c r="LZ227" s="354"/>
      <c r="MA227" s="354"/>
      <c r="MB227" s="354"/>
      <c r="MC227" s="354"/>
      <c r="MD227" s="354"/>
      <c r="ME227" s="354"/>
      <c r="MF227" s="354"/>
      <c r="MG227" s="354"/>
      <c r="MH227" s="354"/>
      <c r="MI227" s="354"/>
      <c r="MJ227" s="354"/>
      <c r="MK227" s="354"/>
      <c r="ML227" s="354"/>
      <c r="MM227" s="354"/>
      <c r="MN227" s="354"/>
      <c r="MO227" s="354"/>
      <c r="MP227" s="354"/>
      <c r="MQ227" s="354"/>
      <c r="MR227" s="354"/>
      <c r="MS227" s="354"/>
      <c r="MT227" s="354"/>
      <c r="MU227" s="354"/>
      <c r="MV227" s="354"/>
      <c r="MW227" s="354"/>
      <c r="MX227" s="354"/>
      <c r="MY227" s="354"/>
      <c r="MZ227" s="354"/>
      <c r="NA227" s="354"/>
      <c r="NB227" s="354"/>
      <c r="NC227" s="354"/>
      <c r="ND227" s="354"/>
      <c r="NE227" s="354"/>
      <c r="NF227" s="354"/>
      <c r="NG227" s="354"/>
      <c r="NH227" s="354"/>
      <c r="NI227" s="354"/>
      <c r="NJ227" s="354"/>
      <c r="NK227" s="354"/>
      <c r="NL227" s="354"/>
      <c r="NM227" s="354"/>
      <c r="NN227" s="354"/>
      <c r="NO227" s="354"/>
      <c r="NP227" s="354"/>
      <c r="NQ227" s="354"/>
      <c r="NR227" s="354"/>
      <c r="NS227" s="354"/>
      <c r="NT227" s="354"/>
      <c r="NU227" s="354"/>
      <c r="NV227" s="354"/>
      <c r="NW227" s="354"/>
      <c r="NX227" s="354"/>
      <c r="NY227" s="354"/>
      <c r="NZ227" s="354"/>
      <c r="OA227" s="354"/>
      <c r="OB227" s="354"/>
      <c r="OC227" s="354"/>
      <c r="OD227" s="354"/>
      <c r="OE227" s="354"/>
      <c r="OF227" s="354"/>
      <c r="OG227" s="354"/>
      <c r="OH227" s="354"/>
      <c r="OI227" s="354"/>
      <c r="OJ227" s="354"/>
      <c r="OK227" s="354"/>
      <c r="OL227" s="354"/>
      <c r="OM227" s="354"/>
      <c r="ON227" s="354"/>
      <c r="OO227" s="354"/>
      <c r="OP227" s="354"/>
      <c r="OQ227" s="354"/>
      <c r="OR227" s="354"/>
      <c r="OS227" s="354"/>
      <c r="OT227" s="354"/>
      <c r="OU227" s="354"/>
      <c r="OV227" s="354"/>
      <c r="OW227" s="354"/>
      <c r="OX227" s="354"/>
      <c r="OY227" s="354"/>
      <c r="OZ227" s="354"/>
      <c r="PA227" s="354"/>
      <c r="PB227" s="354"/>
      <c r="PC227" s="354"/>
      <c r="PD227" s="354"/>
      <c r="PE227" s="354"/>
      <c r="PF227" s="354"/>
      <c r="PG227" s="354"/>
      <c r="PH227" s="354"/>
      <c r="PI227" s="354"/>
      <c r="PJ227" s="354"/>
      <c r="PK227" s="354"/>
      <c r="PL227" s="354"/>
      <c r="PM227" s="354"/>
      <c r="PN227" s="354"/>
      <c r="PO227" s="354"/>
      <c r="PP227" s="354"/>
      <c r="PQ227" s="354"/>
      <c r="PR227" s="354"/>
      <c r="PS227" s="354"/>
      <c r="PT227" s="354"/>
      <c r="PU227" s="354"/>
      <c r="PV227" s="354"/>
      <c r="PW227" s="354"/>
      <c r="PX227" s="354"/>
      <c r="PY227" s="354"/>
      <c r="PZ227" s="354"/>
      <c r="QA227" s="354"/>
      <c r="QB227" s="354"/>
      <c r="QC227" s="354"/>
      <c r="QD227" s="354"/>
      <c r="QE227" s="354"/>
      <c r="QF227" s="354"/>
      <c r="QG227" s="354"/>
      <c r="QH227" s="354"/>
      <c r="QI227" s="354"/>
      <c r="QJ227" s="354"/>
      <c r="QK227" s="354"/>
      <c r="QL227" s="354"/>
      <c r="QM227" s="354"/>
      <c r="QN227" s="354"/>
      <c r="QO227" s="354"/>
      <c r="QP227" s="354"/>
      <c r="QQ227" s="354"/>
      <c r="QR227" s="354"/>
      <c r="QS227" s="354"/>
      <c r="QT227" s="354"/>
      <c r="QU227" s="354"/>
      <c r="QV227" s="354"/>
      <c r="QW227" s="354"/>
      <c r="QX227" s="354"/>
      <c r="QY227" s="354"/>
      <c r="QZ227" s="354"/>
      <c r="RA227" s="354"/>
      <c r="RB227" s="354"/>
      <c r="RC227" s="354"/>
      <c r="RD227" s="354"/>
      <c r="RE227" s="354"/>
      <c r="RF227" s="354"/>
      <c r="RG227" s="354"/>
      <c r="RH227" s="354"/>
      <c r="RI227" s="354"/>
      <c r="RJ227" s="354"/>
      <c r="RK227" s="354"/>
      <c r="RL227" s="354"/>
      <c r="RM227" s="354"/>
      <c r="RN227" s="354"/>
      <c r="RO227" s="354"/>
      <c r="RP227" s="354"/>
      <c r="RQ227" s="354"/>
      <c r="RR227" s="354"/>
      <c r="RS227" s="354"/>
      <c r="RT227" s="354"/>
      <c r="RU227" s="354"/>
      <c r="RV227" s="354"/>
      <c r="RW227" s="354"/>
      <c r="RX227" s="354"/>
      <c r="RY227" s="354"/>
      <c r="RZ227" s="354"/>
      <c r="SA227" s="354"/>
      <c r="SB227" s="354"/>
      <c r="SC227" s="354"/>
      <c r="SD227" s="354"/>
      <c r="SE227" s="354"/>
      <c r="SF227" s="354"/>
      <c r="SG227" s="354"/>
      <c r="SH227" s="354"/>
      <c r="SI227" s="354"/>
      <c r="SJ227" s="354"/>
      <c r="SK227" s="354"/>
      <c r="SL227" s="354"/>
      <c r="SM227" s="354"/>
      <c r="SN227" s="354"/>
      <c r="SO227" s="354"/>
      <c r="SP227" s="354"/>
      <c r="SQ227" s="354"/>
      <c r="SR227" s="354"/>
      <c r="SS227" s="354"/>
    </row>
    <row r="228" spans="1:513" s="336" customFormat="1" ht="15" customHeight="1" thickBot="1">
      <c r="C228" s="454" t="str">
        <f>+C226</f>
        <v>VALOR DE LAS AREAS COMUNES</v>
      </c>
      <c r="D228" s="455"/>
      <c r="E228" s="455"/>
      <c r="F228" s="455"/>
      <c r="G228" s="456"/>
      <c r="H228" s="457"/>
      <c r="I228" s="458"/>
      <c r="J228" s="459"/>
      <c r="K228" s="460"/>
      <c r="L228" s="456"/>
      <c r="M228" s="456"/>
      <c r="N228" s="456"/>
      <c r="O228" s="456"/>
      <c r="P228" s="456"/>
      <c r="Q228" s="456"/>
      <c r="R228" s="456"/>
      <c r="S228" s="456"/>
      <c r="T228" s="456"/>
      <c r="U228" s="456"/>
      <c r="V228" s="456"/>
      <c r="W228" s="456"/>
      <c r="X228" s="456"/>
      <c r="Y228" s="456"/>
      <c r="Z228" s="456"/>
      <c r="AA228" s="456"/>
      <c r="AB228" s="456"/>
      <c r="AC228" s="456"/>
      <c r="AD228" s="456"/>
      <c r="AE228" s="456"/>
      <c r="AF228" s="456"/>
      <c r="AG228" s="456"/>
      <c r="AH228" s="456"/>
      <c r="AI228" s="456"/>
      <c r="AJ228" s="456"/>
      <c r="AK228" s="456"/>
      <c r="AL228" s="456"/>
      <c r="AM228" s="461" t="s">
        <v>4426</v>
      </c>
      <c r="AN228" s="456"/>
      <c r="AO228" s="1035">
        <f>SUM(AO227:AV227)</f>
        <v>0</v>
      </c>
      <c r="AP228" s="1035"/>
      <c r="AQ228" s="1035"/>
      <c r="AR228" s="1035"/>
      <c r="AS228" s="1035"/>
      <c r="AT228" s="1035"/>
      <c r="AU228" s="1035"/>
      <c r="AV228" s="1035"/>
      <c r="IZ228" s="462"/>
      <c r="JA228" s="462"/>
      <c r="JB228" s="462"/>
      <c r="JC228" s="462"/>
      <c r="JD228" s="462"/>
      <c r="JE228" s="462"/>
      <c r="JF228" s="462"/>
      <c r="JG228" s="462"/>
      <c r="JH228" s="462"/>
      <c r="JI228" s="462"/>
      <c r="JJ228" s="462"/>
      <c r="JK228" s="462"/>
      <c r="JL228" s="462"/>
      <c r="JM228" s="462"/>
      <c r="JN228" s="462"/>
      <c r="JO228" s="462"/>
      <c r="JP228" s="462"/>
      <c r="JQ228" s="462"/>
      <c r="JR228" s="462"/>
      <c r="JS228" s="462"/>
      <c r="JT228" s="462"/>
      <c r="JU228" s="462"/>
      <c r="JV228" s="462"/>
      <c r="JW228" s="462"/>
      <c r="JX228" s="462"/>
      <c r="JY228" s="462"/>
      <c r="JZ228" s="462"/>
      <c r="KA228" s="462"/>
      <c r="KB228" s="462"/>
      <c r="KC228" s="462"/>
      <c r="KD228" s="462"/>
      <c r="KE228" s="462"/>
      <c r="KF228" s="462"/>
      <c r="KG228" s="462"/>
    </row>
    <row r="229" spans="1:513" ht="23.25" customHeight="1" thickTop="1">
      <c r="A229" s="891">
        <f>+A226+1</f>
        <v>3</v>
      </c>
      <c r="B229" s="1043"/>
      <c r="C229" s="355" t="s">
        <v>4512</v>
      </c>
      <c r="IZ229" s="372"/>
      <c r="JA229" s="372"/>
      <c r="JB229" s="372"/>
      <c r="JC229" s="372"/>
      <c r="JD229" s="372"/>
      <c r="JE229" s="372"/>
      <c r="JF229" s="372"/>
      <c r="JG229" s="372"/>
      <c r="JH229" s="372"/>
      <c r="JI229" s="372"/>
      <c r="JJ229" s="372"/>
      <c r="JK229" s="372"/>
      <c r="JL229" s="372"/>
      <c r="JM229" s="372"/>
      <c r="JN229" s="372"/>
      <c r="JO229" s="372"/>
      <c r="JP229" s="372"/>
      <c r="JQ229" s="372"/>
      <c r="JR229" s="372"/>
      <c r="JS229" s="372"/>
      <c r="JT229" s="372"/>
      <c r="JU229" s="372"/>
      <c r="JV229" s="372"/>
      <c r="JW229" s="372"/>
      <c r="JX229" s="372"/>
      <c r="JY229" s="372"/>
      <c r="JZ229" s="372"/>
      <c r="KA229" s="372"/>
      <c r="KB229" s="372"/>
      <c r="KC229" s="372"/>
      <c r="KD229" s="372"/>
      <c r="KE229" s="372"/>
      <c r="KF229" s="372"/>
      <c r="KG229" s="372"/>
    </row>
    <row r="230" spans="1:513" s="449" customFormat="1" ht="15" customHeight="1">
      <c r="C230" s="463" t="s">
        <v>4513</v>
      </c>
      <c r="D230" s="464"/>
      <c r="E230" s="464"/>
      <c r="F230" s="464"/>
      <c r="G230" s="464"/>
      <c r="H230" s="464"/>
      <c r="I230" s="464"/>
      <c r="J230" s="464"/>
      <c r="K230" s="464"/>
      <c r="L230" s="464"/>
      <c r="M230" s="464"/>
      <c r="N230" s="464"/>
      <c r="O230" s="464"/>
      <c r="P230" s="464"/>
      <c r="Q230" s="464"/>
      <c r="R230" s="464"/>
      <c r="S230" s="464"/>
      <c r="T230" s="464"/>
      <c r="U230" s="464"/>
      <c r="V230" s="464"/>
      <c r="W230" s="464"/>
      <c r="X230" s="464"/>
      <c r="Y230" s="464"/>
      <c r="Z230" s="464"/>
      <c r="AA230" s="464"/>
      <c r="AB230" s="464"/>
      <c r="AC230" s="464"/>
      <c r="AD230" s="464"/>
      <c r="AE230" s="464"/>
      <c r="AF230" s="464"/>
      <c r="AG230" s="464"/>
      <c r="AH230" s="464"/>
      <c r="AI230" s="464"/>
      <c r="AJ230" s="464"/>
      <c r="AK230" s="464"/>
      <c r="AL230" s="464"/>
      <c r="AM230" s="464"/>
      <c r="AN230" s="464"/>
      <c r="AO230" s="464"/>
      <c r="AP230" s="464"/>
      <c r="AQ230" s="464"/>
      <c r="AR230" s="464"/>
      <c r="AS230" s="464"/>
      <c r="AT230" s="464"/>
      <c r="AU230" s="464"/>
      <c r="AV230" s="464"/>
      <c r="AW230" s="354"/>
      <c r="AX230" s="354"/>
      <c r="AY230" s="354"/>
      <c r="AZ230" s="354"/>
      <c r="BA230" s="354"/>
      <c r="BB230" s="354"/>
      <c r="BC230" s="354"/>
      <c r="BD230" s="354"/>
      <c r="BE230" s="354"/>
      <c r="BF230" s="354"/>
      <c r="BG230" s="354"/>
      <c r="BH230" s="354"/>
      <c r="BI230" s="354"/>
      <c r="BJ230" s="354"/>
      <c r="BK230" s="354"/>
      <c r="BL230" s="354"/>
      <c r="BM230" s="354"/>
      <c r="BN230" s="354"/>
      <c r="BO230" s="354"/>
      <c r="BP230" s="354"/>
      <c r="BQ230" s="354"/>
      <c r="BR230" s="354"/>
      <c r="BS230" s="354"/>
      <c r="BT230" s="354"/>
      <c r="BU230" s="354"/>
      <c r="BV230" s="354"/>
      <c r="BW230" s="354"/>
      <c r="BX230" s="354"/>
      <c r="BY230" s="354"/>
      <c r="BZ230" s="354"/>
      <c r="CA230" s="354"/>
      <c r="CB230" s="354"/>
      <c r="CC230" s="354"/>
      <c r="CD230" s="354"/>
      <c r="CE230" s="354"/>
      <c r="CF230" s="354"/>
      <c r="CG230" s="354"/>
      <c r="CH230" s="354"/>
      <c r="CI230" s="354"/>
      <c r="CJ230" s="354"/>
      <c r="CK230" s="354"/>
      <c r="CL230" s="354"/>
      <c r="CM230" s="354"/>
      <c r="CN230" s="354"/>
      <c r="CO230" s="354"/>
      <c r="CP230" s="354"/>
      <c r="CQ230" s="354"/>
      <c r="CR230" s="354"/>
      <c r="CS230" s="354"/>
      <c r="CT230" s="354"/>
      <c r="CU230" s="354"/>
      <c r="CV230" s="354"/>
      <c r="CW230" s="354"/>
      <c r="CX230" s="354"/>
      <c r="CY230" s="354"/>
      <c r="CZ230" s="354"/>
      <c r="DA230" s="354"/>
      <c r="DB230" s="354"/>
      <c r="DC230" s="354"/>
      <c r="DD230" s="354"/>
      <c r="DE230" s="354"/>
      <c r="DF230" s="354"/>
      <c r="DG230" s="354"/>
      <c r="DH230" s="354"/>
      <c r="DI230" s="354"/>
      <c r="DJ230" s="354"/>
      <c r="DK230" s="354"/>
      <c r="DL230" s="354"/>
      <c r="DM230" s="354"/>
      <c r="DN230" s="354"/>
      <c r="DO230" s="354"/>
      <c r="DP230" s="354"/>
      <c r="DQ230" s="354"/>
      <c r="DR230" s="354"/>
      <c r="DS230" s="354"/>
      <c r="DT230" s="354"/>
      <c r="DU230" s="354"/>
      <c r="DV230" s="354"/>
      <c r="DW230" s="354"/>
      <c r="DX230" s="354"/>
      <c r="DY230" s="354"/>
      <c r="DZ230" s="354"/>
      <c r="EA230" s="354"/>
      <c r="EB230" s="354"/>
      <c r="EC230" s="354"/>
      <c r="ED230" s="354"/>
      <c r="EE230" s="354"/>
      <c r="EF230" s="354"/>
      <c r="EG230" s="354"/>
      <c r="EH230" s="354"/>
      <c r="EI230" s="354"/>
      <c r="EJ230" s="354"/>
      <c r="EK230" s="354"/>
      <c r="EL230" s="354"/>
      <c r="EM230" s="354"/>
      <c r="EN230" s="354"/>
      <c r="EO230" s="354"/>
      <c r="EP230" s="354"/>
      <c r="EQ230" s="354"/>
      <c r="ER230" s="354"/>
      <c r="ES230" s="354"/>
      <c r="ET230" s="354"/>
      <c r="EU230" s="354"/>
      <c r="EV230" s="354"/>
      <c r="EW230" s="354"/>
      <c r="EX230" s="354"/>
      <c r="EY230" s="354"/>
      <c r="EZ230" s="354"/>
      <c r="FA230" s="354"/>
      <c r="FB230" s="354"/>
      <c r="FC230" s="354"/>
      <c r="FD230" s="354"/>
      <c r="FE230" s="354"/>
      <c r="FF230" s="354"/>
      <c r="FG230" s="354"/>
      <c r="FH230" s="354"/>
      <c r="FI230" s="354"/>
      <c r="FJ230" s="354"/>
      <c r="FK230" s="354"/>
      <c r="FL230" s="354"/>
      <c r="FM230" s="354"/>
      <c r="FN230" s="354"/>
      <c r="FO230" s="354"/>
      <c r="FP230" s="354"/>
      <c r="FQ230" s="354"/>
      <c r="FR230" s="354"/>
      <c r="FS230" s="354"/>
      <c r="FT230" s="354"/>
      <c r="FU230" s="354"/>
      <c r="FV230" s="354"/>
      <c r="FW230" s="354"/>
      <c r="FX230" s="354"/>
      <c r="FY230" s="354"/>
      <c r="FZ230" s="354"/>
      <c r="GA230" s="354"/>
      <c r="GB230" s="354"/>
      <c r="GC230" s="354"/>
      <c r="GD230" s="354"/>
      <c r="GE230" s="354"/>
      <c r="GF230" s="354"/>
      <c r="GG230" s="354"/>
      <c r="GH230" s="354"/>
      <c r="GI230" s="354"/>
      <c r="GJ230" s="354"/>
      <c r="GK230" s="354"/>
      <c r="GL230" s="354"/>
      <c r="GM230" s="354"/>
      <c r="GN230" s="354"/>
      <c r="GO230" s="354"/>
      <c r="GP230" s="354"/>
      <c r="GQ230" s="354"/>
      <c r="GR230" s="354"/>
      <c r="GS230" s="354"/>
      <c r="GT230" s="354"/>
      <c r="GU230" s="354"/>
      <c r="GV230" s="354"/>
      <c r="GW230" s="354"/>
      <c r="GX230" s="354"/>
      <c r="GY230" s="354"/>
      <c r="GZ230" s="354"/>
      <c r="HA230" s="354"/>
      <c r="HB230" s="354"/>
      <c r="HC230" s="354"/>
      <c r="HD230" s="354"/>
      <c r="HE230" s="354"/>
      <c r="HF230" s="354"/>
      <c r="HG230" s="354"/>
      <c r="HH230" s="354"/>
      <c r="HI230" s="354"/>
      <c r="HJ230" s="354"/>
      <c r="HK230" s="354"/>
      <c r="HL230" s="354"/>
      <c r="HM230" s="354"/>
      <c r="HN230" s="354"/>
      <c r="HO230" s="354"/>
      <c r="HP230" s="354"/>
      <c r="HQ230" s="354"/>
      <c r="HR230" s="354"/>
      <c r="HS230" s="354"/>
      <c r="HT230" s="354"/>
      <c r="HU230" s="354"/>
      <c r="HV230" s="354"/>
      <c r="HW230" s="354"/>
      <c r="HX230" s="354"/>
      <c r="HY230" s="354"/>
      <c r="HZ230" s="354"/>
      <c r="IA230" s="354"/>
      <c r="IB230" s="354"/>
      <c r="IC230" s="354"/>
      <c r="ID230" s="354"/>
      <c r="IE230" s="354"/>
      <c r="IF230" s="354"/>
      <c r="IG230" s="354"/>
      <c r="IH230" s="354"/>
      <c r="II230" s="354"/>
      <c r="IJ230" s="354"/>
      <c r="IK230" s="354"/>
      <c r="IL230" s="354"/>
      <c r="IM230" s="354"/>
      <c r="IN230" s="354"/>
      <c r="IO230" s="354"/>
      <c r="IP230" s="354"/>
      <c r="IQ230" s="354"/>
      <c r="IR230" s="354"/>
      <c r="IS230" s="354"/>
      <c r="IT230" s="354"/>
      <c r="IU230" s="354"/>
      <c r="IV230" s="354"/>
      <c r="IW230" s="354"/>
      <c r="IX230" s="354"/>
      <c r="IY230" s="354"/>
      <c r="IZ230" s="371"/>
      <c r="JA230" s="371"/>
      <c r="JB230" s="371"/>
      <c r="JC230" s="371"/>
      <c r="JD230" s="371"/>
      <c r="JE230" s="371"/>
      <c r="JF230" s="371"/>
      <c r="JG230" s="371"/>
      <c r="JH230" s="371"/>
      <c r="JI230" s="371"/>
      <c r="JJ230" s="371"/>
      <c r="JK230" s="371"/>
      <c r="JL230" s="371"/>
      <c r="JM230" s="371"/>
      <c r="JN230" s="371"/>
      <c r="JO230" s="371"/>
      <c r="JP230" s="371"/>
      <c r="JQ230" s="371"/>
      <c r="JR230" s="371"/>
      <c r="JS230" s="371"/>
      <c r="JT230" s="371"/>
      <c r="JU230" s="371"/>
      <c r="JV230" s="371"/>
      <c r="JW230" s="371"/>
      <c r="JX230" s="371"/>
      <c r="JY230" s="371"/>
      <c r="JZ230" s="371"/>
      <c r="KA230" s="371"/>
      <c r="KB230" s="371"/>
      <c r="KC230" s="371"/>
      <c r="KD230" s="371"/>
      <c r="KE230" s="371"/>
      <c r="KF230" s="371"/>
      <c r="KG230" s="371"/>
      <c r="KH230" s="354"/>
      <c r="KI230" s="354"/>
      <c r="KJ230" s="354"/>
      <c r="KK230" s="354"/>
      <c r="KL230" s="354"/>
      <c r="KM230" s="354"/>
      <c r="KN230" s="354"/>
      <c r="KO230" s="354"/>
      <c r="KP230" s="354"/>
      <c r="KQ230" s="354"/>
      <c r="KR230" s="354"/>
      <c r="KS230" s="354"/>
      <c r="KT230" s="354"/>
      <c r="KU230" s="354"/>
      <c r="KV230" s="354"/>
      <c r="KW230" s="354"/>
      <c r="KX230" s="354"/>
      <c r="KY230" s="354"/>
      <c r="KZ230" s="354"/>
      <c r="LA230" s="354"/>
      <c r="LB230" s="354"/>
      <c r="LC230" s="354"/>
      <c r="LD230" s="354"/>
      <c r="LE230" s="354"/>
      <c r="LF230" s="354"/>
      <c r="LG230" s="354"/>
      <c r="LH230" s="354"/>
      <c r="LI230" s="354"/>
      <c r="LJ230" s="354"/>
      <c r="LK230" s="354"/>
      <c r="LL230" s="354"/>
      <c r="LM230" s="354"/>
      <c r="LN230" s="354"/>
      <c r="LO230" s="354"/>
      <c r="LP230" s="354"/>
      <c r="LQ230" s="354"/>
      <c r="LR230" s="354"/>
      <c r="LS230" s="354"/>
      <c r="LT230" s="354"/>
      <c r="LU230" s="354"/>
      <c r="LV230" s="354"/>
      <c r="LW230" s="354"/>
      <c r="LX230" s="354"/>
      <c r="LY230" s="354"/>
      <c r="LZ230" s="354"/>
      <c r="MA230" s="354"/>
      <c r="MB230" s="354"/>
      <c r="MC230" s="354"/>
      <c r="MD230" s="354"/>
      <c r="ME230" s="354"/>
      <c r="MF230" s="354"/>
      <c r="MG230" s="354"/>
      <c r="MH230" s="354"/>
      <c r="MI230" s="354"/>
      <c r="MJ230" s="354"/>
      <c r="MK230" s="354"/>
      <c r="ML230" s="354"/>
      <c r="MM230" s="354"/>
      <c r="MN230" s="354"/>
      <c r="MO230" s="354"/>
      <c r="MP230" s="354"/>
      <c r="MQ230" s="354"/>
      <c r="MR230" s="354"/>
      <c r="MS230" s="354"/>
      <c r="MT230" s="354"/>
      <c r="MU230" s="354"/>
      <c r="MV230" s="354"/>
      <c r="MW230" s="354"/>
      <c r="MX230" s="354"/>
      <c r="MY230" s="354"/>
      <c r="MZ230" s="354"/>
      <c r="NA230" s="354"/>
      <c r="NB230" s="354"/>
      <c r="NC230" s="354"/>
      <c r="ND230" s="354"/>
      <c r="NE230" s="354"/>
      <c r="NF230" s="354"/>
      <c r="NG230" s="354"/>
      <c r="NH230" s="354"/>
      <c r="NI230" s="354"/>
      <c r="NJ230" s="354"/>
      <c r="NK230" s="354"/>
      <c r="NL230" s="354"/>
      <c r="NM230" s="354"/>
      <c r="NN230" s="354"/>
      <c r="NO230" s="354"/>
      <c r="NP230" s="354"/>
      <c r="NQ230" s="354"/>
      <c r="NR230" s="354"/>
      <c r="NS230" s="354"/>
      <c r="NT230" s="354"/>
      <c r="NU230" s="354"/>
      <c r="NV230" s="354"/>
      <c r="NW230" s="354"/>
      <c r="NX230" s="354"/>
      <c r="NY230" s="354"/>
      <c r="NZ230" s="354"/>
      <c r="OA230" s="354"/>
      <c r="OB230" s="354"/>
      <c r="OC230" s="354"/>
      <c r="OD230" s="354"/>
      <c r="OE230" s="354"/>
      <c r="OF230" s="354"/>
      <c r="OG230" s="354"/>
      <c r="OH230" s="354"/>
      <c r="OI230" s="354"/>
      <c r="OJ230" s="354"/>
      <c r="OK230" s="354"/>
      <c r="OL230" s="354"/>
      <c r="OM230" s="354"/>
      <c r="ON230" s="354"/>
      <c r="OO230" s="354"/>
      <c r="OP230" s="354"/>
      <c r="OQ230" s="354"/>
      <c r="OR230" s="354"/>
      <c r="OS230" s="354"/>
      <c r="OT230" s="354"/>
      <c r="OU230" s="354"/>
      <c r="OV230" s="354"/>
      <c r="OW230" s="354"/>
      <c r="OX230" s="354"/>
      <c r="OY230" s="354"/>
      <c r="OZ230" s="354"/>
      <c r="PA230" s="354"/>
      <c r="PB230" s="354"/>
      <c r="PC230" s="354"/>
      <c r="PD230" s="354"/>
      <c r="PE230" s="354"/>
      <c r="PF230" s="354"/>
      <c r="PG230" s="354"/>
      <c r="PH230" s="354"/>
      <c r="PI230" s="354"/>
      <c r="PJ230" s="354"/>
      <c r="PK230" s="354"/>
      <c r="PL230" s="354"/>
      <c r="PM230" s="354"/>
      <c r="PN230" s="354"/>
      <c r="PO230" s="354"/>
      <c r="PP230" s="354"/>
      <c r="PQ230" s="354"/>
      <c r="PR230" s="354"/>
      <c r="PS230" s="354"/>
      <c r="PT230" s="354"/>
      <c r="PU230" s="354"/>
      <c r="PV230" s="354"/>
      <c r="PW230" s="354"/>
      <c r="PX230" s="354"/>
      <c r="PY230" s="354"/>
      <c r="PZ230" s="354"/>
      <c r="QA230" s="354"/>
      <c r="QB230" s="354"/>
      <c r="QC230" s="354"/>
      <c r="QD230" s="354"/>
      <c r="QE230" s="354"/>
      <c r="QF230" s="354"/>
      <c r="QG230" s="354"/>
      <c r="QH230" s="354"/>
      <c r="QI230" s="354"/>
      <c r="QJ230" s="354"/>
      <c r="QK230" s="354"/>
      <c r="QL230" s="354"/>
      <c r="QM230" s="354"/>
      <c r="QN230" s="354"/>
      <c r="QO230" s="354"/>
      <c r="QP230" s="354"/>
      <c r="QQ230" s="354"/>
      <c r="QR230" s="354"/>
      <c r="QS230" s="354"/>
      <c r="QT230" s="354"/>
      <c r="QU230" s="354"/>
      <c r="QV230" s="354"/>
      <c r="QW230" s="354"/>
      <c r="QX230" s="354"/>
      <c r="QY230" s="354"/>
      <c r="QZ230" s="354"/>
      <c r="RA230" s="354"/>
      <c r="RB230" s="354"/>
      <c r="RC230" s="354"/>
      <c r="RD230" s="354"/>
      <c r="RE230" s="354"/>
      <c r="RF230" s="354"/>
      <c r="RG230" s="354"/>
      <c r="RH230" s="354"/>
      <c r="RI230" s="354"/>
      <c r="RJ230" s="354"/>
      <c r="RK230" s="354"/>
      <c r="RL230" s="354"/>
      <c r="RM230" s="354"/>
      <c r="RN230" s="354"/>
      <c r="RO230" s="354"/>
      <c r="RP230" s="354"/>
      <c r="RQ230" s="354"/>
      <c r="RR230" s="354"/>
      <c r="RS230" s="354"/>
      <c r="RT230" s="354"/>
      <c r="RU230" s="354"/>
      <c r="RV230" s="354"/>
      <c r="RW230" s="354"/>
      <c r="RX230" s="354"/>
      <c r="RY230" s="354"/>
      <c r="RZ230" s="354"/>
      <c r="SA230" s="354"/>
      <c r="SB230" s="354"/>
      <c r="SC230" s="354"/>
      <c r="SD230" s="354"/>
      <c r="SE230" s="354"/>
      <c r="SF230" s="354"/>
      <c r="SG230" s="354"/>
      <c r="SH230" s="354"/>
      <c r="SI230" s="354"/>
      <c r="SJ230" s="354"/>
      <c r="SK230" s="354"/>
      <c r="SL230" s="354"/>
      <c r="SM230" s="354"/>
      <c r="SN230" s="354"/>
      <c r="SO230" s="354"/>
      <c r="SP230" s="354"/>
      <c r="SQ230" s="354"/>
      <c r="SR230" s="354"/>
      <c r="SS230" s="354"/>
    </row>
    <row r="231" spans="1:513" s="449" customFormat="1" ht="15" customHeight="1">
      <c r="C231" s="1039"/>
      <c r="D231" s="1039"/>
      <c r="E231" s="1039"/>
      <c r="F231" s="1039"/>
      <c r="G231" s="1039"/>
      <c r="H231" s="1039"/>
      <c r="I231" s="449" t="s">
        <v>4514</v>
      </c>
      <c r="L231" s="449" t="s">
        <v>4508</v>
      </c>
      <c r="M231" s="451"/>
      <c r="N231" s="1038"/>
      <c r="O231" s="1038"/>
      <c r="P231" s="1038"/>
      <c r="Q231" s="1044"/>
      <c r="R231" s="1044"/>
      <c r="S231" s="1044"/>
      <c r="T231" s="453" t="s">
        <v>4515</v>
      </c>
      <c r="Y231" s="451" t="s">
        <v>4508</v>
      </c>
      <c r="AA231" s="1045">
        <f>+Z220</f>
        <v>1</v>
      </c>
      <c r="AB231" s="1045"/>
      <c r="AC231" s="1046"/>
      <c r="AD231" s="1046"/>
      <c r="AM231" s="453" t="s">
        <v>4426</v>
      </c>
      <c r="AO231" s="1038">
        <f>ROUND(C231*N231*AA231,1)</f>
        <v>0</v>
      </c>
      <c r="AP231" s="1038"/>
      <c r="AQ231" s="1038"/>
      <c r="AR231" s="1046"/>
      <c r="AS231" s="1046"/>
      <c r="AT231" s="1046"/>
      <c r="AU231" s="1046"/>
      <c r="AV231" s="1046"/>
      <c r="AW231" s="354"/>
      <c r="AX231" s="354"/>
      <c r="AY231" s="354"/>
      <c r="AZ231" s="354"/>
      <c r="BA231" s="354"/>
      <c r="BB231" s="354"/>
      <c r="BC231" s="354"/>
      <c r="BD231" s="354"/>
      <c r="BE231" s="354"/>
      <c r="BF231" s="354"/>
      <c r="BG231" s="354"/>
      <c r="BH231" s="354"/>
      <c r="BI231" s="354"/>
      <c r="BJ231" s="354"/>
      <c r="BK231" s="354"/>
      <c r="BL231" s="354"/>
      <c r="BM231" s="354"/>
      <c r="BN231" s="354"/>
      <c r="BO231" s="354"/>
      <c r="BP231" s="354"/>
      <c r="BQ231" s="354"/>
      <c r="BR231" s="354"/>
      <c r="BS231" s="354"/>
      <c r="BT231" s="354"/>
      <c r="BU231" s="354"/>
      <c r="BV231" s="354"/>
      <c r="BW231" s="354"/>
      <c r="BX231" s="354"/>
      <c r="BY231" s="354"/>
      <c r="BZ231" s="354"/>
      <c r="CA231" s="354"/>
      <c r="CB231" s="354"/>
      <c r="CC231" s="354"/>
      <c r="CD231" s="354"/>
      <c r="CE231" s="354"/>
      <c r="CF231" s="354"/>
      <c r="CG231" s="354"/>
      <c r="CH231" s="354"/>
      <c r="CI231" s="354"/>
      <c r="CJ231" s="354"/>
      <c r="CK231" s="354"/>
      <c r="CL231" s="354"/>
      <c r="CM231" s="354"/>
      <c r="CN231" s="354"/>
      <c r="CO231" s="354"/>
      <c r="CP231" s="354"/>
      <c r="CQ231" s="354"/>
      <c r="CR231" s="354"/>
      <c r="CS231" s="354"/>
      <c r="CT231" s="354"/>
      <c r="CU231" s="354"/>
      <c r="CV231" s="354"/>
      <c r="CW231" s="354"/>
      <c r="CX231" s="354"/>
      <c r="CY231" s="354"/>
      <c r="CZ231" s="354"/>
      <c r="DA231" s="354"/>
      <c r="DB231" s="354"/>
      <c r="DC231" s="354"/>
      <c r="DD231" s="354"/>
      <c r="DE231" s="354"/>
      <c r="DF231" s="354"/>
      <c r="DG231" s="354"/>
      <c r="DH231" s="354"/>
      <c r="DI231" s="354"/>
      <c r="DJ231" s="354"/>
      <c r="DK231" s="354"/>
      <c r="DL231" s="354"/>
      <c r="DM231" s="354"/>
      <c r="DN231" s="354"/>
      <c r="DO231" s="354"/>
      <c r="DP231" s="354"/>
      <c r="DQ231" s="354"/>
      <c r="DR231" s="354"/>
      <c r="DS231" s="354"/>
      <c r="DT231" s="354"/>
      <c r="DU231" s="354"/>
      <c r="DV231" s="354"/>
      <c r="DW231" s="354"/>
      <c r="DX231" s="354"/>
      <c r="DY231" s="354"/>
      <c r="DZ231" s="354"/>
      <c r="EA231" s="354"/>
      <c r="EB231" s="354"/>
      <c r="EC231" s="354"/>
      <c r="ED231" s="354"/>
      <c r="EE231" s="354"/>
      <c r="EF231" s="354"/>
      <c r="EG231" s="354"/>
      <c r="EH231" s="354"/>
      <c r="EI231" s="354"/>
      <c r="EJ231" s="354"/>
      <c r="EK231" s="354"/>
      <c r="EL231" s="354"/>
      <c r="EM231" s="354"/>
      <c r="EN231" s="354"/>
      <c r="EO231" s="354"/>
      <c r="EP231" s="354"/>
      <c r="EQ231" s="354"/>
      <c r="ER231" s="354"/>
      <c r="ES231" s="354"/>
      <c r="ET231" s="354"/>
      <c r="EU231" s="354"/>
      <c r="EV231" s="354"/>
      <c r="EW231" s="354"/>
      <c r="EX231" s="354"/>
      <c r="EY231" s="354"/>
      <c r="EZ231" s="354"/>
      <c r="FA231" s="354"/>
      <c r="FB231" s="354"/>
      <c r="FC231" s="354"/>
      <c r="FD231" s="354"/>
      <c r="FE231" s="354"/>
      <c r="FF231" s="354"/>
      <c r="FG231" s="354"/>
      <c r="FH231" s="354"/>
      <c r="FI231" s="354"/>
      <c r="FJ231" s="354"/>
      <c r="FK231" s="354"/>
      <c r="FL231" s="354"/>
      <c r="FM231" s="354"/>
      <c r="FN231" s="354"/>
      <c r="FO231" s="354"/>
      <c r="FP231" s="354"/>
      <c r="FQ231" s="354"/>
      <c r="FR231" s="354"/>
      <c r="FS231" s="354"/>
      <c r="FT231" s="354"/>
      <c r="FU231" s="354"/>
      <c r="FV231" s="354"/>
      <c r="FW231" s="354"/>
      <c r="FX231" s="354"/>
      <c r="FY231" s="354"/>
      <c r="FZ231" s="354"/>
      <c r="GA231" s="354"/>
      <c r="GB231" s="354"/>
      <c r="GC231" s="354"/>
      <c r="GD231" s="354"/>
      <c r="GE231" s="354"/>
      <c r="GF231" s="354"/>
      <c r="GG231" s="354"/>
      <c r="GH231" s="354"/>
      <c r="GI231" s="354"/>
      <c r="GJ231" s="354"/>
      <c r="GK231" s="354"/>
      <c r="GL231" s="354"/>
      <c r="GM231" s="354"/>
      <c r="GN231" s="354"/>
      <c r="GO231" s="354"/>
      <c r="GP231" s="354"/>
      <c r="GQ231" s="354"/>
      <c r="GR231" s="354"/>
      <c r="GS231" s="354"/>
      <c r="GT231" s="354"/>
      <c r="GU231" s="354"/>
      <c r="GV231" s="354"/>
      <c r="GW231" s="354"/>
      <c r="GX231" s="354"/>
      <c r="GY231" s="354"/>
      <c r="GZ231" s="354"/>
      <c r="HA231" s="354"/>
      <c r="HB231" s="354"/>
      <c r="HC231" s="354"/>
      <c r="HD231" s="354"/>
      <c r="HE231" s="354"/>
      <c r="HF231" s="354"/>
      <c r="HG231" s="354"/>
      <c r="HH231" s="354"/>
      <c r="HI231" s="354"/>
      <c r="HJ231" s="354"/>
      <c r="HK231" s="354"/>
      <c r="HL231" s="354"/>
      <c r="HM231" s="354"/>
      <c r="HN231" s="354"/>
      <c r="HO231" s="354"/>
      <c r="HP231" s="354"/>
      <c r="HQ231" s="354"/>
      <c r="HR231" s="354"/>
      <c r="HS231" s="354"/>
      <c r="HT231" s="354"/>
      <c r="HU231" s="354"/>
      <c r="HV231" s="354"/>
      <c r="HW231" s="354"/>
      <c r="HX231" s="354"/>
      <c r="HY231" s="354"/>
      <c r="HZ231" s="354"/>
      <c r="IA231" s="354"/>
      <c r="IB231" s="354"/>
      <c r="IC231" s="354"/>
      <c r="ID231" s="354"/>
      <c r="IE231" s="354"/>
      <c r="IF231" s="354"/>
      <c r="IG231" s="354"/>
      <c r="IH231" s="354"/>
      <c r="II231" s="354"/>
      <c r="IJ231" s="354"/>
      <c r="IK231" s="354"/>
      <c r="IL231" s="354"/>
      <c r="IM231" s="354"/>
      <c r="IN231" s="354"/>
      <c r="IO231" s="354"/>
      <c r="IP231" s="354"/>
      <c r="IQ231" s="354"/>
      <c r="IR231" s="354"/>
      <c r="IS231" s="354"/>
      <c r="IT231" s="354"/>
      <c r="IU231" s="354"/>
      <c r="IV231" s="354"/>
      <c r="IW231" s="354"/>
      <c r="IX231" s="354"/>
      <c r="IY231" s="354"/>
      <c r="IZ231" s="371"/>
      <c r="JA231" s="371"/>
      <c r="JB231" s="371"/>
      <c r="JC231" s="371"/>
      <c r="JD231" s="371"/>
      <c r="JE231" s="371"/>
      <c r="JF231" s="371"/>
      <c r="JG231" s="371"/>
      <c r="JH231" s="371"/>
      <c r="JI231" s="371"/>
      <c r="JJ231" s="371"/>
      <c r="JK231" s="371"/>
      <c r="JL231" s="371"/>
      <c r="JM231" s="371"/>
      <c r="JN231" s="371"/>
      <c r="JO231" s="371"/>
      <c r="JP231" s="371"/>
      <c r="JQ231" s="371"/>
      <c r="JR231" s="371"/>
      <c r="JS231" s="371"/>
      <c r="JT231" s="371"/>
      <c r="JU231" s="371"/>
      <c r="JV231" s="371"/>
      <c r="JW231" s="371"/>
      <c r="JX231" s="371"/>
      <c r="JY231" s="371"/>
      <c r="JZ231" s="371"/>
      <c r="KA231" s="371"/>
      <c r="KB231" s="371"/>
      <c r="KC231" s="371"/>
      <c r="KD231" s="371"/>
      <c r="KE231" s="371"/>
      <c r="KF231" s="371"/>
      <c r="KG231" s="371"/>
      <c r="KH231" s="354"/>
      <c r="KI231" s="354"/>
      <c r="KJ231" s="354"/>
      <c r="KK231" s="354"/>
      <c r="KL231" s="354"/>
      <c r="KM231" s="354"/>
      <c r="KN231" s="354"/>
      <c r="KO231" s="354"/>
      <c r="KP231" s="354"/>
      <c r="KQ231" s="354"/>
      <c r="KR231" s="354"/>
      <c r="KS231" s="354"/>
      <c r="KT231" s="354"/>
      <c r="KU231" s="354"/>
      <c r="KV231" s="354"/>
      <c r="KW231" s="354"/>
      <c r="KX231" s="354"/>
      <c r="KY231" s="354"/>
      <c r="KZ231" s="354"/>
      <c r="LA231" s="354"/>
      <c r="LB231" s="354"/>
      <c r="LC231" s="354"/>
      <c r="LD231" s="354"/>
      <c r="LE231" s="354"/>
      <c r="LF231" s="354"/>
      <c r="LG231" s="354"/>
      <c r="LH231" s="354"/>
      <c r="LI231" s="354"/>
      <c r="LJ231" s="354"/>
      <c r="LK231" s="354"/>
      <c r="LL231" s="354"/>
      <c r="LM231" s="354"/>
      <c r="LN231" s="354"/>
      <c r="LO231" s="354"/>
      <c r="LP231" s="354"/>
      <c r="LQ231" s="354"/>
      <c r="LR231" s="354"/>
      <c r="LS231" s="354"/>
      <c r="LT231" s="354"/>
      <c r="LU231" s="354"/>
      <c r="LV231" s="354"/>
      <c r="LW231" s="354"/>
      <c r="LX231" s="354"/>
      <c r="LY231" s="354"/>
      <c r="LZ231" s="354"/>
      <c r="MA231" s="354"/>
      <c r="MB231" s="354"/>
      <c r="MC231" s="354"/>
      <c r="MD231" s="354"/>
      <c r="ME231" s="354"/>
      <c r="MF231" s="354"/>
      <c r="MG231" s="354"/>
      <c r="MH231" s="354"/>
      <c r="MI231" s="354"/>
      <c r="MJ231" s="354"/>
      <c r="MK231" s="354"/>
      <c r="ML231" s="354"/>
      <c r="MM231" s="354"/>
      <c r="MN231" s="354"/>
      <c r="MO231" s="354"/>
      <c r="MP231" s="354"/>
      <c r="MQ231" s="354"/>
      <c r="MR231" s="354"/>
      <c r="MS231" s="354"/>
      <c r="MT231" s="354"/>
      <c r="MU231" s="354"/>
      <c r="MV231" s="354"/>
      <c r="MW231" s="354"/>
      <c r="MX231" s="354"/>
      <c r="MY231" s="354"/>
      <c r="MZ231" s="354"/>
      <c r="NA231" s="354"/>
      <c r="NB231" s="354"/>
      <c r="NC231" s="354"/>
      <c r="ND231" s="354"/>
      <c r="NE231" s="354"/>
      <c r="NF231" s="354"/>
      <c r="NG231" s="354"/>
      <c r="NH231" s="354"/>
      <c r="NI231" s="354"/>
      <c r="NJ231" s="354"/>
      <c r="NK231" s="354"/>
      <c r="NL231" s="354"/>
      <c r="NM231" s="354"/>
      <c r="NN231" s="354"/>
      <c r="NO231" s="354"/>
      <c r="NP231" s="354"/>
      <c r="NQ231" s="354"/>
      <c r="NR231" s="354"/>
      <c r="NS231" s="354"/>
      <c r="NT231" s="354"/>
      <c r="NU231" s="354"/>
      <c r="NV231" s="354"/>
      <c r="NW231" s="354"/>
      <c r="NX231" s="354"/>
      <c r="NY231" s="354"/>
      <c r="NZ231" s="354"/>
      <c r="OA231" s="354"/>
      <c r="OB231" s="354"/>
      <c r="OC231" s="354"/>
      <c r="OD231" s="354"/>
      <c r="OE231" s="354"/>
      <c r="OF231" s="354"/>
      <c r="OG231" s="354"/>
      <c r="OH231" s="354"/>
      <c r="OI231" s="354"/>
      <c r="OJ231" s="354"/>
      <c r="OK231" s="354"/>
      <c r="OL231" s="354"/>
      <c r="OM231" s="354"/>
      <c r="ON231" s="354"/>
      <c r="OO231" s="354"/>
      <c r="OP231" s="354"/>
      <c r="OQ231" s="354"/>
      <c r="OR231" s="354"/>
      <c r="OS231" s="354"/>
      <c r="OT231" s="354"/>
      <c r="OU231" s="354"/>
      <c r="OV231" s="354"/>
      <c r="OW231" s="354"/>
      <c r="OX231" s="354"/>
      <c r="OY231" s="354"/>
      <c r="OZ231" s="354"/>
      <c r="PA231" s="354"/>
      <c r="PB231" s="354"/>
      <c r="PC231" s="354"/>
      <c r="PD231" s="354"/>
      <c r="PE231" s="354"/>
      <c r="PF231" s="354"/>
      <c r="PG231" s="354"/>
      <c r="PH231" s="354"/>
      <c r="PI231" s="354"/>
      <c r="PJ231" s="354"/>
      <c r="PK231" s="354"/>
      <c r="PL231" s="354"/>
      <c r="PM231" s="354"/>
      <c r="PN231" s="354"/>
      <c r="PO231" s="354"/>
      <c r="PP231" s="354"/>
      <c r="PQ231" s="354"/>
      <c r="PR231" s="354"/>
      <c r="PS231" s="354"/>
      <c r="PT231" s="354"/>
      <c r="PU231" s="354"/>
      <c r="PV231" s="354"/>
      <c r="PW231" s="354"/>
      <c r="PX231" s="354"/>
      <c r="PY231" s="354"/>
      <c r="PZ231" s="354"/>
      <c r="QA231" s="354"/>
      <c r="QB231" s="354"/>
      <c r="QC231" s="354"/>
      <c r="QD231" s="354"/>
      <c r="QE231" s="354"/>
      <c r="QF231" s="354"/>
      <c r="QG231" s="354"/>
      <c r="QH231" s="354"/>
      <c r="QI231" s="354"/>
      <c r="QJ231" s="354"/>
      <c r="QK231" s="354"/>
      <c r="QL231" s="354"/>
      <c r="QM231" s="354"/>
      <c r="QN231" s="354"/>
      <c r="QO231" s="354"/>
      <c r="QP231" s="354"/>
      <c r="QQ231" s="354"/>
      <c r="QR231" s="354"/>
      <c r="QS231" s="354"/>
      <c r="QT231" s="354"/>
      <c r="QU231" s="354"/>
      <c r="QV231" s="354"/>
      <c r="QW231" s="354"/>
      <c r="QX231" s="354"/>
      <c r="QY231" s="354"/>
      <c r="QZ231" s="354"/>
      <c r="RA231" s="354"/>
      <c r="RB231" s="354"/>
      <c r="RC231" s="354"/>
      <c r="RD231" s="354"/>
      <c r="RE231" s="354"/>
      <c r="RF231" s="354"/>
      <c r="RG231" s="354"/>
      <c r="RH231" s="354"/>
      <c r="RI231" s="354"/>
      <c r="RJ231" s="354"/>
      <c r="RK231" s="354"/>
      <c r="RL231" s="354"/>
      <c r="RM231" s="354"/>
      <c r="RN231" s="354"/>
      <c r="RO231" s="354"/>
      <c r="RP231" s="354"/>
      <c r="RQ231" s="354"/>
      <c r="RR231" s="354"/>
      <c r="RS231" s="354"/>
      <c r="RT231" s="354"/>
      <c r="RU231" s="354"/>
      <c r="RV231" s="354"/>
      <c r="RW231" s="354"/>
      <c r="RX231" s="354"/>
      <c r="RY231" s="354"/>
      <c r="RZ231" s="354"/>
      <c r="SA231" s="354"/>
      <c r="SB231" s="354"/>
      <c r="SC231" s="354"/>
      <c r="SD231" s="354"/>
      <c r="SE231" s="354"/>
      <c r="SF231" s="354"/>
      <c r="SG231" s="354"/>
      <c r="SH231" s="354"/>
      <c r="SI231" s="354"/>
      <c r="SJ231" s="354"/>
      <c r="SK231" s="354"/>
      <c r="SL231" s="354"/>
      <c r="SM231" s="354"/>
      <c r="SN231" s="354"/>
      <c r="SO231" s="354"/>
      <c r="SP231" s="354"/>
      <c r="SQ231" s="354"/>
      <c r="SR231" s="354"/>
      <c r="SS231" s="354"/>
    </row>
    <row r="232" spans="1:513" s="449" customFormat="1" ht="15" customHeight="1">
      <c r="C232" s="463" t="s">
        <v>4516</v>
      </c>
      <c r="D232" s="464"/>
      <c r="E232" s="464"/>
      <c r="F232" s="464"/>
      <c r="G232" s="464"/>
      <c r="H232" s="464"/>
      <c r="I232" s="464"/>
      <c r="J232" s="464"/>
      <c r="K232" s="464"/>
      <c r="L232" s="464"/>
      <c r="M232" s="464"/>
      <c r="N232" s="464"/>
      <c r="O232" s="464"/>
      <c r="P232" s="464"/>
      <c r="Q232" s="464"/>
      <c r="R232" s="464"/>
      <c r="S232" s="464"/>
      <c r="T232" s="464"/>
      <c r="U232" s="464"/>
      <c r="V232" s="464"/>
      <c r="W232" s="464"/>
      <c r="X232" s="464"/>
      <c r="Y232" s="464"/>
      <c r="Z232" s="464"/>
      <c r="AA232" s="464"/>
      <c r="AB232" s="464"/>
      <c r="AC232" s="464"/>
      <c r="AD232" s="464"/>
      <c r="AE232" s="464"/>
      <c r="AF232" s="464"/>
      <c r="AG232" s="464"/>
      <c r="AH232" s="464"/>
      <c r="AI232" s="464"/>
      <c r="AJ232" s="464"/>
      <c r="AK232" s="464"/>
      <c r="AL232" s="464"/>
      <c r="AM232" s="464"/>
      <c r="AN232" s="464"/>
      <c r="AO232" s="464"/>
      <c r="AP232" s="464"/>
      <c r="AQ232" s="464"/>
      <c r="AR232" s="464"/>
      <c r="AS232" s="464"/>
      <c r="AT232" s="464"/>
      <c r="AU232" s="464"/>
      <c r="AV232" s="464"/>
      <c r="AW232" s="354"/>
      <c r="AX232" s="354"/>
      <c r="AY232" s="354"/>
      <c r="AZ232" s="354"/>
      <c r="BA232" s="354"/>
      <c r="BB232" s="354"/>
      <c r="BC232" s="354"/>
      <c r="BD232" s="354"/>
      <c r="BE232" s="354"/>
      <c r="BF232" s="354"/>
      <c r="BG232" s="354"/>
      <c r="BH232" s="354"/>
      <c r="BI232" s="354"/>
      <c r="BJ232" s="354"/>
      <c r="BK232" s="354"/>
      <c r="BL232" s="354"/>
      <c r="BM232" s="354"/>
      <c r="BN232" s="354"/>
      <c r="BO232" s="354"/>
      <c r="BP232" s="354"/>
      <c r="BQ232" s="354"/>
      <c r="BR232" s="354"/>
      <c r="BS232" s="354"/>
      <c r="BT232" s="354"/>
      <c r="BU232" s="354"/>
      <c r="BV232" s="354"/>
      <c r="BW232" s="354"/>
      <c r="BX232" s="354"/>
      <c r="BY232" s="354"/>
      <c r="BZ232" s="354"/>
      <c r="CA232" s="354"/>
      <c r="CB232" s="354"/>
      <c r="CC232" s="354"/>
      <c r="CD232" s="354"/>
      <c r="CE232" s="354"/>
      <c r="CF232" s="354"/>
      <c r="CG232" s="354"/>
      <c r="CH232" s="354"/>
      <c r="CI232" s="354"/>
      <c r="CJ232" s="354"/>
      <c r="CK232" s="354"/>
      <c r="CL232" s="354"/>
      <c r="CM232" s="354"/>
      <c r="CN232" s="354"/>
      <c r="CO232" s="354"/>
      <c r="CP232" s="354"/>
      <c r="CQ232" s="354"/>
      <c r="CR232" s="354"/>
      <c r="CS232" s="354"/>
      <c r="CT232" s="354"/>
      <c r="CU232" s="354"/>
      <c r="CV232" s="354"/>
      <c r="CW232" s="354"/>
      <c r="CX232" s="354"/>
      <c r="CY232" s="354"/>
      <c r="CZ232" s="354"/>
      <c r="DA232" s="354"/>
      <c r="DB232" s="354"/>
      <c r="DC232" s="354"/>
      <c r="DD232" s="354"/>
      <c r="DE232" s="354"/>
      <c r="DF232" s="354"/>
      <c r="DG232" s="354"/>
      <c r="DH232" s="354"/>
      <c r="DI232" s="354"/>
      <c r="DJ232" s="354"/>
      <c r="DK232" s="354"/>
      <c r="DL232" s="354"/>
      <c r="DM232" s="354"/>
      <c r="DN232" s="354"/>
      <c r="DO232" s="354"/>
      <c r="DP232" s="354"/>
      <c r="DQ232" s="354"/>
      <c r="DR232" s="354"/>
      <c r="DS232" s="354"/>
      <c r="DT232" s="354"/>
      <c r="DU232" s="354"/>
      <c r="DV232" s="354"/>
      <c r="DW232" s="354"/>
      <c r="DX232" s="354"/>
      <c r="DY232" s="354"/>
      <c r="DZ232" s="354"/>
      <c r="EA232" s="354"/>
      <c r="EB232" s="354"/>
      <c r="EC232" s="354"/>
      <c r="ED232" s="354"/>
      <c r="EE232" s="354"/>
      <c r="EF232" s="354"/>
      <c r="EG232" s="354"/>
      <c r="EH232" s="354"/>
      <c r="EI232" s="354"/>
      <c r="EJ232" s="354"/>
      <c r="EK232" s="354"/>
      <c r="EL232" s="354"/>
      <c r="EM232" s="354"/>
      <c r="EN232" s="354"/>
      <c r="EO232" s="354"/>
      <c r="EP232" s="354"/>
      <c r="EQ232" s="354"/>
      <c r="ER232" s="354"/>
      <c r="ES232" s="354"/>
      <c r="ET232" s="354"/>
      <c r="EU232" s="354"/>
      <c r="EV232" s="354"/>
      <c r="EW232" s="354"/>
      <c r="EX232" s="354"/>
      <c r="EY232" s="354"/>
      <c r="EZ232" s="354"/>
      <c r="FA232" s="354"/>
      <c r="FB232" s="354"/>
      <c r="FC232" s="354"/>
      <c r="FD232" s="354"/>
      <c r="FE232" s="354"/>
      <c r="FF232" s="354"/>
      <c r="FG232" s="354"/>
      <c r="FH232" s="354"/>
      <c r="FI232" s="354"/>
      <c r="FJ232" s="354"/>
      <c r="FK232" s="354"/>
      <c r="FL232" s="354"/>
      <c r="FM232" s="354"/>
      <c r="FN232" s="354"/>
      <c r="FO232" s="354"/>
      <c r="FP232" s="354"/>
      <c r="FQ232" s="354"/>
      <c r="FR232" s="354"/>
      <c r="FS232" s="354"/>
      <c r="FT232" s="354"/>
      <c r="FU232" s="354"/>
      <c r="FV232" s="354"/>
      <c r="FW232" s="354"/>
      <c r="FX232" s="354"/>
      <c r="FY232" s="354"/>
      <c r="FZ232" s="354"/>
      <c r="GA232" s="354"/>
      <c r="GB232" s="354"/>
      <c r="GC232" s="354"/>
      <c r="GD232" s="354"/>
      <c r="GE232" s="354"/>
      <c r="GF232" s="354"/>
      <c r="GG232" s="354"/>
      <c r="GH232" s="354"/>
      <c r="GI232" s="354"/>
      <c r="GJ232" s="354"/>
      <c r="GK232" s="354"/>
      <c r="GL232" s="354"/>
      <c r="GM232" s="354"/>
      <c r="GN232" s="354"/>
      <c r="GO232" s="354"/>
      <c r="GP232" s="354"/>
      <c r="GQ232" s="354"/>
      <c r="GR232" s="354"/>
      <c r="GS232" s="354"/>
      <c r="GT232" s="354"/>
      <c r="GU232" s="354"/>
      <c r="GV232" s="354"/>
      <c r="GW232" s="354"/>
      <c r="GX232" s="354"/>
      <c r="GY232" s="354"/>
      <c r="GZ232" s="354"/>
      <c r="HA232" s="354"/>
      <c r="HB232" s="354"/>
      <c r="HC232" s="354"/>
      <c r="HD232" s="354"/>
      <c r="HE232" s="354"/>
      <c r="HF232" s="354"/>
      <c r="HG232" s="354"/>
      <c r="HH232" s="354"/>
      <c r="HI232" s="354"/>
      <c r="HJ232" s="354"/>
      <c r="HK232" s="354"/>
      <c r="HL232" s="354"/>
      <c r="HM232" s="354"/>
      <c r="HN232" s="354"/>
      <c r="HO232" s="354"/>
      <c r="HP232" s="354"/>
      <c r="HQ232" s="354"/>
      <c r="HR232" s="354"/>
      <c r="HS232" s="354"/>
      <c r="HT232" s="354"/>
      <c r="HU232" s="354"/>
      <c r="HV232" s="354"/>
      <c r="HW232" s="354"/>
      <c r="HX232" s="354"/>
      <c r="HY232" s="354"/>
      <c r="HZ232" s="354"/>
      <c r="IA232" s="354"/>
      <c r="IB232" s="354"/>
      <c r="IC232" s="354"/>
      <c r="ID232" s="354"/>
      <c r="IE232" s="354"/>
      <c r="IF232" s="354"/>
      <c r="IG232" s="354"/>
      <c r="IH232" s="354"/>
      <c r="II232" s="354"/>
      <c r="IJ232" s="354"/>
      <c r="IK232" s="354"/>
      <c r="IL232" s="354"/>
      <c r="IM232" s="354"/>
      <c r="IN232" s="354"/>
      <c r="IO232" s="354"/>
      <c r="IP232" s="354"/>
      <c r="IQ232" s="354"/>
      <c r="IR232" s="354"/>
      <c r="IS232" s="354"/>
      <c r="IT232" s="354"/>
      <c r="IU232" s="354"/>
      <c r="IV232" s="354"/>
      <c r="IW232" s="354"/>
      <c r="IX232" s="354"/>
      <c r="IY232" s="354"/>
      <c r="IZ232" s="371"/>
      <c r="JA232" s="371"/>
      <c r="JB232" s="371"/>
      <c r="JC232" s="371"/>
      <c r="JD232" s="371"/>
      <c r="JE232" s="371"/>
      <c r="JF232" s="371"/>
      <c r="JG232" s="371"/>
      <c r="JH232" s="371"/>
      <c r="JI232" s="371"/>
      <c r="JJ232" s="371"/>
      <c r="JK232" s="371"/>
      <c r="JL232" s="371"/>
      <c r="JM232" s="371"/>
      <c r="JN232" s="371"/>
      <c r="JO232" s="371"/>
      <c r="JP232" s="371"/>
      <c r="JQ232" s="371"/>
      <c r="JR232" s="371"/>
      <c r="JS232" s="371"/>
      <c r="JT232" s="371"/>
      <c r="JU232" s="371"/>
      <c r="JV232" s="371"/>
      <c r="JW232" s="371"/>
      <c r="JX232" s="371"/>
      <c r="JY232" s="371"/>
      <c r="JZ232" s="371"/>
      <c r="KA232" s="371"/>
      <c r="KB232" s="371"/>
      <c r="KC232" s="371"/>
      <c r="KD232" s="371"/>
      <c r="KE232" s="371"/>
      <c r="KF232" s="371"/>
      <c r="KG232" s="371"/>
      <c r="KH232" s="354"/>
      <c r="KI232" s="354"/>
      <c r="KJ232" s="354"/>
      <c r="KK232" s="354"/>
      <c r="KL232" s="354"/>
      <c r="KM232" s="354"/>
      <c r="KN232" s="354"/>
      <c r="KO232" s="354"/>
      <c r="KP232" s="354"/>
      <c r="KQ232" s="354"/>
      <c r="KR232" s="354"/>
      <c r="KS232" s="354"/>
      <c r="KT232" s="354"/>
      <c r="KU232" s="354"/>
      <c r="KV232" s="354"/>
      <c r="KW232" s="354"/>
      <c r="KX232" s="354"/>
      <c r="KY232" s="354"/>
      <c r="KZ232" s="354"/>
      <c r="LA232" s="354"/>
      <c r="LB232" s="354"/>
      <c r="LC232" s="354"/>
      <c r="LD232" s="354"/>
      <c r="LE232" s="354"/>
      <c r="LF232" s="354"/>
      <c r="LG232" s="354"/>
      <c r="LH232" s="354"/>
      <c r="LI232" s="354"/>
      <c r="LJ232" s="354"/>
      <c r="LK232" s="354"/>
      <c r="LL232" s="354"/>
      <c r="LM232" s="354"/>
      <c r="LN232" s="354"/>
      <c r="LO232" s="354"/>
      <c r="LP232" s="354"/>
      <c r="LQ232" s="354"/>
      <c r="LR232" s="354"/>
      <c r="LS232" s="354"/>
      <c r="LT232" s="354"/>
      <c r="LU232" s="354"/>
      <c r="LV232" s="354"/>
      <c r="LW232" s="354"/>
      <c r="LX232" s="354"/>
      <c r="LY232" s="354"/>
      <c r="LZ232" s="354"/>
      <c r="MA232" s="354"/>
      <c r="MB232" s="354"/>
      <c r="MC232" s="354"/>
      <c r="MD232" s="354"/>
      <c r="ME232" s="354"/>
      <c r="MF232" s="354"/>
      <c r="MG232" s="354"/>
      <c r="MH232" s="354"/>
      <c r="MI232" s="354"/>
      <c r="MJ232" s="354"/>
      <c r="MK232" s="354"/>
      <c r="ML232" s="354"/>
      <c r="MM232" s="354"/>
      <c r="MN232" s="354"/>
      <c r="MO232" s="354"/>
      <c r="MP232" s="354"/>
      <c r="MQ232" s="354"/>
      <c r="MR232" s="354"/>
      <c r="MS232" s="354"/>
      <c r="MT232" s="354"/>
      <c r="MU232" s="354"/>
      <c r="MV232" s="354"/>
      <c r="MW232" s="354"/>
      <c r="MX232" s="354"/>
      <c r="MY232" s="354"/>
      <c r="MZ232" s="354"/>
      <c r="NA232" s="354"/>
      <c r="NB232" s="354"/>
      <c r="NC232" s="354"/>
      <c r="ND232" s="354"/>
      <c r="NE232" s="354"/>
      <c r="NF232" s="354"/>
      <c r="NG232" s="354"/>
      <c r="NH232" s="354"/>
      <c r="NI232" s="354"/>
      <c r="NJ232" s="354"/>
      <c r="NK232" s="354"/>
      <c r="NL232" s="354"/>
      <c r="NM232" s="354"/>
      <c r="NN232" s="354"/>
      <c r="NO232" s="354"/>
      <c r="NP232" s="354"/>
      <c r="NQ232" s="354"/>
      <c r="NR232" s="354"/>
      <c r="NS232" s="354"/>
      <c r="NT232" s="354"/>
      <c r="NU232" s="354"/>
      <c r="NV232" s="354"/>
      <c r="NW232" s="354"/>
      <c r="NX232" s="354"/>
      <c r="NY232" s="354"/>
      <c r="NZ232" s="354"/>
      <c r="OA232" s="354"/>
      <c r="OB232" s="354"/>
      <c r="OC232" s="354"/>
      <c r="OD232" s="354"/>
      <c r="OE232" s="354"/>
      <c r="OF232" s="354"/>
      <c r="OG232" s="354"/>
      <c r="OH232" s="354"/>
      <c r="OI232" s="354"/>
      <c r="OJ232" s="354"/>
      <c r="OK232" s="354"/>
      <c r="OL232" s="354"/>
      <c r="OM232" s="354"/>
      <c r="ON232" s="354"/>
      <c r="OO232" s="354"/>
      <c r="OP232" s="354"/>
      <c r="OQ232" s="354"/>
      <c r="OR232" s="354"/>
      <c r="OS232" s="354"/>
      <c r="OT232" s="354"/>
      <c r="OU232" s="354"/>
      <c r="OV232" s="354"/>
      <c r="OW232" s="354"/>
      <c r="OX232" s="354"/>
      <c r="OY232" s="354"/>
      <c r="OZ232" s="354"/>
      <c r="PA232" s="354"/>
      <c r="PB232" s="354"/>
      <c r="PC232" s="354"/>
      <c r="PD232" s="354"/>
      <c r="PE232" s="354"/>
      <c r="PF232" s="354"/>
      <c r="PG232" s="354"/>
      <c r="PH232" s="354"/>
      <c r="PI232" s="354"/>
      <c r="PJ232" s="354"/>
      <c r="PK232" s="354"/>
      <c r="PL232" s="354"/>
      <c r="PM232" s="354"/>
      <c r="PN232" s="354"/>
      <c r="PO232" s="354"/>
      <c r="PP232" s="354"/>
      <c r="PQ232" s="354"/>
      <c r="PR232" s="354"/>
      <c r="PS232" s="354"/>
      <c r="PT232" s="354"/>
      <c r="PU232" s="354"/>
      <c r="PV232" s="354"/>
      <c r="PW232" s="354"/>
      <c r="PX232" s="354"/>
      <c r="PY232" s="354"/>
      <c r="PZ232" s="354"/>
      <c r="QA232" s="354"/>
      <c r="QB232" s="354"/>
      <c r="QC232" s="354"/>
      <c r="QD232" s="354"/>
      <c r="QE232" s="354"/>
      <c r="QF232" s="354"/>
      <c r="QG232" s="354"/>
      <c r="QH232" s="354"/>
      <c r="QI232" s="354"/>
      <c r="QJ232" s="354"/>
      <c r="QK232" s="354"/>
      <c r="QL232" s="354"/>
      <c r="QM232" s="354"/>
      <c r="QN232" s="354"/>
      <c r="QO232" s="354"/>
      <c r="QP232" s="354"/>
      <c r="QQ232" s="354"/>
      <c r="QR232" s="354"/>
      <c r="QS232" s="354"/>
      <c r="QT232" s="354"/>
      <c r="QU232" s="354"/>
      <c r="QV232" s="354"/>
      <c r="QW232" s="354"/>
      <c r="QX232" s="354"/>
      <c r="QY232" s="354"/>
      <c r="QZ232" s="354"/>
      <c r="RA232" s="354"/>
      <c r="RB232" s="354"/>
      <c r="RC232" s="354"/>
      <c r="RD232" s="354"/>
      <c r="RE232" s="354"/>
      <c r="RF232" s="354"/>
      <c r="RG232" s="354"/>
      <c r="RH232" s="354"/>
      <c r="RI232" s="354"/>
      <c r="RJ232" s="354"/>
      <c r="RK232" s="354"/>
      <c r="RL232" s="354"/>
      <c r="RM232" s="354"/>
      <c r="RN232" s="354"/>
      <c r="RO232" s="354"/>
      <c r="RP232" s="354"/>
      <c r="RQ232" s="354"/>
      <c r="RR232" s="354"/>
      <c r="RS232" s="354"/>
      <c r="RT232" s="354"/>
      <c r="RU232" s="354"/>
      <c r="RV232" s="354"/>
      <c r="RW232" s="354"/>
      <c r="RX232" s="354"/>
      <c r="RY232" s="354"/>
      <c r="RZ232" s="354"/>
      <c r="SA232" s="354"/>
      <c r="SB232" s="354"/>
      <c r="SC232" s="354"/>
      <c r="SD232" s="354"/>
      <c r="SE232" s="354"/>
      <c r="SF232" s="354"/>
      <c r="SG232" s="354"/>
      <c r="SH232" s="354"/>
      <c r="SI232" s="354"/>
      <c r="SJ232" s="354"/>
      <c r="SK232" s="354"/>
      <c r="SL232" s="354"/>
      <c r="SM232" s="354"/>
      <c r="SN232" s="354"/>
      <c r="SO232" s="354"/>
      <c r="SP232" s="354"/>
      <c r="SQ232" s="354"/>
      <c r="SR232" s="354"/>
      <c r="SS232" s="354"/>
    </row>
    <row r="233" spans="1:513" s="449" customFormat="1" ht="15" customHeight="1">
      <c r="C233" s="1039"/>
      <c r="D233" s="1039"/>
      <c r="E233" s="1039"/>
      <c r="F233" s="1039"/>
      <c r="G233" s="1039"/>
      <c r="H233" s="1039"/>
      <c r="I233" s="449" t="s">
        <v>4514</v>
      </c>
      <c r="L233" s="449" t="s">
        <v>4508</v>
      </c>
      <c r="M233" s="451"/>
      <c r="N233" s="1038"/>
      <c r="O233" s="1038"/>
      <c r="P233" s="1047"/>
      <c r="Q233" s="1046"/>
      <c r="R233" s="1046"/>
      <c r="S233" s="1046"/>
      <c r="T233" s="453" t="s">
        <v>4515</v>
      </c>
      <c r="Y233" s="451" t="s">
        <v>4508</v>
      </c>
      <c r="AA233" s="1045">
        <f>+AA231</f>
        <v>1</v>
      </c>
      <c r="AB233" s="1045"/>
      <c r="AC233" s="1046"/>
      <c r="AD233" s="1046"/>
      <c r="AM233" s="453" t="s">
        <v>4426</v>
      </c>
      <c r="AO233" s="1038">
        <f>ROUND(C233*N233*AA233,1)</f>
        <v>0</v>
      </c>
      <c r="AP233" s="1038"/>
      <c r="AQ233" s="1038"/>
      <c r="AR233" s="1046"/>
      <c r="AS233" s="1046"/>
      <c r="AT233" s="1046"/>
      <c r="AU233" s="1046"/>
      <c r="AV233" s="1046"/>
      <c r="AW233" s="354"/>
      <c r="AX233" s="354"/>
      <c r="AY233" s="354"/>
      <c r="AZ233" s="354"/>
      <c r="BA233" s="354"/>
      <c r="BB233" s="354"/>
      <c r="BC233" s="354"/>
      <c r="BD233" s="354"/>
      <c r="BE233" s="354"/>
      <c r="BF233" s="354"/>
      <c r="BG233" s="354"/>
      <c r="BH233" s="354"/>
      <c r="BI233" s="354"/>
      <c r="BJ233" s="354"/>
      <c r="BK233" s="354"/>
      <c r="BL233" s="354"/>
      <c r="BM233" s="354"/>
      <c r="BN233" s="354"/>
      <c r="BO233" s="354"/>
      <c r="BP233" s="354"/>
      <c r="BQ233" s="354"/>
      <c r="BR233" s="354"/>
      <c r="BS233" s="354"/>
      <c r="BT233" s="354"/>
      <c r="BU233" s="354"/>
      <c r="BV233" s="354"/>
      <c r="BW233" s="354"/>
      <c r="BX233" s="354"/>
      <c r="BY233" s="354"/>
      <c r="BZ233" s="354"/>
      <c r="CA233" s="354"/>
      <c r="CB233" s="354"/>
      <c r="CC233" s="354"/>
      <c r="CD233" s="354"/>
      <c r="CE233" s="354"/>
      <c r="CF233" s="354"/>
      <c r="CG233" s="354"/>
      <c r="CH233" s="354"/>
      <c r="CI233" s="354"/>
      <c r="CJ233" s="354"/>
      <c r="CK233" s="354"/>
      <c r="CL233" s="354"/>
      <c r="CM233" s="354"/>
      <c r="CN233" s="354"/>
      <c r="CO233" s="354"/>
      <c r="CP233" s="354"/>
      <c r="CQ233" s="354"/>
      <c r="CR233" s="354"/>
      <c r="CS233" s="354"/>
      <c r="CT233" s="354"/>
      <c r="CU233" s="354"/>
      <c r="CV233" s="354"/>
      <c r="CW233" s="354"/>
      <c r="CX233" s="354"/>
      <c r="CY233" s="354"/>
      <c r="CZ233" s="354"/>
      <c r="DA233" s="354"/>
      <c r="DB233" s="354"/>
      <c r="DC233" s="354"/>
      <c r="DD233" s="354"/>
      <c r="DE233" s="354"/>
      <c r="DF233" s="354"/>
      <c r="DG233" s="354"/>
      <c r="DH233" s="354"/>
      <c r="DI233" s="354"/>
      <c r="DJ233" s="354"/>
      <c r="DK233" s="354"/>
      <c r="DL233" s="354"/>
      <c r="DM233" s="354"/>
      <c r="DN233" s="354"/>
      <c r="DO233" s="354"/>
      <c r="DP233" s="354"/>
      <c r="DQ233" s="354"/>
      <c r="DR233" s="354"/>
      <c r="DS233" s="354"/>
      <c r="DT233" s="354"/>
      <c r="DU233" s="354"/>
      <c r="DV233" s="354"/>
      <c r="DW233" s="354"/>
      <c r="DX233" s="354"/>
      <c r="DY233" s="354"/>
      <c r="DZ233" s="354"/>
      <c r="EA233" s="354"/>
      <c r="EB233" s="354"/>
      <c r="EC233" s="354"/>
      <c r="ED233" s="354"/>
      <c r="EE233" s="354"/>
      <c r="EF233" s="354"/>
      <c r="EG233" s="354"/>
      <c r="EH233" s="354"/>
      <c r="EI233" s="354"/>
      <c r="EJ233" s="354"/>
      <c r="EK233" s="354"/>
      <c r="EL233" s="354"/>
      <c r="EM233" s="354"/>
      <c r="EN233" s="354"/>
      <c r="EO233" s="354"/>
      <c r="EP233" s="354"/>
      <c r="EQ233" s="354"/>
      <c r="ER233" s="354"/>
      <c r="ES233" s="354"/>
      <c r="ET233" s="354"/>
      <c r="EU233" s="354"/>
      <c r="EV233" s="354"/>
      <c r="EW233" s="354"/>
      <c r="EX233" s="354"/>
      <c r="EY233" s="354"/>
      <c r="EZ233" s="354"/>
      <c r="FA233" s="354"/>
      <c r="FB233" s="354"/>
      <c r="FC233" s="354"/>
      <c r="FD233" s="354"/>
      <c r="FE233" s="354"/>
      <c r="FF233" s="354"/>
      <c r="FG233" s="354"/>
      <c r="FH233" s="354"/>
      <c r="FI233" s="354"/>
      <c r="FJ233" s="354"/>
      <c r="FK233" s="354"/>
      <c r="FL233" s="354"/>
      <c r="FM233" s="354"/>
      <c r="FN233" s="354"/>
      <c r="FO233" s="354"/>
      <c r="FP233" s="354"/>
      <c r="FQ233" s="354"/>
      <c r="FR233" s="354"/>
      <c r="FS233" s="354"/>
      <c r="FT233" s="354"/>
      <c r="FU233" s="354"/>
      <c r="FV233" s="354"/>
      <c r="FW233" s="354"/>
      <c r="FX233" s="354"/>
      <c r="FY233" s="354"/>
      <c r="FZ233" s="354"/>
      <c r="GA233" s="354"/>
      <c r="GB233" s="354"/>
      <c r="GC233" s="354"/>
      <c r="GD233" s="354"/>
      <c r="GE233" s="354"/>
      <c r="GF233" s="354"/>
      <c r="GG233" s="354"/>
      <c r="GH233" s="354"/>
      <c r="GI233" s="354"/>
      <c r="GJ233" s="354"/>
      <c r="GK233" s="354"/>
      <c r="GL233" s="354"/>
      <c r="GM233" s="354"/>
      <c r="GN233" s="354"/>
      <c r="GO233" s="354"/>
      <c r="GP233" s="354"/>
      <c r="GQ233" s="354"/>
      <c r="GR233" s="354"/>
      <c r="GS233" s="354"/>
      <c r="GT233" s="354"/>
      <c r="GU233" s="354"/>
      <c r="GV233" s="354"/>
      <c r="GW233" s="354"/>
      <c r="GX233" s="354"/>
      <c r="GY233" s="354"/>
      <c r="GZ233" s="354"/>
      <c r="HA233" s="354"/>
      <c r="HB233" s="354"/>
      <c r="HC233" s="354"/>
      <c r="HD233" s="354"/>
      <c r="HE233" s="354"/>
      <c r="HF233" s="354"/>
      <c r="HG233" s="354"/>
      <c r="HH233" s="354"/>
      <c r="HI233" s="354"/>
      <c r="HJ233" s="354"/>
      <c r="HK233" s="354"/>
      <c r="HL233" s="354"/>
      <c r="HM233" s="354"/>
      <c r="HN233" s="354"/>
      <c r="HO233" s="354"/>
      <c r="HP233" s="354"/>
      <c r="HQ233" s="354"/>
      <c r="HR233" s="354"/>
      <c r="HS233" s="354"/>
      <c r="HT233" s="354"/>
      <c r="HU233" s="354"/>
      <c r="HV233" s="354"/>
      <c r="HW233" s="354"/>
      <c r="HX233" s="354"/>
      <c r="HY233" s="354"/>
      <c r="HZ233" s="354"/>
      <c r="IA233" s="354"/>
      <c r="IB233" s="354"/>
      <c r="IC233" s="354"/>
      <c r="ID233" s="354"/>
      <c r="IE233" s="354"/>
      <c r="IF233" s="354"/>
      <c r="IG233" s="354"/>
      <c r="IH233" s="354"/>
      <c r="II233" s="354"/>
      <c r="IJ233" s="354"/>
      <c r="IK233" s="354"/>
      <c r="IL233" s="354"/>
      <c r="IM233" s="354"/>
      <c r="IN233" s="354"/>
      <c r="IO233" s="354"/>
      <c r="IP233" s="354"/>
      <c r="IQ233" s="354"/>
      <c r="IR233" s="354"/>
      <c r="IS233" s="354"/>
      <c r="IT233" s="354"/>
      <c r="IU233" s="354"/>
      <c r="IV233" s="354"/>
      <c r="IW233" s="354"/>
      <c r="IX233" s="354"/>
      <c r="IY233" s="354"/>
      <c r="IZ233" s="371"/>
      <c r="JA233" s="371"/>
      <c r="JB233" s="371"/>
      <c r="JC233" s="371"/>
      <c r="JD233" s="371"/>
      <c r="JE233" s="371"/>
      <c r="JF233" s="371"/>
      <c r="JG233" s="371"/>
      <c r="JH233" s="371"/>
      <c r="JI233" s="371"/>
      <c r="JJ233" s="371"/>
      <c r="JK233" s="371"/>
      <c r="JL233" s="371"/>
      <c r="JM233" s="371"/>
      <c r="JN233" s="371"/>
      <c r="JO233" s="371"/>
      <c r="JP233" s="371"/>
      <c r="JQ233" s="371"/>
      <c r="JR233" s="371"/>
      <c r="JS233" s="371"/>
      <c r="JT233" s="371"/>
      <c r="JU233" s="371"/>
      <c r="JV233" s="371"/>
      <c r="JW233" s="371"/>
      <c r="JX233" s="371"/>
      <c r="JY233" s="371"/>
      <c r="JZ233" s="371"/>
      <c r="KA233" s="371"/>
      <c r="KB233" s="371"/>
      <c r="KC233" s="371"/>
      <c r="KD233" s="371"/>
      <c r="KE233" s="371"/>
      <c r="KF233" s="371"/>
      <c r="KG233" s="371"/>
      <c r="KH233" s="354"/>
      <c r="KI233" s="354"/>
      <c r="KJ233" s="354"/>
      <c r="KK233" s="354"/>
      <c r="KL233" s="354"/>
      <c r="KM233" s="354"/>
      <c r="KN233" s="354"/>
      <c r="KO233" s="354"/>
      <c r="KP233" s="354"/>
      <c r="KQ233" s="354"/>
      <c r="KR233" s="354"/>
      <c r="KS233" s="354"/>
      <c r="KT233" s="354"/>
      <c r="KU233" s="354"/>
      <c r="KV233" s="354"/>
      <c r="KW233" s="354"/>
      <c r="KX233" s="354"/>
      <c r="KY233" s="354"/>
      <c r="KZ233" s="354"/>
      <c r="LA233" s="354"/>
      <c r="LB233" s="354"/>
      <c r="LC233" s="354"/>
      <c r="LD233" s="354"/>
      <c r="LE233" s="354"/>
      <c r="LF233" s="354"/>
      <c r="LG233" s="354"/>
      <c r="LH233" s="354"/>
      <c r="LI233" s="354"/>
      <c r="LJ233" s="354"/>
      <c r="LK233" s="354"/>
      <c r="LL233" s="354"/>
      <c r="LM233" s="354"/>
      <c r="LN233" s="354"/>
      <c r="LO233" s="354"/>
      <c r="LP233" s="354"/>
      <c r="LQ233" s="354"/>
      <c r="LR233" s="354"/>
      <c r="LS233" s="354"/>
      <c r="LT233" s="354"/>
      <c r="LU233" s="354"/>
      <c r="LV233" s="354"/>
      <c r="LW233" s="354"/>
      <c r="LX233" s="354"/>
      <c r="LY233" s="354"/>
      <c r="LZ233" s="354"/>
      <c r="MA233" s="354"/>
      <c r="MB233" s="354"/>
      <c r="MC233" s="354"/>
      <c r="MD233" s="354"/>
      <c r="ME233" s="354"/>
      <c r="MF233" s="354"/>
      <c r="MG233" s="354"/>
      <c r="MH233" s="354"/>
      <c r="MI233" s="354"/>
      <c r="MJ233" s="354"/>
      <c r="MK233" s="354"/>
      <c r="ML233" s="354"/>
      <c r="MM233" s="354"/>
      <c r="MN233" s="354"/>
      <c r="MO233" s="354"/>
      <c r="MP233" s="354"/>
      <c r="MQ233" s="354"/>
      <c r="MR233" s="354"/>
      <c r="MS233" s="354"/>
      <c r="MT233" s="354"/>
      <c r="MU233" s="354"/>
      <c r="MV233" s="354"/>
      <c r="MW233" s="354"/>
      <c r="MX233" s="354"/>
      <c r="MY233" s="354"/>
      <c r="MZ233" s="354"/>
      <c r="NA233" s="354"/>
      <c r="NB233" s="354"/>
      <c r="NC233" s="354"/>
      <c r="ND233" s="354"/>
      <c r="NE233" s="354"/>
      <c r="NF233" s="354"/>
      <c r="NG233" s="354"/>
      <c r="NH233" s="354"/>
      <c r="NI233" s="354"/>
      <c r="NJ233" s="354"/>
      <c r="NK233" s="354"/>
      <c r="NL233" s="354"/>
      <c r="NM233" s="354"/>
      <c r="NN233" s="354"/>
      <c r="NO233" s="354"/>
      <c r="NP233" s="354"/>
      <c r="NQ233" s="354"/>
      <c r="NR233" s="354"/>
      <c r="NS233" s="354"/>
      <c r="NT233" s="354"/>
      <c r="NU233" s="354"/>
      <c r="NV233" s="354"/>
      <c r="NW233" s="354"/>
      <c r="NX233" s="354"/>
      <c r="NY233" s="354"/>
      <c r="NZ233" s="354"/>
      <c r="OA233" s="354"/>
      <c r="OB233" s="354"/>
      <c r="OC233" s="354"/>
      <c r="OD233" s="354"/>
      <c r="OE233" s="354"/>
      <c r="OF233" s="354"/>
      <c r="OG233" s="354"/>
      <c r="OH233" s="354"/>
      <c r="OI233" s="354"/>
      <c r="OJ233" s="354"/>
      <c r="OK233" s="354"/>
      <c r="OL233" s="354"/>
      <c r="OM233" s="354"/>
      <c r="ON233" s="354"/>
      <c r="OO233" s="354"/>
      <c r="OP233" s="354"/>
      <c r="OQ233" s="354"/>
      <c r="OR233" s="354"/>
      <c r="OS233" s="354"/>
      <c r="OT233" s="354"/>
      <c r="OU233" s="354"/>
      <c r="OV233" s="354"/>
      <c r="OW233" s="354"/>
      <c r="OX233" s="354"/>
      <c r="OY233" s="354"/>
      <c r="OZ233" s="354"/>
      <c r="PA233" s="354"/>
      <c r="PB233" s="354"/>
      <c r="PC233" s="354"/>
      <c r="PD233" s="354"/>
      <c r="PE233" s="354"/>
      <c r="PF233" s="354"/>
      <c r="PG233" s="354"/>
      <c r="PH233" s="354"/>
      <c r="PI233" s="354"/>
      <c r="PJ233" s="354"/>
      <c r="PK233" s="354"/>
      <c r="PL233" s="354"/>
      <c r="PM233" s="354"/>
      <c r="PN233" s="354"/>
      <c r="PO233" s="354"/>
      <c r="PP233" s="354"/>
      <c r="PQ233" s="354"/>
      <c r="PR233" s="354"/>
      <c r="PS233" s="354"/>
      <c r="PT233" s="354"/>
      <c r="PU233" s="354"/>
      <c r="PV233" s="354"/>
      <c r="PW233" s="354"/>
      <c r="PX233" s="354"/>
      <c r="PY233" s="354"/>
      <c r="PZ233" s="354"/>
      <c r="QA233" s="354"/>
      <c r="QB233" s="354"/>
      <c r="QC233" s="354"/>
      <c r="QD233" s="354"/>
      <c r="QE233" s="354"/>
      <c r="QF233" s="354"/>
      <c r="QG233" s="354"/>
      <c r="QH233" s="354"/>
      <c r="QI233" s="354"/>
      <c r="QJ233" s="354"/>
      <c r="QK233" s="354"/>
      <c r="QL233" s="354"/>
      <c r="QM233" s="354"/>
      <c r="QN233" s="354"/>
      <c r="QO233" s="354"/>
      <c r="QP233" s="354"/>
      <c r="QQ233" s="354"/>
      <c r="QR233" s="354"/>
      <c r="QS233" s="354"/>
      <c r="QT233" s="354"/>
      <c r="QU233" s="354"/>
      <c r="QV233" s="354"/>
      <c r="QW233" s="354"/>
      <c r="QX233" s="354"/>
      <c r="QY233" s="354"/>
      <c r="QZ233" s="354"/>
      <c r="RA233" s="354"/>
      <c r="RB233" s="354"/>
      <c r="RC233" s="354"/>
      <c r="RD233" s="354"/>
      <c r="RE233" s="354"/>
      <c r="RF233" s="354"/>
      <c r="RG233" s="354"/>
      <c r="RH233" s="354"/>
      <c r="RI233" s="354"/>
      <c r="RJ233" s="354"/>
      <c r="RK233" s="354"/>
      <c r="RL233" s="354"/>
      <c r="RM233" s="354"/>
      <c r="RN233" s="354"/>
      <c r="RO233" s="354"/>
      <c r="RP233" s="354"/>
      <c r="RQ233" s="354"/>
      <c r="RR233" s="354"/>
      <c r="RS233" s="354"/>
      <c r="RT233" s="354"/>
      <c r="RU233" s="354"/>
      <c r="RV233" s="354"/>
      <c r="RW233" s="354"/>
      <c r="RX233" s="354"/>
      <c r="RY233" s="354"/>
      <c r="RZ233" s="354"/>
      <c r="SA233" s="354"/>
      <c r="SB233" s="354"/>
      <c r="SC233" s="354"/>
      <c r="SD233" s="354"/>
      <c r="SE233" s="354"/>
      <c r="SF233" s="354"/>
      <c r="SG233" s="354"/>
      <c r="SH233" s="354"/>
      <c r="SI233" s="354"/>
      <c r="SJ233" s="354"/>
      <c r="SK233" s="354"/>
      <c r="SL233" s="354"/>
      <c r="SM233" s="354"/>
      <c r="SN233" s="354"/>
      <c r="SO233" s="354"/>
      <c r="SP233" s="354"/>
      <c r="SQ233" s="354"/>
      <c r="SR233" s="354"/>
      <c r="SS233" s="354"/>
    </row>
    <row r="234" spans="1:513" s="449" customFormat="1" ht="15" customHeight="1">
      <c r="C234" s="463" t="s">
        <v>4517</v>
      </c>
      <c r="D234" s="464"/>
      <c r="E234" s="464"/>
      <c r="F234" s="464"/>
      <c r="G234" s="464"/>
      <c r="H234" s="464"/>
      <c r="I234" s="464"/>
      <c r="J234" s="464"/>
      <c r="K234" s="464"/>
      <c r="L234" s="464"/>
      <c r="M234" s="464"/>
      <c r="N234" s="464"/>
      <c r="O234" s="464"/>
      <c r="P234" s="464"/>
      <c r="Q234" s="464"/>
      <c r="R234" s="464"/>
      <c r="S234" s="464"/>
      <c r="T234" s="464"/>
      <c r="U234" s="464"/>
      <c r="V234" s="464"/>
      <c r="W234" s="464"/>
      <c r="X234" s="464"/>
      <c r="Y234" s="464"/>
      <c r="Z234" s="464"/>
      <c r="AA234" s="464"/>
      <c r="AB234" s="464"/>
      <c r="AC234" s="464"/>
      <c r="AD234" s="464"/>
      <c r="AE234" s="464"/>
      <c r="AF234" s="464"/>
      <c r="AG234" s="464"/>
      <c r="AH234" s="464"/>
      <c r="AI234" s="464"/>
      <c r="AJ234" s="464"/>
      <c r="AK234" s="464"/>
      <c r="AL234" s="464"/>
      <c r="AM234" s="464"/>
      <c r="AN234" s="464"/>
      <c r="AO234" s="464"/>
      <c r="AP234" s="464"/>
      <c r="AQ234" s="464"/>
      <c r="AR234" s="464"/>
      <c r="AS234" s="464"/>
      <c r="AT234" s="464"/>
      <c r="AU234" s="464"/>
      <c r="AV234" s="464"/>
      <c r="AW234" s="354"/>
      <c r="AX234" s="354"/>
      <c r="AY234" s="354"/>
      <c r="AZ234" s="354"/>
      <c r="BA234" s="354"/>
      <c r="BB234" s="354"/>
      <c r="BC234" s="354"/>
      <c r="BD234" s="354"/>
      <c r="BE234" s="354"/>
      <c r="BF234" s="354"/>
      <c r="BG234" s="354"/>
      <c r="BH234" s="354"/>
      <c r="BI234" s="354"/>
      <c r="BJ234" s="354"/>
      <c r="BK234" s="354"/>
      <c r="BL234" s="354"/>
      <c r="BM234" s="354"/>
      <c r="BN234" s="354"/>
      <c r="BO234" s="354"/>
      <c r="BP234" s="354"/>
      <c r="BQ234" s="354"/>
      <c r="BR234" s="354"/>
      <c r="BS234" s="354"/>
      <c r="BT234" s="354"/>
      <c r="BU234" s="354"/>
      <c r="BV234" s="354"/>
      <c r="BW234" s="354"/>
      <c r="BX234" s="354"/>
      <c r="BY234" s="354"/>
      <c r="BZ234" s="354"/>
      <c r="CA234" s="354"/>
      <c r="CB234" s="354"/>
      <c r="CC234" s="354"/>
      <c r="CD234" s="354"/>
      <c r="CE234" s="354"/>
      <c r="CF234" s="354"/>
      <c r="CG234" s="354"/>
      <c r="CH234" s="354"/>
      <c r="CI234" s="354"/>
      <c r="CJ234" s="354"/>
      <c r="CK234" s="354"/>
      <c r="CL234" s="354"/>
      <c r="CM234" s="354"/>
      <c r="CN234" s="354"/>
      <c r="CO234" s="354"/>
      <c r="CP234" s="354"/>
      <c r="CQ234" s="354"/>
      <c r="CR234" s="354"/>
      <c r="CS234" s="354"/>
      <c r="CT234" s="354"/>
      <c r="CU234" s="354"/>
      <c r="CV234" s="354"/>
      <c r="CW234" s="354"/>
      <c r="CX234" s="354"/>
      <c r="CY234" s="354"/>
      <c r="CZ234" s="354"/>
      <c r="DA234" s="354"/>
      <c r="DB234" s="354"/>
      <c r="DC234" s="354"/>
      <c r="DD234" s="354"/>
      <c r="DE234" s="354"/>
      <c r="DF234" s="354"/>
      <c r="DG234" s="354"/>
      <c r="DH234" s="354"/>
      <c r="DI234" s="354"/>
      <c r="DJ234" s="354"/>
      <c r="DK234" s="354"/>
      <c r="DL234" s="354"/>
      <c r="DM234" s="354"/>
      <c r="DN234" s="354"/>
      <c r="DO234" s="354"/>
      <c r="DP234" s="354"/>
      <c r="DQ234" s="354"/>
      <c r="DR234" s="354"/>
      <c r="DS234" s="354"/>
      <c r="DT234" s="354"/>
      <c r="DU234" s="354"/>
      <c r="DV234" s="354"/>
      <c r="DW234" s="354"/>
      <c r="DX234" s="354"/>
      <c r="DY234" s="354"/>
      <c r="DZ234" s="354"/>
      <c r="EA234" s="354"/>
      <c r="EB234" s="354"/>
      <c r="EC234" s="354"/>
      <c r="ED234" s="354"/>
      <c r="EE234" s="354"/>
      <c r="EF234" s="354"/>
      <c r="EG234" s="354"/>
      <c r="EH234" s="354"/>
      <c r="EI234" s="354"/>
      <c r="EJ234" s="354"/>
      <c r="EK234" s="354"/>
      <c r="EL234" s="354"/>
      <c r="EM234" s="354"/>
      <c r="EN234" s="354"/>
      <c r="EO234" s="354"/>
      <c r="EP234" s="354"/>
      <c r="EQ234" s="354"/>
      <c r="ER234" s="354"/>
      <c r="ES234" s="354"/>
      <c r="ET234" s="354"/>
      <c r="EU234" s="354"/>
      <c r="EV234" s="354"/>
      <c r="EW234" s="354"/>
      <c r="EX234" s="354"/>
      <c r="EY234" s="354"/>
      <c r="EZ234" s="354"/>
      <c r="FA234" s="354"/>
      <c r="FB234" s="354"/>
      <c r="FC234" s="354"/>
      <c r="FD234" s="354"/>
      <c r="FE234" s="354"/>
      <c r="FF234" s="354"/>
      <c r="FG234" s="354"/>
      <c r="FH234" s="354"/>
      <c r="FI234" s="354"/>
      <c r="FJ234" s="354"/>
      <c r="FK234" s="354"/>
      <c r="FL234" s="354"/>
      <c r="FM234" s="354"/>
      <c r="FN234" s="354"/>
      <c r="FO234" s="354"/>
      <c r="FP234" s="354"/>
      <c r="FQ234" s="354"/>
      <c r="FR234" s="354"/>
      <c r="FS234" s="354"/>
      <c r="FT234" s="354"/>
      <c r="FU234" s="354"/>
      <c r="FV234" s="354"/>
      <c r="FW234" s="354"/>
      <c r="FX234" s="354"/>
      <c r="FY234" s="354"/>
      <c r="FZ234" s="354"/>
      <c r="GA234" s="354"/>
      <c r="GB234" s="354"/>
      <c r="GC234" s="354"/>
      <c r="GD234" s="354"/>
      <c r="GE234" s="354"/>
      <c r="GF234" s="354"/>
      <c r="GG234" s="354"/>
      <c r="GH234" s="354"/>
      <c r="GI234" s="354"/>
      <c r="GJ234" s="354"/>
      <c r="GK234" s="354"/>
      <c r="GL234" s="354"/>
      <c r="GM234" s="354"/>
      <c r="GN234" s="354"/>
      <c r="GO234" s="354"/>
      <c r="GP234" s="354"/>
      <c r="GQ234" s="354"/>
      <c r="GR234" s="354"/>
      <c r="GS234" s="354"/>
      <c r="GT234" s="354"/>
      <c r="GU234" s="354"/>
      <c r="GV234" s="354"/>
      <c r="GW234" s="354"/>
      <c r="GX234" s="354"/>
      <c r="GY234" s="354"/>
      <c r="GZ234" s="354"/>
      <c r="HA234" s="354"/>
      <c r="HB234" s="354"/>
      <c r="HC234" s="354"/>
      <c r="HD234" s="354"/>
      <c r="HE234" s="354"/>
      <c r="HF234" s="354"/>
      <c r="HG234" s="354"/>
      <c r="HH234" s="354"/>
      <c r="HI234" s="354"/>
      <c r="HJ234" s="354"/>
      <c r="HK234" s="354"/>
      <c r="HL234" s="354"/>
      <c r="HM234" s="354"/>
      <c r="HN234" s="354"/>
      <c r="HO234" s="354"/>
      <c r="HP234" s="354"/>
      <c r="HQ234" s="354"/>
      <c r="HR234" s="354"/>
      <c r="HS234" s="354"/>
      <c r="HT234" s="354"/>
      <c r="HU234" s="354"/>
      <c r="HV234" s="354"/>
      <c r="HW234" s="354"/>
      <c r="HX234" s="354"/>
      <c r="HY234" s="354"/>
      <c r="HZ234" s="354"/>
      <c r="IA234" s="354"/>
      <c r="IB234" s="354"/>
      <c r="IC234" s="354"/>
      <c r="ID234" s="354"/>
      <c r="IE234" s="354"/>
      <c r="IF234" s="354"/>
      <c r="IG234" s="354"/>
      <c r="IH234" s="354"/>
      <c r="II234" s="354"/>
      <c r="IJ234" s="354"/>
      <c r="IK234" s="354"/>
      <c r="IL234" s="354"/>
      <c r="IM234" s="354"/>
      <c r="IN234" s="354"/>
      <c r="IO234" s="354"/>
      <c r="IP234" s="354"/>
      <c r="IQ234" s="354"/>
      <c r="IR234" s="354"/>
      <c r="IS234" s="354"/>
      <c r="IT234" s="354"/>
      <c r="IU234" s="354"/>
      <c r="IV234" s="354"/>
      <c r="IW234" s="354"/>
      <c r="IX234" s="354"/>
      <c r="IY234" s="354"/>
      <c r="IZ234" s="371"/>
      <c r="JA234" s="371"/>
      <c r="JB234" s="371"/>
      <c r="JC234" s="371"/>
      <c r="JD234" s="371"/>
      <c r="JE234" s="371"/>
      <c r="JF234" s="371"/>
      <c r="JG234" s="371"/>
      <c r="JH234" s="371"/>
      <c r="JI234" s="371"/>
      <c r="JJ234" s="371"/>
      <c r="JK234" s="371"/>
      <c r="JL234" s="371"/>
      <c r="JM234" s="371"/>
      <c r="JN234" s="371"/>
      <c r="JO234" s="371"/>
      <c r="JP234" s="371"/>
      <c r="JQ234" s="371"/>
      <c r="JR234" s="371"/>
      <c r="JS234" s="371"/>
      <c r="JT234" s="371"/>
      <c r="JU234" s="371"/>
      <c r="JV234" s="371"/>
      <c r="JW234" s="371"/>
      <c r="JX234" s="371"/>
      <c r="JY234" s="371"/>
      <c r="JZ234" s="371"/>
      <c r="KA234" s="371"/>
      <c r="KB234" s="371"/>
      <c r="KC234" s="371"/>
      <c r="KD234" s="371"/>
      <c r="KE234" s="371"/>
      <c r="KF234" s="371"/>
      <c r="KG234" s="371"/>
      <c r="KH234" s="354"/>
      <c r="KI234" s="354"/>
      <c r="KJ234" s="354"/>
      <c r="KK234" s="354"/>
      <c r="KL234" s="354"/>
      <c r="KM234" s="354"/>
      <c r="KN234" s="354"/>
      <c r="KO234" s="354"/>
      <c r="KP234" s="354"/>
      <c r="KQ234" s="354"/>
      <c r="KR234" s="354"/>
      <c r="KS234" s="354"/>
      <c r="KT234" s="354"/>
      <c r="KU234" s="354"/>
      <c r="KV234" s="354"/>
      <c r="KW234" s="354"/>
      <c r="KX234" s="354"/>
      <c r="KY234" s="354"/>
      <c r="KZ234" s="354"/>
      <c r="LA234" s="354"/>
      <c r="LB234" s="354"/>
      <c r="LC234" s="354"/>
      <c r="LD234" s="354"/>
      <c r="LE234" s="354"/>
      <c r="LF234" s="354"/>
      <c r="LG234" s="354"/>
      <c r="LH234" s="354"/>
      <c r="LI234" s="354"/>
      <c r="LJ234" s="354"/>
      <c r="LK234" s="354"/>
      <c r="LL234" s="354"/>
      <c r="LM234" s="354"/>
      <c r="LN234" s="354"/>
      <c r="LO234" s="354"/>
      <c r="LP234" s="354"/>
      <c r="LQ234" s="354"/>
      <c r="LR234" s="354"/>
      <c r="LS234" s="354"/>
      <c r="LT234" s="354"/>
      <c r="LU234" s="354"/>
      <c r="LV234" s="354"/>
      <c r="LW234" s="354"/>
      <c r="LX234" s="354"/>
      <c r="LY234" s="354"/>
      <c r="LZ234" s="354"/>
      <c r="MA234" s="354"/>
      <c r="MB234" s="354"/>
      <c r="MC234" s="354"/>
      <c r="MD234" s="354"/>
      <c r="ME234" s="354"/>
      <c r="MF234" s="354"/>
      <c r="MG234" s="354"/>
      <c r="MH234" s="354"/>
      <c r="MI234" s="354"/>
      <c r="MJ234" s="354"/>
      <c r="MK234" s="354"/>
      <c r="ML234" s="354"/>
      <c r="MM234" s="354"/>
      <c r="MN234" s="354"/>
      <c r="MO234" s="354"/>
      <c r="MP234" s="354"/>
      <c r="MQ234" s="354"/>
      <c r="MR234" s="354"/>
      <c r="MS234" s="354"/>
      <c r="MT234" s="354"/>
      <c r="MU234" s="354"/>
      <c r="MV234" s="354"/>
      <c r="MW234" s="354"/>
      <c r="MX234" s="354"/>
      <c r="MY234" s="354"/>
      <c r="MZ234" s="354"/>
      <c r="NA234" s="354"/>
      <c r="NB234" s="354"/>
      <c r="NC234" s="354"/>
      <c r="ND234" s="354"/>
      <c r="NE234" s="354"/>
      <c r="NF234" s="354"/>
      <c r="NG234" s="354"/>
      <c r="NH234" s="354"/>
      <c r="NI234" s="354"/>
      <c r="NJ234" s="354"/>
      <c r="NK234" s="354"/>
      <c r="NL234" s="354"/>
      <c r="NM234" s="354"/>
      <c r="NN234" s="354"/>
      <c r="NO234" s="354"/>
      <c r="NP234" s="354"/>
      <c r="NQ234" s="354"/>
      <c r="NR234" s="354"/>
      <c r="NS234" s="354"/>
      <c r="NT234" s="354"/>
      <c r="NU234" s="354"/>
      <c r="NV234" s="354"/>
      <c r="NW234" s="354"/>
      <c r="NX234" s="354"/>
      <c r="NY234" s="354"/>
      <c r="NZ234" s="354"/>
      <c r="OA234" s="354"/>
      <c r="OB234" s="354"/>
      <c r="OC234" s="354"/>
      <c r="OD234" s="354"/>
      <c r="OE234" s="354"/>
      <c r="OF234" s="354"/>
      <c r="OG234" s="354"/>
      <c r="OH234" s="354"/>
      <c r="OI234" s="354"/>
      <c r="OJ234" s="354"/>
      <c r="OK234" s="354"/>
      <c r="OL234" s="354"/>
      <c r="OM234" s="354"/>
      <c r="ON234" s="354"/>
      <c r="OO234" s="354"/>
      <c r="OP234" s="354"/>
      <c r="OQ234" s="354"/>
      <c r="OR234" s="354"/>
      <c r="OS234" s="354"/>
      <c r="OT234" s="354"/>
      <c r="OU234" s="354"/>
      <c r="OV234" s="354"/>
      <c r="OW234" s="354"/>
      <c r="OX234" s="354"/>
      <c r="OY234" s="354"/>
      <c r="OZ234" s="354"/>
      <c r="PA234" s="354"/>
      <c r="PB234" s="354"/>
      <c r="PC234" s="354"/>
      <c r="PD234" s="354"/>
      <c r="PE234" s="354"/>
      <c r="PF234" s="354"/>
      <c r="PG234" s="354"/>
      <c r="PH234" s="354"/>
      <c r="PI234" s="354"/>
      <c r="PJ234" s="354"/>
      <c r="PK234" s="354"/>
      <c r="PL234" s="354"/>
      <c r="PM234" s="354"/>
      <c r="PN234" s="354"/>
      <c r="PO234" s="354"/>
      <c r="PP234" s="354"/>
      <c r="PQ234" s="354"/>
      <c r="PR234" s="354"/>
      <c r="PS234" s="354"/>
      <c r="PT234" s="354"/>
      <c r="PU234" s="354"/>
      <c r="PV234" s="354"/>
      <c r="PW234" s="354"/>
      <c r="PX234" s="354"/>
      <c r="PY234" s="354"/>
      <c r="PZ234" s="354"/>
      <c r="QA234" s="354"/>
      <c r="QB234" s="354"/>
      <c r="QC234" s="354"/>
      <c r="QD234" s="354"/>
      <c r="QE234" s="354"/>
      <c r="QF234" s="354"/>
      <c r="QG234" s="354"/>
      <c r="QH234" s="354"/>
      <c r="QI234" s="354"/>
      <c r="QJ234" s="354"/>
      <c r="QK234" s="354"/>
      <c r="QL234" s="354"/>
      <c r="QM234" s="354"/>
      <c r="QN234" s="354"/>
      <c r="QO234" s="354"/>
      <c r="QP234" s="354"/>
      <c r="QQ234" s="354"/>
      <c r="QR234" s="354"/>
      <c r="QS234" s="354"/>
      <c r="QT234" s="354"/>
      <c r="QU234" s="354"/>
      <c r="QV234" s="354"/>
      <c r="QW234" s="354"/>
      <c r="QX234" s="354"/>
      <c r="QY234" s="354"/>
      <c r="QZ234" s="354"/>
      <c r="RA234" s="354"/>
      <c r="RB234" s="354"/>
      <c r="RC234" s="354"/>
      <c r="RD234" s="354"/>
      <c r="RE234" s="354"/>
      <c r="RF234" s="354"/>
      <c r="RG234" s="354"/>
      <c r="RH234" s="354"/>
      <c r="RI234" s="354"/>
      <c r="RJ234" s="354"/>
      <c r="RK234" s="354"/>
      <c r="RL234" s="354"/>
      <c r="RM234" s="354"/>
      <c r="RN234" s="354"/>
      <c r="RO234" s="354"/>
      <c r="RP234" s="354"/>
      <c r="RQ234" s="354"/>
      <c r="RR234" s="354"/>
      <c r="RS234" s="354"/>
      <c r="RT234" s="354"/>
      <c r="RU234" s="354"/>
      <c r="RV234" s="354"/>
      <c r="RW234" s="354"/>
      <c r="RX234" s="354"/>
      <c r="RY234" s="354"/>
      <c r="RZ234" s="354"/>
      <c r="SA234" s="354"/>
      <c r="SB234" s="354"/>
      <c r="SC234" s="354"/>
      <c r="SD234" s="354"/>
      <c r="SE234" s="354"/>
      <c r="SF234" s="354"/>
      <c r="SG234" s="354"/>
      <c r="SH234" s="354"/>
      <c r="SI234" s="354"/>
      <c r="SJ234" s="354"/>
      <c r="SK234" s="354"/>
      <c r="SL234" s="354"/>
      <c r="SM234" s="354"/>
      <c r="SN234" s="354"/>
      <c r="SO234" s="354"/>
      <c r="SP234" s="354"/>
      <c r="SQ234" s="354"/>
      <c r="SR234" s="354"/>
      <c r="SS234" s="354"/>
    </row>
    <row r="235" spans="1:513" s="449" customFormat="1" ht="15" customHeight="1">
      <c r="C235" s="1039"/>
      <c r="D235" s="1039"/>
      <c r="E235" s="1039"/>
      <c r="F235" s="1039"/>
      <c r="G235" s="1039"/>
      <c r="H235" s="1039"/>
      <c r="I235" s="449" t="s">
        <v>4427</v>
      </c>
      <c r="L235" s="449" t="s">
        <v>4508</v>
      </c>
      <c r="M235" s="451"/>
      <c r="N235" s="1038"/>
      <c r="O235" s="1038"/>
      <c r="P235" s="1038"/>
      <c r="Q235" s="1044"/>
      <c r="R235" s="1044"/>
      <c r="S235" s="1044"/>
      <c r="T235" s="453" t="s">
        <v>4518</v>
      </c>
      <c r="Y235" s="451" t="s">
        <v>4508</v>
      </c>
      <c r="AA235" s="1045">
        <f>AA233</f>
        <v>1</v>
      </c>
      <c r="AB235" s="1045"/>
      <c r="AC235" s="1046"/>
      <c r="AD235" s="1046"/>
      <c r="AM235" s="453" t="s">
        <v>4426</v>
      </c>
      <c r="AO235" s="1038">
        <f>ROUND(C235*N235*AA235,1)</f>
        <v>0</v>
      </c>
      <c r="AP235" s="1038"/>
      <c r="AQ235" s="1038"/>
      <c r="AR235" s="1046"/>
      <c r="AS235" s="1046"/>
      <c r="AT235" s="1046"/>
      <c r="AU235" s="1046"/>
      <c r="AV235" s="1046"/>
      <c r="AW235" s="354"/>
      <c r="AX235" s="354"/>
      <c r="AY235" s="354"/>
      <c r="AZ235" s="354"/>
      <c r="BA235" s="354"/>
      <c r="BB235" s="354"/>
      <c r="BC235" s="354"/>
      <c r="BD235" s="354"/>
      <c r="BE235" s="354"/>
      <c r="BF235" s="354"/>
      <c r="BG235" s="354"/>
      <c r="BH235" s="354"/>
      <c r="BI235" s="354"/>
      <c r="BJ235" s="354"/>
      <c r="BK235" s="354"/>
      <c r="BL235" s="354"/>
      <c r="BM235" s="354"/>
      <c r="BN235" s="354"/>
      <c r="BO235" s="354"/>
      <c r="BP235" s="354"/>
      <c r="BQ235" s="354"/>
      <c r="BR235" s="354"/>
      <c r="BS235" s="354"/>
      <c r="BT235" s="354"/>
      <c r="BU235" s="354"/>
      <c r="BV235" s="354"/>
      <c r="BW235" s="354"/>
      <c r="BX235" s="354"/>
      <c r="BY235" s="354"/>
      <c r="BZ235" s="354"/>
      <c r="CA235" s="354"/>
      <c r="CB235" s="354"/>
      <c r="CC235" s="354"/>
      <c r="CD235" s="354"/>
      <c r="CE235" s="354"/>
      <c r="CF235" s="354"/>
      <c r="CG235" s="354"/>
      <c r="CH235" s="354"/>
      <c r="CI235" s="354"/>
      <c r="CJ235" s="354"/>
      <c r="CK235" s="354"/>
      <c r="CL235" s="354"/>
      <c r="CM235" s="354"/>
      <c r="CN235" s="354"/>
      <c r="CO235" s="354"/>
      <c r="CP235" s="354"/>
      <c r="CQ235" s="354"/>
      <c r="CR235" s="354"/>
      <c r="CS235" s="354"/>
      <c r="CT235" s="354"/>
      <c r="CU235" s="354"/>
      <c r="CV235" s="354"/>
      <c r="CW235" s="354"/>
      <c r="CX235" s="354"/>
      <c r="CY235" s="354"/>
      <c r="CZ235" s="354"/>
      <c r="DA235" s="354"/>
      <c r="DB235" s="354"/>
      <c r="DC235" s="354"/>
      <c r="DD235" s="354"/>
      <c r="DE235" s="354"/>
      <c r="DF235" s="354"/>
      <c r="DG235" s="354"/>
      <c r="DH235" s="354"/>
      <c r="DI235" s="354"/>
      <c r="DJ235" s="354"/>
      <c r="DK235" s="354"/>
      <c r="DL235" s="354"/>
      <c r="DM235" s="354"/>
      <c r="DN235" s="354"/>
      <c r="DO235" s="354"/>
      <c r="DP235" s="354"/>
      <c r="DQ235" s="354"/>
      <c r="DR235" s="354"/>
      <c r="DS235" s="354"/>
      <c r="DT235" s="354"/>
      <c r="DU235" s="354"/>
      <c r="DV235" s="354"/>
      <c r="DW235" s="354"/>
      <c r="DX235" s="354"/>
      <c r="DY235" s="354"/>
      <c r="DZ235" s="354"/>
      <c r="EA235" s="354"/>
      <c r="EB235" s="354"/>
      <c r="EC235" s="354"/>
      <c r="ED235" s="354"/>
      <c r="EE235" s="354"/>
      <c r="EF235" s="354"/>
      <c r="EG235" s="354"/>
      <c r="EH235" s="354"/>
      <c r="EI235" s="354"/>
      <c r="EJ235" s="354"/>
      <c r="EK235" s="354"/>
      <c r="EL235" s="354"/>
      <c r="EM235" s="354"/>
      <c r="EN235" s="354"/>
      <c r="EO235" s="354"/>
      <c r="EP235" s="354"/>
      <c r="EQ235" s="354"/>
      <c r="ER235" s="354"/>
      <c r="ES235" s="354"/>
      <c r="ET235" s="354"/>
      <c r="EU235" s="354"/>
      <c r="EV235" s="354"/>
      <c r="EW235" s="354"/>
      <c r="EX235" s="354"/>
      <c r="EY235" s="354"/>
      <c r="EZ235" s="354"/>
      <c r="FA235" s="354"/>
      <c r="FB235" s="354"/>
      <c r="FC235" s="354"/>
      <c r="FD235" s="354"/>
      <c r="FE235" s="354"/>
      <c r="FF235" s="354"/>
      <c r="FG235" s="354"/>
      <c r="FH235" s="354"/>
      <c r="FI235" s="354"/>
      <c r="FJ235" s="354"/>
      <c r="FK235" s="354"/>
      <c r="FL235" s="354"/>
      <c r="FM235" s="354"/>
      <c r="FN235" s="354"/>
      <c r="FO235" s="354"/>
      <c r="FP235" s="354"/>
      <c r="FQ235" s="354"/>
      <c r="FR235" s="354"/>
      <c r="FS235" s="354"/>
      <c r="FT235" s="354"/>
      <c r="FU235" s="354"/>
      <c r="FV235" s="354"/>
      <c r="FW235" s="354"/>
      <c r="FX235" s="354"/>
      <c r="FY235" s="354"/>
      <c r="FZ235" s="354"/>
      <c r="GA235" s="354"/>
      <c r="GB235" s="354"/>
      <c r="GC235" s="354"/>
      <c r="GD235" s="354"/>
      <c r="GE235" s="354"/>
      <c r="GF235" s="354"/>
      <c r="GG235" s="354"/>
      <c r="GH235" s="354"/>
      <c r="GI235" s="354"/>
      <c r="GJ235" s="354"/>
      <c r="GK235" s="354"/>
      <c r="GL235" s="354"/>
      <c r="GM235" s="354"/>
      <c r="GN235" s="354"/>
      <c r="GO235" s="354"/>
      <c r="GP235" s="354"/>
      <c r="GQ235" s="354"/>
      <c r="GR235" s="354"/>
      <c r="GS235" s="354"/>
      <c r="GT235" s="354"/>
      <c r="GU235" s="354"/>
      <c r="GV235" s="354"/>
      <c r="GW235" s="354"/>
      <c r="GX235" s="354"/>
      <c r="GY235" s="354"/>
      <c r="GZ235" s="354"/>
      <c r="HA235" s="354"/>
      <c r="HB235" s="354"/>
      <c r="HC235" s="354"/>
      <c r="HD235" s="354"/>
      <c r="HE235" s="354"/>
      <c r="HF235" s="354"/>
      <c r="HG235" s="354"/>
      <c r="HH235" s="354"/>
      <c r="HI235" s="354"/>
      <c r="HJ235" s="354"/>
      <c r="HK235" s="354"/>
      <c r="HL235" s="354"/>
      <c r="HM235" s="354"/>
      <c r="HN235" s="354"/>
      <c r="HO235" s="354"/>
      <c r="HP235" s="354"/>
      <c r="HQ235" s="354"/>
      <c r="HR235" s="354"/>
      <c r="HS235" s="354"/>
      <c r="HT235" s="354"/>
      <c r="HU235" s="354"/>
      <c r="HV235" s="354"/>
      <c r="HW235" s="354"/>
      <c r="HX235" s="354"/>
      <c r="HY235" s="354"/>
      <c r="HZ235" s="354"/>
      <c r="IA235" s="354"/>
      <c r="IB235" s="354"/>
      <c r="IC235" s="354"/>
      <c r="ID235" s="354"/>
      <c r="IE235" s="354"/>
      <c r="IF235" s="354"/>
      <c r="IG235" s="354"/>
      <c r="IH235" s="354"/>
      <c r="II235" s="354"/>
      <c r="IJ235" s="354"/>
      <c r="IK235" s="354"/>
      <c r="IL235" s="354"/>
      <c r="IM235" s="354"/>
      <c r="IN235" s="354"/>
      <c r="IO235" s="354"/>
      <c r="IP235" s="354"/>
      <c r="IQ235" s="354"/>
      <c r="IR235" s="354"/>
      <c r="IS235" s="354"/>
      <c r="IT235" s="354"/>
      <c r="IU235" s="354"/>
      <c r="IV235" s="354"/>
      <c r="IW235" s="354"/>
      <c r="IX235" s="354"/>
      <c r="IY235" s="354"/>
      <c r="IZ235" s="371"/>
      <c r="JA235" s="371"/>
      <c r="JB235" s="371"/>
      <c r="JC235" s="371"/>
      <c r="JD235" s="371"/>
      <c r="JE235" s="371"/>
      <c r="JF235" s="371"/>
      <c r="JG235" s="371"/>
      <c r="JH235" s="371"/>
      <c r="JI235" s="371"/>
      <c r="JJ235" s="371"/>
      <c r="JK235" s="371"/>
      <c r="JL235" s="371"/>
      <c r="JM235" s="371"/>
      <c r="JN235" s="371"/>
      <c r="JO235" s="371"/>
      <c r="JP235" s="371"/>
      <c r="JQ235" s="371"/>
      <c r="JR235" s="371"/>
      <c r="JS235" s="371"/>
      <c r="JT235" s="371"/>
      <c r="JU235" s="371"/>
      <c r="JV235" s="371"/>
      <c r="JW235" s="371"/>
      <c r="JX235" s="371"/>
      <c r="JY235" s="371"/>
      <c r="JZ235" s="371"/>
      <c r="KA235" s="371"/>
      <c r="KB235" s="371"/>
      <c r="KC235" s="371"/>
      <c r="KD235" s="371"/>
      <c r="KE235" s="371"/>
      <c r="KF235" s="371"/>
      <c r="KG235" s="371"/>
      <c r="KH235" s="354"/>
      <c r="KI235" s="354"/>
      <c r="KJ235" s="354"/>
      <c r="KK235" s="354"/>
      <c r="KL235" s="354"/>
      <c r="KM235" s="354"/>
      <c r="KN235" s="354"/>
      <c r="KO235" s="354"/>
      <c r="KP235" s="354"/>
      <c r="KQ235" s="354"/>
      <c r="KR235" s="354"/>
      <c r="KS235" s="354"/>
      <c r="KT235" s="354"/>
      <c r="KU235" s="354"/>
      <c r="KV235" s="354"/>
      <c r="KW235" s="354"/>
      <c r="KX235" s="354"/>
      <c r="KY235" s="354"/>
      <c r="KZ235" s="354"/>
      <c r="LA235" s="354"/>
      <c r="LB235" s="354"/>
      <c r="LC235" s="354"/>
      <c r="LD235" s="354"/>
      <c r="LE235" s="354"/>
      <c r="LF235" s="354"/>
      <c r="LG235" s="354"/>
      <c r="LH235" s="354"/>
      <c r="LI235" s="354"/>
      <c r="LJ235" s="354"/>
      <c r="LK235" s="354"/>
      <c r="LL235" s="354"/>
      <c r="LM235" s="354"/>
      <c r="LN235" s="354"/>
      <c r="LO235" s="354"/>
      <c r="LP235" s="354"/>
      <c r="LQ235" s="354"/>
      <c r="LR235" s="354"/>
      <c r="LS235" s="354"/>
      <c r="LT235" s="354"/>
      <c r="LU235" s="354"/>
      <c r="LV235" s="354"/>
      <c r="LW235" s="354"/>
      <c r="LX235" s="354"/>
      <c r="LY235" s="354"/>
      <c r="LZ235" s="354"/>
      <c r="MA235" s="354"/>
      <c r="MB235" s="354"/>
      <c r="MC235" s="354"/>
      <c r="MD235" s="354"/>
      <c r="ME235" s="354"/>
      <c r="MF235" s="354"/>
      <c r="MG235" s="354"/>
      <c r="MH235" s="354"/>
      <c r="MI235" s="354"/>
      <c r="MJ235" s="354"/>
      <c r="MK235" s="354"/>
      <c r="ML235" s="354"/>
      <c r="MM235" s="354"/>
      <c r="MN235" s="354"/>
      <c r="MO235" s="354"/>
      <c r="MP235" s="354"/>
      <c r="MQ235" s="354"/>
      <c r="MR235" s="354"/>
      <c r="MS235" s="354"/>
      <c r="MT235" s="354"/>
      <c r="MU235" s="354"/>
      <c r="MV235" s="354"/>
      <c r="MW235" s="354"/>
      <c r="MX235" s="354"/>
      <c r="MY235" s="354"/>
      <c r="MZ235" s="354"/>
      <c r="NA235" s="354"/>
      <c r="NB235" s="354"/>
      <c r="NC235" s="354"/>
      <c r="ND235" s="354"/>
      <c r="NE235" s="354"/>
      <c r="NF235" s="354"/>
      <c r="NG235" s="354"/>
      <c r="NH235" s="354"/>
      <c r="NI235" s="354"/>
      <c r="NJ235" s="354"/>
      <c r="NK235" s="354"/>
      <c r="NL235" s="354"/>
      <c r="NM235" s="354"/>
      <c r="NN235" s="354"/>
      <c r="NO235" s="354"/>
      <c r="NP235" s="354"/>
      <c r="NQ235" s="354"/>
      <c r="NR235" s="354"/>
      <c r="NS235" s="354"/>
      <c r="NT235" s="354"/>
      <c r="NU235" s="354"/>
      <c r="NV235" s="354"/>
      <c r="NW235" s="354"/>
      <c r="NX235" s="354"/>
      <c r="NY235" s="354"/>
      <c r="NZ235" s="354"/>
      <c r="OA235" s="354"/>
      <c r="OB235" s="354"/>
      <c r="OC235" s="354"/>
      <c r="OD235" s="354"/>
      <c r="OE235" s="354"/>
      <c r="OF235" s="354"/>
      <c r="OG235" s="354"/>
      <c r="OH235" s="354"/>
      <c r="OI235" s="354"/>
      <c r="OJ235" s="354"/>
      <c r="OK235" s="354"/>
      <c r="OL235" s="354"/>
      <c r="OM235" s="354"/>
      <c r="ON235" s="354"/>
      <c r="OO235" s="354"/>
      <c r="OP235" s="354"/>
      <c r="OQ235" s="354"/>
      <c r="OR235" s="354"/>
      <c r="OS235" s="354"/>
      <c r="OT235" s="354"/>
      <c r="OU235" s="354"/>
      <c r="OV235" s="354"/>
      <c r="OW235" s="354"/>
      <c r="OX235" s="354"/>
      <c r="OY235" s="354"/>
      <c r="OZ235" s="354"/>
      <c r="PA235" s="354"/>
      <c r="PB235" s="354"/>
      <c r="PC235" s="354"/>
      <c r="PD235" s="354"/>
      <c r="PE235" s="354"/>
      <c r="PF235" s="354"/>
      <c r="PG235" s="354"/>
      <c r="PH235" s="354"/>
      <c r="PI235" s="354"/>
      <c r="PJ235" s="354"/>
      <c r="PK235" s="354"/>
      <c r="PL235" s="354"/>
      <c r="PM235" s="354"/>
      <c r="PN235" s="354"/>
      <c r="PO235" s="354"/>
      <c r="PP235" s="354"/>
      <c r="PQ235" s="354"/>
      <c r="PR235" s="354"/>
      <c r="PS235" s="354"/>
      <c r="PT235" s="354"/>
      <c r="PU235" s="354"/>
      <c r="PV235" s="354"/>
      <c r="PW235" s="354"/>
      <c r="PX235" s="354"/>
      <c r="PY235" s="354"/>
      <c r="PZ235" s="354"/>
      <c r="QA235" s="354"/>
      <c r="QB235" s="354"/>
      <c r="QC235" s="354"/>
      <c r="QD235" s="354"/>
      <c r="QE235" s="354"/>
      <c r="QF235" s="354"/>
      <c r="QG235" s="354"/>
      <c r="QH235" s="354"/>
      <c r="QI235" s="354"/>
      <c r="QJ235" s="354"/>
      <c r="QK235" s="354"/>
      <c r="QL235" s="354"/>
      <c r="QM235" s="354"/>
      <c r="QN235" s="354"/>
      <c r="QO235" s="354"/>
      <c r="QP235" s="354"/>
      <c r="QQ235" s="354"/>
      <c r="QR235" s="354"/>
      <c r="QS235" s="354"/>
      <c r="QT235" s="354"/>
      <c r="QU235" s="354"/>
      <c r="QV235" s="354"/>
      <c r="QW235" s="354"/>
      <c r="QX235" s="354"/>
      <c r="QY235" s="354"/>
      <c r="QZ235" s="354"/>
      <c r="RA235" s="354"/>
      <c r="RB235" s="354"/>
      <c r="RC235" s="354"/>
      <c r="RD235" s="354"/>
      <c r="RE235" s="354"/>
      <c r="RF235" s="354"/>
      <c r="RG235" s="354"/>
      <c r="RH235" s="354"/>
      <c r="RI235" s="354"/>
      <c r="RJ235" s="354"/>
      <c r="RK235" s="354"/>
      <c r="RL235" s="354"/>
      <c r="RM235" s="354"/>
      <c r="RN235" s="354"/>
      <c r="RO235" s="354"/>
      <c r="RP235" s="354"/>
      <c r="RQ235" s="354"/>
      <c r="RR235" s="354"/>
      <c r="RS235" s="354"/>
      <c r="RT235" s="354"/>
      <c r="RU235" s="354"/>
      <c r="RV235" s="354"/>
      <c r="RW235" s="354"/>
      <c r="RX235" s="354"/>
      <c r="RY235" s="354"/>
      <c r="RZ235" s="354"/>
      <c r="SA235" s="354"/>
      <c r="SB235" s="354"/>
      <c r="SC235" s="354"/>
      <c r="SD235" s="354"/>
      <c r="SE235" s="354"/>
      <c r="SF235" s="354"/>
      <c r="SG235" s="354"/>
      <c r="SH235" s="354"/>
      <c r="SI235" s="354"/>
      <c r="SJ235" s="354"/>
      <c r="SK235" s="354"/>
      <c r="SL235" s="354"/>
      <c r="SM235" s="354"/>
      <c r="SN235" s="354"/>
      <c r="SO235" s="354"/>
      <c r="SP235" s="354"/>
      <c r="SQ235" s="354"/>
      <c r="SR235" s="354"/>
      <c r="SS235" s="354"/>
    </row>
    <row r="236" spans="1:513" s="449" customFormat="1" ht="15" customHeight="1">
      <c r="C236" s="463" t="s">
        <v>4519</v>
      </c>
      <c r="D236" s="464"/>
      <c r="E236" s="464"/>
      <c r="F236" s="464"/>
      <c r="G236" s="464"/>
      <c r="H236" s="464"/>
      <c r="I236" s="464"/>
      <c r="J236" s="464"/>
      <c r="K236" s="464"/>
      <c r="L236" s="464"/>
      <c r="M236" s="464"/>
      <c r="N236" s="464"/>
      <c r="O236" s="464"/>
      <c r="P236" s="464"/>
      <c r="Q236" s="464"/>
      <c r="R236" s="464"/>
      <c r="S236" s="464"/>
      <c r="T236" s="464"/>
      <c r="U236" s="464"/>
      <c r="V236" s="464"/>
      <c r="W236" s="464"/>
      <c r="X236" s="464"/>
      <c r="Y236" s="464"/>
      <c r="Z236" s="464"/>
      <c r="AA236" s="464"/>
      <c r="AB236" s="464"/>
      <c r="AC236" s="464"/>
      <c r="AD236" s="464"/>
      <c r="AE236" s="464"/>
      <c r="AF236" s="464"/>
      <c r="AG236" s="464"/>
      <c r="AH236" s="464"/>
      <c r="AI236" s="464"/>
      <c r="AJ236" s="464"/>
      <c r="AK236" s="464"/>
      <c r="AL236" s="464"/>
      <c r="AM236" s="464"/>
      <c r="AN236" s="464"/>
      <c r="AO236" s="464"/>
      <c r="AP236" s="464"/>
      <c r="AQ236" s="464"/>
      <c r="AR236" s="464"/>
      <c r="AS236" s="464"/>
      <c r="AT236" s="464"/>
      <c r="AU236" s="464"/>
      <c r="AV236" s="464"/>
      <c r="AW236" s="354"/>
      <c r="AX236" s="354"/>
      <c r="AY236" s="354"/>
      <c r="AZ236" s="354"/>
      <c r="BA236" s="354"/>
      <c r="BB236" s="354"/>
      <c r="BC236" s="354"/>
      <c r="BD236" s="354"/>
      <c r="BE236" s="354"/>
      <c r="BF236" s="354"/>
      <c r="BG236" s="354"/>
      <c r="BH236" s="354"/>
      <c r="BI236" s="354"/>
      <c r="BJ236" s="354"/>
      <c r="BK236" s="354"/>
      <c r="BL236" s="354"/>
      <c r="BM236" s="354"/>
      <c r="BN236" s="354"/>
      <c r="BO236" s="354"/>
      <c r="BP236" s="354"/>
      <c r="BQ236" s="354"/>
      <c r="BR236" s="354"/>
      <c r="BS236" s="354"/>
      <c r="BT236" s="354"/>
      <c r="BU236" s="354"/>
      <c r="BV236" s="354"/>
      <c r="BW236" s="354"/>
      <c r="BX236" s="354"/>
      <c r="BY236" s="354"/>
      <c r="BZ236" s="354"/>
      <c r="CA236" s="354"/>
      <c r="CB236" s="354"/>
      <c r="CC236" s="354"/>
      <c r="CD236" s="354"/>
      <c r="CE236" s="354"/>
      <c r="CF236" s="354"/>
      <c r="CG236" s="354"/>
      <c r="CH236" s="354"/>
      <c r="CI236" s="354"/>
      <c r="CJ236" s="354"/>
      <c r="CK236" s="354"/>
      <c r="CL236" s="354"/>
      <c r="CM236" s="354"/>
      <c r="CN236" s="354"/>
      <c r="CO236" s="354"/>
      <c r="CP236" s="354"/>
      <c r="CQ236" s="354"/>
      <c r="CR236" s="354"/>
      <c r="CS236" s="354"/>
      <c r="CT236" s="354"/>
      <c r="CU236" s="354"/>
      <c r="CV236" s="354"/>
      <c r="CW236" s="354"/>
      <c r="CX236" s="354"/>
      <c r="CY236" s="354"/>
      <c r="CZ236" s="354"/>
      <c r="DA236" s="354"/>
      <c r="DB236" s="354"/>
      <c r="DC236" s="354"/>
      <c r="DD236" s="354"/>
      <c r="DE236" s="354"/>
      <c r="DF236" s="354"/>
      <c r="DG236" s="354"/>
      <c r="DH236" s="354"/>
      <c r="DI236" s="354"/>
      <c r="DJ236" s="354"/>
      <c r="DK236" s="354"/>
      <c r="DL236" s="354"/>
      <c r="DM236" s="354"/>
      <c r="DN236" s="354"/>
      <c r="DO236" s="354"/>
      <c r="DP236" s="354"/>
      <c r="DQ236" s="354"/>
      <c r="DR236" s="354"/>
      <c r="DS236" s="354"/>
      <c r="DT236" s="354"/>
      <c r="DU236" s="354"/>
      <c r="DV236" s="354"/>
      <c r="DW236" s="354"/>
      <c r="DX236" s="354"/>
      <c r="DY236" s="354"/>
      <c r="DZ236" s="354"/>
      <c r="EA236" s="354"/>
      <c r="EB236" s="354"/>
      <c r="EC236" s="354"/>
      <c r="ED236" s="354"/>
      <c r="EE236" s="354"/>
      <c r="EF236" s="354"/>
      <c r="EG236" s="354"/>
      <c r="EH236" s="354"/>
      <c r="EI236" s="354"/>
      <c r="EJ236" s="354"/>
      <c r="EK236" s="354"/>
      <c r="EL236" s="354"/>
      <c r="EM236" s="354"/>
      <c r="EN236" s="354"/>
      <c r="EO236" s="354"/>
      <c r="EP236" s="354"/>
      <c r="EQ236" s="354"/>
      <c r="ER236" s="354"/>
      <c r="ES236" s="354"/>
      <c r="ET236" s="354"/>
      <c r="EU236" s="354"/>
      <c r="EV236" s="354"/>
      <c r="EW236" s="354"/>
      <c r="EX236" s="354"/>
      <c r="EY236" s="354"/>
      <c r="EZ236" s="354"/>
      <c r="FA236" s="354"/>
      <c r="FB236" s="354"/>
      <c r="FC236" s="354"/>
      <c r="FD236" s="354"/>
      <c r="FE236" s="354"/>
      <c r="FF236" s="354"/>
      <c r="FG236" s="354"/>
      <c r="FH236" s="354"/>
      <c r="FI236" s="354"/>
      <c r="FJ236" s="354"/>
      <c r="FK236" s="354"/>
      <c r="FL236" s="354"/>
      <c r="FM236" s="354"/>
      <c r="FN236" s="354"/>
      <c r="FO236" s="354"/>
      <c r="FP236" s="354"/>
      <c r="FQ236" s="354"/>
      <c r="FR236" s="354"/>
      <c r="FS236" s="354"/>
      <c r="FT236" s="354"/>
      <c r="FU236" s="354"/>
      <c r="FV236" s="354"/>
      <c r="FW236" s="354"/>
      <c r="FX236" s="354"/>
      <c r="FY236" s="354"/>
      <c r="FZ236" s="354"/>
      <c r="GA236" s="354"/>
      <c r="GB236" s="354"/>
      <c r="GC236" s="354"/>
      <c r="GD236" s="354"/>
      <c r="GE236" s="354"/>
      <c r="GF236" s="354"/>
      <c r="GG236" s="354"/>
      <c r="GH236" s="354"/>
      <c r="GI236" s="354"/>
      <c r="GJ236" s="354"/>
      <c r="GK236" s="354"/>
      <c r="GL236" s="354"/>
      <c r="GM236" s="354"/>
      <c r="GN236" s="354"/>
      <c r="GO236" s="354"/>
      <c r="GP236" s="354"/>
      <c r="GQ236" s="354"/>
      <c r="GR236" s="354"/>
      <c r="GS236" s="354"/>
      <c r="GT236" s="354"/>
      <c r="GU236" s="354"/>
      <c r="GV236" s="354"/>
      <c r="GW236" s="354"/>
      <c r="GX236" s="354"/>
      <c r="GY236" s="354"/>
      <c r="GZ236" s="354"/>
      <c r="HA236" s="354"/>
      <c r="HB236" s="354"/>
      <c r="HC236" s="354"/>
      <c r="HD236" s="354"/>
      <c r="HE236" s="354"/>
      <c r="HF236" s="354"/>
      <c r="HG236" s="354"/>
      <c r="HH236" s="354"/>
      <c r="HI236" s="354"/>
      <c r="HJ236" s="354"/>
      <c r="HK236" s="354"/>
      <c r="HL236" s="354"/>
      <c r="HM236" s="354"/>
      <c r="HN236" s="354"/>
      <c r="HO236" s="354"/>
      <c r="HP236" s="354"/>
      <c r="HQ236" s="354"/>
      <c r="HR236" s="354"/>
      <c r="HS236" s="354"/>
      <c r="HT236" s="354"/>
      <c r="HU236" s="354"/>
      <c r="HV236" s="354"/>
      <c r="HW236" s="354"/>
      <c r="HX236" s="354"/>
      <c r="HY236" s="354"/>
      <c r="HZ236" s="354"/>
      <c r="IA236" s="354"/>
      <c r="IB236" s="354"/>
      <c r="IC236" s="354"/>
      <c r="ID236" s="354"/>
      <c r="IE236" s="354"/>
      <c r="IF236" s="354"/>
      <c r="IG236" s="354"/>
      <c r="IH236" s="354"/>
      <c r="II236" s="354"/>
      <c r="IJ236" s="354"/>
      <c r="IK236" s="354"/>
      <c r="IL236" s="354"/>
      <c r="IM236" s="354"/>
      <c r="IN236" s="354"/>
      <c r="IO236" s="354"/>
      <c r="IP236" s="354"/>
      <c r="IQ236" s="354"/>
      <c r="IR236" s="354"/>
      <c r="IS236" s="354"/>
      <c r="IT236" s="354"/>
      <c r="IU236" s="354"/>
      <c r="IV236" s="354"/>
      <c r="IW236" s="354"/>
      <c r="IX236" s="354"/>
      <c r="IY236" s="354"/>
      <c r="IZ236" s="371"/>
      <c r="JA236" s="371"/>
      <c r="JB236" s="371"/>
      <c r="JC236" s="371"/>
      <c r="JD236" s="371"/>
      <c r="JE236" s="371"/>
      <c r="JF236" s="371"/>
      <c r="JG236" s="371"/>
      <c r="JH236" s="371"/>
      <c r="JI236" s="371"/>
      <c r="JJ236" s="371"/>
      <c r="JK236" s="371"/>
      <c r="JL236" s="371"/>
      <c r="JM236" s="371"/>
      <c r="JN236" s="371"/>
      <c r="JO236" s="371"/>
      <c r="JP236" s="371"/>
      <c r="JQ236" s="371"/>
      <c r="JR236" s="371"/>
      <c r="JS236" s="371"/>
      <c r="JT236" s="371"/>
      <c r="JU236" s="371"/>
      <c r="JV236" s="371"/>
      <c r="JW236" s="371"/>
      <c r="JX236" s="371"/>
      <c r="JY236" s="371"/>
      <c r="JZ236" s="371"/>
      <c r="KA236" s="371"/>
      <c r="KB236" s="371"/>
      <c r="KC236" s="371"/>
      <c r="KD236" s="371"/>
      <c r="KE236" s="371"/>
      <c r="KF236" s="371"/>
      <c r="KG236" s="371"/>
      <c r="KH236" s="354"/>
      <c r="KI236" s="354"/>
      <c r="KJ236" s="354"/>
      <c r="KK236" s="354"/>
      <c r="KL236" s="354"/>
      <c r="KM236" s="354"/>
      <c r="KN236" s="354"/>
      <c r="KO236" s="354"/>
      <c r="KP236" s="354"/>
      <c r="KQ236" s="354"/>
      <c r="KR236" s="354"/>
      <c r="KS236" s="354"/>
      <c r="KT236" s="354"/>
      <c r="KU236" s="354"/>
      <c r="KV236" s="354"/>
      <c r="KW236" s="354"/>
      <c r="KX236" s="354"/>
      <c r="KY236" s="354"/>
      <c r="KZ236" s="354"/>
      <c r="LA236" s="354"/>
      <c r="LB236" s="354"/>
      <c r="LC236" s="354"/>
      <c r="LD236" s="354"/>
      <c r="LE236" s="354"/>
      <c r="LF236" s="354"/>
      <c r="LG236" s="354"/>
      <c r="LH236" s="354"/>
      <c r="LI236" s="354"/>
      <c r="LJ236" s="354"/>
      <c r="LK236" s="354"/>
      <c r="LL236" s="354"/>
      <c r="LM236" s="354"/>
      <c r="LN236" s="354"/>
      <c r="LO236" s="354"/>
      <c r="LP236" s="354"/>
      <c r="LQ236" s="354"/>
      <c r="LR236" s="354"/>
      <c r="LS236" s="354"/>
      <c r="LT236" s="354"/>
      <c r="LU236" s="354"/>
      <c r="LV236" s="354"/>
      <c r="LW236" s="354"/>
      <c r="LX236" s="354"/>
      <c r="LY236" s="354"/>
      <c r="LZ236" s="354"/>
      <c r="MA236" s="354"/>
      <c r="MB236" s="354"/>
      <c r="MC236" s="354"/>
      <c r="MD236" s="354"/>
      <c r="ME236" s="354"/>
      <c r="MF236" s="354"/>
      <c r="MG236" s="354"/>
      <c r="MH236" s="354"/>
      <c r="MI236" s="354"/>
      <c r="MJ236" s="354"/>
      <c r="MK236" s="354"/>
      <c r="ML236" s="354"/>
      <c r="MM236" s="354"/>
      <c r="MN236" s="354"/>
      <c r="MO236" s="354"/>
      <c r="MP236" s="354"/>
      <c r="MQ236" s="354"/>
      <c r="MR236" s="354"/>
      <c r="MS236" s="354"/>
      <c r="MT236" s="354"/>
      <c r="MU236" s="354"/>
      <c r="MV236" s="354"/>
      <c r="MW236" s="354"/>
      <c r="MX236" s="354"/>
      <c r="MY236" s="354"/>
      <c r="MZ236" s="354"/>
      <c r="NA236" s="354"/>
      <c r="NB236" s="354"/>
      <c r="NC236" s="354"/>
      <c r="ND236" s="354"/>
      <c r="NE236" s="354"/>
      <c r="NF236" s="354"/>
      <c r="NG236" s="354"/>
      <c r="NH236" s="354"/>
      <c r="NI236" s="354"/>
      <c r="NJ236" s="354"/>
      <c r="NK236" s="354"/>
      <c r="NL236" s="354"/>
      <c r="NM236" s="354"/>
      <c r="NN236" s="354"/>
      <c r="NO236" s="354"/>
      <c r="NP236" s="354"/>
      <c r="NQ236" s="354"/>
      <c r="NR236" s="354"/>
      <c r="NS236" s="354"/>
      <c r="NT236" s="354"/>
      <c r="NU236" s="354"/>
      <c r="NV236" s="354"/>
      <c r="NW236" s="354"/>
      <c r="NX236" s="354"/>
      <c r="NY236" s="354"/>
      <c r="NZ236" s="354"/>
      <c r="OA236" s="354"/>
      <c r="OB236" s="354"/>
      <c r="OC236" s="354"/>
      <c r="OD236" s="354"/>
      <c r="OE236" s="354"/>
      <c r="OF236" s="354"/>
      <c r="OG236" s="354"/>
      <c r="OH236" s="354"/>
      <c r="OI236" s="354"/>
      <c r="OJ236" s="354"/>
      <c r="OK236" s="354"/>
      <c r="OL236" s="354"/>
      <c r="OM236" s="354"/>
      <c r="ON236" s="354"/>
      <c r="OO236" s="354"/>
      <c r="OP236" s="354"/>
      <c r="OQ236" s="354"/>
      <c r="OR236" s="354"/>
      <c r="OS236" s="354"/>
      <c r="OT236" s="354"/>
      <c r="OU236" s="354"/>
      <c r="OV236" s="354"/>
      <c r="OW236" s="354"/>
      <c r="OX236" s="354"/>
      <c r="OY236" s="354"/>
      <c r="OZ236" s="354"/>
      <c r="PA236" s="354"/>
      <c r="PB236" s="354"/>
      <c r="PC236" s="354"/>
      <c r="PD236" s="354"/>
      <c r="PE236" s="354"/>
      <c r="PF236" s="354"/>
      <c r="PG236" s="354"/>
      <c r="PH236" s="354"/>
      <c r="PI236" s="354"/>
      <c r="PJ236" s="354"/>
      <c r="PK236" s="354"/>
      <c r="PL236" s="354"/>
      <c r="PM236" s="354"/>
      <c r="PN236" s="354"/>
      <c r="PO236" s="354"/>
      <c r="PP236" s="354"/>
      <c r="PQ236" s="354"/>
      <c r="PR236" s="354"/>
      <c r="PS236" s="354"/>
      <c r="PT236" s="354"/>
      <c r="PU236" s="354"/>
      <c r="PV236" s="354"/>
      <c r="PW236" s="354"/>
      <c r="PX236" s="354"/>
      <c r="PY236" s="354"/>
      <c r="PZ236" s="354"/>
      <c r="QA236" s="354"/>
      <c r="QB236" s="354"/>
      <c r="QC236" s="354"/>
      <c r="QD236" s="354"/>
      <c r="QE236" s="354"/>
      <c r="QF236" s="354"/>
      <c r="QG236" s="354"/>
      <c r="QH236" s="354"/>
      <c r="QI236" s="354"/>
      <c r="QJ236" s="354"/>
      <c r="QK236" s="354"/>
      <c r="QL236" s="354"/>
      <c r="QM236" s="354"/>
      <c r="QN236" s="354"/>
      <c r="QO236" s="354"/>
      <c r="QP236" s="354"/>
      <c r="QQ236" s="354"/>
      <c r="QR236" s="354"/>
      <c r="QS236" s="354"/>
      <c r="QT236" s="354"/>
      <c r="QU236" s="354"/>
      <c r="QV236" s="354"/>
      <c r="QW236" s="354"/>
      <c r="QX236" s="354"/>
      <c r="QY236" s="354"/>
      <c r="QZ236" s="354"/>
      <c r="RA236" s="354"/>
      <c r="RB236" s="354"/>
      <c r="RC236" s="354"/>
      <c r="RD236" s="354"/>
      <c r="RE236" s="354"/>
      <c r="RF236" s="354"/>
      <c r="RG236" s="354"/>
      <c r="RH236" s="354"/>
      <c r="RI236" s="354"/>
      <c r="RJ236" s="354"/>
      <c r="RK236" s="354"/>
      <c r="RL236" s="354"/>
      <c r="RM236" s="354"/>
      <c r="RN236" s="354"/>
      <c r="RO236" s="354"/>
      <c r="RP236" s="354"/>
      <c r="RQ236" s="354"/>
      <c r="RR236" s="354"/>
      <c r="RS236" s="354"/>
      <c r="RT236" s="354"/>
      <c r="RU236" s="354"/>
      <c r="RV236" s="354"/>
      <c r="RW236" s="354"/>
      <c r="RX236" s="354"/>
      <c r="RY236" s="354"/>
      <c r="RZ236" s="354"/>
      <c r="SA236" s="354"/>
      <c r="SB236" s="354"/>
      <c r="SC236" s="354"/>
      <c r="SD236" s="354"/>
      <c r="SE236" s="354"/>
      <c r="SF236" s="354"/>
      <c r="SG236" s="354"/>
      <c r="SH236" s="354"/>
      <c r="SI236" s="354"/>
      <c r="SJ236" s="354"/>
      <c r="SK236" s="354"/>
      <c r="SL236" s="354"/>
      <c r="SM236" s="354"/>
      <c r="SN236" s="354"/>
      <c r="SO236" s="354"/>
      <c r="SP236" s="354"/>
      <c r="SQ236" s="354"/>
      <c r="SR236" s="354"/>
      <c r="SS236" s="354"/>
    </row>
    <row r="237" spans="1:513" s="449" customFormat="1" ht="15" customHeight="1">
      <c r="C237" s="1039"/>
      <c r="D237" s="1039"/>
      <c r="E237" s="1039"/>
      <c r="F237" s="1039"/>
      <c r="G237" s="1039"/>
      <c r="H237" s="1039"/>
      <c r="I237" s="449" t="s">
        <v>4520</v>
      </c>
      <c r="L237" s="449" t="s">
        <v>4508</v>
      </c>
      <c r="M237" s="451"/>
      <c r="N237" s="1038"/>
      <c r="O237" s="1038"/>
      <c r="P237" s="1047"/>
      <c r="Q237" s="1046"/>
      <c r="R237" s="1046"/>
      <c r="S237" s="1046"/>
      <c r="T237" s="453" t="s">
        <v>4511</v>
      </c>
      <c r="Y237" s="451" t="s">
        <v>4508</v>
      </c>
      <c r="AA237" s="1045">
        <f>+AA235</f>
        <v>1</v>
      </c>
      <c r="AB237" s="1045"/>
      <c r="AC237" s="1046"/>
      <c r="AD237" s="1046"/>
      <c r="AM237" s="453" t="s">
        <v>4426</v>
      </c>
      <c r="AO237" s="1038">
        <f>ROUND(C237*N237*AA237,1)</f>
        <v>0</v>
      </c>
      <c r="AP237" s="1038"/>
      <c r="AQ237" s="1038"/>
      <c r="AR237" s="1046"/>
      <c r="AS237" s="1046"/>
      <c r="AT237" s="1046"/>
      <c r="AU237" s="1046"/>
      <c r="AV237" s="1046"/>
      <c r="AW237" s="354"/>
      <c r="AX237" s="354"/>
      <c r="AY237" s="354"/>
      <c r="AZ237" s="354"/>
      <c r="BA237" s="354"/>
      <c r="BB237" s="354"/>
      <c r="BC237" s="354"/>
      <c r="BD237" s="354"/>
      <c r="BE237" s="354"/>
      <c r="BF237" s="354"/>
      <c r="BG237" s="354"/>
      <c r="BH237" s="354"/>
      <c r="BI237" s="354"/>
      <c r="BJ237" s="354"/>
      <c r="BK237" s="354"/>
      <c r="BL237" s="354"/>
      <c r="BM237" s="354"/>
      <c r="BN237" s="354"/>
      <c r="BO237" s="354"/>
      <c r="BP237" s="354"/>
      <c r="BQ237" s="354"/>
      <c r="BR237" s="354"/>
      <c r="BS237" s="354"/>
      <c r="BT237" s="354"/>
      <c r="BU237" s="354"/>
      <c r="BV237" s="354"/>
      <c r="BW237" s="354"/>
      <c r="BX237" s="354"/>
      <c r="BY237" s="354"/>
      <c r="BZ237" s="354"/>
      <c r="CA237" s="354"/>
      <c r="CB237" s="354"/>
      <c r="CC237" s="354"/>
      <c r="CD237" s="354"/>
      <c r="CE237" s="354"/>
      <c r="CF237" s="354"/>
      <c r="CG237" s="354"/>
      <c r="CH237" s="354"/>
      <c r="CI237" s="354"/>
      <c r="CJ237" s="354"/>
      <c r="CK237" s="354"/>
      <c r="CL237" s="354"/>
      <c r="CM237" s="354"/>
      <c r="CN237" s="354"/>
      <c r="CO237" s="354"/>
      <c r="CP237" s="354"/>
      <c r="CQ237" s="354"/>
      <c r="CR237" s="354"/>
      <c r="CS237" s="354"/>
      <c r="CT237" s="354"/>
      <c r="CU237" s="354"/>
      <c r="CV237" s="354"/>
      <c r="CW237" s="354"/>
      <c r="CX237" s="354"/>
      <c r="CY237" s="354"/>
      <c r="CZ237" s="354"/>
      <c r="DA237" s="354"/>
      <c r="DB237" s="354"/>
      <c r="DC237" s="354"/>
      <c r="DD237" s="354"/>
      <c r="DE237" s="354"/>
      <c r="DF237" s="354"/>
      <c r="DG237" s="354"/>
      <c r="DH237" s="354"/>
      <c r="DI237" s="354"/>
      <c r="DJ237" s="354"/>
      <c r="DK237" s="354"/>
      <c r="DL237" s="354"/>
      <c r="DM237" s="354"/>
      <c r="DN237" s="354"/>
      <c r="DO237" s="354"/>
      <c r="DP237" s="354"/>
      <c r="DQ237" s="354"/>
      <c r="DR237" s="354"/>
      <c r="DS237" s="354"/>
      <c r="DT237" s="354"/>
      <c r="DU237" s="354"/>
      <c r="DV237" s="354"/>
      <c r="DW237" s="354"/>
      <c r="DX237" s="354"/>
      <c r="DY237" s="354"/>
      <c r="DZ237" s="354"/>
      <c r="EA237" s="354"/>
      <c r="EB237" s="354"/>
      <c r="EC237" s="354"/>
      <c r="ED237" s="354"/>
      <c r="EE237" s="354"/>
      <c r="EF237" s="354"/>
      <c r="EG237" s="354"/>
      <c r="EH237" s="354"/>
      <c r="EI237" s="354"/>
      <c r="EJ237" s="354"/>
      <c r="EK237" s="354"/>
      <c r="EL237" s="354"/>
      <c r="EM237" s="354"/>
      <c r="EN237" s="354"/>
      <c r="EO237" s="354"/>
      <c r="EP237" s="354"/>
      <c r="EQ237" s="354"/>
      <c r="ER237" s="354"/>
      <c r="ES237" s="354"/>
      <c r="ET237" s="354"/>
      <c r="EU237" s="354"/>
      <c r="EV237" s="354"/>
      <c r="EW237" s="354"/>
      <c r="EX237" s="354"/>
      <c r="EY237" s="354"/>
      <c r="EZ237" s="354"/>
      <c r="FA237" s="354"/>
      <c r="FB237" s="354"/>
      <c r="FC237" s="354"/>
      <c r="FD237" s="354"/>
      <c r="FE237" s="354"/>
      <c r="FF237" s="354"/>
      <c r="FG237" s="354"/>
      <c r="FH237" s="354"/>
      <c r="FI237" s="354"/>
      <c r="FJ237" s="354"/>
      <c r="FK237" s="354"/>
      <c r="FL237" s="354"/>
      <c r="FM237" s="354"/>
      <c r="FN237" s="354"/>
      <c r="FO237" s="354"/>
      <c r="FP237" s="354"/>
      <c r="FQ237" s="354"/>
      <c r="FR237" s="354"/>
      <c r="FS237" s="354"/>
      <c r="FT237" s="354"/>
      <c r="FU237" s="354"/>
      <c r="FV237" s="354"/>
      <c r="FW237" s="354"/>
      <c r="FX237" s="354"/>
      <c r="FY237" s="354"/>
      <c r="FZ237" s="354"/>
      <c r="GA237" s="354"/>
      <c r="GB237" s="354"/>
      <c r="GC237" s="354"/>
      <c r="GD237" s="354"/>
      <c r="GE237" s="354"/>
      <c r="GF237" s="354"/>
      <c r="GG237" s="354"/>
      <c r="GH237" s="354"/>
      <c r="GI237" s="354"/>
      <c r="GJ237" s="354"/>
      <c r="GK237" s="354"/>
      <c r="GL237" s="354"/>
      <c r="GM237" s="354"/>
      <c r="GN237" s="354"/>
      <c r="GO237" s="354"/>
      <c r="GP237" s="354"/>
      <c r="GQ237" s="354"/>
      <c r="GR237" s="354"/>
      <c r="GS237" s="354"/>
      <c r="GT237" s="354"/>
      <c r="GU237" s="354"/>
      <c r="GV237" s="354"/>
      <c r="GW237" s="354"/>
      <c r="GX237" s="354"/>
      <c r="GY237" s="354"/>
      <c r="GZ237" s="354"/>
      <c r="HA237" s="354"/>
      <c r="HB237" s="354"/>
      <c r="HC237" s="354"/>
      <c r="HD237" s="354"/>
      <c r="HE237" s="354"/>
      <c r="HF237" s="354"/>
      <c r="HG237" s="354"/>
      <c r="HH237" s="354"/>
      <c r="HI237" s="354"/>
      <c r="HJ237" s="354"/>
      <c r="HK237" s="354"/>
      <c r="HL237" s="354"/>
      <c r="HM237" s="354"/>
      <c r="HN237" s="354"/>
      <c r="HO237" s="354"/>
      <c r="HP237" s="354"/>
      <c r="HQ237" s="354"/>
      <c r="HR237" s="354"/>
      <c r="HS237" s="354"/>
      <c r="HT237" s="354"/>
      <c r="HU237" s="354"/>
      <c r="HV237" s="354"/>
      <c r="HW237" s="354"/>
      <c r="HX237" s="354"/>
      <c r="HY237" s="354"/>
      <c r="HZ237" s="354"/>
      <c r="IA237" s="354"/>
      <c r="IB237" s="354"/>
      <c r="IC237" s="354"/>
      <c r="ID237" s="354"/>
      <c r="IE237" s="354"/>
      <c r="IF237" s="354"/>
      <c r="IG237" s="354"/>
      <c r="IH237" s="354"/>
      <c r="II237" s="354"/>
      <c r="IJ237" s="354"/>
      <c r="IK237" s="354"/>
      <c r="IL237" s="354"/>
      <c r="IM237" s="354"/>
      <c r="IN237" s="354"/>
      <c r="IO237" s="354"/>
      <c r="IP237" s="354"/>
      <c r="IQ237" s="354"/>
      <c r="IR237" s="354"/>
      <c r="IS237" s="354"/>
      <c r="IT237" s="354"/>
      <c r="IU237" s="354"/>
      <c r="IV237" s="354"/>
      <c r="IW237" s="354"/>
      <c r="IX237" s="354"/>
      <c r="IY237" s="354"/>
      <c r="IZ237" s="371"/>
      <c r="JA237" s="371"/>
      <c r="JB237" s="371"/>
      <c r="JC237" s="371"/>
      <c r="JD237" s="371"/>
      <c r="JE237" s="371"/>
      <c r="JF237" s="371"/>
      <c r="JG237" s="371"/>
      <c r="JH237" s="371"/>
      <c r="JI237" s="371"/>
      <c r="JJ237" s="371"/>
      <c r="JK237" s="371"/>
      <c r="JL237" s="371"/>
      <c r="JM237" s="371"/>
      <c r="JN237" s="371"/>
      <c r="JO237" s="371"/>
      <c r="JP237" s="371"/>
      <c r="JQ237" s="371"/>
      <c r="JR237" s="371"/>
      <c r="JS237" s="371"/>
      <c r="JT237" s="371"/>
      <c r="JU237" s="371"/>
      <c r="JV237" s="371"/>
      <c r="JW237" s="371"/>
      <c r="JX237" s="371"/>
      <c r="JY237" s="371"/>
      <c r="JZ237" s="371"/>
      <c r="KA237" s="371"/>
      <c r="KB237" s="371"/>
      <c r="KC237" s="371"/>
      <c r="KD237" s="371"/>
      <c r="KE237" s="371"/>
      <c r="KF237" s="371"/>
      <c r="KG237" s="371"/>
      <c r="KH237" s="354"/>
      <c r="KI237" s="354"/>
      <c r="KJ237" s="354"/>
      <c r="KK237" s="354"/>
      <c r="KL237" s="354"/>
      <c r="KM237" s="354"/>
      <c r="KN237" s="354"/>
      <c r="KO237" s="354"/>
      <c r="KP237" s="354"/>
      <c r="KQ237" s="354"/>
      <c r="KR237" s="354"/>
      <c r="KS237" s="354"/>
      <c r="KT237" s="354"/>
      <c r="KU237" s="354"/>
      <c r="KV237" s="354"/>
      <c r="KW237" s="354"/>
      <c r="KX237" s="354"/>
      <c r="KY237" s="354"/>
      <c r="KZ237" s="354"/>
      <c r="LA237" s="354"/>
      <c r="LB237" s="354"/>
      <c r="LC237" s="354"/>
      <c r="LD237" s="354"/>
      <c r="LE237" s="354"/>
      <c r="LF237" s="354"/>
      <c r="LG237" s="354"/>
      <c r="LH237" s="354"/>
      <c r="LI237" s="354"/>
      <c r="LJ237" s="354"/>
      <c r="LK237" s="354"/>
      <c r="LL237" s="354"/>
      <c r="LM237" s="354"/>
      <c r="LN237" s="354"/>
      <c r="LO237" s="354"/>
      <c r="LP237" s="354"/>
      <c r="LQ237" s="354"/>
      <c r="LR237" s="354"/>
      <c r="LS237" s="354"/>
      <c r="LT237" s="354"/>
      <c r="LU237" s="354"/>
      <c r="LV237" s="354"/>
      <c r="LW237" s="354"/>
      <c r="LX237" s="354"/>
      <c r="LY237" s="354"/>
      <c r="LZ237" s="354"/>
      <c r="MA237" s="354"/>
      <c r="MB237" s="354"/>
      <c r="MC237" s="354"/>
      <c r="MD237" s="354"/>
      <c r="ME237" s="354"/>
      <c r="MF237" s="354"/>
      <c r="MG237" s="354"/>
      <c r="MH237" s="354"/>
      <c r="MI237" s="354"/>
      <c r="MJ237" s="354"/>
      <c r="MK237" s="354"/>
      <c r="ML237" s="354"/>
      <c r="MM237" s="354"/>
      <c r="MN237" s="354"/>
      <c r="MO237" s="354"/>
      <c r="MP237" s="354"/>
      <c r="MQ237" s="354"/>
      <c r="MR237" s="354"/>
      <c r="MS237" s="354"/>
      <c r="MT237" s="354"/>
      <c r="MU237" s="354"/>
      <c r="MV237" s="354"/>
      <c r="MW237" s="354"/>
      <c r="MX237" s="354"/>
      <c r="MY237" s="354"/>
      <c r="MZ237" s="354"/>
      <c r="NA237" s="354"/>
      <c r="NB237" s="354"/>
      <c r="NC237" s="354"/>
      <c r="ND237" s="354"/>
      <c r="NE237" s="354"/>
      <c r="NF237" s="354"/>
      <c r="NG237" s="354"/>
      <c r="NH237" s="354"/>
      <c r="NI237" s="354"/>
      <c r="NJ237" s="354"/>
      <c r="NK237" s="354"/>
      <c r="NL237" s="354"/>
      <c r="NM237" s="354"/>
      <c r="NN237" s="354"/>
      <c r="NO237" s="354"/>
      <c r="NP237" s="354"/>
      <c r="NQ237" s="354"/>
      <c r="NR237" s="354"/>
      <c r="NS237" s="354"/>
      <c r="NT237" s="354"/>
      <c r="NU237" s="354"/>
      <c r="NV237" s="354"/>
      <c r="NW237" s="354"/>
      <c r="NX237" s="354"/>
      <c r="NY237" s="354"/>
      <c r="NZ237" s="354"/>
      <c r="OA237" s="354"/>
      <c r="OB237" s="354"/>
      <c r="OC237" s="354"/>
      <c r="OD237" s="354"/>
      <c r="OE237" s="354"/>
      <c r="OF237" s="354"/>
      <c r="OG237" s="354"/>
      <c r="OH237" s="354"/>
      <c r="OI237" s="354"/>
      <c r="OJ237" s="354"/>
      <c r="OK237" s="354"/>
      <c r="OL237" s="354"/>
      <c r="OM237" s="354"/>
      <c r="ON237" s="354"/>
      <c r="OO237" s="354"/>
      <c r="OP237" s="354"/>
      <c r="OQ237" s="354"/>
      <c r="OR237" s="354"/>
      <c r="OS237" s="354"/>
      <c r="OT237" s="354"/>
      <c r="OU237" s="354"/>
      <c r="OV237" s="354"/>
      <c r="OW237" s="354"/>
      <c r="OX237" s="354"/>
      <c r="OY237" s="354"/>
      <c r="OZ237" s="354"/>
      <c r="PA237" s="354"/>
      <c r="PB237" s="354"/>
      <c r="PC237" s="354"/>
      <c r="PD237" s="354"/>
      <c r="PE237" s="354"/>
      <c r="PF237" s="354"/>
      <c r="PG237" s="354"/>
      <c r="PH237" s="354"/>
      <c r="PI237" s="354"/>
      <c r="PJ237" s="354"/>
      <c r="PK237" s="354"/>
      <c r="PL237" s="354"/>
      <c r="PM237" s="354"/>
      <c r="PN237" s="354"/>
      <c r="PO237" s="354"/>
      <c r="PP237" s="354"/>
      <c r="PQ237" s="354"/>
      <c r="PR237" s="354"/>
      <c r="PS237" s="354"/>
      <c r="PT237" s="354"/>
      <c r="PU237" s="354"/>
      <c r="PV237" s="354"/>
      <c r="PW237" s="354"/>
      <c r="PX237" s="354"/>
      <c r="PY237" s="354"/>
      <c r="PZ237" s="354"/>
      <c r="QA237" s="354"/>
      <c r="QB237" s="354"/>
      <c r="QC237" s="354"/>
      <c r="QD237" s="354"/>
      <c r="QE237" s="354"/>
      <c r="QF237" s="354"/>
      <c r="QG237" s="354"/>
      <c r="QH237" s="354"/>
      <c r="QI237" s="354"/>
      <c r="QJ237" s="354"/>
      <c r="QK237" s="354"/>
      <c r="QL237" s="354"/>
      <c r="QM237" s="354"/>
      <c r="QN237" s="354"/>
      <c r="QO237" s="354"/>
      <c r="QP237" s="354"/>
      <c r="QQ237" s="354"/>
      <c r="QR237" s="354"/>
      <c r="QS237" s="354"/>
      <c r="QT237" s="354"/>
      <c r="QU237" s="354"/>
      <c r="QV237" s="354"/>
      <c r="QW237" s="354"/>
      <c r="QX237" s="354"/>
      <c r="QY237" s="354"/>
      <c r="QZ237" s="354"/>
      <c r="RA237" s="354"/>
      <c r="RB237" s="354"/>
      <c r="RC237" s="354"/>
      <c r="RD237" s="354"/>
      <c r="RE237" s="354"/>
      <c r="RF237" s="354"/>
      <c r="RG237" s="354"/>
      <c r="RH237" s="354"/>
      <c r="RI237" s="354"/>
      <c r="RJ237" s="354"/>
      <c r="RK237" s="354"/>
      <c r="RL237" s="354"/>
      <c r="RM237" s="354"/>
      <c r="RN237" s="354"/>
      <c r="RO237" s="354"/>
      <c r="RP237" s="354"/>
      <c r="RQ237" s="354"/>
      <c r="RR237" s="354"/>
      <c r="RS237" s="354"/>
      <c r="RT237" s="354"/>
      <c r="RU237" s="354"/>
      <c r="RV237" s="354"/>
      <c r="RW237" s="354"/>
      <c r="RX237" s="354"/>
      <c r="RY237" s="354"/>
      <c r="RZ237" s="354"/>
      <c r="SA237" s="354"/>
      <c r="SB237" s="354"/>
      <c r="SC237" s="354"/>
      <c r="SD237" s="354"/>
      <c r="SE237" s="354"/>
      <c r="SF237" s="354"/>
      <c r="SG237" s="354"/>
      <c r="SH237" s="354"/>
      <c r="SI237" s="354"/>
      <c r="SJ237" s="354"/>
      <c r="SK237" s="354"/>
      <c r="SL237" s="354"/>
      <c r="SM237" s="354"/>
      <c r="SN237" s="354"/>
      <c r="SO237" s="354"/>
      <c r="SP237" s="354"/>
      <c r="SQ237" s="354"/>
      <c r="SR237" s="354"/>
      <c r="SS237" s="354"/>
    </row>
    <row r="238" spans="1:513" s="449" customFormat="1">
      <c r="C238" s="466" t="s">
        <v>4521</v>
      </c>
      <c r="D238" s="450"/>
      <c r="E238" s="450"/>
      <c r="F238" s="450"/>
      <c r="G238" s="450"/>
      <c r="H238" s="450"/>
      <c r="M238" s="451"/>
      <c r="N238" s="467"/>
      <c r="O238" s="467"/>
      <c r="P238" s="468"/>
      <c r="Q238" s="469"/>
      <c r="R238" s="469"/>
      <c r="S238" s="469"/>
      <c r="T238" s="453"/>
      <c r="Y238" s="451"/>
      <c r="AA238" s="465"/>
      <c r="AB238" s="465"/>
      <c r="AC238" s="448"/>
      <c r="AD238" s="448"/>
      <c r="AM238" s="453" t="s">
        <v>4426</v>
      </c>
      <c r="AO238" s="1053">
        <f>SUM(AO231:AV237)</f>
        <v>0</v>
      </c>
      <c r="AP238" s="1053"/>
      <c r="AQ238" s="1053"/>
      <c r="AR238" s="1054"/>
      <c r="AS238" s="1054"/>
      <c r="AT238" s="1054"/>
      <c r="AU238" s="1054"/>
      <c r="AV238" s="1054"/>
      <c r="AW238" s="354"/>
      <c r="AX238" s="354"/>
      <c r="AY238" s="354"/>
      <c r="AZ238" s="354"/>
      <c r="BA238" s="354"/>
      <c r="BB238" s="354"/>
      <c r="BC238" s="354"/>
      <c r="BD238" s="354"/>
      <c r="BE238" s="354"/>
      <c r="BF238" s="354"/>
      <c r="BG238" s="354"/>
      <c r="BH238" s="354"/>
      <c r="BI238" s="354"/>
      <c r="BJ238" s="354"/>
      <c r="BK238" s="354"/>
      <c r="BL238" s="354"/>
      <c r="BM238" s="354"/>
      <c r="BN238" s="354"/>
      <c r="BO238" s="354"/>
      <c r="BP238" s="354"/>
      <c r="BQ238" s="354"/>
      <c r="BR238" s="354"/>
      <c r="BS238" s="354"/>
      <c r="BT238" s="354"/>
      <c r="BU238" s="354"/>
      <c r="BV238" s="354"/>
      <c r="BW238" s="354"/>
      <c r="BX238" s="354"/>
      <c r="BY238" s="354"/>
      <c r="BZ238" s="354"/>
      <c r="CA238" s="354"/>
      <c r="CB238" s="354"/>
      <c r="CC238" s="354"/>
      <c r="CD238" s="354"/>
      <c r="CE238" s="354"/>
      <c r="CF238" s="354"/>
      <c r="CG238" s="354"/>
      <c r="CH238" s="354"/>
      <c r="CI238" s="354"/>
      <c r="CJ238" s="354"/>
      <c r="CK238" s="354"/>
      <c r="CL238" s="354"/>
      <c r="CM238" s="354"/>
      <c r="CN238" s="354"/>
      <c r="CO238" s="354"/>
      <c r="CP238" s="354"/>
      <c r="CQ238" s="354"/>
      <c r="CR238" s="354"/>
      <c r="CS238" s="354"/>
      <c r="CT238" s="354"/>
      <c r="CU238" s="354"/>
      <c r="CV238" s="354"/>
      <c r="CW238" s="354"/>
      <c r="CX238" s="354"/>
      <c r="CY238" s="354"/>
      <c r="CZ238" s="354"/>
      <c r="DA238" s="354"/>
      <c r="DB238" s="354"/>
      <c r="DC238" s="354"/>
      <c r="DD238" s="354"/>
      <c r="DE238" s="354"/>
      <c r="DF238" s="354"/>
      <c r="DG238" s="354"/>
      <c r="DH238" s="354"/>
      <c r="DI238" s="354"/>
      <c r="DJ238" s="354"/>
      <c r="DK238" s="354"/>
      <c r="DL238" s="354"/>
      <c r="DM238" s="354"/>
      <c r="DN238" s="354"/>
      <c r="DO238" s="354"/>
      <c r="DP238" s="354"/>
      <c r="DQ238" s="354"/>
      <c r="DR238" s="354"/>
      <c r="DS238" s="354"/>
      <c r="DT238" s="354"/>
      <c r="DU238" s="354"/>
      <c r="DV238" s="354"/>
      <c r="DW238" s="354"/>
      <c r="DX238" s="354"/>
      <c r="DY238" s="354"/>
      <c r="DZ238" s="354"/>
      <c r="EA238" s="354"/>
      <c r="EB238" s="354"/>
      <c r="EC238" s="354"/>
      <c r="ED238" s="354"/>
      <c r="EE238" s="354"/>
      <c r="EF238" s="354"/>
      <c r="EG238" s="354"/>
      <c r="EH238" s="354"/>
      <c r="EI238" s="354"/>
      <c r="EJ238" s="354"/>
      <c r="EK238" s="354"/>
      <c r="EL238" s="354"/>
      <c r="EM238" s="354"/>
      <c r="EN238" s="354"/>
      <c r="EO238" s="354"/>
      <c r="EP238" s="354"/>
      <c r="EQ238" s="354"/>
      <c r="ER238" s="354"/>
      <c r="ES238" s="354"/>
      <c r="ET238" s="354"/>
      <c r="EU238" s="354"/>
      <c r="EV238" s="354"/>
      <c r="EW238" s="354"/>
      <c r="EX238" s="354"/>
      <c r="EY238" s="354"/>
      <c r="EZ238" s="354"/>
      <c r="FA238" s="354"/>
      <c r="FB238" s="354"/>
      <c r="FC238" s="354"/>
      <c r="FD238" s="354"/>
      <c r="FE238" s="354"/>
      <c r="FF238" s="354"/>
      <c r="FG238" s="354"/>
      <c r="FH238" s="354"/>
      <c r="FI238" s="354"/>
      <c r="FJ238" s="354"/>
      <c r="FK238" s="354"/>
      <c r="FL238" s="354"/>
      <c r="FM238" s="354"/>
      <c r="FN238" s="354"/>
      <c r="FO238" s="354"/>
      <c r="FP238" s="354"/>
      <c r="FQ238" s="354"/>
      <c r="FR238" s="354"/>
      <c r="FS238" s="354"/>
      <c r="FT238" s="354"/>
      <c r="FU238" s="354"/>
      <c r="FV238" s="354"/>
      <c r="FW238" s="354"/>
      <c r="FX238" s="354"/>
      <c r="FY238" s="354"/>
      <c r="FZ238" s="354"/>
      <c r="GA238" s="354"/>
      <c r="GB238" s="354"/>
      <c r="GC238" s="354"/>
      <c r="GD238" s="354"/>
      <c r="GE238" s="354"/>
      <c r="GF238" s="354"/>
      <c r="GG238" s="354"/>
      <c r="GH238" s="354"/>
      <c r="GI238" s="354"/>
      <c r="GJ238" s="354"/>
      <c r="GK238" s="354"/>
      <c r="GL238" s="354"/>
      <c r="GM238" s="354"/>
      <c r="GN238" s="354"/>
      <c r="GO238" s="354"/>
      <c r="GP238" s="354"/>
      <c r="GQ238" s="354"/>
      <c r="GR238" s="354"/>
      <c r="GS238" s="354"/>
      <c r="GT238" s="354"/>
      <c r="GU238" s="354"/>
      <c r="GV238" s="354"/>
      <c r="GW238" s="354"/>
      <c r="GX238" s="354"/>
      <c r="GY238" s="354"/>
      <c r="GZ238" s="354"/>
      <c r="HA238" s="354"/>
      <c r="HB238" s="354"/>
      <c r="HC238" s="354"/>
      <c r="HD238" s="354"/>
      <c r="HE238" s="354"/>
      <c r="HF238" s="354"/>
      <c r="HG238" s="354"/>
      <c r="HH238" s="354"/>
      <c r="HI238" s="354"/>
      <c r="HJ238" s="354"/>
      <c r="HK238" s="354"/>
      <c r="HL238" s="354"/>
      <c r="HM238" s="354"/>
      <c r="HN238" s="354"/>
      <c r="HO238" s="354"/>
      <c r="HP238" s="354"/>
      <c r="HQ238" s="354"/>
      <c r="HR238" s="354"/>
      <c r="HS238" s="354"/>
      <c r="HT238" s="354"/>
      <c r="HU238" s="354"/>
      <c r="HV238" s="354"/>
      <c r="HW238" s="354"/>
      <c r="HX238" s="354"/>
      <c r="HY238" s="354"/>
      <c r="HZ238" s="354"/>
      <c r="IA238" s="354"/>
      <c r="IB238" s="354"/>
      <c r="IC238" s="354"/>
      <c r="ID238" s="354"/>
      <c r="IE238" s="354"/>
      <c r="IF238" s="354"/>
      <c r="IG238" s="354"/>
      <c r="IH238" s="354"/>
      <c r="II238" s="354"/>
      <c r="IJ238" s="354"/>
      <c r="IK238" s="354"/>
      <c r="IL238" s="354"/>
      <c r="IM238" s="354"/>
      <c r="IN238" s="354"/>
      <c r="IO238" s="354"/>
      <c r="IP238" s="354"/>
      <c r="IQ238" s="354"/>
      <c r="IR238" s="354"/>
      <c r="IS238" s="354"/>
      <c r="IT238" s="354"/>
      <c r="IU238" s="354"/>
      <c r="IV238" s="354"/>
      <c r="IW238" s="354"/>
      <c r="IX238" s="354"/>
      <c r="IY238" s="354"/>
      <c r="IZ238" s="371"/>
      <c r="JA238" s="371"/>
      <c r="JB238" s="371"/>
      <c r="JC238" s="371"/>
      <c r="JD238" s="371"/>
      <c r="JE238" s="371"/>
      <c r="JF238" s="371"/>
      <c r="JG238" s="371"/>
      <c r="JH238" s="371"/>
      <c r="JI238" s="371"/>
      <c r="JJ238" s="371"/>
      <c r="JK238" s="371"/>
      <c r="JL238" s="371"/>
      <c r="JM238" s="371"/>
      <c r="JN238" s="371"/>
      <c r="JO238" s="371"/>
      <c r="JP238" s="371"/>
      <c r="JQ238" s="371"/>
      <c r="JR238" s="371"/>
      <c r="JS238" s="371"/>
      <c r="JT238" s="371"/>
      <c r="JU238" s="371"/>
      <c r="JV238" s="371"/>
      <c r="JW238" s="371"/>
      <c r="JX238" s="371"/>
      <c r="JY238" s="371"/>
      <c r="JZ238" s="371"/>
      <c r="KA238" s="371"/>
      <c r="KB238" s="371"/>
      <c r="KC238" s="371"/>
      <c r="KD238" s="371"/>
      <c r="KE238" s="371"/>
      <c r="KF238" s="371"/>
      <c r="KG238" s="371"/>
      <c r="KH238" s="354"/>
      <c r="KI238" s="354"/>
      <c r="KJ238" s="354"/>
      <c r="KK238" s="354"/>
      <c r="KL238" s="354"/>
      <c r="KM238" s="354"/>
      <c r="KN238" s="354"/>
      <c r="KO238" s="354"/>
      <c r="KP238" s="354"/>
      <c r="KQ238" s="354"/>
      <c r="KR238" s="354"/>
      <c r="KS238" s="354"/>
      <c r="KT238" s="354"/>
      <c r="KU238" s="354"/>
      <c r="KV238" s="354"/>
      <c r="KW238" s="354"/>
      <c r="KX238" s="354"/>
      <c r="KY238" s="354"/>
      <c r="KZ238" s="354"/>
      <c r="LA238" s="354"/>
      <c r="LB238" s="354"/>
      <c r="LC238" s="354"/>
      <c r="LD238" s="354"/>
      <c r="LE238" s="354"/>
      <c r="LF238" s="354"/>
      <c r="LG238" s="354"/>
      <c r="LH238" s="354"/>
      <c r="LI238" s="354"/>
      <c r="LJ238" s="354"/>
      <c r="LK238" s="354"/>
      <c r="LL238" s="354"/>
      <c r="LM238" s="354"/>
      <c r="LN238" s="354"/>
      <c r="LO238" s="354"/>
      <c r="LP238" s="354"/>
      <c r="LQ238" s="354"/>
      <c r="LR238" s="354"/>
      <c r="LS238" s="354"/>
      <c r="LT238" s="354"/>
      <c r="LU238" s="354"/>
      <c r="LV238" s="354"/>
      <c r="LW238" s="354"/>
      <c r="LX238" s="354"/>
      <c r="LY238" s="354"/>
      <c r="LZ238" s="354"/>
      <c r="MA238" s="354"/>
      <c r="MB238" s="354"/>
      <c r="MC238" s="354"/>
      <c r="MD238" s="354"/>
      <c r="ME238" s="354"/>
      <c r="MF238" s="354"/>
      <c r="MG238" s="354"/>
      <c r="MH238" s="354"/>
      <c r="MI238" s="354"/>
      <c r="MJ238" s="354"/>
      <c r="MK238" s="354"/>
      <c r="ML238" s="354"/>
      <c r="MM238" s="354"/>
      <c r="MN238" s="354"/>
      <c r="MO238" s="354"/>
      <c r="MP238" s="354"/>
      <c r="MQ238" s="354"/>
      <c r="MR238" s="354"/>
      <c r="MS238" s="354"/>
      <c r="MT238" s="354"/>
      <c r="MU238" s="354"/>
      <c r="MV238" s="354"/>
      <c r="MW238" s="354"/>
      <c r="MX238" s="354"/>
      <c r="MY238" s="354"/>
      <c r="MZ238" s="354"/>
      <c r="NA238" s="354"/>
      <c r="NB238" s="354"/>
      <c r="NC238" s="354"/>
      <c r="ND238" s="354"/>
      <c r="NE238" s="354"/>
      <c r="NF238" s="354"/>
      <c r="NG238" s="354"/>
      <c r="NH238" s="354"/>
      <c r="NI238" s="354"/>
      <c r="NJ238" s="354"/>
      <c r="NK238" s="354"/>
      <c r="NL238" s="354"/>
      <c r="NM238" s="354"/>
      <c r="NN238" s="354"/>
      <c r="NO238" s="354"/>
      <c r="NP238" s="354"/>
      <c r="NQ238" s="354"/>
      <c r="NR238" s="354"/>
      <c r="NS238" s="354"/>
      <c r="NT238" s="354"/>
      <c r="NU238" s="354"/>
      <c r="NV238" s="354"/>
      <c r="NW238" s="354"/>
      <c r="NX238" s="354"/>
      <c r="NY238" s="354"/>
      <c r="NZ238" s="354"/>
      <c r="OA238" s="354"/>
      <c r="OB238" s="354"/>
      <c r="OC238" s="354"/>
      <c r="OD238" s="354"/>
      <c r="OE238" s="354"/>
      <c r="OF238" s="354"/>
      <c r="OG238" s="354"/>
      <c r="OH238" s="354"/>
      <c r="OI238" s="354"/>
      <c r="OJ238" s="354"/>
      <c r="OK238" s="354"/>
      <c r="OL238" s="354"/>
      <c r="OM238" s="354"/>
      <c r="ON238" s="354"/>
      <c r="OO238" s="354"/>
      <c r="OP238" s="354"/>
      <c r="OQ238" s="354"/>
      <c r="OR238" s="354"/>
      <c r="OS238" s="354"/>
      <c r="OT238" s="354"/>
      <c r="OU238" s="354"/>
      <c r="OV238" s="354"/>
      <c r="OW238" s="354"/>
      <c r="OX238" s="354"/>
      <c r="OY238" s="354"/>
      <c r="OZ238" s="354"/>
      <c r="PA238" s="354"/>
      <c r="PB238" s="354"/>
      <c r="PC238" s="354"/>
      <c r="PD238" s="354"/>
      <c r="PE238" s="354"/>
      <c r="PF238" s="354"/>
      <c r="PG238" s="354"/>
      <c r="PH238" s="354"/>
      <c r="PI238" s="354"/>
      <c r="PJ238" s="354"/>
      <c r="PK238" s="354"/>
      <c r="PL238" s="354"/>
      <c r="PM238" s="354"/>
      <c r="PN238" s="354"/>
      <c r="PO238" s="354"/>
      <c r="PP238" s="354"/>
      <c r="PQ238" s="354"/>
      <c r="PR238" s="354"/>
      <c r="PS238" s="354"/>
      <c r="PT238" s="354"/>
      <c r="PU238" s="354"/>
      <c r="PV238" s="354"/>
      <c r="PW238" s="354"/>
      <c r="PX238" s="354"/>
      <c r="PY238" s="354"/>
      <c r="PZ238" s="354"/>
      <c r="QA238" s="354"/>
      <c r="QB238" s="354"/>
      <c r="QC238" s="354"/>
      <c r="QD238" s="354"/>
      <c r="QE238" s="354"/>
      <c r="QF238" s="354"/>
      <c r="QG238" s="354"/>
      <c r="QH238" s="354"/>
      <c r="QI238" s="354"/>
      <c r="QJ238" s="354"/>
      <c r="QK238" s="354"/>
      <c r="QL238" s="354"/>
      <c r="QM238" s="354"/>
      <c r="QN238" s="354"/>
      <c r="QO238" s="354"/>
      <c r="QP238" s="354"/>
      <c r="QQ238" s="354"/>
      <c r="QR238" s="354"/>
      <c r="QS238" s="354"/>
      <c r="QT238" s="354"/>
      <c r="QU238" s="354"/>
      <c r="QV238" s="354"/>
      <c r="QW238" s="354"/>
      <c r="QX238" s="354"/>
      <c r="QY238" s="354"/>
      <c r="QZ238" s="354"/>
      <c r="RA238" s="354"/>
      <c r="RB238" s="354"/>
      <c r="RC238" s="354"/>
      <c r="RD238" s="354"/>
      <c r="RE238" s="354"/>
      <c r="RF238" s="354"/>
      <c r="RG238" s="354"/>
      <c r="RH238" s="354"/>
      <c r="RI238" s="354"/>
      <c r="RJ238" s="354"/>
      <c r="RK238" s="354"/>
      <c r="RL238" s="354"/>
      <c r="RM238" s="354"/>
      <c r="RN238" s="354"/>
      <c r="RO238" s="354"/>
      <c r="RP238" s="354"/>
      <c r="RQ238" s="354"/>
      <c r="RR238" s="354"/>
      <c r="RS238" s="354"/>
      <c r="RT238" s="354"/>
      <c r="RU238" s="354"/>
      <c r="RV238" s="354"/>
      <c r="RW238" s="354"/>
      <c r="RX238" s="354"/>
      <c r="RY238" s="354"/>
      <c r="RZ238" s="354"/>
      <c r="SA238" s="354"/>
      <c r="SB238" s="354"/>
      <c r="SC238" s="354"/>
      <c r="SD238" s="354"/>
      <c r="SE238" s="354"/>
      <c r="SF238" s="354"/>
      <c r="SG238" s="354"/>
      <c r="SH238" s="354"/>
      <c r="SI238" s="354"/>
      <c r="SJ238" s="354"/>
      <c r="SK238" s="354"/>
      <c r="SL238" s="354"/>
      <c r="SM238" s="354"/>
      <c r="SN238" s="354"/>
      <c r="SO238" s="354"/>
      <c r="SP238" s="354"/>
      <c r="SQ238" s="354"/>
      <c r="SR238" s="354"/>
      <c r="SS238" s="354"/>
    </row>
    <row r="239" spans="1:513" s="449" customFormat="1">
      <c r="C239" s="450" t="s">
        <v>4522</v>
      </c>
      <c r="D239" s="450"/>
      <c r="E239" s="450"/>
      <c r="F239" s="450"/>
      <c r="G239" s="450"/>
      <c r="H239" s="450"/>
      <c r="M239" s="451"/>
      <c r="N239" s="467"/>
      <c r="O239" s="467"/>
      <c r="P239" s="468"/>
      <c r="Q239" s="469"/>
      <c r="R239" s="469"/>
      <c r="S239" s="469"/>
      <c r="T239" s="453"/>
      <c r="Y239" s="451"/>
      <c r="AA239" s="465"/>
      <c r="AB239" s="465"/>
      <c r="AC239" s="448"/>
      <c r="AD239" s="448"/>
      <c r="AM239" s="453"/>
      <c r="AO239" s="452"/>
      <c r="AP239" s="452"/>
      <c r="AQ239" s="452"/>
      <c r="AR239" s="448"/>
      <c r="AS239" s="448"/>
      <c r="AT239" s="448"/>
      <c r="AU239" s="448"/>
      <c r="AV239" s="448"/>
      <c r="AW239" s="354"/>
      <c r="AX239" s="354"/>
      <c r="AY239" s="354"/>
      <c r="AZ239" s="354"/>
      <c r="BA239" s="354"/>
      <c r="BB239" s="354"/>
      <c r="BC239" s="354"/>
      <c r="BD239" s="354"/>
      <c r="BE239" s="354"/>
      <c r="BF239" s="354"/>
      <c r="BG239" s="354"/>
      <c r="BH239" s="354"/>
      <c r="BI239" s="354"/>
      <c r="BJ239" s="354"/>
      <c r="BK239" s="354"/>
      <c r="BL239" s="354"/>
      <c r="BM239" s="354"/>
      <c r="BN239" s="354"/>
      <c r="BO239" s="354"/>
      <c r="BP239" s="354"/>
      <c r="BQ239" s="354"/>
      <c r="BR239" s="354"/>
      <c r="BS239" s="354"/>
      <c r="BT239" s="354"/>
      <c r="BU239" s="354"/>
      <c r="BV239" s="354"/>
      <c r="BW239" s="354"/>
      <c r="BX239" s="354"/>
      <c r="BY239" s="354"/>
      <c r="BZ239" s="354"/>
      <c r="CA239" s="354"/>
      <c r="CB239" s="354"/>
      <c r="CC239" s="354"/>
      <c r="CD239" s="354"/>
      <c r="CE239" s="354"/>
      <c r="CF239" s="354"/>
      <c r="CG239" s="354"/>
      <c r="CH239" s="354"/>
      <c r="CI239" s="354"/>
      <c r="CJ239" s="354"/>
      <c r="CK239" s="354"/>
      <c r="CL239" s="354"/>
      <c r="CM239" s="354"/>
      <c r="CN239" s="354"/>
      <c r="CO239" s="354"/>
      <c r="CP239" s="354"/>
      <c r="CQ239" s="354"/>
      <c r="CR239" s="354"/>
      <c r="CS239" s="354"/>
      <c r="CT239" s="354"/>
      <c r="CU239" s="354"/>
      <c r="CV239" s="354"/>
      <c r="CW239" s="354"/>
      <c r="CX239" s="354"/>
      <c r="CY239" s="354"/>
      <c r="CZ239" s="354"/>
      <c r="DA239" s="354"/>
      <c r="DB239" s="354"/>
      <c r="DC239" s="354"/>
      <c r="DD239" s="354"/>
      <c r="DE239" s="354"/>
      <c r="DF239" s="354"/>
      <c r="DG239" s="354"/>
      <c r="DH239" s="354"/>
      <c r="DI239" s="354"/>
      <c r="DJ239" s="354"/>
      <c r="DK239" s="354"/>
      <c r="DL239" s="354"/>
      <c r="DM239" s="354"/>
      <c r="DN239" s="354"/>
      <c r="DO239" s="354"/>
      <c r="DP239" s="354"/>
      <c r="DQ239" s="354"/>
      <c r="DR239" s="354"/>
      <c r="DS239" s="354"/>
      <c r="DT239" s="354"/>
      <c r="DU239" s="354"/>
      <c r="DV239" s="354"/>
      <c r="DW239" s="354"/>
      <c r="DX239" s="354"/>
      <c r="DY239" s="354"/>
      <c r="DZ239" s="354"/>
      <c r="EA239" s="354"/>
      <c r="EB239" s="354"/>
      <c r="EC239" s="354"/>
      <c r="ED239" s="354"/>
      <c r="EE239" s="354"/>
      <c r="EF239" s="354"/>
      <c r="EG239" s="354"/>
      <c r="EH239" s="354"/>
      <c r="EI239" s="354"/>
      <c r="EJ239" s="354"/>
      <c r="EK239" s="354"/>
      <c r="EL239" s="354"/>
      <c r="EM239" s="354"/>
      <c r="EN239" s="354"/>
      <c r="EO239" s="354"/>
      <c r="EP239" s="354"/>
      <c r="EQ239" s="354"/>
      <c r="ER239" s="354"/>
      <c r="ES239" s="354"/>
      <c r="ET239" s="354"/>
      <c r="EU239" s="354"/>
      <c r="EV239" s="354"/>
      <c r="EW239" s="354"/>
      <c r="EX239" s="354"/>
      <c r="EY239" s="354"/>
      <c r="EZ239" s="354"/>
      <c r="FA239" s="354"/>
      <c r="FB239" s="354"/>
      <c r="FC239" s="354"/>
      <c r="FD239" s="354"/>
      <c r="FE239" s="354"/>
      <c r="FF239" s="354"/>
      <c r="FG239" s="354"/>
      <c r="FH239" s="354"/>
      <c r="FI239" s="354"/>
      <c r="FJ239" s="354"/>
      <c r="FK239" s="354"/>
      <c r="FL239" s="354"/>
      <c r="FM239" s="354"/>
      <c r="FN239" s="354"/>
      <c r="FO239" s="354"/>
      <c r="FP239" s="354"/>
      <c r="FQ239" s="354"/>
      <c r="FR239" s="354"/>
      <c r="FS239" s="354"/>
      <c r="FT239" s="354"/>
      <c r="FU239" s="354"/>
      <c r="FV239" s="354"/>
      <c r="FW239" s="354"/>
      <c r="FX239" s="354"/>
      <c r="FY239" s="354"/>
      <c r="FZ239" s="354"/>
      <c r="GA239" s="354"/>
      <c r="GB239" s="354"/>
      <c r="GC239" s="354"/>
      <c r="GD239" s="354"/>
      <c r="GE239" s="354"/>
      <c r="GF239" s="354"/>
      <c r="GG239" s="354"/>
      <c r="GH239" s="354"/>
      <c r="GI239" s="354"/>
      <c r="GJ239" s="354"/>
      <c r="GK239" s="354"/>
      <c r="GL239" s="354"/>
      <c r="GM239" s="354"/>
      <c r="GN239" s="354"/>
      <c r="GO239" s="354"/>
      <c r="GP239" s="354"/>
      <c r="GQ239" s="354"/>
      <c r="GR239" s="354"/>
      <c r="GS239" s="354"/>
      <c r="GT239" s="354"/>
      <c r="GU239" s="354"/>
      <c r="GV239" s="354"/>
      <c r="GW239" s="354"/>
      <c r="GX239" s="354"/>
      <c r="GY239" s="354"/>
      <c r="GZ239" s="354"/>
      <c r="HA239" s="354"/>
      <c r="HB239" s="354"/>
      <c r="HC239" s="354"/>
      <c r="HD239" s="354"/>
      <c r="HE239" s="354"/>
      <c r="HF239" s="354"/>
      <c r="HG239" s="354"/>
      <c r="HH239" s="354"/>
      <c r="HI239" s="354"/>
      <c r="HJ239" s="354"/>
      <c r="HK239" s="354"/>
      <c r="HL239" s="354"/>
      <c r="HM239" s="354"/>
      <c r="HN239" s="354"/>
      <c r="HO239" s="354"/>
      <c r="HP239" s="354"/>
      <c r="HQ239" s="354"/>
      <c r="HR239" s="354"/>
      <c r="HS239" s="354"/>
      <c r="HT239" s="354"/>
      <c r="HU239" s="354"/>
      <c r="HV239" s="354"/>
      <c r="HW239" s="354"/>
      <c r="HX239" s="354"/>
      <c r="HY239" s="354"/>
      <c r="HZ239" s="354"/>
      <c r="IA239" s="354"/>
      <c r="IB239" s="354"/>
      <c r="IC239" s="354"/>
      <c r="ID239" s="354"/>
      <c r="IE239" s="354"/>
      <c r="IF239" s="354"/>
      <c r="IG239" s="354"/>
      <c r="IH239" s="354"/>
      <c r="II239" s="354"/>
      <c r="IJ239" s="354"/>
      <c r="IK239" s="354"/>
      <c r="IL239" s="354"/>
      <c r="IM239" s="354"/>
      <c r="IN239" s="354"/>
      <c r="IO239" s="354"/>
      <c r="IP239" s="354"/>
      <c r="IQ239" s="354"/>
      <c r="IR239" s="354"/>
      <c r="IS239" s="354"/>
      <c r="IT239" s="354"/>
      <c r="IU239" s="354"/>
      <c r="IV239" s="354"/>
      <c r="IW239" s="354"/>
      <c r="IX239" s="354"/>
      <c r="IY239" s="354"/>
      <c r="IZ239" s="371"/>
      <c r="JA239" s="371"/>
      <c r="JB239" s="371"/>
      <c r="JC239" s="371"/>
      <c r="JD239" s="371"/>
      <c r="JE239" s="371"/>
      <c r="JF239" s="371"/>
      <c r="JG239" s="371"/>
      <c r="JH239" s="371"/>
      <c r="JI239" s="371"/>
      <c r="JJ239" s="371"/>
      <c r="JK239" s="371"/>
      <c r="JL239" s="371"/>
      <c r="JM239" s="371"/>
      <c r="JN239" s="371"/>
      <c r="JO239" s="371"/>
      <c r="JP239" s="371"/>
      <c r="JQ239" s="371"/>
      <c r="JR239" s="371"/>
      <c r="JS239" s="371"/>
      <c r="JT239" s="371"/>
      <c r="JU239" s="371"/>
      <c r="JV239" s="371"/>
      <c r="JW239" s="371"/>
      <c r="JX239" s="371"/>
      <c r="JY239" s="371"/>
      <c r="JZ239" s="371"/>
      <c r="KA239" s="371"/>
      <c r="KB239" s="371"/>
      <c r="KC239" s="371"/>
      <c r="KD239" s="371"/>
      <c r="KE239" s="371"/>
      <c r="KF239" s="371"/>
      <c r="KG239" s="371"/>
      <c r="KH239" s="354"/>
      <c r="KI239" s="354"/>
      <c r="KJ239" s="354"/>
      <c r="KK239" s="354"/>
      <c r="KL239" s="354"/>
      <c r="KM239" s="354"/>
      <c r="KN239" s="354"/>
      <c r="KO239" s="354"/>
      <c r="KP239" s="354"/>
      <c r="KQ239" s="354"/>
      <c r="KR239" s="354"/>
      <c r="KS239" s="354"/>
      <c r="KT239" s="354"/>
      <c r="KU239" s="354"/>
      <c r="KV239" s="354"/>
      <c r="KW239" s="354"/>
      <c r="KX239" s="354"/>
      <c r="KY239" s="354"/>
      <c r="KZ239" s="354"/>
      <c r="LA239" s="354"/>
      <c r="LB239" s="354"/>
      <c r="LC239" s="354"/>
      <c r="LD239" s="354"/>
      <c r="LE239" s="354"/>
      <c r="LF239" s="354"/>
      <c r="LG239" s="354"/>
      <c r="LH239" s="354"/>
      <c r="LI239" s="354"/>
      <c r="LJ239" s="354"/>
      <c r="LK239" s="354"/>
      <c r="LL239" s="354"/>
      <c r="LM239" s="354"/>
      <c r="LN239" s="354"/>
      <c r="LO239" s="354"/>
      <c r="LP239" s="354"/>
      <c r="LQ239" s="354"/>
      <c r="LR239" s="354"/>
      <c r="LS239" s="354"/>
      <c r="LT239" s="354"/>
      <c r="LU239" s="354"/>
      <c r="LV239" s="354"/>
      <c r="LW239" s="354"/>
      <c r="LX239" s="354"/>
      <c r="LY239" s="354"/>
      <c r="LZ239" s="354"/>
      <c r="MA239" s="354"/>
      <c r="MB239" s="354"/>
      <c r="MC239" s="354"/>
      <c r="MD239" s="354"/>
      <c r="ME239" s="354"/>
      <c r="MF239" s="354"/>
      <c r="MG239" s="354"/>
      <c r="MH239" s="354"/>
      <c r="MI239" s="354"/>
      <c r="MJ239" s="354"/>
      <c r="MK239" s="354"/>
      <c r="ML239" s="354"/>
      <c r="MM239" s="354"/>
      <c r="MN239" s="354"/>
      <c r="MO239" s="354"/>
      <c r="MP239" s="354"/>
      <c r="MQ239" s="354"/>
      <c r="MR239" s="354"/>
      <c r="MS239" s="354"/>
      <c r="MT239" s="354"/>
      <c r="MU239" s="354"/>
      <c r="MV239" s="354"/>
      <c r="MW239" s="354"/>
      <c r="MX239" s="354"/>
      <c r="MY239" s="354"/>
      <c r="MZ239" s="354"/>
      <c r="NA239" s="354"/>
      <c r="NB239" s="354"/>
      <c r="NC239" s="354"/>
      <c r="ND239" s="354"/>
      <c r="NE239" s="354"/>
      <c r="NF239" s="354"/>
      <c r="NG239" s="354"/>
      <c r="NH239" s="354"/>
      <c r="NI239" s="354"/>
      <c r="NJ239" s="354"/>
      <c r="NK239" s="354"/>
      <c r="NL239" s="354"/>
      <c r="NM239" s="354"/>
      <c r="NN239" s="354"/>
      <c r="NO239" s="354"/>
      <c r="NP239" s="354"/>
      <c r="NQ239" s="354"/>
      <c r="NR239" s="354"/>
      <c r="NS239" s="354"/>
      <c r="NT239" s="354"/>
      <c r="NU239" s="354"/>
      <c r="NV239" s="354"/>
      <c r="NW239" s="354"/>
      <c r="NX239" s="354"/>
      <c r="NY239" s="354"/>
      <c r="NZ239" s="354"/>
      <c r="OA239" s="354"/>
      <c r="OB239" s="354"/>
      <c r="OC239" s="354"/>
      <c r="OD239" s="354"/>
      <c r="OE239" s="354"/>
      <c r="OF239" s="354"/>
      <c r="OG239" s="354"/>
      <c r="OH239" s="354"/>
      <c r="OI239" s="354"/>
      <c r="OJ239" s="354"/>
      <c r="OK239" s="354"/>
      <c r="OL239" s="354"/>
      <c r="OM239" s="354"/>
      <c r="ON239" s="354"/>
      <c r="OO239" s="354"/>
      <c r="OP239" s="354"/>
      <c r="OQ239" s="354"/>
      <c r="OR239" s="354"/>
      <c r="OS239" s="354"/>
      <c r="OT239" s="354"/>
      <c r="OU239" s="354"/>
      <c r="OV239" s="354"/>
      <c r="OW239" s="354"/>
      <c r="OX239" s="354"/>
      <c r="OY239" s="354"/>
      <c r="OZ239" s="354"/>
      <c r="PA239" s="354"/>
      <c r="PB239" s="354"/>
      <c r="PC239" s="354"/>
      <c r="PD239" s="354"/>
      <c r="PE239" s="354"/>
      <c r="PF239" s="354"/>
      <c r="PG239" s="354"/>
      <c r="PH239" s="354"/>
      <c r="PI239" s="354"/>
      <c r="PJ239" s="354"/>
      <c r="PK239" s="354"/>
      <c r="PL239" s="354"/>
      <c r="PM239" s="354"/>
      <c r="PN239" s="354"/>
      <c r="PO239" s="354"/>
      <c r="PP239" s="354"/>
      <c r="PQ239" s="354"/>
      <c r="PR239" s="354"/>
      <c r="PS239" s="354"/>
      <c r="PT239" s="354"/>
      <c r="PU239" s="354"/>
      <c r="PV239" s="354"/>
      <c r="PW239" s="354"/>
      <c r="PX239" s="354"/>
      <c r="PY239" s="354"/>
      <c r="PZ239" s="354"/>
      <c r="QA239" s="354"/>
      <c r="QB239" s="354"/>
      <c r="QC239" s="354"/>
      <c r="QD239" s="354"/>
      <c r="QE239" s="354"/>
      <c r="QF239" s="354"/>
      <c r="QG239" s="354"/>
      <c r="QH239" s="354"/>
      <c r="QI239" s="354"/>
      <c r="QJ239" s="354"/>
      <c r="QK239" s="354"/>
      <c r="QL239" s="354"/>
      <c r="QM239" s="354"/>
      <c r="QN239" s="354"/>
      <c r="QO239" s="354"/>
      <c r="QP239" s="354"/>
      <c r="QQ239" s="354"/>
      <c r="QR239" s="354"/>
      <c r="QS239" s="354"/>
      <c r="QT239" s="354"/>
      <c r="QU239" s="354"/>
      <c r="QV239" s="354"/>
      <c r="QW239" s="354"/>
      <c r="QX239" s="354"/>
      <c r="QY239" s="354"/>
      <c r="QZ239" s="354"/>
      <c r="RA239" s="354"/>
      <c r="RB239" s="354"/>
      <c r="RC239" s="354"/>
      <c r="RD239" s="354"/>
      <c r="RE239" s="354"/>
      <c r="RF239" s="354"/>
      <c r="RG239" s="354"/>
      <c r="RH239" s="354"/>
      <c r="RI239" s="354"/>
      <c r="RJ239" s="354"/>
      <c r="RK239" s="354"/>
      <c r="RL239" s="354"/>
      <c r="RM239" s="354"/>
      <c r="RN239" s="354"/>
      <c r="RO239" s="354"/>
      <c r="RP239" s="354"/>
      <c r="RQ239" s="354"/>
      <c r="RR239" s="354"/>
      <c r="RS239" s="354"/>
      <c r="RT239" s="354"/>
      <c r="RU239" s="354"/>
      <c r="RV239" s="354"/>
      <c r="RW239" s="354"/>
      <c r="RX239" s="354"/>
      <c r="RY239" s="354"/>
      <c r="RZ239" s="354"/>
      <c r="SA239" s="354"/>
      <c r="SB239" s="354"/>
      <c r="SC239" s="354"/>
      <c r="SD239" s="354"/>
      <c r="SE239" s="354"/>
      <c r="SF239" s="354"/>
      <c r="SG239" s="354"/>
      <c r="SH239" s="354"/>
      <c r="SI239" s="354"/>
      <c r="SJ239" s="354"/>
      <c r="SK239" s="354"/>
      <c r="SL239" s="354"/>
      <c r="SM239" s="354"/>
      <c r="SN239" s="354"/>
      <c r="SO239" s="354"/>
      <c r="SP239" s="354"/>
      <c r="SQ239" s="354"/>
      <c r="SR239" s="354"/>
      <c r="SS239" s="354"/>
    </row>
    <row r="240" spans="1:513" s="449" customFormat="1">
      <c r="C240" s="1055">
        <f>+AP22</f>
        <v>0</v>
      </c>
      <c r="D240" s="1055"/>
      <c r="E240" s="1055"/>
      <c r="F240" s="1055"/>
      <c r="G240" s="1055"/>
      <c r="H240" s="1055"/>
      <c r="I240" s="1055"/>
      <c r="K240" s="449" t="s">
        <v>4508</v>
      </c>
      <c r="M240" s="451"/>
      <c r="N240" s="467"/>
      <c r="O240" s="467"/>
      <c r="P240" s="468"/>
      <c r="Q240" s="1056">
        <f>+AO238</f>
        <v>0</v>
      </c>
      <c r="R240" s="1056"/>
      <c r="S240" s="1056"/>
      <c r="T240" s="1056"/>
      <c r="U240" s="1056"/>
      <c r="V240" s="1056"/>
      <c r="W240" s="1056"/>
      <c r="X240" s="1056"/>
      <c r="Y240" s="451"/>
      <c r="AA240" s="465"/>
      <c r="AB240" s="465"/>
      <c r="AC240" s="448"/>
      <c r="AD240" s="448"/>
      <c r="AM240" s="453" t="s">
        <v>4426</v>
      </c>
      <c r="AO240" s="1038">
        <f>ROUND(C240*Q240,1)</f>
        <v>0</v>
      </c>
      <c r="AP240" s="1038"/>
      <c r="AQ240" s="1038"/>
      <c r="AR240" s="1046"/>
      <c r="AS240" s="1046"/>
      <c r="AT240" s="1046"/>
      <c r="AU240" s="1046"/>
      <c r="AV240" s="1046"/>
      <c r="AW240" s="354"/>
      <c r="AX240" s="354"/>
      <c r="AY240" s="354"/>
      <c r="AZ240" s="354"/>
      <c r="BA240" s="354"/>
      <c r="BB240" s="354"/>
      <c r="BC240" s="354"/>
      <c r="BD240" s="354"/>
      <c r="BE240" s="354"/>
      <c r="BF240" s="354"/>
      <c r="BG240" s="354"/>
      <c r="BH240" s="354"/>
      <c r="BI240" s="354"/>
      <c r="BJ240" s="354"/>
      <c r="BK240" s="354"/>
      <c r="BL240" s="354"/>
      <c r="BM240" s="354"/>
      <c r="BN240" s="354"/>
      <c r="BO240" s="354"/>
      <c r="BP240" s="354"/>
      <c r="BQ240" s="354"/>
      <c r="BR240" s="354"/>
      <c r="BS240" s="354"/>
      <c r="BT240" s="354"/>
      <c r="BU240" s="354"/>
      <c r="BV240" s="354"/>
      <c r="BW240" s="354"/>
      <c r="BX240" s="354"/>
      <c r="BY240" s="354"/>
      <c r="BZ240" s="354"/>
      <c r="CA240" s="354"/>
      <c r="CB240" s="354"/>
      <c r="CC240" s="354"/>
      <c r="CD240" s="354"/>
      <c r="CE240" s="354"/>
      <c r="CF240" s="354"/>
      <c r="CG240" s="354"/>
      <c r="CH240" s="354"/>
      <c r="CI240" s="354"/>
      <c r="CJ240" s="354"/>
      <c r="CK240" s="354"/>
      <c r="CL240" s="354"/>
      <c r="CM240" s="354"/>
      <c r="CN240" s="354"/>
      <c r="CO240" s="354"/>
      <c r="CP240" s="354"/>
      <c r="CQ240" s="354"/>
      <c r="CR240" s="354"/>
      <c r="CS240" s="354"/>
      <c r="CT240" s="354"/>
      <c r="CU240" s="354"/>
      <c r="CV240" s="354"/>
      <c r="CW240" s="354"/>
      <c r="CX240" s="354"/>
      <c r="CY240" s="354"/>
      <c r="CZ240" s="354"/>
      <c r="DA240" s="354"/>
      <c r="DB240" s="354"/>
      <c r="DC240" s="354"/>
      <c r="DD240" s="354"/>
      <c r="DE240" s="354"/>
      <c r="DF240" s="354"/>
      <c r="DG240" s="354"/>
      <c r="DH240" s="354"/>
      <c r="DI240" s="354"/>
      <c r="DJ240" s="354"/>
      <c r="DK240" s="354"/>
      <c r="DL240" s="354"/>
      <c r="DM240" s="354"/>
      <c r="DN240" s="354"/>
      <c r="DO240" s="354"/>
      <c r="DP240" s="354"/>
      <c r="DQ240" s="354"/>
      <c r="DR240" s="354"/>
      <c r="DS240" s="354"/>
      <c r="DT240" s="354"/>
      <c r="DU240" s="354"/>
      <c r="DV240" s="354"/>
      <c r="DW240" s="354"/>
      <c r="DX240" s="354"/>
      <c r="DY240" s="354"/>
      <c r="DZ240" s="354"/>
      <c r="EA240" s="354"/>
      <c r="EB240" s="354"/>
      <c r="EC240" s="354"/>
      <c r="ED240" s="354"/>
      <c r="EE240" s="354"/>
      <c r="EF240" s="354"/>
      <c r="EG240" s="354"/>
      <c r="EH240" s="354"/>
      <c r="EI240" s="354"/>
      <c r="EJ240" s="354"/>
      <c r="EK240" s="354"/>
      <c r="EL240" s="354"/>
      <c r="EM240" s="354"/>
      <c r="EN240" s="354"/>
      <c r="EO240" s="354"/>
      <c r="EP240" s="354"/>
      <c r="EQ240" s="354"/>
      <c r="ER240" s="354"/>
      <c r="ES240" s="354"/>
      <c r="ET240" s="354"/>
      <c r="EU240" s="354"/>
      <c r="EV240" s="354"/>
      <c r="EW240" s="354"/>
      <c r="EX240" s="354"/>
      <c r="EY240" s="354"/>
      <c r="EZ240" s="354"/>
      <c r="FA240" s="354"/>
      <c r="FB240" s="354"/>
      <c r="FC240" s="354"/>
      <c r="FD240" s="354"/>
      <c r="FE240" s="354"/>
      <c r="FF240" s="354"/>
      <c r="FG240" s="354"/>
      <c r="FH240" s="354"/>
      <c r="FI240" s="354"/>
      <c r="FJ240" s="354"/>
      <c r="FK240" s="354"/>
      <c r="FL240" s="354"/>
      <c r="FM240" s="354"/>
      <c r="FN240" s="354"/>
      <c r="FO240" s="354"/>
      <c r="FP240" s="354"/>
      <c r="FQ240" s="354"/>
      <c r="FR240" s="354"/>
      <c r="FS240" s="354"/>
      <c r="FT240" s="354"/>
      <c r="FU240" s="354"/>
      <c r="FV240" s="354"/>
      <c r="FW240" s="354"/>
      <c r="FX240" s="354"/>
      <c r="FY240" s="354"/>
      <c r="FZ240" s="354"/>
      <c r="GA240" s="354"/>
      <c r="GB240" s="354"/>
      <c r="GC240" s="354"/>
      <c r="GD240" s="354"/>
      <c r="GE240" s="354"/>
      <c r="GF240" s="354"/>
      <c r="GG240" s="354"/>
      <c r="GH240" s="354"/>
      <c r="GI240" s="354"/>
      <c r="GJ240" s="354"/>
      <c r="GK240" s="354"/>
      <c r="GL240" s="354"/>
      <c r="GM240" s="354"/>
      <c r="GN240" s="354"/>
      <c r="GO240" s="354"/>
      <c r="GP240" s="354"/>
      <c r="GQ240" s="354"/>
      <c r="GR240" s="354"/>
      <c r="GS240" s="354"/>
      <c r="GT240" s="354"/>
      <c r="GU240" s="354"/>
      <c r="GV240" s="354"/>
      <c r="GW240" s="354"/>
      <c r="GX240" s="354"/>
      <c r="GY240" s="354"/>
      <c r="GZ240" s="354"/>
      <c r="HA240" s="354"/>
      <c r="HB240" s="354"/>
      <c r="HC240" s="354"/>
      <c r="HD240" s="354"/>
      <c r="HE240" s="354"/>
      <c r="HF240" s="354"/>
      <c r="HG240" s="354"/>
      <c r="HH240" s="354"/>
      <c r="HI240" s="354"/>
      <c r="HJ240" s="354"/>
      <c r="HK240" s="354"/>
      <c r="HL240" s="354"/>
      <c r="HM240" s="354"/>
      <c r="HN240" s="354"/>
      <c r="HO240" s="354"/>
      <c r="HP240" s="354"/>
      <c r="HQ240" s="354"/>
      <c r="HR240" s="354"/>
      <c r="HS240" s="354"/>
      <c r="HT240" s="354"/>
      <c r="HU240" s="354"/>
      <c r="HV240" s="354"/>
      <c r="HW240" s="354"/>
      <c r="HX240" s="354"/>
      <c r="HY240" s="354"/>
      <c r="HZ240" s="354"/>
      <c r="IA240" s="354"/>
      <c r="IB240" s="354"/>
      <c r="IC240" s="354"/>
      <c r="ID240" s="354"/>
      <c r="IE240" s="354"/>
      <c r="IF240" s="354"/>
      <c r="IG240" s="354"/>
      <c r="IH240" s="354"/>
      <c r="II240" s="354"/>
      <c r="IJ240" s="354"/>
      <c r="IK240" s="354"/>
      <c r="IL240" s="354"/>
      <c r="IM240" s="354"/>
      <c r="IN240" s="354"/>
      <c r="IO240" s="354"/>
      <c r="IP240" s="354"/>
      <c r="IQ240" s="354"/>
      <c r="IR240" s="354"/>
      <c r="IS240" s="354"/>
      <c r="IT240" s="354"/>
      <c r="IU240" s="354"/>
      <c r="IV240" s="354"/>
      <c r="IW240" s="354"/>
      <c r="IX240" s="354"/>
      <c r="IY240" s="354"/>
      <c r="IZ240" s="371"/>
      <c r="JA240" s="371"/>
      <c r="JB240" s="371"/>
      <c r="JC240" s="371"/>
      <c r="JD240" s="371"/>
      <c r="JE240" s="371"/>
      <c r="JF240" s="371"/>
      <c r="JG240" s="371"/>
      <c r="JH240" s="371"/>
      <c r="JI240" s="371"/>
      <c r="JJ240" s="371"/>
      <c r="JK240" s="371"/>
      <c r="JL240" s="371"/>
      <c r="JM240" s="371"/>
      <c r="JN240" s="371"/>
      <c r="JO240" s="371"/>
      <c r="JP240" s="371"/>
      <c r="JQ240" s="371"/>
      <c r="JR240" s="371"/>
      <c r="JS240" s="371"/>
      <c r="JT240" s="371"/>
      <c r="JU240" s="371"/>
      <c r="JV240" s="371"/>
      <c r="JW240" s="371"/>
      <c r="JX240" s="371"/>
      <c r="JY240" s="371"/>
      <c r="JZ240" s="371"/>
      <c r="KA240" s="371"/>
      <c r="KB240" s="371"/>
      <c r="KC240" s="371"/>
      <c r="KD240" s="371"/>
      <c r="KE240" s="371"/>
      <c r="KF240" s="371"/>
      <c r="KG240" s="371"/>
      <c r="KH240" s="354"/>
      <c r="KI240" s="354"/>
      <c r="KJ240" s="354"/>
      <c r="KK240" s="354"/>
      <c r="KL240" s="354"/>
      <c r="KM240" s="354"/>
      <c r="KN240" s="354"/>
      <c r="KO240" s="354"/>
      <c r="KP240" s="354"/>
      <c r="KQ240" s="354"/>
      <c r="KR240" s="354"/>
      <c r="KS240" s="354"/>
      <c r="KT240" s="354"/>
      <c r="KU240" s="354"/>
      <c r="KV240" s="354"/>
      <c r="KW240" s="354"/>
      <c r="KX240" s="354"/>
      <c r="KY240" s="354"/>
      <c r="KZ240" s="354"/>
      <c r="LA240" s="354"/>
      <c r="LB240" s="354"/>
      <c r="LC240" s="354"/>
      <c r="LD240" s="354"/>
      <c r="LE240" s="354"/>
      <c r="LF240" s="354"/>
      <c r="LG240" s="354"/>
      <c r="LH240" s="354"/>
      <c r="LI240" s="354"/>
      <c r="LJ240" s="354"/>
      <c r="LK240" s="354"/>
      <c r="LL240" s="354"/>
      <c r="LM240" s="354"/>
      <c r="LN240" s="354"/>
      <c r="LO240" s="354"/>
      <c r="LP240" s="354"/>
      <c r="LQ240" s="354"/>
      <c r="LR240" s="354"/>
      <c r="LS240" s="354"/>
      <c r="LT240" s="354"/>
      <c r="LU240" s="354"/>
      <c r="LV240" s="354"/>
      <c r="LW240" s="354"/>
      <c r="LX240" s="354"/>
      <c r="LY240" s="354"/>
      <c r="LZ240" s="354"/>
      <c r="MA240" s="354"/>
      <c r="MB240" s="354"/>
      <c r="MC240" s="354"/>
      <c r="MD240" s="354"/>
      <c r="ME240" s="354"/>
      <c r="MF240" s="354"/>
      <c r="MG240" s="354"/>
      <c r="MH240" s="354"/>
      <c r="MI240" s="354"/>
      <c r="MJ240" s="354"/>
      <c r="MK240" s="354"/>
      <c r="ML240" s="354"/>
      <c r="MM240" s="354"/>
      <c r="MN240" s="354"/>
      <c r="MO240" s="354"/>
      <c r="MP240" s="354"/>
      <c r="MQ240" s="354"/>
      <c r="MR240" s="354"/>
      <c r="MS240" s="354"/>
      <c r="MT240" s="354"/>
      <c r="MU240" s="354"/>
      <c r="MV240" s="354"/>
      <c r="MW240" s="354"/>
      <c r="MX240" s="354"/>
      <c r="MY240" s="354"/>
      <c r="MZ240" s="354"/>
      <c r="NA240" s="354"/>
      <c r="NB240" s="354"/>
      <c r="NC240" s="354"/>
      <c r="ND240" s="354"/>
      <c r="NE240" s="354"/>
      <c r="NF240" s="354"/>
      <c r="NG240" s="354"/>
      <c r="NH240" s="354"/>
      <c r="NI240" s="354"/>
      <c r="NJ240" s="354"/>
      <c r="NK240" s="354"/>
      <c r="NL240" s="354"/>
      <c r="NM240" s="354"/>
      <c r="NN240" s="354"/>
      <c r="NO240" s="354"/>
      <c r="NP240" s="354"/>
      <c r="NQ240" s="354"/>
      <c r="NR240" s="354"/>
      <c r="NS240" s="354"/>
      <c r="NT240" s="354"/>
      <c r="NU240" s="354"/>
      <c r="NV240" s="354"/>
      <c r="NW240" s="354"/>
      <c r="NX240" s="354"/>
      <c r="NY240" s="354"/>
      <c r="NZ240" s="354"/>
      <c r="OA240" s="354"/>
      <c r="OB240" s="354"/>
      <c r="OC240" s="354"/>
      <c r="OD240" s="354"/>
      <c r="OE240" s="354"/>
      <c r="OF240" s="354"/>
      <c r="OG240" s="354"/>
      <c r="OH240" s="354"/>
      <c r="OI240" s="354"/>
      <c r="OJ240" s="354"/>
      <c r="OK240" s="354"/>
      <c r="OL240" s="354"/>
      <c r="OM240" s="354"/>
      <c r="ON240" s="354"/>
      <c r="OO240" s="354"/>
      <c r="OP240" s="354"/>
      <c r="OQ240" s="354"/>
      <c r="OR240" s="354"/>
      <c r="OS240" s="354"/>
      <c r="OT240" s="354"/>
      <c r="OU240" s="354"/>
      <c r="OV240" s="354"/>
      <c r="OW240" s="354"/>
      <c r="OX240" s="354"/>
      <c r="OY240" s="354"/>
      <c r="OZ240" s="354"/>
      <c r="PA240" s="354"/>
      <c r="PB240" s="354"/>
      <c r="PC240" s="354"/>
      <c r="PD240" s="354"/>
      <c r="PE240" s="354"/>
      <c r="PF240" s="354"/>
      <c r="PG240" s="354"/>
      <c r="PH240" s="354"/>
      <c r="PI240" s="354"/>
      <c r="PJ240" s="354"/>
      <c r="PK240" s="354"/>
      <c r="PL240" s="354"/>
      <c r="PM240" s="354"/>
      <c r="PN240" s="354"/>
      <c r="PO240" s="354"/>
      <c r="PP240" s="354"/>
      <c r="PQ240" s="354"/>
      <c r="PR240" s="354"/>
      <c r="PS240" s="354"/>
      <c r="PT240" s="354"/>
      <c r="PU240" s="354"/>
      <c r="PV240" s="354"/>
      <c r="PW240" s="354"/>
      <c r="PX240" s="354"/>
      <c r="PY240" s="354"/>
      <c r="PZ240" s="354"/>
      <c r="QA240" s="354"/>
      <c r="QB240" s="354"/>
      <c r="QC240" s="354"/>
      <c r="QD240" s="354"/>
      <c r="QE240" s="354"/>
      <c r="QF240" s="354"/>
      <c r="QG240" s="354"/>
      <c r="QH240" s="354"/>
      <c r="QI240" s="354"/>
      <c r="QJ240" s="354"/>
      <c r="QK240" s="354"/>
      <c r="QL240" s="354"/>
      <c r="QM240" s="354"/>
      <c r="QN240" s="354"/>
      <c r="QO240" s="354"/>
      <c r="QP240" s="354"/>
      <c r="QQ240" s="354"/>
      <c r="QR240" s="354"/>
      <c r="QS240" s="354"/>
      <c r="QT240" s="354"/>
      <c r="QU240" s="354"/>
      <c r="QV240" s="354"/>
      <c r="QW240" s="354"/>
      <c r="QX240" s="354"/>
      <c r="QY240" s="354"/>
      <c r="QZ240" s="354"/>
      <c r="RA240" s="354"/>
      <c r="RB240" s="354"/>
      <c r="RC240" s="354"/>
      <c r="RD240" s="354"/>
      <c r="RE240" s="354"/>
      <c r="RF240" s="354"/>
      <c r="RG240" s="354"/>
      <c r="RH240" s="354"/>
      <c r="RI240" s="354"/>
      <c r="RJ240" s="354"/>
      <c r="RK240" s="354"/>
      <c r="RL240" s="354"/>
      <c r="RM240" s="354"/>
      <c r="RN240" s="354"/>
      <c r="RO240" s="354"/>
      <c r="RP240" s="354"/>
      <c r="RQ240" s="354"/>
      <c r="RR240" s="354"/>
      <c r="RS240" s="354"/>
      <c r="RT240" s="354"/>
      <c r="RU240" s="354"/>
      <c r="RV240" s="354"/>
      <c r="RW240" s="354"/>
      <c r="RX240" s="354"/>
      <c r="RY240" s="354"/>
      <c r="RZ240" s="354"/>
      <c r="SA240" s="354"/>
      <c r="SB240" s="354"/>
      <c r="SC240" s="354"/>
      <c r="SD240" s="354"/>
      <c r="SE240" s="354"/>
      <c r="SF240" s="354"/>
      <c r="SG240" s="354"/>
      <c r="SH240" s="354"/>
      <c r="SI240" s="354"/>
      <c r="SJ240" s="354"/>
      <c r="SK240" s="354"/>
      <c r="SL240" s="354"/>
      <c r="SM240" s="354"/>
      <c r="SN240" s="354"/>
      <c r="SO240" s="354"/>
      <c r="SP240" s="354"/>
      <c r="SQ240" s="354"/>
      <c r="SR240" s="354"/>
      <c r="SS240" s="354"/>
    </row>
    <row r="241" spans="1:513" s="336" customFormat="1" ht="15" customHeight="1" thickBot="1">
      <c r="C241" s="454" t="str">
        <f>+C229</f>
        <v>VALOR DE LAS OBRAS COMPLEMENTARIAS</v>
      </c>
      <c r="D241" s="455"/>
      <c r="E241" s="455"/>
      <c r="F241" s="455"/>
      <c r="G241" s="456"/>
      <c r="H241" s="457"/>
      <c r="I241" s="458"/>
      <c r="J241" s="459"/>
      <c r="K241" s="460"/>
      <c r="L241" s="456"/>
      <c r="M241" s="456"/>
      <c r="N241" s="456"/>
      <c r="O241" s="456"/>
      <c r="P241" s="456"/>
      <c r="Q241" s="456"/>
      <c r="R241" s="456"/>
      <c r="S241" s="456"/>
      <c r="T241" s="456"/>
      <c r="U241" s="456"/>
      <c r="V241" s="456"/>
      <c r="W241" s="456"/>
      <c r="X241" s="456"/>
      <c r="Y241" s="456"/>
      <c r="Z241" s="456"/>
      <c r="AA241" s="456"/>
      <c r="AB241" s="456"/>
      <c r="AC241" s="456"/>
      <c r="AD241" s="456"/>
      <c r="AE241" s="456"/>
      <c r="AF241" s="456"/>
      <c r="AG241" s="456"/>
      <c r="AH241" s="456"/>
      <c r="AI241" s="456"/>
      <c r="AJ241" s="456"/>
      <c r="AK241" s="456"/>
      <c r="AL241" s="456"/>
      <c r="AM241" s="461" t="s">
        <v>4426</v>
      </c>
      <c r="AN241" s="456"/>
      <c r="AO241" s="1035">
        <f>+AO240</f>
        <v>0</v>
      </c>
      <c r="AP241" s="1035"/>
      <c r="AQ241" s="1035"/>
      <c r="AR241" s="1036"/>
      <c r="AS241" s="1036"/>
      <c r="AT241" s="1036"/>
      <c r="AU241" s="1036"/>
      <c r="AV241" s="1036"/>
      <c r="IZ241" s="462"/>
      <c r="JA241" s="462"/>
      <c r="JB241" s="462"/>
      <c r="JC241" s="462"/>
      <c r="JD241" s="462"/>
      <c r="JE241" s="462"/>
      <c r="JF241" s="462"/>
      <c r="JG241" s="462"/>
      <c r="JH241" s="462"/>
      <c r="JI241" s="462"/>
      <c r="JJ241" s="462"/>
      <c r="JK241" s="462"/>
      <c r="JL241" s="462"/>
      <c r="JM241" s="462"/>
      <c r="JN241" s="462"/>
      <c r="JO241" s="462"/>
      <c r="JP241" s="462"/>
      <c r="JQ241" s="462"/>
      <c r="JR241" s="462"/>
      <c r="JS241" s="462"/>
      <c r="JT241" s="462"/>
      <c r="JU241" s="462"/>
      <c r="JV241" s="462"/>
      <c r="JW241" s="462"/>
      <c r="JX241" s="462"/>
      <c r="JY241" s="462"/>
      <c r="JZ241" s="462"/>
      <c r="KA241" s="462"/>
      <c r="KB241" s="462"/>
      <c r="KC241" s="462"/>
      <c r="KD241" s="462"/>
      <c r="KE241" s="462"/>
      <c r="KF241" s="462"/>
      <c r="KG241" s="462"/>
    </row>
    <row r="242" spans="1:513" s="336" customFormat="1" ht="15" customHeight="1" thickTop="1">
      <c r="C242" s="470"/>
      <c r="D242" s="323"/>
      <c r="E242" s="323"/>
      <c r="F242" s="323"/>
      <c r="H242" s="471"/>
      <c r="I242" s="472"/>
      <c r="J242" s="473"/>
      <c r="K242" s="474"/>
      <c r="AM242" s="475"/>
      <c r="AO242" s="476"/>
      <c r="AP242" s="476"/>
      <c r="AQ242" s="476"/>
      <c r="AR242" s="323"/>
      <c r="AS242" s="323"/>
      <c r="AT242" s="323"/>
      <c r="AU242" s="323"/>
      <c r="AV242" s="323"/>
      <c r="IZ242" s="462"/>
      <c r="JA242" s="462"/>
      <c r="JB242" s="462"/>
      <c r="JC242" s="462"/>
      <c r="JD242" s="462"/>
      <c r="JE242" s="462"/>
      <c r="JF242" s="462"/>
      <c r="JG242" s="462"/>
      <c r="JH242" s="462"/>
      <c r="JI242" s="462"/>
      <c r="JJ242" s="462"/>
      <c r="JK242" s="462"/>
      <c r="JL242" s="462"/>
      <c r="JM242" s="462"/>
      <c r="JN242" s="462"/>
      <c r="JO242" s="462"/>
      <c r="JP242" s="462"/>
      <c r="JQ242" s="462"/>
      <c r="JR242" s="462"/>
      <c r="JS242" s="462"/>
      <c r="JT242" s="462"/>
      <c r="JU242" s="462"/>
      <c r="JV242" s="462"/>
      <c r="JW242" s="462"/>
      <c r="JX242" s="462"/>
      <c r="JY242" s="462"/>
      <c r="JZ242" s="462"/>
      <c r="KA242" s="462"/>
      <c r="KB242" s="462"/>
      <c r="KC242" s="462"/>
      <c r="KD242" s="462"/>
      <c r="KE242" s="462"/>
      <c r="KF242" s="462"/>
      <c r="KG242" s="462"/>
    </row>
    <row r="243" spans="1:513" s="336" customFormat="1" ht="13.5" hidden="1">
      <c r="A243" s="284" t="s">
        <v>4523</v>
      </c>
      <c r="B243" s="367"/>
      <c r="C243" s="1057" t="s">
        <v>4524</v>
      </c>
      <c r="D243" s="1057"/>
      <c r="E243" s="1057"/>
      <c r="F243" s="1057"/>
      <c r="G243" s="1057"/>
      <c r="H243" s="1057"/>
      <c r="I243" s="1057"/>
      <c r="J243" s="1057"/>
      <c r="K243" s="1057"/>
      <c r="L243" s="1057"/>
      <c r="M243" s="1057"/>
      <c r="N243" s="1057"/>
      <c r="O243" s="1057"/>
      <c r="P243" s="1057"/>
      <c r="Q243" s="1057"/>
      <c r="R243" s="1057"/>
      <c r="S243" s="1057"/>
      <c r="T243" s="1057"/>
      <c r="U243" s="1057"/>
      <c r="V243" s="1057"/>
      <c r="W243" s="1057"/>
      <c r="X243" s="1057"/>
      <c r="Y243" s="1057"/>
      <c r="Z243" s="1057"/>
      <c r="AA243" s="1057"/>
      <c r="AB243" s="1057"/>
      <c r="AC243" s="1057"/>
      <c r="AD243" s="1057"/>
      <c r="AE243" s="1057"/>
      <c r="AF243" s="1057"/>
      <c r="AG243" s="1057"/>
      <c r="AH243" s="1057"/>
      <c r="AI243" s="1057"/>
      <c r="AJ243" s="1057"/>
      <c r="AK243" s="1057"/>
      <c r="AL243" s="1057"/>
      <c r="AM243" s="1057"/>
      <c r="AN243" s="1057"/>
      <c r="AO243" s="1057"/>
      <c r="AP243" s="1057"/>
      <c r="AQ243" s="1057"/>
      <c r="AR243" s="1057"/>
      <c r="AS243" s="1057"/>
      <c r="AT243" s="1057"/>
      <c r="AU243" s="1057"/>
      <c r="AV243" s="1057"/>
      <c r="IZ243" s="462"/>
      <c r="JA243" s="462"/>
      <c r="JB243" s="462"/>
      <c r="JC243" s="462"/>
      <c r="JD243" s="462"/>
      <c r="JE243" s="462"/>
      <c r="JF243" s="462"/>
      <c r="JG243" s="462"/>
      <c r="JH243" s="462"/>
      <c r="JI243" s="462"/>
      <c r="JJ243" s="462"/>
      <c r="JK243" s="462"/>
      <c r="JL243" s="462"/>
      <c r="JM243" s="462"/>
      <c r="JN243" s="462"/>
      <c r="JO243" s="462"/>
      <c r="JP243" s="462"/>
      <c r="JQ243" s="462"/>
      <c r="JR243" s="462"/>
      <c r="JS243" s="462"/>
      <c r="JT243" s="462"/>
      <c r="JU243" s="462"/>
      <c r="JV243" s="462"/>
      <c r="JW243" s="462"/>
      <c r="JX243" s="462"/>
      <c r="JY243" s="462"/>
      <c r="JZ243" s="462"/>
      <c r="KA243" s="462"/>
      <c r="KB243" s="462"/>
      <c r="KC243" s="462"/>
      <c r="KD243" s="462"/>
      <c r="KE243" s="462"/>
      <c r="KF243" s="462"/>
      <c r="KG243" s="462"/>
    </row>
    <row r="244" spans="1:513" s="336" customFormat="1" ht="30" hidden="1" customHeight="1">
      <c r="A244" s="891">
        <f>1+A240</f>
        <v>1</v>
      </c>
      <c r="B244" s="892"/>
      <c r="C244" s="355" t="s">
        <v>4525</v>
      </c>
      <c r="D244" s="261"/>
      <c r="E244" s="261"/>
      <c r="F244" s="261"/>
      <c r="G244" s="261"/>
      <c r="H244" s="261"/>
      <c r="I244" s="261"/>
      <c r="J244" s="261"/>
      <c r="K244" s="261"/>
      <c r="L244" s="261"/>
      <c r="M244" s="261"/>
      <c r="N244" s="261"/>
      <c r="O244" s="261"/>
      <c r="P244" s="261"/>
      <c r="Q244" s="261"/>
      <c r="R244" s="261"/>
      <c r="S244" s="261"/>
      <c r="T244" s="261" t="s">
        <v>4526</v>
      </c>
      <c r="U244" s="261"/>
      <c r="V244" s="261"/>
      <c r="W244" s="261"/>
      <c r="X244" s="261"/>
      <c r="Y244" s="261"/>
      <c r="Z244" s="261"/>
      <c r="AA244" s="261"/>
      <c r="AB244" s="261"/>
      <c r="AC244" s="261"/>
      <c r="AD244" s="261"/>
      <c r="AE244" s="261"/>
      <c r="AF244" s="261"/>
      <c r="AG244" s="261"/>
      <c r="AH244" s="261"/>
      <c r="AI244" s="261"/>
      <c r="AJ244" s="261"/>
      <c r="AK244" s="261"/>
      <c r="AL244" s="261"/>
      <c r="AM244" s="261"/>
      <c r="AN244" s="261"/>
      <c r="AO244" s="261"/>
      <c r="AP244" s="261"/>
      <c r="AQ244" s="261"/>
      <c r="AR244" s="261"/>
      <c r="AS244" s="261"/>
      <c r="AT244" s="261"/>
      <c r="AU244" s="261"/>
      <c r="AV244" s="261"/>
      <c r="IZ244" s="462"/>
      <c r="JA244" s="462"/>
      <c r="JB244" s="462"/>
      <c r="JC244" s="462"/>
      <c r="JD244" s="462"/>
      <c r="JE244" s="462"/>
      <c r="JF244" s="462"/>
      <c r="JG244" s="462"/>
      <c r="JH244" s="462"/>
      <c r="JI244" s="462"/>
      <c r="JJ244" s="462"/>
      <c r="JK244" s="462"/>
      <c r="JL244" s="462"/>
      <c r="JM244" s="462"/>
      <c r="JN244" s="462"/>
      <c r="JO244" s="462"/>
      <c r="JP244" s="462"/>
      <c r="JQ244" s="462"/>
      <c r="JR244" s="462"/>
      <c r="JS244" s="462"/>
      <c r="JT244" s="462"/>
      <c r="JU244" s="462"/>
      <c r="JV244" s="462"/>
      <c r="JW244" s="462"/>
      <c r="JX244" s="462"/>
      <c r="JY244" s="462"/>
      <c r="JZ244" s="462"/>
      <c r="KA244" s="462"/>
      <c r="KB244" s="462"/>
      <c r="KC244" s="462"/>
      <c r="KD244" s="462"/>
      <c r="KE244" s="462"/>
      <c r="KF244" s="462"/>
      <c r="KG244" s="462"/>
    </row>
    <row r="245" spans="1:513" s="481" customFormat="1" ht="21" hidden="1" customHeight="1">
      <c r="A245" s="477"/>
      <c r="B245" s="478"/>
      <c r="C245" s="479" t="str">
        <f t="shared" ref="C245:C250" si="43">+C219</f>
        <v>Primer piso</v>
      </c>
      <c r="D245" s="480"/>
      <c r="E245" s="480"/>
      <c r="F245" s="480"/>
      <c r="G245" s="480"/>
      <c r="H245" s="480"/>
      <c r="I245" s="480"/>
      <c r="J245" s="480"/>
      <c r="K245" s="480"/>
      <c r="L245" s="480"/>
      <c r="M245" s="480"/>
      <c r="N245" s="480"/>
      <c r="O245" s="480"/>
      <c r="P245" s="480"/>
      <c r="Q245" s="480"/>
      <c r="R245" s="480"/>
      <c r="S245" s="480"/>
      <c r="T245" s="480"/>
      <c r="U245" s="480"/>
      <c r="V245" s="480"/>
      <c r="W245" s="480"/>
      <c r="X245" s="480"/>
      <c r="Y245" s="480"/>
      <c r="Z245" s="480"/>
      <c r="AA245" s="480"/>
      <c r="AB245" s="480"/>
      <c r="AC245" s="480"/>
      <c r="AD245" s="480"/>
      <c r="AE245" s="480"/>
      <c r="AF245" s="480"/>
      <c r="AG245" s="480"/>
      <c r="AH245" s="480"/>
      <c r="AI245" s="480"/>
      <c r="AJ245" s="480"/>
      <c r="AK245" s="480"/>
      <c r="AL245" s="480"/>
      <c r="AM245" s="480"/>
      <c r="AN245" s="480"/>
      <c r="AO245" s="480"/>
      <c r="AP245" s="480"/>
      <c r="AQ245" s="480"/>
      <c r="AR245" s="480"/>
      <c r="AS245" s="480"/>
      <c r="AT245" s="480"/>
      <c r="AU245" s="480"/>
      <c r="AV245" s="480"/>
      <c r="AW245" s="336"/>
      <c r="AX245" s="336"/>
      <c r="AY245" s="336"/>
      <c r="AZ245" s="336"/>
      <c r="BA245" s="336"/>
      <c r="BB245" s="336"/>
      <c r="BC245" s="336"/>
      <c r="BD245" s="336"/>
      <c r="BE245" s="336"/>
      <c r="BF245" s="336"/>
      <c r="BG245" s="336"/>
      <c r="BH245" s="336"/>
      <c r="BI245" s="336"/>
      <c r="BJ245" s="336"/>
      <c r="BK245" s="336"/>
      <c r="BL245" s="336"/>
      <c r="BM245" s="336"/>
      <c r="BN245" s="336"/>
      <c r="BO245" s="336"/>
      <c r="BP245" s="336"/>
      <c r="BQ245" s="336"/>
      <c r="BR245" s="336"/>
      <c r="BS245" s="336"/>
      <c r="BT245" s="336"/>
      <c r="BU245" s="336"/>
      <c r="BV245" s="336"/>
      <c r="BW245" s="336"/>
      <c r="BX245" s="336"/>
      <c r="BY245" s="336"/>
      <c r="BZ245" s="336"/>
      <c r="CA245" s="336"/>
      <c r="CB245" s="336"/>
      <c r="CC245" s="336"/>
      <c r="CD245" s="336"/>
      <c r="CE245" s="336"/>
      <c r="CF245" s="336"/>
      <c r="CG245" s="336"/>
      <c r="CH245" s="336"/>
      <c r="CI245" s="336"/>
      <c r="CJ245" s="336"/>
      <c r="CK245" s="336"/>
      <c r="CL245" s="336"/>
      <c r="CM245" s="336"/>
      <c r="CN245" s="336"/>
      <c r="CO245" s="336"/>
      <c r="CP245" s="336"/>
      <c r="CQ245" s="336"/>
      <c r="CR245" s="336"/>
      <c r="CS245" s="336"/>
      <c r="CT245" s="336"/>
      <c r="CU245" s="336"/>
      <c r="CV245" s="336"/>
      <c r="CW245" s="336"/>
      <c r="CX245" s="336"/>
      <c r="CY245" s="336"/>
      <c r="CZ245" s="336"/>
      <c r="DA245" s="336"/>
      <c r="DB245" s="336"/>
      <c r="DC245" s="336"/>
      <c r="DD245" s="336"/>
      <c r="DE245" s="336"/>
      <c r="DF245" s="336"/>
      <c r="DG245" s="336"/>
      <c r="DH245" s="336"/>
      <c r="DI245" s="336"/>
      <c r="DJ245" s="336"/>
      <c r="DK245" s="336"/>
      <c r="DL245" s="336"/>
      <c r="DM245" s="336"/>
      <c r="DN245" s="336"/>
      <c r="DO245" s="336"/>
      <c r="DP245" s="336"/>
      <c r="DQ245" s="336"/>
      <c r="DR245" s="336"/>
      <c r="DS245" s="336"/>
      <c r="DT245" s="336"/>
      <c r="DU245" s="336"/>
      <c r="DV245" s="336"/>
      <c r="DW245" s="336"/>
      <c r="DX245" s="336"/>
      <c r="DY245" s="336"/>
      <c r="DZ245" s="336"/>
      <c r="EA245" s="336"/>
      <c r="EB245" s="336"/>
      <c r="EC245" s="336"/>
      <c r="ED245" s="336"/>
      <c r="EE245" s="336"/>
      <c r="EF245" s="336"/>
      <c r="EG245" s="336"/>
      <c r="EH245" s="336"/>
      <c r="EI245" s="336"/>
      <c r="EJ245" s="336"/>
      <c r="EK245" s="336"/>
      <c r="EL245" s="336"/>
      <c r="EM245" s="336"/>
      <c r="EN245" s="336"/>
      <c r="EO245" s="336"/>
      <c r="EP245" s="336"/>
      <c r="EQ245" s="336"/>
      <c r="ER245" s="336"/>
      <c r="ES245" s="336"/>
      <c r="ET245" s="336"/>
      <c r="EU245" s="336"/>
      <c r="EV245" s="336"/>
      <c r="EW245" s="336"/>
      <c r="EX245" s="336"/>
      <c r="EY245" s="336"/>
      <c r="EZ245" s="336"/>
      <c r="FA245" s="336"/>
      <c r="FB245" s="336"/>
      <c r="FC245" s="336"/>
      <c r="FD245" s="336"/>
      <c r="FE245" s="336"/>
      <c r="FF245" s="336"/>
      <c r="FG245" s="336"/>
      <c r="FH245" s="336"/>
      <c r="FI245" s="336"/>
      <c r="FJ245" s="336"/>
      <c r="FK245" s="336"/>
      <c r="FL245" s="336"/>
      <c r="FM245" s="336"/>
      <c r="FN245" s="336"/>
      <c r="FO245" s="336"/>
      <c r="FP245" s="336"/>
      <c r="FQ245" s="336"/>
      <c r="FR245" s="336"/>
      <c r="FS245" s="336"/>
      <c r="FT245" s="336"/>
      <c r="FU245" s="336"/>
      <c r="FV245" s="336"/>
      <c r="FW245" s="336"/>
      <c r="FX245" s="336"/>
      <c r="FY245" s="336"/>
      <c r="FZ245" s="336"/>
      <c r="GA245" s="336"/>
      <c r="GB245" s="336"/>
      <c r="GC245" s="336"/>
      <c r="GD245" s="336"/>
      <c r="GE245" s="336"/>
      <c r="GF245" s="336"/>
      <c r="GG245" s="336"/>
      <c r="GH245" s="336"/>
      <c r="GI245" s="336"/>
      <c r="GJ245" s="336"/>
      <c r="GK245" s="336"/>
      <c r="GL245" s="336"/>
      <c r="GM245" s="336"/>
      <c r="GN245" s="336"/>
      <c r="GO245" s="336"/>
      <c r="GP245" s="336"/>
      <c r="GQ245" s="336"/>
      <c r="GR245" s="336"/>
      <c r="GS245" s="336"/>
      <c r="GT245" s="336"/>
      <c r="GU245" s="336"/>
      <c r="GV245" s="336"/>
      <c r="GW245" s="336"/>
      <c r="GX245" s="336"/>
      <c r="GY245" s="336"/>
      <c r="GZ245" s="336"/>
      <c r="HA245" s="336"/>
      <c r="HB245" s="336"/>
      <c r="HC245" s="336"/>
      <c r="HD245" s="336"/>
      <c r="HE245" s="336"/>
      <c r="HF245" s="336"/>
      <c r="HG245" s="336"/>
      <c r="HH245" s="336"/>
      <c r="HI245" s="336"/>
      <c r="HJ245" s="336"/>
      <c r="HK245" s="336"/>
      <c r="HL245" s="336"/>
      <c r="HM245" s="336"/>
      <c r="HN245" s="336"/>
      <c r="HO245" s="336"/>
      <c r="HP245" s="336"/>
      <c r="HQ245" s="336"/>
      <c r="HR245" s="336"/>
      <c r="HS245" s="336"/>
      <c r="HT245" s="336"/>
      <c r="HU245" s="336"/>
      <c r="HV245" s="336"/>
      <c r="HW245" s="336"/>
      <c r="HX245" s="336"/>
      <c r="HY245" s="336"/>
      <c r="HZ245" s="336"/>
      <c r="IA245" s="336"/>
      <c r="IB245" s="336"/>
      <c r="IC245" s="336"/>
      <c r="ID245" s="336"/>
      <c r="IE245" s="336"/>
      <c r="IF245" s="336"/>
      <c r="IG245" s="336"/>
      <c r="IH245" s="336"/>
      <c r="II245" s="336"/>
      <c r="IJ245" s="336"/>
      <c r="IK245" s="336"/>
      <c r="IL245" s="336"/>
      <c r="IM245" s="336"/>
      <c r="IN245" s="336"/>
      <c r="IO245" s="336"/>
      <c r="IP245" s="336"/>
      <c r="IQ245" s="336"/>
      <c r="IR245" s="336"/>
      <c r="IS245" s="336"/>
      <c r="IT245" s="336"/>
      <c r="IU245" s="336"/>
      <c r="IV245" s="336"/>
      <c r="IW245" s="336"/>
      <c r="IX245" s="336"/>
      <c r="IY245" s="336"/>
      <c r="IZ245" s="462"/>
      <c r="JA245" s="462"/>
      <c r="JB245" s="462"/>
      <c r="JC245" s="462"/>
      <c r="JD245" s="462"/>
      <c r="JE245" s="462"/>
      <c r="JF245" s="462"/>
      <c r="JG245" s="462"/>
      <c r="JH245" s="462"/>
      <c r="JI245" s="462"/>
      <c r="JJ245" s="462"/>
      <c r="JK245" s="462"/>
      <c r="JL245" s="462"/>
      <c r="JM245" s="462"/>
      <c r="JN245" s="462"/>
      <c r="JO245" s="462"/>
      <c r="JP245" s="462"/>
      <c r="JQ245" s="462"/>
      <c r="JR245" s="462"/>
      <c r="JS245" s="462"/>
      <c r="JT245" s="462"/>
      <c r="JU245" s="462"/>
      <c r="JV245" s="462"/>
      <c r="JW245" s="462"/>
      <c r="JX245" s="462"/>
      <c r="JY245" s="462"/>
      <c r="JZ245" s="462"/>
      <c r="KA245" s="462"/>
      <c r="KB245" s="462"/>
      <c r="KC245" s="462"/>
      <c r="KD245" s="462"/>
      <c r="KE245" s="462"/>
      <c r="KF245" s="462"/>
      <c r="KG245" s="462"/>
      <c r="KH245" s="336"/>
      <c r="KI245" s="336"/>
      <c r="KJ245" s="336"/>
      <c r="KK245" s="336"/>
      <c r="KL245" s="336"/>
      <c r="KM245" s="336"/>
      <c r="KN245" s="336"/>
      <c r="KO245" s="336"/>
      <c r="KP245" s="336"/>
      <c r="KQ245" s="336"/>
      <c r="KR245" s="336"/>
      <c r="KS245" s="336"/>
      <c r="KT245" s="336"/>
      <c r="KU245" s="336"/>
      <c r="KV245" s="336"/>
      <c r="KW245" s="336"/>
      <c r="KX245" s="336"/>
      <c r="KY245" s="336"/>
      <c r="KZ245" s="336"/>
      <c r="LA245" s="336"/>
      <c r="LB245" s="336"/>
      <c r="LC245" s="336"/>
      <c r="LD245" s="336"/>
      <c r="LE245" s="336"/>
      <c r="LF245" s="336"/>
      <c r="LG245" s="336"/>
      <c r="LH245" s="336"/>
      <c r="LI245" s="336"/>
      <c r="LJ245" s="336"/>
      <c r="LK245" s="336"/>
      <c r="LL245" s="336"/>
      <c r="LM245" s="336"/>
      <c r="LN245" s="336"/>
      <c r="LO245" s="336"/>
      <c r="LP245" s="336"/>
      <c r="LQ245" s="336"/>
      <c r="LR245" s="336"/>
      <c r="LS245" s="336"/>
      <c r="LT245" s="336"/>
      <c r="LU245" s="336"/>
      <c r="LV245" s="336"/>
      <c r="LW245" s="336"/>
      <c r="LX245" s="336"/>
      <c r="LY245" s="336"/>
      <c r="LZ245" s="336"/>
      <c r="MA245" s="336"/>
      <c r="MB245" s="336"/>
      <c r="MC245" s="336"/>
      <c r="MD245" s="336"/>
      <c r="ME245" s="336"/>
      <c r="MF245" s="336"/>
      <c r="MG245" s="336"/>
      <c r="MH245" s="336"/>
      <c r="MI245" s="336"/>
      <c r="MJ245" s="336"/>
      <c r="MK245" s="336"/>
      <c r="ML245" s="336"/>
      <c r="MM245" s="336"/>
      <c r="MN245" s="336"/>
      <c r="MO245" s="336"/>
      <c r="MP245" s="336"/>
      <c r="MQ245" s="336"/>
      <c r="MR245" s="336"/>
      <c r="MS245" s="336"/>
      <c r="MT245" s="336"/>
      <c r="MU245" s="336"/>
      <c r="MV245" s="336"/>
      <c r="MW245" s="336"/>
      <c r="MX245" s="336"/>
      <c r="MY245" s="336"/>
      <c r="MZ245" s="336"/>
      <c r="NA245" s="336"/>
      <c r="NB245" s="336"/>
      <c r="NC245" s="336"/>
      <c r="ND245" s="336"/>
      <c r="NE245" s="336"/>
      <c r="NF245" s="336"/>
      <c r="NG245" s="336"/>
      <c r="NH245" s="336"/>
      <c r="NI245" s="336"/>
      <c r="NJ245" s="336"/>
      <c r="NK245" s="336"/>
      <c r="NL245" s="336"/>
      <c r="NM245" s="336"/>
      <c r="NN245" s="336"/>
      <c r="NO245" s="336"/>
      <c r="NP245" s="336"/>
      <c r="NQ245" s="336"/>
      <c r="NR245" s="336"/>
      <c r="NS245" s="336"/>
      <c r="NT245" s="336"/>
      <c r="NU245" s="336"/>
      <c r="NV245" s="336"/>
      <c r="NW245" s="336"/>
      <c r="NX245" s="336"/>
      <c r="NY245" s="336"/>
      <c r="NZ245" s="336"/>
      <c r="OA245" s="336"/>
      <c r="OB245" s="336"/>
      <c r="OC245" s="336"/>
      <c r="OD245" s="336"/>
      <c r="OE245" s="336"/>
      <c r="OF245" s="336"/>
      <c r="OG245" s="336"/>
      <c r="OH245" s="336"/>
      <c r="OI245" s="336"/>
      <c r="OJ245" s="336"/>
      <c r="OK245" s="336"/>
      <c r="OL245" s="336"/>
      <c r="OM245" s="336"/>
      <c r="ON245" s="336"/>
      <c r="OO245" s="336"/>
      <c r="OP245" s="336"/>
      <c r="OQ245" s="336"/>
      <c r="OR245" s="336"/>
      <c r="OS245" s="336"/>
      <c r="OT245" s="336"/>
      <c r="OU245" s="336"/>
      <c r="OV245" s="336"/>
      <c r="OW245" s="336"/>
      <c r="OX245" s="336"/>
      <c r="OY245" s="336"/>
      <c r="OZ245" s="336"/>
      <c r="PA245" s="336"/>
      <c r="PB245" s="336"/>
      <c r="PC245" s="336"/>
      <c r="PD245" s="336"/>
      <c r="PE245" s="336"/>
      <c r="PF245" s="336"/>
      <c r="PG245" s="336"/>
      <c r="PH245" s="336"/>
      <c r="PI245" s="336"/>
      <c r="PJ245" s="336"/>
      <c r="PK245" s="336"/>
      <c r="PL245" s="336"/>
      <c r="PM245" s="336"/>
      <c r="PN245" s="336"/>
      <c r="PO245" s="336"/>
      <c r="PP245" s="336"/>
      <c r="PQ245" s="336"/>
      <c r="PR245" s="336"/>
      <c r="PS245" s="336"/>
      <c r="PT245" s="336"/>
      <c r="PU245" s="336"/>
      <c r="PV245" s="336"/>
      <c r="PW245" s="336"/>
      <c r="PX245" s="336"/>
      <c r="PY245" s="336"/>
      <c r="PZ245" s="336"/>
      <c r="QA245" s="336"/>
      <c r="QB245" s="336"/>
      <c r="QC245" s="336"/>
      <c r="QD245" s="336"/>
      <c r="QE245" s="336"/>
      <c r="QF245" s="336"/>
      <c r="QG245" s="336"/>
      <c r="QH245" s="336"/>
      <c r="QI245" s="336"/>
      <c r="QJ245" s="336"/>
      <c r="QK245" s="336"/>
      <c r="QL245" s="336"/>
      <c r="QM245" s="336"/>
      <c r="QN245" s="336"/>
      <c r="QO245" s="336"/>
      <c r="QP245" s="336"/>
      <c r="QQ245" s="336"/>
      <c r="QR245" s="336"/>
      <c r="QS245" s="336"/>
      <c r="QT245" s="336"/>
      <c r="QU245" s="336"/>
      <c r="QV245" s="336"/>
      <c r="QW245" s="336"/>
      <c r="QX245" s="336"/>
      <c r="QY245" s="336"/>
      <c r="QZ245" s="336"/>
      <c r="RA245" s="336"/>
      <c r="RB245" s="336"/>
      <c r="RC245" s="336"/>
      <c r="RD245" s="336"/>
      <c r="RE245" s="336"/>
      <c r="RF245" s="336"/>
      <c r="RG245" s="336"/>
      <c r="RH245" s="336"/>
      <c r="RI245" s="336"/>
      <c r="RJ245" s="336"/>
      <c r="RK245" s="336"/>
      <c r="RL245" s="336"/>
      <c r="RM245" s="336"/>
      <c r="RN245" s="336"/>
      <c r="RO245" s="336"/>
      <c r="RP245" s="336"/>
      <c r="RQ245" s="336"/>
      <c r="RR245" s="336"/>
      <c r="RS245" s="336"/>
      <c r="RT245" s="336"/>
      <c r="RU245" s="336"/>
      <c r="RV245" s="336"/>
      <c r="RW245" s="336"/>
      <c r="RX245" s="336"/>
      <c r="RY245" s="336"/>
      <c r="RZ245" s="336"/>
      <c r="SA245" s="336"/>
      <c r="SB245" s="336"/>
      <c r="SC245" s="336"/>
      <c r="SD245" s="336"/>
      <c r="SE245" s="336"/>
      <c r="SF245" s="336"/>
      <c r="SG245" s="336"/>
      <c r="SH245" s="336"/>
      <c r="SI245" s="336"/>
      <c r="SJ245" s="336"/>
      <c r="SK245" s="336"/>
      <c r="SL245" s="336"/>
      <c r="SM245" s="336"/>
      <c r="SN245" s="336"/>
      <c r="SO245" s="336"/>
      <c r="SP245" s="336"/>
      <c r="SQ245" s="336"/>
      <c r="SR245" s="336"/>
      <c r="SS245" s="336"/>
    </row>
    <row r="246" spans="1:513" s="481" customFormat="1" ht="15.95" hidden="1" customHeight="1">
      <c r="A246" s="478"/>
      <c r="B246" s="478"/>
      <c r="C246" s="1048">
        <f t="shared" si="43"/>
        <v>0</v>
      </c>
      <c r="D246" s="1048"/>
      <c r="E246" s="1048"/>
      <c r="F246" s="1048"/>
      <c r="G246" s="1048"/>
      <c r="H246" s="1048"/>
      <c r="I246" s="482"/>
      <c r="J246" s="478" t="str">
        <f>+I220</f>
        <v>m2</v>
      </c>
      <c r="K246" s="478"/>
      <c r="L246" s="478"/>
      <c r="M246" s="478" t="s">
        <v>4508</v>
      </c>
      <c r="N246" s="483"/>
      <c r="O246" s="1049">
        <f>+N220</f>
        <v>0</v>
      </c>
      <c r="P246" s="1049"/>
      <c r="Q246" s="1049"/>
      <c r="R246" s="1049"/>
      <c r="S246" s="1049"/>
      <c r="T246" s="1049"/>
      <c r="U246" s="484" t="s">
        <v>4509</v>
      </c>
      <c r="V246" s="478"/>
      <c r="W246" s="478"/>
      <c r="X246" s="478"/>
      <c r="Y246" s="478"/>
      <c r="Z246" s="483"/>
      <c r="AA246" s="478"/>
      <c r="AB246" s="1050"/>
      <c r="AC246" s="1050"/>
      <c r="AD246" s="1050"/>
      <c r="AE246" s="1050"/>
      <c r="AF246" s="478"/>
      <c r="AG246" s="478"/>
      <c r="AH246" s="478"/>
      <c r="AI246" s="478"/>
      <c r="AJ246" s="478"/>
      <c r="AK246" s="478"/>
      <c r="AL246" s="478"/>
      <c r="AM246" s="484" t="s">
        <v>4426</v>
      </c>
      <c r="AN246" s="484"/>
      <c r="AO246" s="1051">
        <f>ROUND(C246*O246,1)</f>
        <v>0</v>
      </c>
      <c r="AP246" s="1051"/>
      <c r="AQ246" s="1051"/>
      <c r="AR246" s="1051"/>
      <c r="AS246" s="1051"/>
      <c r="AT246" s="1051"/>
      <c r="AU246" s="1051"/>
      <c r="AV246" s="1051"/>
      <c r="AW246" s="336"/>
      <c r="AX246" s="336"/>
      <c r="AY246" s="336"/>
      <c r="AZ246" s="336"/>
      <c r="BA246" s="336"/>
      <c r="BB246" s="336"/>
      <c r="BC246" s="336"/>
      <c r="BD246" s="336"/>
      <c r="BE246" s="336"/>
      <c r="BF246" s="336"/>
      <c r="BG246" s="336"/>
      <c r="BH246" s="336"/>
      <c r="BI246" s="336"/>
      <c r="BJ246" s="336"/>
      <c r="BK246" s="336"/>
      <c r="BL246" s="336"/>
      <c r="BM246" s="336"/>
      <c r="BN246" s="336"/>
      <c r="BO246" s="336"/>
      <c r="BP246" s="336"/>
      <c r="BQ246" s="336"/>
      <c r="BR246" s="336"/>
      <c r="BS246" s="336"/>
      <c r="BT246" s="336"/>
      <c r="BU246" s="336"/>
      <c r="BV246" s="336"/>
      <c r="BW246" s="336"/>
      <c r="BX246" s="336"/>
      <c r="BY246" s="336"/>
      <c r="BZ246" s="336"/>
      <c r="CA246" s="336"/>
      <c r="CB246" s="336"/>
      <c r="CC246" s="336"/>
      <c r="CD246" s="336"/>
      <c r="CE246" s="336"/>
      <c r="CF246" s="336"/>
      <c r="CG246" s="336"/>
      <c r="CH246" s="336"/>
      <c r="CI246" s="336"/>
      <c r="CJ246" s="336"/>
      <c r="CK246" s="336"/>
      <c r="CL246" s="336"/>
      <c r="CM246" s="336"/>
      <c r="CN246" s="336"/>
      <c r="CO246" s="336"/>
      <c r="CP246" s="336"/>
      <c r="CQ246" s="336"/>
      <c r="CR246" s="336"/>
      <c r="CS246" s="336"/>
      <c r="CT246" s="336"/>
      <c r="CU246" s="336"/>
      <c r="CV246" s="336"/>
      <c r="CW246" s="336"/>
      <c r="CX246" s="336"/>
      <c r="CY246" s="336"/>
      <c r="CZ246" s="336"/>
      <c r="DA246" s="336"/>
      <c r="DB246" s="336"/>
      <c r="DC246" s="336"/>
      <c r="DD246" s="336"/>
      <c r="DE246" s="336"/>
      <c r="DF246" s="336"/>
      <c r="DG246" s="336"/>
      <c r="DH246" s="336"/>
      <c r="DI246" s="336"/>
      <c r="DJ246" s="336"/>
      <c r="DK246" s="336"/>
      <c r="DL246" s="336"/>
      <c r="DM246" s="336"/>
      <c r="DN246" s="336"/>
      <c r="DO246" s="336"/>
      <c r="DP246" s="336"/>
      <c r="DQ246" s="336"/>
      <c r="DR246" s="336"/>
      <c r="DS246" s="336"/>
      <c r="DT246" s="336"/>
      <c r="DU246" s="336"/>
      <c r="DV246" s="336"/>
      <c r="DW246" s="336"/>
      <c r="DX246" s="336"/>
      <c r="DY246" s="336"/>
      <c r="DZ246" s="336"/>
      <c r="EA246" s="336"/>
      <c r="EB246" s="336"/>
      <c r="EC246" s="336"/>
      <c r="ED246" s="336"/>
      <c r="EE246" s="336"/>
      <c r="EF246" s="336"/>
      <c r="EG246" s="336"/>
      <c r="EH246" s="336"/>
      <c r="EI246" s="336"/>
      <c r="EJ246" s="336"/>
      <c r="EK246" s="336"/>
      <c r="EL246" s="336"/>
      <c r="EM246" s="336"/>
      <c r="EN246" s="336"/>
      <c r="EO246" s="336"/>
      <c r="EP246" s="336"/>
      <c r="EQ246" s="336"/>
      <c r="ER246" s="336"/>
      <c r="ES246" s="336"/>
      <c r="ET246" s="336"/>
      <c r="EU246" s="336"/>
      <c r="EV246" s="336"/>
      <c r="EW246" s="336"/>
      <c r="EX246" s="336"/>
      <c r="EY246" s="336"/>
      <c r="EZ246" s="336"/>
      <c r="FA246" s="336"/>
      <c r="FB246" s="336"/>
      <c r="FC246" s="336"/>
      <c r="FD246" s="336"/>
      <c r="FE246" s="336"/>
      <c r="FF246" s="336"/>
      <c r="FG246" s="336"/>
      <c r="FH246" s="336"/>
      <c r="FI246" s="336"/>
      <c r="FJ246" s="336"/>
      <c r="FK246" s="336"/>
      <c r="FL246" s="336"/>
      <c r="FM246" s="336"/>
      <c r="FN246" s="336"/>
      <c r="FO246" s="336"/>
      <c r="FP246" s="336"/>
      <c r="FQ246" s="336"/>
      <c r="FR246" s="336"/>
      <c r="FS246" s="336"/>
      <c r="FT246" s="336"/>
      <c r="FU246" s="336"/>
      <c r="FV246" s="336"/>
      <c r="FW246" s="336"/>
      <c r="FX246" s="336"/>
      <c r="FY246" s="336"/>
      <c r="FZ246" s="336"/>
      <c r="GA246" s="336"/>
      <c r="GB246" s="336"/>
      <c r="GC246" s="336"/>
      <c r="GD246" s="336"/>
      <c r="GE246" s="336"/>
      <c r="GF246" s="336"/>
      <c r="GG246" s="336"/>
      <c r="GH246" s="336"/>
      <c r="GI246" s="336"/>
      <c r="GJ246" s="336"/>
      <c r="GK246" s="336"/>
      <c r="GL246" s="336"/>
      <c r="GM246" s="336"/>
      <c r="GN246" s="336"/>
      <c r="GO246" s="336"/>
      <c r="GP246" s="336"/>
      <c r="GQ246" s="336"/>
      <c r="GR246" s="336"/>
      <c r="GS246" s="336"/>
      <c r="GT246" s="336"/>
      <c r="GU246" s="336"/>
      <c r="GV246" s="336"/>
      <c r="GW246" s="336"/>
      <c r="GX246" s="336"/>
      <c r="GY246" s="336"/>
      <c r="GZ246" s="336"/>
      <c r="HA246" s="336"/>
      <c r="HB246" s="336"/>
      <c r="HC246" s="336"/>
      <c r="HD246" s="336"/>
      <c r="HE246" s="336"/>
      <c r="HF246" s="336"/>
      <c r="HG246" s="336"/>
      <c r="HH246" s="336"/>
      <c r="HI246" s="336"/>
      <c r="HJ246" s="336"/>
      <c r="HK246" s="336"/>
      <c r="HL246" s="336"/>
      <c r="HM246" s="336"/>
      <c r="HN246" s="336"/>
      <c r="HO246" s="336"/>
      <c r="HP246" s="336"/>
      <c r="HQ246" s="336"/>
      <c r="HR246" s="336"/>
      <c r="HS246" s="336"/>
      <c r="HT246" s="336"/>
      <c r="HU246" s="336"/>
      <c r="HV246" s="336"/>
      <c r="HW246" s="336"/>
      <c r="HX246" s="336"/>
      <c r="HY246" s="336"/>
      <c r="HZ246" s="336"/>
      <c r="IA246" s="336"/>
      <c r="IB246" s="336"/>
      <c r="IC246" s="336"/>
      <c r="ID246" s="336"/>
      <c r="IE246" s="336"/>
      <c r="IF246" s="336"/>
      <c r="IG246" s="336"/>
      <c r="IH246" s="336"/>
      <c r="II246" s="336"/>
      <c r="IJ246" s="336"/>
      <c r="IK246" s="336"/>
      <c r="IL246" s="336"/>
      <c r="IM246" s="336"/>
      <c r="IN246" s="336"/>
      <c r="IO246" s="336"/>
      <c r="IP246" s="336"/>
      <c r="IQ246" s="336"/>
      <c r="IR246" s="336"/>
      <c r="IS246" s="336"/>
      <c r="IT246" s="336"/>
      <c r="IU246" s="336"/>
      <c r="IV246" s="336"/>
      <c r="IW246" s="336"/>
      <c r="IX246" s="336"/>
      <c r="IY246" s="336"/>
      <c r="IZ246" s="462"/>
      <c r="JA246" s="462"/>
      <c r="JB246" s="462"/>
      <c r="JC246" s="462"/>
      <c r="JD246" s="462"/>
      <c r="JE246" s="462"/>
      <c r="JF246" s="462"/>
      <c r="JG246" s="462"/>
      <c r="JH246" s="462"/>
      <c r="JI246" s="462"/>
      <c r="JJ246" s="462"/>
      <c r="JK246" s="462"/>
      <c r="JL246" s="462"/>
      <c r="JM246" s="462"/>
      <c r="JN246" s="462"/>
      <c r="JO246" s="462"/>
      <c r="JP246" s="462"/>
      <c r="JQ246" s="462"/>
      <c r="JR246" s="462"/>
      <c r="JS246" s="462"/>
      <c r="JT246" s="462"/>
      <c r="JU246" s="462"/>
      <c r="JV246" s="462"/>
      <c r="JW246" s="462"/>
      <c r="JX246" s="462"/>
      <c r="JY246" s="462"/>
      <c r="JZ246" s="462"/>
      <c r="KA246" s="462"/>
      <c r="KB246" s="462"/>
      <c r="KC246" s="462"/>
      <c r="KD246" s="462"/>
      <c r="KE246" s="462"/>
      <c r="KF246" s="462"/>
      <c r="KG246" s="462"/>
      <c r="KH246" s="336"/>
      <c r="KI246" s="336"/>
      <c r="KJ246" s="336"/>
      <c r="KK246" s="336"/>
      <c r="KL246" s="336"/>
      <c r="KM246" s="336"/>
      <c r="KN246" s="336"/>
      <c r="KO246" s="336"/>
      <c r="KP246" s="336"/>
      <c r="KQ246" s="336"/>
      <c r="KR246" s="336"/>
      <c r="KS246" s="336"/>
      <c r="KT246" s="336"/>
      <c r="KU246" s="336"/>
      <c r="KV246" s="336"/>
      <c r="KW246" s="336"/>
      <c r="KX246" s="336"/>
      <c r="KY246" s="336"/>
      <c r="KZ246" s="336"/>
      <c r="LA246" s="336"/>
      <c r="LB246" s="336"/>
      <c r="LC246" s="336"/>
      <c r="LD246" s="336"/>
      <c r="LE246" s="336"/>
      <c r="LF246" s="336"/>
      <c r="LG246" s="336"/>
      <c r="LH246" s="336"/>
      <c r="LI246" s="336"/>
      <c r="LJ246" s="336"/>
      <c r="LK246" s="336"/>
      <c r="LL246" s="336"/>
      <c r="LM246" s="336"/>
      <c r="LN246" s="336"/>
      <c r="LO246" s="336"/>
      <c r="LP246" s="336"/>
      <c r="LQ246" s="336"/>
      <c r="LR246" s="336"/>
      <c r="LS246" s="336"/>
      <c r="LT246" s="336"/>
      <c r="LU246" s="336"/>
      <c r="LV246" s="336"/>
      <c r="LW246" s="336"/>
      <c r="LX246" s="336"/>
      <c r="LY246" s="336"/>
      <c r="LZ246" s="336"/>
      <c r="MA246" s="336"/>
      <c r="MB246" s="336"/>
      <c r="MC246" s="336"/>
      <c r="MD246" s="336"/>
      <c r="ME246" s="336"/>
      <c r="MF246" s="336"/>
      <c r="MG246" s="336"/>
      <c r="MH246" s="336"/>
      <c r="MI246" s="336"/>
      <c r="MJ246" s="336"/>
      <c r="MK246" s="336"/>
      <c r="ML246" s="336"/>
      <c r="MM246" s="336"/>
      <c r="MN246" s="336"/>
      <c r="MO246" s="336"/>
      <c r="MP246" s="336"/>
      <c r="MQ246" s="336"/>
      <c r="MR246" s="336"/>
      <c r="MS246" s="336"/>
      <c r="MT246" s="336"/>
      <c r="MU246" s="336"/>
      <c r="MV246" s="336"/>
      <c r="MW246" s="336"/>
      <c r="MX246" s="336"/>
      <c r="MY246" s="336"/>
      <c r="MZ246" s="336"/>
      <c r="NA246" s="336"/>
      <c r="NB246" s="336"/>
      <c r="NC246" s="336"/>
      <c r="ND246" s="336"/>
      <c r="NE246" s="336"/>
      <c r="NF246" s="336"/>
      <c r="NG246" s="336"/>
      <c r="NH246" s="336"/>
      <c r="NI246" s="336"/>
      <c r="NJ246" s="336"/>
      <c r="NK246" s="336"/>
      <c r="NL246" s="336"/>
      <c r="NM246" s="336"/>
      <c r="NN246" s="336"/>
      <c r="NO246" s="336"/>
      <c r="NP246" s="336"/>
      <c r="NQ246" s="336"/>
      <c r="NR246" s="336"/>
      <c r="NS246" s="336"/>
      <c r="NT246" s="336"/>
      <c r="NU246" s="336"/>
      <c r="NV246" s="336"/>
      <c r="NW246" s="336"/>
      <c r="NX246" s="336"/>
      <c r="NY246" s="336"/>
      <c r="NZ246" s="336"/>
      <c r="OA246" s="336"/>
      <c r="OB246" s="336"/>
      <c r="OC246" s="336"/>
      <c r="OD246" s="336"/>
      <c r="OE246" s="336"/>
      <c r="OF246" s="336"/>
      <c r="OG246" s="336"/>
      <c r="OH246" s="336"/>
      <c r="OI246" s="336"/>
      <c r="OJ246" s="336"/>
      <c r="OK246" s="336"/>
      <c r="OL246" s="336"/>
      <c r="OM246" s="336"/>
      <c r="ON246" s="336"/>
      <c r="OO246" s="336"/>
      <c r="OP246" s="336"/>
      <c r="OQ246" s="336"/>
      <c r="OR246" s="336"/>
      <c r="OS246" s="336"/>
      <c r="OT246" s="336"/>
      <c r="OU246" s="336"/>
      <c r="OV246" s="336"/>
      <c r="OW246" s="336"/>
      <c r="OX246" s="336"/>
      <c r="OY246" s="336"/>
      <c r="OZ246" s="336"/>
      <c r="PA246" s="336"/>
      <c r="PB246" s="336"/>
      <c r="PC246" s="336"/>
      <c r="PD246" s="336"/>
      <c r="PE246" s="336"/>
      <c r="PF246" s="336"/>
      <c r="PG246" s="336"/>
      <c r="PH246" s="336"/>
      <c r="PI246" s="336"/>
      <c r="PJ246" s="336"/>
      <c r="PK246" s="336"/>
      <c r="PL246" s="336"/>
      <c r="PM246" s="336"/>
      <c r="PN246" s="336"/>
      <c r="PO246" s="336"/>
      <c r="PP246" s="336"/>
      <c r="PQ246" s="336"/>
      <c r="PR246" s="336"/>
      <c r="PS246" s="336"/>
      <c r="PT246" s="336"/>
      <c r="PU246" s="336"/>
      <c r="PV246" s="336"/>
      <c r="PW246" s="336"/>
      <c r="PX246" s="336"/>
      <c r="PY246" s="336"/>
      <c r="PZ246" s="336"/>
      <c r="QA246" s="336"/>
      <c r="QB246" s="336"/>
      <c r="QC246" s="336"/>
      <c r="QD246" s="336"/>
      <c r="QE246" s="336"/>
      <c r="QF246" s="336"/>
      <c r="QG246" s="336"/>
      <c r="QH246" s="336"/>
      <c r="QI246" s="336"/>
      <c r="QJ246" s="336"/>
      <c r="QK246" s="336"/>
      <c r="QL246" s="336"/>
      <c r="QM246" s="336"/>
      <c r="QN246" s="336"/>
      <c r="QO246" s="336"/>
      <c r="QP246" s="336"/>
      <c r="QQ246" s="336"/>
      <c r="QR246" s="336"/>
      <c r="QS246" s="336"/>
      <c r="QT246" s="336"/>
      <c r="QU246" s="336"/>
      <c r="QV246" s="336"/>
      <c r="QW246" s="336"/>
      <c r="QX246" s="336"/>
      <c r="QY246" s="336"/>
      <c r="QZ246" s="336"/>
      <c r="RA246" s="336"/>
      <c r="RB246" s="336"/>
      <c r="RC246" s="336"/>
      <c r="RD246" s="336"/>
      <c r="RE246" s="336"/>
      <c r="RF246" s="336"/>
      <c r="RG246" s="336"/>
      <c r="RH246" s="336"/>
      <c r="RI246" s="336"/>
      <c r="RJ246" s="336"/>
      <c r="RK246" s="336"/>
      <c r="RL246" s="336"/>
      <c r="RM246" s="336"/>
      <c r="RN246" s="336"/>
      <c r="RO246" s="336"/>
      <c r="RP246" s="336"/>
      <c r="RQ246" s="336"/>
      <c r="RR246" s="336"/>
      <c r="RS246" s="336"/>
      <c r="RT246" s="336"/>
      <c r="RU246" s="336"/>
      <c r="RV246" s="336"/>
      <c r="RW246" s="336"/>
      <c r="RX246" s="336"/>
      <c r="RY246" s="336"/>
      <c r="RZ246" s="336"/>
      <c r="SA246" s="336"/>
      <c r="SB246" s="336"/>
      <c r="SC246" s="336"/>
      <c r="SD246" s="336"/>
      <c r="SE246" s="336"/>
      <c r="SF246" s="336"/>
      <c r="SG246" s="336"/>
      <c r="SH246" s="336"/>
      <c r="SI246" s="336"/>
      <c r="SJ246" s="336"/>
      <c r="SK246" s="336"/>
      <c r="SL246" s="336"/>
      <c r="SM246" s="336"/>
      <c r="SN246" s="336"/>
      <c r="SO246" s="336"/>
      <c r="SP246" s="336"/>
      <c r="SQ246" s="336"/>
      <c r="SR246" s="336"/>
      <c r="SS246" s="336"/>
    </row>
    <row r="247" spans="1:513" s="481" customFormat="1" ht="21" hidden="1" customHeight="1">
      <c r="A247" s="477"/>
      <c r="B247" s="478"/>
      <c r="C247" s="479" t="str">
        <f t="shared" si="43"/>
        <v>Segundo piso</v>
      </c>
      <c r="D247" s="480"/>
      <c r="E247" s="480"/>
      <c r="F247" s="480"/>
      <c r="G247" s="480"/>
      <c r="H247" s="480"/>
      <c r="I247" s="480"/>
      <c r="J247" s="480"/>
      <c r="K247" s="480"/>
      <c r="L247" s="480"/>
      <c r="M247" s="480"/>
      <c r="N247" s="480"/>
      <c r="O247" s="480"/>
      <c r="P247" s="480"/>
      <c r="Q247" s="480"/>
      <c r="R247" s="480"/>
      <c r="S247" s="480"/>
      <c r="T247" s="480"/>
      <c r="U247" s="480"/>
      <c r="V247" s="480"/>
      <c r="W247" s="480"/>
      <c r="X247" s="480"/>
      <c r="Y247" s="480"/>
      <c r="Z247" s="480"/>
      <c r="AA247" s="480"/>
      <c r="AB247" s="480"/>
      <c r="AC247" s="480"/>
      <c r="AD247" s="480"/>
      <c r="AE247" s="480"/>
      <c r="AF247" s="480"/>
      <c r="AG247" s="480"/>
      <c r="AH247" s="480"/>
      <c r="AI247" s="480"/>
      <c r="AJ247" s="480"/>
      <c r="AK247" s="480"/>
      <c r="AL247" s="480"/>
      <c r="AM247" s="480"/>
      <c r="AN247" s="480"/>
      <c r="AO247" s="480"/>
      <c r="AP247" s="480"/>
      <c r="AQ247" s="480"/>
      <c r="AR247" s="480"/>
      <c r="AS247" s="480"/>
      <c r="AT247" s="480"/>
      <c r="AU247" s="480"/>
      <c r="AV247" s="480"/>
      <c r="AW247" s="336"/>
      <c r="AX247" s="336"/>
      <c r="AY247" s="336"/>
      <c r="AZ247" s="336"/>
      <c r="BA247" s="336"/>
      <c r="BB247" s="336"/>
      <c r="BC247" s="336"/>
      <c r="BD247" s="336"/>
      <c r="BE247" s="336"/>
      <c r="BF247" s="336"/>
      <c r="BG247" s="336"/>
      <c r="BH247" s="336"/>
      <c r="BI247" s="336"/>
      <c r="BJ247" s="336"/>
      <c r="BK247" s="336"/>
      <c r="BL247" s="336"/>
      <c r="BM247" s="336"/>
      <c r="BN247" s="336"/>
      <c r="BO247" s="336"/>
      <c r="BP247" s="336"/>
      <c r="BQ247" s="336"/>
      <c r="BR247" s="336"/>
      <c r="BS247" s="336"/>
      <c r="BT247" s="336"/>
      <c r="BU247" s="336"/>
      <c r="BV247" s="336"/>
      <c r="BW247" s="336"/>
      <c r="BX247" s="336"/>
      <c r="BY247" s="336"/>
      <c r="BZ247" s="336"/>
      <c r="CA247" s="336"/>
      <c r="CB247" s="336"/>
      <c r="CC247" s="336"/>
      <c r="CD247" s="336"/>
      <c r="CE247" s="336"/>
      <c r="CF247" s="336"/>
      <c r="CG247" s="336"/>
      <c r="CH247" s="336"/>
      <c r="CI247" s="336"/>
      <c r="CJ247" s="336"/>
      <c r="CK247" s="336"/>
      <c r="CL247" s="336"/>
      <c r="CM247" s="336"/>
      <c r="CN247" s="336"/>
      <c r="CO247" s="336"/>
      <c r="CP247" s="336"/>
      <c r="CQ247" s="336"/>
      <c r="CR247" s="336"/>
      <c r="CS247" s="336"/>
      <c r="CT247" s="336"/>
      <c r="CU247" s="336"/>
      <c r="CV247" s="336"/>
      <c r="CW247" s="336"/>
      <c r="CX247" s="336"/>
      <c r="CY247" s="336"/>
      <c r="CZ247" s="336"/>
      <c r="DA247" s="336"/>
      <c r="DB247" s="336"/>
      <c r="DC247" s="336"/>
      <c r="DD247" s="336"/>
      <c r="DE247" s="336"/>
      <c r="DF247" s="336"/>
      <c r="DG247" s="336"/>
      <c r="DH247" s="336"/>
      <c r="DI247" s="336"/>
      <c r="DJ247" s="336"/>
      <c r="DK247" s="336"/>
      <c r="DL247" s="336"/>
      <c r="DM247" s="336"/>
      <c r="DN247" s="336"/>
      <c r="DO247" s="336"/>
      <c r="DP247" s="336"/>
      <c r="DQ247" s="336"/>
      <c r="DR247" s="336"/>
      <c r="DS247" s="336"/>
      <c r="DT247" s="336"/>
      <c r="DU247" s="336"/>
      <c r="DV247" s="336"/>
      <c r="DW247" s="336"/>
      <c r="DX247" s="336"/>
      <c r="DY247" s="336"/>
      <c r="DZ247" s="336"/>
      <c r="EA247" s="336"/>
      <c r="EB247" s="336"/>
      <c r="EC247" s="336"/>
      <c r="ED247" s="336"/>
      <c r="EE247" s="336"/>
      <c r="EF247" s="336"/>
      <c r="EG247" s="336"/>
      <c r="EH247" s="336"/>
      <c r="EI247" s="336"/>
      <c r="EJ247" s="336"/>
      <c r="EK247" s="336"/>
      <c r="EL247" s="336"/>
      <c r="EM247" s="336"/>
      <c r="EN247" s="336"/>
      <c r="EO247" s="336"/>
      <c r="EP247" s="336"/>
      <c r="EQ247" s="336"/>
      <c r="ER247" s="336"/>
      <c r="ES247" s="336"/>
      <c r="ET247" s="336"/>
      <c r="EU247" s="336"/>
      <c r="EV247" s="336"/>
      <c r="EW247" s="336"/>
      <c r="EX247" s="336"/>
      <c r="EY247" s="336"/>
      <c r="EZ247" s="336"/>
      <c r="FA247" s="336"/>
      <c r="FB247" s="336"/>
      <c r="FC247" s="336"/>
      <c r="FD247" s="336"/>
      <c r="FE247" s="336"/>
      <c r="FF247" s="336"/>
      <c r="FG247" s="336"/>
      <c r="FH247" s="336"/>
      <c r="FI247" s="336"/>
      <c r="FJ247" s="336"/>
      <c r="FK247" s="336"/>
      <c r="FL247" s="336"/>
      <c r="FM247" s="336"/>
      <c r="FN247" s="336"/>
      <c r="FO247" s="336"/>
      <c r="FP247" s="336"/>
      <c r="FQ247" s="336"/>
      <c r="FR247" s="336"/>
      <c r="FS247" s="336"/>
      <c r="FT247" s="336"/>
      <c r="FU247" s="336"/>
      <c r="FV247" s="336"/>
      <c r="FW247" s="336"/>
      <c r="FX247" s="336"/>
      <c r="FY247" s="336"/>
      <c r="FZ247" s="336"/>
      <c r="GA247" s="336"/>
      <c r="GB247" s="336"/>
      <c r="GC247" s="336"/>
      <c r="GD247" s="336"/>
      <c r="GE247" s="336"/>
      <c r="GF247" s="336"/>
      <c r="GG247" s="336"/>
      <c r="GH247" s="336"/>
      <c r="GI247" s="336"/>
      <c r="GJ247" s="336"/>
      <c r="GK247" s="336"/>
      <c r="GL247" s="336"/>
      <c r="GM247" s="336"/>
      <c r="GN247" s="336"/>
      <c r="GO247" s="336"/>
      <c r="GP247" s="336"/>
      <c r="GQ247" s="336"/>
      <c r="GR247" s="336"/>
      <c r="GS247" s="336"/>
      <c r="GT247" s="336"/>
      <c r="GU247" s="336"/>
      <c r="GV247" s="336"/>
      <c r="GW247" s="336"/>
      <c r="GX247" s="336"/>
      <c r="GY247" s="336"/>
      <c r="GZ247" s="336"/>
      <c r="HA247" s="336"/>
      <c r="HB247" s="336"/>
      <c r="HC247" s="336"/>
      <c r="HD247" s="336"/>
      <c r="HE247" s="336"/>
      <c r="HF247" s="336"/>
      <c r="HG247" s="336"/>
      <c r="HH247" s="336"/>
      <c r="HI247" s="336"/>
      <c r="HJ247" s="336"/>
      <c r="HK247" s="336"/>
      <c r="HL247" s="336"/>
      <c r="HM247" s="336"/>
      <c r="HN247" s="336"/>
      <c r="HO247" s="336"/>
      <c r="HP247" s="336"/>
      <c r="HQ247" s="336"/>
      <c r="HR247" s="336"/>
      <c r="HS247" s="336"/>
      <c r="HT247" s="336"/>
      <c r="HU247" s="336"/>
      <c r="HV247" s="336"/>
      <c r="HW247" s="336"/>
      <c r="HX247" s="336"/>
      <c r="HY247" s="336"/>
      <c r="HZ247" s="336"/>
      <c r="IA247" s="336"/>
      <c r="IB247" s="336"/>
      <c r="IC247" s="336"/>
      <c r="ID247" s="336"/>
      <c r="IE247" s="336"/>
      <c r="IF247" s="336"/>
      <c r="IG247" s="336"/>
      <c r="IH247" s="336"/>
      <c r="II247" s="336"/>
      <c r="IJ247" s="336"/>
      <c r="IK247" s="336"/>
      <c r="IL247" s="336"/>
      <c r="IM247" s="336"/>
      <c r="IN247" s="336"/>
      <c r="IO247" s="336"/>
      <c r="IP247" s="336"/>
      <c r="IQ247" s="336"/>
      <c r="IR247" s="336"/>
      <c r="IS247" s="336"/>
      <c r="IT247" s="336"/>
      <c r="IU247" s="336"/>
      <c r="IV247" s="336"/>
      <c r="IW247" s="336"/>
      <c r="IX247" s="336"/>
      <c r="IY247" s="336"/>
      <c r="IZ247" s="462"/>
      <c r="JA247" s="462"/>
      <c r="JB247" s="462"/>
      <c r="JC247" s="462"/>
      <c r="JD247" s="462"/>
      <c r="JE247" s="462"/>
      <c r="JF247" s="462"/>
      <c r="JG247" s="462"/>
      <c r="JH247" s="462"/>
      <c r="JI247" s="462"/>
      <c r="JJ247" s="462"/>
      <c r="JK247" s="462"/>
      <c r="JL247" s="462"/>
      <c r="JM247" s="462"/>
      <c r="JN247" s="462"/>
      <c r="JO247" s="462"/>
      <c r="JP247" s="462"/>
      <c r="JQ247" s="462"/>
      <c r="JR247" s="462"/>
      <c r="JS247" s="462"/>
      <c r="JT247" s="462"/>
      <c r="JU247" s="462"/>
      <c r="JV247" s="462"/>
      <c r="JW247" s="462"/>
      <c r="JX247" s="462"/>
      <c r="JY247" s="462"/>
      <c r="JZ247" s="462"/>
      <c r="KA247" s="462"/>
      <c r="KB247" s="462"/>
      <c r="KC247" s="462"/>
      <c r="KD247" s="462"/>
      <c r="KE247" s="462"/>
      <c r="KF247" s="462"/>
      <c r="KG247" s="462"/>
      <c r="KH247" s="336"/>
      <c r="KI247" s="336"/>
      <c r="KJ247" s="336"/>
      <c r="KK247" s="336"/>
      <c r="KL247" s="336"/>
      <c r="KM247" s="336"/>
      <c r="KN247" s="336"/>
      <c r="KO247" s="336"/>
      <c r="KP247" s="336"/>
      <c r="KQ247" s="336"/>
      <c r="KR247" s="336"/>
      <c r="KS247" s="336"/>
      <c r="KT247" s="336"/>
      <c r="KU247" s="336"/>
      <c r="KV247" s="336"/>
      <c r="KW247" s="336"/>
      <c r="KX247" s="336"/>
      <c r="KY247" s="336"/>
      <c r="KZ247" s="336"/>
      <c r="LA247" s="336"/>
      <c r="LB247" s="336"/>
      <c r="LC247" s="336"/>
      <c r="LD247" s="336"/>
      <c r="LE247" s="336"/>
      <c r="LF247" s="336"/>
      <c r="LG247" s="336"/>
      <c r="LH247" s="336"/>
      <c r="LI247" s="336"/>
      <c r="LJ247" s="336"/>
      <c r="LK247" s="336"/>
      <c r="LL247" s="336"/>
      <c r="LM247" s="336"/>
      <c r="LN247" s="336"/>
      <c r="LO247" s="336"/>
      <c r="LP247" s="336"/>
      <c r="LQ247" s="336"/>
      <c r="LR247" s="336"/>
      <c r="LS247" s="336"/>
      <c r="LT247" s="336"/>
      <c r="LU247" s="336"/>
      <c r="LV247" s="336"/>
      <c r="LW247" s="336"/>
      <c r="LX247" s="336"/>
      <c r="LY247" s="336"/>
      <c r="LZ247" s="336"/>
      <c r="MA247" s="336"/>
      <c r="MB247" s="336"/>
      <c r="MC247" s="336"/>
      <c r="MD247" s="336"/>
      <c r="ME247" s="336"/>
      <c r="MF247" s="336"/>
      <c r="MG247" s="336"/>
      <c r="MH247" s="336"/>
      <c r="MI247" s="336"/>
      <c r="MJ247" s="336"/>
      <c r="MK247" s="336"/>
      <c r="ML247" s="336"/>
      <c r="MM247" s="336"/>
      <c r="MN247" s="336"/>
      <c r="MO247" s="336"/>
      <c r="MP247" s="336"/>
      <c r="MQ247" s="336"/>
      <c r="MR247" s="336"/>
      <c r="MS247" s="336"/>
      <c r="MT247" s="336"/>
      <c r="MU247" s="336"/>
      <c r="MV247" s="336"/>
      <c r="MW247" s="336"/>
      <c r="MX247" s="336"/>
      <c r="MY247" s="336"/>
      <c r="MZ247" s="336"/>
      <c r="NA247" s="336"/>
      <c r="NB247" s="336"/>
      <c r="NC247" s="336"/>
      <c r="ND247" s="336"/>
      <c r="NE247" s="336"/>
      <c r="NF247" s="336"/>
      <c r="NG247" s="336"/>
      <c r="NH247" s="336"/>
      <c r="NI247" s="336"/>
      <c r="NJ247" s="336"/>
      <c r="NK247" s="336"/>
      <c r="NL247" s="336"/>
      <c r="NM247" s="336"/>
      <c r="NN247" s="336"/>
      <c r="NO247" s="336"/>
      <c r="NP247" s="336"/>
      <c r="NQ247" s="336"/>
      <c r="NR247" s="336"/>
      <c r="NS247" s="336"/>
      <c r="NT247" s="336"/>
      <c r="NU247" s="336"/>
      <c r="NV247" s="336"/>
      <c r="NW247" s="336"/>
      <c r="NX247" s="336"/>
      <c r="NY247" s="336"/>
      <c r="NZ247" s="336"/>
      <c r="OA247" s="336"/>
      <c r="OB247" s="336"/>
      <c r="OC247" s="336"/>
      <c r="OD247" s="336"/>
      <c r="OE247" s="336"/>
      <c r="OF247" s="336"/>
      <c r="OG247" s="336"/>
      <c r="OH247" s="336"/>
      <c r="OI247" s="336"/>
      <c r="OJ247" s="336"/>
      <c r="OK247" s="336"/>
      <c r="OL247" s="336"/>
      <c r="OM247" s="336"/>
      <c r="ON247" s="336"/>
      <c r="OO247" s="336"/>
      <c r="OP247" s="336"/>
      <c r="OQ247" s="336"/>
      <c r="OR247" s="336"/>
      <c r="OS247" s="336"/>
      <c r="OT247" s="336"/>
      <c r="OU247" s="336"/>
      <c r="OV247" s="336"/>
      <c r="OW247" s="336"/>
      <c r="OX247" s="336"/>
      <c r="OY247" s="336"/>
      <c r="OZ247" s="336"/>
      <c r="PA247" s="336"/>
      <c r="PB247" s="336"/>
      <c r="PC247" s="336"/>
      <c r="PD247" s="336"/>
      <c r="PE247" s="336"/>
      <c r="PF247" s="336"/>
      <c r="PG247" s="336"/>
      <c r="PH247" s="336"/>
      <c r="PI247" s="336"/>
      <c r="PJ247" s="336"/>
      <c r="PK247" s="336"/>
      <c r="PL247" s="336"/>
      <c r="PM247" s="336"/>
      <c r="PN247" s="336"/>
      <c r="PO247" s="336"/>
      <c r="PP247" s="336"/>
      <c r="PQ247" s="336"/>
      <c r="PR247" s="336"/>
      <c r="PS247" s="336"/>
      <c r="PT247" s="336"/>
      <c r="PU247" s="336"/>
      <c r="PV247" s="336"/>
      <c r="PW247" s="336"/>
      <c r="PX247" s="336"/>
      <c r="PY247" s="336"/>
      <c r="PZ247" s="336"/>
      <c r="QA247" s="336"/>
      <c r="QB247" s="336"/>
      <c r="QC247" s="336"/>
      <c r="QD247" s="336"/>
      <c r="QE247" s="336"/>
      <c r="QF247" s="336"/>
      <c r="QG247" s="336"/>
      <c r="QH247" s="336"/>
      <c r="QI247" s="336"/>
      <c r="QJ247" s="336"/>
      <c r="QK247" s="336"/>
      <c r="QL247" s="336"/>
      <c r="QM247" s="336"/>
      <c r="QN247" s="336"/>
      <c r="QO247" s="336"/>
      <c r="QP247" s="336"/>
      <c r="QQ247" s="336"/>
      <c r="QR247" s="336"/>
      <c r="QS247" s="336"/>
      <c r="QT247" s="336"/>
      <c r="QU247" s="336"/>
      <c r="QV247" s="336"/>
      <c r="QW247" s="336"/>
      <c r="QX247" s="336"/>
      <c r="QY247" s="336"/>
      <c r="QZ247" s="336"/>
      <c r="RA247" s="336"/>
      <c r="RB247" s="336"/>
      <c r="RC247" s="336"/>
      <c r="RD247" s="336"/>
      <c r="RE247" s="336"/>
      <c r="RF247" s="336"/>
      <c r="RG247" s="336"/>
      <c r="RH247" s="336"/>
      <c r="RI247" s="336"/>
      <c r="RJ247" s="336"/>
      <c r="RK247" s="336"/>
      <c r="RL247" s="336"/>
      <c r="RM247" s="336"/>
      <c r="RN247" s="336"/>
      <c r="RO247" s="336"/>
      <c r="RP247" s="336"/>
      <c r="RQ247" s="336"/>
      <c r="RR247" s="336"/>
      <c r="RS247" s="336"/>
      <c r="RT247" s="336"/>
      <c r="RU247" s="336"/>
      <c r="RV247" s="336"/>
      <c r="RW247" s="336"/>
      <c r="RX247" s="336"/>
      <c r="RY247" s="336"/>
      <c r="RZ247" s="336"/>
      <c r="SA247" s="336"/>
      <c r="SB247" s="336"/>
      <c r="SC247" s="336"/>
      <c r="SD247" s="336"/>
      <c r="SE247" s="336"/>
      <c r="SF247" s="336"/>
      <c r="SG247" s="336"/>
      <c r="SH247" s="336"/>
      <c r="SI247" s="336"/>
      <c r="SJ247" s="336"/>
      <c r="SK247" s="336"/>
      <c r="SL247" s="336"/>
      <c r="SM247" s="336"/>
      <c r="SN247" s="336"/>
      <c r="SO247" s="336"/>
      <c r="SP247" s="336"/>
      <c r="SQ247" s="336"/>
      <c r="SR247" s="336"/>
      <c r="SS247" s="336"/>
    </row>
    <row r="248" spans="1:513" s="481" customFormat="1" ht="15.95" hidden="1" customHeight="1">
      <c r="A248" s="478"/>
      <c r="B248" s="478"/>
      <c r="C248" s="1048">
        <f t="shared" si="43"/>
        <v>0</v>
      </c>
      <c r="D248" s="1048"/>
      <c r="E248" s="1048"/>
      <c r="F248" s="1048"/>
      <c r="G248" s="1048"/>
      <c r="H248" s="1048"/>
      <c r="I248" s="482"/>
      <c r="J248" s="478" t="str">
        <f>+I222</f>
        <v>m2</v>
      </c>
      <c r="K248" s="478"/>
      <c r="L248" s="478"/>
      <c r="M248" s="478" t="s">
        <v>4508</v>
      </c>
      <c r="N248" s="483"/>
      <c r="O248" s="1049">
        <f>+N222</f>
        <v>0</v>
      </c>
      <c r="P248" s="1049"/>
      <c r="Q248" s="1049"/>
      <c r="R248" s="1049"/>
      <c r="S248" s="1049"/>
      <c r="T248" s="1049"/>
      <c r="U248" s="484" t="s">
        <v>4509</v>
      </c>
      <c r="V248" s="478"/>
      <c r="W248" s="478"/>
      <c r="X248" s="478"/>
      <c r="Y248" s="478"/>
      <c r="Z248" s="483"/>
      <c r="AA248" s="478"/>
      <c r="AB248" s="1050"/>
      <c r="AC248" s="1050"/>
      <c r="AD248" s="1050"/>
      <c r="AE248" s="1050"/>
      <c r="AF248" s="478"/>
      <c r="AG248" s="478"/>
      <c r="AH248" s="478"/>
      <c r="AI248" s="478"/>
      <c r="AJ248" s="478"/>
      <c r="AK248" s="478"/>
      <c r="AL248" s="478"/>
      <c r="AM248" s="484" t="s">
        <v>4426</v>
      </c>
      <c r="AN248" s="484"/>
      <c r="AO248" s="1051">
        <f>ROUND(C248*O248,1)</f>
        <v>0</v>
      </c>
      <c r="AP248" s="1051"/>
      <c r="AQ248" s="1051"/>
      <c r="AR248" s="1051"/>
      <c r="AS248" s="1051"/>
      <c r="AT248" s="1051"/>
      <c r="AU248" s="1051"/>
      <c r="AV248" s="1051"/>
      <c r="AW248" s="336"/>
      <c r="AX248" s="336"/>
      <c r="AY248" s="336"/>
      <c r="AZ248" s="336"/>
      <c r="BA248" s="336"/>
      <c r="BB248" s="336"/>
      <c r="BC248" s="336"/>
      <c r="BD248" s="336"/>
      <c r="BE248" s="336"/>
      <c r="BF248" s="336"/>
      <c r="BG248" s="336"/>
      <c r="BH248" s="336"/>
      <c r="BI248" s="336"/>
      <c r="BJ248" s="336"/>
      <c r="BK248" s="336"/>
      <c r="BL248" s="336"/>
      <c r="BM248" s="336"/>
      <c r="BN248" s="336"/>
      <c r="BO248" s="336"/>
      <c r="BP248" s="336"/>
      <c r="BQ248" s="336"/>
      <c r="BR248" s="336"/>
      <c r="BS248" s="336"/>
      <c r="BT248" s="336"/>
      <c r="BU248" s="336"/>
      <c r="BV248" s="336"/>
      <c r="BW248" s="336"/>
      <c r="BX248" s="336"/>
      <c r="BY248" s="336"/>
      <c r="BZ248" s="336"/>
      <c r="CA248" s="336"/>
      <c r="CB248" s="336"/>
      <c r="CC248" s="336"/>
      <c r="CD248" s="336"/>
      <c r="CE248" s="336"/>
      <c r="CF248" s="336"/>
      <c r="CG248" s="336"/>
      <c r="CH248" s="336"/>
      <c r="CI248" s="336"/>
      <c r="CJ248" s="336"/>
      <c r="CK248" s="336"/>
      <c r="CL248" s="336"/>
      <c r="CM248" s="336"/>
      <c r="CN248" s="336"/>
      <c r="CO248" s="336"/>
      <c r="CP248" s="336"/>
      <c r="CQ248" s="336"/>
      <c r="CR248" s="336"/>
      <c r="CS248" s="336"/>
      <c r="CT248" s="336"/>
      <c r="CU248" s="336"/>
      <c r="CV248" s="336"/>
      <c r="CW248" s="336"/>
      <c r="CX248" s="336"/>
      <c r="CY248" s="336"/>
      <c r="CZ248" s="336"/>
      <c r="DA248" s="336"/>
      <c r="DB248" s="336"/>
      <c r="DC248" s="336"/>
      <c r="DD248" s="336"/>
      <c r="DE248" s="336"/>
      <c r="DF248" s="336"/>
      <c r="DG248" s="336"/>
      <c r="DH248" s="336"/>
      <c r="DI248" s="336"/>
      <c r="DJ248" s="336"/>
      <c r="DK248" s="336"/>
      <c r="DL248" s="336"/>
      <c r="DM248" s="336"/>
      <c r="DN248" s="336"/>
      <c r="DO248" s="336"/>
      <c r="DP248" s="336"/>
      <c r="DQ248" s="336"/>
      <c r="DR248" s="336"/>
      <c r="DS248" s="336"/>
      <c r="DT248" s="336"/>
      <c r="DU248" s="336"/>
      <c r="DV248" s="336"/>
      <c r="DW248" s="336"/>
      <c r="DX248" s="336"/>
      <c r="DY248" s="336"/>
      <c r="DZ248" s="336"/>
      <c r="EA248" s="336"/>
      <c r="EB248" s="336"/>
      <c r="EC248" s="336"/>
      <c r="ED248" s="336"/>
      <c r="EE248" s="336"/>
      <c r="EF248" s="336"/>
      <c r="EG248" s="336"/>
      <c r="EH248" s="336"/>
      <c r="EI248" s="336"/>
      <c r="EJ248" s="336"/>
      <c r="EK248" s="336"/>
      <c r="EL248" s="336"/>
      <c r="EM248" s="336"/>
      <c r="EN248" s="336"/>
      <c r="EO248" s="336"/>
      <c r="EP248" s="336"/>
      <c r="EQ248" s="336"/>
      <c r="ER248" s="336"/>
      <c r="ES248" s="336"/>
      <c r="ET248" s="336"/>
      <c r="EU248" s="336"/>
      <c r="EV248" s="336"/>
      <c r="EW248" s="336"/>
      <c r="EX248" s="336"/>
      <c r="EY248" s="336"/>
      <c r="EZ248" s="336"/>
      <c r="FA248" s="336"/>
      <c r="FB248" s="336"/>
      <c r="FC248" s="336"/>
      <c r="FD248" s="336"/>
      <c r="FE248" s="336"/>
      <c r="FF248" s="336"/>
      <c r="FG248" s="336"/>
      <c r="FH248" s="336"/>
      <c r="FI248" s="336"/>
      <c r="FJ248" s="336"/>
      <c r="FK248" s="336"/>
      <c r="FL248" s="336"/>
      <c r="FM248" s="336"/>
      <c r="FN248" s="336"/>
      <c r="FO248" s="336"/>
      <c r="FP248" s="336"/>
      <c r="FQ248" s="336"/>
      <c r="FR248" s="336"/>
      <c r="FS248" s="336"/>
      <c r="FT248" s="336"/>
      <c r="FU248" s="336"/>
      <c r="FV248" s="336"/>
      <c r="FW248" s="336"/>
      <c r="FX248" s="336"/>
      <c r="FY248" s="336"/>
      <c r="FZ248" s="336"/>
      <c r="GA248" s="336"/>
      <c r="GB248" s="336"/>
      <c r="GC248" s="336"/>
      <c r="GD248" s="336"/>
      <c r="GE248" s="336"/>
      <c r="GF248" s="336"/>
      <c r="GG248" s="336"/>
      <c r="GH248" s="336"/>
      <c r="GI248" s="336"/>
      <c r="GJ248" s="336"/>
      <c r="GK248" s="336"/>
      <c r="GL248" s="336"/>
      <c r="GM248" s="336"/>
      <c r="GN248" s="336"/>
      <c r="GO248" s="336"/>
      <c r="GP248" s="336"/>
      <c r="GQ248" s="336"/>
      <c r="GR248" s="336"/>
      <c r="GS248" s="336"/>
      <c r="GT248" s="336"/>
      <c r="GU248" s="336"/>
      <c r="GV248" s="336"/>
      <c r="GW248" s="336"/>
      <c r="GX248" s="336"/>
      <c r="GY248" s="336"/>
      <c r="GZ248" s="336"/>
      <c r="HA248" s="336"/>
      <c r="HB248" s="336"/>
      <c r="HC248" s="336"/>
      <c r="HD248" s="336"/>
      <c r="HE248" s="336"/>
      <c r="HF248" s="336"/>
      <c r="HG248" s="336"/>
      <c r="HH248" s="336"/>
      <c r="HI248" s="336"/>
      <c r="HJ248" s="336"/>
      <c r="HK248" s="336"/>
      <c r="HL248" s="336"/>
      <c r="HM248" s="336"/>
      <c r="HN248" s="336"/>
      <c r="HO248" s="336"/>
      <c r="HP248" s="336"/>
      <c r="HQ248" s="336"/>
      <c r="HR248" s="336"/>
      <c r="HS248" s="336"/>
      <c r="HT248" s="336"/>
      <c r="HU248" s="336"/>
      <c r="HV248" s="336"/>
      <c r="HW248" s="336"/>
      <c r="HX248" s="336"/>
      <c r="HY248" s="336"/>
      <c r="HZ248" s="336"/>
      <c r="IA248" s="336"/>
      <c r="IB248" s="336"/>
      <c r="IC248" s="336"/>
      <c r="ID248" s="336"/>
      <c r="IE248" s="336"/>
      <c r="IF248" s="336"/>
      <c r="IG248" s="336"/>
      <c r="IH248" s="336"/>
      <c r="II248" s="336"/>
      <c r="IJ248" s="336"/>
      <c r="IK248" s="336"/>
      <c r="IL248" s="336"/>
      <c r="IM248" s="336"/>
      <c r="IN248" s="336"/>
      <c r="IO248" s="336"/>
      <c r="IP248" s="336"/>
      <c r="IQ248" s="336"/>
      <c r="IR248" s="336"/>
      <c r="IS248" s="336"/>
      <c r="IT248" s="336"/>
      <c r="IU248" s="336"/>
      <c r="IV248" s="336"/>
      <c r="IW248" s="336"/>
      <c r="IX248" s="336"/>
      <c r="IY248" s="336"/>
      <c r="IZ248" s="462"/>
      <c r="JA248" s="462"/>
      <c r="JB248" s="462"/>
      <c r="JC248" s="462"/>
      <c r="JD248" s="462"/>
      <c r="JE248" s="462"/>
      <c r="JF248" s="462"/>
      <c r="JG248" s="462"/>
      <c r="JH248" s="462"/>
      <c r="JI248" s="462"/>
      <c r="JJ248" s="462"/>
      <c r="JK248" s="462"/>
      <c r="JL248" s="462"/>
      <c r="JM248" s="462"/>
      <c r="JN248" s="462"/>
      <c r="JO248" s="462"/>
      <c r="JP248" s="462"/>
      <c r="JQ248" s="462"/>
      <c r="JR248" s="462"/>
      <c r="JS248" s="462"/>
      <c r="JT248" s="462"/>
      <c r="JU248" s="462"/>
      <c r="JV248" s="462"/>
      <c r="JW248" s="462"/>
      <c r="JX248" s="462"/>
      <c r="JY248" s="462"/>
      <c r="JZ248" s="462"/>
      <c r="KA248" s="462"/>
      <c r="KB248" s="462"/>
      <c r="KC248" s="462"/>
      <c r="KD248" s="462"/>
      <c r="KE248" s="462"/>
      <c r="KF248" s="462"/>
      <c r="KG248" s="462"/>
      <c r="KH248" s="336"/>
      <c r="KI248" s="336"/>
      <c r="KJ248" s="336"/>
      <c r="KK248" s="336"/>
      <c r="KL248" s="336"/>
      <c r="KM248" s="336"/>
      <c r="KN248" s="336"/>
      <c r="KO248" s="336"/>
      <c r="KP248" s="336"/>
      <c r="KQ248" s="336"/>
      <c r="KR248" s="336"/>
      <c r="KS248" s="336"/>
      <c r="KT248" s="336"/>
      <c r="KU248" s="336"/>
      <c r="KV248" s="336"/>
      <c r="KW248" s="336"/>
      <c r="KX248" s="336"/>
      <c r="KY248" s="336"/>
      <c r="KZ248" s="336"/>
      <c r="LA248" s="336"/>
      <c r="LB248" s="336"/>
      <c r="LC248" s="336"/>
      <c r="LD248" s="336"/>
      <c r="LE248" s="336"/>
      <c r="LF248" s="336"/>
      <c r="LG248" s="336"/>
      <c r="LH248" s="336"/>
      <c r="LI248" s="336"/>
      <c r="LJ248" s="336"/>
      <c r="LK248" s="336"/>
      <c r="LL248" s="336"/>
      <c r="LM248" s="336"/>
      <c r="LN248" s="336"/>
      <c r="LO248" s="336"/>
      <c r="LP248" s="336"/>
      <c r="LQ248" s="336"/>
      <c r="LR248" s="336"/>
      <c r="LS248" s="336"/>
      <c r="LT248" s="336"/>
      <c r="LU248" s="336"/>
      <c r="LV248" s="336"/>
      <c r="LW248" s="336"/>
      <c r="LX248" s="336"/>
      <c r="LY248" s="336"/>
      <c r="LZ248" s="336"/>
      <c r="MA248" s="336"/>
      <c r="MB248" s="336"/>
      <c r="MC248" s="336"/>
      <c r="MD248" s="336"/>
      <c r="ME248" s="336"/>
      <c r="MF248" s="336"/>
      <c r="MG248" s="336"/>
      <c r="MH248" s="336"/>
      <c r="MI248" s="336"/>
      <c r="MJ248" s="336"/>
      <c r="MK248" s="336"/>
      <c r="ML248" s="336"/>
      <c r="MM248" s="336"/>
      <c r="MN248" s="336"/>
      <c r="MO248" s="336"/>
      <c r="MP248" s="336"/>
      <c r="MQ248" s="336"/>
      <c r="MR248" s="336"/>
      <c r="MS248" s="336"/>
      <c r="MT248" s="336"/>
      <c r="MU248" s="336"/>
      <c r="MV248" s="336"/>
      <c r="MW248" s="336"/>
      <c r="MX248" s="336"/>
      <c r="MY248" s="336"/>
      <c r="MZ248" s="336"/>
      <c r="NA248" s="336"/>
      <c r="NB248" s="336"/>
      <c r="NC248" s="336"/>
      <c r="ND248" s="336"/>
      <c r="NE248" s="336"/>
      <c r="NF248" s="336"/>
      <c r="NG248" s="336"/>
      <c r="NH248" s="336"/>
      <c r="NI248" s="336"/>
      <c r="NJ248" s="336"/>
      <c r="NK248" s="336"/>
      <c r="NL248" s="336"/>
      <c r="NM248" s="336"/>
      <c r="NN248" s="336"/>
      <c r="NO248" s="336"/>
      <c r="NP248" s="336"/>
      <c r="NQ248" s="336"/>
      <c r="NR248" s="336"/>
      <c r="NS248" s="336"/>
      <c r="NT248" s="336"/>
      <c r="NU248" s="336"/>
      <c r="NV248" s="336"/>
      <c r="NW248" s="336"/>
      <c r="NX248" s="336"/>
      <c r="NY248" s="336"/>
      <c r="NZ248" s="336"/>
      <c r="OA248" s="336"/>
      <c r="OB248" s="336"/>
      <c r="OC248" s="336"/>
      <c r="OD248" s="336"/>
      <c r="OE248" s="336"/>
      <c r="OF248" s="336"/>
      <c r="OG248" s="336"/>
      <c r="OH248" s="336"/>
      <c r="OI248" s="336"/>
      <c r="OJ248" s="336"/>
      <c r="OK248" s="336"/>
      <c r="OL248" s="336"/>
      <c r="OM248" s="336"/>
      <c r="ON248" s="336"/>
      <c r="OO248" s="336"/>
      <c r="OP248" s="336"/>
      <c r="OQ248" s="336"/>
      <c r="OR248" s="336"/>
      <c r="OS248" s="336"/>
      <c r="OT248" s="336"/>
      <c r="OU248" s="336"/>
      <c r="OV248" s="336"/>
      <c r="OW248" s="336"/>
      <c r="OX248" s="336"/>
      <c r="OY248" s="336"/>
      <c r="OZ248" s="336"/>
      <c r="PA248" s="336"/>
      <c r="PB248" s="336"/>
      <c r="PC248" s="336"/>
      <c r="PD248" s="336"/>
      <c r="PE248" s="336"/>
      <c r="PF248" s="336"/>
      <c r="PG248" s="336"/>
      <c r="PH248" s="336"/>
      <c r="PI248" s="336"/>
      <c r="PJ248" s="336"/>
      <c r="PK248" s="336"/>
      <c r="PL248" s="336"/>
      <c r="PM248" s="336"/>
      <c r="PN248" s="336"/>
      <c r="PO248" s="336"/>
      <c r="PP248" s="336"/>
      <c r="PQ248" s="336"/>
      <c r="PR248" s="336"/>
      <c r="PS248" s="336"/>
      <c r="PT248" s="336"/>
      <c r="PU248" s="336"/>
      <c r="PV248" s="336"/>
      <c r="PW248" s="336"/>
      <c r="PX248" s="336"/>
      <c r="PY248" s="336"/>
      <c r="PZ248" s="336"/>
      <c r="QA248" s="336"/>
      <c r="QB248" s="336"/>
      <c r="QC248" s="336"/>
      <c r="QD248" s="336"/>
      <c r="QE248" s="336"/>
      <c r="QF248" s="336"/>
      <c r="QG248" s="336"/>
      <c r="QH248" s="336"/>
      <c r="QI248" s="336"/>
      <c r="QJ248" s="336"/>
      <c r="QK248" s="336"/>
      <c r="QL248" s="336"/>
      <c r="QM248" s="336"/>
      <c r="QN248" s="336"/>
      <c r="QO248" s="336"/>
      <c r="QP248" s="336"/>
      <c r="QQ248" s="336"/>
      <c r="QR248" s="336"/>
      <c r="QS248" s="336"/>
      <c r="QT248" s="336"/>
      <c r="QU248" s="336"/>
      <c r="QV248" s="336"/>
      <c r="QW248" s="336"/>
      <c r="QX248" s="336"/>
      <c r="QY248" s="336"/>
      <c r="QZ248" s="336"/>
      <c r="RA248" s="336"/>
      <c r="RB248" s="336"/>
      <c r="RC248" s="336"/>
      <c r="RD248" s="336"/>
      <c r="RE248" s="336"/>
      <c r="RF248" s="336"/>
      <c r="RG248" s="336"/>
      <c r="RH248" s="336"/>
      <c r="RI248" s="336"/>
      <c r="RJ248" s="336"/>
      <c r="RK248" s="336"/>
      <c r="RL248" s="336"/>
      <c r="RM248" s="336"/>
      <c r="RN248" s="336"/>
      <c r="RO248" s="336"/>
      <c r="RP248" s="336"/>
      <c r="RQ248" s="336"/>
      <c r="RR248" s="336"/>
      <c r="RS248" s="336"/>
      <c r="RT248" s="336"/>
      <c r="RU248" s="336"/>
      <c r="RV248" s="336"/>
      <c r="RW248" s="336"/>
      <c r="RX248" s="336"/>
      <c r="RY248" s="336"/>
      <c r="RZ248" s="336"/>
      <c r="SA248" s="336"/>
      <c r="SB248" s="336"/>
      <c r="SC248" s="336"/>
      <c r="SD248" s="336"/>
      <c r="SE248" s="336"/>
      <c r="SF248" s="336"/>
      <c r="SG248" s="336"/>
      <c r="SH248" s="336"/>
      <c r="SI248" s="336"/>
      <c r="SJ248" s="336"/>
      <c r="SK248" s="336"/>
      <c r="SL248" s="336"/>
      <c r="SM248" s="336"/>
      <c r="SN248" s="336"/>
      <c r="SO248" s="336"/>
      <c r="SP248" s="336"/>
      <c r="SQ248" s="336"/>
      <c r="SR248" s="336"/>
      <c r="SS248" s="336"/>
    </row>
    <row r="249" spans="1:513" s="481" customFormat="1" ht="21" hidden="1" customHeight="1">
      <c r="A249" s="477"/>
      <c r="B249" s="478"/>
      <c r="C249" s="479" t="str">
        <f t="shared" si="43"/>
        <v>Tercer piso</v>
      </c>
      <c r="D249" s="480"/>
      <c r="E249" s="480"/>
      <c r="F249" s="480"/>
      <c r="G249" s="480"/>
      <c r="H249" s="480"/>
      <c r="I249" s="480"/>
      <c r="J249" s="480"/>
      <c r="K249" s="480"/>
      <c r="L249" s="480"/>
      <c r="M249" s="480"/>
      <c r="N249" s="480"/>
      <c r="O249" s="480"/>
      <c r="P249" s="480"/>
      <c r="Q249" s="480"/>
      <c r="R249" s="480"/>
      <c r="S249" s="480"/>
      <c r="T249" s="480"/>
      <c r="U249" s="480"/>
      <c r="V249" s="480"/>
      <c r="W249" s="480"/>
      <c r="X249" s="480"/>
      <c r="Y249" s="480"/>
      <c r="Z249" s="480"/>
      <c r="AA249" s="480"/>
      <c r="AB249" s="480"/>
      <c r="AC249" s="480"/>
      <c r="AD249" s="480"/>
      <c r="AE249" s="480"/>
      <c r="AF249" s="480"/>
      <c r="AG249" s="480"/>
      <c r="AH249" s="480"/>
      <c r="AI249" s="480"/>
      <c r="AJ249" s="480"/>
      <c r="AK249" s="480"/>
      <c r="AL249" s="480"/>
      <c r="AM249" s="480"/>
      <c r="AN249" s="480"/>
      <c r="AO249" s="480"/>
      <c r="AP249" s="480"/>
      <c r="AQ249" s="480"/>
      <c r="AR249" s="480"/>
      <c r="AS249" s="480"/>
      <c r="AT249" s="480"/>
      <c r="AU249" s="480"/>
      <c r="AV249" s="480"/>
      <c r="AW249" s="336"/>
      <c r="AX249" s="336"/>
      <c r="AY249" s="336"/>
      <c r="AZ249" s="336"/>
      <c r="BA249" s="336"/>
      <c r="BB249" s="336"/>
      <c r="BC249" s="336"/>
      <c r="BD249" s="336"/>
      <c r="BE249" s="336"/>
      <c r="BF249" s="336"/>
      <c r="BG249" s="336"/>
      <c r="BH249" s="336"/>
      <c r="BI249" s="336"/>
      <c r="BJ249" s="336"/>
      <c r="BK249" s="336"/>
      <c r="BL249" s="336"/>
      <c r="BM249" s="336"/>
      <c r="BN249" s="336"/>
      <c r="BO249" s="336"/>
      <c r="BP249" s="336"/>
      <c r="BQ249" s="336"/>
      <c r="BR249" s="336"/>
      <c r="BS249" s="336"/>
      <c r="BT249" s="336"/>
      <c r="BU249" s="336"/>
      <c r="BV249" s="336"/>
      <c r="BW249" s="336"/>
      <c r="BX249" s="336"/>
      <c r="BY249" s="336"/>
      <c r="BZ249" s="336"/>
      <c r="CA249" s="336"/>
      <c r="CB249" s="336"/>
      <c r="CC249" s="336"/>
      <c r="CD249" s="336"/>
      <c r="CE249" s="336"/>
      <c r="CF249" s="336"/>
      <c r="CG249" s="336"/>
      <c r="CH249" s="336"/>
      <c r="CI249" s="336"/>
      <c r="CJ249" s="336"/>
      <c r="CK249" s="336"/>
      <c r="CL249" s="336"/>
      <c r="CM249" s="336"/>
      <c r="CN249" s="336"/>
      <c r="CO249" s="336"/>
      <c r="CP249" s="336"/>
      <c r="CQ249" s="336"/>
      <c r="CR249" s="336"/>
      <c r="CS249" s="336"/>
      <c r="CT249" s="336"/>
      <c r="CU249" s="336"/>
      <c r="CV249" s="336"/>
      <c r="CW249" s="336"/>
      <c r="CX249" s="336"/>
      <c r="CY249" s="336"/>
      <c r="CZ249" s="336"/>
      <c r="DA249" s="336"/>
      <c r="DB249" s="336"/>
      <c r="DC249" s="336"/>
      <c r="DD249" s="336"/>
      <c r="DE249" s="336"/>
      <c r="DF249" s="336"/>
      <c r="DG249" s="336"/>
      <c r="DH249" s="336"/>
      <c r="DI249" s="336"/>
      <c r="DJ249" s="336"/>
      <c r="DK249" s="336"/>
      <c r="DL249" s="336"/>
      <c r="DM249" s="336"/>
      <c r="DN249" s="336"/>
      <c r="DO249" s="336"/>
      <c r="DP249" s="336"/>
      <c r="DQ249" s="336"/>
      <c r="DR249" s="336"/>
      <c r="DS249" s="336"/>
      <c r="DT249" s="336"/>
      <c r="DU249" s="336"/>
      <c r="DV249" s="336"/>
      <c r="DW249" s="336"/>
      <c r="DX249" s="336"/>
      <c r="DY249" s="336"/>
      <c r="DZ249" s="336"/>
      <c r="EA249" s="336"/>
      <c r="EB249" s="336"/>
      <c r="EC249" s="336"/>
      <c r="ED249" s="336"/>
      <c r="EE249" s="336"/>
      <c r="EF249" s="336"/>
      <c r="EG249" s="336"/>
      <c r="EH249" s="336"/>
      <c r="EI249" s="336"/>
      <c r="EJ249" s="336"/>
      <c r="EK249" s="336"/>
      <c r="EL249" s="336"/>
      <c r="EM249" s="336"/>
      <c r="EN249" s="336"/>
      <c r="EO249" s="336"/>
      <c r="EP249" s="336"/>
      <c r="EQ249" s="336"/>
      <c r="ER249" s="336"/>
      <c r="ES249" s="336"/>
      <c r="ET249" s="336"/>
      <c r="EU249" s="336"/>
      <c r="EV249" s="336"/>
      <c r="EW249" s="336"/>
      <c r="EX249" s="336"/>
      <c r="EY249" s="336"/>
      <c r="EZ249" s="336"/>
      <c r="FA249" s="336"/>
      <c r="FB249" s="336"/>
      <c r="FC249" s="336"/>
      <c r="FD249" s="336"/>
      <c r="FE249" s="336"/>
      <c r="FF249" s="336"/>
      <c r="FG249" s="336"/>
      <c r="FH249" s="336"/>
      <c r="FI249" s="336"/>
      <c r="FJ249" s="336"/>
      <c r="FK249" s="336"/>
      <c r="FL249" s="336"/>
      <c r="FM249" s="336"/>
      <c r="FN249" s="336"/>
      <c r="FO249" s="336"/>
      <c r="FP249" s="336"/>
      <c r="FQ249" s="336"/>
      <c r="FR249" s="336"/>
      <c r="FS249" s="336"/>
      <c r="FT249" s="336"/>
      <c r="FU249" s="336"/>
      <c r="FV249" s="336"/>
      <c r="FW249" s="336"/>
      <c r="FX249" s="336"/>
      <c r="FY249" s="336"/>
      <c r="FZ249" s="336"/>
      <c r="GA249" s="336"/>
      <c r="GB249" s="336"/>
      <c r="GC249" s="336"/>
      <c r="GD249" s="336"/>
      <c r="GE249" s="336"/>
      <c r="GF249" s="336"/>
      <c r="GG249" s="336"/>
      <c r="GH249" s="336"/>
      <c r="GI249" s="336"/>
      <c r="GJ249" s="336"/>
      <c r="GK249" s="336"/>
      <c r="GL249" s="336"/>
      <c r="GM249" s="336"/>
      <c r="GN249" s="336"/>
      <c r="GO249" s="336"/>
      <c r="GP249" s="336"/>
      <c r="GQ249" s="336"/>
      <c r="GR249" s="336"/>
      <c r="GS249" s="336"/>
      <c r="GT249" s="336"/>
      <c r="GU249" s="336"/>
      <c r="GV249" s="336"/>
      <c r="GW249" s="336"/>
      <c r="GX249" s="336"/>
      <c r="GY249" s="336"/>
      <c r="GZ249" s="336"/>
      <c r="HA249" s="336"/>
      <c r="HB249" s="336"/>
      <c r="HC249" s="336"/>
      <c r="HD249" s="336"/>
      <c r="HE249" s="336"/>
      <c r="HF249" s="336"/>
      <c r="HG249" s="336"/>
      <c r="HH249" s="336"/>
      <c r="HI249" s="336"/>
      <c r="HJ249" s="336"/>
      <c r="HK249" s="336"/>
      <c r="HL249" s="336"/>
      <c r="HM249" s="336"/>
      <c r="HN249" s="336"/>
      <c r="HO249" s="336"/>
      <c r="HP249" s="336"/>
      <c r="HQ249" s="336"/>
      <c r="HR249" s="336"/>
      <c r="HS249" s="336"/>
      <c r="HT249" s="336"/>
      <c r="HU249" s="336"/>
      <c r="HV249" s="336"/>
      <c r="HW249" s="336"/>
      <c r="HX249" s="336"/>
      <c r="HY249" s="336"/>
      <c r="HZ249" s="336"/>
      <c r="IA249" s="336"/>
      <c r="IB249" s="336"/>
      <c r="IC249" s="336"/>
      <c r="ID249" s="336"/>
      <c r="IE249" s="336"/>
      <c r="IF249" s="336"/>
      <c r="IG249" s="336"/>
      <c r="IH249" s="336"/>
      <c r="II249" s="336"/>
      <c r="IJ249" s="336"/>
      <c r="IK249" s="336"/>
      <c r="IL249" s="336"/>
      <c r="IM249" s="336"/>
      <c r="IN249" s="336"/>
      <c r="IO249" s="336"/>
      <c r="IP249" s="336"/>
      <c r="IQ249" s="336"/>
      <c r="IR249" s="336"/>
      <c r="IS249" s="336"/>
      <c r="IT249" s="336"/>
      <c r="IU249" s="336"/>
      <c r="IV249" s="336"/>
      <c r="IW249" s="336"/>
      <c r="IX249" s="336"/>
      <c r="IY249" s="336"/>
      <c r="IZ249" s="462"/>
      <c r="JA249" s="462"/>
      <c r="JB249" s="462"/>
      <c r="JC249" s="462"/>
      <c r="JD249" s="462"/>
      <c r="JE249" s="462"/>
      <c r="JF249" s="462"/>
      <c r="JG249" s="462"/>
      <c r="JH249" s="462"/>
      <c r="JI249" s="462"/>
      <c r="JJ249" s="462"/>
      <c r="JK249" s="462"/>
      <c r="JL249" s="462"/>
      <c r="JM249" s="462"/>
      <c r="JN249" s="462"/>
      <c r="JO249" s="462"/>
      <c r="JP249" s="462"/>
      <c r="JQ249" s="462"/>
      <c r="JR249" s="462"/>
      <c r="JS249" s="462"/>
      <c r="JT249" s="462"/>
      <c r="JU249" s="462"/>
      <c r="JV249" s="462"/>
      <c r="JW249" s="462"/>
      <c r="JX249" s="462"/>
      <c r="JY249" s="462"/>
      <c r="JZ249" s="462"/>
      <c r="KA249" s="462"/>
      <c r="KB249" s="462"/>
      <c r="KC249" s="462"/>
      <c r="KD249" s="462"/>
      <c r="KE249" s="462"/>
      <c r="KF249" s="462"/>
      <c r="KG249" s="462"/>
      <c r="KH249" s="336"/>
      <c r="KI249" s="336"/>
      <c r="KJ249" s="336"/>
      <c r="KK249" s="336"/>
      <c r="KL249" s="336"/>
      <c r="KM249" s="336"/>
      <c r="KN249" s="336"/>
      <c r="KO249" s="336"/>
      <c r="KP249" s="336"/>
      <c r="KQ249" s="336"/>
      <c r="KR249" s="336"/>
      <c r="KS249" s="336"/>
      <c r="KT249" s="336"/>
      <c r="KU249" s="336"/>
      <c r="KV249" s="336"/>
      <c r="KW249" s="336"/>
      <c r="KX249" s="336"/>
      <c r="KY249" s="336"/>
      <c r="KZ249" s="336"/>
      <c r="LA249" s="336"/>
      <c r="LB249" s="336"/>
      <c r="LC249" s="336"/>
      <c r="LD249" s="336"/>
      <c r="LE249" s="336"/>
      <c r="LF249" s="336"/>
      <c r="LG249" s="336"/>
      <c r="LH249" s="336"/>
      <c r="LI249" s="336"/>
      <c r="LJ249" s="336"/>
      <c r="LK249" s="336"/>
      <c r="LL249" s="336"/>
      <c r="LM249" s="336"/>
      <c r="LN249" s="336"/>
      <c r="LO249" s="336"/>
      <c r="LP249" s="336"/>
      <c r="LQ249" s="336"/>
      <c r="LR249" s="336"/>
      <c r="LS249" s="336"/>
      <c r="LT249" s="336"/>
      <c r="LU249" s="336"/>
      <c r="LV249" s="336"/>
      <c r="LW249" s="336"/>
      <c r="LX249" s="336"/>
      <c r="LY249" s="336"/>
      <c r="LZ249" s="336"/>
      <c r="MA249" s="336"/>
      <c r="MB249" s="336"/>
      <c r="MC249" s="336"/>
      <c r="MD249" s="336"/>
      <c r="ME249" s="336"/>
      <c r="MF249" s="336"/>
      <c r="MG249" s="336"/>
      <c r="MH249" s="336"/>
      <c r="MI249" s="336"/>
      <c r="MJ249" s="336"/>
      <c r="MK249" s="336"/>
      <c r="ML249" s="336"/>
      <c r="MM249" s="336"/>
      <c r="MN249" s="336"/>
      <c r="MO249" s="336"/>
      <c r="MP249" s="336"/>
      <c r="MQ249" s="336"/>
      <c r="MR249" s="336"/>
      <c r="MS249" s="336"/>
      <c r="MT249" s="336"/>
      <c r="MU249" s="336"/>
      <c r="MV249" s="336"/>
      <c r="MW249" s="336"/>
      <c r="MX249" s="336"/>
      <c r="MY249" s="336"/>
      <c r="MZ249" s="336"/>
      <c r="NA249" s="336"/>
      <c r="NB249" s="336"/>
      <c r="NC249" s="336"/>
      <c r="ND249" s="336"/>
      <c r="NE249" s="336"/>
      <c r="NF249" s="336"/>
      <c r="NG249" s="336"/>
      <c r="NH249" s="336"/>
      <c r="NI249" s="336"/>
      <c r="NJ249" s="336"/>
      <c r="NK249" s="336"/>
      <c r="NL249" s="336"/>
      <c r="NM249" s="336"/>
      <c r="NN249" s="336"/>
      <c r="NO249" s="336"/>
      <c r="NP249" s="336"/>
      <c r="NQ249" s="336"/>
      <c r="NR249" s="336"/>
      <c r="NS249" s="336"/>
      <c r="NT249" s="336"/>
      <c r="NU249" s="336"/>
      <c r="NV249" s="336"/>
      <c r="NW249" s="336"/>
      <c r="NX249" s="336"/>
      <c r="NY249" s="336"/>
      <c r="NZ249" s="336"/>
      <c r="OA249" s="336"/>
      <c r="OB249" s="336"/>
      <c r="OC249" s="336"/>
      <c r="OD249" s="336"/>
      <c r="OE249" s="336"/>
      <c r="OF249" s="336"/>
      <c r="OG249" s="336"/>
      <c r="OH249" s="336"/>
      <c r="OI249" s="336"/>
      <c r="OJ249" s="336"/>
      <c r="OK249" s="336"/>
      <c r="OL249" s="336"/>
      <c r="OM249" s="336"/>
      <c r="ON249" s="336"/>
      <c r="OO249" s="336"/>
      <c r="OP249" s="336"/>
      <c r="OQ249" s="336"/>
      <c r="OR249" s="336"/>
      <c r="OS249" s="336"/>
      <c r="OT249" s="336"/>
      <c r="OU249" s="336"/>
      <c r="OV249" s="336"/>
      <c r="OW249" s="336"/>
      <c r="OX249" s="336"/>
      <c r="OY249" s="336"/>
      <c r="OZ249" s="336"/>
      <c r="PA249" s="336"/>
      <c r="PB249" s="336"/>
      <c r="PC249" s="336"/>
      <c r="PD249" s="336"/>
      <c r="PE249" s="336"/>
      <c r="PF249" s="336"/>
      <c r="PG249" s="336"/>
      <c r="PH249" s="336"/>
      <c r="PI249" s="336"/>
      <c r="PJ249" s="336"/>
      <c r="PK249" s="336"/>
      <c r="PL249" s="336"/>
      <c r="PM249" s="336"/>
      <c r="PN249" s="336"/>
      <c r="PO249" s="336"/>
      <c r="PP249" s="336"/>
      <c r="PQ249" s="336"/>
      <c r="PR249" s="336"/>
      <c r="PS249" s="336"/>
      <c r="PT249" s="336"/>
      <c r="PU249" s="336"/>
      <c r="PV249" s="336"/>
      <c r="PW249" s="336"/>
      <c r="PX249" s="336"/>
      <c r="PY249" s="336"/>
      <c r="PZ249" s="336"/>
      <c r="QA249" s="336"/>
      <c r="QB249" s="336"/>
      <c r="QC249" s="336"/>
      <c r="QD249" s="336"/>
      <c r="QE249" s="336"/>
      <c r="QF249" s="336"/>
      <c r="QG249" s="336"/>
      <c r="QH249" s="336"/>
      <c r="QI249" s="336"/>
      <c r="QJ249" s="336"/>
      <c r="QK249" s="336"/>
      <c r="QL249" s="336"/>
      <c r="QM249" s="336"/>
      <c r="QN249" s="336"/>
      <c r="QO249" s="336"/>
      <c r="QP249" s="336"/>
      <c r="QQ249" s="336"/>
      <c r="QR249" s="336"/>
      <c r="QS249" s="336"/>
      <c r="QT249" s="336"/>
      <c r="QU249" s="336"/>
      <c r="QV249" s="336"/>
      <c r="QW249" s="336"/>
      <c r="QX249" s="336"/>
      <c r="QY249" s="336"/>
      <c r="QZ249" s="336"/>
      <c r="RA249" s="336"/>
      <c r="RB249" s="336"/>
      <c r="RC249" s="336"/>
      <c r="RD249" s="336"/>
      <c r="RE249" s="336"/>
      <c r="RF249" s="336"/>
      <c r="RG249" s="336"/>
      <c r="RH249" s="336"/>
      <c r="RI249" s="336"/>
      <c r="RJ249" s="336"/>
      <c r="RK249" s="336"/>
      <c r="RL249" s="336"/>
      <c r="RM249" s="336"/>
      <c r="RN249" s="336"/>
      <c r="RO249" s="336"/>
      <c r="RP249" s="336"/>
      <c r="RQ249" s="336"/>
      <c r="RR249" s="336"/>
      <c r="RS249" s="336"/>
      <c r="RT249" s="336"/>
      <c r="RU249" s="336"/>
      <c r="RV249" s="336"/>
      <c r="RW249" s="336"/>
      <c r="RX249" s="336"/>
      <c r="RY249" s="336"/>
      <c r="RZ249" s="336"/>
      <c r="SA249" s="336"/>
      <c r="SB249" s="336"/>
      <c r="SC249" s="336"/>
      <c r="SD249" s="336"/>
      <c r="SE249" s="336"/>
      <c r="SF249" s="336"/>
      <c r="SG249" s="336"/>
      <c r="SH249" s="336"/>
      <c r="SI249" s="336"/>
      <c r="SJ249" s="336"/>
      <c r="SK249" s="336"/>
      <c r="SL249" s="336"/>
      <c r="SM249" s="336"/>
      <c r="SN249" s="336"/>
      <c r="SO249" s="336"/>
      <c r="SP249" s="336"/>
      <c r="SQ249" s="336"/>
      <c r="SR249" s="336"/>
      <c r="SS249" s="336"/>
    </row>
    <row r="250" spans="1:513" s="481" customFormat="1" ht="15.95" hidden="1" customHeight="1">
      <c r="A250" s="478"/>
      <c r="B250" s="478"/>
      <c r="C250" s="1048">
        <f t="shared" si="43"/>
        <v>0</v>
      </c>
      <c r="D250" s="1048"/>
      <c r="E250" s="1048"/>
      <c r="F250" s="1048"/>
      <c r="G250" s="1048"/>
      <c r="H250" s="1048"/>
      <c r="I250" s="482"/>
      <c r="J250" s="478" t="str">
        <f>+I224</f>
        <v>m2</v>
      </c>
      <c r="K250" s="478"/>
      <c r="L250" s="478"/>
      <c r="M250" s="478" t="s">
        <v>4508</v>
      </c>
      <c r="N250" s="483"/>
      <c r="O250" s="1049">
        <f>+N224</f>
        <v>0</v>
      </c>
      <c r="P250" s="1049"/>
      <c r="Q250" s="1049"/>
      <c r="R250" s="1049"/>
      <c r="S250" s="1049"/>
      <c r="T250" s="1049"/>
      <c r="U250" s="484" t="s">
        <v>4509</v>
      </c>
      <c r="V250" s="478"/>
      <c r="W250" s="478"/>
      <c r="X250" s="478"/>
      <c r="Y250" s="478"/>
      <c r="Z250" s="483"/>
      <c r="AA250" s="478"/>
      <c r="AB250" s="1050"/>
      <c r="AC250" s="1050"/>
      <c r="AD250" s="1050"/>
      <c r="AE250" s="1050"/>
      <c r="AF250" s="478"/>
      <c r="AG250" s="478"/>
      <c r="AH250" s="478"/>
      <c r="AI250" s="478"/>
      <c r="AJ250" s="478"/>
      <c r="AK250" s="478"/>
      <c r="AL250" s="478"/>
      <c r="AM250" s="484" t="s">
        <v>4426</v>
      </c>
      <c r="AN250" s="484"/>
      <c r="AO250" s="1051">
        <f>ROUND(C250*O250,1)</f>
        <v>0</v>
      </c>
      <c r="AP250" s="1051"/>
      <c r="AQ250" s="1051"/>
      <c r="AR250" s="1051"/>
      <c r="AS250" s="1051"/>
      <c r="AT250" s="1051"/>
      <c r="AU250" s="1051"/>
      <c r="AV250" s="1051"/>
      <c r="AW250" s="336"/>
      <c r="AX250" s="336"/>
      <c r="AY250" s="336"/>
      <c r="AZ250" s="336"/>
      <c r="BA250" s="336"/>
      <c r="BB250" s="336"/>
      <c r="BC250" s="336"/>
      <c r="BD250" s="336"/>
      <c r="BE250" s="336"/>
      <c r="BF250" s="336"/>
      <c r="BG250" s="336"/>
      <c r="BH250" s="336"/>
      <c r="BI250" s="336"/>
      <c r="BJ250" s="336"/>
      <c r="BK250" s="336"/>
      <c r="BL250" s="336"/>
      <c r="BM250" s="336"/>
      <c r="BN250" s="336"/>
      <c r="BO250" s="336"/>
      <c r="BP250" s="336"/>
      <c r="BQ250" s="336"/>
      <c r="BR250" s="336"/>
      <c r="BS250" s="336"/>
      <c r="BT250" s="336"/>
      <c r="BU250" s="336"/>
      <c r="BV250" s="336"/>
      <c r="BW250" s="336"/>
      <c r="BX250" s="336"/>
      <c r="BY250" s="336"/>
      <c r="BZ250" s="336"/>
      <c r="CA250" s="336"/>
      <c r="CB250" s="336"/>
      <c r="CC250" s="336"/>
      <c r="CD250" s="336"/>
      <c r="CE250" s="336"/>
      <c r="CF250" s="336"/>
      <c r="CG250" s="336"/>
      <c r="CH250" s="336"/>
      <c r="CI250" s="336"/>
      <c r="CJ250" s="336"/>
      <c r="CK250" s="336"/>
      <c r="CL250" s="336"/>
      <c r="CM250" s="336"/>
      <c r="CN250" s="336"/>
      <c r="CO250" s="336"/>
      <c r="CP250" s="336"/>
      <c r="CQ250" s="336"/>
      <c r="CR250" s="336"/>
      <c r="CS250" s="336"/>
      <c r="CT250" s="336"/>
      <c r="CU250" s="336"/>
      <c r="CV250" s="336"/>
      <c r="CW250" s="336"/>
      <c r="CX250" s="336"/>
      <c r="CY250" s="336"/>
      <c r="CZ250" s="336"/>
      <c r="DA250" s="336"/>
      <c r="DB250" s="336"/>
      <c r="DC250" s="336"/>
      <c r="DD250" s="336"/>
      <c r="DE250" s="336"/>
      <c r="DF250" s="336"/>
      <c r="DG250" s="336"/>
      <c r="DH250" s="336"/>
      <c r="DI250" s="336"/>
      <c r="DJ250" s="336"/>
      <c r="DK250" s="336"/>
      <c r="DL250" s="336"/>
      <c r="DM250" s="336"/>
      <c r="DN250" s="336"/>
      <c r="DO250" s="336"/>
      <c r="DP250" s="336"/>
      <c r="DQ250" s="336"/>
      <c r="DR250" s="336"/>
      <c r="DS250" s="336"/>
      <c r="DT250" s="336"/>
      <c r="DU250" s="336"/>
      <c r="DV250" s="336"/>
      <c r="DW250" s="336"/>
      <c r="DX250" s="336"/>
      <c r="DY250" s="336"/>
      <c r="DZ250" s="336"/>
      <c r="EA250" s="336"/>
      <c r="EB250" s="336"/>
      <c r="EC250" s="336"/>
      <c r="ED250" s="336"/>
      <c r="EE250" s="336"/>
      <c r="EF250" s="336"/>
      <c r="EG250" s="336"/>
      <c r="EH250" s="336"/>
      <c r="EI250" s="336"/>
      <c r="EJ250" s="336"/>
      <c r="EK250" s="336"/>
      <c r="EL250" s="336"/>
      <c r="EM250" s="336"/>
      <c r="EN250" s="336"/>
      <c r="EO250" s="336"/>
      <c r="EP250" s="336"/>
      <c r="EQ250" s="336"/>
      <c r="ER250" s="336"/>
      <c r="ES250" s="336"/>
      <c r="ET250" s="336"/>
      <c r="EU250" s="336"/>
      <c r="EV250" s="336"/>
      <c r="EW250" s="336"/>
      <c r="EX250" s="336"/>
      <c r="EY250" s="336"/>
      <c r="EZ250" s="336"/>
      <c r="FA250" s="336"/>
      <c r="FB250" s="336"/>
      <c r="FC250" s="336"/>
      <c r="FD250" s="336"/>
      <c r="FE250" s="336"/>
      <c r="FF250" s="336"/>
      <c r="FG250" s="336"/>
      <c r="FH250" s="336"/>
      <c r="FI250" s="336"/>
      <c r="FJ250" s="336"/>
      <c r="FK250" s="336"/>
      <c r="FL250" s="336"/>
      <c r="FM250" s="336"/>
      <c r="FN250" s="336"/>
      <c r="FO250" s="336"/>
      <c r="FP250" s="336"/>
      <c r="FQ250" s="336"/>
      <c r="FR250" s="336"/>
      <c r="FS250" s="336"/>
      <c r="FT250" s="336"/>
      <c r="FU250" s="336"/>
      <c r="FV250" s="336"/>
      <c r="FW250" s="336"/>
      <c r="FX250" s="336"/>
      <c r="FY250" s="336"/>
      <c r="FZ250" s="336"/>
      <c r="GA250" s="336"/>
      <c r="GB250" s="336"/>
      <c r="GC250" s="336"/>
      <c r="GD250" s="336"/>
      <c r="GE250" s="336"/>
      <c r="GF250" s="336"/>
      <c r="GG250" s="336"/>
      <c r="GH250" s="336"/>
      <c r="GI250" s="336"/>
      <c r="GJ250" s="336"/>
      <c r="GK250" s="336"/>
      <c r="GL250" s="336"/>
      <c r="GM250" s="336"/>
      <c r="GN250" s="336"/>
      <c r="GO250" s="336"/>
      <c r="GP250" s="336"/>
      <c r="GQ250" s="336"/>
      <c r="GR250" s="336"/>
      <c r="GS250" s="336"/>
      <c r="GT250" s="336"/>
      <c r="GU250" s="336"/>
      <c r="GV250" s="336"/>
      <c r="GW250" s="336"/>
      <c r="GX250" s="336"/>
      <c r="GY250" s="336"/>
      <c r="GZ250" s="336"/>
      <c r="HA250" s="336"/>
      <c r="HB250" s="336"/>
      <c r="HC250" s="336"/>
      <c r="HD250" s="336"/>
      <c r="HE250" s="336"/>
      <c r="HF250" s="336"/>
      <c r="HG250" s="336"/>
      <c r="HH250" s="336"/>
      <c r="HI250" s="336"/>
      <c r="HJ250" s="336"/>
      <c r="HK250" s="336"/>
      <c r="HL250" s="336"/>
      <c r="HM250" s="336"/>
      <c r="HN250" s="336"/>
      <c r="HO250" s="336"/>
      <c r="HP250" s="336"/>
      <c r="HQ250" s="336"/>
      <c r="HR250" s="336"/>
      <c r="HS250" s="336"/>
      <c r="HT250" s="336"/>
      <c r="HU250" s="336"/>
      <c r="HV250" s="336"/>
      <c r="HW250" s="336"/>
      <c r="HX250" s="336"/>
      <c r="HY250" s="336"/>
      <c r="HZ250" s="336"/>
      <c r="IA250" s="336"/>
      <c r="IB250" s="336"/>
      <c r="IC250" s="336"/>
      <c r="ID250" s="336"/>
      <c r="IE250" s="336"/>
      <c r="IF250" s="336"/>
      <c r="IG250" s="336"/>
      <c r="IH250" s="336"/>
      <c r="II250" s="336"/>
      <c r="IJ250" s="336"/>
      <c r="IK250" s="336"/>
      <c r="IL250" s="336"/>
      <c r="IM250" s="336"/>
      <c r="IN250" s="336"/>
      <c r="IO250" s="336"/>
      <c r="IP250" s="336"/>
      <c r="IQ250" s="336"/>
      <c r="IR250" s="336"/>
      <c r="IS250" s="336"/>
      <c r="IT250" s="336"/>
      <c r="IU250" s="336"/>
      <c r="IV250" s="336"/>
      <c r="IW250" s="336"/>
      <c r="IX250" s="336"/>
      <c r="IY250" s="336"/>
      <c r="IZ250" s="462"/>
      <c r="JA250" s="462"/>
      <c r="JB250" s="462"/>
      <c r="JC250" s="462"/>
      <c r="JD250" s="462"/>
      <c r="JE250" s="462"/>
      <c r="JF250" s="462"/>
      <c r="JG250" s="462"/>
      <c r="JH250" s="462"/>
      <c r="JI250" s="462"/>
      <c r="JJ250" s="462"/>
      <c r="JK250" s="462"/>
      <c r="JL250" s="462"/>
      <c r="JM250" s="462"/>
      <c r="JN250" s="462"/>
      <c r="JO250" s="462"/>
      <c r="JP250" s="462"/>
      <c r="JQ250" s="462"/>
      <c r="JR250" s="462"/>
      <c r="JS250" s="462"/>
      <c r="JT250" s="462"/>
      <c r="JU250" s="462"/>
      <c r="JV250" s="462"/>
      <c r="JW250" s="462"/>
      <c r="JX250" s="462"/>
      <c r="JY250" s="462"/>
      <c r="JZ250" s="462"/>
      <c r="KA250" s="462"/>
      <c r="KB250" s="462"/>
      <c r="KC250" s="462"/>
      <c r="KD250" s="462"/>
      <c r="KE250" s="462"/>
      <c r="KF250" s="462"/>
      <c r="KG250" s="462"/>
      <c r="KH250" s="336"/>
      <c r="KI250" s="336"/>
      <c r="KJ250" s="336"/>
      <c r="KK250" s="336"/>
      <c r="KL250" s="336"/>
      <c r="KM250" s="336"/>
      <c r="KN250" s="336"/>
      <c r="KO250" s="336"/>
      <c r="KP250" s="336"/>
      <c r="KQ250" s="336"/>
      <c r="KR250" s="336"/>
      <c r="KS250" s="336"/>
      <c r="KT250" s="336"/>
      <c r="KU250" s="336"/>
      <c r="KV250" s="336"/>
      <c r="KW250" s="336"/>
      <c r="KX250" s="336"/>
      <c r="KY250" s="336"/>
      <c r="KZ250" s="336"/>
      <c r="LA250" s="336"/>
      <c r="LB250" s="336"/>
      <c r="LC250" s="336"/>
      <c r="LD250" s="336"/>
      <c r="LE250" s="336"/>
      <c r="LF250" s="336"/>
      <c r="LG250" s="336"/>
      <c r="LH250" s="336"/>
      <c r="LI250" s="336"/>
      <c r="LJ250" s="336"/>
      <c r="LK250" s="336"/>
      <c r="LL250" s="336"/>
      <c r="LM250" s="336"/>
      <c r="LN250" s="336"/>
      <c r="LO250" s="336"/>
      <c r="LP250" s="336"/>
      <c r="LQ250" s="336"/>
      <c r="LR250" s="336"/>
      <c r="LS250" s="336"/>
      <c r="LT250" s="336"/>
      <c r="LU250" s="336"/>
      <c r="LV250" s="336"/>
      <c r="LW250" s="336"/>
      <c r="LX250" s="336"/>
      <c r="LY250" s="336"/>
      <c r="LZ250" s="336"/>
      <c r="MA250" s="336"/>
      <c r="MB250" s="336"/>
      <c r="MC250" s="336"/>
      <c r="MD250" s="336"/>
      <c r="ME250" s="336"/>
      <c r="MF250" s="336"/>
      <c r="MG250" s="336"/>
      <c r="MH250" s="336"/>
      <c r="MI250" s="336"/>
      <c r="MJ250" s="336"/>
      <c r="MK250" s="336"/>
      <c r="ML250" s="336"/>
      <c r="MM250" s="336"/>
      <c r="MN250" s="336"/>
      <c r="MO250" s="336"/>
      <c r="MP250" s="336"/>
      <c r="MQ250" s="336"/>
      <c r="MR250" s="336"/>
      <c r="MS250" s="336"/>
      <c r="MT250" s="336"/>
      <c r="MU250" s="336"/>
      <c r="MV250" s="336"/>
      <c r="MW250" s="336"/>
      <c r="MX250" s="336"/>
      <c r="MY250" s="336"/>
      <c r="MZ250" s="336"/>
      <c r="NA250" s="336"/>
      <c r="NB250" s="336"/>
      <c r="NC250" s="336"/>
      <c r="ND250" s="336"/>
      <c r="NE250" s="336"/>
      <c r="NF250" s="336"/>
      <c r="NG250" s="336"/>
      <c r="NH250" s="336"/>
      <c r="NI250" s="336"/>
      <c r="NJ250" s="336"/>
      <c r="NK250" s="336"/>
      <c r="NL250" s="336"/>
      <c r="NM250" s="336"/>
      <c r="NN250" s="336"/>
      <c r="NO250" s="336"/>
      <c r="NP250" s="336"/>
      <c r="NQ250" s="336"/>
      <c r="NR250" s="336"/>
      <c r="NS250" s="336"/>
      <c r="NT250" s="336"/>
      <c r="NU250" s="336"/>
      <c r="NV250" s="336"/>
      <c r="NW250" s="336"/>
      <c r="NX250" s="336"/>
      <c r="NY250" s="336"/>
      <c r="NZ250" s="336"/>
      <c r="OA250" s="336"/>
      <c r="OB250" s="336"/>
      <c r="OC250" s="336"/>
      <c r="OD250" s="336"/>
      <c r="OE250" s="336"/>
      <c r="OF250" s="336"/>
      <c r="OG250" s="336"/>
      <c r="OH250" s="336"/>
      <c r="OI250" s="336"/>
      <c r="OJ250" s="336"/>
      <c r="OK250" s="336"/>
      <c r="OL250" s="336"/>
      <c r="OM250" s="336"/>
      <c r="ON250" s="336"/>
      <c r="OO250" s="336"/>
      <c r="OP250" s="336"/>
      <c r="OQ250" s="336"/>
      <c r="OR250" s="336"/>
      <c r="OS250" s="336"/>
      <c r="OT250" s="336"/>
      <c r="OU250" s="336"/>
      <c r="OV250" s="336"/>
      <c r="OW250" s="336"/>
      <c r="OX250" s="336"/>
      <c r="OY250" s="336"/>
      <c r="OZ250" s="336"/>
      <c r="PA250" s="336"/>
      <c r="PB250" s="336"/>
      <c r="PC250" s="336"/>
      <c r="PD250" s="336"/>
      <c r="PE250" s="336"/>
      <c r="PF250" s="336"/>
      <c r="PG250" s="336"/>
      <c r="PH250" s="336"/>
      <c r="PI250" s="336"/>
      <c r="PJ250" s="336"/>
      <c r="PK250" s="336"/>
      <c r="PL250" s="336"/>
      <c r="PM250" s="336"/>
      <c r="PN250" s="336"/>
      <c r="PO250" s="336"/>
      <c r="PP250" s="336"/>
      <c r="PQ250" s="336"/>
      <c r="PR250" s="336"/>
      <c r="PS250" s="336"/>
      <c r="PT250" s="336"/>
      <c r="PU250" s="336"/>
      <c r="PV250" s="336"/>
      <c r="PW250" s="336"/>
      <c r="PX250" s="336"/>
      <c r="PY250" s="336"/>
      <c r="PZ250" s="336"/>
      <c r="QA250" s="336"/>
      <c r="QB250" s="336"/>
      <c r="QC250" s="336"/>
      <c r="QD250" s="336"/>
      <c r="QE250" s="336"/>
      <c r="QF250" s="336"/>
      <c r="QG250" s="336"/>
      <c r="QH250" s="336"/>
      <c r="QI250" s="336"/>
      <c r="QJ250" s="336"/>
      <c r="QK250" s="336"/>
      <c r="QL250" s="336"/>
      <c r="QM250" s="336"/>
      <c r="QN250" s="336"/>
      <c r="QO250" s="336"/>
      <c r="QP250" s="336"/>
      <c r="QQ250" s="336"/>
      <c r="QR250" s="336"/>
      <c r="QS250" s="336"/>
      <c r="QT250" s="336"/>
      <c r="QU250" s="336"/>
      <c r="QV250" s="336"/>
      <c r="QW250" s="336"/>
      <c r="QX250" s="336"/>
      <c r="QY250" s="336"/>
      <c r="QZ250" s="336"/>
      <c r="RA250" s="336"/>
      <c r="RB250" s="336"/>
      <c r="RC250" s="336"/>
      <c r="RD250" s="336"/>
      <c r="RE250" s="336"/>
      <c r="RF250" s="336"/>
      <c r="RG250" s="336"/>
      <c r="RH250" s="336"/>
      <c r="RI250" s="336"/>
      <c r="RJ250" s="336"/>
      <c r="RK250" s="336"/>
      <c r="RL250" s="336"/>
      <c r="RM250" s="336"/>
      <c r="RN250" s="336"/>
      <c r="RO250" s="336"/>
      <c r="RP250" s="336"/>
      <c r="RQ250" s="336"/>
      <c r="RR250" s="336"/>
      <c r="RS250" s="336"/>
      <c r="RT250" s="336"/>
      <c r="RU250" s="336"/>
      <c r="RV250" s="336"/>
      <c r="RW250" s="336"/>
      <c r="RX250" s="336"/>
      <c r="RY250" s="336"/>
      <c r="RZ250" s="336"/>
      <c r="SA250" s="336"/>
      <c r="SB250" s="336"/>
      <c r="SC250" s="336"/>
      <c r="SD250" s="336"/>
      <c r="SE250" s="336"/>
      <c r="SF250" s="336"/>
      <c r="SG250" s="336"/>
      <c r="SH250" s="336"/>
      <c r="SI250" s="336"/>
      <c r="SJ250" s="336"/>
      <c r="SK250" s="336"/>
      <c r="SL250" s="336"/>
      <c r="SM250" s="336"/>
      <c r="SN250" s="336"/>
      <c r="SO250" s="336"/>
      <c r="SP250" s="336"/>
      <c r="SQ250" s="336"/>
      <c r="SR250" s="336"/>
      <c r="SS250" s="336"/>
    </row>
    <row r="251" spans="1:513" s="336" customFormat="1" ht="15" hidden="1" customHeight="1" thickBot="1">
      <c r="A251" s="354"/>
      <c r="B251" s="354"/>
      <c r="C251" s="487" t="str">
        <f>+C244</f>
        <v>VALOR  DE LA EDIFICACIÓN</v>
      </c>
      <c r="D251" s="488"/>
      <c r="E251" s="488"/>
      <c r="F251" s="488"/>
      <c r="G251" s="489"/>
      <c r="H251" s="490"/>
      <c r="I251" s="490"/>
      <c r="J251" s="491"/>
      <c r="K251" s="492"/>
      <c r="L251" s="493"/>
      <c r="M251" s="489"/>
      <c r="N251" s="489"/>
      <c r="O251" s="489"/>
      <c r="P251" s="489"/>
      <c r="Q251" s="489"/>
      <c r="R251" s="489"/>
      <c r="S251" s="489"/>
      <c r="T251" s="489"/>
      <c r="U251" s="489"/>
      <c r="V251" s="489"/>
      <c r="W251" s="489"/>
      <c r="X251" s="489"/>
      <c r="Y251" s="489"/>
      <c r="Z251" s="489"/>
      <c r="AA251" s="489"/>
      <c r="AB251" s="489"/>
      <c r="AC251" s="489"/>
      <c r="AD251" s="489"/>
      <c r="AE251" s="489"/>
      <c r="AF251" s="489"/>
      <c r="AG251" s="489"/>
      <c r="AH251" s="489"/>
      <c r="AI251" s="489"/>
      <c r="AJ251" s="489"/>
      <c r="AK251" s="489"/>
      <c r="AL251" s="489"/>
      <c r="AM251" s="494" t="s">
        <v>4426</v>
      </c>
      <c r="AN251" s="494"/>
      <c r="AO251" s="1052">
        <f>SUM(AO246:AV250)</f>
        <v>0</v>
      </c>
      <c r="AP251" s="1052"/>
      <c r="AQ251" s="1052"/>
      <c r="AR251" s="1052"/>
      <c r="AS251" s="1052"/>
      <c r="AT251" s="1052"/>
      <c r="AU251" s="1052"/>
      <c r="AV251" s="1052"/>
      <c r="IZ251" s="462"/>
      <c r="JA251" s="462"/>
      <c r="JB251" s="462"/>
      <c r="JC251" s="462"/>
      <c r="JD251" s="462"/>
      <c r="JE251" s="462"/>
      <c r="JF251" s="462"/>
      <c r="JG251" s="462"/>
      <c r="JH251" s="462"/>
      <c r="JI251" s="462"/>
      <c r="JJ251" s="462"/>
      <c r="JK251" s="462"/>
      <c r="JL251" s="462"/>
      <c r="JM251" s="462"/>
      <c r="JN251" s="462"/>
      <c r="JO251" s="462"/>
      <c r="JP251" s="462"/>
      <c r="JQ251" s="462"/>
      <c r="JR251" s="462"/>
      <c r="JS251" s="462"/>
      <c r="JT251" s="462"/>
      <c r="JU251" s="462"/>
      <c r="JV251" s="462"/>
      <c r="JW251" s="462"/>
      <c r="JX251" s="462"/>
      <c r="JY251" s="462"/>
      <c r="JZ251" s="462"/>
      <c r="KA251" s="462"/>
      <c r="KB251" s="462"/>
      <c r="KC251" s="462"/>
      <c r="KD251" s="462"/>
      <c r="KE251" s="462"/>
      <c r="KF251" s="462"/>
      <c r="KG251" s="462"/>
    </row>
    <row r="252" spans="1:513" s="336" customFormat="1" ht="24" hidden="1" customHeight="1" thickTop="1">
      <c r="A252" s="891">
        <v>3</v>
      </c>
      <c r="B252" s="892"/>
      <c r="C252" s="355" t="s">
        <v>4510</v>
      </c>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c r="AA252" s="261"/>
      <c r="AB252" s="261"/>
      <c r="AC252" s="261"/>
      <c r="AD252" s="261"/>
      <c r="AE252" s="261"/>
      <c r="AF252" s="261"/>
      <c r="AG252" s="261"/>
      <c r="AH252" s="261"/>
      <c r="AI252" s="261"/>
      <c r="AJ252" s="261"/>
      <c r="AK252" s="261"/>
      <c r="AL252" s="261"/>
      <c r="AM252" s="261"/>
      <c r="AN252" s="261"/>
      <c r="AO252" s="261"/>
      <c r="AP252" s="261"/>
      <c r="AQ252" s="261"/>
      <c r="AR252" s="261"/>
      <c r="AS252" s="261"/>
      <c r="AT252" s="261"/>
      <c r="AU252" s="261"/>
      <c r="AV252" s="261"/>
      <c r="IZ252" s="462"/>
      <c r="JA252" s="462"/>
      <c r="JB252" s="462"/>
      <c r="JC252" s="462"/>
      <c r="JD252" s="462"/>
      <c r="JE252" s="462"/>
      <c r="JF252" s="462"/>
      <c r="JG252" s="462"/>
      <c r="JH252" s="462"/>
      <c r="JI252" s="462"/>
      <c r="JJ252" s="462"/>
      <c r="JK252" s="462"/>
      <c r="JL252" s="462"/>
      <c r="JM252" s="462"/>
      <c r="JN252" s="462"/>
      <c r="JO252" s="462"/>
      <c r="JP252" s="462"/>
      <c r="JQ252" s="462"/>
      <c r="JR252" s="462"/>
      <c r="JS252" s="462"/>
      <c r="JT252" s="462"/>
      <c r="JU252" s="462"/>
      <c r="JV252" s="462"/>
      <c r="JW252" s="462"/>
      <c r="JX252" s="462"/>
      <c r="JY252" s="462"/>
      <c r="JZ252" s="462"/>
      <c r="KA252" s="462"/>
      <c r="KB252" s="462"/>
      <c r="KC252" s="462"/>
      <c r="KD252" s="462"/>
      <c r="KE252" s="462"/>
      <c r="KF252" s="462"/>
      <c r="KG252" s="462"/>
    </row>
    <row r="253" spans="1:513" s="354" customFormat="1" ht="15.95" hidden="1" customHeight="1">
      <c r="C253" s="1059">
        <f>+C227</f>
        <v>0.15</v>
      </c>
      <c r="D253" s="1059"/>
      <c r="E253" s="1059"/>
      <c r="F253" s="1059"/>
      <c r="G253" s="1059"/>
      <c r="H253" s="1059"/>
      <c r="I253" s="354" t="s">
        <v>4520</v>
      </c>
      <c r="L253" s="354" t="s">
        <v>4508</v>
      </c>
      <c r="M253" s="1060">
        <f>+AO251</f>
        <v>0</v>
      </c>
      <c r="N253" s="1060"/>
      <c r="O253" s="1060"/>
      <c r="P253" s="1060"/>
      <c r="Q253" s="1060"/>
      <c r="R253" s="1060"/>
      <c r="S253" s="1060"/>
      <c r="T253" s="496" t="s">
        <v>4511</v>
      </c>
      <c r="Y253" s="497"/>
      <c r="AA253" s="398"/>
      <c r="AB253" s="398"/>
      <c r="AC253" s="261"/>
      <c r="AD253" s="261"/>
      <c r="AM253" s="496" t="s">
        <v>4426</v>
      </c>
      <c r="AN253" s="496"/>
      <c r="AO253" s="1060">
        <f>ROUND(C253*M253,1)</f>
        <v>0</v>
      </c>
      <c r="AP253" s="1060"/>
      <c r="AQ253" s="1060"/>
      <c r="AR253" s="1060"/>
      <c r="AS253" s="1060"/>
      <c r="AT253" s="1060"/>
      <c r="AU253" s="1060"/>
      <c r="AV253" s="1060"/>
      <c r="IZ253" s="371"/>
      <c r="JA253" s="371"/>
      <c r="JB253" s="371"/>
      <c r="JC253" s="371"/>
      <c r="JD253" s="371"/>
      <c r="JE253" s="371"/>
      <c r="JF253" s="371"/>
      <c r="JG253" s="371"/>
      <c r="JH253" s="371"/>
      <c r="JI253" s="371"/>
      <c r="JJ253" s="371"/>
      <c r="JK253" s="371"/>
      <c r="JL253" s="371"/>
      <c r="JM253" s="371"/>
      <c r="JN253" s="371"/>
      <c r="JO253" s="371"/>
      <c r="JP253" s="371"/>
      <c r="JQ253" s="371"/>
      <c r="JR253" s="371"/>
      <c r="JS253" s="371"/>
      <c r="JT253" s="371"/>
      <c r="JU253" s="371"/>
      <c r="JV253" s="371"/>
      <c r="JW253" s="371"/>
      <c r="JX253" s="371"/>
      <c r="JY253" s="371"/>
      <c r="JZ253" s="371"/>
      <c r="KA253" s="371"/>
      <c r="KB253" s="371"/>
      <c r="KC253" s="371"/>
      <c r="KD253" s="371"/>
      <c r="KE253" s="371"/>
      <c r="KF253" s="371"/>
      <c r="KG253" s="371"/>
    </row>
    <row r="254" spans="1:513" s="336" customFormat="1" ht="14.25" hidden="1" thickBot="1">
      <c r="A254" s="354"/>
      <c r="B254" s="354"/>
      <c r="C254" s="487" t="str">
        <f>+C252</f>
        <v>VALOR DE LAS AREAS COMUNES</v>
      </c>
      <c r="D254" s="488"/>
      <c r="E254" s="488"/>
      <c r="F254" s="488"/>
      <c r="G254" s="489"/>
      <c r="H254" s="490"/>
      <c r="I254" s="490"/>
      <c r="J254" s="491"/>
      <c r="K254" s="492"/>
      <c r="L254" s="493"/>
      <c r="M254" s="489"/>
      <c r="N254" s="489"/>
      <c r="O254" s="489"/>
      <c r="P254" s="489"/>
      <c r="Q254" s="489"/>
      <c r="R254" s="489"/>
      <c r="S254" s="489"/>
      <c r="T254" s="489"/>
      <c r="U254" s="489"/>
      <c r="V254" s="489"/>
      <c r="W254" s="489"/>
      <c r="X254" s="489"/>
      <c r="Y254" s="489"/>
      <c r="Z254" s="489"/>
      <c r="AA254" s="489"/>
      <c r="AB254" s="489"/>
      <c r="AC254" s="489"/>
      <c r="AD254" s="489"/>
      <c r="AE254" s="489"/>
      <c r="AF254" s="489"/>
      <c r="AG254" s="489"/>
      <c r="AH254" s="489"/>
      <c r="AI254" s="489"/>
      <c r="AJ254" s="489"/>
      <c r="AK254" s="489"/>
      <c r="AL254" s="489"/>
      <c r="AM254" s="494" t="s">
        <v>4426</v>
      </c>
      <c r="AN254" s="494"/>
      <c r="AO254" s="1052">
        <f>+AO253</f>
        <v>0</v>
      </c>
      <c r="AP254" s="1052"/>
      <c r="AQ254" s="1052"/>
      <c r="AR254" s="1052"/>
      <c r="AS254" s="1052"/>
      <c r="AT254" s="1052"/>
      <c r="AU254" s="1052"/>
      <c r="AV254" s="1052"/>
      <c r="IZ254" s="462"/>
      <c r="JA254" s="462"/>
      <c r="JB254" s="462"/>
      <c r="JC254" s="462"/>
      <c r="JD254" s="462"/>
      <c r="JE254" s="462"/>
      <c r="JF254" s="462"/>
      <c r="JG254" s="462"/>
      <c r="JH254" s="462"/>
      <c r="JI254" s="462"/>
      <c r="JJ254" s="462"/>
      <c r="JK254" s="462"/>
      <c r="JL254" s="462"/>
      <c r="JM254" s="462"/>
      <c r="JN254" s="462"/>
      <c r="JO254" s="462"/>
      <c r="JP254" s="462"/>
      <c r="JQ254" s="462"/>
      <c r="JR254" s="462"/>
      <c r="JS254" s="462"/>
      <c r="JT254" s="462"/>
      <c r="JU254" s="462"/>
      <c r="JV254" s="462"/>
      <c r="JW254" s="462"/>
      <c r="JX254" s="462"/>
      <c r="JY254" s="462"/>
      <c r="JZ254" s="462"/>
      <c r="KA254" s="462"/>
      <c r="KB254" s="462"/>
      <c r="KC254" s="462"/>
      <c r="KD254" s="462"/>
      <c r="KE254" s="462"/>
      <c r="KF254" s="462"/>
      <c r="KG254" s="462"/>
    </row>
    <row r="255" spans="1:513" s="336" customFormat="1" ht="27.95" hidden="1" customHeight="1" thickTop="1">
      <c r="A255" s="891">
        <f>+A252+1</f>
        <v>4</v>
      </c>
      <c r="B255" s="892"/>
      <c r="C255" s="355" t="s">
        <v>4527</v>
      </c>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c r="AA255" s="261"/>
      <c r="AB255" s="261"/>
      <c r="AC255" s="261"/>
      <c r="AD255" s="261"/>
      <c r="AE255" s="261"/>
      <c r="AF255" s="261"/>
      <c r="AG255" s="261"/>
      <c r="AH255" s="261"/>
      <c r="AI255" s="261"/>
      <c r="AJ255" s="261"/>
      <c r="AK255" s="261"/>
      <c r="AL255" s="261"/>
      <c r="AM255" s="261"/>
      <c r="AN255" s="261"/>
      <c r="AO255" s="261"/>
      <c r="AP255" s="261"/>
      <c r="AQ255" s="261"/>
      <c r="AR255" s="261"/>
      <c r="AS255" s="261"/>
      <c r="AT255" s="261"/>
      <c r="AU255" s="261"/>
      <c r="AV255" s="261"/>
      <c r="IZ255" s="462"/>
      <c r="JA255" s="462"/>
      <c r="JB255" s="462"/>
      <c r="JC255" s="462"/>
      <c r="JD255" s="462"/>
      <c r="JE255" s="462"/>
      <c r="JF255" s="462"/>
      <c r="JG255" s="462"/>
      <c r="JH255" s="462"/>
      <c r="JI255" s="462"/>
      <c r="JJ255" s="462"/>
      <c r="JK255" s="462"/>
      <c r="JL255" s="462"/>
      <c r="JM255" s="462"/>
      <c r="JN255" s="462"/>
      <c r="JO255" s="462"/>
      <c r="JP255" s="462"/>
      <c r="JQ255" s="462"/>
      <c r="JR255" s="462"/>
      <c r="JS255" s="462"/>
      <c r="JT255" s="462"/>
      <c r="JU255" s="462"/>
      <c r="JV255" s="462"/>
      <c r="JW255" s="462"/>
      <c r="JX255" s="462"/>
      <c r="JY255" s="462"/>
      <c r="JZ255" s="462"/>
      <c r="KA255" s="462"/>
      <c r="KB255" s="462"/>
      <c r="KC255" s="462"/>
      <c r="KD255" s="462"/>
      <c r="KE255" s="462"/>
      <c r="KF255" s="462"/>
      <c r="KG255" s="462"/>
    </row>
    <row r="256" spans="1:513" s="481" customFormat="1" ht="15" hidden="1" customHeight="1">
      <c r="A256" s="478"/>
      <c r="B256" s="478"/>
      <c r="C256" s="498" t="str">
        <f t="shared" ref="C256:C266" si="44">+C230</f>
        <v>a) Cisterna (estimado):</v>
      </c>
      <c r="D256" s="499"/>
      <c r="E256" s="499"/>
      <c r="F256" s="499"/>
      <c r="G256" s="499"/>
      <c r="H256" s="499"/>
      <c r="I256" s="499"/>
      <c r="J256" s="499"/>
      <c r="K256" s="499"/>
      <c r="L256" s="499"/>
      <c r="M256" s="499"/>
      <c r="N256" s="499"/>
      <c r="O256" s="499"/>
      <c r="P256" s="499"/>
      <c r="Q256" s="499"/>
      <c r="R256" s="499"/>
      <c r="S256" s="499"/>
      <c r="T256" s="499"/>
      <c r="U256" s="499"/>
      <c r="V256" s="499"/>
      <c r="W256" s="499"/>
      <c r="X256" s="499"/>
      <c r="Y256" s="499"/>
      <c r="Z256" s="499"/>
      <c r="AA256" s="499"/>
      <c r="AB256" s="499"/>
      <c r="AC256" s="499"/>
      <c r="AD256" s="499"/>
      <c r="AE256" s="499"/>
      <c r="AF256" s="499"/>
      <c r="AG256" s="499"/>
      <c r="AH256" s="499"/>
      <c r="AI256" s="499"/>
      <c r="AJ256" s="499"/>
      <c r="AK256" s="499"/>
      <c r="AL256" s="499"/>
      <c r="AM256" s="499"/>
      <c r="AN256" s="499"/>
      <c r="AO256" s="499"/>
      <c r="AP256" s="499"/>
      <c r="AQ256" s="499"/>
      <c r="AR256" s="499"/>
      <c r="AS256" s="499"/>
      <c r="AT256" s="499"/>
      <c r="AU256" s="499"/>
      <c r="AV256" s="499"/>
      <c r="AW256" s="336"/>
      <c r="AX256" s="336"/>
      <c r="AY256" s="336"/>
      <c r="AZ256" s="336"/>
      <c r="BA256" s="336"/>
      <c r="BB256" s="336"/>
      <c r="BC256" s="336"/>
      <c r="BD256" s="336"/>
      <c r="BE256" s="336"/>
      <c r="BF256" s="336"/>
      <c r="BG256" s="336"/>
      <c r="BH256" s="336"/>
      <c r="BI256" s="336"/>
      <c r="BJ256" s="336"/>
      <c r="BK256" s="336"/>
      <c r="BL256" s="336"/>
      <c r="BM256" s="336"/>
      <c r="BN256" s="336"/>
      <c r="BO256" s="336"/>
      <c r="BP256" s="336"/>
      <c r="BQ256" s="336"/>
      <c r="BR256" s="336"/>
      <c r="BS256" s="336"/>
      <c r="BT256" s="336"/>
      <c r="BU256" s="336"/>
      <c r="BV256" s="336"/>
      <c r="BW256" s="336"/>
      <c r="BX256" s="336"/>
      <c r="BY256" s="336"/>
      <c r="BZ256" s="336"/>
      <c r="CA256" s="336"/>
      <c r="CB256" s="336"/>
      <c r="CC256" s="336"/>
      <c r="CD256" s="336"/>
      <c r="CE256" s="336"/>
      <c r="CF256" s="336"/>
      <c r="CG256" s="336"/>
      <c r="CH256" s="336"/>
      <c r="CI256" s="336"/>
      <c r="CJ256" s="336"/>
      <c r="CK256" s="336"/>
      <c r="CL256" s="336"/>
      <c r="CM256" s="336"/>
      <c r="CN256" s="336"/>
      <c r="CO256" s="336"/>
      <c r="CP256" s="336"/>
      <c r="CQ256" s="336"/>
      <c r="CR256" s="336"/>
      <c r="CS256" s="336"/>
      <c r="CT256" s="336"/>
      <c r="CU256" s="336"/>
      <c r="CV256" s="336"/>
      <c r="CW256" s="336"/>
      <c r="CX256" s="336"/>
      <c r="CY256" s="336"/>
      <c r="CZ256" s="336"/>
      <c r="DA256" s="336"/>
      <c r="DB256" s="336"/>
      <c r="DC256" s="336"/>
      <c r="DD256" s="336"/>
      <c r="DE256" s="336"/>
      <c r="DF256" s="336"/>
      <c r="DG256" s="336"/>
      <c r="DH256" s="336"/>
      <c r="DI256" s="336"/>
      <c r="DJ256" s="336"/>
      <c r="DK256" s="336"/>
      <c r="DL256" s="336"/>
      <c r="DM256" s="336"/>
      <c r="DN256" s="336"/>
      <c r="DO256" s="336"/>
      <c r="DP256" s="336"/>
      <c r="DQ256" s="336"/>
      <c r="DR256" s="336"/>
      <c r="DS256" s="336"/>
      <c r="DT256" s="336"/>
      <c r="DU256" s="336"/>
      <c r="DV256" s="336"/>
      <c r="DW256" s="336"/>
      <c r="DX256" s="336"/>
      <c r="DY256" s="336"/>
      <c r="DZ256" s="336"/>
      <c r="EA256" s="336"/>
      <c r="EB256" s="336"/>
      <c r="EC256" s="336"/>
      <c r="ED256" s="336"/>
      <c r="EE256" s="336"/>
      <c r="EF256" s="336"/>
      <c r="EG256" s="336"/>
      <c r="EH256" s="336"/>
      <c r="EI256" s="336"/>
      <c r="EJ256" s="336"/>
      <c r="EK256" s="336"/>
      <c r="EL256" s="336"/>
      <c r="EM256" s="336"/>
      <c r="EN256" s="336"/>
      <c r="EO256" s="336"/>
      <c r="EP256" s="336"/>
      <c r="EQ256" s="336"/>
      <c r="ER256" s="336"/>
      <c r="ES256" s="336"/>
      <c r="ET256" s="336"/>
      <c r="EU256" s="336"/>
      <c r="EV256" s="336"/>
      <c r="EW256" s="336"/>
      <c r="EX256" s="336"/>
      <c r="EY256" s="336"/>
      <c r="EZ256" s="336"/>
      <c r="FA256" s="336"/>
      <c r="FB256" s="336"/>
      <c r="FC256" s="336"/>
      <c r="FD256" s="336"/>
      <c r="FE256" s="336"/>
      <c r="FF256" s="336"/>
      <c r="FG256" s="336"/>
      <c r="FH256" s="336"/>
      <c r="FI256" s="336"/>
      <c r="FJ256" s="336"/>
      <c r="FK256" s="336"/>
      <c r="FL256" s="336"/>
      <c r="FM256" s="336"/>
      <c r="FN256" s="336"/>
      <c r="FO256" s="336"/>
      <c r="FP256" s="336"/>
      <c r="FQ256" s="336"/>
      <c r="FR256" s="336"/>
      <c r="FS256" s="336"/>
      <c r="FT256" s="336"/>
      <c r="FU256" s="336"/>
      <c r="FV256" s="336"/>
      <c r="FW256" s="336"/>
      <c r="FX256" s="336"/>
      <c r="FY256" s="336"/>
      <c r="FZ256" s="336"/>
      <c r="GA256" s="336"/>
      <c r="GB256" s="336"/>
      <c r="GC256" s="336"/>
      <c r="GD256" s="336"/>
      <c r="GE256" s="336"/>
      <c r="GF256" s="336"/>
      <c r="GG256" s="336"/>
      <c r="GH256" s="336"/>
      <c r="GI256" s="336"/>
      <c r="GJ256" s="336"/>
      <c r="GK256" s="336"/>
      <c r="GL256" s="336"/>
      <c r="GM256" s="336"/>
      <c r="GN256" s="336"/>
      <c r="GO256" s="336"/>
      <c r="GP256" s="336"/>
      <c r="GQ256" s="336"/>
      <c r="GR256" s="336"/>
      <c r="GS256" s="336"/>
      <c r="GT256" s="336"/>
      <c r="GU256" s="336"/>
      <c r="GV256" s="336"/>
      <c r="GW256" s="336"/>
      <c r="GX256" s="336"/>
      <c r="GY256" s="336"/>
      <c r="GZ256" s="336"/>
      <c r="HA256" s="336"/>
      <c r="HB256" s="336"/>
      <c r="HC256" s="336"/>
      <c r="HD256" s="336"/>
      <c r="HE256" s="336"/>
      <c r="HF256" s="336"/>
      <c r="HG256" s="336"/>
      <c r="HH256" s="336"/>
      <c r="HI256" s="336"/>
      <c r="HJ256" s="336"/>
      <c r="HK256" s="336"/>
      <c r="HL256" s="336"/>
      <c r="HM256" s="336"/>
      <c r="HN256" s="336"/>
      <c r="HO256" s="336"/>
      <c r="HP256" s="336"/>
      <c r="HQ256" s="336"/>
      <c r="HR256" s="336"/>
      <c r="HS256" s="336"/>
      <c r="HT256" s="336"/>
      <c r="HU256" s="336"/>
      <c r="HV256" s="336"/>
      <c r="HW256" s="336"/>
      <c r="HX256" s="336"/>
      <c r="HY256" s="336"/>
      <c r="HZ256" s="336"/>
      <c r="IA256" s="336"/>
      <c r="IB256" s="336"/>
      <c r="IC256" s="336"/>
      <c r="ID256" s="336"/>
      <c r="IE256" s="336"/>
      <c r="IF256" s="336"/>
      <c r="IG256" s="336"/>
      <c r="IH256" s="336"/>
      <c r="II256" s="336"/>
      <c r="IJ256" s="336"/>
      <c r="IK256" s="336"/>
      <c r="IL256" s="336"/>
      <c r="IM256" s="336"/>
      <c r="IN256" s="336"/>
      <c r="IO256" s="336"/>
      <c r="IP256" s="336"/>
      <c r="IQ256" s="336"/>
      <c r="IR256" s="336"/>
      <c r="IS256" s="336"/>
      <c r="IT256" s="336"/>
      <c r="IU256" s="336"/>
      <c r="IV256" s="336"/>
      <c r="IW256" s="336"/>
      <c r="IX256" s="336"/>
      <c r="IY256" s="336"/>
      <c r="IZ256" s="462"/>
      <c r="JA256" s="462"/>
      <c r="JB256" s="462"/>
      <c r="JC256" s="462"/>
      <c r="JD256" s="462"/>
      <c r="JE256" s="462"/>
      <c r="JF256" s="462"/>
      <c r="JG256" s="462"/>
      <c r="JH256" s="462"/>
      <c r="JI256" s="462"/>
      <c r="JJ256" s="462"/>
      <c r="JK256" s="462"/>
      <c r="JL256" s="462"/>
      <c r="JM256" s="462"/>
      <c r="JN256" s="462"/>
      <c r="JO256" s="462"/>
      <c r="JP256" s="462"/>
      <c r="JQ256" s="462"/>
      <c r="JR256" s="462"/>
      <c r="JS256" s="462"/>
      <c r="JT256" s="462"/>
      <c r="JU256" s="462"/>
      <c r="JV256" s="462"/>
      <c r="JW256" s="462"/>
      <c r="JX256" s="462"/>
      <c r="JY256" s="462"/>
      <c r="JZ256" s="462"/>
      <c r="KA256" s="462"/>
      <c r="KB256" s="462"/>
      <c r="KC256" s="462"/>
      <c r="KD256" s="462"/>
      <c r="KE256" s="462"/>
      <c r="KF256" s="462"/>
      <c r="KG256" s="462"/>
      <c r="KH256" s="336"/>
      <c r="KI256" s="336"/>
      <c r="KJ256" s="336"/>
      <c r="KK256" s="336"/>
      <c r="KL256" s="336"/>
      <c r="KM256" s="336"/>
      <c r="KN256" s="336"/>
      <c r="KO256" s="336"/>
      <c r="KP256" s="336"/>
      <c r="KQ256" s="336"/>
      <c r="KR256" s="336"/>
      <c r="KS256" s="336"/>
      <c r="KT256" s="336"/>
      <c r="KU256" s="336"/>
      <c r="KV256" s="336"/>
      <c r="KW256" s="336"/>
      <c r="KX256" s="336"/>
      <c r="KY256" s="336"/>
      <c r="KZ256" s="336"/>
      <c r="LA256" s="336"/>
      <c r="LB256" s="336"/>
      <c r="LC256" s="336"/>
      <c r="LD256" s="336"/>
      <c r="LE256" s="336"/>
      <c r="LF256" s="336"/>
      <c r="LG256" s="336"/>
      <c r="LH256" s="336"/>
      <c r="LI256" s="336"/>
      <c r="LJ256" s="336"/>
      <c r="LK256" s="336"/>
      <c r="LL256" s="336"/>
      <c r="LM256" s="336"/>
      <c r="LN256" s="336"/>
      <c r="LO256" s="336"/>
      <c r="LP256" s="336"/>
      <c r="LQ256" s="336"/>
      <c r="LR256" s="336"/>
      <c r="LS256" s="336"/>
      <c r="LT256" s="336"/>
      <c r="LU256" s="336"/>
      <c r="LV256" s="336"/>
      <c r="LW256" s="336"/>
      <c r="LX256" s="336"/>
      <c r="LY256" s="336"/>
      <c r="LZ256" s="336"/>
      <c r="MA256" s="336"/>
      <c r="MB256" s="336"/>
      <c r="MC256" s="336"/>
      <c r="MD256" s="336"/>
      <c r="ME256" s="336"/>
      <c r="MF256" s="336"/>
      <c r="MG256" s="336"/>
      <c r="MH256" s="336"/>
      <c r="MI256" s="336"/>
      <c r="MJ256" s="336"/>
      <c r="MK256" s="336"/>
      <c r="ML256" s="336"/>
      <c r="MM256" s="336"/>
      <c r="MN256" s="336"/>
      <c r="MO256" s="336"/>
      <c r="MP256" s="336"/>
      <c r="MQ256" s="336"/>
      <c r="MR256" s="336"/>
      <c r="MS256" s="336"/>
      <c r="MT256" s="336"/>
      <c r="MU256" s="336"/>
      <c r="MV256" s="336"/>
      <c r="MW256" s="336"/>
      <c r="MX256" s="336"/>
      <c r="MY256" s="336"/>
      <c r="MZ256" s="336"/>
      <c r="NA256" s="336"/>
      <c r="NB256" s="336"/>
      <c r="NC256" s="336"/>
      <c r="ND256" s="336"/>
      <c r="NE256" s="336"/>
      <c r="NF256" s="336"/>
      <c r="NG256" s="336"/>
      <c r="NH256" s="336"/>
      <c r="NI256" s="336"/>
      <c r="NJ256" s="336"/>
      <c r="NK256" s="336"/>
      <c r="NL256" s="336"/>
      <c r="NM256" s="336"/>
      <c r="NN256" s="336"/>
      <c r="NO256" s="336"/>
      <c r="NP256" s="336"/>
      <c r="NQ256" s="336"/>
      <c r="NR256" s="336"/>
      <c r="NS256" s="336"/>
      <c r="NT256" s="336"/>
      <c r="NU256" s="336"/>
      <c r="NV256" s="336"/>
      <c r="NW256" s="336"/>
      <c r="NX256" s="336"/>
      <c r="NY256" s="336"/>
      <c r="NZ256" s="336"/>
      <c r="OA256" s="336"/>
      <c r="OB256" s="336"/>
      <c r="OC256" s="336"/>
      <c r="OD256" s="336"/>
      <c r="OE256" s="336"/>
      <c r="OF256" s="336"/>
      <c r="OG256" s="336"/>
      <c r="OH256" s="336"/>
      <c r="OI256" s="336"/>
      <c r="OJ256" s="336"/>
      <c r="OK256" s="336"/>
      <c r="OL256" s="336"/>
      <c r="OM256" s="336"/>
      <c r="ON256" s="336"/>
      <c r="OO256" s="336"/>
      <c r="OP256" s="336"/>
      <c r="OQ256" s="336"/>
      <c r="OR256" s="336"/>
      <c r="OS256" s="336"/>
      <c r="OT256" s="336"/>
      <c r="OU256" s="336"/>
      <c r="OV256" s="336"/>
      <c r="OW256" s="336"/>
      <c r="OX256" s="336"/>
      <c r="OY256" s="336"/>
      <c r="OZ256" s="336"/>
      <c r="PA256" s="336"/>
      <c r="PB256" s="336"/>
      <c r="PC256" s="336"/>
      <c r="PD256" s="336"/>
      <c r="PE256" s="336"/>
      <c r="PF256" s="336"/>
      <c r="PG256" s="336"/>
      <c r="PH256" s="336"/>
      <c r="PI256" s="336"/>
      <c r="PJ256" s="336"/>
      <c r="PK256" s="336"/>
      <c r="PL256" s="336"/>
      <c r="PM256" s="336"/>
      <c r="PN256" s="336"/>
      <c r="PO256" s="336"/>
      <c r="PP256" s="336"/>
      <c r="PQ256" s="336"/>
      <c r="PR256" s="336"/>
      <c r="PS256" s="336"/>
      <c r="PT256" s="336"/>
      <c r="PU256" s="336"/>
      <c r="PV256" s="336"/>
      <c r="PW256" s="336"/>
      <c r="PX256" s="336"/>
      <c r="PY256" s="336"/>
      <c r="PZ256" s="336"/>
      <c r="QA256" s="336"/>
      <c r="QB256" s="336"/>
      <c r="QC256" s="336"/>
      <c r="QD256" s="336"/>
      <c r="QE256" s="336"/>
      <c r="QF256" s="336"/>
      <c r="QG256" s="336"/>
      <c r="QH256" s="336"/>
      <c r="QI256" s="336"/>
      <c r="QJ256" s="336"/>
      <c r="QK256" s="336"/>
      <c r="QL256" s="336"/>
      <c r="QM256" s="336"/>
      <c r="QN256" s="336"/>
      <c r="QO256" s="336"/>
      <c r="QP256" s="336"/>
      <c r="QQ256" s="336"/>
      <c r="QR256" s="336"/>
      <c r="QS256" s="336"/>
      <c r="QT256" s="336"/>
      <c r="QU256" s="336"/>
      <c r="QV256" s="336"/>
      <c r="QW256" s="336"/>
      <c r="QX256" s="336"/>
      <c r="QY256" s="336"/>
      <c r="QZ256" s="336"/>
      <c r="RA256" s="336"/>
      <c r="RB256" s="336"/>
      <c r="RC256" s="336"/>
      <c r="RD256" s="336"/>
      <c r="RE256" s="336"/>
      <c r="RF256" s="336"/>
      <c r="RG256" s="336"/>
      <c r="RH256" s="336"/>
      <c r="RI256" s="336"/>
      <c r="RJ256" s="336"/>
      <c r="RK256" s="336"/>
      <c r="RL256" s="336"/>
      <c r="RM256" s="336"/>
      <c r="RN256" s="336"/>
      <c r="RO256" s="336"/>
      <c r="RP256" s="336"/>
      <c r="RQ256" s="336"/>
      <c r="RR256" s="336"/>
      <c r="RS256" s="336"/>
      <c r="RT256" s="336"/>
      <c r="RU256" s="336"/>
      <c r="RV256" s="336"/>
      <c r="RW256" s="336"/>
      <c r="RX256" s="336"/>
      <c r="RY256" s="336"/>
      <c r="RZ256" s="336"/>
      <c r="SA256" s="336"/>
      <c r="SB256" s="336"/>
      <c r="SC256" s="336"/>
      <c r="SD256" s="336"/>
      <c r="SE256" s="336"/>
      <c r="SF256" s="336"/>
      <c r="SG256" s="336"/>
      <c r="SH256" s="336"/>
      <c r="SI256" s="336"/>
      <c r="SJ256" s="336"/>
      <c r="SK256" s="336"/>
      <c r="SL256" s="336"/>
      <c r="SM256" s="336"/>
      <c r="SN256" s="336"/>
      <c r="SO256" s="336"/>
      <c r="SP256" s="336"/>
      <c r="SQ256" s="336"/>
      <c r="SR256" s="336"/>
      <c r="SS256" s="336"/>
    </row>
    <row r="257" spans="1:513" s="481" customFormat="1" ht="15" hidden="1" customHeight="1">
      <c r="A257" s="478"/>
      <c r="B257" s="478"/>
      <c r="C257" s="1048">
        <f t="shared" si="44"/>
        <v>0</v>
      </c>
      <c r="D257" s="1048"/>
      <c r="E257" s="1048"/>
      <c r="F257" s="1048"/>
      <c r="G257" s="1048"/>
      <c r="H257" s="1048"/>
      <c r="I257" s="482" t="str">
        <f>+I231</f>
        <v>m3</v>
      </c>
      <c r="J257" s="478"/>
      <c r="K257" s="478"/>
      <c r="L257" s="478"/>
      <c r="M257" s="478" t="s">
        <v>4508</v>
      </c>
      <c r="N257" s="1051">
        <f>+N231</f>
        <v>0</v>
      </c>
      <c r="O257" s="1051"/>
      <c r="P257" s="1051"/>
      <c r="Q257" s="1051"/>
      <c r="R257" s="1051"/>
      <c r="S257" s="1051"/>
      <c r="T257" s="1051"/>
      <c r="U257" s="484" t="str">
        <f>+T231</f>
        <v>/m3</v>
      </c>
      <c r="V257" s="478"/>
      <c r="W257" s="478"/>
      <c r="X257" s="478"/>
      <c r="Y257" s="478"/>
      <c r="Z257" s="483"/>
      <c r="AA257" s="478"/>
      <c r="AB257" s="1050"/>
      <c r="AC257" s="1050"/>
      <c r="AD257" s="1058"/>
      <c r="AE257" s="1058"/>
      <c r="AF257" s="478"/>
      <c r="AG257" s="478"/>
      <c r="AH257" s="478"/>
      <c r="AI257" s="478"/>
      <c r="AJ257" s="478"/>
      <c r="AK257" s="478"/>
      <c r="AL257" s="478"/>
      <c r="AM257" s="484" t="s">
        <v>4426</v>
      </c>
      <c r="AN257" s="484"/>
      <c r="AO257" s="1051">
        <f>ROUND(C257*N257,1)</f>
        <v>0</v>
      </c>
      <c r="AP257" s="1051"/>
      <c r="AQ257" s="1051"/>
      <c r="AR257" s="1051"/>
      <c r="AS257" s="1051"/>
      <c r="AT257" s="1051"/>
      <c r="AU257" s="1051"/>
      <c r="AV257" s="1051"/>
      <c r="AW257" s="336"/>
      <c r="AX257" s="336"/>
      <c r="AY257" s="336"/>
      <c r="AZ257" s="336"/>
      <c r="BA257" s="336"/>
      <c r="BB257" s="336"/>
      <c r="BC257" s="336"/>
      <c r="BD257" s="336"/>
      <c r="BE257" s="336"/>
      <c r="BF257" s="336"/>
      <c r="BG257" s="336"/>
      <c r="BH257" s="336"/>
      <c r="BI257" s="336"/>
      <c r="BJ257" s="336"/>
      <c r="BK257" s="336"/>
      <c r="BL257" s="336"/>
      <c r="BM257" s="336"/>
      <c r="BN257" s="336"/>
      <c r="BO257" s="336"/>
      <c r="BP257" s="336"/>
      <c r="BQ257" s="336"/>
      <c r="BR257" s="336"/>
      <c r="BS257" s="336"/>
      <c r="BT257" s="336"/>
      <c r="BU257" s="336"/>
      <c r="BV257" s="336"/>
      <c r="BW257" s="336"/>
      <c r="BX257" s="336"/>
      <c r="BY257" s="336"/>
      <c r="BZ257" s="336"/>
      <c r="CA257" s="336"/>
      <c r="CB257" s="336"/>
      <c r="CC257" s="336"/>
      <c r="CD257" s="336"/>
      <c r="CE257" s="336"/>
      <c r="CF257" s="336"/>
      <c r="CG257" s="336"/>
      <c r="CH257" s="336"/>
      <c r="CI257" s="336"/>
      <c r="CJ257" s="336"/>
      <c r="CK257" s="336"/>
      <c r="CL257" s="336"/>
      <c r="CM257" s="336"/>
      <c r="CN257" s="336"/>
      <c r="CO257" s="336"/>
      <c r="CP257" s="336"/>
      <c r="CQ257" s="336"/>
      <c r="CR257" s="336"/>
      <c r="CS257" s="336"/>
      <c r="CT257" s="336"/>
      <c r="CU257" s="336"/>
      <c r="CV257" s="336"/>
      <c r="CW257" s="336"/>
      <c r="CX257" s="336"/>
      <c r="CY257" s="336"/>
      <c r="CZ257" s="336"/>
      <c r="DA257" s="336"/>
      <c r="DB257" s="336"/>
      <c r="DC257" s="336"/>
      <c r="DD257" s="336"/>
      <c r="DE257" s="336"/>
      <c r="DF257" s="336"/>
      <c r="DG257" s="336"/>
      <c r="DH257" s="336"/>
      <c r="DI257" s="336"/>
      <c r="DJ257" s="336"/>
      <c r="DK257" s="336"/>
      <c r="DL257" s="336"/>
      <c r="DM257" s="336"/>
      <c r="DN257" s="336"/>
      <c r="DO257" s="336"/>
      <c r="DP257" s="336"/>
      <c r="DQ257" s="336"/>
      <c r="DR257" s="336"/>
      <c r="DS257" s="336"/>
      <c r="DT257" s="336"/>
      <c r="DU257" s="336"/>
      <c r="DV257" s="336"/>
      <c r="DW257" s="336"/>
      <c r="DX257" s="336"/>
      <c r="DY257" s="336"/>
      <c r="DZ257" s="336"/>
      <c r="EA257" s="336"/>
      <c r="EB257" s="336"/>
      <c r="EC257" s="336"/>
      <c r="ED257" s="336"/>
      <c r="EE257" s="336"/>
      <c r="EF257" s="336"/>
      <c r="EG257" s="336"/>
      <c r="EH257" s="336"/>
      <c r="EI257" s="336"/>
      <c r="EJ257" s="336"/>
      <c r="EK257" s="336"/>
      <c r="EL257" s="336"/>
      <c r="EM257" s="336"/>
      <c r="EN257" s="336"/>
      <c r="EO257" s="336"/>
      <c r="EP257" s="336"/>
      <c r="EQ257" s="336"/>
      <c r="ER257" s="336"/>
      <c r="ES257" s="336"/>
      <c r="ET257" s="336"/>
      <c r="EU257" s="336"/>
      <c r="EV257" s="336"/>
      <c r="EW257" s="336"/>
      <c r="EX257" s="336"/>
      <c r="EY257" s="336"/>
      <c r="EZ257" s="336"/>
      <c r="FA257" s="336"/>
      <c r="FB257" s="336"/>
      <c r="FC257" s="336"/>
      <c r="FD257" s="336"/>
      <c r="FE257" s="336"/>
      <c r="FF257" s="336"/>
      <c r="FG257" s="336"/>
      <c r="FH257" s="336"/>
      <c r="FI257" s="336"/>
      <c r="FJ257" s="336"/>
      <c r="FK257" s="336"/>
      <c r="FL257" s="336"/>
      <c r="FM257" s="336"/>
      <c r="FN257" s="336"/>
      <c r="FO257" s="336"/>
      <c r="FP257" s="336"/>
      <c r="FQ257" s="336"/>
      <c r="FR257" s="336"/>
      <c r="FS257" s="336"/>
      <c r="FT257" s="336"/>
      <c r="FU257" s="336"/>
      <c r="FV257" s="336"/>
      <c r="FW257" s="336"/>
      <c r="FX257" s="336"/>
      <c r="FY257" s="336"/>
      <c r="FZ257" s="336"/>
      <c r="GA257" s="336"/>
      <c r="GB257" s="336"/>
      <c r="GC257" s="336"/>
      <c r="GD257" s="336"/>
      <c r="GE257" s="336"/>
      <c r="GF257" s="336"/>
      <c r="GG257" s="336"/>
      <c r="GH257" s="336"/>
      <c r="GI257" s="336"/>
      <c r="GJ257" s="336"/>
      <c r="GK257" s="336"/>
      <c r="GL257" s="336"/>
      <c r="GM257" s="336"/>
      <c r="GN257" s="336"/>
      <c r="GO257" s="336"/>
      <c r="GP257" s="336"/>
      <c r="GQ257" s="336"/>
      <c r="GR257" s="336"/>
      <c r="GS257" s="336"/>
      <c r="GT257" s="336"/>
      <c r="GU257" s="336"/>
      <c r="GV257" s="336"/>
      <c r="GW257" s="336"/>
      <c r="GX257" s="336"/>
      <c r="GY257" s="336"/>
      <c r="GZ257" s="336"/>
      <c r="HA257" s="336"/>
      <c r="HB257" s="336"/>
      <c r="HC257" s="336"/>
      <c r="HD257" s="336"/>
      <c r="HE257" s="336"/>
      <c r="HF257" s="336"/>
      <c r="HG257" s="336"/>
      <c r="HH257" s="336"/>
      <c r="HI257" s="336"/>
      <c r="HJ257" s="336"/>
      <c r="HK257" s="336"/>
      <c r="HL257" s="336"/>
      <c r="HM257" s="336"/>
      <c r="HN257" s="336"/>
      <c r="HO257" s="336"/>
      <c r="HP257" s="336"/>
      <c r="HQ257" s="336"/>
      <c r="HR257" s="336"/>
      <c r="HS257" s="336"/>
      <c r="HT257" s="336"/>
      <c r="HU257" s="336"/>
      <c r="HV257" s="336"/>
      <c r="HW257" s="336"/>
      <c r="HX257" s="336"/>
      <c r="HY257" s="336"/>
      <c r="HZ257" s="336"/>
      <c r="IA257" s="336"/>
      <c r="IB257" s="336"/>
      <c r="IC257" s="336"/>
      <c r="ID257" s="336"/>
      <c r="IE257" s="336"/>
      <c r="IF257" s="336"/>
      <c r="IG257" s="336"/>
      <c r="IH257" s="336"/>
      <c r="II257" s="336"/>
      <c r="IJ257" s="336"/>
      <c r="IK257" s="336"/>
      <c r="IL257" s="336"/>
      <c r="IM257" s="336"/>
      <c r="IN257" s="336"/>
      <c r="IO257" s="336"/>
      <c r="IP257" s="336"/>
      <c r="IQ257" s="336"/>
      <c r="IR257" s="336"/>
      <c r="IS257" s="336"/>
      <c r="IT257" s="336"/>
      <c r="IU257" s="336"/>
      <c r="IV257" s="336"/>
      <c r="IW257" s="336"/>
      <c r="IX257" s="336"/>
      <c r="IY257" s="336"/>
      <c r="IZ257" s="462"/>
      <c r="JA257" s="462"/>
      <c r="JB257" s="462"/>
      <c r="JC257" s="462"/>
      <c r="JD257" s="462"/>
      <c r="JE257" s="462"/>
      <c r="JF257" s="462"/>
      <c r="JG257" s="462"/>
      <c r="JH257" s="462"/>
      <c r="JI257" s="462"/>
      <c r="JJ257" s="462"/>
      <c r="JK257" s="462"/>
      <c r="JL257" s="462"/>
      <c r="JM257" s="462"/>
      <c r="JN257" s="462"/>
      <c r="JO257" s="462"/>
      <c r="JP257" s="462"/>
      <c r="JQ257" s="462"/>
      <c r="JR257" s="462"/>
      <c r="JS257" s="462"/>
      <c r="JT257" s="462"/>
      <c r="JU257" s="462"/>
      <c r="JV257" s="462"/>
      <c r="JW257" s="462"/>
      <c r="JX257" s="462"/>
      <c r="JY257" s="462"/>
      <c r="JZ257" s="462"/>
      <c r="KA257" s="462"/>
      <c r="KB257" s="462"/>
      <c r="KC257" s="462"/>
      <c r="KD257" s="462"/>
      <c r="KE257" s="462"/>
      <c r="KF257" s="462"/>
      <c r="KG257" s="462"/>
      <c r="KH257" s="336"/>
      <c r="KI257" s="336"/>
      <c r="KJ257" s="336"/>
      <c r="KK257" s="336"/>
      <c r="KL257" s="336"/>
      <c r="KM257" s="336"/>
      <c r="KN257" s="336"/>
      <c r="KO257" s="336"/>
      <c r="KP257" s="336"/>
      <c r="KQ257" s="336"/>
      <c r="KR257" s="336"/>
      <c r="KS257" s="336"/>
      <c r="KT257" s="336"/>
      <c r="KU257" s="336"/>
      <c r="KV257" s="336"/>
      <c r="KW257" s="336"/>
      <c r="KX257" s="336"/>
      <c r="KY257" s="336"/>
      <c r="KZ257" s="336"/>
      <c r="LA257" s="336"/>
      <c r="LB257" s="336"/>
      <c r="LC257" s="336"/>
      <c r="LD257" s="336"/>
      <c r="LE257" s="336"/>
      <c r="LF257" s="336"/>
      <c r="LG257" s="336"/>
      <c r="LH257" s="336"/>
      <c r="LI257" s="336"/>
      <c r="LJ257" s="336"/>
      <c r="LK257" s="336"/>
      <c r="LL257" s="336"/>
      <c r="LM257" s="336"/>
      <c r="LN257" s="336"/>
      <c r="LO257" s="336"/>
      <c r="LP257" s="336"/>
      <c r="LQ257" s="336"/>
      <c r="LR257" s="336"/>
      <c r="LS257" s="336"/>
      <c r="LT257" s="336"/>
      <c r="LU257" s="336"/>
      <c r="LV257" s="336"/>
      <c r="LW257" s="336"/>
      <c r="LX257" s="336"/>
      <c r="LY257" s="336"/>
      <c r="LZ257" s="336"/>
      <c r="MA257" s="336"/>
      <c r="MB257" s="336"/>
      <c r="MC257" s="336"/>
      <c r="MD257" s="336"/>
      <c r="ME257" s="336"/>
      <c r="MF257" s="336"/>
      <c r="MG257" s="336"/>
      <c r="MH257" s="336"/>
      <c r="MI257" s="336"/>
      <c r="MJ257" s="336"/>
      <c r="MK257" s="336"/>
      <c r="ML257" s="336"/>
      <c r="MM257" s="336"/>
      <c r="MN257" s="336"/>
      <c r="MO257" s="336"/>
      <c r="MP257" s="336"/>
      <c r="MQ257" s="336"/>
      <c r="MR257" s="336"/>
      <c r="MS257" s="336"/>
      <c r="MT257" s="336"/>
      <c r="MU257" s="336"/>
      <c r="MV257" s="336"/>
      <c r="MW257" s="336"/>
      <c r="MX257" s="336"/>
      <c r="MY257" s="336"/>
      <c r="MZ257" s="336"/>
      <c r="NA257" s="336"/>
      <c r="NB257" s="336"/>
      <c r="NC257" s="336"/>
      <c r="ND257" s="336"/>
      <c r="NE257" s="336"/>
      <c r="NF257" s="336"/>
      <c r="NG257" s="336"/>
      <c r="NH257" s="336"/>
      <c r="NI257" s="336"/>
      <c r="NJ257" s="336"/>
      <c r="NK257" s="336"/>
      <c r="NL257" s="336"/>
      <c r="NM257" s="336"/>
      <c r="NN257" s="336"/>
      <c r="NO257" s="336"/>
      <c r="NP257" s="336"/>
      <c r="NQ257" s="336"/>
      <c r="NR257" s="336"/>
      <c r="NS257" s="336"/>
      <c r="NT257" s="336"/>
      <c r="NU257" s="336"/>
      <c r="NV257" s="336"/>
      <c r="NW257" s="336"/>
      <c r="NX257" s="336"/>
      <c r="NY257" s="336"/>
      <c r="NZ257" s="336"/>
      <c r="OA257" s="336"/>
      <c r="OB257" s="336"/>
      <c r="OC257" s="336"/>
      <c r="OD257" s="336"/>
      <c r="OE257" s="336"/>
      <c r="OF257" s="336"/>
      <c r="OG257" s="336"/>
      <c r="OH257" s="336"/>
      <c r="OI257" s="336"/>
      <c r="OJ257" s="336"/>
      <c r="OK257" s="336"/>
      <c r="OL257" s="336"/>
      <c r="OM257" s="336"/>
      <c r="ON257" s="336"/>
      <c r="OO257" s="336"/>
      <c r="OP257" s="336"/>
      <c r="OQ257" s="336"/>
      <c r="OR257" s="336"/>
      <c r="OS257" s="336"/>
      <c r="OT257" s="336"/>
      <c r="OU257" s="336"/>
      <c r="OV257" s="336"/>
      <c r="OW257" s="336"/>
      <c r="OX257" s="336"/>
      <c r="OY257" s="336"/>
      <c r="OZ257" s="336"/>
      <c r="PA257" s="336"/>
      <c r="PB257" s="336"/>
      <c r="PC257" s="336"/>
      <c r="PD257" s="336"/>
      <c r="PE257" s="336"/>
      <c r="PF257" s="336"/>
      <c r="PG257" s="336"/>
      <c r="PH257" s="336"/>
      <c r="PI257" s="336"/>
      <c r="PJ257" s="336"/>
      <c r="PK257" s="336"/>
      <c r="PL257" s="336"/>
      <c r="PM257" s="336"/>
      <c r="PN257" s="336"/>
      <c r="PO257" s="336"/>
      <c r="PP257" s="336"/>
      <c r="PQ257" s="336"/>
      <c r="PR257" s="336"/>
      <c r="PS257" s="336"/>
      <c r="PT257" s="336"/>
      <c r="PU257" s="336"/>
      <c r="PV257" s="336"/>
      <c r="PW257" s="336"/>
      <c r="PX257" s="336"/>
      <c r="PY257" s="336"/>
      <c r="PZ257" s="336"/>
      <c r="QA257" s="336"/>
      <c r="QB257" s="336"/>
      <c r="QC257" s="336"/>
      <c r="QD257" s="336"/>
      <c r="QE257" s="336"/>
      <c r="QF257" s="336"/>
      <c r="QG257" s="336"/>
      <c r="QH257" s="336"/>
      <c r="QI257" s="336"/>
      <c r="QJ257" s="336"/>
      <c r="QK257" s="336"/>
      <c r="QL257" s="336"/>
      <c r="QM257" s="336"/>
      <c r="QN257" s="336"/>
      <c r="QO257" s="336"/>
      <c r="QP257" s="336"/>
      <c r="QQ257" s="336"/>
      <c r="QR257" s="336"/>
      <c r="QS257" s="336"/>
      <c r="QT257" s="336"/>
      <c r="QU257" s="336"/>
      <c r="QV257" s="336"/>
      <c r="QW257" s="336"/>
      <c r="QX257" s="336"/>
      <c r="QY257" s="336"/>
      <c r="QZ257" s="336"/>
      <c r="RA257" s="336"/>
      <c r="RB257" s="336"/>
      <c r="RC257" s="336"/>
      <c r="RD257" s="336"/>
      <c r="RE257" s="336"/>
      <c r="RF257" s="336"/>
      <c r="RG257" s="336"/>
      <c r="RH257" s="336"/>
      <c r="RI257" s="336"/>
      <c r="RJ257" s="336"/>
      <c r="RK257" s="336"/>
      <c r="RL257" s="336"/>
      <c r="RM257" s="336"/>
      <c r="RN257" s="336"/>
      <c r="RO257" s="336"/>
      <c r="RP257" s="336"/>
      <c r="RQ257" s="336"/>
      <c r="RR257" s="336"/>
      <c r="RS257" s="336"/>
      <c r="RT257" s="336"/>
      <c r="RU257" s="336"/>
      <c r="RV257" s="336"/>
      <c r="RW257" s="336"/>
      <c r="RX257" s="336"/>
      <c r="RY257" s="336"/>
      <c r="RZ257" s="336"/>
      <c r="SA257" s="336"/>
      <c r="SB257" s="336"/>
      <c r="SC257" s="336"/>
      <c r="SD257" s="336"/>
      <c r="SE257" s="336"/>
      <c r="SF257" s="336"/>
      <c r="SG257" s="336"/>
      <c r="SH257" s="336"/>
      <c r="SI257" s="336"/>
      <c r="SJ257" s="336"/>
      <c r="SK257" s="336"/>
      <c r="SL257" s="336"/>
      <c r="SM257" s="336"/>
      <c r="SN257" s="336"/>
      <c r="SO257" s="336"/>
      <c r="SP257" s="336"/>
      <c r="SQ257" s="336"/>
      <c r="SR257" s="336"/>
      <c r="SS257" s="336"/>
    </row>
    <row r="258" spans="1:513" s="481" customFormat="1" ht="15" hidden="1" customHeight="1">
      <c r="A258" s="478"/>
      <c r="B258" s="478"/>
      <c r="C258" s="498" t="str">
        <f t="shared" si="44"/>
        <v>b) Tanque elevado (estimado):</v>
      </c>
      <c r="D258" s="499"/>
      <c r="E258" s="499"/>
      <c r="F258" s="499"/>
      <c r="G258" s="499"/>
      <c r="H258" s="499"/>
      <c r="I258" s="499"/>
      <c r="J258" s="499"/>
      <c r="K258" s="499"/>
      <c r="L258" s="499"/>
      <c r="M258" s="499"/>
      <c r="N258" s="499"/>
      <c r="O258" s="499"/>
      <c r="P258" s="499"/>
      <c r="Q258" s="499"/>
      <c r="R258" s="499"/>
      <c r="S258" s="499"/>
      <c r="T258" s="499"/>
      <c r="U258" s="499"/>
      <c r="V258" s="499"/>
      <c r="W258" s="499"/>
      <c r="X258" s="499"/>
      <c r="Y258" s="499"/>
      <c r="Z258" s="499"/>
      <c r="AA258" s="499"/>
      <c r="AB258" s="499"/>
      <c r="AC258" s="499"/>
      <c r="AD258" s="499"/>
      <c r="AE258" s="499"/>
      <c r="AF258" s="499"/>
      <c r="AG258" s="499"/>
      <c r="AH258" s="499"/>
      <c r="AI258" s="499"/>
      <c r="AJ258" s="499"/>
      <c r="AK258" s="499"/>
      <c r="AL258" s="499"/>
      <c r="AM258" s="499"/>
      <c r="AN258" s="499"/>
      <c r="AO258" s="499"/>
      <c r="AP258" s="499"/>
      <c r="AQ258" s="499"/>
      <c r="AR258" s="499"/>
      <c r="AS258" s="499"/>
      <c r="AT258" s="499"/>
      <c r="AU258" s="499"/>
      <c r="AV258" s="499"/>
      <c r="AW258" s="336"/>
      <c r="AX258" s="336"/>
      <c r="AY258" s="336"/>
      <c r="AZ258" s="336"/>
      <c r="BA258" s="336"/>
      <c r="BB258" s="336"/>
      <c r="BC258" s="336"/>
      <c r="BD258" s="336"/>
      <c r="BE258" s="336"/>
      <c r="BF258" s="336"/>
      <c r="BG258" s="336"/>
      <c r="BH258" s="336"/>
      <c r="BI258" s="336"/>
      <c r="BJ258" s="336"/>
      <c r="BK258" s="336"/>
      <c r="BL258" s="336"/>
      <c r="BM258" s="336"/>
      <c r="BN258" s="336"/>
      <c r="BO258" s="336"/>
      <c r="BP258" s="336"/>
      <c r="BQ258" s="336"/>
      <c r="BR258" s="336"/>
      <c r="BS258" s="336"/>
      <c r="BT258" s="336"/>
      <c r="BU258" s="336"/>
      <c r="BV258" s="336"/>
      <c r="BW258" s="336"/>
      <c r="BX258" s="336"/>
      <c r="BY258" s="336"/>
      <c r="BZ258" s="336"/>
      <c r="CA258" s="336"/>
      <c r="CB258" s="336"/>
      <c r="CC258" s="336"/>
      <c r="CD258" s="336"/>
      <c r="CE258" s="336"/>
      <c r="CF258" s="336"/>
      <c r="CG258" s="336"/>
      <c r="CH258" s="336"/>
      <c r="CI258" s="336"/>
      <c r="CJ258" s="336"/>
      <c r="CK258" s="336"/>
      <c r="CL258" s="336"/>
      <c r="CM258" s="336"/>
      <c r="CN258" s="336"/>
      <c r="CO258" s="336"/>
      <c r="CP258" s="336"/>
      <c r="CQ258" s="336"/>
      <c r="CR258" s="336"/>
      <c r="CS258" s="336"/>
      <c r="CT258" s="336"/>
      <c r="CU258" s="336"/>
      <c r="CV258" s="336"/>
      <c r="CW258" s="336"/>
      <c r="CX258" s="336"/>
      <c r="CY258" s="336"/>
      <c r="CZ258" s="336"/>
      <c r="DA258" s="336"/>
      <c r="DB258" s="336"/>
      <c r="DC258" s="336"/>
      <c r="DD258" s="336"/>
      <c r="DE258" s="336"/>
      <c r="DF258" s="336"/>
      <c r="DG258" s="336"/>
      <c r="DH258" s="336"/>
      <c r="DI258" s="336"/>
      <c r="DJ258" s="336"/>
      <c r="DK258" s="336"/>
      <c r="DL258" s="336"/>
      <c r="DM258" s="336"/>
      <c r="DN258" s="336"/>
      <c r="DO258" s="336"/>
      <c r="DP258" s="336"/>
      <c r="DQ258" s="336"/>
      <c r="DR258" s="336"/>
      <c r="DS258" s="336"/>
      <c r="DT258" s="336"/>
      <c r="DU258" s="336"/>
      <c r="DV258" s="336"/>
      <c r="DW258" s="336"/>
      <c r="DX258" s="336"/>
      <c r="DY258" s="336"/>
      <c r="DZ258" s="336"/>
      <c r="EA258" s="336"/>
      <c r="EB258" s="336"/>
      <c r="EC258" s="336"/>
      <c r="ED258" s="336"/>
      <c r="EE258" s="336"/>
      <c r="EF258" s="336"/>
      <c r="EG258" s="336"/>
      <c r="EH258" s="336"/>
      <c r="EI258" s="336"/>
      <c r="EJ258" s="336"/>
      <c r="EK258" s="336"/>
      <c r="EL258" s="336"/>
      <c r="EM258" s="336"/>
      <c r="EN258" s="336"/>
      <c r="EO258" s="336"/>
      <c r="EP258" s="336"/>
      <c r="EQ258" s="336"/>
      <c r="ER258" s="336"/>
      <c r="ES258" s="336"/>
      <c r="ET258" s="336"/>
      <c r="EU258" s="336"/>
      <c r="EV258" s="336"/>
      <c r="EW258" s="336"/>
      <c r="EX258" s="336"/>
      <c r="EY258" s="336"/>
      <c r="EZ258" s="336"/>
      <c r="FA258" s="336"/>
      <c r="FB258" s="336"/>
      <c r="FC258" s="336"/>
      <c r="FD258" s="336"/>
      <c r="FE258" s="336"/>
      <c r="FF258" s="336"/>
      <c r="FG258" s="336"/>
      <c r="FH258" s="336"/>
      <c r="FI258" s="336"/>
      <c r="FJ258" s="336"/>
      <c r="FK258" s="336"/>
      <c r="FL258" s="336"/>
      <c r="FM258" s="336"/>
      <c r="FN258" s="336"/>
      <c r="FO258" s="336"/>
      <c r="FP258" s="336"/>
      <c r="FQ258" s="336"/>
      <c r="FR258" s="336"/>
      <c r="FS258" s="336"/>
      <c r="FT258" s="336"/>
      <c r="FU258" s="336"/>
      <c r="FV258" s="336"/>
      <c r="FW258" s="336"/>
      <c r="FX258" s="336"/>
      <c r="FY258" s="336"/>
      <c r="FZ258" s="336"/>
      <c r="GA258" s="336"/>
      <c r="GB258" s="336"/>
      <c r="GC258" s="336"/>
      <c r="GD258" s="336"/>
      <c r="GE258" s="336"/>
      <c r="GF258" s="336"/>
      <c r="GG258" s="336"/>
      <c r="GH258" s="336"/>
      <c r="GI258" s="336"/>
      <c r="GJ258" s="336"/>
      <c r="GK258" s="336"/>
      <c r="GL258" s="336"/>
      <c r="GM258" s="336"/>
      <c r="GN258" s="336"/>
      <c r="GO258" s="336"/>
      <c r="GP258" s="336"/>
      <c r="GQ258" s="336"/>
      <c r="GR258" s="336"/>
      <c r="GS258" s="336"/>
      <c r="GT258" s="336"/>
      <c r="GU258" s="336"/>
      <c r="GV258" s="336"/>
      <c r="GW258" s="336"/>
      <c r="GX258" s="336"/>
      <c r="GY258" s="336"/>
      <c r="GZ258" s="336"/>
      <c r="HA258" s="336"/>
      <c r="HB258" s="336"/>
      <c r="HC258" s="336"/>
      <c r="HD258" s="336"/>
      <c r="HE258" s="336"/>
      <c r="HF258" s="336"/>
      <c r="HG258" s="336"/>
      <c r="HH258" s="336"/>
      <c r="HI258" s="336"/>
      <c r="HJ258" s="336"/>
      <c r="HK258" s="336"/>
      <c r="HL258" s="336"/>
      <c r="HM258" s="336"/>
      <c r="HN258" s="336"/>
      <c r="HO258" s="336"/>
      <c r="HP258" s="336"/>
      <c r="HQ258" s="336"/>
      <c r="HR258" s="336"/>
      <c r="HS258" s="336"/>
      <c r="HT258" s="336"/>
      <c r="HU258" s="336"/>
      <c r="HV258" s="336"/>
      <c r="HW258" s="336"/>
      <c r="HX258" s="336"/>
      <c r="HY258" s="336"/>
      <c r="HZ258" s="336"/>
      <c r="IA258" s="336"/>
      <c r="IB258" s="336"/>
      <c r="IC258" s="336"/>
      <c r="ID258" s="336"/>
      <c r="IE258" s="336"/>
      <c r="IF258" s="336"/>
      <c r="IG258" s="336"/>
      <c r="IH258" s="336"/>
      <c r="II258" s="336"/>
      <c r="IJ258" s="336"/>
      <c r="IK258" s="336"/>
      <c r="IL258" s="336"/>
      <c r="IM258" s="336"/>
      <c r="IN258" s="336"/>
      <c r="IO258" s="336"/>
      <c r="IP258" s="336"/>
      <c r="IQ258" s="336"/>
      <c r="IR258" s="336"/>
      <c r="IS258" s="336"/>
      <c r="IT258" s="336"/>
      <c r="IU258" s="336"/>
      <c r="IV258" s="336"/>
      <c r="IW258" s="336"/>
      <c r="IX258" s="336"/>
      <c r="IY258" s="336"/>
      <c r="IZ258" s="462"/>
      <c r="JA258" s="462"/>
      <c r="JB258" s="462"/>
      <c r="JC258" s="462"/>
      <c r="JD258" s="462"/>
      <c r="JE258" s="462"/>
      <c r="JF258" s="462"/>
      <c r="JG258" s="462"/>
      <c r="JH258" s="462"/>
      <c r="JI258" s="462"/>
      <c r="JJ258" s="462"/>
      <c r="JK258" s="462"/>
      <c r="JL258" s="462"/>
      <c r="JM258" s="462"/>
      <c r="JN258" s="462"/>
      <c r="JO258" s="462"/>
      <c r="JP258" s="462"/>
      <c r="JQ258" s="462"/>
      <c r="JR258" s="462"/>
      <c r="JS258" s="462"/>
      <c r="JT258" s="462"/>
      <c r="JU258" s="462"/>
      <c r="JV258" s="462"/>
      <c r="JW258" s="462"/>
      <c r="JX258" s="462"/>
      <c r="JY258" s="462"/>
      <c r="JZ258" s="462"/>
      <c r="KA258" s="462"/>
      <c r="KB258" s="462"/>
      <c r="KC258" s="462"/>
      <c r="KD258" s="462"/>
      <c r="KE258" s="462"/>
      <c r="KF258" s="462"/>
      <c r="KG258" s="462"/>
      <c r="KH258" s="336"/>
      <c r="KI258" s="336"/>
      <c r="KJ258" s="336"/>
      <c r="KK258" s="336"/>
      <c r="KL258" s="336"/>
      <c r="KM258" s="336"/>
      <c r="KN258" s="336"/>
      <c r="KO258" s="336"/>
      <c r="KP258" s="336"/>
      <c r="KQ258" s="336"/>
      <c r="KR258" s="336"/>
      <c r="KS258" s="336"/>
      <c r="KT258" s="336"/>
      <c r="KU258" s="336"/>
      <c r="KV258" s="336"/>
      <c r="KW258" s="336"/>
      <c r="KX258" s="336"/>
      <c r="KY258" s="336"/>
      <c r="KZ258" s="336"/>
      <c r="LA258" s="336"/>
      <c r="LB258" s="336"/>
      <c r="LC258" s="336"/>
      <c r="LD258" s="336"/>
      <c r="LE258" s="336"/>
      <c r="LF258" s="336"/>
      <c r="LG258" s="336"/>
      <c r="LH258" s="336"/>
      <c r="LI258" s="336"/>
      <c r="LJ258" s="336"/>
      <c r="LK258" s="336"/>
      <c r="LL258" s="336"/>
      <c r="LM258" s="336"/>
      <c r="LN258" s="336"/>
      <c r="LO258" s="336"/>
      <c r="LP258" s="336"/>
      <c r="LQ258" s="336"/>
      <c r="LR258" s="336"/>
      <c r="LS258" s="336"/>
      <c r="LT258" s="336"/>
      <c r="LU258" s="336"/>
      <c r="LV258" s="336"/>
      <c r="LW258" s="336"/>
      <c r="LX258" s="336"/>
      <c r="LY258" s="336"/>
      <c r="LZ258" s="336"/>
      <c r="MA258" s="336"/>
      <c r="MB258" s="336"/>
      <c r="MC258" s="336"/>
      <c r="MD258" s="336"/>
      <c r="ME258" s="336"/>
      <c r="MF258" s="336"/>
      <c r="MG258" s="336"/>
      <c r="MH258" s="336"/>
      <c r="MI258" s="336"/>
      <c r="MJ258" s="336"/>
      <c r="MK258" s="336"/>
      <c r="ML258" s="336"/>
      <c r="MM258" s="336"/>
      <c r="MN258" s="336"/>
      <c r="MO258" s="336"/>
      <c r="MP258" s="336"/>
      <c r="MQ258" s="336"/>
      <c r="MR258" s="336"/>
      <c r="MS258" s="336"/>
      <c r="MT258" s="336"/>
      <c r="MU258" s="336"/>
      <c r="MV258" s="336"/>
      <c r="MW258" s="336"/>
      <c r="MX258" s="336"/>
      <c r="MY258" s="336"/>
      <c r="MZ258" s="336"/>
      <c r="NA258" s="336"/>
      <c r="NB258" s="336"/>
      <c r="NC258" s="336"/>
      <c r="ND258" s="336"/>
      <c r="NE258" s="336"/>
      <c r="NF258" s="336"/>
      <c r="NG258" s="336"/>
      <c r="NH258" s="336"/>
      <c r="NI258" s="336"/>
      <c r="NJ258" s="336"/>
      <c r="NK258" s="336"/>
      <c r="NL258" s="336"/>
      <c r="NM258" s="336"/>
      <c r="NN258" s="336"/>
      <c r="NO258" s="336"/>
      <c r="NP258" s="336"/>
      <c r="NQ258" s="336"/>
      <c r="NR258" s="336"/>
      <c r="NS258" s="336"/>
      <c r="NT258" s="336"/>
      <c r="NU258" s="336"/>
      <c r="NV258" s="336"/>
      <c r="NW258" s="336"/>
      <c r="NX258" s="336"/>
      <c r="NY258" s="336"/>
      <c r="NZ258" s="336"/>
      <c r="OA258" s="336"/>
      <c r="OB258" s="336"/>
      <c r="OC258" s="336"/>
      <c r="OD258" s="336"/>
      <c r="OE258" s="336"/>
      <c r="OF258" s="336"/>
      <c r="OG258" s="336"/>
      <c r="OH258" s="336"/>
      <c r="OI258" s="336"/>
      <c r="OJ258" s="336"/>
      <c r="OK258" s="336"/>
      <c r="OL258" s="336"/>
      <c r="OM258" s="336"/>
      <c r="ON258" s="336"/>
      <c r="OO258" s="336"/>
      <c r="OP258" s="336"/>
      <c r="OQ258" s="336"/>
      <c r="OR258" s="336"/>
      <c r="OS258" s="336"/>
      <c r="OT258" s="336"/>
      <c r="OU258" s="336"/>
      <c r="OV258" s="336"/>
      <c r="OW258" s="336"/>
      <c r="OX258" s="336"/>
      <c r="OY258" s="336"/>
      <c r="OZ258" s="336"/>
      <c r="PA258" s="336"/>
      <c r="PB258" s="336"/>
      <c r="PC258" s="336"/>
      <c r="PD258" s="336"/>
      <c r="PE258" s="336"/>
      <c r="PF258" s="336"/>
      <c r="PG258" s="336"/>
      <c r="PH258" s="336"/>
      <c r="PI258" s="336"/>
      <c r="PJ258" s="336"/>
      <c r="PK258" s="336"/>
      <c r="PL258" s="336"/>
      <c r="PM258" s="336"/>
      <c r="PN258" s="336"/>
      <c r="PO258" s="336"/>
      <c r="PP258" s="336"/>
      <c r="PQ258" s="336"/>
      <c r="PR258" s="336"/>
      <c r="PS258" s="336"/>
      <c r="PT258" s="336"/>
      <c r="PU258" s="336"/>
      <c r="PV258" s="336"/>
      <c r="PW258" s="336"/>
      <c r="PX258" s="336"/>
      <c r="PY258" s="336"/>
      <c r="PZ258" s="336"/>
      <c r="QA258" s="336"/>
      <c r="QB258" s="336"/>
      <c r="QC258" s="336"/>
      <c r="QD258" s="336"/>
      <c r="QE258" s="336"/>
      <c r="QF258" s="336"/>
      <c r="QG258" s="336"/>
      <c r="QH258" s="336"/>
      <c r="QI258" s="336"/>
      <c r="QJ258" s="336"/>
      <c r="QK258" s="336"/>
      <c r="QL258" s="336"/>
      <c r="QM258" s="336"/>
      <c r="QN258" s="336"/>
      <c r="QO258" s="336"/>
      <c r="QP258" s="336"/>
      <c r="QQ258" s="336"/>
      <c r="QR258" s="336"/>
      <c r="QS258" s="336"/>
      <c r="QT258" s="336"/>
      <c r="QU258" s="336"/>
      <c r="QV258" s="336"/>
      <c r="QW258" s="336"/>
      <c r="QX258" s="336"/>
      <c r="QY258" s="336"/>
      <c r="QZ258" s="336"/>
      <c r="RA258" s="336"/>
      <c r="RB258" s="336"/>
      <c r="RC258" s="336"/>
      <c r="RD258" s="336"/>
      <c r="RE258" s="336"/>
      <c r="RF258" s="336"/>
      <c r="RG258" s="336"/>
      <c r="RH258" s="336"/>
      <c r="RI258" s="336"/>
      <c r="RJ258" s="336"/>
      <c r="RK258" s="336"/>
      <c r="RL258" s="336"/>
      <c r="RM258" s="336"/>
      <c r="RN258" s="336"/>
      <c r="RO258" s="336"/>
      <c r="RP258" s="336"/>
      <c r="RQ258" s="336"/>
      <c r="RR258" s="336"/>
      <c r="RS258" s="336"/>
      <c r="RT258" s="336"/>
      <c r="RU258" s="336"/>
      <c r="RV258" s="336"/>
      <c r="RW258" s="336"/>
      <c r="RX258" s="336"/>
      <c r="RY258" s="336"/>
      <c r="RZ258" s="336"/>
      <c r="SA258" s="336"/>
      <c r="SB258" s="336"/>
      <c r="SC258" s="336"/>
      <c r="SD258" s="336"/>
      <c r="SE258" s="336"/>
      <c r="SF258" s="336"/>
      <c r="SG258" s="336"/>
      <c r="SH258" s="336"/>
      <c r="SI258" s="336"/>
      <c r="SJ258" s="336"/>
      <c r="SK258" s="336"/>
      <c r="SL258" s="336"/>
      <c r="SM258" s="336"/>
      <c r="SN258" s="336"/>
      <c r="SO258" s="336"/>
      <c r="SP258" s="336"/>
      <c r="SQ258" s="336"/>
      <c r="SR258" s="336"/>
      <c r="SS258" s="336"/>
    </row>
    <row r="259" spans="1:513" s="481" customFormat="1" ht="15" hidden="1" customHeight="1">
      <c r="A259" s="478"/>
      <c r="B259" s="478"/>
      <c r="C259" s="1048">
        <f t="shared" si="44"/>
        <v>0</v>
      </c>
      <c r="D259" s="1048"/>
      <c r="E259" s="1048"/>
      <c r="F259" s="1048"/>
      <c r="G259" s="1048"/>
      <c r="H259" s="1048"/>
      <c r="I259" s="482" t="str">
        <f>+I233</f>
        <v>m3</v>
      </c>
      <c r="J259" s="478"/>
      <c r="K259" s="478"/>
      <c r="L259" s="478"/>
      <c r="M259" s="478" t="s">
        <v>4508</v>
      </c>
      <c r="N259" s="1051">
        <f>+N233</f>
        <v>0</v>
      </c>
      <c r="O259" s="1051"/>
      <c r="P259" s="1051"/>
      <c r="Q259" s="1051"/>
      <c r="R259" s="1051"/>
      <c r="S259" s="1051"/>
      <c r="T259" s="1051"/>
      <c r="U259" s="484" t="str">
        <f>+T233</f>
        <v>/m3</v>
      </c>
      <c r="V259" s="478"/>
      <c r="W259" s="478"/>
      <c r="X259" s="478"/>
      <c r="Y259" s="478"/>
      <c r="Z259" s="483"/>
      <c r="AA259" s="478"/>
      <c r="AB259" s="1050"/>
      <c r="AC259" s="1050"/>
      <c r="AD259" s="1058"/>
      <c r="AE259" s="1058"/>
      <c r="AF259" s="478"/>
      <c r="AG259" s="478"/>
      <c r="AH259" s="478"/>
      <c r="AI259" s="478"/>
      <c r="AJ259" s="478"/>
      <c r="AK259" s="478"/>
      <c r="AL259" s="478"/>
      <c r="AM259" s="484" t="s">
        <v>4426</v>
      </c>
      <c r="AN259" s="484"/>
      <c r="AO259" s="1051">
        <f>ROUND(C259*N259,1)</f>
        <v>0</v>
      </c>
      <c r="AP259" s="1051"/>
      <c r="AQ259" s="1051"/>
      <c r="AR259" s="1051"/>
      <c r="AS259" s="1051"/>
      <c r="AT259" s="1051"/>
      <c r="AU259" s="1051"/>
      <c r="AV259" s="1051"/>
      <c r="AW259" s="336"/>
      <c r="AX259" s="336"/>
      <c r="AY259" s="336"/>
      <c r="AZ259" s="336"/>
      <c r="BA259" s="336"/>
      <c r="BB259" s="336"/>
      <c r="BC259" s="336"/>
      <c r="BD259" s="336"/>
      <c r="BE259" s="336"/>
      <c r="BF259" s="336"/>
      <c r="BG259" s="336"/>
      <c r="BH259" s="336"/>
      <c r="BI259" s="336"/>
      <c r="BJ259" s="336"/>
      <c r="BK259" s="336"/>
      <c r="BL259" s="336"/>
      <c r="BM259" s="336"/>
      <c r="BN259" s="336"/>
      <c r="BO259" s="336"/>
      <c r="BP259" s="336"/>
      <c r="BQ259" s="336"/>
      <c r="BR259" s="336"/>
      <c r="BS259" s="336"/>
      <c r="BT259" s="336"/>
      <c r="BU259" s="336"/>
      <c r="BV259" s="336"/>
      <c r="BW259" s="336"/>
      <c r="BX259" s="336"/>
      <c r="BY259" s="336"/>
      <c r="BZ259" s="336"/>
      <c r="CA259" s="336"/>
      <c r="CB259" s="336"/>
      <c r="CC259" s="336"/>
      <c r="CD259" s="336"/>
      <c r="CE259" s="336"/>
      <c r="CF259" s="336"/>
      <c r="CG259" s="336"/>
      <c r="CH259" s="336"/>
      <c r="CI259" s="336"/>
      <c r="CJ259" s="336"/>
      <c r="CK259" s="336"/>
      <c r="CL259" s="336"/>
      <c r="CM259" s="336"/>
      <c r="CN259" s="336"/>
      <c r="CO259" s="336"/>
      <c r="CP259" s="336"/>
      <c r="CQ259" s="336"/>
      <c r="CR259" s="336"/>
      <c r="CS259" s="336"/>
      <c r="CT259" s="336"/>
      <c r="CU259" s="336"/>
      <c r="CV259" s="336"/>
      <c r="CW259" s="336"/>
      <c r="CX259" s="336"/>
      <c r="CY259" s="336"/>
      <c r="CZ259" s="336"/>
      <c r="DA259" s="336"/>
      <c r="DB259" s="336"/>
      <c r="DC259" s="336"/>
      <c r="DD259" s="336"/>
      <c r="DE259" s="336"/>
      <c r="DF259" s="336"/>
      <c r="DG259" s="336"/>
      <c r="DH259" s="336"/>
      <c r="DI259" s="336"/>
      <c r="DJ259" s="336"/>
      <c r="DK259" s="336"/>
      <c r="DL259" s="336"/>
      <c r="DM259" s="336"/>
      <c r="DN259" s="336"/>
      <c r="DO259" s="336"/>
      <c r="DP259" s="336"/>
      <c r="DQ259" s="336"/>
      <c r="DR259" s="336"/>
      <c r="DS259" s="336"/>
      <c r="DT259" s="336"/>
      <c r="DU259" s="336"/>
      <c r="DV259" s="336"/>
      <c r="DW259" s="336"/>
      <c r="DX259" s="336"/>
      <c r="DY259" s="336"/>
      <c r="DZ259" s="336"/>
      <c r="EA259" s="336"/>
      <c r="EB259" s="336"/>
      <c r="EC259" s="336"/>
      <c r="ED259" s="336"/>
      <c r="EE259" s="336"/>
      <c r="EF259" s="336"/>
      <c r="EG259" s="336"/>
      <c r="EH259" s="336"/>
      <c r="EI259" s="336"/>
      <c r="EJ259" s="336"/>
      <c r="EK259" s="336"/>
      <c r="EL259" s="336"/>
      <c r="EM259" s="336"/>
      <c r="EN259" s="336"/>
      <c r="EO259" s="336"/>
      <c r="EP259" s="336"/>
      <c r="EQ259" s="336"/>
      <c r="ER259" s="336"/>
      <c r="ES259" s="336"/>
      <c r="ET259" s="336"/>
      <c r="EU259" s="336"/>
      <c r="EV259" s="336"/>
      <c r="EW259" s="336"/>
      <c r="EX259" s="336"/>
      <c r="EY259" s="336"/>
      <c r="EZ259" s="336"/>
      <c r="FA259" s="336"/>
      <c r="FB259" s="336"/>
      <c r="FC259" s="336"/>
      <c r="FD259" s="336"/>
      <c r="FE259" s="336"/>
      <c r="FF259" s="336"/>
      <c r="FG259" s="336"/>
      <c r="FH259" s="336"/>
      <c r="FI259" s="336"/>
      <c r="FJ259" s="336"/>
      <c r="FK259" s="336"/>
      <c r="FL259" s="336"/>
      <c r="FM259" s="336"/>
      <c r="FN259" s="336"/>
      <c r="FO259" s="336"/>
      <c r="FP259" s="336"/>
      <c r="FQ259" s="336"/>
      <c r="FR259" s="336"/>
      <c r="FS259" s="336"/>
      <c r="FT259" s="336"/>
      <c r="FU259" s="336"/>
      <c r="FV259" s="336"/>
      <c r="FW259" s="336"/>
      <c r="FX259" s="336"/>
      <c r="FY259" s="336"/>
      <c r="FZ259" s="336"/>
      <c r="GA259" s="336"/>
      <c r="GB259" s="336"/>
      <c r="GC259" s="336"/>
      <c r="GD259" s="336"/>
      <c r="GE259" s="336"/>
      <c r="GF259" s="336"/>
      <c r="GG259" s="336"/>
      <c r="GH259" s="336"/>
      <c r="GI259" s="336"/>
      <c r="GJ259" s="336"/>
      <c r="GK259" s="336"/>
      <c r="GL259" s="336"/>
      <c r="GM259" s="336"/>
      <c r="GN259" s="336"/>
      <c r="GO259" s="336"/>
      <c r="GP259" s="336"/>
      <c r="GQ259" s="336"/>
      <c r="GR259" s="336"/>
      <c r="GS259" s="336"/>
      <c r="GT259" s="336"/>
      <c r="GU259" s="336"/>
      <c r="GV259" s="336"/>
      <c r="GW259" s="336"/>
      <c r="GX259" s="336"/>
      <c r="GY259" s="336"/>
      <c r="GZ259" s="336"/>
      <c r="HA259" s="336"/>
      <c r="HB259" s="336"/>
      <c r="HC259" s="336"/>
      <c r="HD259" s="336"/>
      <c r="HE259" s="336"/>
      <c r="HF259" s="336"/>
      <c r="HG259" s="336"/>
      <c r="HH259" s="336"/>
      <c r="HI259" s="336"/>
      <c r="HJ259" s="336"/>
      <c r="HK259" s="336"/>
      <c r="HL259" s="336"/>
      <c r="HM259" s="336"/>
      <c r="HN259" s="336"/>
      <c r="HO259" s="336"/>
      <c r="HP259" s="336"/>
      <c r="HQ259" s="336"/>
      <c r="HR259" s="336"/>
      <c r="HS259" s="336"/>
      <c r="HT259" s="336"/>
      <c r="HU259" s="336"/>
      <c r="HV259" s="336"/>
      <c r="HW259" s="336"/>
      <c r="HX259" s="336"/>
      <c r="HY259" s="336"/>
      <c r="HZ259" s="336"/>
      <c r="IA259" s="336"/>
      <c r="IB259" s="336"/>
      <c r="IC259" s="336"/>
      <c r="ID259" s="336"/>
      <c r="IE259" s="336"/>
      <c r="IF259" s="336"/>
      <c r="IG259" s="336"/>
      <c r="IH259" s="336"/>
      <c r="II259" s="336"/>
      <c r="IJ259" s="336"/>
      <c r="IK259" s="336"/>
      <c r="IL259" s="336"/>
      <c r="IM259" s="336"/>
      <c r="IN259" s="336"/>
      <c r="IO259" s="336"/>
      <c r="IP259" s="336"/>
      <c r="IQ259" s="336"/>
      <c r="IR259" s="336"/>
      <c r="IS259" s="336"/>
      <c r="IT259" s="336"/>
      <c r="IU259" s="336"/>
      <c r="IV259" s="336"/>
      <c r="IW259" s="336"/>
      <c r="IX259" s="336"/>
      <c r="IY259" s="336"/>
      <c r="IZ259" s="462"/>
      <c r="JA259" s="462"/>
      <c r="JB259" s="462"/>
      <c r="JC259" s="462"/>
      <c r="JD259" s="462"/>
      <c r="JE259" s="462"/>
      <c r="JF259" s="462"/>
      <c r="JG259" s="462"/>
      <c r="JH259" s="462"/>
      <c r="JI259" s="462"/>
      <c r="JJ259" s="462"/>
      <c r="JK259" s="462"/>
      <c r="JL259" s="462"/>
      <c r="JM259" s="462"/>
      <c r="JN259" s="462"/>
      <c r="JO259" s="462"/>
      <c r="JP259" s="462"/>
      <c r="JQ259" s="462"/>
      <c r="JR259" s="462"/>
      <c r="JS259" s="462"/>
      <c r="JT259" s="462"/>
      <c r="JU259" s="462"/>
      <c r="JV259" s="462"/>
      <c r="JW259" s="462"/>
      <c r="JX259" s="462"/>
      <c r="JY259" s="462"/>
      <c r="JZ259" s="462"/>
      <c r="KA259" s="462"/>
      <c r="KB259" s="462"/>
      <c r="KC259" s="462"/>
      <c r="KD259" s="462"/>
      <c r="KE259" s="462"/>
      <c r="KF259" s="462"/>
      <c r="KG259" s="462"/>
      <c r="KH259" s="336"/>
      <c r="KI259" s="336"/>
      <c r="KJ259" s="336"/>
      <c r="KK259" s="336"/>
      <c r="KL259" s="336"/>
      <c r="KM259" s="336"/>
      <c r="KN259" s="336"/>
      <c r="KO259" s="336"/>
      <c r="KP259" s="336"/>
      <c r="KQ259" s="336"/>
      <c r="KR259" s="336"/>
      <c r="KS259" s="336"/>
      <c r="KT259" s="336"/>
      <c r="KU259" s="336"/>
      <c r="KV259" s="336"/>
      <c r="KW259" s="336"/>
      <c r="KX259" s="336"/>
      <c r="KY259" s="336"/>
      <c r="KZ259" s="336"/>
      <c r="LA259" s="336"/>
      <c r="LB259" s="336"/>
      <c r="LC259" s="336"/>
      <c r="LD259" s="336"/>
      <c r="LE259" s="336"/>
      <c r="LF259" s="336"/>
      <c r="LG259" s="336"/>
      <c r="LH259" s="336"/>
      <c r="LI259" s="336"/>
      <c r="LJ259" s="336"/>
      <c r="LK259" s="336"/>
      <c r="LL259" s="336"/>
      <c r="LM259" s="336"/>
      <c r="LN259" s="336"/>
      <c r="LO259" s="336"/>
      <c r="LP259" s="336"/>
      <c r="LQ259" s="336"/>
      <c r="LR259" s="336"/>
      <c r="LS259" s="336"/>
      <c r="LT259" s="336"/>
      <c r="LU259" s="336"/>
      <c r="LV259" s="336"/>
      <c r="LW259" s="336"/>
      <c r="LX259" s="336"/>
      <c r="LY259" s="336"/>
      <c r="LZ259" s="336"/>
      <c r="MA259" s="336"/>
      <c r="MB259" s="336"/>
      <c r="MC259" s="336"/>
      <c r="MD259" s="336"/>
      <c r="ME259" s="336"/>
      <c r="MF259" s="336"/>
      <c r="MG259" s="336"/>
      <c r="MH259" s="336"/>
      <c r="MI259" s="336"/>
      <c r="MJ259" s="336"/>
      <c r="MK259" s="336"/>
      <c r="ML259" s="336"/>
      <c r="MM259" s="336"/>
      <c r="MN259" s="336"/>
      <c r="MO259" s="336"/>
      <c r="MP259" s="336"/>
      <c r="MQ259" s="336"/>
      <c r="MR259" s="336"/>
      <c r="MS259" s="336"/>
      <c r="MT259" s="336"/>
      <c r="MU259" s="336"/>
      <c r="MV259" s="336"/>
      <c r="MW259" s="336"/>
      <c r="MX259" s="336"/>
      <c r="MY259" s="336"/>
      <c r="MZ259" s="336"/>
      <c r="NA259" s="336"/>
      <c r="NB259" s="336"/>
      <c r="NC259" s="336"/>
      <c r="ND259" s="336"/>
      <c r="NE259" s="336"/>
      <c r="NF259" s="336"/>
      <c r="NG259" s="336"/>
      <c r="NH259" s="336"/>
      <c r="NI259" s="336"/>
      <c r="NJ259" s="336"/>
      <c r="NK259" s="336"/>
      <c r="NL259" s="336"/>
      <c r="NM259" s="336"/>
      <c r="NN259" s="336"/>
      <c r="NO259" s="336"/>
      <c r="NP259" s="336"/>
      <c r="NQ259" s="336"/>
      <c r="NR259" s="336"/>
      <c r="NS259" s="336"/>
      <c r="NT259" s="336"/>
      <c r="NU259" s="336"/>
      <c r="NV259" s="336"/>
      <c r="NW259" s="336"/>
      <c r="NX259" s="336"/>
      <c r="NY259" s="336"/>
      <c r="NZ259" s="336"/>
      <c r="OA259" s="336"/>
      <c r="OB259" s="336"/>
      <c r="OC259" s="336"/>
      <c r="OD259" s="336"/>
      <c r="OE259" s="336"/>
      <c r="OF259" s="336"/>
      <c r="OG259" s="336"/>
      <c r="OH259" s="336"/>
      <c r="OI259" s="336"/>
      <c r="OJ259" s="336"/>
      <c r="OK259" s="336"/>
      <c r="OL259" s="336"/>
      <c r="OM259" s="336"/>
      <c r="ON259" s="336"/>
      <c r="OO259" s="336"/>
      <c r="OP259" s="336"/>
      <c r="OQ259" s="336"/>
      <c r="OR259" s="336"/>
      <c r="OS259" s="336"/>
      <c r="OT259" s="336"/>
      <c r="OU259" s="336"/>
      <c r="OV259" s="336"/>
      <c r="OW259" s="336"/>
      <c r="OX259" s="336"/>
      <c r="OY259" s="336"/>
      <c r="OZ259" s="336"/>
      <c r="PA259" s="336"/>
      <c r="PB259" s="336"/>
      <c r="PC259" s="336"/>
      <c r="PD259" s="336"/>
      <c r="PE259" s="336"/>
      <c r="PF259" s="336"/>
      <c r="PG259" s="336"/>
      <c r="PH259" s="336"/>
      <c r="PI259" s="336"/>
      <c r="PJ259" s="336"/>
      <c r="PK259" s="336"/>
      <c r="PL259" s="336"/>
      <c r="PM259" s="336"/>
      <c r="PN259" s="336"/>
      <c r="PO259" s="336"/>
      <c r="PP259" s="336"/>
      <c r="PQ259" s="336"/>
      <c r="PR259" s="336"/>
      <c r="PS259" s="336"/>
      <c r="PT259" s="336"/>
      <c r="PU259" s="336"/>
      <c r="PV259" s="336"/>
      <c r="PW259" s="336"/>
      <c r="PX259" s="336"/>
      <c r="PY259" s="336"/>
      <c r="PZ259" s="336"/>
      <c r="QA259" s="336"/>
      <c r="QB259" s="336"/>
      <c r="QC259" s="336"/>
      <c r="QD259" s="336"/>
      <c r="QE259" s="336"/>
      <c r="QF259" s="336"/>
      <c r="QG259" s="336"/>
      <c r="QH259" s="336"/>
      <c r="QI259" s="336"/>
      <c r="QJ259" s="336"/>
      <c r="QK259" s="336"/>
      <c r="QL259" s="336"/>
      <c r="QM259" s="336"/>
      <c r="QN259" s="336"/>
      <c r="QO259" s="336"/>
      <c r="QP259" s="336"/>
      <c r="QQ259" s="336"/>
      <c r="QR259" s="336"/>
      <c r="QS259" s="336"/>
      <c r="QT259" s="336"/>
      <c r="QU259" s="336"/>
      <c r="QV259" s="336"/>
      <c r="QW259" s="336"/>
      <c r="QX259" s="336"/>
      <c r="QY259" s="336"/>
      <c r="QZ259" s="336"/>
      <c r="RA259" s="336"/>
      <c r="RB259" s="336"/>
      <c r="RC259" s="336"/>
      <c r="RD259" s="336"/>
      <c r="RE259" s="336"/>
      <c r="RF259" s="336"/>
      <c r="RG259" s="336"/>
      <c r="RH259" s="336"/>
      <c r="RI259" s="336"/>
      <c r="RJ259" s="336"/>
      <c r="RK259" s="336"/>
      <c r="RL259" s="336"/>
      <c r="RM259" s="336"/>
      <c r="RN259" s="336"/>
      <c r="RO259" s="336"/>
      <c r="RP259" s="336"/>
      <c r="RQ259" s="336"/>
      <c r="RR259" s="336"/>
      <c r="RS259" s="336"/>
      <c r="RT259" s="336"/>
      <c r="RU259" s="336"/>
      <c r="RV259" s="336"/>
      <c r="RW259" s="336"/>
      <c r="RX259" s="336"/>
      <c r="RY259" s="336"/>
      <c r="RZ259" s="336"/>
      <c r="SA259" s="336"/>
      <c r="SB259" s="336"/>
      <c r="SC259" s="336"/>
      <c r="SD259" s="336"/>
      <c r="SE259" s="336"/>
      <c r="SF259" s="336"/>
      <c r="SG259" s="336"/>
      <c r="SH259" s="336"/>
      <c r="SI259" s="336"/>
      <c r="SJ259" s="336"/>
      <c r="SK259" s="336"/>
      <c r="SL259" s="336"/>
      <c r="SM259" s="336"/>
      <c r="SN259" s="336"/>
      <c r="SO259" s="336"/>
      <c r="SP259" s="336"/>
      <c r="SQ259" s="336"/>
      <c r="SR259" s="336"/>
      <c r="SS259" s="336"/>
    </row>
    <row r="260" spans="1:513" s="481" customFormat="1" ht="15" hidden="1" customHeight="1">
      <c r="A260" s="478"/>
      <c r="B260" s="478"/>
      <c r="C260" s="498" t="str">
        <f t="shared" si="44"/>
        <v>c) Cerco Perimétrico (estimado):</v>
      </c>
      <c r="D260" s="499"/>
      <c r="E260" s="499"/>
      <c r="F260" s="499"/>
      <c r="G260" s="499"/>
      <c r="H260" s="499"/>
      <c r="I260" s="499"/>
      <c r="J260" s="499"/>
      <c r="K260" s="499"/>
      <c r="L260" s="499"/>
      <c r="M260" s="499"/>
      <c r="N260" s="499"/>
      <c r="O260" s="499"/>
      <c r="P260" s="499"/>
      <c r="Q260" s="499"/>
      <c r="R260" s="499"/>
      <c r="S260" s="499"/>
      <c r="T260" s="499"/>
      <c r="U260" s="499"/>
      <c r="V260" s="499"/>
      <c r="W260" s="499"/>
      <c r="X260" s="499"/>
      <c r="Y260" s="499"/>
      <c r="Z260" s="499"/>
      <c r="AA260" s="499"/>
      <c r="AB260" s="499"/>
      <c r="AC260" s="499"/>
      <c r="AD260" s="499"/>
      <c r="AE260" s="499"/>
      <c r="AF260" s="499"/>
      <c r="AG260" s="499"/>
      <c r="AH260" s="499"/>
      <c r="AI260" s="499"/>
      <c r="AJ260" s="499"/>
      <c r="AK260" s="499"/>
      <c r="AL260" s="499"/>
      <c r="AM260" s="499"/>
      <c r="AN260" s="499"/>
      <c r="AO260" s="499"/>
      <c r="AP260" s="499"/>
      <c r="AQ260" s="499"/>
      <c r="AR260" s="499"/>
      <c r="AS260" s="499"/>
      <c r="AT260" s="499"/>
      <c r="AU260" s="499"/>
      <c r="AV260" s="499"/>
      <c r="AW260" s="336"/>
      <c r="AX260" s="336"/>
      <c r="AY260" s="336"/>
      <c r="AZ260" s="336"/>
      <c r="BA260" s="336"/>
      <c r="BB260" s="336"/>
      <c r="BC260" s="336"/>
      <c r="BD260" s="336"/>
      <c r="BE260" s="336"/>
      <c r="BF260" s="336"/>
      <c r="BG260" s="336"/>
      <c r="BH260" s="336"/>
      <c r="BI260" s="336"/>
      <c r="BJ260" s="336"/>
      <c r="BK260" s="336"/>
      <c r="BL260" s="336"/>
      <c r="BM260" s="336"/>
      <c r="BN260" s="336"/>
      <c r="BO260" s="336"/>
      <c r="BP260" s="336"/>
      <c r="BQ260" s="336"/>
      <c r="BR260" s="336"/>
      <c r="BS260" s="336"/>
      <c r="BT260" s="336"/>
      <c r="BU260" s="336"/>
      <c r="BV260" s="336"/>
      <c r="BW260" s="336"/>
      <c r="BX260" s="336"/>
      <c r="BY260" s="336"/>
      <c r="BZ260" s="336"/>
      <c r="CA260" s="336"/>
      <c r="CB260" s="336"/>
      <c r="CC260" s="336"/>
      <c r="CD260" s="336"/>
      <c r="CE260" s="336"/>
      <c r="CF260" s="336"/>
      <c r="CG260" s="336"/>
      <c r="CH260" s="336"/>
      <c r="CI260" s="336"/>
      <c r="CJ260" s="336"/>
      <c r="CK260" s="336"/>
      <c r="CL260" s="336"/>
      <c r="CM260" s="336"/>
      <c r="CN260" s="336"/>
      <c r="CO260" s="336"/>
      <c r="CP260" s="336"/>
      <c r="CQ260" s="336"/>
      <c r="CR260" s="336"/>
      <c r="CS260" s="336"/>
      <c r="CT260" s="336"/>
      <c r="CU260" s="336"/>
      <c r="CV260" s="336"/>
      <c r="CW260" s="336"/>
      <c r="CX260" s="336"/>
      <c r="CY260" s="336"/>
      <c r="CZ260" s="336"/>
      <c r="DA260" s="336"/>
      <c r="DB260" s="336"/>
      <c r="DC260" s="336"/>
      <c r="DD260" s="336"/>
      <c r="DE260" s="336"/>
      <c r="DF260" s="336"/>
      <c r="DG260" s="336"/>
      <c r="DH260" s="336"/>
      <c r="DI260" s="336"/>
      <c r="DJ260" s="336"/>
      <c r="DK260" s="336"/>
      <c r="DL260" s="336"/>
      <c r="DM260" s="336"/>
      <c r="DN260" s="336"/>
      <c r="DO260" s="336"/>
      <c r="DP260" s="336"/>
      <c r="DQ260" s="336"/>
      <c r="DR260" s="336"/>
      <c r="DS260" s="336"/>
      <c r="DT260" s="336"/>
      <c r="DU260" s="336"/>
      <c r="DV260" s="336"/>
      <c r="DW260" s="336"/>
      <c r="DX260" s="336"/>
      <c r="DY260" s="336"/>
      <c r="DZ260" s="336"/>
      <c r="EA260" s="336"/>
      <c r="EB260" s="336"/>
      <c r="EC260" s="336"/>
      <c r="ED260" s="336"/>
      <c r="EE260" s="336"/>
      <c r="EF260" s="336"/>
      <c r="EG260" s="336"/>
      <c r="EH260" s="336"/>
      <c r="EI260" s="336"/>
      <c r="EJ260" s="336"/>
      <c r="EK260" s="336"/>
      <c r="EL260" s="336"/>
      <c r="EM260" s="336"/>
      <c r="EN260" s="336"/>
      <c r="EO260" s="336"/>
      <c r="EP260" s="336"/>
      <c r="EQ260" s="336"/>
      <c r="ER260" s="336"/>
      <c r="ES260" s="336"/>
      <c r="ET260" s="336"/>
      <c r="EU260" s="336"/>
      <c r="EV260" s="336"/>
      <c r="EW260" s="336"/>
      <c r="EX260" s="336"/>
      <c r="EY260" s="336"/>
      <c r="EZ260" s="336"/>
      <c r="FA260" s="336"/>
      <c r="FB260" s="336"/>
      <c r="FC260" s="336"/>
      <c r="FD260" s="336"/>
      <c r="FE260" s="336"/>
      <c r="FF260" s="336"/>
      <c r="FG260" s="336"/>
      <c r="FH260" s="336"/>
      <c r="FI260" s="336"/>
      <c r="FJ260" s="336"/>
      <c r="FK260" s="336"/>
      <c r="FL260" s="336"/>
      <c r="FM260" s="336"/>
      <c r="FN260" s="336"/>
      <c r="FO260" s="336"/>
      <c r="FP260" s="336"/>
      <c r="FQ260" s="336"/>
      <c r="FR260" s="336"/>
      <c r="FS260" s="336"/>
      <c r="FT260" s="336"/>
      <c r="FU260" s="336"/>
      <c r="FV260" s="336"/>
      <c r="FW260" s="336"/>
      <c r="FX260" s="336"/>
      <c r="FY260" s="336"/>
      <c r="FZ260" s="336"/>
      <c r="GA260" s="336"/>
      <c r="GB260" s="336"/>
      <c r="GC260" s="336"/>
      <c r="GD260" s="336"/>
      <c r="GE260" s="336"/>
      <c r="GF260" s="336"/>
      <c r="GG260" s="336"/>
      <c r="GH260" s="336"/>
      <c r="GI260" s="336"/>
      <c r="GJ260" s="336"/>
      <c r="GK260" s="336"/>
      <c r="GL260" s="336"/>
      <c r="GM260" s="336"/>
      <c r="GN260" s="336"/>
      <c r="GO260" s="336"/>
      <c r="GP260" s="336"/>
      <c r="GQ260" s="336"/>
      <c r="GR260" s="336"/>
      <c r="GS260" s="336"/>
      <c r="GT260" s="336"/>
      <c r="GU260" s="336"/>
      <c r="GV260" s="336"/>
      <c r="GW260" s="336"/>
      <c r="GX260" s="336"/>
      <c r="GY260" s="336"/>
      <c r="GZ260" s="336"/>
      <c r="HA260" s="336"/>
      <c r="HB260" s="336"/>
      <c r="HC260" s="336"/>
      <c r="HD260" s="336"/>
      <c r="HE260" s="336"/>
      <c r="HF260" s="336"/>
      <c r="HG260" s="336"/>
      <c r="HH260" s="336"/>
      <c r="HI260" s="336"/>
      <c r="HJ260" s="336"/>
      <c r="HK260" s="336"/>
      <c r="HL260" s="336"/>
      <c r="HM260" s="336"/>
      <c r="HN260" s="336"/>
      <c r="HO260" s="336"/>
      <c r="HP260" s="336"/>
      <c r="HQ260" s="336"/>
      <c r="HR260" s="336"/>
      <c r="HS260" s="336"/>
      <c r="HT260" s="336"/>
      <c r="HU260" s="336"/>
      <c r="HV260" s="336"/>
      <c r="HW260" s="336"/>
      <c r="HX260" s="336"/>
      <c r="HY260" s="336"/>
      <c r="HZ260" s="336"/>
      <c r="IA260" s="336"/>
      <c r="IB260" s="336"/>
      <c r="IC260" s="336"/>
      <c r="ID260" s="336"/>
      <c r="IE260" s="336"/>
      <c r="IF260" s="336"/>
      <c r="IG260" s="336"/>
      <c r="IH260" s="336"/>
      <c r="II260" s="336"/>
      <c r="IJ260" s="336"/>
      <c r="IK260" s="336"/>
      <c r="IL260" s="336"/>
      <c r="IM260" s="336"/>
      <c r="IN260" s="336"/>
      <c r="IO260" s="336"/>
      <c r="IP260" s="336"/>
      <c r="IQ260" s="336"/>
      <c r="IR260" s="336"/>
      <c r="IS260" s="336"/>
      <c r="IT260" s="336"/>
      <c r="IU260" s="336"/>
      <c r="IV260" s="336"/>
      <c r="IW260" s="336"/>
      <c r="IX260" s="336"/>
      <c r="IY260" s="336"/>
      <c r="IZ260" s="462"/>
      <c r="JA260" s="462"/>
      <c r="JB260" s="462"/>
      <c r="JC260" s="462"/>
      <c r="JD260" s="462"/>
      <c r="JE260" s="462"/>
      <c r="JF260" s="462"/>
      <c r="JG260" s="462"/>
      <c r="JH260" s="462"/>
      <c r="JI260" s="462"/>
      <c r="JJ260" s="462"/>
      <c r="JK260" s="462"/>
      <c r="JL260" s="462"/>
      <c r="JM260" s="462"/>
      <c r="JN260" s="462"/>
      <c r="JO260" s="462"/>
      <c r="JP260" s="462"/>
      <c r="JQ260" s="462"/>
      <c r="JR260" s="462"/>
      <c r="JS260" s="462"/>
      <c r="JT260" s="462"/>
      <c r="JU260" s="462"/>
      <c r="JV260" s="462"/>
      <c r="JW260" s="462"/>
      <c r="JX260" s="462"/>
      <c r="JY260" s="462"/>
      <c r="JZ260" s="462"/>
      <c r="KA260" s="462"/>
      <c r="KB260" s="462"/>
      <c r="KC260" s="462"/>
      <c r="KD260" s="462"/>
      <c r="KE260" s="462"/>
      <c r="KF260" s="462"/>
      <c r="KG260" s="462"/>
      <c r="KH260" s="336"/>
      <c r="KI260" s="336"/>
      <c r="KJ260" s="336"/>
      <c r="KK260" s="336"/>
      <c r="KL260" s="336"/>
      <c r="KM260" s="336"/>
      <c r="KN260" s="336"/>
      <c r="KO260" s="336"/>
      <c r="KP260" s="336"/>
      <c r="KQ260" s="336"/>
      <c r="KR260" s="336"/>
      <c r="KS260" s="336"/>
      <c r="KT260" s="336"/>
      <c r="KU260" s="336"/>
      <c r="KV260" s="336"/>
      <c r="KW260" s="336"/>
      <c r="KX260" s="336"/>
      <c r="KY260" s="336"/>
      <c r="KZ260" s="336"/>
      <c r="LA260" s="336"/>
      <c r="LB260" s="336"/>
      <c r="LC260" s="336"/>
      <c r="LD260" s="336"/>
      <c r="LE260" s="336"/>
      <c r="LF260" s="336"/>
      <c r="LG260" s="336"/>
      <c r="LH260" s="336"/>
      <c r="LI260" s="336"/>
      <c r="LJ260" s="336"/>
      <c r="LK260" s="336"/>
      <c r="LL260" s="336"/>
      <c r="LM260" s="336"/>
      <c r="LN260" s="336"/>
      <c r="LO260" s="336"/>
      <c r="LP260" s="336"/>
      <c r="LQ260" s="336"/>
      <c r="LR260" s="336"/>
      <c r="LS260" s="336"/>
      <c r="LT260" s="336"/>
      <c r="LU260" s="336"/>
      <c r="LV260" s="336"/>
      <c r="LW260" s="336"/>
      <c r="LX260" s="336"/>
      <c r="LY260" s="336"/>
      <c r="LZ260" s="336"/>
      <c r="MA260" s="336"/>
      <c r="MB260" s="336"/>
      <c r="MC260" s="336"/>
      <c r="MD260" s="336"/>
      <c r="ME260" s="336"/>
      <c r="MF260" s="336"/>
      <c r="MG260" s="336"/>
      <c r="MH260" s="336"/>
      <c r="MI260" s="336"/>
      <c r="MJ260" s="336"/>
      <c r="MK260" s="336"/>
      <c r="ML260" s="336"/>
      <c r="MM260" s="336"/>
      <c r="MN260" s="336"/>
      <c r="MO260" s="336"/>
      <c r="MP260" s="336"/>
      <c r="MQ260" s="336"/>
      <c r="MR260" s="336"/>
      <c r="MS260" s="336"/>
      <c r="MT260" s="336"/>
      <c r="MU260" s="336"/>
      <c r="MV260" s="336"/>
      <c r="MW260" s="336"/>
      <c r="MX260" s="336"/>
      <c r="MY260" s="336"/>
      <c r="MZ260" s="336"/>
      <c r="NA260" s="336"/>
      <c r="NB260" s="336"/>
      <c r="NC260" s="336"/>
      <c r="ND260" s="336"/>
      <c r="NE260" s="336"/>
      <c r="NF260" s="336"/>
      <c r="NG260" s="336"/>
      <c r="NH260" s="336"/>
      <c r="NI260" s="336"/>
      <c r="NJ260" s="336"/>
      <c r="NK260" s="336"/>
      <c r="NL260" s="336"/>
      <c r="NM260" s="336"/>
      <c r="NN260" s="336"/>
      <c r="NO260" s="336"/>
      <c r="NP260" s="336"/>
      <c r="NQ260" s="336"/>
      <c r="NR260" s="336"/>
      <c r="NS260" s="336"/>
      <c r="NT260" s="336"/>
      <c r="NU260" s="336"/>
      <c r="NV260" s="336"/>
      <c r="NW260" s="336"/>
      <c r="NX260" s="336"/>
      <c r="NY260" s="336"/>
      <c r="NZ260" s="336"/>
      <c r="OA260" s="336"/>
      <c r="OB260" s="336"/>
      <c r="OC260" s="336"/>
      <c r="OD260" s="336"/>
      <c r="OE260" s="336"/>
      <c r="OF260" s="336"/>
      <c r="OG260" s="336"/>
      <c r="OH260" s="336"/>
      <c r="OI260" s="336"/>
      <c r="OJ260" s="336"/>
      <c r="OK260" s="336"/>
      <c r="OL260" s="336"/>
      <c r="OM260" s="336"/>
      <c r="ON260" s="336"/>
      <c r="OO260" s="336"/>
      <c r="OP260" s="336"/>
      <c r="OQ260" s="336"/>
      <c r="OR260" s="336"/>
      <c r="OS260" s="336"/>
      <c r="OT260" s="336"/>
      <c r="OU260" s="336"/>
      <c r="OV260" s="336"/>
      <c r="OW260" s="336"/>
      <c r="OX260" s="336"/>
      <c r="OY260" s="336"/>
      <c r="OZ260" s="336"/>
      <c r="PA260" s="336"/>
      <c r="PB260" s="336"/>
      <c r="PC260" s="336"/>
      <c r="PD260" s="336"/>
      <c r="PE260" s="336"/>
      <c r="PF260" s="336"/>
      <c r="PG260" s="336"/>
      <c r="PH260" s="336"/>
      <c r="PI260" s="336"/>
      <c r="PJ260" s="336"/>
      <c r="PK260" s="336"/>
      <c r="PL260" s="336"/>
      <c r="PM260" s="336"/>
      <c r="PN260" s="336"/>
      <c r="PO260" s="336"/>
      <c r="PP260" s="336"/>
      <c r="PQ260" s="336"/>
      <c r="PR260" s="336"/>
      <c r="PS260" s="336"/>
      <c r="PT260" s="336"/>
      <c r="PU260" s="336"/>
      <c r="PV260" s="336"/>
      <c r="PW260" s="336"/>
      <c r="PX260" s="336"/>
      <c r="PY260" s="336"/>
      <c r="PZ260" s="336"/>
      <c r="QA260" s="336"/>
      <c r="QB260" s="336"/>
      <c r="QC260" s="336"/>
      <c r="QD260" s="336"/>
      <c r="QE260" s="336"/>
      <c r="QF260" s="336"/>
      <c r="QG260" s="336"/>
      <c r="QH260" s="336"/>
      <c r="QI260" s="336"/>
      <c r="QJ260" s="336"/>
      <c r="QK260" s="336"/>
      <c r="QL260" s="336"/>
      <c r="QM260" s="336"/>
      <c r="QN260" s="336"/>
      <c r="QO260" s="336"/>
      <c r="QP260" s="336"/>
      <c r="QQ260" s="336"/>
      <c r="QR260" s="336"/>
      <c r="QS260" s="336"/>
      <c r="QT260" s="336"/>
      <c r="QU260" s="336"/>
      <c r="QV260" s="336"/>
      <c r="QW260" s="336"/>
      <c r="QX260" s="336"/>
      <c r="QY260" s="336"/>
      <c r="QZ260" s="336"/>
      <c r="RA260" s="336"/>
      <c r="RB260" s="336"/>
      <c r="RC260" s="336"/>
      <c r="RD260" s="336"/>
      <c r="RE260" s="336"/>
      <c r="RF260" s="336"/>
      <c r="RG260" s="336"/>
      <c r="RH260" s="336"/>
      <c r="RI260" s="336"/>
      <c r="RJ260" s="336"/>
      <c r="RK260" s="336"/>
      <c r="RL260" s="336"/>
      <c r="RM260" s="336"/>
      <c r="RN260" s="336"/>
      <c r="RO260" s="336"/>
      <c r="RP260" s="336"/>
      <c r="RQ260" s="336"/>
      <c r="RR260" s="336"/>
      <c r="RS260" s="336"/>
      <c r="RT260" s="336"/>
      <c r="RU260" s="336"/>
      <c r="RV260" s="336"/>
      <c r="RW260" s="336"/>
      <c r="RX260" s="336"/>
      <c r="RY260" s="336"/>
      <c r="RZ260" s="336"/>
      <c r="SA260" s="336"/>
      <c r="SB260" s="336"/>
      <c r="SC260" s="336"/>
      <c r="SD260" s="336"/>
      <c r="SE260" s="336"/>
      <c r="SF260" s="336"/>
      <c r="SG260" s="336"/>
      <c r="SH260" s="336"/>
      <c r="SI260" s="336"/>
      <c r="SJ260" s="336"/>
      <c r="SK260" s="336"/>
      <c r="SL260" s="336"/>
      <c r="SM260" s="336"/>
      <c r="SN260" s="336"/>
      <c r="SO260" s="336"/>
      <c r="SP260" s="336"/>
      <c r="SQ260" s="336"/>
      <c r="SR260" s="336"/>
      <c r="SS260" s="336"/>
    </row>
    <row r="261" spans="1:513" s="481" customFormat="1" ht="15" hidden="1" customHeight="1">
      <c r="A261" s="478"/>
      <c r="B261" s="478"/>
      <c r="C261" s="1048">
        <f t="shared" si="44"/>
        <v>0</v>
      </c>
      <c r="D261" s="1048"/>
      <c r="E261" s="1048"/>
      <c r="F261" s="1048"/>
      <c r="G261" s="1048"/>
      <c r="H261" s="1048"/>
      <c r="I261" s="482" t="str">
        <f>+I235</f>
        <v>ml</v>
      </c>
      <c r="J261" s="478"/>
      <c r="K261" s="478"/>
      <c r="L261" s="478"/>
      <c r="M261" s="478" t="s">
        <v>4508</v>
      </c>
      <c r="N261" s="1051">
        <f>+N235</f>
        <v>0</v>
      </c>
      <c r="O261" s="1051"/>
      <c r="P261" s="1051"/>
      <c r="Q261" s="1051"/>
      <c r="R261" s="1051"/>
      <c r="S261" s="1051"/>
      <c r="T261" s="1051"/>
      <c r="U261" s="484" t="str">
        <f>+T235</f>
        <v>/ml</v>
      </c>
      <c r="V261" s="478"/>
      <c r="W261" s="478"/>
      <c r="X261" s="478"/>
      <c r="Y261" s="478"/>
      <c r="Z261" s="483"/>
      <c r="AA261" s="478"/>
      <c r="AB261" s="1050"/>
      <c r="AC261" s="1050"/>
      <c r="AD261" s="1058"/>
      <c r="AE261" s="1058"/>
      <c r="AF261" s="478"/>
      <c r="AG261" s="478"/>
      <c r="AH261" s="478"/>
      <c r="AI261" s="478"/>
      <c r="AJ261" s="478"/>
      <c r="AK261" s="478"/>
      <c r="AL261" s="478"/>
      <c r="AM261" s="484" t="s">
        <v>4426</v>
      </c>
      <c r="AN261" s="484"/>
      <c r="AO261" s="1051">
        <f>ROUND(C261*N261,1)</f>
        <v>0</v>
      </c>
      <c r="AP261" s="1051"/>
      <c r="AQ261" s="1051"/>
      <c r="AR261" s="1051"/>
      <c r="AS261" s="1051"/>
      <c r="AT261" s="1051"/>
      <c r="AU261" s="1051"/>
      <c r="AV261" s="1051"/>
      <c r="AW261" s="336"/>
      <c r="AX261" s="336"/>
      <c r="AY261" s="336"/>
      <c r="AZ261" s="336"/>
      <c r="BA261" s="336"/>
      <c r="BB261" s="336"/>
      <c r="BC261" s="336"/>
      <c r="BD261" s="336"/>
      <c r="BE261" s="336"/>
      <c r="BF261" s="336"/>
      <c r="BG261" s="336"/>
      <c r="BH261" s="336"/>
      <c r="BI261" s="336"/>
      <c r="BJ261" s="336"/>
      <c r="BK261" s="336"/>
      <c r="BL261" s="336"/>
      <c r="BM261" s="336"/>
      <c r="BN261" s="336"/>
      <c r="BO261" s="336"/>
      <c r="BP261" s="336"/>
      <c r="BQ261" s="336"/>
      <c r="BR261" s="336"/>
      <c r="BS261" s="336"/>
      <c r="BT261" s="336"/>
      <c r="BU261" s="336"/>
      <c r="BV261" s="336"/>
      <c r="BW261" s="336"/>
      <c r="BX261" s="336"/>
      <c r="BY261" s="336"/>
      <c r="BZ261" s="336"/>
      <c r="CA261" s="336"/>
      <c r="CB261" s="336"/>
      <c r="CC261" s="336"/>
      <c r="CD261" s="336"/>
      <c r="CE261" s="336"/>
      <c r="CF261" s="336"/>
      <c r="CG261" s="336"/>
      <c r="CH261" s="336"/>
      <c r="CI261" s="336"/>
      <c r="CJ261" s="336"/>
      <c r="CK261" s="336"/>
      <c r="CL261" s="336"/>
      <c r="CM261" s="336"/>
      <c r="CN261" s="336"/>
      <c r="CO261" s="336"/>
      <c r="CP261" s="336"/>
      <c r="CQ261" s="336"/>
      <c r="CR261" s="336"/>
      <c r="CS261" s="336"/>
      <c r="CT261" s="336"/>
      <c r="CU261" s="336"/>
      <c r="CV261" s="336"/>
      <c r="CW261" s="336"/>
      <c r="CX261" s="336"/>
      <c r="CY261" s="336"/>
      <c r="CZ261" s="336"/>
      <c r="DA261" s="336"/>
      <c r="DB261" s="336"/>
      <c r="DC261" s="336"/>
      <c r="DD261" s="336"/>
      <c r="DE261" s="336"/>
      <c r="DF261" s="336"/>
      <c r="DG261" s="336"/>
      <c r="DH261" s="336"/>
      <c r="DI261" s="336"/>
      <c r="DJ261" s="336"/>
      <c r="DK261" s="336"/>
      <c r="DL261" s="336"/>
      <c r="DM261" s="336"/>
      <c r="DN261" s="336"/>
      <c r="DO261" s="336"/>
      <c r="DP261" s="336"/>
      <c r="DQ261" s="336"/>
      <c r="DR261" s="336"/>
      <c r="DS261" s="336"/>
      <c r="DT261" s="336"/>
      <c r="DU261" s="336"/>
      <c r="DV261" s="336"/>
      <c r="DW261" s="336"/>
      <c r="DX261" s="336"/>
      <c r="DY261" s="336"/>
      <c r="DZ261" s="336"/>
      <c r="EA261" s="336"/>
      <c r="EB261" s="336"/>
      <c r="EC261" s="336"/>
      <c r="ED261" s="336"/>
      <c r="EE261" s="336"/>
      <c r="EF261" s="336"/>
      <c r="EG261" s="336"/>
      <c r="EH261" s="336"/>
      <c r="EI261" s="336"/>
      <c r="EJ261" s="336"/>
      <c r="EK261" s="336"/>
      <c r="EL261" s="336"/>
      <c r="EM261" s="336"/>
      <c r="EN261" s="336"/>
      <c r="EO261" s="336"/>
      <c r="EP261" s="336"/>
      <c r="EQ261" s="336"/>
      <c r="ER261" s="336"/>
      <c r="ES261" s="336"/>
      <c r="ET261" s="336"/>
      <c r="EU261" s="336"/>
      <c r="EV261" s="336"/>
      <c r="EW261" s="336"/>
      <c r="EX261" s="336"/>
      <c r="EY261" s="336"/>
      <c r="EZ261" s="336"/>
      <c r="FA261" s="336"/>
      <c r="FB261" s="336"/>
      <c r="FC261" s="336"/>
      <c r="FD261" s="336"/>
      <c r="FE261" s="336"/>
      <c r="FF261" s="336"/>
      <c r="FG261" s="336"/>
      <c r="FH261" s="336"/>
      <c r="FI261" s="336"/>
      <c r="FJ261" s="336"/>
      <c r="FK261" s="336"/>
      <c r="FL261" s="336"/>
      <c r="FM261" s="336"/>
      <c r="FN261" s="336"/>
      <c r="FO261" s="336"/>
      <c r="FP261" s="336"/>
      <c r="FQ261" s="336"/>
      <c r="FR261" s="336"/>
      <c r="FS261" s="336"/>
      <c r="FT261" s="336"/>
      <c r="FU261" s="336"/>
      <c r="FV261" s="336"/>
      <c r="FW261" s="336"/>
      <c r="FX261" s="336"/>
      <c r="FY261" s="336"/>
      <c r="FZ261" s="336"/>
      <c r="GA261" s="336"/>
      <c r="GB261" s="336"/>
      <c r="GC261" s="336"/>
      <c r="GD261" s="336"/>
      <c r="GE261" s="336"/>
      <c r="GF261" s="336"/>
      <c r="GG261" s="336"/>
      <c r="GH261" s="336"/>
      <c r="GI261" s="336"/>
      <c r="GJ261" s="336"/>
      <c r="GK261" s="336"/>
      <c r="GL261" s="336"/>
      <c r="GM261" s="336"/>
      <c r="GN261" s="336"/>
      <c r="GO261" s="336"/>
      <c r="GP261" s="336"/>
      <c r="GQ261" s="336"/>
      <c r="GR261" s="336"/>
      <c r="GS261" s="336"/>
      <c r="GT261" s="336"/>
      <c r="GU261" s="336"/>
      <c r="GV261" s="336"/>
      <c r="GW261" s="336"/>
      <c r="GX261" s="336"/>
      <c r="GY261" s="336"/>
      <c r="GZ261" s="336"/>
      <c r="HA261" s="336"/>
      <c r="HB261" s="336"/>
      <c r="HC261" s="336"/>
      <c r="HD261" s="336"/>
      <c r="HE261" s="336"/>
      <c r="HF261" s="336"/>
      <c r="HG261" s="336"/>
      <c r="HH261" s="336"/>
      <c r="HI261" s="336"/>
      <c r="HJ261" s="336"/>
      <c r="HK261" s="336"/>
      <c r="HL261" s="336"/>
      <c r="HM261" s="336"/>
      <c r="HN261" s="336"/>
      <c r="HO261" s="336"/>
      <c r="HP261" s="336"/>
      <c r="HQ261" s="336"/>
      <c r="HR261" s="336"/>
      <c r="HS261" s="336"/>
      <c r="HT261" s="336"/>
      <c r="HU261" s="336"/>
      <c r="HV261" s="336"/>
      <c r="HW261" s="336"/>
      <c r="HX261" s="336"/>
      <c r="HY261" s="336"/>
      <c r="HZ261" s="336"/>
      <c r="IA261" s="336"/>
      <c r="IB261" s="336"/>
      <c r="IC261" s="336"/>
      <c r="ID261" s="336"/>
      <c r="IE261" s="336"/>
      <c r="IF261" s="336"/>
      <c r="IG261" s="336"/>
      <c r="IH261" s="336"/>
      <c r="II261" s="336"/>
      <c r="IJ261" s="336"/>
      <c r="IK261" s="336"/>
      <c r="IL261" s="336"/>
      <c r="IM261" s="336"/>
      <c r="IN261" s="336"/>
      <c r="IO261" s="336"/>
      <c r="IP261" s="336"/>
      <c r="IQ261" s="336"/>
      <c r="IR261" s="336"/>
      <c r="IS261" s="336"/>
      <c r="IT261" s="336"/>
      <c r="IU261" s="336"/>
      <c r="IV261" s="336"/>
      <c r="IW261" s="336"/>
      <c r="IX261" s="336"/>
      <c r="IY261" s="336"/>
      <c r="IZ261" s="462"/>
      <c r="JA261" s="462"/>
      <c r="JB261" s="462"/>
      <c r="JC261" s="462"/>
      <c r="JD261" s="462"/>
      <c r="JE261" s="462"/>
      <c r="JF261" s="462"/>
      <c r="JG261" s="462"/>
      <c r="JH261" s="462"/>
      <c r="JI261" s="462"/>
      <c r="JJ261" s="462"/>
      <c r="JK261" s="462"/>
      <c r="JL261" s="462"/>
      <c r="JM261" s="462"/>
      <c r="JN261" s="462"/>
      <c r="JO261" s="462"/>
      <c r="JP261" s="462"/>
      <c r="JQ261" s="462"/>
      <c r="JR261" s="462"/>
      <c r="JS261" s="462"/>
      <c r="JT261" s="462"/>
      <c r="JU261" s="462"/>
      <c r="JV261" s="462"/>
      <c r="JW261" s="462"/>
      <c r="JX261" s="462"/>
      <c r="JY261" s="462"/>
      <c r="JZ261" s="462"/>
      <c r="KA261" s="462"/>
      <c r="KB261" s="462"/>
      <c r="KC261" s="462"/>
      <c r="KD261" s="462"/>
      <c r="KE261" s="462"/>
      <c r="KF261" s="462"/>
      <c r="KG261" s="462"/>
      <c r="KH261" s="336"/>
      <c r="KI261" s="336"/>
      <c r="KJ261" s="336"/>
      <c r="KK261" s="336"/>
      <c r="KL261" s="336"/>
      <c r="KM261" s="336"/>
      <c r="KN261" s="336"/>
      <c r="KO261" s="336"/>
      <c r="KP261" s="336"/>
      <c r="KQ261" s="336"/>
      <c r="KR261" s="336"/>
      <c r="KS261" s="336"/>
      <c r="KT261" s="336"/>
      <c r="KU261" s="336"/>
      <c r="KV261" s="336"/>
      <c r="KW261" s="336"/>
      <c r="KX261" s="336"/>
      <c r="KY261" s="336"/>
      <c r="KZ261" s="336"/>
      <c r="LA261" s="336"/>
      <c r="LB261" s="336"/>
      <c r="LC261" s="336"/>
      <c r="LD261" s="336"/>
      <c r="LE261" s="336"/>
      <c r="LF261" s="336"/>
      <c r="LG261" s="336"/>
      <c r="LH261" s="336"/>
      <c r="LI261" s="336"/>
      <c r="LJ261" s="336"/>
      <c r="LK261" s="336"/>
      <c r="LL261" s="336"/>
      <c r="LM261" s="336"/>
      <c r="LN261" s="336"/>
      <c r="LO261" s="336"/>
      <c r="LP261" s="336"/>
      <c r="LQ261" s="336"/>
      <c r="LR261" s="336"/>
      <c r="LS261" s="336"/>
      <c r="LT261" s="336"/>
      <c r="LU261" s="336"/>
      <c r="LV261" s="336"/>
      <c r="LW261" s="336"/>
      <c r="LX261" s="336"/>
      <c r="LY261" s="336"/>
      <c r="LZ261" s="336"/>
      <c r="MA261" s="336"/>
      <c r="MB261" s="336"/>
      <c r="MC261" s="336"/>
      <c r="MD261" s="336"/>
      <c r="ME261" s="336"/>
      <c r="MF261" s="336"/>
      <c r="MG261" s="336"/>
      <c r="MH261" s="336"/>
      <c r="MI261" s="336"/>
      <c r="MJ261" s="336"/>
      <c r="MK261" s="336"/>
      <c r="ML261" s="336"/>
      <c r="MM261" s="336"/>
      <c r="MN261" s="336"/>
      <c r="MO261" s="336"/>
      <c r="MP261" s="336"/>
      <c r="MQ261" s="336"/>
      <c r="MR261" s="336"/>
      <c r="MS261" s="336"/>
      <c r="MT261" s="336"/>
      <c r="MU261" s="336"/>
      <c r="MV261" s="336"/>
      <c r="MW261" s="336"/>
      <c r="MX261" s="336"/>
      <c r="MY261" s="336"/>
      <c r="MZ261" s="336"/>
      <c r="NA261" s="336"/>
      <c r="NB261" s="336"/>
      <c r="NC261" s="336"/>
      <c r="ND261" s="336"/>
      <c r="NE261" s="336"/>
      <c r="NF261" s="336"/>
      <c r="NG261" s="336"/>
      <c r="NH261" s="336"/>
      <c r="NI261" s="336"/>
      <c r="NJ261" s="336"/>
      <c r="NK261" s="336"/>
      <c r="NL261" s="336"/>
      <c r="NM261" s="336"/>
      <c r="NN261" s="336"/>
      <c r="NO261" s="336"/>
      <c r="NP261" s="336"/>
      <c r="NQ261" s="336"/>
      <c r="NR261" s="336"/>
      <c r="NS261" s="336"/>
      <c r="NT261" s="336"/>
      <c r="NU261" s="336"/>
      <c r="NV261" s="336"/>
      <c r="NW261" s="336"/>
      <c r="NX261" s="336"/>
      <c r="NY261" s="336"/>
      <c r="NZ261" s="336"/>
      <c r="OA261" s="336"/>
      <c r="OB261" s="336"/>
      <c r="OC261" s="336"/>
      <c r="OD261" s="336"/>
      <c r="OE261" s="336"/>
      <c r="OF261" s="336"/>
      <c r="OG261" s="336"/>
      <c r="OH261" s="336"/>
      <c r="OI261" s="336"/>
      <c r="OJ261" s="336"/>
      <c r="OK261" s="336"/>
      <c r="OL261" s="336"/>
      <c r="OM261" s="336"/>
      <c r="ON261" s="336"/>
      <c r="OO261" s="336"/>
      <c r="OP261" s="336"/>
      <c r="OQ261" s="336"/>
      <c r="OR261" s="336"/>
      <c r="OS261" s="336"/>
      <c r="OT261" s="336"/>
      <c r="OU261" s="336"/>
      <c r="OV261" s="336"/>
      <c r="OW261" s="336"/>
      <c r="OX261" s="336"/>
      <c r="OY261" s="336"/>
      <c r="OZ261" s="336"/>
      <c r="PA261" s="336"/>
      <c r="PB261" s="336"/>
      <c r="PC261" s="336"/>
      <c r="PD261" s="336"/>
      <c r="PE261" s="336"/>
      <c r="PF261" s="336"/>
      <c r="PG261" s="336"/>
      <c r="PH261" s="336"/>
      <c r="PI261" s="336"/>
      <c r="PJ261" s="336"/>
      <c r="PK261" s="336"/>
      <c r="PL261" s="336"/>
      <c r="PM261" s="336"/>
      <c r="PN261" s="336"/>
      <c r="PO261" s="336"/>
      <c r="PP261" s="336"/>
      <c r="PQ261" s="336"/>
      <c r="PR261" s="336"/>
      <c r="PS261" s="336"/>
      <c r="PT261" s="336"/>
      <c r="PU261" s="336"/>
      <c r="PV261" s="336"/>
      <c r="PW261" s="336"/>
      <c r="PX261" s="336"/>
      <c r="PY261" s="336"/>
      <c r="PZ261" s="336"/>
      <c r="QA261" s="336"/>
      <c r="QB261" s="336"/>
      <c r="QC261" s="336"/>
      <c r="QD261" s="336"/>
      <c r="QE261" s="336"/>
      <c r="QF261" s="336"/>
      <c r="QG261" s="336"/>
      <c r="QH261" s="336"/>
      <c r="QI261" s="336"/>
      <c r="QJ261" s="336"/>
      <c r="QK261" s="336"/>
      <c r="QL261" s="336"/>
      <c r="QM261" s="336"/>
      <c r="QN261" s="336"/>
      <c r="QO261" s="336"/>
      <c r="QP261" s="336"/>
      <c r="QQ261" s="336"/>
      <c r="QR261" s="336"/>
      <c r="QS261" s="336"/>
      <c r="QT261" s="336"/>
      <c r="QU261" s="336"/>
      <c r="QV261" s="336"/>
      <c r="QW261" s="336"/>
      <c r="QX261" s="336"/>
      <c r="QY261" s="336"/>
      <c r="QZ261" s="336"/>
      <c r="RA261" s="336"/>
      <c r="RB261" s="336"/>
      <c r="RC261" s="336"/>
      <c r="RD261" s="336"/>
      <c r="RE261" s="336"/>
      <c r="RF261" s="336"/>
      <c r="RG261" s="336"/>
      <c r="RH261" s="336"/>
      <c r="RI261" s="336"/>
      <c r="RJ261" s="336"/>
      <c r="RK261" s="336"/>
      <c r="RL261" s="336"/>
      <c r="RM261" s="336"/>
      <c r="RN261" s="336"/>
      <c r="RO261" s="336"/>
      <c r="RP261" s="336"/>
      <c r="RQ261" s="336"/>
      <c r="RR261" s="336"/>
      <c r="RS261" s="336"/>
      <c r="RT261" s="336"/>
      <c r="RU261" s="336"/>
      <c r="RV261" s="336"/>
      <c r="RW261" s="336"/>
      <c r="RX261" s="336"/>
      <c r="RY261" s="336"/>
      <c r="RZ261" s="336"/>
      <c r="SA261" s="336"/>
      <c r="SB261" s="336"/>
      <c r="SC261" s="336"/>
      <c r="SD261" s="336"/>
      <c r="SE261" s="336"/>
      <c r="SF261" s="336"/>
      <c r="SG261" s="336"/>
      <c r="SH261" s="336"/>
      <c r="SI261" s="336"/>
      <c r="SJ261" s="336"/>
      <c r="SK261" s="336"/>
      <c r="SL261" s="336"/>
      <c r="SM261" s="336"/>
      <c r="SN261" s="336"/>
      <c r="SO261" s="336"/>
      <c r="SP261" s="336"/>
      <c r="SQ261" s="336"/>
      <c r="SR261" s="336"/>
      <c r="SS261" s="336"/>
    </row>
    <row r="262" spans="1:513" s="481" customFormat="1" ht="15" hidden="1" customHeight="1">
      <c r="A262" s="478"/>
      <c r="B262" s="478"/>
      <c r="C262" s="498" t="str">
        <f t="shared" si="44"/>
        <v>d) Ascensor (estimado):</v>
      </c>
      <c r="D262" s="499"/>
      <c r="E262" s="499"/>
      <c r="F262" s="499"/>
      <c r="G262" s="499"/>
      <c r="H262" s="499"/>
      <c r="I262" s="499"/>
      <c r="J262" s="499"/>
      <c r="K262" s="499"/>
      <c r="L262" s="499"/>
      <c r="M262" s="499"/>
      <c r="N262" s="499"/>
      <c r="O262" s="499"/>
      <c r="P262" s="499"/>
      <c r="Q262" s="499"/>
      <c r="R262" s="499"/>
      <c r="S262" s="499"/>
      <c r="T262" s="499"/>
      <c r="U262" s="499"/>
      <c r="V262" s="499"/>
      <c r="W262" s="499"/>
      <c r="X262" s="499"/>
      <c r="Y262" s="499"/>
      <c r="Z262" s="499"/>
      <c r="AA262" s="499"/>
      <c r="AB262" s="499"/>
      <c r="AC262" s="499"/>
      <c r="AD262" s="499"/>
      <c r="AE262" s="499"/>
      <c r="AF262" s="499"/>
      <c r="AG262" s="499"/>
      <c r="AH262" s="499"/>
      <c r="AI262" s="499"/>
      <c r="AJ262" s="499"/>
      <c r="AK262" s="499"/>
      <c r="AL262" s="499"/>
      <c r="AM262" s="499"/>
      <c r="AN262" s="499"/>
      <c r="AO262" s="499"/>
      <c r="AP262" s="499"/>
      <c r="AQ262" s="499"/>
      <c r="AR262" s="499"/>
      <c r="AS262" s="499"/>
      <c r="AT262" s="499"/>
      <c r="AU262" s="499"/>
      <c r="AV262" s="499"/>
      <c r="AW262" s="336"/>
      <c r="AX262" s="336"/>
      <c r="AY262" s="336"/>
      <c r="AZ262" s="336"/>
      <c r="BA262" s="336"/>
      <c r="BB262" s="336"/>
      <c r="BC262" s="336"/>
      <c r="BD262" s="336"/>
      <c r="BE262" s="336"/>
      <c r="BF262" s="336"/>
      <c r="BG262" s="336"/>
      <c r="BH262" s="336"/>
      <c r="BI262" s="336"/>
      <c r="BJ262" s="336"/>
      <c r="BK262" s="336"/>
      <c r="BL262" s="336"/>
      <c r="BM262" s="336"/>
      <c r="BN262" s="336"/>
      <c r="BO262" s="336"/>
      <c r="BP262" s="336"/>
      <c r="BQ262" s="336"/>
      <c r="BR262" s="336"/>
      <c r="BS262" s="336"/>
      <c r="BT262" s="336"/>
      <c r="BU262" s="336"/>
      <c r="BV262" s="336"/>
      <c r="BW262" s="336"/>
      <c r="BX262" s="336"/>
      <c r="BY262" s="336"/>
      <c r="BZ262" s="336"/>
      <c r="CA262" s="336"/>
      <c r="CB262" s="336"/>
      <c r="CC262" s="336"/>
      <c r="CD262" s="336"/>
      <c r="CE262" s="336"/>
      <c r="CF262" s="336"/>
      <c r="CG262" s="336"/>
      <c r="CH262" s="336"/>
      <c r="CI262" s="336"/>
      <c r="CJ262" s="336"/>
      <c r="CK262" s="336"/>
      <c r="CL262" s="336"/>
      <c r="CM262" s="336"/>
      <c r="CN262" s="336"/>
      <c r="CO262" s="336"/>
      <c r="CP262" s="336"/>
      <c r="CQ262" s="336"/>
      <c r="CR262" s="336"/>
      <c r="CS262" s="336"/>
      <c r="CT262" s="336"/>
      <c r="CU262" s="336"/>
      <c r="CV262" s="336"/>
      <c r="CW262" s="336"/>
      <c r="CX262" s="336"/>
      <c r="CY262" s="336"/>
      <c r="CZ262" s="336"/>
      <c r="DA262" s="336"/>
      <c r="DB262" s="336"/>
      <c r="DC262" s="336"/>
      <c r="DD262" s="336"/>
      <c r="DE262" s="336"/>
      <c r="DF262" s="336"/>
      <c r="DG262" s="336"/>
      <c r="DH262" s="336"/>
      <c r="DI262" s="336"/>
      <c r="DJ262" s="336"/>
      <c r="DK262" s="336"/>
      <c r="DL262" s="336"/>
      <c r="DM262" s="336"/>
      <c r="DN262" s="336"/>
      <c r="DO262" s="336"/>
      <c r="DP262" s="336"/>
      <c r="DQ262" s="336"/>
      <c r="DR262" s="336"/>
      <c r="DS262" s="336"/>
      <c r="DT262" s="336"/>
      <c r="DU262" s="336"/>
      <c r="DV262" s="336"/>
      <c r="DW262" s="336"/>
      <c r="DX262" s="336"/>
      <c r="DY262" s="336"/>
      <c r="DZ262" s="336"/>
      <c r="EA262" s="336"/>
      <c r="EB262" s="336"/>
      <c r="EC262" s="336"/>
      <c r="ED262" s="336"/>
      <c r="EE262" s="336"/>
      <c r="EF262" s="336"/>
      <c r="EG262" s="336"/>
      <c r="EH262" s="336"/>
      <c r="EI262" s="336"/>
      <c r="EJ262" s="336"/>
      <c r="EK262" s="336"/>
      <c r="EL262" s="336"/>
      <c r="EM262" s="336"/>
      <c r="EN262" s="336"/>
      <c r="EO262" s="336"/>
      <c r="EP262" s="336"/>
      <c r="EQ262" s="336"/>
      <c r="ER262" s="336"/>
      <c r="ES262" s="336"/>
      <c r="ET262" s="336"/>
      <c r="EU262" s="336"/>
      <c r="EV262" s="336"/>
      <c r="EW262" s="336"/>
      <c r="EX262" s="336"/>
      <c r="EY262" s="336"/>
      <c r="EZ262" s="336"/>
      <c r="FA262" s="336"/>
      <c r="FB262" s="336"/>
      <c r="FC262" s="336"/>
      <c r="FD262" s="336"/>
      <c r="FE262" s="336"/>
      <c r="FF262" s="336"/>
      <c r="FG262" s="336"/>
      <c r="FH262" s="336"/>
      <c r="FI262" s="336"/>
      <c r="FJ262" s="336"/>
      <c r="FK262" s="336"/>
      <c r="FL262" s="336"/>
      <c r="FM262" s="336"/>
      <c r="FN262" s="336"/>
      <c r="FO262" s="336"/>
      <c r="FP262" s="336"/>
      <c r="FQ262" s="336"/>
      <c r="FR262" s="336"/>
      <c r="FS262" s="336"/>
      <c r="FT262" s="336"/>
      <c r="FU262" s="336"/>
      <c r="FV262" s="336"/>
      <c r="FW262" s="336"/>
      <c r="FX262" s="336"/>
      <c r="FY262" s="336"/>
      <c r="FZ262" s="336"/>
      <c r="GA262" s="336"/>
      <c r="GB262" s="336"/>
      <c r="GC262" s="336"/>
      <c r="GD262" s="336"/>
      <c r="GE262" s="336"/>
      <c r="GF262" s="336"/>
      <c r="GG262" s="336"/>
      <c r="GH262" s="336"/>
      <c r="GI262" s="336"/>
      <c r="GJ262" s="336"/>
      <c r="GK262" s="336"/>
      <c r="GL262" s="336"/>
      <c r="GM262" s="336"/>
      <c r="GN262" s="336"/>
      <c r="GO262" s="336"/>
      <c r="GP262" s="336"/>
      <c r="GQ262" s="336"/>
      <c r="GR262" s="336"/>
      <c r="GS262" s="336"/>
      <c r="GT262" s="336"/>
      <c r="GU262" s="336"/>
      <c r="GV262" s="336"/>
      <c r="GW262" s="336"/>
      <c r="GX262" s="336"/>
      <c r="GY262" s="336"/>
      <c r="GZ262" s="336"/>
      <c r="HA262" s="336"/>
      <c r="HB262" s="336"/>
      <c r="HC262" s="336"/>
      <c r="HD262" s="336"/>
      <c r="HE262" s="336"/>
      <c r="HF262" s="336"/>
      <c r="HG262" s="336"/>
      <c r="HH262" s="336"/>
      <c r="HI262" s="336"/>
      <c r="HJ262" s="336"/>
      <c r="HK262" s="336"/>
      <c r="HL262" s="336"/>
      <c r="HM262" s="336"/>
      <c r="HN262" s="336"/>
      <c r="HO262" s="336"/>
      <c r="HP262" s="336"/>
      <c r="HQ262" s="336"/>
      <c r="HR262" s="336"/>
      <c r="HS262" s="336"/>
      <c r="HT262" s="336"/>
      <c r="HU262" s="336"/>
      <c r="HV262" s="336"/>
      <c r="HW262" s="336"/>
      <c r="HX262" s="336"/>
      <c r="HY262" s="336"/>
      <c r="HZ262" s="336"/>
      <c r="IA262" s="336"/>
      <c r="IB262" s="336"/>
      <c r="IC262" s="336"/>
      <c r="ID262" s="336"/>
      <c r="IE262" s="336"/>
      <c r="IF262" s="336"/>
      <c r="IG262" s="336"/>
      <c r="IH262" s="336"/>
      <c r="II262" s="336"/>
      <c r="IJ262" s="336"/>
      <c r="IK262" s="336"/>
      <c r="IL262" s="336"/>
      <c r="IM262" s="336"/>
      <c r="IN262" s="336"/>
      <c r="IO262" s="336"/>
      <c r="IP262" s="336"/>
      <c r="IQ262" s="336"/>
      <c r="IR262" s="336"/>
      <c r="IS262" s="336"/>
      <c r="IT262" s="336"/>
      <c r="IU262" s="336"/>
      <c r="IV262" s="336"/>
      <c r="IW262" s="336"/>
      <c r="IX262" s="336"/>
      <c r="IY262" s="336"/>
      <c r="IZ262" s="462"/>
      <c r="JA262" s="462"/>
      <c r="JB262" s="462"/>
      <c r="JC262" s="462"/>
      <c r="JD262" s="462"/>
      <c r="JE262" s="462"/>
      <c r="JF262" s="462"/>
      <c r="JG262" s="462"/>
      <c r="JH262" s="462"/>
      <c r="JI262" s="462"/>
      <c r="JJ262" s="462"/>
      <c r="JK262" s="462"/>
      <c r="JL262" s="462"/>
      <c r="JM262" s="462"/>
      <c r="JN262" s="462"/>
      <c r="JO262" s="462"/>
      <c r="JP262" s="462"/>
      <c r="JQ262" s="462"/>
      <c r="JR262" s="462"/>
      <c r="JS262" s="462"/>
      <c r="JT262" s="462"/>
      <c r="JU262" s="462"/>
      <c r="JV262" s="462"/>
      <c r="JW262" s="462"/>
      <c r="JX262" s="462"/>
      <c r="JY262" s="462"/>
      <c r="JZ262" s="462"/>
      <c r="KA262" s="462"/>
      <c r="KB262" s="462"/>
      <c r="KC262" s="462"/>
      <c r="KD262" s="462"/>
      <c r="KE262" s="462"/>
      <c r="KF262" s="462"/>
      <c r="KG262" s="462"/>
      <c r="KH262" s="336"/>
      <c r="KI262" s="336"/>
      <c r="KJ262" s="336"/>
      <c r="KK262" s="336"/>
      <c r="KL262" s="336"/>
      <c r="KM262" s="336"/>
      <c r="KN262" s="336"/>
      <c r="KO262" s="336"/>
      <c r="KP262" s="336"/>
      <c r="KQ262" s="336"/>
      <c r="KR262" s="336"/>
      <c r="KS262" s="336"/>
      <c r="KT262" s="336"/>
      <c r="KU262" s="336"/>
      <c r="KV262" s="336"/>
      <c r="KW262" s="336"/>
      <c r="KX262" s="336"/>
      <c r="KY262" s="336"/>
      <c r="KZ262" s="336"/>
      <c r="LA262" s="336"/>
      <c r="LB262" s="336"/>
      <c r="LC262" s="336"/>
      <c r="LD262" s="336"/>
      <c r="LE262" s="336"/>
      <c r="LF262" s="336"/>
      <c r="LG262" s="336"/>
      <c r="LH262" s="336"/>
      <c r="LI262" s="336"/>
      <c r="LJ262" s="336"/>
      <c r="LK262" s="336"/>
      <c r="LL262" s="336"/>
      <c r="LM262" s="336"/>
      <c r="LN262" s="336"/>
      <c r="LO262" s="336"/>
      <c r="LP262" s="336"/>
      <c r="LQ262" s="336"/>
      <c r="LR262" s="336"/>
      <c r="LS262" s="336"/>
      <c r="LT262" s="336"/>
      <c r="LU262" s="336"/>
      <c r="LV262" s="336"/>
      <c r="LW262" s="336"/>
      <c r="LX262" s="336"/>
      <c r="LY262" s="336"/>
      <c r="LZ262" s="336"/>
      <c r="MA262" s="336"/>
      <c r="MB262" s="336"/>
      <c r="MC262" s="336"/>
      <c r="MD262" s="336"/>
      <c r="ME262" s="336"/>
      <c r="MF262" s="336"/>
      <c r="MG262" s="336"/>
      <c r="MH262" s="336"/>
      <c r="MI262" s="336"/>
      <c r="MJ262" s="336"/>
      <c r="MK262" s="336"/>
      <c r="ML262" s="336"/>
      <c r="MM262" s="336"/>
      <c r="MN262" s="336"/>
      <c r="MO262" s="336"/>
      <c r="MP262" s="336"/>
      <c r="MQ262" s="336"/>
      <c r="MR262" s="336"/>
      <c r="MS262" s="336"/>
      <c r="MT262" s="336"/>
      <c r="MU262" s="336"/>
      <c r="MV262" s="336"/>
      <c r="MW262" s="336"/>
      <c r="MX262" s="336"/>
      <c r="MY262" s="336"/>
      <c r="MZ262" s="336"/>
      <c r="NA262" s="336"/>
      <c r="NB262" s="336"/>
      <c r="NC262" s="336"/>
      <c r="ND262" s="336"/>
      <c r="NE262" s="336"/>
      <c r="NF262" s="336"/>
      <c r="NG262" s="336"/>
      <c r="NH262" s="336"/>
      <c r="NI262" s="336"/>
      <c r="NJ262" s="336"/>
      <c r="NK262" s="336"/>
      <c r="NL262" s="336"/>
      <c r="NM262" s="336"/>
      <c r="NN262" s="336"/>
      <c r="NO262" s="336"/>
      <c r="NP262" s="336"/>
      <c r="NQ262" s="336"/>
      <c r="NR262" s="336"/>
      <c r="NS262" s="336"/>
      <c r="NT262" s="336"/>
      <c r="NU262" s="336"/>
      <c r="NV262" s="336"/>
      <c r="NW262" s="336"/>
      <c r="NX262" s="336"/>
      <c r="NY262" s="336"/>
      <c r="NZ262" s="336"/>
      <c r="OA262" s="336"/>
      <c r="OB262" s="336"/>
      <c r="OC262" s="336"/>
      <c r="OD262" s="336"/>
      <c r="OE262" s="336"/>
      <c r="OF262" s="336"/>
      <c r="OG262" s="336"/>
      <c r="OH262" s="336"/>
      <c r="OI262" s="336"/>
      <c r="OJ262" s="336"/>
      <c r="OK262" s="336"/>
      <c r="OL262" s="336"/>
      <c r="OM262" s="336"/>
      <c r="ON262" s="336"/>
      <c r="OO262" s="336"/>
      <c r="OP262" s="336"/>
      <c r="OQ262" s="336"/>
      <c r="OR262" s="336"/>
      <c r="OS262" s="336"/>
      <c r="OT262" s="336"/>
      <c r="OU262" s="336"/>
      <c r="OV262" s="336"/>
      <c r="OW262" s="336"/>
      <c r="OX262" s="336"/>
      <c r="OY262" s="336"/>
      <c r="OZ262" s="336"/>
      <c r="PA262" s="336"/>
      <c r="PB262" s="336"/>
      <c r="PC262" s="336"/>
      <c r="PD262" s="336"/>
      <c r="PE262" s="336"/>
      <c r="PF262" s="336"/>
      <c r="PG262" s="336"/>
      <c r="PH262" s="336"/>
      <c r="PI262" s="336"/>
      <c r="PJ262" s="336"/>
      <c r="PK262" s="336"/>
      <c r="PL262" s="336"/>
      <c r="PM262" s="336"/>
      <c r="PN262" s="336"/>
      <c r="PO262" s="336"/>
      <c r="PP262" s="336"/>
      <c r="PQ262" s="336"/>
      <c r="PR262" s="336"/>
      <c r="PS262" s="336"/>
      <c r="PT262" s="336"/>
      <c r="PU262" s="336"/>
      <c r="PV262" s="336"/>
      <c r="PW262" s="336"/>
      <c r="PX262" s="336"/>
      <c r="PY262" s="336"/>
      <c r="PZ262" s="336"/>
      <c r="QA262" s="336"/>
      <c r="QB262" s="336"/>
      <c r="QC262" s="336"/>
      <c r="QD262" s="336"/>
      <c r="QE262" s="336"/>
      <c r="QF262" s="336"/>
      <c r="QG262" s="336"/>
      <c r="QH262" s="336"/>
      <c r="QI262" s="336"/>
      <c r="QJ262" s="336"/>
      <c r="QK262" s="336"/>
      <c r="QL262" s="336"/>
      <c r="QM262" s="336"/>
      <c r="QN262" s="336"/>
      <c r="QO262" s="336"/>
      <c r="QP262" s="336"/>
      <c r="QQ262" s="336"/>
      <c r="QR262" s="336"/>
      <c r="QS262" s="336"/>
      <c r="QT262" s="336"/>
      <c r="QU262" s="336"/>
      <c r="QV262" s="336"/>
      <c r="QW262" s="336"/>
      <c r="QX262" s="336"/>
      <c r="QY262" s="336"/>
      <c r="QZ262" s="336"/>
      <c r="RA262" s="336"/>
      <c r="RB262" s="336"/>
      <c r="RC262" s="336"/>
      <c r="RD262" s="336"/>
      <c r="RE262" s="336"/>
      <c r="RF262" s="336"/>
      <c r="RG262" s="336"/>
      <c r="RH262" s="336"/>
      <c r="RI262" s="336"/>
      <c r="RJ262" s="336"/>
      <c r="RK262" s="336"/>
      <c r="RL262" s="336"/>
      <c r="RM262" s="336"/>
      <c r="RN262" s="336"/>
      <c r="RO262" s="336"/>
      <c r="RP262" s="336"/>
      <c r="RQ262" s="336"/>
      <c r="RR262" s="336"/>
      <c r="RS262" s="336"/>
      <c r="RT262" s="336"/>
      <c r="RU262" s="336"/>
      <c r="RV262" s="336"/>
      <c r="RW262" s="336"/>
      <c r="RX262" s="336"/>
      <c r="RY262" s="336"/>
      <c r="RZ262" s="336"/>
      <c r="SA262" s="336"/>
      <c r="SB262" s="336"/>
      <c r="SC262" s="336"/>
      <c r="SD262" s="336"/>
      <c r="SE262" s="336"/>
      <c r="SF262" s="336"/>
      <c r="SG262" s="336"/>
      <c r="SH262" s="336"/>
      <c r="SI262" s="336"/>
      <c r="SJ262" s="336"/>
      <c r="SK262" s="336"/>
      <c r="SL262" s="336"/>
      <c r="SM262" s="336"/>
      <c r="SN262" s="336"/>
      <c r="SO262" s="336"/>
      <c r="SP262" s="336"/>
      <c r="SQ262" s="336"/>
      <c r="SR262" s="336"/>
      <c r="SS262" s="336"/>
    </row>
    <row r="263" spans="1:513" s="481" customFormat="1" ht="15" hidden="1" customHeight="1">
      <c r="A263" s="478"/>
      <c r="B263" s="478"/>
      <c r="C263" s="1048">
        <f t="shared" si="44"/>
        <v>0</v>
      </c>
      <c r="D263" s="1048"/>
      <c r="E263" s="1048"/>
      <c r="F263" s="1048"/>
      <c r="G263" s="1048"/>
      <c r="H263" s="1048"/>
      <c r="I263" s="482" t="str">
        <f>+I237</f>
        <v>Und</v>
      </c>
      <c r="J263" s="478"/>
      <c r="K263" s="478"/>
      <c r="L263" s="478"/>
      <c r="M263" s="478" t="s">
        <v>4508</v>
      </c>
      <c r="N263" s="1051">
        <f>+N237</f>
        <v>0</v>
      </c>
      <c r="O263" s="1051"/>
      <c r="P263" s="1051"/>
      <c r="Q263" s="1051"/>
      <c r="R263" s="1051"/>
      <c r="S263" s="1051"/>
      <c r="T263" s="1051"/>
      <c r="U263" s="484" t="str">
        <f>+T237</f>
        <v>/Und</v>
      </c>
      <c r="V263" s="478"/>
      <c r="W263" s="478"/>
      <c r="X263" s="478"/>
      <c r="Y263" s="478"/>
      <c r="Z263" s="483"/>
      <c r="AA263" s="478"/>
      <c r="AB263" s="1050"/>
      <c r="AC263" s="1050"/>
      <c r="AD263" s="1058"/>
      <c r="AE263" s="1058"/>
      <c r="AF263" s="478"/>
      <c r="AG263" s="478"/>
      <c r="AH263" s="478"/>
      <c r="AI263" s="478"/>
      <c r="AJ263" s="478"/>
      <c r="AK263" s="478"/>
      <c r="AL263" s="478"/>
      <c r="AM263" s="484" t="s">
        <v>4426</v>
      </c>
      <c r="AN263" s="484"/>
      <c r="AO263" s="1051">
        <f>ROUND(C263*N263,1)</f>
        <v>0</v>
      </c>
      <c r="AP263" s="1051"/>
      <c r="AQ263" s="1051"/>
      <c r="AR263" s="1051"/>
      <c r="AS263" s="1051"/>
      <c r="AT263" s="1051"/>
      <c r="AU263" s="1051"/>
      <c r="AV263" s="1051"/>
      <c r="AW263" s="336"/>
      <c r="AX263" s="336"/>
      <c r="AY263" s="336"/>
      <c r="AZ263" s="336"/>
      <c r="BA263" s="336"/>
      <c r="BB263" s="336"/>
      <c r="BC263" s="336"/>
      <c r="BD263" s="336"/>
      <c r="BE263" s="336"/>
      <c r="BF263" s="336"/>
      <c r="BG263" s="336"/>
      <c r="BH263" s="336"/>
      <c r="BI263" s="336"/>
      <c r="BJ263" s="336"/>
      <c r="BK263" s="336"/>
      <c r="BL263" s="336"/>
      <c r="BM263" s="336"/>
      <c r="BN263" s="336"/>
      <c r="BO263" s="336"/>
      <c r="BP263" s="336"/>
      <c r="BQ263" s="336"/>
      <c r="BR263" s="336"/>
      <c r="BS263" s="336"/>
      <c r="BT263" s="336"/>
      <c r="BU263" s="336"/>
      <c r="BV263" s="336"/>
      <c r="BW263" s="336"/>
      <c r="BX263" s="336"/>
      <c r="BY263" s="336"/>
      <c r="BZ263" s="336"/>
      <c r="CA263" s="336"/>
      <c r="CB263" s="336"/>
      <c r="CC263" s="336"/>
      <c r="CD263" s="336"/>
      <c r="CE263" s="336"/>
      <c r="CF263" s="336"/>
      <c r="CG263" s="336"/>
      <c r="CH263" s="336"/>
      <c r="CI263" s="336"/>
      <c r="CJ263" s="336"/>
      <c r="CK263" s="336"/>
      <c r="CL263" s="336"/>
      <c r="CM263" s="336"/>
      <c r="CN263" s="336"/>
      <c r="CO263" s="336"/>
      <c r="CP263" s="336"/>
      <c r="CQ263" s="336"/>
      <c r="CR263" s="336"/>
      <c r="CS263" s="336"/>
      <c r="CT263" s="336"/>
      <c r="CU263" s="336"/>
      <c r="CV263" s="336"/>
      <c r="CW263" s="336"/>
      <c r="CX263" s="336"/>
      <c r="CY263" s="336"/>
      <c r="CZ263" s="336"/>
      <c r="DA263" s="336"/>
      <c r="DB263" s="336"/>
      <c r="DC263" s="336"/>
      <c r="DD263" s="336"/>
      <c r="DE263" s="336"/>
      <c r="DF263" s="336"/>
      <c r="DG263" s="336"/>
      <c r="DH263" s="336"/>
      <c r="DI263" s="336"/>
      <c r="DJ263" s="336"/>
      <c r="DK263" s="336"/>
      <c r="DL263" s="336"/>
      <c r="DM263" s="336"/>
      <c r="DN263" s="336"/>
      <c r="DO263" s="336"/>
      <c r="DP263" s="336"/>
      <c r="DQ263" s="336"/>
      <c r="DR263" s="336"/>
      <c r="DS263" s="336"/>
      <c r="DT263" s="336"/>
      <c r="DU263" s="336"/>
      <c r="DV263" s="336"/>
      <c r="DW263" s="336"/>
      <c r="DX263" s="336"/>
      <c r="DY263" s="336"/>
      <c r="DZ263" s="336"/>
      <c r="EA263" s="336"/>
      <c r="EB263" s="336"/>
      <c r="EC263" s="336"/>
      <c r="ED263" s="336"/>
      <c r="EE263" s="336"/>
      <c r="EF263" s="336"/>
      <c r="EG263" s="336"/>
      <c r="EH263" s="336"/>
      <c r="EI263" s="336"/>
      <c r="EJ263" s="336"/>
      <c r="EK263" s="336"/>
      <c r="EL263" s="336"/>
      <c r="EM263" s="336"/>
      <c r="EN263" s="336"/>
      <c r="EO263" s="336"/>
      <c r="EP263" s="336"/>
      <c r="EQ263" s="336"/>
      <c r="ER263" s="336"/>
      <c r="ES263" s="336"/>
      <c r="ET263" s="336"/>
      <c r="EU263" s="336"/>
      <c r="EV263" s="336"/>
      <c r="EW263" s="336"/>
      <c r="EX263" s="336"/>
      <c r="EY263" s="336"/>
      <c r="EZ263" s="336"/>
      <c r="FA263" s="336"/>
      <c r="FB263" s="336"/>
      <c r="FC263" s="336"/>
      <c r="FD263" s="336"/>
      <c r="FE263" s="336"/>
      <c r="FF263" s="336"/>
      <c r="FG263" s="336"/>
      <c r="FH263" s="336"/>
      <c r="FI263" s="336"/>
      <c r="FJ263" s="336"/>
      <c r="FK263" s="336"/>
      <c r="FL263" s="336"/>
      <c r="FM263" s="336"/>
      <c r="FN263" s="336"/>
      <c r="FO263" s="336"/>
      <c r="FP263" s="336"/>
      <c r="FQ263" s="336"/>
      <c r="FR263" s="336"/>
      <c r="FS263" s="336"/>
      <c r="FT263" s="336"/>
      <c r="FU263" s="336"/>
      <c r="FV263" s="336"/>
      <c r="FW263" s="336"/>
      <c r="FX263" s="336"/>
      <c r="FY263" s="336"/>
      <c r="FZ263" s="336"/>
      <c r="GA263" s="336"/>
      <c r="GB263" s="336"/>
      <c r="GC263" s="336"/>
      <c r="GD263" s="336"/>
      <c r="GE263" s="336"/>
      <c r="GF263" s="336"/>
      <c r="GG263" s="336"/>
      <c r="GH263" s="336"/>
      <c r="GI263" s="336"/>
      <c r="GJ263" s="336"/>
      <c r="GK263" s="336"/>
      <c r="GL263" s="336"/>
      <c r="GM263" s="336"/>
      <c r="GN263" s="336"/>
      <c r="GO263" s="336"/>
      <c r="GP263" s="336"/>
      <c r="GQ263" s="336"/>
      <c r="GR263" s="336"/>
      <c r="GS263" s="336"/>
      <c r="GT263" s="336"/>
      <c r="GU263" s="336"/>
      <c r="GV263" s="336"/>
      <c r="GW263" s="336"/>
      <c r="GX263" s="336"/>
      <c r="GY263" s="336"/>
      <c r="GZ263" s="336"/>
      <c r="HA263" s="336"/>
      <c r="HB263" s="336"/>
      <c r="HC263" s="336"/>
      <c r="HD263" s="336"/>
      <c r="HE263" s="336"/>
      <c r="HF263" s="336"/>
      <c r="HG263" s="336"/>
      <c r="HH263" s="336"/>
      <c r="HI263" s="336"/>
      <c r="HJ263" s="336"/>
      <c r="HK263" s="336"/>
      <c r="HL263" s="336"/>
      <c r="HM263" s="336"/>
      <c r="HN263" s="336"/>
      <c r="HO263" s="336"/>
      <c r="HP263" s="336"/>
      <c r="HQ263" s="336"/>
      <c r="HR263" s="336"/>
      <c r="HS263" s="336"/>
      <c r="HT263" s="336"/>
      <c r="HU263" s="336"/>
      <c r="HV263" s="336"/>
      <c r="HW263" s="336"/>
      <c r="HX263" s="336"/>
      <c r="HY263" s="336"/>
      <c r="HZ263" s="336"/>
      <c r="IA263" s="336"/>
      <c r="IB263" s="336"/>
      <c r="IC263" s="336"/>
      <c r="ID263" s="336"/>
      <c r="IE263" s="336"/>
      <c r="IF263" s="336"/>
      <c r="IG263" s="336"/>
      <c r="IH263" s="336"/>
      <c r="II263" s="336"/>
      <c r="IJ263" s="336"/>
      <c r="IK263" s="336"/>
      <c r="IL263" s="336"/>
      <c r="IM263" s="336"/>
      <c r="IN263" s="336"/>
      <c r="IO263" s="336"/>
      <c r="IP263" s="336"/>
      <c r="IQ263" s="336"/>
      <c r="IR263" s="336"/>
      <c r="IS263" s="336"/>
      <c r="IT263" s="336"/>
      <c r="IU263" s="336"/>
      <c r="IV263" s="336"/>
      <c r="IW263" s="336"/>
      <c r="IX263" s="336"/>
      <c r="IY263" s="336"/>
      <c r="IZ263" s="462"/>
      <c r="JA263" s="462"/>
      <c r="JB263" s="462"/>
      <c r="JC263" s="462"/>
      <c r="JD263" s="462"/>
      <c r="JE263" s="462"/>
      <c r="JF263" s="462"/>
      <c r="JG263" s="462"/>
      <c r="JH263" s="462"/>
      <c r="JI263" s="462"/>
      <c r="JJ263" s="462"/>
      <c r="JK263" s="462"/>
      <c r="JL263" s="462"/>
      <c r="JM263" s="462"/>
      <c r="JN263" s="462"/>
      <c r="JO263" s="462"/>
      <c r="JP263" s="462"/>
      <c r="JQ263" s="462"/>
      <c r="JR263" s="462"/>
      <c r="JS263" s="462"/>
      <c r="JT263" s="462"/>
      <c r="JU263" s="462"/>
      <c r="JV263" s="462"/>
      <c r="JW263" s="462"/>
      <c r="JX263" s="462"/>
      <c r="JY263" s="462"/>
      <c r="JZ263" s="462"/>
      <c r="KA263" s="462"/>
      <c r="KB263" s="462"/>
      <c r="KC263" s="462"/>
      <c r="KD263" s="462"/>
      <c r="KE263" s="462"/>
      <c r="KF263" s="462"/>
      <c r="KG263" s="462"/>
      <c r="KH263" s="336"/>
      <c r="KI263" s="336"/>
      <c r="KJ263" s="336"/>
      <c r="KK263" s="336"/>
      <c r="KL263" s="336"/>
      <c r="KM263" s="336"/>
      <c r="KN263" s="336"/>
      <c r="KO263" s="336"/>
      <c r="KP263" s="336"/>
      <c r="KQ263" s="336"/>
      <c r="KR263" s="336"/>
      <c r="KS263" s="336"/>
      <c r="KT263" s="336"/>
      <c r="KU263" s="336"/>
      <c r="KV263" s="336"/>
      <c r="KW263" s="336"/>
      <c r="KX263" s="336"/>
      <c r="KY263" s="336"/>
      <c r="KZ263" s="336"/>
      <c r="LA263" s="336"/>
      <c r="LB263" s="336"/>
      <c r="LC263" s="336"/>
      <c r="LD263" s="336"/>
      <c r="LE263" s="336"/>
      <c r="LF263" s="336"/>
      <c r="LG263" s="336"/>
      <c r="LH263" s="336"/>
      <c r="LI263" s="336"/>
      <c r="LJ263" s="336"/>
      <c r="LK263" s="336"/>
      <c r="LL263" s="336"/>
      <c r="LM263" s="336"/>
      <c r="LN263" s="336"/>
      <c r="LO263" s="336"/>
      <c r="LP263" s="336"/>
      <c r="LQ263" s="336"/>
      <c r="LR263" s="336"/>
      <c r="LS263" s="336"/>
      <c r="LT263" s="336"/>
      <c r="LU263" s="336"/>
      <c r="LV263" s="336"/>
      <c r="LW263" s="336"/>
      <c r="LX263" s="336"/>
      <c r="LY263" s="336"/>
      <c r="LZ263" s="336"/>
      <c r="MA263" s="336"/>
      <c r="MB263" s="336"/>
      <c r="MC263" s="336"/>
      <c r="MD263" s="336"/>
      <c r="ME263" s="336"/>
      <c r="MF263" s="336"/>
      <c r="MG263" s="336"/>
      <c r="MH263" s="336"/>
      <c r="MI263" s="336"/>
      <c r="MJ263" s="336"/>
      <c r="MK263" s="336"/>
      <c r="ML263" s="336"/>
      <c r="MM263" s="336"/>
      <c r="MN263" s="336"/>
      <c r="MO263" s="336"/>
      <c r="MP263" s="336"/>
      <c r="MQ263" s="336"/>
      <c r="MR263" s="336"/>
      <c r="MS263" s="336"/>
      <c r="MT263" s="336"/>
      <c r="MU263" s="336"/>
      <c r="MV263" s="336"/>
      <c r="MW263" s="336"/>
      <c r="MX263" s="336"/>
      <c r="MY263" s="336"/>
      <c r="MZ263" s="336"/>
      <c r="NA263" s="336"/>
      <c r="NB263" s="336"/>
      <c r="NC263" s="336"/>
      <c r="ND263" s="336"/>
      <c r="NE263" s="336"/>
      <c r="NF263" s="336"/>
      <c r="NG263" s="336"/>
      <c r="NH263" s="336"/>
      <c r="NI263" s="336"/>
      <c r="NJ263" s="336"/>
      <c r="NK263" s="336"/>
      <c r="NL263" s="336"/>
      <c r="NM263" s="336"/>
      <c r="NN263" s="336"/>
      <c r="NO263" s="336"/>
      <c r="NP263" s="336"/>
      <c r="NQ263" s="336"/>
      <c r="NR263" s="336"/>
      <c r="NS263" s="336"/>
      <c r="NT263" s="336"/>
      <c r="NU263" s="336"/>
      <c r="NV263" s="336"/>
      <c r="NW263" s="336"/>
      <c r="NX263" s="336"/>
      <c r="NY263" s="336"/>
      <c r="NZ263" s="336"/>
      <c r="OA263" s="336"/>
      <c r="OB263" s="336"/>
      <c r="OC263" s="336"/>
      <c r="OD263" s="336"/>
      <c r="OE263" s="336"/>
      <c r="OF263" s="336"/>
      <c r="OG263" s="336"/>
      <c r="OH263" s="336"/>
      <c r="OI263" s="336"/>
      <c r="OJ263" s="336"/>
      <c r="OK263" s="336"/>
      <c r="OL263" s="336"/>
      <c r="OM263" s="336"/>
      <c r="ON263" s="336"/>
      <c r="OO263" s="336"/>
      <c r="OP263" s="336"/>
      <c r="OQ263" s="336"/>
      <c r="OR263" s="336"/>
      <c r="OS263" s="336"/>
      <c r="OT263" s="336"/>
      <c r="OU263" s="336"/>
      <c r="OV263" s="336"/>
      <c r="OW263" s="336"/>
      <c r="OX263" s="336"/>
      <c r="OY263" s="336"/>
      <c r="OZ263" s="336"/>
      <c r="PA263" s="336"/>
      <c r="PB263" s="336"/>
      <c r="PC263" s="336"/>
      <c r="PD263" s="336"/>
      <c r="PE263" s="336"/>
      <c r="PF263" s="336"/>
      <c r="PG263" s="336"/>
      <c r="PH263" s="336"/>
      <c r="PI263" s="336"/>
      <c r="PJ263" s="336"/>
      <c r="PK263" s="336"/>
      <c r="PL263" s="336"/>
      <c r="PM263" s="336"/>
      <c r="PN263" s="336"/>
      <c r="PO263" s="336"/>
      <c r="PP263" s="336"/>
      <c r="PQ263" s="336"/>
      <c r="PR263" s="336"/>
      <c r="PS263" s="336"/>
      <c r="PT263" s="336"/>
      <c r="PU263" s="336"/>
      <c r="PV263" s="336"/>
      <c r="PW263" s="336"/>
      <c r="PX263" s="336"/>
      <c r="PY263" s="336"/>
      <c r="PZ263" s="336"/>
      <c r="QA263" s="336"/>
      <c r="QB263" s="336"/>
      <c r="QC263" s="336"/>
      <c r="QD263" s="336"/>
      <c r="QE263" s="336"/>
      <c r="QF263" s="336"/>
      <c r="QG263" s="336"/>
      <c r="QH263" s="336"/>
      <c r="QI263" s="336"/>
      <c r="QJ263" s="336"/>
      <c r="QK263" s="336"/>
      <c r="QL263" s="336"/>
      <c r="QM263" s="336"/>
      <c r="QN263" s="336"/>
      <c r="QO263" s="336"/>
      <c r="QP263" s="336"/>
      <c r="QQ263" s="336"/>
      <c r="QR263" s="336"/>
      <c r="QS263" s="336"/>
      <c r="QT263" s="336"/>
      <c r="QU263" s="336"/>
      <c r="QV263" s="336"/>
      <c r="QW263" s="336"/>
      <c r="QX263" s="336"/>
      <c r="QY263" s="336"/>
      <c r="QZ263" s="336"/>
      <c r="RA263" s="336"/>
      <c r="RB263" s="336"/>
      <c r="RC263" s="336"/>
      <c r="RD263" s="336"/>
      <c r="RE263" s="336"/>
      <c r="RF263" s="336"/>
      <c r="RG263" s="336"/>
      <c r="RH263" s="336"/>
      <c r="RI263" s="336"/>
      <c r="RJ263" s="336"/>
      <c r="RK263" s="336"/>
      <c r="RL263" s="336"/>
      <c r="RM263" s="336"/>
      <c r="RN263" s="336"/>
      <c r="RO263" s="336"/>
      <c r="RP263" s="336"/>
      <c r="RQ263" s="336"/>
      <c r="RR263" s="336"/>
      <c r="RS263" s="336"/>
      <c r="RT263" s="336"/>
      <c r="RU263" s="336"/>
      <c r="RV263" s="336"/>
      <c r="RW263" s="336"/>
      <c r="RX263" s="336"/>
      <c r="RY263" s="336"/>
      <c r="RZ263" s="336"/>
      <c r="SA263" s="336"/>
      <c r="SB263" s="336"/>
      <c r="SC263" s="336"/>
      <c r="SD263" s="336"/>
      <c r="SE263" s="336"/>
      <c r="SF263" s="336"/>
      <c r="SG263" s="336"/>
      <c r="SH263" s="336"/>
      <c r="SI263" s="336"/>
      <c r="SJ263" s="336"/>
      <c r="SK263" s="336"/>
      <c r="SL263" s="336"/>
      <c r="SM263" s="336"/>
      <c r="SN263" s="336"/>
      <c r="SO263" s="336"/>
      <c r="SP263" s="336"/>
      <c r="SQ263" s="336"/>
      <c r="SR263" s="336"/>
      <c r="SS263" s="336"/>
    </row>
    <row r="264" spans="1:513" s="481" customFormat="1" hidden="1">
      <c r="A264" s="478"/>
      <c r="B264" s="478"/>
      <c r="C264" s="482" t="str">
        <f t="shared" si="44"/>
        <v>TOTAL</v>
      </c>
      <c r="D264" s="482"/>
      <c r="E264" s="482"/>
      <c r="F264" s="482"/>
      <c r="G264" s="482"/>
      <c r="H264" s="482"/>
      <c r="I264" s="482"/>
      <c r="J264" s="478"/>
      <c r="K264" s="478"/>
      <c r="L264" s="478"/>
      <c r="M264" s="478"/>
      <c r="N264" s="483"/>
      <c r="O264" s="500"/>
      <c r="P264" s="500"/>
      <c r="Q264" s="501"/>
      <c r="R264" s="502"/>
      <c r="S264" s="502"/>
      <c r="T264" s="502"/>
      <c r="U264" s="484"/>
      <c r="V264" s="478"/>
      <c r="W264" s="478"/>
      <c r="X264" s="478"/>
      <c r="Y264" s="478"/>
      <c r="Z264" s="483"/>
      <c r="AA264" s="478"/>
      <c r="AB264" s="485"/>
      <c r="AC264" s="485"/>
      <c r="AD264" s="480"/>
      <c r="AE264" s="480"/>
      <c r="AF264" s="478"/>
      <c r="AG264" s="478"/>
      <c r="AH264" s="478"/>
      <c r="AI264" s="478"/>
      <c r="AJ264" s="478"/>
      <c r="AK264" s="478"/>
      <c r="AL264" s="478"/>
      <c r="AM264" s="484" t="s">
        <v>4426</v>
      </c>
      <c r="AN264" s="484"/>
      <c r="AO264" s="1051">
        <f>SUM(AO257:AV263)</f>
        <v>0</v>
      </c>
      <c r="AP264" s="1051"/>
      <c r="AQ264" s="1051"/>
      <c r="AR264" s="1051"/>
      <c r="AS264" s="1051"/>
      <c r="AT264" s="1051"/>
      <c r="AU264" s="1051"/>
      <c r="AV264" s="1051"/>
      <c r="AW264" s="336"/>
      <c r="AX264" s="336"/>
      <c r="AY264" s="336"/>
      <c r="AZ264" s="336"/>
      <c r="BA264" s="336"/>
      <c r="BB264" s="336"/>
      <c r="BC264" s="336"/>
      <c r="BD264" s="336"/>
      <c r="BE264" s="336"/>
      <c r="BF264" s="336"/>
      <c r="BG264" s="336"/>
      <c r="BH264" s="336"/>
      <c r="BI264" s="336"/>
      <c r="BJ264" s="336"/>
      <c r="BK264" s="336"/>
      <c r="BL264" s="336"/>
      <c r="BM264" s="336"/>
      <c r="BN264" s="336"/>
      <c r="BO264" s="336"/>
      <c r="BP264" s="336"/>
      <c r="BQ264" s="336"/>
      <c r="BR264" s="336"/>
      <c r="BS264" s="336"/>
      <c r="BT264" s="336"/>
      <c r="BU264" s="336"/>
      <c r="BV264" s="336"/>
      <c r="BW264" s="336"/>
      <c r="BX264" s="336"/>
      <c r="BY264" s="336"/>
      <c r="BZ264" s="336"/>
      <c r="CA264" s="336"/>
      <c r="CB264" s="336"/>
      <c r="CC264" s="336"/>
      <c r="CD264" s="336"/>
      <c r="CE264" s="336"/>
      <c r="CF264" s="336"/>
      <c r="CG264" s="336"/>
      <c r="CH264" s="336"/>
      <c r="CI264" s="336"/>
      <c r="CJ264" s="336"/>
      <c r="CK264" s="336"/>
      <c r="CL264" s="336"/>
      <c r="CM264" s="336"/>
      <c r="CN264" s="336"/>
      <c r="CO264" s="336"/>
      <c r="CP264" s="336"/>
      <c r="CQ264" s="336"/>
      <c r="CR264" s="336"/>
      <c r="CS264" s="336"/>
      <c r="CT264" s="336"/>
      <c r="CU264" s="336"/>
      <c r="CV264" s="336"/>
      <c r="CW264" s="336"/>
      <c r="CX264" s="336"/>
      <c r="CY264" s="336"/>
      <c r="CZ264" s="336"/>
      <c r="DA264" s="336"/>
      <c r="DB264" s="336"/>
      <c r="DC264" s="336"/>
      <c r="DD264" s="336"/>
      <c r="DE264" s="336"/>
      <c r="DF264" s="336"/>
      <c r="DG264" s="336"/>
      <c r="DH264" s="336"/>
      <c r="DI264" s="336"/>
      <c r="DJ264" s="336"/>
      <c r="DK264" s="336"/>
      <c r="DL264" s="336"/>
      <c r="DM264" s="336"/>
      <c r="DN264" s="336"/>
      <c r="DO264" s="336"/>
      <c r="DP264" s="336"/>
      <c r="DQ264" s="336"/>
      <c r="DR264" s="336"/>
      <c r="DS264" s="336"/>
      <c r="DT264" s="336"/>
      <c r="DU264" s="336"/>
      <c r="DV264" s="336"/>
      <c r="DW264" s="336"/>
      <c r="DX264" s="336"/>
      <c r="DY264" s="336"/>
      <c r="DZ264" s="336"/>
      <c r="EA264" s="336"/>
      <c r="EB264" s="336"/>
      <c r="EC264" s="336"/>
      <c r="ED264" s="336"/>
      <c r="EE264" s="336"/>
      <c r="EF264" s="336"/>
      <c r="EG264" s="336"/>
      <c r="EH264" s="336"/>
      <c r="EI264" s="336"/>
      <c r="EJ264" s="336"/>
      <c r="EK264" s="336"/>
      <c r="EL264" s="336"/>
      <c r="EM264" s="336"/>
      <c r="EN264" s="336"/>
      <c r="EO264" s="336"/>
      <c r="EP264" s="336"/>
      <c r="EQ264" s="336"/>
      <c r="ER264" s="336"/>
      <c r="ES264" s="336"/>
      <c r="ET264" s="336"/>
      <c r="EU264" s="336"/>
      <c r="EV264" s="336"/>
      <c r="EW264" s="336"/>
      <c r="EX264" s="336"/>
      <c r="EY264" s="336"/>
      <c r="EZ264" s="336"/>
      <c r="FA264" s="336"/>
      <c r="FB264" s="336"/>
      <c r="FC264" s="336"/>
      <c r="FD264" s="336"/>
      <c r="FE264" s="336"/>
      <c r="FF264" s="336"/>
      <c r="FG264" s="336"/>
      <c r="FH264" s="336"/>
      <c r="FI264" s="336"/>
      <c r="FJ264" s="336"/>
      <c r="FK264" s="336"/>
      <c r="FL264" s="336"/>
      <c r="FM264" s="336"/>
      <c r="FN264" s="336"/>
      <c r="FO264" s="336"/>
      <c r="FP264" s="336"/>
      <c r="FQ264" s="336"/>
      <c r="FR264" s="336"/>
      <c r="FS264" s="336"/>
      <c r="FT264" s="336"/>
      <c r="FU264" s="336"/>
      <c r="FV264" s="336"/>
      <c r="FW264" s="336"/>
      <c r="FX264" s="336"/>
      <c r="FY264" s="336"/>
      <c r="FZ264" s="336"/>
      <c r="GA264" s="336"/>
      <c r="GB264" s="336"/>
      <c r="GC264" s="336"/>
      <c r="GD264" s="336"/>
      <c r="GE264" s="336"/>
      <c r="GF264" s="336"/>
      <c r="GG264" s="336"/>
      <c r="GH264" s="336"/>
      <c r="GI264" s="336"/>
      <c r="GJ264" s="336"/>
      <c r="GK264" s="336"/>
      <c r="GL264" s="336"/>
      <c r="GM264" s="336"/>
      <c r="GN264" s="336"/>
      <c r="GO264" s="336"/>
      <c r="GP264" s="336"/>
      <c r="GQ264" s="336"/>
      <c r="GR264" s="336"/>
      <c r="GS264" s="336"/>
      <c r="GT264" s="336"/>
      <c r="GU264" s="336"/>
      <c r="GV264" s="336"/>
      <c r="GW264" s="336"/>
      <c r="GX264" s="336"/>
      <c r="GY264" s="336"/>
      <c r="GZ264" s="336"/>
      <c r="HA264" s="336"/>
      <c r="HB264" s="336"/>
      <c r="HC264" s="336"/>
      <c r="HD264" s="336"/>
      <c r="HE264" s="336"/>
      <c r="HF264" s="336"/>
      <c r="HG264" s="336"/>
      <c r="HH264" s="336"/>
      <c r="HI264" s="336"/>
      <c r="HJ264" s="336"/>
      <c r="HK264" s="336"/>
      <c r="HL264" s="336"/>
      <c r="HM264" s="336"/>
      <c r="HN264" s="336"/>
      <c r="HO264" s="336"/>
      <c r="HP264" s="336"/>
      <c r="HQ264" s="336"/>
      <c r="HR264" s="336"/>
      <c r="HS264" s="336"/>
      <c r="HT264" s="336"/>
      <c r="HU264" s="336"/>
      <c r="HV264" s="336"/>
      <c r="HW264" s="336"/>
      <c r="HX264" s="336"/>
      <c r="HY264" s="336"/>
      <c r="HZ264" s="336"/>
      <c r="IA264" s="336"/>
      <c r="IB264" s="336"/>
      <c r="IC264" s="336"/>
      <c r="ID264" s="336"/>
      <c r="IE264" s="336"/>
      <c r="IF264" s="336"/>
      <c r="IG264" s="336"/>
      <c r="IH264" s="336"/>
      <c r="II264" s="336"/>
      <c r="IJ264" s="336"/>
      <c r="IK264" s="336"/>
      <c r="IL264" s="336"/>
      <c r="IM264" s="336"/>
      <c r="IN264" s="336"/>
      <c r="IO264" s="336"/>
      <c r="IP264" s="336"/>
      <c r="IQ264" s="336"/>
      <c r="IR264" s="336"/>
      <c r="IS264" s="336"/>
      <c r="IT264" s="336"/>
      <c r="IU264" s="336"/>
      <c r="IV264" s="336"/>
      <c r="IW264" s="336"/>
      <c r="IX264" s="336"/>
      <c r="IY264" s="336"/>
      <c r="IZ264" s="462"/>
      <c r="JA264" s="462"/>
      <c r="JB264" s="462"/>
      <c r="JC264" s="462"/>
      <c r="JD264" s="462"/>
      <c r="JE264" s="462"/>
      <c r="JF264" s="462"/>
      <c r="JG264" s="462"/>
      <c r="JH264" s="462"/>
      <c r="JI264" s="462"/>
      <c r="JJ264" s="462"/>
      <c r="JK264" s="462"/>
      <c r="JL264" s="462"/>
      <c r="JM264" s="462"/>
      <c r="JN264" s="462"/>
      <c r="JO264" s="462"/>
      <c r="JP264" s="462"/>
      <c r="JQ264" s="462"/>
      <c r="JR264" s="462"/>
      <c r="JS264" s="462"/>
      <c r="JT264" s="462"/>
      <c r="JU264" s="462"/>
      <c r="JV264" s="462"/>
      <c r="JW264" s="462"/>
      <c r="JX264" s="462"/>
      <c r="JY264" s="462"/>
      <c r="JZ264" s="462"/>
      <c r="KA264" s="462"/>
      <c r="KB264" s="462"/>
      <c r="KC264" s="462"/>
      <c r="KD264" s="462"/>
      <c r="KE264" s="462"/>
      <c r="KF264" s="462"/>
      <c r="KG264" s="462"/>
      <c r="KH264" s="336"/>
      <c r="KI264" s="336"/>
      <c r="KJ264" s="336"/>
      <c r="KK264" s="336"/>
      <c r="KL264" s="336"/>
      <c r="KM264" s="336"/>
      <c r="KN264" s="336"/>
      <c r="KO264" s="336"/>
      <c r="KP264" s="336"/>
      <c r="KQ264" s="336"/>
      <c r="KR264" s="336"/>
      <c r="KS264" s="336"/>
      <c r="KT264" s="336"/>
      <c r="KU264" s="336"/>
      <c r="KV264" s="336"/>
      <c r="KW264" s="336"/>
      <c r="KX264" s="336"/>
      <c r="KY264" s="336"/>
      <c r="KZ264" s="336"/>
      <c r="LA264" s="336"/>
      <c r="LB264" s="336"/>
      <c r="LC264" s="336"/>
      <c r="LD264" s="336"/>
      <c r="LE264" s="336"/>
      <c r="LF264" s="336"/>
      <c r="LG264" s="336"/>
      <c r="LH264" s="336"/>
      <c r="LI264" s="336"/>
      <c r="LJ264" s="336"/>
      <c r="LK264" s="336"/>
      <c r="LL264" s="336"/>
      <c r="LM264" s="336"/>
      <c r="LN264" s="336"/>
      <c r="LO264" s="336"/>
      <c r="LP264" s="336"/>
      <c r="LQ264" s="336"/>
      <c r="LR264" s="336"/>
      <c r="LS264" s="336"/>
      <c r="LT264" s="336"/>
      <c r="LU264" s="336"/>
      <c r="LV264" s="336"/>
      <c r="LW264" s="336"/>
      <c r="LX264" s="336"/>
      <c r="LY264" s="336"/>
      <c r="LZ264" s="336"/>
      <c r="MA264" s="336"/>
      <c r="MB264" s="336"/>
      <c r="MC264" s="336"/>
      <c r="MD264" s="336"/>
      <c r="ME264" s="336"/>
      <c r="MF264" s="336"/>
      <c r="MG264" s="336"/>
      <c r="MH264" s="336"/>
      <c r="MI264" s="336"/>
      <c r="MJ264" s="336"/>
      <c r="MK264" s="336"/>
      <c r="ML264" s="336"/>
      <c r="MM264" s="336"/>
      <c r="MN264" s="336"/>
      <c r="MO264" s="336"/>
      <c r="MP264" s="336"/>
      <c r="MQ264" s="336"/>
      <c r="MR264" s="336"/>
      <c r="MS264" s="336"/>
      <c r="MT264" s="336"/>
      <c r="MU264" s="336"/>
      <c r="MV264" s="336"/>
      <c r="MW264" s="336"/>
      <c r="MX264" s="336"/>
      <c r="MY264" s="336"/>
      <c r="MZ264" s="336"/>
      <c r="NA264" s="336"/>
      <c r="NB264" s="336"/>
      <c r="NC264" s="336"/>
      <c r="ND264" s="336"/>
      <c r="NE264" s="336"/>
      <c r="NF264" s="336"/>
      <c r="NG264" s="336"/>
      <c r="NH264" s="336"/>
      <c r="NI264" s="336"/>
      <c r="NJ264" s="336"/>
      <c r="NK264" s="336"/>
      <c r="NL264" s="336"/>
      <c r="NM264" s="336"/>
      <c r="NN264" s="336"/>
      <c r="NO264" s="336"/>
      <c r="NP264" s="336"/>
      <c r="NQ264" s="336"/>
      <c r="NR264" s="336"/>
      <c r="NS264" s="336"/>
      <c r="NT264" s="336"/>
      <c r="NU264" s="336"/>
      <c r="NV264" s="336"/>
      <c r="NW264" s="336"/>
      <c r="NX264" s="336"/>
      <c r="NY264" s="336"/>
      <c r="NZ264" s="336"/>
      <c r="OA264" s="336"/>
      <c r="OB264" s="336"/>
      <c r="OC264" s="336"/>
      <c r="OD264" s="336"/>
      <c r="OE264" s="336"/>
      <c r="OF264" s="336"/>
      <c r="OG264" s="336"/>
      <c r="OH264" s="336"/>
      <c r="OI264" s="336"/>
      <c r="OJ264" s="336"/>
      <c r="OK264" s="336"/>
      <c r="OL264" s="336"/>
      <c r="OM264" s="336"/>
      <c r="ON264" s="336"/>
      <c r="OO264" s="336"/>
      <c r="OP264" s="336"/>
      <c r="OQ264" s="336"/>
      <c r="OR264" s="336"/>
      <c r="OS264" s="336"/>
      <c r="OT264" s="336"/>
      <c r="OU264" s="336"/>
      <c r="OV264" s="336"/>
      <c r="OW264" s="336"/>
      <c r="OX264" s="336"/>
      <c r="OY264" s="336"/>
      <c r="OZ264" s="336"/>
      <c r="PA264" s="336"/>
      <c r="PB264" s="336"/>
      <c r="PC264" s="336"/>
      <c r="PD264" s="336"/>
      <c r="PE264" s="336"/>
      <c r="PF264" s="336"/>
      <c r="PG264" s="336"/>
      <c r="PH264" s="336"/>
      <c r="PI264" s="336"/>
      <c r="PJ264" s="336"/>
      <c r="PK264" s="336"/>
      <c r="PL264" s="336"/>
      <c r="PM264" s="336"/>
      <c r="PN264" s="336"/>
      <c r="PO264" s="336"/>
      <c r="PP264" s="336"/>
      <c r="PQ264" s="336"/>
      <c r="PR264" s="336"/>
      <c r="PS264" s="336"/>
      <c r="PT264" s="336"/>
      <c r="PU264" s="336"/>
      <c r="PV264" s="336"/>
      <c r="PW264" s="336"/>
      <c r="PX264" s="336"/>
      <c r="PY264" s="336"/>
      <c r="PZ264" s="336"/>
      <c r="QA264" s="336"/>
      <c r="QB264" s="336"/>
      <c r="QC264" s="336"/>
      <c r="QD264" s="336"/>
      <c r="QE264" s="336"/>
      <c r="QF264" s="336"/>
      <c r="QG264" s="336"/>
      <c r="QH264" s="336"/>
      <c r="QI264" s="336"/>
      <c r="QJ264" s="336"/>
      <c r="QK264" s="336"/>
      <c r="QL264" s="336"/>
      <c r="QM264" s="336"/>
      <c r="QN264" s="336"/>
      <c r="QO264" s="336"/>
      <c r="QP264" s="336"/>
      <c r="QQ264" s="336"/>
      <c r="QR264" s="336"/>
      <c r="QS264" s="336"/>
      <c r="QT264" s="336"/>
      <c r="QU264" s="336"/>
      <c r="QV264" s="336"/>
      <c r="QW264" s="336"/>
      <c r="QX264" s="336"/>
      <c r="QY264" s="336"/>
      <c r="QZ264" s="336"/>
      <c r="RA264" s="336"/>
      <c r="RB264" s="336"/>
      <c r="RC264" s="336"/>
      <c r="RD264" s="336"/>
      <c r="RE264" s="336"/>
      <c r="RF264" s="336"/>
      <c r="RG264" s="336"/>
      <c r="RH264" s="336"/>
      <c r="RI264" s="336"/>
      <c r="RJ264" s="336"/>
      <c r="RK264" s="336"/>
      <c r="RL264" s="336"/>
      <c r="RM264" s="336"/>
      <c r="RN264" s="336"/>
      <c r="RO264" s="336"/>
      <c r="RP264" s="336"/>
      <c r="RQ264" s="336"/>
      <c r="RR264" s="336"/>
      <c r="RS264" s="336"/>
      <c r="RT264" s="336"/>
      <c r="RU264" s="336"/>
      <c r="RV264" s="336"/>
      <c r="RW264" s="336"/>
      <c r="RX264" s="336"/>
      <c r="RY264" s="336"/>
      <c r="RZ264" s="336"/>
      <c r="SA264" s="336"/>
      <c r="SB264" s="336"/>
      <c r="SC264" s="336"/>
      <c r="SD264" s="336"/>
      <c r="SE264" s="336"/>
      <c r="SF264" s="336"/>
      <c r="SG264" s="336"/>
      <c r="SH264" s="336"/>
      <c r="SI264" s="336"/>
      <c r="SJ264" s="336"/>
      <c r="SK264" s="336"/>
      <c r="SL264" s="336"/>
      <c r="SM264" s="336"/>
      <c r="SN264" s="336"/>
      <c r="SO264" s="336"/>
      <c r="SP264" s="336"/>
      <c r="SQ264" s="336"/>
      <c r="SR264" s="336"/>
      <c r="SS264" s="336"/>
    </row>
    <row r="265" spans="1:513" s="481" customFormat="1" hidden="1">
      <c r="A265" s="478"/>
      <c r="B265" s="478"/>
      <c r="C265" s="482" t="str">
        <f t="shared" si="44"/>
        <v>Porcentaje de áreas comunes correspondiente al inmueble %</v>
      </c>
      <c r="D265" s="482"/>
      <c r="E265" s="482"/>
      <c r="F265" s="482"/>
      <c r="G265" s="482"/>
      <c r="H265" s="482"/>
      <c r="I265" s="482"/>
      <c r="J265" s="478"/>
      <c r="K265" s="478"/>
      <c r="L265" s="478"/>
      <c r="M265" s="478"/>
      <c r="N265" s="483"/>
      <c r="O265" s="500"/>
      <c r="P265" s="500"/>
      <c r="Q265" s="501"/>
      <c r="R265" s="502"/>
      <c r="S265" s="502"/>
      <c r="T265" s="502"/>
      <c r="U265" s="484"/>
      <c r="V265" s="478"/>
      <c r="W265" s="478"/>
      <c r="X265" s="478"/>
      <c r="Y265" s="478"/>
      <c r="Z265" s="483"/>
      <c r="AA265" s="478"/>
      <c r="AB265" s="485"/>
      <c r="AC265" s="485"/>
      <c r="AD265" s="480"/>
      <c r="AE265" s="480"/>
      <c r="AF265" s="478"/>
      <c r="AG265" s="478"/>
      <c r="AH265" s="478"/>
      <c r="AI265" s="478"/>
      <c r="AJ265" s="478"/>
      <c r="AK265" s="478"/>
      <c r="AL265" s="478"/>
      <c r="AM265" s="484"/>
      <c r="AN265" s="484"/>
      <c r="AO265" s="478"/>
      <c r="AP265" s="486"/>
      <c r="AQ265" s="486"/>
      <c r="AR265" s="486"/>
      <c r="AS265" s="486"/>
      <c r="AT265" s="486"/>
      <c r="AU265" s="486"/>
      <c r="AV265" s="486"/>
      <c r="AW265" s="336"/>
      <c r="AX265" s="336"/>
      <c r="AY265" s="336"/>
      <c r="AZ265" s="336"/>
      <c r="BA265" s="336"/>
      <c r="BB265" s="336"/>
      <c r="BC265" s="336"/>
      <c r="BD265" s="336"/>
      <c r="BE265" s="336"/>
      <c r="BF265" s="336"/>
      <c r="BG265" s="336"/>
      <c r="BH265" s="336"/>
      <c r="BI265" s="336"/>
      <c r="BJ265" s="336"/>
      <c r="BK265" s="336"/>
      <c r="BL265" s="336"/>
      <c r="BM265" s="336"/>
      <c r="BN265" s="336"/>
      <c r="BO265" s="336"/>
      <c r="BP265" s="336"/>
      <c r="BQ265" s="336"/>
      <c r="BR265" s="336"/>
      <c r="BS265" s="336"/>
      <c r="BT265" s="336"/>
      <c r="BU265" s="336"/>
      <c r="BV265" s="336"/>
      <c r="BW265" s="336"/>
      <c r="BX265" s="336"/>
      <c r="BY265" s="336"/>
      <c r="BZ265" s="336"/>
      <c r="CA265" s="336"/>
      <c r="CB265" s="336"/>
      <c r="CC265" s="336"/>
      <c r="CD265" s="336"/>
      <c r="CE265" s="336"/>
      <c r="CF265" s="336"/>
      <c r="CG265" s="336"/>
      <c r="CH265" s="336"/>
      <c r="CI265" s="336"/>
      <c r="CJ265" s="336"/>
      <c r="CK265" s="336"/>
      <c r="CL265" s="336"/>
      <c r="CM265" s="336"/>
      <c r="CN265" s="336"/>
      <c r="CO265" s="336"/>
      <c r="CP265" s="336"/>
      <c r="CQ265" s="336"/>
      <c r="CR265" s="336"/>
      <c r="CS265" s="336"/>
      <c r="CT265" s="336"/>
      <c r="CU265" s="336"/>
      <c r="CV265" s="336"/>
      <c r="CW265" s="336"/>
      <c r="CX265" s="336"/>
      <c r="CY265" s="336"/>
      <c r="CZ265" s="336"/>
      <c r="DA265" s="336"/>
      <c r="DB265" s="336"/>
      <c r="DC265" s="336"/>
      <c r="DD265" s="336"/>
      <c r="DE265" s="336"/>
      <c r="DF265" s="336"/>
      <c r="DG265" s="336"/>
      <c r="DH265" s="336"/>
      <c r="DI265" s="336"/>
      <c r="DJ265" s="336"/>
      <c r="DK265" s="336"/>
      <c r="DL265" s="336"/>
      <c r="DM265" s="336"/>
      <c r="DN265" s="336"/>
      <c r="DO265" s="336"/>
      <c r="DP265" s="336"/>
      <c r="DQ265" s="336"/>
      <c r="DR265" s="336"/>
      <c r="DS265" s="336"/>
      <c r="DT265" s="336"/>
      <c r="DU265" s="336"/>
      <c r="DV265" s="336"/>
      <c r="DW265" s="336"/>
      <c r="DX265" s="336"/>
      <c r="DY265" s="336"/>
      <c r="DZ265" s="336"/>
      <c r="EA265" s="336"/>
      <c r="EB265" s="336"/>
      <c r="EC265" s="336"/>
      <c r="ED265" s="336"/>
      <c r="EE265" s="336"/>
      <c r="EF265" s="336"/>
      <c r="EG265" s="336"/>
      <c r="EH265" s="336"/>
      <c r="EI265" s="336"/>
      <c r="EJ265" s="336"/>
      <c r="EK265" s="336"/>
      <c r="EL265" s="336"/>
      <c r="EM265" s="336"/>
      <c r="EN265" s="336"/>
      <c r="EO265" s="336"/>
      <c r="EP265" s="336"/>
      <c r="EQ265" s="336"/>
      <c r="ER265" s="336"/>
      <c r="ES265" s="336"/>
      <c r="ET265" s="336"/>
      <c r="EU265" s="336"/>
      <c r="EV265" s="336"/>
      <c r="EW265" s="336"/>
      <c r="EX265" s="336"/>
      <c r="EY265" s="336"/>
      <c r="EZ265" s="336"/>
      <c r="FA265" s="336"/>
      <c r="FB265" s="336"/>
      <c r="FC265" s="336"/>
      <c r="FD265" s="336"/>
      <c r="FE265" s="336"/>
      <c r="FF265" s="336"/>
      <c r="FG265" s="336"/>
      <c r="FH265" s="336"/>
      <c r="FI265" s="336"/>
      <c r="FJ265" s="336"/>
      <c r="FK265" s="336"/>
      <c r="FL265" s="336"/>
      <c r="FM265" s="336"/>
      <c r="FN265" s="336"/>
      <c r="FO265" s="336"/>
      <c r="FP265" s="336"/>
      <c r="FQ265" s="336"/>
      <c r="FR265" s="336"/>
      <c r="FS265" s="336"/>
      <c r="FT265" s="336"/>
      <c r="FU265" s="336"/>
      <c r="FV265" s="336"/>
      <c r="FW265" s="336"/>
      <c r="FX265" s="336"/>
      <c r="FY265" s="336"/>
      <c r="FZ265" s="336"/>
      <c r="GA265" s="336"/>
      <c r="GB265" s="336"/>
      <c r="GC265" s="336"/>
      <c r="GD265" s="336"/>
      <c r="GE265" s="336"/>
      <c r="GF265" s="336"/>
      <c r="GG265" s="336"/>
      <c r="GH265" s="336"/>
      <c r="GI265" s="336"/>
      <c r="GJ265" s="336"/>
      <c r="GK265" s="336"/>
      <c r="GL265" s="336"/>
      <c r="GM265" s="336"/>
      <c r="GN265" s="336"/>
      <c r="GO265" s="336"/>
      <c r="GP265" s="336"/>
      <c r="GQ265" s="336"/>
      <c r="GR265" s="336"/>
      <c r="GS265" s="336"/>
      <c r="GT265" s="336"/>
      <c r="GU265" s="336"/>
      <c r="GV265" s="336"/>
      <c r="GW265" s="336"/>
      <c r="GX265" s="336"/>
      <c r="GY265" s="336"/>
      <c r="GZ265" s="336"/>
      <c r="HA265" s="336"/>
      <c r="HB265" s="336"/>
      <c r="HC265" s="336"/>
      <c r="HD265" s="336"/>
      <c r="HE265" s="336"/>
      <c r="HF265" s="336"/>
      <c r="HG265" s="336"/>
      <c r="HH265" s="336"/>
      <c r="HI265" s="336"/>
      <c r="HJ265" s="336"/>
      <c r="HK265" s="336"/>
      <c r="HL265" s="336"/>
      <c r="HM265" s="336"/>
      <c r="HN265" s="336"/>
      <c r="HO265" s="336"/>
      <c r="HP265" s="336"/>
      <c r="HQ265" s="336"/>
      <c r="HR265" s="336"/>
      <c r="HS265" s="336"/>
      <c r="HT265" s="336"/>
      <c r="HU265" s="336"/>
      <c r="HV265" s="336"/>
      <c r="HW265" s="336"/>
      <c r="HX265" s="336"/>
      <c r="HY265" s="336"/>
      <c r="HZ265" s="336"/>
      <c r="IA265" s="336"/>
      <c r="IB265" s="336"/>
      <c r="IC265" s="336"/>
      <c r="ID265" s="336"/>
      <c r="IE265" s="336"/>
      <c r="IF265" s="336"/>
      <c r="IG265" s="336"/>
      <c r="IH265" s="336"/>
      <c r="II265" s="336"/>
      <c r="IJ265" s="336"/>
      <c r="IK265" s="336"/>
      <c r="IL265" s="336"/>
      <c r="IM265" s="336"/>
      <c r="IN265" s="336"/>
      <c r="IO265" s="336"/>
      <c r="IP265" s="336"/>
      <c r="IQ265" s="336"/>
      <c r="IR265" s="336"/>
      <c r="IS265" s="336"/>
      <c r="IT265" s="336"/>
      <c r="IU265" s="336"/>
      <c r="IV265" s="336"/>
      <c r="IW265" s="336"/>
      <c r="IX265" s="336"/>
      <c r="IY265" s="336"/>
      <c r="IZ265" s="462"/>
      <c r="JA265" s="462"/>
      <c r="JB265" s="462"/>
      <c r="JC265" s="462"/>
      <c r="JD265" s="462"/>
      <c r="JE265" s="462"/>
      <c r="JF265" s="462"/>
      <c r="JG265" s="462"/>
      <c r="JH265" s="462"/>
      <c r="JI265" s="462"/>
      <c r="JJ265" s="462"/>
      <c r="JK265" s="462"/>
      <c r="JL265" s="462"/>
      <c r="JM265" s="462"/>
      <c r="JN265" s="462"/>
      <c r="JO265" s="462"/>
      <c r="JP265" s="462"/>
      <c r="JQ265" s="462"/>
      <c r="JR265" s="462"/>
      <c r="JS265" s="462"/>
      <c r="JT265" s="462"/>
      <c r="JU265" s="462"/>
      <c r="JV265" s="462"/>
      <c r="JW265" s="462"/>
      <c r="JX265" s="462"/>
      <c r="JY265" s="462"/>
      <c r="JZ265" s="462"/>
      <c r="KA265" s="462"/>
      <c r="KB265" s="462"/>
      <c r="KC265" s="462"/>
      <c r="KD265" s="462"/>
      <c r="KE265" s="462"/>
      <c r="KF265" s="462"/>
      <c r="KG265" s="462"/>
      <c r="KH265" s="336"/>
      <c r="KI265" s="336"/>
      <c r="KJ265" s="336"/>
      <c r="KK265" s="336"/>
      <c r="KL265" s="336"/>
      <c r="KM265" s="336"/>
      <c r="KN265" s="336"/>
      <c r="KO265" s="336"/>
      <c r="KP265" s="336"/>
      <c r="KQ265" s="336"/>
      <c r="KR265" s="336"/>
      <c r="KS265" s="336"/>
      <c r="KT265" s="336"/>
      <c r="KU265" s="336"/>
      <c r="KV265" s="336"/>
      <c r="KW265" s="336"/>
      <c r="KX265" s="336"/>
      <c r="KY265" s="336"/>
      <c r="KZ265" s="336"/>
      <c r="LA265" s="336"/>
      <c r="LB265" s="336"/>
      <c r="LC265" s="336"/>
      <c r="LD265" s="336"/>
      <c r="LE265" s="336"/>
      <c r="LF265" s="336"/>
      <c r="LG265" s="336"/>
      <c r="LH265" s="336"/>
      <c r="LI265" s="336"/>
      <c r="LJ265" s="336"/>
      <c r="LK265" s="336"/>
      <c r="LL265" s="336"/>
      <c r="LM265" s="336"/>
      <c r="LN265" s="336"/>
      <c r="LO265" s="336"/>
      <c r="LP265" s="336"/>
      <c r="LQ265" s="336"/>
      <c r="LR265" s="336"/>
      <c r="LS265" s="336"/>
      <c r="LT265" s="336"/>
      <c r="LU265" s="336"/>
      <c r="LV265" s="336"/>
      <c r="LW265" s="336"/>
      <c r="LX265" s="336"/>
      <c r="LY265" s="336"/>
      <c r="LZ265" s="336"/>
      <c r="MA265" s="336"/>
      <c r="MB265" s="336"/>
      <c r="MC265" s="336"/>
      <c r="MD265" s="336"/>
      <c r="ME265" s="336"/>
      <c r="MF265" s="336"/>
      <c r="MG265" s="336"/>
      <c r="MH265" s="336"/>
      <c r="MI265" s="336"/>
      <c r="MJ265" s="336"/>
      <c r="MK265" s="336"/>
      <c r="ML265" s="336"/>
      <c r="MM265" s="336"/>
      <c r="MN265" s="336"/>
      <c r="MO265" s="336"/>
      <c r="MP265" s="336"/>
      <c r="MQ265" s="336"/>
      <c r="MR265" s="336"/>
      <c r="MS265" s="336"/>
      <c r="MT265" s="336"/>
      <c r="MU265" s="336"/>
      <c r="MV265" s="336"/>
      <c r="MW265" s="336"/>
      <c r="MX265" s="336"/>
      <c r="MY265" s="336"/>
      <c r="MZ265" s="336"/>
      <c r="NA265" s="336"/>
      <c r="NB265" s="336"/>
      <c r="NC265" s="336"/>
      <c r="ND265" s="336"/>
      <c r="NE265" s="336"/>
      <c r="NF265" s="336"/>
      <c r="NG265" s="336"/>
      <c r="NH265" s="336"/>
      <c r="NI265" s="336"/>
      <c r="NJ265" s="336"/>
      <c r="NK265" s="336"/>
      <c r="NL265" s="336"/>
      <c r="NM265" s="336"/>
      <c r="NN265" s="336"/>
      <c r="NO265" s="336"/>
      <c r="NP265" s="336"/>
      <c r="NQ265" s="336"/>
      <c r="NR265" s="336"/>
      <c r="NS265" s="336"/>
      <c r="NT265" s="336"/>
      <c r="NU265" s="336"/>
      <c r="NV265" s="336"/>
      <c r="NW265" s="336"/>
      <c r="NX265" s="336"/>
      <c r="NY265" s="336"/>
      <c r="NZ265" s="336"/>
      <c r="OA265" s="336"/>
      <c r="OB265" s="336"/>
      <c r="OC265" s="336"/>
      <c r="OD265" s="336"/>
      <c r="OE265" s="336"/>
      <c r="OF265" s="336"/>
      <c r="OG265" s="336"/>
      <c r="OH265" s="336"/>
      <c r="OI265" s="336"/>
      <c r="OJ265" s="336"/>
      <c r="OK265" s="336"/>
      <c r="OL265" s="336"/>
      <c r="OM265" s="336"/>
      <c r="ON265" s="336"/>
      <c r="OO265" s="336"/>
      <c r="OP265" s="336"/>
      <c r="OQ265" s="336"/>
      <c r="OR265" s="336"/>
      <c r="OS265" s="336"/>
      <c r="OT265" s="336"/>
      <c r="OU265" s="336"/>
      <c r="OV265" s="336"/>
      <c r="OW265" s="336"/>
      <c r="OX265" s="336"/>
      <c r="OY265" s="336"/>
      <c r="OZ265" s="336"/>
      <c r="PA265" s="336"/>
      <c r="PB265" s="336"/>
      <c r="PC265" s="336"/>
      <c r="PD265" s="336"/>
      <c r="PE265" s="336"/>
      <c r="PF265" s="336"/>
      <c r="PG265" s="336"/>
      <c r="PH265" s="336"/>
      <c r="PI265" s="336"/>
      <c r="PJ265" s="336"/>
      <c r="PK265" s="336"/>
      <c r="PL265" s="336"/>
      <c r="PM265" s="336"/>
      <c r="PN265" s="336"/>
      <c r="PO265" s="336"/>
      <c r="PP265" s="336"/>
      <c r="PQ265" s="336"/>
      <c r="PR265" s="336"/>
      <c r="PS265" s="336"/>
      <c r="PT265" s="336"/>
      <c r="PU265" s="336"/>
      <c r="PV265" s="336"/>
      <c r="PW265" s="336"/>
      <c r="PX265" s="336"/>
      <c r="PY265" s="336"/>
      <c r="PZ265" s="336"/>
      <c r="QA265" s="336"/>
      <c r="QB265" s="336"/>
      <c r="QC265" s="336"/>
      <c r="QD265" s="336"/>
      <c r="QE265" s="336"/>
      <c r="QF265" s="336"/>
      <c r="QG265" s="336"/>
      <c r="QH265" s="336"/>
      <c r="QI265" s="336"/>
      <c r="QJ265" s="336"/>
      <c r="QK265" s="336"/>
      <c r="QL265" s="336"/>
      <c r="QM265" s="336"/>
      <c r="QN265" s="336"/>
      <c r="QO265" s="336"/>
      <c r="QP265" s="336"/>
      <c r="QQ265" s="336"/>
      <c r="QR265" s="336"/>
      <c r="QS265" s="336"/>
      <c r="QT265" s="336"/>
      <c r="QU265" s="336"/>
      <c r="QV265" s="336"/>
      <c r="QW265" s="336"/>
      <c r="QX265" s="336"/>
      <c r="QY265" s="336"/>
      <c r="QZ265" s="336"/>
      <c r="RA265" s="336"/>
      <c r="RB265" s="336"/>
      <c r="RC265" s="336"/>
      <c r="RD265" s="336"/>
      <c r="RE265" s="336"/>
      <c r="RF265" s="336"/>
      <c r="RG265" s="336"/>
      <c r="RH265" s="336"/>
      <c r="RI265" s="336"/>
      <c r="RJ265" s="336"/>
      <c r="RK265" s="336"/>
      <c r="RL265" s="336"/>
      <c r="RM265" s="336"/>
      <c r="RN265" s="336"/>
      <c r="RO265" s="336"/>
      <c r="RP265" s="336"/>
      <c r="RQ265" s="336"/>
      <c r="RR265" s="336"/>
      <c r="RS265" s="336"/>
      <c r="RT265" s="336"/>
      <c r="RU265" s="336"/>
      <c r="RV265" s="336"/>
      <c r="RW265" s="336"/>
      <c r="RX265" s="336"/>
      <c r="RY265" s="336"/>
      <c r="RZ265" s="336"/>
      <c r="SA265" s="336"/>
      <c r="SB265" s="336"/>
      <c r="SC265" s="336"/>
      <c r="SD265" s="336"/>
      <c r="SE265" s="336"/>
      <c r="SF265" s="336"/>
      <c r="SG265" s="336"/>
      <c r="SH265" s="336"/>
      <c r="SI265" s="336"/>
      <c r="SJ265" s="336"/>
      <c r="SK265" s="336"/>
      <c r="SL265" s="336"/>
      <c r="SM265" s="336"/>
      <c r="SN265" s="336"/>
      <c r="SO265" s="336"/>
      <c r="SP265" s="336"/>
      <c r="SQ265" s="336"/>
      <c r="SR265" s="336"/>
      <c r="SS265" s="336"/>
    </row>
    <row r="266" spans="1:513" s="481" customFormat="1" hidden="1">
      <c r="A266" s="478"/>
      <c r="B266" s="478"/>
      <c r="C266" s="1066">
        <f t="shared" si="44"/>
        <v>0</v>
      </c>
      <c r="D266" s="1066"/>
      <c r="E266" s="1066"/>
      <c r="F266" s="1066"/>
      <c r="G266" s="1066"/>
      <c r="H266" s="1066"/>
      <c r="I266" s="482"/>
      <c r="J266" s="478"/>
      <c r="K266" s="478"/>
      <c r="L266" s="478"/>
      <c r="M266" s="478" t="s">
        <v>4508</v>
      </c>
      <c r="N266" s="483"/>
      <c r="O266" s="1051">
        <f>+AO264</f>
        <v>0</v>
      </c>
      <c r="P266" s="1051"/>
      <c r="Q266" s="1051"/>
      <c r="R266" s="1051"/>
      <c r="S266" s="1051"/>
      <c r="T266" s="1051"/>
      <c r="U266" s="1051"/>
      <c r="V266" s="1051"/>
      <c r="W266" s="478"/>
      <c r="X266" s="478"/>
      <c r="Y266" s="478"/>
      <c r="Z266" s="483"/>
      <c r="AA266" s="478"/>
      <c r="AB266" s="1050"/>
      <c r="AC266" s="1050"/>
      <c r="AD266" s="1058"/>
      <c r="AE266" s="1058"/>
      <c r="AF266" s="478"/>
      <c r="AG266" s="478"/>
      <c r="AH266" s="478"/>
      <c r="AI266" s="478"/>
      <c r="AJ266" s="478"/>
      <c r="AK266" s="478"/>
      <c r="AL266" s="478"/>
      <c r="AM266" s="484" t="s">
        <v>4426</v>
      </c>
      <c r="AN266" s="484"/>
      <c r="AO266" s="1051">
        <f>ROUND(C266*O266,1)</f>
        <v>0</v>
      </c>
      <c r="AP266" s="1051"/>
      <c r="AQ266" s="1051"/>
      <c r="AR266" s="1051"/>
      <c r="AS266" s="1051"/>
      <c r="AT266" s="1051"/>
      <c r="AU266" s="1051"/>
      <c r="AV266" s="1051"/>
      <c r="AW266" s="336"/>
      <c r="AX266" s="336"/>
      <c r="AY266" s="336"/>
      <c r="AZ266" s="336"/>
      <c r="BA266" s="336"/>
      <c r="BB266" s="336"/>
      <c r="BC266" s="336"/>
      <c r="BD266" s="336"/>
      <c r="BE266" s="336"/>
      <c r="BF266" s="336"/>
      <c r="BG266" s="336"/>
      <c r="BH266" s="336"/>
      <c r="BI266" s="336"/>
      <c r="BJ266" s="336"/>
      <c r="BK266" s="336"/>
      <c r="BL266" s="336"/>
      <c r="BM266" s="336"/>
      <c r="BN266" s="336"/>
      <c r="BO266" s="336"/>
      <c r="BP266" s="336"/>
      <c r="BQ266" s="336"/>
      <c r="BR266" s="336"/>
      <c r="BS266" s="336"/>
      <c r="BT266" s="336"/>
      <c r="BU266" s="336"/>
      <c r="BV266" s="336"/>
      <c r="BW266" s="336"/>
      <c r="BX266" s="336"/>
      <c r="BY266" s="336"/>
      <c r="BZ266" s="336"/>
      <c r="CA266" s="336"/>
      <c r="CB266" s="336"/>
      <c r="CC266" s="336"/>
      <c r="CD266" s="336"/>
      <c r="CE266" s="336"/>
      <c r="CF266" s="336"/>
      <c r="CG266" s="336"/>
      <c r="CH266" s="336"/>
      <c r="CI266" s="336"/>
      <c r="CJ266" s="336"/>
      <c r="CK266" s="336"/>
      <c r="CL266" s="336"/>
      <c r="CM266" s="336"/>
      <c r="CN266" s="336"/>
      <c r="CO266" s="336"/>
      <c r="CP266" s="336"/>
      <c r="CQ266" s="336"/>
      <c r="CR266" s="336"/>
      <c r="CS266" s="336"/>
      <c r="CT266" s="336"/>
      <c r="CU266" s="336"/>
      <c r="CV266" s="336"/>
      <c r="CW266" s="336"/>
      <c r="CX266" s="336"/>
      <c r="CY266" s="336"/>
      <c r="CZ266" s="336"/>
      <c r="DA266" s="336"/>
      <c r="DB266" s="336"/>
      <c r="DC266" s="336"/>
      <c r="DD266" s="336"/>
      <c r="DE266" s="336"/>
      <c r="DF266" s="336"/>
      <c r="DG266" s="336"/>
      <c r="DH266" s="336"/>
      <c r="DI266" s="336"/>
      <c r="DJ266" s="336"/>
      <c r="DK266" s="336"/>
      <c r="DL266" s="336"/>
      <c r="DM266" s="336"/>
      <c r="DN266" s="336"/>
      <c r="DO266" s="336"/>
      <c r="DP266" s="336"/>
      <c r="DQ266" s="336"/>
      <c r="DR266" s="336"/>
      <c r="DS266" s="336"/>
      <c r="DT266" s="336"/>
      <c r="DU266" s="336"/>
      <c r="DV266" s="336"/>
      <c r="DW266" s="336"/>
      <c r="DX266" s="336"/>
      <c r="DY266" s="336"/>
      <c r="DZ266" s="336"/>
      <c r="EA266" s="336"/>
      <c r="EB266" s="336"/>
      <c r="EC266" s="336"/>
      <c r="ED266" s="336"/>
      <c r="EE266" s="336"/>
      <c r="EF266" s="336"/>
      <c r="EG266" s="336"/>
      <c r="EH266" s="336"/>
      <c r="EI266" s="336"/>
      <c r="EJ266" s="336"/>
      <c r="EK266" s="336"/>
      <c r="EL266" s="336"/>
      <c r="EM266" s="336"/>
      <c r="EN266" s="336"/>
      <c r="EO266" s="336"/>
      <c r="EP266" s="336"/>
      <c r="EQ266" s="336"/>
      <c r="ER266" s="336"/>
      <c r="ES266" s="336"/>
      <c r="ET266" s="336"/>
      <c r="EU266" s="336"/>
      <c r="EV266" s="336"/>
      <c r="EW266" s="336"/>
      <c r="EX266" s="336"/>
      <c r="EY266" s="336"/>
      <c r="EZ266" s="336"/>
      <c r="FA266" s="336"/>
      <c r="FB266" s="336"/>
      <c r="FC266" s="336"/>
      <c r="FD266" s="336"/>
      <c r="FE266" s="336"/>
      <c r="FF266" s="336"/>
      <c r="FG266" s="336"/>
      <c r="FH266" s="336"/>
      <c r="FI266" s="336"/>
      <c r="FJ266" s="336"/>
      <c r="FK266" s="336"/>
      <c r="FL266" s="336"/>
      <c r="FM266" s="336"/>
      <c r="FN266" s="336"/>
      <c r="FO266" s="336"/>
      <c r="FP266" s="336"/>
      <c r="FQ266" s="336"/>
      <c r="FR266" s="336"/>
      <c r="FS266" s="336"/>
      <c r="FT266" s="336"/>
      <c r="FU266" s="336"/>
      <c r="FV266" s="336"/>
      <c r="FW266" s="336"/>
      <c r="FX266" s="336"/>
      <c r="FY266" s="336"/>
      <c r="FZ266" s="336"/>
      <c r="GA266" s="336"/>
      <c r="GB266" s="336"/>
      <c r="GC266" s="336"/>
      <c r="GD266" s="336"/>
      <c r="GE266" s="336"/>
      <c r="GF266" s="336"/>
      <c r="GG266" s="336"/>
      <c r="GH266" s="336"/>
      <c r="GI266" s="336"/>
      <c r="GJ266" s="336"/>
      <c r="GK266" s="336"/>
      <c r="GL266" s="336"/>
      <c r="GM266" s="336"/>
      <c r="GN266" s="336"/>
      <c r="GO266" s="336"/>
      <c r="GP266" s="336"/>
      <c r="GQ266" s="336"/>
      <c r="GR266" s="336"/>
      <c r="GS266" s="336"/>
      <c r="GT266" s="336"/>
      <c r="GU266" s="336"/>
      <c r="GV266" s="336"/>
      <c r="GW266" s="336"/>
      <c r="GX266" s="336"/>
      <c r="GY266" s="336"/>
      <c r="GZ266" s="336"/>
      <c r="HA266" s="336"/>
      <c r="HB266" s="336"/>
      <c r="HC266" s="336"/>
      <c r="HD266" s="336"/>
      <c r="HE266" s="336"/>
      <c r="HF266" s="336"/>
      <c r="HG266" s="336"/>
      <c r="HH266" s="336"/>
      <c r="HI266" s="336"/>
      <c r="HJ266" s="336"/>
      <c r="HK266" s="336"/>
      <c r="HL266" s="336"/>
      <c r="HM266" s="336"/>
      <c r="HN266" s="336"/>
      <c r="HO266" s="336"/>
      <c r="HP266" s="336"/>
      <c r="HQ266" s="336"/>
      <c r="HR266" s="336"/>
      <c r="HS266" s="336"/>
      <c r="HT266" s="336"/>
      <c r="HU266" s="336"/>
      <c r="HV266" s="336"/>
      <c r="HW266" s="336"/>
      <c r="HX266" s="336"/>
      <c r="HY266" s="336"/>
      <c r="HZ266" s="336"/>
      <c r="IA266" s="336"/>
      <c r="IB266" s="336"/>
      <c r="IC266" s="336"/>
      <c r="ID266" s="336"/>
      <c r="IE266" s="336"/>
      <c r="IF266" s="336"/>
      <c r="IG266" s="336"/>
      <c r="IH266" s="336"/>
      <c r="II266" s="336"/>
      <c r="IJ266" s="336"/>
      <c r="IK266" s="336"/>
      <c r="IL266" s="336"/>
      <c r="IM266" s="336"/>
      <c r="IN266" s="336"/>
      <c r="IO266" s="336"/>
      <c r="IP266" s="336"/>
      <c r="IQ266" s="336"/>
      <c r="IR266" s="336"/>
      <c r="IS266" s="336"/>
      <c r="IT266" s="336"/>
      <c r="IU266" s="336"/>
      <c r="IV266" s="336"/>
      <c r="IW266" s="336"/>
      <c r="IX266" s="336"/>
      <c r="IY266" s="336"/>
      <c r="IZ266" s="462"/>
      <c r="JA266" s="462"/>
      <c r="JB266" s="462"/>
      <c r="JC266" s="462"/>
      <c r="JD266" s="462"/>
      <c r="JE266" s="462"/>
      <c r="JF266" s="462"/>
      <c r="JG266" s="462"/>
      <c r="JH266" s="462"/>
      <c r="JI266" s="462"/>
      <c r="JJ266" s="462"/>
      <c r="JK266" s="462"/>
      <c r="JL266" s="462"/>
      <c r="JM266" s="462"/>
      <c r="JN266" s="462"/>
      <c r="JO266" s="462"/>
      <c r="JP266" s="462"/>
      <c r="JQ266" s="462"/>
      <c r="JR266" s="462"/>
      <c r="JS266" s="462"/>
      <c r="JT266" s="462"/>
      <c r="JU266" s="462"/>
      <c r="JV266" s="462"/>
      <c r="JW266" s="462"/>
      <c r="JX266" s="462"/>
      <c r="JY266" s="462"/>
      <c r="JZ266" s="462"/>
      <c r="KA266" s="462"/>
      <c r="KB266" s="462"/>
      <c r="KC266" s="462"/>
      <c r="KD266" s="462"/>
      <c r="KE266" s="462"/>
      <c r="KF266" s="462"/>
      <c r="KG266" s="462"/>
      <c r="KH266" s="336"/>
      <c r="KI266" s="336"/>
      <c r="KJ266" s="336"/>
      <c r="KK266" s="336"/>
      <c r="KL266" s="336"/>
      <c r="KM266" s="336"/>
      <c r="KN266" s="336"/>
      <c r="KO266" s="336"/>
      <c r="KP266" s="336"/>
      <c r="KQ266" s="336"/>
      <c r="KR266" s="336"/>
      <c r="KS266" s="336"/>
      <c r="KT266" s="336"/>
      <c r="KU266" s="336"/>
      <c r="KV266" s="336"/>
      <c r="KW266" s="336"/>
      <c r="KX266" s="336"/>
      <c r="KY266" s="336"/>
      <c r="KZ266" s="336"/>
      <c r="LA266" s="336"/>
      <c r="LB266" s="336"/>
      <c r="LC266" s="336"/>
      <c r="LD266" s="336"/>
      <c r="LE266" s="336"/>
      <c r="LF266" s="336"/>
      <c r="LG266" s="336"/>
      <c r="LH266" s="336"/>
      <c r="LI266" s="336"/>
      <c r="LJ266" s="336"/>
      <c r="LK266" s="336"/>
      <c r="LL266" s="336"/>
      <c r="LM266" s="336"/>
      <c r="LN266" s="336"/>
      <c r="LO266" s="336"/>
      <c r="LP266" s="336"/>
      <c r="LQ266" s="336"/>
      <c r="LR266" s="336"/>
      <c r="LS266" s="336"/>
      <c r="LT266" s="336"/>
      <c r="LU266" s="336"/>
      <c r="LV266" s="336"/>
      <c r="LW266" s="336"/>
      <c r="LX266" s="336"/>
      <c r="LY266" s="336"/>
      <c r="LZ266" s="336"/>
      <c r="MA266" s="336"/>
      <c r="MB266" s="336"/>
      <c r="MC266" s="336"/>
      <c r="MD266" s="336"/>
      <c r="ME266" s="336"/>
      <c r="MF266" s="336"/>
      <c r="MG266" s="336"/>
      <c r="MH266" s="336"/>
      <c r="MI266" s="336"/>
      <c r="MJ266" s="336"/>
      <c r="MK266" s="336"/>
      <c r="ML266" s="336"/>
      <c r="MM266" s="336"/>
      <c r="MN266" s="336"/>
      <c r="MO266" s="336"/>
      <c r="MP266" s="336"/>
      <c r="MQ266" s="336"/>
      <c r="MR266" s="336"/>
      <c r="MS266" s="336"/>
      <c r="MT266" s="336"/>
      <c r="MU266" s="336"/>
      <c r="MV266" s="336"/>
      <c r="MW266" s="336"/>
      <c r="MX266" s="336"/>
      <c r="MY266" s="336"/>
      <c r="MZ266" s="336"/>
      <c r="NA266" s="336"/>
      <c r="NB266" s="336"/>
      <c r="NC266" s="336"/>
      <c r="ND266" s="336"/>
      <c r="NE266" s="336"/>
      <c r="NF266" s="336"/>
      <c r="NG266" s="336"/>
      <c r="NH266" s="336"/>
      <c r="NI266" s="336"/>
      <c r="NJ266" s="336"/>
      <c r="NK266" s="336"/>
      <c r="NL266" s="336"/>
      <c r="NM266" s="336"/>
      <c r="NN266" s="336"/>
      <c r="NO266" s="336"/>
      <c r="NP266" s="336"/>
      <c r="NQ266" s="336"/>
      <c r="NR266" s="336"/>
      <c r="NS266" s="336"/>
      <c r="NT266" s="336"/>
      <c r="NU266" s="336"/>
      <c r="NV266" s="336"/>
      <c r="NW266" s="336"/>
      <c r="NX266" s="336"/>
      <c r="NY266" s="336"/>
      <c r="NZ266" s="336"/>
      <c r="OA266" s="336"/>
      <c r="OB266" s="336"/>
      <c r="OC266" s="336"/>
      <c r="OD266" s="336"/>
      <c r="OE266" s="336"/>
      <c r="OF266" s="336"/>
      <c r="OG266" s="336"/>
      <c r="OH266" s="336"/>
      <c r="OI266" s="336"/>
      <c r="OJ266" s="336"/>
      <c r="OK266" s="336"/>
      <c r="OL266" s="336"/>
      <c r="OM266" s="336"/>
      <c r="ON266" s="336"/>
      <c r="OO266" s="336"/>
      <c r="OP266" s="336"/>
      <c r="OQ266" s="336"/>
      <c r="OR266" s="336"/>
      <c r="OS266" s="336"/>
      <c r="OT266" s="336"/>
      <c r="OU266" s="336"/>
      <c r="OV266" s="336"/>
      <c r="OW266" s="336"/>
      <c r="OX266" s="336"/>
      <c r="OY266" s="336"/>
      <c r="OZ266" s="336"/>
      <c r="PA266" s="336"/>
      <c r="PB266" s="336"/>
      <c r="PC266" s="336"/>
      <c r="PD266" s="336"/>
      <c r="PE266" s="336"/>
      <c r="PF266" s="336"/>
      <c r="PG266" s="336"/>
      <c r="PH266" s="336"/>
      <c r="PI266" s="336"/>
      <c r="PJ266" s="336"/>
      <c r="PK266" s="336"/>
      <c r="PL266" s="336"/>
      <c r="PM266" s="336"/>
      <c r="PN266" s="336"/>
      <c r="PO266" s="336"/>
      <c r="PP266" s="336"/>
      <c r="PQ266" s="336"/>
      <c r="PR266" s="336"/>
      <c r="PS266" s="336"/>
      <c r="PT266" s="336"/>
      <c r="PU266" s="336"/>
      <c r="PV266" s="336"/>
      <c r="PW266" s="336"/>
      <c r="PX266" s="336"/>
      <c r="PY266" s="336"/>
      <c r="PZ266" s="336"/>
      <c r="QA266" s="336"/>
      <c r="QB266" s="336"/>
      <c r="QC266" s="336"/>
      <c r="QD266" s="336"/>
      <c r="QE266" s="336"/>
      <c r="QF266" s="336"/>
      <c r="QG266" s="336"/>
      <c r="QH266" s="336"/>
      <c r="QI266" s="336"/>
      <c r="QJ266" s="336"/>
      <c r="QK266" s="336"/>
      <c r="QL266" s="336"/>
      <c r="QM266" s="336"/>
      <c r="QN266" s="336"/>
      <c r="QO266" s="336"/>
      <c r="QP266" s="336"/>
      <c r="QQ266" s="336"/>
      <c r="QR266" s="336"/>
      <c r="QS266" s="336"/>
      <c r="QT266" s="336"/>
      <c r="QU266" s="336"/>
      <c r="QV266" s="336"/>
      <c r="QW266" s="336"/>
      <c r="QX266" s="336"/>
      <c r="QY266" s="336"/>
      <c r="QZ266" s="336"/>
      <c r="RA266" s="336"/>
      <c r="RB266" s="336"/>
      <c r="RC266" s="336"/>
      <c r="RD266" s="336"/>
      <c r="RE266" s="336"/>
      <c r="RF266" s="336"/>
      <c r="RG266" s="336"/>
      <c r="RH266" s="336"/>
      <c r="RI266" s="336"/>
      <c r="RJ266" s="336"/>
      <c r="RK266" s="336"/>
      <c r="RL266" s="336"/>
      <c r="RM266" s="336"/>
      <c r="RN266" s="336"/>
      <c r="RO266" s="336"/>
      <c r="RP266" s="336"/>
      <c r="RQ266" s="336"/>
      <c r="RR266" s="336"/>
      <c r="RS266" s="336"/>
      <c r="RT266" s="336"/>
      <c r="RU266" s="336"/>
      <c r="RV266" s="336"/>
      <c r="RW266" s="336"/>
      <c r="RX266" s="336"/>
      <c r="RY266" s="336"/>
      <c r="RZ266" s="336"/>
      <c r="SA266" s="336"/>
      <c r="SB266" s="336"/>
      <c r="SC266" s="336"/>
      <c r="SD266" s="336"/>
      <c r="SE266" s="336"/>
      <c r="SF266" s="336"/>
      <c r="SG266" s="336"/>
      <c r="SH266" s="336"/>
      <c r="SI266" s="336"/>
      <c r="SJ266" s="336"/>
      <c r="SK266" s="336"/>
      <c r="SL266" s="336"/>
      <c r="SM266" s="336"/>
      <c r="SN266" s="336"/>
      <c r="SO266" s="336"/>
      <c r="SP266" s="336"/>
      <c r="SQ266" s="336"/>
      <c r="SR266" s="336"/>
      <c r="SS266" s="336"/>
    </row>
    <row r="267" spans="1:513" s="336" customFormat="1" ht="15" hidden="1" customHeight="1" thickBot="1">
      <c r="A267" s="354"/>
      <c r="B267" s="354"/>
      <c r="C267" s="487" t="str">
        <f>+C255</f>
        <v>VALOR  DE LAS OBRAS COMPLEMENTARIAS</v>
      </c>
      <c r="D267" s="488"/>
      <c r="E267" s="488"/>
      <c r="F267" s="488"/>
      <c r="G267" s="489"/>
      <c r="H267" s="490"/>
      <c r="I267" s="490"/>
      <c r="J267" s="491"/>
      <c r="K267" s="492"/>
      <c r="L267" s="493"/>
      <c r="M267" s="489"/>
      <c r="N267" s="489"/>
      <c r="O267" s="489"/>
      <c r="P267" s="489"/>
      <c r="Q267" s="489"/>
      <c r="R267" s="489"/>
      <c r="S267" s="489"/>
      <c r="T267" s="489"/>
      <c r="U267" s="489"/>
      <c r="V267" s="489"/>
      <c r="W267" s="489"/>
      <c r="X267" s="489"/>
      <c r="Y267" s="489"/>
      <c r="Z267" s="489"/>
      <c r="AA267" s="489"/>
      <c r="AB267" s="489"/>
      <c r="AC267" s="489"/>
      <c r="AD267" s="489"/>
      <c r="AE267" s="489"/>
      <c r="AF267" s="489"/>
      <c r="AG267" s="489"/>
      <c r="AH267" s="489"/>
      <c r="AI267" s="489"/>
      <c r="AJ267" s="489"/>
      <c r="AK267" s="489"/>
      <c r="AL267" s="489"/>
      <c r="AM267" s="494" t="s">
        <v>4426</v>
      </c>
      <c r="AN267" s="494"/>
      <c r="AO267" s="1052">
        <f>+AO266</f>
        <v>0</v>
      </c>
      <c r="AP267" s="1052"/>
      <c r="AQ267" s="1052"/>
      <c r="AR267" s="1052"/>
      <c r="AS267" s="1052"/>
      <c r="AT267" s="1052"/>
      <c r="AU267" s="1052"/>
      <c r="AV267" s="1052"/>
      <c r="IZ267" s="462"/>
      <c r="JA267" s="462"/>
      <c r="JB267" s="462"/>
      <c r="JC267" s="462"/>
      <c r="JD267" s="462"/>
      <c r="JE267" s="462"/>
      <c r="JF267" s="462"/>
      <c r="JG267" s="462"/>
      <c r="JH267" s="462"/>
      <c r="JI267" s="462"/>
      <c r="JJ267" s="462"/>
      <c r="JK267" s="462"/>
      <c r="JL267" s="462"/>
      <c r="JM267" s="462"/>
      <c r="JN267" s="462"/>
      <c r="JO267" s="462"/>
      <c r="JP267" s="462"/>
      <c r="JQ267" s="462"/>
      <c r="JR267" s="462"/>
      <c r="JS267" s="462"/>
      <c r="JT267" s="462"/>
      <c r="JU267" s="462"/>
      <c r="JV267" s="462"/>
      <c r="JW267" s="462"/>
      <c r="JX267" s="462"/>
      <c r="JY267" s="462"/>
      <c r="JZ267" s="462"/>
      <c r="KA267" s="462"/>
      <c r="KB267" s="462"/>
      <c r="KC267" s="462"/>
      <c r="KD267" s="462"/>
      <c r="KE267" s="462"/>
      <c r="KF267" s="462"/>
      <c r="KG267" s="462"/>
    </row>
    <row r="268" spans="1:513" ht="30" customHeight="1">
      <c r="A268" s="891">
        <f>A212+1</f>
        <v>15</v>
      </c>
      <c r="B268" s="892"/>
      <c r="C268" s="503" t="s">
        <v>4528</v>
      </c>
      <c r="R268" s="351"/>
      <c r="S268" s="351"/>
      <c r="T268" s="351"/>
      <c r="U268" s="351"/>
      <c r="V268" s="351"/>
      <c r="W268" s="351"/>
      <c r="X268" s="351"/>
      <c r="Y268" s="351"/>
      <c r="Z268" s="351"/>
      <c r="AA268" s="504"/>
      <c r="AB268" s="504"/>
    </row>
    <row r="269" spans="1:513" s="363" customFormat="1" ht="4.5" customHeight="1">
      <c r="A269" s="505"/>
      <c r="Q269" s="506"/>
      <c r="R269" s="507"/>
      <c r="S269" s="507"/>
      <c r="T269" s="507"/>
      <c r="U269" s="507"/>
      <c r="V269" s="507"/>
      <c r="W269" s="507"/>
      <c r="X269" s="507"/>
      <c r="Y269" s="507"/>
      <c r="Z269" s="507"/>
      <c r="AA269" s="508"/>
      <c r="AB269" s="508"/>
    </row>
    <row r="270" spans="1:513" s="512" customFormat="1" ht="39.950000000000003" hidden="1" customHeight="1">
      <c r="A270" s="360"/>
      <c r="B270" s="361"/>
      <c r="C270" s="1061" t="s">
        <v>4529</v>
      </c>
      <c r="D270" s="1061"/>
      <c r="E270" s="1064" t="s">
        <v>4530</v>
      </c>
      <c r="F270" s="1065"/>
      <c r="G270" s="1065"/>
      <c r="H270" s="1065"/>
      <c r="I270" s="1065"/>
      <c r="J270" s="1065"/>
      <c r="K270" s="1065"/>
      <c r="L270" s="1065"/>
      <c r="M270" s="1065"/>
      <c r="N270" s="1065"/>
      <c r="O270" s="1065"/>
      <c r="P270" s="1065"/>
      <c r="Q270" s="1065"/>
      <c r="R270" s="1065"/>
      <c r="S270" s="1065"/>
      <c r="T270" s="1065"/>
      <c r="U270" s="1065"/>
      <c r="V270" s="1065"/>
      <c r="W270" s="1065"/>
      <c r="X270" s="1065"/>
      <c r="Y270" s="1065"/>
      <c r="Z270" s="1065"/>
      <c r="AA270" s="1065"/>
      <c r="AB270" s="1065"/>
      <c r="AC270" s="1065"/>
      <c r="AD270" s="1065"/>
      <c r="AE270" s="1065"/>
      <c r="AF270" s="1065"/>
      <c r="AG270" s="1065"/>
      <c r="AH270" s="1065"/>
      <c r="AI270" s="1065"/>
      <c r="AJ270" s="1065"/>
      <c r="AK270" s="1065"/>
      <c r="AL270" s="1065"/>
      <c r="AM270" s="1065"/>
      <c r="AN270" s="1065"/>
      <c r="AO270" s="1065"/>
      <c r="AP270" s="1065"/>
      <c r="AQ270" s="1065"/>
      <c r="AR270" s="1065"/>
      <c r="AS270" s="1065"/>
      <c r="AT270" s="1065"/>
      <c r="AU270" s="1065"/>
      <c r="AV270" s="1065"/>
    </row>
    <row r="271" spans="1:513" s="512" customFormat="1" ht="4.5" hidden="1" customHeight="1">
      <c r="A271" s="360"/>
      <c r="B271" s="361"/>
      <c r="C271" s="513"/>
      <c r="D271" s="514"/>
      <c r="E271" s="514"/>
      <c r="F271" s="514"/>
      <c r="G271" s="514"/>
      <c r="H271" s="514"/>
      <c r="I271" s="514"/>
      <c r="J271" s="514"/>
      <c r="K271" s="514"/>
      <c r="L271" s="514"/>
      <c r="M271" s="514"/>
      <c r="N271" s="514"/>
      <c r="O271" s="514"/>
      <c r="P271" s="514"/>
      <c r="Q271" s="514"/>
      <c r="R271" s="514"/>
      <c r="S271" s="514"/>
      <c r="T271" s="514"/>
      <c r="U271" s="514"/>
      <c r="V271" s="514"/>
      <c r="W271" s="514"/>
      <c r="X271" s="514"/>
      <c r="Y271" s="514"/>
      <c r="Z271" s="514"/>
      <c r="AA271" s="514"/>
      <c r="AB271" s="514"/>
      <c r="AC271" s="514"/>
      <c r="AD271" s="514"/>
      <c r="AE271" s="514"/>
      <c r="AF271" s="514"/>
      <c r="AG271" s="514"/>
      <c r="AH271" s="514"/>
      <c r="AI271" s="514"/>
      <c r="AJ271" s="514"/>
      <c r="AK271" s="514"/>
      <c r="AL271" s="514"/>
      <c r="AM271" s="514"/>
      <c r="AN271" s="514"/>
      <c r="AO271" s="514"/>
      <c r="AP271" s="514"/>
      <c r="AQ271" s="514"/>
      <c r="AR271" s="514"/>
      <c r="AS271" s="514"/>
      <c r="AT271" s="514"/>
      <c r="AU271" s="514"/>
      <c r="AV271" s="514"/>
    </row>
    <row r="272" spans="1:513" s="512" customFormat="1" ht="12.75" hidden="1" customHeight="1">
      <c r="A272" s="360"/>
      <c r="B272" s="361"/>
      <c r="C272" s="1061" t="s">
        <v>4529</v>
      </c>
      <c r="D272" s="1061"/>
      <c r="E272" s="1064" t="s">
        <v>4531</v>
      </c>
      <c r="F272" s="1065"/>
      <c r="G272" s="1065"/>
      <c r="H272" s="1065"/>
      <c r="I272" s="1065"/>
      <c r="J272" s="1065"/>
      <c r="K272" s="1065"/>
      <c r="L272" s="1065"/>
      <c r="M272" s="1065"/>
      <c r="N272" s="1065"/>
      <c r="O272" s="1065"/>
      <c r="P272" s="1065"/>
      <c r="Q272" s="1065"/>
      <c r="R272" s="1065"/>
      <c r="S272" s="1065"/>
      <c r="T272" s="1065"/>
      <c r="U272" s="1065"/>
      <c r="V272" s="1065"/>
      <c r="W272" s="1065"/>
      <c r="X272" s="1065"/>
      <c r="Y272" s="1065"/>
      <c r="Z272" s="1065"/>
      <c r="AA272" s="1065"/>
      <c r="AB272" s="1065"/>
      <c r="AC272" s="1065"/>
      <c r="AD272" s="1065"/>
      <c r="AE272" s="1065"/>
      <c r="AF272" s="1065"/>
      <c r="AG272" s="1065"/>
      <c r="AH272" s="1065"/>
      <c r="AI272" s="1065"/>
      <c r="AJ272" s="1065"/>
      <c r="AK272" s="1065"/>
      <c r="AL272" s="1065"/>
      <c r="AM272" s="1065"/>
      <c r="AN272" s="1065"/>
      <c r="AO272" s="1065"/>
      <c r="AP272" s="1065"/>
      <c r="AQ272" s="1065"/>
      <c r="AR272" s="1065"/>
      <c r="AS272" s="1065"/>
      <c r="AT272" s="1065"/>
      <c r="AU272" s="1065"/>
      <c r="AV272" s="1065"/>
    </row>
    <row r="273" spans="1:48" s="512" customFormat="1" ht="4.5" hidden="1" customHeight="1">
      <c r="A273" s="360"/>
      <c r="B273" s="361"/>
      <c r="C273" s="509"/>
      <c r="D273" s="509"/>
      <c r="E273" s="510"/>
      <c r="F273" s="511"/>
      <c r="G273" s="511"/>
      <c r="H273" s="511"/>
      <c r="I273" s="511"/>
      <c r="J273" s="511"/>
      <c r="K273" s="511"/>
      <c r="L273" s="511"/>
      <c r="M273" s="511"/>
      <c r="N273" s="511"/>
      <c r="O273" s="511"/>
      <c r="P273" s="511"/>
      <c r="Q273" s="511"/>
      <c r="R273" s="511"/>
      <c r="S273" s="511"/>
      <c r="T273" s="511"/>
      <c r="U273" s="511"/>
      <c r="V273" s="511"/>
      <c r="W273" s="511"/>
      <c r="X273" s="511"/>
      <c r="Y273" s="511"/>
      <c r="Z273" s="511"/>
      <c r="AA273" s="511"/>
      <c r="AB273" s="511"/>
      <c r="AC273" s="511"/>
      <c r="AD273" s="511"/>
      <c r="AE273" s="511"/>
      <c r="AF273" s="511"/>
      <c r="AG273" s="511"/>
      <c r="AH273" s="511"/>
      <c r="AI273" s="511"/>
      <c r="AJ273" s="511"/>
      <c r="AK273" s="511"/>
      <c r="AL273" s="511"/>
      <c r="AM273" s="511"/>
      <c r="AN273" s="511"/>
      <c r="AO273" s="511"/>
      <c r="AP273" s="511"/>
      <c r="AQ273" s="511"/>
      <c r="AR273" s="511"/>
      <c r="AS273" s="511"/>
      <c r="AT273" s="511"/>
      <c r="AU273" s="511"/>
      <c r="AV273" s="511"/>
    </row>
    <row r="274" spans="1:48" s="512" customFormat="1" ht="39.950000000000003" hidden="1" customHeight="1">
      <c r="A274" s="360"/>
      <c r="B274" s="361"/>
      <c r="C274" s="1061" t="s">
        <v>4529</v>
      </c>
      <c r="D274" s="1061"/>
      <c r="E274" s="1062" t="s">
        <v>4532</v>
      </c>
      <c r="F274" s="1062"/>
      <c r="G274" s="1062"/>
      <c r="H274" s="1062"/>
      <c r="I274" s="1062"/>
      <c r="J274" s="1062"/>
      <c r="K274" s="1062"/>
      <c r="L274" s="1062"/>
      <c r="M274" s="1062"/>
      <c r="N274" s="1062"/>
      <c r="O274" s="1062"/>
      <c r="P274" s="1062"/>
      <c r="Q274" s="1062"/>
      <c r="R274" s="1062"/>
      <c r="S274" s="1062"/>
      <c r="T274" s="1062"/>
      <c r="U274" s="1062"/>
      <c r="V274" s="1062"/>
      <c r="W274" s="1062"/>
      <c r="X274" s="1062"/>
      <c r="Y274" s="1062"/>
      <c r="Z274" s="1062"/>
      <c r="AA274" s="1062"/>
      <c r="AB274" s="1062"/>
      <c r="AC274" s="1062"/>
      <c r="AD274" s="1062"/>
      <c r="AE274" s="1062"/>
      <c r="AF274" s="1062"/>
      <c r="AG274" s="1062"/>
      <c r="AH274" s="1062"/>
      <c r="AI274" s="1062"/>
      <c r="AJ274" s="1062"/>
      <c r="AK274" s="1062"/>
      <c r="AL274" s="1062"/>
      <c r="AM274" s="1062"/>
      <c r="AN274" s="1062"/>
      <c r="AO274" s="1062"/>
      <c r="AP274" s="1062"/>
      <c r="AQ274" s="1062"/>
      <c r="AR274" s="1062"/>
      <c r="AS274" s="1062"/>
      <c r="AT274" s="1062"/>
      <c r="AU274" s="1062"/>
      <c r="AV274" s="1062"/>
    </row>
    <row r="275" spans="1:48" ht="4.5" hidden="1" customHeight="1">
      <c r="A275" s="261" t="s">
        <v>4533</v>
      </c>
      <c r="C275" s="515"/>
      <c r="D275" s="267"/>
    </row>
    <row r="276" spans="1:48" s="323" customFormat="1" ht="39" customHeight="1">
      <c r="C276" s="1063" t="s">
        <v>4529</v>
      </c>
      <c r="D276" s="1063"/>
      <c r="E276" s="889" t="s">
        <v>4534</v>
      </c>
      <c r="F276" s="889"/>
      <c r="G276" s="889"/>
      <c r="H276" s="889"/>
      <c r="I276" s="889"/>
      <c r="J276" s="889"/>
      <c r="K276" s="889"/>
      <c r="L276" s="889"/>
      <c r="M276" s="889"/>
      <c r="N276" s="889"/>
      <c r="O276" s="889"/>
      <c r="P276" s="889"/>
      <c r="Q276" s="889"/>
      <c r="R276" s="889"/>
      <c r="S276" s="889"/>
      <c r="T276" s="889"/>
      <c r="U276" s="889"/>
      <c r="V276" s="889"/>
      <c r="W276" s="889"/>
      <c r="X276" s="889"/>
      <c r="Y276" s="889"/>
      <c r="Z276" s="889"/>
      <c r="AA276" s="889"/>
      <c r="AB276" s="889"/>
      <c r="AC276" s="889"/>
      <c r="AD276" s="889"/>
      <c r="AE276" s="889"/>
      <c r="AF276" s="889"/>
      <c r="AG276" s="889"/>
      <c r="AH276" s="889"/>
      <c r="AI276" s="889"/>
      <c r="AJ276" s="889"/>
      <c r="AK276" s="889"/>
      <c r="AL276" s="889"/>
      <c r="AM276" s="889"/>
      <c r="AN276" s="889"/>
      <c r="AO276" s="889"/>
      <c r="AP276" s="889"/>
      <c r="AQ276" s="889"/>
      <c r="AR276" s="889"/>
      <c r="AS276" s="889"/>
      <c r="AT276" s="889"/>
      <c r="AU276" s="889"/>
      <c r="AV276" s="889"/>
    </row>
    <row r="277" spans="1:48" s="323" customFormat="1" ht="4.5" customHeight="1">
      <c r="A277" s="517"/>
      <c r="Q277" s="518"/>
      <c r="R277" s="351"/>
      <c r="S277" s="351"/>
      <c r="T277" s="351"/>
      <c r="U277" s="351"/>
      <c r="V277" s="351"/>
      <c r="W277" s="351"/>
      <c r="X277" s="351"/>
      <c r="Y277" s="351"/>
      <c r="Z277" s="351"/>
      <c r="AA277" s="504"/>
      <c r="AB277" s="504"/>
    </row>
    <row r="278" spans="1:48" s="323" customFormat="1" ht="18.95" customHeight="1">
      <c r="C278" s="1063" t="s">
        <v>4529</v>
      </c>
      <c r="D278" s="1063"/>
      <c r="E278" s="323" t="s">
        <v>4535</v>
      </c>
    </row>
    <row r="279" spans="1:48" s="323" customFormat="1" ht="4.5" customHeight="1">
      <c r="C279" s="347"/>
    </row>
    <row r="280" spans="1:48" s="323" customFormat="1" ht="18.95" customHeight="1">
      <c r="C280" s="1063" t="s">
        <v>4529</v>
      </c>
      <c r="D280" s="1063"/>
      <c r="E280" s="323" t="s">
        <v>4536</v>
      </c>
    </row>
    <row r="281" spans="1:48" s="323" customFormat="1" ht="4.5" customHeight="1">
      <c r="C281" s="519"/>
    </row>
    <row r="282" spans="1:48" s="323" customFormat="1" ht="38.25" customHeight="1">
      <c r="C282" s="1063" t="s">
        <v>4529</v>
      </c>
      <c r="D282" s="1063"/>
      <c r="E282" s="753" t="s">
        <v>4537</v>
      </c>
      <c r="F282" s="753"/>
      <c r="G282" s="753"/>
      <c r="H282" s="753"/>
      <c r="I282" s="753"/>
      <c r="J282" s="753"/>
      <c r="K282" s="753"/>
      <c r="L282" s="753"/>
      <c r="M282" s="753"/>
      <c r="N282" s="753"/>
      <c r="O282" s="753"/>
      <c r="P282" s="753"/>
      <c r="Q282" s="753"/>
      <c r="R282" s="753"/>
      <c r="S282" s="753"/>
      <c r="T282" s="753"/>
      <c r="U282" s="753"/>
      <c r="V282" s="753"/>
      <c r="W282" s="753"/>
      <c r="X282" s="753"/>
      <c r="Y282" s="753"/>
      <c r="Z282" s="753"/>
      <c r="AA282" s="753"/>
      <c r="AB282" s="753"/>
      <c r="AC282" s="753"/>
      <c r="AD282" s="753"/>
      <c r="AE282" s="753"/>
      <c r="AF282" s="753"/>
      <c r="AG282" s="753"/>
      <c r="AH282" s="753"/>
      <c r="AI282" s="753"/>
      <c r="AJ282" s="753"/>
      <c r="AK282" s="753"/>
      <c r="AL282" s="753"/>
      <c r="AM282" s="753"/>
      <c r="AN282" s="753"/>
      <c r="AO282" s="753"/>
      <c r="AP282" s="753"/>
      <c r="AQ282" s="753"/>
      <c r="AR282" s="753"/>
      <c r="AS282" s="753"/>
      <c r="AT282" s="753"/>
      <c r="AU282" s="753"/>
      <c r="AV282" s="753"/>
    </row>
    <row r="283" spans="1:48" s="323" customFormat="1" ht="3.75" customHeight="1">
      <c r="C283" s="516"/>
      <c r="D283" s="516"/>
      <c r="E283" s="278"/>
      <c r="F283" s="278"/>
      <c r="G283" s="278"/>
      <c r="H283" s="278"/>
      <c r="I283" s="278"/>
      <c r="J283" s="278"/>
      <c r="K283" s="278"/>
      <c r="L283" s="278"/>
      <c r="M283" s="278"/>
      <c r="N283" s="278"/>
      <c r="O283" s="278"/>
      <c r="P283" s="278"/>
      <c r="Q283" s="278"/>
      <c r="R283" s="278"/>
      <c r="S283" s="278"/>
      <c r="T283" s="278"/>
      <c r="U283" s="278"/>
      <c r="V283" s="278"/>
      <c r="W283" s="278"/>
      <c r="X283" s="278"/>
      <c r="Y283" s="278"/>
      <c r="Z283" s="278"/>
      <c r="AA283" s="278"/>
      <c r="AB283" s="278"/>
      <c r="AC283" s="278"/>
      <c r="AD283" s="278"/>
      <c r="AE283" s="278"/>
      <c r="AF283" s="278"/>
      <c r="AG283" s="278"/>
      <c r="AH283" s="278"/>
      <c r="AI283" s="278"/>
      <c r="AJ283" s="278"/>
      <c r="AK283" s="278"/>
      <c r="AL283" s="278"/>
      <c r="AM283" s="278"/>
      <c r="AN283" s="278"/>
      <c r="AO283" s="278"/>
      <c r="AP283" s="278"/>
      <c r="AQ283" s="278"/>
      <c r="AR283" s="278"/>
      <c r="AS283" s="278"/>
      <c r="AT283" s="278"/>
      <c r="AU283" s="278"/>
      <c r="AV283" s="278"/>
    </row>
    <row r="284" spans="1:48" s="323" customFormat="1" ht="29.25" customHeight="1">
      <c r="C284" s="1063" t="s">
        <v>4529</v>
      </c>
      <c r="D284" s="1063"/>
      <c r="E284" s="753" t="s">
        <v>4538</v>
      </c>
      <c r="F284" s="753"/>
      <c r="G284" s="753"/>
      <c r="H284" s="753"/>
      <c r="I284" s="753"/>
      <c r="J284" s="753"/>
      <c r="K284" s="753"/>
      <c r="L284" s="753"/>
      <c r="M284" s="753"/>
      <c r="N284" s="753"/>
      <c r="O284" s="753"/>
      <c r="P284" s="753"/>
      <c r="Q284" s="753"/>
      <c r="R284" s="753"/>
      <c r="S284" s="753"/>
      <c r="T284" s="753"/>
      <c r="U284" s="753"/>
      <c r="V284" s="753"/>
      <c r="W284" s="753"/>
      <c r="X284" s="753"/>
      <c r="Y284" s="753"/>
      <c r="Z284" s="753"/>
      <c r="AA284" s="753"/>
      <c r="AB284" s="753"/>
      <c r="AC284" s="753"/>
      <c r="AD284" s="753"/>
      <c r="AE284" s="753"/>
      <c r="AF284" s="753"/>
      <c r="AG284" s="753"/>
      <c r="AH284" s="753"/>
      <c r="AI284" s="753"/>
      <c r="AJ284" s="753"/>
      <c r="AK284" s="753"/>
      <c r="AL284" s="753"/>
      <c r="AM284" s="753"/>
      <c r="AN284" s="753"/>
      <c r="AO284" s="753"/>
      <c r="AP284" s="753"/>
      <c r="AQ284" s="753"/>
      <c r="AR284" s="753"/>
      <c r="AS284" s="753"/>
      <c r="AT284" s="753"/>
      <c r="AU284" s="753"/>
      <c r="AV284" s="753"/>
    </row>
    <row r="285" spans="1:48" s="323" customFormat="1" ht="3.75" customHeight="1">
      <c r="C285" s="516"/>
      <c r="D285" s="516"/>
      <c r="E285" s="278"/>
      <c r="F285" s="278"/>
      <c r="G285" s="278"/>
      <c r="H285" s="278"/>
      <c r="I285" s="278"/>
      <c r="J285" s="278"/>
      <c r="K285" s="278"/>
      <c r="L285" s="278"/>
      <c r="M285" s="278"/>
      <c r="N285" s="278"/>
      <c r="O285" s="278"/>
      <c r="P285" s="278"/>
      <c r="Q285" s="278"/>
      <c r="R285" s="278"/>
      <c r="S285" s="278"/>
      <c r="T285" s="278"/>
      <c r="U285" s="278"/>
      <c r="V285" s="278"/>
      <c r="W285" s="278"/>
      <c r="X285" s="278"/>
      <c r="Y285" s="278"/>
      <c r="Z285" s="278"/>
      <c r="AA285" s="278"/>
      <c r="AB285" s="278"/>
      <c r="AC285" s="278"/>
      <c r="AD285" s="278"/>
      <c r="AE285" s="278"/>
      <c r="AF285" s="278"/>
      <c r="AG285" s="278"/>
      <c r="AH285" s="278"/>
      <c r="AI285" s="278"/>
      <c r="AJ285" s="278"/>
      <c r="AK285" s="278"/>
      <c r="AL285" s="278"/>
      <c r="AM285" s="278"/>
      <c r="AN285" s="278"/>
      <c r="AO285" s="278"/>
      <c r="AP285" s="278"/>
      <c r="AQ285" s="278"/>
      <c r="AR285" s="278"/>
      <c r="AS285" s="278"/>
      <c r="AT285" s="278"/>
      <c r="AU285" s="278"/>
      <c r="AV285" s="278"/>
    </row>
    <row r="286" spans="1:48" s="323" customFormat="1" ht="43.9" customHeight="1">
      <c r="C286" s="1063" t="s">
        <v>4529</v>
      </c>
      <c r="D286" s="1063"/>
      <c r="E286" s="753" t="s">
        <v>4539</v>
      </c>
      <c r="F286" s="753"/>
      <c r="G286" s="753"/>
      <c r="H286" s="753"/>
      <c r="I286" s="753"/>
      <c r="J286" s="753"/>
      <c r="K286" s="753"/>
      <c r="L286" s="753"/>
      <c r="M286" s="753"/>
      <c r="N286" s="753"/>
      <c r="O286" s="753"/>
      <c r="P286" s="753"/>
      <c r="Q286" s="753"/>
      <c r="R286" s="753"/>
      <c r="S286" s="753"/>
      <c r="T286" s="753"/>
      <c r="U286" s="753"/>
      <c r="V286" s="753"/>
      <c r="W286" s="753"/>
      <c r="X286" s="753"/>
      <c r="Y286" s="753"/>
      <c r="Z286" s="753"/>
      <c r="AA286" s="753"/>
      <c r="AB286" s="753"/>
      <c r="AC286" s="753"/>
      <c r="AD286" s="753"/>
      <c r="AE286" s="753"/>
      <c r="AF286" s="753"/>
      <c r="AG286" s="753"/>
      <c r="AH286" s="753"/>
      <c r="AI286" s="753"/>
      <c r="AJ286" s="753"/>
      <c r="AK286" s="753"/>
      <c r="AL286" s="753"/>
      <c r="AM286" s="753"/>
      <c r="AN286" s="753"/>
      <c r="AO286" s="753"/>
      <c r="AP286" s="753"/>
      <c r="AQ286" s="753"/>
      <c r="AR286" s="753"/>
      <c r="AS286" s="753"/>
      <c r="AT286" s="753"/>
      <c r="AU286" s="753"/>
      <c r="AV286" s="753"/>
    </row>
    <row r="287" spans="1:48" ht="18.75" customHeight="1">
      <c r="A287" s="1082" t="s">
        <v>4540</v>
      </c>
      <c r="B287" s="1083"/>
      <c r="C287" s="1083"/>
      <c r="D287" s="1083"/>
      <c r="E287" s="1083"/>
      <c r="F287" s="1083"/>
      <c r="G287" s="1083"/>
      <c r="H287" s="1083"/>
      <c r="I287" s="1083"/>
      <c r="J287" s="1083"/>
      <c r="K287" s="1083"/>
      <c r="L287" s="1083"/>
      <c r="M287" s="1083"/>
      <c r="N287" s="1083"/>
      <c r="O287" s="1083"/>
      <c r="P287" s="1083"/>
      <c r="Q287" s="1083"/>
      <c r="R287" s="1083"/>
      <c r="S287" s="1083"/>
      <c r="T287" s="1083"/>
      <c r="U287" s="1083"/>
      <c r="V287" s="1083"/>
      <c r="W287" s="1083"/>
      <c r="X287" s="1083"/>
      <c r="Y287" s="1083"/>
      <c r="Z287" s="1083"/>
      <c r="AA287" s="1083"/>
      <c r="AB287" s="1083"/>
      <c r="AC287" s="1083"/>
      <c r="AD287" s="1083"/>
      <c r="AE287" s="1083"/>
      <c r="AF287" s="1083"/>
      <c r="AG287" s="1083"/>
      <c r="AH287" s="1083"/>
      <c r="AI287" s="1083"/>
      <c r="AJ287" s="1083"/>
      <c r="AK287" s="1083"/>
      <c r="AL287" s="1083"/>
      <c r="AM287" s="1083"/>
      <c r="AN287" s="1083"/>
      <c r="AO287" s="1083"/>
      <c r="AP287" s="1083"/>
      <c r="AQ287" s="1083"/>
      <c r="AR287" s="1083"/>
      <c r="AS287" s="1083"/>
      <c r="AT287" s="1083"/>
      <c r="AU287" s="1083"/>
      <c r="AV287" s="1083"/>
    </row>
    <row r="288" spans="1:48" ht="14.1" customHeight="1">
      <c r="A288" s="759" t="s">
        <v>4504</v>
      </c>
      <c r="B288" s="739"/>
      <c r="C288" s="1084" t="s">
        <v>4505</v>
      </c>
      <c r="D288" s="1085"/>
      <c r="E288" s="1085"/>
      <c r="F288" s="1085"/>
      <c r="G288" s="1085"/>
      <c r="H288" s="1085"/>
      <c r="I288" s="1085"/>
      <c r="J288" s="1085"/>
      <c r="K288" s="1085"/>
      <c r="L288" s="1085"/>
      <c r="M288" s="1085"/>
      <c r="N288" s="1085"/>
      <c r="O288" s="1085"/>
      <c r="P288" s="1085"/>
      <c r="Q288" s="1085"/>
      <c r="R288" s="1085"/>
      <c r="S288" s="1085"/>
      <c r="T288" s="1085"/>
      <c r="U288" s="1085"/>
      <c r="V288" s="1085"/>
      <c r="W288" s="1085"/>
      <c r="X288" s="1085"/>
      <c r="Y288" s="1085"/>
      <c r="Z288" s="1085"/>
      <c r="AA288" s="1085"/>
      <c r="AB288" s="1085"/>
      <c r="AC288" s="1085"/>
      <c r="AD288" s="1085"/>
      <c r="AE288" s="1085"/>
      <c r="AF288" s="1085"/>
      <c r="AG288" s="1085"/>
      <c r="AH288" s="1085"/>
      <c r="AI288" s="1085"/>
      <c r="AJ288" s="1085"/>
      <c r="AK288" s="1085"/>
      <c r="AL288" s="1085"/>
      <c r="AM288" s="1085"/>
      <c r="AN288" s="1085"/>
      <c r="AO288" s="1085"/>
      <c r="AP288" s="1085"/>
      <c r="AQ288" s="1085"/>
      <c r="AR288" s="1085"/>
      <c r="AS288" s="1085"/>
      <c r="AT288" s="1085"/>
      <c r="AU288" s="1085"/>
      <c r="AV288" s="1085"/>
    </row>
    <row r="289" spans="1:48" ht="20.100000000000001" customHeight="1">
      <c r="A289" s="1086"/>
      <c r="B289" s="1086"/>
      <c r="C289" s="1087" t="s">
        <v>4541</v>
      </c>
      <c r="D289" s="1087"/>
      <c r="E289" s="1087"/>
      <c r="F289" s="1087"/>
      <c r="G289" s="1087"/>
      <c r="H289" s="1087"/>
      <c r="I289" s="1087"/>
      <c r="J289" s="1087"/>
      <c r="K289" s="1087"/>
      <c r="L289" s="1087"/>
      <c r="M289" s="1087"/>
      <c r="N289" s="1087"/>
      <c r="O289" s="1087"/>
      <c r="P289" s="1087"/>
      <c r="Q289" s="1087"/>
      <c r="R289" s="1087"/>
      <c r="S289" s="1087"/>
      <c r="T289" s="1087"/>
      <c r="U289" s="1087"/>
      <c r="V289" s="1087"/>
      <c r="W289" s="1087"/>
      <c r="X289" s="1087"/>
      <c r="Y289" s="1087"/>
      <c r="Z289" s="1087"/>
      <c r="AA289" s="1087"/>
      <c r="AB289" s="1087"/>
      <c r="AC289" s="1087"/>
      <c r="AD289" s="1087"/>
      <c r="AE289" s="1087"/>
      <c r="AF289" s="1087"/>
      <c r="AG289" s="1087"/>
      <c r="AH289" s="1087"/>
      <c r="AI289" s="1087"/>
      <c r="AJ289" s="1087"/>
      <c r="AK289" s="1087"/>
      <c r="AL289" s="1087"/>
      <c r="AM289" s="1087"/>
      <c r="AN289" s="1087"/>
      <c r="AO289" s="1087"/>
      <c r="AP289" s="1087"/>
      <c r="AQ289" s="1087"/>
      <c r="AR289" s="1087"/>
      <c r="AS289" s="1087"/>
      <c r="AT289" s="1087"/>
      <c r="AU289" s="1087"/>
      <c r="AV289" s="1087"/>
    </row>
    <row r="290" spans="1:48" ht="12.95" customHeight="1">
      <c r="C290" s="330"/>
      <c r="D290" s="330"/>
      <c r="H290" s="284"/>
      <c r="J290" s="331"/>
      <c r="S290" s="331" t="str">
        <f>+S10</f>
        <v xml:space="preserve">  INFORME N°26</v>
      </c>
      <c r="U290" s="332"/>
      <c r="V290" s="333"/>
      <c r="AB290" s="1088">
        <f>+AB94</f>
        <v>0</v>
      </c>
      <c r="AC290" s="1089"/>
      <c r="AD290" s="1089"/>
      <c r="AE290" s="1089"/>
      <c r="AF290" s="1089"/>
    </row>
    <row r="291" spans="1:48" ht="18" customHeight="1">
      <c r="A291" s="1067">
        <v>1</v>
      </c>
      <c r="B291" s="1043"/>
      <c r="C291" s="521" t="s">
        <v>4542</v>
      </c>
      <c r="D291" s="341"/>
      <c r="E291" s="341"/>
      <c r="F291" s="341"/>
      <c r="G291" s="341"/>
      <c r="H291" s="341"/>
      <c r="I291" s="341"/>
      <c r="J291" s="522"/>
      <c r="K291" s="341"/>
      <c r="L291" s="341"/>
      <c r="M291" s="341"/>
      <c r="N291" s="341"/>
      <c r="O291" s="341"/>
    </row>
    <row r="292" spans="1:48" ht="52.5" customHeight="1">
      <c r="C292" s="1027" t="s">
        <v>4543</v>
      </c>
      <c r="D292" s="739"/>
      <c r="E292" s="739"/>
      <c r="F292" s="739"/>
      <c r="G292" s="739"/>
      <c r="H292" s="739"/>
      <c r="I292" s="739"/>
      <c r="J292" s="739"/>
      <c r="K292" s="739"/>
      <c r="L292" s="739"/>
      <c r="M292" s="739"/>
      <c r="N292" s="739"/>
      <c r="O292" s="739"/>
      <c r="P292" s="739"/>
      <c r="Q292" s="739"/>
      <c r="R292" s="739"/>
      <c r="S292" s="739"/>
      <c r="T292" s="739"/>
      <c r="U292" s="739"/>
      <c r="V292" s="739"/>
      <c r="W292" s="739"/>
      <c r="X292" s="739"/>
      <c r="Y292" s="739"/>
      <c r="Z292" s="739"/>
      <c r="AA292" s="739"/>
      <c r="AB292" s="739"/>
      <c r="AC292" s="739"/>
      <c r="AD292" s="739"/>
      <c r="AE292" s="739"/>
      <c r="AF292" s="739"/>
      <c r="AG292" s="739"/>
      <c r="AH292" s="739"/>
      <c r="AI292" s="739"/>
      <c r="AJ292" s="739"/>
      <c r="AK292" s="739"/>
      <c r="AL292" s="739"/>
      <c r="AM292" s="739"/>
      <c r="AN292" s="739"/>
      <c r="AO292" s="739"/>
      <c r="AP292" s="739"/>
      <c r="AQ292" s="739"/>
      <c r="AR292" s="739"/>
      <c r="AS292" s="739"/>
      <c r="AT292" s="739"/>
      <c r="AU292" s="739"/>
      <c r="AV292" s="739"/>
    </row>
    <row r="293" spans="1:48" ht="2.25" customHeight="1"/>
    <row r="294" spans="1:48" s="323" customFormat="1" ht="13.5">
      <c r="C294" s="1068" t="s">
        <v>4544</v>
      </c>
      <c r="D294" s="1069"/>
      <c r="E294" s="1069"/>
      <c r="F294" s="1069"/>
      <c r="G294" s="1069"/>
      <c r="H294" s="1069"/>
      <c r="I294" s="1069"/>
      <c r="J294" s="1069"/>
      <c r="K294" s="1069"/>
      <c r="L294" s="1069"/>
      <c r="M294" s="1069"/>
      <c r="N294" s="1069"/>
      <c r="O294" s="1069"/>
      <c r="P294" s="1069"/>
      <c r="Q294" s="1069"/>
      <c r="R294" s="1069"/>
      <c r="S294" s="1069"/>
      <c r="T294" s="1069"/>
      <c r="U294" s="1069"/>
      <c r="V294" s="1069"/>
      <c r="W294" s="1069"/>
      <c r="X294" s="1069"/>
      <c r="Y294" s="1069"/>
      <c r="Z294" s="1069"/>
      <c r="AA294" s="1069"/>
      <c r="AB294" s="1069"/>
      <c r="AC294" s="1069"/>
      <c r="AD294" s="1069"/>
      <c r="AE294" s="1069"/>
      <c r="AF294" s="1069"/>
      <c r="AG294" s="1069"/>
      <c r="AH294" s="1069"/>
      <c r="AI294" s="1069"/>
      <c r="AJ294" s="1069"/>
      <c r="AK294" s="1069"/>
      <c r="AL294" s="1069"/>
      <c r="AM294" s="1069"/>
      <c r="AN294" s="1069"/>
      <c r="AO294" s="1069"/>
      <c r="AP294" s="1069"/>
      <c r="AQ294" s="1069"/>
      <c r="AR294" s="1069"/>
      <c r="AS294" s="1069"/>
      <c r="AT294" s="1069"/>
      <c r="AU294" s="1069"/>
      <c r="AV294" s="1070"/>
    </row>
    <row r="295" spans="1:48" ht="3" customHeight="1">
      <c r="M295" s="525"/>
      <c r="N295" s="525"/>
      <c r="O295" s="525"/>
      <c r="P295" s="525"/>
      <c r="Q295" s="525"/>
      <c r="R295" s="525"/>
      <c r="S295" s="525"/>
      <c r="T295" s="525"/>
    </row>
    <row r="296" spans="1:48" s="526" customFormat="1" ht="81.75" customHeight="1">
      <c r="C296" s="1071" t="s">
        <v>4419</v>
      </c>
      <c r="D296" s="1072"/>
      <c r="E296" s="1072"/>
      <c r="F296" s="1072"/>
      <c r="G296" s="1072"/>
      <c r="H296" s="1072"/>
      <c r="I296" s="1072"/>
      <c r="J296" s="1072"/>
      <c r="K296" s="1072"/>
      <c r="L296" s="1072"/>
      <c r="M296" s="1072"/>
      <c r="N296" s="1072"/>
      <c r="O296" s="1072"/>
      <c r="P296" s="1072"/>
      <c r="Q296" s="1072"/>
      <c r="R296" s="1073" t="s">
        <v>4545</v>
      </c>
      <c r="S296" s="1074"/>
      <c r="T296" s="1075"/>
      <c r="U296" s="1073" t="s">
        <v>4546</v>
      </c>
      <c r="V296" s="1074"/>
      <c r="W296" s="1075"/>
      <c r="X296" s="1076" t="s">
        <v>4547</v>
      </c>
      <c r="Y296" s="1077"/>
      <c r="Z296" s="1078"/>
      <c r="AA296" s="1076" t="s">
        <v>4548</v>
      </c>
      <c r="AB296" s="1077"/>
      <c r="AC296" s="1078"/>
      <c r="AD296" s="1079" t="s">
        <v>4549</v>
      </c>
      <c r="AE296" s="1080"/>
      <c r="AF296" s="1081"/>
      <c r="AG296" s="1081"/>
      <c r="AH296" s="1081"/>
      <c r="AI296" s="1079" t="s">
        <v>4550</v>
      </c>
      <c r="AJ296" s="1080"/>
      <c r="AK296" s="1081"/>
      <c r="AL296" s="1081"/>
      <c r="AM296" s="1081"/>
      <c r="AN296" s="1079" t="s">
        <v>4551</v>
      </c>
      <c r="AO296" s="1108"/>
      <c r="AP296" s="1108"/>
      <c r="AQ296" s="1108"/>
      <c r="AR296" s="1108"/>
      <c r="AS296" s="1109" t="s">
        <v>4552</v>
      </c>
      <c r="AT296" s="1110"/>
      <c r="AU296" s="1111"/>
      <c r="AV296" s="1111"/>
    </row>
    <row r="297" spans="1:48" s="527" customFormat="1" ht="13.5">
      <c r="C297" s="1112" t="s">
        <v>4553</v>
      </c>
      <c r="D297" s="1113"/>
      <c r="E297" s="1113"/>
      <c r="F297" s="1113"/>
      <c r="G297" s="1113"/>
      <c r="H297" s="1113"/>
      <c r="I297" s="1113"/>
      <c r="J297" s="1113"/>
      <c r="K297" s="1113"/>
      <c r="L297" s="1113"/>
      <c r="M297" s="1113"/>
      <c r="N297" s="1113"/>
      <c r="O297" s="1113"/>
      <c r="P297" s="1113"/>
      <c r="Q297" s="1113"/>
      <c r="R297" s="1113"/>
      <c r="S297" s="1113"/>
      <c r="T297" s="1113"/>
      <c r="U297" s="1113"/>
      <c r="V297" s="1113"/>
      <c r="W297" s="1113"/>
      <c r="X297" s="1113"/>
      <c r="Y297" s="1113"/>
      <c r="Z297" s="1113"/>
      <c r="AA297" s="1113"/>
      <c r="AB297" s="1113"/>
      <c r="AC297" s="1113"/>
      <c r="AD297" s="1113"/>
      <c r="AE297" s="1113"/>
      <c r="AF297" s="1113"/>
      <c r="AG297" s="1113"/>
      <c r="AH297" s="1113"/>
      <c r="AI297" s="1113"/>
      <c r="AJ297" s="1113"/>
      <c r="AK297" s="1113"/>
      <c r="AL297" s="1113"/>
      <c r="AM297" s="1113"/>
      <c r="AN297" s="1113"/>
      <c r="AO297" s="1113"/>
      <c r="AP297" s="1113"/>
      <c r="AQ297" s="1113"/>
      <c r="AR297" s="1113"/>
      <c r="AS297" s="1113"/>
      <c r="AT297" s="1113"/>
      <c r="AU297" s="1113"/>
      <c r="AV297" s="1114"/>
    </row>
    <row r="298" spans="1:48" s="528" customFormat="1" ht="81" customHeight="1">
      <c r="C298" s="1115" t="s">
        <v>4649</v>
      </c>
      <c r="D298" s="1106"/>
      <c r="E298" s="1106"/>
      <c r="F298" s="1106"/>
      <c r="G298" s="1106"/>
      <c r="H298" s="1106"/>
      <c r="I298" s="1106"/>
      <c r="J298" s="1106"/>
      <c r="K298" s="1106"/>
      <c r="L298" s="1106"/>
      <c r="M298" s="1106"/>
      <c r="N298" s="1106"/>
      <c r="O298" s="1106"/>
      <c r="P298" s="1106"/>
      <c r="Q298" s="1107"/>
      <c r="R298" s="1090"/>
      <c r="S298" s="1091"/>
      <c r="T298" s="1092"/>
      <c r="U298" s="1090"/>
      <c r="V298" s="1091"/>
      <c r="W298" s="1092"/>
      <c r="X298" s="1090"/>
      <c r="Y298" s="1091"/>
      <c r="Z298" s="1092"/>
      <c r="AA298" s="1090"/>
      <c r="AB298" s="1091"/>
      <c r="AC298" s="1092"/>
      <c r="AD298" s="1090"/>
      <c r="AE298" s="1091"/>
      <c r="AF298" s="1091"/>
      <c r="AG298" s="1091"/>
      <c r="AH298" s="1092"/>
      <c r="AI298" s="1090"/>
      <c r="AJ298" s="1091"/>
      <c r="AK298" s="1091"/>
      <c r="AL298" s="1091"/>
      <c r="AM298" s="1092"/>
      <c r="AN298" s="1090">
        <f>+AD298-AI298</f>
        <v>0</v>
      </c>
      <c r="AO298" s="1091"/>
      <c r="AP298" s="1091"/>
      <c r="AQ298" s="1091"/>
      <c r="AR298" s="1092"/>
      <c r="AS298" s="1096" t="e">
        <f>+AN298/X298</f>
        <v>#DIV/0!</v>
      </c>
      <c r="AT298" s="1097"/>
      <c r="AU298" s="1097"/>
      <c r="AV298" s="1098"/>
    </row>
    <row r="299" spans="1:48" s="528" customFormat="1" ht="15" customHeight="1">
      <c r="C299" s="1102"/>
      <c r="D299" s="1103"/>
      <c r="E299" s="1103"/>
      <c r="F299" s="1103"/>
      <c r="G299" s="1103"/>
      <c r="H299" s="1103"/>
      <c r="I299" s="1103"/>
      <c r="J299" s="1103"/>
      <c r="K299" s="1103">
        <v>0</v>
      </c>
      <c r="L299" s="1103"/>
      <c r="M299" s="1103"/>
      <c r="N299" s="1103"/>
      <c r="O299" s="1103"/>
      <c r="P299" s="1103"/>
      <c r="Q299" s="1104"/>
      <c r="R299" s="1093"/>
      <c r="S299" s="1094"/>
      <c r="T299" s="1095"/>
      <c r="U299" s="1093"/>
      <c r="V299" s="1094"/>
      <c r="W299" s="1095"/>
      <c r="X299" s="1093"/>
      <c r="Y299" s="1094"/>
      <c r="Z299" s="1095"/>
      <c r="AA299" s="1093"/>
      <c r="AB299" s="1094"/>
      <c r="AC299" s="1095"/>
      <c r="AD299" s="1093"/>
      <c r="AE299" s="1094"/>
      <c r="AF299" s="1094"/>
      <c r="AG299" s="1094"/>
      <c r="AH299" s="1095"/>
      <c r="AI299" s="1093"/>
      <c r="AJ299" s="1094"/>
      <c r="AK299" s="1094"/>
      <c r="AL299" s="1094"/>
      <c r="AM299" s="1095"/>
      <c r="AN299" s="1093"/>
      <c r="AO299" s="1094"/>
      <c r="AP299" s="1094"/>
      <c r="AQ299" s="1094"/>
      <c r="AR299" s="1095"/>
      <c r="AS299" s="1099"/>
      <c r="AT299" s="1100"/>
      <c r="AU299" s="1100"/>
      <c r="AV299" s="1101"/>
    </row>
    <row r="300" spans="1:48" s="528" customFormat="1" ht="84.75" customHeight="1">
      <c r="C300" s="1105"/>
      <c r="D300" s="1106"/>
      <c r="E300" s="1106"/>
      <c r="F300" s="1106"/>
      <c r="G300" s="1106"/>
      <c r="H300" s="1106"/>
      <c r="I300" s="1106"/>
      <c r="J300" s="1106"/>
      <c r="K300" s="1106"/>
      <c r="L300" s="1106"/>
      <c r="M300" s="1106"/>
      <c r="N300" s="1106"/>
      <c r="O300" s="1106"/>
      <c r="P300" s="1106"/>
      <c r="Q300" s="1107"/>
      <c r="R300" s="1090"/>
      <c r="S300" s="1091"/>
      <c r="T300" s="1092"/>
      <c r="U300" s="1090"/>
      <c r="V300" s="1091"/>
      <c r="W300" s="1092"/>
      <c r="X300" s="1090"/>
      <c r="Y300" s="1091"/>
      <c r="Z300" s="1092"/>
      <c r="AA300" s="1090"/>
      <c r="AB300" s="1091"/>
      <c r="AC300" s="1092"/>
      <c r="AD300" s="1090"/>
      <c r="AE300" s="1091"/>
      <c r="AF300" s="1091"/>
      <c r="AG300" s="1091"/>
      <c r="AH300" s="1092"/>
      <c r="AI300" s="1090"/>
      <c r="AJ300" s="1091"/>
      <c r="AK300" s="1091"/>
      <c r="AL300" s="1091"/>
      <c r="AM300" s="1092"/>
      <c r="AN300" s="1090">
        <f>+AD300-AI300</f>
        <v>0</v>
      </c>
      <c r="AO300" s="1091"/>
      <c r="AP300" s="1091"/>
      <c r="AQ300" s="1091"/>
      <c r="AR300" s="1092"/>
      <c r="AS300" s="1096" t="e">
        <f>+AN300/X300</f>
        <v>#DIV/0!</v>
      </c>
      <c r="AT300" s="1097"/>
      <c r="AU300" s="1097"/>
      <c r="AV300" s="1098"/>
    </row>
    <row r="301" spans="1:48" s="528" customFormat="1" ht="15" customHeight="1">
      <c r="C301" s="1102"/>
      <c r="D301" s="1103"/>
      <c r="E301" s="1103"/>
      <c r="F301" s="1103"/>
      <c r="G301" s="1103"/>
      <c r="H301" s="1103"/>
      <c r="I301" s="1103"/>
      <c r="J301" s="1103"/>
      <c r="K301" s="1103">
        <v>0</v>
      </c>
      <c r="L301" s="1103"/>
      <c r="M301" s="1103"/>
      <c r="N301" s="1103"/>
      <c r="O301" s="1103"/>
      <c r="P301" s="1103"/>
      <c r="Q301" s="1104"/>
      <c r="R301" s="1093"/>
      <c r="S301" s="1094"/>
      <c r="T301" s="1095"/>
      <c r="U301" s="1093"/>
      <c r="V301" s="1094"/>
      <c r="W301" s="1095"/>
      <c r="X301" s="1093"/>
      <c r="Y301" s="1094"/>
      <c r="Z301" s="1095"/>
      <c r="AA301" s="1093"/>
      <c r="AB301" s="1094"/>
      <c r="AC301" s="1095"/>
      <c r="AD301" s="1093"/>
      <c r="AE301" s="1094"/>
      <c r="AF301" s="1094"/>
      <c r="AG301" s="1094"/>
      <c r="AH301" s="1095"/>
      <c r="AI301" s="1093"/>
      <c r="AJ301" s="1094"/>
      <c r="AK301" s="1094"/>
      <c r="AL301" s="1094"/>
      <c r="AM301" s="1095"/>
      <c r="AN301" s="1093"/>
      <c r="AO301" s="1094"/>
      <c r="AP301" s="1094"/>
      <c r="AQ301" s="1094"/>
      <c r="AR301" s="1095"/>
      <c r="AS301" s="1099"/>
      <c r="AT301" s="1100"/>
      <c r="AU301" s="1100"/>
      <c r="AV301" s="1101"/>
    </row>
    <row r="302" spans="1:48" s="528" customFormat="1" ht="84.75" customHeight="1">
      <c r="C302" s="1105"/>
      <c r="D302" s="1106"/>
      <c r="E302" s="1106"/>
      <c r="F302" s="1106"/>
      <c r="G302" s="1106"/>
      <c r="H302" s="1106"/>
      <c r="I302" s="1106"/>
      <c r="J302" s="1106"/>
      <c r="K302" s="1106"/>
      <c r="L302" s="1106"/>
      <c r="M302" s="1106"/>
      <c r="N302" s="1106"/>
      <c r="O302" s="1106"/>
      <c r="P302" s="1106"/>
      <c r="Q302" s="1107"/>
      <c r="R302" s="1090"/>
      <c r="S302" s="1091"/>
      <c r="T302" s="1092"/>
      <c r="U302" s="1090"/>
      <c r="V302" s="1091"/>
      <c r="W302" s="1092"/>
      <c r="X302" s="1090"/>
      <c r="Y302" s="1091"/>
      <c r="Z302" s="1092"/>
      <c r="AA302" s="1090"/>
      <c r="AB302" s="1091"/>
      <c r="AC302" s="1092"/>
      <c r="AD302" s="1090"/>
      <c r="AE302" s="1091"/>
      <c r="AF302" s="1091"/>
      <c r="AG302" s="1091"/>
      <c r="AH302" s="1092"/>
      <c r="AI302" s="1090"/>
      <c r="AJ302" s="1091"/>
      <c r="AK302" s="1091"/>
      <c r="AL302" s="1091"/>
      <c r="AM302" s="1092"/>
      <c r="AN302" s="1090">
        <f>+AD302-AI302</f>
        <v>0</v>
      </c>
      <c r="AO302" s="1091"/>
      <c r="AP302" s="1091"/>
      <c r="AQ302" s="1091"/>
      <c r="AR302" s="1092"/>
      <c r="AS302" s="1096" t="e">
        <f>+AN302/X302</f>
        <v>#DIV/0!</v>
      </c>
      <c r="AT302" s="1097"/>
      <c r="AU302" s="1097"/>
      <c r="AV302" s="1098"/>
    </row>
    <row r="303" spans="1:48" s="528" customFormat="1" ht="15.75" customHeight="1">
      <c r="C303" s="1102"/>
      <c r="D303" s="1103"/>
      <c r="E303" s="1103"/>
      <c r="F303" s="1103"/>
      <c r="G303" s="1103"/>
      <c r="H303" s="1103"/>
      <c r="I303" s="1103"/>
      <c r="J303" s="1103"/>
      <c r="K303" s="1103">
        <v>0</v>
      </c>
      <c r="L303" s="1103"/>
      <c r="M303" s="1103"/>
      <c r="N303" s="1103"/>
      <c r="O303" s="1103"/>
      <c r="P303" s="1103"/>
      <c r="Q303" s="1104"/>
      <c r="R303" s="1093"/>
      <c r="S303" s="1094"/>
      <c r="T303" s="1095"/>
      <c r="U303" s="1093"/>
      <c r="V303" s="1094"/>
      <c r="W303" s="1095"/>
      <c r="X303" s="1093"/>
      <c r="Y303" s="1094"/>
      <c r="Z303" s="1095"/>
      <c r="AA303" s="1093"/>
      <c r="AB303" s="1094"/>
      <c r="AC303" s="1095"/>
      <c r="AD303" s="1093"/>
      <c r="AE303" s="1094"/>
      <c r="AF303" s="1094"/>
      <c r="AG303" s="1094"/>
      <c r="AH303" s="1095"/>
      <c r="AI303" s="1093"/>
      <c r="AJ303" s="1094"/>
      <c r="AK303" s="1094"/>
      <c r="AL303" s="1094"/>
      <c r="AM303" s="1095"/>
      <c r="AN303" s="1093"/>
      <c r="AO303" s="1094"/>
      <c r="AP303" s="1094"/>
      <c r="AQ303" s="1094"/>
      <c r="AR303" s="1095"/>
      <c r="AS303" s="1099"/>
      <c r="AT303" s="1100"/>
      <c r="AU303" s="1100"/>
      <c r="AV303" s="1101"/>
    </row>
    <row r="304" spans="1:48" s="527" customFormat="1" ht="32.25" customHeight="1">
      <c r="C304" s="1116" t="s">
        <v>4554</v>
      </c>
      <c r="D304" s="1113"/>
      <c r="E304" s="1113"/>
      <c r="F304" s="1113"/>
      <c r="G304" s="1113"/>
      <c r="H304" s="1113"/>
      <c r="I304" s="1113"/>
      <c r="J304" s="1113"/>
      <c r="K304" s="1113"/>
      <c r="L304" s="1113"/>
      <c r="M304" s="1113"/>
      <c r="N304" s="1113"/>
      <c r="O304" s="1113"/>
      <c r="P304" s="1113"/>
      <c r="Q304" s="1113"/>
      <c r="R304" s="1113"/>
      <c r="S304" s="1113"/>
      <c r="T304" s="1113"/>
      <c r="U304" s="1113"/>
      <c r="V304" s="1113"/>
      <c r="W304" s="1113"/>
      <c r="X304" s="1113"/>
      <c r="Y304" s="1113"/>
      <c r="Z304" s="1113"/>
      <c r="AA304" s="1113"/>
      <c r="AB304" s="1113"/>
      <c r="AC304" s="1113"/>
      <c r="AD304" s="1113"/>
      <c r="AE304" s="1113"/>
      <c r="AF304" s="1113"/>
      <c r="AG304" s="1113"/>
      <c r="AH304" s="1113"/>
      <c r="AI304" s="1113"/>
      <c r="AJ304" s="1113"/>
      <c r="AK304" s="1113"/>
      <c r="AL304" s="1113"/>
      <c r="AM304" s="1113"/>
      <c r="AN304" s="1113"/>
      <c r="AO304" s="1113"/>
      <c r="AP304" s="1113"/>
      <c r="AQ304" s="1113"/>
      <c r="AR304" s="1113"/>
      <c r="AS304" s="1113"/>
      <c r="AT304" s="1113"/>
      <c r="AU304" s="1113"/>
      <c r="AV304" s="1114"/>
    </row>
    <row r="305" spans="1:48" s="528" customFormat="1" ht="84.75" customHeight="1">
      <c r="C305" s="1105"/>
      <c r="D305" s="1106"/>
      <c r="E305" s="1106"/>
      <c r="F305" s="1106"/>
      <c r="G305" s="1106"/>
      <c r="H305" s="1106"/>
      <c r="I305" s="1106"/>
      <c r="J305" s="1106"/>
      <c r="K305" s="1106"/>
      <c r="L305" s="1106"/>
      <c r="M305" s="1106"/>
      <c r="N305" s="1106"/>
      <c r="O305" s="1106"/>
      <c r="P305" s="1106"/>
      <c r="Q305" s="1107"/>
      <c r="R305" s="1090"/>
      <c r="S305" s="1091"/>
      <c r="T305" s="1092"/>
      <c r="U305" s="1090"/>
      <c r="V305" s="1091"/>
      <c r="W305" s="1092"/>
      <c r="X305" s="1090"/>
      <c r="Y305" s="1091"/>
      <c r="Z305" s="1092"/>
      <c r="AA305" s="1090"/>
      <c r="AB305" s="1091"/>
      <c r="AC305" s="1092"/>
      <c r="AD305" s="1090"/>
      <c r="AE305" s="1091"/>
      <c r="AF305" s="1091"/>
      <c r="AG305" s="1091"/>
      <c r="AH305" s="1092"/>
      <c r="AI305" s="1090"/>
      <c r="AJ305" s="1091"/>
      <c r="AK305" s="1091"/>
      <c r="AL305" s="1091"/>
      <c r="AM305" s="1092"/>
      <c r="AN305" s="1090">
        <f>+AD305-AI305</f>
        <v>0</v>
      </c>
      <c r="AO305" s="1091"/>
      <c r="AP305" s="1091"/>
      <c r="AQ305" s="1091"/>
      <c r="AR305" s="1092"/>
      <c r="AS305" s="1096" t="e">
        <f>+AN305/X305</f>
        <v>#DIV/0!</v>
      </c>
      <c r="AT305" s="1097"/>
      <c r="AU305" s="1097"/>
      <c r="AV305" s="1098"/>
    </row>
    <row r="306" spans="1:48" s="528" customFormat="1" ht="15.75" customHeight="1" thickBot="1">
      <c r="C306" s="1102">
        <v>0</v>
      </c>
      <c r="D306" s="1103"/>
      <c r="E306" s="1103"/>
      <c r="F306" s="1103"/>
      <c r="G306" s="1103"/>
      <c r="H306" s="1103"/>
      <c r="I306" s="1103"/>
      <c r="J306" s="1103"/>
      <c r="K306" s="1103">
        <v>0</v>
      </c>
      <c r="L306" s="1103"/>
      <c r="M306" s="1103"/>
      <c r="N306" s="1103"/>
      <c r="O306" s="1103"/>
      <c r="P306" s="1103"/>
      <c r="Q306" s="1104"/>
      <c r="R306" s="1093"/>
      <c r="S306" s="1094"/>
      <c r="T306" s="1095"/>
      <c r="U306" s="1093"/>
      <c r="V306" s="1094"/>
      <c r="W306" s="1095"/>
      <c r="X306" s="1093"/>
      <c r="Y306" s="1094"/>
      <c r="Z306" s="1095"/>
      <c r="AA306" s="1093"/>
      <c r="AB306" s="1094"/>
      <c r="AC306" s="1095"/>
      <c r="AD306" s="1093"/>
      <c r="AE306" s="1094"/>
      <c r="AF306" s="1094"/>
      <c r="AG306" s="1094"/>
      <c r="AH306" s="1095"/>
      <c r="AI306" s="1093"/>
      <c r="AJ306" s="1094"/>
      <c r="AK306" s="1094"/>
      <c r="AL306" s="1094"/>
      <c r="AM306" s="1095"/>
      <c r="AN306" s="1093"/>
      <c r="AO306" s="1094"/>
      <c r="AP306" s="1094"/>
      <c r="AQ306" s="1094"/>
      <c r="AR306" s="1095"/>
      <c r="AS306" s="1099"/>
      <c r="AT306" s="1100"/>
      <c r="AU306" s="1100"/>
      <c r="AV306" s="1101"/>
    </row>
    <row r="307" spans="1:48" s="268" customFormat="1" ht="21" customHeight="1" thickTop="1">
      <c r="A307" s="268" t="s">
        <v>4555</v>
      </c>
      <c r="B307" s="261"/>
      <c r="C307" s="1123"/>
      <c r="D307" s="1124"/>
      <c r="E307" s="1124"/>
      <c r="F307" s="1124"/>
      <c r="G307" s="1124"/>
      <c r="H307" s="1124"/>
      <c r="I307" s="1124"/>
      <c r="J307" s="1124"/>
      <c r="K307" s="1124"/>
      <c r="L307" s="1124"/>
      <c r="M307" s="1124"/>
      <c r="N307" s="1124"/>
      <c r="O307" s="1124"/>
      <c r="P307" s="1124"/>
      <c r="Q307" s="1124"/>
      <c r="R307" s="1124"/>
      <c r="S307" s="1124"/>
      <c r="T307" s="1124"/>
      <c r="U307" s="1124"/>
      <c r="V307" s="1124"/>
      <c r="W307" s="1124"/>
      <c r="X307" s="1124"/>
      <c r="Y307" s="1124"/>
      <c r="Z307" s="1124"/>
      <c r="AA307" s="1124"/>
      <c r="AB307" s="1124"/>
      <c r="AC307" s="1124"/>
      <c r="AD307" s="1124"/>
      <c r="AE307" s="1124"/>
      <c r="AF307" s="1124"/>
      <c r="AG307" s="1124"/>
      <c r="AH307" s="1124"/>
      <c r="AI307" s="1124"/>
      <c r="AJ307" s="1124"/>
      <c r="AK307" s="1124"/>
      <c r="AL307" s="1124"/>
      <c r="AM307" s="1124"/>
      <c r="AN307" s="1124"/>
      <c r="AO307" s="1124"/>
      <c r="AP307" s="1124"/>
      <c r="AQ307" s="1124"/>
      <c r="AR307" s="1124"/>
      <c r="AS307" s="1124"/>
      <c r="AT307" s="1124"/>
      <c r="AU307" s="1124"/>
      <c r="AV307" s="1125"/>
    </row>
    <row r="308" spans="1:48" s="268" customFormat="1" ht="21" customHeight="1">
      <c r="A308" s="261"/>
      <c r="B308" s="261"/>
      <c r="C308" s="1126"/>
      <c r="D308" s="1085"/>
      <c r="E308" s="1085"/>
      <c r="F308" s="1085"/>
      <c r="G308" s="1085"/>
      <c r="H308" s="1085"/>
      <c r="I308" s="1085"/>
      <c r="J308" s="1085"/>
      <c r="K308" s="1085"/>
      <c r="L308" s="1085"/>
      <c r="M308" s="1085"/>
      <c r="N308" s="1085"/>
      <c r="O308" s="1085"/>
      <c r="P308" s="1085"/>
      <c r="Q308" s="1085"/>
      <c r="R308" s="1085"/>
      <c r="S308" s="1085"/>
      <c r="T308" s="1085"/>
      <c r="U308" s="1085"/>
      <c r="V308" s="1085"/>
      <c r="W308" s="1085"/>
      <c r="X308" s="1085"/>
      <c r="Y308" s="1085"/>
      <c r="Z308" s="1085"/>
      <c r="AA308" s="1085"/>
      <c r="AB308" s="1085"/>
      <c r="AC308" s="1085"/>
      <c r="AD308" s="1085"/>
      <c r="AE308" s="1085"/>
      <c r="AF308" s="1085"/>
      <c r="AG308" s="1085"/>
      <c r="AH308" s="1085"/>
      <c r="AI308" s="1085"/>
      <c r="AJ308" s="1085"/>
      <c r="AK308" s="1085"/>
      <c r="AL308" s="1085"/>
      <c r="AM308" s="1085"/>
      <c r="AN308" s="1085"/>
      <c r="AO308" s="1085"/>
      <c r="AP308" s="1085"/>
      <c r="AQ308" s="1085"/>
      <c r="AR308" s="1085"/>
      <c r="AS308" s="1085"/>
      <c r="AT308" s="1085"/>
      <c r="AU308" s="1085"/>
      <c r="AV308" s="1127"/>
    </row>
    <row r="309" spans="1:48" s="268" customFormat="1" ht="21" customHeight="1">
      <c r="A309" s="261"/>
      <c r="B309" s="261"/>
      <c r="C309" s="1126"/>
      <c r="D309" s="1085"/>
      <c r="E309" s="1085"/>
      <c r="F309" s="1085"/>
      <c r="G309" s="1085"/>
      <c r="H309" s="1085"/>
      <c r="I309" s="1085"/>
      <c r="J309" s="1085"/>
      <c r="K309" s="1085"/>
      <c r="L309" s="1085"/>
      <c r="M309" s="1085"/>
      <c r="N309" s="1085"/>
      <c r="O309" s="1085"/>
      <c r="P309" s="1085"/>
      <c r="Q309" s="1085"/>
      <c r="R309" s="1085"/>
      <c r="S309" s="1085"/>
      <c r="T309" s="1085"/>
      <c r="U309" s="1085"/>
      <c r="V309" s="1085"/>
      <c r="W309" s="1085"/>
      <c r="X309" s="1085"/>
      <c r="Y309" s="1085"/>
      <c r="Z309" s="1085"/>
      <c r="AA309" s="1085"/>
      <c r="AB309" s="1085"/>
      <c r="AC309" s="1085"/>
      <c r="AD309" s="1085"/>
      <c r="AE309" s="1085"/>
      <c r="AF309" s="1085"/>
      <c r="AG309" s="1085"/>
      <c r="AH309" s="1085"/>
      <c r="AI309" s="1085"/>
      <c r="AJ309" s="1085"/>
      <c r="AK309" s="1085"/>
      <c r="AL309" s="1085"/>
      <c r="AM309" s="1085"/>
      <c r="AN309" s="1085"/>
      <c r="AO309" s="1085"/>
      <c r="AP309" s="1085"/>
      <c r="AQ309" s="1085"/>
      <c r="AR309" s="1085"/>
      <c r="AS309" s="1085"/>
      <c r="AT309" s="1085"/>
      <c r="AU309" s="1085"/>
      <c r="AV309" s="1127"/>
    </row>
    <row r="310" spans="1:48" s="268" customFormat="1" ht="21" customHeight="1">
      <c r="A310" s="261"/>
      <c r="B310" s="261"/>
      <c r="C310" s="1126"/>
      <c r="D310" s="1085"/>
      <c r="E310" s="1085"/>
      <c r="F310" s="1085"/>
      <c r="G310" s="1085"/>
      <c r="H310" s="1085"/>
      <c r="I310" s="1085"/>
      <c r="J310" s="1085"/>
      <c r="K310" s="1085"/>
      <c r="L310" s="1085"/>
      <c r="M310" s="1085"/>
      <c r="N310" s="1085"/>
      <c r="O310" s="1085"/>
      <c r="P310" s="1085"/>
      <c r="Q310" s="1085"/>
      <c r="R310" s="1085"/>
      <c r="S310" s="1085"/>
      <c r="T310" s="1085"/>
      <c r="U310" s="1085"/>
      <c r="V310" s="1085"/>
      <c r="W310" s="1085"/>
      <c r="X310" s="1085"/>
      <c r="Y310" s="1085"/>
      <c r="Z310" s="1085"/>
      <c r="AA310" s="1085"/>
      <c r="AB310" s="1085"/>
      <c r="AC310" s="1085"/>
      <c r="AD310" s="1085"/>
      <c r="AE310" s="1085"/>
      <c r="AF310" s="1085"/>
      <c r="AG310" s="1085"/>
      <c r="AH310" s="1085"/>
      <c r="AI310" s="1085"/>
      <c r="AJ310" s="1085"/>
      <c r="AK310" s="1085"/>
      <c r="AL310" s="1085"/>
      <c r="AM310" s="1085"/>
      <c r="AN310" s="1085"/>
      <c r="AO310" s="1085"/>
      <c r="AP310" s="1085"/>
      <c r="AQ310" s="1085"/>
      <c r="AR310" s="1085"/>
      <c r="AS310" s="1085"/>
      <c r="AT310" s="1085"/>
      <c r="AU310" s="1085"/>
      <c r="AV310" s="1127"/>
    </row>
    <row r="311" spans="1:48" s="268" customFormat="1" ht="21" customHeight="1">
      <c r="A311" s="261"/>
      <c r="B311" s="261"/>
      <c r="C311" s="1126"/>
      <c r="D311" s="1085"/>
      <c r="E311" s="1085"/>
      <c r="F311" s="1085"/>
      <c r="G311" s="1085"/>
      <c r="H311" s="1085"/>
      <c r="I311" s="1085"/>
      <c r="J311" s="1085"/>
      <c r="K311" s="1085"/>
      <c r="L311" s="1085"/>
      <c r="M311" s="1085"/>
      <c r="N311" s="1085"/>
      <c r="O311" s="1085"/>
      <c r="P311" s="1085"/>
      <c r="Q311" s="1085"/>
      <c r="R311" s="1085"/>
      <c r="S311" s="1085"/>
      <c r="T311" s="1085"/>
      <c r="U311" s="1085"/>
      <c r="V311" s="1085"/>
      <c r="W311" s="1085"/>
      <c r="X311" s="1085"/>
      <c r="Y311" s="1085"/>
      <c r="Z311" s="1085"/>
      <c r="AA311" s="1085"/>
      <c r="AB311" s="1085"/>
      <c r="AC311" s="1085"/>
      <c r="AD311" s="1085"/>
      <c r="AE311" s="1085"/>
      <c r="AF311" s="1085"/>
      <c r="AG311" s="1085"/>
      <c r="AH311" s="1085"/>
      <c r="AI311" s="1085"/>
      <c r="AJ311" s="1085"/>
      <c r="AK311" s="1085"/>
      <c r="AL311" s="1085"/>
      <c r="AM311" s="1085"/>
      <c r="AN311" s="1085"/>
      <c r="AO311" s="1085"/>
      <c r="AP311" s="1085"/>
      <c r="AQ311" s="1085"/>
      <c r="AR311" s="1085"/>
      <c r="AS311" s="1085"/>
      <c r="AT311" s="1085"/>
      <c r="AU311" s="1085"/>
      <c r="AV311" s="1127"/>
    </row>
    <row r="312" spans="1:48" s="268" customFormat="1" ht="21" customHeight="1">
      <c r="B312" s="261"/>
      <c r="C312" s="1126"/>
      <c r="D312" s="1085"/>
      <c r="E312" s="1085"/>
      <c r="F312" s="1085"/>
      <c r="G312" s="1085"/>
      <c r="H312" s="1085"/>
      <c r="I312" s="1085"/>
      <c r="J312" s="1085"/>
      <c r="K312" s="1085"/>
      <c r="L312" s="1085"/>
      <c r="M312" s="1085"/>
      <c r="N312" s="1085"/>
      <c r="O312" s="1085"/>
      <c r="P312" s="1085"/>
      <c r="Q312" s="1085"/>
      <c r="R312" s="1085"/>
      <c r="S312" s="1085"/>
      <c r="T312" s="1085"/>
      <c r="U312" s="1085"/>
      <c r="V312" s="1085"/>
      <c r="W312" s="1085"/>
      <c r="X312" s="1085"/>
      <c r="Y312" s="1085"/>
      <c r="Z312" s="1085"/>
      <c r="AA312" s="1085"/>
      <c r="AB312" s="1085"/>
      <c r="AC312" s="1085"/>
      <c r="AD312" s="1085"/>
      <c r="AE312" s="1085"/>
      <c r="AF312" s="1085"/>
      <c r="AG312" s="1085"/>
      <c r="AH312" s="1085"/>
      <c r="AI312" s="1085"/>
      <c r="AJ312" s="1085"/>
      <c r="AK312" s="1085"/>
      <c r="AL312" s="1085"/>
      <c r="AM312" s="1085"/>
      <c r="AN312" s="1085"/>
      <c r="AO312" s="1085"/>
      <c r="AP312" s="1085"/>
      <c r="AQ312" s="1085"/>
      <c r="AR312" s="1085"/>
      <c r="AS312" s="1085"/>
      <c r="AT312" s="1085"/>
      <c r="AU312" s="1085"/>
      <c r="AV312" s="1127"/>
    </row>
    <row r="313" spans="1:48" s="268" customFormat="1" ht="21" customHeight="1">
      <c r="A313" s="261"/>
      <c r="B313" s="261"/>
      <c r="C313" s="1126"/>
      <c r="D313" s="1085"/>
      <c r="E313" s="1085"/>
      <c r="F313" s="1085"/>
      <c r="G313" s="1085"/>
      <c r="H313" s="1085"/>
      <c r="I313" s="1085"/>
      <c r="J313" s="1085"/>
      <c r="K313" s="1085"/>
      <c r="L313" s="1085"/>
      <c r="M313" s="1085"/>
      <c r="N313" s="1085"/>
      <c r="O313" s="1085"/>
      <c r="P313" s="1085"/>
      <c r="Q313" s="1085"/>
      <c r="R313" s="1085"/>
      <c r="S313" s="1085"/>
      <c r="T313" s="1085"/>
      <c r="U313" s="1085"/>
      <c r="V313" s="1085"/>
      <c r="W313" s="1085"/>
      <c r="X313" s="1085"/>
      <c r="Y313" s="1085"/>
      <c r="Z313" s="1085"/>
      <c r="AA313" s="1085"/>
      <c r="AB313" s="1085"/>
      <c r="AC313" s="1085"/>
      <c r="AD313" s="1085"/>
      <c r="AE313" s="1085"/>
      <c r="AF313" s="1085"/>
      <c r="AG313" s="1085"/>
      <c r="AH313" s="1085"/>
      <c r="AI313" s="1085"/>
      <c r="AJ313" s="1085"/>
      <c r="AK313" s="1085"/>
      <c r="AL313" s="1085"/>
      <c r="AM313" s="1085"/>
      <c r="AN313" s="1085"/>
      <c r="AO313" s="1085"/>
      <c r="AP313" s="1085"/>
      <c r="AQ313" s="1085"/>
      <c r="AR313" s="1085"/>
      <c r="AS313" s="1085"/>
      <c r="AT313" s="1085"/>
      <c r="AU313" s="1085"/>
      <c r="AV313" s="1127"/>
    </row>
    <row r="314" spans="1:48" s="268" customFormat="1" ht="21" customHeight="1">
      <c r="A314" s="261"/>
      <c r="B314" s="261"/>
      <c r="C314" s="1126"/>
      <c r="D314" s="1085"/>
      <c r="E314" s="1085"/>
      <c r="F314" s="1085"/>
      <c r="G314" s="1085"/>
      <c r="H314" s="1085"/>
      <c r="I314" s="1085"/>
      <c r="J314" s="1085"/>
      <c r="K314" s="1085"/>
      <c r="L314" s="1085"/>
      <c r="M314" s="1085"/>
      <c r="N314" s="1085"/>
      <c r="O314" s="1085"/>
      <c r="P314" s="1085"/>
      <c r="Q314" s="1085"/>
      <c r="R314" s="1085"/>
      <c r="S314" s="1085"/>
      <c r="T314" s="1085"/>
      <c r="U314" s="1085"/>
      <c r="V314" s="1085"/>
      <c r="W314" s="1085"/>
      <c r="X314" s="1085"/>
      <c r="Y314" s="1085"/>
      <c r="Z314" s="1085"/>
      <c r="AA314" s="1085"/>
      <c r="AB314" s="1085"/>
      <c r="AC314" s="1085"/>
      <c r="AD314" s="1085"/>
      <c r="AE314" s="1085"/>
      <c r="AF314" s="1085"/>
      <c r="AG314" s="1085"/>
      <c r="AH314" s="1085"/>
      <c r="AI314" s="1085"/>
      <c r="AJ314" s="1085"/>
      <c r="AK314" s="1085"/>
      <c r="AL314" s="1085"/>
      <c r="AM314" s="1085"/>
      <c r="AN314" s="1085"/>
      <c r="AO314" s="1085"/>
      <c r="AP314" s="1085"/>
      <c r="AQ314" s="1085"/>
      <c r="AR314" s="1085"/>
      <c r="AS314" s="1085"/>
      <c r="AT314" s="1085"/>
      <c r="AU314" s="1085"/>
      <c r="AV314" s="1127"/>
    </row>
    <row r="315" spans="1:48" s="268" customFormat="1" ht="21" customHeight="1">
      <c r="A315" s="261"/>
      <c r="B315" s="261"/>
      <c r="C315" s="1126"/>
      <c r="D315" s="1085"/>
      <c r="E315" s="1085"/>
      <c r="F315" s="1085"/>
      <c r="G315" s="1085"/>
      <c r="H315" s="1085"/>
      <c r="I315" s="1085"/>
      <c r="J315" s="1085"/>
      <c r="K315" s="1085"/>
      <c r="L315" s="1085"/>
      <c r="M315" s="1085"/>
      <c r="N315" s="1085"/>
      <c r="O315" s="1085"/>
      <c r="P315" s="1085"/>
      <c r="Q315" s="1085"/>
      <c r="R315" s="1085"/>
      <c r="S315" s="1085"/>
      <c r="T315" s="1085"/>
      <c r="U315" s="1085"/>
      <c r="V315" s="1085"/>
      <c r="W315" s="1085"/>
      <c r="X315" s="1085"/>
      <c r="Y315" s="1085"/>
      <c r="Z315" s="1085"/>
      <c r="AA315" s="1085"/>
      <c r="AB315" s="1085"/>
      <c r="AC315" s="1085"/>
      <c r="AD315" s="1085"/>
      <c r="AE315" s="1085"/>
      <c r="AF315" s="1085"/>
      <c r="AG315" s="1085"/>
      <c r="AH315" s="1085"/>
      <c r="AI315" s="1085"/>
      <c r="AJ315" s="1085"/>
      <c r="AK315" s="1085"/>
      <c r="AL315" s="1085"/>
      <c r="AM315" s="1085"/>
      <c r="AN315" s="1085"/>
      <c r="AO315" s="1085"/>
      <c r="AP315" s="1085"/>
      <c r="AQ315" s="1085"/>
      <c r="AR315" s="1085"/>
      <c r="AS315" s="1085"/>
      <c r="AT315" s="1085"/>
      <c r="AU315" s="1085"/>
      <c r="AV315" s="1127"/>
    </row>
    <row r="316" spans="1:48" s="268" customFormat="1" ht="21" customHeight="1">
      <c r="A316" s="261"/>
      <c r="B316" s="261"/>
      <c r="C316" s="1126"/>
      <c r="D316" s="1085"/>
      <c r="E316" s="1085"/>
      <c r="F316" s="1085"/>
      <c r="G316" s="1085"/>
      <c r="H316" s="1085"/>
      <c r="I316" s="1085"/>
      <c r="J316" s="1085"/>
      <c r="K316" s="1085"/>
      <c r="L316" s="1085"/>
      <c r="M316" s="1085"/>
      <c r="N316" s="1085"/>
      <c r="O316" s="1085"/>
      <c r="P316" s="1085"/>
      <c r="Q316" s="1085"/>
      <c r="R316" s="1085"/>
      <c r="S316" s="1085"/>
      <c r="T316" s="1085"/>
      <c r="U316" s="1085"/>
      <c r="V316" s="1085"/>
      <c r="W316" s="1085"/>
      <c r="X316" s="1085"/>
      <c r="Y316" s="1085"/>
      <c r="Z316" s="1085"/>
      <c r="AA316" s="1085"/>
      <c r="AB316" s="1085"/>
      <c r="AC316" s="1085"/>
      <c r="AD316" s="1085"/>
      <c r="AE316" s="1085"/>
      <c r="AF316" s="1085"/>
      <c r="AG316" s="1085"/>
      <c r="AH316" s="1085"/>
      <c r="AI316" s="1085"/>
      <c r="AJ316" s="1085"/>
      <c r="AK316" s="1085"/>
      <c r="AL316" s="1085"/>
      <c r="AM316" s="1085"/>
      <c r="AN316" s="1085"/>
      <c r="AO316" s="1085"/>
      <c r="AP316" s="1085"/>
      <c r="AQ316" s="1085"/>
      <c r="AR316" s="1085"/>
      <c r="AS316" s="1085"/>
      <c r="AT316" s="1085"/>
      <c r="AU316" s="1085"/>
      <c r="AV316" s="1127"/>
    </row>
    <row r="317" spans="1:48" s="268" customFormat="1" ht="21" customHeight="1">
      <c r="B317" s="261"/>
      <c r="C317" s="1126"/>
      <c r="D317" s="1085"/>
      <c r="E317" s="1085"/>
      <c r="F317" s="1085"/>
      <c r="G317" s="1085"/>
      <c r="H317" s="1085"/>
      <c r="I317" s="1085"/>
      <c r="J317" s="1085"/>
      <c r="K317" s="1085"/>
      <c r="L317" s="1085"/>
      <c r="M317" s="1085"/>
      <c r="N317" s="1085"/>
      <c r="O317" s="1085"/>
      <c r="P317" s="1085"/>
      <c r="Q317" s="1085"/>
      <c r="R317" s="1085"/>
      <c r="S317" s="1085"/>
      <c r="T317" s="1085"/>
      <c r="U317" s="1085"/>
      <c r="V317" s="1085"/>
      <c r="W317" s="1085"/>
      <c r="X317" s="1085"/>
      <c r="Y317" s="1085"/>
      <c r="Z317" s="1085"/>
      <c r="AA317" s="1085"/>
      <c r="AB317" s="1085"/>
      <c r="AC317" s="1085"/>
      <c r="AD317" s="1085"/>
      <c r="AE317" s="1085"/>
      <c r="AF317" s="1085"/>
      <c r="AG317" s="1085"/>
      <c r="AH317" s="1085"/>
      <c r="AI317" s="1085"/>
      <c r="AJ317" s="1085"/>
      <c r="AK317" s="1085"/>
      <c r="AL317" s="1085"/>
      <c r="AM317" s="1085"/>
      <c r="AN317" s="1085"/>
      <c r="AO317" s="1085"/>
      <c r="AP317" s="1085"/>
      <c r="AQ317" s="1085"/>
      <c r="AR317" s="1085"/>
      <c r="AS317" s="1085"/>
      <c r="AT317" s="1085"/>
      <c r="AU317" s="1085"/>
      <c r="AV317" s="1127"/>
    </row>
    <row r="318" spans="1:48" s="268" customFormat="1" ht="21" customHeight="1">
      <c r="A318" s="261"/>
      <c r="B318" s="261"/>
      <c r="C318" s="1126"/>
      <c r="D318" s="1085"/>
      <c r="E318" s="1085"/>
      <c r="F318" s="1085"/>
      <c r="G318" s="1085"/>
      <c r="H318" s="1085"/>
      <c r="I318" s="1085"/>
      <c r="J318" s="1085"/>
      <c r="K318" s="1085"/>
      <c r="L318" s="1085"/>
      <c r="M318" s="1085"/>
      <c r="N318" s="1085"/>
      <c r="O318" s="1085"/>
      <c r="P318" s="1085"/>
      <c r="Q318" s="1085"/>
      <c r="R318" s="1085"/>
      <c r="S318" s="1085"/>
      <c r="T318" s="1085"/>
      <c r="U318" s="1085"/>
      <c r="V318" s="1085"/>
      <c r="W318" s="1085"/>
      <c r="X318" s="1085"/>
      <c r="Y318" s="1085"/>
      <c r="Z318" s="1085"/>
      <c r="AA318" s="1085"/>
      <c r="AB318" s="1085"/>
      <c r="AC318" s="1085"/>
      <c r="AD318" s="1085"/>
      <c r="AE318" s="1085"/>
      <c r="AF318" s="1085"/>
      <c r="AG318" s="1085"/>
      <c r="AH318" s="1085"/>
      <c r="AI318" s="1085"/>
      <c r="AJ318" s="1085"/>
      <c r="AK318" s="1085"/>
      <c r="AL318" s="1085"/>
      <c r="AM318" s="1085"/>
      <c r="AN318" s="1085"/>
      <c r="AO318" s="1085"/>
      <c r="AP318" s="1085"/>
      <c r="AQ318" s="1085"/>
      <c r="AR318" s="1085"/>
      <c r="AS318" s="1085"/>
      <c r="AT318" s="1085"/>
      <c r="AU318" s="1085"/>
      <c r="AV318" s="1127"/>
    </row>
    <row r="319" spans="1:48" s="268" customFormat="1" ht="21" customHeight="1">
      <c r="B319" s="261"/>
      <c r="C319" s="1126"/>
      <c r="D319" s="1085"/>
      <c r="E319" s="1085"/>
      <c r="F319" s="1085"/>
      <c r="G319" s="1085"/>
      <c r="H319" s="1085"/>
      <c r="I319" s="1085"/>
      <c r="J319" s="1085"/>
      <c r="K319" s="1085"/>
      <c r="L319" s="1085"/>
      <c r="M319" s="1085"/>
      <c r="N319" s="1085"/>
      <c r="O319" s="1085"/>
      <c r="P319" s="1085"/>
      <c r="Q319" s="1085"/>
      <c r="R319" s="1085"/>
      <c r="S319" s="1085"/>
      <c r="T319" s="1085"/>
      <c r="U319" s="1085"/>
      <c r="V319" s="1085"/>
      <c r="W319" s="1085"/>
      <c r="X319" s="1085"/>
      <c r="Y319" s="1085"/>
      <c r="Z319" s="1085"/>
      <c r="AA319" s="1085"/>
      <c r="AB319" s="1085"/>
      <c r="AC319" s="1085"/>
      <c r="AD319" s="1085"/>
      <c r="AE319" s="1085"/>
      <c r="AF319" s="1085"/>
      <c r="AG319" s="1085"/>
      <c r="AH319" s="1085"/>
      <c r="AI319" s="1085"/>
      <c r="AJ319" s="1085"/>
      <c r="AK319" s="1085"/>
      <c r="AL319" s="1085"/>
      <c r="AM319" s="1085"/>
      <c r="AN319" s="1085"/>
      <c r="AO319" s="1085"/>
      <c r="AP319" s="1085"/>
      <c r="AQ319" s="1085"/>
      <c r="AR319" s="1085"/>
      <c r="AS319" s="1085"/>
      <c r="AT319" s="1085"/>
      <c r="AU319" s="1085"/>
      <c r="AV319" s="1127"/>
    </row>
    <row r="320" spans="1:48" s="268" customFormat="1" ht="21" customHeight="1" thickBot="1">
      <c r="A320" s="261"/>
      <c r="B320" s="261"/>
      <c r="C320" s="1128"/>
      <c r="D320" s="1129"/>
      <c r="E320" s="1129"/>
      <c r="F320" s="1129"/>
      <c r="G320" s="1129"/>
      <c r="H320" s="1129"/>
      <c r="I320" s="1129"/>
      <c r="J320" s="1129"/>
      <c r="K320" s="1129"/>
      <c r="L320" s="1129"/>
      <c r="M320" s="1129"/>
      <c r="N320" s="1129"/>
      <c r="O320" s="1129"/>
      <c r="P320" s="1129"/>
      <c r="Q320" s="1129"/>
      <c r="R320" s="1129"/>
      <c r="S320" s="1129"/>
      <c r="T320" s="1129"/>
      <c r="U320" s="1129"/>
      <c r="V320" s="1129"/>
      <c r="W320" s="1129"/>
      <c r="X320" s="1129"/>
      <c r="Y320" s="1129"/>
      <c r="Z320" s="1129"/>
      <c r="AA320" s="1129"/>
      <c r="AB320" s="1129"/>
      <c r="AC320" s="1129"/>
      <c r="AD320" s="1129"/>
      <c r="AE320" s="1129"/>
      <c r="AF320" s="1129"/>
      <c r="AG320" s="1129"/>
      <c r="AH320" s="1129"/>
      <c r="AI320" s="1129"/>
      <c r="AJ320" s="1129"/>
      <c r="AK320" s="1129"/>
      <c r="AL320" s="1129"/>
      <c r="AM320" s="1129"/>
      <c r="AN320" s="1129"/>
      <c r="AO320" s="1129"/>
      <c r="AP320" s="1129"/>
      <c r="AQ320" s="1129"/>
      <c r="AR320" s="1129"/>
      <c r="AS320" s="1129"/>
      <c r="AT320" s="1129"/>
      <c r="AU320" s="1129"/>
      <c r="AV320" s="1130"/>
    </row>
    <row r="321" spans="1:48" ht="68.25" customHeight="1" thickTop="1">
      <c r="C321" s="893"/>
      <c r="D321" s="894"/>
      <c r="E321" s="894"/>
      <c r="F321" s="894"/>
      <c r="G321" s="894"/>
      <c r="H321" s="894"/>
      <c r="I321" s="894"/>
      <c r="J321" s="894"/>
      <c r="K321" s="894"/>
      <c r="L321" s="894"/>
      <c r="M321" s="894"/>
      <c r="N321" s="894"/>
      <c r="O321" s="894"/>
      <c r="P321" s="894"/>
      <c r="Q321" s="894"/>
      <c r="R321" s="894"/>
      <c r="S321" s="894"/>
      <c r="T321" s="894"/>
      <c r="U321" s="894"/>
      <c r="V321" s="894"/>
      <c r="W321" s="894"/>
      <c r="X321" s="894"/>
      <c r="Y321" s="894"/>
      <c r="Z321" s="894"/>
      <c r="AA321" s="894"/>
      <c r="AB321" s="894"/>
      <c r="AC321" s="894"/>
      <c r="AD321" s="894"/>
      <c r="AE321" s="894"/>
      <c r="AF321" s="894"/>
      <c r="AG321" s="894"/>
      <c r="AH321" s="894"/>
      <c r="AI321" s="894"/>
      <c r="AJ321" s="894"/>
      <c r="AK321" s="894"/>
      <c r="AL321" s="894"/>
      <c r="AM321" s="894"/>
      <c r="AN321" s="894"/>
      <c r="AO321" s="894"/>
      <c r="AP321" s="894"/>
      <c r="AQ321" s="894"/>
      <c r="AR321" s="894"/>
      <c r="AS321" s="894"/>
      <c r="AT321" s="894"/>
      <c r="AU321" s="894"/>
      <c r="AV321" s="894"/>
    </row>
    <row r="322" spans="1:48" ht="15.95" customHeight="1">
      <c r="C322" s="1131"/>
      <c r="D322" s="1069"/>
      <c r="E322" s="1069"/>
      <c r="F322" s="1069"/>
      <c r="G322" s="1069"/>
      <c r="H322" s="1069"/>
      <c r="I322" s="1069"/>
      <c r="J322" s="1069"/>
      <c r="K322" s="1069"/>
      <c r="L322" s="1069"/>
      <c r="M322" s="1069"/>
      <c r="N322" s="1069"/>
      <c r="O322" s="1069"/>
      <c r="P322" s="1069"/>
      <c r="Q322" s="1069"/>
      <c r="R322" s="1069"/>
      <c r="S322" s="1069"/>
      <c r="T322" s="1069"/>
      <c r="U322" s="1069"/>
      <c r="V322" s="1132"/>
      <c r="W322" s="1133"/>
      <c r="X322" s="1133"/>
      <c r="Y322" s="1069"/>
      <c r="Z322" s="1069"/>
      <c r="AA322" s="1069"/>
      <c r="AB322" s="1069"/>
      <c r="AC322" s="1134" t="s">
        <v>4556</v>
      </c>
      <c r="AD322" s="1069"/>
      <c r="AE322" s="1069"/>
      <c r="AF322" s="1069"/>
      <c r="AG322" s="1133"/>
      <c r="AH322" s="1133"/>
      <c r="AI322" s="1133"/>
      <c r="AJ322" s="1133"/>
      <c r="AK322" s="1133"/>
      <c r="AL322" s="1133"/>
      <c r="AM322" s="1133"/>
      <c r="AN322" s="1069"/>
      <c r="AO322" s="1069"/>
      <c r="AP322" s="1069"/>
      <c r="AQ322" s="1069"/>
      <c r="AR322" s="1069"/>
      <c r="AS322" s="1069"/>
      <c r="AT322" s="1069"/>
      <c r="AU322" s="1069"/>
      <c r="AV322" s="1070"/>
    </row>
    <row r="323" spans="1:48" ht="15.75" customHeight="1">
      <c r="C323" s="503" t="s">
        <v>4557</v>
      </c>
      <c r="I323" s="529"/>
      <c r="J323" s="530"/>
    </row>
    <row r="324" spans="1:48" s="354" customFormat="1" ht="12.95" customHeight="1">
      <c r="C324" s="1117">
        <f>+AO130</f>
        <v>0</v>
      </c>
      <c r="D324" s="1117"/>
      <c r="E324" s="1117"/>
      <c r="F324" s="1117"/>
      <c r="G324" s="1117"/>
      <c r="H324" s="1117"/>
      <c r="I324" s="354" t="s">
        <v>10</v>
      </c>
      <c r="L324" s="354" t="s">
        <v>4508</v>
      </c>
      <c r="M324" s="497"/>
      <c r="N324" s="1118">
        <f>+V322</f>
        <v>0</v>
      </c>
      <c r="O324" s="1118"/>
      <c r="P324" s="892"/>
      <c r="Q324" s="892"/>
      <c r="R324" s="892"/>
      <c r="S324" s="892"/>
      <c r="T324" s="892"/>
      <c r="U324" s="496" t="s">
        <v>4509</v>
      </c>
      <c r="AM324" s="531" t="s">
        <v>4426</v>
      </c>
      <c r="AO324" s="1119">
        <f>ROUND(C324*N324,1)</f>
        <v>0</v>
      </c>
      <c r="AP324" s="1119"/>
      <c r="AQ324" s="1119"/>
      <c r="AR324" s="739"/>
      <c r="AS324" s="739"/>
      <c r="AT324" s="739"/>
      <c r="AU324" s="739"/>
      <c r="AV324" s="739"/>
    </row>
    <row r="325" spans="1:48" s="533" customFormat="1" ht="13.5" customHeight="1" thickBot="1">
      <c r="C325" s="534" t="str">
        <f>+C291</f>
        <v>VALOR DEL TERRENO</v>
      </c>
      <c r="D325" s="535"/>
      <c r="E325" s="535"/>
      <c r="F325" s="535"/>
      <c r="G325" s="536"/>
      <c r="H325" s="537"/>
      <c r="I325" s="538"/>
      <c r="J325" s="538"/>
      <c r="K325" s="539"/>
      <c r="L325" s="536"/>
      <c r="M325" s="536"/>
      <c r="N325" s="536"/>
      <c r="O325" s="536"/>
      <c r="P325" s="536"/>
      <c r="Q325" s="536"/>
      <c r="R325" s="536"/>
      <c r="S325" s="536"/>
      <c r="T325" s="536"/>
      <c r="U325" s="536"/>
      <c r="V325" s="536"/>
      <c r="W325" s="536"/>
      <c r="X325" s="536"/>
      <c r="Y325" s="536"/>
      <c r="Z325" s="536"/>
      <c r="AA325" s="536"/>
      <c r="AB325" s="536"/>
      <c r="AC325" s="536"/>
      <c r="AD325" s="536"/>
      <c r="AE325" s="536"/>
      <c r="AF325" s="536"/>
      <c r="AG325" s="536"/>
      <c r="AH325" s="536"/>
      <c r="AI325" s="536"/>
      <c r="AJ325" s="536"/>
      <c r="AK325" s="536"/>
      <c r="AL325" s="536"/>
      <c r="AM325" s="540" t="s">
        <v>4426</v>
      </c>
      <c r="AN325" s="536"/>
      <c r="AO325" s="1120">
        <f>+AO324</f>
        <v>0</v>
      </c>
      <c r="AP325" s="1120"/>
      <c r="AQ325" s="1120"/>
      <c r="AR325" s="1121"/>
      <c r="AS325" s="1121"/>
      <c r="AT325" s="1121"/>
      <c r="AU325" s="1121"/>
      <c r="AV325" s="1121"/>
    </row>
    <row r="326" spans="1:48" ht="18.75" customHeight="1" thickTop="1">
      <c r="A326" s="891">
        <f>+A291+1</f>
        <v>2</v>
      </c>
      <c r="B326" s="1043"/>
      <c r="C326" s="355" t="s">
        <v>4507</v>
      </c>
    </row>
    <row r="327" spans="1:48" ht="18.75" customHeight="1">
      <c r="A327" s="353"/>
      <c r="B327" s="444"/>
      <c r="C327" s="541" t="str">
        <f>+C179</f>
        <v>Primer piso</v>
      </c>
    </row>
    <row r="328" spans="1:48" s="354" customFormat="1" ht="15.95" customHeight="1">
      <c r="C328" s="1117">
        <f>+N179</f>
        <v>0</v>
      </c>
      <c r="D328" s="1117"/>
      <c r="E328" s="1117"/>
      <c r="F328" s="1117"/>
      <c r="G328" s="1117"/>
      <c r="H328" s="1117"/>
      <c r="I328" s="354" t="s">
        <v>10</v>
      </c>
      <c r="L328" s="354" t="s">
        <v>4508</v>
      </c>
      <c r="M328" s="497"/>
      <c r="N328" s="1119">
        <f>+AR203</f>
        <v>0</v>
      </c>
      <c r="O328" s="1119"/>
      <c r="P328" s="1119"/>
      <c r="Q328" s="1119"/>
      <c r="R328" s="1119"/>
      <c r="S328" s="1119"/>
      <c r="T328" s="496" t="s">
        <v>4509</v>
      </c>
      <c r="X328" s="497" t="s">
        <v>4508</v>
      </c>
      <c r="Z328" s="1122">
        <f>1-AG207</f>
        <v>1</v>
      </c>
      <c r="AA328" s="1122"/>
      <c r="AB328" s="1122"/>
      <c r="AC328" s="1122"/>
      <c r="AD328" s="1122"/>
      <c r="AM328" s="496" t="s">
        <v>4426</v>
      </c>
      <c r="AO328" s="1119">
        <f>ROUND(C328*N328*Z328,1)</f>
        <v>0</v>
      </c>
      <c r="AP328" s="1119"/>
      <c r="AQ328" s="1119"/>
      <c r="AR328" s="1119"/>
      <c r="AS328" s="1119"/>
      <c r="AT328" s="1119"/>
      <c r="AU328" s="1119"/>
      <c r="AV328" s="1119"/>
    </row>
    <row r="329" spans="1:48" ht="18.75" customHeight="1">
      <c r="A329" s="353"/>
      <c r="B329" s="444"/>
      <c r="C329" s="541" t="str">
        <f>+C180</f>
        <v>Segundo piso</v>
      </c>
    </row>
    <row r="330" spans="1:48" s="354" customFormat="1" ht="15.95" customHeight="1">
      <c r="C330" s="1117">
        <f>+N180</f>
        <v>0</v>
      </c>
      <c r="D330" s="1117"/>
      <c r="E330" s="1117"/>
      <c r="F330" s="1117"/>
      <c r="G330" s="1117"/>
      <c r="H330" s="1117"/>
      <c r="I330" s="354" t="s">
        <v>10</v>
      </c>
      <c r="L330" s="354" t="s">
        <v>4508</v>
      </c>
      <c r="M330" s="497"/>
      <c r="N330" s="1119">
        <f>+AR203</f>
        <v>0</v>
      </c>
      <c r="O330" s="1119"/>
      <c r="P330" s="1119"/>
      <c r="Q330" s="1119"/>
      <c r="R330" s="1119"/>
      <c r="S330" s="1119"/>
      <c r="T330" s="496" t="s">
        <v>4509</v>
      </c>
      <c r="X330" s="497" t="s">
        <v>4508</v>
      </c>
      <c r="Z330" s="1122">
        <f>1-AG208</f>
        <v>1</v>
      </c>
      <c r="AA330" s="1122"/>
      <c r="AB330" s="1122"/>
      <c r="AC330" s="1122"/>
      <c r="AD330" s="1122"/>
      <c r="AM330" s="496" t="s">
        <v>4426</v>
      </c>
      <c r="AO330" s="1119">
        <f>ROUND(C330*N330*Z330,1)</f>
        <v>0</v>
      </c>
      <c r="AP330" s="1119"/>
      <c r="AQ330" s="1119"/>
      <c r="AR330" s="1119"/>
      <c r="AS330" s="1119"/>
      <c r="AT330" s="1119"/>
      <c r="AU330" s="1119"/>
      <c r="AV330" s="1119"/>
    </row>
    <row r="331" spans="1:48" ht="18.75" customHeight="1">
      <c r="A331" s="353"/>
      <c r="B331" s="444"/>
      <c r="C331" s="541" t="str">
        <f>+C181</f>
        <v>Tercer piso</v>
      </c>
    </row>
    <row r="332" spans="1:48" s="354" customFormat="1" ht="15.95" customHeight="1">
      <c r="C332" s="1117">
        <f>+N181</f>
        <v>0</v>
      </c>
      <c r="D332" s="1117"/>
      <c r="E332" s="1117"/>
      <c r="F332" s="1117"/>
      <c r="G332" s="1117"/>
      <c r="H332" s="1117"/>
      <c r="I332" s="354" t="s">
        <v>10</v>
      </c>
      <c r="L332" s="354" t="s">
        <v>4508</v>
      </c>
      <c r="M332" s="497"/>
      <c r="N332" s="1119">
        <f>+AR203</f>
        <v>0</v>
      </c>
      <c r="O332" s="1119"/>
      <c r="P332" s="1119"/>
      <c r="Q332" s="1119"/>
      <c r="R332" s="1119"/>
      <c r="S332" s="1119"/>
      <c r="T332" s="496" t="s">
        <v>4509</v>
      </c>
      <c r="X332" s="497" t="s">
        <v>4508</v>
      </c>
      <c r="Z332" s="1122">
        <f>1-AG209</f>
        <v>1</v>
      </c>
      <c r="AA332" s="1122"/>
      <c r="AB332" s="1122"/>
      <c r="AC332" s="1122"/>
      <c r="AD332" s="1122"/>
      <c r="AM332" s="496" t="s">
        <v>4426</v>
      </c>
      <c r="AO332" s="1119">
        <f>ROUND(C332*N332*Z332,1)</f>
        <v>0</v>
      </c>
      <c r="AP332" s="1119"/>
      <c r="AQ332" s="1119"/>
      <c r="AR332" s="1119"/>
      <c r="AS332" s="1119"/>
      <c r="AT332" s="1119"/>
      <c r="AU332" s="1119"/>
      <c r="AV332" s="1119"/>
    </row>
    <row r="333" spans="1:48" s="336" customFormat="1" ht="15" customHeight="1" thickBot="1">
      <c r="C333" s="454" t="str">
        <f>+C326</f>
        <v>VALOR DE EDIFICACION</v>
      </c>
      <c r="D333" s="455"/>
      <c r="E333" s="455"/>
      <c r="F333" s="455"/>
      <c r="G333" s="456"/>
      <c r="H333" s="457"/>
      <c r="I333" s="458"/>
      <c r="J333" s="459"/>
      <c r="K333" s="460"/>
      <c r="L333" s="456"/>
      <c r="M333" s="456"/>
      <c r="N333" s="456"/>
      <c r="O333" s="456"/>
      <c r="P333" s="456"/>
      <c r="Q333" s="456"/>
      <c r="R333" s="456"/>
      <c r="S333" s="456"/>
      <c r="T333" s="456"/>
      <c r="U333" s="456"/>
      <c r="V333" s="456"/>
      <c r="W333" s="456"/>
      <c r="X333" s="456"/>
      <c r="Y333" s="456"/>
      <c r="Z333" s="456"/>
      <c r="AA333" s="456"/>
      <c r="AB333" s="456"/>
      <c r="AC333" s="456"/>
      <c r="AD333" s="456"/>
      <c r="AE333" s="456"/>
      <c r="AF333" s="456"/>
      <c r="AG333" s="456"/>
      <c r="AH333" s="456"/>
      <c r="AI333" s="456"/>
      <c r="AJ333" s="456"/>
      <c r="AK333" s="456"/>
      <c r="AL333" s="456"/>
      <c r="AM333" s="461" t="s">
        <v>4426</v>
      </c>
      <c r="AN333" s="456"/>
      <c r="AO333" s="1035">
        <f>ROUND(SUM(AO328:AV332),1)</f>
        <v>0</v>
      </c>
      <c r="AP333" s="1035"/>
      <c r="AQ333" s="1035"/>
      <c r="AR333" s="1036"/>
      <c r="AS333" s="1036"/>
      <c r="AT333" s="1036"/>
      <c r="AU333" s="1036"/>
      <c r="AV333" s="1036"/>
    </row>
    <row r="334" spans="1:48" ht="18.75" hidden="1" customHeight="1" thickTop="1">
      <c r="A334" s="891">
        <f>+A326+1</f>
        <v>3</v>
      </c>
      <c r="B334" s="891"/>
      <c r="C334" s="355" t="s">
        <v>4510</v>
      </c>
    </row>
    <row r="335" spans="1:48" s="354" customFormat="1" ht="15.95" hidden="1" customHeight="1">
      <c r="C335" s="1059"/>
      <c r="D335" s="1059"/>
      <c r="E335" s="1059"/>
      <c r="F335" s="1059"/>
      <c r="G335" s="1059"/>
      <c r="H335" s="1059"/>
      <c r="L335" s="354" t="s">
        <v>4508</v>
      </c>
      <c r="M335" s="497"/>
      <c r="N335" s="1119">
        <f>+AO333</f>
        <v>0</v>
      </c>
      <c r="O335" s="1119"/>
      <c r="P335" s="1119"/>
      <c r="Q335" s="1119"/>
      <c r="R335" s="1119"/>
      <c r="S335" s="1119"/>
      <c r="T335" s="496" t="s">
        <v>4511</v>
      </c>
      <c r="Y335" s="497"/>
      <c r="AA335" s="398"/>
      <c r="AB335" s="398"/>
      <c r="AC335" s="261"/>
      <c r="AD335" s="261"/>
      <c r="AM335" s="496" t="s">
        <v>4426</v>
      </c>
      <c r="AO335" s="1119">
        <f>ROUND(C335*N335,1)</f>
        <v>0</v>
      </c>
      <c r="AP335" s="1119"/>
      <c r="AQ335" s="1119"/>
      <c r="AR335" s="1119"/>
      <c r="AS335" s="1119"/>
      <c r="AT335" s="1119"/>
      <c r="AU335" s="1119"/>
      <c r="AV335" s="1119"/>
    </row>
    <row r="336" spans="1:48" s="336" customFormat="1" ht="15" hidden="1" customHeight="1" thickBot="1">
      <c r="C336" s="454" t="str">
        <f>+C334</f>
        <v>VALOR DE LAS AREAS COMUNES</v>
      </c>
      <c r="D336" s="455"/>
      <c r="E336" s="455"/>
      <c r="F336" s="455"/>
      <c r="G336" s="456"/>
      <c r="H336" s="457"/>
      <c r="I336" s="458"/>
      <c r="J336" s="459"/>
      <c r="K336" s="460"/>
      <c r="L336" s="456"/>
      <c r="M336" s="456"/>
      <c r="N336" s="456"/>
      <c r="O336" s="456"/>
      <c r="P336" s="456"/>
      <c r="Q336" s="456"/>
      <c r="R336" s="456"/>
      <c r="S336" s="456"/>
      <c r="T336" s="456"/>
      <c r="U336" s="456"/>
      <c r="V336" s="456"/>
      <c r="W336" s="456"/>
      <c r="X336" s="456"/>
      <c r="Y336" s="456"/>
      <c r="Z336" s="456"/>
      <c r="AA336" s="456"/>
      <c r="AB336" s="456"/>
      <c r="AC336" s="456"/>
      <c r="AD336" s="456"/>
      <c r="AE336" s="456"/>
      <c r="AF336" s="456"/>
      <c r="AG336" s="456"/>
      <c r="AH336" s="456"/>
      <c r="AI336" s="456"/>
      <c r="AJ336" s="456"/>
      <c r="AK336" s="456"/>
      <c r="AL336" s="456"/>
      <c r="AM336" s="461" t="s">
        <v>4426</v>
      </c>
      <c r="AN336" s="456"/>
      <c r="AO336" s="1035">
        <f>ROUND(SUM(AO335:AV335),1)</f>
        <v>0</v>
      </c>
      <c r="AP336" s="1035"/>
      <c r="AQ336" s="1035"/>
      <c r="AR336" s="1035"/>
      <c r="AS336" s="1035"/>
      <c r="AT336" s="1035"/>
      <c r="AU336" s="1035"/>
      <c r="AV336" s="1035"/>
    </row>
    <row r="337" spans="1:48" ht="23.25" customHeight="1" thickTop="1">
      <c r="A337" s="891">
        <f>1+A326</f>
        <v>3</v>
      </c>
      <c r="B337" s="1043"/>
      <c r="C337" s="355" t="s">
        <v>4512</v>
      </c>
    </row>
    <row r="338" spans="1:48" s="354" customFormat="1" ht="15" customHeight="1">
      <c r="C338" s="542" t="s">
        <v>4513</v>
      </c>
      <c r="D338" s="543"/>
      <c r="E338" s="543"/>
      <c r="F338" s="543"/>
      <c r="G338" s="543"/>
      <c r="H338" s="543"/>
      <c r="I338" s="543"/>
      <c r="J338" s="543"/>
      <c r="K338" s="543"/>
      <c r="L338" s="543"/>
      <c r="M338" s="543"/>
      <c r="N338" s="543"/>
      <c r="O338" s="543"/>
      <c r="P338" s="543"/>
      <c r="Q338" s="543"/>
      <c r="R338" s="543"/>
      <c r="S338" s="543"/>
      <c r="T338" s="543"/>
      <c r="U338" s="543"/>
      <c r="V338" s="543"/>
      <c r="W338" s="543"/>
      <c r="X338" s="543"/>
      <c r="Y338" s="543"/>
      <c r="Z338" s="543"/>
      <c r="AA338" s="543"/>
      <c r="AB338" s="543"/>
      <c r="AC338" s="543"/>
      <c r="AD338" s="543"/>
      <c r="AE338" s="543"/>
      <c r="AF338" s="543"/>
      <c r="AG338" s="543"/>
      <c r="AH338" s="543"/>
      <c r="AI338" s="543"/>
      <c r="AJ338" s="543"/>
      <c r="AK338" s="543"/>
      <c r="AL338" s="543"/>
      <c r="AM338" s="543"/>
      <c r="AN338" s="543"/>
      <c r="AO338" s="543"/>
      <c r="AP338" s="543"/>
      <c r="AQ338" s="543"/>
      <c r="AR338" s="543"/>
      <c r="AS338" s="543"/>
      <c r="AT338" s="543"/>
      <c r="AU338" s="543"/>
      <c r="AV338" s="543"/>
    </row>
    <row r="339" spans="1:48" s="354" customFormat="1" ht="15" customHeight="1">
      <c r="C339" s="1117"/>
      <c r="D339" s="1117"/>
      <c r="E339" s="1117"/>
      <c r="F339" s="1117"/>
      <c r="G339" s="1117"/>
      <c r="H339" s="1117"/>
      <c r="I339" s="354" t="s">
        <v>4514</v>
      </c>
      <c r="L339" s="354" t="s">
        <v>4508</v>
      </c>
      <c r="M339" s="497"/>
      <c r="N339" s="1119"/>
      <c r="O339" s="1119"/>
      <c r="P339" s="1119"/>
      <c r="Q339" s="1135"/>
      <c r="R339" s="1135"/>
      <c r="S339" s="1135"/>
      <c r="T339" s="496" t="s">
        <v>4515</v>
      </c>
      <c r="Y339" s="497" t="s">
        <v>4508</v>
      </c>
      <c r="AA339" s="1136">
        <f>+Z328</f>
        <v>1</v>
      </c>
      <c r="AB339" s="1136"/>
      <c r="AC339" s="739"/>
      <c r="AD339" s="739"/>
      <c r="AM339" s="496" t="s">
        <v>4426</v>
      </c>
      <c r="AO339" s="1119">
        <f>ROUND(C339*N339*AA339,1)</f>
        <v>0</v>
      </c>
      <c r="AP339" s="1119"/>
      <c r="AQ339" s="1119"/>
      <c r="AR339" s="739"/>
      <c r="AS339" s="739"/>
      <c r="AT339" s="739"/>
      <c r="AU339" s="739"/>
      <c r="AV339" s="739"/>
    </row>
    <row r="340" spans="1:48" s="354" customFormat="1" ht="15" customHeight="1">
      <c r="C340" s="542" t="s">
        <v>4516</v>
      </c>
      <c r="D340" s="543"/>
      <c r="E340" s="543"/>
      <c r="F340" s="543"/>
      <c r="G340" s="543"/>
      <c r="H340" s="543"/>
      <c r="I340" s="543"/>
      <c r="J340" s="543"/>
      <c r="K340" s="543"/>
      <c r="L340" s="543"/>
      <c r="M340" s="543"/>
      <c r="N340" s="543"/>
      <c r="O340" s="543"/>
      <c r="P340" s="543"/>
      <c r="Q340" s="543"/>
      <c r="R340" s="543"/>
      <c r="S340" s="543"/>
      <c r="T340" s="543"/>
      <c r="U340" s="543"/>
      <c r="V340" s="543"/>
      <c r="W340" s="543"/>
      <c r="X340" s="543"/>
      <c r="Y340" s="543"/>
      <c r="Z340" s="543"/>
      <c r="AA340" s="543"/>
      <c r="AB340" s="543"/>
      <c r="AC340" s="543"/>
      <c r="AD340" s="543"/>
      <c r="AE340" s="543"/>
      <c r="AF340" s="543"/>
      <c r="AG340" s="543"/>
      <c r="AH340" s="543"/>
      <c r="AI340" s="543"/>
      <c r="AJ340" s="543"/>
      <c r="AK340" s="543"/>
      <c r="AL340" s="543"/>
      <c r="AM340" s="543"/>
      <c r="AN340" s="543"/>
      <c r="AO340" s="543"/>
      <c r="AP340" s="543"/>
      <c r="AQ340" s="543"/>
      <c r="AR340" s="543"/>
      <c r="AS340" s="543"/>
      <c r="AT340" s="543"/>
      <c r="AU340" s="543"/>
      <c r="AV340" s="543"/>
    </row>
    <row r="341" spans="1:48" s="354" customFormat="1" ht="15" customHeight="1">
      <c r="C341" s="1117"/>
      <c r="D341" s="1117"/>
      <c r="E341" s="1117"/>
      <c r="F341" s="1117"/>
      <c r="G341" s="1117"/>
      <c r="H341" s="1117"/>
      <c r="I341" s="354" t="s">
        <v>4514</v>
      </c>
      <c r="L341" s="354" t="s">
        <v>4508</v>
      </c>
      <c r="M341" s="497"/>
      <c r="N341" s="1119"/>
      <c r="O341" s="1119"/>
      <c r="P341" s="1137"/>
      <c r="Q341" s="739"/>
      <c r="R341" s="739"/>
      <c r="S341" s="739"/>
      <c r="T341" s="496" t="s">
        <v>4515</v>
      </c>
      <c r="Y341" s="497" t="s">
        <v>4508</v>
      </c>
      <c r="AA341" s="1136">
        <f>+AA339</f>
        <v>1</v>
      </c>
      <c r="AB341" s="1136"/>
      <c r="AC341" s="739"/>
      <c r="AD341" s="739"/>
      <c r="AM341" s="496" t="s">
        <v>4426</v>
      </c>
      <c r="AO341" s="1119">
        <f>ROUND(C341*N341*AA341,1)</f>
        <v>0</v>
      </c>
      <c r="AP341" s="1119"/>
      <c r="AQ341" s="1119"/>
      <c r="AR341" s="739"/>
      <c r="AS341" s="739"/>
      <c r="AT341" s="739"/>
      <c r="AU341" s="739"/>
      <c r="AV341" s="739"/>
    </row>
    <row r="342" spans="1:48" s="354" customFormat="1" ht="15" customHeight="1">
      <c r="C342" s="542" t="s">
        <v>4517</v>
      </c>
      <c r="D342" s="543"/>
      <c r="E342" s="543"/>
      <c r="F342" s="543"/>
      <c r="G342" s="543"/>
      <c r="H342" s="543"/>
      <c r="I342" s="543"/>
      <c r="J342" s="543"/>
      <c r="K342" s="543"/>
      <c r="L342" s="543"/>
      <c r="M342" s="543"/>
      <c r="N342" s="543"/>
      <c r="O342" s="543"/>
      <c r="P342" s="543"/>
      <c r="Q342" s="543"/>
      <c r="R342" s="543"/>
      <c r="S342" s="543"/>
      <c r="T342" s="543"/>
      <c r="U342" s="543"/>
      <c r="V342" s="543"/>
      <c r="W342" s="543"/>
      <c r="X342" s="543"/>
      <c r="Y342" s="543"/>
      <c r="Z342" s="543"/>
      <c r="AA342" s="543"/>
      <c r="AB342" s="543"/>
      <c r="AC342" s="543"/>
      <c r="AD342" s="543"/>
      <c r="AE342" s="543"/>
      <c r="AF342" s="543"/>
      <c r="AG342" s="543"/>
      <c r="AH342" s="543"/>
      <c r="AI342" s="543"/>
      <c r="AJ342" s="543"/>
      <c r="AK342" s="543"/>
      <c r="AL342" s="543"/>
      <c r="AM342" s="543"/>
      <c r="AN342" s="543"/>
      <c r="AO342" s="543"/>
      <c r="AP342" s="543"/>
      <c r="AQ342" s="543"/>
      <c r="AR342" s="543"/>
      <c r="AS342" s="543"/>
      <c r="AT342" s="543"/>
      <c r="AU342" s="543"/>
      <c r="AV342" s="543"/>
    </row>
    <row r="343" spans="1:48" s="354" customFormat="1" ht="15" customHeight="1">
      <c r="C343" s="1117"/>
      <c r="D343" s="1117"/>
      <c r="E343" s="1117"/>
      <c r="F343" s="1117"/>
      <c r="G343" s="1117"/>
      <c r="H343" s="1117"/>
      <c r="I343" s="354" t="s">
        <v>4427</v>
      </c>
      <c r="L343" s="354" t="s">
        <v>4508</v>
      </c>
      <c r="M343" s="497"/>
      <c r="N343" s="1119"/>
      <c r="O343" s="1119"/>
      <c r="P343" s="1119"/>
      <c r="Q343" s="1135"/>
      <c r="R343" s="1135"/>
      <c r="S343" s="1135"/>
      <c r="T343" s="496" t="s">
        <v>4518</v>
      </c>
      <c r="Y343" s="497" t="s">
        <v>4508</v>
      </c>
      <c r="AA343" s="1136">
        <f>AA341</f>
        <v>1</v>
      </c>
      <c r="AB343" s="1136"/>
      <c r="AC343" s="739"/>
      <c r="AD343" s="739"/>
      <c r="AM343" s="496" t="s">
        <v>4426</v>
      </c>
      <c r="AO343" s="1119">
        <f>ROUND(C343*N343*AA343,1)</f>
        <v>0</v>
      </c>
      <c r="AP343" s="1119"/>
      <c r="AQ343" s="1119"/>
      <c r="AR343" s="739"/>
      <c r="AS343" s="739"/>
      <c r="AT343" s="739"/>
      <c r="AU343" s="739"/>
      <c r="AV343" s="739"/>
    </row>
    <row r="344" spans="1:48" s="354" customFormat="1" ht="15" customHeight="1">
      <c r="C344" s="542" t="s">
        <v>4519</v>
      </c>
      <c r="D344" s="543"/>
      <c r="E344" s="543"/>
      <c r="F344" s="543"/>
      <c r="G344" s="543"/>
      <c r="H344" s="543"/>
      <c r="I344" s="543"/>
      <c r="J344" s="543"/>
      <c r="K344" s="543"/>
      <c r="L344" s="543"/>
      <c r="M344" s="543"/>
      <c r="N344" s="543"/>
      <c r="O344" s="543"/>
      <c r="P344" s="543"/>
      <c r="Q344" s="543"/>
      <c r="R344" s="543"/>
      <c r="S344" s="543"/>
      <c r="T344" s="543"/>
      <c r="U344" s="543"/>
      <c r="V344" s="543"/>
      <c r="W344" s="543"/>
      <c r="X344" s="543"/>
      <c r="Y344" s="543"/>
      <c r="Z344" s="543"/>
      <c r="AA344" s="543"/>
      <c r="AB344" s="543"/>
      <c r="AC344" s="543"/>
      <c r="AD344" s="543"/>
      <c r="AE344" s="543"/>
      <c r="AF344" s="543"/>
      <c r="AG344" s="543"/>
      <c r="AH344" s="543"/>
      <c r="AI344" s="543"/>
      <c r="AJ344" s="543"/>
      <c r="AK344" s="543"/>
      <c r="AL344" s="543"/>
      <c r="AM344" s="543"/>
      <c r="AN344" s="543"/>
      <c r="AO344" s="543"/>
      <c r="AP344" s="543"/>
      <c r="AQ344" s="543"/>
      <c r="AR344" s="543"/>
      <c r="AS344" s="543"/>
      <c r="AT344" s="543"/>
      <c r="AU344" s="543"/>
      <c r="AV344" s="543"/>
    </row>
    <row r="345" spans="1:48" s="354" customFormat="1" ht="15" customHeight="1">
      <c r="C345" s="1117"/>
      <c r="D345" s="1117"/>
      <c r="E345" s="1117"/>
      <c r="F345" s="1117"/>
      <c r="G345" s="1117"/>
      <c r="H345" s="1117"/>
      <c r="I345" s="354" t="s">
        <v>4520</v>
      </c>
      <c r="L345" s="354" t="s">
        <v>4508</v>
      </c>
      <c r="M345" s="497"/>
      <c r="N345" s="1119"/>
      <c r="O345" s="1119"/>
      <c r="P345" s="1137"/>
      <c r="Q345" s="739"/>
      <c r="R345" s="739"/>
      <c r="S345" s="739"/>
      <c r="T345" s="496" t="s">
        <v>4511</v>
      </c>
      <c r="Y345" s="497" t="s">
        <v>4508</v>
      </c>
      <c r="AA345" s="1136">
        <f>+AA343</f>
        <v>1</v>
      </c>
      <c r="AB345" s="1136"/>
      <c r="AC345" s="739"/>
      <c r="AD345" s="739"/>
      <c r="AM345" s="496" t="s">
        <v>4426</v>
      </c>
      <c r="AO345" s="1119">
        <f>ROUND(C345*N345*AA345,1)</f>
        <v>0</v>
      </c>
      <c r="AP345" s="1119"/>
      <c r="AQ345" s="1119"/>
      <c r="AR345" s="739"/>
      <c r="AS345" s="739"/>
      <c r="AT345" s="739"/>
      <c r="AU345" s="739"/>
      <c r="AV345" s="739"/>
    </row>
    <row r="346" spans="1:48" s="354" customFormat="1">
      <c r="C346" s="313" t="s">
        <v>4521</v>
      </c>
      <c r="D346" s="398"/>
      <c r="E346" s="398"/>
      <c r="F346" s="398"/>
      <c r="G346" s="398"/>
      <c r="H346" s="398"/>
      <c r="M346" s="497"/>
      <c r="N346" s="545"/>
      <c r="O346" s="545"/>
      <c r="P346" s="546"/>
      <c r="Q346" s="299"/>
      <c r="R346" s="299"/>
      <c r="S346" s="299"/>
      <c r="T346" s="496"/>
      <c r="Y346" s="497"/>
      <c r="AA346" s="544"/>
      <c r="AB346" s="544"/>
      <c r="AC346" s="261"/>
      <c r="AD346" s="261"/>
      <c r="AM346" s="496" t="s">
        <v>4426</v>
      </c>
      <c r="AO346" s="1141">
        <f>ROUND(SUM(AO339:AV345),1)</f>
        <v>0</v>
      </c>
      <c r="AP346" s="1141"/>
      <c r="AQ346" s="1141"/>
      <c r="AR346" s="1142"/>
      <c r="AS346" s="1142"/>
      <c r="AT346" s="1142"/>
      <c r="AU346" s="1142"/>
      <c r="AV346" s="1142"/>
    </row>
    <row r="347" spans="1:48" s="354" customFormat="1">
      <c r="C347" s="398" t="s">
        <v>4522</v>
      </c>
      <c r="D347" s="398"/>
      <c r="E347" s="398"/>
      <c r="F347" s="398"/>
      <c r="G347" s="398"/>
      <c r="H347" s="398"/>
      <c r="M347" s="497"/>
      <c r="N347" s="545"/>
      <c r="O347" s="545"/>
      <c r="P347" s="546"/>
      <c r="Q347" s="299"/>
      <c r="R347" s="299"/>
      <c r="S347" s="299"/>
      <c r="T347" s="496"/>
      <c r="Y347" s="497"/>
      <c r="AA347" s="544"/>
      <c r="AB347" s="544"/>
      <c r="AC347" s="261"/>
      <c r="AD347" s="261"/>
      <c r="AM347" s="496"/>
      <c r="AO347" s="532"/>
      <c r="AP347" s="532"/>
      <c r="AQ347" s="532"/>
      <c r="AR347" s="261"/>
      <c r="AS347" s="261"/>
      <c r="AT347" s="261"/>
      <c r="AU347" s="261"/>
      <c r="AV347" s="261"/>
    </row>
    <row r="348" spans="1:48" s="354" customFormat="1">
      <c r="C348" s="1143">
        <f>+AP129</f>
        <v>0</v>
      </c>
      <c r="D348" s="1143"/>
      <c r="E348" s="1143"/>
      <c r="F348" s="1143"/>
      <c r="G348" s="1143"/>
      <c r="H348" s="1143"/>
      <c r="I348" s="1143"/>
      <c r="K348" s="354" t="s">
        <v>4508</v>
      </c>
      <c r="M348" s="497"/>
      <c r="N348" s="545"/>
      <c r="O348" s="545"/>
      <c r="P348" s="546"/>
      <c r="Q348" s="1060">
        <f>+AO346</f>
        <v>0</v>
      </c>
      <c r="R348" s="1060"/>
      <c r="S348" s="1060"/>
      <c r="T348" s="1060"/>
      <c r="U348" s="1060"/>
      <c r="V348" s="1060"/>
      <c r="W348" s="1060"/>
      <c r="X348" s="1060"/>
      <c r="Y348" s="497"/>
      <c r="AA348" s="544"/>
      <c r="AB348" s="544"/>
      <c r="AC348" s="261"/>
      <c r="AD348" s="261"/>
      <c r="AM348" s="496" t="s">
        <v>4426</v>
      </c>
      <c r="AO348" s="1119">
        <f>ROUND(C348*Q348,1)</f>
        <v>0</v>
      </c>
      <c r="AP348" s="1119"/>
      <c r="AQ348" s="1119"/>
      <c r="AR348" s="739"/>
      <c r="AS348" s="739"/>
      <c r="AT348" s="739"/>
      <c r="AU348" s="739"/>
      <c r="AV348" s="739"/>
    </row>
    <row r="349" spans="1:48" s="336" customFormat="1" ht="15" customHeight="1" thickBot="1">
      <c r="C349" s="454" t="str">
        <f>+C337</f>
        <v>VALOR DE LAS OBRAS COMPLEMENTARIAS</v>
      </c>
      <c r="D349" s="455"/>
      <c r="E349" s="455"/>
      <c r="F349" s="455"/>
      <c r="G349" s="456"/>
      <c r="H349" s="457"/>
      <c r="I349" s="458"/>
      <c r="J349" s="459"/>
      <c r="K349" s="460"/>
      <c r="L349" s="456"/>
      <c r="M349" s="456"/>
      <c r="N349" s="456"/>
      <c r="O349" s="456"/>
      <c r="P349" s="456"/>
      <c r="Q349" s="456"/>
      <c r="R349" s="456"/>
      <c r="S349" s="456"/>
      <c r="T349" s="456"/>
      <c r="U349" s="456"/>
      <c r="V349" s="456"/>
      <c r="W349" s="456"/>
      <c r="X349" s="456"/>
      <c r="Y349" s="456"/>
      <c r="Z349" s="456"/>
      <c r="AA349" s="456"/>
      <c r="AB349" s="456"/>
      <c r="AC349" s="456"/>
      <c r="AD349" s="456"/>
      <c r="AE349" s="456"/>
      <c r="AF349" s="456"/>
      <c r="AG349" s="456"/>
      <c r="AH349" s="456"/>
      <c r="AI349" s="456"/>
      <c r="AJ349" s="456"/>
      <c r="AK349" s="456"/>
      <c r="AL349" s="456"/>
      <c r="AM349" s="461" t="s">
        <v>4426</v>
      </c>
      <c r="AN349" s="456"/>
      <c r="AO349" s="1035">
        <f>+AO348</f>
        <v>0</v>
      </c>
      <c r="AP349" s="1035"/>
      <c r="AQ349" s="1035"/>
      <c r="AR349" s="1036"/>
      <c r="AS349" s="1036"/>
      <c r="AT349" s="1036"/>
      <c r="AU349" s="1036"/>
      <c r="AV349" s="1036"/>
    </row>
    <row r="350" spans="1:48" ht="18.75" hidden="1" customHeight="1" thickTop="1">
      <c r="A350" s="891">
        <f>+A337+1</f>
        <v>4</v>
      </c>
      <c r="B350" s="1043"/>
      <c r="C350" s="355" t="s">
        <v>4558</v>
      </c>
    </row>
    <row r="351" spans="1:48" s="354" customFormat="1" ht="15.95" hidden="1" customHeight="1">
      <c r="C351" s="1117">
        <v>1</v>
      </c>
      <c r="D351" s="1117"/>
      <c r="E351" s="1117"/>
      <c r="F351" s="1117"/>
      <c r="G351" s="1117"/>
      <c r="H351" s="1117"/>
      <c r="I351" s="354" t="s">
        <v>4520</v>
      </c>
      <c r="L351" s="354" t="s">
        <v>4508</v>
      </c>
      <c r="M351" s="497"/>
      <c r="N351" s="1138"/>
      <c r="O351" s="1138"/>
      <c r="P351" s="1139"/>
      <c r="Q351" s="1140"/>
      <c r="R351" s="1140"/>
      <c r="S351" s="1140"/>
      <c r="T351" s="496" t="s">
        <v>4511</v>
      </c>
      <c r="Y351" s="497"/>
      <c r="AA351" s="398"/>
      <c r="AB351" s="398"/>
      <c r="AC351" s="261"/>
      <c r="AD351" s="261"/>
      <c r="AM351" s="496" t="s">
        <v>4426</v>
      </c>
      <c r="AO351" s="1119">
        <f>ROUND(C351*N351,1)</f>
        <v>0</v>
      </c>
      <c r="AP351" s="1119"/>
      <c r="AQ351" s="1119"/>
      <c r="AR351" s="739"/>
      <c r="AS351" s="739"/>
      <c r="AT351" s="739"/>
      <c r="AU351" s="739"/>
      <c r="AV351" s="739"/>
    </row>
    <row r="352" spans="1:48" s="336" customFormat="1" ht="15" hidden="1" customHeight="1" thickBot="1">
      <c r="C352" s="454" t="str">
        <f>+C350</f>
        <v>VALOR DEL ESTACIONAMIENTO Nº …</v>
      </c>
      <c r="D352" s="455"/>
      <c r="E352" s="455"/>
      <c r="F352" s="455"/>
      <c r="G352" s="456"/>
      <c r="H352" s="457"/>
      <c r="I352" s="458"/>
      <c r="J352" s="459"/>
      <c r="K352" s="460"/>
      <c r="L352" s="456"/>
      <c r="M352" s="456"/>
      <c r="N352" s="456"/>
      <c r="O352" s="456"/>
      <c r="P352" s="456"/>
      <c r="Q352" s="456"/>
      <c r="R352" s="456"/>
      <c r="S352" s="456"/>
      <c r="T352" s="456"/>
      <c r="U352" s="456"/>
      <c r="V352" s="456"/>
      <c r="W352" s="456"/>
      <c r="X352" s="456"/>
      <c r="Y352" s="456"/>
      <c r="Z352" s="456"/>
      <c r="AA352" s="456"/>
      <c r="AB352" s="456"/>
      <c r="AC352" s="456"/>
      <c r="AD352" s="456"/>
      <c r="AE352" s="456"/>
      <c r="AF352" s="456"/>
      <c r="AG352" s="456"/>
      <c r="AH352" s="456"/>
      <c r="AI352" s="456"/>
      <c r="AJ352" s="456"/>
      <c r="AK352" s="456"/>
      <c r="AL352" s="456"/>
      <c r="AM352" s="461" t="s">
        <v>4426</v>
      </c>
      <c r="AN352" s="456"/>
      <c r="AO352" s="1035">
        <f>SUM(AO351:AV351)</f>
        <v>0</v>
      </c>
      <c r="AP352" s="1035"/>
      <c r="AQ352" s="1035"/>
      <c r="AR352" s="1036"/>
      <c r="AS352" s="1036"/>
      <c r="AT352" s="1036"/>
      <c r="AU352" s="1036"/>
      <c r="AV352" s="1036"/>
    </row>
    <row r="353" spans="1:48" ht="18.75" hidden="1" customHeight="1" thickTop="1">
      <c r="A353" s="891">
        <f>+A350+1</f>
        <v>5</v>
      </c>
      <c r="B353" s="1043"/>
      <c r="C353" s="355" t="s">
        <v>4559</v>
      </c>
    </row>
    <row r="354" spans="1:48" s="354" customFormat="1" ht="15.95" hidden="1" customHeight="1">
      <c r="C354" s="1117">
        <v>1</v>
      </c>
      <c r="D354" s="1117"/>
      <c r="E354" s="1117"/>
      <c r="F354" s="1117"/>
      <c r="G354" s="1117"/>
      <c r="H354" s="1117"/>
      <c r="I354" s="354" t="s">
        <v>4520</v>
      </c>
      <c r="L354" s="354" t="s">
        <v>4508</v>
      </c>
      <c r="M354" s="497"/>
      <c r="N354" s="1138"/>
      <c r="O354" s="1138"/>
      <c r="P354" s="1139"/>
      <c r="Q354" s="1140"/>
      <c r="R354" s="1140"/>
      <c r="S354" s="1140"/>
      <c r="T354" s="496" t="s">
        <v>4511</v>
      </c>
      <c r="Y354" s="497"/>
      <c r="AA354" s="398"/>
      <c r="AB354" s="398"/>
      <c r="AC354" s="261"/>
      <c r="AD354" s="261"/>
      <c r="AM354" s="496" t="s">
        <v>4426</v>
      </c>
      <c r="AO354" s="1119">
        <f>ROUND(C354*N354,1)</f>
        <v>0</v>
      </c>
      <c r="AP354" s="1119"/>
      <c r="AQ354" s="1119"/>
      <c r="AR354" s="739"/>
      <c r="AS354" s="739"/>
      <c r="AT354" s="739"/>
      <c r="AU354" s="739"/>
      <c r="AV354" s="739"/>
    </row>
    <row r="355" spans="1:48" s="336" customFormat="1" ht="15" hidden="1" customHeight="1" thickBot="1">
      <c r="C355" s="454" t="str">
        <f>+C353</f>
        <v>VALOR DEL DEPOSITO Nº ..</v>
      </c>
      <c r="D355" s="455"/>
      <c r="E355" s="455"/>
      <c r="F355" s="455"/>
      <c r="G355" s="456"/>
      <c r="H355" s="457"/>
      <c r="I355" s="458"/>
      <c r="J355" s="459"/>
      <c r="K355" s="460"/>
      <c r="L355" s="456"/>
      <c r="M355" s="456"/>
      <c r="N355" s="456"/>
      <c r="O355" s="456"/>
      <c r="P355" s="456"/>
      <c r="Q355" s="456"/>
      <c r="R355" s="456"/>
      <c r="S355" s="456"/>
      <c r="T355" s="456"/>
      <c r="U355" s="456"/>
      <c r="V355" s="456"/>
      <c r="W355" s="456"/>
      <c r="X355" s="456"/>
      <c r="Y355" s="456"/>
      <c r="Z355" s="456"/>
      <c r="AA355" s="456"/>
      <c r="AB355" s="456"/>
      <c r="AC355" s="456"/>
      <c r="AD355" s="456"/>
      <c r="AE355" s="456"/>
      <c r="AF355" s="456"/>
      <c r="AG355" s="456"/>
      <c r="AH355" s="456"/>
      <c r="AI355" s="456"/>
      <c r="AJ355" s="456"/>
      <c r="AK355" s="456"/>
      <c r="AL355" s="456"/>
      <c r="AM355" s="461" t="s">
        <v>4426</v>
      </c>
      <c r="AN355" s="456"/>
      <c r="AO355" s="1035">
        <f>SUM(AO354:AV354)</f>
        <v>0</v>
      </c>
      <c r="AP355" s="1035"/>
      <c r="AQ355" s="1035"/>
      <c r="AR355" s="1036"/>
      <c r="AS355" s="1036"/>
      <c r="AT355" s="1036"/>
      <c r="AU355" s="1036"/>
      <c r="AV355" s="1036"/>
    </row>
    <row r="356" spans="1:48" s="336" customFormat="1" ht="30" customHeight="1" thickTop="1">
      <c r="A356" s="354"/>
      <c r="B356" s="354"/>
      <c r="C356" s="1144" t="s">
        <v>4560</v>
      </c>
      <c r="D356" s="1145"/>
      <c r="E356" s="1145"/>
      <c r="F356" s="1145"/>
      <c r="G356" s="1145"/>
      <c r="H356" s="1145"/>
      <c r="I356" s="1145"/>
      <c r="J356" s="1145"/>
      <c r="K356" s="1145"/>
      <c r="L356" s="1145"/>
      <c r="M356" s="1145"/>
      <c r="N356" s="1145"/>
      <c r="O356" s="1145"/>
      <c r="P356" s="1145"/>
      <c r="Q356" s="1145"/>
      <c r="R356" s="1145"/>
      <c r="S356" s="1145"/>
      <c r="T356" s="1145"/>
      <c r="U356" s="1145"/>
      <c r="V356" s="1145"/>
      <c r="W356" s="1145"/>
      <c r="X356" s="1145"/>
      <c r="Y356" s="1145"/>
      <c r="Z356" s="1145"/>
      <c r="AA356" s="1145"/>
      <c r="AB356" s="1145"/>
      <c r="AC356" s="1145"/>
      <c r="AD356" s="1145"/>
      <c r="AE356" s="1145"/>
      <c r="AF356" s="1145"/>
      <c r="AG356" s="1145"/>
      <c r="AH356" s="1145"/>
      <c r="AI356" s="1145"/>
      <c r="AJ356" s="1145"/>
      <c r="AK356" s="1145"/>
      <c r="AL356" s="1145"/>
      <c r="AM356" s="1145"/>
      <c r="AN356" s="1145"/>
      <c r="AO356" s="1145"/>
      <c r="AP356" s="1145"/>
      <c r="AQ356" s="1145"/>
      <c r="AR356" s="1145"/>
      <c r="AS356" s="1145"/>
      <c r="AT356" s="1145"/>
      <c r="AU356" s="1145"/>
      <c r="AV356" s="1145"/>
    </row>
    <row r="357" spans="1:48" s="336" customFormat="1" ht="30" customHeight="1">
      <c r="A357" s="284" t="s">
        <v>4523</v>
      </c>
      <c r="B357" s="367"/>
      <c r="C357" s="1084" t="s">
        <v>4524</v>
      </c>
      <c r="D357" s="1084"/>
      <c r="E357" s="1084"/>
      <c r="F357" s="1084"/>
      <c r="G357" s="1084"/>
      <c r="H357" s="1084"/>
      <c r="I357" s="1084"/>
      <c r="J357" s="1084"/>
      <c r="K357" s="1084"/>
      <c r="L357" s="1084"/>
      <c r="M357" s="1084"/>
      <c r="N357" s="1084"/>
      <c r="O357" s="1084"/>
      <c r="P357" s="1084"/>
      <c r="Q357" s="1084"/>
      <c r="R357" s="1084"/>
      <c r="S357" s="1084"/>
      <c r="T357" s="1084"/>
      <c r="U357" s="1084"/>
      <c r="V357" s="1084"/>
      <c r="W357" s="1084"/>
      <c r="X357" s="1084"/>
      <c r="Y357" s="1084"/>
      <c r="Z357" s="1084"/>
      <c r="AA357" s="1084"/>
      <c r="AB357" s="1084"/>
      <c r="AC357" s="1084"/>
      <c r="AD357" s="1084"/>
      <c r="AE357" s="1084"/>
      <c r="AF357" s="1084"/>
      <c r="AG357" s="1084"/>
      <c r="AH357" s="1084"/>
      <c r="AI357" s="1084"/>
      <c r="AJ357" s="1084"/>
      <c r="AK357" s="1084"/>
      <c r="AL357" s="1084"/>
      <c r="AM357" s="1084"/>
      <c r="AN357" s="1084"/>
      <c r="AO357" s="1084"/>
      <c r="AP357" s="1084"/>
      <c r="AQ357" s="1084"/>
      <c r="AR357" s="1084"/>
      <c r="AS357" s="1084"/>
      <c r="AT357" s="1084"/>
      <c r="AU357" s="1084"/>
      <c r="AV357" s="1084"/>
    </row>
    <row r="358" spans="1:48" s="336" customFormat="1" ht="13.5" customHeight="1">
      <c r="A358" s="261"/>
      <c r="B358" s="261"/>
      <c r="C358" s="330"/>
      <c r="D358" s="330"/>
      <c r="E358" s="261"/>
      <c r="F358" s="261"/>
      <c r="G358" s="261"/>
      <c r="H358" s="284"/>
      <c r="I358" s="284"/>
      <c r="J358" s="261"/>
      <c r="K358" s="331"/>
      <c r="L358" s="261"/>
      <c r="M358" s="261"/>
      <c r="N358" s="261"/>
      <c r="O358" s="261"/>
      <c r="P358" s="261"/>
      <c r="Q358" s="261"/>
      <c r="R358" s="261"/>
      <c r="S358" s="261"/>
      <c r="T358" s="331" t="str">
        <f>+S290</f>
        <v xml:space="preserve">  INFORME N°26</v>
      </c>
      <c r="U358" s="261"/>
      <c r="V358" s="332"/>
      <c r="W358" s="333"/>
      <c r="X358" s="261"/>
      <c r="Y358" s="261"/>
      <c r="Z358" s="261"/>
      <c r="AA358" s="261"/>
      <c r="AB358" s="261"/>
      <c r="AC358" s="1088">
        <f>+AB290</f>
        <v>0</v>
      </c>
      <c r="AD358" s="1146"/>
      <c r="AE358" s="1146"/>
      <c r="AF358" s="1146"/>
      <c r="AG358" s="1146"/>
      <c r="AH358" s="261"/>
      <c r="AI358" s="261"/>
      <c r="AJ358" s="261"/>
      <c r="AK358" s="261"/>
      <c r="AL358" s="261"/>
      <c r="AM358" s="261"/>
      <c r="AN358" s="261"/>
      <c r="AO358" s="261"/>
      <c r="AP358" s="261"/>
      <c r="AQ358" s="261"/>
      <c r="AR358" s="261"/>
      <c r="AS358" s="261"/>
      <c r="AT358" s="261"/>
      <c r="AU358" s="261"/>
      <c r="AV358" s="261"/>
    </row>
    <row r="359" spans="1:48" s="336" customFormat="1" ht="13.5" customHeight="1">
      <c r="A359" s="891">
        <v>1</v>
      </c>
      <c r="B359" s="892"/>
      <c r="C359" s="355" t="s">
        <v>4561</v>
      </c>
      <c r="D359" s="261"/>
      <c r="E359" s="261"/>
      <c r="F359" s="261"/>
      <c r="G359" s="261"/>
      <c r="H359" s="261"/>
      <c r="I359" s="261"/>
      <c r="J359" s="261"/>
      <c r="K359" s="261"/>
      <c r="L359" s="261"/>
      <c r="M359" s="261"/>
      <c r="N359" s="261"/>
      <c r="O359" s="261"/>
      <c r="P359" s="261"/>
      <c r="Q359" s="261"/>
      <c r="R359" s="261"/>
      <c r="S359" s="261"/>
      <c r="T359" s="261"/>
      <c r="U359" s="261"/>
      <c r="V359" s="261"/>
      <c r="W359" s="261"/>
      <c r="X359" s="261"/>
      <c r="Y359" s="261"/>
      <c r="Z359" s="261"/>
      <c r="AA359" s="261"/>
      <c r="AB359" s="261"/>
      <c r="AC359" s="261"/>
      <c r="AD359" s="261"/>
      <c r="AE359" s="261"/>
      <c r="AF359" s="261"/>
      <c r="AG359" s="261"/>
      <c r="AH359" s="261"/>
      <c r="AI359" s="261"/>
      <c r="AJ359" s="261"/>
      <c r="AK359" s="261"/>
      <c r="AL359" s="261"/>
      <c r="AM359" s="261"/>
      <c r="AN359" s="261"/>
      <c r="AO359" s="261"/>
      <c r="AP359" s="261"/>
      <c r="AQ359" s="261"/>
      <c r="AR359" s="261"/>
      <c r="AS359" s="261"/>
      <c r="AT359" s="261"/>
      <c r="AU359" s="261"/>
      <c r="AV359" s="261"/>
    </row>
    <row r="360" spans="1:48" s="336" customFormat="1" ht="9.75" customHeight="1">
      <c r="A360" s="353"/>
      <c r="B360" s="354"/>
      <c r="C360" s="355"/>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c r="AA360" s="261"/>
      <c r="AB360" s="261"/>
      <c r="AC360" s="261"/>
      <c r="AD360" s="261"/>
      <c r="AE360" s="261"/>
      <c r="AF360" s="261"/>
      <c r="AG360" s="261"/>
      <c r="AH360" s="261"/>
      <c r="AI360" s="261"/>
      <c r="AJ360" s="261"/>
      <c r="AK360" s="261"/>
      <c r="AL360" s="261"/>
      <c r="AM360" s="261"/>
      <c r="AN360" s="261"/>
      <c r="AO360" s="261"/>
      <c r="AP360" s="261"/>
      <c r="AQ360" s="261"/>
      <c r="AR360" s="261"/>
      <c r="AS360" s="261"/>
      <c r="AT360" s="261"/>
      <c r="AU360" s="261"/>
      <c r="AV360" s="261"/>
    </row>
    <row r="361" spans="1:48" s="336" customFormat="1" ht="13.5" customHeight="1">
      <c r="A361" s="261"/>
      <c r="B361" s="261"/>
      <c r="C361" s="480" t="s">
        <v>4562</v>
      </c>
      <c r="D361" s="547"/>
      <c r="E361" s="480"/>
      <c r="F361" s="480"/>
      <c r="G361" s="480"/>
      <c r="H361" s="548"/>
      <c r="I361" s="548"/>
      <c r="J361" s="480"/>
      <c r="K361" s="549"/>
      <c r="L361" s="480"/>
      <c r="M361" s="480"/>
      <c r="N361" s="480"/>
      <c r="O361" s="480"/>
      <c r="P361" s="480"/>
      <c r="Q361" s="480"/>
      <c r="R361" s="480"/>
      <c r="S361" s="480"/>
      <c r="T361" s="549"/>
      <c r="U361" s="480"/>
      <c r="V361" s="550"/>
      <c r="W361" s="551"/>
      <c r="X361" s="480"/>
      <c r="Y361" s="480"/>
      <c r="Z361" s="480"/>
      <c r="AA361" s="480"/>
      <c r="AB361" s="480"/>
      <c r="AC361" s="550"/>
      <c r="AD361" s="480"/>
      <c r="AE361" s="480"/>
      <c r="AF361" s="480"/>
      <c r="AG361" s="480"/>
      <c r="AH361" s="480"/>
      <c r="AI361" s="480"/>
      <c r="AJ361" s="480"/>
      <c r="AK361" s="480"/>
      <c r="AL361" s="480"/>
      <c r="AM361" s="552"/>
      <c r="AN361" s="480"/>
      <c r="AO361" s="480"/>
      <c r="AP361" s="480"/>
      <c r="AQ361" s="480"/>
      <c r="AR361" s="480"/>
      <c r="AS361" s="480"/>
      <c r="AT361" s="480"/>
      <c r="AU361" s="480"/>
      <c r="AV361" s="480"/>
    </row>
    <row r="362" spans="1:48" s="336" customFormat="1" ht="30" customHeight="1">
      <c r="A362" s="891">
        <f>1+A359</f>
        <v>2</v>
      </c>
      <c r="B362" s="892"/>
      <c r="C362" s="355" t="s">
        <v>4525</v>
      </c>
      <c r="D362" s="261"/>
      <c r="E362" s="261"/>
      <c r="F362" s="261"/>
      <c r="G362" s="261"/>
      <c r="H362" s="261"/>
      <c r="I362" s="261"/>
      <c r="J362" s="261"/>
      <c r="K362" s="261"/>
      <c r="L362" s="261"/>
      <c r="M362" s="261"/>
      <c r="N362" s="261"/>
      <c r="O362" s="261"/>
      <c r="P362" s="261"/>
      <c r="Q362" s="261"/>
      <c r="R362" s="261"/>
      <c r="S362" s="261"/>
      <c r="T362" s="261" t="s">
        <v>4526</v>
      </c>
      <c r="U362" s="261"/>
      <c r="V362" s="261"/>
      <c r="W362" s="261"/>
      <c r="X362" s="261"/>
      <c r="Y362" s="261"/>
      <c r="Z362" s="261"/>
      <c r="AA362" s="261"/>
      <c r="AB362" s="261"/>
      <c r="AC362" s="261"/>
      <c r="AD362" s="261"/>
      <c r="AE362" s="261"/>
      <c r="AF362" s="261"/>
      <c r="AG362" s="261"/>
      <c r="AH362" s="261"/>
      <c r="AI362" s="261"/>
      <c r="AJ362" s="261"/>
      <c r="AK362" s="261"/>
      <c r="AL362" s="261"/>
      <c r="AM362" s="261"/>
      <c r="AN362" s="261"/>
      <c r="AO362" s="261"/>
      <c r="AP362" s="261"/>
      <c r="AQ362" s="261"/>
      <c r="AR362" s="261"/>
      <c r="AS362" s="261"/>
      <c r="AT362" s="261"/>
      <c r="AU362" s="261"/>
      <c r="AV362" s="261"/>
    </row>
    <row r="363" spans="1:48" s="336" customFormat="1" ht="21" customHeight="1">
      <c r="A363" s="353"/>
      <c r="B363" s="354"/>
      <c r="C363" s="541" t="str">
        <f t="shared" ref="C363:C368" si="45">+C327</f>
        <v>Primer piso</v>
      </c>
      <c r="D363" s="261"/>
      <c r="E363" s="261"/>
      <c r="F363" s="261"/>
      <c r="G363" s="261"/>
      <c r="H363" s="261"/>
      <c r="I363" s="261"/>
      <c r="J363" s="261"/>
      <c r="K363" s="261"/>
      <c r="L363" s="261"/>
      <c r="M363" s="261"/>
      <c r="N363" s="261"/>
      <c r="O363" s="261"/>
      <c r="P363" s="261"/>
      <c r="Q363" s="261"/>
      <c r="R363" s="261"/>
      <c r="S363" s="261"/>
      <c r="T363" s="261"/>
      <c r="U363" s="261"/>
      <c r="V363" s="261"/>
      <c r="W363" s="261"/>
      <c r="X363" s="261"/>
      <c r="Y363" s="261"/>
      <c r="Z363" s="261"/>
      <c r="AA363" s="261"/>
      <c r="AB363" s="261"/>
      <c r="AC363" s="261"/>
      <c r="AD363" s="261"/>
      <c r="AE363" s="261"/>
      <c r="AF363" s="261"/>
      <c r="AG363" s="261"/>
      <c r="AH363" s="261"/>
      <c r="AI363" s="261"/>
      <c r="AJ363" s="261"/>
      <c r="AK363" s="261"/>
      <c r="AL363" s="261"/>
      <c r="AM363" s="261"/>
      <c r="AN363" s="261"/>
      <c r="AO363" s="261"/>
      <c r="AP363" s="261"/>
      <c r="AQ363" s="261"/>
      <c r="AR363" s="261"/>
      <c r="AS363" s="261"/>
      <c r="AT363" s="261"/>
      <c r="AU363" s="261"/>
      <c r="AV363" s="261"/>
    </row>
    <row r="364" spans="1:48" s="336" customFormat="1" ht="15.95" customHeight="1">
      <c r="A364" s="354"/>
      <c r="B364" s="354"/>
      <c r="C364" s="1117">
        <f t="shared" si="45"/>
        <v>0</v>
      </c>
      <c r="D364" s="1117"/>
      <c r="E364" s="1117"/>
      <c r="F364" s="1117"/>
      <c r="G364" s="1117"/>
      <c r="H364" s="1117"/>
      <c r="I364" s="398"/>
      <c r="J364" s="354" t="str">
        <f>+I328</f>
        <v>m2</v>
      </c>
      <c r="K364" s="354"/>
      <c r="L364" s="354"/>
      <c r="M364" s="354" t="s">
        <v>4508</v>
      </c>
      <c r="N364" s="497"/>
      <c r="O364" s="1119">
        <f>+N328</f>
        <v>0</v>
      </c>
      <c r="P364" s="1119"/>
      <c r="Q364" s="1119"/>
      <c r="R364" s="1119"/>
      <c r="S364" s="1119"/>
      <c r="T364" s="1119"/>
      <c r="U364" s="496" t="s">
        <v>4509</v>
      </c>
      <c r="V364" s="354"/>
      <c r="W364" s="354"/>
      <c r="X364" s="354"/>
      <c r="Y364" s="354"/>
      <c r="Z364" s="497"/>
      <c r="AA364" s="354"/>
      <c r="AB364" s="1136"/>
      <c r="AC364" s="1136"/>
      <c r="AD364" s="1136"/>
      <c r="AE364" s="1136"/>
      <c r="AF364" s="354"/>
      <c r="AG364" s="354"/>
      <c r="AH364" s="354"/>
      <c r="AI364" s="354"/>
      <c r="AJ364" s="354"/>
      <c r="AK364" s="354"/>
      <c r="AL364" s="354"/>
      <c r="AM364" s="496" t="s">
        <v>4426</v>
      </c>
      <c r="AN364" s="496"/>
      <c r="AO364" s="1060">
        <f>ROUND(C364*O364,1)</f>
        <v>0</v>
      </c>
      <c r="AP364" s="1060"/>
      <c r="AQ364" s="1060"/>
      <c r="AR364" s="1060"/>
      <c r="AS364" s="1060"/>
      <c r="AT364" s="1060"/>
      <c r="AU364" s="1060"/>
      <c r="AV364" s="1060"/>
    </row>
    <row r="365" spans="1:48" s="336" customFormat="1" ht="21" customHeight="1">
      <c r="A365" s="353"/>
      <c r="B365" s="354"/>
      <c r="C365" s="541" t="str">
        <f t="shared" si="45"/>
        <v>Segundo piso</v>
      </c>
      <c r="D365" s="261"/>
      <c r="E365" s="261"/>
      <c r="F365" s="261"/>
      <c r="G365" s="261"/>
      <c r="H365" s="261"/>
      <c r="I365" s="261"/>
      <c r="J365" s="261"/>
      <c r="K365" s="261"/>
      <c r="L365" s="261"/>
      <c r="M365" s="261"/>
      <c r="N365" s="261"/>
      <c r="O365" s="261"/>
      <c r="P365" s="261"/>
      <c r="Q365" s="261"/>
      <c r="R365" s="261"/>
      <c r="S365" s="261"/>
      <c r="T365" s="261"/>
      <c r="U365" s="261"/>
      <c r="V365" s="261"/>
      <c r="W365" s="261"/>
      <c r="X365" s="261"/>
      <c r="Y365" s="261"/>
      <c r="Z365" s="261"/>
      <c r="AA365" s="261"/>
      <c r="AB365" s="261"/>
      <c r="AC365" s="261"/>
      <c r="AD365" s="261"/>
      <c r="AE365" s="261"/>
      <c r="AF365" s="261"/>
      <c r="AG365" s="261"/>
      <c r="AH365" s="261"/>
      <c r="AI365" s="261"/>
      <c r="AJ365" s="261"/>
      <c r="AK365" s="261"/>
      <c r="AL365" s="261"/>
      <c r="AM365" s="261"/>
      <c r="AN365" s="261"/>
      <c r="AO365" s="261"/>
      <c r="AP365" s="261"/>
      <c r="AQ365" s="261"/>
      <c r="AR365" s="261"/>
      <c r="AS365" s="261"/>
      <c r="AT365" s="261"/>
      <c r="AU365" s="261"/>
      <c r="AV365" s="261"/>
    </row>
    <row r="366" spans="1:48" s="336" customFormat="1" ht="15.95" customHeight="1">
      <c r="A366" s="354"/>
      <c r="B366" s="354"/>
      <c r="C366" s="1117">
        <f t="shared" si="45"/>
        <v>0</v>
      </c>
      <c r="D366" s="1117"/>
      <c r="E366" s="1117"/>
      <c r="F366" s="1117"/>
      <c r="G366" s="1117"/>
      <c r="H366" s="1117"/>
      <c r="I366" s="398"/>
      <c r="J366" s="354" t="str">
        <f>+I330</f>
        <v>m2</v>
      </c>
      <c r="K366" s="354"/>
      <c r="L366" s="354"/>
      <c r="M366" s="354" t="s">
        <v>4508</v>
      </c>
      <c r="N366" s="497"/>
      <c r="O366" s="1119">
        <f>+N330</f>
        <v>0</v>
      </c>
      <c r="P366" s="1119"/>
      <c r="Q366" s="1119"/>
      <c r="R366" s="1119"/>
      <c r="S366" s="1119"/>
      <c r="T366" s="1119"/>
      <c r="U366" s="496" t="s">
        <v>4509</v>
      </c>
      <c r="V366" s="354"/>
      <c r="W366" s="354"/>
      <c r="X366" s="354"/>
      <c r="Y366" s="354"/>
      <c r="Z366" s="497"/>
      <c r="AA366" s="354"/>
      <c r="AB366" s="1136"/>
      <c r="AC366" s="1136"/>
      <c r="AD366" s="1136"/>
      <c r="AE366" s="1136"/>
      <c r="AF366" s="354"/>
      <c r="AG366" s="354"/>
      <c r="AH366" s="354"/>
      <c r="AI366" s="354"/>
      <c r="AJ366" s="354"/>
      <c r="AK366" s="354"/>
      <c r="AL366" s="354"/>
      <c r="AM366" s="496" t="s">
        <v>4426</v>
      </c>
      <c r="AN366" s="496"/>
      <c r="AO366" s="1060">
        <f>ROUND(C366*O366,1)</f>
        <v>0</v>
      </c>
      <c r="AP366" s="1060"/>
      <c r="AQ366" s="1060"/>
      <c r="AR366" s="1060"/>
      <c r="AS366" s="1060"/>
      <c r="AT366" s="1060"/>
      <c r="AU366" s="1060"/>
      <c r="AV366" s="1060"/>
    </row>
    <row r="367" spans="1:48" s="336" customFormat="1" ht="21" customHeight="1">
      <c r="A367" s="353"/>
      <c r="B367" s="354"/>
      <c r="C367" s="541" t="str">
        <f t="shared" si="45"/>
        <v>Tercer piso</v>
      </c>
      <c r="D367" s="261"/>
      <c r="E367" s="261"/>
      <c r="F367" s="261"/>
      <c r="G367" s="261"/>
      <c r="H367" s="261"/>
      <c r="I367" s="261"/>
      <c r="J367" s="261"/>
      <c r="K367" s="261"/>
      <c r="L367" s="261"/>
      <c r="M367" s="261"/>
      <c r="N367" s="261"/>
      <c r="O367" s="261"/>
      <c r="P367" s="261"/>
      <c r="Q367" s="261"/>
      <c r="R367" s="261"/>
      <c r="S367" s="261"/>
      <c r="T367" s="261"/>
      <c r="U367" s="261"/>
      <c r="V367" s="261"/>
      <c r="W367" s="261"/>
      <c r="X367" s="261"/>
      <c r="Y367" s="261"/>
      <c r="Z367" s="261"/>
      <c r="AA367" s="261"/>
      <c r="AB367" s="261"/>
      <c r="AC367" s="261"/>
      <c r="AD367" s="261"/>
      <c r="AE367" s="261"/>
      <c r="AF367" s="261"/>
      <c r="AG367" s="261"/>
      <c r="AH367" s="261"/>
      <c r="AI367" s="261"/>
      <c r="AJ367" s="261"/>
      <c r="AK367" s="261"/>
      <c r="AL367" s="261"/>
      <c r="AM367" s="261"/>
      <c r="AN367" s="261"/>
      <c r="AO367" s="261"/>
      <c r="AP367" s="261"/>
      <c r="AQ367" s="261"/>
      <c r="AR367" s="261"/>
      <c r="AS367" s="261"/>
      <c r="AT367" s="261"/>
      <c r="AU367" s="261"/>
      <c r="AV367" s="261"/>
    </row>
    <row r="368" spans="1:48" s="336" customFormat="1" ht="15.95" customHeight="1">
      <c r="A368" s="354"/>
      <c r="B368" s="354"/>
      <c r="C368" s="1117">
        <f t="shared" si="45"/>
        <v>0</v>
      </c>
      <c r="D368" s="1117"/>
      <c r="E368" s="1117"/>
      <c r="F368" s="1117"/>
      <c r="G368" s="1117"/>
      <c r="H368" s="1117"/>
      <c r="I368" s="398"/>
      <c r="J368" s="354" t="str">
        <f>+I332</f>
        <v>m2</v>
      </c>
      <c r="K368" s="354"/>
      <c r="L368" s="354"/>
      <c r="M368" s="354" t="s">
        <v>4508</v>
      </c>
      <c r="N368" s="497"/>
      <c r="O368" s="1119">
        <f>+N332</f>
        <v>0</v>
      </c>
      <c r="P368" s="1119"/>
      <c r="Q368" s="1119"/>
      <c r="R368" s="1119"/>
      <c r="S368" s="1119"/>
      <c r="T368" s="1119"/>
      <c r="U368" s="496" t="s">
        <v>4509</v>
      </c>
      <c r="V368" s="354"/>
      <c r="W368" s="354"/>
      <c r="X368" s="354"/>
      <c r="Y368" s="354"/>
      <c r="Z368" s="497"/>
      <c r="AA368" s="354"/>
      <c r="AB368" s="1136"/>
      <c r="AC368" s="1136"/>
      <c r="AD368" s="1136"/>
      <c r="AE368" s="1136"/>
      <c r="AF368" s="354"/>
      <c r="AG368" s="354"/>
      <c r="AH368" s="354"/>
      <c r="AI368" s="354"/>
      <c r="AJ368" s="354"/>
      <c r="AK368" s="354"/>
      <c r="AL368" s="354"/>
      <c r="AM368" s="496" t="s">
        <v>4426</v>
      </c>
      <c r="AN368" s="496"/>
      <c r="AO368" s="1060">
        <f>ROUND(C368*O368,1)</f>
        <v>0</v>
      </c>
      <c r="AP368" s="1060"/>
      <c r="AQ368" s="1060"/>
      <c r="AR368" s="1060"/>
      <c r="AS368" s="1060"/>
      <c r="AT368" s="1060"/>
      <c r="AU368" s="1060"/>
      <c r="AV368" s="1060"/>
    </row>
    <row r="369" spans="1:48" s="336" customFormat="1" ht="15" customHeight="1" thickBot="1">
      <c r="A369" s="354"/>
      <c r="B369" s="354"/>
      <c r="C369" s="487" t="str">
        <f>+C362</f>
        <v>VALOR  DE LA EDIFICACIÓN</v>
      </c>
      <c r="D369" s="488"/>
      <c r="E369" s="488"/>
      <c r="F369" s="488"/>
      <c r="G369" s="489"/>
      <c r="H369" s="490"/>
      <c r="I369" s="490"/>
      <c r="J369" s="491"/>
      <c r="K369" s="492"/>
      <c r="L369" s="493"/>
      <c r="M369" s="489"/>
      <c r="N369" s="489"/>
      <c r="O369" s="489"/>
      <c r="P369" s="489"/>
      <c r="Q369" s="489"/>
      <c r="R369" s="489"/>
      <c r="S369" s="489"/>
      <c r="T369" s="489"/>
      <c r="U369" s="489"/>
      <c r="V369" s="489"/>
      <c r="W369" s="489"/>
      <c r="X369" s="489"/>
      <c r="Y369" s="489"/>
      <c r="Z369" s="489"/>
      <c r="AA369" s="489"/>
      <c r="AB369" s="489"/>
      <c r="AC369" s="489"/>
      <c r="AD369" s="489"/>
      <c r="AE369" s="489"/>
      <c r="AF369" s="489"/>
      <c r="AG369" s="489"/>
      <c r="AH369" s="489"/>
      <c r="AI369" s="489"/>
      <c r="AJ369" s="489"/>
      <c r="AK369" s="489"/>
      <c r="AL369" s="489"/>
      <c r="AM369" s="494" t="s">
        <v>4426</v>
      </c>
      <c r="AN369" s="494"/>
      <c r="AO369" s="1052">
        <f>ROUND(SUM(AO364:AV368),1)</f>
        <v>0</v>
      </c>
      <c r="AP369" s="1052"/>
      <c r="AQ369" s="1052"/>
      <c r="AR369" s="1052"/>
      <c r="AS369" s="1052"/>
      <c r="AT369" s="1052"/>
      <c r="AU369" s="1052"/>
      <c r="AV369" s="1052"/>
    </row>
    <row r="370" spans="1:48" s="336" customFormat="1" ht="24" hidden="1" customHeight="1" thickTop="1">
      <c r="A370" s="891">
        <v>3</v>
      </c>
      <c r="B370" s="892"/>
      <c r="C370" s="355" t="s">
        <v>4510</v>
      </c>
      <c r="D370" s="261"/>
      <c r="E370" s="261"/>
      <c r="F370" s="261"/>
      <c r="G370" s="261"/>
      <c r="H370" s="261"/>
      <c r="I370" s="261"/>
      <c r="J370" s="261"/>
      <c r="K370" s="261"/>
      <c r="L370" s="261"/>
      <c r="M370" s="261"/>
      <c r="N370" s="261"/>
      <c r="O370" s="261"/>
      <c r="P370" s="261"/>
      <c r="Q370" s="261"/>
      <c r="R370" s="261"/>
      <c r="S370" s="261"/>
      <c r="T370" s="261"/>
      <c r="U370" s="261"/>
      <c r="V370" s="261"/>
      <c r="W370" s="261"/>
      <c r="X370" s="261"/>
      <c r="Y370" s="261"/>
      <c r="Z370" s="261"/>
      <c r="AA370" s="261"/>
      <c r="AB370" s="261"/>
      <c r="AC370" s="261"/>
      <c r="AD370" s="261"/>
      <c r="AE370" s="261"/>
      <c r="AF370" s="261"/>
      <c r="AG370" s="261"/>
      <c r="AH370" s="261"/>
      <c r="AI370" s="261"/>
      <c r="AJ370" s="261"/>
      <c r="AK370" s="261"/>
      <c r="AL370" s="261"/>
      <c r="AM370" s="261"/>
      <c r="AN370" s="261"/>
      <c r="AO370" s="261"/>
      <c r="AP370" s="261"/>
      <c r="AQ370" s="261"/>
      <c r="AR370" s="261"/>
      <c r="AS370" s="261"/>
      <c r="AT370" s="261"/>
      <c r="AU370" s="261"/>
      <c r="AV370" s="261"/>
    </row>
    <row r="371" spans="1:48" s="354" customFormat="1" ht="15.95" hidden="1" customHeight="1">
      <c r="C371" s="1059">
        <f>+C335</f>
        <v>0</v>
      </c>
      <c r="D371" s="1059"/>
      <c r="E371" s="1059"/>
      <c r="F371" s="1059"/>
      <c r="G371" s="1059"/>
      <c r="H371" s="1059"/>
      <c r="I371" s="354" t="s">
        <v>4520</v>
      </c>
      <c r="L371" s="354" t="s">
        <v>4508</v>
      </c>
      <c r="M371" s="1060">
        <f>+AO369</f>
        <v>0</v>
      </c>
      <c r="N371" s="1060"/>
      <c r="O371" s="1060"/>
      <c r="P371" s="1060"/>
      <c r="Q371" s="1060"/>
      <c r="R371" s="1060"/>
      <c r="S371" s="1060"/>
      <c r="T371" s="496" t="s">
        <v>4511</v>
      </c>
      <c r="Y371" s="497"/>
      <c r="AA371" s="398"/>
      <c r="AB371" s="398"/>
      <c r="AC371" s="261"/>
      <c r="AD371" s="261"/>
      <c r="AM371" s="496" t="s">
        <v>4426</v>
      </c>
      <c r="AN371" s="496"/>
      <c r="AO371" s="1060">
        <f>ROUND(C371*M371,1)</f>
        <v>0</v>
      </c>
      <c r="AP371" s="1060"/>
      <c r="AQ371" s="1060"/>
      <c r="AR371" s="1060"/>
      <c r="AS371" s="1060"/>
      <c r="AT371" s="1060"/>
      <c r="AU371" s="1060"/>
      <c r="AV371" s="1060"/>
    </row>
    <row r="372" spans="1:48" s="336" customFormat="1" ht="14.25" hidden="1" thickBot="1">
      <c r="A372" s="354"/>
      <c r="B372" s="354"/>
      <c r="C372" s="487" t="str">
        <f>+C370</f>
        <v>VALOR DE LAS AREAS COMUNES</v>
      </c>
      <c r="D372" s="488"/>
      <c r="E372" s="488"/>
      <c r="F372" s="488"/>
      <c r="G372" s="489"/>
      <c r="H372" s="490"/>
      <c r="I372" s="490"/>
      <c r="J372" s="491"/>
      <c r="K372" s="492"/>
      <c r="L372" s="493"/>
      <c r="M372" s="489"/>
      <c r="N372" s="489"/>
      <c r="O372" s="489"/>
      <c r="P372" s="489"/>
      <c r="Q372" s="489"/>
      <c r="R372" s="489"/>
      <c r="S372" s="489"/>
      <c r="T372" s="489"/>
      <c r="U372" s="489"/>
      <c r="V372" s="489"/>
      <c r="W372" s="489"/>
      <c r="X372" s="489"/>
      <c r="Y372" s="489"/>
      <c r="Z372" s="489"/>
      <c r="AA372" s="489"/>
      <c r="AB372" s="489"/>
      <c r="AC372" s="489"/>
      <c r="AD372" s="489"/>
      <c r="AE372" s="489"/>
      <c r="AF372" s="489"/>
      <c r="AG372" s="489"/>
      <c r="AH372" s="489"/>
      <c r="AI372" s="489"/>
      <c r="AJ372" s="489"/>
      <c r="AK372" s="489"/>
      <c r="AL372" s="489"/>
      <c r="AM372" s="494" t="s">
        <v>4426</v>
      </c>
      <c r="AN372" s="494"/>
      <c r="AO372" s="1052">
        <f>+AO371</f>
        <v>0</v>
      </c>
      <c r="AP372" s="1052"/>
      <c r="AQ372" s="1052"/>
      <c r="AR372" s="1052"/>
      <c r="AS372" s="1052"/>
      <c r="AT372" s="1052"/>
      <c r="AU372" s="1052"/>
      <c r="AV372" s="1052"/>
    </row>
    <row r="373" spans="1:48" s="336" customFormat="1" ht="27.95" customHeight="1" thickTop="1">
      <c r="A373" s="891">
        <f>+A370+1</f>
        <v>4</v>
      </c>
      <c r="B373" s="892"/>
      <c r="C373" s="355" t="s">
        <v>4527</v>
      </c>
      <c r="D373" s="261"/>
      <c r="E373" s="261"/>
      <c r="F373" s="261"/>
      <c r="G373" s="261"/>
      <c r="H373" s="261"/>
      <c r="I373" s="261"/>
      <c r="J373" s="261"/>
      <c r="K373" s="261"/>
      <c r="L373" s="261"/>
      <c r="M373" s="261"/>
      <c r="N373" s="261"/>
      <c r="O373" s="261"/>
      <c r="P373" s="261"/>
      <c r="Q373" s="261"/>
      <c r="R373" s="261"/>
      <c r="S373" s="261"/>
      <c r="T373" s="261"/>
      <c r="U373" s="261"/>
      <c r="V373" s="261"/>
      <c r="W373" s="261"/>
      <c r="X373" s="261"/>
      <c r="Y373" s="261"/>
      <c r="Z373" s="261"/>
      <c r="AA373" s="261"/>
      <c r="AB373" s="261"/>
      <c r="AC373" s="261"/>
      <c r="AD373" s="261"/>
      <c r="AE373" s="261"/>
      <c r="AF373" s="261"/>
      <c r="AG373" s="261"/>
      <c r="AH373" s="261"/>
      <c r="AI373" s="261"/>
      <c r="AJ373" s="261"/>
      <c r="AK373" s="261"/>
      <c r="AL373" s="261"/>
      <c r="AM373" s="261"/>
      <c r="AN373" s="261"/>
      <c r="AO373" s="261"/>
      <c r="AP373" s="261"/>
      <c r="AQ373" s="261"/>
      <c r="AR373" s="261"/>
      <c r="AS373" s="261"/>
      <c r="AT373" s="261"/>
      <c r="AU373" s="261"/>
      <c r="AV373" s="261"/>
    </row>
    <row r="374" spans="1:48" s="336" customFormat="1" ht="15" customHeight="1">
      <c r="A374" s="354"/>
      <c r="B374" s="354"/>
      <c r="C374" s="542" t="str">
        <f t="shared" ref="C374:C381" si="46">+C338</f>
        <v>a) Cisterna (estimado):</v>
      </c>
      <c r="D374" s="543"/>
      <c r="E374" s="543"/>
      <c r="F374" s="543"/>
      <c r="G374" s="543"/>
      <c r="H374" s="543"/>
      <c r="I374" s="543"/>
      <c r="J374" s="543"/>
      <c r="K374" s="543"/>
      <c r="L374" s="543"/>
      <c r="M374" s="543"/>
      <c r="N374" s="543"/>
      <c r="O374" s="543"/>
      <c r="P374" s="543"/>
      <c r="Q374" s="543"/>
      <c r="R374" s="543"/>
      <c r="S374" s="543"/>
      <c r="T374" s="543"/>
      <c r="U374" s="543"/>
      <c r="V374" s="543"/>
      <c r="W374" s="543"/>
      <c r="X374" s="543"/>
      <c r="Y374" s="543"/>
      <c r="Z374" s="543"/>
      <c r="AA374" s="543"/>
      <c r="AB374" s="543"/>
      <c r="AC374" s="543"/>
      <c r="AD374" s="543"/>
      <c r="AE374" s="543"/>
      <c r="AF374" s="543"/>
      <c r="AG374" s="543"/>
      <c r="AH374" s="543"/>
      <c r="AI374" s="543"/>
      <c r="AJ374" s="543"/>
      <c r="AK374" s="543"/>
      <c r="AL374" s="543"/>
      <c r="AM374" s="543"/>
      <c r="AN374" s="543"/>
      <c r="AO374" s="543"/>
      <c r="AP374" s="543"/>
      <c r="AQ374" s="543"/>
      <c r="AR374" s="543"/>
      <c r="AS374" s="543"/>
      <c r="AT374" s="543"/>
      <c r="AU374" s="543"/>
      <c r="AV374" s="543"/>
    </row>
    <row r="375" spans="1:48" s="336" customFormat="1" ht="15" customHeight="1">
      <c r="A375" s="354"/>
      <c r="B375" s="354"/>
      <c r="C375" s="1117">
        <f t="shared" si="46"/>
        <v>0</v>
      </c>
      <c r="D375" s="1117"/>
      <c r="E375" s="1117"/>
      <c r="F375" s="1117"/>
      <c r="G375" s="1117"/>
      <c r="H375" s="1117"/>
      <c r="I375" s="398" t="str">
        <f>+I339</f>
        <v>m3</v>
      </c>
      <c r="J375" s="354"/>
      <c r="K375" s="354"/>
      <c r="L375" s="354"/>
      <c r="M375" s="354" t="s">
        <v>4508</v>
      </c>
      <c r="N375" s="1060">
        <f>+N339</f>
        <v>0</v>
      </c>
      <c r="O375" s="1060"/>
      <c r="P375" s="1060"/>
      <c r="Q375" s="1060"/>
      <c r="R375" s="1060"/>
      <c r="S375" s="1060"/>
      <c r="T375" s="1060"/>
      <c r="U375" s="496" t="str">
        <f>+T339</f>
        <v>/m3</v>
      </c>
      <c r="V375" s="354"/>
      <c r="W375" s="354"/>
      <c r="X375" s="354"/>
      <c r="Y375" s="354"/>
      <c r="Z375" s="497"/>
      <c r="AA375" s="354"/>
      <c r="AB375" s="1136"/>
      <c r="AC375" s="1136"/>
      <c r="AD375" s="739"/>
      <c r="AE375" s="739"/>
      <c r="AF375" s="354"/>
      <c r="AG375" s="354"/>
      <c r="AH375" s="354"/>
      <c r="AI375" s="354"/>
      <c r="AJ375" s="354"/>
      <c r="AK375" s="354"/>
      <c r="AL375" s="354"/>
      <c r="AM375" s="496" t="s">
        <v>4426</v>
      </c>
      <c r="AN375" s="496"/>
      <c r="AO375" s="1060">
        <f>ROUND(C375*N375,1)</f>
        <v>0</v>
      </c>
      <c r="AP375" s="1060"/>
      <c r="AQ375" s="1060"/>
      <c r="AR375" s="1060"/>
      <c r="AS375" s="1060"/>
      <c r="AT375" s="1060"/>
      <c r="AU375" s="1060"/>
      <c r="AV375" s="1060"/>
    </row>
    <row r="376" spans="1:48" s="336" customFormat="1" ht="15" customHeight="1">
      <c r="A376" s="354"/>
      <c r="B376" s="354"/>
      <c r="C376" s="542" t="str">
        <f t="shared" si="46"/>
        <v>b) Tanque elevado (estimado):</v>
      </c>
      <c r="D376" s="543"/>
      <c r="E376" s="543"/>
      <c r="F376" s="543"/>
      <c r="G376" s="543"/>
      <c r="H376" s="543"/>
      <c r="I376" s="543"/>
      <c r="J376" s="543"/>
      <c r="K376" s="543"/>
      <c r="L376" s="543"/>
      <c r="M376" s="543"/>
      <c r="N376" s="543"/>
      <c r="O376" s="543"/>
      <c r="P376" s="543"/>
      <c r="Q376" s="543"/>
      <c r="R376" s="543"/>
      <c r="S376" s="543"/>
      <c r="T376" s="543"/>
      <c r="U376" s="543"/>
      <c r="V376" s="543"/>
      <c r="W376" s="543"/>
      <c r="X376" s="543"/>
      <c r="Y376" s="543"/>
      <c r="Z376" s="543"/>
      <c r="AA376" s="543"/>
      <c r="AB376" s="543"/>
      <c r="AC376" s="543"/>
      <c r="AD376" s="543"/>
      <c r="AE376" s="543"/>
      <c r="AF376" s="543"/>
      <c r="AG376" s="543"/>
      <c r="AH376" s="543"/>
      <c r="AI376" s="543"/>
      <c r="AJ376" s="543"/>
      <c r="AK376" s="543"/>
      <c r="AL376" s="543"/>
      <c r="AM376" s="543"/>
      <c r="AN376" s="543"/>
      <c r="AO376" s="543"/>
      <c r="AP376" s="543"/>
      <c r="AQ376" s="543"/>
      <c r="AR376" s="543"/>
      <c r="AS376" s="543"/>
      <c r="AT376" s="543"/>
      <c r="AU376" s="543"/>
      <c r="AV376" s="543"/>
    </row>
    <row r="377" spans="1:48" s="336" customFormat="1" ht="15" customHeight="1">
      <c r="A377" s="354"/>
      <c r="B377" s="354"/>
      <c r="C377" s="1117">
        <f t="shared" si="46"/>
        <v>0</v>
      </c>
      <c r="D377" s="1117"/>
      <c r="E377" s="1117"/>
      <c r="F377" s="1117"/>
      <c r="G377" s="1117"/>
      <c r="H377" s="1117"/>
      <c r="I377" s="398" t="str">
        <f>+I341</f>
        <v>m3</v>
      </c>
      <c r="J377" s="354"/>
      <c r="K377" s="354"/>
      <c r="L377" s="354"/>
      <c r="M377" s="354" t="s">
        <v>4508</v>
      </c>
      <c r="N377" s="1060">
        <f>+N341</f>
        <v>0</v>
      </c>
      <c r="O377" s="1060"/>
      <c r="P377" s="1060"/>
      <c r="Q377" s="1060"/>
      <c r="R377" s="1060"/>
      <c r="S377" s="1060"/>
      <c r="T377" s="1060"/>
      <c r="U377" s="496" t="str">
        <f>+T341</f>
        <v>/m3</v>
      </c>
      <c r="V377" s="354"/>
      <c r="W377" s="354"/>
      <c r="X377" s="354"/>
      <c r="Y377" s="354"/>
      <c r="Z377" s="497"/>
      <c r="AA377" s="354"/>
      <c r="AB377" s="1136"/>
      <c r="AC377" s="1136"/>
      <c r="AD377" s="739"/>
      <c r="AE377" s="739"/>
      <c r="AF377" s="354"/>
      <c r="AG377" s="354"/>
      <c r="AH377" s="354"/>
      <c r="AI377" s="354"/>
      <c r="AJ377" s="354"/>
      <c r="AK377" s="354"/>
      <c r="AL377" s="354"/>
      <c r="AM377" s="496" t="s">
        <v>4426</v>
      </c>
      <c r="AN377" s="496"/>
      <c r="AO377" s="1060">
        <f>ROUND(C377*N377,1)</f>
        <v>0</v>
      </c>
      <c r="AP377" s="1060"/>
      <c r="AQ377" s="1060"/>
      <c r="AR377" s="1060"/>
      <c r="AS377" s="1060"/>
      <c r="AT377" s="1060"/>
      <c r="AU377" s="1060"/>
      <c r="AV377" s="1060"/>
    </row>
    <row r="378" spans="1:48" s="336" customFormat="1" ht="15" customHeight="1">
      <c r="A378" s="354"/>
      <c r="B378" s="354"/>
      <c r="C378" s="542" t="str">
        <f t="shared" si="46"/>
        <v>c) Cerco Perimétrico (estimado):</v>
      </c>
      <c r="D378" s="543"/>
      <c r="E378" s="543"/>
      <c r="F378" s="543"/>
      <c r="G378" s="543"/>
      <c r="H378" s="543"/>
      <c r="I378" s="543"/>
      <c r="J378" s="543"/>
      <c r="K378" s="543"/>
      <c r="L378" s="543"/>
      <c r="M378" s="543"/>
      <c r="N378" s="543"/>
      <c r="O378" s="543"/>
      <c r="P378" s="543"/>
      <c r="Q378" s="543"/>
      <c r="R378" s="543"/>
      <c r="S378" s="543"/>
      <c r="T378" s="543"/>
      <c r="U378" s="543"/>
      <c r="V378" s="543"/>
      <c r="W378" s="543"/>
      <c r="X378" s="543"/>
      <c r="Y378" s="543"/>
      <c r="Z378" s="543"/>
      <c r="AA378" s="543"/>
      <c r="AB378" s="543"/>
      <c r="AC378" s="543"/>
      <c r="AD378" s="543"/>
      <c r="AE378" s="543"/>
      <c r="AF378" s="543"/>
      <c r="AG378" s="543"/>
      <c r="AH378" s="543"/>
      <c r="AI378" s="543"/>
      <c r="AJ378" s="543"/>
      <c r="AK378" s="543"/>
      <c r="AL378" s="543"/>
      <c r="AM378" s="543"/>
      <c r="AN378" s="543"/>
      <c r="AO378" s="543"/>
      <c r="AP378" s="543"/>
      <c r="AQ378" s="543"/>
      <c r="AR378" s="543"/>
      <c r="AS378" s="543"/>
      <c r="AT378" s="543"/>
      <c r="AU378" s="543"/>
      <c r="AV378" s="543"/>
    </row>
    <row r="379" spans="1:48" s="336" customFormat="1" ht="15" customHeight="1">
      <c r="A379" s="354"/>
      <c r="B379" s="354"/>
      <c r="C379" s="1117">
        <f t="shared" si="46"/>
        <v>0</v>
      </c>
      <c r="D379" s="1117"/>
      <c r="E379" s="1117"/>
      <c r="F379" s="1117"/>
      <c r="G379" s="1117"/>
      <c r="H379" s="1117"/>
      <c r="I379" s="398" t="str">
        <f>+I343</f>
        <v>ml</v>
      </c>
      <c r="J379" s="354"/>
      <c r="K379" s="354"/>
      <c r="L379" s="354"/>
      <c r="M379" s="354" t="s">
        <v>4508</v>
      </c>
      <c r="N379" s="1060">
        <f>+N343</f>
        <v>0</v>
      </c>
      <c r="O379" s="1060"/>
      <c r="P379" s="1060"/>
      <c r="Q379" s="1060"/>
      <c r="R379" s="1060"/>
      <c r="S379" s="1060"/>
      <c r="T379" s="1060"/>
      <c r="U379" s="496" t="str">
        <f>+T343</f>
        <v>/ml</v>
      </c>
      <c r="V379" s="354"/>
      <c r="W379" s="354"/>
      <c r="X379" s="354"/>
      <c r="Y379" s="354"/>
      <c r="Z379" s="497"/>
      <c r="AA379" s="354"/>
      <c r="AB379" s="1136"/>
      <c r="AC379" s="1136"/>
      <c r="AD379" s="739"/>
      <c r="AE379" s="739"/>
      <c r="AF379" s="354"/>
      <c r="AG379" s="354"/>
      <c r="AH379" s="354"/>
      <c r="AI379" s="354"/>
      <c r="AJ379" s="354"/>
      <c r="AK379" s="354"/>
      <c r="AL379" s="354"/>
      <c r="AM379" s="496" t="s">
        <v>4426</v>
      </c>
      <c r="AN379" s="496"/>
      <c r="AO379" s="1060">
        <f>ROUND(C379*N379,1)</f>
        <v>0</v>
      </c>
      <c r="AP379" s="1060"/>
      <c r="AQ379" s="1060"/>
      <c r="AR379" s="1060"/>
      <c r="AS379" s="1060"/>
      <c r="AT379" s="1060"/>
      <c r="AU379" s="1060"/>
      <c r="AV379" s="1060"/>
    </row>
    <row r="380" spans="1:48" s="336" customFormat="1" ht="15" customHeight="1">
      <c r="A380" s="354"/>
      <c r="B380" s="354"/>
      <c r="C380" s="542" t="str">
        <f t="shared" si="46"/>
        <v>d) Ascensor (estimado):</v>
      </c>
      <c r="D380" s="543"/>
      <c r="E380" s="543"/>
      <c r="F380" s="543"/>
      <c r="G380" s="543"/>
      <c r="H380" s="543"/>
      <c r="I380" s="543"/>
      <c r="J380" s="543"/>
      <c r="K380" s="543"/>
      <c r="L380" s="543"/>
      <c r="M380" s="543"/>
      <c r="N380" s="543"/>
      <c r="O380" s="543"/>
      <c r="P380" s="543"/>
      <c r="Q380" s="543"/>
      <c r="R380" s="543"/>
      <c r="S380" s="543"/>
      <c r="T380" s="543"/>
      <c r="U380" s="543"/>
      <c r="V380" s="543"/>
      <c r="W380" s="543"/>
      <c r="X380" s="543"/>
      <c r="Y380" s="543"/>
      <c r="Z380" s="543"/>
      <c r="AA380" s="543"/>
      <c r="AB380" s="543"/>
      <c r="AC380" s="543"/>
      <c r="AD380" s="543"/>
      <c r="AE380" s="543"/>
      <c r="AF380" s="543"/>
      <c r="AG380" s="543"/>
      <c r="AH380" s="543"/>
      <c r="AI380" s="543"/>
      <c r="AJ380" s="543"/>
      <c r="AK380" s="543"/>
      <c r="AL380" s="543"/>
      <c r="AM380" s="543"/>
      <c r="AN380" s="543"/>
      <c r="AO380" s="543"/>
      <c r="AP380" s="543"/>
      <c r="AQ380" s="543"/>
      <c r="AR380" s="543"/>
      <c r="AS380" s="543"/>
      <c r="AT380" s="543"/>
      <c r="AU380" s="543"/>
      <c r="AV380" s="543"/>
    </row>
    <row r="381" spans="1:48" s="336" customFormat="1" ht="15" customHeight="1">
      <c r="A381" s="354"/>
      <c r="B381" s="354"/>
      <c r="C381" s="1117">
        <f t="shared" si="46"/>
        <v>0</v>
      </c>
      <c r="D381" s="1117"/>
      <c r="E381" s="1117"/>
      <c r="F381" s="1117"/>
      <c r="G381" s="1117"/>
      <c r="H381" s="1117"/>
      <c r="I381" s="398" t="str">
        <f>+I345</f>
        <v>Und</v>
      </c>
      <c r="J381" s="354"/>
      <c r="K381" s="354"/>
      <c r="L381" s="354"/>
      <c r="M381" s="354" t="s">
        <v>4508</v>
      </c>
      <c r="N381" s="1060">
        <f>+N345</f>
        <v>0</v>
      </c>
      <c r="O381" s="1060"/>
      <c r="P381" s="1060"/>
      <c r="Q381" s="1060"/>
      <c r="R381" s="1060"/>
      <c r="S381" s="1060"/>
      <c r="T381" s="1060"/>
      <c r="U381" s="496" t="str">
        <f>+T345</f>
        <v>/Und</v>
      </c>
      <c r="V381" s="354"/>
      <c r="W381" s="354"/>
      <c r="X381" s="354"/>
      <c r="Y381" s="354"/>
      <c r="Z381" s="497"/>
      <c r="AA381" s="354"/>
      <c r="AB381" s="1136"/>
      <c r="AC381" s="1136"/>
      <c r="AD381" s="739"/>
      <c r="AE381" s="739"/>
      <c r="AF381" s="354"/>
      <c r="AG381" s="354"/>
      <c r="AH381" s="354"/>
      <c r="AI381" s="354"/>
      <c r="AJ381" s="354"/>
      <c r="AK381" s="354"/>
      <c r="AL381" s="354"/>
      <c r="AM381" s="496" t="s">
        <v>4426</v>
      </c>
      <c r="AN381" s="496"/>
      <c r="AO381" s="1060">
        <f>ROUND(C381*N381,1)</f>
        <v>0</v>
      </c>
      <c r="AP381" s="1060"/>
      <c r="AQ381" s="1060"/>
      <c r="AR381" s="1060"/>
      <c r="AS381" s="1060"/>
      <c r="AT381" s="1060"/>
      <c r="AU381" s="1060"/>
      <c r="AV381" s="1060"/>
    </row>
    <row r="382" spans="1:48" s="336" customFormat="1">
      <c r="A382" s="354"/>
      <c r="B382" s="354"/>
      <c r="C382" s="398" t="s">
        <v>4521</v>
      </c>
      <c r="D382" s="398"/>
      <c r="E382" s="398"/>
      <c r="F382" s="398"/>
      <c r="G382" s="398"/>
      <c r="H382" s="398"/>
      <c r="I382" s="398"/>
      <c r="J382" s="354"/>
      <c r="K382" s="354"/>
      <c r="L382" s="354"/>
      <c r="M382" s="354"/>
      <c r="N382" s="497"/>
      <c r="O382" s="545"/>
      <c r="P382" s="545"/>
      <c r="Q382" s="546"/>
      <c r="R382" s="299"/>
      <c r="S382" s="299"/>
      <c r="T382" s="299"/>
      <c r="U382" s="496"/>
      <c r="V382" s="354"/>
      <c r="W382" s="354"/>
      <c r="X382" s="354"/>
      <c r="Y382" s="354"/>
      <c r="Z382" s="497"/>
      <c r="AA382" s="354"/>
      <c r="AB382" s="544"/>
      <c r="AC382" s="544"/>
      <c r="AD382" s="261"/>
      <c r="AE382" s="261"/>
      <c r="AF382" s="354"/>
      <c r="AG382" s="354"/>
      <c r="AH382" s="354"/>
      <c r="AI382" s="354"/>
      <c r="AJ382" s="354"/>
      <c r="AK382" s="354"/>
      <c r="AL382" s="354"/>
      <c r="AM382" s="496" t="s">
        <v>4426</v>
      </c>
      <c r="AN382" s="496"/>
      <c r="AO382" s="1152">
        <f>SUM(AO375:AV381)</f>
        <v>0</v>
      </c>
      <c r="AP382" s="1152"/>
      <c r="AQ382" s="1152"/>
      <c r="AR382" s="1152"/>
      <c r="AS382" s="1152"/>
      <c r="AT382" s="1152"/>
      <c r="AU382" s="1152"/>
      <c r="AV382" s="1152"/>
    </row>
    <row r="383" spans="1:48" s="336" customFormat="1">
      <c r="A383" s="354"/>
      <c r="B383" s="354"/>
      <c r="C383" s="398" t="str">
        <f>+C347</f>
        <v>Porcentaje de áreas comunes correspondiente al inmueble %</v>
      </c>
      <c r="D383" s="398"/>
      <c r="E383" s="398"/>
      <c r="F383" s="398"/>
      <c r="G383" s="398"/>
      <c r="H383" s="398"/>
      <c r="I383" s="398"/>
      <c r="J383" s="354"/>
      <c r="K383" s="354"/>
      <c r="L383" s="354"/>
      <c r="M383" s="354"/>
      <c r="N383" s="497"/>
      <c r="O383" s="545"/>
      <c r="P383" s="545"/>
      <c r="Q383" s="546"/>
      <c r="R383" s="299"/>
      <c r="S383" s="299"/>
      <c r="T383" s="299"/>
      <c r="U383" s="496"/>
      <c r="V383" s="354"/>
      <c r="W383" s="354"/>
      <c r="X383" s="354"/>
      <c r="Y383" s="354"/>
      <c r="Z383" s="497"/>
      <c r="AA383" s="354"/>
      <c r="AB383" s="544"/>
      <c r="AC383" s="544"/>
      <c r="AD383" s="261"/>
      <c r="AE383" s="261"/>
      <c r="AF383" s="354"/>
      <c r="AG383" s="354"/>
      <c r="AH383" s="354"/>
      <c r="AI383" s="354"/>
      <c r="AJ383" s="354"/>
      <c r="AK383" s="354"/>
      <c r="AL383" s="354"/>
      <c r="AM383" s="496"/>
      <c r="AN383" s="496"/>
      <c r="AO383" s="354"/>
      <c r="AP383" s="495"/>
      <c r="AQ383" s="495"/>
      <c r="AR383" s="495"/>
      <c r="AS383" s="495"/>
      <c r="AT383" s="495"/>
      <c r="AU383" s="495"/>
      <c r="AV383" s="495"/>
    </row>
    <row r="384" spans="1:48" s="336" customFormat="1">
      <c r="A384" s="354"/>
      <c r="B384" s="354"/>
      <c r="C384" s="1153">
        <f>+C348</f>
        <v>0</v>
      </c>
      <c r="D384" s="1153"/>
      <c r="E384" s="1153"/>
      <c r="F384" s="1153"/>
      <c r="G384" s="1153"/>
      <c r="H384" s="1153"/>
      <c r="I384" s="398"/>
      <c r="J384" s="354"/>
      <c r="K384" s="354"/>
      <c r="L384" s="354"/>
      <c r="M384" s="354" t="s">
        <v>4508</v>
      </c>
      <c r="N384" s="497"/>
      <c r="O384" s="1060">
        <f>+AO382</f>
        <v>0</v>
      </c>
      <c r="P384" s="1060"/>
      <c r="Q384" s="1060"/>
      <c r="R384" s="1060"/>
      <c r="S384" s="1060"/>
      <c r="T384" s="1060"/>
      <c r="U384" s="1060"/>
      <c r="V384" s="1060"/>
      <c r="W384" s="354"/>
      <c r="X384" s="354"/>
      <c r="Y384" s="354"/>
      <c r="Z384" s="497"/>
      <c r="AA384" s="354"/>
      <c r="AB384" s="1136"/>
      <c r="AC384" s="1136"/>
      <c r="AD384" s="739"/>
      <c r="AE384" s="739"/>
      <c r="AF384" s="354"/>
      <c r="AG384" s="354"/>
      <c r="AH384" s="354"/>
      <c r="AI384" s="354"/>
      <c r="AJ384" s="354"/>
      <c r="AK384" s="354"/>
      <c r="AL384" s="354"/>
      <c r="AM384" s="496" t="s">
        <v>4426</v>
      </c>
      <c r="AN384" s="496"/>
      <c r="AO384" s="1060">
        <f>ROUND(C384*O384,1)</f>
        <v>0</v>
      </c>
      <c r="AP384" s="1060"/>
      <c r="AQ384" s="1060"/>
      <c r="AR384" s="1060"/>
      <c r="AS384" s="1060"/>
      <c r="AT384" s="1060"/>
      <c r="AU384" s="1060"/>
      <c r="AV384" s="1060"/>
    </row>
    <row r="385" spans="1:52" s="336" customFormat="1" ht="15" customHeight="1" thickBot="1">
      <c r="A385" s="354"/>
      <c r="B385" s="354"/>
      <c r="C385" s="487" t="str">
        <f>+C373</f>
        <v>VALOR  DE LAS OBRAS COMPLEMENTARIAS</v>
      </c>
      <c r="D385" s="488"/>
      <c r="E385" s="488"/>
      <c r="F385" s="488"/>
      <c r="G385" s="489"/>
      <c r="H385" s="490"/>
      <c r="I385" s="490"/>
      <c r="J385" s="491"/>
      <c r="K385" s="492"/>
      <c r="L385" s="493"/>
      <c r="M385" s="489"/>
      <c r="N385" s="489"/>
      <c r="O385" s="489"/>
      <c r="P385" s="489"/>
      <c r="Q385" s="489"/>
      <c r="R385" s="489"/>
      <c r="S385" s="489"/>
      <c r="T385" s="489"/>
      <c r="U385" s="489"/>
      <c r="V385" s="489"/>
      <c r="W385" s="489"/>
      <c r="X385" s="489"/>
      <c r="Y385" s="489"/>
      <c r="Z385" s="489"/>
      <c r="AA385" s="489"/>
      <c r="AB385" s="489"/>
      <c r="AC385" s="489"/>
      <c r="AD385" s="489"/>
      <c r="AE385" s="489"/>
      <c r="AF385" s="489"/>
      <c r="AG385" s="489"/>
      <c r="AH385" s="489"/>
      <c r="AI385" s="489"/>
      <c r="AJ385" s="489"/>
      <c r="AK385" s="489"/>
      <c r="AL385" s="489"/>
      <c r="AM385" s="494" t="s">
        <v>4426</v>
      </c>
      <c r="AN385" s="494"/>
      <c r="AO385" s="1052">
        <f>+AO384</f>
        <v>0</v>
      </c>
      <c r="AP385" s="1052"/>
      <c r="AQ385" s="1052"/>
      <c r="AR385" s="1052"/>
      <c r="AS385" s="1052"/>
      <c r="AT385" s="1052"/>
      <c r="AU385" s="1052"/>
      <c r="AV385" s="1052"/>
    </row>
    <row r="386" spans="1:52" s="336" customFormat="1" ht="24" hidden="1" customHeight="1" thickTop="1">
      <c r="A386" s="891">
        <f>+A373+1</f>
        <v>5</v>
      </c>
      <c r="B386" s="892"/>
      <c r="C386" s="355" t="str">
        <f>+C350</f>
        <v>VALOR DEL ESTACIONAMIENTO Nº …</v>
      </c>
      <c r="D386" s="261"/>
      <c r="E386" s="261"/>
      <c r="F386" s="261"/>
      <c r="G386" s="261"/>
      <c r="H386" s="261"/>
      <c r="I386" s="261"/>
      <c r="J386" s="261"/>
      <c r="K386" s="261"/>
      <c r="L386" s="261"/>
      <c r="M386" s="261"/>
      <c r="N386" s="261"/>
      <c r="O386" s="261"/>
      <c r="P386" s="261"/>
      <c r="Q386" s="261"/>
      <c r="R386" s="261"/>
      <c r="S386" s="261"/>
      <c r="T386" s="261"/>
      <c r="U386" s="261"/>
      <c r="V386" s="261"/>
      <c r="W386" s="261"/>
      <c r="X386" s="261"/>
      <c r="Y386" s="261"/>
      <c r="Z386" s="261"/>
      <c r="AA386" s="261"/>
      <c r="AB386" s="261"/>
      <c r="AC386" s="261"/>
      <c r="AD386" s="261"/>
      <c r="AE386" s="261"/>
      <c r="AF386" s="261"/>
      <c r="AG386" s="261"/>
      <c r="AH386" s="261"/>
      <c r="AI386" s="261"/>
      <c r="AJ386" s="261"/>
      <c r="AK386" s="261"/>
      <c r="AL386" s="261"/>
      <c r="AM386" s="261"/>
      <c r="AN386" s="261"/>
      <c r="AO386" s="261"/>
      <c r="AP386" s="261"/>
      <c r="AQ386" s="261"/>
      <c r="AR386" s="261"/>
      <c r="AS386" s="261"/>
      <c r="AT386" s="261"/>
      <c r="AU386" s="261"/>
      <c r="AV386" s="261"/>
    </row>
    <row r="387" spans="1:52" s="557" customFormat="1" ht="15" hidden="1" customHeight="1">
      <c r="A387" s="553"/>
      <c r="B387" s="554"/>
      <c r="C387" s="555" t="s">
        <v>4563</v>
      </c>
      <c r="D387" s="556"/>
      <c r="E387" s="556"/>
      <c r="F387" s="556"/>
      <c r="G387" s="556"/>
      <c r="H387" s="556"/>
      <c r="I387" s="556"/>
      <c r="J387" s="556"/>
      <c r="K387" s="556"/>
      <c r="L387" s="556"/>
      <c r="M387" s="556"/>
      <c r="N387" s="556"/>
      <c r="O387" s="556"/>
      <c r="P387" s="556"/>
      <c r="Q387" s="556"/>
      <c r="R387" s="556"/>
      <c r="S387" s="556"/>
      <c r="T387" s="556"/>
      <c r="U387" s="556"/>
      <c r="V387" s="556"/>
      <c r="W387" s="556"/>
      <c r="X387" s="556"/>
      <c r="Y387" s="556"/>
      <c r="Z387" s="556"/>
      <c r="AA387" s="556"/>
      <c r="AB387" s="556"/>
      <c r="AC387" s="556"/>
      <c r="AD387" s="556"/>
      <c r="AE387" s="556"/>
      <c r="AF387" s="556"/>
      <c r="AG387" s="556"/>
      <c r="AH387" s="556"/>
      <c r="AI387" s="556"/>
      <c r="AJ387" s="556"/>
      <c r="AK387" s="556"/>
      <c r="AL387" s="556"/>
      <c r="AM387" s="556"/>
      <c r="AN387" s="556"/>
      <c r="AO387" s="556"/>
      <c r="AP387" s="556"/>
      <c r="AQ387" s="556"/>
      <c r="AR387" s="556"/>
      <c r="AS387" s="556"/>
      <c r="AT387" s="556"/>
      <c r="AU387" s="556"/>
      <c r="AV387" s="556"/>
      <c r="AW387" s="556"/>
      <c r="AX387" s="556"/>
      <c r="AY387" s="556"/>
      <c r="AZ387" s="556"/>
    </row>
    <row r="388" spans="1:52" s="557" customFormat="1" hidden="1">
      <c r="A388" s="554"/>
      <c r="B388" s="554"/>
      <c r="C388" s="558" t="s">
        <v>4564</v>
      </c>
      <c r="D388" s="556"/>
      <c r="E388" s="556"/>
      <c r="F388" s="556"/>
      <c r="G388" s="556"/>
      <c r="H388" s="556"/>
      <c r="I388" s="556"/>
      <c r="J388" s="556"/>
      <c r="K388" s="556"/>
      <c r="L388" s="556"/>
      <c r="M388" s="556"/>
      <c r="N388" s="556"/>
      <c r="O388" s="556"/>
      <c r="P388" s="556"/>
      <c r="Q388" s="556"/>
      <c r="R388" s="556"/>
      <c r="S388" s="556"/>
      <c r="T388" s="556"/>
      <c r="U388" s="556"/>
      <c r="V388" s="556"/>
      <c r="W388" s="556"/>
      <c r="X388" s="556"/>
      <c r="Y388" s="556"/>
      <c r="Z388" s="556"/>
      <c r="AA388" s="556"/>
      <c r="AB388" s="556"/>
      <c r="AK388" s="556"/>
      <c r="AL388" s="556"/>
      <c r="AM388" s="556"/>
      <c r="AN388" s="556"/>
      <c r="AO388" s="556"/>
      <c r="AP388" s="556"/>
      <c r="AQ388" s="556"/>
      <c r="AR388" s="556"/>
      <c r="AS388" s="556"/>
      <c r="AT388" s="556"/>
      <c r="AU388" s="556"/>
      <c r="AV388" s="556"/>
    </row>
    <row r="389" spans="1:52" s="557" customFormat="1" hidden="1">
      <c r="A389" s="554"/>
      <c r="B389" s="554"/>
      <c r="C389" s="1149">
        <f>+N183</f>
        <v>0</v>
      </c>
      <c r="D389" s="1149"/>
      <c r="E389" s="1149"/>
      <c r="F389" s="1149"/>
      <c r="G389" s="1149"/>
      <c r="H389" s="1149"/>
      <c r="I389" s="559"/>
      <c r="J389" s="554" t="s">
        <v>10</v>
      </c>
      <c r="K389" s="554"/>
      <c r="L389" s="554"/>
      <c r="M389" s="554" t="s">
        <v>4508</v>
      </c>
      <c r="N389" s="560"/>
      <c r="O389" s="1150">
        <v>0</v>
      </c>
      <c r="P389" s="1150"/>
      <c r="Q389" s="1150"/>
      <c r="R389" s="1150"/>
      <c r="S389" s="1150"/>
      <c r="T389" s="1150"/>
      <c r="U389" s="562" t="s">
        <v>4509</v>
      </c>
      <c r="V389" s="554"/>
      <c r="W389" s="554"/>
      <c r="X389" s="554"/>
      <c r="Y389" s="562"/>
      <c r="Z389" s="554"/>
      <c r="AA389" s="554"/>
      <c r="AB389" s="554"/>
      <c r="AK389" s="554"/>
      <c r="AL389" s="554"/>
      <c r="AM389" s="562" t="s">
        <v>4426</v>
      </c>
      <c r="AN389" s="554"/>
      <c r="AO389" s="1151">
        <f>ROUND(C389*O389,1)</f>
        <v>0</v>
      </c>
      <c r="AP389" s="1151"/>
      <c r="AQ389" s="1151"/>
      <c r="AR389" s="1151"/>
      <c r="AS389" s="1151"/>
      <c r="AT389" s="1151"/>
      <c r="AU389" s="1151"/>
      <c r="AV389" s="1151"/>
    </row>
    <row r="390" spans="1:52" s="557" customFormat="1" hidden="1">
      <c r="A390" s="554"/>
      <c r="B390" s="554"/>
      <c r="C390" s="558" t="s">
        <v>4565</v>
      </c>
      <c r="D390" s="556"/>
      <c r="E390" s="556"/>
      <c r="F390" s="556"/>
      <c r="G390" s="556"/>
      <c r="H390" s="556"/>
      <c r="I390" s="556"/>
      <c r="J390" s="556"/>
      <c r="K390" s="556"/>
      <c r="L390" s="556"/>
      <c r="M390" s="556"/>
      <c r="N390" s="556"/>
      <c r="O390" s="556"/>
      <c r="P390" s="556"/>
      <c r="Q390" s="556"/>
      <c r="R390" s="556"/>
      <c r="S390" s="556"/>
      <c r="T390" s="556"/>
      <c r="U390" s="556"/>
      <c r="V390" s="556"/>
      <c r="W390" s="556"/>
      <c r="X390" s="556"/>
      <c r="Y390" s="556"/>
      <c r="Z390" s="556"/>
      <c r="AA390" s="556"/>
      <c r="AB390" s="556"/>
      <c r="AK390" s="556"/>
      <c r="AL390" s="556"/>
      <c r="AM390" s="556"/>
      <c r="AN390" s="556"/>
      <c r="AO390" s="556"/>
      <c r="AP390" s="556"/>
      <c r="AQ390" s="556"/>
      <c r="AR390" s="556"/>
      <c r="AS390" s="556"/>
      <c r="AT390" s="556"/>
      <c r="AU390" s="556"/>
      <c r="AV390" s="556"/>
    </row>
    <row r="391" spans="1:52" s="557" customFormat="1" hidden="1">
      <c r="A391" s="554"/>
      <c r="B391" s="554"/>
      <c r="C391" s="1149">
        <f>+AL183-N183</f>
        <v>0</v>
      </c>
      <c r="D391" s="1149"/>
      <c r="E391" s="1149"/>
      <c r="F391" s="1149"/>
      <c r="G391" s="1149"/>
      <c r="H391" s="1149"/>
      <c r="I391" s="559"/>
      <c r="J391" s="554" t="s">
        <v>10</v>
      </c>
      <c r="K391" s="554"/>
      <c r="L391" s="554"/>
      <c r="M391" s="554" t="s">
        <v>4508</v>
      </c>
      <c r="N391" s="560"/>
      <c r="O391" s="1150">
        <v>0</v>
      </c>
      <c r="P391" s="1150"/>
      <c r="Q391" s="1150"/>
      <c r="R391" s="1150"/>
      <c r="S391" s="1150"/>
      <c r="T391" s="1150"/>
      <c r="U391" s="562" t="s">
        <v>4509</v>
      </c>
      <c r="V391" s="554"/>
      <c r="W391" s="554"/>
      <c r="X391" s="554"/>
      <c r="Y391" s="562"/>
      <c r="Z391" s="554"/>
      <c r="AA391" s="554"/>
      <c r="AB391" s="554"/>
      <c r="AK391" s="554"/>
      <c r="AL391" s="554"/>
      <c r="AM391" s="562" t="s">
        <v>4426</v>
      </c>
      <c r="AN391" s="554"/>
      <c r="AO391" s="1151">
        <f>ROUND(C391*O391,1)</f>
        <v>0</v>
      </c>
      <c r="AP391" s="1151"/>
      <c r="AQ391" s="1151"/>
      <c r="AR391" s="1151"/>
      <c r="AS391" s="1151"/>
      <c r="AT391" s="1151"/>
      <c r="AU391" s="1151"/>
      <c r="AV391" s="1151"/>
    </row>
    <row r="392" spans="1:52" s="557" customFormat="1" hidden="1">
      <c r="A392" s="554"/>
      <c r="B392" s="554"/>
      <c r="C392" s="559" t="s">
        <v>4521</v>
      </c>
      <c r="D392" s="559"/>
      <c r="E392" s="559"/>
      <c r="F392" s="559"/>
      <c r="G392" s="559"/>
      <c r="H392" s="559"/>
      <c r="I392" s="559"/>
      <c r="J392" s="554"/>
      <c r="K392" s="554"/>
      <c r="L392" s="554"/>
      <c r="M392" s="554"/>
      <c r="N392" s="560"/>
      <c r="O392" s="561"/>
      <c r="P392" s="561"/>
      <c r="Q392" s="563"/>
      <c r="R392" s="556"/>
      <c r="S392" s="556"/>
      <c r="T392" s="556"/>
      <c r="U392" s="562"/>
      <c r="V392" s="554"/>
      <c r="W392" s="554"/>
      <c r="X392" s="554"/>
      <c r="Y392" s="562"/>
      <c r="Z392" s="554"/>
      <c r="AA392" s="554"/>
      <c r="AB392" s="554"/>
      <c r="AK392" s="554"/>
      <c r="AL392" s="554"/>
      <c r="AM392" s="562" t="s">
        <v>4426</v>
      </c>
      <c r="AN392" s="554"/>
      <c r="AO392" s="1147">
        <f>SUM(AO389:AV391)</f>
        <v>0</v>
      </c>
      <c r="AP392" s="1147"/>
      <c r="AQ392" s="1147"/>
      <c r="AR392" s="1147"/>
      <c r="AS392" s="1147"/>
      <c r="AT392" s="1147"/>
      <c r="AU392" s="1147"/>
      <c r="AV392" s="1147"/>
    </row>
    <row r="393" spans="1:52" s="557" customFormat="1" ht="15" hidden="1" customHeight="1">
      <c r="A393" s="553"/>
      <c r="B393" s="554"/>
      <c r="C393" s="555" t="s">
        <v>4566</v>
      </c>
      <c r="D393" s="556"/>
      <c r="E393" s="556"/>
      <c r="F393" s="556"/>
      <c r="G393" s="556"/>
      <c r="H393" s="556"/>
      <c r="I393" s="556"/>
      <c r="J393" s="556"/>
      <c r="K393" s="556"/>
      <c r="L393" s="556"/>
      <c r="M393" s="556"/>
      <c r="N393" s="556"/>
      <c r="O393" s="556"/>
      <c r="P393" s="556"/>
      <c r="Q393" s="556"/>
      <c r="R393" s="556"/>
      <c r="S393" s="556"/>
      <c r="T393" s="556"/>
      <c r="U393" s="556"/>
      <c r="V393" s="556"/>
      <c r="W393" s="556"/>
      <c r="X393" s="556"/>
      <c r="Y393" s="556"/>
      <c r="Z393" s="556"/>
      <c r="AA393" s="556"/>
      <c r="AB393" s="556"/>
      <c r="AK393" s="556"/>
      <c r="AL393" s="556"/>
      <c r="AM393" s="556"/>
      <c r="AN393" s="556"/>
      <c r="AO393" s="556"/>
      <c r="AP393" s="556"/>
      <c r="AQ393" s="556"/>
      <c r="AR393" s="556"/>
      <c r="AS393" s="556"/>
      <c r="AT393" s="556"/>
      <c r="AU393" s="556"/>
      <c r="AV393" s="556"/>
    </row>
    <row r="394" spans="1:52" s="557" customFormat="1" ht="15" hidden="1" customHeight="1">
      <c r="A394" s="554"/>
      <c r="B394" s="554"/>
      <c r="C394" s="1148">
        <v>0.15</v>
      </c>
      <c r="D394" s="1148"/>
      <c r="E394" s="1148"/>
      <c r="F394" s="1148"/>
      <c r="G394" s="1148"/>
      <c r="H394" s="1148"/>
      <c r="I394" s="559"/>
      <c r="J394" s="554"/>
      <c r="K394" s="554"/>
      <c r="L394" s="554"/>
      <c r="M394" s="554" t="s">
        <v>4508</v>
      </c>
      <c r="N394" s="560"/>
      <c r="O394" s="1060">
        <f>+AO392</f>
        <v>0</v>
      </c>
      <c r="P394" s="1060"/>
      <c r="Q394" s="1060"/>
      <c r="R394" s="1060"/>
      <c r="S394" s="1060"/>
      <c r="T394" s="1060"/>
      <c r="U394" s="1060"/>
      <c r="V394" s="1060"/>
      <c r="W394" s="554"/>
      <c r="X394" s="554"/>
      <c r="Y394" s="554"/>
      <c r="Z394" s="554"/>
      <c r="AA394" s="554"/>
      <c r="AB394" s="554"/>
      <c r="AK394" s="554"/>
      <c r="AL394" s="554"/>
      <c r="AM394" s="562" t="s">
        <v>4426</v>
      </c>
      <c r="AN394" s="554"/>
      <c r="AO394" s="1060">
        <f>ROUND(C394*O394,1)</f>
        <v>0</v>
      </c>
      <c r="AP394" s="1060"/>
      <c r="AQ394" s="1060"/>
      <c r="AR394" s="1060"/>
      <c r="AS394" s="1060"/>
      <c r="AT394" s="1060"/>
      <c r="AU394" s="1060"/>
      <c r="AV394" s="1060"/>
    </row>
    <row r="395" spans="1:52" s="336" customFormat="1" ht="14.25" hidden="1" thickBot="1">
      <c r="A395" s="354"/>
      <c r="B395" s="354"/>
      <c r="C395" s="487" t="str">
        <f>+C386</f>
        <v>VALOR DEL ESTACIONAMIENTO Nº …</v>
      </c>
      <c r="D395" s="488"/>
      <c r="E395" s="488"/>
      <c r="F395" s="488"/>
      <c r="G395" s="489"/>
      <c r="H395" s="490"/>
      <c r="I395" s="490"/>
      <c r="J395" s="491"/>
      <c r="K395" s="492"/>
      <c r="L395" s="493"/>
      <c r="M395" s="489"/>
      <c r="N395" s="489"/>
      <c r="O395" s="489"/>
      <c r="P395" s="489"/>
      <c r="Q395" s="489"/>
      <c r="R395" s="489"/>
      <c r="S395" s="489"/>
      <c r="T395" s="489"/>
      <c r="U395" s="489"/>
      <c r="V395" s="489"/>
      <c r="W395" s="489"/>
      <c r="X395" s="489"/>
      <c r="Y395" s="489"/>
      <c r="Z395" s="489"/>
      <c r="AA395" s="489"/>
      <c r="AB395" s="489"/>
      <c r="AC395" s="489"/>
      <c r="AD395" s="489"/>
      <c r="AE395" s="489"/>
      <c r="AF395" s="489"/>
      <c r="AG395" s="489"/>
      <c r="AH395" s="489"/>
      <c r="AI395" s="489"/>
      <c r="AJ395" s="489"/>
      <c r="AK395" s="489"/>
      <c r="AL395" s="489"/>
      <c r="AM395" s="494" t="s">
        <v>4426</v>
      </c>
      <c r="AN395" s="494"/>
      <c r="AO395" s="1052">
        <f>ROUND(SUM(AO392:AV394),1)</f>
        <v>0</v>
      </c>
      <c r="AP395" s="1052"/>
      <c r="AQ395" s="1052"/>
      <c r="AR395" s="1052"/>
      <c r="AS395" s="1052"/>
      <c r="AT395" s="1052"/>
      <c r="AU395" s="1052"/>
      <c r="AV395" s="1052"/>
    </row>
    <row r="396" spans="1:52" s="336" customFormat="1" ht="23.25" hidden="1" customHeight="1" thickTop="1">
      <c r="A396" s="891">
        <f>+A386+1</f>
        <v>6</v>
      </c>
      <c r="B396" s="892"/>
      <c r="C396" s="355" t="str">
        <f>+C353</f>
        <v>VALOR DEL DEPOSITO Nº ..</v>
      </c>
      <c r="D396" s="261"/>
      <c r="E396" s="261"/>
      <c r="F396" s="261"/>
      <c r="G396" s="261"/>
      <c r="H396" s="261"/>
      <c r="I396" s="261"/>
      <c r="J396" s="261"/>
      <c r="K396" s="261"/>
      <c r="L396" s="261"/>
      <c r="M396" s="261"/>
      <c r="N396" s="261"/>
      <c r="O396" s="261"/>
      <c r="P396" s="261"/>
      <c r="Q396" s="261"/>
      <c r="R396" s="261"/>
      <c r="S396" s="261"/>
      <c r="T396" s="261"/>
      <c r="U396" s="261"/>
      <c r="V396" s="261"/>
      <c r="W396" s="261"/>
      <c r="X396" s="261"/>
      <c r="Y396" s="261"/>
      <c r="Z396" s="261"/>
      <c r="AA396" s="261"/>
      <c r="AB396" s="261"/>
      <c r="AC396" s="261"/>
      <c r="AD396" s="261"/>
      <c r="AE396" s="261"/>
      <c r="AF396" s="261"/>
      <c r="AG396" s="261"/>
      <c r="AH396" s="261"/>
      <c r="AI396" s="261"/>
      <c r="AJ396" s="261"/>
      <c r="AK396" s="261"/>
      <c r="AL396" s="261"/>
      <c r="AM396" s="261"/>
      <c r="AN396" s="261"/>
      <c r="AO396" s="261"/>
      <c r="AP396" s="261"/>
      <c r="AQ396" s="261"/>
      <c r="AR396" s="261"/>
      <c r="AS396" s="261"/>
      <c r="AT396" s="261"/>
      <c r="AU396" s="261"/>
      <c r="AV396" s="261"/>
    </row>
    <row r="397" spans="1:52" s="557" customFormat="1" ht="15" hidden="1" customHeight="1">
      <c r="A397" s="553"/>
      <c r="B397" s="554"/>
      <c r="C397" s="555" t="s">
        <v>4563</v>
      </c>
      <c r="D397" s="556"/>
      <c r="E397" s="556"/>
      <c r="F397" s="556"/>
      <c r="G397" s="556"/>
      <c r="H397" s="556"/>
      <c r="I397" s="556"/>
      <c r="J397" s="556"/>
      <c r="K397" s="556"/>
      <c r="L397" s="556"/>
      <c r="M397" s="556"/>
      <c r="N397" s="556"/>
      <c r="O397" s="556"/>
      <c r="P397" s="556"/>
      <c r="Q397" s="556"/>
      <c r="R397" s="556"/>
      <c r="S397" s="556"/>
      <c r="T397" s="556"/>
      <c r="U397" s="556"/>
      <c r="V397" s="556"/>
      <c r="W397" s="556"/>
      <c r="X397" s="556"/>
      <c r="Y397" s="556"/>
      <c r="Z397" s="556"/>
      <c r="AA397" s="556"/>
      <c r="AB397" s="556"/>
      <c r="AC397" s="556"/>
      <c r="AD397" s="556"/>
      <c r="AE397" s="556"/>
      <c r="AF397" s="556"/>
      <c r="AG397" s="556"/>
      <c r="AH397" s="556"/>
      <c r="AI397" s="556"/>
      <c r="AJ397" s="556"/>
      <c r="AK397" s="556"/>
      <c r="AL397" s="556"/>
      <c r="AM397" s="556"/>
      <c r="AN397" s="556"/>
      <c r="AO397" s="556"/>
      <c r="AP397" s="556"/>
      <c r="AQ397" s="556"/>
      <c r="AR397" s="556"/>
      <c r="AS397" s="556"/>
      <c r="AT397" s="556"/>
      <c r="AU397" s="556"/>
      <c r="AV397" s="556"/>
      <c r="AW397" s="556"/>
      <c r="AX397" s="556"/>
      <c r="AY397" s="556"/>
      <c r="AZ397" s="556"/>
    </row>
    <row r="398" spans="1:52" s="557" customFormat="1" hidden="1">
      <c r="A398" s="553"/>
      <c r="B398" s="554"/>
      <c r="C398" s="558" t="s">
        <v>4564</v>
      </c>
      <c r="D398" s="556"/>
      <c r="E398" s="556"/>
      <c r="F398" s="556"/>
      <c r="G398" s="556"/>
      <c r="H398" s="556"/>
      <c r="I398" s="556"/>
      <c r="J398" s="556"/>
      <c r="K398" s="556"/>
      <c r="L398" s="556"/>
      <c r="M398" s="556"/>
      <c r="N398" s="556"/>
      <c r="O398" s="556"/>
      <c r="P398" s="556"/>
      <c r="Q398" s="556"/>
      <c r="R398" s="556"/>
      <c r="S398" s="556"/>
      <c r="T398" s="556"/>
      <c r="U398" s="556"/>
      <c r="V398" s="556"/>
      <c r="W398" s="556"/>
      <c r="X398" s="556"/>
      <c r="Y398" s="556"/>
      <c r="Z398" s="556"/>
      <c r="AA398" s="556"/>
      <c r="AB398" s="556"/>
      <c r="AC398" s="556"/>
      <c r="AD398" s="556"/>
      <c r="AE398" s="556"/>
      <c r="AF398" s="556"/>
      <c r="AG398" s="556"/>
      <c r="AH398" s="556"/>
      <c r="AI398" s="556"/>
      <c r="AJ398" s="556"/>
      <c r="AK398" s="556"/>
      <c r="AL398" s="556"/>
      <c r="AM398" s="556"/>
      <c r="AN398" s="556"/>
      <c r="AO398" s="556"/>
      <c r="AP398" s="556"/>
      <c r="AQ398" s="556"/>
      <c r="AR398" s="556"/>
      <c r="AS398" s="556"/>
      <c r="AT398" s="556"/>
      <c r="AU398" s="556"/>
      <c r="AV398" s="556"/>
      <c r="AW398" s="556"/>
      <c r="AX398" s="556"/>
      <c r="AY398" s="556"/>
      <c r="AZ398" s="556"/>
    </row>
    <row r="399" spans="1:52" s="557" customFormat="1" ht="15" hidden="1" customHeight="1">
      <c r="A399" s="554"/>
      <c r="B399" s="554"/>
      <c r="C399" s="1149">
        <f>+N184</f>
        <v>0</v>
      </c>
      <c r="D399" s="1149"/>
      <c r="E399" s="1149"/>
      <c r="F399" s="1149"/>
      <c r="G399" s="1149"/>
      <c r="H399" s="1149"/>
      <c r="I399" s="559"/>
      <c r="J399" s="554" t="s">
        <v>10</v>
      </c>
      <c r="K399" s="554"/>
      <c r="L399" s="554"/>
      <c r="M399" s="554" t="s">
        <v>4508</v>
      </c>
      <c r="N399" s="560"/>
      <c r="O399" s="1150"/>
      <c r="P399" s="1150"/>
      <c r="Q399" s="1157"/>
      <c r="R399" s="1156"/>
      <c r="S399" s="1156"/>
      <c r="T399" s="1156"/>
      <c r="U399" s="562" t="s">
        <v>4509</v>
      </c>
      <c r="V399" s="554"/>
      <c r="W399" s="554"/>
      <c r="X399" s="554"/>
      <c r="Y399" s="562"/>
      <c r="Z399" s="554"/>
      <c r="AA399" s="554"/>
      <c r="AB399" s="554"/>
      <c r="AC399" s="554"/>
      <c r="AD399" s="560"/>
      <c r="AE399" s="554"/>
      <c r="AF399" s="1155"/>
      <c r="AG399" s="1155"/>
      <c r="AH399" s="1156"/>
      <c r="AI399" s="1156"/>
      <c r="AJ399" s="554"/>
      <c r="AK399" s="554"/>
      <c r="AL399" s="554"/>
      <c r="AM399" s="562" t="s">
        <v>4426</v>
      </c>
      <c r="AN399" s="554"/>
      <c r="AO399" s="1151">
        <f>ROUND(C399*O399,1)</f>
        <v>0</v>
      </c>
      <c r="AP399" s="1151"/>
      <c r="AQ399" s="1151"/>
      <c r="AR399" s="1151"/>
      <c r="AS399" s="1151"/>
      <c r="AT399" s="1151"/>
      <c r="AU399" s="1151"/>
      <c r="AV399" s="1151"/>
      <c r="AW399" s="565"/>
      <c r="AX399" s="565"/>
      <c r="AY399" s="565"/>
      <c r="AZ399" s="565"/>
    </row>
    <row r="400" spans="1:52" s="557" customFormat="1" hidden="1">
      <c r="A400" s="554"/>
      <c r="B400" s="554"/>
      <c r="C400" s="558" t="s">
        <v>4565</v>
      </c>
      <c r="D400" s="556"/>
      <c r="E400" s="556"/>
      <c r="F400" s="556"/>
      <c r="G400" s="556"/>
      <c r="H400" s="556"/>
      <c r="I400" s="556"/>
      <c r="J400" s="556"/>
      <c r="K400" s="556"/>
      <c r="L400" s="556"/>
      <c r="M400" s="556"/>
      <c r="N400" s="556"/>
      <c r="O400" s="556"/>
      <c r="P400" s="556"/>
      <c r="Q400" s="556"/>
      <c r="R400" s="556"/>
      <c r="S400" s="556"/>
      <c r="T400" s="556"/>
      <c r="U400" s="556"/>
      <c r="V400" s="556"/>
      <c r="W400" s="556"/>
      <c r="X400" s="556"/>
      <c r="Y400" s="556"/>
      <c r="Z400" s="556"/>
      <c r="AA400" s="556"/>
      <c r="AB400" s="556"/>
      <c r="AC400" s="556"/>
      <c r="AD400" s="556"/>
      <c r="AE400" s="556"/>
      <c r="AF400" s="556"/>
      <c r="AG400" s="556"/>
      <c r="AH400" s="556"/>
      <c r="AI400" s="556"/>
      <c r="AJ400" s="556"/>
      <c r="AK400" s="556"/>
      <c r="AL400" s="556"/>
      <c r="AM400" s="556"/>
      <c r="AN400" s="556"/>
      <c r="AO400" s="556"/>
      <c r="AP400" s="556"/>
      <c r="AR400" s="556"/>
      <c r="AS400" s="556"/>
      <c r="AT400" s="556"/>
      <c r="AU400" s="556"/>
      <c r="AV400" s="556"/>
      <c r="AW400" s="556"/>
      <c r="AX400" s="556"/>
      <c r="AY400" s="556"/>
      <c r="AZ400" s="556"/>
    </row>
    <row r="401" spans="1:52" s="557" customFormat="1" hidden="1">
      <c r="A401" s="554"/>
      <c r="B401" s="554"/>
      <c r="C401" s="1149">
        <f>+AL184-N184</f>
        <v>0</v>
      </c>
      <c r="D401" s="1149"/>
      <c r="E401" s="1149"/>
      <c r="F401" s="1149"/>
      <c r="G401" s="1149"/>
      <c r="H401" s="1149"/>
      <c r="I401" s="559"/>
      <c r="J401" s="554" t="s">
        <v>10</v>
      </c>
      <c r="K401" s="554"/>
      <c r="L401" s="554"/>
      <c r="M401" s="554" t="s">
        <v>4508</v>
      </c>
      <c r="N401" s="560"/>
      <c r="O401" s="1150"/>
      <c r="P401" s="1150"/>
      <c r="Q401" s="1150"/>
      <c r="R401" s="1150"/>
      <c r="S401" s="1150"/>
      <c r="T401" s="1150"/>
      <c r="U401" s="562" t="s">
        <v>4509</v>
      </c>
      <c r="V401" s="554"/>
      <c r="W401" s="554"/>
      <c r="X401" s="554"/>
      <c r="Y401" s="562"/>
      <c r="Z401" s="554"/>
      <c r="AA401" s="554"/>
      <c r="AB401" s="554"/>
      <c r="AC401" s="554"/>
      <c r="AD401" s="560"/>
      <c r="AE401" s="554"/>
      <c r="AF401" s="1155"/>
      <c r="AG401" s="1155"/>
      <c r="AH401" s="1155"/>
      <c r="AI401" s="1155"/>
      <c r="AJ401" s="554"/>
      <c r="AK401" s="554"/>
      <c r="AL401" s="554"/>
      <c r="AM401" s="562" t="s">
        <v>4426</v>
      </c>
      <c r="AN401" s="554"/>
      <c r="AO401" s="1151">
        <f>ROUND(C401*O401,1)</f>
        <v>0</v>
      </c>
      <c r="AP401" s="1151"/>
      <c r="AQ401" s="1151"/>
      <c r="AR401" s="1151"/>
      <c r="AS401" s="1151"/>
      <c r="AT401" s="1151"/>
      <c r="AU401" s="1151"/>
      <c r="AV401" s="1151"/>
      <c r="AW401" s="565"/>
      <c r="AX401" s="565"/>
      <c r="AY401" s="565"/>
      <c r="AZ401" s="565"/>
    </row>
    <row r="402" spans="1:52" s="557" customFormat="1" hidden="1">
      <c r="A402" s="554"/>
      <c r="B402" s="554"/>
      <c r="C402" s="559" t="s">
        <v>4521</v>
      </c>
      <c r="D402" s="559"/>
      <c r="E402" s="559"/>
      <c r="F402" s="559"/>
      <c r="G402" s="559"/>
      <c r="H402" s="559"/>
      <c r="I402" s="559"/>
      <c r="J402" s="554"/>
      <c r="K402" s="554"/>
      <c r="L402" s="554"/>
      <c r="M402" s="554"/>
      <c r="N402" s="560"/>
      <c r="O402" s="561"/>
      <c r="P402" s="561"/>
      <c r="Q402" s="563"/>
      <c r="R402" s="556"/>
      <c r="S402" s="556"/>
      <c r="T402" s="556"/>
      <c r="U402" s="562"/>
      <c r="V402" s="554"/>
      <c r="W402" s="554"/>
      <c r="X402" s="554"/>
      <c r="Y402" s="562"/>
      <c r="Z402" s="554"/>
      <c r="AA402" s="554"/>
      <c r="AB402" s="554"/>
      <c r="AC402" s="554"/>
      <c r="AD402" s="560"/>
      <c r="AE402" s="554"/>
      <c r="AF402" s="564"/>
      <c r="AG402" s="564"/>
      <c r="AH402" s="556"/>
      <c r="AI402" s="556"/>
      <c r="AJ402" s="554"/>
      <c r="AK402" s="554"/>
      <c r="AL402" s="554"/>
      <c r="AM402" s="562" t="s">
        <v>4426</v>
      </c>
      <c r="AN402" s="554"/>
      <c r="AO402" s="1147">
        <f>ROUND(SUM(AO399:AV401),1)</f>
        <v>0</v>
      </c>
      <c r="AP402" s="1147"/>
      <c r="AQ402" s="1147"/>
      <c r="AR402" s="1147"/>
      <c r="AS402" s="1147"/>
      <c r="AT402" s="1147"/>
      <c r="AU402" s="1147"/>
      <c r="AV402" s="1147"/>
      <c r="AW402" s="565"/>
      <c r="AX402" s="566"/>
      <c r="AY402" s="566"/>
      <c r="AZ402" s="566"/>
    </row>
    <row r="403" spans="1:52" s="557" customFormat="1" ht="15" hidden="1" customHeight="1">
      <c r="A403" s="553"/>
      <c r="B403" s="554"/>
      <c r="C403" s="555" t="s">
        <v>4566</v>
      </c>
      <c r="D403" s="556"/>
      <c r="E403" s="556"/>
      <c r="F403" s="556"/>
      <c r="G403" s="556"/>
      <c r="H403" s="556"/>
      <c r="I403" s="556"/>
      <c r="J403" s="556"/>
      <c r="K403" s="556"/>
      <c r="L403" s="556"/>
      <c r="M403" s="556"/>
      <c r="N403" s="556"/>
      <c r="O403" s="556"/>
      <c r="P403" s="556"/>
      <c r="Q403" s="556"/>
      <c r="R403" s="556"/>
      <c r="S403" s="556"/>
      <c r="T403" s="556"/>
      <c r="U403" s="556"/>
      <c r="V403" s="556"/>
      <c r="W403" s="556"/>
      <c r="X403" s="556"/>
      <c r="Y403" s="556"/>
      <c r="Z403" s="556"/>
      <c r="AA403" s="556"/>
      <c r="AB403" s="556"/>
      <c r="AC403" s="556"/>
      <c r="AD403" s="556"/>
      <c r="AE403" s="556"/>
      <c r="AF403" s="556"/>
      <c r="AG403" s="556"/>
      <c r="AH403" s="556"/>
      <c r="AI403" s="556"/>
      <c r="AJ403" s="556"/>
      <c r="AK403" s="556"/>
      <c r="AL403" s="556"/>
      <c r="AM403" s="556"/>
      <c r="AN403" s="556"/>
      <c r="AO403" s="556"/>
      <c r="AP403" s="556"/>
      <c r="AR403" s="556"/>
      <c r="AS403" s="567"/>
      <c r="AT403" s="556"/>
      <c r="AU403" s="556"/>
      <c r="AV403" s="556"/>
      <c r="AW403" s="556"/>
      <c r="AX403" s="556"/>
      <c r="AY403" s="556"/>
      <c r="AZ403" s="556"/>
    </row>
    <row r="404" spans="1:52" s="557" customFormat="1" ht="15" hidden="1" customHeight="1">
      <c r="A404" s="554"/>
      <c r="B404" s="554"/>
      <c r="C404" s="1148">
        <v>0.15</v>
      </c>
      <c r="D404" s="1148"/>
      <c r="E404" s="1148"/>
      <c r="F404" s="1148"/>
      <c r="G404" s="1148"/>
      <c r="H404" s="1148"/>
      <c r="I404" s="559"/>
      <c r="J404" s="554"/>
      <c r="K404" s="554"/>
      <c r="L404" s="554"/>
      <c r="M404" s="554" t="s">
        <v>4508</v>
      </c>
      <c r="N404" s="560"/>
      <c r="O404" s="1060">
        <f>+AO402</f>
        <v>0</v>
      </c>
      <c r="P404" s="1060"/>
      <c r="Q404" s="1060"/>
      <c r="R404" s="1060"/>
      <c r="S404" s="1060"/>
      <c r="T404" s="1060"/>
      <c r="U404" s="1060"/>
      <c r="V404" s="1060"/>
      <c r="W404" s="554"/>
      <c r="X404" s="554"/>
      <c r="Y404" s="554"/>
      <c r="Z404" s="554"/>
      <c r="AA404" s="554"/>
      <c r="AB404" s="554"/>
      <c r="AC404" s="554"/>
      <c r="AD404" s="560"/>
      <c r="AE404" s="554"/>
      <c r="AF404" s="1155"/>
      <c r="AG404" s="1155"/>
      <c r="AH404" s="1156"/>
      <c r="AI404" s="1156"/>
      <c r="AJ404" s="554"/>
      <c r="AK404" s="554"/>
      <c r="AL404" s="554"/>
      <c r="AM404" s="562" t="s">
        <v>4426</v>
      </c>
      <c r="AN404" s="554"/>
      <c r="AO404" s="1060">
        <f>ROUND(C404*O404,1)</f>
        <v>0</v>
      </c>
      <c r="AP404" s="1060"/>
      <c r="AQ404" s="1060"/>
      <c r="AR404" s="1060"/>
      <c r="AS404" s="1060"/>
      <c r="AT404" s="1060"/>
      <c r="AU404" s="1060"/>
      <c r="AV404" s="1060"/>
      <c r="AW404" s="565"/>
      <c r="AX404" s="568"/>
      <c r="AY404" s="568"/>
      <c r="AZ404" s="568"/>
    </row>
    <row r="405" spans="1:52" s="336" customFormat="1" ht="14.25" hidden="1" thickBot="1">
      <c r="A405" s="354"/>
      <c r="B405" s="354"/>
      <c r="C405" s="487" t="str">
        <f>+C396</f>
        <v>VALOR DEL DEPOSITO Nº ..</v>
      </c>
      <c r="D405" s="488"/>
      <c r="E405" s="488"/>
      <c r="F405" s="488"/>
      <c r="G405" s="489"/>
      <c r="H405" s="490"/>
      <c r="I405" s="490"/>
      <c r="J405" s="491"/>
      <c r="K405" s="492"/>
      <c r="L405" s="493"/>
      <c r="M405" s="489"/>
      <c r="N405" s="489"/>
      <c r="O405" s="489"/>
      <c r="P405" s="489"/>
      <c r="Q405" s="489"/>
      <c r="R405" s="489"/>
      <c r="S405" s="489"/>
      <c r="T405" s="489"/>
      <c r="U405" s="489"/>
      <c r="V405" s="489"/>
      <c r="W405" s="489"/>
      <c r="X405" s="489"/>
      <c r="Y405" s="489"/>
      <c r="Z405" s="489"/>
      <c r="AA405" s="489"/>
      <c r="AB405" s="489"/>
      <c r="AC405" s="489"/>
      <c r="AD405" s="489"/>
      <c r="AE405" s="489"/>
      <c r="AF405" s="489"/>
      <c r="AG405" s="489"/>
      <c r="AH405" s="489"/>
      <c r="AI405" s="489"/>
      <c r="AJ405" s="489"/>
      <c r="AK405" s="489"/>
      <c r="AL405" s="489"/>
      <c r="AM405" s="494" t="s">
        <v>4426</v>
      </c>
      <c r="AN405" s="494"/>
      <c r="AO405" s="1052">
        <f>ROUND(SUM(AO402:AV404),1)</f>
        <v>0</v>
      </c>
      <c r="AP405" s="1052"/>
      <c r="AQ405" s="1052"/>
      <c r="AR405" s="1052"/>
      <c r="AS405" s="1052"/>
      <c r="AT405" s="1052"/>
      <c r="AU405" s="1052"/>
      <c r="AV405" s="1052"/>
    </row>
    <row r="406" spans="1:52" s="336" customFormat="1" ht="30" customHeight="1" thickTop="1">
      <c r="A406" s="354"/>
      <c r="B406" s="354"/>
      <c r="C406" s="1144" t="s">
        <v>4560</v>
      </c>
      <c r="D406" s="1145"/>
      <c r="E406" s="1145"/>
      <c r="F406" s="1145"/>
      <c r="G406" s="1145"/>
      <c r="H406" s="1145"/>
      <c r="I406" s="1145"/>
      <c r="J406" s="1145"/>
      <c r="K406" s="1145"/>
      <c r="L406" s="1145"/>
      <c r="M406" s="1145"/>
      <c r="N406" s="1145"/>
      <c r="O406" s="1145"/>
      <c r="P406" s="1145"/>
      <c r="Q406" s="1145"/>
      <c r="R406" s="1145"/>
      <c r="S406" s="1145"/>
      <c r="T406" s="1145"/>
      <c r="U406" s="1145"/>
      <c r="V406" s="1145"/>
      <c r="W406" s="1145"/>
      <c r="X406" s="1145"/>
      <c r="Y406" s="1145"/>
      <c r="Z406" s="1145"/>
      <c r="AA406" s="1145"/>
      <c r="AB406" s="1145"/>
      <c r="AC406" s="1145"/>
      <c r="AD406" s="1145"/>
      <c r="AE406" s="1145"/>
      <c r="AF406" s="1145"/>
      <c r="AG406" s="1145"/>
      <c r="AH406" s="1145"/>
      <c r="AI406" s="1145"/>
      <c r="AJ406" s="1145"/>
      <c r="AK406" s="1145"/>
      <c r="AL406" s="1145"/>
      <c r="AM406" s="1145"/>
      <c r="AN406" s="1145"/>
      <c r="AO406" s="1145"/>
      <c r="AP406" s="1145"/>
      <c r="AQ406" s="1145"/>
      <c r="AR406" s="1145"/>
      <c r="AS406" s="1145"/>
      <c r="AT406" s="1145"/>
      <c r="AU406" s="1145"/>
      <c r="AV406" s="1145"/>
    </row>
    <row r="407" spans="1:52" ht="12.95" hidden="1" customHeight="1">
      <c r="C407" s="330"/>
      <c r="D407" s="330"/>
      <c r="H407" s="284"/>
      <c r="J407" s="331"/>
      <c r="S407" s="331" t="str">
        <f>+T358</f>
        <v xml:space="preserve">  INFORME N°26</v>
      </c>
      <c r="U407" s="332"/>
      <c r="V407" s="333"/>
      <c r="AB407" s="1088">
        <f>+AC358</f>
        <v>0</v>
      </c>
      <c r="AC407" s="1146"/>
      <c r="AD407" s="1146"/>
      <c r="AE407" s="1146"/>
      <c r="AF407" s="1146"/>
    </row>
    <row r="408" spans="1:52" ht="18" hidden="1" customHeight="1">
      <c r="A408" s="1067"/>
      <c r="B408" s="1043"/>
      <c r="C408" s="521" t="s">
        <v>4567</v>
      </c>
      <c r="D408" s="341"/>
      <c r="E408" s="341"/>
      <c r="F408" s="341"/>
      <c r="G408" s="341"/>
      <c r="H408" s="341"/>
      <c r="I408" s="341"/>
      <c r="J408" s="522"/>
      <c r="K408" s="341"/>
      <c r="L408" s="341"/>
      <c r="M408" s="341"/>
      <c r="N408" s="341"/>
      <c r="O408" s="341"/>
      <c r="P408" s="341"/>
      <c r="Q408" s="341"/>
      <c r="R408" s="341"/>
      <c r="S408" s="341"/>
      <c r="T408" s="341"/>
    </row>
    <row r="409" spans="1:52" ht="52.5" hidden="1" customHeight="1">
      <c r="C409" s="1027" t="s">
        <v>4568</v>
      </c>
      <c r="D409" s="739"/>
      <c r="E409" s="739"/>
      <c r="F409" s="739"/>
      <c r="G409" s="739"/>
      <c r="H409" s="739"/>
      <c r="I409" s="739"/>
      <c r="J409" s="739"/>
      <c r="K409" s="739"/>
      <c r="L409" s="739"/>
      <c r="M409" s="739"/>
      <c r="N409" s="739"/>
      <c r="O409" s="739"/>
      <c r="P409" s="739"/>
      <c r="Q409" s="739"/>
      <c r="R409" s="739"/>
      <c r="S409" s="739"/>
      <c r="T409" s="739"/>
      <c r="U409" s="739"/>
      <c r="V409" s="739"/>
      <c r="W409" s="739"/>
      <c r="X409" s="739"/>
      <c r="Y409" s="739"/>
      <c r="Z409" s="739"/>
      <c r="AA409" s="739"/>
      <c r="AB409" s="739"/>
      <c r="AC409" s="739"/>
      <c r="AD409" s="739"/>
      <c r="AE409" s="739"/>
      <c r="AF409" s="739"/>
      <c r="AG409" s="739"/>
      <c r="AH409" s="739"/>
      <c r="AI409" s="739"/>
      <c r="AJ409" s="739"/>
      <c r="AK409" s="739"/>
      <c r="AL409" s="739"/>
      <c r="AM409" s="739"/>
      <c r="AN409" s="739"/>
      <c r="AO409" s="739"/>
      <c r="AP409" s="739"/>
      <c r="AQ409" s="739"/>
      <c r="AR409" s="739"/>
      <c r="AS409" s="739"/>
      <c r="AT409" s="739"/>
      <c r="AU409" s="739"/>
      <c r="AV409" s="739"/>
    </row>
    <row r="410" spans="1:52" ht="2.25" hidden="1" customHeight="1"/>
    <row r="411" spans="1:52" ht="30" hidden="1" customHeight="1">
      <c r="C411" s="1154" t="s">
        <v>4569</v>
      </c>
      <c r="D411" s="739"/>
      <c r="E411" s="739"/>
      <c r="F411" s="739"/>
      <c r="G411" s="739"/>
      <c r="H411" s="739"/>
      <c r="I411" s="739"/>
      <c r="J411" s="739"/>
      <c r="K411" s="739"/>
      <c r="L411" s="739"/>
      <c r="M411" s="739"/>
      <c r="N411" s="739"/>
      <c r="O411" s="739"/>
      <c r="P411" s="739"/>
      <c r="Q411" s="739"/>
      <c r="R411" s="739"/>
      <c r="S411" s="739"/>
      <c r="T411" s="739"/>
      <c r="U411" s="739"/>
      <c r="V411" s="739"/>
      <c r="W411" s="739"/>
      <c r="X411" s="739"/>
      <c r="Y411" s="739"/>
      <c r="Z411" s="739"/>
      <c r="AA411" s="739"/>
      <c r="AB411" s="739"/>
      <c r="AC411" s="739"/>
      <c r="AD411" s="739"/>
      <c r="AE411" s="739"/>
      <c r="AF411" s="739"/>
      <c r="AG411" s="739"/>
      <c r="AH411" s="739"/>
      <c r="AI411" s="739"/>
      <c r="AJ411" s="739"/>
      <c r="AK411" s="739"/>
      <c r="AL411" s="739"/>
      <c r="AM411" s="739"/>
      <c r="AN411" s="739"/>
      <c r="AO411" s="739"/>
      <c r="AP411" s="739"/>
      <c r="AQ411" s="739"/>
      <c r="AR411" s="739"/>
      <c r="AS411" s="739"/>
      <c r="AT411" s="739"/>
      <c r="AU411" s="739"/>
      <c r="AV411" s="739"/>
    </row>
    <row r="412" spans="1:52" s="323" customFormat="1" ht="13.5" hidden="1">
      <c r="C412" s="1068" t="s">
        <v>4544</v>
      </c>
      <c r="D412" s="1069"/>
      <c r="E412" s="1069"/>
      <c r="F412" s="1069"/>
      <c r="G412" s="1069"/>
      <c r="H412" s="1069"/>
      <c r="I412" s="1069"/>
      <c r="J412" s="1069"/>
      <c r="K412" s="1069"/>
      <c r="L412" s="1069"/>
      <c r="M412" s="1069"/>
      <c r="N412" s="1069"/>
      <c r="O412" s="1069"/>
      <c r="P412" s="1069"/>
      <c r="Q412" s="1069"/>
      <c r="R412" s="1069"/>
      <c r="S412" s="1069"/>
      <c r="T412" s="1069"/>
      <c r="U412" s="1069"/>
      <c r="V412" s="1069"/>
      <c r="W412" s="1069"/>
      <c r="X412" s="1069"/>
      <c r="Y412" s="1069"/>
      <c r="Z412" s="1069"/>
      <c r="AA412" s="1069"/>
      <c r="AB412" s="1069"/>
      <c r="AC412" s="1069"/>
      <c r="AD412" s="1069"/>
      <c r="AE412" s="1069"/>
      <c r="AF412" s="1069"/>
      <c r="AG412" s="1069"/>
      <c r="AH412" s="1069"/>
      <c r="AI412" s="1069"/>
      <c r="AJ412" s="1069"/>
      <c r="AK412" s="1069"/>
      <c r="AL412" s="1069"/>
      <c r="AM412" s="1069"/>
      <c r="AN412" s="1069"/>
      <c r="AO412" s="1069"/>
      <c r="AP412" s="1069"/>
      <c r="AQ412" s="1069"/>
      <c r="AR412" s="1069"/>
      <c r="AS412" s="1069"/>
      <c r="AT412" s="1069"/>
      <c r="AU412" s="1069"/>
      <c r="AV412" s="1070"/>
    </row>
    <row r="413" spans="1:52" ht="3" hidden="1" customHeight="1">
      <c r="M413" s="525"/>
      <c r="N413" s="525"/>
      <c r="O413" s="525"/>
      <c r="P413" s="525"/>
      <c r="Q413" s="525"/>
      <c r="R413" s="525"/>
      <c r="S413" s="525"/>
      <c r="T413" s="525"/>
    </row>
    <row r="414" spans="1:52" s="526" customFormat="1" ht="81.75" hidden="1" customHeight="1">
      <c r="C414" s="1071" t="s">
        <v>4419</v>
      </c>
      <c r="D414" s="1072"/>
      <c r="E414" s="1072"/>
      <c r="F414" s="1072"/>
      <c r="G414" s="1072"/>
      <c r="H414" s="1072"/>
      <c r="I414" s="1072"/>
      <c r="J414" s="1072"/>
      <c r="K414" s="1072"/>
      <c r="L414" s="1072"/>
      <c r="M414" s="1072"/>
      <c r="N414" s="1072"/>
      <c r="O414" s="1072"/>
      <c r="P414" s="1072"/>
      <c r="Q414" s="1072"/>
      <c r="R414" s="1073" t="s">
        <v>4545</v>
      </c>
      <c r="S414" s="1074"/>
      <c r="T414" s="1075"/>
      <c r="U414" s="1073" t="s">
        <v>4546</v>
      </c>
      <c r="V414" s="1074"/>
      <c r="W414" s="1075"/>
      <c r="X414" s="1076" t="s">
        <v>4547</v>
      </c>
      <c r="Y414" s="1077"/>
      <c r="Z414" s="1078"/>
      <c r="AA414" s="1076" t="s">
        <v>4548</v>
      </c>
      <c r="AB414" s="1077"/>
      <c r="AC414" s="1078"/>
      <c r="AD414" s="1079" t="s">
        <v>4549</v>
      </c>
      <c r="AE414" s="1080"/>
      <c r="AF414" s="1081"/>
      <c r="AG414" s="1081"/>
      <c r="AH414" s="1081"/>
      <c r="AI414" s="1079" t="s">
        <v>4550</v>
      </c>
      <c r="AJ414" s="1080"/>
      <c r="AK414" s="1081"/>
      <c r="AL414" s="1081"/>
      <c r="AM414" s="1081"/>
      <c r="AN414" s="1079" t="s">
        <v>4551</v>
      </c>
      <c r="AO414" s="1108"/>
      <c r="AP414" s="1108"/>
      <c r="AQ414" s="1108"/>
      <c r="AR414" s="1108"/>
      <c r="AS414" s="1109" t="s">
        <v>4570</v>
      </c>
      <c r="AT414" s="1110"/>
      <c r="AU414" s="1111"/>
      <c r="AV414" s="1111"/>
    </row>
    <row r="415" spans="1:52" s="527" customFormat="1" ht="13.5" hidden="1">
      <c r="C415" s="1112" t="str">
        <f>+C297</f>
        <v>"OFERTA EN EL MERCADO"</v>
      </c>
      <c r="D415" s="1113"/>
      <c r="E415" s="1113"/>
      <c r="F415" s="1113"/>
      <c r="G415" s="1113"/>
      <c r="H415" s="1113"/>
      <c r="I415" s="1113"/>
      <c r="J415" s="1113"/>
      <c r="K415" s="1113"/>
      <c r="L415" s="1113"/>
      <c r="M415" s="1113"/>
      <c r="N415" s="1113"/>
      <c r="O415" s="1113"/>
      <c r="P415" s="1113"/>
      <c r="Q415" s="1113"/>
      <c r="R415" s="1113"/>
      <c r="S415" s="1113"/>
      <c r="T415" s="1113"/>
      <c r="U415" s="1113"/>
      <c r="V415" s="1113"/>
      <c r="W415" s="1113"/>
      <c r="X415" s="1113"/>
      <c r="Y415" s="1113"/>
      <c r="Z415" s="1113"/>
      <c r="AA415" s="1113"/>
      <c r="AB415" s="1113"/>
      <c r="AC415" s="1113"/>
      <c r="AD415" s="1113"/>
      <c r="AE415" s="1113"/>
      <c r="AF415" s="1113"/>
      <c r="AG415" s="1113"/>
      <c r="AH415" s="1113"/>
      <c r="AI415" s="1113"/>
      <c r="AJ415" s="1113"/>
      <c r="AK415" s="1113"/>
      <c r="AL415" s="1113"/>
      <c r="AM415" s="1113"/>
      <c r="AN415" s="1113"/>
      <c r="AO415" s="1113"/>
      <c r="AP415" s="1113"/>
      <c r="AQ415" s="1113"/>
      <c r="AR415" s="1113"/>
      <c r="AS415" s="1113"/>
      <c r="AT415" s="1113"/>
      <c r="AU415" s="1113"/>
      <c r="AV415" s="1114"/>
    </row>
    <row r="416" spans="1:52" s="528" customFormat="1" ht="81" hidden="1" customHeight="1">
      <c r="C416" s="1105"/>
      <c r="D416" s="1106"/>
      <c r="E416" s="1106"/>
      <c r="F416" s="1106"/>
      <c r="G416" s="1106"/>
      <c r="H416" s="1106"/>
      <c r="I416" s="1106"/>
      <c r="J416" s="1106"/>
      <c r="K416" s="1106"/>
      <c r="L416" s="1106"/>
      <c r="M416" s="1106"/>
      <c r="N416" s="1106"/>
      <c r="O416" s="1106"/>
      <c r="P416" s="1106"/>
      <c r="Q416" s="1107"/>
      <c r="R416" s="1090"/>
      <c r="S416" s="1091"/>
      <c r="T416" s="1092"/>
      <c r="U416" s="1090"/>
      <c r="V416" s="1091"/>
      <c r="W416" s="1092"/>
      <c r="X416" s="1090"/>
      <c r="Y416" s="1091"/>
      <c r="Z416" s="1092"/>
      <c r="AA416" s="1090"/>
      <c r="AB416" s="1091"/>
      <c r="AC416" s="1092"/>
      <c r="AD416" s="1090"/>
      <c r="AE416" s="1091"/>
      <c r="AF416" s="1091"/>
      <c r="AG416" s="1091"/>
      <c r="AH416" s="1092"/>
      <c r="AI416" s="1090"/>
      <c r="AJ416" s="1091"/>
      <c r="AK416" s="1091"/>
      <c r="AL416" s="1091"/>
      <c r="AM416" s="1092"/>
      <c r="AN416" s="1090"/>
      <c r="AO416" s="1091"/>
      <c r="AP416" s="1091"/>
      <c r="AQ416" s="1091"/>
      <c r="AR416" s="1092"/>
      <c r="AS416" s="1096" t="e">
        <f>+AD416/AA416</f>
        <v>#DIV/0!</v>
      </c>
      <c r="AT416" s="1097"/>
      <c r="AU416" s="1097"/>
      <c r="AV416" s="1098"/>
    </row>
    <row r="417" spans="1:48" s="528" customFormat="1" ht="15.75" hidden="1" customHeight="1">
      <c r="C417" s="1102"/>
      <c r="D417" s="1103"/>
      <c r="E417" s="1103"/>
      <c r="F417" s="1103"/>
      <c r="G417" s="1103"/>
      <c r="H417" s="1103"/>
      <c r="I417" s="1103"/>
      <c r="J417" s="1103"/>
      <c r="K417" s="1103">
        <v>0</v>
      </c>
      <c r="L417" s="1103"/>
      <c r="M417" s="1103"/>
      <c r="N417" s="1103"/>
      <c r="O417" s="1103"/>
      <c r="P417" s="1103"/>
      <c r="Q417" s="1104"/>
      <c r="R417" s="1093"/>
      <c r="S417" s="1094"/>
      <c r="T417" s="1095"/>
      <c r="U417" s="1093"/>
      <c r="V417" s="1094"/>
      <c r="W417" s="1095"/>
      <c r="X417" s="1093"/>
      <c r="Y417" s="1094"/>
      <c r="Z417" s="1095"/>
      <c r="AA417" s="1093"/>
      <c r="AB417" s="1094"/>
      <c r="AC417" s="1095"/>
      <c r="AD417" s="1093"/>
      <c r="AE417" s="1094"/>
      <c r="AF417" s="1094"/>
      <c r="AG417" s="1094"/>
      <c r="AH417" s="1095"/>
      <c r="AI417" s="1093"/>
      <c r="AJ417" s="1094"/>
      <c r="AK417" s="1094"/>
      <c r="AL417" s="1094"/>
      <c r="AM417" s="1095"/>
      <c r="AN417" s="1093"/>
      <c r="AO417" s="1094"/>
      <c r="AP417" s="1094"/>
      <c r="AQ417" s="1094"/>
      <c r="AR417" s="1095"/>
      <c r="AS417" s="1099"/>
      <c r="AT417" s="1100"/>
      <c r="AU417" s="1100"/>
      <c r="AV417" s="1101"/>
    </row>
    <row r="418" spans="1:48" s="528" customFormat="1" ht="81" hidden="1" customHeight="1">
      <c r="C418" s="1105"/>
      <c r="D418" s="1106"/>
      <c r="E418" s="1106"/>
      <c r="F418" s="1106"/>
      <c r="G418" s="1106"/>
      <c r="H418" s="1106"/>
      <c r="I418" s="1106"/>
      <c r="J418" s="1106"/>
      <c r="K418" s="1106"/>
      <c r="L418" s="1106"/>
      <c r="M418" s="1106"/>
      <c r="N418" s="1106"/>
      <c r="O418" s="1106"/>
      <c r="P418" s="1106"/>
      <c r="Q418" s="1107"/>
      <c r="R418" s="1090"/>
      <c r="S418" s="1091"/>
      <c r="T418" s="1092"/>
      <c r="U418" s="1090"/>
      <c r="V418" s="1091"/>
      <c r="W418" s="1092"/>
      <c r="X418" s="1090"/>
      <c r="Y418" s="1091"/>
      <c r="Z418" s="1092"/>
      <c r="AA418" s="1090"/>
      <c r="AB418" s="1091"/>
      <c r="AC418" s="1092"/>
      <c r="AD418" s="1090"/>
      <c r="AE418" s="1091"/>
      <c r="AF418" s="1091"/>
      <c r="AG418" s="1091"/>
      <c r="AH418" s="1092"/>
      <c r="AI418" s="1090"/>
      <c r="AJ418" s="1091"/>
      <c r="AK418" s="1091"/>
      <c r="AL418" s="1091"/>
      <c r="AM418" s="1092"/>
      <c r="AN418" s="1090"/>
      <c r="AO418" s="1091"/>
      <c r="AP418" s="1091"/>
      <c r="AQ418" s="1091"/>
      <c r="AR418" s="1092"/>
      <c r="AS418" s="1096" t="e">
        <f>+AD418/AA418</f>
        <v>#DIV/0!</v>
      </c>
      <c r="AT418" s="1097"/>
      <c r="AU418" s="1097"/>
      <c r="AV418" s="1098"/>
    </row>
    <row r="419" spans="1:48" s="528" customFormat="1" ht="15.75" hidden="1" customHeight="1">
      <c r="C419" s="1102"/>
      <c r="D419" s="1103"/>
      <c r="E419" s="1103"/>
      <c r="F419" s="1103"/>
      <c r="G419" s="1103"/>
      <c r="H419" s="1103"/>
      <c r="I419" s="1103"/>
      <c r="J419" s="1103"/>
      <c r="K419" s="1103">
        <v>0</v>
      </c>
      <c r="L419" s="1103"/>
      <c r="M419" s="1103"/>
      <c r="N419" s="1103"/>
      <c r="O419" s="1103"/>
      <c r="P419" s="1103"/>
      <c r="Q419" s="1104"/>
      <c r="R419" s="1093"/>
      <c r="S419" s="1094"/>
      <c r="T419" s="1095"/>
      <c r="U419" s="1093"/>
      <c r="V419" s="1094"/>
      <c r="W419" s="1095"/>
      <c r="X419" s="1093"/>
      <c r="Y419" s="1094"/>
      <c r="Z419" s="1095"/>
      <c r="AA419" s="1093"/>
      <c r="AB419" s="1094"/>
      <c r="AC419" s="1095"/>
      <c r="AD419" s="1093"/>
      <c r="AE419" s="1094"/>
      <c r="AF419" s="1094"/>
      <c r="AG419" s="1094"/>
      <c r="AH419" s="1095"/>
      <c r="AI419" s="1093"/>
      <c r="AJ419" s="1094"/>
      <c r="AK419" s="1094"/>
      <c r="AL419" s="1094"/>
      <c r="AM419" s="1095"/>
      <c r="AN419" s="1093"/>
      <c r="AO419" s="1094"/>
      <c r="AP419" s="1094"/>
      <c r="AQ419" s="1094"/>
      <c r="AR419" s="1095"/>
      <c r="AS419" s="1099"/>
      <c r="AT419" s="1100"/>
      <c r="AU419" s="1100"/>
      <c r="AV419" s="1101"/>
    </row>
    <row r="420" spans="1:48" s="527" customFormat="1" ht="32.25" hidden="1" customHeight="1">
      <c r="C420" s="1116" t="s">
        <v>4554</v>
      </c>
      <c r="D420" s="1113"/>
      <c r="E420" s="1113"/>
      <c r="F420" s="1113"/>
      <c r="G420" s="1113"/>
      <c r="H420" s="1113"/>
      <c r="I420" s="1113"/>
      <c r="J420" s="1113"/>
      <c r="K420" s="1113"/>
      <c r="L420" s="1113"/>
      <c r="M420" s="1113"/>
      <c r="N420" s="1113"/>
      <c r="O420" s="1113"/>
      <c r="P420" s="1113"/>
      <c r="Q420" s="1113"/>
      <c r="R420" s="1113"/>
      <c r="S420" s="1113"/>
      <c r="T420" s="1113"/>
      <c r="U420" s="1113"/>
      <c r="V420" s="1113"/>
      <c r="W420" s="1113"/>
      <c r="X420" s="1113"/>
      <c r="Y420" s="1113"/>
      <c r="Z420" s="1113"/>
      <c r="AA420" s="1113"/>
      <c r="AB420" s="1113"/>
      <c r="AC420" s="1113"/>
      <c r="AD420" s="1113"/>
      <c r="AE420" s="1113"/>
      <c r="AF420" s="1113"/>
      <c r="AG420" s="1113"/>
      <c r="AH420" s="1113"/>
      <c r="AI420" s="1113"/>
      <c r="AJ420" s="1113"/>
      <c r="AK420" s="1113"/>
      <c r="AL420" s="1113"/>
      <c r="AM420" s="1113"/>
      <c r="AN420" s="1113"/>
      <c r="AO420" s="1113"/>
      <c r="AP420" s="1113"/>
      <c r="AQ420" s="1113"/>
      <c r="AR420" s="1113"/>
      <c r="AS420" s="1113"/>
      <c r="AT420" s="1113"/>
      <c r="AU420" s="1113"/>
      <c r="AV420" s="1114"/>
    </row>
    <row r="421" spans="1:48" s="528" customFormat="1" ht="81" hidden="1" customHeight="1">
      <c r="C421" s="1105"/>
      <c r="D421" s="1106"/>
      <c r="E421" s="1106"/>
      <c r="F421" s="1106"/>
      <c r="G421" s="1106"/>
      <c r="H421" s="1106"/>
      <c r="I421" s="1106"/>
      <c r="J421" s="1106"/>
      <c r="K421" s="1106"/>
      <c r="L421" s="1106"/>
      <c r="M421" s="1106"/>
      <c r="N421" s="1106"/>
      <c r="O421" s="1106"/>
      <c r="P421" s="1106"/>
      <c r="Q421" s="1107"/>
      <c r="R421" s="1090"/>
      <c r="S421" s="1091"/>
      <c r="T421" s="1092"/>
      <c r="U421" s="1090"/>
      <c r="V421" s="1091"/>
      <c r="W421" s="1092"/>
      <c r="X421" s="1090"/>
      <c r="Y421" s="1091"/>
      <c r="Z421" s="1092"/>
      <c r="AA421" s="1090"/>
      <c r="AB421" s="1091"/>
      <c r="AC421" s="1092"/>
      <c r="AD421" s="1090"/>
      <c r="AE421" s="1091"/>
      <c r="AF421" s="1091"/>
      <c r="AG421" s="1091"/>
      <c r="AH421" s="1092"/>
      <c r="AI421" s="1090"/>
      <c r="AJ421" s="1091"/>
      <c r="AK421" s="1091"/>
      <c r="AL421" s="1091"/>
      <c r="AM421" s="1092"/>
      <c r="AN421" s="1090">
        <f>+AD421-AI421</f>
        <v>0</v>
      </c>
      <c r="AO421" s="1091"/>
      <c r="AP421" s="1091"/>
      <c r="AQ421" s="1091"/>
      <c r="AR421" s="1092"/>
      <c r="AS421" s="1096" t="e">
        <f>+AD421/AA421</f>
        <v>#DIV/0!</v>
      </c>
      <c r="AT421" s="1097"/>
      <c r="AU421" s="1097"/>
      <c r="AV421" s="1098"/>
    </row>
    <row r="422" spans="1:48" s="528" customFormat="1" ht="15.75" hidden="1" customHeight="1" thickBot="1">
      <c r="C422" s="1102"/>
      <c r="D422" s="1103"/>
      <c r="E422" s="1103"/>
      <c r="F422" s="1103"/>
      <c r="G422" s="1103"/>
      <c r="H422" s="1103"/>
      <c r="I422" s="1103"/>
      <c r="J422" s="1103"/>
      <c r="K422" s="1103">
        <v>0</v>
      </c>
      <c r="L422" s="1103"/>
      <c r="M422" s="1103"/>
      <c r="N422" s="1103"/>
      <c r="O422" s="1103"/>
      <c r="P422" s="1103"/>
      <c r="Q422" s="1104"/>
      <c r="R422" s="1093"/>
      <c r="S422" s="1094"/>
      <c r="T422" s="1095"/>
      <c r="U422" s="1093"/>
      <c r="V422" s="1094"/>
      <c r="W422" s="1095"/>
      <c r="X422" s="1093"/>
      <c r="Y422" s="1094"/>
      <c r="Z422" s="1095"/>
      <c r="AA422" s="1093"/>
      <c r="AB422" s="1094"/>
      <c r="AC422" s="1095"/>
      <c r="AD422" s="1093"/>
      <c r="AE422" s="1094"/>
      <c r="AF422" s="1094"/>
      <c r="AG422" s="1094"/>
      <c r="AH422" s="1095"/>
      <c r="AI422" s="1093"/>
      <c r="AJ422" s="1094"/>
      <c r="AK422" s="1094"/>
      <c r="AL422" s="1094"/>
      <c r="AM422" s="1095"/>
      <c r="AN422" s="1093"/>
      <c r="AO422" s="1094"/>
      <c r="AP422" s="1094"/>
      <c r="AQ422" s="1094"/>
      <c r="AR422" s="1095"/>
      <c r="AS422" s="1099"/>
      <c r="AT422" s="1100"/>
      <c r="AU422" s="1100"/>
      <c r="AV422" s="1101"/>
    </row>
    <row r="423" spans="1:48" s="528" customFormat="1" ht="15.75" hidden="1" customHeight="1" thickTop="1">
      <c r="C423" s="1123"/>
      <c r="D423" s="1124"/>
      <c r="E423" s="1124"/>
      <c r="F423" s="1124"/>
      <c r="G423" s="1124"/>
      <c r="H423" s="1124"/>
      <c r="I423" s="1124"/>
      <c r="J423" s="1124"/>
      <c r="K423" s="1124"/>
      <c r="L423" s="1124"/>
      <c r="M423" s="1124"/>
      <c r="N423" s="1124"/>
      <c r="O423" s="1124"/>
      <c r="P423" s="1124"/>
      <c r="Q423" s="1124"/>
      <c r="R423" s="1124"/>
      <c r="S423" s="1124"/>
      <c r="T423" s="1124"/>
      <c r="U423" s="1124"/>
      <c r="V423" s="1124"/>
      <c r="W423" s="1124"/>
      <c r="X423" s="1124"/>
      <c r="Y423" s="1124"/>
      <c r="Z423" s="1124"/>
      <c r="AA423" s="1124"/>
      <c r="AB423" s="1124"/>
      <c r="AC423" s="1124"/>
      <c r="AD423" s="1124"/>
      <c r="AE423" s="1124"/>
      <c r="AF423" s="1124"/>
      <c r="AG423" s="1124"/>
      <c r="AH423" s="1124"/>
      <c r="AI423" s="1124"/>
      <c r="AJ423" s="1124"/>
      <c r="AK423" s="1124"/>
      <c r="AL423" s="1124"/>
      <c r="AM423" s="1124"/>
      <c r="AN423" s="1124"/>
      <c r="AO423" s="1124"/>
      <c r="AP423" s="1124"/>
      <c r="AQ423" s="1124"/>
      <c r="AR423" s="1124"/>
      <c r="AS423" s="1124"/>
      <c r="AT423" s="1124"/>
      <c r="AU423" s="1124"/>
      <c r="AV423" s="1125"/>
    </row>
    <row r="424" spans="1:48" s="268" customFormat="1" ht="21" hidden="1" customHeight="1">
      <c r="A424" s="261"/>
      <c r="B424" s="261"/>
      <c r="C424" s="1126"/>
      <c r="D424" s="1085"/>
      <c r="E424" s="1085"/>
      <c r="F424" s="1085"/>
      <c r="G424" s="1085"/>
      <c r="H424" s="1085"/>
      <c r="I424" s="1085"/>
      <c r="J424" s="1085"/>
      <c r="K424" s="1085"/>
      <c r="L424" s="1085"/>
      <c r="M424" s="1085"/>
      <c r="N424" s="1085"/>
      <c r="O424" s="1085"/>
      <c r="P424" s="1085"/>
      <c r="Q424" s="1085"/>
      <c r="R424" s="1085"/>
      <c r="S424" s="1085"/>
      <c r="T424" s="1085"/>
      <c r="U424" s="1085"/>
      <c r="V424" s="1085"/>
      <c r="W424" s="1085"/>
      <c r="X424" s="1085"/>
      <c r="Y424" s="1085"/>
      <c r="Z424" s="1085"/>
      <c r="AA424" s="1085"/>
      <c r="AB424" s="1085"/>
      <c r="AC424" s="1085"/>
      <c r="AD424" s="1085"/>
      <c r="AE424" s="1085"/>
      <c r="AF424" s="1085"/>
      <c r="AG424" s="1085"/>
      <c r="AH424" s="1085"/>
      <c r="AI424" s="1085"/>
      <c r="AJ424" s="1085"/>
      <c r="AK424" s="1085"/>
      <c r="AL424" s="1085"/>
      <c r="AM424" s="1085"/>
      <c r="AN424" s="1085"/>
      <c r="AO424" s="1085"/>
      <c r="AP424" s="1085"/>
      <c r="AQ424" s="1085"/>
      <c r="AR424" s="1085"/>
      <c r="AS424" s="1085"/>
      <c r="AT424" s="1085"/>
      <c r="AU424" s="1085"/>
      <c r="AV424" s="1127"/>
    </row>
    <row r="425" spans="1:48" s="268" customFormat="1" ht="21" hidden="1" customHeight="1">
      <c r="A425" s="261"/>
      <c r="B425" s="261"/>
      <c r="C425" s="1126"/>
      <c r="D425" s="1085"/>
      <c r="E425" s="1085"/>
      <c r="F425" s="1085"/>
      <c r="G425" s="1085"/>
      <c r="H425" s="1085"/>
      <c r="I425" s="1085"/>
      <c r="J425" s="1085"/>
      <c r="K425" s="1085"/>
      <c r="L425" s="1085"/>
      <c r="M425" s="1085"/>
      <c r="N425" s="1085"/>
      <c r="O425" s="1085"/>
      <c r="P425" s="1085"/>
      <c r="Q425" s="1085"/>
      <c r="R425" s="1085"/>
      <c r="S425" s="1085"/>
      <c r="T425" s="1085"/>
      <c r="U425" s="1085"/>
      <c r="V425" s="1085"/>
      <c r="W425" s="1085"/>
      <c r="X425" s="1085"/>
      <c r="Y425" s="1085"/>
      <c r="Z425" s="1085"/>
      <c r="AA425" s="1085"/>
      <c r="AB425" s="1085"/>
      <c r="AC425" s="1085"/>
      <c r="AD425" s="1085"/>
      <c r="AE425" s="1085"/>
      <c r="AF425" s="1085"/>
      <c r="AG425" s="1085"/>
      <c r="AH425" s="1085"/>
      <c r="AI425" s="1085"/>
      <c r="AJ425" s="1085"/>
      <c r="AK425" s="1085"/>
      <c r="AL425" s="1085"/>
      <c r="AM425" s="1085"/>
      <c r="AN425" s="1085"/>
      <c r="AO425" s="1085"/>
      <c r="AP425" s="1085"/>
      <c r="AQ425" s="1085"/>
      <c r="AR425" s="1085"/>
      <c r="AS425" s="1085"/>
      <c r="AT425" s="1085"/>
      <c r="AU425" s="1085"/>
      <c r="AV425" s="1127"/>
    </row>
    <row r="426" spans="1:48" s="268" customFormat="1" ht="21" hidden="1" customHeight="1">
      <c r="A426" s="261"/>
      <c r="B426" s="261"/>
      <c r="C426" s="1126"/>
      <c r="D426" s="1085"/>
      <c r="E426" s="1085"/>
      <c r="F426" s="1085"/>
      <c r="G426" s="1085"/>
      <c r="H426" s="1085"/>
      <c r="I426" s="1085"/>
      <c r="J426" s="1085"/>
      <c r="K426" s="1085"/>
      <c r="L426" s="1085"/>
      <c r="M426" s="1085"/>
      <c r="N426" s="1085"/>
      <c r="O426" s="1085"/>
      <c r="P426" s="1085"/>
      <c r="Q426" s="1085"/>
      <c r="R426" s="1085"/>
      <c r="S426" s="1085"/>
      <c r="T426" s="1085"/>
      <c r="U426" s="1085"/>
      <c r="V426" s="1085"/>
      <c r="W426" s="1085"/>
      <c r="X426" s="1085"/>
      <c r="Y426" s="1085"/>
      <c r="Z426" s="1085"/>
      <c r="AA426" s="1085"/>
      <c r="AB426" s="1085"/>
      <c r="AC426" s="1085"/>
      <c r="AD426" s="1085"/>
      <c r="AE426" s="1085"/>
      <c r="AF426" s="1085"/>
      <c r="AG426" s="1085"/>
      <c r="AH426" s="1085"/>
      <c r="AI426" s="1085"/>
      <c r="AJ426" s="1085"/>
      <c r="AK426" s="1085"/>
      <c r="AL426" s="1085"/>
      <c r="AM426" s="1085"/>
      <c r="AN426" s="1085"/>
      <c r="AO426" s="1085"/>
      <c r="AP426" s="1085"/>
      <c r="AQ426" s="1085"/>
      <c r="AR426" s="1085"/>
      <c r="AS426" s="1085"/>
      <c r="AT426" s="1085"/>
      <c r="AU426" s="1085"/>
      <c r="AV426" s="1127"/>
    </row>
    <row r="427" spans="1:48" s="268" customFormat="1" ht="21" hidden="1" customHeight="1">
      <c r="A427" s="261"/>
      <c r="B427" s="261"/>
      <c r="C427" s="1126"/>
      <c r="D427" s="1085"/>
      <c r="E427" s="1085"/>
      <c r="F427" s="1085"/>
      <c r="G427" s="1085"/>
      <c r="H427" s="1085"/>
      <c r="I427" s="1085"/>
      <c r="J427" s="1085"/>
      <c r="K427" s="1085"/>
      <c r="L427" s="1085"/>
      <c r="M427" s="1085"/>
      <c r="N427" s="1085"/>
      <c r="O427" s="1085"/>
      <c r="P427" s="1085"/>
      <c r="Q427" s="1085"/>
      <c r="R427" s="1085"/>
      <c r="S427" s="1085"/>
      <c r="T427" s="1085"/>
      <c r="U427" s="1085"/>
      <c r="V427" s="1085"/>
      <c r="W427" s="1085"/>
      <c r="X427" s="1085"/>
      <c r="Y427" s="1085"/>
      <c r="Z427" s="1085"/>
      <c r="AA427" s="1085"/>
      <c r="AB427" s="1085"/>
      <c r="AC427" s="1085"/>
      <c r="AD427" s="1085"/>
      <c r="AE427" s="1085"/>
      <c r="AF427" s="1085"/>
      <c r="AG427" s="1085"/>
      <c r="AH427" s="1085"/>
      <c r="AI427" s="1085"/>
      <c r="AJ427" s="1085"/>
      <c r="AK427" s="1085"/>
      <c r="AL427" s="1085"/>
      <c r="AM427" s="1085"/>
      <c r="AN427" s="1085"/>
      <c r="AO427" s="1085"/>
      <c r="AP427" s="1085"/>
      <c r="AQ427" s="1085"/>
      <c r="AR427" s="1085"/>
      <c r="AS427" s="1085"/>
      <c r="AT427" s="1085"/>
      <c r="AU427" s="1085"/>
      <c r="AV427" s="1127"/>
    </row>
    <row r="428" spans="1:48" s="268" customFormat="1" ht="21" hidden="1" customHeight="1">
      <c r="B428" s="261"/>
      <c r="C428" s="1126"/>
      <c r="D428" s="1085"/>
      <c r="E428" s="1085"/>
      <c r="F428" s="1085"/>
      <c r="G428" s="1085"/>
      <c r="H428" s="1085"/>
      <c r="I428" s="1085"/>
      <c r="J428" s="1085"/>
      <c r="K428" s="1085"/>
      <c r="L428" s="1085"/>
      <c r="M428" s="1085"/>
      <c r="N428" s="1085"/>
      <c r="O428" s="1085"/>
      <c r="P428" s="1085"/>
      <c r="Q428" s="1085"/>
      <c r="R428" s="1085"/>
      <c r="S428" s="1085"/>
      <c r="T428" s="1085"/>
      <c r="U428" s="1085"/>
      <c r="V428" s="1085"/>
      <c r="W428" s="1085"/>
      <c r="X428" s="1085"/>
      <c r="Y428" s="1085"/>
      <c r="Z428" s="1085"/>
      <c r="AA428" s="1085"/>
      <c r="AB428" s="1085"/>
      <c r="AC428" s="1085"/>
      <c r="AD428" s="1085"/>
      <c r="AE428" s="1085"/>
      <c r="AF428" s="1085"/>
      <c r="AG428" s="1085"/>
      <c r="AH428" s="1085"/>
      <c r="AI428" s="1085"/>
      <c r="AJ428" s="1085"/>
      <c r="AK428" s="1085"/>
      <c r="AL428" s="1085"/>
      <c r="AM428" s="1085"/>
      <c r="AN428" s="1085"/>
      <c r="AO428" s="1085"/>
      <c r="AP428" s="1085"/>
      <c r="AQ428" s="1085"/>
      <c r="AR428" s="1085"/>
      <c r="AS428" s="1085"/>
      <c r="AT428" s="1085"/>
      <c r="AU428" s="1085"/>
      <c r="AV428" s="1127"/>
    </row>
    <row r="429" spans="1:48" s="268" customFormat="1" ht="21" hidden="1" customHeight="1">
      <c r="A429" s="261"/>
      <c r="B429" s="261"/>
      <c r="C429" s="1126"/>
      <c r="D429" s="1085"/>
      <c r="E429" s="1085"/>
      <c r="F429" s="1085"/>
      <c r="G429" s="1085"/>
      <c r="H429" s="1085"/>
      <c r="I429" s="1085"/>
      <c r="J429" s="1085"/>
      <c r="K429" s="1085"/>
      <c r="L429" s="1085"/>
      <c r="M429" s="1085"/>
      <c r="N429" s="1085"/>
      <c r="O429" s="1085"/>
      <c r="P429" s="1085"/>
      <c r="Q429" s="1085"/>
      <c r="R429" s="1085"/>
      <c r="S429" s="1085"/>
      <c r="T429" s="1085"/>
      <c r="U429" s="1085"/>
      <c r="V429" s="1085"/>
      <c r="W429" s="1085"/>
      <c r="X429" s="1085"/>
      <c r="Y429" s="1085"/>
      <c r="Z429" s="1085"/>
      <c r="AA429" s="1085"/>
      <c r="AB429" s="1085"/>
      <c r="AC429" s="1085"/>
      <c r="AD429" s="1085"/>
      <c r="AE429" s="1085"/>
      <c r="AF429" s="1085"/>
      <c r="AG429" s="1085"/>
      <c r="AH429" s="1085"/>
      <c r="AI429" s="1085"/>
      <c r="AJ429" s="1085"/>
      <c r="AK429" s="1085"/>
      <c r="AL429" s="1085"/>
      <c r="AM429" s="1085"/>
      <c r="AN429" s="1085"/>
      <c r="AO429" s="1085"/>
      <c r="AP429" s="1085"/>
      <c r="AQ429" s="1085"/>
      <c r="AR429" s="1085"/>
      <c r="AS429" s="1085"/>
      <c r="AT429" s="1085"/>
      <c r="AU429" s="1085"/>
      <c r="AV429" s="1127"/>
    </row>
    <row r="430" spans="1:48" s="268" customFormat="1" ht="21" hidden="1" customHeight="1">
      <c r="A430" s="261"/>
      <c r="B430" s="261"/>
      <c r="C430" s="1126"/>
      <c r="D430" s="1085"/>
      <c r="E430" s="1085"/>
      <c r="F430" s="1085"/>
      <c r="G430" s="1085"/>
      <c r="H430" s="1085"/>
      <c r="I430" s="1085"/>
      <c r="J430" s="1085"/>
      <c r="K430" s="1085"/>
      <c r="L430" s="1085"/>
      <c r="M430" s="1085"/>
      <c r="N430" s="1085"/>
      <c r="O430" s="1085"/>
      <c r="P430" s="1085"/>
      <c r="Q430" s="1085"/>
      <c r="R430" s="1085"/>
      <c r="S430" s="1085"/>
      <c r="T430" s="1085"/>
      <c r="U430" s="1085"/>
      <c r="V430" s="1085"/>
      <c r="W430" s="1085"/>
      <c r="X430" s="1085"/>
      <c r="Y430" s="1085"/>
      <c r="Z430" s="1085"/>
      <c r="AA430" s="1085"/>
      <c r="AB430" s="1085"/>
      <c r="AC430" s="1085"/>
      <c r="AD430" s="1085"/>
      <c r="AE430" s="1085"/>
      <c r="AF430" s="1085"/>
      <c r="AG430" s="1085"/>
      <c r="AH430" s="1085"/>
      <c r="AI430" s="1085"/>
      <c r="AJ430" s="1085"/>
      <c r="AK430" s="1085"/>
      <c r="AL430" s="1085"/>
      <c r="AM430" s="1085"/>
      <c r="AN430" s="1085"/>
      <c r="AO430" s="1085"/>
      <c r="AP430" s="1085"/>
      <c r="AQ430" s="1085"/>
      <c r="AR430" s="1085"/>
      <c r="AS430" s="1085"/>
      <c r="AT430" s="1085"/>
      <c r="AU430" s="1085"/>
      <c r="AV430" s="1127"/>
    </row>
    <row r="431" spans="1:48" s="268" customFormat="1" ht="21" hidden="1" customHeight="1">
      <c r="A431" s="261"/>
      <c r="B431" s="261"/>
      <c r="C431" s="1126"/>
      <c r="D431" s="1085"/>
      <c r="E431" s="1085"/>
      <c r="F431" s="1085"/>
      <c r="G431" s="1085"/>
      <c r="H431" s="1085"/>
      <c r="I431" s="1085"/>
      <c r="J431" s="1085"/>
      <c r="K431" s="1085"/>
      <c r="L431" s="1085"/>
      <c r="M431" s="1085"/>
      <c r="N431" s="1085"/>
      <c r="O431" s="1085"/>
      <c r="P431" s="1085"/>
      <c r="Q431" s="1085"/>
      <c r="R431" s="1085"/>
      <c r="S431" s="1085"/>
      <c r="T431" s="1085"/>
      <c r="U431" s="1085"/>
      <c r="V431" s="1085"/>
      <c r="W431" s="1085"/>
      <c r="X431" s="1085"/>
      <c r="Y431" s="1085"/>
      <c r="Z431" s="1085"/>
      <c r="AA431" s="1085"/>
      <c r="AB431" s="1085"/>
      <c r="AC431" s="1085"/>
      <c r="AD431" s="1085"/>
      <c r="AE431" s="1085"/>
      <c r="AF431" s="1085"/>
      <c r="AG431" s="1085"/>
      <c r="AH431" s="1085"/>
      <c r="AI431" s="1085"/>
      <c r="AJ431" s="1085"/>
      <c r="AK431" s="1085"/>
      <c r="AL431" s="1085"/>
      <c r="AM431" s="1085"/>
      <c r="AN431" s="1085"/>
      <c r="AO431" s="1085"/>
      <c r="AP431" s="1085"/>
      <c r="AQ431" s="1085"/>
      <c r="AR431" s="1085"/>
      <c r="AS431" s="1085"/>
      <c r="AT431" s="1085"/>
      <c r="AU431" s="1085"/>
      <c r="AV431" s="1127"/>
    </row>
    <row r="432" spans="1:48" s="268" customFormat="1" ht="21" hidden="1" customHeight="1">
      <c r="A432" s="261"/>
      <c r="B432" s="261"/>
      <c r="C432" s="1126"/>
      <c r="D432" s="1085"/>
      <c r="E432" s="1085"/>
      <c r="F432" s="1085"/>
      <c r="G432" s="1085"/>
      <c r="H432" s="1085"/>
      <c r="I432" s="1085"/>
      <c r="J432" s="1085"/>
      <c r="K432" s="1085"/>
      <c r="L432" s="1085"/>
      <c r="M432" s="1085"/>
      <c r="N432" s="1085"/>
      <c r="O432" s="1085"/>
      <c r="P432" s="1085"/>
      <c r="Q432" s="1085"/>
      <c r="R432" s="1085"/>
      <c r="S432" s="1085"/>
      <c r="T432" s="1085"/>
      <c r="U432" s="1085"/>
      <c r="V432" s="1085"/>
      <c r="W432" s="1085"/>
      <c r="X432" s="1085"/>
      <c r="Y432" s="1085"/>
      <c r="Z432" s="1085"/>
      <c r="AA432" s="1085"/>
      <c r="AB432" s="1085"/>
      <c r="AC432" s="1085"/>
      <c r="AD432" s="1085"/>
      <c r="AE432" s="1085"/>
      <c r="AF432" s="1085"/>
      <c r="AG432" s="1085"/>
      <c r="AH432" s="1085"/>
      <c r="AI432" s="1085"/>
      <c r="AJ432" s="1085"/>
      <c r="AK432" s="1085"/>
      <c r="AL432" s="1085"/>
      <c r="AM432" s="1085"/>
      <c r="AN432" s="1085"/>
      <c r="AO432" s="1085"/>
      <c r="AP432" s="1085"/>
      <c r="AQ432" s="1085"/>
      <c r="AR432" s="1085"/>
      <c r="AS432" s="1085"/>
      <c r="AT432" s="1085"/>
      <c r="AU432" s="1085"/>
      <c r="AV432" s="1127"/>
    </row>
    <row r="433" spans="1:48" s="268" customFormat="1" ht="21" hidden="1" customHeight="1">
      <c r="B433" s="261"/>
      <c r="C433" s="1126"/>
      <c r="D433" s="1085"/>
      <c r="E433" s="1085"/>
      <c r="F433" s="1085"/>
      <c r="G433" s="1085"/>
      <c r="H433" s="1085"/>
      <c r="I433" s="1085"/>
      <c r="J433" s="1085"/>
      <c r="K433" s="1085"/>
      <c r="L433" s="1085"/>
      <c r="M433" s="1085"/>
      <c r="N433" s="1085"/>
      <c r="O433" s="1085"/>
      <c r="P433" s="1085"/>
      <c r="Q433" s="1085"/>
      <c r="R433" s="1085"/>
      <c r="S433" s="1085"/>
      <c r="T433" s="1085"/>
      <c r="U433" s="1085"/>
      <c r="V433" s="1085"/>
      <c r="W433" s="1085"/>
      <c r="X433" s="1085"/>
      <c r="Y433" s="1085"/>
      <c r="Z433" s="1085"/>
      <c r="AA433" s="1085"/>
      <c r="AB433" s="1085"/>
      <c r="AC433" s="1085"/>
      <c r="AD433" s="1085"/>
      <c r="AE433" s="1085"/>
      <c r="AF433" s="1085"/>
      <c r="AG433" s="1085"/>
      <c r="AH433" s="1085"/>
      <c r="AI433" s="1085"/>
      <c r="AJ433" s="1085"/>
      <c r="AK433" s="1085"/>
      <c r="AL433" s="1085"/>
      <c r="AM433" s="1085"/>
      <c r="AN433" s="1085"/>
      <c r="AO433" s="1085"/>
      <c r="AP433" s="1085"/>
      <c r="AQ433" s="1085"/>
      <c r="AR433" s="1085"/>
      <c r="AS433" s="1085"/>
      <c r="AT433" s="1085"/>
      <c r="AU433" s="1085"/>
      <c r="AV433" s="1127"/>
    </row>
    <row r="434" spans="1:48" s="268" customFormat="1" ht="21" hidden="1" customHeight="1">
      <c r="A434" s="261"/>
      <c r="B434" s="261"/>
      <c r="C434" s="1126"/>
      <c r="D434" s="1085"/>
      <c r="E434" s="1085"/>
      <c r="F434" s="1085"/>
      <c r="G434" s="1085"/>
      <c r="H434" s="1085"/>
      <c r="I434" s="1085"/>
      <c r="J434" s="1085"/>
      <c r="K434" s="1085"/>
      <c r="L434" s="1085"/>
      <c r="M434" s="1085"/>
      <c r="N434" s="1085"/>
      <c r="O434" s="1085"/>
      <c r="P434" s="1085"/>
      <c r="Q434" s="1085"/>
      <c r="R434" s="1085"/>
      <c r="S434" s="1085"/>
      <c r="T434" s="1085"/>
      <c r="U434" s="1085"/>
      <c r="V434" s="1085"/>
      <c r="W434" s="1085"/>
      <c r="X434" s="1085"/>
      <c r="Y434" s="1085"/>
      <c r="Z434" s="1085"/>
      <c r="AA434" s="1085"/>
      <c r="AB434" s="1085"/>
      <c r="AC434" s="1085"/>
      <c r="AD434" s="1085"/>
      <c r="AE434" s="1085"/>
      <c r="AF434" s="1085"/>
      <c r="AG434" s="1085"/>
      <c r="AH434" s="1085"/>
      <c r="AI434" s="1085"/>
      <c r="AJ434" s="1085"/>
      <c r="AK434" s="1085"/>
      <c r="AL434" s="1085"/>
      <c r="AM434" s="1085"/>
      <c r="AN434" s="1085"/>
      <c r="AO434" s="1085"/>
      <c r="AP434" s="1085"/>
      <c r="AQ434" s="1085"/>
      <c r="AR434" s="1085"/>
      <c r="AS434" s="1085"/>
      <c r="AT434" s="1085"/>
      <c r="AU434" s="1085"/>
      <c r="AV434" s="1127"/>
    </row>
    <row r="435" spans="1:48" s="268" customFormat="1" ht="21" hidden="1" customHeight="1">
      <c r="B435" s="261"/>
      <c r="C435" s="1126"/>
      <c r="D435" s="1085"/>
      <c r="E435" s="1085"/>
      <c r="F435" s="1085"/>
      <c r="G435" s="1085"/>
      <c r="H435" s="1085"/>
      <c r="I435" s="1085"/>
      <c r="J435" s="1085"/>
      <c r="K435" s="1085"/>
      <c r="L435" s="1085"/>
      <c r="M435" s="1085"/>
      <c r="N435" s="1085"/>
      <c r="O435" s="1085"/>
      <c r="P435" s="1085"/>
      <c r="Q435" s="1085"/>
      <c r="R435" s="1085"/>
      <c r="S435" s="1085"/>
      <c r="T435" s="1085"/>
      <c r="U435" s="1085"/>
      <c r="V435" s="1085"/>
      <c r="W435" s="1085"/>
      <c r="X435" s="1085"/>
      <c r="Y435" s="1085"/>
      <c r="Z435" s="1085"/>
      <c r="AA435" s="1085"/>
      <c r="AB435" s="1085"/>
      <c r="AC435" s="1085"/>
      <c r="AD435" s="1085"/>
      <c r="AE435" s="1085"/>
      <c r="AF435" s="1085"/>
      <c r="AG435" s="1085"/>
      <c r="AH435" s="1085"/>
      <c r="AI435" s="1085"/>
      <c r="AJ435" s="1085"/>
      <c r="AK435" s="1085"/>
      <c r="AL435" s="1085"/>
      <c r="AM435" s="1085"/>
      <c r="AN435" s="1085"/>
      <c r="AO435" s="1085"/>
      <c r="AP435" s="1085"/>
      <c r="AQ435" s="1085"/>
      <c r="AR435" s="1085"/>
      <c r="AS435" s="1085"/>
      <c r="AT435" s="1085"/>
      <c r="AU435" s="1085"/>
      <c r="AV435" s="1127"/>
    </row>
    <row r="436" spans="1:48" s="268" customFormat="1" ht="21" hidden="1" customHeight="1" thickBot="1">
      <c r="A436" s="261"/>
      <c r="B436" s="261"/>
      <c r="C436" s="1128"/>
      <c r="D436" s="1129"/>
      <c r="E436" s="1129"/>
      <c r="F436" s="1129"/>
      <c r="G436" s="1129"/>
      <c r="H436" s="1129"/>
      <c r="I436" s="1129"/>
      <c r="J436" s="1129"/>
      <c r="K436" s="1129"/>
      <c r="L436" s="1129"/>
      <c r="M436" s="1129"/>
      <c r="N436" s="1129"/>
      <c r="O436" s="1129"/>
      <c r="P436" s="1129"/>
      <c r="Q436" s="1129"/>
      <c r="R436" s="1129"/>
      <c r="S436" s="1129"/>
      <c r="T436" s="1129"/>
      <c r="U436" s="1129"/>
      <c r="V436" s="1129"/>
      <c r="W436" s="1129"/>
      <c r="X436" s="1129"/>
      <c r="Y436" s="1129"/>
      <c r="Z436" s="1129"/>
      <c r="AA436" s="1129"/>
      <c r="AB436" s="1129"/>
      <c r="AC436" s="1129"/>
      <c r="AD436" s="1129"/>
      <c r="AE436" s="1129"/>
      <c r="AF436" s="1129"/>
      <c r="AG436" s="1129"/>
      <c r="AH436" s="1129"/>
      <c r="AI436" s="1129"/>
      <c r="AJ436" s="1129"/>
      <c r="AK436" s="1129"/>
      <c r="AL436" s="1129"/>
      <c r="AM436" s="1129"/>
      <c r="AN436" s="1129"/>
      <c r="AO436" s="1129"/>
      <c r="AP436" s="1129"/>
      <c r="AQ436" s="1129"/>
      <c r="AR436" s="1129"/>
      <c r="AS436" s="1129"/>
      <c r="AT436" s="1129"/>
      <c r="AU436" s="1129"/>
      <c r="AV436" s="1130"/>
    </row>
    <row r="437" spans="1:48" ht="68.25" hidden="1" customHeight="1" thickTop="1">
      <c r="C437" s="942"/>
      <c r="D437" s="739"/>
      <c r="E437" s="739"/>
      <c r="F437" s="739"/>
      <c r="G437" s="739"/>
      <c r="H437" s="739"/>
      <c r="I437" s="739"/>
      <c r="J437" s="739"/>
      <c r="K437" s="739"/>
      <c r="L437" s="739"/>
      <c r="M437" s="739"/>
      <c r="N437" s="739"/>
      <c r="O437" s="739"/>
      <c r="P437" s="739"/>
      <c r="Q437" s="739"/>
      <c r="R437" s="739"/>
      <c r="S437" s="739"/>
      <c r="T437" s="739"/>
      <c r="U437" s="739"/>
      <c r="V437" s="739"/>
      <c r="W437" s="739"/>
      <c r="X437" s="739"/>
      <c r="Y437" s="739"/>
      <c r="Z437" s="739"/>
      <c r="AA437" s="739"/>
      <c r="AB437" s="739"/>
      <c r="AC437" s="739"/>
      <c r="AD437" s="739"/>
      <c r="AE437" s="739"/>
      <c r="AF437" s="739"/>
      <c r="AG437" s="739"/>
      <c r="AH437" s="739"/>
      <c r="AI437" s="739"/>
      <c r="AJ437" s="739"/>
      <c r="AK437" s="739"/>
      <c r="AL437" s="739"/>
      <c r="AM437" s="739"/>
      <c r="AN437" s="739"/>
      <c r="AO437" s="739"/>
      <c r="AP437" s="739"/>
      <c r="AQ437" s="739"/>
      <c r="AR437" s="739"/>
      <c r="AS437" s="739"/>
      <c r="AT437" s="739"/>
      <c r="AU437" s="739"/>
      <c r="AV437" s="739"/>
    </row>
    <row r="438" spans="1:48" ht="15.95" hidden="1" customHeight="1">
      <c r="C438" s="1131"/>
      <c r="D438" s="1069"/>
      <c r="E438" s="1069"/>
      <c r="F438" s="1069"/>
      <c r="G438" s="1069"/>
      <c r="H438" s="1069"/>
      <c r="I438" s="1069"/>
      <c r="J438" s="1069"/>
      <c r="K438" s="1069"/>
      <c r="L438" s="1069"/>
      <c r="M438" s="1069"/>
      <c r="N438" s="1069"/>
      <c r="O438" s="1069"/>
      <c r="P438" s="1069"/>
      <c r="Q438" s="1069"/>
      <c r="R438" s="1069"/>
      <c r="S438" s="1069"/>
      <c r="T438" s="1069"/>
      <c r="U438" s="1069"/>
      <c r="V438" s="1132"/>
      <c r="W438" s="1133"/>
      <c r="X438" s="1133"/>
      <c r="Y438" s="1069"/>
      <c r="Z438" s="1069"/>
      <c r="AA438" s="1069"/>
      <c r="AB438" s="1069"/>
      <c r="AC438" s="1134" t="s">
        <v>4556</v>
      </c>
      <c r="AD438" s="1069"/>
      <c r="AE438" s="1069"/>
      <c r="AF438" s="1069"/>
      <c r="AG438" s="1133"/>
      <c r="AH438" s="1133"/>
      <c r="AI438" s="1133"/>
      <c r="AJ438" s="1133"/>
      <c r="AK438" s="1133"/>
      <c r="AL438" s="1133"/>
      <c r="AM438" s="1133"/>
      <c r="AN438" s="1069"/>
      <c r="AO438" s="1069"/>
      <c r="AP438" s="1069"/>
      <c r="AQ438" s="1069"/>
      <c r="AR438" s="1069"/>
      <c r="AS438" s="1069"/>
      <c r="AT438" s="1069"/>
      <c r="AU438" s="1069"/>
      <c r="AV438" s="1070"/>
    </row>
    <row r="439" spans="1:48" ht="13.5" hidden="1" thickTop="1">
      <c r="C439" s="753" t="s">
        <v>4571</v>
      </c>
      <c r="D439" s="753"/>
      <c r="E439" s="753"/>
      <c r="F439" s="753"/>
      <c r="G439" s="753"/>
      <c r="H439" s="753"/>
      <c r="I439" s="753"/>
      <c r="J439" s="753"/>
      <c r="K439" s="753"/>
      <c r="L439" s="753"/>
      <c r="M439" s="753"/>
      <c r="N439" s="753"/>
      <c r="O439" s="753"/>
      <c r="P439" s="753"/>
      <c r="Q439" s="753"/>
      <c r="R439" s="753"/>
      <c r="S439" s="753"/>
      <c r="T439" s="753"/>
      <c r="U439" s="753"/>
      <c r="V439" s="753"/>
      <c r="W439" s="753"/>
      <c r="X439" s="753"/>
      <c r="Y439" s="753"/>
      <c r="Z439" s="753"/>
      <c r="AA439" s="753"/>
      <c r="AB439" s="753"/>
      <c r="AC439" s="753"/>
      <c r="AD439" s="753"/>
      <c r="AE439" s="753"/>
      <c r="AF439" s="753"/>
      <c r="AG439" s="753"/>
      <c r="AH439" s="753"/>
      <c r="AI439" s="753"/>
      <c r="AJ439" s="753"/>
      <c r="AK439" s="753"/>
      <c r="AL439" s="753"/>
      <c r="AM439" s="753"/>
      <c r="AN439" s="753"/>
      <c r="AO439" s="753"/>
      <c r="AP439" s="753"/>
      <c r="AQ439" s="753"/>
      <c r="AR439" s="753"/>
      <c r="AS439" s="753"/>
      <c r="AT439" s="753"/>
      <c r="AU439" s="753"/>
      <c r="AV439" s="753"/>
    </row>
    <row r="440" spans="1:48" ht="16.5" hidden="1" customHeight="1">
      <c r="C440" s="1158"/>
      <c r="D440" s="1159"/>
      <c r="E440" s="1159"/>
      <c r="F440" s="1159"/>
      <c r="G440" s="1159"/>
      <c r="H440" s="1159"/>
      <c r="I440" s="1159"/>
      <c r="J440" s="1159"/>
      <c r="K440" s="1159"/>
      <c r="L440" s="1159"/>
      <c r="M440" s="1159"/>
      <c r="N440" s="1159"/>
      <c r="O440" s="1159"/>
      <c r="P440" s="1159"/>
      <c r="Q440" s="1159"/>
      <c r="R440" s="1159"/>
      <c r="S440" s="1159"/>
      <c r="T440" s="1159"/>
      <c r="U440" s="1159"/>
      <c r="V440" s="1160">
        <f>+E452</f>
        <v>1</v>
      </c>
      <c r="W440" s="1161"/>
      <c r="X440" s="1161"/>
      <c r="Y440" s="1161"/>
      <c r="Z440" s="1161"/>
      <c r="AA440" s="1161"/>
      <c r="AB440" s="1161"/>
      <c r="AC440" s="1162"/>
      <c r="AD440" s="1163"/>
      <c r="AE440" s="1163"/>
      <c r="AF440" s="1163"/>
      <c r="AG440" s="1164"/>
      <c r="AH440" s="1164"/>
      <c r="AI440" s="1164"/>
      <c r="AJ440" s="1164"/>
      <c r="AK440" s="1164"/>
      <c r="AL440" s="1164"/>
      <c r="AM440" s="1164"/>
      <c r="AN440" s="1163"/>
      <c r="AO440" s="1163"/>
      <c r="AP440" s="1163"/>
      <c r="AQ440" s="1163"/>
      <c r="AR440" s="1163"/>
      <c r="AS440" s="1163"/>
      <c r="AT440" s="1163"/>
      <c r="AU440" s="1163"/>
      <c r="AV440" s="1165"/>
    </row>
    <row r="441" spans="1:48" s="268" customFormat="1" ht="15">
      <c r="A441" s="302" t="s">
        <v>4572</v>
      </c>
      <c r="C441" s="1166" t="s">
        <v>4573</v>
      </c>
      <c r="D441" s="1167"/>
      <c r="E441" s="1167"/>
      <c r="F441" s="1167"/>
      <c r="G441" s="1167"/>
      <c r="H441" s="1167"/>
      <c r="I441" s="1167"/>
      <c r="J441" s="1167"/>
      <c r="K441" s="1167"/>
      <c r="L441" s="1167"/>
      <c r="M441" s="1167"/>
      <c r="N441" s="1167"/>
      <c r="O441" s="1167"/>
      <c r="P441" s="1167"/>
      <c r="Q441" s="1167"/>
      <c r="R441" s="1167"/>
      <c r="S441" s="1167"/>
      <c r="T441" s="1167"/>
      <c r="U441" s="1168"/>
      <c r="V441" s="1168"/>
      <c r="W441" s="1168"/>
      <c r="X441" s="1168"/>
      <c r="Y441" s="1168"/>
      <c r="Z441" s="1168"/>
      <c r="AA441" s="1168"/>
      <c r="AB441" s="1168"/>
      <c r="AC441" s="1168"/>
      <c r="AD441" s="1168"/>
      <c r="AE441" s="1168"/>
      <c r="AF441" s="1168"/>
      <c r="AG441" s="1168"/>
      <c r="AH441" s="1168"/>
      <c r="AI441" s="1168"/>
      <c r="AJ441" s="1168"/>
      <c r="AK441" s="1168"/>
      <c r="AL441" s="1168"/>
      <c r="AM441" s="1168"/>
      <c r="AN441" s="1168"/>
      <c r="AO441" s="1168"/>
      <c r="AP441" s="1168"/>
      <c r="AQ441" s="1168"/>
      <c r="AR441" s="1168"/>
      <c r="AS441" s="1168"/>
      <c r="AT441" s="1168"/>
      <c r="AU441" s="1168"/>
      <c r="AV441" s="1168"/>
    </row>
    <row r="442" spans="1:48" ht="12.95" customHeight="1">
      <c r="C442" s="330"/>
      <c r="D442" s="330"/>
      <c r="H442" s="284"/>
      <c r="J442" s="331"/>
      <c r="S442" s="331" t="str">
        <f>+T358</f>
        <v xml:space="preserve">  INFORME N°26</v>
      </c>
      <c r="U442" s="332"/>
      <c r="V442" s="333"/>
      <c r="AB442" s="1088">
        <f>+AB94</f>
        <v>0</v>
      </c>
      <c r="AC442" s="1146"/>
      <c r="AD442" s="1146"/>
      <c r="AE442" s="1146"/>
      <c r="AF442" s="1146"/>
    </row>
    <row r="443" spans="1:48" s="572" customFormat="1" ht="30" customHeight="1">
      <c r="A443" s="1169">
        <v>1</v>
      </c>
      <c r="B443" s="1170"/>
      <c r="C443" s="569" t="s">
        <v>4574</v>
      </c>
      <c r="D443" s="570"/>
      <c r="E443" s="570"/>
      <c r="F443" s="570"/>
      <c r="G443" s="570"/>
      <c r="H443" s="570"/>
      <c r="I443" s="570"/>
      <c r="J443" s="570"/>
      <c r="K443" s="570"/>
      <c r="L443" s="570"/>
      <c r="M443" s="569"/>
      <c r="N443" s="570"/>
      <c r="O443" s="570"/>
      <c r="P443" s="570"/>
      <c r="Q443" s="570"/>
      <c r="R443" s="570"/>
      <c r="S443" s="570"/>
      <c r="T443" s="570"/>
      <c r="U443" s="570"/>
      <c r="V443" s="570"/>
      <c r="W443" s="571"/>
      <c r="X443" s="571"/>
      <c r="Y443" s="571"/>
      <c r="Z443" s="571"/>
      <c r="AA443" s="571"/>
      <c r="AB443" s="571"/>
      <c r="AC443" s="571"/>
      <c r="AD443" s="571"/>
      <c r="AE443" s="571"/>
      <c r="AF443" s="571"/>
      <c r="AG443" s="571"/>
      <c r="AH443" s="571"/>
      <c r="AI443" s="571"/>
      <c r="AJ443" s="571"/>
      <c r="AK443" s="571"/>
      <c r="AL443" s="571"/>
      <c r="AM443" s="571"/>
      <c r="AN443" s="571"/>
      <c r="AO443" s="571"/>
      <c r="AP443" s="571"/>
      <c r="AQ443" s="571"/>
      <c r="AR443" s="571"/>
      <c r="AS443" s="571"/>
      <c r="AT443" s="571"/>
      <c r="AU443" s="571"/>
      <c r="AV443" s="571"/>
    </row>
    <row r="444" spans="1:48" s="268" customFormat="1" ht="13.5" customHeight="1">
      <c r="A444" s="262"/>
      <c r="B444" s="262"/>
      <c r="C444" s="1176" t="s">
        <v>4575</v>
      </c>
      <c r="D444" s="1173"/>
      <c r="E444" s="262" t="str">
        <f>+C291</f>
        <v>VALOR DEL TERRENO</v>
      </c>
      <c r="F444" s="262"/>
      <c r="G444" s="262"/>
      <c r="H444" s="262"/>
      <c r="I444" s="262"/>
      <c r="J444" s="262"/>
      <c r="K444" s="262"/>
      <c r="L444" s="574"/>
      <c r="M444" s="262"/>
      <c r="N444" s="575"/>
      <c r="O444" s="575"/>
      <c r="P444" s="262"/>
      <c r="Q444" s="262"/>
      <c r="R444" s="262"/>
      <c r="S444" s="262"/>
      <c r="T444" s="262"/>
      <c r="U444" s="262"/>
      <c r="V444" s="262"/>
      <c r="W444" s="262"/>
      <c r="X444" s="262"/>
      <c r="Y444" s="262"/>
      <c r="Z444" s="262"/>
      <c r="AA444" s="262"/>
      <c r="AB444" s="262"/>
      <c r="AC444" s="262"/>
      <c r="AD444" s="262"/>
      <c r="AE444" s="262"/>
      <c r="AF444" s="262"/>
      <c r="AG444" s="262"/>
      <c r="AH444" s="574"/>
      <c r="AI444" s="262"/>
      <c r="AJ444" s="574" t="s">
        <v>4426</v>
      </c>
      <c r="AK444" s="1174"/>
      <c r="AL444" s="1174"/>
      <c r="AM444" s="1172">
        <f>+AO325</f>
        <v>0</v>
      </c>
      <c r="AN444" s="1172"/>
      <c r="AO444" s="1172"/>
      <c r="AP444" s="1173"/>
      <c r="AQ444" s="1173"/>
      <c r="AR444" s="1173"/>
      <c r="AS444" s="1173"/>
      <c r="AT444" s="1173"/>
      <c r="AU444" s="1173"/>
      <c r="AV444" s="262"/>
    </row>
    <row r="445" spans="1:48" s="268" customFormat="1" ht="13.5" customHeight="1">
      <c r="A445" s="262"/>
      <c r="B445" s="262"/>
      <c r="C445" s="573" t="s">
        <v>4576</v>
      </c>
      <c r="D445" s="262"/>
      <c r="E445" s="262" t="s">
        <v>4577</v>
      </c>
      <c r="F445" s="262"/>
      <c r="G445" s="262"/>
      <c r="H445" s="262"/>
      <c r="I445" s="262"/>
      <c r="J445" s="262"/>
      <c r="K445" s="262"/>
      <c r="L445" s="574"/>
      <c r="M445" s="262"/>
      <c r="N445" s="575"/>
      <c r="O445" s="575"/>
      <c r="P445" s="262"/>
      <c r="Q445" s="262"/>
      <c r="R445" s="262"/>
      <c r="S445" s="262"/>
      <c r="T445" s="262"/>
      <c r="U445" s="262"/>
      <c r="V445" s="262"/>
      <c r="W445" s="262"/>
      <c r="X445" s="262"/>
      <c r="Y445" s="262"/>
      <c r="Z445" s="262"/>
      <c r="AA445" s="262"/>
      <c r="AB445" s="262"/>
      <c r="AC445" s="262"/>
      <c r="AD445" s="262"/>
      <c r="AE445" s="262"/>
      <c r="AF445" s="262"/>
      <c r="AG445" s="262"/>
      <c r="AH445" s="574"/>
      <c r="AI445" s="262"/>
      <c r="AJ445" s="574" t="s">
        <v>4426</v>
      </c>
      <c r="AK445" s="1174"/>
      <c r="AL445" s="1174"/>
      <c r="AM445" s="1172">
        <f>SUM(AA446:AI448)</f>
        <v>0</v>
      </c>
      <c r="AN445" s="1172"/>
      <c r="AO445" s="1172"/>
      <c r="AP445" s="1173"/>
      <c r="AQ445" s="1173"/>
      <c r="AR445" s="1173"/>
      <c r="AS445" s="1173"/>
      <c r="AT445" s="1173"/>
      <c r="AU445" s="1173"/>
      <c r="AV445" s="262"/>
    </row>
    <row r="446" spans="1:48" s="268" customFormat="1" ht="13.5" customHeight="1">
      <c r="A446" s="262"/>
      <c r="B446" s="262"/>
      <c r="C446" s="573"/>
      <c r="D446" s="262"/>
      <c r="E446" s="578" t="str">
        <f>+C333</f>
        <v>VALOR DE EDIFICACION</v>
      </c>
      <c r="F446" s="262"/>
      <c r="G446" s="262"/>
      <c r="H446" s="262"/>
      <c r="I446" s="262"/>
      <c r="J446" s="262"/>
      <c r="K446" s="262"/>
      <c r="L446" s="574"/>
      <c r="M446" s="262"/>
      <c r="N446" s="575"/>
      <c r="O446" s="575"/>
      <c r="P446" s="262"/>
      <c r="Q446" s="262"/>
      <c r="R446" s="262"/>
      <c r="S446" s="262"/>
      <c r="T446" s="262"/>
      <c r="U446" s="262"/>
      <c r="V446" s="262"/>
      <c r="W446" s="262"/>
      <c r="X446" s="262"/>
      <c r="Y446" s="262"/>
      <c r="Z446" s="574" t="s">
        <v>4359</v>
      </c>
      <c r="AA446" s="1172">
        <f>+AO333</f>
        <v>0</v>
      </c>
      <c r="AB446" s="1172"/>
      <c r="AC446" s="1172"/>
      <c r="AD446" s="1172"/>
      <c r="AE446" s="1172"/>
      <c r="AF446" s="1172"/>
      <c r="AG446" s="1172"/>
      <c r="AH446" s="1172"/>
      <c r="AI446" s="1172"/>
      <c r="AJ446" s="574"/>
      <c r="AK446" s="576"/>
      <c r="AL446" s="576"/>
      <c r="AM446" s="577"/>
      <c r="AN446" s="577"/>
      <c r="AO446" s="577"/>
      <c r="AP446" s="262"/>
      <c r="AQ446" s="262"/>
      <c r="AR446" s="262"/>
      <c r="AS446" s="262"/>
      <c r="AT446" s="262"/>
      <c r="AU446" s="262"/>
      <c r="AV446" s="262"/>
    </row>
    <row r="447" spans="1:48" s="268" customFormat="1" ht="13.5" customHeight="1">
      <c r="A447" s="262"/>
      <c r="B447" s="262"/>
      <c r="C447" s="573"/>
      <c r="D447" s="262"/>
      <c r="E447" s="578" t="str">
        <f>+C336</f>
        <v>VALOR DE LAS AREAS COMUNES</v>
      </c>
      <c r="F447" s="262"/>
      <c r="G447" s="262"/>
      <c r="H447" s="262"/>
      <c r="I447" s="262"/>
      <c r="J447" s="262"/>
      <c r="K447" s="262"/>
      <c r="L447" s="574"/>
      <c r="M447" s="262"/>
      <c r="N447" s="575"/>
      <c r="O447" s="575"/>
      <c r="P447" s="262"/>
      <c r="Q447" s="262"/>
      <c r="R447" s="262"/>
      <c r="S447" s="262"/>
      <c r="T447" s="262"/>
      <c r="U447" s="262"/>
      <c r="V447" s="262"/>
      <c r="W447" s="262"/>
      <c r="X447" s="262"/>
      <c r="Y447" s="262"/>
      <c r="Z447" s="574" t="s">
        <v>4359</v>
      </c>
      <c r="AA447" s="1172">
        <f>+AO336</f>
        <v>0</v>
      </c>
      <c r="AB447" s="1172"/>
      <c r="AC447" s="1172"/>
      <c r="AD447" s="1172"/>
      <c r="AE447" s="1172"/>
      <c r="AF447" s="1172"/>
      <c r="AG447" s="1172"/>
      <c r="AH447" s="1172"/>
      <c r="AI447" s="1172"/>
      <c r="AJ447" s="574"/>
      <c r="AK447" s="576"/>
      <c r="AL447" s="576"/>
      <c r="AM447" s="577"/>
      <c r="AN447" s="577"/>
      <c r="AO447" s="577"/>
      <c r="AP447" s="262"/>
      <c r="AQ447" s="262"/>
      <c r="AR447" s="262"/>
      <c r="AS447" s="262"/>
      <c r="AT447" s="262"/>
      <c r="AU447" s="262"/>
      <c r="AV447" s="262"/>
    </row>
    <row r="448" spans="1:48" s="268" customFormat="1" ht="12">
      <c r="A448" s="262"/>
      <c r="B448" s="262"/>
      <c r="C448" s="573"/>
      <c r="D448" s="262"/>
      <c r="E448" s="578" t="str">
        <f>+C349</f>
        <v>VALOR DE LAS OBRAS COMPLEMENTARIAS</v>
      </c>
      <c r="F448" s="262"/>
      <c r="G448" s="262"/>
      <c r="H448" s="262"/>
      <c r="I448" s="262"/>
      <c r="J448" s="262"/>
      <c r="K448" s="262"/>
      <c r="L448" s="574"/>
      <c r="M448" s="262"/>
      <c r="N448" s="575"/>
      <c r="O448" s="575"/>
      <c r="P448" s="262"/>
      <c r="Q448" s="262"/>
      <c r="R448" s="262"/>
      <c r="S448" s="262"/>
      <c r="T448" s="262"/>
      <c r="U448" s="262"/>
      <c r="V448" s="262"/>
      <c r="W448" s="262"/>
      <c r="X448" s="574"/>
      <c r="Y448" s="262"/>
      <c r="Z448" s="574" t="s">
        <v>4359</v>
      </c>
      <c r="AA448" s="1172">
        <f>+AO349</f>
        <v>0</v>
      </c>
      <c r="AB448" s="1172"/>
      <c r="AC448" s="1172"/>
      <c r="AD448" s="1172"/>
      <c r="AE448" s="1172"/>
      <c r="AF448" s="1172"/>
      <c r="AG448" s="1172"/>
      <c r="AH448" s="1172"/>
      <c r="AI448" s="1172"/>
      <c r="AM448" s="579"/>
      <c r="AN448" s="579"/>
      <c r="AO448" s="579"/>
      <c r="AP448" s="579"/>
      <c r="AQ448" s="579"/>
      <c r="AR448" s="579"/>
      <c r="AS448" s="579"/>
      <c r="AT448" s="579"/>
      <c r="AU448" s="579"/>
      <c r="AV448" s="262"/>
    </row>
    <row r="449" spans="1:48" s="268" customFormat="1" ht="12">
      <c r="A449" s="262"/>
      <c r="B449" s="262"/>
      <c r="C449" s="573"/>
      <c r="D449" s="262"/>
      <c r="E449" s="578" t="s">
        <v>4578</v>
      </c>
      <c r="F449" s="262"/>
      <c r="G449" s="262"/>
      <c r="H449" s="262"/>
      <c r="I449" s="262"/>
      <c r="J449" s="262"/>
      <c r="K449" s="262"/>
      <c r="L449" s="574"/>
      <c r="M449" s="262"/>
      <c r="N449" s="575"/>
      <c r="O449" s="575"/>
      <c r="P449" s="262"/>
      <c r="Q449" s="262"/>
      <c r="R449" s="262"/>
      <c r="S449" s="262"/>
      <c r="T449" s="262"/>
      <c r="U449" s="262"/>
      <c r="V449" s="262"/>
      <c r="W449" s="262"/>
      <c r="X449" s="574"/>
      <c r="Y449" s="262"/>
      <c r="Z449" s="574"/>
      <c r="AA449" s="577"/>
      <c r="AB449" s="577"/>
      <c r="AC449" s="577"/>
      <c r="AD449" s="262"/>
      <c r="AE449" s="262"/>
      <c r="AF449" s="262"/>
      <c r="AG449" s="262"/>
      <c r="AH449" s="262"/>
      <c r="AI449" s="262"/>
      <c r="AJ449" s="574" t="s">
        <v>4426</v>
      </c>
      <c r="AK449" s="1174"/>
      <c r="AL449" s="1174"/>
      <c r="AM449" s="1172">
        <f>+AM445+AM444</f>
        <v>0</v>
      </c>
      <c r="AN449" s="1172"/>
      <c r="AO449" s="1172"/>
      <c r="AP449" s="1173"/>
      <c r="AQ449" s="1173"/>
      <c r="AR449" s="1173"/>
      <c r="AS449" s="1173"/>
      <c r="AT449" s="1173"/>
      <c r="AU449" s="1173"/>
      <c r="AV449" s="262"/>
    </row>
    <row r="450" spans="1:48" s="268" customFormat="1" ht="12">
      <c r="A450" s="262"/>
      <c r="B450" s="262"/>
      <c r="C450" s="573"/>
      <c r="D450" s="262"/>
      <c r="E450" s="580" t="s">
        <v>4579</v>
      </c>
      <c r="F450" s="262"/>
      <c r="G450" s="262"/>
      <c r="H450" s="262"/>
      <c r="I450" s="262"/>
      <c r="J450" s="262"/>
      <c r="K450" s="262"/>
      <c r="L450" s="574"/>
      <c r="M450" s="262"/>
      <c r="N450" s="575"/>
      <c r="O450" s="575"/>
      <c r="P450" s="262"/>
      <c r="Q450" s="262"/>
      <c r="R450" s="262"/>
      <c r="S450" s="262"/>
      <c r="T450" s="262"/>
      <c r="U450" s="262"/>
      <c r="V450" s="262"/>
      <c r="W450" s="262"/>
      <c r="X450" s="574"/>
      <c r="Y450" s="262"/>
      <c r="Z450" s="574"/>
      <c r="AA450" s="577"/>
      <c r="AB450" s="577"/>
      <c r="AC450" s="577"/>
      <c r="AD450" s="262"/>
      <c r="AE450" s="262"/>
      <c r="AF450" s="262"/>
      <c r="AG450" s="262"/>
      <c r="AH450" s="262"/>
      <c r="AI450" s="262"/>
      <c r="AJ450" s="574"/>
      <c r="AK450" s="576"/>
      <c r="AL450" s="576"/>
      <c r="AM450" s="577"/>
      <c r="AN450" s="577"/>
      <c r="AO450" s="577"/>
      <c r="AP450" s="262"/>
      <c r="AQ450" s="262"/>
      <c r="AR450" s="262"/>
      <c r="AS450" s="262"/>
      <c r="AT450" s="262"/>
      <c r="AU450" s="262"/>
      <c r="AV450" s="262"/>
    </row>
    <row r="451" spans="1:48" s="268" customFormat="1" ht="24" customHeight="1">
      <c r="A451" s="262"/>
      <c r="B451" s="262"/>
      <c r="C451" s="573"/>
      <c r="D451" s="262"/>
      <c r="E451" s="1175" t="s">
        <v>4580</v>
      </c>
      <c r="F451" s="1175"/>
      <c r="G451" s="1175"/>
      <c r="H451" s="1175"/>
      <c r="I451" s="1175"/>
      <c r="J451" s="1175"/>
      <c r="K451" s="1175"/>
      <c r="L451" s="1175"/>
      <c r="M451" s="1175"/>
      <c r="N451" s="1175"/>
      <c r="O451" s="1175"/>
      <c r="P451" s="1175"/>
      <c r="Q451" s="1175"/>
      <c r="R451" s="1175"/>
      <c r="S451" s="1175"/>
      <c r="T451" s="1175"/>
      <c r="U451" s="1175"/>
      <c r="V451" s="1175"/>
      <c r="W451" s="1175"/>
      <c r="X451" s="1175"/>
      <c r="Y451" s="1175"/>
      <c r="Z451" s="1175"/>
      <c r="AA451" s="1175"/>
      <c r="AB451" s="1175"/>
      <c r="AC451" s="1175"/>
      <c r="AD451" s="1175"/>
      <c r="AE451" s="1175"/>
      <c r="AF451" s="1175"/>
      <c r="AG451" s="1175"/>
      <c r="AH451" s="1175"/>
      <c r="AI451" s="1175"/>
      <c r="AJ451" s="1175"/>
      <c r="AK451" s="1175"/>
      <c r="AL451" s="1175"/>
      <c r="AM451" s="1175"/>
      <c r="AN451" s="1175"/>
      <c r="AO451" s="1175"/>
      <c r="AP451" s="1175"/>
      <c r="AQ451" s="1175"/>
      <c r="AR451" s="1175"/>
      <c r="AS451" s="1175"/>
      <c r="AT451" s="1175"/>
      <c r="AU451" s="1175"/>
      <c r="AV451" s="1175"/>
    </row>
    <row r="452" spans="1:48" s="268" customFormat="1" ht="12">
      <c r="A452" s="262"/>
      <c r="B452" s="262"/>
      <c r="C452" s="573"/>
      <c r="D452" s="262"/>
      <c r="E452" s="1171">
        <v>1</v>
      </c>
      <c r="F452" s="1171"/>
      <c r="G452" s="1171"/>
      <c r="H452" s="1171"/>
      <c r="I452" s="1171"/>
      <c r="J452" s="1171"/>
      <c r="K452" s="1171"/>
      <c r="L452" s="574"/>
      <c r="M452" s="262"/>
      <c r="N452" s="575"/>
      <c r="O452" s="575" t="s">
        <v>4508</v>
      </c>
      <c r="P452" s="262"/>
      <c r="Q452" s="262"/>
      <c r="R452" s="262"/>
      <c r="S452" s="262"/>
      <c r="T452" s="1172">
        <f>+AM449</f>
        <v>0</v>
      </c>
      <c r="U452" s="1172"/>
      <c r="V452" s="1172"/>
      <c r="W452" s="1173"/>
      <c r="X452" s="1173"/>
      <c r="Y452" s="1173"/>
      <c r="Z452" s="1173"/>
      <c r="AA452" s="1173"/>
      <c r="AB452" s="1173"/>
      <c r="AC452" s="577"/>
      <c r="AD452" s="262"/>
      <c r="AE452" s="262"/>
      <c r="AF452" s="262"/>
      <c r="AG452" s="262"/>
      <c r="AH452" s="262"/>
      <c r="AI452" s="262"/>
      <c r="AJ452" s="574" t="s">
        <v>4426</v>
      </c>
      <c r="AK452" s="1174"/>
      <c r="AL452" s="1174"/>
      <c r="AM452" s="1172">
        <f>ROUND(E452*T452,1)</f>
        <v>0</v>
      </c>
      <c r="AN452" s="1172"/>
      <c r="AO452" s="1172"/>
      <c r="AP452" s="1173"/>
      <c r="AQ452" s="1173"/>
      <c r="AR452" s="1173"/>
      <c r="AS452" s="1173"/>
      <c r="AT452" s="1173"/>
      <c r="AU452" s="1173"/>
      <c r="AV452" s="262"/>
    </row>
    <row r="453" spans="1:48" s="268" customFormat="1" ht="12" hidden="1">
      <c r="A453" s="262"/>
      <c r="B453" s="262"/>
      <c r="C453" s="573" t="s">
        <v>4581</v>
      </c>
      <c r="D453" s="262"/>
      <c r="E453" s="578" t="str">
        <f>+C352</f>
        <v>VALOR DEL ESTACIONAMIENTO Nº …</v>
      </c>
      <c r="F453" s="262"/>
      <c r="G453" s="262"/>
      <c r="H453" s="262"/>
      <c r="I453" s="262"/>
      <c r="J453" s="262"/>
      <c r="K453" s="262"/>
      <c r="L453" s="574"/>
      <c r="M453" s="262"/>
      <c r="N453" s="575"/>
      <c r="O453" s="575"/>
      <c r="P453" s="262"/>
      <c r="Q453" s="262"/>
      <c r="R453" s="262"/>
      <c r="S453" s="262"/>
      <c r="T453" s="262"/>
      <c r="U453" s="262"/>
      <c r="V453" s="262"/>
      <c r="W453" s="262"/>
      <c r="X453" s="574"/>
      <c r="Y453" s="262"/>
      <c r="Z453" s="574"/>
      <c r="AA453" s="577"/>
      <c r="AB453" s="577"/>
      <c r="AC453" s="577"/>
      <c r="AD453" s="262"/>
      <c r="AE453" s="262"/>
      <c r="AF453" s="262"/>
      <c r="AG453" s="262"/>
      <c r="AH453" s="262"/>
      <c r="AI453" s="262"/>
      <c r="AJ453" s="574" t="s">
        <v>4426</v>
      </c>
      <c r="AK453" s="1174"/>
      <c r="AL453" s="1174"/>
      <c r="AM453" s="1172">
        <f>+AO352</f>
        <v>0</v>
      </c>
      <c r="AN453" s="1172"/>
      <c r="AO453" s="1172"/>
      <c r="AP453" s="1173"/>
      <c r="AQ453" s="1173"/>
      <c r="AR453" s="1173"/>
      <c r="AS453" s="1173"/>
      <c r="AT453" s="1173"/>
      <c r="AU453" s="1173"/>
      <c r="AV453" s="262"/>
    </row>
    <row r="454" spans="1:48" s="268" customFormat="1" ht="12" hidden="1">
      <c r="A454" s="262"/>
      <c r="B454" s="262"/>
      <c r="C454" s="573" t="s">
        <v>4582</v>
      </c>
      <c r="D454" s="262"/>
      <c r="E454" s="578" t="str">
        <f>+C355</f>
        <v>VALOR DEL DEPOSITO Nº ..</v>
      </c>
      <c r="F454" s="262"/>
      <c r="G454" s="262"/>
      <c r="H454" s="262"/>
      <c r="I454" s="262"/>
      <c r="J454" s="262"/>
      <c r="K454" s="262"/>
      <c r="L454" s="574"/>
      <c r="M454" s="262"/>
      <c r="N454" s="575"/>
      <c r="O454" s="575"/>
      <c r="P454" s="262"/>
      <c r="Q454" s="262"/>
      <c r="R454" s="262"/>
      <c r="S454" s="262"/>
      <c r="T454" s="262"/>
      <c r="U454" s="262"/>
      <c r="V454" s="262"/>
      <c r="W454" s="262"/>
      <c r="X454" s="574"/>
      <c r="Y454" s="262"/>
      <c r="Z454" s="574"/>
      <c r="AA454" s="577"/>
      <c r="AB454" s="577"/>
      <c r="AC454" s="577"/>
      <c r="AD454" s="262"/>
      <c r="AE454" s="262"/>
      <c r="AF454" s="262"/>
      <c r="AG454" s="262"/>
      <c r="AH454" s="262"/>
      <c r="AI454" s="262"/>
      <c r="AJ454" s="574" t="s">
        <v>4426</v>
      </c>
      <c r="AK454" s="1174"/>
      <c r="AL454" s="1174"/>
      <c r="AM454" s="1172">
        <f>+AO355</f>
        <v>0</v>
      </c>
      <c r="AN454" s="1172"/>
      <c r="AO454" s="1172"/>
      <c r="AP454" s="1173"/>
      <c r="AQ454" s="1173"/>
      <c r="AR454" s="1173"/>
      <c r="AS454" s="1173"/>
      <c r="AT454" s="1173"/>
      <c r="AU454" s="1173"/>
      <c r="AV454" s="262"/>
    </row>
    <row r="455" spans="1:48" s="587" customFormat="1" ht="18" customHeight="1" thickBot="1">
      <c r="A455" s="581"/>
      <c r="B455" s="581"/>
      <c r="C455" s="582" t="s">
        <v>4521</v>
      </c>
      <c r="D455" s="583"/>
      <c r="E455" s="583"/>
      <c r="F455" s="583"/>
      <c r="G455" s="583" t="str">
        <f>C443</f>
        <v>VALOR  COMERCIAL DEL INMUEBLE (VCI)</v>
      </c>
      <c r="H455" s="583"/>
      <c r="I455" s="583"/>
      <c r="J455" s="583"/>
      <c r="K455" s="583"/>
      <c r="L455" s="584"/>
      <c r="M455" s="583"/>
      <c r="N455" s="585"/>
      <c r="O455" s="585"/>
      <c r="P455" s="583"/>
      <c r="Q455" s="583"/>
      <c r="R455" s="583"/>
      <c r="S455" s="583"/>
      <c r="T455" s="583"/>
      <c r="U455" s="583"/>
      <c r="V455" s="583"/>
      <c r="W455" s="583"/>
      <c r="X455" s="583"/>
      <c r="Y455" s="583"/>
      <c r="Z455" s="583"/>
      <c r="AA455" s="583"/>
      <c r="AB455" s="583"/>
      <c r="AC455" s="583"/>
      <c r="AD455" s="583"/>
      <c r="AE455" s="583"/>
      <c r="AF455" s="583"/>
      <c r="AG455" s="583"/>
      <c r="AH455" s="584"/>
      <c r="AI455" s="583"/>
      <c r="AJ455" s="584" t="s">
        <v>4426</v>
      </c>
      <c r="AK455" s="1182"/>
      <c r="AL455" s="1182"/>
      <c r="AM455" s="1183">
        <f>ROUND(SUM(AM452:AU454),1)</f>
        <v>0</v>
      </c>
      <c r="AN455" s="1183"/>
      <c r="AO455" s="1183"/>
      <c r="AP455" s="1184"/>
      <c r="AQ455" s="1184"/>
      <c r="AR455" s="1184"/>
      <c r="AS455" s="1184"/>
      <c r="AT455" s="1184"/>
      <c r="AU455" s="1184"/>
      <c r="AV455" s="586"/>
    </row>
    <row r="456" spans="1:48" s="268" customFormat="1" ht="20.25" customHeight="1">
      <c r="A456" s="262"/>
      <c r="B456" s="262"/>
      <c r="C456" s="1185" t="str">
        <f>+CONCATENATE("SON: ",[4]!NumeLetras(AM455,"CON","DOLARES AMERICANOS",1))</f>
        <v>SON: CON 00/100 DOLARES AMERICANOS</v>
      </c>
      <c r="D456" s="1185"/>
      <c r="E456" s="1185"/>
      <c r="F456" s="1185"/>
      <c r="G456" s="1185"/>
      <c r="H456" s="1185"/>
      <c r="I456" s="1185"/>
      <c r="J456" s="1185"/>
      <c r="K456" s="1185"/>
      <c r="L456" s="1185"/>
      <c r="M456" s="1185"/>
      <c r="N456" s="1185"/>
      <c r="O456" s="1185"/>
      <c r="P456" s="1185"/>
      <c r="Q456" s="1185"/>
      <c r="R456" s="1185"/>
      <c r="S456" s="1185"/>
      <c r="T456" s="1185"/>
      <c r="U456" s="1173"/>
      <c r="V456" s="1173"/>
      <c r="W456" s="1173"/>
      <c r="X456" s="1173"/>
      <c r="Y456" s="1173"/>
      <c r="Z456" s="1173"/>
      <c r="AA456" s="1173"/>
      <c r="AB456" s="1173"/>
      <c r="AC456" s="1173"/>
      <c r="AD456" s="1173"/>
      <c r="AE456" s="1173"/>
      <c r="AF456" s="1173"/>
      <c r="AG456" s="1173"/>
      <c r="AH456" s="1173"/>
      <c r="AI456" s="1173"/>
      <c r="AJ456" s="1173"/>
      <c r="AK456" s="1173"/>
      <c r="AL456" s="1173"/>
      <c r="AM456" s="1173"/>
      <c r="AN456" s="1173"/>
      <c r="AO456" s="1173"/>
      <c r="AP456" s="1173"/>
      <c r="AQ456" s="1173"/>
      <c r="AR456" s="1173"/>
      <c r="AS456" s="1173"/>
      <c r="AT456" s="1173"/>
      <c r="AU456" s="1173"/>
      <c r="AV456" s="1173"/>
    </row>
    <row r="457" spans="1:48" s="268" customFormat="1" ht="30" customHeight="1">
      <c r="A457" s="1169">
        <f>1+A443</f>
        <v>2</v>
      </c>
      <c r="B457" s="1170"/>
      <c r="C457" s="589" t="s">
        <v>4583</v>
      </c>
      <c r="D457" s="590"/>
      <c r="E457" s="590"/>
      <c r="F457" s="590"/>
      <c r="G457" s="590"/>
      <c r="H457" s="590"/>
      <c r="I457" s="590"/>
      <c r="J457" s="590"/>
      <c r="K457" s="590"/>
      <c r="L457" s="590"/>
      <c r="M457" s="590"/>
      <c r="N457" s="590"/>
      <c r="O457" s="590"/>
      <c r="P457" s="590"/>
      <c r="Q457" s="590"/>
      <c r="R457" s="590"/>
      <c r="S457" s="590"/>
      <c r="T457" s="590"/>
      <c r="U457" s="590"/>
      <c r="V457" s="590"/>
      <c r="W457" s="590"/>
      <c r="X457" s="262"/>
      <c r="Y457" s="262"/>
      <c r="Z457" s="262"/>
      <c r="AA457" s="262"/>
      <c r="AB457" s="262"/>
      <c r="AC457" s="262"/>
      <c r="AD457" s="262"/>
      <c r="AE457" s="262"/>
      <c r="AF457" s="262"/>
      <c r="AG457" s="262"/>
      <c r="AH457" s="262"/>
      <c r="AI457" s="262"/>
      <c r="AJ457" s="262"/>
      <c r="AK457" s="262"/>
      <c r="AL457" s="262"/>
      <c r="AM457" s="262"/>
      <c r="AN457" s="262"/>
      <c r="AO457" s="262"/>
      <c r="AP457" s="262"/>
      <c r="AQ457" s="262"/>
      <c r="AR457" s="262"/>
      <c r="AS457" s="262"/>
      <c r="AT457" s="262"/>
      <c r="AU457" s="262"/>
      <c r="AV457" s="262"/>
    </row>
    <row r="458" spans="1:48" s="268" customFormat="1" ht="15" customHeight="1">
      <c r="A458" s="262"/>
      <c r="B458" s="262"/>
      <c r="C458" s="591" t="s">
        <v>4584</v>
      </c>
      <c r="D458" s="592"/>
      <c r="E458" s="592"/>
      <c r="F458" s="592"/>
      <c r="G458" s="592"/>
      <c r="H458" s="593"/>
      <c r="I458" s="593"/>
      <c r="J458" s="594"/>
      <c r="K458" s="592"/>
      <c r="L458" s="592"/>
      <c r="M458" s="592"/>
      <c r="N458" s="592"/>
      <c r="O458" s="592"/>
      <c r="P458" s="592"/>
      <c r="Q458" s="262"/>
      <c r="R458" s="262"/>
      <c r="S458" s="262"/>
      <c r="T458" s="262"/>
      <c r="U458" s="262"/>
      <c r="V458" s="262"/>
      <c r="W458" s="262"/>
      <c r="X458" s="262"/>
      <c r="Y458" s="262"/>
      <c r="Z458" s="262"/>
      <c r="AA458" s="262"/>
      <c r="AB458" s="262"/>
      <c r="AC458" s="262"/>
      <c r="AD458" s="262"/>
      <c r="AE458" s="262"/>
      <c r="AF458" s="262"/>
      <c r="AG458" s="262"/>
      <c r="AH458" s="262"/>
      <c r="AI458" s="262"/>
      <c r="AJ458" s="262"/>
      <c r="AK458" s="262"/>
      <c r="AL458" s="262"/>
      <c r="AM458" s="262"/>
      <c r="AN458" s="262"/>
      <c r="AO458" s="262"/>
      <c r="AP458" s="262"/>
      <c r="AQ458" s="262"/>
      <c r="AR458" s="262"/>
      <c r="AS458" s="262"/>
      <c r="AT458" s="262"/>
      <c r="AU458" s="262"/>
      <c r="AV458" s="262"/>
    </row>
    <row r="459" spans="1:48" s="268" customFormat="1" ht="15" customHeight="1">
      <c r="A459" s="262"/>
      <c r="B459" s="262"/>
      <c r="C459" s="262" t="s">
        <v>4585</v>
      </c>
      <c r="D459" s="262"/>
      <c r="E459" s="262"/>
      <c r="F459" s="262"/>
      <c r="G459" s="262"/>
      <c r="H459" s="595"/>
      <c r="I459" s="595"/>
      <c r="J459" s="595"/>
      <c r="K459" s="262"/>
      <c r="L459" s="262"/>
      <c r="M459" s="262"/>
      <c r="N459" s="262"/>
      <c r="O459" s="262"/>
      <c r="P459" s="262"/>
      <c r="Q459" s="262"/>
      <c r="R459" s="262"/>
      <c r="S459" s="262"/>
      <c r="T459" s="262"/>
      <c r="U459" s="262"/>
      <c r="V459" s="262"/>
      <c r="W459" s="262"/>
      <c r="X459" s="262"/>
      <c r="Y459" s="262"/>
      <c r="Z459" s="262"/>
      <c r="AA459" s="262"/>
      <c r="AB459" s="262"/>
      <c r="AC459" s="262"/>
      <c r="AD459" s="262"/>
      <c r="AE459" s="262"/>
      <c r="AF459" s="262"/>
      <c r="AG459" s="262"/>
      <c r="AH459" s="262"/>
      <c r="AI459" s="262"/>
      <c r="AJ459" s="262"/>
      <c r="AK459" s="262"/>
      <c r="AL459" s="262"/>
      <c r="AM459" s="262"/>
      <c r="AN459" s="262"/>
      <c r="AO459" s="262"/>
      <c r="AP459" s="262"/>
      <c r="AQ459" s="262"/>
      <c r="AR459" s="262"/>
      <c r="AS459" s="262"/>
      <c r="AT459" s="262"/>
      <c r="AU459" s="262"/>
      <c r="AV459" s="262"/>
    </row>
    <row r="460" spans="1:48" s="268" customFormat="1" ht="15" customHeight="1">
      <c r="A460" s="262"/>
      <c r="B460" s="262"/>
      <c r="C460" s="1177" t="s">
        <v>4586</v>
      </c>
      <c r="D460" s="1177"/>
      <c r="E460" s="262" t="s">
        <v>4587</v>
      </c>
      <c r="F460" s="262"/>
      <c r="G460" s="262"/>
      <c r="H460" s="595"/>
      <c r="I460" s="595"/>
      <c r="J460" s="595"/>
      <c r="K460" s="262"/>
      <c r="L460" s="262"/>
      <c r="M460" s="262"/>
      <c r="N460" s="262"/>
      <c r="O460" s="262"/>
      <c r="P460" s="262"/>
      <c r="Q460" s="262"/>
      <c r="R460" s="262"/>
      <c r="S460" s="262"/>
      <c r="T460" s="262"/>
      <c r="U460" s="262"/>
      <c r="V460" s="262"/>
      <c r="W460" s="262"/>
      <c r="X460" s="262"/>
      <c r="Y460" s="262"/>
      <c r="Z460" s="262"/>
      <c r="AA460" s="262"/>
      <c r="AB460" s="262"/>
      <c r="AC460" s="262"/>
      <c r="AD460" s="262"/>
      <c r="AE460" s="262"/>
      <c r="AF460" s="262"/>
      <c r="AG460" s="262"/>
      <c r="AH460" s="1178">
        <v>0.02</v>
      </c>
      <c r="AI460" s="1173"/>
      <c r="AJ460" s="1173"/>
      <c r="AK460" s="1173"/>
      <c r="AL460" s="1173"/>
      <c r="AM460" s="262"/>
      <c r="AN460" s="262"/>
      <c r="AO460" s="262"/>
      <c r="AP460" s="262"/>
      <c r="AQ460" s="262"/>
      <c r="AR460" s="262"/>
      <c r="AS460" s="262"/>
      <c r="AT460" s="262"/>
      <c r="AU460" s="262"/>
      <c r="AV460" s="262"/>
    </row>
    <row r="461" spans="1:48" s="268" customFormat="1" ht="12">
      <c r="A461" s="262"/>
      <c r="B461" s="262"/>
      <c r="C461" s="1177" t="s">
        <v>4586</v>
      </c>
      <c r="D461" s="1177"/>
      <c r="E461" s="262" t="s">
        <v>4588</v>
      </c>
      <c r="F461" s="262"/>
      <c r="G461" s="262"/>
      <c r="H461" s="595"/>
      <c r="I461" s="595"/>
      <c r="J461" s="595"/>
      <c r="K461" s="262"/>
      <c r="L461" s="262"/>
      <c r="M461" s="262"/>
      <c r="N461" s="262"/>
      <c r="O461" s="262"/>
      <c r="P461" s="262"/>
      <c r="Q461" s="262"/>
      <c r="R461" s="262"/>
      <c r="S461" s="262"/>
      <c r="T461" s="262"/>
      <c r="U461" s="262"/>
      <c r="V461" s="262"/>
      <c r="W461" s="262"/>
      <c r="X461" s="262"/>
      <c r="Y461" s="262"/>
      <c r="Z461" s="262"/>
      <c r="AA461" s="262"/>
      <c r="AB461" s="262"/>
      <c r="AC461" s="262"/>
      <c r="AD461" s="262"/>
      <c r="AE461" s="262"/>
      <c r="AF461" s="262"/>
      <c r="AG461" s="262"/>
      <c r="AH461" s="1178">
        <v>2E-3</v>
      </c>
      <c r="AI461" s="1173"/>
      <c r="AJ461" s="1173"/>
      <c r="AK461" s="1173"/>
      <c r="AL461" s="1173"/>
      <c r="AM461" s="262"/>
      <c r="AN461" s="262"/>
      <c r="AO461" s="262"/>
      <c r="AP461" s="262"/>
      <c r="AQ461" s="262"/>
      <c r="AR461" s="262"/>
      <c r="AS461" s="262"/>
      <c r="AT461" s="262"/>
      <c r="AU461" s="262"/>
      <c r="AV461" s="262"/>
    </row>
    <row r="462" spans="1:48" s="268" customFormat="1" ht="12">
      <c r="A462" s="262"/>
      <c r="B462" s="262"/>
      <c r="C462" s="1177" t="s">
        <v>4586</v>
      </c>
      <c r="D462" s="1177"/>
      <c r="E462" s="262" t="s">
        <v>4589</v>
      </c>
      <c r="F462" s="262"/>
      <c r="G462" s="262"/>
      <c r="H462" s="596"/>
      <c r="I462" s="262"/>
      <c r="J462" s="595"/>
      <c r="K462" s="262"/>
      <c r="L462" s="262"/>
      <c r="M462" s="262"/>
      <c r="N462" s="262"/>
      <c r="O462" s="262"/>
      <c r="P462" s="262"/>
      <c r="Q462" s="262"/>
      <c r="R462" s="262"/>
      <c r="S462" s="262"/>
      <c r="T462" s="262"/>
      <c r="U462" s="262"/>
      <c r="V462" s="262"/>
      <c r="W462" s="262"/>
      <c r="X462" s="262"/>
      <c r="Y462" s="262"/>
      <c r="Z462" s="262"/>
      <c r="AA462" s="262"/>
      <c r="AB462" s="262"/>
      <c r="AC462" s="262"/>
      <c r="AD462" s="262"/>
      <c r="AE462" s="262"/>
      <c r="AF462" s="262"/>
      <c r="AG462" s="262"/>
      <c r="AH462" s="1178">
        <v>0.04</v>
      </c>
      <c r="AI462" s="1173"/>
      <c r="AJ462" s="1173"/>
      <c r="AK462" s="1173"/>
      <c r="AL462" s="1173"/>
      <c r="AM462" s="262"/>
      <c r="AN462" s="262"/>
      <c r="AO462" s="262"/>
      <c r="AP462" s="262"/>
      <c r="AQ462" s="262"/>
      <c r="AR462" s="262"/>
      <c r="AS462" s="262"/>
      <c r="AT462" s="262"/>
      <c r="AU462" s="262"/>
      <c r="AV462" s="262"/>
    </row>
    <row r="463" spans="1:48" s="268" customFormat="1" ht="12">
      <c r="A463" s="262"/>
      <c r="B463" s="262"/>
      <c r="C463" s="1177" t="s">
        <v>4586</v>
      </c>
      <c r="D463" s="1177"/>
      <c r="E463" s="262" t="s">
        <v>4590</v>
      </c>
      <c r="F463" s="262"/>
      <c r="G463" s="262"/>
      <c r="H463" s="596"/>
      <c r="I463" s="262"/>
      <c r="J463" s="595"/>
      <c r="K463" s="262"/>
      <c r="L463" s="262"/>
      <c r="M463" s="262"/>
      <c r="N463" s="262"/>
      <c r="O463" s="262"/>
      <c r="P463" s="262"/>
      <c r="Q463" s="262"/>
      <c r="R463" s="262"/>
      <c r="S463" s="262"/>
      <c r="T463" s="262"/>
      <c r="U463" s="262"/>
      <c r="V463" s="262"/>
      <c r="W463" s="262"/>
      <c r="X463" s="262"/>
      <c r="Y463" s="262"/>
      <c r="Z463" s="262"/>
      <c r="AA463" s="262"/>
      <c r="AB463" s="262"/>
      <c r="AC463" s="262"/>
      <c r="AD463" s="262"/>
      <c r="AE463" s="262"/>
      <c r="AF463" s="262"/>
      <c r="AG463" s="262"/>
      <c r="AH463" s="1178">
        <v>0.02</v>
      </c>
      <c r="AI463" s="1173"/>
      <c r="AJ463" s="1173"/>
      <c r="AK463" s="1173"/>
      <c r="AL463" s="1173"/>
      <c r="AM463" s="262"/>
      <c r="AN463" s="262"/>
      <c r="AO463" s="262"/>
      <c r="AP463" s="262"/>
      <c r="AQ463" s="262"/>
      <c r="AR463" s="262"/>
      <c r="AS463" s="262"/>
      <c r="AT463" s="262"/>
      <c r="AU463" s="262"/>
      <c r="AV463" s="262"/>
    </row>
    <row r="464" spans="1:48" s="268" customFormat="1" ht="12">
      <c r="A464" s="262"/>
      <c r="B464" s="262"/>
      <c r="C464" s="1177" t="s">
        <v>4586</v>
      </c>
      <c r="D464" s="1177"/>
      <c r="E464" s="262" t="s">
        <v>4591</v>
      </c>
      <c r="F464" s="262"/>
      <c r="G464" s="262"/>
      <c r="H464" s="596"/>
      <c r="I464" s="262"/>
      <c r="J464" s="595"/>
      <c r="K464" s="262"/>
      <c r="L464" s="262"/>
      <c r="M464" s="262"/>
      <c r="N464" s="262"/>
      <c r="O464" s="262"/>
      <c r="P464" s="262"/>
      <c r="Q464" s="262"/>
      <c r="R464" s="262"/>
      <c r="S464" s="262"/>
      <c r="T464" s="262"/>
      <c r="U464" s="262"/>
      <c r="V464" s="262"/>
      <c r="W464" s="262"/>
      <c r="X464" s="262"/>
      <c r="Y464" s="262"/>
      <c r="Z464" s="262"/>
      <c r="AA464" s="262"/>
      <c r="AB464" s="262"/>
      <c r="AC464" s="262"/>
      <c r="AD464" s="262"/>
      <c r="AE464" s="262"/>
      <c r="AF464" s="262"/>
      <c r="AG464" s="262"/>
      <c r="AH464" s="1178">
        <f>+AH465-AH460-AH461-AH462-AH463</f>
        <v>0.11800000000000001</v>
      </c>
      <c r="AI464" s="1173"/>
      <c r="AJ464" s="1173"/>
      <c r="AK464" s="1173"/>
      <c r="AL464" s="1173"/>
      <c r="AM464" s="262"/>
      <c r="AN464" s="262"/>
      <c r="AO464" s="262"/>
      <c r="AP464" s="262"/>
      <c r="AQ464" s="262"/>
      <c r="AR464" s="262"/>
      <c r="AS464" s="262"/>
      <c r="AT464" s="262"/>
      <c r="AU464" s="262"/>
      <c r="AV464" s="262"/>
    </row>
    <row r="465" spans="1:48" s="268" customFormat="1" thickBot="1">
      <c r="A465" s="262"/>
      <c r="B465" s="262"/>
      <c r="C465" s="597" t="s">
        <v>4592</v>
      </c>
      <c r="D465" s="598"/>
      <c r="E465" s="598"/>
      <c r="F465" s="598"/>
      <c r="G465" s="598"/>
      <c r="H465" s="599"/>
      <c r="I465" s="598"/>
      <c r="J465" s="600"/>
      <c r="K465" s="598"/>
      <c r="L465" s="598"/>
      <c r="M465" s="598"/>
      <c r="N465" s="598"/>
      <c r="O465" s="598"/>
      <c r="P465" s="598"/>
      <c r="Q465" s="598"/>
      <c r="R465" s="598"/>
      <c r="S465" s="598"/>
      <c r="T465" s="598"/>
      <c r="U465" s="598"/>
      <c r="V465" s="598"/>
      <c r="W465" s="598"/>
      <c r="X465" s="598"/>
      <c r="Y465" s="598"/>
      <c r="Z465" s="598"/>
      <c r="AA465" s="598"/>
      <c r="AB465" s="598"/>
      <c r="AC465" s="598"/>
      <c r="AD465" s="598"/>
      <c r="AE465" s="598"/>
      <c r="AF465" s="598"/>
      <c r="AG465" s="598"/>
      <c r="AH465" s="1179">
        <v>0.2</v>
      </c>
      <c r="AI465" s="1180"/>
      <c r="AJ465" s="1180"/>
      <c r="AK465" s="1180"/>
      <c r="AL465" s="1180"/>
      <c r="AM465" s="262"/>
      <c r="AN465" s="262"/>
      <c r="AO465" s="262"/>
      <c r="AP465" s="262"/>
      <c r="AQ465" s="262"/>
      <c r="AR465" s="262"/>
      <c r="AS465" s="262"/>
      <c r="AT465" s="262"/>
      <c r="AU465" s="262"/>
      <c r="AV465" s="262"/>
    </row>
    <row r="466" spans="1:48" s="268" customFormat="1" thickTop="1">
      <c r="A466" s="262"/>
      <c r="B466" s="262"/>
      <c r="C466" s="262" t="s">
        <v>4593</v>
      </c>
      <c r="D466" s="262"/>
      <c r="E466" s="262"/>
      <c r="F466" s="262"/>
      <c r="G466" s="262"/>
      <c r="H466" s="262"/>
      <c r="I466" s="1181">
        <f>100%-AH465</f>
        <v>0.8</v>
      </c>
      <c r="J466" s="1173"/>
      <c r="K466" s="1173"/>
      <c r="L466" s="1173"/>
      <c r="M466" s="1173"/>
      <c r="N466" s="262" t="s">
        <v>4594</v>
      </c>
      <c r="O466" s="262"/>
      <c r="P466" s="262"/>
      <c r="Q466" s="262"/>
      <c r="R466" s="262"/>
      <c r="S466" s="262"/>
      <c r="T466" s="262"/>
      <c r="U466" s="262"/>
      <c r="V466" s="262"/>
      <c r="W466" s="262"/>
      <c r="X466" s="262"/>
      <c r="Y466" s="262"/>
      <c r="Z466" s="262"/>
      <c r="AA466" s="262"/>
      <c r="AB466" s="262"/>
      <c r="AC466" s="262"/>
      <c r="AD466" s="262"/>
      <c r="AE466" s="262"/>
      <c r="AF466" s="262"/>
      <c r="AG466" s="262"/>
      <c r="AH466" s="262"/>
      <c r="AI466" s="262"/>
      <c r="AJ466" s="262"/>
      <c r="AK466" s="262"/>
      <c r="AL466" s="262"/>
      <c r="AM466" s="262"/>
      <c r="AN466" s="262"/>
      <c r="AO466" s="262"/>
      <c r="AP466" s="262"/>
      <c r="AQ466" s="262"/>
      <c r="AR466" s="262"/>
      <c r="AS466" s="262"/>
      <c r="AT466" s="262"/>
      <c r="AU466" s="262"/>
      <c r="AV466" s="262"/>
    </row>
    <row r="467" spans="1:48" s="268" customFormat="1" ht="15" hidden="1" customHeight="1">
      <c r="A467" s="262"/>
      <c r="B467" s="262"/>
      <c r="C467" s="571" t="str">
        <f>+UPPER(C179)</f>
        <v>PRIMER PISO</v>
      </c>
      <c r="D467" s="262"/>
      <c r="E467" s="262"/>
      <c r="F467" s="262"/>
      <c r="G467" s="262"/>
      <c r="H467" s="262"/>
      <c r="I467" s="601"/>
      <c r="J467" s="262"/>
      <c r="K467" s="262"/>
      <c r="L467" s="262"/>
      <c r="M467" s="262"/>
      <c r="N467" s="262"/>
      <c r="O467" s="262"/>
      <c r="P467" s="262"/>
      <c r="Q467" s="262"/>
      <c r="R467" s="262"/>
      <c r="S467" s="262"/>
      <c r="T467" s="262"/>
      <c r="U467" s="262"/>
      <c r="V467" s="262"/>
      <c r="W467" s="262"/>
      <c r="X467" s="262"/>
      <c r="Y467" s="262"/>
      <c r="Z467" s="262"/>
      <c r="AA467" s="262"/>
      <c r="AB467" s="262"/>
      <c r="AC467" s="262"/>
      <c r="AD467" s="262"/>
      <c r="AE467" s="262"/>
      <c r="AF467" s="262"/>
      <c r="AG467" s="262"/>
      <c r="AH467" s="262"/>
      <c r="AI467" s="262"/>
      <c r="AJ467" s="262"/>
      <c r="AK467" s="262"/>
      <c r="AL467" s="262"/>
      <c r="AM467" s="262"/>
      <c r="AN467" s="262"/>
      <c r="AO467" s="262"/>
      <c r="AP467" s="262"/>
      <c r="AQ467" s="262"/>
      <c r="AR467" s="262"/>
      <c r="AS467" s="262"/>
      <c r="AT467" s="262"/>
      <c r="AU467" s="262"/>
      <c r="AV467" s="262"/>
    </row>
    <row r="468" spans="1:48" s="268" customFormat="1" ht="13.5" customHeight="1">
      <c r="A468" s="262"/>
      <c r="B468" s="262"/>
      <c r="C468" s="262" t="str">
        <f>+C466</f>
        <v>VRA        =</v>
      </c>
      <c r="D468" s="262"/>
      <c r="E468" s="262"/>
      <c r="F468" s="262"/>
      <c r="G468" s="262"/>
      <c r="H468" s="262"/>
      <c r="I468" s="1181">
        <f>+I466</f>
        <v>0.8</v>
      </c>
      <c r="J468" s="1173"/>
      <c r="K468" s="1173"/>
      <c r="L468" s="1173"/>
      <c r="M468" s="1173"/>
      <c r="N468" s="1188">
        <f>+AM452</f>
        <v>0</v>
      </c>
      <c r="O468" s="1173"/>
      <c r="P468" s="1173"/>
      <c r="Q468" s="1173"/>
      <c r="R468" s="1173"/>
      <c r="S468" s="1173"/>
      <c r="T468" s="1173"/>
      <c r="U468" s="1173"/>
      <c r="V468" s="1173"/>
      <c r="W468" s="262"/>
      <c r="X468" s="262" t="s">
        <v>4595</v>
      </c>
      <c r="Y468" s="262"/>
      <c r="Z468" s="262"/>
      <c r="AA468" s="262"/>
      <c r="AB468" s="262"/>
      <c r="AC468" s="262"/>
      <c r="AD468" s="262"/>
      <c r="AE468" s="262"/>
      <c r="AF468" s="262"/>
      <c r="AG468" s="262"/>
      <c r="AH468" s="262"/>
      <c r="AI468" s="262"/>
      <c r="AJ468" s="262" t="s">
        <v>4426</v>
      </c>
      <c r="AK468" s="262"/>
      <c r="AL468" s="262"/>
      <c r="AM468" s="1189">
        <f>ROUND(I468*N468,1)</f>
        <v>0</v>
      </c>
      <c r="AN468" s="1189"/>
      <c r="AO468" s="1189"/>
      <c r="AP468" s="1190"/>
      <c r="AQ468" s="1190"/>
      <c r="AR468" s="1190"/>
      <c r="AS468" s="1190"/>
      <c r="AT468" s="1190"/>
      <c r="AU468" s="1190"/>
      <c r="AV468" s="262"/>
    </row>
    <row r="469" spans="1:48" s="268" customFormat="1" ht="13.5" hidden="1" customHeight="1">
      <c r="A469" s="262"/>
      <c r="B469" s="262"/>
      <c r="C469" s="571" t="str">
        <f>+UPPER(C183)</f>
        <v>ESTACIONAMIENTO Nº..</v>
      </c>
      <c r="D469" s="262"/>
      <c r="E469" s="262"/>
      <c r="F469" s="262"/>
      <c r="G469" s="262"/>
      <c r="H469" s="262"/>
      <c r="I469" s="601"/>
      <c r="J469" s="262"/>
      <c r="K469" s="262"/>
      <c r="L469" s="262"/>
      <c r="M469" s="262"/>
      <c r="N469" s="262"/>
      <c r="O469" s="262"/>
      <c r="P469" s="262"/>
      <c r="Q469" s="262"/>
      <c r="R469" s="262"/>
      <c r="S469" s="262"/>
      <c r="T469" s="262"/>
      <c r="U469" s="262"/>
      <c r="V469" s="262"/>
      <c r="W469" s="262"/>
      <c r="X469" s="262"/>
      <c r="Y469" s="262"/>
      <c r="Z469" s="262"/>
      <c r="AA469" s="262"/>
      <c r="AB469" s="262"/>
      <c r="AC469" s="262"/>
      <c r="AD469" s="262"/>
      <c r="AE469" s="262"/>
      <c r="AF469" s="262"/>
      <c r="AG469" s="262"/>
      <c r="AH469" s="262"/>
      <c r="AI469" s="262"/>
      <c r="AJ469" s="262"/>
      <c r="AK469" s="262"/>
      <c r="AL469" s="262"/>
      <c r="AM469" s="262"/>
      <c r="AN469" s="262"/>
      <c r="AO469" s="262"/>
      <c r="AP469" s="262"/>
      <c r="AQ469" s="262"/>
      <c r="AR469" s="262"/>
      <c r="AS469" s="262"/>
      <c r="AT469" s="262"/>
      <c r="AU469" s="262"/>
      <c r="AV469" s="262"/>
    </row>
    <row r="470" spans="1:48" s="268" customFormat="1" ht="13.5" hidden="1" customHeight="1">
      <c r="A470" s="262"/>
      <c r="B470" s="262"/>
      <c r="C470" s="262" t="str">
        <f>+C468</f>
        <v>VRA        =</v>
      </c>
      <c r="D470" s="262"/>
      <c r="E470" s="262"/>
      <c r="F470" s="262"/>
      <c r="G470" s="262"/>
      <c r="H470" s="262"/>
      <c r="I470" s="1181">
        <f>+I468</f>
        <v>0.8</v>
      </c>
      <c r="J470" s="1173"/>
      <c r="K470" s="1173"/>
      <c r="L470" s="1173"/>
      <c r="M470" s="1173"/>
      <c r="N470" s="1188">
        <f>+AM453</f>
        <v>0</v>
      </c>
      <c r="O470" s="1173"/>
      <c r="P470" s="1173"/>
      <c r="Q470" s="1173"/>
      <c r="R470" s="1173"/>
      <c r="S470" s="1173"/>
      <c r="T470" s="1173"/>
      <c r="U470" s="1173"/>
      <c r="V470" s="1173"/>
      <c r="W470" s="262"/>
      <c r="X470" s="262" t="s">
        <v>4595</v>
      </c>
      <c r="Y470" s="262"/>
      <c r="Z470" s="262"/>
      <c r="AA470" s="262"/>
      <c r="AB470" s="262"/>
      <c r="AC470" s="262"/>
      <c r="AD470" s="262"/>
      <c r="AE470" s="262"/>
      <c r="AF470" s="262"/>
      <c r="AG470" s="262"/>
      <c r="AH470" s="262"/>
      <c r="AI470" s="262"/>
      <c r="AJ470" s="262" t="s">
        <v>4426</v>
      </c>
      <c r="AK470" s="262"/>
      <c r="AL470" s="262"/>
      <c r="AM470" s="1189">
        <f>ROUND(I470*N470,1)</f>
        <v>0</v>
      </c>
      <c r="AN470" s="1189"/>
      <c r="AO470" s="1189"/>
      <c r="AP470" s="1190"/>
      <c r="AQ470" s="1190"/>
      <c r="AR470" s="1190"/>
      <c r="AS470" s="1190"/>
      <c r="AT470" s="1190"/>
      <c r="AU470" s="1190"/>
      <c r="AV470" s="262"/>
    </row>
    <row r="471" spans="1:48" s="268" customFormat="1" ht="13.5" hidden="1" customHeight="1">
      <c r="A471" s="262"/>
      <c r="B471" s="262"/>
      <c r="C471" s="571" t="str">
        <f>+UPPER(C184)</f>
        <v>DEPÓSITO Nº …</v>
      </c>
      <c r="D471" s="262"/>
      <c r="E471" s="262"/>
      <c r="F471" s="262"/>
      <c r="G471" s="262"/>
      <c r="H471" s="262"/>
      <c r="I471" s="601"/>
      <c r="J471" s="262"/>
      <c r="K471" s="262"/>
      <c r="L471" s="262"/>
      <c r="M471" s="262"/>
      <c r="N471" s="262"/>
      <c r="O471" s="262"/>
      <c r="P471" s="262"/>
      <c r="Q471" s="262"/>
      <c r="R471" s="262"/>
      <c r="S471" s="262"/>
      <c r="T471" s="262"/>
      <c r="U471" s="262"/>
      <c r="V471" s="262"/>
      <c r="W471" s="262"/>
      <c r="X471" s="262"/>
      <c r="Y471" s="262"/>
      <c r="Z471" s="262"/>
      <c r="AA471" s="262"/>
      <c r="AB471" s="262"/>
      <c r="AC471" s="262"/>
      <c r="AD471" s="262"/>
      <c r="AE471" s="262"/>
      <c r="AF471" s="262"/>
      <c r="AG471" s="262"/>
      <c r="AH471" s="262"/>
      <c r="AI471" s="262"/>
      <c r="AJ471" s="262"/>
      <c r="AK471" s="262"/>
      <c r="AL471" s="262"/>
      <c r="AM471" s="262"/>
      <c r="AN471" s="262"/>
      <c r="AO471" s="262"/>
      <c r="AP471" s="262"/>
      <c r="AQ471" s="262"/>
      <c r="AR471" s="262"/>
      <c r="AS471" s="262"/>
      <c r="AT471" s="262"/>
      <c r="AU471" s="262"/>
      <c r="AV471" s="262"/>
    </row>
    <row r="472" spans="1:48" s="268" customFormat="1" ht="13.5" hidden="1" customHeight="1">
      <c r="A472" s="262"/>
      <c r="B472" s="262"/>
      <c r="C472" s="262" t="str">
        <f>+C470</f>
        <v>VRA        =</v>
      </c>
      <c r="D472" s="262"/>
      <c r="E472" s="262"/>
      <c r="F472" s="262"/>
      <c r="G472" s="262"/>
      <c r="H472" s="262"/>
      <c r="I472" s="1181">
        <f>+I470</f>
        <v>0.8</v>
      </c>
      <c r="J472" s="1173"/>
      <c r="K472" s="1173"/>
      <c r="L472" s="1173"/>
      <c r="M472" s="1173"/>
      <c r="N472" s="1188">
        <f>+AM454</f>
        <v>0</v>
      </c>
      <c r="O472" s="1173"/>
      <c r="P472" s="1173"/>
      <c r="Q472" s="1173"/>
      <c r="R472" s="1173"/>
      <c r="S472" s="1173"/>
      <c r="T472" s="1173"/>
      <c r="U472" s="1173"/>
      <c r="V472" s="1173"/>
      <c r="W472" s="262"/>
      <c r="X472" s="262" t="s">
        <v>4595</v>
      </c>
      <c r="Y472" s="262"/>
      <c r="Z472" s="262"/>
      <c r="AA472" s="262"/>
      <c r="AB472" s="262"/>
      <c r="AC472" s="262"/>
      <c r="AD472" s="262"/>
      <c r="AE472" s="262"/>
      <c r="AF472" s="262"/>
      <c r="AG472" s="262"/>
      <c r="AH472" s="262"/>
      <c r="AI472" s="262"/>
      <c r="AJ472" s="262" t="s">
        <v>4426</v>
      </c>
      <c r="AK472" s="262"/>
      <c r="AL472" s="262"/>
      <c r="AM472" s="1189">
        <f>ROUND(I472*N472,1)</f>
        <v>0</v>
      </c>
      <c r="AN472" s="1189"/>
      <c r="AO472" s="1189"/>
      <c r="AP472" s="1190"/>
      <c r="AQ472" s="1190"/>
      <c r="AR472" s="1190"/>
      <c r="AS472" s="1190"/>
      <c r="AT472" s="1190"/>
      <c r="AU472" s="1190"/>
      <c r="AV472" s="262"/>
    </row>
    <row r="473" spans="1:48" s="587" customFormat="1" ht="18" customHeight="1" thickBot="1">
      <c r="A473" s="581"/>
      <c r="B473" s="581"/>
      <c r="C473" s="602" t="s">
        <v>4521</v>
      </c>
      <c r="D473" s="603"/>
      <c r="E473" s="603"/>
      <c r="F473" s="603"/>
      <c r="G473" s="603" t="str">
        <f>+C457</f>
        <v>VALOR DE REALIZACIÓN AUTOMÁTICA (VRA)</v>
      </c>
      <c r="H473" s="603"/>
      <c r="I473" s="603"/>
      <c r="J473" s="603"/>
      <c r="K473" s="603"/>
      <c r="L473" s="604"/>
      <c r="M473" s="603"/>
      <c r="N473" s="605"/>
      <c r="O473" s="605"/>
      <c r="P473" s="605"/>
      <c r="Q473" s="605"/>
      <c r="R473" s="605"/>
      <c r="S473" s="605"/>
      <c r="T473" s="605"/>
      <c r="U473" s="605"/>
      <c r="V473" s="605"/>
      <c r="W473" s="605"/>
      <c r="X473" s="605"/>
      <c r="Y473" s="605"/>
      <c r="Z473" s="605"/>
      <c r="AA473" s="605"/>
      <c r="AB473" s="605"/>
      <c r="AC473" s="605"/>
      <c r="AD473" s="605"/>
      <c r="AE473" s="605"/>
      <c r="AF473" s="605"/>
      <c r="AG473" s="605"/>
      <c r="AH473" s="605"/>
      <c r="AI473" s="606"/>
      <c r="AJ473" s="606" t="s">
        <v>4426</v>
      </c>
      <c r="AK473" s="1191"/>
      <c r="AL473" s="1192"/>
      <c r="AM473" s="1193">
        <f>ROUND(SUM(AM468:AU472),1)</f>
        <v>0</v>
      </c>
      <c r="AN473" s="1193"/>
      <c r="AO473" s="1193"/>
      <c r="AP473" s="1194"/>
      <c r="AQ473" s="1194"/>
      <c r="AR473" s="1194"/>
      <c r="AS473" s="1194"/>
      <c r="AT473" s="1194"/>
      <c r="AU473" s="1194"/>
      <c r="AV473" s="607"/>
    </row>
    <row r="474" spans="1:48" s="268" customFormat="1" ht="26.25" customHeight="1">
      <c r="A474" s="262"/>
      <c r="B474" s="262"/>
      <c r="C474" s="1185" t="str">
        <f>+CONCATENATE("SON: ",[4]!NumeLetras(AM473,"CON","DOLARES AMERICANOS",1))</f>
        <v>SON: CON 00/100 DOLARES AMERICANOS</v>
      </c>
      <c r="D474" s="1185"/>
      <c r="E474" s="1185"/>
      <c r="F474" s="1185"/>
      <c r="G474" s="1185"/>
      <c r="H474" s="1185"/>
      <c r="I474" s="1185"/>
      <c r="J474" s="1185"/>
      <c r="K474" s="1185"/>
      <c r="L474" s="1185"/>
      <c r="M474" s="1185"/>
      <c r="N474" s="1185"/>
      <c r="O474" s="1185"/>
      <c r="P474" s="1185"/>
      <c r="Q474" s="1185"/>
      <c r="R474" s="1185"/>
      <c r="S474" s="1185"/>
      <c r="T474" s="1185"/>
      <c r="U474" s="1173"/>
      <c r="V474" s="1173"/>
      <c r="W474" s="1173"/>
      <c r="X474" s="1173"/>
      <c r="Y474" s="1173"/>
      <c r="Z474" s="1173"/>
      <c r="AA474" s="1173"/>
      <c r="AB474" s="1173"/>
      <c r="AC474" s="1173"/>
      <c r="AD474" s="1173"/>
      <c r="AE474" s="1173"/>
      <c r="AF474" s="1173"/>
      <c r="AG474" s="1173"/>
      <c r="AH474" s="1173"/>
      <c r="AI474" s="1173"/>
      <c r="AJ474" s="1173"/>
      <c r="AK474" s="1173"/>
      <c r="AL474" s="1173"/>
      <c r="AM474" s="1173"/>
      <c r="AN474" s="1173"/>
      <c r="AO474" s="1173"/>
      <c r="AP474" s="1173"/>
      <c r="AQ474" s="1173"/>
      <c r="AR474" s="1173"/>
      <c r="AS474" s="1173"/>
      <c r="AT474" s="1173"/>
      <c r="AU474" s="1173"/>
      <c r="AV474" s="1173"/>
    </row>
    <row r="475" spans="1:48" s="572" customFormat="1" ht="20.100000000000001" customHeight="1">
      <c r="A475" s="1169">
        <v>3</v>
      </c>
      <c r="B475" s="1170"/>
      <c r="C475" s="608" t="s">
        <v>4596</v>
      </c>
      <c r="D475" s="609"/>
      <c r="E475" s="609"/>
      <c r="F475" s="609"/>
      <c r="G475" s="609"/>
      <c r="H475" s="609"/>
      <c r="I475" s="609"/>
      <c r="J475" s="609"/>
      <c r="K475" s="609"/>
      <c r="L475" s="609"/>
      <c r="M475" s="608"/>
      <c r="N475" s="609"/>
      <c r="O475" s="609"/>
      <c r="P475" s="609"/>
      <c r="Q475" s="609"/>
      <c r="R475" s="609"/>
      <c r="S475" s="609"/>
      <c r="T475" s="609"/>
      <c r="U475" s="609"/>
      <c r="V475" s="571"/>
      <c r="W475" s="571"/>
      <c r="X475" s="571"/>
      <c r="Y475" s="571"/>
      <c r="Z475" s="571"/>
      <c r="AA475" s="571"/>
      <c r="AB475" s="571"/>
      <c r="AC475" s="571"/>
      <c r="AD475" s="571"/>
      <c r="AE475" s="571"/>
      <c r="AF475" s="571"/>
      <c r="AG475" s="571"/>
      <c r="AH475" s="571"/>
      <c r="AI475" s="571"/>
      <c r="AJ475" s="571"/>
      <c r="AK475" s="571"/>
      <c r="AL475" s="571"/>
      <c r="AM475" s="571"/>
      <c r="AN475" s="571"/>
      <c r="AO475" s="571"/>
      <c r="AP475" s="571"/>
      <c r="AQ475" s="571"/>
      <c r="AR475" s="571"/>
      <c r="AS475" s="571"/>
      <c r="AT475" s="571"/>
      <c r="AU475" s="571"/>
      <c r="AV475" s="571"/>
    </row>
    <row r="476" spans="1:48" s="268" customFormat="1" ht="12" customHeight="1">
      <c r="A476" s="262"/>
      <c r="B476" s="262"/>
      <c r="C476" s="1176" t="s">
        <v>4575</v>
      </c>
      <c r="D476" s="1173"/>
      <c r="E476" s="262" t="str">
        <f>+C359</f>
        <v>VALOR DE TERRENO</v>
      </c>
      <c r="F476" s="262"/>
      <c r="G476" s="262"/>
      <c r="H476" s="262"/>
      <c r="I476" s="262"/>
      <c r="J476" s="262"/>
      <c r="K476" s="262"/>
      <c r="L476" s="574"/>
      <c r="M476" s="262"/>
      <c r="N476" s="575"/>
      <c r="O476" s="575"/>
      <c r="P476" s="262"/>
      <c r="Q476" s="262"/>
      <c r="R476" s="262"/>
      <c r="S476" s="262"/>
      <c r="T476" s="262"/>
      <c r="U476" s="262"/>
      <c r="V476" s="262"/>
      <c r="W476" s="262"/>
      <c r="X476" s="262"/>
      <c r="Y476" s="262"/>
      <c r="Z476" s="262"/>
      <c r="AA476" s="262"/>
      <c r="AB476" s="262"/>
      <c r="AC476" s="262"/>
      <c r="AD476" s="262"/>
      <c r="AE476" s="262"/>
      <c r="AF476" s="262"/>
      <c r="AG476" s="262"/>
      <c r="AH476" s="574"/>
      <c r="AI476" s="262"/>
      <c r="AJ476" s="574" t="s">
        <v>4426</v>
      </c>
      <c r="AK476" s="1174"/>
      <c r="AL476" s="1174"/>
      <c r="AM476" s="1186">
        <v>0</v>
      </c>
      <c r="AN476" s="1186"/>
      <c r="AO476" s="1186"/>
      <c r="AP476" s="1187"/>
      <c r="AQ476" s="1187"/>
      <c r="AR476" s="1187"/>
      <c r="AS476" s="1187"/>
      <c r="AT476" s="1187"/>
      <c r="AU476" s="1187"/>
      <c r="AV476" s="262"/>
    </row>
    <row r="477" spans="1:48" s="268" customFormat="1" ht="12" customHeight="1">
      <c r="A477" s="262"/>
      <c r="B477" s="262"/>
      <c r="C477" s="573" t="s">
        <v>4576</v>
      </c>
      <c r="D477" s="262"/>
      <c r="E477" s="578" t="str">
        <f>+E446</f>
        <v>VALOR DE EDIFICACION</v>
      </c>
      <c r="F477" s="262"/>
      <c r="G477" s="262"/>
      <c r="H477" s="262"/>
      <c r="I477" s="262"/>
      <c r="J477" s="262"/>
      <c r="K477" s="262"/>
      <c r="L477" s="574"/>
      <c r="M477" s="262"/>
      <c r="N477" s="575"/>
      <c r="O477" s="575"/>
      <c r="P477" s="262"/>
      <c r="Q477" s="262"/>
      <c r="R477" s="262"/>
      <c r="S477" s="262"/>
      <c r="T477" s="262"/>
      <c r="U477" s="262"/>
      <c r="V477" s="262"/>
      <c r="W477" s="262"/>
      <c r="X477" s="262"/>
      <c r="Y477" s="262"/>
      <c r="Z477" s="262"/>
      <c r="AA477" s="262"/>
      <c r="AB477" s="262"/>
      <c r="AC477" s="262"/>
      <c r="AD477" s="262"/>
      <c r="AE477" s="262"/>
      <c r="AF477" s="262"/>
      <c r="AG477" s="262"/>
      <c r="AH477" s="574"/>
      <c r="AI477" s="262"/>
      <c r="AJ477" s="574" t="s">
        <v>4426</v>
      </c>
      <c r="AK477" s="1174"/>
      <c r="AL477" s="1174"/>
      <c r="AM477" s="1172">
        <f>+AO369</f>
        <v>0</v>
      </c>
      <c r="AN477" s="1172"/>
      <c r="AO477" s="1172"/>
      <c r="AP477" s="1173"/>
      <c r="AQ477" s="1173"/>
      <c r="AR477" s="1173"/>
      <c r="AS477" s="1173"/>
      <c r="AT477" s="1173"/>
      <c r="AU477" s="1173"/>
      <c r="AV477" s="262"/>
    </row>
    <row r="478" spans="1:48" s="268" customFormat="1" ht="12" customHeight="1">
      <c r="A478" s="262"/>
      <c r="B478" s="262"/>
      <c r="C478" s="573" t="s">
        <v>4581</v>
      </c>
      <c r="D478" s="262"/>
      <c r="E478" s="578" t="str">
        <f>+E447</f>
        <v>VALOR DE LAS AREAS COMUNES</v>
      </c>
      <c r="F478" s="262"/>
      <c r="G478" s="262"/>
      <c r="H478" s="262"/>
      <c r="I478" s="262"/>
      <c r="J478" s="262"/>
      <c r="K478" s="262"/>
      <c r="L478" s="574"/>
      <c r="M478" s="262"/>
      <c r="N478" s="575"/>
      <c r="O478" s="575"/>
      <c r="P478" s="262"/>
      <c r="Q478" s="262"/>
      <c r="R478" s="262"/>
      <c r="S478" s="262"/>
      <c r="T478" s="262"/>
      <c r="U478" s="262"/>
      <c r="V478" s="262"/>
      <c r="W478" s="262"/>
      <c r="X478" s="262"/>
      <c r="Y478" s="262"/>
      <c r="Z478" s="262"/>
      <c r="AA478" s="262"/>
      <c r="AB478" s="262"/>
      <c r="AC478" s="262"/>
      <c r="AD478" s="262"/>
      <c r="AE478" s="262"/>
      <c r="AF478" s="262"/>
      <c r="AG478" s="262"/>
      <c r="AH478" s="574"/>
      <c r="AI478" s="262"/>
      <c r="AJ478" s="574" t="s">
        <v>4426</v>
      </c>
      <c r="AK478" s="1174"/>
      <c r="AL478" s="1174"/>
      <c r="AM478" s="1172">
        <f>+AO372</f>
        <v>0</v>
      </c>
      <c r="AN478" s="1172"/>
      <c r="AO478" s="1172"/>
      <c r="AP478" s="1173"/>
      <c r="AQ478" s="1173"/>
      <c r="AR478" s="1173"/>
      <c r="AS478" s="1173"/>
      <c r="AT478" s="1173"/>
      <c r="AU478" s="1173"/>
      <c r="AV478" s="262"/>
    </row>
    <row r="479" spans="1:48" s="268" customFormat="1" ht="12" customHeight="1">
      <c r="A479" s="262"/>
      <c r="B479" s="262"/>
      <c r="C479" s="573" t="s">
        <v>4582</v>
      </c>
      <c r="D479" s="262"/>
      <c r="E479" s="578" t="str">
        <f>+C385</f>
        <v>VALOR  DE LAS OBRAS COMPLEMENTARIAS</v>
      </c>
      <c r="F479" s="262"/>
      <c r="G479" s="262"/>
      <c r="H479" s="262"/>
      <c r="I479" s="262"/>
      <c r="J479" s="262"/>
      <c r="K479" s="262"/>
      <c r="L479" s="574"/>
      <c r="M479" s="262"/>
      <c r="N479" s="575"/>
      <c r="O479" s="575"/>
      <c r="P479" s="262"/>
      <c r="Q479" s="262"/>
      <c r="R479" s="262"/>
      <c r="S479" s="262"/>
      <c r="T479" s="262"/>
      <c r="U479" s="262"/>
      <c r="V479" s="262"/>
      <c r="W479" s="262"/>
      <c r="X479" s="262"/>
      <c r="Y479" s="262"/>
      <c r="Z479" s="262"/>
      <c r="AA479" s="262"/>
      <c r="AB479" s="262"/>
      <c r="AC479" s="262"/>
      <c r="AD479" s="262"/>
      <c r="AE479" s="262"/>
      <c r="AF479" s="262"/>
      <c r="AG479" s="262"/>
      <c r="AH479" s="574"/>
      <c r="AI479" s="262"/>
      <c r="AJ479" s="574" t="s">
        <v>4426</v>
      </c>
      <c r="AK479" s="1174"/>
      <c r="AL479" s="1174"/>
      <c r="AM479" s="1209">
        <f>+AO385</f>
        <v>0</v>
      </c>
      <c r="AN479" s="1209"/>
      <c r="AO479" s="1209"/>
      <c r="AP479" s="1210"/>
      <c r="AQ479" s="1210"/>
      <c r="AR479" s="1210"/>
      <c r="AS479" s="1210"/>
      <c r="AT479" s="1210"/>
      <c r="AU479" s="1210"/>
      <c r="AV479" s="262"/>
    </row>
    <row r="480" spans="1:48" s="268" customFormat="1" ht="12" customHeight="1">
      <c r="A480" s="262"/>
      <c r="B480" s="262"/>
      <c r="C480" s="573"/>
      <c r="D480" s="262"/>
      <c r="E480" s="578" t="s">
        <v>4597</v>
      </c>
      <c r="F480" s="262"/>
      <c r="G480" s="262"/>
      <c r="H480" s="262"/>
      <c r="I480" s="262"/>
      <c r="J480" s="262"/>
      <c r="K480" s="262"/>
      <c r="L480" s="574"/>
      <c r="M480" s="262"/>
      <c r="N480" s="575"/>
      <c r="O480" s="575"/>
      <c r="P480" s="262"/>
      <c r="Q480" s="262"/>
      <c r="R480" s="262"/>
      <c r="S480" s="262"/>
      <c r="T480" s="262"/>
      <c r="U480" s="262"/>
      <c r="V480" s="262"/>
      <c r="W480" s="262"/>
      <c r="X480" s="262"/>
      <c r="Y480" s="262"/>
      <c r="Z480" s="262"/>
      <c r="AA480" s="262"/>
      <c r="AB480" s="262"/>
      <c r="AC480" s="262"/>
      <c r="AD480" s="262"/>
      <c r="AE480" s="262"/>
      <c r="AF480" s="262"/>
      <c r="AG480" s="262"/>
      <c r="AH480" s="574"/>
      <c r="AI480" s="262"/>
      <c r="AJ480" s="574" t="s">
        <v>4426</v>
      </c>
      <c r="AK480" s="1174"/>
      <c r="AL480" s="1174"/>
      <c r="AM480" s="1172">
        <f>SUM(AM476:AU479)</f>
        <v>0</v>
      </c>
      <c r="AN480" s="1172"/>
      <c r="AO480" s="1172"/>
      <c r="AP480" s="1173"/>
      <c r="AQ480" s="1173"/>
      <c r="AR480" s="1173"/>
      <c r="AS480" s="1173"/>
      <c r="AT480" s="1173"/>
      <c r="AU480" s="1173"/>
      <c r="AV480" s="262"/>
    </row>
    <row r="481" spans="1:48" s="268" customFormat="1" ht="12" hidden="1" customHeight="1">
      <c r="A481" s="262"/>
      <c r="B481" s="262"/>
      <c r="C481" s="573" t="s">
        <v>4598</v>
      </c>
      <c r="D481" s="262"/>
      <c r="E481" s="578" t="str">
        <f>+C395</f>
        <v>VALOR DEL ESTACIONAMIENTO Nº …</v>
      </c>
      <c r="F481" s="262"/>
      <c r="G481" s="262"/>
      <c r="H481" s="262"/>
      <c r="I481" s="262"/>
      <c r="J481" s="262"/>
      <c r="K481" s="262"/>
      <c r="L481" s="574"/>
      <c r="M481" s="262"/>
      <c r="N481" s="575"/>
      <c r="O481" s="575"/>
      <c r="P481" s="262"/>
      <c r="Q481" s="262"/>
      <c r="R481" s="262"/>
      <c r="S481" s="262"/>
      <c r="T481" s="262"/>
      <c r="U481" s="262"/>
      <c r="V481" s="262"/>
      <c r="W481" s="262"/>
      <c r="X481" s="262"/>
      <c r="Y481" s="262"/>
      <c r="Z481" s="262"/>
      <c r="AA481" s="262"/>
      <c r="AB481" s="262"/>
      <c r="AC481" s="262"/>
      <c r="AD481" s="262"/>
      <c r="AE481" s="262"/>
      <c r="AF481" s="262"/>
      <c r="AG481" s="262"/>
      <c r="AH481" s="574"/>
      <c r="AI481" s="262"/>
      <c r="AJ481" s="574" t="s">
        <v>4426</v>
      </c>
      <c r="AK481" s="1174"/>
      <c r="AL481" s="1174"/>
      <c r="AM481" s="1172">
        <f>+AO395</f>
        <v>0</v>
      </c>
      <c r="AN481" s="1172"/>
      <c r="AO481" s="1172"/>
      <c r="AP481" s="1173"/>
      <c r="AQ481" s="1173"/>
      <c r="AR481" s="1173"/>
      <c r="AS481" s="1173"/>
      <c r="AT481" s="1173"/>
      <c r="AU481" s="1173"/>
      <c r="AV481" s="262"/>
    </row>
    <row r="482" spans="1:48" s="268" customFormat="1" ht="12" hidden="1" customHeight="1">
      <c r="A482" s="262"/>
      <c r="B482" s="262"/>
      <c r="C482" s="573" t="s">
        <v>4599</v>
      </c>
      <c r="D482" s="262"/>
      <c r="E482" s="578" t="str">
        <f>+C396</f>
        <v>VALOR DEL DEPOSITO Nº ..</v>
      </c>
      <c r="F482" s="262"/>
      <c r="G482" s="262"/>
      <c r="H482" s="262"/>
      <c r="I482" s="262"/>
      <c r="J482" s="262"/>
      <c r="K482" s="262"/>
      <c r="L482" s="574"/>
      <c r="M482" s="262"/>
      <c r="N482" s="575"/>
      <c r="O482" s="575"/>
      <c r="P482" s="262"/>
      <c r="Q482" s="262"/>
      <c r="R482" s="262"/>
      <c r="S482" s="262"/>
      <c r="T482" s="262"/>
      <c r="U482" s="262"/>
      <c r="V482" s="262"/>
      <c r="W482" s="262"/>
      <c r="X482" s="262"/>
      <c r="Y482" s="262"/>
      <c r="Z482" s="262"/>
      <c r="AA482" s="262"/>
      <c r="AB482" s="262"/>
      <c r="AC482" s="262"/>
      <c r="AD482" s="262"/>
      <c r="AE482" s="262"/>
      <c r="AF482" s="262"/>
      <c r="AG482" s="262"/>
      <c r="AH482" s="574"/>
      <c r="AI482" s="262"/>
      <c r="AJ482" s="574" t="s">
        <v>4426</v>
      </c>
      <c r="AK482" s="1174"/>
      <c r="AL482" s="1174"/>
      <c r="AM482" s="1172">
        <f>+AO405</f>
        <v>0</v>
      </c>
      <c r="AN482" s="1172"/>
      <c r="AO482" s="1172"/>
      <c r="AP482" s="1173"/>
      <c r="AQ482" s="1173"/>
      <c r="AR482" s="1173"/>
      <c r="AS482" s="1173"/>
      <c r="AT482" s="1173"/>
      <c r="AU482" s="1173"/>
      <c r="AV482" s="262"/>
    </row>
    <row r="483" spans="1:48" s="587" customFormat="1" ht="18" customHeight="1" thickBot="1">
      <c r="A483" s="581"/>
      <c r="B483" s="581"/>
      <c r="C483" s="610" t="s">
        <v>4521</v>
      </c>
      <c r="D483" s="611"/>
      <c r="E483" s="611"/>
      <c r="F483" s="611"/>
      <c r="G483" s="611" t="str">
        <f>C475</f>
        <v>VALOR DEL IMPORTE ASEGURABLE (VIA)</v>
      </c>
      <c r="H483" s="611"/>
      <c r="I483" s="611"/>
      <c r="J483" s="611"/>
      <c r="K483" s="611"/>
      <c r="L483" s="612"/>
      <c r="M483" s="611"/>
      <c r="N483" s="613"/>
      <c r="O483" s="613"/>
      <c r="P483" s="611"/>
      <c r="Q483" s="611"/>
      <c r="R483" s="611"/>
      <c r="S483" s="611"/>
      <c r="T483" s="611"/>
      <c r="U483" s="611"/>
      <c r="V483" s="611"/>
      <c r="W483" s="611"/>
      <c r="X483" s="611"/>
      <c r="Y483" s="611"/>
      <c r="Z483" s="611"/>
      <c r="AA483" s="611"/>
      <c r="AB483" s="611"/>
      <c r="AC483" s="611"/>
      <c r="AD483" s="611"/>
      <c r="AE483" s="611"/>
      <c r="AF483" s="611"/>
      <c r="AG483" s="611"/>
      <c r="AH483" s="612"/>
      <c r="AI483" s="611"/>
      <c r="AJ483" s="612" t="s">
        <v>4426</v>
      </c>
      <c r="AK483" s="1206"/>
      <c r="AL483" s="1206"/>
      <c r="AM483" s="1207">
        <f>ROUND(SUM(AM480:AU482),1)</f>
        <v>0</v>
      </c>
      <c r="AN483" s="1207"/>
      <c r="AO483" s="1207"/>
      <c r="AP483" s="1208"/>
      <c r="AQ483" s="1208"/>
      <c r="AR483" s="1208"/>
      <c r="AS483" s="1208"/>
      <c r="AT483" s="1208"/>
      <c r="AU483" s="1208"/>
      <c r="AV483" s="614"/>
    </row>
    <row r="484" spans="1:48" s="268" customFormat="1" ht="27.75" customHeight="1">
      <c r="A484" s="262"/>
      <c r="B484" s="262"/>
      <c r="C484" s="1185" t="str">
        <f>+CONCATENATE("SON: ",[4]!NumeLetras(AM483,"CON","DOLARES AMERICANOS",1))</f>
        <v>SON: CON 00/100 DOLARES AMERICANOS</v>
      </c>
      <c r="D484" s="1185"/>
      <c r="E484" s="1185"/>
      <c r="F484" s="1185"/>
      <c r="G484" s="1185"/>
      <c r="H484" s="1185"/>
      <c r="I484" s="1185"/>
      <c r="J484" s="1185"/>
      <c r="K484" s="1185"/>
      <c r="L484" s="1185"/>
      <c r="M484" s="1185"/>
      <c r="N484" s="1185"/>
      <c r="O484" s="1185"/>
      <c r="P484" s="1185"/>
      <c r="Q484" s="1185"/>
      <c r="R484" s="1185"/>
      <c r="S484" s="1185"/>
      <c r="T484" s="1185"/>
      <c r="U484" s="1173"/>
      <c r="V484" s="1173"/>
      <c r="W484" s="1173"/>
      <c r="X484" s="1173"/>
      <c r="Y484" s="1173"/>
      <c r="Z484" s="1173"/>
      <c r="AA484" s="1173"/>
      <c r="AB484" s="1173"/>
      <c r="AC484" s="1173"/>
      <c r="AD484" s="1173"/>
      <c r="AE484" s="1173"/>
      <c r="AF484" s="1173"/>
      <c r="AG484" s="1173"/>
      <c r="AH484" s="1173"/>
      <c r="AI484" s="1173"/>
      <c r="AJ484" s="1173"/>
      <c r="AK484" s="1173"/>
      <c r="AL484" s="1173"/>
      <c r="AM484" s="1173"/>
      <c r="AN484" s="1173"/>
      <c r="AO484" s="1173"/>
      <c r="AP484" s="1173"/>
      <c r="AQ484" s="1173"/>
      <c r="AR484" s="1173"/>
      <c r="AS484" s="1173"/>
      <c r="AT484" s="1173"/>
      <c r="AU484" s="1173"/>
      <c r="AV484" s="1173"/>
    </row>
    <row r="485" spans="1:48" ht="30" hidden="1" customHeight="1">
      <c r="C485" s="261" t="s">
        <v>4407</v>
      </c>
      <c r="F485" s="1195">
        <f>+V99</f>
        <v>0</v>
      </c>
      <c r="G485" s="892"/>
      <c r="H485" s="892"/>
      <c r="I485" s="892"/>
      <c r="J485" s="892"/>
      <c r="K485" s="892"/>
      <c r="L485" s="892"/>
      <c r="M485" s="892"/>
      <c r="N485" s="739"/>
      <c r="O485" s="739"/>
      <c r="P485" s="739"/>
      <c r="Q485" s="739"/>
      <c r="R485" s="739"/>
      <c r="S485" s="739"/>
      <c r="T485" s="739"/>
      <c r="U485" s="739"/>
      <c r="V485" s="739"/>
      <c r="W485" s="739"/>
      <c r="X485" s="739"/>
      <c r="Y485" s="739"/>
      <c r="Z485" s="739"/>
      <c r="AA485" s="739"/>
      <c r="AB485" s="739"/>
      <c r="AC485" s="739"/>
      <c r="AD485" s="739"/>
      <c r="AE485" s="739"/>
      <c r="AF485" s="739"/>
      <c r="AG485" s="739"/>
      <c r="AH485" s="739"/>
      <c r="AI485" s="739"/>
      <c r="AJ485" s="739"/>
      <c r="AK485" s="739"/>
      <c r="AL485" s="739"/>
      <c r="AM485" s="739"/>
      <c r="AN485" s="739"/>
      <c r="AO485" s="739"/>
      <c r="AP485" s="739"/>
      <c r="AQ485" s="739"/>
      <c r="AR485" s="739"/>
      <c r="AS485" s="739"/>
      <c r="AT485" s="739"/>
      <c r="AU485" s="739"/>
      <c r="AV485" s="739"/>
    </row>
    <row r="486" spans="1:48" ht="80.25" hidden="1" customHeight="1">
      <c r="F486" s="615"/>
      <c r="G486" s="354"/>
      <c r="H486" s="354"/>
      <c r="I486" s="354"/>
      <c r="J486" s="354"/>
      <c r="K486" s="354"/>
      <c r="L486" s="354"/>
      <c r="M486" s="354"/>
    </row>
    <row r="487" spans="1:48" s="363" customFormat="1" ht="18.75" hidden="1" customHeight="1">
      <c r="A487" s="616" t="s">
        <v>4572</v>
      </c>
      <c r="B487" s="617"/>
      <c r="C487" s="1196" t="s">
        <v>4600</v>
      </c>
      <c r="D487" s="1197"/>
      <c r="E487" s="1197"/>
      <c r="F487" s="1197"/>
      <c r="G487" s="1197"/>
      <c r="H487" s="1197"/>
      <c r="I487" s="1197"/>
      <c r="J487" s="1197"/>
      <c r="K487" s="1197"/>
      <c r="L487" s="1197"/>
      <c r="M487" s="1197"/>
      <c r="N487" s="1197"/>
      <c r="O487" s="1197"/>
      <c r="P487" s="1197"/>
      <c r="Q487" s="1197"/>
      <c r="R487" s="1197"/>
      <c r="S487" s="1197"/>
      <c r="T487" s="1197"/>
      <c r="U487" s="1197"/>
      <c r="V487" s="1197"/>
      <c r="W487" s="1197"/>
      <c r="X487" s="1197"/>
      <c r="Y487" s="1197"/>
      <c r="Z487" s="1197"/>
      <c r="AA487" s="1197"/>
      <c r="AB487" s="1197"/>
      <c r="AC487" s="1197"/>
      <c r="AD487" s="1197"/>
      <c r="AE487" s="1197"/>
      <c r="AF487" s="1197"/>
      <c r="AG487" s="1197"/>
      <c r="AH487" s="1197"/>
      <c r="AI487" s="1197"/>
      <c r="AJ487" s="1197"/>
      <c r="AK487" s="1197"/>
      <c r="AL487" s="1197"/>
      <c r="AM487" s="1197"/>
      <c r="AN487" s="1197"/>
      <c r="AO487" s="1197"/>
      <c r="AP487" s="1197"/>
      <c r="AQ487" s="1197"/>
      <c r="AR487" s="1197"/>
      <c r="AS487" s="1197"/>
      <c r="AT487" s="1197"/>
      <c r="AU487" s="1197"/>
      <c r="AV487" s="1197"/>
    </row>
    <row r="488" spans="1:48" s="363" customFormat="1" ht="15" hidden="1" customHeight="1">
      <c r="C488" s="107"/>
      <c r="D488" s="107"/>
      <c r="H488" s="616"/>
      <c r="J488" s="618"/>
      <c r="S488" s="618" t="str">
        <f>+S290</f>
        <v xml:space="preserve">  INFORME N°26</v>
      </c>
      <c r="U488" s="619"/>
      <c r="V488" s="620"/>
      <c r="AB488" s="1198">
        <f>+AB290</f>
        <v>0</v>
      </c>
      <c r="AC488" s="1199"/>
      <c r="AD488" s="1199"/>
      <c r="AE488" s="1199"/>
      <c r="AF488" s="1199"/>
    </row>
    <row r="489" spans="1:48" s="363" customFormat="1" ht="24.75" hidden="1" customHeight="1">
      <c r="A489" s="1200">
        <v>1</v>
      </c>
      <c r="B489" s="1201"/>
      <c r="C489" s="506" t="str">
        <f>+C323</f>
        <v>Valor del Terreno</v>
      </c>
      <c r="I489" s="622"/>
      <c r="J489" s="623"/>
    </row>
    <row r="490" spans="1:48" s="361" customFormat="1" hidden="1">
      <c r="C490" s="1202">
        <f>+C324</f>
        <v>0</v>
      </c>
      <c r="D490" s="1202"/>
      <c r="E490" s="1202"/>
      <c r="F490" s="1202"/>
      <c r="G490" s="1202"/>
      <c r="H490" s="1202"/>
      <c r="I490" s="361" t="s">
        <v>10</v>
      </c>
      <c r="L490" s="361" t="s">
        <v>4508</v>
      </c>
      <c r="M490" s="624"/>
      <c r="N490" s="1203">
        <f>+N324</f>
        <v>0</v>
      </c>
      <c r="O490" s="1203"/>
      <c r="P490" s="1203"/>
      <c r="Q490" s="1203"/>
      <c r="R490" s="1203"/>
      <c r="S490" s="1203"/>
      <c r="T490" s="1203"/>
      <c r="U490" s="625" t="s">
        <v>4509</v>
      </c>
      <c r="V490" s="626"/>
      <c r="AM490" s="627" t="s">
        <v>4426</v>
      </c>
      <c r="AO490" s="1204">
        <f>+C490*N490</f>
        <v>0</v>
      </c>
      <c r="AP490" s="1204"/>
      <c r="AQ490" s="1204"/>
      <c r="AR490" s="1205"/>
      <c r="AS490" s="1205"/>
      <c r="AT490" s="1205"/>
      <c r="AU490" s="1205"/>
      <c r="AV490" s="1205"/>
    </row>
    <row r="491" spans="1:48" s="629" customFormat="1" ht="14.25" hidden="1" thickBot="1">
      <c r="C491" s="630" t="str">
        <f>+C325</f>
        <v>VALOR DEL TERRENO</v>
      </c>
      <c r="D491" s="631"/>
      <c r="E491" s="631"/>
      <c r="F491" s="631"/>
      <c r="G491" s="632"/>
      <c r="H491" s="633"/>
      <c r="I491" s="634"/>
      <c r="J491" s="634"/>
      <c r="K491" s="635"/>
      <c r="L491" s="632"/>
      <c r="M491" s="632"/>
      <c r="N491" s="632"/>
      <c r="O491" s="632"/>
      <c r="P491" s="632"/>
      <c r="Q491" s="632"/>
      <c r="R491" s="632"/>
      <c r="S491" s="632"/>
      <c r="T491" s="632"/>
      <c r="U491" s="632"/>
      <c r="V491" s="632"/>
      <c r="W491" s="632"/>
      <c r="X491" s="632"/>
      <c r="Y491" s="632"/>
      <c r="Z491" s="632"/>
      <c r="AA491" s="632"/>
      <c r="AB491" s="632"/>
      <c r="AC491" s="632"/>
      <c r="AD491" s="632"/>
      <c r="AE491" s="632"/>
      <c r="AF491" s="632"/>
      <c r="AG491" s="632"/>
      <c r="AH491" s="632"/>
      <c r="AI491" s="632"/>
      <c r="AJ491" s="632"/>
      <c r="AK491" s="632"/>
      <c r="AL491" s="632"/>
      <c r="AM491" s="636" t="s">
        <v>4426</v>
      </c>
      <c r="AN491" s="632"/>
      <c r="AO491" s="1213">
        <f>+AO490</f>
        <v>0</v>
      </c>
      <c r="AP491" s="1213"/>
      <c r="AQ491" s="1213"/>
      <c r="AR491" s="1214"/>
      <c r="AS491" s="1214"/>
      <c r="AT491" s="1214"/>
      <c r="AU491" s="1214"/>
      <c r="AV491" s="1214"/>
    </row>
    <row r="492" spans="1:48" s="363" customFormat="1" ht="30" hidden="1" customHeight="1" thickTop="1">
      <c r="A492" s="1200">
        <f>A489+1</f>
        <v>2</v>
      </c>
      <c r="B492" s="1201"/>
      <c r="C492" s="637" t="str">
        <f>+C326</f>
        <v>VALOR DE EDIFICACION</v>
      </c>
      <c r="AO492" s="628"/>
      <c r="AP492" s="628"/>
      <c r="AQ492" s="628"/>
      <c r="AR492" s="628"/>
      <c r="AS492" s="628"/>
      <c r="AT492" s="628"/>
      <c r="AU492" s="628"/>
      <c r="AV492" s="628"/>
    </row>
    <row r="493" spans="1:48" s="363" customFormat="1" ht="17.100000000000001" hidden="1" customHeight="1">
      <c r="A493" s="621"/>
      <c r="B493" s="361"/>
      <c r="C493" s="363" t="s">
        <v>4575</v>
      </c>
      <c r="E493" s="638" t="s">
        <v>4601</v>
      </c>
      <c r="AO493" s="628"/>
      <c r="AP493" s="628"/>
      <c r="AQ493" s="628"/>
      <c r="AR493" s="628"/>
      <c r="AS493" s="628"/>
      <c r="AT493" s="628"/>
      <c r="AU493" s="628"/>
      <c r="AV493" s="628"/>
    </row>
    <row r="494" spans="1:48" s="363" customFormat="1" ht="17.100000000000001" hidden="1" customHeight="1">
      <c r="A494" s="621"/>
      <c r="B494" s="361"/>
      <c r="C494" s="639" t="str">
        <f t="shared" ref="C494:C499" si="47">+C327</f>
        <v>Primer piso</v>
      </c>
      <c r="E494" s="638"/>
      <c r="AO494" s="628"/>
      <c r="AP494" s="628"/>
      <c r="AQ494" s="628"/>
      <c r="AR494" s="628"/>
      <c r="AS494" s="628"/>
      <c r="AT494" s="628"/>
      <c r="AU494" s="628"/>
      <c r="AV494" s="628"/>
    </row>
    <row r="495" spans="1:48" s="361" customFormat="1" ht="15" hidden="1" customHeight="1">
      <c r="C495" s="1211">
        <f t="shared" si="47"/>
        <v>0</v>
      </c>
      <c r="D495" s="1211"/>
      <c r="E495" s="1211"/>
      <c r="F495" s="1211"/>
      <c r="G495" s="1211"/>
      <c r="H495" s="1211"/>
      <c r="I495" s="639" t="str">
        <f>+I328</f>
        <v>m2</v>
      </c>
      <c r="L495" s="361" t="s">
        <v>4508</v>
      </c>
      <c r="M495" s="624"/>
      <c r="N495" s="1138" t="e">
        <f>+#REF!</f>
        <v>#REF!</v>
      </c>
      <c r="O495" s="1138"/>
      <c r="P495" s="1138"/>
      <c r="Q495" s="1138"/>
      <c r="R495" s="1138"/>
      <c r="S495" s="1138"/>
      <c r="T495" s="625" t="s">
        <v>4509</v>
      </c>
      <c r="Y495" s="624" t="s">
        <v>4508</v>
      </c>
      <c r="AA495" s="1212">
        <f>+Z328</f>
        <v>1</v>
      </c>
      <c r="AB495" s="1212"/>
      <c r="AC495" s="1199"/>
      <c r="AD495" s="1199"/>
      <c r="AM495" s="625" t="s">
        <v>4426</v>
      </c>
      <c r="AO495" s="1204" t="e">
        <f>+C495*N495*AA495</f>
        <v>#REF!</v>
      </c>
      <c r="AP495" s="1204"/>
      <c r="AQ495" s="1204"/>
      <c r="AR495" s="1205"/>
      <c r="AS495" s="1205"/>
      <c r="AT495" s="1205"/>
      <c r="AU495" s="1205"/>
      <c r="AV495" s="1205"/>
    </row>
    <row r="496" spans="1:48" s="363" customFormat="1" ht="17.100000000000001" hidden="1" customHeight="1">
      <c r="A496" s="621"/>
      <c r="B496" s="361"/>
      <c r="C496" s="361" t="str">
        <f t="shared" si="47"/>
        <v>Segundo piso</v>
      </c>
      <c r="E496" s="638"/>
      <c r="N496" s="334"/>
      <c r="O496" s="334"/>
      <c r="P496" s="334"/>
      <c r="Q496" s="334"/>
      <c r="R496" s="334"/>
      <c r="S496" s="334"/>
      <c r="AO496" s="628"/>
      <c r="AP496" s="628"/>
      <c r="AQ496" s="628"/>
      <c r="AR496" s="628"/>
      <c r="AS496" s="628"/>
      <c r="AT496" s="628"/>
      <c r="AU496" s="628"/>
      <c r="AV496" s="628"/>
    </row>
    <row r="497" spans="1:48" s="361" customFormat="1" ht="15" hidden="1" customHeight="1">
      <c r="C497" s="1211">
        <f t="shared" si="47"/>
        <v>0</v>
      </c>
      <c r="D497" s="1211"/>
      <c r="E497" s="1211"/>
      <c r="F497" s="1211"/>
      <c r="G497" s="1211"/>
      <c r="H497" s="1211"/>
      <c r="I497" s="361" t="str">
        <f>+I330</f>
        <v>m2</v>
      </c>
      <c r="L497" s="361" t="s">
        <v>4508</v>
      </c>
      <c r="M497" s="624"/>
      <c r="N497" s="1138" t="e">
        <f>+N495</f>
        <v>#REF!</v>
      </c>
      <c r="O497" s="1138"/>
      <c r="P497" s="1138"/>
      <c r="Q497" s="1138"/>
      <c r="R497" s="1138"/>
      <c r="S497" s="1138"/>
      <c r="T497" s="625" t="s">
        <v>4509</v>
      </c>
      <c r="Y497" s="624" t="s">
        <v>4508</v>
      </c>
      <c r="AA497" s="1212">
        <f>+Z330</f>
        <v>1</v>
      </c>
      <c r="AB497" s="1212"/>
      <c r="AC497" s="1199"/>
      <c r="AD497" s="1199"/>
      <c r="AM497" s="625" t="s">
        <v>4426</v>
      </c>
      <c r="AO497" s="1204" t="e">
        <f>+C497*N497*AA497</f>
        <v>#REF!</v>
      </c>
      <c r="AP497" s="1204"/>
      <c r="AQ497" s="1204"/>
      <c r="AR497" s="1205"/>
      <c r="AS497" s="1205"/>
      <c r="AT497" s="1205"/>
      <c r="AU497" s="1205"/>
      <c r="AV497" s="1205"/>
    </row>
    <row r="498" spans="1:48" s="363" customFormat="1" ht="17.100000000000001" hidden="1" customHeight="1">
      <c r="A498" s="621"/>
      <c r="B498" s="361"/>
      <c r="C498" s="361" t="str">
        <f t="shared" si="47"/>
        <v>Tercer piso</v>
      </c>
      <c r="E498" s="638"/>
      <c r="N498" s="334"/>
      <c r="O498" s="334"/>
      <c r="P498" s="334"/>
      <c r="Q498" s="334"/>
      <c r="R498" s="334"/>
      <c r="S498" s="334"/>
      <c r="AO498" s="628"/>
      <c r="AP498" s="628"/>
      <c r="AQ498" s="628"/>
      <c r="AR498" s="628"/>
      <c r="AS498" s="628"/>
      <c r="AT498" s="628"/>
      <c r="AU498" s="628"/>
      <c r="AV498" s="628"/>
    </row>
    <row r="499" spans="1:48" s="361" customFormat="1" ht="15" hidden="1" customHeight="1">
      <c r="C499" s="1211">
        <f t="shared" si="47"/>
        <v>0</v>
      </c>
      <c r="D499" s="1211"/>
      <c r="E499" s="1211"/>
      <c r="F499" s="1211"/>
      <c r="G499" s="1211"/>
      <c r="H499" s="1211"/>
      <c r="I499" s="361" t="str">
        <f>+I332</f>
        <v>m2</v>
      </c>
      <c r="L499" s="361" t="s">
        <v>4508</v>
      </c>
      <c r="M499" s="624"/>
      <c r="N499" s="1138" t="e">
        <f>+N497</f>
        <v>#REF!</v>
      </c>
      <c r="O499" s="1138"/>
      <c r="P499" s="1138"/>
      <c r="Q499" s="1138"/>
      <c r="R499" s="1138"/>
      <c r="S499" s="1138"/>
      <c r="T499" s="625" t="s">
        <v>4509</v>
      </c>
      <c r="Y499" s="624" t="s">
        <v>4508</v>
      </c>
      <c r="AA499" s="1212">
        <f>+Z332</f>
        <v>1</v>
      </c>
      <c r="AB499" s="1212"/>
      <c r="AC499" s="1199"/>
      <c r="AD499" s="1199"/>
      <c r="AM499" s="625" t="s">
        <v>4426</v>
      </c>
      <c r="AO499" s="1204" t="e">
        <f>+C499*N499*AA499</f>
        <v>#REF!</v>
      </c>
      <c r="AP499" s="1204"/>
      <c r="AQ499" s="1204"/>
      <c r="AR499" s="1205"/>
      <c r="AS499" s="1205"/>
      <c r="AT499" s="1205"/>
      <c r="AU499" s="1205"/>
      <c r="AV499" s="1205"/>
    </row>
    <row r="500" spans="1:48" s="363" customFormat="1" ht="17.100000000000001" hidden="1" customHeight="1">
      <c r="A500" s="621"/>
      <c r="B500" s="361"/>
      <c r="C500" s="363" t="s">
        <v>4576</v>
      </c>
      <c r="E500" s="638" t="s">
        <v>4602</v>
      </c>
      <c r="N500" s="334"/>
      <c r="O500" s="334"/>
      <c r="P500" s="334"/>
      <c r="Q500" s="334"/>
      <c r="R500" s="334"/>
      <c r="S500" s="334"/>
      <c r="AO500" s="628"/>
      <c r="AP500" s="628"/>
      <c r="AQ500" s="628"/>
      <c r="AR500" s="628"/>
      <c r="AS500" s="628"/>
      <c r="AT500" s="628"/>
      <c r="AU500" s="628"/>
      <c r="AV500" s="628"/>
    </row>
    <row r="501" spans="1:48" s="361" customFormat="1" ht="15" hidden="1" customHeight="1">
      <c r="C501" s="1211">
        <f>+C495+C497+C499</f>
        <v>0</v>
      </c>
      <c r="D501" s="1211"/>
      <c r="E501" s="1211"/>
      <c r="F501" s="1211"/>
      <c r="G501" s="1211"/>
      <c r="H501" s="1211"/>
      <c r="I501" s="361" t="s">
        <v>10</v>
      </c>
      <c r="L501" s="361" t="s">
        <v>4508</v>
      </c>
      <c r="M501" s="624"/>
      <c r="N501" s="1138" t="e">
        <f>+#REF!-#REF!</f>
        <v>#REF!</v>
      </c>
      <c r="O501" s="1138"/>
      <c r="P501" s="1138"/>
      <c r="Q501" s="1138"/>
      <c r="R501" s="1138"/>
      <c r="S501" s="1138"/>
      <c r="T501" s="625" t="s">
        <v>4509</v>
      </c>
      <c r="Y501" s="624" t="s">
        <v>4508</v>
      </c>
      <c r="AA501" s="1212">
        <f>+AA495</f>
        <v>1</v>
      </c>
      <c r="AB501" s="1212"/>
      <c r="AC501" s="1199"/>
      <c r="AD501" s="1199"/>
      <c r="AM501" s="625" t="s">
        <v>4426</v>
      </c>
      <c r="AO501" s="1204" t="e">
        <f>+C501*N501*AA501</f>
        <v>#REF!</v>
      </c>
      <c r="AP501" s="1204"/>
      <c r="AQ501" s="1204"/>
      <c r="AR501" s="1205"/>
      <c r="AS501" s="1205"/>
      <c r="AT501" s="1205"/>
      <c r="AU501" s="1205"/>
      <c r="AV501" s="1205"/>
    </row>
    <row r="502" spans="1:48" s="640" customFormat="1" ht="13.5" hidden="1" customHeight="1" thickBot="1">
      <c r="C502" s="641" t="str">
        <f>+C492</f>
        <v>VALOR DE EDIFICACION</v>
      </c>
      <c r="D502" s="642"/>
      <c r="E502" s="642"/>
      <c r="F502" s="642"/>
      <c r="G502" s="643"/>
      <c r="H502" s="644"/>
      <c r="I502" s="645"/>
      <c r="J502" s="646"/>
      <c r="K502" s="647"/>
      <c r="L502" s="643"/>
      <c r="M502" s="643"/>
      <c r="N502" s="643"/>
      <c r="O502" s="643"/>
      <c r="P502" s="643"/>
      <c r="Q502" s="643"/>
      <c r="R502" s="643"/>
      <c r="S502" s="643"/>
      <c r="T502" s="643"/>
      <c r="U502" s="643"/>
      <c r="V502" s="643"/>
      <c r="W502" s="643"/>
      <c r="X502" s="643"/>
      <c r="Y502" s="643"/>
      <c r="Z502" s="643"/>
      <c r="AA502" s="643"/>
      <c r="AB502" s="643"/>
      <c r="AC502" s="643"/>
      <c r="AD502" s="643"/>
      <c r="AE502" s="643"/>
      <c r="AF502" s="643"/>
      <c r="AG502" s="643"/>
      <c r="AH502" s="643"/>
      <c r="AI502" s="643"/>
      <c r="AJ502" s="643"/>
      <c r="AK502" s="643"/>
      <c r="AL502" s="643"/>
      <c r="AM502" s="648" t="s">
        <v>4426</v>
      </c>
      <c r="AN502" s="643"/>
      <c r="AO502" s="1213" t="e">
        <f>SUM(AO495:AV501)</f>
        <v>#REF!</v>
      </c>
      <c r="AP502" s="1213"/>
      <c r="AQ502" s="1213"/>
      <c r="AR502" s="1214"/>
      <c r="AS502" s="1214"/>
      <c r="AT502" s="1214"/>
      <c r="AU502" s="1214"/>
      <c r="AV502" s="1214"/>
    </row>
    <row r="503" spans="1:48" ht="18.75" hidden="1" customHeight="1" thickTop="1">
      <c r="A503" s="891">
        <f>1+A492</f>
        <v>3</v>
      </c>
      <c r="B503" s="891"/>
      <c r="C503" s="355" t="s">
        <v>4510</v>
      </c>
    </row>
    <row r="504" spans="1:48" s="354" customFormat="1" ht="15.95" hidden="1" customHeight="1">
      <c r="C504" s="1059">
        <f>+C335</f>
        <v>0</v>
      </c>
      <c r="D504" s="1059"/>
      <c r="E504" s="1059"/>
      <c r="F504" s="1059"/>
      <c r="G504" s="1059"/>
      <c r="H504" s="1059"/>
      <c r="L504" s="354" t="s">
        <v>4508</v>
      </c>
      <c r="M504" s="497"/>
      <c r="N504" s="1215" t="e">
        <f>+AO502</f>
        <v>#REF!</v>
      </c>
      <c r="O504" s="1215"/>
      <c r="P504" s="1215"/>
      <c r="Q504" s="1215"/>
      <c r="R504" s="1215"/>
      <c r="S504" s="1215"/>
      <c r="T504" s="496" t="s">
        <v>4511</v>
      </c>
      <c r="Y504" s="497"/>
      <c r="AA504" s="398"/>
      <c r="AB504" s="398"/>
      <c r="AC504" s="261"/>
      <c r="AD504" s="261"/>
      <c r="AM504" s="496" t="s">
        <v>4426</v>
      </c>
      <c r="AO504" s="1119" t="e">
        <f>+C504*N504</f>
        <v>#REF!</v>
      </c>
      <c r="AP504" s="1119"/>
      <c r="AQ504" s="1119"/>
      <c r="AR504" s="1119"/>
      <c r="AS504" s="1119"/>
      <c r="AT504" s="1119"/>
      <c r="AU504" s="1119"/>
      <c r="AV504" s="1119"/>
    </row>
    <row r="505" spans="1:48" s="336" customFormat="1" ht="15" hidden="1" customHeight="1" thickBot="1">
      <c r="C505" s="454" t="str">
        <f>+C503</f>
        <v>VALOR DE LAS AREAS COMUNES</v>
      </c>
      <c r="D505" s="455"/>
      <c r="E505" s="455"/>
      <c r="F505" s="455"/>
      <c r="G505" s="456"/>
      <c r="H505" s="457"/>
      <c r="I505" s="458"/>
      <c r="J505" s="459"/>
      <c r="K505" s="460"/>
      <c r="L505" s="456"/>
      <c r="M505" s="456"/>
      <c r="N505" s="456"/>
      <c r="O505" s="456"/>
      <c r="P505" s="456"/>
      <c r="Q505" s="456"/>
      <c r="R505" s="456"/>
      <c r="S505" s="456"/>
      <c r="T505" s="456"/>
      <c r="U505" s="456"/>
      <c r="V505" s="456"/>
      <c r="W505" s="456"/>
      <c r="X505" s="456"/>
      <c r="Y505" s="456"/>
      <c r="Z505" s="456"/>
      <c r="AA505" s="456"/>
      <c r="AB505" s="456"/>
      <c r="AC505" s="456"/>
      <c r="AD505" s="456"/>
      <c r="AE505" s="456"/>
      <c r="AF505" s="456"/>
      <c r="AG505" s="456"/>
      <c r="AH505" s="456"/>
      <c r="AI505" s="456"/>
      <c r="AJ505" s="456"/>
      <c r="AK505" s="456"/>
      <c r="AL505" s="456"/>
      <c r="AM505" s="461" t="s">
        <v>4426</v>
      </c>
      <c r="AN505" s="456"/>
      <c r="AO505" s="1035" t="e">
        <f>SUM(AO504:AV504)</f>
        <v>#REF!</v>
      </c>
      <c r="AP505" s="1035"/>
      <c r="AQ505" s="1035"/>
      <c r="AR505" s="1035"/>
      <c r="AS505" s="1035"/>
      <c r="AT505" s="1035"/>
      <c r="AU505" s="1035"/>
      <c r="AV505" s="1035"/>
    </row>
    <row r="506" spans="1:48" ht="23.25" hidden="1" customHeight="1" thickTop="1">
      <c r="A506" s="891">
        <f>+A503+1</f>
        <v>4</v>
      </c>
      <c r="B506" s="1043"/>
      <c r="C506" s="355" t="s">
        <v>4512</v>
      </c>
    </row>
    <row r="507" spans="1:48" s="354" customFormat="1" ht="15" hidden="1" customHeight="1">
      <c r="C507" s="542" t="str">
        <f t="shared" ref="C507:C517" si="48">+C338</f>
        <v>a) Cisterna (estimado):</v>
      </c>
      <c r="D507" s="543"/>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c r="AA507" s="543"/>
      <c r="AB507" s="543"/>
      <c r="AC507" s="543"/>
      <c r="AD507" s="543"/>
      <c r="AE507" s="543"/>
      <c r="AF507" s="543"/>
      <c r="AG507" s="543"/>
      <c r="AH507" s="543"/>
      <c r="AI507" s="543"/>
      <c r="AJ507" s="543"/>
      <c r="AK507" s="543"/>
      <c r="AL507" s="543"/>
      <c r="AM507" s="543"/>
      <c r="AN507" s="543"/>
      <c r="AO507" s="543"/>
      <c r="AP507" s="543"/>
      <c r="AQ507" s="543"/>
      <c r="AR507" s="543"/>
      <c r="AS507" s="543"/>
      <c r="AT507" s="543"/>
      <c r="AU507" s="543"/>
      <c r="AV507" s="543"/>
    </row>
    <row r="508" spans="1:48" s="354" customFormat="1" ht="15" hidden="1" customHeight="1">
      <c r="C508" s="1117">
        <f t="shared" si="48"/>
        <v>0</v>
      </c>
      <c r="D508" s="1117"/>
      <c r="E508" s="1117"/>
      <c r="F508" s="1117"/>
      <c r="G508" s="1117"/>
      <c r="H508" s="1117"/>
      <c r="I508" s="354" t="str">
        <f>+I339</f>
        <v>m3</v>
      </c>
      <c r="L508" s="354" t="s">
        <v>4508</v>
      </c>
      <c r="M508" s="497"/>
      <c r="N508" s="1119">
        <f>+N339</f>
        <v>0</v>
      </c>
      <c r="O508" s="1119"/>
      <c r="P508" s="1119"/>
      <c r="Q508" s="1135"/>
      <c r="R508" s="1135"/>
      <c r="S508" s="1135"/>
      <c r="T508" s="496" t="str">
        <f>+T339</f>
        <v>/m3</v>
      </c>
      <c r="Y508" s="497" t="s">
        <v>4508</v>
      </c>
      <c r="AA508" s="1136">
        <f>+AA339</f>
        <v>1</v>
      </c>
      <c r="AB508" s="1136"/>
      <c r="AC508" s="739"/>
      <c r="AD508" s="739"/>
      <c r="AM508" s="496" t="s">
        <v>4426</v>
      </c>
      <c r="AO508" s="1119">
        <f>+C508*N508*AA508</f>
        <v>0</v>
      </c>
      <c r="AP508" s="1119"/>
      <c r="AQ508" s="1119"/>
      <c r="AR508" s="739"/>
      <c r="AS508" s="739"/>
      <c r="AT508" s="739"/>
      <c r="AU508" s="739"/>
      <c r="AV508" s="739"/>
    </row>
    <row r="509" spans="1:48" s="354" customFormat="1" ht="15" hidden="1" customHeight="1">
      <c r="C509" s="542" t="str">
        <f t="shared" si="48"/>
        <v>b) Tanque elevado (estimado):</v>
      </c>
      <c r="D509" s="543"/>
      <c r="E509" s="543"/>
      <c r="F509" s="543"/>
      <c r="G509" s="543"/>
      <c r="H509" s="543"/>
      <c r="I509" s="543"/>
      <c r="J509" s="543"/>
      <c r="K509" s="543"/>
      <c r="L509" s="543"/>
      <c r="M509" s="543"/>
      <c r="N509" s="543"/>
      <c r="O509" s="543"/>
      <c r="P509" s="543"/>
      <c r="Q509" s="543"/>
      <c r="R509" s="543"/>
      <c r="S509" s="543"/>
      <c r="T509" s="543"/>
      <c r="U509" s="543"/>
      <c r="V509" s="543"/>
      <c r="W509" s="543"/>
      <c r="X509" s="543"/>
      <c r="Y509" s="543"/>
      <c r="Z509" s="543"/>
      <c r="AA509" s="543"/>
      <c r="AB509" s="543"/>
      <c r="AC509" s="543"/>
      <c r="AD509" s="543"/>
      <c r="AE509" s="543"/>
      <c r="AF509" s="543"/>
      <c r="AG509" s="543"/>
      <c r="AH509" s="543"/>
      <c r="AI509" s="543"/>
      <c r="AJ509" s="543"/>
      <c r="AK509" s="543"/>
      <c r="AL509" s="543"/>
      <c r="AM509" s="543"/>
      <c r="AN509" s="543"/>
      <c r="AO509" s="543"/>
      <c r="AP509" s="543"/>
      <c r="AQ509" s="543"/>
      <c r="AR509" s="543"/>
      <c r="AS509" s="543"/>
      <c r="AT509" s="543"/>
      <c r="AU509" s="543"/>
      <c r="AV509" s="543"/>
    </row>
    <row r="510" spans="1:48" s="354" customFormat="1" ht="15" hidden="1" customHeight="1">
      <c r="C510" s="1117">
        <f t="shared" si="48"/>
        <v>0</v>
      </c>
      <c r="D510" s="1117"/>
      <c r="E510" s="1117"/>
      <c r="F510" s="1117"/>
      <c r="G510" s="1117"/>
      <c r="H510" s="1117"/>
      <c r="I510" s="354" t="str">
        <f>+I341</f>
        <v>m3</v>
      </c>
      <c r="L510" s="354" t="s">
        <v>4508</v>
      </c>
      <c r="M510" s="497"/>
      <c r="N510" s="1119">
        <f>+N341</f>
        <v>0</v>
      </c>
      <c r="O510" s="1119"/>
      <c r="P510" s="1137"/>
      <c r="Q510" s="739"/>
      <c r="R510" s="739"/>
      <c r="S510" s="739"/>
      <c r="T510" s="496" t="str">
        <f>+T341</f>
        <v>/m3</v>
      </c>
      <c r="Y510" s="497" t="s">
        <v>4508</v>
      </c>
      <c r="AA510" s="1136">
        <f>+AA341</f>
        <v>1</v>
      </c>
      <c r="AB510" s="1136"/>
      <c r="AC510" s="739"/>
      <c r="AD510" s="739"/>
      <c r="AM510" s="496" t="s">
        <v>4426</v>
      </c>
      <c r="AO510" s="1119">
        <f>+C510*N510*AA510</f>
        <v>0</v>
      </c>
      <c r="AP510" s="1119"/>
      <c r="AQ510" s="1119"/>
      <c r="AR510" s="739"/>
      <c r="AS510" s="739"/>
      <c r="AT510" s="739"/>
      <c r="AU510" s="739"/>
      <c r="AV510" s="739"/>
    </row>
    <row r="511" spans="1:48" s="354" customFormat="1" ht="15" hidden="1" customHeight="1">
      <c r="C511" s="542" t="str">
        <f t="shared" si="48"/>
        <v>c) Cerco Perimétrico (estimado):</v>
      </c>
      <c r="D511" s="543"/>
      <c r="E511" s="543"/>
      <c r="F511" s="543"/>
      <c r="G511" s="543"/>
      <c r="H511" s="543"/>
      <c r="I511" s="543"/>
      <c r="J511" s="543"/>
      <c r="K511" s="543"/>
      <c r="L511" s="543"/>
      <c r="M511" s="543"/>
      <c r="N511" s="543"/>
      <c r="O511" s="543"/>
      <c r="P511" s="543"/>
      <c r="Q511" s="543"/>
      <c r="R511" s="543"/>
      <c r="S511" s="543"/>
      <c r="T511" s="543"/>
      <c r="U511" s="543"/>
      <c r="V511" s="543"/>
      <c r="W511" s="543"/>
      <c r="X511" s="543"/>
      <c r="Y511" s="543"/>
      <c r="Z511" s="543"/>
      <c r="AA511" s="543"/>
      <c r="AB511" s="543"/>
      <c r="AC511" s="543"/>
      <c r="AD511" s="543"/>
      <c r="AE511" s="543"/>
      <c r="AF511" s="543"/>
      <c r="AG511" s="543"/>
      <c r="AH511" s="543"/>
      <c r="AI511" s="543"/>
      <c r="AJ511" s="543"/>
      <c r="AK511" s="543"/>
      <c r="AL511" s="543"/>
      <c r="AM511" s="543"/>
      <c r="AN511" s="543"/>
      <c r="AO511" s="543"/>
      <c r="AP511" s="543"/>
      <c r="AQ511" s="543"/>
      <c r="AR511" s="543"/>
      <c r="AS511" s="543"/>
      <c r="AT511" s="543"/>
      <c r="AU511" s="543"/>
      <c r="AV511" s="543"/>
    </row>
    <row r="512" spans="1:48" s="354" customFormat="1" ht="15" hidden="1" customHeight="1">
      <c r="C512" s="1117">
        <f t="shared" si="48"/>
        <v>0</v>
      </c>
      <c r="D512" s="1117"/>
      <c r="E512" s="1117"/>
      <c r="F512" s="1117"/>
      <c r="G512" s="1117"/>
      <c r="H512" s="1117"/>
      <c r="I512" s="354" t="str">
        <f>+I343</f>
        <v>ml</v>
      </c>
      <c r="L512" s="354" t="s">
        <v>4508</v>
      </c>
      <c r="M512" s="497"/>
      <c r="N512" s="1119">
        <f>+N343</f>
        <v>0</v>
      </c>
      <c r="O512" s="1119"/>
      <c r="P512" s="1119"/>
      <c r="Q512" s="1135"/>
      <c r="R512" s="1135"/>
      <c r="S512" s="1135"/>
      <c r="T512" s="496" t="str">
        <f>+T343</f>
        <v>/ml</v>
      </c>
      <c r="Y512" s="497" t="s">
        <v>4508</v>
      </c>
      <c r="AA512" s="1136">
        <f>+AA343</f>
        <v>1</v>
      </c>
      <c r="AB512" s="1136"/>
      <c r="AC512" s="739"/>
      <c r="AD512" s="739"/>
      <c r="AM512" s="496" t="s">
        <v>4426</v>
      </c>
      <c r="AO512" s="1119">
        <f>+C512*N512*AA512</f>
        <v>0</v>
      </c>
      <c r="AP512" s="1119"/>
      <c r="AQ512" s="1119"/>
      <c r="AR512" s="739"/>
      <c r="AS512" s="739"/>
      <c r="AT512" s="739"/>
      <c r="AU512" s="739"/>
      <c r="AV512" s="739"/>
    </row>
    <row r="513" spans="1:48" s="354" customFormat="1" ht="15" hidden="1" customHeight="1">
      <c r="C513" s="542" t="str">
        <f t="shared" si="48"/>
        <v>d) Ascensor (estimado):</v>
      </c>
      <c r="D513" s="543"/>
      <c r="E513" s="543"/>
      <c r="F513" s="543"/>
      <c r="G513" s="543"/>
      <c r="H513" s="543"/>
      <c r="I513" s="543"/>
      <c r="J513" s="543"/>
      <c r="K513" s="543"/>
      <c r="L513" s="543"/>
      <c r="M513" s="543"/>
      <c r="N513" s="543"/>
      <c r="O513" s="543"/>
      <c r="P513" s="543"/>
      <c r="Q513" s="543"/>
      <c r="R513" s="543"/>
      <c r="S513" s="543"/>
      <c r="T513" s="543"/>
      <c r="U513" s="543"/>
      <c r="V513" s="543"/>
      <c r="W513" s="543"/>
      <c r="X513" s="543"/>
      <c r="Y513" s="543"/>
      <c r="Z513" s="543"/>
      <c r="AA513" s="543"/>
      <c r="AB513" s="543"/>
      <c r="AC513" s="543"/>
      <c r="AD513" s="543"/>
      <c r="AE513" s="543"/>
      <c r="AF513" s="543"/>
      <c r="AG513" s="543"/>
      <c r="AH513" s="543"/>
      <c r="AI513" s="543"/>
      <c r="AJ513" s="543"/>
      <c r="AK513" s="543"/>
      <c r="AL513" s="543"/>
      <c r="AM513" s="543"/>
      <c r="AN513" s="543"/>
      <c r="AO513" s="543"/>
      <c r="AP513" s="543"/>
      <c r="AQ513" s="543"/>
      <c r="AR513" s="543"/>
      <c r="AS513" s="543"/>
      <c r="AT513" s="543"/>
      <c r="AU513" s="543"/>
      <c r="AV513" s="543"/>
    </row>
    <row r="514" spans="1:48" s="354" customFormat="1" ht="15" hidden="1" customHeight="1">
      <c r="C514" s="1117">
        <f t="shared" si="48"/>
        <v>0</v>
      </c>
      <c r="D514" s="1117"/>
      <c r="E514" s="1117"/>
      <c r="F514" s="1117"/>
      <c r="G514" s="1117"/>
      <c r="H514" s="1117"/>
      <c r="I514" s="354" t="str">
        <f>+I345</f>
        <v>Und</v>
      </c>
      <c r="L514" s="354" t="s">
        <v>4508</v>
      </c>
      <c r="M514" s="497"/>
      <c r="N514" s="1119">
        <f>+N345</f>
        <v>0</v>
      </c>
      <c r="O514" s="1119"/>
      <c r="P514" s="1137"/>
      <c r="Q514" s="739"/>
      <c r="R514" s="739"/>
      <c r="S514" s="739"/>
      <c r="T514" s="496" t="str">
        <f>+T345</f>
        <v>/Und</v>
      </c>
      <c r="Y514" s="497" t="s">
        <v>4508</v>
      </c>
      <c r="AA514" s="1136">
        <f>+AA345</f>
        <v>1</v>
      </c>
      <c r="AB514" s="1136"/>
      <c r="AC514" s="739"/>
      <c r="AD514" s="739"/>
      <c r="AM514" s="496" t="s">
        <v>4426</v>
      </c>
      <c r="AO514" s="1119">
        <f>+C514*N514*AA514</f>
        <v>0</v>
      </c>
      <c r="AP514" s="1119"/>
      <c r="AQ514" s="1119"/>
      <c r="AR514" s="739"/>
      <c r="AS514" s="739"/>
      <c r="AT514" s="739"/>
      <c r="AU514" s="739"/>
      <c r="AV514" s="739"/>
    </row>
    <row r="515" spans="1:48" s="354" customFormat="1" hidden="1">
      <c r="C515" s="313" t="str">
        <f t="shared" si="48"/>
        <v>TOTAL</v>
      </c>
      <c r="D515" s="398"/>
      <c r="E515" s="398"/>
      <c r="F515" s="398"/>
      <c r="G515" s="398"/>
      <c r="H515" s="398"/>
      <c r="M515" s="497"/>
      <c r="N515" s="545"/>
      <c r="O515" s="545"/>
      <c r="P515" s="546"/>
      <c r="Q515" s="299"/>
      <c r="R515" s="299"/>
      <c r="S515" s="299"/>
      <c r="T515" s="496"/>
      <c r="Y515" s="497"/>
      <c r="AA515" s="544"/>
      <c r="AB515" s="544"/>
      <c r="AC515" s="261"/>
      <c r="AD515" s="261"/>
      <c r="AM515" s="496" t="s">
        <v>4426</v>
      </c>
      <c r="AO515" s="1141">
        <f>SUM(AO508:AV514)</f>
        <v>0</v>
      </c>
      <c r="AP515" s="1141"/>
      <c r="AQ515" s="1141"/>
      <c r="AR515" s="1142"/>
      <c r="AS515" s="1142"/>
      <c r="AT515" s="1142"/>
      <c r="AU515" s="1142"/>
      <c r="AV515" s="1142"/>
    </row>
    <row r="516" spans="1:48" s="354" customFormat="1" hidden="1">
      <c r="C516" s="398" t="str">
        <f t="shared" si="48"/>
        <v>Porcentaje de áreas comunes correspondiente al inmueble %</v>
      </c>
      <c r="D516" s="398"/>
      <c r="E516" s="398"/>
      <c r="F516" s="398"/>
      <c r="G516" s="398"/>
      <c r="H516" s="398"/>
      <c r="M516" s="497"/>
      <c r="N516" s="545"/>
      <c r="O516" s="545"/>
      <c r="P516" s="546"/>
      <c r="Q516" s="299"/>
      <c r="R516" s="299"/>
      <c r="S516" s="299"/>
      <c r="T516" s="496"/>
      <c r="Y516" s="497"/>
      <c r="AA516" s="544"/>
      <c r="AB516" s="544"/>
      <c r="AC516" s="261"/>
      <c r="AD516" s="261"/>
      <c r="AM516" s="496"/>
      <c r="AO516" s="532"/>
      <c r="AP516" s="532"/>
      <c r="AQ516" s="532"/>
      <c r="AR516" s="261"/>
      <c r="AS516" s="261"/>
      <c r="AT516" s="261"/>
      <c r="AU516" s="261"/>
      <c r="AV516" s="261"/>
    </row>
    <row r="517" spans="1:48" s="354" customFormat="1" hidden="1">
      <c r="C517" s="1143">
        <f t="shared" si="48"/>
        <v>0</v>
      </c>
      <c r="D517" s="1143"/>
      <c r="E517" s="1143"/>
      <c r="F517" s="1143"/>
      <c r="G517" s="1143"/>
      <c r="H517" s="1143"/>
      <c r="I517" s="1143"/>
      <c r="K517" s="354" t="s">
        <v>4508</v>
      </c>
      <c r="M517" s="497"/>
      <c r="N517" s="545"/>
      <c r="O517" s="545"/>
      <c r="P517" s="546"/>
      <c r="Q517" s="1060">
        <f>+AO515</f>
        <v>0</v>
      </c>
      <c r="R517" s="1060"/>
      <c r="S517" s="1060"/>
      <c r="T517" s="1060"/>
      <c r="U517" s="1060"/>
      <c r="V517" s="1060"/>
      <c r="W517" s="1060"/>
      <c r="X517" s="1060"/>
      <c r="Y517" s="497"/>
      <c r="AA517" s="544"/>
      <c r="AB517" s="544"/>
      <c r="AC517" s="261"/>
      <c r="AD517" s="261"/>
      <c r="AM517" s="496" t="s">
        <v>4426</v>
      </c>
      <c r="AO517" s="1119">
        <f>+C517*Q517</f>
        <v>0</v>
      </c>
      <c r="AP517" s="1119"/>
      <c r="AQ517" s="1119"/>
      <c r="AR517" s="739"/>
      <c r="AS517" s="739"/>
      <c r="AT517" s="739"/>
      <c r="AU517" s="739"/>
      <c r="AV517" s="739"/>
    </row>
    <row r="518" spans="1:48" s="336" customFormat="1" ht="15" hidden="1" customHeight="1" thickBot="1">
      <c r="C518" s="454" t="str">
        <f>+C506</f>
        <v>VALOR DE LAS OBRAS COMPLEMENTARIAS</v>
      </c>
      <c r="D518" s="455"/>
      <c r="E518" s="455"/>
      <c r="F518" s="455"/>
      <c r="G518" s="456"/>
      <c r="H518" s="457"/>
      <c r="I518" s="458"/>
      <c r="J518" s="459"/>
      <c r="K518" s="460"/>
      <c r="L518" s="456"/>
      <c r="M518" s="456"/>
      <c r="N518" s="456"/>
      <c r="O518" s="456"/>
      <c r="P518" s="456"/>
      <c r="Q518" s="456"/>
      <c r="R518" s="456"/>
      <c r="S518" s="456"/>
      <c r="T518" s="456"/>
      <c r="U518" s="456"/>
      <c r="V518" s="456"/>
      <c r="W518" s="456"/>
      <c r="X518" s="456"/>
      <c r="Y518" s="456"/>
      <c r="Z518" s="456"/>
      <c r="AA518" s="456"/>
      <c r="AB518" s="456"/>
      <c r="AC518" s="456"/>
      <c r="AD518" s="456"/>
      <c r="AE518" s="456"/>
      <c r="AF518" s="456"/>
      <c r="AG518" s="456"/>
      <c r="AH518" s="456"/>
      <c r="AI518" s="456"/>
      <c r="AJ518" s="456"/>
      <c r="AK518" s="456"/>
      <c r="AL518" s="456"/>
      <c r="AM518" s="461" t="s">
        <v>4426</v>
      </c>
      <c r="AN518" s="456"/>
      <c r="AO518" s="1035">
        <f>+AO517</f>
        <v>0</v>
      </c>
      <c r="AP518" s="1035"/>
      <c r="AQ518" s="1035"/>
      <c r="AR518" s="1036"/>
      <c r="AS518" s="1036"/>
      <c r="AT518" s="1036"/>
      <c r="AU518" s="1036"/>
      <c r="AV518" s="1036"/>
    </row>
    <row r="519" spans="1:48" s="363" customFormat="1" ht="3" hidden="1" customHeight="1" thickTop="1"/>
    <row r="520" spans="1:48" ht="18.75" hidden="1" customHeight="1">
      <c r="A520" s="891">
        <f>1+A506</f>
        <v>5</v>
      </c>
      <c r="B520" s="1043"/>
      <c r="C520" s="355" t="str">
        <f>+C350</f>
        <v>VALOR DEL ESTACIONAMIENTO Nº …</v>
      </c>
    </row>
    <row r="521" spans="1:48" s="354" customFormat="1" ht="15.95" hidden="1" customHeight="1">
      <c r="C521" s="1117">
        <f>+C351</f>
        <v>1</v>
      </c>
      <c r="D521" s="1117"/>
      <c r="E521" s="1117"/>
      <c r="F521" s="1117"/>
      <c r="G521" s="1117"/>
      <c r="H521" s="1117"/>
      <c r="I521" s="354" t="str">
        <f>+I351</f>
        <v>Und</v>
      </c>
      <c r="L521" s="354" t="s">
        <v>4508</v>
      </c>
      <c r="M521" s="497"/>
      <c r="N521" s="1119">
        <f>+N351</f>
        <v>0</v>
      </c>
      <c r="O521" s="1119"/>
      <c r="P521" s="1137"/>
      <c r="Q521" s="739"/>
      <c r="R521" s="739"/>
      <c r="S521" s="739"/>
      <c r="T521" s="496" t="str">
        <f>+T351</f>
        <v>/Und</v>
      </c>
      <c r="Y521" s="497"/>
      <c r="AA521" s="398"/>
      <c r="AB521" s="398"/>
      <c r="AC521" s="261"/>
      <c r="AD521" s="261"/>
      <c r="AM521" s="496" t="s">
        <v>4426</v>
      </c>
      <c r="AO521" s="1119">
        <f>+C521*N521</f>
        <v>0</v>
      </c>
      <c r="AP521" s="1119"/>
      <c r="AQ521" s="1119"/>
      <c r="AR521" s="739"/>
      <c r="AS521" s="739"/>
      <c r="AT521" s="739"/>
      <c r="AU521" s="739"/>
      <c r="AV521" s="739"/>
    </row>
    <row r="522" spans="1:48" s="336" customFormat="1" ht="15" hidden="1" customHeight="1" thickBot="1">
      <c r="C522" s="454" t="str">
        <f>+C520</f>
        <v>VALOR DEL ESTACIONAMIENTO Nº …</v>
      </c>
      <c r="D522" s="455"/>
      <c r="E522" s="455"/>
      <c r="F522" s="455"/>
      <c r="G522" s="456"/>
      <c r="H522" s="457"/>
      <c r="I522" s="458"/>
      <c r="J522" s="459"/>
      <c r="K522" s="460"/>
      <c r="L522" s="456"/>
      <c r="M522" s="456"/>
      <c r="N522" s="456"/>
      <c r="O522" s="456"/>
      <c r="P522" s="456"/>
      <c r="Q522" s="456"/>
      <c r="R522" s="456"/>
      <c r="S522" s="456"/>
      <c r="T522" s="456"/>
      <c r="U522" s="456"/>
      <c r="V522" s="456"/>
      <c r="W522" s="456"/>
      <c r="X522" s="456"/>
      <c r="Y522" s="456"/>
      <c r="Z522" s="456"/>
      <c r="AA522" s="456"/>
      <c r="AB522" s="456"/>
      <c r="AC522" s="456"/>
      <c r="AD522" s="456"/>
      <c r="AE522" s="456"/>
      <c r="AF522" s="456"/>
      <c r="AG522" s="456"/>
      <c r="AH522" s="456"/>
      <c r="AI522" s="456"/>
      <c r="AJ522" s="456"/>
      <c r="AK522" s="456"/>
      <c r="AL522" s="456"/>
      <c r="AM522" s="461" t="s">
        <v>4426</v>
      </c>
      <c r="AN522" s="456"/>
      <c r="AO522" s="1035">
        <f>SUM(AO521:AV521)</f>
        <v>0</v>
      </c>
      <c r="AP522" s="1035"/>
      <c r="AQ522" s="1035"/>
      <c r="AR522" s="1036"/>
      <c r="AS522" s="1036"/>
      <c r="AT522" s="1036"/>
      <c r="AU522" s="1036"/>
      <c r="AV522" s="1036"/>
    </row>
    <row r="523" spans="1:48" ht="18.75" hidden="1" customHeight="1" thickTop="1">
      <c r="A523" s="891">
        <f>+A520+1</f>
        <v>6</v>
      </c>
      <c r="B523" s="1043"/>
      <c r="C523" s="355" t="str">
        <f>+C353</f>
        <v>VALOR DEL DEPOSITO Nº ..</v>
      </c>
    </row>
    <row r="524" spans="1:48" s="354" customFormat="1" ht="15.95" hidden="1" customHeight="1">
      <c r="C524" s="1117">
        <f>+C354</f>
        <v>1</v>
      </c>
      <c r="D524" s="1117"/>
      <c r="E524" s="1117"/>
      <c r="F524" s="1117"/>
      <c r="G524" s="1117"/>
      <c r="H524" s="1117"/>
      <c r="I524" s="354" t="str">
        <f>+I354</f>
        <v>Und</v>
      </c>
      <c r="L524" s="354" t="s">
        <v>4508</v>
      </c>
      <c r="M524" s="497"/>
      <c r="N524" s="1119">
        <f>+N354</f>
        <v>0</v>
      </c>
      <c r="O524" s="1119"/>
      <c r="P524" s="1137"/>
      <c r="Q524" s="739"/>
      <c r="R524" s="739"/>
      <c r="S524" s="739"/>
      <c r="T524" s="496" t="str">
        <f>+T354</f>
        <v>/Und</v>
      </c>
      <c r="Y524" s="497"/>
      <c r="AA524" s="398"/>
      <c r="AB524" s="398"/>
      <c r="AC524" s="261"/>
      <c r="AD524" s="261"/>
      <c r="AM524" s="496" t="s">
        <v>4426</v>
      </c>
      <c r="AO524" s="1119">
        <f>+C524*N524</f>
        <v>0</v>
      </c>
      <c r="AP524" s="1119"/>
      <c r="AQ524" s="1119"/>
      <c r="AR524" s="739"/>
      <c r="AS524" s="739"/>
      <c r="AT524" s="739"/>
      <c r="AU524" s="739"/>
      <c r="AV524" s="739"/>
    </row>
    <row r="525" spans="1:48" s="336" customFormat="1" ht="15" hidden="1" customHeight="1" thickBot="1">
      <c r="C525" s="454" t="str">
        <f>+C523</f>
        <v>VALOR DEL DEPOSITO Nº ..</v>
      </c>
      <c r="D525" s="455"/>
      <c r="E525" s="455"/>
      <c r="F525" s="455"/>
      <c r="G525" s="456"/>
      <c r="H525" s="457"/>
      <c r="I525" s="458"/>
      <c r="J525" s="459"/>
      <c r="K525" s="460"/>
      <c r="L525" s="456"/>
      <c r="M525" s="456"/>
      <c r="N525" s="456"/>
      <c r="O525" s="456"/>
      <c r="P525" s="456"/>
      <c r="Q525" s="456"/>
      <c r="R525" s="456"/>
      <c r="S525" s="456"/>
      <c r="T525" s="456"/>
      <c r="U525" s="456"/>
      <c r="V525" s="456"/>
      <c r="W525" s="456"/>
      <c r="X525" s="456"/>
      <c r="Y525" s="456"/>
      <c r="Z525" s="456"/>
      <c r="AA525" s="456"/>
      <c r="AB525" s="456"/>
      <c r="AC525" s="456"/>
      <c r="AD525" s="456"/>
      <c r="AE525" s="456"/>
      <c r="AF525" s="456"/>
      <c r="AG525" s="456"/>
      <c r="AH525" s="456"/>
      <c r="AI525" s="456"/>
      <c r="AJ525" s="456"/>
      <c r="AK525" s="456"/>
      <c r="AL525" s="456"/>
      <c r="AM525" s="461" t="s">
        <v>4426</v>
      </c>
      <c r="AN525" s="456"/>
      <c r="AO525" s="1035">
        <f>SUM(AO524:AV524)</f>
        <v>0</v>
      </c>
      <c r="AP525" s="1035"/>
      <c r="AQ525" s="1035"/>
      <c r="AR525" s="1036"/>
      <c r="AS525" s="1036"/>
      <c r="AT525" s="1036"/>
      <c r="AU525" s="1036"/>
      <c r="AV525" s="1036"/>
    </row>
    <row r="526" spans="1:48" s="363" customFormat="1" ht="12.75" hidden="1" customHeight="1" thickTop="1"/>
    <row r="527" spans="1:48" s="363" customFormat="1" ht="12.75" hidden="1" customHeight="1"/>
    <row r="528" spans="1:48" s="363" customFormat="1" ht="12.75" hidden="1" customHeight="1">
      <c r="C528" s="363" t="str">
        <f>+C485</f>
        <v>Lima,</v>
      </c>
      <c r="F528" s="1216">
        <f>+F485</f>
        <v>0</v>
      </c>
      <c r="G528" s="1217"/>
      <c r="H528" s="1217"/>
      <c r="I528" s="1217"/>
      <c r="J528" s="1217"/>
      <c r="K528" s="1217"/>
      <c r="L528" s="1217"/>
      <c r="M528" s="1217"/>
      <c r="N528" s="1217"/>
      <c r="O528" s="1217"/>
      <c r="P528" s="1217"/>
      <c r="Q528" s="1217"/>
      <c r="R528" s="1217"/>
      <c r="S528" s="1217"/>
      <c r="T528" s="1217"/>
      <c r="U528" s="1217"/>
      <c r="V528" s="1217"/>
      <c r="W528" s="1217"/>
      <c r="X528" s="1217"/>
      <c r="Y528" s="1217"/>
      <c r="Z528" s="1217"/>
      <c r="AA528" s="1217"/>
      <c r="AB528" s="1217"/>
    </row>
    <row r="529" spans="1:48" ht="54" hidden="1" customHeight="1">
      <c r="F529" s="615"/>
      <c r="G529" s="354"/>
      <c r="H529" s="354"/>
      <c r="I529" s="354"/>
      <c r="J529" s="354"/>
      <c r="K529" s="354"/>
      <c r="L529" s="354"/>
      <c r="M529" s="354"/>
    </row>
    <row r="530" spans="1:48" ht="21.75" hidden="1" customHeight="1">
      <c r="A530" s="1224" t="s">
        <v>4603</v>
      </c>
      <c r="B530" s="1224"/>
      <c r="C530" s="1225" t="s">
        <v>4604</v>
      </c>
      <c r="D530" s="1225"/>
      <c r="E530" s="1225"/>
      <c r="F530" s="1225"/>
      <c r="G530" s="1225"/>
      <c r="H530" s="1225"/>
      <c r="I530" s="1225"/>
      <c r="J530" s="1225"/>
      <c r="K530" s="1225"/>
      <c r="L530" s="1225"/>
      <c r="M530" s="1225"/>
      <c r="N530" s="1225"/>
      <c r="O530" s="1225"/>
      <c r="P530" s="1225"/>
      <c r="Q530" s="1225"/>
      <c r="R530" s="1225"/>
      <c r="S530" s="1225"/>
      <c r="T530" s="1225"/>
      <c r="U530" s="1225"/>
      <c r="V530" s="1225"/>
      <c r="W530" s="1225"/>
      <c r="X530" s="1225"/>
      <c r="Y530" s="1225"/>
      <c r="Z530" s="1225"/>
      <c r="AA530" s="1225"/>
      <c r="AB530" s="1225"/>
      <c r="AC530" s="1225"/>
      <c r="AD530" s="1225"/>
      <c r="AE530" s="1225"/>
      <c r="AF530" s="1225"/>
      <c r="AG530" s="1225"/>
      <c r="AH530" s="1225"/>
      <c r="AI530" s="1225"/>
      <c r="AJ530" s="1225"/>
      <c r="AK530" s="1225"/>
      <c r="AL530" s="1225"/>
      <c r="AM530" s="1225"/>
      <c r="AN530" s="1225"/>
      <c r="AO530" s="1225"/>
      <c r="AP530" s="1225"/>
      <c r="AQ530" s="1225"/>
      <c r="AR530" s="1225"/>
      <c r="AS530" s="1225"/>
      <c r="AT530" s="1225"/>
      <c r="AU530" s="1225"/>
      <c r="AV530" s="1225"/>
    </row>
    <row r="531" spans="1:48" ht="15.75" hidden="1" customHeight="1">
      <c r="A531" s="891">
        <v>1</v>
      </c>
      <c r="B531" s="1043"/>
      <c r="C531" s="503" t="s">
        <v>4557</v>
      </c>
      <c r="I531" s="529"/>
      <c r="J531" s="530"/>
    </row>
    <row r="532" spans="1:48" s="354" customFormat="1" ht="12.95" hidden="1" customHeight="1">
      <c r="C532" s="1117">
        <f>+C324</f>
        <v>0</v>
      </c>
      <c r="D532" s="1117"/>
      <c r="E532" s="1117"/>
      <c r="F532" s="1117"/>
      <c r="G532" s="1117"/>
      <c r="H532" s="1117"/>
      <c r="I532" s="354" t="s">
        <v>10</v>
      </c>
      <c r="L532" s="354" t="s">
        <v>4508</v>
      </c>
      <c r="M532" s="497"/>
      <c r="N532" s="1226">
        <f>+N324*$M$78</f>
        <v>0</v>
      </c>
      <c r="O532" s="1226"/>
      <c r="P532" s="1226"/>
      <c r="Q532" s="1226"/>
      <c r="R532" s="1226"/>
      <c r="S532" s="1226"/>
      <c r="T532" s="1226"/>
      <c r="U532" s="496" t="s">
        <v>4509</v>
      </c>
      <c r="AM532" s="531" t="s">
        <v>4426</v>
      </c>
      <c r="AO532" s="1220">
        <f>+C532*N532</f>
        <v>0</v>
      </c>
      <c r="AP532" s="1220"/>
      <c r="AQ532" s="1220"/>
      <c r="AR532" s="1221"/>
      <c r="AS532" s="1221"/>
      <c r="AT532" s="1221"/>
      <c r="AU532" s="1221"/>
      <c r="AV532" s="1221"/>
    </row>
    <row r="533" spans="1:48" s="533" customFormat="1" ht="13.5" hidden="1" customHeight="1" thickBot="1">
      <c r="C533" s="650" t="s">
        <v>4542</v>
      </c>
      <c r="D533" s="651"/>
      <c r="E533" s="651"/>
      <c r="F533" s="651"/>
      <c r="G533" s="652"/>
      <c r="H533" s="653"/>
      <c r="I533" s="654"/>
      <c r="J533" s="654"/>
      <c r="K533" s="655"/>
      <c r="L533" s="656"/>
      <c r="M533" s="656"/>
      <c r="N533" s="656"/>
      <c r="O533" s="656"/>
      <c r="P533" s="656"/>
      <c r="Q533" s="656"/>
      <c r="R533" s="656"/>
      <c r="S533" s="656"/>
      <c r="T533" s="656"/>
      <c r="U533" s="656"/>
      <c r="V533" s="656"/>
      <c r="W533" s="656"/>
      <c r="X533" s="656"/>
      <c r="Y533" s="656"/>
      <c r="Z533" s="656"/>
      <c r="AA533" s="656"/>
      <c r="AB533" s="656"/>
      <c r="AC533" s="656"/>
      <c r="AD533" s="656"/>
      <c r="AE533" s="656"/>
      <c r="AF533" s="656"/>
      <c r="AG533" s="656"/>
      <c r="AH533" s="656"/>
      <c r="AI533" s="656"/>
      <c r="AJ533" s="656"/>
      <c r="AK533" s="656"/>
      <c r="AL533" s="656"/>
      <c r="AM533" s="657" t="s">
        <v>4426</v>
      </c>
      <c r="AN533" s="656"/>
      <c r="AO533" s="1222">
        <f>SUM(AO532)</f>
        <v>0</v>
      </c>
      <c r="AP533" s="1222"/>
      <c r="AQ533" s="1222"/>
      <c r="AR533" s="1223"/>
      <c r="AS533" s="1223"/>
      <c r="AT533" s="1223"/>
      <c r="AU533" s="1223"/>
      <c r="AV533" s="1223"/>
    </row>
    <row r="534" spans="1:48" ht="21.75" hidden="1" customHeight="1" thickTop="1">
      <c r="A534" s="891">
        <f>+A531+1</f>
        <v>2</v>
      </c>
      <c r="B534" s="1043"/>
      <c r="C534" s="355" t="s">
        <v>4605</v>
      </c>
    </row>
    <row r="535" spans="1:48" ht="21.75" hidden="1" customHeight="1">
      <c r="A535" s="353"/>
      <c r="B535" s="444"/>
      <c r="C535" s="541" t="str">
        <f t="shared" ref="C535:C540" si="49">+C327</f>
        <v>Primer piso</v>
      </c>
    </row>
    <row r="536" spans="1:48" s="354" customFormat="1" hidden="1">
      <c r="C536" s="1218">
        <f t="shared" si="49"/>
        <v>0</v>
      </c>
      <c r="D536" s="1218"/>
      <c r="E536" s="1218"/>
      <c r="F536" s="1218"/>
      <c r="G536" s="1218"/>
      <c r="H536" s="1218"/>
      <c r="I536" s="354" t="str">
        <f>+I328</f>
        <v>m2</v>
      </c>
      <c r="K536" s="354" t="s">
        <v>4508</v>
      </c>
      <c r="M536" s="497"/>
      <c r="N536" s="1219">
        <f>+N328*$M$78</f>
        <v>0</v>
      </c>
      <c r="O536" s="1219"/>
      <c r="P536" s="1219"/>
      <c r="Q536" s="1219"/>
      <c r="R536" s="1219"/>
      <c r="S536" s="1219"/>
      <c r="T536" s="1219"/>
      <c r="U536" s="1219"/>
      <c r="V536" s="649" t="str">
        <f>+T328</f>
        <v>/m2</v>
      </c>
      <c r="W536" s="649"/>
      <c r="Y536" s="497" t="s">
        <v>4508</v>
      </c>
      <c r="AA536" s="1122">
        <f>+Z328</f>
        <v>1</v>
      </c>
      <c r="AB536" s="1122"/>
      <c r="AC536" s="1085"/>
      <c r="AD536" s="1085"/>
      <c r="AM536" s="496" t="s">
        <v>4426</v>
      </c>
      <c r="AO536" s="1220">
        <f>+C536*N536*AA536</f>
        <v>0</v>
      </c>
      <c r="AP536" s="1220"/>
      <c r="AQ536" s="1220"/>
      <c r="AR536" s="1221"/>
      <c r="AS536" s="1221"/>
      <c r="AT536" s="1221"/>
      <c r="AU536" s="1221"/>
      <c r="AV536" s="1221"/>
    </row>
    <row r="537" spans="1:48" ht="21.75" hidden="1" customHeight="1">
      <c r="A537" s="353"/>
      <c r="B537" s="444"/>
      <c r="C537" s="541" t="str">
        <f t="shared" si="49"/>
        <v>Segundo piso</v>
      </c>
    </row>
    <row r="538" spans="1:48" s="354" customFormat="1" hidden="1">
      <c r="C538" s="1218">
        <f t="shared" si="49"/>
        <v>0</v>
      </c>
      <c r="D538" s="1218"/>
      <c r="E538" s="1218"/>
      <c r="F538" s="1218"/>
      <c r="G538" s="1218"/>
      <c r="H538" s="1218"/>
      <c r="I538" s="354" t="str">
        <f>+I330</f>
        <v>m2</v>
      </c>
      <c r="K538" s="354" t="s">
        <v>4508</v>
      </c>
      <c r="M538" s="497"/>
      <c r="N538" s="1219">
        <f>+N330*$M$78</f>
        <v>0</v>
      </c>
      <c r="O538" s="1219"/>
      <c r="P538" s="1219"/>
      <c r="Q538" s="1219"/>
      <c r="R538" s="1219"/>
      <c r="S538" s="1219"/>
      <c r="T538" s="1219"/>
      <c r="U538" s="1219"/>
      <c r="V538" s="649" t="str">
        <f>+T330</f>
        <v>/m2</v>
      </c>
      <c r="W538" s="649"/>
      <c r="Y538" s="497" t="s">
        <v>4508</v>
      </c>
      <c r="AA538" s="1122">
        <f>+Z330</f>
        <v>1</v>
      </c>
      <c r="AB538" s="1122"/>
      <c r="AC538" s="1085"/>
      <c r="AD538" s="1085"/>
      <c r="AM538" s="496" t="s">
        <v>4426</v>
      </c>
      <c r="AO538" s="1220">
        <f>+C538*N538*AA538</f>
        <v>0</v>
      </c>
      <c r="AP538" s="1220"/>
      <c r="AQ538" s="1220"/>
      <c r="AR538" s="1221"/>
      <c r="AS538" s="1221"/>
      <c r="AT538" s="1221"/>
      <c r="AU538" s="1221"/>
      <c r="AV538" s="1221"/>
    </row>
    <row r="539" spans="1:48" ht="21.75" hidden="1" customHeight="1">
      <c r="A539" s="353"/>
      <c r="B539" s="444"/>
      <c r="C539" s="541" t="str">
        <f t="shared" si="49"/>
        <v>Tercer piso</v>
      </c>
    </row>
    <row r="540" spans="1:48" s="354" customFormat="1" hidden="1">
      <c r="C540" s="1218">
        <f t="shared" si="49"/>
        <v>0</v>
      </c>
      <c r="D540" s="1218"/>
      <c r="E540" s="1218"/>
      <c r="F540" s="1218"/>
      <c r="G540" s="1218"/>
      <c r="H540" s="1218"/>
      <c r="I540" s="354" t="str">
        <f>+I332</f>
        <v>m2</v>
      </c>
      <c r="K540" s="354" t="s">
        <v>4508</v>
      </c>
      <c r="M540" s="497"/>
      <c r="N540" s="1219">
        <f>+N332*$M$78</f>
        <v>0</v>
      </c>
      <c r="O540" s="1219"/>
      <c r="P540" s="1219"/>
      <c r="Q540" s="1219"/>
      <c r="R540" s="1219"/>
      <c r="S540" s="1219"/>
      <c r="T540" s="1219"/>
      <c r="U540" s="1219"/>
      <c r="V540" s="649" t="str">
        <f>+T332</f>
        <v>/m2</v>
      </c>
      <c r="W540" s="649"/>
      <c r="Y540" s="497" t="s">
        <v>4508</v>
      </c>
      <c r="AA540" s="1122">
        <f>+Z332</f>
        <v>1</v>
      </c>
      <c r="AB540" s="1122"/>
      <c r="AC540" s="1085"/>
      <c r="AD540" s="1085"/>
      <c r="AM540" s="496" t="s">
        <v>4426</v>
      </c>
      <c r="AO540" s="1220">
        <f>+C540*N540*AA540</f>
        <v>0</v>
      </c>
      <c r="AP540" s="1220"/>
      <c r="AQ540" s="1220"/>
      <c r="AR540" s="1221"/>
      <c r="AS540" s="1221"/>
      <c r="AT540" s="1221"/>
      <c r="AU540" s="1221"/>
      <c r="AV540" s="1221"/>
    </row>
    <row r="541" spans="1:48" s="336" customFormat="1" ht="14.25" hidden="1" thickBot="1">
      <c r="C541" s="454" t="str">
        <f>+C534</f>
        <v>VALOR DE LA EDIFICACION</v>
      </c>
      <c r="D541" s="455"/>
      <c r="E541" s="455"/>
      <c r="F541" s="455"/>
      <c r="G541" s="456"/>
      <c r="H541" s="457"/>
      <c r="I541" s="458"/>
      <c r="J541" s="459"/>
      <c r="K541" s="460"/>
      <c r="L541" s="456"/>
      <c r="M541" s="456"/>
      <c r="N541" s="456"/>
      <c r="O541" s="456"/>
      <c r="P541" s="456"/>
      <c r="Q541" s="456"/>
      <c r="R541" s="456"/>
      <c r="S541" s="456"/>
      <c r="T541" s="456"/>
      <c r="U541" s="456"/>
      <c r="V541" s="456"/>
      <c r="W541" s="456"/>
      <c r="X541" s="456"/>
      <c r="Y541" s="456"/>
      <c r="Z541" s="456"/>
      <c r="AA541" s="456"/>
      <c r="AB541" s="456"/>
      <c r="AC541" s="456"/>
      <c r="AD541" s="456"/>
      <c r="AE541" s="456"/>
      <c r="AF541" s="456"/>
      <c r="AG541" s="456"/>
      <c r="AH541" s="456"/>
      <c r="AI541" s="456"/>
      <c r="AJ541" s="456"/>
      <c r="AK541" s="456"/>
      <c r="AL541" s="456"/>
      <c r="AM541" s="461" t="s">
        <v>4426</v>
      </c>
      <c r="AN541" s="456"/>
      <c r="AO541" s="1222">
        <f>+SUM(AO536:AV540)</f>
        <v>0</v>
      </c>
      <c r="AP541" s="1222"/>
      <c r="AQ541" s="1222"/>
      <c r="AR541" s="1223"/>
      <c r="AS541" s="1223"/>
      <c r="AT541" s="1223"/>
      <c r="AU541" s="1223"/>
      <c r="AV541" s="1223"/>
    </row>
    <row r="542" spans="1:48" ht="21.75" hidden="1" customHeight="1" thickTop="1">
      <c r="A542" s="891">
        <v>3</v>
      </c>
      <c r="B542" s="1043"/>
      <c r="C542" s="355" t="s">
        <v>4606</v>
      </c>
    </row>
    <row r="543" spans="1:48" s="354" customFormat="1" hidden="1">
      <c r="C543" s="1229">
        <f>+C335</f>
        <v>0</v>
      </c>
      <c r="D543" s="1229"/>
      <c r="E543" s="1229"/>
      <c r="F543" s="1229"/>
      <c r="G543" s="1229"/>
      <c r="H543" s="1229"/>
      <c r="K543" s="354" t="s">
        <v>4508</v>
      </c>
      <c r="M543" s="497"/>
      <c r="N543" s="1219">
        <f>+AO541</f>
        <v>0</v>
      </c>
      <c r="O543" s="1219"/>
      <c r="P543" s="1219"/>
      <c r="Q543" s="1219"/>
      <c r="R543" s="1219"/>
      <c r="S543" s="1219"/>
      <c r="T543" s="1219"/>
      <c r="U543" s="1219"/>
      <c r="V543" s="1219"/>
      <c r="W543" s="1219"/>
      <c r="Y543" s="497"/>
      <c r="AA543" s="1122"/>
      <c r="AB543" s="1122"/>
      <c r="AC543" s="1085"/>
      <c r="AD543" s="1085"/>
      <c r="AM543" s="496" t="s">
        <v>4426</v>
      </c>
      <c r="AO543" s="1220">
        <f>+C543*N543</f>
        <v>0</v>
      </c>
      <c r="AP543" s="1220"/>
      <c r="AQ543" s="1220"/>
      <c r="AR543" s="1221"/>
      <c r="AS543" s="1221"/>
      <c r="AT543" s="1221"/>
      <c r="AU543" s="1221"/>
      <c r="AV543" s="1221"/>
    </row>
    <row r="544" spans="1:48" s="336" customFormat="1" ht="14.25" hidden="1" thickBot="1">
      <c r="C544" s="454" t="str">
        <f>+C542</f>
        <v>VALOR DE LAS ÁREAS COMUNES</v>
      </c>
      <c r="D544" s="455"/>
      <c r="E544" s="455"/>
      <c r="F544" s="455"/>
      <c r="G544" s="456"/>
      <c r="H544" s="457"/>
      <c r="I544" s="458"/>
      <c r="J544" s="459"/>
      <c r="K544" s="460"/>
      <c r="L544" s="456"/>
      <c r="M544" s="456"/>
      <c r="N544" s="456"/>
      <c r="O544" s="456"/>
      <c r="P544" s="456"/>
      <c r="Q544" s="456"/>
      <c r="R544" s="456"/>
      <c r="S544" s="456"/>
      <c r="T544" s="456"/>
      <c r="U544" s="456"/>
      <c r="V544" s="456"/>
      <c r="W544" s="456"/>
      <c r="X544" s="456"/>
      <c r="Y544" s="456"/>
      <c r="Z544" s="456"/>
      <c r="AA544" s="456"/>
      <c r="AB544" s="456"/>
      <c r="AC544" s="456"/>
      <c r="AD544" s="456"/>
      <c r="AE544" s="456"/>
      <c r="AF544" s="456"/>
      <c r="AG544" s="456"/>
      <c r="AH544" s="456"/>
      <c r="AI544" s="456"/>
      <c r="AJ544" s="456"/>
      <c r="AK544" s="456"/>
      <c r="AL544" s="456"/>
      <c r="AM544" s="461" t="s">
        <v>4426</v>
      </c>
      <c r="AN544" s="456"/>
      <c r="AO544" s="1222">
        <f>+SUM(AO543:AV543)</f>
        <v>0</v>
      </c>
      <c r="AP544" s="1222"/>
      <c r="AQ544" s="1222"/>
      <c r="AR544" s="1223"/>
      <c r="AS544" s="1223"/>
      <c r="AT544" s="1223"/>
      <c r="AU544" s="1223"/>
      <c r="AV544" s="1223"/>
    </row>
    <row r="545" spans="1:48" ht="22.5" hidden="1" customHeight="1" thickTop="1">
      <c r="A545" s="891">
        <f>+A542+1</f>
        <v>4</v>
      </c>
      <c r="B545" s="1043"/>
      <c r="C545" s="355" t="s">
        <v>4512</v>
      </c>
    </row>
    <row r="546" spans="1:48" s="354" customFormat="1" ht="15" hidden="1" customHeight="1">
      <c r="C546" s="542" t="str">
        <f t="shared" ref="C546:C553" si="50">+C338</f>
        <v>a) Cisterna (estimado):</v>
      </c>
      <c r="D546" s="543"/>
      <c r="E546" s="543"/>
      <c r="F546" s="543"/>
      <c r="G546" s="543"/>
      <c r="H546" s="543"/>
      <c r="I546" s="543"/>
      <c r="J546" s="543"/>
      <c r="K546" s="543"/>
      <c r="L546" s="543"/>
      <c r="M546" s="543"/>
      <c r="N546" s="543"/>
      <c r="O546" s="543"/>
      <c r="P546" s="543"/>
      <c r="Q546" s="543"/>
      <c r="R546" s="543"/>
      <c r="S546" s="543"/>
      <c r="T546" s="543"/>
      <c r="U546" s="543"/>
      <c r="V546" s="543"/>
      <c r="W546" s="543"/>
      <c r="X546" s="543"/>
      <c r="Y546" s="543"/>
      <c r="Z546" s="543"/>
      <c r="AA546" s="543"/>
      <c r="AB546" s="543"/>
      <c r="AC546" s="543"/>
      <c r="AD546" s="543"/>
      <c r="AE546" s="543"/>
      <c r="AF546" s="543"/>
      <c r="AG546" s="543"/>
      <c r="AH546" s="543"/>
      <c r="AI546" s="543"/>
      <c r="AJ546" s="543"/>
      <c r="AK546" s="543"/>
      <c r="AL546" s="543"/>
      <c r="AM546" s="543"/>
      <c r="AN546" s="543"/>
      <c r="AO546" s="543"/>
      <c r="AP546" s="543"/>
      <c r="AQ546" s="543"/>
      <c r="AR546" s="543"/>
      <c r="AS546" s="543"/>
      <c r="AT546" s="543"/>
      <c r="AU546" s="543"/>
      <c r="AV546" s="543"/>
    </row>
    <row r="547" spans="1:48" s="354" customFormat="1" ht="15" hidden="1" customHeight="1">
      <c r="C547" s="1117">
        <f t="shared" si="50"/>
        <v>0</v>
      </c>
      <c r="D547" s="1117"/>
      <c r="E547" s="1117"/>
      <c r="F547" s="1117"/>
      <c r="G547" s="1117"/>
      <c r="H547" s="1117"/>
      <c r="I547" s="354" t="str">
        <f>+I339</f>
        <v>m3</v>
      </c>
      <c r="L547" s="354" t="s">
        <v>4508</v>
      </c>
      <c r="M547" s="497"/>
      <c r="N547" s="1227">
        <f>+N339*M$78</f>
        <v>0</v>
      </c>
      <c r="O547" s="1227"/>
      <c r="P547" s="1227"/>
      <c r="Q547" s="1228"/>
      <c r="R547" s="1228"/>
      <c r="S547" s="1228"/>
      <c r="T547" s="496" t="str">
        <f>+T339</f>
        <v>/m3</v>
      </c>
      <c r="Y547" s="497" t="s">
        <v>4508</v>
      </c>
      <c r="AA547" s="1136">
        <f>+AA339</f>
        <v>1</v>
      </c>
      <c r="AB547" s="1136"/>
      <c r="AC547" s="739"/>
      <c r="AD547" s="739"/>
      <c r="AM547" s="496" t="s">
        <v>4426</v>
      </c>
      <c r="AO547" s="1220">
        <f>+C547*N547*AA547</f>
        <v>0</v>
      </c>
      <c r="AP547" s="1220"/>
      <c r="AQ547" s="1220"/>
      <c r="AR547" s="1221"/>
      <c r="AS547" s="1221"/>
      <c r="AT547" s="1221"/>
      <c r="AU547" s="1221"/>
      <c r="AV547" s="1221"/>
    </row>
    <row r="548" spans="1:48" s="354" customFormat="1" ht="15" hidden="1" customHeight="1">
      <c r="C548" s="542" t="str">
        <f t="shared" si="50"/>
        <v>b) Tanque elevado (estimado):</v>
      </c>
      <c r="D548" s="543"/>
      <c r="E548" s="543"/>
      <c r="F548" s="543"/>
      <c r="G548" s="543"/>
      <c r="H548" s="543"/>
      <c r="J548" s="543"/>
      <c r="K548" s="543"/>
      <c r="L548" s="543"/>
      <c r="M548" s="543"/>
      <c r="N548" s="543"/>
      <c r="O548" s="543"/>
      <c r="P548" s="543"/>
      <c r="Q548" s="543"/>
      <c r="R548" s="543"/>
      <c r="S548" s="543"/>
      <c r="T548" s="496"/>
      <c r="U548" s="543"/>
      <c r="V548" s="543"/>
      <c r="W548" s="543"/>
      <c r="X548" s="543"/>
      <c r="Y548" s="543"/>
      <c r="Z548" s="543"/>
      <c r="AA548" s="543"/>
      <c r="AB548" s="543"/>
      <c r="AC548" s="543"/>
      <c r="AD548" s="543"/>
      <c r="AE548" s="543"/>
      <c r="AF548" s="543"/>
      <c r="AG548" s="543"/>
      <c r="AH548" s="543"/>
      <c r="AI548" s="543"/>
      <c r="AJ548" s="543"/>
      <c r="AK548" s="543"/>
      <c r="AL548" s="543"/>
      <c r="AM548" s="543"/>
      <c r="AN548" s="543"/>
      <c r="AO548" s="543"/>
      <c r="AP548" s="543"/>
      <c r="AQ548" s="543"/>
      <c r="AR548" s="543"/>
      <c r="AS548" s="543"/>
      <c r="AT548" s="543"/>
      <c r="AU548" s="543"/>
      <c r="AV548" s="543"/>
    </row>
    <row r="549" spans="1:48" s="354" customFormat="1" ht="15" hidden="1" customHeight="1">
      <c r="C549" s="1117">
        <f t="shared" si="50"/>
        <v>0</v>
      </c>
      <c r="D549" s="1117"/>
      <c r="E549" s="1117"/>
      <c r="F549" s="1117"/>
      <c r="G549" s="1117"/>
      <c r="H549" s="1117"/>
      <c r="I549" s="354" t="str">
        <f>+I341</f>
        <v>m3</v>
      </c>
      <c r="L549" s="354" t="s">
        <v>4508</v>
      </c>
      <c r="M549" s="497"/>
      <c r="N549" s="1227">
        <f>+N341*M$78</f>
        <v>0</v>
      </c>
      <c r="O549" s="1227"/>
      <c r="P549" s="1227"/>
      <c r="Q549" s="1228"/>
      <c r="R549" s="1228"/>
      <c r="S549" s="1228"/>
      <c r="T549" s="496" t="str">
        <f>+T341</f>
        <v>/m3</v>
      </c>
      <c r="Y549" s="497" t="s">
        <v>4508</v>
      </c>
      <c r="AA549" s="1136">
        <f>+AA341</f>
        <v>1</v>
      </c>
      <c r="AB549" s="1136"/>
      <c r="AC549" s="739"/>
      <c r="AD549" s="739"/>
      <c r="AM549" s="496" t="s">
        <v>4426</v>
      </c>
      <c r="AO549" s="1220">
        <f>+C549*N549*AA549</f>
        <v>0</v>
      </c>
      <c r="AP549" s="1220"/>
      <c r="AQ549" s="1220"/>
      <c r="AR549" s="1221"/>
      <c r="AS549" s="1221"/>
      <c r="AT549" s="1221"/>
      <c r="AU549" s="1221"/>
      <c r="AV549" s="1221"/>
    </row>
    <row r="550" spans="1:48" s="354" customFormat="1" ht="15" hidden="1" customHeight="1">
      <c r="C550" s="542" t="str">
        <f t="shared" si="50"/>
        <v>c) Cerco Perimétrico (estimado):</v>
      </c>
      <c r="D550" s="543"/>
      <c r="E550" s="543"/>
      <c r="F550" s="543"/>
      <c r="G550" s="543"/>
      <c r="H550" s="543"/>
      <c r="J550" s="543"/>
      <c r="K550" s="543"/>
      <c r="L550" s="543"/>
      <c r="M550" s="543"/>
      <c r="N550" s="543"/>
      <c r="O550" s="543"/>
      <c r="P550" s="543"/>
      <c r="Q550" s="543"/>
      <c r="R550" s="543"/>
      <c r="S550" s="543"/>
      <c r="T550" s="496"/>
      <c r="U550" s="543"/>
      <c r="V550" s="543"/>
      <c r="W550" s="543"/>
      <c r="X550" s="543"/>
      <c r="Y550" s="543"/>
      <c r="Z550" s="543"/>
      <c r="AA550" s="543"/>
      <c r="AB550" s="543"/>
      <c r="AC550" s="543"/>
      <c r="AD550" s="543"/>
      <c r="AE550" s="543"/>
      <c r="AF550" s="543"/>
      <c r="AG550" s="543"/>
      <c r="AH550" s="543"/>
      <c r="AI550" s="543"/>
      <c r="AJ550" s="543"/>
      <c r="AK550" s="543"/>
      <c r="AL550" s="543"/>
      <c r="AM550" s="543"/>
      <c r="AN550" s="543"/>
      <c r="AO550" s="543"/>
      <c r="AP550" s="543"/>
      <c r="AQ550" s="543"/>
      <c r="AR550" s="543"/>
      <c r="AS550" s="543"/>
      <c r="AT550" s="543"/>
      <c r="AU550" s="543"/>
      <c r="AV550" s="543"/>
    </row>
    <row r="551" spans="1:48" s="354" customFormat="1" ht="15" hidden="1" customHeight="1">
      <c r="C551" s="1117">
        <f t="shared" si="50"/>
        <v>0</v>
      </c>
      <c r="D551" s="1117"/>
      <c r="E551" s="1117"/>
      <c r="F551" s="1117"/>
      <c r="G551" s="1117"/>
      <c r="H551" s="1117"/>
      <c r="I551" s="354" t="str">
        <f>+I343</f>
        <v>ml</v>
      </c>
      <c r="L551" s="354" t="s">
        <v>4508</v>
      </c>
      <c r="M551" s="497"/>
      <c r="N551" s="1227">
        <f>+N343*M$78</f>
        <v>0</v>
      </c>
      <c r="O551" s="1227"/>
      <c r="P551" s="1227"/>
      <c r="Q551" s="1228"/>
      <c r="R551" s="1228"/>
      <c r="S551" s="1228"/>
      <c r="T551" s="496" t="str">
        <f>+T343</f>
        <v>/ml</v>
      </c>
      <c r="Y551" s="497" t="s">
        <v>4508</v>
      </c>
      <c r="AA551" s="1136">
        <f>+AA343</f>
        <v>1</v>
      </c>
      <c r="AB551" s="1136"/>
      <c r="AC551" s="739"/>
      <c r="AD551" s="739"/>
      <c r="AM551" s="496" t="s">
        <v>4426</v>
      </c>
      <c r="AO551" s="1220">
        <f>+C551*N551*AA551</f>
        <v>0</v>
      </c>
      <c r="AP551" s="1220"/>
      <c r="AQ551" s="1220"/>
      <c r="AR551" s="1221"/>
      <c r="AS551" s="1221"/>
      <c r="AT551" s="1221"/>
      <c r="AU551" s="1221"/>
      <c r="AV551" s="1221"/>
    </row>
    <row r="552" spans="1:48" s="354" customFormat="1" ht="15" hidden="1" customHeight="1">
      <c r="C552" s="542" t="str">
        <f t="shared" si="50"/>
        <v>d) Ascensor (estimado):</v>
      </c>
      <c r="D552" s="543"/>
      <c r="E552" s="543"/>
      <c r="F552" s="543"/>
      <c r="G552" s="543"/>
      <c r="H552" s="543"/>
      <c r="J552" s="543"/>
      <c r="K552" s="543"/>
      <c r="L552" s="543"/>
      <c r="M552" s="543"/>
      <c r="N552" s="543"/>
      <c r="O552" s="543"/>
      <c r="P552" s="543"/>
      <c r="Q552" s="543"/>
      <c r="R552" s="543"/>
      <c r="S552" s="543"/>
      <c r="T552" s="496"/>
      <c r="U552" s="543"/>
      <c r="V552" s="543"/>
      <c r="W552" s="543"/>
      <c r="X552" s="543"/>
      <c r="Y552" s="543"/>
      <c r="Z552" s="543"/>
      <c r="AA552" s="543"/>
      <c r="AB552" s="543"/>
      <c r="AC552" s="543"/>
      <c r="AD552" s="543"/>
      <c r="AE552" s="543"/>
      <c r="AF552" s="543"/>
      <c r="AG552" s="543"/>
      <c r="AH552" s="543"/>
      <c r="AI552" s="543"/>
      <c r="AJ552" s="543"/>
      <c r="AK552" s="543"/>
      <c r="AL552" s="543"/>
      <c r="AM552" s="543"/>
      <c r="AN552" s="543"/>
      <c r="AO552" s="543"/>
      <c r="AP552" s="543"/>
      <c r="AQ552" s="543"/>
      <c r="AR552" s="543"/>
      <c r="AS552" s="543"/>
      <c r="AT552" s="543"/>
      <c r="AU552" s="543"/>
      <c r="AV552" s="543"/>
    </row>
    <row r="553" spans="1:48" s="354" customFormat="1" ht="15" hidden="1" customHeight="1">
      <c r="C553" s="1117">
        <f t="shared" si="50"/>
        <v>0</v>
      </c>
      <c r="D553" s="1117"/>
      <c r="E553" s="1117"/>
      <c r="F553" s="1117"/>
      <c r="G553" s="1117"/>
      <c r="H553" s="1117"/>
      <c r="I553" s="354" t="str">
        <f>+I345</f>
        <v>Und</v>
      </c>
      <c r="L553" s="354" t="s">
        <v>4508</v>
      </c>
      <c r="M553" s="497"/>
      <c r="N553" s="1227">
        <f>+N345*M$78</f>
        <v>0</v>
      </c>
      <c r="O553" s="1227"/>
      <c r="P553" s="1227"/>
      <c r="Q553" s="1228"/>
      <c r="R553" s="1228"/>
      <c r="S553" s="1228"/>
      <c r="T553" s="496" t="str">
        <f>+T345</f>
        <v>/Und</v>
      </c>
      <c r="Y553" s="497" t="s">
        <v>4508</v>
      </c>
      <c r="AA553" s="1136">
        <f>+AA345</f>
        <v>1</v>
      </c>
      <c r="AB553" s="1136"/>
      <c r="AC553" s="739"/>
      <c r="AD553" s="739"/>
      <c r="AM553" s="496" t="s">
        <v>4426</v>
      </c>
      <c r="AO553" s="1232">
        <f>+C553*N553*AA553</f>
        <v>0</v>
      </c>
      <c r="AP553" s="1232"/>
      <c r="AQ553" s="1232"/>
      <c r="AR553" s="1233"/>
      <c r="AS553" s="1233"/>
      <c r="AT553" s="1233"/>
      <c r="AU553" s="1233"/>
      <c r="AV553" s="1233"/>
    </row>
    <row r="554" spans="1:48" s="354" customFormat="1" hidden="1">
      <c r="C554" s="313" t="s">
        <v>4521</v>
      </c>
      <c r="D554" s="398"/>
      <c r="E554" s="398"/>
      <c r="F554" s="398"/>
      <c r="G554" s="398"/>
      <c r="H554" s="398"/>
      <c r="M554" s="497"/>
      <c r="N554" s="545"/>
      <c r="O554" s="545"/>
      <c r="P554" s="546"/>
      <c r="Q554" s="299"/>
      <c r="R554" s="299"/>
      <c r="S554" s="299"/>
      <c r="T554" s="496"/>
      <c r="Y554" s="497"/>
      <c r="AA554" s="544"/>
      <c r="AB554" s="544"/>
      <c r="AC554" s="261"/>
      <c r="AD554" s="261"/>
      <c r="AM554" s="496" t="s">
        <v>4426</v>
      </c>
      <c r="AO554" s="1220">
        <f>SUM(AO547:AV553)</f>
        <v>0</v>
      </c>
      <c r="AP554" s="1220"/>
      <c r="AQ554" s="1220"/>
      <c r="AR554" s="1221"/>
      <c r="AS554" s="1221"/>
      <c r="AT554" s="1221"/>
      <c r="AU554" s="1221"/>
      <c r="AV554" s="1221"/>
    </row>
    <row r="555" spans="1:48" s="354" customFormat="1" hidden="1">
      <c r="C555" s="398" t="str">
        <f>+C347</f>
        <v>Porcentaje de áreas comunes correspondiente al inmueble %</v>
      </c>
      <c r="D555" s="398"/>
      <c r="E555" s="398"/>
      <c r="F555" s="398"/>
      <c r="G555" s="398"/>
      <c r="H555" s="398"/>
      <c r="M555" s="497"/>
      <c r="N555" s="545"/>
      <c r="O555" s="545"/>
      <c r="P555" s="546"/>
      <c r="Q555" s="299"/>
      <c r="R555" s="299"/>
      <c r="S555" s="299"/>
      <c r="T555" s="496"/>
      <c r="Y555" s="497"/>
      <c r="AA555" s="544"/>
      <c r="AB555" s="544"/>
      <c r="AC555" s="261"/>
      <c r="AD555" s="261"/>
      <c r="AM555" s="496"/>
      <c r="AO555" s="532"/>
      <c r="AP555" s="532"/>
      <c r="AQ555" s="532"/>
      <c r="AR555" s="261"/>
      <c r="AS555" s="261"/>
      <c r="AT555" s="261"/>
      <c r="AU555" s="261"/>
      <c r="AV555" s="261"/>
    </row>
    <row r="556" spans="1:48" s="354" customFormat="1" hidden="1">
      <c r="C556" s="1143">
        <f>+C348</f>
        <v>0</v>
      </c>
      <c r="D556" s="1143"/>
      <c r="E556" s="1143"/>
      <c r="F556" s="1143"/>
      <c r="G556" s="1143"/>
      <c r="H556" s="1143"/>
      <c r="I556" s="1143"/>
      <c r="K556" s="354" t="s">
        <v>4508</v>
      </c>
      <c r="M556" s="497"/>
      <c r="N556" s="545"/>
      <c r="O556" s="545"/>
      <c r="P556" s="546"/>
      <c r="Q556" s="1219">
        <f>+AO554</f>
        <v>0</v>
      </c>
      <c r="R556" s="1219"/>
      <c r="S556" s="1219"/>
      <c r="T556" s="1219"/>
      <c r="U556" s="1219"/>
      <c r="V556" s="1219"/>
      <c r="W556" s="1219"/>
      <c r="X556" s="1219"/>
      <c r="Y556" s="497"/>
      <c r="AA556" s="544"/>
      <c r="AB556" s="544"/>
      <c r="AC556" s="261"/>
      <c r="AD556" s="261"/>
      <c r="AM556" s="496" t="s">
        <v>4426</v>
      </c>
      <c r="AO556" s="1220">
        <f>+C556*Q556</f>
        <v>0</v>
      </c>
      <c r="AP556" s="1220"/>
      <c r="AQ556" s="1220"/>
      <c r="AR556" s="1221"/>
      <c r="AS556" s="1221"/>
      <c r="AT556" s="1221"/>
      <c r="AU556" s="1221"/>
      <c r="AV556" s="1221"/>
    </row>
    <row r="557" spans="1:48" s="336" customFormat="1" ht="15" hidden="1" customHeight="1" thickBot="1">
      <c r="C557" s="454" t="str">
        <f>+C545</f>
        <v>VALOR DE LAS OBRAS COMPLEMENTARIAS</v>
      </c>
      <c r="D557" s="455"/>
      <c r="E557" s="455"/>
      <c r="F557" s="455"/>
      <c r="G557" s="456"/>
      <c r="H557" s="457"/>
      <c r="I557" s="458"/>
      <c r="J557" s="459"/>
      <c r="K557" s="460"/>
      <c r="L557" s="456"/>
      <c r="M557" s="456"/>
      <c r="N557" s="456"/>
      <c r="O557" s="456"/>
      <c r="P557" s="456"/>
      <c r="Q557" s="456"/>
      <c r="R557" s="456"/>
      <c r="S557" s="456"/>
      <c r="T557" s="456"/>
      <c r="U557" s="456"/>
      <c r="V557" s="456"/>
      <c r="W557" s="456"/>
      <c r="X557" s="456"/>
      <c r="Y557" s="456"/>
      <c r="Z557" s="456"/>
      <c r="AA557" s="456"/>
      <c r="AB557" s="456"/>
      <c r="AC557" s="456"/>
      <c r="AD557" s="456"/>
      <c r="AE557" s="456"/>
      <c r="AF557" s="456"/>
      <c r="AG557" s="456"/>
      <c r="AH557" s="456"/>
      <c r="AI557" s="456"/>
      <c r="AJ557" s="456"/>
      <c r="AK557" s="456"/>
      <c r="AL557" s="456"/>
      <c r="AM557" s="461" t="s">
        <v>4426</v>
      </c>
      <c r="AN557" s="456"/>
      <c r="AO557" s="1222">
        <f>+AO556</f>
        <v>0</v>
      </c>
      <c r="AP557" s="1222"/>
      <c r="AQ557" s="1222"/>
      <c r="AR557" s="1223"/>
      <c r="AS557" s="1223"/>
      <c r="AT557" s="1223"/>
      <c r="AU557" s="1223"/>
      <c r="AV557" s="1223"/>
    </row>
    <row r="558" spans="1:48" ht="18.75" hidden="1" customHeight="1" thickTop="1">
      <c r="A558" s="891">
        <f>+A545+1</f>
        <v>5</v>
      </c>
      <c r="B558" s="1043"/>
      <c r="C558" s="355" t="str">
        <f>+C350</f>
        <v>VALOR DEL ESTACIONAMIENTO Nº …</v>
      </c>
    </row>
    <row r="559" spans="1:48" s="354" customFormat="1" ht="15.95" hidden="1" customHeight="1">
      <c r="C559" s="1117">
        <f>+C351</f>
        <v>1</v>
      </c>
      <c r="D559" s="1117"/>
      <c r="E559" s="1117"/>
      <c r="F559" s="1117"/>
      <c r="G559" s="1117"/>
      <c r="H559" s="1117"/>
      <c r="I559" s="354" t="s">
        <v>4520</v>
      </c>
      <c r="L559" s="354" t="s">
        <v>4508</v>
      </c>
      <c r="M559" s="497"/>
      <c r="N559" s="1227">
        <f>+N351*$M$78</f>
        <v>0</v>
      </c>
      <c r="O559" s="1227"/>
      <c r="P559" s="1227"/>
      <c r="Q559" s="1228"/>
      <c r="R559" s="1228"/>
      <c r="S559" s="1228"/>
      <c r="T559" s="496" t="s">
        <v>4511</v>
      </c>
      <c r="Y559" s="497"/>
      <c r="AA559" s="398"/>
      <c r="AB559" s="398"/>
      <c r="AC559" s="261"/>
      <c r="AD559" s="261"/>
      <c r="AM559" s="496" t="s">
        <v>4426</v>
      </c>
      <c r="AO559" s="1220">
        <f>+C559*N559</f>
        <v>0</v>
      </c>
      <c r="AP559" s="1220"/>
      <c r="AQ559" s="1220"/>
      <c r="AR559" s="1221"/>
      <c r="AS559" s="1221"/>
      <c r="AT559" s="1221"/>
      <c r="AU559" s="1221"/>
      <c r="AV559" s="1221"/>
    </row>
    <row r="560" spans="1:48" s="336" customFormat="1" ht="15" hidden="1" customHeight="1" thickBot="1">
      <c r="C560" s="454" t="str">
        <f>+C558</f>
        <v>VALOR DEL ESTACIONAMIENTO Nº …</v>
      </c>
      <c r="D560" s="455"/>
      <c r="E560" s="455"/>
      <c r="F560" s="455"/>
      <c r="G560" s="456"/>
      <c r="H560" s="457"/>
      <c r="I560" s="458"/>
      <c r="J560" s="459"/>
      <c r="K560" s="460"/>
      <c r="L560" s="456"/>
      <c r="M560" s="456"/>
      <c r="N560" s="456"/>
      <c r="O560" s="456"/>
      <c r="P560" s="456"/>
      <c r="Q560" s="456"/>
      <c r="R560" s="456"/>
      <c r="S560" s="456"/>
      <c r="T560" s="456"/>
      <c r="U560" s="456"/>
      <c r="V560" s="456"/>
      <c r="W560" s="456"/>
      <c r="X560" s="456"/>
      <c r="Y560" s="456"/>
      <c r="Z560" s="456"/>
      <c r="AA560" s="456"/>
      <c r="AB560" s="456"/>
      <c r="AC560" s="456"/>
      <c r="AD560" s="456"/>
      <c r="AE560" s="456"/>
      <c r="AF560" s="456"/>
      <c r="AG560" s="456"/>
      <c r="AH560" s="456"/>
      <c r="AI560" s="456"/>
      <c r="AJ560" s="456"/>
      <c r="AK560" s="456"/>
      <c r="AL560" s="456"/>
      <c r="AM560" s="461" t="s">
        <v>4426</v>
      </c>
      <c r="AN560" s="456"/>
      <c r="AO560" s="1222">
        <f>SUM(AO559:AV559)</f>
        <v>0</v>
      </c>
      <c r="AP560" s="1222"/>
      <c r="AQ560" s="1222"/>
      <c r="AR560" s="1223"/>
      <c r="AS560" s="1223"/>
      <c r="AT560" s="1223"/>
      <c r="AU560" s="1223"/>
      <c r="AV560" s="1223"/>
    </row>
    <row r="561" spans="1:48" ht="18.75" hidden="1" customHeight="1" thickTop="1">
      <c r="A561" s="891">
        <f>+A558+1</f>
        <v>6</v>
      </c>
      <c r="B561" s="1043"/>
      <c r="C561" s="355" t="str">
        <f>+C353</f>
        <v>VALOR DEL DEPOSITO Nº ..</v>
      </c>
    </row>
    <row r="562" spans="1:48" s="354" customFormat="1" ht="15.95" hidden="1" customHeight="1">
      <c r="C562" s="1117">
        <f>+C354</f>
        <v>1</v>
      </c>
      <c r="D562" s="1117"/>
      <c r="E562" s="1117"/>
      <c r="F562" s="1117"/>
      <c r="G562" s="1117"/>
      <c r="H562" s="1117"/>
      <c r="I562" s="354" t="s">
        <v>4520</v>
      </c>
      <c r="L562" s="354" t="s">
        <v>4508</v>
      </c>
      <c r="M562" s="497"/>
      <c r="N562" s="1227">
        <f>+N354*$M$78</f>
        <v>0</v>
      </c>
      <c r="O562" s="1227"/>
      <c r="P562" s="1227"/>
      <c r="Q562" s="1228"/>
      <c r="R562" s="1228"/>
      <c r="S562" s="1228"/>
      <c r="T562" s="496" t="s">
        <v>4511</v>
      </c>
      <c r="Y562" s="497"/>
      <c r="AA562" s="398"/>
      <c r="AB562" s="398"/>
      <c r="AC562" s="261"/>
      <c r="AD562" s="261"/>
      <c r="AM562" s="496" t="s">
        <v>4426</v>
      </c>
      <c r="AO562" s="1220">
        <f>+C562*N562</f>
        <v>0</v>
      </c>
      <c r="AP562" s="1220"/>
      <c r="AQ562" s="1220"/>
      <c r="AR562" s="1221"/>
      <c r="AS562" s="1221"/>
      <c r="AT562" s="1221"/>
      <c r="AU562" s="1221"/>
      <c r="AV562" s="1221"/>
    </row>
    <row r="563" spans="1:48" s="336" customFormat="1" ht="15" hidden="1" customHeight="1" thickBot="1">
      <c r="C563" s="454" t="str">
        <f>+C561</f>
        <v>VALOR DEL DEPOSITO Nº ..</v>
      </c>
      <c r="D563" s="455"/>
      <c r="E563" s="455"/>
      <c r="F563" s="455"/>
      <c r="G563" s="456"/>
      <c r="H563" s="457"/>
      <c r="I563" s="458"/>
      <c r="J563" s="459"/>
      <c r="K563" s="460"/>
      <c r="L563" s="456"/>
      <c r="M563" s="456"/>
      <c r="N563" s="456"/>
      <c r="O563" s="456"/>
      <c r="P563" s="456"/>
      <c r="Q563" s="456"/>
      <c r="R563" s="456"/>
      <c r="S563" s="456"/>
      <c r="T563" s="456"/>
      <c r="U563" s="456"/>
      <c r="V563" s="456"/>
      <c r="W563" s="456"/>
      <c r="X563" s="456"/>
      <c r="Y563" s="456"/>
      <c r="Z563" s="456"/>
      <c r="AA563" s="456"/>
      <c r="AB563" s="456"/>
      <c r="AC563" s="456"/>
      <c r="AD563" s="456"/>
      <c r="AE563" s="456"/>
      <c r="AF563" s="456"/>
      <c r="AG563" s="456"/>
      <c r="AH563" s="456"/>
      <c r="AI563" s="456"/>
      <c r="AJ563" s="456"/>
      <c r="AK563" s="456"/>
      <c r="AL563" s="456"/>
      <c r="AM563" s="461" t="s">
        <v>4426</v>
      </c>
      <c r="AN563" s="456"/>
      <c r="AO563" s="1222">
        <f>SUM(AO562:AV562)</f>
        <v>0</v>
      </c>
      <c r="AP563" s="1222"/>
      <c r="AQ563" s="1222"/>
      <c r="AR563" s="1223"/>
      <c r="AS563" s="1223"/>
      <c r="AT563" s="1223"/>
      <c r="AU563" s="1223"/>
      <c r="AV563" s="1223"/>
    </row>
    <row r="564" spans="1:48" s="336" customFormat="1" ht="30" customHeight="1">
      <c r="A564" s="354"/>
      <c r="B564" s="354"/>
      <c r="C564" s="1230" t="s">
        <v>4560</v>
      </c>
      <c r="D564" s="1231"/>
      <c r="E564" s="1231"/>
      <c r="F564" s="1231"/>
      <c r="G564" s="1231"/>
      <c r="H564" s="1231"/>
      <c r="I564" s="1231"/>
      <c r="J564" s="1231"/>
      <c r="K564" s="1231"/>
      <c r="L564" s="1231"/>
      <c r="M564" s="1231"/>
      <c r="N564" s="1231"/>
      <c r="O564" s="1231"/>
      <c r="P564" s="1231"/>
      <c r="Q564" s="1231"/>
      <c r="R564" s="1231"/>
      <c r="S564" s="1231"/>
      <c r="T564" s="1231"/>
      <c r="U564" s="1231"/>
      <c r="V564" s="1231"/>
      <c r="W564" s="1231"/>
      <c r="X564" s="1231"/>
      <c r="Y564" s="1231"/>
      <c r="Z564" s="1231"/>
      <c r="AA564" s="1231"/>
      <c r="AB564" s="1231"/>
      <c r="AC564" s="1231"/>
      <c r="AD564" s="1231"/>
      <c r="AE564" s="1231"/>
      <c r="AF564" s="1231"/>
      <c r="AG564" s="1231"/>
      <c r="AH564" s="1231"/>
      <c r="AI564" s="1231"/>
      <c r="AJ564" s="1231"/>
      <c r="AK564" s="1231"/>
      <c r="AL564" s="1231"/>
      <c r="AM564" s="1231"/>
      <c r="AN564" s="1231"/>
      <c r="AO564" s="1231"/>
      <c r="AP564" s="1231"/>
      <c r="AQ564" s="1231"/>
      <c r="AR564" s="1231"/>
      <c r="AS564" s="1231"/>
      <c r="AT564" s="1231"/>
      <c r="AU564" s="1231"/>
      <c r="AV564" s="1231"/>
    </row>
    <row r="565" spans="1:48" s="336" customFormat="1" ht="15" hidden="1" customHeight="1">
      <c r="A565" s="1086" t="s">
        <v>4607</v>
      </c>
      <c r="B565" s="1086"/>
      <c r="C565" s="1084" t="s">
        <v>4524</v>
      </c>
      <c r="D565" s="1084"/>
      <c r="E565" s="1084"/>
      <c r="F565" s="1084"/>
      <c r="G565" s="1084"/>
      <c r="H565" s="1084"/>
      <c r="I565" s="1084"/>
      <c r="J565" s="1084"/>
      <c r="K565" s="1084"/>
      <c r="L565" s="1084"/>
      <c r="M565" s="1084"/>
      <c r="N565" s="1084"/>
      <c r="O565" s="1084"/>
      <c r="P565" s="1084"/>
      <c r="Q565" s="1084"/>
      <c r="R565" s="1084"/>
      <c r="S565" s="1084"/>
      <c r="T565" s="1084"/>
      <c r="U565" s="1084"/>
      <c r="V565" s="1084"/>
      <c r="W565" s="1084"/>
      <c r="X565" s="1084"/>
      <c r="Y565" s="1084"/>
      <c r="Z565" s="1084"/>
      <c r="AA565" s="1084"/>
      <c r="AB565" s="1084"/>
      <c r="AC565" s="1084"/>
      <c r="AD565" s="1084"/>
      <c r="AE565" s="1084"/>
      <c r="AF565" s="1084"/>
      <c r="AG565" s="1084"/>
      <c r="AH565" s="1084"/>
      <c r="AI565" s="1084"/>
      <c r="AJ565" s="1084"/>
      <c r="AK565" s="1084"/>
      <c r="AL565" s="1084"/>
      <c r="AM565" s="1084"/>
      <c r="AN565" s="1084"/>
      <c r="AO565" s="1084"/>
      <c r="AP565" s="1084"/>
      <c r="AQ565" s="1084"/>
      <c r="AR565" s="1084"/>
      <c r="AS565" s="1084"/>
      <c r="AT565" s="1084"/>
      <c r="AU565" s="1084"/>
      <c r="AV565" s="1084"/>
    </row>
    <row r="566" spans="1:48" s="336" customFormat="1" ht="13.5" hidden="1" customHeight="1">
      <c r="A566" s="261"/>
      <c r="B566" s="261"/>
      <c r="C566" s="330"/>
      <c r="D566" s="330"/>
      <c r="E566" s="261"/>
      <c r="F566" s="261"/>
      <c r="G566" s="261"/>
      <c r="H566" s="284"/>
      <c r="I566" s="284"/>
      <c r="J566" s="261"/>
      <c r="K566" s="331"/>
      <c r="L566" s="261"/>
      <c r="M566" s="261"/>
      <c r="N566" s="261"/>
      <c r="O566" s="261"/>
      <c r="P566" s="261"/>
      <c r="Q566" s="261"/>
      <c r="R566" s="261"/>
      <c r="S566" s="261"/>
      <c r="T566" s="331" t="str">
        <f>+S10</f>
        <v xml:space="preserve">  INFORME N°26</v>
      </c>
      <c r="U566" s="261"/>
      <c r="V566" s="332"/>
      <c r="W566" s="333"/>
      <c r="X566" s="261"/>
      <c r="Y566" s="261"/>
      <c r="Z566" s="261"/>
      <c r="AA566" s="261"/>
      <c r="AB566" s="261"/>
      <c r="AC566" s="1088">
        <f>+AB442</f>
        <v>0</v>
      </c>
      <c r="AD566" s="1146"/>
      <c r="AE566" s="1146"/>
      <c r="AF566" s="1146"/>
      <c r="AG566" s="1146"/>
      <c r="AH566" s="261"/>
      <c r="AI566" s="261"/>
      <c r="AJ566" s="261"/>
      <c r="AK566" s="261"/>
      <c r="AL566" s="261"/>
      <c r="AM566" s="261"/>
      <c r="AN566" s="261"/>
      <c r="AO566" s="261"/>
      <c r="AP566" s="261"/>
      <c r="AQ566" s="261"/>
      <c r="AR566" s="261"/>
      <c r="AS566" s="261"/>
      <c r="AT566" s="261"/>
      <c r="AU566" s="261"/>
      <c r="AV566" s="261"/>
    </row>
    <row r="567" spans="1:48" s="336" customFormat="1" ht="13.5" hidden="1" customHeight="1">
      <c r="A567" s="891">
        <v>1</v>
      </c>
      <c r="B567" s="892"/>
      <c r="C567" s="355" t="s">
        <v>4561</v>
      </c>
      <c r="D567" s="261"/>
      <c r="E567" s="261"/>
      <c r="F567" s="261"/>
      <c r="G567" s="261"/>
      <c r="H567" s="261"/>
      <c r="I567" s="261"/>
      <c r="J567" s="261"/>
      <c r="K567" s="261"/>
      <c r="L567" s="261"/>
      <c r="M567" s="261"/>
      <c r="N567" s="261"/>
      <c r="O567" s="261"/>
      <c r="P567" s="261"/>
      <c r="Q567" s="261"/>
      <c r="R567" s="261"/>
      <c r="S567" s="261"/>
      <c r="T567" s="261"/>
      <c r="U567" s="261"/>
      <c r="V567" s="261"/>
      <c r="W567" s="261"/>
      <c r="X567" s="261"/>
      <c r="Y567" s="261"/>
      <c r="Z567" s="261"/>
      <c r="AA567" s="261"/>
      <c r="AB567" s="261"/>
      <c r="AC567" s="261"/>
      <c r="AD567" s="261"/>
      <c r="AE567" s="261"/>
      <c r="AF567" s="261"/>
      <c r="AG567" s="261"/>
      <c r="AH567" s="261"/>
      <c r="AI567" s="261"/>
      <c r="AJ567" s="261"/>
      <c r="AK567" s="261"/>
      <c r="AL567" s="261"/>
      <c r="AM567" s="261"/>
      <c r="AN567" s="261"/>
      <c r="AO567" s="261"/>
      <c r="AP567" s="261"/>
      <c r="AQ567" s="261"/>
      <c r="AR567" s="261"/>
      <c r="AS567" s="261"/>
      <c r="AT567" s="261"/>
      <c r="AU567" s="261"/>
      <c r="AV567" s="261"/>
    </row>
    <row r="568" spans="1:48" s="336" customFormat="1" ht="9.9499999999999993" hidden="1" customHeight="1">
      <c r="A568" s="353"/>
      <c r="B568" s="354"/>
      <c r="C568" s="355"/>
      <c r="D568" s="261"/>
      <c r="E568" s="261"/>
      <c r="F568" s="261"/>
      <c r="G568" s="261"/>
      <c r="H568" s="261"/>
      <c r="I568" s="261"/>
      <c r="J568" s="261"/>
      <c r="K568" s="261"/>
      <c r="L568" s="261"/>
      <c r="M568" s="261"/>
      <c r="N568" s="261"/>
      <c r="O568" s="261"/>
      <c r="P568" s="261"/>
      <c r="Q568" s="261"/>
      <c r="R568" s="261"/>
      <c r="S568" s="261"/>
      <c r="T568" s="261"/>
      <c r="U568" s="261"/>
      <c r="V568" s="261"/>
      <c r="W568" s="261"/>
      <c r="X568" s="261"/>
      <c r="Y568" s="261"/>
      <c r="Z568" s="261"/>
      <c r="AA568" s="261"/>
      <c r="AB568" s="261"/>
      <c r="AC568" s="261"/>
      <c r="AD568" s="261"/>
      <c r="AE568" s="261"/>
      <c r="AF568" s="261"/>
      <c r="AG568" s="261"/>
      <c r="AH568" s="261"/>
      <c r="AI568" s="261"/>
      <c r="AJ568" s="261"/>
      <c r="AK568" s="261"/>
      <c r="AL568" s="261"/>
      <c r="AM568" s="261"/>
      <c r="AN568" s="261"/>
      <c r="AO568" s="261"/>
      <c r="AP568" s="261"/>
      <c r="AQ568" s="261"/>
      <c r="AR568" s="261"/>
      <c r="AS568" s="261"/>
      <c r="AT568" s="261"/>
      <c r="AU568" s="261"/>
      <c r="AV568" s="261"/>
    </row>
    <row r="569" spans="1:48" s="336" customFormat="1" ht="13.5" hidden="1" customHeight="1">
      <c r="A569" s="261"/>
      <c r="B569" s="261"/>
      <c r="C569" s="480" t="s">
        <v>4562</v>
      </c>
      <c r="D569" s="547"/>
      <c r="E569" s="480"/>
      <c r="F569" s="480"/>
      <c r="G569" s="480"/>
      <c r="H569" s="548"/>
      <c r="I569" s="548"/>
      <c r="J569" s="480"/>
      <c r="K569" s="549"/>
      <c r="L569" s="480"/>
      <c r="M569" s="480"/>
      <c r="N569" s="480"/>
      <c r="O569" s="480"/>
      <c r="P569" s="480"/>
      <c r="Q569" s="480"/>
      <c r="R569" s="480"/>
      <c r="S569" s="480"/>
      <c r="T569" s="549"/>
      <c r="U569" s="480"/>
      <c r="V569" s="550"/>
      <c r="W569" s="551"/>
      <c r="X569" s="480"/>
      <c r="Y569" s="480"/>
      <c r="Z569" s="480"/>
      <c r="AA569" s="480"/>
      <c r="AB569" s="480"/>
      <c r="AC569" s="550"/>
      <c r="AD569" s="480"/>
      <c r="AE569" s="480"/>
      <c r="AF569" s="480"/>
      <c r="AG569" s="480"/>
      <c r="AH569" s="480"/>
      <c r="AI569" s="480"/>
      <c r="AJ569" s="480"/>
      <c r="AK569" s="480"/>
      <c r="AL569" s="480"/>
      <c r="AM569" s="480"/>
      <c r="AN569" s="480"/>
      <c r="AO569" s="480"/>
      <c r="AP569" s="480"/>
      <c r="AQ569" s="480"/>
      <c r="AR569" s="480"/>
      <c r="AS569" s="480"/>
      <c r="AT569" s="480"/>
      <c r="AU569" s="480"/>
      <c r="AV569" s="480"/>
    </row>
    <row r="570" spans="1:48" s="336" customFormat="1" ht="25.5" hidden="1" customHeight="1">
      <c r="A570" s="891">
        <f>A567+1</f>
        <v>2</v>
      </c>
      <c r="B570" s="892"/>
      <c r="C570" s="658" t="str">
        <f>+C541</f>
        <v>VALOR DE LA EDIFICACION</v>
      </c>
      <c r="D570" s="261"/>
      <c r="E570" s="261"/>
      <c r="F570" s="261"/>
      <c r="G570" s="261"/>
      <c r="H570" s="261"/>
      <c r="I570" s="261"/>
      <c r="J570" s="261"/>
      <c r="K570" s="261"/>
      <c r="L570" s="261"/>
      <c r="M570" s="261"/>
      <c r="N570" s="261"/>
      <c r="O570" s="261"/>
      <c r="P570" s="261"/>
      <c r="Q570" s="261"/>
      <c r="R570" s="261"/>
      <c r="S570" s="261"/>
      <c r="T570" s="261"/>
      <c r="U570" s="261"/>
      <c r="V570" s="261"/>
      <c r="W570" s="261"/>
      <c r="X570" s="261"/>
      <c r="Y570" s="261"/>
      <c r="Z570" s="261"/>
      <c r="AA570" s="261"/>
      <c r="AB570" s="261"/>
      <c r="AC570" s="261"/>
      <c r="AD570" s="261"/>
      <c r="AE570" s="261"/>
      <c r="AF570" s="261"/>
      <c r="AG570" s="261"/>
      <c r="AH570" s="261"/>
      <c r="AI570" s="261"/>
      <c r="AJ570" s="261"/>
      <c r="AK570" s="261"/>
      <c r="AL570" s="261"/>
      <c r="AM570" s="261"/>
      <c r="AN570" s="261"/>
      <c r="AO570" s="261"/>
      <c r="AP570" s="261"/>
      <c r="AQ570" s="261"/>
      <c r="AR570" s="261"/>
      <c r="AS570" s="261"/>
      <c r="AT570" s="261"/>
      <c r="AU570" s="261"/>
      <c r="AV570" s="261"/>
    </row>
    <row r="571" spans="1:48" s="336" customFormat="1" ht="20.100000000000001" hidden="1" customHeight="1">
      <c r="A571" s="353"/>
      <c r="B571" s="354"/>
      <c r="C571" s="659" t="str">
        <f t="shared" ref="C571:C576" si="51">+C535</f>
        <v>Primer piso</v>
      </c>
      <c r="D571" s="261"/>
      <c r="E571" s="261"/>
      <c r="F571" s="261"/>
      <c r="G571" s="261"/>
      <c r="H571" s="261"/>
      <c r="I571" s="261"/>
      <c r="J571" s="261"/>
      <c r="K571" s="261"/>
      <c r="L571" s="261"/>
      <c r="M571" s="261"/>
      <c r="N571" s="261"/>
      <c r="O571" s="261"/>
      <c r="P571" s="261"/>
      <c r="Q571" s="261"/>
      <c r="R571" s="261"/>
      <c r="S571" s="261"/>
      <c r="T571" s="261"/>
      <c r="U571" s="261"/>
      <c r="V571" s="261"/>
      <c r="W571" s="261"/>
      <c r="X571" s="261"/>
      <c r="Y571" s="261"/>
      <c r="Z571" s="261"/>
      <c r="AA571" s="261"/>
      <c r="AB571" s="261"/>
      <c r="AC571" s="261"/>
      <c r="AD571" s="261"/>
      <c r="AE571" s="261"/>
      <c r="AF571" s="261"/>
      <c r="AG571" s="261"/>
      <c r="AH571" s="261"/>
      <c r="AI571" s="261"/>
      <c r="AJ571" s="261"/>
      <c r="AK571" s="261"/>
      <c r="AL571" s="261"/>
      <c r="AM571" s="261"/>
      <c r="AN571" s="261"/>
      <c r="AO571" s="261"/>
      <c r="AP571" s="261"/>
      <c r="AQ571" s="261"/>
      <c r="AR571" s="261"/>
      <c r="AS571" s="261"/>
      <c r="AT571" s="261"/>
      <c r="AU571" s="261"/>
      <c r="AV571" s="261"/>
    </row>
    <row r="572" spans="1:48" s="336" customFormat="1" hidden="1">
      <c r="A572" s="354"/>
      <c r="B572" s="354"/>
      <c r="C572" s="1218">
        <f t="shared" si="51"/>
        <v>0</v>
      </c>
      <c r="D572" s="1218"/>
      <c r="E572" s="1218"/>
      <c r="F572" s="1218"/>
      <c r="G572" s="1218"/>
      <c r="H572" s="1218"/>
      <c r="I572" s="398" t="str">
        <f>+I536</f>
        <v>m2</v>
      </c>
      <c r="J572" s="354"/>
      <c r="K572" s="354"/>
      <c r="L572" s="354"/>
      <c r="M572" s="354" t="s">
        <v>4508</v>
      </c>
      <c r="N572" s="497"/>
      <c r="O572" s="1219">
        <f>+N536</f>
        <v>0</v>
      </c>
      <c r="P572" s="1219"/>
      <c r="Q572" s="1219"/>
      <c r="R572" s="1219"/>
      <c r="S572" s="1219"/>
      <c r="T572" s="1219"/>
      <c r="U572" s="1219"/>
      <c r="V572" s="1219"/>
      <c r="W572" s="1219"/>
      <c r="X572" s="649" t="str">
        <f>+V536</f>
        <v>/m2</v>
      </c>
      <c r="Y572" s="649"/>
      <c r="Z572" s="497"/>
      <c r="AA572" s="354"/>
      <c r="AB572" s="398"/>
      <c r="AC572" s="398"/>
      <c r="AD572" s="261"/>
      <c r="AE572" s="261"/>
      <c r="AF572" s="354"/>
      <c r="AG572" s="354"/>
      <c r="AH572" s="354"/>
      <c r="AI572" s="354"/>
      <c r="AJ572" s="354"/>
      <c r="AK572" s="354"/>
      <c r="AL572" s="354"/>
      <c r="AM572" s="496" t="s">
        <v>4426</v>
      </c>
      <c r="AN572" s="496"/>
      <c r="AO572" s="1235">
        <f>+C572*O572</f>
        <v>0</v>
      </c>
      <c r="AP572" s="1235"/>
      <c r="AQ572" s="1235"/>
      <c r="AR572" s="1235"/>
      <c r="AS572" s="1235"/>
      <c r="AT572" s="1235"/>
      <c r="AU572" s="1235"/>
      <c r="AV572" s="1235"/>
    </row>
    <row r="573" spans="1:48" s="336" customFormat="1" ht="20.100000000000001" hidden="1" customHeight="1">
      <c r="A573" s="353"/>
      <c r="B573" s="354"/>
      <c r="C573" s="659" t="str">
        <f t="shared" si="51"/>
        <v>Segundo piso</v>
      </c>
      <c r="D573" s="261"/>
      <c r="E573" s="261"/>
      <c r="F573" s="261"/>
      <c r="G573" s="261"/>
      <c r="H573" s="261"/>
      <c r="I573" s="261"/>
      <c r="J573" s="261"/>
      <c r="K573" s="261"/>
      <c r="L573" s="261"/>
      <c r="M573" s="261"/>
      <c r="N573" s="261"/>
      <c r="O573" s="261"/>
      <c r="P573" s="261"/>
      <c r="Q573" s="261"/>
      <c r="R573" s="261"/>
      <c r="S573" s="261"/>
      <c r="T573" s="261"/>
      <c r="U573" s="261"/>
      <c r="V573" s="261"/>
      <c r="W573" s="261"/>
      <c r="X573" s="261"/>
      <c r="Y573" s="261"/>
      <c r="Z573" s="261"/>
      <c r="AA573" s="261"/>
      <c r="AB573" s="261"/>
      <c r="AC573" s="261"/>
      <c r="AD573" s="261"/>
      <c r="AE573" s="261"/>
      <c r="AF573" s="261"/>
      <c r="AG573" s="261"/>
      <c r="AH573" s="261"/>
      <c r="AI573" s="261"/>
      <c r="AJ573" s="261"/>
      <c r="AK573" s="261"/>
      <c r="AL573" s="261"/>
      <c r="AM573" s="261"/>
      <c r="AN573" s="261"/>
      <c r="AO573" s="261"/>
      <c r="AP573" s="261"/>
      <c r="AQ573" s="261"/>
      <c r="AR573" s="261"/>
      <c r="AS573" s="261"/>
      <c r="AT573" s="261"/>
      <c r="AU573" s="261"/>
      <c r="AV573" s="261"/>
    </row>
    <row r="574" spans="1:48" s="336" customFormat="1" hidden="1">
      <c r="A574" s="354"/>
      <c r="B574" s="354"/>
      <c r="C574" s="1218">
        <f t="shared" si="51"/>
        <v>0</v>
      </c>
      <c r="D574" s="1218"/>
      <c r="E574" s="1218"/>
      <c r="F574" s="1218"/>
      <c r="G574" s="1218"/>
      <c r="H574" s="1218"/>
      <c r="I574" s="398" t="str">
        <f>+I538</f>
        <v>m2</v>
      </c>
      <c r="J574" s="354"/>
      <c r="K574" s="354"/>
      <c r="L574" s="354"/>
      <c r="M574" s="354" t="s">
        <v>4508</v>
      </c>
      <c r="N574" s="497"/>
      <c r="O574" s="1219">
        <f>+N538</f>
        <v>0</v>
      </c>
      <c r="P574" s="1219"/>
      <c r="Q574" s="1219"/>
      <c r="R574" s="1219"/>
      <c r="S574" s="1219"/>
      <c r="T574" s="1219"/>
      <c r="U574" s="1219"/>
      <c r="V574" s="1219"/>
      <c r="W574" s="1219"/>
      <c r="X574" s="649" t="str">
        <f>+V538</f>
        <v>/m2</v>
      </c>
      <c r="Y574" s="649"/>
      <c r="Z574" s="497"/>
      <c r="AA574" s="354"/>
      <c r="AB574" s="398"/>
      <c r="AC574" s="398"/>
      <c r="AD574" s="261"/>
      <c r="AE574" s="261"/>
      <c r="AF574" s="354"/>
      <c r="AG574" s="354"/>
      <c r="AH574" s="354"/>
      <c r="AI574" s="354"/>
      <c r="AJ574" s="354"/>
      <c r="AK574" s="354"/>
      <c r="AL574" s="354"/>
      <c r="AM574" s="496" t="s">
        <v>4426</v>
      </c>
      <c r="AN574" s="496"/>
      <c r="AO574" s="1235">
        <f>+C574*O574</f>
        <v>0</v>
      </c>
      <c r="AP574" s="1235"/>
      <c r="AQ574" s="1235"/>
      <c r="AR574" s="1235"/>
      <c r="AS574" s="1235"/>
      <c r="AT574" s="1235"/>
      <c r="AU574" s="1235"/>
      <c r="AV574" s="1235"/>
    </row>
    <row r="575" spans="1:48" s="336" customFormat="1" ht="20.100000000000001" hidden="1" customHeight="1">
      <c r="A575" s="353"/>
      <c r="B575" s="354"/>
      <c r="C575" s="659" t="str">
        <f t="shared" si="51"/>
        <v>Tercer piso</v>
      </c>
      <c r="D575" s="261"/>
      <c r="E575" s="261"/>
      <c r="F575" s="261"/>
      <c r="G575" s="261"/>
      <c r="H575" s="261"/>
      <c r="I575" s="261"/>
      <c r="J575" s="261"/>
      <c r="K575" s="261"/>
      <c r="L575" s="261"/>
      <c r="M575" s="261"/>
      <c r="N575" s="261"/>
      <c r="O575" s="261"/>
      <c r="P575" s="261"/>
      <c r="Q575" s="261"/>
      <c r="R575" s="261"/>
      <c r="S575" s="261"/>
      <c r="T575" s="261"/>
      <c r="U575" s="261"/>
      <c r="V575" s="261"/>
      <c r="W575" s="261"/>
      <c r="X575" s="261"/>
      <c r="Y575" s="261"/>
      <c r="Z575" s="261"/>
      <c r="AA575" s="261"/>
      <c r="AB575" s="261"/>
      <c r="AC575" s="261"/>
      <c r="AD575" s="261"/>
      <c r="AE575" s="261"/>
      <c r="AF575" s="261"/>
      <c r="AG575" s="261"/>
      <c r="AH575" s="261"/>
      <c r="AI575" s="261"/>
      <c r="AJ575" s="261"/>
      <c r="AK575" s="261"/>
      <c r="AL575" s="261"/>
      <c r="AM575" s="261"/>
      <c r="AN575" s="261"/>
      <c r="AO575" s="261"/>
      <c r="AP575" s="261"/>
      <c r="AQ575" s="261"/>
      <c r="AR575" s="261"/>
      <c r="AS575" s="261"/>
      <c r="AT575" s="261"/>
      <c r="AU575" s="261"/>
      <c r="AV575" s="261"/>
    </row>
    <row r="576" spans="1:48" s="336" customFormat="1" hidden="1">
      <c r="A576" s="354"/>
      <c r="B576" s="354"/>
      <c r="C576" s="1218">
        <f t="shared" si="51"/>
        <v>0</v>
      </c>
      <c r="D576" s="1218"/>
      <c r="E576" s="1218"/>
      <c r="F576" s="1218"/>
      <c r="G576" s="1218"/>
      <c r="H576" s="1218"/>
      <c r="I576" s="398" t="str">
        <f>+I540</f>
        <v>m2</v>
      </c>
      <c r="J576" s="354"/>
      <c r="K576" s="354"/>
      <c r="L576" s="354"/>
      <c r="M576" s="354" t="s">
        <v>4508</v>
      </c>
      <c r="N576" s="497"/>
      <c r="O576" s="1219">
        <f>+N540</f>
        <v>0</v>
      </c>
      <c r="P576" s="1219"/>
      <c r="Q576" s="1219"/>
      <c r="R576" s="1219"/>
      <c r="S576" s="1219"/>
      <c r="T576" s="1219"/>
      <c r="U576" s="1219"/>
      <c r="V576" s="1219"/>
      <c r="W576" s="1219"/>
      <c r="X576" s="649" t="str">
        <f>+V540</f>
        <v>/m2</v>
      </c>
      <c r="Y576" s="649"/>
      <c r="Z576" s="497"/>
      <c r="AA576" s="354"/>
      <c r="AB576" s="398"/>
      <c r="AC576" s="398"/>
      <c r="AD576" s="261"/>
      <c r="AE576" s="261"/>
      <c r="AF576" s="354"/>
      <c r="AG576" s="354"/>
      <c r="AH576" s="354"/>
      <c r="AI576" s="354"/>
      <c r="AJ576" s="354"/>
      <c r="AK576" s="354"/>
      <c r="AL576" s="354"/>
      <c r="AM576" s="496" t="s">
        <v>4426</v>
      </c>
      <c r="AN576" s="496"/>
      <c r="AO576" s="1235">
        <f>+C576*O576</f>
        <v>0</v>
      </c>
      <c r="AP576" s="1235"/>
      <c r="AQ576" s="1235"/>
      <c r="AR576" s="1235"/>
      <c r="AS576" s="1235"/>
      <c r="AT576" s="1235"/>
      <c r="AU576" s="1235"/>
      <c r="AV576" s="1235"/>
    </row>
    <row r="577" spans="1:48" s="336" customFormat="1" ht="14.25" hidden="1" thickBot="1">
      <c r="A577" s="354"/>
      <c r="B577" s="354"/>
      <c r="C577" s="487" t="str">
        <f>+C570</f>
        <v>VALOR DE LA EDIFICACION</v>
      </c>
      <c r="D577" s="488"/>
      <c r="E577" s="488"/>
      <c r="F577" s="488"/>
      <c r="G577" s="489"/>
      <c r="H577" s="490"/>
      <c r="I577" s="490"/>
      <c r="J577" s="491"/>
      <c r="K577" s="492"/>
      <c r="L577" s="493"/>
      <c r="M577" s="489"/>
      <c r="N577" s="489"/>
      <c r="O577" s="489"/>
      <c r="P577" s="489"/>
      <c r="Q577" s="489"/>
      <c r="R577" s="489"/>
      <c r="S577" s="489"/>
      <c r="T577" s="489"/>
      <c r="U577" s="489"/>
      <c r="V577" s="489"/>
      <c r="W577" s="489"/>
      <c r="X577" s="489"/>
      <c r="Y577" s="489"/>
      <c r="Z577" s="489"/>
      <c r="AA577" s="489"/>
      <c r="AB577" s="489"/>
      <c r="AC577" s="489"/>
      <c r="AD577" s="489"/>
      <c r="AE577" s="489"/>
      <c r="AF577" s="489"/>
      <c r="AG577" s="489"/>
      <c r="AH577" s="489"/>
      <c r="AI577" s="489"/>
      <c r="AJ577" s="489"/>
      <c r="AK577" s="489"/>
      <c r="AL577" s="489"/>
      <c r="AM577" s="494" t="s">
        <v>4426</v>
      </c>
      <c r="AN577" s="494"/>
      <c r="AO577" s="1234">
        <f>SUM(AO572:AV576)</f>
        <v>0</v>
      </c>
      <c r="AP577" s="1234"/>
      <c r="AQ577" s="1234"/>
      <c r="AR577" s="1234"/>
      <c r="AS577" s="1234"/>
      <c r="AT577" s="1234"/>
      <c r="AU577" s="1234"/>
      <c r="AV577" s="1234"/>
    </row>
    <row r="578" spans="1:48" s="336" customFormat="1" ht="25.5" hidden="1" customHeight="1" thickTop="1">
      <c r="A578" s="891">
        <f>A570+1</f>
        <v>3</v>
      </c>
      <c r="B578" s="892"/>
      <c r="C578" s="355" t="s">
        <v>4608</v>
      </c>
      <c r="D578" s="261"/>
      <c r="E578" s="261"/>
      <c r="F578" s="261"/>
      <c r="G578" s="261"/>
      <c r="H578" s="261"/>
      <c r="I578" s="261"/>
      <c r="J578" s="261"/>
      <c r="K578" s="261"/>
      <c r="L578" s="261"/>
      <c r="M578" s="261"/>
      <c r="N578" s="261"/>
      <c r="O578" s="261"/>
      <c r="P578" s="261"/>
      <c r="Q578" s="261"/>
      <c r="R578" s="261"/>
      <c r="S578" s="261"/>
      <c r="T578" s="261"/>
      <c r="U578" s="261"/>
      <c r="V578" s="261"/>
      <c r="W578" s="261"/>
      <c r="X578" s="261"/>
      <c r="Y578" s="261"/>
      <c r="Z578" s="261"/>
      <c r="AA578" s="261"/>
      <c r="AB578" s="261"/>
      <c r="AC578" s="261"/>
      <c r="AD578" s="261"/>
      <c r="AE578" s="261"/>
      <c r="AF578" s="261"/>
      <c r="AG578" s="261"/>
      <c r="AH578" s="261"/>
      <c r="AI578" s="261"/>
      <c r="AJ578" s="261"/>
      <c r="AK578" s="261"/>
      <c r="AL578" s="261"/>
      <c r="AM578" s="261"/>
      <c r="AN578" s="261"/>
      <c r="AO578" s="261"/>
      <c r="AP578" s="261"/>
      <c r="AQ578" s="261"/>
      <c r="AR578" s="261"/>
      <c r="AS578" s="261"/>
      <c r="AT578" s="261"/>
      <c r="AU578" s="261"/>
      <c r="AV578" s="261"/>
    </row>
    <row r="579" spans="1:48" s="336" customFormat="1" hidden="1">
      <c r="A579" s="354"/>
      <c r="B579" s="354"/>
      <c r="C579" s="1229">
        <f>+C543</f>
        <v>0</v>
      </c>
      <c r="D579" s="1229"/>
      <c r="E579" s="1229"/>
      <c r="F579" s="1229"/>
      <c r="G579" s="1229"/>
      <c r="H579" s="1229"/>
      <c r="I579" s="398"/>
      <c r="J579" s="354"/>
      <c r="K579" s="354"/>
      <c r="L579" s="354"/>
      <c r="M579" s="354" t="s">
        <v>4508</v>
      </c>
      <c r="N579" s="497"/>
      <c r="O579" s="1219">
        <f>+AO577</f>
        <v>0</v>
      </c>
      <c r="P579" s="1219"/>
      <c r="Q579" s="1219"/>
      <c r="R579" s="1219"/>
      <c r="S579" s="1219"/>
      <c r="T579" s="1219"/>
      <c r="U579" s="1219"/>
      <c r="V579" s="1219"/>
      <c r="W579" s="1219"/>
      <c r="X579" s="1219"/>
      <c r="Y579" s="1219"/>
      <c r="Z579" s="497"/>
      <c r="AA579" s="354"/>
      <c r="AB579" s="398"/>
      <c r="AC579" s="398"/>
      <c r="AD579" s="261"/>
      <c r="AE579" s="261"/>
      <c r="AF579" s="354"/>
      <c r="AG579" s="354"/>
      <c r="AH579" s="354"/>
      <c r="AI579" s="354"/>
      <c r="AJ579" s="354"/>
      <c r="AK579" s="354"/>
      <c r="AL579" s="354"/>
      <c r="AM579" s="496" t="s">
        <v>4426</v>
      </c>
      <c r="AN579" s="496"/>
      <c r="AO579" s="1235">
        <f>+C579*O579</f>
        <v>0</v>
      </c>
      <c r="AP579" s="1235"/>
      <c r="AQ579" s="1235"/>
      <c r="AR579" s="1235"/>
      <c r="AS579" s="1235"/>
      <c r="AT579" s="1235"/>
      <c r="AU579" s="1235"/>
      <c r="AV579" s="1235"/>
    </row>
    <row r="580" spans="1:48" s="336" customFormat="1" ht="14.25" hidden="1" thickBot="1">
      <c r="A580" s="354"/>
      <c r="B580" s="354"/>
      <c r="C580" s="487" t="str">
        <f>+C578</f>
        <v>VALOR  DE LAS ÁREAS COMUNES</v>
      </c>
      <c r="D580" s="488"/>
      <c r="E580" s="488"/>
      <c r="F580" s="488"/>
      <c r="G580" s="489"/>
      <c r="H580" s="490"/>
      <c r="I580" s="490"/>
      <c r="J580" s="491"/>
      <c r="K580" s="492"/>
      <c r="L580" s="493"/>
      <c r="M580" s="489"/>
      <c r="N580" s="489"/>
      <c r="O580" s="489"/>
      <c r="P580" s="489"/>
      <c r="Q580" s="489"/>
      <c r="R580" s="489"/>
      <c r="S580" s="489"/>
      <c r="T580" s="489"/>
      <c r="U580" s="489"/>
      <c r="V580" s="489"/>
      <c r="W580" s="489"/>
      <c r="X580" s="489"/>
      <c r="Y580" s="489"/>
      <c r="Z580" s="489"/>
      <c r="AA580" s="489"/>
      <c r="AB580" s="489"/>
      <c r="AC580" s="489"/>
      <c r="AD580" s="489"/>
      <c r="AE580" s="489"/>
      <c r="AF580" s="489"/>
      <c r="AG580" s="489"/>
      <c r="AH580" s="489"/>
      <c r="AI580" s="489"/>
      <c r="AJ580" s="489"/>
      <c r="AK580" s="489"/>
      <c r="AL580" s="489"/>
      <c r="AM580" s="494" t="s">
        <v>4426</v>
      </c>
      <c r="AN580" s="494"/>
      <c r="AO580" s="1234">
        <f>SUM(AO579:AV579)</f>
        <v>0</v>
      </c>
      <c r="AP580" s="1234"/>
      <c r="AQ580" s="1234"/>
      <c r="AR580" s="1234"/>
      <c r="AS580" s="1234"/>
      <c r="AT580" s="1234"/>
      <c r="AU580" s="1234"/>
      <c r="AV580" s="1234"/>
    </row>
    <row r="581" spans="1:48" s="336" customFormat="1" ht="27.95" hidden="1" customHeight="1" thickTop="1">
      <c r="A581" s="891">
        <f>+A578+1</f>
        <v>4</v>
      </c>
      <c r="B581" s="892"/>
      <c r="C581" s="355" t="s">
        <v>4527</v>
      </c>
      <c r="D581" s="261"/>
      <c r="E581" s="261"/>
      <c r="F581" s="261"/>
      <c r="G581" s="261"/>
      <c r="H581" s="261"/>
      <c r="I581" s="261"/>
      <c r="J581" s="261"/>
      <c r="K581" s="261"/>
      <c r="L581" s="261"/>
      <c r="M581" s="261"/>
      <c r="N581" s="261"/>
      <c r="O581" s="261"/>
      <c r="P581" s="261"/>
      <c r="Q581" s="261"/>
      <c r="R581" s="261"/>
      <c r="S581" s="261"/>
      <c r="T581" s="261"/>
      <c r="U581" s="261"/>
      <c r="V581" s="261"/>
      <c r="W581" s="261"/>
      <c r="X581" s="261"/>
      <c r="Y581" s="261"/>
      <c r="Z581" s="261"/>
      <c r="AA581" s="261"/>
      <c r="AB581" s="261"/>
      <c r="AC581" s="261"/>
      <c r="AD581" s="261"/>
      <c r="AE581" s="261"/>
      <c r="AF581" s="261"/>
      <c r="AG581" s="261"/>
      <c r="AH581" s="261"/>
      <c r="AI581" s="261"/>
      <c r="AJ581" s="261"/>
      <c r="AK581" s="261"/>
      <c r="AL581" s="261"/>
      <c r="AM581" s="261"/>
      <c r="AN581" s="261"/>
      <c r="AO581" s="261"/>
      <c r="AP581" s="261"/>
      <c r="AQ581" s="261"/>
      <c r="AR581" s="261"/>
      <c r="AS581" s="261"/>
      <c r="AT581" s="261"/>
      <c r="AU581" s="261"/>
      <c r="AV581" s="261"/>
    </row>
    <row r="582" spans="1:48" s="336" customFormat="1" ht="15" hidden="1" customHeight="1">
      <c r="A582" s="354"/>
      <c r="B582" s="354"/>
      <c r="C582" s="542" t="str">
        <f>+C338</f>
        <v>a) Cisterna (estimado):</v>
      </c>
      <c r="D582" s="543"/>
      <c r="E582" s="543"/>
      <c r="F582" s="543"/>
      <c r="G582" s="543"/>
      <c r="H582" s="543"/>
      <c r="I582" s="543"/>
      <c r="J582" s="543"/>
      <c r="K582" s="543"/>
      <c r="L582" s="543"/>
      <c r="M582" s="543"/>
      <c r="N582" s="543"/>
      <c r="O582" s="543"/>
      <c r="P582" s="543"/>
      <c r="Q582" s="543"/>
      <c r="R582" s="543"/>
      <c r="S582" s="543"/>
      <c r="T582" s="543"/>
      <c r="U582" s="543"/>
      <c r="V582" s="543"/>
      <c r="W582" s="543"/>
      <c r="X582" s="543"/>
      <c r="Y582" s="543"/>
      <c r="Z582" s="543"/>
      <c r="AA582" s="543"/>
      <c r="AB582" s="543"/>
      <c r="AC582" s="543"/>
      <c r="AD582" s="543"/>
      <c r="AE582" s="543"/>
      <c r="AF582" s="543"/>
      <c r="AG582" s="543"/>
      <c r="AH582" s="543"/>
      <c r="AI582" s="543"/>
      <c r="AJ582" s="543"/>
      <c r="AK582" s="543"/>
      <c r="AL582" s="543"/>
      <c r="AM582" s="543"/>
      <c r="AN582" s="543"/>
      <c r="AO582" s="543"/>
      <c r="AP582" s="543"/>
      <c r="AQ582" s="543"/>
      <c r="AR582" s="543"/>
      <c r="AS582" s="543"/>
      <c r="AT582" s="543"/>
      <c r="AU582" s="543"/>
      <c r="AV582" s="543"/>
    </row>
    <row r="583" spans="1:48" s="336" customFormat="1" ht="15" hidden="1" customHeight="1">
      <c r="A583" s="354"/>
      <c r="B583" s="354"/>
      <c r="C583" s="1117">
        <f>+C547</f>
        <v>0</v>
      </c>
      <c r="D583" s="1117"/>
      <c r="E583" s="1117"/>
      <c r="F583" s="1117"/>
      <c r="G583" s="1117"/>
      <c r="H583" s="1117"/>
      <c r="I583" s="398" t="str">
        <f>+I547</f>
        <v>m3</v>
      </c>
      <c r="J583" s="354"/>
      <c r="K583" s="354"/>
      <c r="L583" s="354"/>
      <c r="M583" s="354" t="s">
        <v>4508</v>
      </c>
      <c r="N583" s="497"/>
      <c r="O583" s="1236">
        <f>+N547</f>
        <v>0</v>
      </c>
      <c r="P583" s="1236"/>
      <c r="Q583" s="1236"/>
      <c r="R583" s="1237"/>
      <c r="S583" s="1237"/>
      <c r="T583" s="1237"/>
      <c r="U583" s="496" t="str">
        <f>+T547</f>
        <v>/m3</v>
      </c>
      <c r="V583" s="354"/>
      <c r="W583" s="354"/>
      <c r="X583" s="354"/>
      <c r="Y583" s="354"/>
      <c r="Z583" s="497"/>
      <c r="AA583" s="354"/>
      <c r="AB583" s="1136"/>
      <c r="AC583" s="1136"/>
      <c r="AD583" s="739"/>
      <c r="AE583" s="739"/>
      <c r="AF583" s="354"/>
      <c r="AG583" s="354"/>
      <c r="AH583" s="354"/>
      <c r="AI583" s="354"/>
      <c r="AJ583" s="354"/>
      <c r="AK583" s="354"/>
      <c r="AL583" s="354"/>
      <c r="AM583" s="496" t="s">
        <v>4426</v>
      </c>
      <c r="AN583" s="496"/>
      <c r="AO583" s="1235">
        <f>+C583*O583</f>
        <v>0</v>
      </c>
      <c r="AP583" s="1235"/>
      <c r="AQ583" s="1235"/>
      <c r="AR583" s="1235"/>
      <c r="AS583" s="1235"/>
      <c r="AT583" s="1235"/>
      <c r="AU583" s="1235"/>
      <c r="AV583" s="1235"/>
    </row>
    <row r="584" spans="1:48" s="336" customFormat="1" ht="15" hidden="1" customHeight="1">
      <c r="A584" s="354"/>
      <c r="B584" s="354"/>
      <c r="C584" s="542" t="str">
        <f>+C548</f>
        <v>b) Tanque elevado (estimado):</v>
      </c>
      <c r="D584" s="543"/>
      <c r="E584" s="543"/>
      <c r="F584" s="543"/>
      <c r="G584" s="543"/>
      <c r="H584" s="543"/>
      <c r="I584" s="543"/>
      <c r="J584" s="543"/>
      <c r="K584" s="543"/>
      <c r="L584" s="543"/>
      <c r="M584" s="543"/>
      <c r="N584" s="543"/>
      <c r="O584" s="543"/>
      <c r="P584" s="543"/>
      <c r="Q584" s="543"/>
      <c r="R584" s="543"/>
      <c r="S584" s="543"/>
      <c r="T584" s="543"/>
      <c r="U584" s="543"/>
      <c r="V584" s="543"/>
      <c r="W584" s="543"/>
      <c r="X584" s="543"/>
      <c r="Y584" s="543"/>
      <c r="Z584" s="543"/>
      <c r="AA584" s="543"/>
      <c r="AB584" s="543"/>
      <c r="AC584" s="543"/>
      <c r="AD584" s="543"/>
      <c r="AE584" s="543"/>
      <c r="AF584" s="543"/>
      <c r="AG584" s="543"/>
      <c r="AH584" s="543"/>
      <c r="AI584" s="543"/>
      <c r="AJ584" s="543"/>
      <c r="AK584" s="543"/>
      <c r="AL584" s="543"/>
      <c r="AM584" s="543"/>
      <c r="AN584" s="543"/>
      <c r="AO584" s="543"/>
      <c r="AP584" s="543"/>
      <c r="AQ584" s="543"/>
      <c r="AR584" s="543"/>
      <c r="AS584" s="543"/>
      <c r="AT584" s="543"/>
      <c r="AU584" s="543"/>
      <c r="AV584" s="543"/>
    </row>
    <row r="585" spans="1:48" s="336" customFormat="1" ht="15" hidden="1" customHeight="1">
      <c r="A585" s="354"/>
      <c r="B585" s="354"/>
      <c r="C585" s="1117">
        <f>+C549</f>
        <v>0</v>
      </c>
      <c r="D585" s="1117"/>
      <c r="E585" s="1117"/>
      <c r="F585" s="1117"/>
      <c r="G585" s="1117"/>
      <c r="H585" s="1117"/>
      <c r="I585" s="398" t="str">
        <f>+I549</f>
        <v>m3</v>
      </c>
      <c r="J585" s="354"/>
      <c r="K585" s="354"/>
      <c r="L585" s="354"/>
      <c r="M585" s="354" t="s">
        <v>4508</v>
      </c>
      <c r="N585" s="497"/>
      <c r="O585" s="1236">
        <f>+N549</f>
        <v>0</v>
      </c>
      <c r="P585" s="1236"/>
      <c r="Q585" s="1236"/>
      <c r="R585" s="1237"/>
      <c r="S585" s="1237"/>
      <c r="T585" s="1237"/>
      <c r="U585" s="496" t="str">
        <f>+T549</f>
        <v>/m3</v>
      </c>
      <c r="V585" s="354"/>
      <c r="W585" s="354"/>
      <c r="X585" s="354"/>
      <c r="Y585" s="354"/>
      <c r="Z585" s="497"/>
      <c r="AA585" s="354"/>
      <c r="AB585" s="1136"/>
      <c r="AC585" s="1136"/>
      <c r="AD585" s="739"/>
      <c r="AE585" s="739"/>
      <c r="AF585" s="354"/>
      <c r="AG585" s="354"/>
      <c r="AH585" s="354"/>
      <c r="AI585" s="354"/>
      <c r="AJ585" s="354"/>
      <c r="AK585" s="354"/>
      <c r="AL585" s="354"/>
      <c r="AM585" s="496" t="s">
        <v>4426</v>
      </c>
      <c r="AN585" s="496"/>
      <c r="AO585" s="1235">
        <f>+C585*O585</f>
        <v>0</v>
      </c>
      <c r="AP585" s="1235"/>
      <c r="AQ585" s="1235"/>
      <c r="AR585" s="1235"/>
      <c r="AS585" s="1235"/>
      <c r="AT585" s="1235"/>
      <c r="AU585" s="1235"/>
      <c r="AV585" s="1235"/>
    </row>
    <row r="586" spans="1:48" s="336" customFormat="1" ht="15" hidden="1" customHeight="1">
      <c r="A586" s="354"/>
      <c r="B586" s="354"/>
      <c r="C586" s="542" t="str">
        <f>+C342</f>
        <v>c) Cerco Perimétrico (estimado):</v>
      </c>
      <c r="D586" s="543"/>
      <c r="E586" s="543"/>
      <c r="F586" s="543"/>
      <c r="G586" s="543"/>
      <c r="H586" s="543"/>
      <c r="I586" s="543"/>
      <c r="J586" s="543"/>
      <c r="K586" s="543"/>
      <c r="L586" s="543"/>
      <c r="M586" s="543"/>
      <c r="N586" s="543"/>
      <c r="O586" s="543"/>
      <c r="P586" s="543"/>
      <c r="Q586" s="543"/>
      <c r="R586" s="543"/>
      <c r="S586" s="543"/>
      <c r="T586" s="543"/>
      <c r="U586" s="543"/>
      <c r="V586" s="543"/>
      <c r="W586" s="543"/>
      <c r="X586" s="543"/>
      <c r="Y586" s="543"/>
      <c r="Z586" s="543"/>
      <c r="AA586" s="543"/>
      <c r="AB586" s="543"/>
      <c r="AC586" s="543"/>
      <c r="AD586" s="543"/>
      <c r="AE586" s="543"/>
      <c r="AF586" s="543"/>
      <c r="AG586" s="543"/>
      <c r="AH586" s="543"/>
      <c r="AI586" s="543"/>
      <c r="AJ586" s="543"/>
      <c r="AK586" s="543"/>
      <c r="AL586" s="543"/>
      <c r="AM586" s="543"/>
      <c r="AN586" s="543"/>
      <c r="AO586" s="543"/>
      <c r="AP586" s="543"/>
      <c r="AQ586" s="543"/>
      <c r="AR586" s="543"/>
      <c r="AS586" s="543"/>
      <c r="AT586" s="543"/>
      <c r="AU586" s="543"/>
      <c r="AV586" s="543"/>
    </row>
    <row r="587" spans="1:48" s="336" customFormat="1" ht="15" hidden="1" customHeight="1">
      <c r="A587" s="354"/>
      <c r="B587" s="354"/>
      <c r="C587" s="1117">
        <f>+C551</f>
        <v>0</v>
      </c>
      <c r="D587" s="1117"/>
      <c r="E587" s="1117"/>
      <c r="F587" s="1117"/>
      <c r="G587" s="1117"/>
      <c r="H587" s="1117"/>
      <c r="I587" s="398" t="str">
        <f>+I551</f>
        <v>ml</v>
      </c>
      <c r="J587" s="354"/>
      <c r="K587" s="354"/>
      <c r="L587" s="354"/>
      <c r="M587" s="354" t="s">
        <v>4508</v>
      </c>
      <c r="N587" s="497"/>
      <c r="O587" s="1236">
        <f>+N551</f>
        <v>0</v>
      </c>
      <c r="P587" s="1236"/>
      <c r="Q587" s="1236"/>
      <c r="R587" s="1237"/>
      <c r="S587" s="1237"/>
      <c r="T587" s="1237"/>
      <c r="U587" s="496" t="str">
        <f>+T551</f>
        <v>/ml</v>
      </c>
      <c r="V587" s="354"/>
      <c r="W587" s="354"/>
      <c r="X587" s="354"/>
      <c r="Y587" s="354"/>
      <c r="Z587" s="497"/>
      <c r="AA587" s="354"/>
      <c r="AB587" s="1136"/>
      <c r="AC587" s="1136"/>
      <c r="AD587" s="739"/>
      <c r="AE587" s="739"/>
      <c r="AF587" s="354"/>
      <c r="AG587" s="354"/>
      <c r="AH587" s="354"/>
      <c r="AI587" s="354"/>
      <c r="AJ587" s="354"/>
      <c r="AK587" s="354"/>
      <c r="AL587" s="354"/>
      <c r="AM587" s="496" t="s">
        <v>4426</v>
      </c>
      <c r="AN587" s="496"/>
      <c r="AO587" s="1235">
        <f>+C587*O587</f>
        <v>0</v>
      </c>
      <c r="AP587" s="1235"/>
      <c r="AQ587" s="1235"/>
      <c r="AR587" s="1235"/>
      <c r="AS587" s="1235"/>
      <c r="AT587" s="1235"/>
      <c r="AU587" s="1235"/>
      <c r="AV587" s="1235"/>
    </row>
    <row r="588" spans="1:48" s="336" customFormat="1" ht="15" hidden="1" customHeight="1">
      <c r="A588" s="354"/>
      <c r="B588" s="354"/>
      <c r="C588" s="542" t="str">
        <f>+C552</f>
        <v>d) Ascensor (estimado):</v>
      </c>
      <c r="D588" s="543"/>
      <c r="E588" s="543"/>
      <c r="F588" s="543"/>
      <c r="G588" s="543"/>
      <c r="H588" s="543"/>
      <c r="I588" s="543"/>
      <c r="J588" s="543"/>
      <c r="K588" s="543"/>
      <c r="L588" s="543"/>
      <c r="M588" s="543"/>
      <c r="N588" s="543"/>
      <c r="O588" s="543"/>
      <c r="P588" s="543"/>
      <c r="Q588" s="543"/>
      <c r="R588" s="543"/>
      <c r="S588" s="543"/>
      <c r="T588" s="543"/>
      <c r="U588" s="543"/>
      <c r="V588" s="543"/>
      <c r="W588" s="543"/>
      <c r="X588" s="543"/>
      <c r="Y588" s="543"/>
      <c r="Z588" s="543"/>
      <c r="AA588" s="543"/>
      <c r="AB588" s="543"/>
      <c r="AC588" s="543"/>
      <c r="AD588" s="543"/>
      <c r="AE588" s="543"/>
      <c r="AF588" s="543"/>
      <c r="AG588" s="543"/>
      <c r="AH588" s="543"/>
      <c r="AI588" s="543"/>
      <c r="AJ588" s="543"/>
      <c r="AK588" s="543"/>
      <c r="AL588" s="543"/>
      <c r="AM588" s="543"/>
      <c r="AN588" s="543"/>
      <c r="AO588" s="543"/>
      <c r="AP588" s="543"/>
      <c r="AQ588" s="543"/>
      <c r="AR588" s="543"/>
      <c r="AS588" s="543"/>
      <c r="AT588" s="543"/>
      <c r="AU588" s="543"/>
      <c r="AV588" s="543"/>
    </row>
    <row r="589" spans="1:48" s="336" customFormat="1" ht="15" hidden="1" customHeight="1">
      <c r="A589" s="354"/>
      <c r="B589" s="354"/>
      <c r="C589" s="1117">
        <f>+C553</f>
        <v>0</v>
      </c>
      <c r="D589" s="1117"/>
      <c r="E589" s="1117"/>
      <c r="F589" s="1117"/>
      <c r="G589" s="1117"/>
      <c r="H589" s="1117"/>
      <c r="I589" s="398" t="str">
        <f>+I553</f>
        <v>Und</v>
      </c>
      <c r="J589" s="354"/>
      <c r="K589" s="354"/>
      <c r="L589" s="354"/>
      <c r="M589" s="354" t="s">
        <v>4508</v>
      </c>
      <c r="N589" s="497"/>
      <c r="O589" s="1236">
        <f>+N553</f>
        <v>0</v>
      </c>
      <c r="P589" s="1236"/>
      <c r="Q589" s="1236"/>
      <c r="R589" s="1237"/>
      <c r="S589" s="1237"/>
      <c r="T589" s="1237"/>
      <c r="U589" s="496" t="str">
        <f>+T553</f>
        <v>/Und</v>
      </c>
      <c r="V589" s="354"/>
      <c r="W589" s="354"/>
      <c r="X589" s="354"/>
      <c r="Y589" s="354"/>
      <c r="Z589" s="497"/>
      <c r="AA589" s="354"/>
      <c r="AB589" s="1136"/>
      <c r="AC589" s="1136"/>
      <c r="AD589" s="739"/>
      <c r="AE589" s="739"/>
      <c r="AF589" s="354"/>
      <c r="AG589" s="354"/>
      <c r="AH589" s="354"/>
      <c r="AI589" s="354"/>
      <c r="AJ589" s="354"/>
      <c r="AK589" s="354"/>
      <c r="AL589" s="354"/>
      <c r="AM589" s="496" t="s">
        <v>4426</v>
      </c>
      <c r="AN589" s="496"/>
      <c r="AO589" s="1238">
        <f>+C589*O589</f>
        <v>0</v>
      </c>
      <c r="AP589" s="1238"/>
      <c r="AQ589" s="1238"/>
      <c r="AR589" s="1238"/>
      <c r="AS589" s="1238"/>
      <c r="AT589" s="1238"/>
      <c r="AU589" s="1238"/>
      <c r="AV589" s="1238"/>
    </row>
    <row r="590" spans="1:48" s="336" customFormat="1" hidden="1">
      <c r="A590" s="354"/>
      <c r="B590" s="354"/>
      <c r="C590" s="398" t="s">
        <v>4521</v>
      </c>
      <c r="D590" s="398"/>
      <c r="E590" s="398"/>
      <c r="F590" s="398"/>
      <c r="G590" s="398"/>
      <c r="H590" s="398"/>
      <c r="I590" s="398"/>
      <c r="J590" s="354"/>
      <c r="K590" s="354"/>
      <c r="L590" s="354"/>
      <c r="M590" s="354"/>
      <c r="N590" s="497"/>
      <c r="O590" s="545"/>
      <c r="P590" s="545"/>
      <c r="Q590" s="546"/>
      <c r="R590" s="299"/>
      <c r="S590" s="299"/>
      <c r="T590" s="299"/>
      <c r="U590" s="496"/>
      <c r="V590" s="354"/>
      <c r="W590" s="354"/>
      <c r="X590" s="354"/>
      <c r="Y590" s="354"/>
      <c r="Z590" s="497"/>
      <c r="AA590" s="354"/>
      <c r="AB590" s="544"/>
      <c r="AC590" s="544"/>
      <c r="AD590" s="261"/>
      <c r="AE590" s="261"/>
      <c r="AF590" s="354"/>
      <c r="AG590" s="354"/>
      <c r="AH590" s="354"/>
      <c r="AI590" s="354"/>
      <c r="AJ590" s="354"/>
      <c r="AK590" s="354"/>
      <c r="AL590" s="354"/>
      <c r="AM590" s="496" t="s">
        <v>4426</v>
      </c>
      <c r="AN590" s="496"/>
      <c r="AO590" s="1235">
        <f>SUM(AO583:AV589)</f>
        <v>0</v>
      </c>
      <c r="AP590" s="1235"/>
      <c r="AQ590" s="1235"/>
      <c r="AR590" s="1235"/>
      <c r="AS590" s="1235"/>
      <c r="AT590" s="1235"/>
      <c r="AU590" s="1235"/>
      <c r="AV590" s="1235"/>
    </row>
    <row r="591" spans="1:48" s="336" customFormat="1" hidden="1">
      <c r="A591" s="354"/>
      <c r="B591" s="354"/>
      <c r="C591" s="398" t="str">
        <f>+C555</f>
        <v>Porcentaje de áreas comunes correspondiente al inmueble %</v>
      </c>
      <c r="D591" s="398"/>
      <c r="E591" s="398"/>
      <c r="F591" s="398"/>
      <c r="G591" s="398"/>
      <c r="H591" s="398"/>
      <c r="I591" s="398"/>
      <c r="J591" s="354"/>
      <c r="K591" s="354"/>
      <c r="L591" s="354"/>
      <c r="M591" s="354"/>
      <c r="N591" s="497"/>
      <c r="O591" s="545"/>
      <c r="P591" s="545"/>
      <c r="Q591" s="546"/>
      <c r="R591" s="299"/>
      <c r="S591" s="299"/>
      <c r="T591" s="299"/>
      <c r="U591" s="496"/>
      <c r="V591" s="354"/>
      <c r="W591" s="354"/>
      <c r="X591" s="354"/>
      <c r="Y591" s="354"/>
      <c r="Z591" s="497"/>
      <c r="AA591" s="354"/>
      <c r="AB591" s="544"/>
      <c r="AC591" s="544"/>
      <c r="AD591" s="261"/>
      <c r="AE591" s="261"/>
      <c r="AF591" s="354"/>
      <c r="AG591" s="354"/>
      <c r="AH591" s="354"/>
      <c r="AI591" s="354"/>
      <c r="AJ591" s="354"/>
      <c r="AK591" s="354"/>
      <c r="AL591" s="354"/>
      <c r="AM591" s="496"/>
      <c r="AN591" s="496"/>
      <c r="AO591" s="354"/>
      <c r="AP591" s="495"/>
      <c r="AQ591" s="495"/>
      <c r="AR591" s="495"/>
      <c r="AS591" s="495"/>
      <c r="AT591" s="495"/>
      <c r="AU591" s="495"/>
      <c r="AV591" s="495"/>
    </row>
    <row r="592" spans="1:48" s="336" customFormat="1" hidden="1">
      <c r="A592" s="354"/>
      <c r="B592" s="354"/>
      <c r="C592" s="1153">
        <f>+C556</f>
        <v>0</v>
      </c>
      <c r="D592" s="1153"/>
      <c r="E592" s="1153"/>
      <c r="F592" s="1153"/>
      <c r="G592" s="1153"/>
      <c r="H592" s="1153"/>
      <c r="I592" s="398"/>
      <c r="J592" s="354"/>
      <c r="K592" s="354"/>
      <c r="L592" s="354"/>
      <c r="M592" s="354" t="s">
        <v>4508</v>
      </c>
      <c r="N592" s="497"/>
      <c r="O592" s="1219">
        <f>+AO590</f>
        <v>0</v>
      </c>
      <c r="P592" s="1219"/>
      <c r="Q592" s="1219"/>
      <c r="R592" s="1219"/>
      <c r="S592" s="1219"/>
      <c r="T592" s="1219"/>
      <c r="U592" s="1219"/>
      <c r="V592" s="1219"/>
      <c r="W592" s="354"/>
      <c r="X592" s="354"/>
      <c r="Y592" s="354"/>
      <c r="Z592" s="497"/>
      <c r="AA592" s="354"/>
      <c r="AB592" s="1136"/>
      <c r="AC592" s="1136"/>
      <c r="AD592" s="739"/>
      <c r="AE592" s="739"/>
      <c r="AF592" s="354"/>
      <c r="AG592" s="354"/>
      <c r="AH592" s="354"/>
      <c r="AI592" s="354"/>
      <c r="AJ592" s="354"/>
      <c r="AK592" s="354"/>
      <c r="AL592" s="354"/>
      <c r="AM592" s="496" t="s">
        <v>4426</v>
      </c>
      <c r="AN592" s="496"/>
      <c r="AO592" s="1235">
        <f>+C592*O592</f>
        <v>0</v>
      </c>
      <c r="AP592" s="1235"/>
      <c r="AQ592" s="1235"/>
      <c r="AR592" s="1235"/>
      <c r="AS592" s="1235"/>
      <c r="AT592" s="1235"/>
      <c r="AU592" s="1235"/>
      <c r="AV592" s="1235"/>
    </row>
    <row r="593" spans="1:52" s="336" customFormat="1" ht="15" hidden="1" customHeight="1" thickBot="1">
      <c r="A593" s="354"/>
      <c r="B593" s="354"/>
      <c r="C593" s="487" t="str">
        <f>+C581</f>
        <v>VALOR  DE LAS OBRAS COMPLEMENTARIAS</v>
      </c>
      <c r="D593" s="488"/>
      <c r="E593" s="488"/>
      <c r="F593" s="488"/>
      <c r="G593" s="489"/>
      <c r="H593" s="490"/>
      <c r="I593" s="490"/>
      <c r="J593" s="491"/>
      <c r="K593" s="492"/>
      <c r="L593" s="493"/>
      <c r="M593" s="489"/>
      <c r="N593" s="489"/>
      <c r="O593" s="489"/>
      <c r="P593" s="489"/>
      <c r="Q593" s="489"/>
      <c r="R593" s="489"/>
      <c r="S593" s="489"/>
      <c r="T593" s="489"/>
      <c r="U593" s="489"/>
      <c r="V593" s="489"/>
      <c r="W593" s="489"/>
      <c r="X593" s="489"/>
      <c r="Y593" s="489"/>
      <c r="Z593" s="489"/>
      <c r="AA593" s="489"/>
      <c r="AB593" s="489"/>
      <c r="AC593" s="489"/>
      <c r="AD593" s="489"/>
      <c r="AE593" s="489"/>
      <c r="AF593" s="489"/>
      <c r="AG593" s="489"/>
      <c r="AH593" s="489"/>
      <c r="AI593" s="489"/>
      <c r="AJ593" s="489"/>
      <c r="AK593" s="489"/>
      <c r="AL593" s="489"/>
      <c r="AM593" s="494" t="s">
        <v>4426</v>
      </c>
      <c r="AN593" s="494"/>
      <c r="AO593" s="1234">
        <f>+AO592</f>
        <v>0</v>
      </c>
      <c r="AP593" s="1234"/>
      <c r="AQ593" s="1234"/>
      <c r="AR593" s="1234"/>
      <c r="AS593" s="1234"/>
      <c r="AT593" s="1234"/>
      <c r="AU593" s="1234"/>
      <c r="AV593" s="1234"/>
    </row>
    <row r="594" spans="1:52" s="336" customFormat="1" ht="22.5" hidden="1" customHeight="1" thickTop="1">
      <c r="A594" s="891">
        <f>+A581+1</f>
        <v>5</v>
      </c>
      <c r="B594" s="892"/>
      <c r="C594" s="355" t="str">
        <f>+C558</f>
        <v>VALOR DEL ESTACIONAMIENTO Nº …</v>
      </c>
      <c r="D594" s="261"/>
      <c r="E594" s="261"/>
      <c r="F594" s="261"/>
      <c r="G594" s="261"/>
      <c r="H594" s="261"/>
      <c r="I594" s="261"/>
      <c r="J594" s="261"/>
      <c r="K594" s="261"/>
      <c r="L594" s="261"/>
      <c r="M594" s="261"/>
      <c r="N594" s="261"/>
      <c r="O594" s="261"/>
      <c r="P594" s="261"/>
      <c r="Q594" s="261"/>
      <c r="R594" s="261"/>
      <c r="S594" s="261"/>
      <c r="T594" s="261"/>
      <c r="U594" s="261"/>
      <c r="V594" s="261"/>
      <c r="W594" s="261"/>
      <c r="X594" s="261"/>
      <c r="Y594" s="261"/>
      <c r="Z594" s="261"/>
      <c r="AA594" s="261"/>
      <c r="AB594" s="261"/>
      <c r="AC594" s="261"/>
      <c r="AD594" s="261"/>
      <c r="AE594" s="261"/>
      <c r="AF594" s="261"/>
      <c r="AG594" s="261"/>
      <c r="AH594" s="261"/>
      <c r="AI594" s="261"/>
      <c r="AJ594" s="261"/>
      <c r="AK594" s="261"/>
      <c r="AL594" s="261"/>
      <c r="AM594" s="261"/>
      <c r="AN594" s="261"/>
      <c r="AO594" s="261"/>
      <c r="AP594" s="261"/>
      <c r="AQ594" s="261"/>
      <c r="AR594" s="261"/>
      <c r="AS594" s="261"/>
      <c r="AT594" s="261"/>
      <c r="AU594" s="261"/>
      <c r="AV594" s="261"/>
    </row>
    <row r="595" spans="1:52" s="557" customFormat="1" ht="15" hidden="1" customHeight="1">
      <c r="A595" s="553"/>
      <c r="B595" s="554"/>
      <c r="C595" s="555" t="s">
        <v>4563</v>
      </c>
      <c r="D595" s="556"/>
      <c r="E595" s="556"/>
      <c r="F595" s="556"/>
      <c r="G595" s="556"/>
      <c r="H595" s="556"/>
      <c r="I595" s="556"/>
      <c r="J595" s="556"/>
      <c r="K595" s="556"/>
      <c r="L595" s="556"/>
      <c r="M595" s="556"/>
      <c r="N595" s="556"/>
      <c r="O595" s="556"/>
      <c r="P595" s="556"/>
      <c r="Q595" s="556"/>
      <c r="R595" s="556"/>
      <c r="S595" s="556"/>
      <c r="T595" s="556"/>
      <c r="U595" s="556"/>
      <c r="V595" s="556"/>
      <c r="W595" s="556"/>
      <c r="X595" s="556"/>
      <c r="Y595" s="556"/>
      <c r="Z595" s="556"/>
      <c r="AA595" s="556"/>
      <c r="AB595" s="556"/>
      <c r="AC595" s="556"/>
      <c r="AD595" s="556"/>
      <c r="AE595" s="556"/>
      <c r="AF595" s="556"/>
      <c r="AG595" s="556"/>
      <c r="AH595" s="556"/>
      <c r="AI595" s="556"/>
      <c r="AJ595" s="556"/>
      <c r="AK595" s="556"/>
      <c r="AL595" s="556"/>
      <c r="AM595" s="556"/>
      <c r="AN595" s="556"/>
      <c r="AO595" s="556"/>
      <c r="AP595" s="556"/>
      <c r="AQ595" s="556"/>
      <c r="AR595" s="556"/>
      <c r="AS595" s="556"/>
      <c r="AT595" s="556"/>
      <c r="AU595" s="556"/>
      <c r="AV595" s="556"/>
      <c r="AW595" s="556"/>
      <c r="AX595" s="556"/>
      <c r="AY595" s="556"/>
      <c r="AZ595" s="556"/>
    </row>
    <row r="596" spans="1:52" s="557" customFormat="1" hidden="1">
      <c r="A596" s="554"/>
      <c r="B596" s="554"/>
      <c r="C596" s="558" t="s">
        <v>4564</v>
      </c>
      <c r="D596" s="556"/>
      <c r="E596" s="556"/>
      <c r="F596" s="556"/>
      <c r="G596" s="556"/>
      <c r="H596" s="556"/>
      <c r="I596" s="556"/>
      <c r="J596" s="556"/>
      <c r="K596" s="556"/>
      <c r="L596" s="556"/>
      <c r="M596" s="556"/>
      <c r="N596" s="556"/>
      <c r="O596" s="556"/>
      <c r="P596" s="556"/>
      <c r="Q596" s="556"/>
      <c r="R596" s="556"/>
      <c r="S596" s="556"/>
      <c r="T596" s="556"/>
      <c r="U596" s="556"/>
      <c r="V596" s="556"/>
      <c r="W596" s="556"/>
      <c r="X596" s="556"/>
      <c r="Y596" s="556"/>
      <c r="Z596" s="556"/>
      <c r="AA596" s="556"/>
      <c r="AB596" s="556"/>
      <c r="AK596" s="556"/>
      <c r="AL596" s="556"/>
      <c r="AM596" s="556"/>
      <c r="AN596" s="556"/>
      <c r="AO596" s="660"/>
      <c r="AP596" s="660"/>
      <c r="AQ596" s="660"/>
      <c r="AR596" s="660"/>
      <c r="AS596" s="660"/>
      <c r="AT596" s="660"/>
      <c r="AU596" s="660"/>
      <c r="AV596" s="660"/>
    </row>
    <row r="597" spans="1:52" s="557" customFormat="1" hidden="1">
      <c r="A597" s="554"/>
      <c r="B597" s="554"/>
      <c r="C597" s="1149">
        <f>+C389</f>
        <v>0</v>
      </c>
      <c r="D597" s="1149"/>
      <c r="E597" s="1149"/>
      <c r="F597" s="1149"/>
      <c r="G597" s="1149"/>
      <c r="H597" s="1149"/>
      <c r="I597" s="559"/>
      <c r="J597" s="554" t="s">
        <v>10</v>
      </c>
      <c r="K597" s="554"/>
      <c r="L597" s="554"/>
      <c r="M597" s="554" t="s">
        <v>4508</v>
      </c>
      <c r="N597" s="560"/>
      <c r="O597" s="1244">
        <f>+O389*$M$78</f>
        <v>0</v>
      </c>
      <c r="P597" s="1244"/>
      <c r="Q597" s="1244"/>
      <c r="R597" s="1245"/>
      <c r="S597" s="1245"/>
      <c r="T597" s="1245"/>
      <c r="U597" s="562" t="s">
        <v>4509</v>
      </c>
      <c r="V597" s="554"/>
      <c r="W597" s="554"/>
      <c r="X597" s="554"/>
      <c r="Y597" s="562"/>
      <c r="Z597" s="554"/>
      <c r="AA597" s="554"/>
      <c r="AB597" s="554"/>
      <c r="AK597" s="554"/>
      <c r="AL597" s="554"/>
      <c r="AM597" s="562" t="s">
        <v>4426</v>
      </c>
      <c r="AN597" s="554"/>
      <c r="AO597" s="1246">
        <f>+C597*O597</f>
        <v>0</v>
      </c>
      <c r="AP597" s="1246"/>
      <c r="AQ597" s="1246"/>
      <c r="AR597" s="1246"/>
      <c r="AS597" s="1246"/>
      <c r="AT597" s="1246"/>
      <c r="AU597" s="1246"/>
      <c r="AV597" s="1246"/>
    </row>
    <row r="598" spans="1:52" s="557" customFormat="1" hidden="1">
      <c r="A598" s="554"/>
      <c r="B598" s="554"/>
      <c r="C598" s="558" t="s">
        <v>4565</v>
      </c>
      <c r="D598" s="556"/>
      <c r="E598" s="556"/>
      <c r="F598" s="556"/>
      <c r="G598" s="556"/>
      <c r="H598" s="556"/>
      <c r="I598" s="556"/>
      <c r="J598" s="556"/>
      <c r="K598" s="556"/>
      <c r="L598" s="556"/>
      <c r="M598" s="556"/>
      <c r="N598" s="556"/>
      <c r="O598" s="556"/>
      <c r="P598" s="556"/>
      <c r="Q598" s="556"/>
      <c r="R598" s="556"/>
      <c r="S598" s="556"/>
      <c r="T598" s="556"/>
      <c r="U598" s="556"/>
      <c r="V598" s="556"/>
      <c r="W598" s="556"/>
      <c r="X598" s="556"/>
      <c r="Y598" s="556"/>
      <c r="Z598" s="556"/>
      <c r="AA598" s="556"/>
      <c r="AB598" s="556"/>
      <c r="AK598" s="556"/>
      <c r="AL598" s="556"/>
      <c r="AM598" s="556"/>
      <c r="AN598" s="556"/>
      <c r="AO598" s="660"/>
      <c r="AP598" s="660"/>
      <c r="AQ598" s="660"/>
      <c r="AR598" s="660"/>
      <c r="AS598" s="660"/>
      <c r="AT598" s="660"/>
      <c r="AU598" s="660"/>
      <c r="AV598" s="660"/>
    </row>
    <row r="599" spans="1:52" s="557" customFormat="1" hidden="1">
      <c r="A599" s="554"/>
      <c r="B599" s="554"/>
      <c r="C599" s="1149">
        <f>+C391</f>
        <v>0</v>
      </c>
      <c r="D599" s="1149"/>
      <c r="E599" s="1149"/>
      <c r="F599" s="1149"/>
      <c r="G599" s="1149"/>
      <c r="H599" s="1149"/>
      <c r="I599" s="559"/>
      <c r="J599" s="554" t="s">
        <v>10</v>
      </c>
      <c r="K599" s="554"/>
      <c r="L599" s="554"/>
      <c r="M599" s="554" t="s">
        <v>4508</v>
      </c>
      <c r="N599" s="560"/>
      <c r="O599" s="1244">
        <f>+O391*$M$78</f>
        <v>0</v>
      </c>
      <c r="P599" s="1244"/>
      <c r="Q599" s="1244"/>
      <c r="R599" s="1245"/>
      <c r="S599" s="1245"/>
      <c r="T599" s="1245"/>
      <c r="U599" s="562" t="s">
        <v>4509</v>
      </c>
      <c r="V599" s="554"/>
      <c r="W599" s="554"/>
      <c r="X599" s="554"/>
      <c r="Y599" s="562"/>
      <c r="Z599" s="554"/>
      <c r="AA599" s="554"/>
      <c r="AB599" s="554"/>
      <c r="AK599" s="554"/>
      <c r="AL599" s="554"/>
      <c r="AM599" s="562" t="s">
        <v>4426</v>
      </c>
      <c r="AN599" s="554"/>
      <c r="AO599" s="1246">
        <f>+C599*O599</f>
        <v>0</v>
      </c>
      <c r="AP599" s="1246"/>
      <c r="AQ599" s="1246"/>
      <c r="AR599" s="1246"/>
      <c r="AS599" s="1246"/>
      <c r="AT599" s="1246"/>
      <c r="AU599" s="1246"/>
      <c r="AV599" s="1246"/>
    </row>
    <row r="600" spans="1:52" s="557" customFormat="1" hidden="1">
      <c r="A600" s="554"/>
      <c r="B600" s="554"/>
      <c r="C600" s="559" t="s">
        <v>4521</v>
      </c>
      <c r="D600" s="559"/>
      <c r="E600" s="559"/>
      <c r="F600" s="559"/>
      <c r="G600" s="559"/>
      <c r="H600" s="559"/>
      <c r="I600" s="559"/>
      <c r="J600" s="554"/>
      <c r="K600" s="554"/>
      <c r="L600" s="554"/>
      <c r="M600" s="554"/>
      <c r="N600" s="560"/>
      <c r="O600" s="561"/>
      <c r="P600" s="561"/>
      <c r="Q600" s="563"/>
      <c r="R600" s="556"/>
      <c r="S600" s="556"/>
      <c r="T600" s="556"/>
      <c r="U600" s="562"/>
      <c r="V600" s="554"/>
      <c r="W600" s="554"/>
      <c r="X600" s="554"/>
      <c r="Y600" s="562"/>
      <c r="Z600" s="554"/>
      <c r="AA600" s="554"/>
      <c r="AB600" s="554"/>
      <c r="AK600" s="554"/>
      <c r="AL600" s="554"/>
      <c r="AM600" s="562" t="s">
        <v>4426</v>
      </c>
      <c r="AN600" s="554"/>
      <c r="AO600" s="1243">
        <f>SUM(AO597:AV599)</f>
        <v>0</v>
      </c>
      <c r="AP600" s="1243"/>
      <c r="AQ600" s="1243"/>
      <c r="AR600" s="1243"/>
      <c r="AS600" s="1243"/>
      <c r="AT600" s="1243"/>
      <c r="AU600" s="1243"/>
      <c r="AV600" s="1243"/>
    </row>
    <row r="601" spans="1:52" s="557" customFormat="1" ht="15" hidden="1" customHeight="1">
      <c r="A601" s="553"/>
      <c r="B601" s="554"/>
      <c r="C601" s="555" t="s">
        <v>4566</v>
      </c>
      <c r="D601" s="556"/>
      <c r="E601" s="556"/>
      <c r="F601" s="556"/>
      <c r="G601" s="556"/>
      <c r="H601" s="556"/>
      <c r="I601" s="556"/>
      <c r="J601" s="556"/>
      <c r="K601" s="556"/>
      <c r="L601" s="556"/>
      <c r="M601" s="556"/>
      <c r="N601" s="556"/>
      <c r="O601" s="556"/>
      <c r="P601" s="556"/>
      <c r="Q601" s="556"/>
      <c r="R601" s="556"/>
      <c r="S601" s="556"/>
      <c r="T601" s="556"/>
      <c r="U601" s="556"/>
      <c r="V601" s="556"/>
      <c r="W601" s="556"/>
      <c r="X601" s="556"/>
      <c r="Y601" s="556"/>
      <c r="Z601" s="556"/>
      <c r="AA601" s="556"/>
      <c r="AB601" s="556"/>
      <c r="AK601" s="556"/>
      <c r="AL601" s="556"/>
      <c r="AM601" s="556"/>
      <c r="AN601" s="556"/>
      <c r="AO601" s="556"/>
      <c r="AP601" s="556"/>
      <c r="AQ601" s="556"/>
      <c r="AR601" s="556"/>
      <c r="AS601" s="556"/>
      <c r="AT601" s="556"/>
      <c r="AU601" s="556"/>
      <c r="AV601" s="556"/>
    </row>
    <row r="602" spans="1:52" s="557" customFormat="1" ht="15" hidden="1" customHeight="1">
      <c r="A602" s="554"/>
      <c r="B602" s="554"/>
      <c r="C602" s="1148">
        <v>0.15</v>
      </c>
      <c r="D602" s="1148"/>
      <c r="E602" s="1148"/>
      <c r="F602" s="1148"/>
      <c r="G602" s="1148"/>
      <c r="H602" s="1148"/>
      <c r="I602" s="559"/>
      <c r="J602" s="554"/>
      <c r="K602" s="554"/>
      <c r="L602" s="554"/>
      <c r="M602" s="554" t="s">
        <v>4508</v>
      </c>
      <c r="N602" s="560"/>
      <c r="O602" s="1219">
        <f>+AO600</f>
        <v>0</v>
      </c>
      <c r="P602" s="1219"/>
      <c r="Q602" s="1219"/>
      <c r="R602" s="1219"/>
      <c r="S602" s="1219"/>
      <c r="T602" s="1219"/>
      <c r="U602" s="1219"/>
      <c r="V602" s="1219"/>
      <c r="W602" s="554"/>
      <c r="X602" s="554"/>
      <c r="Y602" s="554"/>
      <c r="Z602" s="554"/>
      <c r="AA602" s="554"/>
      <c r="AB602" s="554"/>
      <c r="AK602" s="554"/>
      <c r="AL602" s="554"/>
      <c r="AM602" s="562" t="s">
        <v>4426</v>
      </c>
      <c r="AN602" s="554"/>
      <c r="AO602" s="1235">
        <f>+C602*O602</f>
        <v>0</v>
      </c>
      <c r="AP602" s="1235"/>
      <c r="AQ602" s="1235"/>
      <c r="AR602" s="1235"/>
      <c r="AS602" s="1235"/>
      <c r="AT602" s="1235"/>
      <c r="AU602" s="1235"/>
      <c r="AV602" s="1235"/>
    </row>
    <row r="603" spans="1:52" s="336" customFormat="1" ht="14.25" hidden="1" thickBot="1">
      <c r="A603" s="354"/>
      <c r="B603" s="354"/>
      <c r="C603" s="487" t="str">
        <f>+C594</f>
        <v>VALOR DEL ESTACIONAMIENTO Nº …</v>
      </c>
      <c r="D603" s="488"/>
      <c r="E603" s="488"/>
      <c r="F603" s="488"/>
      <c r="G603" s="489"/>
      <c r="H603" s="490"/>
      <c r="I603" s="490"/>
      <c r="J603" s="491"/>
      <c r="K603" s="492"/>
      <c r="L603" s="493"/>
      <c r="M603" s="489"/>
      <c r="N603" s="489"/>
      <c r="O603" s="489"/>
      <c r="P603" s="489"/>
      <c r="Q603" s="489"/>
      <c r="R603" s="489"/>
      <c r="S603" s="489"/>
      <c r="T603" s="489"/>
      <c r="U603" s="489"/>
      <c r="V603" s="489"/>
      <c r="W603" s="489"/>
      <c r="X603" s="489"/>
      <c r="Y603" s="489"/>
      <c r="Z603" s="489"/>
      <c r="AA603" s="489"/>
      <c r="AB603" s="489"/>
      <c r="AC603" s="489"/>
      <c r="AD603" s="489"/>
      <c r="AE603" s="489"/>
      <c r="AF603" s="489"/>
      <c r="AG603" s="489"/>
      <c r="AH603" s="489"/>
      <c r="AI603" s="489"/>
      <c r="AJ603" s="489"/>
      <c r="AK603" s="489"/>
      <c r="AL603" s="489"/>
      <c r="AM603" s="494" t="s">
        <v>4426</v>
      </c>
      <c r="AN603" s="494"/>
      <c r="AO603" s="1234">
        <f>SUM(AO600:AV602)</f>
        <v>0</v>
      </c>
      <c r="AP603" s="1234"/>
      <c r="AQ603" s="1234"/>
      <c r="AR603" s="1234"/>
      <c r="AS603" s="1234"/>
      <c r="AT603" s="1234"/>
      <c r="AU603" s="1234"/>
      <c r="AV603" s="1234"/>
    </row>
    <row r="604" spans="1:52" s="336" customFormat="1" ht="24" hidden="1" customHeight="1" thickTop="1">
      <c r="A604" s="891">
        <f>+A594+1</f>
        <v>6</v>
      </c>
      <c r="B604" s="892"/>
      <c r="C604" s="355" t="str">
        <f>+C561</f>
        <v>VALOR DEL DEPOSITO Nº ..</v>
      </c>
      <c r="D604" s="261"/>
      <c r="E604" s="261"/>
      <c r="F604" s="261"/>
      <c r="G604" s="261"/>
      <c r="H604" s="261"/>
      <c r="I604" s="261"/>
      <c r="J604" s="261"/>
      <c r="K604" s="261"/>
      <c r="L604" s="261"/>
      <c r="M604" s="261"/>
      <c r="N604" s="261"/>
      <c r="O604" s="261"/>
      <c r="P604" s="261"/>
      <c r="Q604" s="261"/>
      <c r="R604" s="261"/>
      <c r="S604" s="261"/>
      <c r="T604" s="261"/>
      <c r="U604" s="261"/>
      <c r="V604" s="261"/>
      <c r="W604" s="261"/>
      <c r="X604" s="261"/>
      <c r="Y604" s="261"/>
      <c r="Z604" s="261"/>
      <c r="AA604" s="261"/>
      <c r="AB604" s="261"/>
      <c r="AC604" s="261"/>
      <c r="AD604" s="261"/>
      <c r="AE604" s="261"/>
      <c r="AF604" s="261"/>
      <c r="AG604" s="261"/>
      <c r="AH604" s="261"/>
      <c r="AI604" s="261"/>
      <c r="AJ604" s="261"/>
      <c r="AK604" s="261"/>
      <c r="AL604" s="261"/>
      <c r="AM604" s="261"/>
      <c r="AN604" s="261"/>
      <c r="AO604" s="261"/>
      <c r="AP604" s="261"/>
      <c r="AQ604" s="261"/>
      <c r="AR604" s="261"/>
      <c r="AS604" s="261"/>
      <c r="AT604" s="261"/>
      <c r="AU604" s="261"/>
      <c r="AV604" s="261"/>
    </row>
    <row r="605" spans="1:52" s="557" customFormat="1" ht="15" hidden="1" customHeight="1">
      <c r="A605" s="553"/>
      <c r="B605" s="554"/>
      <c r="C605" s="555" t="s">
        <v>4563</v>
      </c>
      <c r="D605" s="556"/>
      <c r="E605" s="556"/>
      <c r="F605" s="556"/>
      <c r="G605" s="556"/>
      <c r="H605" s="556"/>
      <c r="I605" s="556"/>
      <c r="J605" s="556"/>
      <c r="K605" s="556"/>
      <c r="L605" s="556"/>
      <c r="M605" s="556"/>
      <c r="N605" s="556"/>
      <c r="O605" s="556"/>
      <c r="P605" s="556"/>
      <c r="Q605" s="556"/>
      <c r="R605" s="556"/>
      <c r="S605" s="556"/>
      <c r="T605" s="556"/>
      <c r="U605" s="556"/>
      <c r="V605" s="556"/>
      <c r="W605" s="556"/>
      <c r="X605" s="556"/>
      <c r="Y605" s="556"/>
      <c r="Z605" s="556"/>
      <c r="AA605" s="556"/>
      <c r="AB605" s="556"/>
      <c r="AC605" s="556"/>
      <c r="AD605" s="556"/>
      <c r="AE605" s="556"/>
      <c r="AF605" s="556"/>
      <c r="AG605" s="556"/>
      <c r="AH605" s="556"/>
      <c r="AI605" s="556"/>
      <c r="AJ605" s="556"/>
      <c r="AK605" s="556"/>
      <c r="AL605" s="556"/>
      <c r="AM605" s="556"/>
      <c r="AN605" s="556"/>
      <c r="AO605" s="556"/>
      <c r="AP605" s="556"/>
      <c r="AQ605" s="556"/>
      <c r="AR605" s="556"/>
      <c r="AS605" s="556"/>
      <c r="AT605" s="556"/>
      <c r="AU605" s="556"/>
      <c r="AV605" s="556"/>
      <c r="AW605" s="556"/>
      <c r="AX605" s="556"/>
      <c r="AY605" s="556"/>
      <c r="AZ605" s="556"/>
    </row>
    <row r="606" spans="1:52" s="557" customFormat="1" hidden="1">
      <c r="A606" s="553"/>
      <c r="B606" s="554"/>
      <c r="C606" s="558" t="s">
        <v>4564</v>
      </c>
      <c r="D606" s="556"/>
      <c r="E606" s="556"/>
      <c r="F606" s="556"/>
      <c r="G606" s="556"/>
      <c r="H606" s="556"/>
      <c r="I606" s="556"/>
      <c r="J606" s="556"/>
      <c r="K606" s="556"/>
      <c r="L606" s="556"/>
      <c r="M606" s="556"/>
      <c r="N606" s="556"/>
      <c r="O606" s="556"/>
      <c r="P606" s="556"/>
      <c r="Q606" s="556"/>
      <c r="R606" s="556"/>
      <c r="S606" s="556"/>
      <c r="T606" s="556"/>
      <c r="U606" s="556"/>
      <c r="V606" s="556"/>
      <c r="W606" s="556"/>
      <c r="X606" s="556"/>
      <c r="Y606" s="556"/>
      <c r="Z606" s="556"/>
      <c r="AA606" s="556"/>
      <c r="AB606" s="556"/>
      <c r="AC606" s="556"/>
      <c r="AD606" s="556"/>
      <c r="AE606" s="556"/>
      <c r="AF606" s="556"/>
      <c r="AG606" s="556"/>
      <c r="AH606" s="556"/>
      <c r="AI606" s="556"/>
      <c r="AJ606" s="556"/>
      <c r="AK606" s="556"/>
      <c r="AL606" s="556"/>
      <c r="AM606" s="556"/>
      <c r="AN606" s="556"/>
      <c r="AO606" s="556"/>
      <c r="AP606" s="556"/>
      <c r="AQ606" s="556"/>
      <c r="AR606" s="556"/>
      <c r="AS606" s="556"/>
      <c r="AT606" s="556"/>
      <c r="AU606" s="556"/>
      <c r="AV606" s="556"/>
      <c r="AW606" s="556"/>
      <c r="AX606" s="556"/>
      <c r="AY606" s="556"/>
      <c r="AZ606" s="556"/>
    </row>
    <row r="607" spans="1:52" s="557" customFormat="1" ht="15" hidden="1" customHeight="1">
      <c r="A607" s="554"/>
      <c r="B607" s="554"/>
      <c r="C607" s="1149">
        <f>+C399</f>
        <v>0</v>
      </c>
      <c r="D607" s="1149"/>
      <c r="E607" s="1149"/>
      <c r="F607" s="1149"/>
      <c r="G607" s="1149"/>
      <c r="H607" s="1149"/>
      <c r="I607" s="559"/>
      <c r="J607" s="554" t="s">
        <v>10</v>
      </c>
      <c r="K607" s="554"/>
      <c r="L607" s="554"/>
      <c r="M607" s="554" t="s">
        <v>4508</v>
      </c>
      <c r="N607" s="560"/>
      <c r="O607" s="1239">
        <f>+O399*$M$78</f>
        <v>0</v>
      </c>
      <c r="P607" s="1239"/>
      <c r="Q607" s="1239"/>
      <c r="R607" s="1240"/>
      <c r="S607" s="1240"/>
      <c r="T607" s="1240"/>
      <c r="U607" s="562" t="s">
        <v>4509</v>
      </c>
      <c r="V607" s="554"/>
      <c r="W607" s="554"/>
      <c r="X607" s="554"/>
      <c r="Y607" s="562"/>
      <c r="Z607" s="554"/>
      <c r="AA607" s="554"/>
      <c r="AB607" s="554"/>
      <c r="AC607" s="554"/>
      <c r="AD607" s="560"/>
      <c r="AE607" s="554"/>
      <c r="AF607" s="1155"/>
      <c r="AG607" s="1155"/>
      <c r="AH607" s="1156"/>
      <c r="AI607" s="1156"/>
      <c r="AJ607" s="554"/>
      <c r="AK607" s="554"/>
      <c r="AL607" s="554"/>
      <c r="AM607" s="562" t="s">
        <v>4426</v>
      </c>
      <c r="AN607" s="554"/>
      <c r="AO607" s="1241">
        <f>+C607*O607</f>
        <v>0</v>
      </c>
      <c r="AP607" s="1241"/>
      <c r="AQ607" s="1241"/>
      <c r="AR607" s="1241"/>
      <c r="AS607" s="1241"/>
      <c r="AT607" s="1241"/>
      <c r="AU607" s="1241"/>
      <c r="AV607" s="1241"/>
      <c r="AW607" s="565"/>
      <c r="AX607" s="565"/>
      <c r="AY607" s="565"/>
      <c r="AZ607" s="565"/>
    </row>
    <row r="608" spans="1:52" s="557" customFormat="1" hidden="1">
      <c r="A608" s="554"/>
      <c r="B608" s="554"/>
      <c r="C608" s="558" t="s">
        <v>4565</v>
      </c>
      <c r="D608" s="556"/>
      <c r="E608" s="556"/>
      <c r="F608" s="556"/>
      <c r="G608" s="556"/>
      <c r="H608" s="556"/>
      <c r="I608" s="556"/>
      <c r="J608" s="556"/>
      <c r="K608" s="556"/>
      <c r="L608" s="556"/>
      <c r="M608" s="556"/>
      <c r="N608" s="556"/>
      <c r="O608" s="556"/>
      <c r="P608" s="556"/>
      <c r="Q608" s="556"/>
      <c r="R608" s="556"/>
      <c r="S608" s="556"/>
      <c r="T608" s="556"/>
      <c r="U608" s="556"/>
      <c r="V608" s="556"/>
      <c r="W608" s="556"/>
      <c r="X608" s="556"/>
      <c r="Y608" s="556"/>
      <c r="Z608" s="556"/>
      <c r="AA608" s="556"/>
      <c r="AB608" s="556"/>
      <c r="AC608" s="556"/>
      <c r="AD608" s="556"/>
      <c r="AE608" s="556"/>
      <c r="AF608" s="556"/>
      <c r="AG608" s="556"/>
      <c r="AH608" s="556"/>
      <c r="AI608" s="556"/>
      <c r="AJ608" s="556"/>
      <c r="AK608" s="556"/>
      <c r="AL608" s="556"/>
      <c r="AM608" s="556"/>
      <c r="AN608" s="556"/>
      <c r="AO608" s="556"/>
      <c r="AP608" s="556"/>
      <c r="AR608" s="556"/>
      <c r="AS608" s="556"/>
      <c r="AT608" s="556"/>
      <c r="AU608" s="556"/>
      <c r="AV608" s="556"/>
      <c r="AW608" s="556"/>
      <c r="AX608" s="556"/>
      <c r="AY608" s="556"/>
      <c r="AZ608" s="556"/>
    </row>
    <row r="609" spans="1:52" s="557" customFormat="1" hidden="1">
      <c r="A609" s="554"/>
      <c r="B609" s="554"/>
      <c r="C609" s="1149">
        <f>+C401</f>
        <v>0</v>
      </c>
      <c r="D609" s="1149"/>
      <c r="E609" s="1149"/>
      <c r="F609" s="1149"/>
      <c r="G609" s="1149"/>
      <c r="H609" s="1149"/>
      <c r="I609" s="559"/>
      <c r="J609" s="554" t="s">
        <v>10</v>
      </c>
      <c r="K609" s="554"/>
      <c r="L609" s="554"/>
      <c r="M609" s="554" t="s">
        <v>4508</v>
      </c>
      <c r="N609" s="560"/>
      <c r="O609" s="1239">
        <f>+O401*$M$78</f>
        <v>0</v>
      </c>
      <c r="P609" s="1239"/>
      <c r="Q609" s="1239"/>
      <c r="R609" s="1239"/>
      <c r="S609" s="1239"/>
      <c r="T609" s="1239"/>
      <c r="U609" s="562" t="s">
        <v>4509</v>
      </c>
      <c r="V609" s="554"/>
      <c r="W609" s="554"/>
      <c r="X609" s="554"/>
      <c r="Y609" s="562"/>
      <c r="Z609" s="554"/>
      <c r="AA609" s="554"/>
      <c r="AB609" s="554"/>
      <c r="AC609" s="554"/>
      <c r="AD609" s="560"/>
      <c r="AE609" s="554"/>
      <c r="AF609" s="1155"/>
      <c r="AG609" s="1155"/>
      <c r="AH609" s="1155"/>
      <c r="AI609" s="1155"/>
      <c r="AJ609" s="554"/>
      <c r="AK609" s="554"/>
      <c r="AL609" s="554"/>
      <c r="AM609" s="562" t="s">
        <v>4426</v>
      </c>
      <c r="AN609" s="554"/>
      <c r="AO609" s="1242">
        <f>+C609*O609</f>
        <v>0</v>
      </c>
      <c r="AP609" s="1242"/>
      <c r="AQ609" s="1242"/>
      <c r="AR609" s="1242"/>
      <c r="AS609" s="1242"/>
      <c r="AT609" s="1242"/>
      <c r="AU609" s="1242"/>
      <c r="AV609" s="1242"/>
      <c r="AW609" s="565"/>
      <c r="AX609" s="565"/>
      <c r="AY609" s="565"/>
      <c r="AZ609" s="565"/>
    </row>
    <row r="610" spans="1:52" s="557" customFormat="1" hidden="1">
      <c r="A610" s="554"/>
      <c r="B610" s="554"/>
      <c r="C610" s="559" t="s">
        <v>4521</v>
      </c>
      <c r="D610" s="559"/>
      <c r="E610" s="559"/>
      <c r="F610" s="559"/>
      <c r="G610" s="559"/>
      <c r="H610" s="559"/>
      <c r="I610" s="559"/>
      <c r="J610" s="554"/>
      <c r="K610" s="554"/>
      <c r="L610" s="554"/>
      <c r="M610" s="554"/>
      <c r="N610" s="560"/>
      <c r="O610" s="561"/>
      <c r="P610" s="561"/>
      <c r="Q610" s="563"/>
      <c r="R610" s="556"/>
      <c r="S610" s="556"/>
      <c r="T610" s="556"/>
      <c r="U610" s="562"/>
      <c r="V610" s="554"/>
      <c r="W610" s="554"/>
      <c r="X610" s="554"/>
      <c r="Y610" s="562"/>
      <c r="Z610" s="554"/>
      <c r="AA610" s="554"/>
      <c r="AB610" s="554"/>
      <c r="AC610" s="554"/>
      <c r="AD610" s="560"/>
      <c r="AE610" s="554"/>
      <c r="AF610" s="564"/>
      <c r="AG610" s="564"/>
      <c r="AH610" s="556"/>
      <c r="AI610" s="556"/>
      <c r="AJ610" s="554"/>
      <c r="AK610" s="554"/>
      <c r="AL610" s="554"/>
      <c r="AM610" s="562" t="s">
        <v>4426</v>
      </c>
      <c r="AN610" s="554"/>
      <c r="AO610" s="1247">
        <f>SUM(AO607:AV609)</f>
        <v>0</v>
      </c>
      <c r="AP610" s="1247"/>
      <c r="AQ610" s="1247"/>
      <c r="AR610" s="1247"/>
      <c r="AS610" s="1247"/>
      <c r="AT610" s="1247"/>
      <c r="AU610" s="1247"/>
      <c r="AV610" s="1247"/>
      <c r="AW610" s="565"/>
      <c r="AX610" s="566"/>
      <c r="AY610" s="566"/>
      <c r="AZ610" s="566"/>
    </row>
    <row r="611" spans="1:52" s="557" customFormat="1" ht="15" hidden="1" customHeight="1">
      <c r="A611" s="553"/>
      <c r="B611" s="554"/>
      <c r="C611" s="555" t="s">
        <v>4566</v>
      </c>
      <c r="D611" s="556"/>
      <c r="E611" s="556"/>
      <c r="F611" s="556"/>
      <c r="G611" s="556"/>
      <c r="H611" s="556"/>
      <c r="I611" s="556"/>
      <c r="J611" s="556"/>
      <c r="K611" s="556"/>
      <c r="L611" s="556"/>
      <c r="M611" s="556"/>
      <c r="N611" s="556"/>
      <c r="O611" s="556"/>
      <c r="P611" s="556"/>
      <c r="Q611" s="556"/>
      <c r="R611" s="556"/>
      <c r="S611" s="556"/>
      <c r="T611" s="556"/>
      <c r="U611" s="556"/>
      <c r="V611" s="556"/>
      <c r="W611" s="556"/>
      <c r="X611" s="556"/>
      <c r="Y611" s="556"/>
      <c r="Z611" s="556"/>
      <c r="AA611" s="556"/>
      <c r="AB611" s="556"/>
      <c r="AC611" s="556"/>
      <c r="AD611" s="556"/>
      <c r="AE611" s="556"/>
      <c r="AF611" s="556"/>
      <c r="AG611" s="556"/>
      <c r="AH611" s="556"/>
      <c r="AI611" s="556"/>
      <c r="AJ611" s="556"/>
      <c r="AK611" s="556"/>
      <c r="AL611" s="556"/>
      <c r="AM611" s="556"/>
      <c r="AN611" s="556"/>
      <c r="AO611" s="556"/>
      <c r="AP611" s="556"/>
      <c r="AR611" s="556"/>
      <c r="AS611" s="567"/>
      <c r="AT611" s="556"/>
      <c r="AU611" s="556"/>
      <c r="AV611" s="556"/>
      <c r="AW611" s="556"/>
      <c r="AX611" s="556"/>
      <c r="AY611" s="556"/>
      <c r="AZ611" s="556"/>
    </row>
    <row r="612" spans="1:52" s="557" customFormat="1" ht="15" hidden="1" customHeight="1">
      <c r="A612" s="554"/>
      <c r="B612" s="554"/>
      <c r="C612" s="1148">
        <v>0.15</v>
      </c>
      <c r="D612" s="1148"/>
      <c r="E612" s="1148"/>
      <c r="F612" s="1148"/>
      <c r="G612" s="1148"/>
      <c r="H612" s="1148"/>
      <c r="I612" s="559"/>
      <c r="J612" s="554"/>
      <c r="K612" s="554"/>
      <c r="L612" s="554"/>
      <c r="M612" s="554" t="s">
        <v>4508</v>
      </c>
      <c r="N612" s="560"/>
      <c r="O612" s="1219">
        <f>+AO610</f>
        <v>0</v>
      </c>
      <c r="P612" s="1219"/>
      <c r="Q612" s="1219"/>
      <c r="R612" s="1219"/>
      <c r="S612" s="1219"/>
      <c r="T612" s="1219"/>
      <c r="U612" s="1219"/>
      <c r="V612" s="1219"/>
      <c r="W612" s="554"/>
      <c r="X612" s="554"/>
      <c r="Y612" s="554"/>
      <c r="Z612" s="554"/>
      <c r="AA612" s="554"/>
      <c r="AB612" s="554"/>
      <c r="AC612" s="554"/>
      <c r="AD612" s="560"/>
      <c r="AE612" s="554"/>
      <c r="AF612" s="1155"/>
      <c r="AG612" s="1155"/>
      <c r="AH612" s="1156"/>
      <c r="AI612" s="1156"/>
      <c r="AJ612" s="554"/>
      <c r="AK612" s="554"/>
      <c r="AL612" s="554"/>
      <c r="AM612" s="562" t="s">
        <v>4426</v>
      </c>
      <c r="AN612" s="554"/>
      <c r="AO612" s="1241">
        <f>+C612*O612</f>
        <v>0</v>
      </c>
      <c r="AP612" s="1241"/>
      <c r="AQ612" s="1241"/>
      <c r="AR612" s="1241"/>
      <c r="AS612" s="1241"/>
      <c r="AT612" s="1241"/>
      <c r="AU612" s="1241"/>
      <c r="AV612" s="1241"/>
      <c r="AW612" s="565"/>
      <c r="AX612" s="568"/>
      <c r="AY612" s="568"/>
      <c r="AZ612" s="568"/>
    </row>
    <row r="613" spans="1:52" s="336" customFormat="1" ht="14.25" hidden="1" thickBot="1">
      <c r="A613" s="354"/>
      <c r="B613" s="354"/>
      <c r="C613" s="487" t="str">
        <f>+C604</f>
        <v>VALOR DEL DEPOSITO Nº ..</v>
      </c>
      <c r="D613" s="488"/>
      <c r="E613" s="488"/>
      <c r="F613" s="488"/>
      <c r="G613" s="489"/>
      <c r="H613" s="490"/>
      <c r="I613" s="490"/>
      <c r="J613" s="491"/>
      <c r="K613" s="492"/>
      <c r="L613" s="493"/>
      <c r="M613" s="489"/>
      <c r="N613" s="489"/>
      <c r="O613" s="489"/>
      <c r="P613" s="489"/>
      <c r="Q613" s="489"/>
      <c r="R613" s="489"/>
      <c r="S613" s="489"/>
      <c r="T613" s="489"/>
      <c r="U613" s="489"/>
      <c r="V613" s="489"/>
      <c r="W613" s="489"/>
      <c r="X613" s="489"/>
      <c r="Y613" s="489"/>
      <c r="Z613" s="489"/>
      <c r="AA613" s="489"/>
      <c r="AB613" s="489"/>
      <c r="AC613" s="489"/>
      <c r="AD613" s="489"/>
      <c r="AE613" s="489"/>
      <c r="AF613" s="489"/>
      <c r="AG613" s="489"/>
      <c r="AH613" s="489"/>
      <c r="AI613" s="489"/>
      <c r="AJ613" s="489"/>
      <c r="AK613" s="489"/>
      <c r="AL613" s="489"/>
      <c r="AM613" s="494" t="s">
        <v>4426</v>
      </c>
      <c r="AN613" s="494"/>
      <c r="AO613" s="1234">
        <f>SUM(AO610:AV612)</f>
        <v>0</v>
      </c>
      <c r="AP613" s="1234"/>
      <c r="AQ613" s="1234"/>
      <c r="AR613" s="1234"/>
      <c r="AS613" s="1234"/>
      <c r="AT613" s="1234"/>
      <c r="AU613" s="1234"/>
      <c r="AV613" s="1234"/>
    </row>
    <row r="614" spans="1:52" s="336" customFormat="1" ht="30" hidden="1" customHeight="1" thickTop="1">
      <c r="A614" s="354"/>
      <c r="B614" s="354"/>
      <c r="C614" s="1230" t="s">
        <v>4560</v>
      </c>
      <c r="D614" s="1231"/>
      <c r="E614" s="1231"/>
      <c r="F614" s="1231"/>
      <c r="G614" s="1231"/>
      <c r="H614" s="1231"/>
      <c r="I614" s="1231"/>
      <c r="J614" s="1231"/>
      <c r="K614" s="1231"/>
      <c r="L614" s="1231"/>
      <c r="M614" s="1231"/>
      <c r="N614" s="1231"/>
      <c r="O614" s="1231"/>
      <c r="P614" s="1231"/>
      <c r="Q614" s="1231"/>
      <c r="R614" s="1231"/>
      <c r="S614" s="1231"/>
      <c r="T614" s="1231"/>
      <c r="U614" s="1231"/>
      <c r="V614" s="1231"/>
      <c r="W614" s="1231"/>
      <c r="X614" s="1231"/>
      <c r="Y614" s="1231"/>
      <c r="Z614" s="1231"/>
      <c r="AA614" s="1231"/>
      <c r="AB614" s="1231"/>
      <c r="AC614" s="1231"/>
      <c r="AD614" s="1231"/>
      <c r="AE614" s="1231"/>
      <c r="AF614" s="1231"/>
      <c r="AG614" s="1231"/>
      <c r="AH614" s="1231"/>
      <c r="AI614" s="1231"/>
      <c r="AJ614" s="1231"/>
      <c r="AK614" s="1231"/>
      <c r="AL614" s="1231"/>
      <c r="AM614" s="1231"/>
      <c r="AN614" s="1231"/>
      <c r="AO614" s="1231"/>
      <c r="AP614" s="1231"/>
      <c r="AQ614" s="1231"/>
      <c r="AR614" s="1231"/>
      <c r="AS614" s="1231"/>
      <c r="AT614" s="1231"/>
      <c r="AU614" s="1231"/>
      <c r="AV614" s="1231"/>
    </row>
    <row r="615" spans="1:52" s="268" customFormat="1" ht="15" hidden="1">
      <c r="A615" s="302" t="s">
        <v>4504</v>
      </c>
      <c r="C615" s="1166" t="s">
        <v>4609</v>
      </c>
      <c r="D615" s="1167"/>
      <c r="E615" s="1167"/>
      <c r="F615" s="1167"/>
      <c r="G615" s="1167"/>
      <c r="H615" s="1167"/>
      <c r="I615" s="1167"/>
      <c r="J615" s="1167"/>
      <c r="K615" s="1167"/>
      <c r="L615" s="1167"/>
      <c r="M615" s="1167"/>
      <c r="N615" s="1167"/>
      <c r="O615" s="1167"/>
      <c r="P615" s="1167"/>
      <c r="Q615" s="1167"/>
      <c r="R615" s="1167"/>
      <c r="S615" s="1167"/>
      <c r="T615" s="1167"/>
      <c r="U615" s="1168"/>
      <c r="V615" s="1168"/>
      <c r="W615" s="1168"/>
      <c r="X615" s="1168"/>
      <c r="Y615" s="1168"/>
      <c r="Z615" s="1168"/>
      <c r="AA615" s="1168"/>
      <c r="AB615" s="1168"/>
      <c r="AC615" s="1168"/>
      <c r="AD615" s="1168"/>
      <c r="AE615" s="1168"/>
      <c r="AF615" s="1168"/>
      <c r="AG615" s="1168"/>
      <c r="AH615" s="1168"/>
      <c r="AI615" s="1168"/>
      <c r="AJ615" s="1168"/>
      <c r="AK615" s="1168"/>
      <c r="AL615" s="1168"/>
      <c r="AM615" s="1168"/>
      <c r="AN615" s="1168"/>
      <c r="AO615" s="1168"/>
      <c r="AP615" s="1168"/>
      <c r="AQ615" s="1168"/>
      <c r="AR615" s="1168"/>
      <c r="AS615" s="1168"/>
      <c r="AT615" s="1168"/>
      <c r="AU615" s="1168"/>
      <c r="AV615" s="1168"/>
    </row>
    <row r="616" spans="1:52" ht="12.95" hidden="1" customHeight="1">
      <c r="C616" s="330"/>
      <c r="D616" s="330"/>
      <c r="H616" s="284"/>
      <c r="J616" s="331"/>
      <c r="S616" s="331" t="str">
        <f>+S10</f>
        <v xml:space="preserve">  INFORME N°26</v>
      </c>
      <c r="U616" s="332"/>
      <c r="V616" s="333"/>
      <c r="AB616" s="1088">
        <f>+AC566</f>
        <v>0</v>
      </c>
      <c r="AC616" s="1146"/>
      <c r="AD616" s="1146"/>
      <c r="AE616" s="1146"/>
      <c r="AF616" s="1146"/>
    </row>
    <row r="617" spans="1:52" s="572" customFormat="1" ht="30" hidden="1" customHeight="1">
      <c r="A617" s="1169">
        <v>1</v>
      </c>
      <c r="B617" s="1170"/>
      <c r="C617" s="569" t="s">
        <v>4574</v>
      </c>
      <c r="D617" s="570"/>
      <c r="E617" s="570"/>
      <c r="F617" s="570"/>
      <c r="G617" s="570"/>
      <c r="H617" s="570"/>
      <c r="I617" s="570"/>
      <c r="J617" s="570"/>
      <c r="K617" s="570"/>
      <c r="L617" s="570"/>
      <c r="M617" s="569"/>
      <c r="N617" s="570"/>
      <c r="O617" s="570"/>
      <c r="P617" s="570"/>
      <c r="Q617" s="570"/>
      <c r="R617" s="570"/>
      <c r="S617" s="570"/>
      <c r="T617" s="570"/>
      <c r="U617" s="570"/>
      <c r="V617" s="570"/>
      <c r="W617" s="571"/>
      <c r="X617" s="571"/>
      <c r="Y617" s="571"/>
      <c r="Z617" s="571"/>
      <c r="AA617" s="571"/>
      <c r="AB617" s="571"/>
      <c r="AC617" s="571"/>
      <c r="AD617" s="571"/>
      <c r="AE617" s="571"/>
      <c r="AF617" s="571"/>
      <c r="AG617" s="571"/>
      <c r="AH617" s="571"/>
      <c r="AI617" s="571"/>
      <c r="AJ617" s="571"/>
      <c r="AK617" s="571"/>
      <c r="AL617" s="571"/>
      <c r="AM617" s="571"/>
      <c r="AN617" s="571"/>
      <c r="AO617" s="571"/>
      <c r="AP617" s="571"/>
      <c r="AQ617" s="571"/>
      <c r="AR617" s="571"/>
      <c r="AS617" s="571"/>
      <c r="AT617" s="571"/>
      <c r="AU617" s="571"/>
      <c r="AV617" s="571"/>
    </row>
    <row r="618" spans="1:52" s="268" customFormat="1" ht="13.5" hidden="1" customHeight="1">
      <c r="A618" s="262"/>
      <c r="B618" s="262"/>
      <c r="C618" s="1176" t="s">
        <v>4575</v>
      </c>
      <c r="D618" s="1173"/>
      <c r="E618" s="578" t="str">
        <f>+C533</f>
        <v>VALOR DEL TERRENO</v>
      </c>
      <c r="F618" s="262"/>
      <c r="G618" s="262"/>
      <c r="H618" s="262"/>
      <c r="I618" s="262"/>
      <c r="J618" s="262"/>
      <c r="K618" s="262"/>
      <c r="L618" s="574"/>
      <c r="M618" s="262"/>
      <c r="N618" s="575"/>
      <c r="O618" s="575"/>
      <c r="P618" s="262"/>
      <c r="Q618" s="262"/>
      <c r="R618" s="262"/>
      <c r="S618" s="262"/>
      <c r="T618" s="262"/>
      <c r="U618" s="262"/>
      <c r="V618" s="262"/>
      <c r="W618" s="262"/>
      <c r="X618" s="262"/>
      <c r="Y618" s="262"/>
      <c r="Z618" s="262"/>
      <c r="AA618" s="262"/>
      <c r="AB618" s="262"/>
      <c r="AC618" s="262"/>
      <c r="AD618" s="262"/>
      <c r="AE618" s="262"/>
      <c r="AF618" s="262"/>
      <c r="AG618" s="262"/>
      <c r="AH618" s="574"/>
      <c r="AI618" s="262"/>
      <c r="AJ618" s="574" t="s">
        <v>4426</v>
      </c>
      <c r="AK618" s="1174"/>
      <c r="AL618" s="1174"/>
      <c r="AM618" s="1237">
        <f>+AO533</f>
        <v>0</v>
      </c>
      <c r="AN618" s="1237"/>
      <c r="AO618" s="1237"/>
      <c r="AP618" s="1237"/>
      <c r="AQ618" s="1237"/>
      <c r="AR618" s="1237"/>
      <c r="AS618" s="1237"/>
      <c r="AT618" s="1237"/>
      <c r="AU618" s="1237"/>
      <c r="AV618" s="262"/>
    </row>
    <row r="619" spans="1:52" s="268" customFormat="1" ht="13.5" hidden="1" customHeight="1">
      <c r="A619" s="262"/>
      <c r="B619" s="262"/>
      <c r="C619" s="573" t="s">
        <v>4576</v>
      </c>
      <c r="D619" s="262"/>
      <c r="E619" s="262" t="s">
        <v>4577</v>
      </c>
      <c r="F619" s="262"/>
      <c r="G619" s="262"/>
      <c r="H619" s="262"/>
      <c r="I619" s="262"/>
      <c r="J619" s="262"/>
      <c r="K619" s="262"/>
      <c r="L619" s="574"/>
      <c r="M619" s="262"/>
      <c r="N619" s="575"/>
      <c r="O619" s="575"/>
      <c r="P619" s="262"/>
      <c r="Q619" s="262"/>
      <c r="R619" s="262"/>
      <c r="S619" s="262"/>
      <c r="T619" s="262"/>
      <c r="U619" s="262"/>
      <c r="V619" s="262"/>
      <c r="W619" s="262"/>
      <c r="X619" s="262"/>
      <c r="Y619" s="262"/>
      <c r="Z619" s="262"/>
      <c r="AA619" s="262"/>
      <c r="AB619" s="262"/>
      <c r="AC619" s="262"/>
      <c r="AD619" s="262"/>
      <c r="AE619" s="262"/>
      <c r="AF619" s="262"/>
      <c r="AG619" s="262"/>
      <c r="AH619" s="574"/>
      <c r="AI619" s="262"/>
      <c r="AJ619" s="574" t="s">
        <v>4426</v>
      </c>
      <c r="AK619" s="1174"/>
      <c r="AL619" s="1174"/>
      <c r="AM619" s="1237">
        <f>SUM(AA620:AI622)</f>
        <v>0</v>
      </c>
      <c r="AN619" s="1237"/>
      <c r="AO619" s="1237"/>
      <c r="AP619" s="1237"/>
      <c r="AQ619" s="1237"/>
      <c r="AR619" s="1237"/>
      <c r="AS619" s="1237"/>
      <c r="AT619" s="1237"/>
      <c r="AU619" s="1237"/>
      <c r="AV619" s="262"/>
    </row>
    <row r="620" spans="1:52" s="268" customFormat="1" ht="13.5" hidden="1" customHeight="1">
      <c r="A620" s="262"/>
      <c r="B620" s="262"/>
      <c r="C620" s="573"/>
      <c r="D620" s="262"/>
      <c r="E620" s="578" t="str">
        <f>+C541</f>
        <v>VALOR DE LA EDIFICACION</v>
      </c>
      <c r="F620" s="262"/>
      <c r="G620" s="262"/>
      <c r="H620" s="262"/>
      <c r="I620" s="262"/>
      <c r="J620" s="262"/>
      <c r="K620" s="262"/>
      <c r="L620" s="574"/>
      <c r="M620" s="262"/>
      <c r="N620" s="575"/>
      <c r="O620" s="575"/>
      <c r="P620" s="262"/>
      <c r="Q620" s="262"/>
      <c r="R620" s="262"/>
      <c r="S620" s="262"/>
      <c r="T620" s="262"/>
      <c r="U620" s="262"/>
      <c r="V620" s="262"/>
      <c r="W620" s="262"/>
      <c r="X620" s="262"/>
      <c r="Y620" s="262"/>
      <c r="Z620" s="574" t="s">
        <v>4359</v>
      </c>
      <c r="AA620" s="1237">
        <f>+AO541</f>
        <v>0</v>
      </c>
      <c r="AB620" s="1237"/>
      <c r="AC620" s="1237"/>
      <c r="AD620" s="1237"/>
      <c r="AE620" s="1237"/>
      <c r="AF620" s="1237"/>
      <c r="AG620" s="1237"/>
      <c r="AH620" s="1237"/>
      <c r="AI620" s="1237"/>
      <c r="AJ620" s="574"/>
      <c r="AK620" s="576"/>
      <c r="AL620" s="576"/>
      <c r="AM620" s="577"/>
      <c r="AN620" s="577"/>
      <c r="AO620" s="577"/>
      <c r="AP620" s="262"/>
      <c r="AQ620" s="262"/>
      <c r="AR620" s="262"/>
      <c r="AS620" s="262"/>
      <c r="AT620" s="262"/>
      <c r="AU620" s="262"/>
      <c r="AV620" s="262"/>
    </row>
    <row r="621" spans="1:52" s="268" customFormat="1" ht="13.5" hidden="1" customHeight="1">
      <c r="A621" s="262"/>
      <c r="B621" s="262"/>
      <c r="C621" s="573"/>
      <c r="D621" s="262"/>
      <c r="E621" s="578" t="str">
        <f>+C544</f>
        <v>VALOR DE LAS ÁREAS COMUNES</v>
      </c>
      <c r="F621" s="262"/>
      <c r="G621" s="262"/>
      <c r="H621" s="262"/>
      <c r="I621" s="262"/>
      <c r="J621" s="262"/>
      <c r="K621" s="262"/>
      <c r="L621" s="574"/>
      <c r="M621" s="262"/>
      <c r="N621" s="575"/>
      <c r="O621" s="575"/>
      <c r="P621" s="262"/>
      <c r="Q621" s="262"/>
      <c r="R621" s="262"/>
      <c r="S621" s="262"/>
      <c r="T621" s="262"/>
      <c r="U621" s="262"/>
      <c r="V621" s="262"/>
      <c r="W621" s="262"/>
      <c r="X621" s="262"/>
      <c r="Y621" s="262"/>
      <c r="Z621" s="574" t="s">
        <v>4359</v>
      </c>
      <c r="AA621" s="1237">
        <f>+AO544</f>
        <v>0</v>
      </c>
      <c r="AB621" s="1237"/>
      <c r="AC621" s="1237"/>
      <c r="AD621" s="1237"/>
      <c r="AE621" s="1237"/>
      <c r="AF621" s="1237"/>
      <c r="AG621" s="1237"/>
      <c r="AH621" s="1237"/>
      <c r="AI621" s="1237"/>
      <c r="AJ621" s="574"/>
      <c r="AK621" s="576"/>
      <c r="AL621" s="576"/>
      <c r="AM621" s="577"/>
      <c r="AN621" s="577"/>
      <c r="AO621" s="577"/>
      <c r="AP621" s="262"/>
      <c r="AQ621" s="262"/>
      <c r="AR621" s="262"/>
      <c r="AS621" s="262"/>
      <c r="AT621" s="262"/>
      <c r="AU621" s="262"/>
      <c r="AV621" s="262"/>
    </row>
    <row r="622" spans="1:52" s="268" customFormat="1" ht="12" hidden="1">
      <c r="A622" s="262"/>
      <c r="B622" s="262"/>
      <c r="C622" s="573"/>
      <c r="D622" s="262"/>
      <c r="E622" s="578" t="str">
        <f>+C557</f>
        <v>VALOR DE LAS OBRAS COMPLEMENTARIAS</v>
      </c>
      <c r="F622" s="262"/>
      <c r="G622" s="262"/>
      <c r="H622" s="262"/>
      <c r="I622" s="262"/>
      <c r="J622" s="262"/>
      <c r="K622" s="262"/>
      <c r="L622" s="574"/>
      <c r="M622" s="262"/>
      <c r="N622" s="575"/>
      <c r="O622" s="575"/>
      <c r="P622" s="262"/>
      <c r="Q622" s="262"/>
      <c r="R622" s="262"/>
      <c r="S622" s="262"/>
      <c r="T622" s="262"/>
      <c r="U622" s="262"/>
      <c r="V622" s="262"/>
      <c r="W622" s="262"/>
      <c r="X622" s="574"/>
      <c r="Y622" s="262"/>
      <c r="Z622" s="574" t="s">
        <v>4359</v>
      </c>
      <c r="AA622" s="1237">
        <f>+AO557</f>
        <v>0</v>
      </c>
      <c r="AB622" s="1237"/>
      <c r="AC622" s="1237"/>
      <c r="AD622" s="1237"/>
      <c r="AE622" s="1237"/>
      <c r="AF622" s="1237"/>
      <c r="AG622" s="1237"/>
      <c r="AH622" s="1237"/>
      <c r="AI622" s="1237"/>
      <c r="AM622" s="579"/>
      <c r="AN622" s="579"/>
      <c r="AO622" s="579"/>
      <c r="AP622" s="579"/>
      <c r="AQ622" s="579"/>
      <c r="AR622" s="579"/>
      <c r="AS622" s="579"/>
      <c r="AT622" s="579"/>
      <c r="AU622" s="579"/>
      <c r="AV622" s="262"/>
    </row>
    <row r="623" spans="1:52" s="268" customFormat="1" ht="12" hidden="1">
      <c r="A623" s="262"/>
      <c r="B623" s="262"/>
      <c r="C623" s="573"/>
      <c r="D623" s="262"/>
      <c r="E623" s="578" t="s">
        <v>4578</v>
      </c>
      <c r="F623" s="262"/>
      <c r="G623" s="262"/>
      <c r="H623" s="262"/>
      <c r="I623" s="262"/>
      <c r="J623" s="262"/>
      <c r="K623" s="262"/>
      <c r="L623" s="574"/>
      <c r="M623" s="262"/>
      <c r="N623" s="575"/>
      <c r="O623" s="575"/>
      <c r="P623" s="262"/>
      <c r="Q623" s="262"/>
      <c r="R623" s="262"/>
      <c r="S623" s="262"/>
      <c r="T623" s="262"/>
      <c r="U623" s="262"/>
      <c r="V623" s="262"/>
      <c r="W623" s="262"/>
      <c r="X623" s="574"/>
      <c r="Y623" s="262"/>
      <c r="Z623" s="574"/>
      <c r="AA623" s="577"/>
      <c r="AB623" s="577"/>
      <c r="AC623" s="577"/>
      <c r="AD623" s="262"/>
      <c r="AE623" s="262"/>
      <c r="AF623" s="262"/>
      <c r="AG623" s="262"/>
      <c r="AH623" s="262"/>
      <c r="AI623" s="262"/>
      <c r="AJ623" s="574" t="s">
        <v>4426</v>
      </c>
      <c r="AK623" s="1174"/>
      <c r="AL623" s="1174"/>
      <c r="AM623" s="1237">
        <f>+AM619+AM618</f>
        <v>0</v>
      </c>
      <c r="AN623" s="1237"/>
      <c r="AO623" s="1237"/>
      <c r="AP623" s="1237"/>
      <c r="AQ623" s="1237"/>
      <c r="AR623" s="1237"/>
      <c r="AS623" s="1237"/>
      <c r="AT623" s="1237"/>
      <c r="AU623" s="1237"/>
      <c r="AV623" s="262"/>
    </row>
    <row r="624" spans="1:52" s="268" customFormat="1" ht="12" hidden="1">
      <c r="A624" s="262"/>
      <c r="B624" s="262"/>
      <c r="C624" s="573"/>
      <c r="D624" s="262"/>
      <c r="E624" s="580" t="s">
        <v>4579</v>
      </c>
      <c r="F624" s="262"/>
      <c r="G624" s="262"/>
      <c r="H624" s="262"/>
      <c r="I624" s="262"/>
      <c r="J624" s="262"/>
      <c r="K624" s="262"/>
      <c r="L624" s="574"/>
      <c r="M624" s="262"/>
      <c r="N624" s="575"/>
      <c r="O624" s="575"/>
      <c r="P624" s="262"/>
      <c r="Q624" s="262"/>
      <c r="R624" s="262"/>
      <c r="S624" s="262"/>
      <c r="T624" s="262"/>
      <c r="U624" s="262"/>
      <c r="V624" s="262"/>
      <c r="W624" s="262"/>
      <c r="X624" s="574"/>
      <c r="Y624" s="262"/>
      <c r="Z624" s="574"/>
      <c r="AA624" s="577"/>
      <c r="AB624" s="577"/>
      <c r="AC624" s="577"/>
      <c r="AD624" s="262"/>
      <c r="AE624" s="262"/>
      <c r="AF624" s="262"/>
      <c r="AG624" s="262"/>
      <c r="AH624" s="262"/>
      <c r="AI624" s="262"/>
      <c r="AJ624" s="574"/>
      <c r="AK624" s="576"/>
      <c r="AL624" s="576"/>
      <c r="AM624" s="577"/>
      <c r="AN624" s="577"/>
      <c r="AO624" s="577"/>
      <c r="AP624" s="262"/>
      <c r="AQ624" s="262"/>
      <c r="AR624" s="262"/>
      <c r="AS624" s="262"/>
      <c r="AT624" s="262"/>
      <c r="AU624" s="262"/>
      <c r="AV624" s="262"/>
    </row>
    <row r="625" spans="1:48" s="268" customFormat="1" ht="26.25" hidden="1" customHeight="1">
      <c r="A625" s="262"/>
      <c r="B625" s="262"/>
      <c r="C625" s="573"/>
      <c r="D625" s="262"/>
      <c r="E625" s="1250" t="s">
        <v>4580</v>
      </c>
      <c r="F625" s="1250"/>
      <c r="G625" s="1250"/>
      <c r="H625" s="1250"/>
      <c r="I625" s="1250"/>
      <c r="J625" s="1250"/>
      <c r="K625" s="1250"/>
      <c r="L625" s="1250"/>
      <c r="M625" s="1250"/>
      <c r="N625" s="1250"/>
      <c r="O625" s="1250"/>
      <c r="P625" s="1250"/>
      <c r="Q625" s="1250"/>
      <c r="R625" s="1250"/>
      <c r="S625" s="1250"/>
      <c r="T625" s="1250"/>
      <c r="U625" s="1250"/>
      <c r="V625" s="1250"/>
      <c r="W625" s="1250"/>
      <c r="X625" s="1250"/>
      <c r="Y625" s="1250"/>
      <c r="Z625" s="1250"/>
      <c r="AA625" s="1250"/>
      <c r="AB625" s="1250"/>
      <c r="AC625" s="1250"/>
      <c r="AD625" s="1250"/>
      <c r="AE625" s="1250"/>
      <c r="AF625" s="1250"/>
      <c r="AG625" s="1250"/>
      <c r="AH625" s="1250"/>
      <c r="AI625" s="1250"/>
      <c r="AJ625" s="1250"/>
      <c r="AK625" s="1250"/>
      <c r="AL625" s="1250"/>
      <c r="AM625" s="1250"/>
      <c r="AN625" s="1250"/>
      <c r="AO625" s="1250"/>
      <c r="AP625" s="1250"/>
      <c r="AQ625" s="1250"/>
      <c r="AR625" s="1250"/>
      <c r="AS625" s="1250"/>
      <c r="AT625" s="1250"/>
      <c r="AU625" s="1250"/>
      <c r="AV625" s="1250"/>
    </row>
    <row r="626" spans="1:48" s="268" customFormat="1" ht="12" hidden="1">
      <c r="A626" s="262"/>
      <c r="B626" s="262"/>
      <c r="C626" s="573"/>
      <c r="D626" s="262"/>
      <c r="E626" s="1171">
        <f>+E452</f>
        <v>1</v>
      </c>
      <c r="F626" s="1171"/>
      <c r="G626" s="1171"/>
      <c r="H626" s="1171"/>
      <c r="I626" s="1171"/>
      <c r="J626" s="1171"/>
      <c r="K626" s="1171"/>
      <c r="L626" s="574"/>
      <c r="M626" s="262"/>
      <c r="N626" s="575"/>
      <c r="O626" s="575" t="s">
        <v>4508</v>
      </c>
      <c r="P626" s="262"/>
      <c r="Q626" s="262"/>
      <c r="R626" s="262"/>
      <c r="S626" s="262"/>
      <c r="T626" s="1237">
        <f>+AM623</f>
        <v>0</v>
      </c>
      <c r="U626" s="1237"/>
      <c r="V626" s="1237"/>
      <c r="W626" s="1237"/>
      <c r="X626" s="1237"/>
      <c r="Y626" s="1237"/>
      <c r="Z626" s="1237"/>
      <c r="AA626" s="1237"/>
      <c r="AB626" s="1237"/>
      <c r="AC626" s="577"/>
      <c r="AD626" s="262"/>
      <c r="AE626" s="262"/>
      <c r="AF626" s="262"/>
      <c r="AG626" s="262"/>
      <c r="AH626" s="262"/>
      <c r="AI626" s="262"/>
      <c r="AJ626" s="574" t="s">
        <v>4426</v>
      </c>
      <c r="AK626" s="1174"/>
      <c r="AL626" s="1174"/>
      <c r="AM626" s="1237">
        <f>+E626*T626</f>
        <v>0</v>
      </c>
      <c r="AN626" s="1237"/>
      <c r="AO626" s="1237"/>
      <c r="AP626" s="1237"/>
      <c r="AQ626" s="1237"/>
      <c r="AR626" s="1237"/>
      <c r="AS626" s="1237"/>
      <c r="AT626" s="1237"/>
      <c r="AU626" s="1237"/>
      <c r="AV626" s="262"/>
    </row>
    <row r="627" spans="1:48" s="268" customFormat="1" ht="13.5" hidden="1" customHeight="1">
      <c r="A627" s="262"/>
      <c r="B627" s="262"/>
      <c r="C627" s="573" t="s">
        <v>4581</v>
      </c>
      <c r="D627" s="262"/>
      <c r="E627" s="578" t="str">
        <f>+C558</f>
        <v>VALOR DEL ESTACIONAMIENTO Nº …</v>
      </c>
      <c r="F627" s="262"/>
      <c r="G627" s="262"/>
      <c r="H627" s="262"/>
      <c r="I627" s="262"/>
      <c r="J627" s="262"/>
      <c r="K627" s="262"/>
      <c r="L627" s="574"/>
      <c r="M627" s="262"/>
      <c r="N627" s="575"/>
      <c r="O627" s="575"/>
      <c r="P627" s="262"/>
      <c r="Q627" s="262"/>
      <c r="R627" s="262"/>
      <c r="S627" s="262"/>
      <c r="T627" s="262"/>
      <c r="U627" s="262"/>
      <c r="V627" s="262"/>
      <c r="W627" s="262"/>
      <c r="X627" s="262"/>
      <c r="Y627" s="262"/>
      <c r="Z627" s="262"/>
      <c r="AA627" s="262"/>
      <c r="AB627" s="262"/>
      <c r="AC627" s="262"/>
      <c r="AD627" s="262"/>
      <c r="AE627" s="262"/>
      <c r="AF627" s="262"/>
      <c r="AG627" s="262"/>
      <c r="AH627" s="574"/>
      <c r="AI627" s="262"/>
      <c r="AJ627" s="574" t="s">
        <v>4426</v>
      </c>
      <c r="AK627" s="1174"/>
      <c r="AL627" s="1174"/>
      <c r="AM627" s="1237">
        <f>+AO560</f>
        <v>0</v>
      </c>
      <c r="AN627" s="1237"/>
      <c r="AO627" s="1237"/>
      <c r="AP627" s="1237"/>
      <c r="AQ627" s="1237"/>
      <c r="AR627" s="1237"/>
      <c r="AS627" s="1237"/>
      <c r="AT627" s="1237"/>
      <c r="AU627" s="1237"/>
      <c r="AV627" s="262"/>
    </row>
    <row r="628" spans="1:48" s="268" customFormat="1" ht="13.5" hidden="1" customHeight="1">
      <c r="A628" s="262"/>
      <c r="B628" s="262"/>
      <c r="C628" s="573" t="s">
        <v>4582</v>
      </c>
      <c r="D628" s="262"/>
      <c r="E628" s="578" t="str">
        <f>+C563</f>
        <v>VALOR DEL DEPOSITO Nº ..</v>
      </c>
      <c r="F628" s="262"/>
      <c r="G628" s="262"/>
      <c r="H628" s="262"/>
      <c r="I628" s="262"/>
      <c r="J628" s="262"/>
      <c r="K628" s="262"/>
      <c r="L628" s="574"/>
      <c r="M628" s="262"/>
      <c r="N628" s="575"/>
      <c r="O628" s="575"/>
      <c r="P628" s="262"/>
      <c r="Q628" s="262"/>
      <c r="R628" s="262"/>
      <c r="S628" s="262"/>
      <c r="T628" s="262"/>
      <c r="U628" s="262"/>
      <c r="V628" s="262"/>
      <c r="W628" s="262"/>
      <c r="X628" s="262"/>
      <c r="Y628" s="262"/>
      <c r="Z628" s="262"/>
      <c r="AA628" s="262"/>
      <c r="AB628" s="262"/>
      <c r="AC628" s="262"/>
      <c r="AD628" s="262"/>
      <c r="AE628" s="262"/>
      <c r="AF628" s="262"/>
      <c r="AG628" s="262"/>
      <c r="AH628" s="574"/>
      <c r="AI628" s="262"/>
      <c r="AJ628" s="574" t="s">
        <v>4426</v>
      </c>
      <c r="AK628" s="1174"/>
      <c r="AL628" s="1174"/>
      <c r="AM628" s="1237">
        <f>+AO563</f>
        <v>0</v>
      </c>
      <c r="AN628" s="1237"/>
      <c r="AO628" s="1237"/>
      <c r="AP628" s="1237"/>
      <c r="AQ628" s="1237"/>
      <c r="AR628" s="1237"/>
      <c r="AS628" s="1237"/>
      <c r="AT628" s="1237"/>
      <c r="AU628" s="1237"/>
      <c r="AV628" s="262"/>
    </row>
    <row r="629" spans="1:48" s="587" customFormat="1" ht="18" hidden="1" customHeight="1" thickBot="1">
      <c r="A629" s="581"/>
      <c r="B629" s="581"/>
      <c r="C629" s="582" t="s">
        <v>4521</v>
      </c>
      <c r="D629" s="583"/>
      <c r="E629" s="583"/>
      <c r="F629" s="583"/>
      <c r="G629" s="583" t="str">
        <f>C617</f>
        <v>VALOR  COMERCIAL DEL INMUEBLE (VCI)</v>
      </c>
      <c r="H629" s="583"/>
      <c r="I629" s="583"/>
      <c r="J629" s="583"/>
      <c r="K629" s="583"/>
      <c r="L629" s="584"/>
      <c r="M629" s="583"/>
      <c r="N629" s="585"/>
      <c r="O629" s="585"/>
      <c r="P629" s="583"/>
      <c r="Q629" s="583"/>
      <c r="R629" s="583"/>
      <c r="S629" s="583"/>
      <c r="T629" s="583"/>
      <c r="U629" s="583"/>
      <c r="V629" s="583"/>
      <c r="W629" s="583"/>
      <c r="X629" s="583"/>
      <c r="Y629" s="583"/>
      <c r="Z629" s="583"/>
      <c r="AA629" s="583"/>
      <c r="AB629" s="583"/>
      <c r="AC629" s="583"/>
      <c r="AD629" s="583"/>
      <c r="AE629" s="583"/>
      <c r="AF629" s="583"/>
      <c r="AG629" s="583"/>
      <c r="AH629" s="584"/>
      <c r="AI629" s="583"/>
      <c r="AJ629" s="584" t="s">
        <v>4426</v>
      </c>
      <c r="AK629" s="1182"/>
      <c r="AL629" s="1182"/>
      <c r="AM629" s="1248">
        <f>SUM(AM626:AU628)</f>
        <v>0</v>
      </c>
      <c r="AN629" s="1248"/>
      <c r="AO629" s="1248"/>
      <c r="AP629" s="1249"/>
      <c r="AQ629" s="1249"/>
      <c r="AR629" s="1249"/>
      <c r="AS629" s="1249"/>
      <c r="AT629" s="1249"/>
      <c r="AU629" s="1249"/>
      <c r="AV629" s="586"/>
    </row>
    <row r="630" spans="1:48" s="268" customFormat="1" ht="18" hidden="1" customHeight="1">
      <c r="A630" s="262"/>
      <c r="B630" s="262"/>
      <c r="C630" s="1185" t="str">
        <f>+CONCATENATE("SON: ",[4]!NumeLetras(AM629,"CON","SOLES",1))</f>
        <v>SON: CON 00/100 SOLES</v>
      </c>
      <c r="D630" s="1185"/>
      <c r="E630" s="1185"/>
      <c r="F630" s="1185"/>
      <c r="G630" s="1185"/>
      <c r="H630" s="1185"/>
      <c r="I630" s="1185"/>
      <c r="J630" s="1185"/>
      <c r="K630" s="1185"/>
      <c r="L630" s="1185"/>
      <c r="M630" s="1185"/>
      <c r="N630" s="1185"/>
      <c r="O630" s="1185"/>
      <c r="P630" s="1185"/>
      <c r="Q630" s="1185"/>
      <c r="R630" s="1185"/>
      <c r="S630" s="1185"/>
      <c r="T630" s="1185"/>
      <c r="U630" s="1173"/>
      <c r="V630" s="1173"/>
      <c r="W630" s="1173"/>
      <c r="X630" s="1173"/>
      <c r="Y630" s="1173"/>
      <c r="Z630" s="1173"/>
      <c r="AA630" s="1173"/>
      <c r="AB630" s="1173"/>
      <c r="AC630" s="1173"/>
      <c r="AD630" s="1173"/>
      <c r="AE630" s="1173"/>
      <c r="AF630" s="1173"/>
      <c r="AG630" s="1173"/>
      <c r="AH630" s="1173"/>
      <c r="AI630" s="1173"/>
      <c r="AJ630" s="1173"/>
      <c r="AK630" s="1173"/>
      <c r="AL630" s="1173"/>
      <c r="AM630" s="1173"/>
      <c r="AN630" s="1173"/>
      <c r="AO630" s="1173"/>
      <c r="AP630" s="1173"/>
      <c r="AQ630" s="1173"/>
      <c r="AR630" s="1173"/>
      <c r="AS630" s="1173"/>
      <c r="AT630" s="1173"/>
      <c r="AU630" s="1173"/>
      <c r="AV630" s="1173"/>
    </row>
    <row r="631" spans="1:48" s="268" customFormat="1" ht="30" hidden="1" customHeight="1">
      <c r="A631" s="1169">
        <f>1+A617</f>
        <v>2</v>
      </c>
      <c r="B631" s="1170"/>
      <c r="C631" s="589" t="s">
        <v>4583</v>
      </c>
      <c r="D631" s="590"/>
      <c r="E631" s="590"/>
      <c r="F631" s="590"/>
      <c r="G631" s="590"/>
      <c r="H631" s="590"/>
      <c r="I631" s="590"/>
      <c r="J631" s="590"/>
      <c r="K631" s="590"/>
      <c r="L631" s="590"/>
      <c r="M631" s="590"/>
      <c r="N631" s="590"/>
      <c r="O631" s="590"/>
      <c r="P631" s="590"/>
      <c r="Q631" s="590"/>
      <c r="R631" s="590"/>
      <c r="S631" s="590"/>
      <c r="T631" s="590"/>
      <c r="U631" s="590"/>
      <c r="V631" s="590"/>
      <c r="W631" s="590"/>
      <c r="X631" s="262"/>
      <c r="Y631" s="262"/>
      <c r="Z631" s="262"/>
      <c r="AA631" s="262"/>
      <c r="AB631" s="262"/>
      <c r="AC631" s="262"/>
      <c r="AD631" s="262"/>
      <c r="AE631" s="262"/>
      <c r="AF631" s="262"/>
      <c r="AG631" s="262"/>
      <c r="AH631" s="262"/>
      <c r="AI631" s="262"/>
      <c r="AJ631" s="262"/>
      <c r="AK631" s="262"/>
      <c r="AL631" s="262"/>
      <c r="AM631" s="262"/>
      <c r="AN631" s="262"/>
      <c r="AO631" s="262"/>
      <c r="AP631" s="262"/>
      <c r="AQ631" s="262"/>
      <c r="AR631" s="262"/>
      <c r="AS631" s="262"/>
      <c r="AT631" s="262"/>
      <c r="AU631" s="262"/>
      <c r="AV631" s="262"/>
    </row>
    <row r="632" spans="1:48" s="268" customFormat="1" ht="15" hidden="1" customHeight="1">
      <c r="A632" s="262"/>
      <c r="B632" s="262"/>
      <c r="C632" s="591" t="s">
        <v>4584</v>
      </c>
      <c r="D632" s="592"/>
      <c r="E632" s="592"/>
      <c r="F632" s="592"/>
      <c r="G632" s="592"/>
      <c r="H632" s="593"/>
      <c r="I632" s="593"/>
      <c r="J632" s="594"/>
      <c r="K632" s="592"/>
      <c r="L632" s="592"/>
      <c r="M632" s="592"/>
      <c r="N632" s="592"/>
      <c r="O632" s="592"/>
      <c r="P632" s="592"/>
      <c r="Q632" s="262"/>
      <c r="R632" s="262"/>
      <c r="S632" s="262"/>
      <c r="T632" s="262"/>
      <c r="U632" s="262"/>
      <c r="V632" s="262"/>
      <c r="W632" s="262"/>
      <c r="X632" s="262"/>
      <c r="Y632" s="262"/>
      <c r="Z632" s="262"/>
      <c r="AA632" s="262"/>
      <c r="AB632" s="262"/>
      <c r="AC632" s="262"/>
      <c r="AD632" s="262"/>
      <c r="AE632" s="262"/>
      <c r="AF632" s="262"/>
      <c r="AG632" s="262"/>
      <c r="AH632" s="262"/>
      <c r="AI632" s="262"/>
      <c r="AJ632" s="262"/>
      <c r="AK632" s="262"/>
      <c r="AL632" s="262"/>
      <c r="AM632" s="262"/>
      <c r="AN632" s="262"/>
      <c r="AO632" s="262"/>
      <c r="AP632" s="262"/>
      <c r="AQ632" s="262"/>
      <c r="AR632" s="262"/>
      <c r="AS632" s="262"/>
      <c r="AT632" s="262"/>
      <c r="AU632" s="262"/>
      <c r="AV632" s="262"/>
    </row>
    <row r="633" spans="1:48" s="268" customFormat="1" ht="15" hidden="1" customHeight="1">
      <c r="A633" s="262"/>
      <c r="B633" s="262"/>
      <c r="C633" s="262" t="s">
        <v>4585</v>
      </c>
      <c r="D633" s="262"/>
      <c r="E633" s="262"/>
      <c r="F633" s="262"/>
      <c r="G633" s="262"/>
      <c r="H633" s="595"/>
      <c r="I633" s="595"/>
      <c r="J633" s="595"/>
      <c r="K633" s="262"/>
      <c r="L633" s="262"/>
      <c r="M633" s="262"/>
      <c r="N633" s="262"/>
      <c r="O633" s="262"/>
      <c r="P633" s="262"/>
      <c r="Q633" s="262"/>
      <c r="R633" s="262"/>
      <c r="S633" s="262"/>
      <c r="T633" s="262"/>
      <c r="U633" s="262"/>
      <c r="V633" s="262"/>
      <c r="W633" s="262"/>
      <c r="X633" s="262"/>
      <c r="Y633" s="262"/>
      <c r="Z633" s="262"/>
      <c r="AA633" s="262"/>
      <c r="AB633" s="262"/>
      <c r="AC633" s="262"/>
      <c r="AD633" s="262"/>
      <c r="AE633" s="262"/>
      <c r="AF633" s="262"/>
      <c r="AG633" s="262"/>
      <c r="AH633" s="262"/>
      <c r="AI633" s="262"/>
      <c r="AJ633" s="262"/>
      <c r="AK633" s="262"/>
      <c r="AL633" s="262"/>
      <c r="AM633" s="262"/>
      <c r="AN633" s="262"/>
      <c r="AO633" s="262"/>
      <c r="AP633" s="262"/>
      <c r="AQ633" s="262"/>
      <c r="AR633" s="262"/>
      <c r="AS633" s="262"/>
      <c r="AT633" s="262"/>
      <c r="AU633" s="262"/>
      <c r="AV633" s="262"/>
    </row>
    <row r="634" spans="1:48" s="268" customFormat="1" ht="15" hidden="1" customHeight="1">
      <c r="A634" s="262"/>
      <c r="B634" s="262"/>
      <c r="C634" s="1177" t="s">
        <v>4586</v>
      </c>
      <c r="D634" s="1177"/>
      <c r="E634" s="262" t="s">
        <v>4587</v>
      </c>
      <c r="F634" s="262"/>
      <c r="G634" s="262"/>
      <c r="H634" s="595"/>
      <c r="I634" s="595"/>
      <c r="J634" s="595"/>
      <c r="K634" s="262"/>
      <c r="L634" s="262"/>
      <c r="M634" s="262"/>
      <c r="N634" s="262"/>
      <c r="O634" s="262"/>
      <c r="P634" s="262"/>
      <c r="Q634" s="262"/>
      <c r="R634" s="262"/>
      <c r="S634" s="262"/>
      <c r="T634" s="262"/>
      <c r="U634" s="262"/>
      <c r="V634" s="262"/>
      <c r="W634" s="262"/>
      <c r="X634" s="262"/>
      <c r="Y634" s="262"/>
      <c r="Z634" s="262"/>
      <c r="AA634" s="262"/>
      <c r="AB634" s="262"/>
      <c r="AC634" s="262"/>
      <c r="AD634" s="262"/>
      <c r="AE634" s="262"/>
      <c r="AF634" s="262"/>
      <c r="AG634" s="262"/>
      <c r="AH634" s="1178">
        <v>0.02</v>
      </c>
      <c r="AI634" s="1173"/>
      <c r="AJ634" s="1173"/>
      <c r="AK634" s="1173"/>
      <c r="AL634" s="1173"/>
      <c r="AM634" s="262"/>
      <c r="AN634" s="262"/>
      <c r="AO634" s="262"/>
      <c r="AP634" s="262"/>
      <c r="AQ634" s="262"/>
      <c r="AR634" s="262"/>
      <c r="AS634" s="262"/>
      <c r="AT634" s="262"/>
      <c r="AU634" s="262"/>
      <c r="AV634" s="262"/>
    </row>
    <row r="635" spans="1:48" s="268" customFormat="1" ht="12" hidden="1">
      <c r="A635" s="262"/>
      <c r="B635" s="262"/>
      <c r="C635" s="1177" t="s">
        <v>4586</v>
      </c>
      <c r="D635" s="1177"/>
      <c r="E635" s="262" t="s">
        <v>4588</v>
      </c>
      <c r="F635" s="262"/>
      <c r="G635" s="262"/>
      <c r="H635" s="595"/>
      <c r="I635" s="595"/>
      <c r="J635" s="595"/>
      <c r="K635" s="262"/>
      <c r="L635" s="262"/>
      <c r="M635" s="262"/>
      <c r="N635" s="262"/>
      <c r="O635" s="262"/>
      <c r="P635" s="262"/>
      <c r="Q635" s="262"/>
      <c r="R635" s="262"/>
      <c r="S635" s="262"/>
      <c r="T635" s="262"/>
      <c r="U635" s="262"/>
      <c r="V635" s="262"/>
      <c r="W635" s="262"/>
      <c r="X635" s="262"/>
      <c r="Y635" s="262"/>
      <c r="Z635" s="262"/>
      <c r="AA635" s="262"/>
      <c r="AB635" s="262"/>
      <c r="AC635" s="262"/>
      <c r="AD635" s="262"/>
      <c r="AE635" s="262"/>
      <c r="AF635" s="262"/>
      <c r="AG635" s="262"/>
      <c r="AH635" s="1178">
        <v>2E-3</v>
      </c>
      <c r="AI635" s="1173"/>
      <c r="AJ635" s="1173"/>
      <c r="AK635" s="1173"/>
      <c r="AL635" s="1173"/>
      <c r="AM635" s="262"/>
      <c r="AN635" s="262"/>
      <c r="AO635" s="262"/>
      <c r="AP635" s="262"/>
      <c r="AQ635" s="262"/>
      <c r="AR635" s="262"/>
      <c r="AS635" s="262"/>
      <c r="AT635" s="262"/>
      <c r="AU635" s="262"/>
      <c r="AV635" s="262"/>
    </row>
    <row r="636" spans="1:48" s="268" customFormat="1" ht="12" hidden="1">
      <c r="A636" s="262"/>
      <c r="B636" s="262"/>
      <c r="C636" s="1177" t="s">
        <v>4586</v>
      </c>
      <c r="D636" s="1177"/>
      <c r="E636" s="262" t="s">
        <v>4589</v>
      </c>
      <c r="F636" s="262"/>
      <c r="G636" s="262"/>
      <c r="H636" s="596"/>
      <c r="I636" s="262"/>
      <c r="J636" s="595"/>
      <c r="K636" s="262"/>
      <c r="L636" s="262"/>
      <c r="M636" s="262"/>
      <c r="N636" s="262"/>
      <c r="O636" s="262"/>
      <c r="P636" s="262"/>
      <c r="Q636" s="262"/>
      <c r="R636" s="262"/>
      <c r="S636" s="262"/>
      <c r="T636" s="262"/>
      <c r="U636" s="262"/>
      <c r="V636" s="262"/>
      <c r="W636" s="262"/>
      <c r="X636" s="262"/>
      <c r="Y636" s="262"/>
      <c r="Z636" s="262"/>
      <c r="AA636" s="262"/>
      <c r="AB636" s="262"/>
      <c r="AC636" s="262"/>
      <c r="AD636" s="262"/>
      <c r="AE636" s="262"/>
      <c r="AF636" s="262"/>
      <c r="AG636" s="262"/>
      <c r="AH636" s="1178">
        <v>0.04</v>
      </c>
      <c r="AI636" s="1173"/>
      <c r="AJ636" s="1173"/>
      <c r="AK636" s="1173"/>
      <c r="AL636" s="1173"/>
      <c r="AM636" s="262"/>
      <c r="AN636" s="262"/>
      <c r="AO636" s="262"/>
      <c r="AP636" s="262"/>
      <c r="AQ636" s="262"/>
      <c r="AR636" s="262"/>
      <c r="AS636" s="262"/>
      <c r="AT636" s="262"/>
      <c r="AU636" s="262"/>
      <c r="AV636" s="262"/>
    </row>
    <row r="637" spans="1:48" s="268" customFormat="1" ht="12" hidden="1">
      <c r="A637" s="262"/>
      <c r="B637" s="262"/>
      <c r="C637" s="1177" t="s">
        <v>4586</v>
      </c>
      <c r="D637" s="1177"/>
      <c r="E637" s="262" t="s">
        <v>4590</v>
      </c>
      <c r="F637" s="262"/>
      <c r="G637" s="262"/>
      <c r="H637" s="596"/>
      <c r="I637" s="262"/>
      <c r="J637" s="595"/>
      <c r="K637" s="262"/>
      <c r="L637" s="262"/>
      <c r="M637" s="262"/>
      <c r="N637" s="262"/>
      <c r="O637" s="262"/>
      <c r="P637" s="262"/>
      <c r="Q637" s="262"/>
      <c r="R637" s="262"/>
      <c r="S637" s="262"/>
      <c r="T637" s="262"/>
      <c r="U637" s="262"/>
      <c r="V637" s="262"/>
      <c r="W637" s="262"/>
      <c r="X637" s="262"/>
      <c r="Y637" s="262"/>
      <c r="Z637" s="262"/>
      <c r="AA637" s="262"/>
      <c r="AB637" s="262"/>
      <c r="AC637" s="262"/>
      <c r="AD637" s="262"/>
      <c r="AE637" s="262"/>
      <c r="AF637" s="262"/>
      <c r="AG637" s="262"/>
      <c r="AH637" s="1178">
        <v>0.02</v>
      </c>
      <c r="AI637" s="1173"/>
      <c r="AJ637" s="1173"/>
      <c r="AK637" s="1173"/>
      <c r="AL637" s="1173"/>
      <c r="AM637" s="262"/>
      <c r="AN637" s="262"/>
      <c r="AO637" s="262"/>
      <c r="AP637" s="262"/>
      <c r="AQ637" s="262"/>
      <c r="AR637" s="262"/>
      <c r="AS637" s="262"/>
      <c r="AT637" s="262"/>
      <c r="AU637" s="262"/>
      <c r="AV637" s="262"/>
    </row>
    <row r="638" spans="1:48" s="268" customFormat="1" ht="12" hidden="1">
      <c r="A638" s="262"/>
      <c r="B638" s="262"/>
      <c r="C638" s="1177" t="s">
        <v>4586</v>
      </c>
      <c r="D638" s="1177"/>
      <c r="E638" s="262" t="s">
        <v>4591</v>
      </c>
      <c r="F638" s="262"/>
      <c r="G638" s="262"/>
      <c r="H638" s="596"/>
      <c r="I638" s="262"/>
      <c r="J638" s="595"/>
      <c r="K638" s="262"/>
      <c r="L638" s="262"/>
      <c r="M638" s="262"/>
      <c r="N638" s="262"/>
      <c r="O638" s="262"/>
      <c r="P638" s="262"/>
      <c r="Q638" s="262"/>
      <c r="R638" s="262"/>
      <c r="S638" s="262"/>
      <c r="T638" s="262"/>
      <c r="U638" s="262"/>
      <c r="V638" s="262"/>
      <c r="W638" s="262"/>
      <c r="X638" s="262"/>
      <c r="Y638" s="262"/>
      <c r="Z638" s="262"/>
      <c r="AA638" s="262"/>
      <c r="AB638" s="262"/>
      <c r="AC638" s="262"/>
      <c r="AD638" s="262"/>
      <c r="AE638" s="262"/>
      <c r="AF638" s="262"/>
      <c r="AG638" s="262"/>
      <c r="AH638" s="1178">
        <f>+AH639-AH634-AH635-AH636-AH637</f>
        <v>0.11800000000000001</v>
      </c>
      <c r="AI638" s="1173"/>
      <c r="AJ638" s="1173"/>
      <c r="AK638" s="1173"/>
      <c r="AL638" s="1173"/>
      <c r="AM638" s="262"/>
      <c r="AN638" s="262"/>
      <c r="AO638" s="262"/>
      <c r="AP638" s="262"/>
      <c r="AQ638" s="262"/>
      <c r="AR638" s="262"/>
      <c r="AS638" s="262"/>
      <c r="AT638" s="262"/>
      <c r="AU638" s="262"/>
      <c r="AV638" s="262"/>
    </row>
    <row r="639" spans="1:48" s="268" customFormat="1" hidden="1" thickBot="1">
      <c r="A639" s="262"/>
      <c r="B639" s="262"/>
      <c r="C639" s="597" t="s">
        <v>4592</v>
      </c>
      <c r="D639" s="598"/>
      <c r="E639" s="598"/>
      <c r="F639" s="598"/>
      <c r="G639" s="598"/>
      <c r="H639" s="599"/>
      <c r="I639" s="598"/>
      <c r="J639" s="600"/>
      <c r="K639" s="598"/>
      <c r="L639" s="598"/>
      <c r="M639" s="598"/>
      <c r="N639" s="598"/>
      <c r="O639" s="598"/>
      <c r="P639" s="598"/>
      <c r="Q639" s="598"/>
      <c r="R639" s="598"/>
      <c r="S639" s="598"/>
      <c r="T639" s="598"/>
      <c r="U639" s="598"/>
      <c r="V639" s="598"/>
      <c r="W639" s="598"/>
      <c r="X639" s="598"/>
      <c r="Y639" s="598"/>
      <c r="Z639" s="598"/>
      <c r="AA639" s="598"/>
      <c r="AB639" s="598"/>
      <c r="AC639" s="598"/>
      <c r="AD639" s="598"/>
      <c r="AE639" s="598"/>
      <c r="AF639" s="598"/>
      <c r="AG639" s="598"/>
      <c r="AH639" s="1179">
        <f>+AH465</f>
        <v>0.2</v>
      </c>
      <c r="AI639" s="1180"/>
      <c r="AJ639" s="1180"/>
      <c r="AK639" s="1180"/>
      <c r="AL639" s="1180"/>
      <c r="AM639" s="262"/>
      <c r="AN639" s="262"/>
      <c r="AO639" s="262"/>
      <c r="AP639" s="262"/>
      <c r="AQ639" s="262"/>
      <c r="AR639" s="262"/>
      <c r="AS639" s="262"/>
      <c r="AT639" s="262"/>
      <c r="AU639" s="262"/>
      <c r="AV639" s="262"/>
    </row>
    <row r="640" spans="1:48" s="268" customFormat="1" ht="19.5" hidden="1" customHeight="1" thickTop="1">
      <c r="A640" s="262"/>
      <c r="B640" s="262"/>
      <c r="C640" s="262" t="s">
        <v>4593</v>
      </c>
      <c r="D640" s="262"/>
      <c r="E640" s="262"/>
      <c r="F640" s="262"/>
      <c r="G640" s="262"/>
      <c r="H640" s="262"/>
      <c r="I640" s="1181">
        <f>100%-AH639</f>
        <v>0.8</v>
      </c>
      <c r="J640" s="1173"/>
      <c r="K640" s="1173"/>
      <c r="L640" s="1173"/>
      <c r="M640" s="1173"/>
      <c r="N640" s="262" t="s">
        <v>4594</v>
      </c>
      <c r="O640" s="262"/>
      <c r="P640" s="262"/>
      <c r="Q640" s="262"/>
      <c r="R640" s="262"/>
      <c r="S640" s="262"/>
      <c r="T640" s="262"/>
      <c r="U640" s="262"/>
      <c r="V640" s="262"/>
      <c r="W640" s="262"/>
      <c r="X640" s="262"/>
      <c r="Y640" s="262"/>
      <c r="Z640" s="262"/>
      <c r="AA640" s="262"/>
      <c r="AB640" s="262"/>
      <c r="AC640" s="262"/>
      <c r="AD640" s="262"/>
      <c r="AE640" s="262"/>
      <c r="AF640" s="262"/>
      <c r="AG640" s="262"/>
      <c r="AH640" s="262"/>
      <c r="AI640" s="262"/>
      <c r="AJ640" s="262"/>
      <c r="AK640" s="262"/>
      <c r="AL640" s="262"/>
      <c r="AM640" s="262"/>
      <c r="AN640" s="262"/>
      <c r="AO640" s="262"/>
      <c r="AP640" s="262"/>
      <c r="AQ640" s="262"/>
      <c r="AR640" s="262"/>
      <c r="AS640" s="262"/>
      <c r="AT640" s="262"/>
      <c r="AU640" s="262"/>
      <c r="AV640" s="262"/>
    </row>
    <row r="641" spans="1:48" s="268" customFormat="1" ht="20.100000000000001" hidden="1" customHeight="1">
      <c r="A641" s="262"/>
      <c r="B641" s="262"/>
      <c r="C641" s="571" t="str">
        <f>+C467</f>
        <v>PRIMER PISO</v>
      </c>
      <c r="D641" s="262"/>
      <c r="E641" s="262"/>
      <c r="F641" s="262"/>
      <c r="G641" s="262"/>
      <c r="H641" s="262"/>
      <c r="I641" s="601"/>
      <c r="J641" s="262"/>
      <c r="K641" s="262"/>
      <c r="L641" s="262"/>
      <c r="M641" s="262"/>
      <c r="N641" s="262"/>
      <c r="O641" s="262"/>
      <c r="P641" s="262"/>
      <c r="Q641" s="262"/>
      <c r="R641" s="262"/>
      <c r="S641" s="262"/>
      <c r="T641" s="262"/>
      <c r="U641" s="262"/>
      <c r="V641" s="262"/>
      <c r="W641" s="262"/>
      <c r="X641" s="262"/>
      <c r="Y641" s="262"/>
      <c r="Z641" s="262"/>
      <c r="AA641" s="262"/>
      <c r="AB641" s="262"/>
      <c r="AC641" s="262"/>
      <c r="AD641" s="262"/>
      <c r="AE641" s="262"/>
      <c r="AF641" s="262"/>
      <c r="AG641" s="262"/>
      <c r="AH641" s="262"/>
      <c r="AI641" s="262"/>
      <c r="AJ641" s="262"/>
      <c r="AK641" s="262"/>
      <c r="AL641" s="262"/>
      <c r="AM641" s="262"/>
      <c r="AN641" s="262"/>
      <c r="AO641" s="262"/>
      <c r="AP641" s="262"/>
      <c r="AQ641" s="262"/>
      <c r="AR641" s="262"/>
      <c r="AS641" s="262"/>
      <c r="AT641" s="262"/>
      <c r="AU641" s="262"/>
      <c r="AV641" s="262"/>
    </row>
    <row r="642" spans="1:48" s="268" customFormat="1" ht="13.5" hidden="1" customHeight="1">
      <c r="A642" s="262"/>
      <c r="B642" s="262"/>
      <c r="C642" s="262" t="str">
        <f>+C640</f>
        <v>VRA        =</v>
      </c>
      <c r="D642" s="262"/>
      <c r="E642" s="262"/>
      <c r="F642" s="262"/>
      <c r="G642" s="262"/>
      <c r="H642" s="262"/>
      <c r="I642" s="1181">
        <f>+I640</f>
        <v>0.8</v>
      </c>
      <c r="J642" s="1173"/>
      <c r="K642" s="1173"/>
      <c r="L642" s="1173"/>
      <c r="M642" s="1173"/>
      <c r="N642" s="1237">
        <f>+AM626</f>
        <v>0</v>
      </c>
      <c r="O642" s="1237"/>
      <c r="P642" s="1237"/>
      <c r="Q642" s="1237"/>
      <c r="R642" s="1237"/>
      <c r="S642" s="1237"/>
      <c r="T642" s="1237"/>
      <c r="U642" s="1237"/>
      <c r="V642" s="1237"/>
      <c r="W642" s="262"/>
      <c r="X642" s="262" t="s">
        <v>4595</v>
      </c>
      <c r="Y642" s="262"/>
      <c r="Z642" s="262"/>
      <c r="AA642" s="262"/>
      <c r="AB642" s="262"/>
      <c r="AC642" s="262"/>
      <c r="AD642" s="262"/>
      <c r="AE642" s="262"/>
      <c r="AF642" s="262"/>
      <c r="AG642" s="262"/>
      <c r="AH642" s="262"/>
      <c r="AI642" s="262"/>
      <c r="AJ642" s="262" t="s">
        <v>4426</v>
      </c>
      <c r="AK642" s="262"/>
      <c r="AL642" s="262"/>
      <c r="AM642" s="1251">
        <f>+I642*N642</f>
        <v>0</v>
      </c>
      <c r="AN642" s="1251"/>
      <c r="AO642" s="1251"/>
      <c r="AP642" s="1251"/>
      <c r="AQ642" s="1251"/>
      <c r="AR642" s="1251"/>
      <c r="AS642" s="1251"/>
      <c r="AT642" s="1251"/>
      <c r="AU642" s="1251"/>
      <c r="AV642" s="262"/>
    </row>
    <row r="643" spans="1:48" s="268" customFormat="1" ht="20.100000000000001" hidden="1" customHeight="1">
      <c r="A643" s="262"/>
      <c r="B643" s="262"/>
      <c r="C643" s="571" t="str">
        <f>+C469</f>
        <v>ESTACIONAMIENTO Nº..</v>
      </c>
      <c r="D643" s="262"/>
      <c r="E643" s="262"/>
      <c r="F643" s="262"/>
      <c r="G643" s="262"/>
      <c r="H643" s="262"/>
      <c r="I643" s="601"/>
      <c r="J643" s="262"/>
      <c r="K643" s="262"/>
      <c r="L643" s="262"/>
      <c r="M643" s="262"/>
      <c r="N643" s="262"/>
      <c r="O643" s="262"/>
      <c r="P643" s="262"/>
      <c r="Q643" s="262"/>
      <c r="R643" s="262"/>
      <c r="S643" s="262"/>
      <c r="T643" s="262"/>
      <c r="U643" s="262"/>
      <c r="V643" s="262"/>
      <c r="W643" s="262"/>
      <c r="X643" s="262"/>
      <c r="Y643" s="262"/>
      <c r="Z643" s="262"/>
      <c r="AA643" s="262"/>
      <c r="AB643" s="262"/>
      <c r="AC643" s="262"/>
      <c r="AD643" s="262"/>
      <c r="AE643" s="262"/>
      <c r="AF643" s="262"/>
      <c r="AG643" s="262"/>
      <c r="AH643" s="262"/>
      <c r="AI643" s="262"/>
      <c r="AJ643" s="262"/>
      <c r="AK643" s="262"/>
      <c r="AL643" s="262"/>
      <c r="AM643" s="262"/>
      <c r="AN643" s="262"/>
      <c r="AO643" s="262"/>
      <c r="AP643" s="262"/>
      <c r="AQ643" s="262"/>
      <c r="AR643" s="262"/>
      <c r="AS643" s="262"/>
      <c r="AT643" s="262"/>
      <c r="AU643" s="262"/>
      <c r="AV643" s="262"/>
    </row>
    <row r="644" spans="1:48" s="268" customFormat="1" ht="13.5" hidden="1" customHeight="1">
      <c r="A644" s="262"/>
      <c r="B644" s="262"/>
      <c r="C644" s="262" t="str">
        <f>+C642</f>
        <v>VRA        =</v>
      </c>
      <c r="D644" s="262"/>
      <c r="E644" s="262"/>
      <c r="F644" s="262"/>
      <c r="G644" s="262"/>
      <c r="H644" s="262"/>
      <c r="I644" s="1181">
        <f>+I642</f>
        <v>0.8</v>
      </c>
      <c r="J644" s="1173"/>
      <c r="K644" s="1173"/>
      <c r="L644" s="1173"/>
      <c r="M644" s="1173"/>
      <c r="N644" s="1237">
        <f>+AM627</f>
        <v>0</v>
      </c>
      <c r="O644" s="1237"/>
      <c r="P644" s="1237"/>
      <c r="Q644" s="1237"/>
      <c r="R644" s="1237"/>
      <c r="S644" s="1237"/>
      <c r="T644" s="1237"/>
      <c r="U644" s="1237"/>
      <c r="V644" s="1237"/>
      <c r="W644" s="262"/>
      <c r="X644" s="262" t="s">
        <v>4595</v>
      </c>
      <c r="Y644" s="262"/>
      <c r="Z644" s="262"/>
      <c r="AA644" s="262"/>
      <c r="AB644" s="262"/>
      <c r="AC644" s="262"/>
      <c r="AD644" s="262"/>
      <c r="AE644" s="262"/>
      <c r="AF644" s="262"/>
      <c r="AG644" s="262"/>
      <c r="AH644" s="262"/>
      <c r="AI644" s="262"/>
      <c r="AJ644" s="262" t="s">
        <v>4426</v>
      </c>
      <c r="AK644" s="262"/>
      <c r="AL644" s="262"/>
      <c r="AM644" s="1251">
        <f>+I644*N644</f>
        <v>0</v>
      </c>
      <c r="AN644" s="1251"/>
      <c r="AO644" s="1251"/>
      <c r="AP644" s="1251"/>
      <c r="AQ644" s="1251"/>
      <c r="AR644" s="1251"/>
      <c r="AS644" s="1251"/>
      <c r="AT644" s="1251"/>
      <c r="AU644" s="1251"/>
      <c r="AV644" s="262"/>
    </row>
    <row r="645" spans="1:48" s="268" customFormat="1" ht="20.100000000000001" hidden="1" customHeight="1">
      <c r="A645" s="262"/>
      <c r="B645" s="262"/>
      <c r="C645" s="571" t="str">
        <f>+C471</f>
        <v>DEPÓSITO Nº …</v>
      </c>
      <c r="D645" s="262"/>
      <c r="E645" s="262"/>
      <c r="F645" s="262"/>
      <c r="G645" s="262"/>
      <c r="H645" s="262"/>
      <c r="I645" s="601"/>
      <c r="J645" s="262"/>
      <c r="K645" s="262"/>
      <c r="L645" s="262"/>
      <c r="M645" s="262"/>
      <c r="N645" s="262"/>
      <c r="O645" s="262"/>
      <c r="P645" s="262"/>
      <c r="Q645" s="262"/>
      <c r="R645" s="262"/>
      <c r="S645" s="262"/>
      <c r="T645" s="262"/>
      <c r="U645" s="262"/>
      <c r="V645" s="262"/>
      <c r="W645" s="262"/>
      <c r="X645" s="262"/>
      <c r="Y645" s="262"/>
      <c r="Z645" s="262"/>
      <c r="AA645" s="262"/>
      <c r="AB645" s="262"/>
      <c r="AC645" s="262"/>
      <c r="AD645" s="262"/>
      <c r="AE645" s="262"/>
      <c r="AF645" s="262"/>
      <c r="AG645" s="262"/>
      <c r="AH645" s="262"/>
      <c r="AI645" s="262"/>
      <c r="AJ645" s="262"/>
      <c r="AK645" s="262"/>
      <c r="AL645" s="262"/>
      <c r="AM645" s="262"/>
      <c r="AN645" s="262"/>
      <c r="AO645" s="262"/>
      <c r="AP645" s="262"/>
      <c r="AQ645" s="262"/>
      <c r="AR645" s="262"/>
      <c r="AS645" s="262"/>
      <c r="AT645" s="262"/>
      <c r="AU645" s="262"/>
      <c r="AV645" s="262"/>
    </row>
    <row r="646" spans="1:48" s="268" customFormat="1" ht="13.5" hidden="1" customHeight="1">
      <c r="A646" s="262"/>
      <c r="B646" s="262"/>
      <c r="C646" s="262" t="str">
        <f>+C644</f>
        <v>VRA        =</v>
      </c>
      <c r="D646" s="262"/>
      <c r="E646" s="262"/>
      <c r="F646" s="262"/>
      <c r="G646" s="262"/>
      <c r="H646" s="262"/>
      <c r="I646" s="1181">
        <f>+I644</f>
        <v>0.8</v>
      </c>
      <c r="J646" s="1173"/>
      <c r="K646" s="1173"/>
      <c r="L646" s="1173"/>
      <c r="M646" s="1173"/>
      <c r="N646" s="1237">
        <f>+AM628</f>
        <v>0</v>
      </c>
      <c r="O646" s="1237"/>
      <c r="P646" s="1237"/>
      <c r="Q646" s="1237"/>
      <c r="R646" s="1237"/>
      <c r="S646" s="1237"/>
      <c r="T646" s="1237"/>
      <c r="U646" s="1237"/>
      <c r="V646" s="1237"/>
      <c r="W646" s="262"/>
      <c r="X646" s="262" t="s">
        <v>4595</v>
      </c>
      <c r="Y646" s="262"/>
      <c r="Z646" s="262"/>
      <c r="AA646" s="262"/>
      <c r="AB646" s="262"/>
      <c r="AC646" s="262"/>
      <c r="AD646" s="262"/>
      <c r="AE646" s="262"/>
      <c r="AF646" s="262"/>
      <c r="AG646" s="262"/>
      <c r="AH646" s="262"/>
      <c r="AI646" s="262"/>
      <c r="AJ646" s="262" t="s">
        <v>4426</v>
      </c>
      <c r="AK646" s="262"/>
      <c r="AL646" s="262"/>
      <c r="AM646" s="1251">
        <f>+I646*N646</f>
        <v>0</v>
      </c>
      <c r="AN646" s="1251"/>
      <c r="AO646" s="1251"/>
      <c r="AP646" s="1251"/>
      <c r="AQ646" s="1251"/>
      <c r="AR646" s="1251"/>
      <c r="AS646" s="1251"/>
      <c r="AT646" s="1251"/>
      <c r="AU646" s="1251"/>
      <c r="AV646" s="262"/>
    </row>
    <row r="647" spans="1:48" s="587" customFormat="1" ht="18" hidden="1" customHeight="1" thickBot="1">
      <c r="A647" s="581"/>
      <c r="B647" s="581"/>
      <c r="C647" s="602" t="s">
        <v>4521</v>
      </c>
      <c r="D647" s="603"/>
      <c r="E647" s="603"/>
      <c r="F647" s="603"/>
      <c r="G647" s="603" t="str">
        <f>+C631</f>
        <v>VALOR DE REALIZACIÓN AUTOMÁTICA (VRA)</v>
      </c>
      <c r="H647" s="603"/>
      <c r="I647" s="603"/>
      <c r="J647" s="603"/>
      <c r="K647" s="603"/>
      <c r="L647" s="604"/>
      <c r="M647" s="603"/>
      <c r="N647" s="605"/>
      <c r="O647" s="605"/>
      <c r="P647" s="605"/>
      <c r="Q647" s="605"/>
      <c r="R647" s="605"/>
      <c r="S647" s="605"/>
      <c r="T647" s="605"/>
      <c r="U647" s="605"/>
      <c r="V647" s="605"/>
      <c r="W647" s="605"/>
      <c r="X647" s="605"/>
      <c r="Y647" s="605"/>
      <c r="Z647" s="605"/>
      <c r="AA647" s="605"/>
      <c r="AB647" s="605"/>
      <c r="AC647" s="605"/>
      <c r="AD647" s="605"/>
      <c r="AE647" s="605"/>
      <c r="AF647" s="605"/>
      <c r="AG647" s="605"/>
      <c r="AH647" s="605"/>
      <c r="AI647" s="606"/>
      <c r="AJ647" s="606" t="s">
        <v>4426</v>
      </c>
      <c r="AK647" s="1191"/>
      <c r="AL647" s="1192"/>
      <c r="AM647" s="1252">
        <f>SUM(AM642:AU646)</f>
        <v>0</v>
      </c>
      <c r="AN647" s="1252"/>
      <c r="AO647" s="1252"/>
      <c r="AP647" s="1253"/>
      <c r="AQ647" s="1253"/>
      <c r="AR647" s="1253"/>
      <c r="AS647" s="1253"/>
      <c r="AT647" s="1253"/>
      <c r="AU647" s="1253"/>
      <c r="AV647" s="607"/>
    </row>
    <row r="648" spans="1:48" s="268" customFormat="1" ht="20.100000000000001" hidden="1" customHeight="1">
      <c r="A648" s="262"/>
      <c r="B648" s="262"/>
      <c r="C648" s="1185" t="str">
        <f>+CONCATENATE("SON: ",[4]!NumeLetras(AM647,"CON","SOLES",1))</f>
        <v>SON: CON 00/100 SOLES</v>
      </c>
      <c r="D648" s="1185"/>
      <c r="E648" s="1185"/>
      <c r="F648" s="1185"/>
      <c r="G648" s="1185"/>
      <c r="H648" s="1185"/>
      <c r="I648" s="1185"/>
      <c r="J648" s="1185"/>
      <c r="K648" s="1185"/>
      <c r="L648" s="1185"/>
      <c r="M648" s="1185"/>
      <c r="N648" s="1185"/>
      <c r="O648" s="1185"/>
      <c r="P648" s="1185"/>
      <c r="Q648" s="1185"/>
      <c r="R648" s="1185"/>
      <c r="S648" s="1185"/>
      <c r="T648" s="1185"/>
      <c r="U648" s="1173"/>
      <c r="V648" s="1173"/>
      <c r="W648" s="1173"/>
      <c r="X648" s="1173"/>
      <c r="Y648" s="1173"/>
      <c r="Z648" s="1173"/>
      <c r="AA648" s="1173"/>
      <c r="AB648" s="1173"/>
      <c r="AC648" s="1173"/>
      <c r="AD648" s="1173"/>
      <c r="AE648" s="1173"/>
      <c r="AF648" s="1173"/>
      <c r="AG648" s="1173"/>
      <c r="AH648" s="1173"/>
      <c r="AI648" s="1173"/>
      <c r="AJ648" s="1173"/>
      <c r="AK648" s="1173"/>
      <c r="AL648" s="1173"/>
      <c r="AM648" s="1173"/>
      <c r="AN648" s="1173"/>
      <c r="AO648" s="1173"/>
      <c r="AP648" s="1173"/>
      <c r="AQ648" s="1173"/>
      <c r="AR648" s="1173"/>
      <c r="AS648" s="1173"/>
      <c r="AT648" s="1173"/>
      <c r="AU648" s="1173"/>
      <c r="AV648" s="1173"/>
    </row>
    <row r="649" spans="1:48" s="572" customFormat="1" ht="20.100000000000001" hidden="1" customHeight="1">
      <c r="A649" s="1169">
        <v>3</v>
      </c>
      <c r="B649" s="1170"/>
      <c r="C649" s="608" t="s">
        <v>4596</v>
      </c>
      <c r="D649" s="609"/>
      <c r="E649" s="609"/>
      <c r="F649" s="609"/>
      <c r="G649" s="609"/>
      <c r="H649" s="609"/>
      <c r="I649" s="609"/>
      <c r="J649" s="609"/>
      <c r="K649" s="609"/>
      <c r="L649" s="609"/>
      <c r="M649" s="608"/>
      <c r="N649" s="609"/>
      <c r="O649" s="609"/>
      <c r="P649" s="609"/>
      <c r="Q649" s="609"/>
      <c r="R649" s="609"/>
      <c r="S649" s="609"/>
      <c r="T649" s="609"/>
      <c r="U649" s="609"/>
      <c r="V649" s="571"/>
      <c r="W649" s="571"/>
      <c r="X649" s="571"/>
      <c r="Y649" s="571"/>
      <c r="Z649" s="571"/>
      <c r="AA649" s="571"/>
      <c r="AB649" s="571"/>
      <c r="AC649" s="571"/>
      <c r="AD649" s="571"/>
      <c r="AE649" s="571"/>
      <c r="AF649" s="571"/>
      <c r="AG649" s="571"/>
      <c r="AH649" s="571"/>
      <c r="AI649" s="571"/>
      <c r="AJ649" s="571"/>
      <c r="AK649" s="571"/>
      <c r="AL649" s="571"/>
      <c r="AM649" s="571"/>
      <c r="AN649" s="571"/>
      <c r="AO649" s="571"/>
      <c r="AP649" s="571"/>
      <c r="AQ649" s="571"/>
      <c r="AR649" s="571"/>
      <c r="AS649" s="571"/>
      <c r="AT649" s="571"/>
      <c r="AU649" s="571"/>
      <c r="AV649" s="571"/>
    </row>
    <row r="650" spans="1:48" s="268" customFormat="1" ht="12" hidden="1" customHeight="1">
      <c r="A650" s="262"/>
      <c r="B650" s="262"/>
      <c r="C650" s="1176" t="s">
        <v>4575</v>
      </c>
      <c r="D650" s="1173"/>
      <c r="E650" s="262" t="str">
        <f>+C567</f>
        <v>VALOR DE TERRENO</v>
      </c>
      <c r="F650" s="262"/>
      <c r="G650" s="262"/>
      <c r="H650" s="262"/>
      <c r="I650" s="262"/>
      <c r="J650" s="262"/>
      <c r="K650" s="262"/>
      <c r="L650" s="574"/>
      <c r="M650" s="262"/>
      <c r="N650" s="575"/>
      <c r="O650" s="575"/>
      <c r="P650" s="262"/>
      <c r="Q650" s="262"/>
      <c r="R650" s="262"/>
      <c r="S650" s="262"/>
      <c r="T650" s="262"/>
      <c r="U650" s="262"/>
      <c r="V650" s="262"/>
      <c r="W650" s="262"/>
      <c r="X650" s="262"/>
      <c r="Y650" s="262"/>
      <c r="Z650" s="262"/>
      <c r="AA650" s="262"/>
      <c r="AB650" s="262"/>
      <c r="AC650" s="262"/>
      <c r="AD650" s="262"/>
      <c r="AE650" s="262"/>
      <c r="AF650" s="262"/>
      <c r="AG650" s="262"/>
      <c r="AH650" s="574"/>
      <c r="AI650" s="262"/>
      <c r="AJ650" s="574" t="s">
        <v>4426</v>
      </c>
      <c r="AK650" s="1174"/>
      <c r="AL650" s="1174"/>
      <c r="AM650" s="1237">
        <v>0</v>
      </c>
      <c r="AN650" s="1237"/>
      <c r="AO650" s="1237"/>
      <c r="AP650" s="1237"/>
      <c r="AQ650" s="1237"/>
      <c r="AR650" s="1237"/>
      <c r="AS650" s="1237"/>
      <c r="AT650" s="1237"/>
      <c r="AU650" s="1237"/>
      <c r="AV650" s="262"/>
    </row>
    <row r="651" spans="1:48" s="268" customFormat="1" ht="12" hidden="1" customHeight="1">
      <c r="A651" s="262"/>
      <c r="B651" s="262"/>
      <c r="C651" s="573" t="s">
        <v>4576</v>
      </c>
      <c r="D651" s="262"/>
      <c r="E651" s="578" t="str">
        <f>C570</f>
        <v>VALOR DE LA EDIFICACION</v>
      </c>
      <c r="F651" s="262"/>
      <c r="G651" s="262"/>
      <c r="H651" s="262"/>
      <c r="I651" s="262"/>
      <c r="J651" s="262"/>
      <c r="K651" s="262"/>
      <c r="L651" s="574"/>
      <c r="M651" s="262"/>
      <c r="N651" s="575"/>
      <c r="O651" s="575"/>
      <c r="P651" s="262"/>
      <c r="Q651" s="262"/>
      <c r="R651" s="262"/>
      <c r="S651" s="262"/>
      <c r="T651" s="262"/>
      <c r="U651" s="262"/>
      <c r="V651" s="262"/>
      <c r="W651" s="262"/>
      <c r="X651" s="262"/>
      <c r="Y651" s="262"/>
      <c r="Z651" s="262"/>
      <c r="AA651" s="262"/>
      <c r="AB651" s="262"/>
      <c r="AC651" s="262"/>
      <c r="AD651" s="262"/>
      <c r="AE651" s="262"/>
      <c r="AF651" s="262"/>
      <c r="AG651" s="262"/>
      <c r="AH651" s="574"/>
      <c r="AI651" s="262"/>
      <c r="AJ651" s="574" t="s">
        <v>4426</v>
      </c>
      <c r="AK651" s="1174"/>
      <c r="AL651" s="1174"/>
      <c r="AM651" s="1237">
        <f>+AO577</f>
        <v>0</v>
      </c>
      <c r="AN651" s="1237"/>
      <c r="AO651" s="1237"/>
      <c r="AP651" s="1237"/>
      <c r="AQ651" s="1237"/>
      <c r="AR651" s="1237"/>
      <c r="AS651" s="1237"/>
      <c r="AT651" s="1237"/>
      <c r="AU651" s="1237"/>
      <c r="AV651" s="262"/>
    </row>
    <row r="652" spans="1:48" s="268" customFormat="1" ht="12" hidden="1" customHeight="1">
      <c r="A652" s="262"/>
      <c r="B652" s="262"/>
      <c r="C652" s="573" t="s">
        <v>4581</v>
      </c>
      <c r="D652" s="262"/>
      <c r="E652" s="578" t="str">
        <f>+C580</f>
        <v>VALOR  DE LAS ÁREAS COMUNES</v>
      </c>
      <c r="F652" s="262"/>
      <c r="G652" s="262"/>
      <c r="H652" s="262"/>
      <c r="I652" s="262"/>
      <c r="J652" s="262"/>
      <c r="K652" s="262"/>
      <c r="L652" s="574"/>
      <c r="M652" s="262"/>
      <c r="N652" s="575"/>
      <c r="O652" s="575"/>
      <c r="P652" s="262"/>
      <c r="Q652" s="262"/>
      <c r="R652" s="262"/>
      <c r="S652" s="262"/>
      <c r="T652" s="262"/>
      <c r="U652" s="262"/>
      <c r="V652" s="262"/>
      <c r="W652" s="262"/>
      <c r="X652" s="262"/>
      <c r="Y652" s="262"/>
      <c r="Z652" s="262"/>
      <c r="AA652" s="262"/>
      <c r="AB652" s="262"/>
      <c r="AC652" s="262"/>
      <c r="AD652" s="262"/>
      <c r="AE652" s="262"/>
      <c r="AF652" s="262"/>
      <c r="AG652" s="262"/>
      <c r="AH652" s="574"/>
      <c r="AI652" s="262"/>
      <c r="AJ652" s="574" t="s">
        <v>4426</v>
      </c>
      <c r="AK652" s="1174"/>
      <c r="AL652" s="1174"/>
      <c r="AM652" s="1237">
        <f>+AO580</f>
        <v>0</v>
      </c>
      <c r="AN652" s="1237"/>
      <c r="AO652" s="1237"/>
      <c r="AP652" s="1237"/>
      <c r="AQ652" s="1237"/>
      <c r="AR652" s="1237"/>
      <c r="AS652" s="1237"/>
      <c r="AT652" s="1237"/>
      <c r="AU652" s="1237"/>
      <c r="AV652" s="262"/>
    </row>
    <row r="653" spans="1:48" s="268" customFormat="1" ht="12" hidden="1" customHeight="1">
      <c r="A653" s="262"/>
      <c r="B653" s="262"/>
      <c r="C653" s="573" t="s">
        <v>4582</v>
      </c>
      <c r="D653" s="262"/>
      <c r="E653" s="578" t="str">
        <f>+C593</f>
        <v>VALOR  DE LAS OBRAS COMPLEMENTARIAS</v>
      </c>
      <c r="F653" s="262"/>
      <c r="G653" s="262"/>
      <c r="H653" s="262"/>
      <c r="I653" s="262"/>
      <c r="J653" s="262"/>
      <c r="K653" s="262"/>
      <c r="L653" s="574"/>
      <c r="M653" s="262"/>
      <c r="N653" s="575"/>
      <c r="O653" s="575"/>
      <c r="P653" s="262"/>
      <c r="Q653" s="262"/>
      <c r="R653" s="262"/>
      <c r="S653" s="262"/>
      <c r="T653" s="262"/>
      <c r="U653" s="262"/>
      <c r="V653" s="262"/>
      <c r="W653" s="262"/>
      <c r="X653" s="262"/>
      <c r="Y653" s="262"/>
      <c r="Z653" s="262"/>
      <c r="AA653" s="262"/>
      <c r="AB653" s="262"/>
      <c r="AC653" s="262"/>
      <c r="AD653" s="262"/>
      <c r="AE653" s="262"/>
      <c r="AF653" s="262"/>
      <c r="AG653" s="262"/>
      <c r="AH653" s="574"/>
      <c r="AI653" s="262"/>
      <c r="AJ653" s="574" t="s">
        <v>4426</v>
      </c>
      <c r="AK653" s="1174"/>
      <c r="AL653" s="1174"/>
      <c r="AM653" s="1256">
        <f>+AO593</f>
        <v>0</v>
      </c>
      <c r="AN653" s="1256"/>
      <c r="AO653" s="1256"/>
      <c r="AP653" s="1256"/>
      <c r="AQ653" s="1256"/>
      <c r="AR653" s="1256"/>
      <c r="AS653" s="1256"/>
      <c r="AT653" s="1256"/>
      <c r="AU653" s="1256"/>
      <c r="AV653" s="262"/>
    </row>
    <row r="654" spans="1:48" s="268" customFormat="1" ht="12" hidden="1" customHeight="1">
      <c r="A654" s="262"/>
      <c r="B654" s="262"/>
      <c r="C654" s="573"/>
      <c r="D654" s="262"/>
      <c r="E654" s="578" t="s">
        <v>4597</v>
      </c>
      <c r="F654" s="262"/>
      <c r="G654" s="262"/>
      <c r="H654" s="262"/>
      <c r="I654" s="262"/>
      <c r="J654" s="262"/>
      <c r="K654" s="262"/>
      <c r="L654" s="574"/>
      <c r="M654" s="262"/>
      <c r="N654" s="575"/>
      <c r="O654" s="575"/>
      <c r="P654" s="262"/>
      <c r="Q654" s="262"/>
      <c r="R654" s="262"/>
      <c r="S654" s="262"/>
      <c r="T654" s="262"/>
      <c r="U654" s="262"/>
      <c r="V654" s="262"/>
      <c r="W654" s="262"/>
      <c r="X654" s="262"/>
      <c r="Y654" s="262"/>
      <c r="Z654" s="262"/>
      <c r="AA654" s="262"/>
      <c r="AB654" s="262"/>
      <c r="AC654" s="262"/>
      <c r="AD654" s="262"/>
      <c r="AE654" s="262"/>
      <c r="AF654" s="262"/>
      <c r="AG654" s="262"/>
      <c r="AH654" s="574"/>
      <c r="AI654" s="262"/>
      <c r="AJ654" s="574" t="s">
        <v>4426</v>
      </c>
      <c r="AK654" s="1174"/>
      <c r="AL654" s="1174"/>
      <c r="AM654" s="1237">
        <f>SUM(AM650:AU653)</f>
        <v>0</v>
      </c>
      <c r="AN654" s="1237"/>
      <c r="AO654" s="1237"/>
      <c r="AP654" s="1237"/>
      <c r="AQ654" s="1237"/>
      <c r="AR654" s="1237"/>
      <c r="AS654" s="1237"/>
      <c r="AT654" s="1237"/>
      <c r="AU654" s="1237"/>
      <c r="AV654" s="262"/>
    </row>
    <row r="655" spans="1:48" s="268" customFormat="1" ht="12" hidden="1" customHeight="1">
      <c r="A655" s="262"/>
      <c r="B655" s="262"/>
      <c r="C655" s="573" t="s">
        <v>4598</v>
      </c>
      <c r="D655" s="262"/>
      <c r="E655" s="578" t="str">
        <f>+C603</f>
        <v>VALOR DEL ESTACIONAMIENTO Nº …</v>
      </c>
      <c r="F655" s="262"/>
      <c r="G655" s="262"/>
      <c r="H655" s="262"/>
      <c r="I655" s="262"/>
      <c r="J655" s="262"/>
      <c r="K655" s="262"/>
      <c r="L655" s="574"/>
      <c r="M655" s="262"/>
      <c r="N655" s="575"/>
      <c r="O655" s="575"/>
      <c r="P655" s="262"/>
      <c r="Q655" s="262"/>
      <c r="R655" s="262"/>
      <c r="S655" s="262"/>
      <c r="T655" s="262"/>
      <c r="U655" s="262"/>
      <c r="V655" s="262"/>
      <c r="W655" s="262"/>
      <c r="X655" s="262"/>
      <c r="Y655" s="262"/>
      <c r="Z655" s="262"/>
      <c r="AA655" s="262"/>
      <c r="AB655" s="262"/>
      <c r="AC655" s="262"/>
      <c r="AD655" s="262"/>
      <c r="AE655" s="262"/>
      <c r="AF655" s="262"/>
      <c r="AG655" s="262"/>
      <c r="AH655" s="574"/>
      <c r="AI655" s="262"/>
      <c r="AJ655" s="574" t="s">
        <v>4426</v>
      </c>
      <c r="AK655" s="1174"/>
      <c r="AL655" s="1174"/>
      <c r="AM655" s="1237">
        <f>+AO603</f>
        <v>0</v>
      </c>
      <c r="AN655" s="1237"/>
      <c r="AO655" s="1237"/>
      <c r="AP655" s="1237"/>
      <c r="AQ655" s="1237"/>
      <c r="AR655" s="1237"/>
      <c r="AS655" s="1237"/>
      <c r="AT655" s="1237"/>
      <c r="AU655" s="1237"/>
      <c r="AV655" s="262"/>
    </row>
    <row r="656" spans="1:48" s="268" customFormat="1" ht="12" hidden="1" customHeight="1">
      <c r="A656" s="262"/>
      <c r="B656" s="262"/>
      <c r="C656" s="573" t="s">
        <v>4599</v>
      </c>
      <c r="D656" s="262"/>
      <c r="E656" s="578" t="str">
        <f>+C613</f>
        <v>VALOR DEL DEPOSITO Nº ..</v>
      </c>
      <c r="F656" s="262"/>
      <c r="G656" s="262"/>
      <c r="H656" s="262"/>
      <c r="I656" s="262"/>
      <c r="J656" s="262"/>
      <c r="K656" s="262"/>
      <c r="L656" s="574"/>
      <c r="M656" s="262"/>
      <c r="N656" s="575"/>
      <c r="O656" s="575"/>
      <c r="P656" s="262"/>
      <c r="Q656" s="262"/>
      <c r="R656" s="262"/>
      <c r="S656" s="262"/>
      <c r="T656" s="262"/>
      <c r="U656" s="262"/>
      <c r="V656" s="262"/>
      <c r="W656" s="262"/>
      <c r="X656" s="262"/>
      <c r="Y656" s="262"/>
      <c r="Z656" s="262"/>
      <c r="AA656" s="262"/>
      <c r="AB656" s="262"/>
      <c r="AC656" s="262"/>
      <c r="AD656" s="262"/>
      <c r="AE656" s="262"/>
      <c r="AF656" s="262"/>
      <c r="AG656" s="262"/>
      <c r="AH656" s="574"/>
      <c r="AI656" s="262"/>
      <c r="AJ656" s="574" t="s">
        <v>4426</v>
      </c>
      <c r="AK656" s="1174"/>
      <c r="AL656" s="1174"/>
      <c r="AM656" s="1237">
        <f>+AO613</f>
        <v>0</v>
      </c>
      <c r="AN656" s="1237"/>
      <c r="AO656" s="1237"/>
      <c r="AP656" s="1237"/>
      <c r="AQ656" s="1237"/>
      <c r="AR656" s="1237"/>
      <c r="AS656" s="1237"/>
      <c r="AT656" s="1237"/>
      <c r="AU656" s="1237"/>
      <c r="AV656" s="262"/>
    </row>
    <row r="657" spans="1:48" s="587" customFormat="1" ht="18" hidden="1" customHeight="1" thickBot="1">
      <c r="A657" s="581"/>
      <c r="B657" s="581"/>
      <c r="C657" s="610" t="s">
        <v>4521</v>
      </c>
      <c r="D657" s="611"/>
      <c r="E657" s="611"/>
      <c r="F657" s="611"/>
      <c r="G657" s="611" t="str">
        <f>C649</f>
        <v>VALOR DEL IMPORTE ASEGURABLE (VIA)</v>
      </c>
      <c r="H657" s="611"/>
      <c r="I657" s="611"/>
      <c r="J657" s="611"/>
      <c r="K657" s="611"/>
      <c r="L657" s="612"/>
      <c r="M657" s="611"/>
      <c r="N657" s="613"/>
      <c r="O657" s="613"/>
      <c r="P657" s="611"/>
      <c r="Q657" s="611"/>
      <c r="R657" s="611"/>
      <c r="S657" s="611"/>
      <c r="T657" s="611"/>
      <c r="U657" s="611"/>
      <c r="V657" s="611"/>
      <c r="W657" s="611"/>
      <c r="X657" s="611"/>
      <c r="Y657" s="611"/>
      <c r="Z657" s="611"/>
      <c r="AA657" s="611"/>
      <c r="AB657" s="611"/>
      <c r="AC657" s="611"/>
      <c r="AD657" s="611"/>
      <c r="AE657" s="611"/>
      <c r="AF657" s="611"/>
      <c r="AG657" s="611"/>
      <c r="AH657" s="612"/>
      <c r="AI657" s="611"/>
      <c r="AJ657" s="612" t="s">
        <v>4426</v>
      </c>
      <c r="AK657" s="1206"/>
      <c r="AL657" s="1206"/>
      <c r="AM657" s="1254">
        <f>SUM(AM654:AU656)</f>
        <v>0</v>
      </c>
      <c r="AN657" s="1254"/>
      <c r="AO657" s="1254"/>
      <c r="AP657" s="1255"/>
      <c r="AQ657" s="1255"/>
      <c r="AR657" s="1255"/>
      <c r="AS657" s="1255"/>
      <c r="AT657" s="1255"/>
      <c r="AU657" s="1255"/>
      <c r="AV657" s="614"/>
    </row>
    <row r="658" spans="1:48" s="268" customFormat="1" ht="20.100000000000001" hidden="1" customHeight="1">
      <c r="A658" s="262"/>
      <c r="B658" s="262"/>
      <c r="C658" s="1185" t="str">
        <f>+CONCATENATE("SON: ",[4]!NumeLetras(AM657,"CON","SOLES",1))</f>
        <v>SON: CON 00/100 SOLES</v>
      </c>
      <c r="D658" s="1185"/>
      <c r="E658" s="1185"/>
      <c r="F658" s="1185"/>
      <c r="G658" s="1185"/>
      <c r="H658" s="1185"/>
      <c r="I658" s="1185"/>
      <c r="J658" s="1185"/>
      <c r="K658" s="1185"/>
      <c r="L658" s="1185"/>
      <c r="M658" s="1185"/>
      <c r="N658" s="1185"/>
      <c r="O658" s="1185"/>
      <c r="P658" s="1185"/>
      <c r="Q658" s="1185"/>
      <c r="R658" s="1185"/>
      <c r="S658" s="1185"/>
      <c r="T658" s="1185"/>
      <c r="U658" s="1173"/>
      <c r="V658" s="1173"/>
      <c r="W658" s="1173"/>
      <c r="X658" s="1173"/>
      <c r="Y658" s="1173"/>
      <c r="Z658" s="1173"/>
      <c r="AA658" s="1173"/>
      <c r="AB658" s="1173"/>
      <c r="AC658" s="1173"/>
      <c r="AD658" s="1173"/>
      <c r="AE658" s="1173"/>
      <c r="AF658" s="1173"/>
      <c r="AG658" s="1173"/>
      <c r="AH658" s="1173"/>
      <c r="AI658" s="1173"/>
      <c r="AJ658" s="1173"/>
      <c r="AK658" s="1173"/>
      <c r="AL658" s="1173"/>
      <c r="AM658" s="1173"/>
      <c r="AN658" s="1173"/>
      <c r="AO658" s="1173"/>
      <c r="AP658" s="1173"/>
      <c r="AQ658" s="1173"/>
      <c r="AR658" s="1173"/>
      <c r="AS658" s="1173"/>
      <c r="AT658" s="1173"/>
      <c r="AU658" s="1173"/>
      <c r="AV658" s="1173"/>
    </row>
    <row r="659" spans="1:48" ht="30" hidden="1" customHeight="1">
      <c r="C659" s="261" t="s">
        <v>4407</v>
      </c>
      <c r="F659" s="1195">
        <f>+F485</f>
        <v>0</v>
      </c>
      <c r="G659" s="892"/>
      <c r="H659" s="892"/>
      <c r="I659" s="892"/>
      <c r="J659" s="892"/>
      <c r="K659" s="892"/>
      <c r="L659" s="892"/>
      <c r="M659" s="892"/>
      <c r="N659" s="739"/>
      <c r="O659" s="739"/>
      <c r="P659" s="739"/>
      <c r="Q659" s="739"/>
      <c r="R659" s="739"/>
      <c r="S659" s="739"/>
      <c r="T659" s="739"/>
      <c r="U659" s="739"/>
      <c r="V659" s="739"/>
      <c r="W659" s="739"/>
      <c r="X659" s="739"/>
      <c r="Y659" s="739"/>
      <c r="Z659" s="739"/>
      <c r="AA659" s="739"/>
      <c r="AB659" s="739"/>
      <c r="AC659" s="739"/>
      <c r="AD659" s="739"/>
      <c r="AE659" s="739"/>
      <c r="AF659" s="739"/>
      <c r="AG659" s="739"/>
      <c r="AH659" s="739"/>
      <c r="AI659" s="739"/>
      <c r="AJ659" s="739"/>
      <c r="AK659" s="739"/>
      <c r="AL659" s="739"/>
      <c r="AM659" s="739"/>
      <c r="AN659" s="739"/>
      <c r="AO659" s="739"/>
      <c r="AP659" s="739"/>
      <c r="AQ659" s="739"/>
      <c r="AR659" s="739"/>
      <c r="AS659" s="739"/>
      <c r="AT659" s="739"/>
      <c r="AU659" s="739"/>
      <c r="AV659" s="739"/>
    </row>
    <row r="660" spans="1:48" ht="12.75" customHeight="1"/>
    <row r="661" spans="1:48" ht="12.75" hidden="1" customHeight="1"/>
    <row r="662" spans="1:48" ht="12.75" hidden="1" customHeight="1"/>
    <row r="663" spans="1:48" ht="12.75" hidden="1" customHeight="1"/>
    <row r="664" spans="1:48" s="363" customFormat="1" ht="12.75" hidden="1" customHeight="1"/>
    <row r="665" spans="1:48" s="363" customFormat="1" ht="18.75" hidden="1" customHeight="1">
      <c r="A665" s="616" t="s">
        <v>4523</v>
      </c>
      <c r="B665" s="617"/>
      <c r="C665" s="1196" t="s">
        <v>4600</v>
      </c>
      <c r="D665" s="1197"/>
      <c r="E665" s="1197"/>
      <c r="F665" s="1197"/>
      <c r="G665" s="1197"/>
      <c r="H665" s="1197"/>
      <c r="I665" s="1197"/>
      <c r="J665" s="1197"/>
      <c r="K665" s="1197"/>
      <c r="L665" s="1197"/>
      <c r="M665" s="1197"/>
      <c r="N665" s="1197"/>
      <c r="O665" s="1197"/>
      <c r="P665" s="1197"/>
      <c r="Q665" s="1197"/>
      <c r="R665" s="1197"/>
      <c r="S665" s="1197"/>
      <c r="T665" s="1197"/>
      <c r="U665" s="1197"/>
      <c r="V665" s="1197"/>
      <c r="W665" s="1197"/>
      <c r="X665" s="1197"/>
      <c r="Y665" s="1197"/>
      <c r="Z665" s="1197"/>
      <c r="AA665" s="1197"/>
      <c r="AB665" s="1197"/>
      <c r="AC665" s="1197"/>
      <c r="AD665" s="1197"/>
      <c r="AE665" s="1197"/>
      <c r="AF665" s="1197"/>
      <c r="AG665" s="1197"/>
      <c r="AH665" s="1197"/>
      <c r="AI665" s="1197"/>
      <c r="AJ665" s="1197"/>
      <c r="AK665" s="1197"/>
      <c r="AL665" s="1197"/>
      <c r="AM665" s="1197"/>
      <c r="AN665" s="1197"/>
      <c r="AO665" s="1197"/>
      <c r="AP665" s="1197"/>
      <c r="AQ665" s="1197"/>
      <c r="AR665" s="1197"/>
      <c r="AS665" s="1197"/>
      <c r="AT665" s="1197"/>
      <c r="AU665" s="1197"/>
      <c r="AV665" s="1197"/>
    </row>
    <row r="666" spans="1:48" s="363" customFormat="1" ht="15" hidden="1" customHeight="1">
      <c r="C666" s="107"/>
      <c r="D666" s="107"/>
      <c r="H666" s="616"/>
      <c r="J666" s="618"/>
      <c r="S666" s="618" t="str">
        <f>+S488</f>
        <v xml:space="preserve">  INFORME N°26</v>
      </c>
      <c r="U666" s="619"/>
      <c r="V666" s="620"/>
      <c r="AB666" s="1198">
        <f>+AB488</f>
        <v>0</v>
      </c>
      <c r="AC666" s="1199"/>
      <c r="AD666" s="1199"/>
      <c r="AE666" s="1199"/>
      <c r="AF666" s="1199"/>
    </row>
    <row r="667" spans="1:48" s="363" customFormat="1" ht="30" hidden="1" customHeight="1">
      <c r="A667" s="1200">
        <v>1</v>
      </c>
      <c r="B667" s="1201"/>
      <c r="C667" s="506" t="s">
        <v>4542</v>
      </c>
      <c r="I667" s="622"/>
      <c r="J667" s="623"/>
    </row>
    <row r="668" spans="1:48" s="361" customFormat="1" hidden="1">
      <c r="C668" s="1202">
        <f>+C490</f>
        <v>0</v>
      </c>
      <c r="D668" s="1202"/>
      <c r="E668" s="1202"/>
      <c r="F668" s="1202"/>
      <c r="G668" s="1202"/>
      <c r="H668" s="1202"/>
      <c r="I668" s="361" t="s">
        <v>10</v>
      </c>
      <c r="L668" s="361" t="s">
        <v>4508</v>
      </c>
      <c r="M668" s="624"/>
      <c r="N668" s="1257">
        <f>+N490*$M$78</f>
        <v>0</v>
      </c>
      <c r="O668" s="1257"/>
      <c r="P668" s="1257"/>
      <c r="Q668" s="1257"/>
      <c r="R668" s="1257"/>
      <c r="S668" s="1257"/>
      <c r="T668" s="1257"/>
      <c r="U668" s="625" t="s">
        <v>4509</v>
      </c>
      <c r="V668" s="626"/>
      <c r="AM668" s="627" t="s">
        <v>4426</v>
      </c>
      <c r="AO668" s="1257">
        <f>+C668*N668</f>
        <v>0</v>
      </c>
      <c r="AP668" s="1257"/>
      <c r="AQ668" s="1257"/>
      <c r="AR668" s="1257"/>
      <c r="AS668" s="1257"/>
      <c r="AT668" s="1257"/>
      <c r="AU668" s="1257"/>
      <c r="AV668" s="1257"/>
    </row>
    <row r="669" spans="1:48" s="629" customFormat="1" ht="14.25" hidden="1" thickBot="1">
      <c r="C669" s="630" t="s">
        <v>4521</v>
      </c>
      <c r="D669" s="631"/>
      <c r="E669" s="631"/>
      <c r="F669" s="631"/>
      <c r="G669" s="632"/>
      <c r="H669" s="633" t="str">
        <f>C667</f>
        <v>VALOR DEL TERRENO</v>
      </c>
      <c r="I669" s="634"/>
      <c r="J669" s="634"/>
      <c r="K669" s="635"/>
      <c r="L669" s="632"/>
      <c r="M669" s="632"/>
      <c r="N669" s="632"/>
      <c r="O669" s="632"/>
      <c r="P669" s="632"/>
      <c r="Q669" s="632"/>
      <c r="R669" s="632"/>
      <c r="S669" s="632"/>
      <c r="T669" s="632"/>
      <c r="U669" s="632"/>
      <c r="V669" s="632"/>
      <c r="W669" s="632"/>
      <c r="X669" s="632"/>
      <c r="Y669" s="632"/>
      <c r="Z669" s="632"/>
      <c r="AA669" s="632"/>
      <c r="AB669" s="632"/>
      <c r="AC669" s="632"/>
      <c r="AD669" s="632"/>
      <c r="AE669" s="632"/>
      <c r="AF669" s="632"/>
      <c r="AG669" s="632"/>
      <c r="AH669" s="632"/>
      <c r="AI669" s="632"/>
      <c r="AJ669" s="632"/>
      <c r="AK669" s="632"/>
      <c r="AL669" s="632"/>
      <c r="AM669" s="636" t="s">
        <v>4426</v>
      </c>
      <c r="AN669" s="632"/>
      <c r="AO669" s="1258">
        <f>+AO668</f>
        <v>0</v>
      </c>
      <c r="AP669" s="1258"/>
      <c r="AQ669" s="1258"/>
      <c r="AR669" s="1259"/>
      <c r="AS669" s="1259"/>
      <c r="AT669" s="1259"/>
      <c r="AU669" s="1259"/>
      <c r="AV669" s="1259"/>
    </row>
    <row r="670" spans="1:48" s="363" customFormat="1" ht="30" hidden="1" customHeight="1" thickTop="1">
      <c r="A670" s="1200">
        <f>A667+1</f>
        <v>2</v>
      </c>
      <c r="B670" s="1201"/>
      <c r="C670" s="637" t="str">
        <f>+C492</f>
        <v>VALOR DE EDIFICACION</v>
      </c>
    </row>
    <row r="671" spans="1:48" s="363" customFormat="1" ht="17.100000000000001" hidden="1" customHeight="1">
      <c r="A671" s="621"/>
      <c r="B671" s="361"/>
      <c r="C671" s="363" t="s">
        <v>4575</v>
      </c>
      <c r="E671" s="638" t="s">
        <v>4601</v>
      </c>
    </row>
    <row r="672" spans="1:48" s="363" customFormat="1" ht="17.100000000000001" hidden="1" customHeight="1">
      <c r="A672" s="621"/>
      <c r="B672" s="361"/>
      <c r="C672" s="363" t="str">
        <f t="shared" ref="C672:C677" si="52">+C494</f>
        <v>Primer piso</v>
      </c>
      <c r="E672" s="638"/>
    </row>
    <row r="673" spans="1:48" s="361" customFormat="1" ht="15" hidden="1" customHeight="1">
      <c r="C673" s="1211">
        <f t="shared" si="52"/>
        <v>0</v>
      </c>
      <c r="D673" s="1211"/>
      <c r="E673" s="1211"/>
      <c r="F673" s="1211"/>
      <c r="G673" s="1211"/>
      <c r="H673" s="1211"/>
      <c r="I673" s="361" t="str">
        <f>+I495</f>
        <v>m2</v>
      </c>
      <c r="L673" s="361" t="s">
        <v>4508</v>
      </c>
      <c r="M673" s="624"/>
      <c r="N673" s="1257" t="e">
        <f>+N495*$M$78</f>
        <v>#REF!</v>
      </c>
      <c r="O673" s="1257"/>
      <c r="P673" s="1257"/>
      <c r="Q673" s="1257"/>
      <c r="R673" s="1257"/>
      <c r="S673" s="1257"/>
      <c r="T673" s="625" t="s">
        <v>4509</v>
      </c>
      <c r="Y673" s="624" t="s">
        <v>4508</v>
      </c>
      <c r="AA673" s="1212">
        <f>+AA495</f>
        <v>1</v>
      </c>
      <c r="AB673" s="1212"/>
      <c r="AC673" s="1199"/>
      <c r="AD673" s="1199"/>
      <c r="AM673" s="625" t="s">
        <v>4426</v>
      </c>
      <c r="AO673" s="1257" t="e">
        <f>+C673*N673*AA673</f>
        <v>#REF!</v>
      </c>
      <c r="AP673" s="1257"/>
      <c r="AQ673" s="1257"/>
      <c r="AR673" s="1257"/>
      <c r="AS673" s="1257"/>
      <c r="AT673" s="1257"/>
      <c r="AU673" s="1257"/>
      <c r="AV673" s="1257"/>
    </row>
    <row r="674" spans="1:48" s="363" customFormat="1" ht="17.100000000000001" hidden="1" customHeight="1">
      <c r="A674" s="621"/>
      <c r="B674" s="361"/>
      <c r="C674" s="363" t="str">
        <f t="shared" si="52"/>
        <v>Segundo piso</v>
      </c>
      <c r="E674" s="638"/>
    </row>
    <row r="675" spans="1:48" s="361" customFormat="1" ht="15" hidden="1" customHeight="1">
      <c r="C675" s="1211">
        <f t="shared" si="52"/>
        <v>0</v>
      </c>
      <c r="D675" s="1211"/>
      <c r="E675" s="1211"/>
      <c r="F675" s="1211"/>
      <c r="G675" s="1211"/>
      <c r="H675" s="1211"/>
      <c r="I675" s="361" t="str">
        <f>+I497</f>
        <v>m2</v>
      </c>
      <c r="L675" s="361" t="s">
        <v>4508</v>
      </c>
      <c r="M675" s="624"/>
      <c r="N675" s="1257" t="e">
        <f>+N497*$M$78</f>
        <v>#REF!</v>
      </c>
      <c r="O675" s="1257"/>
      <c r="P675" s="1257"/>
      <c r="Q675" s="1257"/>
      <c r="R675" s="1257"/>
      <c r="S675" s="1257"/>
      <c r="T675" s="625" t="s">
        <v>4509</v>
      </c>
      <c r="Y675" s="624" t="s">
        <v>4508</v>
      </c>
      <c r="AA675" s="1212">
        <f>+AA497</f>
        <v>1</v>
      </c>
      <c r="AB675" s="1212"/>
      <c r="AC675" s="1199"/>
      <c r="AD675" s="1199"/>
      <c r="AM675" s="625" t="s">
        <v>4426</v>
      </c>
      <c r="AO675" s="1257" t="e">
        <f>+C675*N675*AA675</f>
        <v>#REF!</v>
      </c>
      <c r="AP675" s="1257"/>
      <c r="AQ675" s="1257"/>
      <c r="AR675" s="1257"/>
      <c r="AS675" s="1257"/>
      <c r="AT675" s="1257"/>
      <c r="AU675" s="1257"/>
      <c r="AV675" s="1257"/>
    </row>
    <row r="676" spans="1:48" s="363" customFormat="1" ht="17.100000000000001" hidden="1" customHeight="1">
      <c r="A676" s="621"/>
      <c r="B676" s="361"/>
      <c r="C676" s="363" t="str">
        <f t="shared" si="52"/>
        <v>Tercer piso</v>
      </c>
      <c r="E676" s="638"/>
    </row>
    <row r="677" spans="1:48" s="361" customFormat="1" ht="15" hidden="1" customHeight="1">
      <c r="C677" s="1211">
        <f t="shared" si="52"/>
        <v>0</v>
      </c>
      <c r="D677" s="1211"/>
      <c r="E677" s="1211"/>
      <c r="F677" s="1211"/>
      <c r="G677" s="1211"/>
      <c r="H677" s="1211"/>
      <c r="I677" s="361" t="str">
        <f>+I499</f>
        <v>m2</v>
      </c>
      <c r="L677" s="361" t="s">
        <v>4508</v>
      </c>
      <c r="M677" s="624"/>
      <c r="N677" s="1257" t="e">
        <f>+N499*$M$78</f>
        <v>#REF!</v>
      </c>
      <c r="O677" s="1257"/>
      <c r="P677" s="1257"/>
      <c r="Q677" s="1257"/>
      <c r="R677" s="1257"/>
      <c r="S677" s="1257"/>
      <c r="T677" s="625" t="s">
        <v>4509</v>
      </c>
      <c r="Y677" s="624" t="s">
        <v>4508</v>
      </c>
      <c r="AA677" s="1212">
        <f>+AA499</f>
        <v>1</v>
      </c>
      <c r="AB677" s="1212"/>
      <c r="AC677" s="1199"/>
      <c r="AD677" s="1199"/>
      <c r="AM677" s="625" t="s">
        <v>4426</v>
      </c>
      <c r="AO677" s="1257" t="e">
        <f>+C677*N677*AA677</f>
        <v>#REF!</v>
      </c>
      <c r="AP677" s="1257"/>
      <c r="AQ677" s="1257"/>
      <c r="AR677" s="1257"/>
      <c r="AS677" s="1257"/>
      <c r="AT677" s="1257"/>
      <c r="AU677" s="1257"/>
      <c r="AV677" s="1257"/>
    </row>
    <row r="678" spans="1:48" s="363" customFormat="1" ht="17.100000000000001" hidden="1" customHeight="1">
      <c r="A678" s="621"/>
      <c r="B678" s="361"/>
      <c r="C678" s="363" t="s">
        <v>4576</v>
      </c>
      <c r="E678" s="638" t="s">
        <v>4602</v>
      </c>
    </row>
    <row r="679" spans="1:48" s="361" customFormat="1" ht="15" hidden="1" customHeight="1">
      <c r="C679" s="1211">
        <f>+C501</f>
        <v>0</v>
      </c>
      <c r="D679" s="1211"/>
      <c r="E679" s="1211"/>
      <c r="F679" s="1211"/>
      <c r="G679" s="1211"/>
      <c r="H679" s="1211"/>
      <c r="I679" s="361" t="s">
        <v>10</v>
      </c>
      <c r="L679" s="361" t="s">
        <v>4508</v>
      </c>
      <c r="M679" s="624"/>
      <c r="N679" s="1257" t="e">
        <f>+N501*M78</f>
        <v>#REF!</v>
      </c>
      <c r="O679" s="1257"/>
      <c r="P679" s="1257"/>
      <c r="Q679" s="1257"/>
      <c r="R679" s="1257"/>
      <c r="S679" s="1257"/>
      <c r="T679" s="625" t="s">
        <v>4509</v>
      </c>
      <c r="Y679" s="624" t="s">
        <v>4508</v>
      </c>
      <c r="AA679" s="1212">
        <f>+AA501</f>
        <v>1</v>
      </c>
      <c r="AB679" s="1212"/>
      <c r="AC679" s="1199"/>
      <c r="AD679" s="1199"/>
      <c r="AM679" s="625" t="s">
        <v>4426</v>
      </c>
      <c r="AO679" s="1257" t="e">
        <f>+C679*N679*AA679</f>
        <v>#REF!</v>
      </c>
      <c r="AP679" s="1257"/>
      <c r="AQ679" s="1257"/>
      <c r="AR679" s="1257"/>
      <c r="AS679" s="1257"/>
      <c r="AT679" s="1257"/>
      <c r="AU679" s="1257"/>
      <c r="AV679" s="1257"/>
    </row>
    <row r="680" spans="1:48" s="640" customFormat="1" ht="13.5" hidden="1" customHeight="1" thickBot="1">
      <c r="C680" s="641" t="str">
        <f>+C670</f>
        <v>VALOR DE EDIFICACION</v>
      </c>
      <c r="D680" s="642"/>
      <c r="E680" s="642"/>
      <c r="F680" s="642"/>
      <c r="G680" s="643"/>
      <c r="H680" s="644"/>
      <c r="I680" s="645"/>
      <c r="J680" s="646"/>
      <c r="K680" s="647"/>
      <c r="L680" s="643"/>
      <c r="M680" s="643"/>
      <c r="N680" s="643"/>
      <c r="O680" s="643"/>
      <c r="P680" s="643"/>
      <c r="Q680" s="643"/>
      <c r="R680" s="643"/>
      <c r="S680" s="643"/>
      <c r="T680" s="643"/>
      <c r="U680" s="643"/>
      <c r="V680" s="643"/>
      <c r="W680" s="643"/>
      <c r="X680" s="643"/>
      <c r="Y680" s="643"/>
      <c r="Z680" s="643"/>
      <c r="AA680" s="643"/>
      <c r="AB680" s="643"/>
      <c r="AC680" s="643"/>
      <c r="AD680" s="643"/>
      <c r="AE680" s="643"/>
      <c r="AF680" s="643"/>
      <c r="AG680" s="643"/>
      <c r="AH680" s="643"/>
      <c r="AI680" s="643"/>
      <c r="AJ680" s="643"/>
      <c r="AK680" s="643"/>
      <c r="AL680" s="643"/>
      <c r="AM680" s="648" t="s">
        <v>4426</v>
      </c>
      <c r="AN680" s="643"/>
      <c r="AO680" s="1258" t="e">
        <f>SUM(AO673:AV679)</f>
        <v>#REF!</v>
      </c>
      <c r="AP680" s="1258"/>
      <c r="AQ680" s="1258"/>
      <c r="AR680" s="1259"/>
      <c r="AS680" s="1259"/>
      <c r="AT680" s="1259"/>
      <c r="AU680" s="1259"/>
      <c r="AV680" s="1259"/>
    </row>
    <row r="681" spans="1:48" ht="21.75" hidden="1" customHeight="1" thickTop="1">
      <c r="A681" s="891">
        <v>3</v>
      </c>
      <c r="B681" s="1043"/>
      <c r="C681" s="355" t="s">
        <v>4606</v>
      </c>
    </row>
    <row r="682" spans="1:48" s="354" customFormat="1" hidden="1">
      <c r="C682" s="1229">
        <f>+C504</f>
        <v>0</v>
      </c>
      <c r="D682" s="1229"/>
      <c r="E682" s="1229"/>
      <c r="F682" s="1229"/>
      <c r="G682" s="1229"/>
      <c r="H682" s="1229"/>
      <c r="K682" s="354" t="s">
        <v>4508</v>
      </c>
      <c r="M682" s="497"/>
      <c r="N682" s="1219" t="e">
        <f>+AO680</f>
        <v>#REF!</v>
      </c>
      <c r="O682" s="1219"/>
      <c r="P682" s="1219"/>
      <c r="Q682" s="1219"/>
      <c r="R682" s="1219"/>
      <c r="S682" s="1219"/>
      <c r="T682" s="1219"/>
      <c r="U682" s="1219"/>
      <c r="V682" s="1219"/>
      <c r="W682" s="1219"/>
      <c r="Y682" s="497"/>
      <c r="AA682" s="1122"/>
      <c r="AB682" s="1122"/>
      <c r="AC682" s="1085"/>
      <c r="AD682" s="1085"/>
      <c r="AM682" s="496" t="s">
        <v>4426</v>
      </c>
      <c r="AO682" s="1220" t="e">
        <f>+C682*N682</f>
        <v>#REF!</v>
      </c>
      <c r="AP682" s="1220"/>
      <c r="AQ682" s="1220"/>
      <c r="AR682" s="1221"/>
      <c r="AS682" s="1221"/>
      <c r="AT682" s="1221"/>
      <c r="AU682" s="1221"/>
      <c r="AV682" s="1221"/>
    </row>
    <row r="683" spans="1:48" s="336" customFormat="1" ht="14.25" hidden="1" thickBot="1">
      <c r="C683" s="454" t="str">
        <f>+C681</f>
        <v>VALOR DE LAS ÁREAS COMUNES</v>
      </c>
      <c r="D683" s="455"/>
      <c r="E683" s="455"/>
      <c r="F683" s="455"/>
      <c r="G683" s="456"/>
      <c r="H683" s="457"/>
      <c r="I683" s="458"/>
      <c r="J683" s="459"/>
      <c r="K683" s="460"/>
      <c r="L683" s="456"/>
      <c r="M683" s="456"/>
      <c r="N683" s="456"/>
      <c r="O683" s="456"/>
      <c r="P683" s="456"/>
      <c r="Q683" s="456"/>
      <c r="R683" s="456"/>
      <c r="S683" s="456"/>
      <c r="T683" s="456"/>
      <c r="U683" s="456"/>
      <c r="V683" s="456"/>
      <c r="W683" s="456"/>
      <c r="X683" s="456"/>
      <c r="Y683" s="456"/>
      <c r="Z683" s="456"/>
      <c r="AA683" s="456"/>
      <c r="AB683" s="456"/>
      <c r="AC683" s="456"/>
      <c r="AD683" s="456"/>
      <c r="AE683" s="456"/>
      <c r="AF683" s="456"/>
      <c r="AG683" s="456"/>
      <c r="AH683" s="456"/>
      <c r="AI683" s="456"/>
      <c r="AJ683" s="456"/>
      <c r="AK683" s="456"/>
      <c r="AL683" s="456"/>
      <c r="AM683" s="461" t="s">
        <v>4426</v>
      </c>
      <c r="AN683" s="456"/>
      <c r="AO683" s="1222" t="e">
        <f>+SUM(AO682:AV682)</f>
        <v>#REF!</v>
      </c>
      <c r="AP683" s="1222"/>
      <c r="AQ683" s="1222"/>
      <c r="AR683" s="1223"/>
      <c r="AS683" s="1223"/>
      <c r="AT683" s="1223"/>
      <c r="AU683" s="1223"/>
      <c r="AV683" s="1223"/>
    </row>
    <row r="684" spans="1:48" ht="22.5" hidden="1" customHeight="1" thickTop="1">
      <c r="A684" s="891">
        <f>+A681+1</f>
        <v>4</v>
      </c>
      <c r="B684" s="1043"/>
      <c r="C684" s="355" t="s">
        <v>4512</v>
      </c>
    </row>
    <row r="685" spans="1:48" s="354" customFormat="1" ht="15" hidden="1" customHeight="1">
      <c r="C685" s="542" t="str">
        <f t="shared" ref="C685:C692" si="53">+C507</f>
        <v>a) Cisterna (estimado):</v>
      </c>
      <c r="D685" s="543"/>
      <c r="E685" s="543"/>
      <c r="F685" s="543"/>
      <c r="G685" s="543"/>
      <c r="H685" s="543"/>
      <c r="I685" s="543"/>
      <c r="J685" s="543"/>
      <c r="K685" s="543"/>
      <c r="L685" s="543"/>
      <c r="M685" s="543"/>
      <c r="N685" s="543"/>
      <c r="O685" s="543"/>
      <c r="P685" s="543"/>
      <c r="Q685" s="543"/>
      <c r="R685" s="543"/>
      <c r="S685" s="543"/>
      <c r="T685" s="543"/>
      <c r="U685" s="543"/>
      <c r="V685" s="543"/>
      <c r="W685" s="543"/>
      <c r="X685" s="543"/>
      <c r="Y685" s="543"/>
      <c r="Z685" s="543"/>
      <c r="AA685" s="543"/>
      <c r="AB685" s="543"/>
      <c r="AC685" s="543"/>
      <c r="AD685" s="543"/>
      <c r="AE685" s="543"/>
      <c r="AF685" s="543"/>
      <c r="AG685" s="543"/>
      <c r="AH685" s="543"/>
      <c r="AI685" s="543"/>
      <c r="AJ685" s="543"/>
      <c r="AK685" s="543"/>
      <c r="AL685" s="543"/>
      <c r="AM685" s="543"/>
      <c r="AN685" s="543"/>
      <c r="AO685" s="543"/>
      <c r="AP685" s="543"/>
      <c r="AQ685" s="543"/>
      <c r="AR685" s="543"/>
      <c r="AS685" s="543"/>
      <c r="AT685" s="543"/>
      <c r="AU685" s="543"/>
      <c r="AV685" s="543"/>
    </row>
    <row r="686" spans="1:48" s="354" customFormat="1" ht="15" hidden="1" customHeight="1">
      <c r="C686" s="1117">
        <f t="shared" si="53"/>
        <v>0</v>
      </c>
      <c r="D686" s="1117"/>
      <c r="E686" s="1117"/>
      <c r="F686" s="1117"/>
      <c r="G686" s="1117"/>
      <c r="H686" s="1117"/>
      <c r="I686" s="354" t="str">
        <f>+I508</f>
        <v>m3</v>
      </c>
      <c r="L686" s="354" t="s">
        <v>4508</v>
      </c>
      <c r="M686" s="497"/>
      <c r="N686" s="1227">
        <f>+N508*$M$78</f>
        <v>0</v>
      </c>
      <c r="O686" s="1227"/>
      <c r="P686" s="1227"/>
      <c r="Q686" s="1228"/>
      <c r="R686" s="1228"/>
      <c r="S686" s="1228"/>
      <c r="T686" s="496" t="str">
        <f>+T508</f>
        <v>/m3</v>
      </c>
      <c r="Y686" s="497" t="s">
        <v>4508</v>
      </c>
      <c r="AA686" s="1136">
        <f>+AA508</f>
        <v>1</v>
      </c>
      <c r="AB686" s="1136"/>
      <c r="AC686" s="739"/>
      <c r="AD686" s="739"/>
      <c r="AM686" s="496" t="s">
        <v>4426</v>
      </c>
      <c r="AO686" s="1220">
        <f>+C686*N686*AA686</f>
        <v>0</v>
      </c>
      <c r="AP686" s="1220"/>
      <c r="AQ686" s="1220"/>
      <c r="AR686" s="1221"/>
      <c r="AS686" s="1221"/>
      <c r="AT686" s="1221"/>
      <c r="AU686" s="1221"/>
      <c r="AV686" s="1221"/>
    </row>
    <row r="687" spans="1:48" s="354" customFormat="1" ht="15" hidden="1" customHeight="1">
      <c r="C687" s="542" t="str">
        <f t="shared" si="53"/>
        <v>b) Tanque elevado (estimado):</v>
      </c>
      <c r="D687" s="543"/>
      <c r="E687" s="543"/>
      <c r="F687" s="543"/>
      <c r="G687" s="543"/>
      <c r="H687" s="543"/>
      <c r="J687" s="543"/>
      <c r="K687" s="543"/>
      <c r="L687" s="543"/>
      <c r="M687" s="543"/>
      <c r="N687" s="543"/>
      <c r="O687" s="543"/>
      <c r="P687" s="543"/>
      <c r="Q687" s="543"/>
      <c r="R687" s="543"/>
      <c r="S687" s="543"/>
      <c r="T687" s="496"/>
      <c r="U687" s="543"/>
      <c r="V687" s="543"/>
      <c r="W687" s="543"/>
      <c r="X687" s="543"/>
      <c r="Y687" s="543"/>
      <c r="Z687" s="543"/>
      <c r="AA687" s="543"/>
      <c r="AB687" s="543"/>
      <c r="AC687" s="543"/>
      <c r="AD687" s="543"/>
      <c r="AE687" s="543"/>
      <c r="AF687" s="543"/>
      <c r="AG687" s="543"/>
      <c r="AH687" s="543"/>
      <c r="AI687" s="543"/>
      <c r="AJ687" s="543"/>
      <c r="AK687" s="543"/>
      <c r="AL687" s="543"/>
      <c r="AM687" s="543"/>
      <c r="AN687" s="543"/>
      <c r="AO687" s="543"/>
      <c r="AP687" s="543"/>
      <c r="AQ687" s="543"/>
      <c r="AR687" s="543"/>
      <c r="AS687" s="543"/>
      <c r="AT687" s="543"/>
      <c r="AU687" s="543"/>
      <c r="AV687" s="543"/>
    </row>
    <row r="688" spans="1:48" s="354" customFormat="1" ht="15" hidden="1" customHeight="1">
      <c r="C688" s="1117">
        <f t="shared" si="53"/>
        <v>0</v>
      </c>
      <c r="D688" s="1117"/>
      <c r="E688" s="1117"/>
      <c r="F688" s="1117"/>
      <c r="G688" s="1117"/>
      <c r="H688" s="1117"/>
      <c r="I688" s="354" t="str">
        <f>+I510</f>
        <v>m3</v>
      </c>
      <c r="L688" s="354" t="s">
        <v>4508</v>
      </c>
      <c r="M688" s="497"/>
      <c r="N688" s="1227">
        <f>+N510*$M$78</f>
        <v>0</v>
      </c>
      <c r="O688" s="1227"/>
      <c r="P688" s="1227"/>
      <c r="Q688" s="1228"/>
      <c r="R688" s="1228"/>
      <c r="S688" s="1228"/>
      <c r="T688" s="496" t="str">
        <f>+T510</f>
        <v>/m3</v>
      </c>
      <c r="Y688" s="497" t="s">
        <v>4508</v>
      </c>
      <c r="AA688" s="1136">
        <f>+AA510</f>
        <v>1</v>
      </c>
      <c r="AB688" s="1136"/>
      <c r="AC688" s="739"/>
      <c r="AD688" s="739"/>
      <c r="AM688" s="496" t="s">
        <v>4426</v>
      </c>
      <c r="AO688" s="1220">
        <f>+C688*N688*AA688</f>
        <v>0</v>
      </c>
      <c r="AP688" s="1220"/>
      <c r="AQ688" s="1220"/>
      <c r="AR688" s="1221"/>
      <c r="AS688" s="1221"/>
      <c r="AT688" s="1221"/>
      <c r="AU688" s="1221"/>
      <c r="AV688" s="1221"/>
    </row>
    <row r="689" spans="1:48" s="354" customFormat="1" ht="15" hidden="1" customHeight="1">
      <c r="C689" s="542" t="str">
        <f t="shared" si="53"/>
        <v>c) Cerco Perimétrico (estimado):</v>
      </c>
      <c r="D689" s="543"/>
      <c r="E689" s="543"/>
      <c r="F689" s="543"/>
      <c r="G689" s="543"/>
      <c r="H689" s="543"/>
      <c r="I689" s="543"/>
      <c r="J689" s="543"/>
      <c r="K689" s="543"/>
      <c r="L689" s="543"/>
      <c r="M689" s="543"/>
      <c r="N689" s="543"/>
      <c r="O689" s="543"/>
      <c r="P689" s="543"/>
      <c r="Q689" s="543"/>
      <c r="R689" s="543"/>
      <c r="S689" s="543"/>
      <c r="T689" s="543"/>
      <c r="U689" s="543"/>
      <c r="V689" s="543"/>
      <c r="W689" s="543"/>
      <c r="X689" s="543"/>
      <c r="Y689" s="543"/>
      <c r="Z689" s="543"/>
      <c r="AA689" s="543"/>
      <c r="AB689" s="543"/>
      <c r="AC689" s="543"/>
      <c r="AD689" s="543"/>
      <c r="AE689" s="543"/>
      <c r="AF689" s="543"/>
      <c r="AG689" s="543"/>
      <c r="AH689" s="543"/>
      <c r="AI689" s="543"/>
      <c r="AJ689" s="543"/>
      <c r="AK689" s="543"/>
      <c r="AL689" s="543"/>
      <c r="AM689" s="543"/>
      <c r="AN689" s="543"/>
      <c r="AO689" s="543"/>
      <c r="AP689" s="543"/>
      <c r="AQ689" s="543"/>
      <c r="AR689" s="543"/>
      <c r="AS689" s="543"/>
      <c r="AT689" s="543"/>
      <c r="AU689" s="543"/>
      <c r="AV689" s="543"/>
    </row>
    <row r="690" spans="1:48" s="354" customFormat="1" ht="15" hidden="1" customHeight="1">
      <c r="C690" s="1117">
        <f t="shared" si="53"/>
        <v>0</v>
      </c>
      <c r="D690" s="1117"/>
      <c r="E690" s="1117"/>
      <c r="F690" s="1117"/>
      <c r="G690" s="1117"/>
      <c r="H690" s="1117"/>
      <c r="I690" s="354" t="str">
        <f>+I512</f>
        <v>ml</v>
      </c>
      <c r="L690" s="354" t="s">
        <v>4508</v>
      </c>
      <c r="M690" s="497"/>
      <c r="N690" s="1227">
        <f>+N512*$M$78</f>
        <v>0</v>
      </c>
      <c r="O690" s="1227"/>
      <c r="P690" s="1227"/>
      <c r="Q690" s="1228"/>
      <c r="R690" s="1228"/>
      <c r="S690" s="1228"/>
      <c r="T690" s="496" t="str">
        <f>+T512</f>
        <v>/ml</v>
      </c>
      <c r="Y690" s="497" t="s">
        <v>4508</v>
      </c>
      <c r="AA690" s="1136">
        <f>+AA512</f>
        <v>1</v>
      </c>
      <c r="AB690" s="1136"/>
      <c r="AC690" s="739"/>
      <c r="AD690" s="739"/>
      <c r="AM690" s="496" t="s">
        <v>4426</v>
      </c>
      <c r="AO690" s="1220">
        <f>+C690*N690*AA690</f>
        <v>0</v>
      </c>
      <c r="AP690" s="1220"/>
      <c r="AQ690" s="1220"/>
      <c r="AR690" s="1221"/>
      <c r="AS690" s="1221"/>
      <c r="AT690" s="1221"/>
      <c r="AU690" s="1221"/>
      <c r="AV690" s="1221"/>
    </row>
    <row r="691" spans="1:48" s="354" customFormat="1" ht="15" hidden="1" customHeight="1">
      <c r="C691" s="542" t="str">
        <f t="shared" si="53"/>
        <v>d) Ascensor (estimado):</v>
      </c>
      <c r="D691" s="543"/>
      <c r="E691" s="543"/>
      <c r="F691" s="543"/>
      <c r="G691" s="543"/>
      <c r="H691" s="543"/>
      <c r="J691" s="543"/>
      <c r="K691" s="543"/>
      <c r="L691" s="543"/>
      <c r="M691" s="543"/>
      <c r="N691" s="543"/>
      <c r="O691" s="543"/>
      <c r="P691" s="543"/>
      <c r="Q691" s="543"/>
      <c r="R691" s="543"/>
      <c r="S691" s="543"/>
      <c r="T691" s="496"/>
      <c r="U691" s="543"/>
      <c r="V691" s="543"/>
      <c r="W691" s="543"/>
      <c r="X691" s="543"/>
      <c r="Y691" s="543"/>
      <c r="Z691" s="543"/>
      <c r="AA691" s="543"/>
      <c r="AB691" s="543"/>
      <c r="AC691" s="543"/>
      <c r="AD691" s="543"/>
      <c r="AE691" s="543"/>
      <c r="AF691" s="543"/>
      <c r="AG691" s="543"/>
      <c r="AH691" s="543"/>
      <c r="AI691" s="543"/>
      <c r="AJ691" s="543"/>
      <c r="AK691" s="543"/>
      <c r="AL691" s="543"/>
      <c r="AM691" s="543"/>
      <c r="AN691" s="543"/>
      <c r="AO691" s="543"/>
      <c r="AP691" s="543"/>
      <c r="AQ691" s="543"/>
      <c r="AR691" s="543"/>
      <c r="AS691" s="543"/>
      <c r="AT691" s="543"/>
      <c r="AU691" s="543"/>
      <c r="AV691" s="543"/>
    </row>
    <row r="692" spans="1:48" s="354" customFormat="1" ht="15" hidden="1" customHeight="1">
      <c r="C692" s="1117">
        <f t="shared" si="53"/>
        <v>0</v>
      </c>
      <c r="D692" s="1117"/>
      <c r="E692" s="1117"/>
      <c r="F692" s="1117"/>
      <c r="G692" s="1117"/>
      <c r="H692" s="1117"/>
      <c r="I692" s="354" t="str">
        <f>+I514</f>
        <v>Und</v>
      </c>
      <c r="L692" s="354" t="s">
        <v>4508</v>
      </c>
      <c r="M692" s="497"/>
      <c r="N692" s="1227">
        <f>+N514*$M$78</f>
        <v>0</v>
      </c>
      <c r="O692" s="1227"/>
      <c r="P692" s="1227"/>
      <c r="Q692" s="1228"/>
      <c r="R692" s="1228"/>
      <c r="S692" s="1228"/>
      <c r="T692" s="496" t="str">
        <f>+T514</f>
        <v>/Und</v>
      </c>
      <c r="Y692" s="497" t="s">
        <v>4508</v>
      </c>
      <c r="AA692" s="1136">
        <f>+AA514</f>
        <v>1</v>
      </c>
      <c r="AB692" s="1136"/>
      <c r="AC692" s="739"/>
      <c r="AD692" s="739"/>
      <c r="AM692" s="496" t="s">
        <v>4426</v>
      </c>
      <c r="AO692" s="1232">
        <f>+C692*N692*AA692</f>
        <v>0</v>
      </c>
      <c r="AP692" s="1232"/>
      <c r="AQ692" s="1232"/>
      <c r="AR692" s="1233"/>
      <c r="AS692" s="1233"/>
      <c r="AT692" s="1233"/>
      <c r="AU692" s="1233"/>
      <c r="AV692" s="1233"/>
    </row>
    <row r="693" spans="1:48" s="354" customFormat="1" hidden="1">
      <c r="C693" s="313" t="s">
        <v>4521</v>
      </c>
      <c r="D693" s="398"/>
      <c r="E693" s="398"/>
      <c r="F693" s="398"/>
      <c r="G693" s="398"/>
      <c r="H693" s="398"/>
      <c r="M693" s="497"/>
      <c r="N693" s="545"/>
      <c r="O693" s="545"/>
      <c r="P693" s="546"/>
      <c r="Q693" s="299"/>
      <c r="R693" s="299"/>
      <c r="S693" s="299"/>
      <c r="T693" s="496"/>
      <c r="Y693" s="497"/>
      <c r="AA693" s="544"/>
      <c r="AB693" s="544"/>
      <c r="AC693" s="261"/>
      <c r="AD693" s="261"/>
      <c r="AM693" s="496" t="s">
        <v>4426</v>
      </c>
      <c r="AO693" s="1220">
        <f>SUM(AO686:AV692)</f>
        <v>0</v>
      </c>
      <c r="AP693" s="1220"/>
      <c r="AQ693" s="1220"/>
      <c r="AR693" s="1221"/>
      <c r="AS693" s="1221"/>
      <c r="AT693" s="1221"/>
      <c r="AU693" s="1221"/>
      <c r="AV693" s="1221"/>
    </row>
    <row r="694" spans="1:48" s="354" customFormat="1" hidden="1">
      <c r="C694" s="398" t="str">
        <f>+C516</f>
        <v>Porcentaje de áreas comunes correspondiente al inmueble %</v>
      </c>
      <c r="D694" s="398"/>
      <c r="E694" s="398"/>
      <c r="F694" s="398"/>
      <c r="G694" s="398"/>
      <c r="H694" s="398"/>
      <c r="M694" s="497"/>
      <c r="N694" s="545"/>
      <c r="O694" s="545"/>
      <c r="P694" s="546"/>
      <c r="Q694" s="299"/>
      <c r="R694" s="299"/>
      <c r="S694" s="299"/>
      <c r="T694" s="496"/>
      <c r="Y694" s="497"/>
      <c r="AA694" s="544"/>
      <c r="AB694" s="544"/>
      <c r="AC694" s="261"/>
      <c r="AD694" s="261"/>
      <c r="AM694" s="496"/>
      <c r="AO694" s="532"/>
      <c r="AP694" s="532"/>
      <c r="AQ694" s="532"/>
      <c r="AR694" s="261"/>
      <c r="AS694" s="261"/>
      <c r="AT694" s="261"/>
      <c r="AU694" s="261"/>
      <c r="AV694" s="261"/>
    </row>
    <row r="695" spans="1:48" s="354" customFormat="1" hidden="1">
      <c r="C695" s="1143">
        <f>+C517</f>
        <v>0</v>
      </c>
      <c r="D695" s="1143"/>
      <c r="E695" s="1143"/>
      <c r="F695" s="1143"/>
      <c r="G695" s="1143"/>
      <c r="H695" s="1143"/>
      <c r="I695" s="1143"/>
      <c r="K695" s="354" t="s">
        <v>4508</v>
      </c>
      <c r="M695" s="497"/>
      <c r="N695" s="545"/>
      <c r="O695" s="545"/>
      <c r="P695" s="546"/>
      <c r="Q695" s="1219">
        <f>+AO693</f>
        <v>0</v>
      </c>
      <c r="R695" s="1219"/>
      <c r="S695" s="1219"/>
      <c r="T695" s="1219"/>
      <c r="U695" s="1219"/>
      <c r="V695" s="1219"/>
      <c r="W695" s="1219"/>
      <c r="X695" s="1219"/>
      <c r="Y695" s="497"/>
      <c r="AA695" s="544"/>
      <c r="AB695" s="544"/>
      <c r="AC695" s="261"/>
      <c r="AD695" s="261"/>
      <c r="AM695" s="496" t="s">
        <v>4426</v>
      </c>
      <c r="AO695" s="1220">
        <f>+C695*Q695</f>
        <v>0</v>
      </c>
      <c r="AP695" s="1220"/>
      <c r="AQ695" s="1220"/>
      <c r="AR695" s="1221"/>
      <c r="AS695" s="1221"/>
      <c r="AT695" s="1221"/>
      <c r="AU695" s="1221"/>
      <c r="AV695" s="1221"/>
    </row>
    <row r="696" spans="1:48" s="336" customFormat="1" ht="15" hidden="1" customHeight="1" thickBot="1">
      <c r="C696" s="454" t="str">
        <f>+C684</f>
        <v>VALOR DE LAS OBRAS COMPLEMENTARIAS</v>
      </c>
      <c r="D696" s="455"/>
      <c r="E696" s="455"/>
      <c r="F696" s="455"/>
      <c r="G696" s="456"/>
      <c r="H696" s="457"/>
      <c r="I696" s="458"/>
      <c r="J696" s="459"/>
      <c r="K696" s="460"/>
      <c r="L696" s="456"/>
      <c r="M696" s="456"/>
      <c r="N696" s="456"/>
      <c r="O696" s="456"/>
      <c r="P696" s="456"/>
      <c r="Q696" s="456"/>
      <c r="R696" s="456"/>
      <c r="S696" s="456"/>
      <c r="T696" s="456"/>
      <c r="U696" s="456"/>
      <c r="V696" s="456"/>
      <c r="W696" s="456"/>
      <c r="X696" s="456"/>
      <c r="Y696" s="456"/>
      <c r="Z696" s="456"/>
      <c r="AA696" s="456"/>
      <c r="AB696" s="456"/>
      <c r="AC696" s="456"/>
      <c r="AD696" s="456"/>
      <c r="AE696" s="456"/>
      <c r="AF696" s="456"/>
      <c r="AG696" s="456"/>
      <c r="AH696" s="456"/>
      <c r="AI696" s="456"/>
      <c r="AJ696" s="456"/>
      <c r="AK696" s="456"/>
      <c r="AL696" s="456"/>
      <c r="AM696" s="461" t="s">
        <v>4426</v>
      </c>
      <c r="AN696" s="456"/>
      <c r="AO696" s="1222">
        <f>+AO695</f>
        <v>0</v>
      </c>
      <c r="AP696" s="1222"/>
      <c r="AQ696" s="1222"/>
      <c r="AR696" s="1223"/>
      <c r="AS696" s="1223"/>
      <c r="AT696" s="1223"/>
      <c r="AU696" s="1223"/>
      <c r="AV696" s="1223"/>
    </row>
    <row r="697" spans="1:48" s="363" customFormat="1" ht="3" hidden="1" customHeight="1" thickTop="1">
      <c r="AM697" s="661"/>
    </row>
    <row r="698" spans="1:48" ht="18.75" hidden="1" customHeight="1">
      <c r="A698" s="891">
        <f>1+A684</f>
        <v>5</v>
      </c>
      <c r="B698" s="1043"/>
      <c r="C698" s="355" t="str">
        <f>+C520</f>
        <v>VALOR DEL ESTACIONAMIENTO Nº …</v>
      </c>
    </row>
    <row r="699" spans="1:48" s="354" customFormat="1" ht="15.95" hidden="1" customHeight="1">
      <c r="C699" s="1117">
        <f>+C521</f>
        <v>1</v>
      </c>
      <c r="D699" s="1117"/>
      <c r="E699" s="1117"/>
      <c r="F699" s="1117"/>
      <c r="G699" s="1117"/>
      <c r="H699" s="1117"/>
      <c r="I699" s="354" t="str">
        <f>+I521</f>
        <v>Und</v>
      </c>
      <c r="L699" s="354" t="s">
        <v>4508</v>
      </c>
      <c r="M699" s="497"/>
      <c r="N699" s="1227">
        <f>+N521*$M$78</f>
        <v>0</v>
      </c>
      <c r="O699" s="1227"/>
      <c r="P699" s="1227"/>
      <c r="Q699" s="1228"/>
      <c r="R699" s="1228"/>
      <c r="S699" s="1228"/>
      <c r="T699" s="496" t="str">
        <f>+T521</f>
        <v>/Und</v>
      </c>
      <c r="Y699" s="497"/>
      <c r="AA699" s="398"/>
      <c r="AB699" s="398"/>
      <c r="AC699" s="261"/>
      <c r="AD699" s="261"/>
      <c r="AM699" s="496" t="s">
        <v>4426</v>
      </c>
      <c r="AO699" s="1220">
        <f>+C699*N699</f>
        <v>0</v>
      </c>
      <c r="AP699" s="1220"/>
      <c r="AQ699" s="1220"/>
      <c r="AR699" s="1221"/>
      <c r="AS699" s="1221"/>
      <c r="AT699" s="1221"/>
      <c r="AU699" s="1221"/>
      <c r="AV699" s="1221"/>
    </row>
    <row r="700" spans="1:48" s="336" customFormat="1" ht="15" hidden="1" customHeight="1" thickBot="1">
      <c r="C700" s="454" t="str">
        <f>+C698</f>
        <v>VALOR DEL ESTACIONAMIENTO Nº …</v>
      </c>
      <c r="D700" s="455"/>
      <c r="E700" s="455"/>
      <c r="F700" s="455"/>
      <c r="G700" s="456"/>
      <c r="H700" s="457"/>
      <c r="I700" s="458"/>
      <c r="J700" s="459"/>
      <c r="K700" s="460"/>
      <c r="L700" s="456"/>
      <c r="M700" s="456"/>
      <c r="N700" s="456"/>
      <c r="O700" s="456"/>
      <c r="P700" s="456"/>
      <c r="Q700" s="456"/>
      <c r="R700" s="456"/>
      <c r="S700" s="456"/>
      <c r="T700" s="456"/>
      <c r="U700" s="456"/>
      <c r="V700" s="456"/>
      <c r="W700" s="456"/>
      <c r="X700" s="456"/>
      <c r="Y700" s="456"/>
      <c r="Z700" s="456"/>
      <c r="AA700" s="456"/>
      <c r="AB700" s="456"/>
      <c r="AC700" s="456"/>
      <c r="AD700" s="456"/>
      <c r="AE700" s="456"/>
      <c r="AF700" s="456"/>
      <c r="AG700" s="456"/>
      <c r="AH700" s="456"/>
      <c r="AI700" s="456"/>
      <c r="AJ700" s="456"/>
      <c r="AK700" s="456"/>
      <c r="AL700" s="456"/>
      <c r="AM700" s="461" t="s">
        <v>4426</v>
      </c>
      <c r="AN700" s="456"/>
      <c r="AO700" s="1222">
        <f>SUM(AO699:AV699)</f>
        <v>0</v>
      </c>
      <c r="AP700" s="1222"/>
      <c r="AQ700" s="1222"/>
      <c r="AR700" s="1223"/>
      <c r="AS700" s="1223"/>
      <c r="AT700" s="1223"/>
      <c r="AU700" s="1223"/>
      <c r="AV700" s="1223"/>
    </row>
    <row r="701" spans="1:48" ht="18.75" hidden="1" customHeight="1" thickTop="1">
      <c r="A701" s="891">
        <f>+A698+1</f>
        <v>6</v>
      </c>
      <c r="B701" s="1043"/>
      <c r="C701" s="355" t="str">
        <f>+C523</f>
        <v>VALOR DEL DEPOSITO Nº ..</v>
      </c>
    </row>
    <row r="702" spans="1:48" s="354" customFormat="1" ht="15.95" hidden="1" customHeight="1">
      <c r="C702" s="1117">
        <f>+C524</f>
        <v>1</v>
      </c>
      <c r="D702" s="1117"/>
      <c r="E702" s="1117"/>
      <c r="F702" s="1117"/>
      <c r="G702" s="1117"/>
      <c r="H702" s="1117"/>
      <c r="I702" s="354" t="str">
        <f>+I524</f>
        <v>Und</v>
      </c>
      <c r="L702" s="354" t="s">
        <v>4508</v>
      </c>
      <c r="M702" s="497"/>
      <c r="N702" s="1227">
        <f>+N524*$M$78</f>
        <v>0</v>
      </c>
      <c r="O702" s="1227"/>
      <c r="P702" s="1227"/>
      <c r="Q702" s="1228"/>
      <c r="R702" s="1228"/>
      <c r="S702" s="1228"/>
      <c r="T702" s="496" t="str">
        <f>+T524</f>
        <v>/Und</v>
      </c>
      <c r="Y702" s="497"/>
      <c r="AA702" s="398"/>
      <c r="AB702" s="398"/>
      <c r="AC702" s="261"/>
      <c r="AD702" s="261"/>
      <c r="AM702" s="496" t="s">
        <v>4426</v>
      </c>
      <c r="AO702" s="1220">
        <f>+C702*N702</f>
        <v>0</v>
      </c>
      <c r="AP702" s="1220"/>
      <c r="AQ702" s="1220"/>
      <c r="AR702" s="1221"/>
      <c r="AS702" s="1221"/>
      <c r="AT702" s="1221"/>
      <c r="AU702" s="1221"/>
      <c r="AV702" s="1221"/>
    </row>
    <row r="703" spans="1:48" s="336" customFormat="1" ht="15" hidden="1" customHeight="1" thickBot="1">
      <c r="C703" s="454" t="str">
        <f>+C701</f>
        <v>VALOR DEL DEPOSITO Nº ..</v>
      </c>
      <c r="D703" s="455"/>
      <c r="E703" s="455"/>
      <c r="F703" s="455"/>
      <c r="G703" s="456"/>
      <c r="H703" s="457"/>
      <c r="I703" s="458"/>
      <c r="J703" s="459"/>
      <c r="K703" s="460"/>
      <c r="L703" s="456"/>
      <c r="M703" s="456"/>
      <c r="N703" s="456"/>
      <c r="O703" s="456"/>
      <c r="P703" s="456"/>
      <c r="Q703" s="456"/>
      <c r="R703" s="456"/>
      <c r="S703" s="456"/>
      <c r="T703" s="456"/>
      <c r="U703" s="456"/>
      <c r="V703" s="456"/>
      <c r="W703" s="456"/>
      <c r="X703" s="456"/>
      <c r="Y703" s="456"/>
      <c r="Z703" s="456"/>
      <c r="AA703" s="456"/>
      <c r="AB703" s="456"/>
      <c r="AC703" s="456"/>
      <c r="AD703" s="456"/>
      <c r="AE703" s="456"/>
      <c r="AF703" s="456"/>
      <c r="AG703" s="456"/>
      <c r="AH703" s="456"/>
      <c r="AI703" s="456"/>
      <c r="AJ703" s="456"/>
      <c r="AK703" s="456"/>
      <c r="AL703" s="456"/>
      <c r="AM703" s="461" t="s">
        <v>4426</v>
      </c>
      <c r="AN703" s="456"/>
      <c r="AO703" s="1222">
        <f>SUM(AO702:AV702)</f>
        <v>0</v>
      </c>
      <c r="AP703" s="1222"/>
      <c r="AQ703" s="1222"/>
      <c r="AR703" s="1223"/>
      <c r="AS703" s="1223"/>
      <c r="AT703" s="1223"/>
      <c r="AU703" s="1223"/>
      <c r="AV703" s="1223"/>
    </row>
    <row r="704" spans="1:48" s="336" customFormat="1" ht="15" hidden="1" customHeight="1" thickTop="1">
      <c r="C704" s="470"/>
      <c r="D704" s="323"/>
      <c r="E704" s="323"/>
      <c r="F704" s="323"/>
      <c r="H704" s="471"/>
      <c r="I704" s="472"/>
      <c r="J704" s="473"/>
      <c r="K704" s="474"/>
      <c r="AM704" s="661"/>
      <c r="AN704" s="363"/>
      <c r="AO704" s="363"/>
      <c r="AP704" s="363"/>
      <c r="AQ704" s="363"/>
      <c r="AR704" s="363"/>
      <c r="AS704" s="363"/>
      <c r="AT704" s="363"/>
      <c r="AU704" s="363"/>
      <c r="AV704" s="363"/>
    </row>
    <row r="705" spans="1:48" s="363" customFormat="1" ht="12.75" hidden="1" customHeight="1">
      <c r="C705" s="363" t="str">
        <f>+C528</f>
        <v>Lima,</v>
      </c>
      <c r="F705" s="1216">
        <f>+F528</f>
        <v>0</v>
      </c>
      <c r="G705" s="1217"/>
      <c r="H705" s="1217"/>
      <c r="I705" s="1217"/>
      <c r="J705" s="1217"/>
      <c r="K705" s="1217"/>
      <c r="L705" s="1217"/>
      <c r="M705" s="1217"/>
      <c r="N705" s="1217"/>
      <c r="O705" s="1217"/>
      <c r="P705" s="1217"/>
      <c r="Q705" s="1217"/>
      <c r="R705" s="1217"/>
      <c r="S705" s="1217"/>
      <c r="T705" s="1217"/>
      <c r="U705" s="1217"/>
      <c r="V705" s="1217"/>
      <c r="W705" s="1217"/>
      <c r="X705" s="1217"/>
      <c r="Y705" s="1217"/>
      <c r="Z705" s="1217"/>
      <c r="AA705" s="1217"/>
      <c r="AB705" s="1217"/>
    </row>
    <row r="706" spans="1:48" s="363" customFormat="1" ht="12.75" customHeight="1"/>
    <row r="707" spans="1:48" ht="12.75" customHeight="1"/>
    <row r="708" spans="1:48" ht="12.75" customHeight="1"/>
    <row r="709" spans="1:48" ht="23.25" customHeight="1">
      <c r="C709" s="1260" t="s">
        <v>4610</v>
      </c>
      <c r="D709" s="1260"/>
      <c r="E709" s="1260"/>
      <c r="F709" s="1260"/>
      <c r="G709" s="1260"/>
      <c r="H709" s="1260"/>
      <c r="I709" s="1260"/>
      <c r="J709" s="1260"/>
      <c r="K709" s="1260"/>
      <c r="L709" s="1260"/>
      <c r="M709" s="1260"/>
      <c r="N709" s="1260"/>
      <c r="O709" s="1260"/>
      <c r="P709" s="1260"/>
      <c r="Q709" s="1260"/>
      <c r="R709" s="1260"/>
      <c r="S709" s="1260"/>
      <c r="T709" s="1260"/>
      <c r="U709" s="1260"/>
      <c r="V709" s="1260"/>
      <c r="W709" s="1260"/>
      <c r="X709" s="1260"/>
      <c r="Y709" s="1260"/>
      <c r="Z709" s="1260"/>
      <c r="AA709" s="1260"/>
      <c r="AB709" s="1260"/>
      <c r="AC709" s="1260"/>
      <c r="AD709" s="1260"/>
      <c r="AE709" s="1260"/>
      <c r="AF709" s="1260"/>
      <c r="AG709" s="1260"/>
      <c r="AH709" s="1260"/>
      <c r="AI709" s="1260"/>
      <c r="AJ709" s="1260"/>
      <c r="AK709" s="1260"/>
      <c r="AL709" s="1260"/>
      <c r="AM709" s="1260"/>
      <c r="AN709" s="1260"/>
      <c r="AO709" s="1260"/>
      <c r="AP709" s="1260"/>
      <c r="AQ709" s="1260"/>
      <c r="AR709" s="1260"/>
      <c r="AS709" s="1260"/>
      <c r="AT709" s="1260"/>
      <c r="AU709" s="1260"/>
      <c r="AV709" s="1260"/>
    </row>
    <row r="710" spans="1:48" ht="18" customHeight="1">
      <c r="C710" s="1261" t="s">
        <v>4611</v>
      </c>
      <c r="D710" s="1261"/>
      <c r="E710" s="1261"/>
      <c r="F710" s="1261"/>
      <c r="G710" s="1261"/>
      <c r="H710" s="1261"/>
      <c r="I710" s="1261"/>
      <c r="J710" s="1261"/>
      <c r="K710" s="1261"/>
      <c r="L710" s="1261"/>
      <c r="M710" s="1261"/>
      <c r="N710" s="1261"/>
      <c r="O710" s="1261"/>
      <c r="P710" s="1261"/>
      <c r="Q710" s="1261"/>
      <c r="R710" s="1261"/>
      <c r="S710" s="1261"/>
      <c r="T710" s="1261"/>
      <c r="U710" s="1261"/>
      <c r="V710" s="1261"/>
      <c r="W710" s="1261"/>
      <c r="X710" s="1261"/>
      <c r="Y710" s="1261"/>
      <c r="Z710" s="1261"/>
      <c r="AA710" s="1261"/>
      <c r="AB710" s="1261"/>
      <c r="AC710" s="1261"/>
      <c r="AD710" s="1261"/>
      <c r="AE710" s="1261"/>
      <c r="AF710" s="1261"/>
      <c r="AG710" s="1261"/>
      <c r="AH710" s="1261"/>
      <c r="AI710" s="1261"/>
      <c r="AJ710" s="1261"/>
      <c r="AK710" s="1261"/>
      <c r="AL710" s="1261"/>
      <c r="AM710" s="1261"/>
      <c r="AN710" s="1261"/>
      <c r="AO710" s="1261"/>
      <c r="AP710" s="1261"/>
      <c r="AQ710" s="1261"/>
      <c r="AR710" s="1261"/>
      <c r="AS710" s="1261"/>
      <c r="AT710" s="1261"/>
      <c r="AU710" s="1261"/>
      <c r="AV710" s="1261"/>
    </row>
    <row r="711" spans="1:48" ht="12.75" customHeight="1">
      <c r="C711" s="662"/>
      <c r="D711" s="662"/>
      <c r="E711" s="663"/>
      <c r="F711" s="663"/>
      <c r="G711" s="663"/>
      <c r="H711" s="663"/>
      <c r="I711" s="663"/>
      <c r="J711" s="663"/>
      <c r="K711" s="664"/>
      <c r="L711" s="663"/>
      <c r="M711" s="663"/>
      <c r="N711" s="663"/>
      <c r="O711" s="663"/>
      <c r="P711" s="663"/>
      <c r="Q711" s="663"/>
      <c r="R711" s="663"/>
      <c r="S711" s="664" t="str">
        <f>+S10</f>
        <v xml:space="preserve">  INFORME N°26</v>
      </c>
      <c r="T711" s="665"/>
      <c r="U711" s="663"/>
      <c r="V711" s="666"/>
      <c r="W711" s="666"/>
      <c r="X711" s="663"/>
      <c r="Y711" s="663"/>
      <c r="Z711" s="663"/>
      <c r="AA711" s="663"/>
      <c r="AB711" s="667"/>
      <c r="AC711" s="1262">
        <f>+AB442</f>
        <v>0</v>
      </c>
      <c r="AD711" s="1263"/>
      <c r="AE711" s="1263"/>
      <c r="AF711" s="1263"/>
      <c r="AG711" s="1263"/>
      <c r="AH711" s="663"/>
      <c r="AI711" s="663"/>
      <c r="AJ711" s="663"/>
      <c r="AK711" s="663"/>
      <c r="AL711" s="663"/>
      <c r="AM711" s="663"/>
      <c r="AN711" s="663"/>
      <c r="AO711" s="663"/>
      <c r="AP711" s="663"/>
      <c r="AQ711" s="663"/>
      <c r="AR711" s="663"/>
      <c r="AS711" s="663"/>
      <c r="AT711" s="663"/>
      <c r="AU711" s="663"/>
      <c r="AV711" s="663"/>
    </row>
    <row r="712" spans="1:48" ht="12.75" customHeight="1"/>
    <row r="713" spans="1:48" ht="21" customHeight="1">
      <c r="A713" s="891">
        <f>1+A474</f>
        <v>1</v>
      </c>
      <c r="B713" s="1043"/>
      <c r="C713" s="355" t="s">
        <v>4612</v>
      </c>
    </row>
    <row r="714" spans="1:48" ht="15.95" customHeight="1">
      <c r="A714" s="444"/>
      <c r="B714" s="444"/>
      <c r="C714" s="541" t="str">
        <f>+C179</f>
        <v>Primer piso</v>
      </c>
    </row>
    <row r="715" spans="1:48" s="354" customFormat="1" ht="12.75" customHeight="1">
      <c r="C715" s="1117">
        <f>+V179</f>
        <v>0</v>
      </c>
      <c r="D715" s="1117"/>
      <c r="E715" s="1117"/>
      <c r="F715" s="1117"/>
      <c r="G715" s="1117"/>
      <c r="H715" s="1117"/>
      <c r="I715" s="354" t="s">
        <v>10</v>
      </c>
      <c r="L715" s="354" t="s">
        <v>4508</v>
      </c>
      <c r="M715" s="497"/>
      <c r="N715" s="1119">
        <f>+AR203</f>
        <v>0</v>
      </c>
      <c r="O715" s="1119"/>
      <c r="P715" s="1137"/>
      <c r="Q715" s="739"/>
      <c r="R715" s="739"/>
      <c r="S715" s="739"/>
      <c r="T715" s="496" t="s">
        <v>4509</v>
      </c>
      <c r="Y715" s="497" t="s">
        <v>4508</v>
      </c>
      <c r="AA715" s="1122">
        <f>1-AG207</f>
        <v>1</v>
      </c>
      <c r="AB715" s="1122"/>
      <c r="AC715" s="1085"/>
      <c r="AD715" s="1085"/>
      <c r="AM715" s="496" t="s">
        <v>4426</v>
      </c>
      <c r="AO715" s="1119">
        <f>ROUND(C715*N715*AA715,1)</f>
        <v>0</v>
      </c>
      <c r="AP715" s="1119"/>
      <c r="AQ715" s="1119"/>
      <c r="AR715" s="739"/>
      <c r="AS715" s="739"/>
      <c r="AT715" s="739"/>
      <c r="AU715" s="739"/>
      <c r="AV715" s="739"/>
    </row>
    <row r="716" spans="1:48" ht="15.95" customHeight="1">
      <c r="A716" s="444"/>
      <c r="B716" s="444"/>
      <c r="C716" s="541" t="str">
        <f>+C180</f>
        <v>Segundo piso</v>
      </c>
    </row>
    <row r="717" spans="1:48" s="354" customFormat="1" ht="14.25" customHeight="1">
      <c r="C717" s="1117">
        <f>+V180</f>
        <v>0</v>
      </c>
      <c r="D717" s="1117"/>
      <c r="E717" s="1117"/>
      <c r="F717" s="1117"/>
      <c r="G717" s="1117"/>
      <c r="H717" s="1117"/>
      <c r="I717" s="354" t="s">
        <v>10</v>
      </c>
      <c r="L717" s="354" t="s">
        <v>4508</v>
      </c>
      <c r="M717" s="497"/>
      <c r="N717" s="1119">
        <f>+AR203</f>
        <v>0</v>
      </c>
      <c r="O717" s="1119"/>
      <c r="P717" s="1137"/>
      <c r="Q717" s="739"/>
      <c r="R717" s="739"/>
      <c r="S717" s="739"/>
      <c r="T717" s="496" t="s">
        <v>4509</v>
      </c>
      <c r="Y717" s="497" t="s">
        <v>4508</v>
      </c>
      <c r="AA717" s="1122">
        <f>1-AG208</f>
        <v>1</v>
      </c>
      <c r="AB717" s="1122"/>
      <c r="AC717" s="1085"/>
      <c r="AD717" s="1085"/>
      <c r="AM717" s="496" t="s">
        <v>4426</v>
      </c>
      <c r="AO717" s="1119">
        <f>ROUND(C717*N717*AA717,1)</f>
        <v>0</v>
      </c>
      <c r="AP717" s="1119"/>
      <c r="AQ717" s="1119"/>
      <c r="AR717" s="739"/>
      <c r="AS717" s="739"/>
      <c r="AT717" s="739"/>
      <c r="AU717" s="739"/>
      <c r="AV717" s="739"/>
    </row>
    <row r="718" spans="1:48" ht="15.95" customHeight="1">
      <c r="A718" s="444"/>
      <c r="B718" s="444"/>
      <c r="C718" s="541" t="str">
        <f>+C181</f>
        <v>Tercer piso</v>
      </c>
    </row>
    <row r="719" spans="1:48" s="354" customFormat="1" ht="14.25" customHeight="1">
      <c r="C719" s="1117">
        <f>+V181</f>
        <v>0</v>
      </c>
      <c r="D719" s="1117"/>
      <c r="E719" s="1117"/>
      <c r="F719" s="1117"/>
      <c r="G719" s="1117"/>
      <c r="H719" s="1117"/>
      <c r="I719" s="354" t="s">
        <v>10</v>
      </c>
      <c r="L719" s="354" t="s">
        <v>4508</v>
      </c>
      <c r="M719" s="497"/>
      <c r="N719" s="1119">
        <f>+AR203</f>
        <v>0</v>
      </c>
      <c r="O719" s="1119"/>
      <c r="P719" s="1137"/>
      <c r="Q719" s="739"/>
      <c r="R719" s="739"/>
      <c r="S719" s="739"/>
      <c r="T719" s="496" t="s">
        <v>4509</v>
      </c>
      <c r="Y719" s="497" t="s">
        <v>4508</v>
      </c>
      <c r="AA719" s="1122">
        <f>1-AG209</f>
        <v>1</v>
      </c>
      <c r="AB719" s="1122"/>
      <c r="AC719" s="1085"/>
      <c r="AD719" s="1085"/>
      <c r="AM719" s="496" t="s">
        <v>4426</v>
      </c>
      <c r="AO719" s="1119">
        <f>ROUND(C719*N719*AA719,1)</f>
        <v>0</v>
      </c>
      <c r="AP719" s="1119"/>
      <c r="AQ719" s="1119"/>
      <c r="AR719" s="739"/>
      <c r="AS719" s="739"/>
      <c r="AT719" s="739"/>
      <c r="AU719" s="739"/>
      <c r="AV719" s="739"/>
    </row>
    <row r="720" spans="1:48" s="336" customFormat="1" ht="15" customHeight="1" thickBot="1">
      <c r="C720" s="454" t="str">
        <f>+C713</f>
        <v>VALOR DE LA EDIFICACIÓN</v>
      </c>
      <c r="D720" s="455"/>
      <c r="E720" s="455"/>
      <c r="F720" s="455"/>
      <c r="G720" s="456"/>
      <c r="H720" s="457"/>
      <c r="I720" s="458"/>
      <c r="J720" s="459"/>
      <c r="K720" s="460"/>
      <c r="L720" s="456"/>
      <c r="M720" s="456"/>
      <c r="N720" s="456"/>
      <c r="O720" s="456"/>
      <c r="P720" s="456"/>
      <c r="Q720" s="456"/>
      <c r="R720" s="456"/>
      <c r="S720" s="456"/>
      <c r="T720" s="456"/>
      <c r="U720" s="456"/>
      <c r="V720" s="456"/>
      <c r="W720" s="456"/>
      <c r="X720" s="456"/>
      <c r="Y720" s="456"/>
      <c r="Z720" s="456"/>
      <c r="AA720" s="456"/>
      <c r="AB720" s="456"/>
      <c r="AC720" s="456"/>
      <c r="AD720" s="456"/>
      <c r="AE720" s="456"/>
      <c r="AF720" s="456"/>
      <c r="AG720" s="456"/>
      <c r="AH720" s="456"/>
      <c r="AI720" s="456"/>
      <c r="AJ720" s="456"/>
      <c r="AK720" s="456"/>
      <c r="AL720" s="456"/>
      <c r="AM720" s="461" t="s">
        <v>4426</v>
      </c>
      <c r="AN720" s="456"/>
      <c r="AO720" s="1035">
        <f>ROUND(SUM(AO715:AV719),1)</f>
        <v>0</v>
      </c>
      <c r="AP720" s="1035"/>
      <c r="AQ720" s="1035"/>
      <c r="AR720" s="1036"/>
      <c r="AS720" s="1036"/>
      <c r="AT720" s="1036"/>
      <c r="AU720" s="1036"/>
      <c r="AV720" s="1036"/>
    </row>
    <row r="721" spans="1:48" ht="18.75" hidden="1" customHeight="1" thickTop="1">
      <c r="A721" s="891">
        <v>2</v>
      </c>
      <c r="B721" s="891"/>
      <c r="C721" s="355" t="s">
        <v>4510</v>
      </c>
    </row>
    <row r="722" spans="1:48" s="354" customFormat="1" ht="15.95" hidden="1" customHeight="1">
      <c r="C722" s="1264"/>
      <c r="D722" s="1264"/>
      <c r="E722" s="1264"/>
      <c r="F722" s="1264"/>
      <c r="G722" s="1264"/>
      <c r="H722" s="1264"/>
      <c r="L722" s="354" t="s">
        <v>4508</v>
      </c>
      <c r="M722" s="497"/>
      <c r="N722" s="1265">
        <f>+AO720</f>
        <v>0</v>
      </c>
      <c r="O722" s="1265"/>
      <c r="P722" s="1265"/>
      <c r="Q722" s="1265"/>
      <c r="R722" s="1265"/>
      <c r="S722" s="1265"/>
      <c r="T722" s="496" t="s">
        <v>4511</v>
      </c>
      <c r="Y722" s="497"/>
      <c r="AA722" s="668"/>
      <c r="AB722" s="668"/>
      <c r="AC722" s="341"/>
      <c r="AD722" s="341"/>
      <c r="AM722" s="496" t="s">
        <v>4426</v>
      </c>
      <c r="AO722" s="1265">
        <f>ROUND(C722*N722,1)</f>
        <v>0</v>
      </c>
      <c r="AP722" s="1265"/>
      <c r="AQ722" s="1265"/>
      <c r="AR722" s="1265"/>
      <c r="AS722" s="1265"/>
      <c r="AT722" s="1265"/>
      <c r="AU722" s="1265"/>
      <c r="AV722" s="1265"/>
    </row>
    <row r="723" spans="1:48" s="336" customFormat="1" ht="15" hidden="1" customHeight="1" thickBot="1">
      <c r="C723" s="454" t="str">
        <f>+C721</f>
        <v>VALOR DE LAS AREAS COMUNES</v>
      </c>
      <c r="D723" s="455"/>
      <c r="E723" s="455"/>
      <c r="F723" s="455"/>
      <c r="G723" s="456"/>
      <c r="H723" s="457"/>
      <c r="I723" s="458"/>
      <c r="J723" s="459"/>
      <c r="K723" s="460"/>
      <c r="L723" s="456"/>
      <c r="M723" s="456"/>
      <c r="N723" s="456"/>
      <c r="O723" s="456"/>
      <c r="P723" s="456"/>
      <c r="Q723" s="456"/>
      <c r="R723" s="456"/>
      <c r="S723" s="456"/>
      <c r="T723" s="456"/>
      <c r="U723" s="456"/>
      <c r="V723" s="456"/>
      <c r="W723" s="456"/>
      <c r="X723" s="456"/>
      <c r="Y723" s="456"/>
      <c r="Z723" s="456"/>
      <c r="AA723" s="456"/>
      <c r="AB723" s="456"/>
      <c r="AC723" s="456"/>
      <c r="AD723" s="456"/>
      <c r="AE723" s="456"/>
      <c r="AF723" s="456"/>
      <c r="AG723" s="456"/>
      <c r="AH723" s="456"/>
      <c r="AI723" s="456"/>
      <c r="AJ723" s="456"/>
      <c r="AK723" s="456"/>
      <c r="AL723" s="456"/>
      <c r="AM723" s="461" t="s">
        <v>4426</v>
      </c>
      <c r="AN723" s="456"/>
      <c r="AO723" s="1035">
        <f>ROUND(SUM(AO722:AV722),1)</f>
        <v>0</v>
      </c>
      <c r="AP723" s="1035"/>
      <c r="AQ723" s="1035"/>
      <c r="AR723" s="1036"/>
      <c r="AS723" s="1036"/>
      <c r="AT723" s="1036"/>
      <c r="AU723" s="1036"/>
      <c r="AV723" s="1036"/>
    </row>
    <row r="724" spans="1:48" ht="23.25" customHeight="1" thickTop="1">
      <c r="A724" s="891">
        <f>1+A713</f>
        <v>2</v>
      </c>
      <c r="B724" s="1043"/>
      <c r="C724" s="355" t="s">
        <v>4512</v>
      </c>
    </row>
    <row r="725" spans="1:48" s="354" customFormat="1" ht="15" customHeight="1">
      <c r="C725" s="542" t="s">
        <v>4513</v>
      </c>
      <c r="D725" s="543"/>
      <c r="E725" s="543"/>
      <c r="F725" s="543"/>
      <c r="G725" s="543"/>
      <c r="H725" s="543"/>
      <c r="I725" s="543"/>
      <c r="J725" s="543"/>
      <c r="K725" s="543"/>
      <c r="L725" s="543"/>
      <c r="M725" s="543"/>
      <c r="N725" s="543"/>
      <c r="O725" s="543"/>
      <c r="P725" s="543"/>
      <c r="Q725" s="543"/>
      <c r="R725" s="543"/>
      <c r="S725" s="543"/>
      <c r="T725" s="543"/>
      <c r="U725" s="543"/>
      <c r="V725" s="543"/>
      <c r="W725" s="543"/>
      <c r="X725" s="543"/>
      <c r="Y725" s="543"/>
      <c r="Z725" s="543"/>
      <c r="AA725" s="543"/>
      <c r="AB725" s="543"/>
      <c r="AC725" s="543"/>
      <c r="AD725" s="543"/>
      <c r="AE725" s="543"/>
      <c r="AF725" s="543"/>
      <c r="AG725" s="543"/>
      <c r="AH725" s="543"/>
      <c r="AI725" s="543"/>
      <c r="AJ725" s="543"/>
      <c r="AK725" s="543"/>
      <c r="AL725" s="543"/>
      <c r="AM725" s="543"/>
      <c r="AN725" s="543"/>
      <c r="AO725" s="543"/>
      <c r="AP725" s="543"/>
      <c r="AQ725" s="543"/>
      <c r="AR725" s="543"/>
      <c r="AS725" s="543"/>
      <c r="AT725" s="543"/>
      <c r="AU725" s="543"/>
      <c r="AV725" s="543"/>
    </row>
    <row r="726" spans="1:48" s="354" customFormat="1" ht="15" customHeight="1">
      <c r="C726" s="1117"/>
      <c r="D726" s="1117"/>
      <c r="E726" s="1117"/>
      <c r="F726" s="1117"/>
      <c r="G726" s="1117"/>
      <c r="H726" s="1117"/>
      <c r="I726" s="354" t="s">
        <v>4514</v>
      </c>
      <c r="L726" s="354" t="s">
        <v>4508</v>
      </c>
      <c r="M726" s="497"/>
      <c r="N726" s="1119"/>
      <c r="O726" s="1119"/>
      <c r="P726" s="1119"/>
      <c r="Q726" s="1135"/>
      <c r="R726" s="1135"/>
      <c r="S726" s="1135"/>
      <c r="T726" s="496" t="s">
        <v>4515</v>
      </c>
      <c r="Y726" s="497" t="s">
        <v>4508</v>
      </c>
      <c r="AA726" s="1136">
        <f>+AA715</f>
        <v>1</v>
      </c>
      <c r="AB726" s="1136"/>
      <c r="AC726" s="739"/>
      <c r="AD726" s="739"/>
      <c r="AM726" s="496" t="s">
        <v>4426</v>
      </c>
      <c r="AO726" s="1119">
        <f>ROUND(C726*N726*AA726,1)</f>
        <v>0</v>
      </c>
      <c r="AP726" s="1119"/>
      <c r="AQ726" s="1119"/>
      <c r="AR726" s="739"/>
      <c r="AS726" s="739"/>
      <c r="AT726" s="739"/>
      <c r="AU726" s="739"/>
      <c r="AV726" s="739"/>
    </row>
    <row r="727" spans="1:48" s="354" customFormat="1" ht="15" customHeight="1">
      <c r="C727" s="542" t="s">
        <v>4516</v>
      </c>
      <c r="D727" s="543"/>
      <c r="E727" s="543"/>
      <c r="F727" s="543"/>
      <c r="G727" s="543"/>
      <c r="H727" s="543"/>
      <c r="I727" s="543"/>
      <c r="J727" s="543"/>
      <c r="K727" s="543"/>
      <c r="L727" s="543"/>
      <c r="M727" s="543"/>
      <c r="N727" s="543"/>
      <c r="O727" s="543"/>
      <c r="P727" s="543"/>
      <c r="Q727" s="543"/>
      <c r="R727" s="543"/>
      <c r="S727" s="543"/>
      <c r="T727" s="543"/>
      <c r="U727" s="543"/>
      <c r="V727" s="543"/>
      <c r="W727" s="543"/>
      <c r="X727" s="543"/>
      <c r="Y727" s="543"/>
      <c r="Z727" s="543"/>
      <c r="AA727" s="543"/>
      <c r="AB727" s="543"/>
      <c r="AC727" s="543"/>
      <c r="AD727" s="543"/>
      <c r="AE727" s="543"/>
      <c r="AF727" s="543"/>
      <c r="AG727" s="543"/>
      <c r="AH727" s="543"/>
      <c r="AI727" s="543"/>
      <c r="AJ727" s="543"/>
      <c r="AK727" s="543"/>
      <c r="AL727" s="543"/>
      <c r="AM727" s="543"/>
      <c r="AN727" s="543"/>
      <c r="AO727" s="543"/>
      <c r="AP727" s="543"/>
      <c r="AQ727" s="543"/>
      <c r="AR727" s="543"/>
      <c r="AS727" s="543"/>
      <c r="AT727" s="543"/>
      <c r="AU727" s="543"/>
      <c r="AV727" s="543"/>
    </row>
    <row r="728" spans="1:48" s="354" customFormat="1" ht="15" customHeight="1">
      <c r="C728" s="1117"/>
      <c r="D728" s="1117"/>
      <c r="E728" s="1117"/>
      <c r="F728" s="1117"/>
      <c r="G728" s="1117"/>
      <c r="H728" s="1117"/>
      <c r="I728" s="354" t="s">
        <v>4514</v>
      </c>
      <c r="L728" s="354" t="s">
        <v>4508</v>
      </c>
      <c r="M728" s="497"/>
      <c r="N728" s="1119"/>
      <c r="O728" s="1119"/>
      <c r="P728" s="1137"/>
      <c r="Q728" s="739"/>
      <c r="R728" s="739"/>
      <c r="S728" s="739"/>
      <c r="T728" s="496" t="s">
        <v>4515</v>
      </c>
      <c r="Y728" s="497" t="s">
        <v>4508</v>
      </c>
      <c r="AA728" s="1136">
        <f>+AA726</f>
        <v>1</v>
      </c>
      <c r="AB728" s="1136"/>
      <c r="AC728" s="739"/>
      <c r="AD728" s="739"/>
      <c r="AM728" s="496" t="s">
        <v>4426</v>
      </c>
      <c r="AO728" s="1119">
        <f>ROUND(C728*N728*AA728,1)</f>
        <v>0</v>
      </c>
      <c r="AP728" s="1119"/>
      <c r="AQ728" s="1119"/>
      <c r="AR728" s="739"/>
      <c r="AS728" s="739"/>
      <c r="AT728" s="739"/>
      <c r="AU728" s="739"/>
      <c r="AV728" s="739"/>
    </row>
    <row r="729" spans="1:48" s="354" customFormat="1" ht="15" customHeight="1">
      <c r="C729" s="542" t="s">
        <v>4517</v>
      </c>
      <c r="D729" s="543"/>
      <c r="E729" s="543"/>
      <c r="F729" s="543"/>
      <c r="G729" s="543"/>
      <c r="H729" s="543"/>
      <c r="I729" s="543"/>
      <c r="J729" s="543"/>
      <c r="K729" s="543"/>
      <c r="L729" s="543"/>
      <c r="M729" s="543"/>
      <c r="N729" s="543"/>
      <c r="O729" s="543"/>
      <c r="P729" s="543"/>
      <c r="Q729" s="543"/>
      <c r="R729" s="543"/>
      <c r="S729" s="543"/>
      <c r="T729" s="543"/>
      <c r="U729" s="543"/>
      <c r="V729" s="543"/>
      <c r="W729" s="543"/>
      <c r="X729" s="543"/>
      <c r="Y729" s="543"/>
      <c r="Z729" s="543"/>
      <c r="AA729" s="543"/>
      <c r="AB729" s="543"/>
      <c r="AC729" s="543"/>
      <c r="AD729" s="543"/>
      <c r="AE729" s="543"/>
      <c r="AF729" s="543"/>
      <c r="AG729" s="543"/>
      <c r="AH729" s="543"/>
      <c r="AI729" s="543"/>
      <c r="AJ729" s="543"/>
      <c r="AK729" s="543"/>
      <c r="AL729" s="543"/>
      <c r="AM729" s="543"/>
      <c r="AN729" s="543"/>
      <c r="AO729" s="543"/>
      <c r="AP729" s="543"/>
      <c r="AQ729" s="543"/>
      <c r="AR729" s="543"/>
      <c r="AS729" s="543"/>
      <c r="AT729" s="543"/>
      <c r="AU729" s="543"/>
      <c r="AV729" s="543"/>
    </row>
    <row r="730" spans="1:48" s="354" customFormat="1" ht="15" customHeight="1">
      <c r="C730" s="1117"/>
      <c r="D730" s="1117"/>
      <c r="E730" s="1117"/>
      <c r="F730" s="1117"/>
      <c r="G730" s="1117"/>
      <c r="H730" s="1117"/>
      <c r="I730" s="354" t="s">
        <v>4427</v>
      </c>
      <c r="L730" s="354" t="s">
        <v>4508</v>
      </c>
      <c r="M730" s="497"/>
      <c r="N730" s="1119"/>
      <c r="O730" s="1119"/>
      <c r="P730" s="1119"/>
      <c r="Q730" s="1135"/>
      <c r="R730" s="1135"/>
      <c r="S730" s="1135"/>
      <c r="T730" s="496" t="s">
        <v>4518</v>
      </c>
      <c r="Y730" s="497" t="s">
        <v>4508</v>
      </c>
      <c r="AA730" s="1136">
        <f>+AA728</f>
        <v>1</v>
      </c>
      <c r="AB730" s="1136"/>
      <c r="AC730" s="739"/>
      <c r="AD730" s="739"/>
      <c r="AM730" s="496" t="s">
        <v>4426</v>
      </c>
      <c r="AO730" s="1119">
        <f>ROUND(C730*N730*AA730,1)</f>
        <v>0</v>
      </c>
      <c r="AP730" s="1119"/>
      <c r="AQ730" s="1119"/>
      <c r="AR730" s="739"/>
      <c r="AS730" s="739"/>
      <c r="AT730" s="739"/>
      <c r="AU730" s="739"/>
      <c r="AV730" s="739"/>
    </row>
    <row r="731" spans="1:48" s="354" customFormat="1" ht="15" customHeight="1">
      <c r="C731" s="542" t="s">
        <v>4519</v>
      </c>
      <c r="D731" s="543"/>
      <c r="E731" s="543"/>
      <c r="F731" s="543"/>
      <c r="G731" s="543"/>
      <c r="H731" s="543"/>
      <c r="I731" s="543"/>
      <c r="J731" s="543"/>
      <c r="K731" s="543"/>
      <c r="L731" s="543"/>
      <c r="M731" s="543"/>
      <c r="N731" s="543"/>
      <c r="O731" s="543"/>
      <c r="P731" s="543"/>
      <c r="Q731" s="543"/>
      <c r="R731" s="543"/>
      <c r="S731" s="543"/>
      <c r="T731" s="543"/>
      <c r="U731" s="543"/>
      <c r="V731" s="543"/>
      <c r="W731" s="543"/>
      <c r="X731" s="543"/>
      <c r="Y731" s="543"/>
      <c r="Z731" s="543"/>
      <c r="AA731" s="543"/>
      <c r="AB731" s="543"/>
      <c r="AC731" s="543"/>
      <c r="AD731" s="543"/>
      <c r="AE731" s="543"/>
      <c r="AF731" s="543"/>
      <c r="AG731" s="543"/>
      <c r="AH731" s="543"/>
      <c r="AI731" s="543"/>
      <c r="AJ731" s="543"/>
      <c r="AK731" s="543"/>
      <c r="AL731" s="543"/>
      <c r="AM731" s="543"/>
      <c r="AN731" s="543"/>
      <c r="AO731" s="543"/>
      <c r="AP731" s="543"/>
      <c r="AQ731" s="543"/>
      <c r="AR731" s="543"/>
      <c r="AS731" s="543"/>
      <c r="AT731" s="543"/>
      <c r="AU731" s="543"/>
      <c r="AV731" s="543"/>
    </row>
    <row r="732" spans="1:48" s="354" customFormat="1" ht="15" customHeight="1">
      <c r="C732" s="1117"/>
      <c r="D732" s="1117"/>
      <c r="E732" s="1117"/>
      <c r="F732" s="1117"/>
      <c r="G732" s="1117"/>
      <c r="H732" s="1117"/>
      <c r="I732" s="354" t="s">
        <v>4520</v>
      </c>
      <c r="L732" s="354" t="s">
        <v>4508</v>
      </c>
      <c r="M732" s="497"/>
      <c r="N732" s="1119"/>
      <c r="O732" s="1119"/>
      <c r="P732" s="1137"/>
      <c r="Q732" s="739"/>
      <c r="R732" s="739"/>
      <c r="S732" s="739"/>
      <c r="T732" s="496" t="s">
        <v>4511</v>
      </c>
      <c r="Y732" s="497" t="s">
        <v>4508</v>
      </c>
      <c r="AA732" s="1136">
        <f>+AA730</f>
        <v>1</v>
      </c>
      <c r="AB732" s="1136"/>
      <c r="AC732" s="739"/>
      <c r="AD732" s="739"/>
      <c r="AM732" s="496" t="s">
        <v>4426</v>
      </c>
      <c r="AO732" s="1119">
        <f>ROUND(C732*N732*AA732,1)</f>
        <v>0</v>
      </c>
      <c r="AP732" s="1119"/>
      <c r="AQ732" s="1119"/>
      <c r="AR732" s="739"/>
      <c r="AS732" s="739"/>
      <c r="AT732" s="739"/>
      <c r="AU732" s="739"/>
      <c r="AV732" s="739"/>
    </row>
    <row r="733" spans="1:48" s="354" customFormat="1">
      <c r="C733" s="313" t="s">
        <v>4521</v>
      </c>
      <c r="D733" s="398"/>
      <c r="E733" s="398"/>
      <c r="F733" s="398"/>
      <c r="G733" s="398"/>
      <c r="H733" s="398"/>
      <c r="M733" s="497"/>
      <c r="N733" s="545"/>
      <c r="O733" s="545"/>
      <c r="P733" s="546"/>
      <c r="Q733" s="299"/>
      <c r="R733" s="299"/>
      <c r="S733" s="299"/>
      <c r="T733" s="496"/>
      <c r="Y733" s="497"/>
      <c r="AA733" s="544"/>
      <c r="AB733" s="544"/>
      <c r="AC733" s="261"/>
      <c r="AD733" s="261"/>
      <c r="AM733" s="496" t="s">
        <v>4426</v>
      </c>
      <c r="AO733" s="1141">
        <f>ROUND(SUM(AO726:AV732),1)</f>
        <v>0</v>
      </c>
      <c r="AP733" s="1141"/>
      <c r="AQ733" s="1141"/>
      <c r="AR733" s="1142"/>
      <c r="AS733" s="1142"/>
      <c r="AT733" s="1142"/>
      <c r="AU733" s="1142"/>
      <c r="AV733" s="1142"/>
    </row>
    <row r="734" spans="1:48" s="354" customFormat="1">
      <c r="C734" s="398" t="s">
        <v>4522</v>
      </c>
      <c r="D734" s="398"/>
      <c r="E734" s="398"/>
      <c r="F734" s="398"/>
      <c r="G734" s="398"/>
      <c r="H734" s="398"/>
      <c r="M734" s="497"/>
      <c r="N734" s="545"/>
      <c r="O734" s="545"/>
      <c r="P734" s="546"/>
      <c r="Q734" s="299"/>
      <c r="R734" s="299"/>
      <c r="S734" s="299"/>
      <c r="T734" s="496"/>
      <c r="Y734" s="497"/>
      <c r="AA734" s="544"/>
      <c r="AB734" s="544"/>
      <c r="AC734" s="261"/>
      <c r="AD734" s="261"/>
      <c r="AM734" s="496"/>
      <c r="AO734" s="532"/>
      <c r="AP734" s="532"/>
      <c r="AQ734" s="532"/>
      <c r="AR734" s="261"/>
      <c r="AS734" s="261"/>
      <c r="AT734" s="261"/>
      <c r="AU734" s="261"/>
      <c r="AV734" s="261"/>
    </row>
    <row r="735" spans="1:48" s="354" customFormat="1">
      <c r="C735" s="1143">
        <f>+C348</f>
        <v>0</v>
      </c>
      <c r="D735" s="1143"/>
      <c r="E735" s="1143"/>
      <c r="F735" s="1143"/>
      <c r="G735" s="1143"/>
      <c r="H735" s="1143"/>
      <c r="I735" s="1143"/>
      <c r="K735" s="354" t="s">
        <v>4508</v>
      </c>
      <c r="M735" s="497"/>
      <c r="N735" s="545"/>
      <c r="O735" s="545"/>
      <c r="P735" s="546"/>
      <c r="Q735" s="1060">
        <f>+AO733</f>
        <v>0</v>
      </c>
      <c r="R735" s="1060"/>
      <c r="S735" s="1060"/>
      <c r="T735" s="1060"/>
      <c r="U735" s="1060"/>
      <c r="V735" s="1060"/>
      <c r="W735" s="1060"/>
      <c r="X735" s="1060"/>
      <c r="Y735" s="497"/>
      <c r="AA735" s="544"/>
      <c r="AB735" s="544"/>
      <c r="AC735" s="261"/>
      <c r="AD735" s="261"/>
      <c r="AM735" s="496" t="s">
        <v>4426</v>
      </c>
      <c r="AO735" s="1119">
        <f>ROUND(C735*Q735,1)</f>
        <v>0</v>
      </c>
      <c r="AP735" s="1119"/>
      <c r="AQ735" s="1119"/>
      <c r="AR735" s="739"/>
      <c r="AS735" s="739"/>
      <c r="AT735" s="739"/>
      <c r="AU735" s="739"/>
      <c r="AV735" s="739"/>
    </row>
    <row r="736" spans="1:48" s="336" customFormat="1" ht="15" customHeight="1" thickBot="1">
      <c r="C736" s="454" t="str">
        <f>+C724</f>
        <v>VALOR DE LAS OBRAS COMPLEMENTARIAS</v>
      </c>
      <c r="D736" s="455"/>
      <c r="E736" s="455"/>
      <c r="F736" s="455"/>
      <c r="G736" s="456"/>
      <c r="H736" s="457"/>
      <c r="I736" s="458"/>
      <c r="J736" s="459"/>
      <c r="K736" s="460"/>
      <c r="L736" s="456"/>
      <c r="M736" s="456"/>
      <c r="N736" s="456"/>
      <c r="O736" s="456"/>
      <c r="P736" s="456"/>
      <c r="Q736" s="456"/>
      <c r="R736" s="456"/>
      <c r="S736" s="456"/>
      <c r="T736" s="456"/>
      <c r="U736" s="456"/>
      <c r="V736" s="456"/>
      <c r="W736" s="456"/>
      <c r="X736" s="456"/>
      <c r="Y736" s="456"/>
      <c r="Z736" s="456"/>
      <c r="AA736" s="456"/>
      <c r="AB736" s="456"/>
      <c r="AC736" s="456"/>
      <c r="AD736" s="456"/>
      <c r="AE736" s="456"/>
      <c r="AF736" s="456"/>
      <c r="AG736" s="456"/>
      <c r="AH736" s="456"/>
      <c r="AI736" s="456"/>
      <c r="AJ736" s="456"/>
      <c r="AK736" s="456"/>
      <c r="AL736" s="456"/>
      <c r="AM736" s="461" t="s">
        <v>4426</v>
      </c>
      <c r="AN736" s="456"/>
      <c r="AO736" s="1035">
        <f>+AO735</f>
        <v>0</v>
      </c>
      <c r="AP736" s="1035"/>
      <c r="AQ736" s="1035"/>
      <c r="AR736" s="1035"/>
      <c r="AS736" s="1035"/>
      <c r="AT736" s="1035"/>
      <c r="AU736" s="1035"/>
      <c r="AV736" s="1035"/>
    </row>
    <row r="737" spans="1:48" ht="18.75" hidden="1" customHeight="1" thickTop="1">
      <c r="A737" s="891">
        <f>+A724+1</f>
        <v>3</v>
      </c>
      <c r="B737" s="1043"/>
      <c r="C737" s="355" t="s">
        <v>4558</v>
      </c>
    </row>
    <row r="738" spans="1:48" s="354" customFormat="1" ht="15.95" hidden="1" customHeight="1">
      <c r="C738" s="1117">
        <v>1</v>
      </c>
      <c r="D738" s="1117"/>
      <c r="E738" s="1117"/>
      <c r="F738" s="1117"/>
      <c r="G738" s="1117"/>
      <c r="H738" s="1117"/>
      <c r="I738" s="354" t="s">
        <v>4520</v>
      </c>
      <c r="L738" s="354" t="s">
        <v>4508</v>
      </c>
      <c r="M738" s="497"/>
      <c r="N738" s="1119"/>
      <c r="O738" s="1119"/>
      <c r="P738" s="1137"/>
      <c r="Q738" s="739"/>
      <c r="R738" s="739"/>
      <c r="S738" s="739"/>
      <c r="T738" s="496" t="s">
        <v>4511</v>
      </c>
      <c r="Y738" s="497"/>
      <c r="AA738" s="398"/>
      <c r="AB738" s="398"/>
      <c r="AC738" s="261"/>
      <c r="AD738" s="261"/>
      <c r="AM738" s="496" t="s">
        <v>4426</v>
      </c>
      <c r="AO738" s="1119">
        <f>ROUND(C738*N738,1)</f>
        <v>0</v>
      </c>
      <c r="AP738" s="1119"/>
      <c r="AQ738" s="1119"/>
      <c r="AR738" s="739"/>
      <c r="AS738" s="739"/>
      <c r="AT738" s="739"/>
      <c r="AU738" s="739"/>
      <c r="AV738" s="739"/>
    </row>
    <row r="739" spans="1:48" s="336" customFormat="1" ht="15" hidden="1" customHeight="1" thickBot="1">
      <c r="C739" s="454" t="str">
        <f>+C737</f>
        <v>VALOR DEL ESTACIONAMIENTO Nº …</v>
      </c>
      <c r="D739" s="455"/>
      <c r="E739" s="455"/>
      <c r="F739" s="455"/>
      <c r="G739" s="456"/>
      <c r="H739" s="457"/>
      <c r="I739" s="458"/>
      <c r="J739" s="459"/>
      <c r="K739" s="460"/>
      <c r="L739" s="456"/>
      <c r="M739" s="456"/>
      <c r="N739" s="456"/>
      <c r="O739" s="456"/>
      <c r="P739" s="456"/>
      <c r="Q739" s="456"/>
      <c r="R739" s="456"/>
      <c r="S739" s="456"/>
      <c r="T739" s="456"/>
      <c r="U739" s="456"/>
      <c r="V739" s="456"/>
      <c r="W739" s="456"/>
      <c r="X739" s="456"/>
      <c r="Y739" s="456"/>
      <c r="Z739" s="456"/>
      <c r="AA739" s="456"/>
      <c r="AB739" s="456"/>
      <c r="AC739" s="456"/>
      <c r="AD739" s="456"/>
      <c r="AE739" s="456"/>
      <c r="AF739" s="456"/>
      <c r="AG739" s="456"/>
      <c r="AH739" s="456"/>
      <c r="AI739" s="456"/>
      <c r="AJ739" s="456"/>
      <c r="AK739" s="456"/>
      <c r="AL739" s="456"/>
      <c r="AM739" s="461" t="s">
        <v>4426</v>
      </c>
      <c r="AN739" s="456"/>
      <c r="AO739" s="1035">
        <f>ROUND(SUM(AO738:AV738),1)</f>
        <v>0</v>
      </c>
      <c r="AP739" s="1035"/>
      <c r="AQ739" s="1035"/>
      <c r="AR739" s="1035"/>
      <c r="AS739" s="1035"/>
      <c r="AT739" s="1035"/>
      <c r="AU739" s="1035"/>
      <c r="AV739" s="1035"/>
    </row>
    <row r="740" spans="1:48" ht="18.75" hidden="1" customHeight="1" thickTop="1">
      <c r="A740" s="891">
        <f>+A737+1</f>
        <v>4</v>
      </c>
      <c r="B740" s="1043"/>
      <c r="C740" s="355" t="s">
        <v>4559</v>
      </c>
    </row>
    <row r="741" spans="1:48" s="354" customFormat="1" ht="15.95" hidden="1" customHeight="1">
      <c r="C741" s="1117">
        <v>1</v>
      </c>
      <c r="D741" s="1117"/>
      <c r="E741" s="1117"/>
      <c r="F741" s="1117"/>
      <c r="G741" s="1117"/>
      <c r="H741" s="1117"/>
      <c r="I741" s="354" t="s">
        <v>4520</v>
      </c>
      <c r="L741" s="354" t="s">
        <v>4508</v>
      </c>
      <c r="M741" s="497"/>
      <c r="N741" s="1119"/>
      <c r="O741" s="1119"/>
      <c r="P741" s="1137"/>
      <c r="Q741" s="739"/>
      <c r="R741" s="739"/>
      <c r="S741" s="739"/>
      <c r="T741" s="496" t="s">
        <v>4511</v>
      </c>
      <c r="Y741" s="497"/>
      <c r="AA741" s="398"/>
      <c r="AB741" s="398"/>
      <c r="AC741" s="261"/>
      <c r="AD741" s="261"/>
      <c r="AM741" s="496" t="s">
        <v>4426</v>
      </c>
      <c r="AO741" s="1119">
        <f>ROUND(C741*N741,1)</f>
        <v>0</v>
      </c>
      <c r="AP741" s="1119"/>
      <c r="AQ741" s="1119"/>
      <c r="AR741" s="739"/>
      <c r="AS741" s="739"/>
      <c r="AT741" s="739"/>
      <c r="AU741" s="739"/>
      <c r="AV741" s="739"/>
    </row>
    <row r="742" spans="1:48" s="336" customFormat="1" ht="15" hidden="1" customHeight="1" thickBot="1">
      <c r="C742" s="454" t="str">
        <f>+C740</f>
        <v>VALOR DEL DEPOSITO Nº ..</v>
      </c>
      <c r="D742" s="455"/>
      <c r="E742" s="455"/>
      <c r="F742" s="455"/>
      <c r="G742" s="456"/>
      <c r="H742" s="457"/>
      <c r="I742" s="458"/>
      <c r="J742" s="459"/>
      <c r="K742" s="460"/>
      <c r="L742" s="456"/>
      <c r="M742" s="456"/>
      <c r="N742" s="456"/>
      <c r="O742" s="456"/>
      <c r="P742" s="456"/>
      <c r="Q742" s="456"/>
      <c r="R742" s="456"/>
      <c r="S742" s="456"/>
      <c r="T742" s="456"/>
      <c r="U742" s="456"/>
      <c r="V742" s="456"/>
      <c r="W742" s="456"/>
      <c r="X742" s="456"/>
      <c r="Y742" s="456"/>
      <c r="Z742" s="456"/>
      <c r="AA742" s="456"/>
      <c r="AB742" s="456"/>
      <c r="AC742" s="456"/>
      <c r="AD742" s="456"/>
      <c r="AE742" s="456"/>
      <c r="AF742" s="456"/>
      <c r="AG742" s="456"/>
      <c r="AH742" s="456"/>
      <c r="AI742" s="456"/>
      <c r="AJ742" s="456"/>
      <c r="AK742" s="456"/>
      <c r="AL742" s="456"/>
      <c r="AM742" s="461" t="s">
        <v>4426</v>
      </c>
      <c r="AN742" s="456"/>
      <c r="AO742" s="1035">
        <f>ROUND(SUM(AO741:AV741),1)</f>
        <v>0</v>
      </c>
      <c r="AP742" s="1035"/>
      <c r="AQ742" s="1035"/>
      <c r="AR742" s="1036"/>
      <c r="AS742" s="1036"/>
      <c r="AT742" s="1036"/>
      <c r="AU742" s="1036"/>
      <c r="AV742" s="1036"/>
    </row>
    <row r="743" spans="1:48" s="336" customFormat="1" ht="6.75" customHeight="1" thickTop="1">
      <c r="C743" s="470"/>
      <c r="D743" s="323"/>
      <c r="E743" s="323"/>
      <c r="F743" s="323"/>
      <c r="H743" s="471"/>
      <c r="I743" s="472"/>
      <c r="J743" s="473"/>
      <c r="K743" s="474"/>
      <c r="AM743" s="475"/>
      <c r="AO743" s="476"/>
      <c r="AP743" s="476"/>
      <c r="AQ743" s="476"/>
      <c r="AR743" s="323"/>
      <c r="AS743" s="323"/>
      <c r="AT743" s="323"/>
      <c r="AU743" s="323"/>
      <c r="AV743" s="323"/>
    </row>
    <row r="744" spans="1:48" ht="18" customHeight="1">
      <c r="C744" s="1084" t="s">
        <v>4524</v>
      </c>
      <c r="D744" s="1084"/>
      <c r="E744" s="1084"/>
      <c r="F744" s="1084"/>
      <c r="G744" s="1084"/>
      <c r="H744" s="1084"/>
      <c r="I744" s="1084"/>
      <c r="J744" s="1084"/>
      <c r="K744" s="1084"/>
      <c r="L744" s="1084"/>
      <c r="M744" s="1084"/>
      <c r="N744" s="1084"/>
      <c r="O744" s="1084"/>
      <c r="P744" s="1084"/>
      <c r="Q744" s="1084"/>
      <c r="R744" s="1084"/>
      <c r="S744" s="1084"/>
      <c r="T744" s="1084"/>
      <c r="U744" s="1084"/>
      <c r="V744" s="1084"/>
      <c r="W744" s="1084"/>
      <c r="X744" s="1084"/>
      <c r="Y744" s="1084"/>
      <c r="Z744" s="1084"/>
      <c r="AA744" s="1084"/>
      <c r="AB744" s="1084"/>
      <c r="AC744" s="1084"/>
      <c r="AD744" s="1084"/>
      <c r="AE744" s="1084"/>
      <c r="AF744" s="1084"/>
      <c r="AG744" s="1084"/>
      <c r="AH744" s="1084"/>
      <c r="AI744" s="1084"/>
      <c r="AJ744" s="1084"/>
      <c r="AK744" s="1084"/>
      <c r="AL744" s="1084"/>
      <c r="AM744" s="1084"/>
      <c r="AN744" s="1084"/>
      <c r="AO744" s="1084"/>
      <c r="AP744" s="1084"/>
      <c r="AQ744" s="1084"/>
      <c r="AR744" s="1084"/>
      <c r="AS744" s="1084"/>
      <c r="AT744" s="1084"/>
      <c r="AU744" s="1084"/>
      <c r="AV744" s="1084"/>
    </row>
    <row r="745" spans="1:48" ht="12.75" customHeight="1">
      <c r="C745" s="669"/>
      <c r="D745" s="669"/>
      <c r="E745" s="284"/>
      <c r="F745" s="284"/>
      <c r="G745" s="284"/>
      <c r="H745" s="284"/>
      <c r="I745" s="284"/>
      <c r="J745" s="284"/>
      <c r="K745" s="331"/>
      <c r="L745" s="284"/>
      <c r="M745" s="284"/>
      <c r="N745" s="284"/>
      <c r="O745" s="284"/>
      <c r="P745" s="284"/>
      <c r="Q745" s="284"/>
      <c r="R745" s="284"/>
      <c r="S745" s="331" t="str">
        <f>+S10</f>
        <v xml:space="preserve">  INFORME N°26</v>
      </c>
      <c r="T745" s="338"/>
      <c r="U745" s="284"/>
      <c r="V745" s="332"/>
      <c r="W745" s="332"/>
      <c r="X745" s="284"/>
      <c r="Y745" s="284"/>
      <c r="Z745" s="284"/>
      <c r="AA745" s="284"/>
      <c r="AB745" s="670"/>
      <c r="AC745" s="1266">
        <f>+AC711</f>
        <v>0</v>
      </c>
      <c r="AD745" s="1267"/>
      <c r="AE745" s="1267"/>
      <c r="AF745" s="1267"/>
      <c r="AG745" s="1267"/>
      <c r="AH745" s="284"/>
      <c r="AI745" s="284"/>
      <c r="AJ745" s="284"/>
      <c r="AK745" s="284"/>
      <c r="AL745" s="284"/>
      <c r="AM745" s="284"/>
      <c r="AN745" s="284"/>
      <c r="AO745" s="284"/>
      <c r="AP745" s="284"/>
      <c r="AQ745" s="284"/>
      <c r="AR745" s="284"/>
      <c r="AS745" s="284"/>
      <c r="AT745" s="284"/>
      <c r="AU745" s="284"/>
      <c r="AV745" s="284"/>
    </row>
    <row r="746" spans="1:48" s="336" customFormat="1" ht="30" customHeight="1">
      <c r="A746" s="891">
        <v>1</v>
      </c>
      <c r="B746" s="892"/>
      <c r="C746" s="355" t="s">
        <v>4525</v>
      </c>
      <c r="D746" s="261"/>
      <c r="E746" s="261"/>
      <c r="F746" s="261"/>
      <c r="G746" s="261"/>
      <c r="H746" s="261"/>
      <c r="I746" s="261"/>
      <c r="J746" s="261"/>
      <c r="K746" s="261"/>
      <c r="L746" s="261"/>
      <c r="M746" s="261"/>
      <c r="N746" s="261"/>
      <c r="O746" s="261"/>
      <c r="P746" s="261"/>
      <c r="Q746" s="261"/>
      <c r="R746" s="261"/>
      <c r="S746" s="261"/>
      <c r="T746" s="261" t="s">
        <v>4526</v>
      </c>
      <c r="U746" s="261"/>
      <c r="V746" s="261"/>
      <c r="W746" s="261"/>
      <c r="X746" s="261"/>
      <c r="Y746" s="261"/>
      <c r="Z746" s="261"/>
      <c r="AA746" s="261"/>
      <c r="AB746" s="261"/>
      <c r="AC746" s="261"/>
      <c r="AD746" s="261"/>
      <c r="AE746" s="261"/>
      <c r="AF746" s="261"/>
      <c r="AG746" s="261"/>
      <c r="AH746" s="261"/>
      <c r="AI746" s="261"/>
      <c r="AJ746" s="261"/>
      <c r="AK746" s="261"/>
      <c r="AL746" s="261"/>
      <c r="AM746" s="261"/>
      <c r="AN746" s="261"/>
      <c r="AO746" s="261"/>
      <c r="AP746" s="261"/>
      <c r="AQ746" s="261"/>
      <c r="AR746" s="261"/>
      <c r="AS746" s="261"/>
      <c r="AT746" s="261"/>
      <c r="AU746" s="261"/>
      <c r="AV746" s="261"/>
    </row>
    <row r="747" spans="1:48" s="336" customFormat="1" ht="13.5" customHeight="1">
      <c r="A747" s="353"/>
      <c r="B747" s="354"/>
      <c r="C747" s="671" t="str">
        <f t="shared" ref="C747:C752" si="54">+C714</f>
        <v>Primer piso</v>
      </c>
      <c r="D747" s="398"/>
      <c r="E747" s="398"/>
      <c r="F747" s="398"/>
      <c r="G747" s="398"/>
      <c r="H747" s="398"/>
      <c r="I747" s="261"/>
      <c r="J747" s="261"/>
      <c r="K747" s="261"/>
      <c r="L747" s="261"/>
      <c r="M747" s="261"/>
      <c r="N747" s="261"/>
      <c r="O747" s="261"/>
      <c r="P747" s="261"/>
      <c r="Q747" s="261"/>
      <c r="R747" s="261"/>
      <c r="S747" s="261"/>
      <c r="T747" s="261"/>
      <c r="U747" s="261"/>
      <c r="V747" s="261"/>
      <c r="W747" s="261"/>
      <c r="X747" s="261"/>
      <c r="Y747" s="261"/>
      <c r="Z747" s="261"/>
      <c r="AA747" s="261"/>
      <c r="AB747" s="261"/>
      <c r="AC747" s="261"/>
      <c r="AD747" s="261"/>
      <c r="AE747" s="261"/>
      <c r="AF747" s="261"/>
      <c r="AG747" s="261"/>
      <c r="AH747" s="261"/>
      <c r="AI747" s="261"/>
      <c r="AJ747" s="261"/>
      <c r="AK747" s="261"/>
      <c r="AL747" s="261"/>
      <c r="AM747" s="261"/>
      <c r="AN747" s="261"/>
      <c r="AO747" s="261"/>
      <c r="AP747" s="261"/>
      <c r="AQ747" s="261"/>
      <c r="AR747" s="261"/>
      <c r="AS747" s="261"/>
      <c r="AT747" s="261"/>
      <c r="AU747" s="261"/>
      <c r="AV747" s="261"/>
    </row>
    <row r="748" spans="1:48" s="336" customFormat="1" ht="15.95" customHeight="1">
      <c r="A748" s="354"/>
      <c r="B748" s="354"/>
      <c r="C748" s="1117">
        <f t="shared" si="54"/>
        <v>0</v>
      </c>
      <c r="D748" s="1117"/>
      <c r="E748" s="1117"/>
      <c r="F748" s="1117"/>
      <c r="G748" s="1117"/>
      <c r="H748" s="1117"/>
      <c r="I748" s="398"/>
      <c r="J748" s="354" t="s">
        <v>10</v>
      </c>
      <c r="K748" s="354"/>
      <c r="L748" s="354"/>
      <c r="M748" s="354" t="s">
        <v>4508</v>
      </c>
      <c r="N748" s="497"/>
      <c r="O748" s="1119">
        <f>+N715</f>
        <v>0</v>
      </c>
      <c r="P748" s="1119"/>
      <c r="Q748" s="1137"/>
      <c r="R748" s="739"/>
      <c r="S748" s="739"/>
      <c r="T748" s="739"/>
      <c r="U748" s="496" t="s">
        <v>4509</v>
      </c>
      <c r="V748" s="354"/>
      <c r="W748" s="354"/>
      <c r="X748" s="354"/>
      <c r="Y748" s="354"/>
      <c r="Z748" s="497"/>
      <c r="AA748" s="354"/>
      <c r="AB748" s="1136"/>
      <c r="AC748" s="1136"/>
      <c r="AD748" s="739"/>
      <c r="AE748" s="739"/>
      <c r="AF748" s="354"/>
      <c r="AG748" s="354"/>
      <c r="AH748" s="354"/>
      <c r="AI748" s="354"/>
      <c r="AJ748" s="354"/>
      <c r="AK748" s="354"/>
      <c r="AL748" s="354"/>
      <c r="AM748" s="496" t="s">
        <v>4426</v>
      </c>
      <c r="AN748" s="496"/>
      <c r="AO748" s="1060">
        <f>ROUND(C748*O748,1)</f>
        <v>0</v>
      </c>
      <c r="AP748" s="1060"/>
      <c r="AQ748" s="1060"/>
      <c r="AR748" s="1060"/>
      <c r="AS748" s="1060"/>
      <c r="AT748" s="1060"/>
      <c r="AU748" s="1060"/>
      <c r="AV748" s="1060"/>
    </row>
    <row r="749" spans="1:48" s="336" customFormat="1" ht="13.5" customHeight="1">
      <c r="A749" s="353"/>
      <c r="B749" s="354"/>
      <c r="C749" s="671" t="str">
        <f t="shared" si="54"/>
        <v>Segundo piso</v>
      </c>
      <c r="D749" s="398"/>
      <c r="E749" s="398"/>
      <c r="F749" s="398"/>
      <c r="G749" s="398"/>
      <c r="H749" s="398"/>
      <c r="I749" s="261"/>
      <c r="J749" s="261"/>
      <c r="K749" s="261"/>
      <c r="L749" s="261"/>
      <c r="M749" s="261"/>
      <c r="N749" s="261"/>
      <c r="O749" s="261"/>
      <c r="P749" s="261"/>
      <c r="Q749" s="261"/>
      <c r="R749" s="261"/>
      <c r="S749" s="261"/>
      <c r="T749" s="261"/>
      <c r="U749" s="261"/>
      <c r="V749" s="261"/>
      <c r="W749" s="261"/>
      <c r="X749" s="261"/>
      <c r="Y749" s="261"/>
      <c r="Z749" s="261"/>
      <c r="AA749" s="261"/>
      <c r="AB749" s="261"/>
      <c r="AC749" s="261"/>
      <c r="AD749" s="261"/>
      <c r="AE749" s="261"/>
      <c r="AF749" s="261"/>
      <c r="AG749" s="261"/>
      <c r="AH749" s="261"/>
      <c r="AI749" s="261"/>
      <c r="AJ749" s="261"/>
      <c r="AK749" s="261"/>
      <c r="AL749" s="261"/>
      <c r="AM749" s="261"/>
      <c r="AN749" s="261"/>
      <c r="AO749" s="261"/>
      <c r="AP749" s="261"/>
      <c r="AQ749" s="261"/>
      <c r="AR749" s="261"/>
      <c r="AS749" s="261"/>
      <c r="AT749" s="261"/>
      <c r="AU749" s="261"/>
      <c r="AV749" s="261"/>
    </row>
    <row r="750" spans="1:48" s="336" customFormat="1" ht="15.95" customHeight="1">
      <c r="A750" s="354"/>
      <c r="B750" s="354"/>
      <c r="C750" s="1117">
        <f t="shared" si="54"/>
        <v>0</v>
      </c>
      <c r="D750" s="1117"/>
      <c r="E750" s="1117"/>
      <c r="F750" s="1117"/>
      <c r="G750" s="1117"/>
      <c r="H750" s="1117"/>
      <c r="I750" s="398"/>
      <c r="J750" s="354" t="s">
        <v>10</v>
      </c>
      <c r="K750" s="354"/>
      <c r="L750" s="354"/>
      <c r="M750" s="354" t="s">
        <v>4508</v>
      </c>
      <c r="N750" s="497"/>
      <c r="O750" s="1119">
        <f>+N717</f>
        <v>0</v>
      </c>
      <c r="P750" s="1119"/>
      <c r="Q750" s="1137"/>
      <c r="R750" s="739"/>
      <c r="S750" s="739"/>
      <c r="T750" s="739"/>
      <c r="U750" s="496" t="s">
        <v>4509</v>
      </c>
      <c r="V750" s="354"/>
      <c r="W750" s="354"/>
      <c r="X750" s="354"/>
      <c r="Y750" s="354"/>
      <c r="Z750" s="497"/>
      <c r="AA750" s="354"/>
      <c r="AB750" s="1136"/>
      <c r="AC750" s="1136"/>
      <c r="AD750" s="739"/>
      <c r="AE750" s="739"/>
      <c r="AF750" s="354"/>
      <c r="AG750" s="354"/>
      <c r="AH750" s="354"/>
      <c r="AI750" s="354"/>
      <c r="AJ750" s="354"/>
      <c r="AK750" s="354"/>
      <c r="AL750" s="354"/>
      <c r="AM750" s="496" t="s">
        <v>4426</v>
      </c>
      <c r="AN750" s="496"/>
      <c r="AO750" s="1060">
        <f>ROUND(C750*O750,1)</f>
        <v>0</v>
      </c>
      <c r="AP750" s="1060"/>
      <c r="AQ750" s="1060"/>
      <c r="AR750" s="1060"/>
      <c r="AS750" s="1060"/>
      <c r="AT750" s="1060"/>
      <c r="AU750" s="1060"/>
      <c r="AV750" s="1060"/>
    </row>
    <row r="751" spans="1:48" s="336" customFormat="1" ht="13.5" customHeight="1">
      <c r="A751" s="353"/>
      <c r="B751" s="354"/>
      <c r="C751" s="671" t="str">
        <f t="shared" si="54"/>
        <v>Tercer piso</v>
      </c>
      <c r="D751" s="398"/>
      <c r="E751" s="398"/>
      <c r="F751" s="398"/>
      <c r="G751" s="398"/>
      <c r="H751" s="398"/>
      <c r="I751" s="261"/>
      <c r="J751" s="261"/>
      <c r="K751" s="261"/>
      <c r="L751" s="261"/>
      <c r="M751" s="261"/>
      <c r="N751" s="261"/>
      <c r="O751" s="261"/>
      <c r="P751" s="261"/>
      <c r="Q751" s="261"/>
      <c r="R751" s="261"/>
      <c r="S751" s="261"/>
      <c r="T751" s="261"/>
      <c r="U751" s="261"/>
      <c r="V751" s="261"/>
      <c r="W751" s="261"/>
      <c r="X751" s="261"/>
      <c r="Y751" s="261"/>
      <c r="Z751" s="261"/>
      <c r="AA751" s="261"/>
      <c r="AB751" s="261"/>
      <c r="AC751" s="261"/>
      <c r="AD751" s="261"/>
      <c r="AE751" s="261"/>
      <c r="AF751" s="261"/>
      <c r="AG751" s="261"/>
      <c r="AH751" s="261"/>
      <c r="AI751" s="261"/>
      <c r="AJ751" s="261"/>
      <c r="AK751" s="261"/>
      <c r="AL751" s="261"/>
      <c r="AM751" s="261"/>
      <c r="AN751" s="261"/>
      <c r="AO751" s="261"/>
      <c r="AP751" s="261"/>
      <c r="AQ751" s="261"/>
      <c r="AR751" s="261"/>
      <c r="AS751" s="261"/>
      <c r="AT751" s="261"/>
      <c r="AU751" s="261"/>
      <c r="AV751" s="261"/>
    </row>
    <row r="752" spans="1:48" s="336" customFormat="1" ht="15.95" customHeight="1">
      <c r="A752" s="354"/>
      <c r="B752" s="354"/>
      <c r="C752" s="1117">
        <f t="shared" si="54"/>
        <v>0</v>
      </c>
      <c r="D752" s="1117"/>
      <c r="E752" s="1117"/>
      <c r="F752" s="1117"/>
      <c r="G752" s="1117"/>
      <c r="H752" s="1117"/>
      <c r="I752" s="398"/>
      <c r="J752" s="354" t="s">
        <v>10</v>
      </c>
      <c r="K752" s="354"/>
      <c r="L752" s="354"/>
      <c r="M752" s="354" t="s">
        <v>4508</v>
      </c>
      <c r="N752" s="497"/>
      <c r="O752" s="1119">
        <f>+N719</f>
        <v>0</v>
      </c>
      <c r="P752" s="1119"/>
      <c r="Q752" s="1137"/>
      <c r="R752" s="739"/>
      <c r="S752" s="739"/>
      <c r="T752" s="739"/>
      <c r="U752" s="496" t="s">
        <v>4509</v>
      </c>
      <c r="V752" s="354"/>
      <c r="W752" s="354"/>
      <c r="X752" s="354"/>
      <c r="Y752" s="354"/>
      <c r="Z752" s="497"/>
      <c r="AA752" s="354"/>
      <c r="AB752" s="1136"/>
      <c r="AC752" s="1136"/>
      <c r="AD752" s="739"/>
      <c r="AE752" s="739"/>
      <c r="AF752" s="354"/>
      <c r="AG752" s="354"/>
      <c r="AH752" s="354"/>
      <c r="AI752" s="354"/>
      <c r="AJ752" s="354"/>
      <c r="AK752" s="354"/>
      <c r="AL752" s="354"/>
      <c r="AM752" s="496" t="s">
        <v>4426</v>
      </c>
      <c r="AN752" s="496"/>
      <c r="AO752" s="1060">
        <f>ROUND(C752*O752,1)</f>
        <v>0</v>
      </c>
      <c r="AP752" s="1060"/>
      <c r="AQ752" s="1060"/>
      <c r="AR752" s="1060"/>
      <c r="AS752" s="1060"/>
      <c r="AT752" s="1060"/>
      <c r="AU752" s="1060"/>
      <c r="AV752" s="1060"/>
    </row>
    <row r="753" spans="1:48" s="336" customFormat="1" ht="15" customHeight="1" thickBot="1">
      <c r="A753" s="354"/>
      <c r="B753" s="354"/>
      <c r="C753" s="487" t="str">
        <f>+C746</f>
        <v>VALOR  DE LA EDIFICACIÓN</v>
      </c>
      <c r="D753" s="488"/>
      <c r="E753" s="488"/>
      <c r="F753" s="488"/>
      <c r="G753" s="489"/>
      <c r="H753" s="490"/>
      <c r="I753" s="490"/>
      <c r="J753" s="491"/>
      <c r="K753" s="492"/>
      <c r="L753" s="493"/>
      <c r="M753" s="489"/>
      <c r="N753" s="489"/>
      <c r="O753" s="489"/>
      <c r="P753" s="489"/>
      <c r="Q753" s="489"/>
      <c r="R753" s="489"/>
      <c r="S753" s="489"/>
      <c r="T753" s="489"/>
      <c r="U753" s="489"/>
      <c r="V753" s="489"/>
      <c r="W753" s="489"/>
      <c r="X753" s="489"/>
      <c r="Y753" s="489"/>
      <c r="Z753" s="489"/>
      <c r="AA753" s="489"/>
      <c r="AB753" s="489"/>
      <c r="AC753" s="489"/>
      <c r="AD753" s="489"/>
      <c r="AE753" s="489"/>
      <c r="AF753" s="489"/>
      <c r="AG753" s="489"/>
      <c r="AH753" s="489"/>
      <c r="AI753" s="489"/>
      <c r="AJ753" s="489"/>
      <c r="AK753" s="489"/>
      <c r="AL753" s="489"/>
      <c r="AM753" s="494" t="s">
        <v>4426</v>
      </c>
      <c r="AN753" s="494"/>
      <c r="AO753" s="1052">
        <f>ROUND(SUM(AO748:AV752),1)</f>
        <v>0</v>
      </c>
      <c r="AP753" s="1052"/>
      <c r="AQ753" s="1052"/>
      <c r="AR753" s="1052"/>
      <c r="AS753" s="1052"/>
      <c r="AT753" s="1052"/>
      <c r="AU753" s="1052"/>
      <c r="AV753" s="1052"/>
    </row>
    <row r="754" spans="1:48" s="336" customFormat="1" ht="24" hidden="1" customHeight="1" thickTop="1">
      <c r="A754" s="891">
        <v>3</v>
      </c>
      <c r="B754" s="892"/>
      <c r="C754" s="355" t="s">
        <v>4510</v>
      </c>
      <c r="D754" s="261"/>
      <c r="E754" s="261"/>
      <c r="F754" s="261"/>
      <c r="G754" s="261"/>
      <c r="H754" s="261"/>
      <c r="I754" s="261"/>
      <c r="J754" s="261"/>
      <c r="K754" s="261"/>
      <c r="L754" s="261"/>
      <c r="M754" s="261"/>
      <c r="N754" s="261"/>
      <c r="O754" s="261"/>
      <c r="P754" s="261"/>
      <c r="Q754" s="261"/>
      <c r="R754" s="261"/>
      <c r="S754" s="261"/>
      <c r="T754" s="261"/>
      <c r="U754" s="261"/>
      <c r="V754" s="261"/>
      <c r="W754" s="261"/>
      <c r="X754" s="261"/>
      <c r="Y754" s="261"/>
      <c r="Z754" s="261"/>
      <c r="AA754" s="261"/>
      <c r="AB754" s="261"/>
      <c r="AC754" s="261"/>
      <c r="AD754" s="261"/>
      <c r="AE754" s="261"/>
      <c r="AF754" s="261"/>
      <c r="AG754" s="261"/>
      <c r="AH754" s="261"/>
      <c r="AI754" s="261"/>
      <c r="AJ754" s="261"/>
      <c r="AK754" s="261"/>
      <c r="AL754" s="261"/>
      <c r="AM754" s="261"/>
      <c r="AN754" s="261"/>
      <c r="AO754" s="261"/>
      <c r="AP754" s="261"/>
      <c r="AQ754" s="261"/>
      <c r="AR754" s="261"/>
      <c r="AS754" s="261"/>
      <c r="AT754" s="261"/>
      <c r="AU754" s="261"/>
      <c r="AV754" s="261"/>
    </row>
    <row r="755" spans="1:48" s="354" customFormat="1" ht="15.95" hidden="1" customHeight="1">
      <c r="C755" s="1059">
        <f>+C722</f>
        <v>0</v>
      </c>
      <c r="D755" s="1059"/>
      <c r="E755" s="1059"/>
      <c r="F755" s="1059"/>
      <c r="G755" s="1059"/>
      <c r="H755" s="1059"/>
      <c r="I755" s="354" t="s">
        <v>4520</v>
      </c>
      <c r="L755" s="354" t="s">
        <v>4508</v>
      </c>
      <c r="M755" s="1060">
        <f>+AO753</f>
        <v>0</v>
      </c>
      <c r="N755" s="1060"/>
      <c r="O755" s="1060"/>
      <c r="P755" s="1060"/>
      <c r="Q755" s="1060"/>
      <c r="R755" s="1060"/>
      <c r="S755" s="1060"/>
      <c r="T755" s="496" t="s">
        <v>4511</v>
      </c>
      <c r="Y755" s="497"/>
      <c r="AA755" s="398"/>
      <c r="AB755" s="398"/>
      <c r="AC755" s="261"/>
      <c r="AD755" s="261"/>
      <c r="AM755" s="496" t="s">
        <v>4426</v>
      </c>
      <c r="AN755" s="496"/>
      <c r="AO755" s="1060">
        <f>ROUND(C755*M755,1)</f>
        <v>0</v>
      </c>
      <c r="AP755" s="1060"/>
      <c r="AQ755" s="1060"/>
      <c r="AR755" s="1060"/>
      <c r="AS755" s="1060"/>
      <c r="AT755" s="1060"/>
      <c r="AU755" s="1060"/>
      <c r="AV755" s="1060"/>
    </row>
    <row r="756" spans="1:48" s="336" customFormat="1" ht="14.25" hidden="1" thickBot="1">
      <c r="A756" s="354"/>
      <c r="B756" s="354"/>
      <c r="C756" s="487" t="str">
        <f>+C754</f>
        <v>VALOR DE LAS AREAS COMUNES</v>
      </c>
      <c r="D756" s="488"/>
      <c r="E756" s="488"/>
      <c r="F756" s="488"/>
      <c r="G756" s="489"/>
      <c r="H756" s="490"/>
      <c r="I756" s="490"/>
      <c r="J756" s="491"/>
      <c r="K756" s="492"/>
      <c r="L756" s="493"/>
      <c r="M756" s="489"/>
      <c r="N756" s="489"/>
      <c r="O756" s="489"/>
      <c r="P756" s="489"/>
      <c r="Q756" s="489"/>
      <c r="R756" s="489"/>
      <c r="S756" s="489"/>
      <c r="T756" s="489"/>
      <c r="U756" s="489"/>
      <c r="V756" s="489"/>
      <c r="W756" s="489"/>
      <c r="X756" s="489"/>
      <c r="Y756" s="489"/>
      <c r="Z756" s="489"/>
      <c r="AA756" s="489"/>
      <c r="AB756" s="489"/>
      <c r="AC756" s="489"/>
      <c r="AD756" s="489"/>
      <c r="AE756" s="489"/>
      <c r="AF756" s="489"/>
      <c r="AG756" s="489"/>
      <c r="AH756" s="489"/>
      <c r="AI756" s="489"/>
      <c r="AJ756" s="489"/>
      <c r="AK756" s="489"/>
      <c r="AL756" s="489"/>
      <c r="AM756" s="494" t="s">
        <v>4426</v>
      </c>
      <c r="AN756" s="494"/>
      <c r="AO756" s="1052">
        <f>ROUND(AO755,1)</f>
        <v>0</v>
      </c>
      <c r="AP756" s="1052"/>
      <c r="AQ756" s="1052"/>
      <c r="AR756" s="1052"/>
      <c r="AS756" s="1052"/>
      <c r="AT756" s="1052"/>
      <c r="AU756" s="1052"/>
      <c r="AV756" s="1052"/>
    </row>
    <row r="757" spans="1:48" s="336" customFormat="1" ht="27.95" customHeight="1" thickTop="1">
      <c r="A757" s="891">
        <f>1+A746</f>
        <v>2</v>
      </c>
      <c r="B757" s="892"/>
      <c r="C757" s="355" t="s">
        <v>4527</v>
      </c>
      <c r="D757" s="261"/>
      <c r="E757" s="261"/>
      <c r="F757" s="261"/>
      <c r="G757" s="261"/>
      <c r="H757" s="261"/>
      <c r="I757" s="261"/>
      <c r="J757" s="261"/>
      <c r="K757" s="261"/>
      <c r="L757" s="261"/>
      <c r="M757" s="261"/>
      <c r="N757" s="261"/>
      <c r="O757" s="261"/>
      <c r="P757" s="261"/>
      <c r="Q757" s="261"/>
      <c r="R757" s="261"/>
      <c r="S757" s="261"/>
      <c r="T757" s="261"/>
      <c r="U757" s="261"/>
      <c r="V757" s="261"/>
      <c r="W757" s="261"/>
      <c r="X757" s="261"/>
      <c r="Y757" s="261"/>
      <c r="Z757" s="261"/>
      <c r="AA757" s="261"/>
      <c r="AB757" s="261"/>
      <c r="AC757" s="261"/>
      <c r="AD757" s="261"/>
      <c r="AE757" s="261"/>
      <c r="AF757" s="261"/>
      <c r="AG757" s="261"/>
      <c r="AH757" s="261"/>
      <c r="AI757" s="261"/>
      <c r="AJ757" s="261"/>
      <c r="AK757" s="261"/>
      <c r="AL757" s="261"/>
      <c r="AM757" s="261"/>
      <c r="AN757" s="261"/>
      <c r="AO757" s="261"/>
      <c r="AP757" s="261"/>
      <c r="AQ757" s="261"/>
      <c r="AR757" s="261"/>
      <c r="AS757" s="261"/>
      <c r="AT757" s="261"/>
      <c r="AU757" s="261"/>
      <c r="AV757" s="261"/>
    </row>
    <row r="758" spans="1:48" s="336" customFormat="1" ht="15" customHeight="1">
      <c r="A758" s="354"/>
      <c r="B758" s="354"/>
      <c r="C758" s="542" t="str">
        <f t="shared" ref="C758:C765" si="55">+C725</f>
        <v>a) Cisterna (estimado):</v>
      </c>
      <c r="D758" s="543"/>
      <c r="E758" s="543"/>
      <c r="F758" s="543"/>
      <c r="G758" s="543"/>
      <c r="H758" s="543"/>
      <c r="I758" s="543"/>
      <c r="J758" s="543"/>
      <c r="K758" s="543"/>
      <c r="L758" s="543"/>
      <c r="M758" s="543"/>
      <c r="N758" s="543"/>
      <c r="O758" s="543"/>
      <c r="P758" s="543"/>
      <c r="Q758" s="543"/>
      <c r="R758" s="543"/>
      <c r="S758" s="543"/>
      <c r="T758" s="543"/>
      <c r="U758" s="543"/>
      <c r="V758" s="543"/>
      <c r="W758" s="543"/>
      <c r="X758" s="543"/>
      <c r="Y758" s="543"/>
      <c r="Z758" s="543"/>
      <c r="AA758" s="543"/>
      <c r="AB758" s="543"/>
      <c r="AC758" s="543"/>
      <c r="AD758" s="543"/>
      <c r="AE758" s="543"/>
      <c r="AF758" s="543"/>
      <c r="AG758" s="543"/>
      <c r="AH758" s="543"/>
      <c r="AI758" s="543"/>
      <c r="AJ758" s="543"/>
      <c r="AK758" s="543"/>
      <c r="AL758" s="543"/>
      <c r="AM758" s="543"/>
      <c r="AN758" s="543"/>
      <c r="AO758" s="543"/>
      <c r="AP758" s="543"/>
      <c r="AQ758" s="543"/>
      <c r="AR758" s="543"/>
      <c r="AS758" s="543"/>
      <c r="AT758" s="543"/>
      <c r="AU758" s="543"/>
      <c r="AV758" s="543"/>
    </row>
    <row r="759" spans="1:48" s="336" customFormat="1" ht="15" customHeight="1">
      <c r="A759" s="354"/>
      <c r="B759" s="354"/>
      <c r="C759" s="1117">
        <f t="shared" si="55"/>
        <v>0</v>
      </c>
      <c r="D759" s="1117"/>
      <c r="E759" s="1117"/>
      <c r="F759" s="1117"/>
      <c r="G759" s="1117"/>
      <c r="H759" s="1117"/>
      <c r="I759" s="398" t="str">
        <f>+I726</f>
        <v>m3</v>
      </c>
      <c r="J759" s="354"/>
      <c r="K759" s="354"/>
      <c r="L759" s="354"/>
      <c r="M759" s="354" t="s">
        <v>4508</v>
      </c>
      <c r="N759" s="1060">
        <f>+N726</f>
        <v>0</v>
      </c>
      <c r="O759" s="1060"/>
      <c r="P759" s="1060"/>
      <c r="Q759" s="1060"/>
      <c r="R759" s="1060"/>
      <c r="S759" s="1060"/>
      <c r="T759" s="1060"/>
      <c r="U759" s="496" t="str">
        <f>+T726</f>
        <v>/m3</v>
      </c>
      <c r="V759" s="354"/>
      <c r="W759" s="354"/>
      <c r="X759" s="354"/>
      <c r="Y759" s="354"/>
      <c r="Z759" s="497"/>
      <c r="AA759" s="354"/>
      <c r="AB759" s="1136"/>
      <c r="AC759" s="1136"/>
      <c r="AD759" s="739"/>
      <c r="AE759" s="739"/>
      <c r="AF759" s="354"/>
      <c r="AG759" s="354"/>
      <c r="AH759" s="354"/>
      <c r="AI759" s="354"/>
      <c r="AJ759" s="354"/>
      <c r="AK759" s="354"/>
      <c r="AL759" s="354"/>
      <c r="AM759" s="496" t="s">
        <v>4426</v>
      </c>
      <c r="AN759" s="496"/>
      <c r="AO759" s="1060">
        <f>ROUND(C759*N759,1)</f>
        <v>0</v>
      </c>
      <c r="AP759" s="1060"/>
      <c r="AQ759" s="1060"/>
      <c r="AR759" s="1060"/>
      <c r="AS759" s="1060"/>
      <c r="AT759" s="1060"/>
      <c r="AU759" s="1060"/>
      <c r="AV759" s="1060"/>
    </row>
    <row r="760" spans="1:48" s="336" customFormat="1" ht="15" customHeight="1">
      <c r="A760" s="354"/>
      <c r="B760" s="354"/>
      <c r="C760" s="542" t="str">
        <f t="shared" si="55"/>
        <v>b) Tanque elevado (estimado):</v>
      </c>
      <c r="D760" s="543"/>
      <c r="E760" s="543"/>
      <c r="F760" s="543"/>
      <c r="G760" s="543"/>
      <c r="H760" s="543"/>
      <c r="I760" s="543"/>
      <c r="J760" s="543"/>
      <c r="K760" s="543"/>
      <c r="L760" s="543"/>
      <c r="M760" s="543"/>
      <c r="N760" s="543"/>
      <c r="O760" s="543"/>
      <c r="P760" s="543"/>
      <c r="Q760" s="543"/>
      <c r="R760" s="543"/>
      <c r="S760" s="543"/>
      <c r="T760" s="543"/>
      <c r="U760" s="543"/>
      <c r="V760" s="543"/>
      <c r="W760" s="543"/>
      <c r="X760" s="543"/>
      <c r="Y760" s="543"/>
      <c r="Z760" s="543"/>
      <c r="AA760" s="543"/>
      <c r="AB760" s="543"/>
      <c r="AC760" s="543"/>
      <c r="AD760" s="543"/>
      <c r="AE760" s="543"/>
      <c r="AF760" s="543"/>
      <c r="AG760" s="543"/>
      <c r="AH760" s="543"/>
      <c r="AI760" s="543"/>
      <c r="AJ760" s="543"/>
      <c r="AK760" s="543"/>
      <c r="AL760" s="543"/>
      <c r="AM760" s="543"/>
      <c r="AN760" s="543"/>
      <c r="AO760" s="543"/>
      <c r="AP760" s="543"/>
      <c r="AQ760" s="543"/>
      <c r="AR760" s="543"/>
      <c r="AS760" s="543"/>
      <c r="AT760" s="543"/>
      <c r="AU760" s="543"/>
      <c r="AV760" s="543"/>
    </row>
    <row r="761" spans="1:48" s="336" customFormat="1" ht="15" customHeight="1">
      <c r="A761" s="354"/>
      <c r="B761" s="354"/>
      <c r="C761" s="1117">
        <f t="shared" si="55"/>
        <v>0</v>
      </c>
      <c r="D761" s="1117"/>
      <c r="E761" s="1117"/>
      <c r="F761" s="1117"/>
      <c r="G761" s="1117"/>
      <c r="H761" s="1117"/>
      <c r="I761" s="398" t="str">
        <f>+I728</f>
        <v>m3</v>
      </c>
      <c r="J761" s="354"/>
      <c r="K761" s="354"/>
      <c r="L761" s="354"/>
      <c r="M761" s="354" t="s">
        <v>4508</v>
      </c>
      <c r="N761" s="1060">
        <f>+N728</f>
        <v>0</v>
      </c>
      <c r="O761" s="1060"/>
      <c r="P761" s="1060"/>
      <c r="Q761" s="1060"/>
      <c r="R761" s="1060"/>
      <c r="S761" s="1060"/>
      <c r="T761" s="1060"/>
      <c r="U761" s="496" t="str">
        <f>+T728</f>
        <v>/m3</v>
      </c>
      <c r="V761" s="354"/>
      <c r="W761" s="354"/>
      <c r="X761" s="354"/>
      <c r="Y761" s="354"/>
      <c r="Z761" s="497"/>
      <c r="AA761" s="354"/>
      <c r="AB761" s="1136"/>
      <c r="AC761" s="1136"/>
      <c r="AD761" s="739"/>
      <c r="AE761" s="739"/>
      <c r="AF761" s="354"/>
      <c r="AG761" s="354"/>
      <c r="AH761" s="354"/>
      <c r="AI761" s="354"/>
      <c r="AJ761" s="354"/>
      <c r="AK761" s="354"/>
      <c r="AL761" s="354"/>
      <c r="AM761" s="496" t="s">
        <v>4426</v>
      </c>
      <c r="AN761" s="496"/>
      <c r="AO761" s="1060">
        <f>ROUND(C761*N761,1)</f>
        <v>0</v>
      </c>
      <c r="AP761" s="1060"/>
      <c r="AQ761" s="1060"/>
      <c r="AR761" s="1060"/>
      <c r="AS761" s="1060"/>
      <c r="AT761" s="1060"/>
      <c r="AU761" s="1060"/>
      <c r="AV761" s="1060"/>
    </row>
    <row r="762" spans="1:48" s="336" customFormat="1" ht="15" customHeight="1">
      <c r="A762" s="354"/>
      <c r="B762" s="354"/>
      <c r="C762" s="542" t="str">
        <f t="shared" si="55"/>
        <v>c) Cerco Perimétrico (estimado):</v>
      </c>
      <c r="D762" s="543"/>
      <c r="E762" s="543"/>
      <c r="F762" s="543"/>
      <c r="G762" s="543"/>
      <c r="H762" s="543"/>
      <c r="I762" s="543"/>
      <c r="J762" s="543"/>
      <c r="K762" s="543"/>
      <c r="L762" s="543"/>
      <c r="M762" s="543"/>
      <c r="N762" s="543"/>
      <c r="O762" s="543"/>
      <c r="P762" s="543"/>
      <c r="Q762" s="543"/>
      <c r="R762" s="543"/>
      <c r="S762" s="543"/>
      <c r="T762" s="543"/>
      <c r="U762" s="543"/>
      <c r="V762" s="543"/>
      <c r="W762" s="543"/>
      <c r="X762" s="543"/>
      <c r="Y762" s="543"/>
      <c r="Z762" s="543"/>
      <c r="AA762" s="543"/>
      <c r="AB762" s="543"/>
      <c r="AC762" s="543"/>
      <c r="AD762" s="543"/>
      <c r="AE762" s="543"/>
      <c r="AF762" s="543"/>
      <c r="AG762" s="543"/>
      <c r="AH762" s="543"/>
      <c r="AI762" s="543"/>
      <c r="AJ762" s="543"/>
      <c r="AK762" s="543"/>
      <c r="AL762" s="543"/>
      <c r="AM762" s="543"/>
      <c r="AN762" s="543"/>
      <c r="AO762" s="543"/>
      <c r="AP762" s="543"/>
      <c r="AQ762" s="543"/>
      <c r="AR762" s="543"/>
      <c r="AS762" s="543"/>
      <c r="AT762" s="543"/>
      <c r="AU762" s="543"/>
      <c r="AV762" s="543"/>
    </row>
    <row r="763" spans="1:48" s="336" customFormat="1" ht="15" customHeight="1">
      <c r="A763" s="354"/>
      <c r="B763" s="354"/>
      <c r="C763" s="1117">
        <f t="shared" si="55"/>
        <v>0</v>
      </c>
      <c r="D763" s="1117"/>
      <c r="E763" s="1117"/>
      <c r="F763" s="1117"/>
      <c r="G763" s="1117"/>
      <c r="H763" s="1117"/>
      <c r="I763" s="398" t="str">
        <f>+I730</f>
        <v>ml</v>
      </c>
      <c r="J763" s="354"/>
      <c r="K763" s="354"/>
      <c r="L763" s="354"/>
      <c r="M763" s="354" t="s">
        <v>4508</v>
      </c>
      <c r="N763" s="1060">
        <f>+N730</f>
        <v>0</v>
      </c>
      <c r="O763" s="1060"/>
      <c r="P763" s="1060"/>
      <c r="Q763" s="1060"/>
      <c r="R763" s="1060"/>
      <c r="S763" s="1060"/>
      <c r="T763" s="1060"/>
      <c r="U763" s="496" t="str">
        <f>+T730</f>
        <v>/ml</v>
      </c>
      <c r="V763" s="354"/>
      <c r="W763" s="354"/>
      <c r="X763" s="354"/>
      <c r="Y763" s="354"/>
      <c r="Z763" s="497"/>
      <c r="AA763" s="354"/>
      <c r="AB763" s="1136"/>
      <c r="AC763" s="1136"/>
      <c r="AD763" s="739"/>
      <c r="AE763" s="739"/>
      <c r="AF763" s="354"/>
      <c r="AG763" s="354"/>
      <c r="AH763" s="354"/>
      <c r="AI763" s="354"/>
      <c r="AJ763" s="354"/>
      <c r="AK763" s="354"/>
      <c r="AL763" s="354"/>
      <c r="AM763" s="496" t="s">
        <v>4426</v>
      </c>
      <c r="AN763" s="496"/>
      <c r="AO763" s="1060">
        <f>ROUND(C763*N763,1)</f>
        <v>0</v>
      </c>
      <c r="AP763" s="1060"/>
      <c r="AQ763" s="1060"/>
      <c r="AR763" s="1060"/>
      <c r="AS763" s="1060"/>
      <c r="AT763" s="1060"/>
      <c r="AU763" s="1060"/>
      <c r="AV763" s="1060"/>
    </row>
    <row r="764" spans="1:48" s="336" customFormat="1" ht="15" customHeight="1">
      <c r="A764" s="354"/>
      <c r="B764" s="354"/>
      <c r="C764" s="542" t="str">
        <f t="shared" si="55"/>
        <v>d) Ascensor (estimado):</v>
      </c>
      <c r="D764" s="543"/>
      <c r="E764" s="543"/>
      <c r="F764" s="543"/>
      <c r="G764" s="543"/>
      <c r="H764" s="543"/>
      <c r="I764" s="543"/>
      <c r="J764" s="543"/>
      <c r="K764" s="543"/>
      <c r="L764" s="543"/>
      <c r="M764" s="543"/>
      <c r="N764" s="543"/>
      <c r="O764" s="543"/>
      <c r="P764" s="543"/>
      <c r="Q764" s="543"/>
      <c r="R764" s="543"/>
      <c r="S764" s="543"/>
      <c r="T764" s="543"/>
      <c r="U764" s="543"/>
      <c r="V764" s="543"/>
      <c r="W764" s="543"/>
      <c r="X764" s="543"/>
      <c r="Y764" s="543"/>
      <c r="Z764" s="543"/>
      <c r="AA764" s="543"/>
      <c r="AB764" s="543"/>
      <c r="AC764" s="543"/>
      <c r="AD764" s="543"/>
      <c r="AE764" s="543"/>
      <c r="AF764" s="543"/>
      <c r="AG764" s="543"/>
      <c r="AH764" s="543"/>
      <c r="AI764" s="543"/>
      <c r="AJ764" s="543"/>
      <c r="AK764" s="543"/>
      <c r="AL764" s="543"/>
      <c r="AM764" s="543"/>
      <c r="AN764" s="543"/>
      <c r="AO764" s="543"/>
      <c r="AP764" s="543"/>
      <c r="AQ764" s="543"/>
      <c r="AR764" s="543"/>
      <c r="AS764" s="543"/>
      <c r="AT764" s="543"/>
      <c r="AU764" s="543"/>
      <c r="AV764" s="543"/>
    </row>
    <row r="765" spans="1:48" s="336" customFormat="1" ht="15" customHeight="1">
      <c r="A765" s="354"/>
      <c r="B765" s="354"/>
      <c r="C765" s="1117">
        <f t="shared" si="55"/>
        <v>0</v>
      </c>
      <c r="D765" s="1117"/>
      <c r="E765" s="1117"/>
      <c r="F765" s="1117"/>
      <c r="G765" s="1117"/>
      <c r="H765" s="1117"/>
      <c r="I765" s="398" t="str">
        <f>+I732</f>
        <v>Und</v>
      </c>
      <c r="J765" s="354"/>
      <c r="K765" s="354"/>
      <c r="L765" s="354"/>
      <c r="M765" s="354" t="s">
        <v>4508</v>
      </c>
      <c r="N765" s="1060">
        <f>+N732</f>
        <v>0</v>
      </c>
      <c r="O765" s="1060"/>
      <c r="P765" s="1060"/>
      <c r="Q765" s="1060"/>
      <c r="R765" s="1060"/>
      <c r="S765" s="1060"/>
      <c r="T765" s="1060"/>
      <c r="U765" s="496" t="str">
        <f>+T732</f>
        <v>/Und</v>
      </c>
      <c r="V765" s="354"/>
      <c r="W765" s="354"/>
      <c r="X765" s="354"/>
      <c r="Y765" s="354"/>
      <c r="Z765" s="497"/>
      <c r="AA765" s="354"/>
      <c r="AB765" s="1136"/>
      <c r="AC765" s="1136"/>
      <c r="AD765" s="739"/>
      <c r="AE765" s="739"/>
      <c r="AF765" s="354"/>
      <c r="AG765" s="354"/>
      <c r="AH765" s="354"/>
      <c r="AI765" s="354"/>
      <c r="AJ765" s="354"/>
      <c r="AK765" s="354"/>
      <c r="AL765" s="354"/>
      <c r="AM765" s="496" t="s">
        <v>4426</v>
      </c>
      <c r="AN765" s="496"/>
      <c r="AO765" s="1060">
        <f>ROUND(C765*N765,1)</f>
        <v>0</v>
      </c>
      <c r="AP765" s="1060"/>
      <c r="AQ765" s="1060"/>
      <c r="AR765" s="1060"/>
      <c r="AS765" s="1060"/>
      <c r="AT765" s="1060"/>
      <c r="AU765" s="1060"/>
      <c r="AV765" s="1060"/>
    </row>
    <row r="766" spans="1:48" s="336" customFormat="1">
      <c r="A766" s="354"/>
      <c r="B766" s="354"/>
      <c r="C766" s="398" t="s">
        <v>4521</v>
      </c>
      <c r="D766" s="398"/>
      <c r="E766" s="398"/>
      <c r="F766" s="398"/>
      <c r="G766" s="398"/>
      <c r="H766" s="398"/>
      <c r="I766" s="398"/>
      <c r="J766" s="354"/>
      <c r="K766" s="354"/>
      <c r="L766" s="354"/>
      <c r="M766" s="354"/>
      <c r="N766" s="497"/>
      <c r="O766" s="545"/>
      <c r="P766" s="545"/>
      <c r="Q766" s="546"/>
      <c r="R766" s="299"/>
      <c r="S766" s="299"/>
      <c r="T766" s="299"/>
      <c r="U766" s="496"/>
      <c r="V766" s="354"/>
      <c r="W766" s="354"/>
      <c r="X766" s="354"/>
      <c r="Y766" s="354"/>
      <c r="Z766" s="497"/>
      <c r="AA766" s="354"/>
      <c r="AB766" s="544"/>
      <c r="AC766" s="544"/>
      <c r="AD766" s="261"/>
      <c r="AE766" s="261"/>
      <c r="AF766" s="354"/>
      <c r="AG766" s="354"/>
      <c r="AH766" s="354"/>
      <c r="AI766" s="354"/>
      <c r="AJ766" s="354"/>
      <c r="AK766" s="354"/>
      <c r="AL766" s="354"/>
      <c r="AM766" s="496" t="s">
        <v>4426</v>
      </c>
      <c r="AN766" s="496"/>
      <c r="AO766" s="1152">
        <f>SUM(AO759:AV765)</f>
        <v>0</v>
      </c>
      <c r="AP766" s="1152"/>
      <c r="AQ766" s="1152"/>
      <c r="AR766" s="1152"/>
      <c r="AS766" s="1152"/>
      <c r="AT766" s="1152"/>
      <c r="AU766" s="1152"/>
      <c r="AV766" s="1152"/>
    </row>
    <row r="767" spans="1:48" s="336" customFormat="1">
      <c r="A767" s="354"/>
      <c r="B767" s="354"/>
      <c r="C767" s="398" t="str">
        <f>+C734</f>
        <v>Porcentaje de áreas comunes correspondiente al inmueble %</v>
      </c>
      <c r="D767" s="398"/>
      <c r="E767" s="398"/>
      <c r="F767" s="398"/>
      <c r="G767" s="398"/>
      <c r="H767" s="398"/>
      <c r="I767" s="398"/>
      <c r="J767" s="354"/>
      <c r="K767" s="354"/>
      <c r="L767" s="354"/>
      <c r="M767" s="354"/>
      <c r="N767" s="497"/>
      <c r="O767" s="545"/>
      <c r="P767" s="545"/>
      <c r="Q767" s="546"/>
      <c r="R767" s="299"/>
      <c r="S767" s="299"/>
      <c r="T767" s="299"/>
      <c r="U767" s="496"/>
      <c r="V767" s="354"/>
      <c r="W767" s="354"/>
      <c r="X767" s="354"/>
      <c r="Y767" s="354"/>
      <c r="Z767" s="497"/>
      <c r="AA767" s="354"/>
      <c r="AB767" s="544"/>
      <c r="AC767" s="544"/>
      <c r="AD767" s="261"/>
      <c r="AE767" s="261"/>
      <c r="AF767" s="354"/>
      <c r="AG767" s="354"/>
      <c r="AH767" s="354"/>
      <c r="AI767" s="354"/>
      <c r="AJ767" s="354"/>
      <c r="AK767" s="354"/>
      <c r="AL767" s="354"/>
      <c r="AM767" s="496"/>
      <c r="AN767" s="496"/>
      <c r="AO767" s="354"/>
      <c r="AP767" s="495"/>
      <c r="AQ767" s="495"/>
      <c r="AR767" s="495"/>
      <c r="AS767" s="495"/>
      <c r="AT767" s="495"/>
      <c r="AU767" s="495"/>
      <c r="AV767" s="495"/>
    </row>
    <row r="768" spans="1:48" s="336" customFormat="1">
      <c r="A768" s="354"/>
      <c r="B768" s="354"/>
      <c r="C768" s="1153">
        <f>+C735</f>
        <v>0</v>
      </c>
      <c r="D768" s="1153"/>
      <c r="E768" s="1153"/>
      <c r="F768" s="1153"/>
      <c r="G768" s="1153"/>
      <c r="H768" s="1153"/>
      <c r="I768" s="398"/>
      <c r="J768" s="354"/>
      <c r="K768" s="354"/>
      <c r="L768" s="354"/>
      <c r="M768" s="354" t="s">
        <v>4508</v>
      </c>
      <c r="N768" s="497"/>
      <c r="O768" s="1060">
        <f>+AO766</f>
        <v>0</v>
      </c>
      <c r="P768" s="1060"/>
      <c r="Q768" s="1060"/>
      <c r="R768" s="1060"/>
      <c r="S768" s="1060"/>
      <c r="T768" s="1060"/>
      <c r="U768" s="1060"/>
      <c r="V768" s="1060"/>
      <c r="W768" s="354"/>
      <c r="X768" s="354"/>
      <c r="Y768" s="354"/>
      <c r="Z768" s="497"/>
      <c r="AA768" s="354"/>
      <c r="AB768" s="1136"/>
      <c r="AC768" s="1136"/>
      <c r="AD768" s="739"/>
      <c r="AE768" s="739"/>
      <c r="AF768" s="354"/>
      <c r="AG768" s="354"/>
      <c r="AH768" s="354"/>
      <c r="AI768" s="354"/>
      <c r="AJ768" s="354"/>
      <c r="AK768" s="354"/>
      <c r="AL768" s="354"/>
      <c r="AM768" s="496" t="s">
        <v>4426</v>
      </c>
      <c r="AN768" s="496"/>
      <c r="AO768" s="1060">
        <f>ROUND(C768*O768,1)</f>
        <v>0</v>
      </c>
      <c r="AP768" s="1060"/>
      <c r="AQ768" s="1060"/>
      <c r="AR768" s="1060"/>
      <c r="AS768" s="1060"/>
      <c r="AT768" s="1060"/>
      <c r="AU768" s="1060"/>
      <c r="AV768" s="1060"/>
    </row>
    <row r="769" spans="1:52" s="336" customFormat="1" ht="15" customHeight="1" thickBot="1">
      <c r="A769" s="354"/>
      <c r="B769" s="354"/>
      <c r="C769" s="487" t="str">
        <f>+C757</f>
        <v>VALOR  DE LAS OBRAS COMPLEMENTARIAS</v>
      </c>
      <c r="D769" s="488"/>
      <c r="E769" s="488"/>
      <c r="F769" s="488"/>
      <c r="G769" s="489"/>
      <c r="H769" s="490"/>
      <c r="I769" s="490"/>
      <c r="J769" s="491"/>
      <c r="K769" s="492"/>
      <c r="L769" s="493"/>
      <c r="M769" s="489"/>
      <c r="N769" s="489"/>
      <c r="O769" s="489"/>
      <c r="P769" s="489"/>
      <c r="Q769" s="489"/>
      <c r="R769" s="489"/>
      <c r="S769" s="489"/>
      <c r="T769" s="489"/>
      <c r="U769" s="489"/>
      <c r="V769" s="489"/>
      <c r="W769" s="489"/>
      <c r="X769" s="489"/>
      <c r="Y769" s="489"/>
      <c r="Z769" s="489"/>
      <c r="AA769" s="489"/>
      <c r="AB769" s="489"/>
      <c r="AC769" s="489"/>
      <c r="AD769" s="489"/>
      <c r="AE769" s="489"/>
      <c r="AF769" s="489"/>
      <c r="AG769" s="489"/>
      <c r="AH769" s="489"/>
      <c r="AI769" s="489"/>
      <c r="AJ769" s="489"/>
      <c r="AK769" s="489"/>
      <c r="AL769" s="489"/>
      <c r="AM769" s="494" t="s">
        <v>4426</v>
      </c>
      <c r="AN769" s="494"/>
      <c r="AO769" s="1052">
        <f>ROUND(AO768,1)</f>
        <v>0</v>
      </c>
      <c r="AP769" s="1052"/>
      <c r="AQ769" s="1052"/>
      <c r="AR769" s="1052"/>
      <c r="AS769" s="1052"/>
      <c r="AT769" s="1052"/>
      <c r="AU769" s="1052"/>
      <c r="AV769" s="1052"/>
    </row>
    <row r="770" spans="1:52" s="336" customFormat="1" ht="24" hidden="1" customHeight="1" thickTop="1">
      <c r="A770" s="891">
        <f>+A757+1</f>
        <v>3</v>
      </c>
      <c r="B770" s="892"/>
      <c r="C770" s="355" t="str">
        <f>+C737</f>
        <v>VALOR DEL ESTACIONAMIENTO Nº …</v>
      </c>
      <c r="D770" s="261"/>
      <c r="E770" s="261"/>
      <c r="F770" s="261"/>
      <c r="G770" s="261"/>
      <c r="H770" s="261"/>
      <c r="I770" s="261"/>
      <c r="J770" s="261"/>
      <c r="K770" s="261"/>
      <c r="L770" s="261"/>
      <c r="M770" s="261"/>
      <c r="N770" s="261"/>
      <c r="O770" s="261"/>
      <c r="P770" s="261"/>
      <c r="Q770" s="261"/>
      <c r="R770" s="261"/>
      <c r="S770" s="261"/>
      <c r="T770" s="261"/>
      <c r="U770" s="261"/>
      <c r="V770" s="261"/>
      <c r="W770" s="261"/>
      <c r="X770" s="261"/>
      <c r="Y770" s="261"/>
      <c r="Z770" s="261"/>
      <c r="AA770" s="261"/>
      <c r="AB770" s="261"/>
      <c r="AC770" s="261"/>
      <c r="AD770" s="261"/>
      <c r="AE770" s="261"/>
      <c r="AF770" s="261"/>
      <c r="AG770" s="261"/>
      <c r="AH770" s="261"/>
      <c r="AI770" s="261"/>
      <c r="AJ770" s="261"/>
      <c r="AK770" s="261"/>
      <c r="AL770" s="261"/>
      <c r="AM770" s="261"/>
      <c r="AN770" s="261"/>
      <c r="AO770" s="261"/>
      <c r="AP770" s="261"/>
      <c r="AQ770" s="261"/>
      <c r="AR770" s="261"/>
      <c r="AS770" s="261"/>
      <c r="AT770" s="261"/>
      <c r="AU770" s="261"/>
      <c r="AV770" s="261"/>
    </row>
    <row r="771" spans="1:52" s="557" customFormat="1" ht="15" hidden="1" customHeight="1">
      <c r="A771" s="553"/>
      <c r="B771" s="554"/>
      <c r="C771" s="555" t="s">
        <v>4563</v>
      </c>
      <c r="D771" s="556"/>
      <c r="E771" s="556"/>
      <c r="F771" s="556"/>
      <c r="G771" s="556"/>
      <c r="H771" s="556"/>
      <c r="I771" s="556"/>
      <c r="J771" s="556"/>
      <c r="K771" s="556"/>
      <c r="L771" s="556"/>
      <c r="M771" s="556"/>
      <c r="N771" s="556"/>
      <c r="O771" s="556"/>
      <c r="P771" s="556"/>
      <c r="Q771" s="556"/>
      <c r="R771" s="556"/>
      <c r="S771" s="556"/>
      <c r="T771" s="556"/>
      <c r="U771" s="556"/>
      <c r="V771" s="556"/>
      <c r="W771" s="556"/>
      <c r="X771" s="556"/>
      <c r="Y771" s="556"/>
      <c r="Z771" s="556"/>
      <c r="AA771" s="556"/>
      <c r="AB771" s="556"/>
      <c r="AC771" s="556"/>
      <c r="AD771" s="556"/>
      <c r="AE771" s="556"/>
      <c r="AF771" s="556"/>
      <c r="AG771" s="556"/>
      <c r="AH771" s="556"/>
      <c r="AI771" s="556"/>
      <c r="AJ771" s="556"/>
      <c r="AK771" s="556"/>
      <c r="AL771" s="556"/>
      <c r="AM771" s="556"/>
      <c r="AN771" s="556"/>
      <c r="AO771" s="556"/>
      <c r="AP771" s="556"/>
      <c r="AQ771" s="556"/>
      <c r="AR771" s="556"/>
      <c r="AS771" s="556"/>
      <c r="AT771" s="556"/>
      <c r="AU771" s="556"/>
      <c r="AV771" s="556"/>
      <c r="AW771" s="556"/>
      <c r="AX771" s="556"/>
      <c r="AY771" s="556"/>
      <c r="AZ771" s="556"/>
    </row>
    <row r="772" spans="1:52" s="557" customFormat="1" hidden="1">
      <c r="A772" s="554"/>
      <c r="B772" s="554"/>
      <c r="C772" s="558" t="s">
        <v>4564</v>
      </c>
      <c r="D772" s="556"/>
      <c r="E772" s="556"/>
      <c r="F772" s="556"/>
      <c r="G772" s="556"/>
      <c r="H772" s="556"/>
      <c r="I772" s="556"/>
      <c r="J772" s="556"/>
      <c r="K772" s="556"/>
      <c r="L772" s="556"/>
      <c r="M772" s="556"/>
      <c r="N772" s="556"/>
      <c r="O772" s="556"/>
      <c r="P772" s="556"/>
      <c r="Q772" s="556"/>
      <c r="R772" s="556"/>
      <c r="S772" s="556"/>
      <c r="T772" s="556"/>
      <c r="U772" s="556"/>
      <c r="V772" s="556"/>
      <c r="W772" s="556"/>
      <c r="X772" s="556"/>
      <c r="Y772" s="556"/>
      <c r="Z772" s="556"/>
      <c r="AA772" s="556"/>
      <c r="AB772" s="556"/>
      <c r="AK772" s="556"/>
      <c r="AL772" s="556"/>
      <c r="AM772" s="556"/>
      <c r="AN772" s="556"/>
      <c r="AO772" s="660"/>
      <c r="AP772" s="660"/>
      <c r="AQ772" s="660"/>
      <c r="AR772" s="660"/>
      <c r="AS772" s="660"/>
      <c r="AT772" s="660"/>
      <c r="AU772" s="660"/>
      <c r="AV772" s="660"/>
    </row>
    <row r="773" spans="1:52" s="557" customFormat="1" hidden="1">
      <c r="A773" s="554"/>
      <c r="B773" s="554"/>
      <c r="C773" s="1149">
        <f>+N183</f>
        <v>0</v>
      </c>
      <c r="D773" s="1149"/>
      <c r="E773" s="1149"/>
      <c r="F773" s="1149"/>
      <c r="G773" s="1149"/>
      <c r="H773" s="1149"/>
      <c r="I773" s="559"/>
      <c r="J773" s="554" t="s">
        <v>10</v>
      </c>
      <c r="K773" s="554"/>
      <c r="L773" s="554"/>
      <c r="M773" s="554" t="s">
        <v>4508</v>
      </c>
      <c r="N773" s="560"/>
      <c r="O773" s="1060">
        <f>+O584*$M$70</f>
        <v>0</v>
      </c>
      <c r="P773" s="1060"/>
      <c r="Q773" s="1060"/>
      <c r="R773" s="1060"/>
      <c r="S773" s="1060"/>
      <c r="T773" s="1060"/>
      <c r="U773" s="1060"/>
      <c r="V773" s="1060"/>
      <c r="W773" s="562" t="s">
        <v>4509</v>
      </c>
      <c r="X773" s="554"/>
      <c r="Y773" s="562"/>
      <c r="Z773" s="554"/>
      <c r="AA773" s="554"/>
      <c r="AB773" s="554"/>
      <c r="AK773" s="554"/>
      <c r="AL773" s="554"/>
      <c r="AM773" s="562" t="s">
        <v>4426</v>
      </c>
      <c r="AN773" s="554"/>
      <c r="AO773" s="1060">
        <f>ROUND(C773*O773,1)</f>
        <v>0</v>
      </c>
      <c r="AP773" s="1060"/>
      <c r="AQ773" s="1060"/>
      <c r="AR773" s="1060"/>
      <c r="AS773" s="1060"/>
      <c r="AT773" s="1060"/>
      <c r="AU773" s="1060"/>
      <c r="AV773" s="1060"/>
    </row>
    <row r="774" spans="1:52" s="557" customFormat="1" hidden="1">
      <c r="A774" s="554"/>
      <c r="B774" s="554"/>
      <c r="C774" s="558" t="s">
        <v>4565</v>
      </c>
      <c r="D774" s="556"/>
      <c r="E774" s="556"/>
      <c r="F774" s="556"/>
      <c r="G774" s="556"/>
      <c r="H774" s="556"/>
      <c r="I774" s="556"/>
      <c r="J774" s="556"/>
      <c r="K774" s="556"/>
      <c r="L774" s="556"/>
      <c r="M774" s="556"/>
      <c r="N774" s="556"/>
      <c r="O774" s="556"/>
      <c r="P774" s="556"/>
      <c r="Q774" s="556"/>
      <c r="R774" s="556"/>
      <c r="S774" s="556"/>
      <c r="T774" s="556"/>
      <c r="U774" s="556"/>
      <c r="V774" s="556"/>
      <c r="W774" s="556"/>
      <c r="X774" s="556"/>
      <c r="Y774" s="556"/>
      <c r="Z774" s="556"/>
      <c r="AA774" s="556"/>
      <c r="AB774" s="556"/>
      <c r="AK774" s="556"/>
      <c r="AL774" s="556"/>
      <c r="AM774" s="556"/>
      <c r="AN774" s="556"/>
      <c r="AO774" s="660"/>
      <c r="AP774" s="660"/>
      <c r="AQ774" s="660"/>
      <c r="AR774" s="660"/>
      <c r="AS774" s="660"/>
      <c r="AT774" s="660"/>
      <c r="AU774" s="660"/>
      <c r="AV774" s="660"/>
    </row>
    <row r="775" spans="1:52" s="557" customFormat="1" hidden="1">
      <c r="A775" s="554"/>
      <c r="B775" s="554"/>
      <c r="C775" s="1149">
        <f>+AL183-N183</f>
        <v>0</v>
      </c>
      <c r="D775" s="1149"/>
      <c r="E775" s="1149"/>
      <c r="F775" s="1149"/>
      <c r="G775" s="1149"/>
      <c r="H775" s="1149"/>
      <c r="I775" s="559"/>
      <c r="J775" s="554" t="s">
        <v>10</v>
      </c>
      <c r="K775" s="554"/>
      <c r="L775" s="554"/>
      <c r="M775" s="554" t="s">
        <v>4508</v>
      </c>
      <c r="N775" s="560"/>
      <c r="O775" s="1060">
        <f>+O584*$M$70</f>
        <v>0</v>
      </c>
      <c r="P775" s="1060"/>
      <c r="Q775" s="1060"/>
      <c r="R775" s="1060"/>
      <c r="S775" s="1060"/>
      <c r="T775" s="1060"/>
      <c r="U775" s="1060"/>
      <c r="V775" s="1060"/>
      <c r="W775" s="562" t="s">
        <v>4509</v>
      </c>
      <c r="X775" s="554"/>
      <c r="Y775" s="562"/>
      <c r="Z775" s="554"/>
      <c r="AA775" s="554"/>
      <c r="AB775" s="554"/>
      <c r="AK775" s="554"/>
      <c r="AL775" s="554"/>
      <c r="AM775" s="562" t="s">
        <v>4426</v>
      </c>
      <c r="AN775" s="554"/>
      <c r="AO775" s="1060">
        <f>ROUND(C775*O775,1)</f>
        <v>0</v>
      </c>
      <c r="AP775" s="1060"/>
      <c r="AQ775" s="1060"/>
      <c r="AR775" s="1060"/>
      <c r="AS775" s="1060"/>
      <c r="AT775" s="1060"/>
      <c r="AU775" s="1060"/>
      <c r="AV775" s="1060"/>
    </row>
    <row r="776" spans="1:52" s="557" customFormat="1" hidden="1">
      <c r="A776" s="554"/>
      <c r="B776" s="554"/>
      <c r="C776" s="559" t="s">
        <v>4521</v>
      </c>
      <c r="D776" s="559"/>
      <c r="E776" s="559"/>
      <c r="F776" s="559"/>
      <c r="G776" s="559"/>
      <c r="H776" s="559"/>
      <c r="I776" s="559"/>
      <c r="J776" s="554"/>
      <c r="K776" s="554"/>
      <c r="L776" s="554"/>
      <c r="M776" s="554"/>
      <c r="N776" s="560"/>
      <c r="O776" s="561"/>
      <c r="P776" s="561"/>
      <c r="Q776" s="563"/>
      <c r="R776" s="556"/>
      <c r="S776" s="556"/>
      <c r="T776" s="556"/>
      <c r="U776" s="562"/>
      <c r="V776" s="554"/>
      <c r="W776" s="554"/>
      <c r="X776" s="554"/>
      <c r="Y776" s="562"/>
      <c r="Z776" s="554"/>
      <c r="AA776" s="554"/>
      <c r="AB776" s="554"/>
      <c r="AK776" s="554"/>
      <c r="AL776" s="554"/>
      <c r="AM776" s="562" t="s">
        <v>4426</v>
      </c>
      <c r="AN776" s="554"/>
      <c r="AO776" s="1152">
        <f>SUM(AO773:AV775)</f>
        <v>0</v>
      </c>
      <c r="AP776" s="1152"/>
      <c r="AQ776" s="1152"/>
      <c r="AR776" s="1152"/>
      <c r="AS776" s="1152"/>
      <c r="AT776" s="1152"/>
      <c r="AU776" s="1152"/>
      <c r="AV776" s="1152"/>
    </row>
    <row r="777" spans="1:52" s="557" customFormat="1" ht="15" hidden="1" customHeight="1">
      <c r="A777" s="553"/>
      <c r="B777" s="554"/>
      <c r="C777" s="555" t="s">
        <v>4566</v>
      </c>
      <c r="D777" s="556"/>
      <c r="E777" s="556"/>
      <c r="F777" s="556"/>
      <c r="G777" s="556"/>
      <c r="H777" s="556"/>
      <c r="I777" s="556"/>
      <c r="J777" s="556"/>
      <c r="K777" s="556"/>
      <c r="L777" s="556"/>
      <c r="M777" s="556"/>
      <c r="N777" s="556"/>
      <c r="O777" s="556"/>
      <c r="P777" s="556"/>
      <c r="Q777" s="556"/>
      <c r="R777" s="556"/>
      <c r="S777" s="556"/>
      <c r="T777" s="556"/>
      <c r="U777" s="556"/>
      <c r="V777" s="556"/>
      <c r="W777" s="556"/>
      <c r="X777" s="556"/>
      <c r="Y777" s="556"/>
      <c r="Z777" s="556"/>
      <c r="AA777" s="556"/>
      <c r="AB777" s="556"/>
      <c r="AK777" s="556"/>
      <c r="AL777" s="556"/>
      <c r="AM777" s="556"/>
      <c r="AN777" s="556"/>
      <c r="AO777" s="556"/>
      <c r="AP777" s="556"/>
      <c r="AQ777" s="556"/>
      <c r="AR777" s="556"/>
      <c r="AS777" s="556"/>
      <c r="AT777" s="556"/>
      <c r="AU777" s="556"/>
      <c r="AV777" s="556"/>
    </row>
    <row r="778" spans="1:52" s="557" customFormat="1" ht="15" hidden="1" customHeight="1">
      <c r="A778" s="554"/>
      <c r="B778" s="554"/>
      <c r="C778" s="1148">
        <v>0.15</v>
      </c>
      <c r="D778" s="1148"/>
      <c r="E778" s="1148"/>
      <c r="F778" s="1148"/>
      <c r="G778" s="1148"/>
      <c r="H778" s="1148"/>
      <c r="I778" s="559"/>
      <c r="J778" s="554"/>
      <c r="K778" s="554"/>
      <c r="L778" s="554"/>
      <c r="M778" s="554" t="s">
        <v>4508</v>
      </c>
      <c r="N778" s="560"/>
      <c r="O778" s="1268">
        <f>+AO776</f>
        <v>0</v>
      </c>
      <c r="P778" s="1268"/>
      <c r="Q778" s="1268"/>
      <c r="R778" s="1268"/>
      <c r="S778" s="1268"/>
      <c r="T778" s="1268"/>
      <c r="U778" s="1268"/>
      <c r="V778" s="1268"/>
      <c r="W778" s="1268"/>
      <c r="X778" s="1268"/>
      <c r="Y778" s="554"/>
      <c r="Z778" s="554"/>
      <c r="AA778" s="554"/>
      <c r="AB778" s="554"/>
      <c r="AK778" s="554"/>
      <c r="AL778" s="554"/>
      <c r="AM778" s="562" t="s">
        <v>4426</v>
      </c>
      <c r="AN778" s="554"/>
      <c r="AO778" s="1060">
        <f>ROUND(C778*O778,1)</f>
        <v>0</v>
      </c>
      <c r="AP778" s="1060"/>
      <c r="AQ778" s="1060"/>
      <c r="AR778" s="1060"/>
      <c r="AS778" s="1060"/>
      <c r="AT778" s="1060"/>
      <c r="AU778" s="1060"/>
      <c r="AV778" s="1060"/>
    </row>
    <row r="779" spans="1:52" s="336" customFormat="1" ht="14.25" hidden="1" thickBot="1">
      <c r="A779" s="354"/>
      <c r="B779" s="354"/>
      <c r="C779" s="487" t="str">
        <f>+C770</f>
        <v>VALOR DEL ESTACIONAMIENTO Nº …</v>
      </c>
      <c r="D779" s="488"/>
      <c r="E779" s="488"/>
      <c r="F779" s="488"/>
      <c r="G779" s="489"/>
      <c r="H779" s="490"/>
      <c r="I779" s="490"/>
      <c r="J779" s="491"/>
      <c r="K779" s="492"/>
      <c r="L779" s="493"/>
      <c r="M779" s="489"/>
      <c r="N779" s="489"/>
      <c r="O779" s="489"/>
      <c r="P779" s="489"/>
      <c r="Q779" s="489"/>
      <c r="R779" s="489"/>
      <c r="S779" s="489"/>
      <c r="T779" s="489"/>
      <c r="U779" s="489"/>
      <c r="V779" s="489"/>
      <c r="W779" s="489"/>
      <c r="X779" s="489"/>
      <c r="Y779" s="489"/>
      <c r="Z779" s="489"/>
      <c r="AA779" s="489"/>
      <c r="AB779" s="489"/>
      <c r="AC779" s="489"/>
      <c r="AD779" s="489"/>
      <c r="AE779" s="489"/>
      <c r="AF779" s="489"/>
      <c r="AG779" s="489"/>
      <c r="AH779" s="489"/>
      <c r="AI779" s="489"/>
      <c r="AJ779" s="489"/>
      <c r="AK779" s="489"/>
      <c r="AL779" s="489"/>
      <c r="AM779" s="494" t="s">
        <v>4426</v>
      </c>
      <c r="AN779" s="494"/>
      <c r="AO779" s="1052">
        <f>ROUND(SUM(AO776:AV778),1)</f>
        <v>0</v>
      </c>
      <c r="AP779" s="1052"/>
      <c r="AQ779" s="1052"/>
      <c r="AR779" s="1052"/>
      <c r="AS779" s="1052"/>
      <c r="AT779" s="1052"/>
      <c r="AU779" s="1052"/>
      <c r="AV779" s="1052"/>
    </row>
    <row r="780" spans="1:52" s="336" customFormat="1" ht="23.25" hidden="1" customHeight="1" thickTop="1">
      <c r="A780" s="891">
        <f>+A770+1</f>
        <v>4</v>
      </c>
      <c r="B780" s="892"/>
      <c r="C780" s="355" t="str">
        <f>+C740</f>
        <v>VALOR DEL DEPOSITO Nº ..</v>
      </c>
      <c r="D780" s="261"/>
      <c r="E780" s="261"/>
      <c r="F780" s="261"/>
      <c r="G780" s="261"/>
      <c r="H780" s="261"/>
      <c r="I780" s="261"/>
      <c r="J780" s="261"/>
      <c r="K780" s="261"/>
      <c r="L780" s="261"/>
      <c r="M780" s="261"/>
      <c r="N780" s="261"/>
      <c r="O780" s="261"/>
      <c r="P780" s="261"/>
      <c r="Q780" s="261"/>
      <c r="R780" s="261"/>
      <c r="S780" s="261"/>
      <c r="T780" s="261"/>
      <c r="U780" s="261"/>
      <c r="V780" s="261"/>
      <c r="W780" s="261"/>
      <c r="X780" s="261"/>
      <c r="Y780" s="261"/>
      <c r="Z780" s="261"/>
      <c r="AA780" s="261"/>
      <c r="AB780" s="261"/>
      <c r="AC780" s="261"/>
      <c r="AD780" s="261"/>
      <c r="AE780" s="261"/>
      <c r="AF780" s="261"/>
      <c r="AG780" s="261"/>
      <c r="AH780" s="261"/>
      <c r="AI780" s="261"/>
      <c r="AJ780" s="261"/>
      <c r="AK780" s="261"/>
      <c r="AL780" s="261"/>
      <c r="AM780" s="261"/>
      <c r="AN780" s="261"/>
      <c r="AO780" s="261"/>
      <c r="AP780" s="261"/>
      <c r="AQ780" s="261"/>
      <c r="AR780" s="261"/>
      <c r="AS780" s="261"/>
      <c r="AT780" s="261"/>
      <c r="AU780" s="261"/>
      <c r="AV780" s="261"/>
    </row>
    <row r="781" spans="1:52" s="557" customFormat="1" ht="15" hidden="1" customHeight="1">
      <c r="A781" s="553"/>
      <c r="B781" s="554"/>
      <c r="C781" s="555" t="s">
        <v>4563</v>
      </c>
      <c r="D781" s="556"/>
      <c r="E781" s="556"/>
      <c r="F781" s="556"/>
      <c r="G781" s="556"/>
      <c r="H781" s="556"/>
      <c r="I781" s="556"/>
      <c r="J781" s="556"/>
      <c r="K781" s="556"/>
      <c r="L781" s="556"/>
      <c r="M781" s="556"/>
      <c r="N781" s="556"/>
      <c r="O781" s="556"/>
      <c r="P781" s="556"/>
      <c r="Q781" s="556"/>
      <c r="R781" s="556"/>
      <c r="S781" s="556"/>
      <c r="T781" s="556"/>
      <c r="U781" s="556"/>
      <c r="V781" s="556"/>
      <c r="W781" s="556"/>
      <c r="X781" s="556"/>
      <c r="Y781" s="556"/>
      <c r="Z781" s="556"/>
      <c r="AA781" s="556"/>
      <c r="AB781" s="556"/>
      <c r="AC781" s="556"/>
      <c r="AD781" s="556"/>
      <c r="AE781" s="556"/>
      <c r="AF781" s="556"/>
      <c r="AG781" s="556"/>
      <c r="AH781" s="556"/>
      <c r="AI781" s="556"/>
      <c r="AJ781" s="556"/>
      <c r="AK781" s="556"/>
      <c r="AL781" s="556"/>
      <c r="AM781" s="556"/>
      <c r="AN781" s="556"/>
      <c r="AO781" s="556"/>
      <c r="AP781" s="556"/>
      <c r="AQ781" s="556"/>
      <c r="AR781" s="556"/>
      <c r="AS781" s="556"/>
      <c r="AT781" s="556"/>
      <c r="AU781" s="556"/>
      <c r="AV781" s="556"/>
      <c r="AW781" s="556"/>
      <c r="AX781" s="556"/>
      <c r="AY781" s="556"/>
      <c r="AZ781" s="556"/>
    </row>
    <row r="782" spans="1:52" s="557" customFormat="1" hidden="1">
      <c r="A782" s="554"/>
      <c r="B782" s="554"/>
      <c r="C782" s="558" t="s">
        <v>4564</v>
      </c>
      <c r="D782" s="556"/>
      <c r="E782" s="556"/>
      <c r="F782" s="556"/>
      <c r="G782" s="556"/>
      <c r="H782" s="556"/>
      <c r="I782" s="556"/>
      <c r="J782" s="556"/>
      <c r="K782" s="556"/>
      <c r="L782" s="556"/>
      <c r="M782" s="556"/>
      <c r="N782" s="556"/>
      <c r="O782" s="556"/>
      <c r="P782" s="556"/>
      <c r="Q782" s="556"/>
      <c r="R782" s="556"/>
      <c r="S782" s="556"/>
      <c r="T782" s="556"/>
      <c r="U782" s="556"/>
      <c r="V782" s="556"/>
      <c r="W782" s="556"/>
      <c r="X782" s="556"/>
      <c r="Y782" s="556"/>
      <c r="Z782" s="556"/>
      <c r="AA782" s="556"/>
      <c r="AB782" s="556"/>
      <c r="AK782" s="556"/>
      <c r="AL782" s="556"/>
      <c r="AM782" s="556"/>
      <c r="AN782" s="556"/>
      <c r="AO782" s="660"/>
      <c r="AP782" s="660"/>
      <c r="AQ782" s="660"/>
      <c r="AR782" s="660"/>
      <c r="AS782" s="660"/>
      <c r="AT782" s="660"/>
      <c r="AU782" s="660"/>
      <c r="AV782" s="660"/>
    </row>
    <row r="783" spans="1:52" s="557" customFormat="1" hidden="1">
      <c r="A783" s="554"/>
      <c r="B783" s="554"/>
      <c r="C783" s="1149">
        <f>+N184</f>
        <v>0</v>
      </c>
      <c r="D783" s="1149"/>
      <c r="E783" s="1149"/>
      <c r="F783" s="1149"/>
      <c r="G783" s="1149"/>
      <c r="H783" s="1149"/>
      <c r="I783" s="559"/>
      <c r="J783" s="554" t="s">
        <v>10</v>
      </c>
      <c r="K783" s="554"/>
      <c r="L783" s="554"/>
      <c r="M783" s="554" t="s">
        <v>4508</v>
      </c>
      <c r="N783" s="560"/>
      <c r="O783" s="1060">
        <f>+O595*$M$70</f>
        <v>0</v>
      </c>
      <c r="P783" s="1060"/>
      <c r="Q783" s="1060"/>
      <c r="R783" s="1060"/>
      <c r="S783" s="1060"/>
      <c r="T783" s="1060"/>
      <c r="U783" s="1060"/>
      <c r="V783" s="1060"/>
      <c r="W783" s="562" t="s">
        <v>4509</v>
      </c>
      <c r="X783" s="554"/>
      <c r="Y783" s="562"/>
      <c r="Z783" s="554"/>
      <c r="AA783" s="554"/>
      <c r="AB783" s="554"/>
      <c r="AK783" s="554"/>
      <c r="AL783" s="554"/>
      <c r="AM783" s="562" t="s">
        <v>4426</v>
      </c>
      <c r="AN783" s="554"/>
      <c r="AO783" s="1060">
        <f>ROUND(C783*O783,1)</f>
        <v>0</v>
      </c>
      <c r="AP783" s="1060"/>
      <c r="AQ783" s="1060"/>
      <c r="AR783" s="1060"/>
      <c r="AS783" s="1060"/>
      <c r="AT783" s="1060"/>
      <c r="AU783" s="1060"/>
      <c r="AV783" s="1060"/>
    </row>
    <row r="784" spans="1:52" s="557" customFormat="1" hidden="1">
      <c r="A784" s="554"/>
      <c r="B784" s="554"/>
      <c r="C784" s="558" t="s">
        <v>4565</v>
      </c>
      <c r="D784" s="556"/>
      <c r="E784" s="556"/>
      <c r="F784" s="556"/>
      <c r="G784" s="556"/>
      <c r="H784" s="556"/>
      <c r="I784" s="556"/>
      <c r="J784" s="556"/>
      <c r="K784" s="556"/>
      <c r="L784" s="556"/>
      <c r="M784" s="556"/>
      <c r="N784" s="556"/>
      <c r="O784" s="556"/>
      <c r="P784" s="556"/>
      <c r="Q784" s="556"/>
      <c r="R784" s="556"/>
      <c r="S784" s="556"/>
      <c r="T784" s="556"/>
      <c r="U784" s="556"/>
      <c r="V784" s="556"/>
      <c r="W784" s="556"/>
      <c r="X784" s="556"/>
      <c r="Y784" s="556"/>
      <c r="Z784" s="556"/>
      <c r="AA784" s="556"/>
      <c r="AB784" s="556"/>
      <c r="AK784" s="556"/>
      <c r="AL784" s="556"/>
      <c r="AM784" s="556"/>
      <c r="AN784" s="556"/>
      <c r="AO784" s="660"/>
      <c r="AP784" s="660"/>
      <c r="AQ784" s="660"/>
      <c r="AR784" s="660"/>
      <c r="AS784" s="660"/>
      <c r="AT784" s="660"/>
      <c r="AU784" s="660"/>
      <c r="AV784" s="660"/>
    </row>
    <row r="785" spans="1:48" s="557" customFormat="1" hidden="1">
      <c r="A785" s="554"/>
      <c r="B785" s="554"/>
      <c r="C785" s="1149">
        <f>+AL184-N184</f>
        <v>0</v>
      </c>
      <c r="D785" s="1149"/>
      <c r="E785" s="1149"/>
      <c r="F785" s="1149"/>
      <c r="G785" s="1149"/>
      <c r="H785" s="1149"/>
      <c r="I785" s="559"/>
      <c r="J785" s="554" t="s">
        <v>10</v>
      </c>
      <c r="K785" s="554"/>
      <c r="L785" s="554"/>
      <c r="M785" s="554" t="s">
        <v>4508</v>
      </c>
      <c r="N785" s="560"/>
      <c r="O785" s="1060">
        <f>+O595*$M$70</f>
        <v>0</v>
      </c>
      <c r="P785" s="1060"/>
      <c r="Q785" s="1060"/>
      <c r="R785" s="1060"/>
      <c r="S785" s="1060"/>
      <c r="T785" s="1060"/>
      <c r="U785" s="1060"/>
      <c r="V785" s="1060"/>
      <c r="W785" s="562" t="s">
        <v>4509</v>
      </c>
      <c r="X785" s="554"/>
      <c r="Y785" s="562"/>
      <c r="Z785" s="554"/>
      <c r="AA785" s="554"/>
      <c r="AB785" s="554"/>
      <c r="AK785" s="554"/>
      <c r="AL785" s="554"/>
      <c r="AM785" s="562" t="s">
        <v>4426</v>
      </c>
      <c r="AN785" s="554"/>
      <c r="AO785" s="1060">
        <f>ROUND(C785*O785,1)</f>
        <v>0</v>
      </c>
      <c r="AP785" s="1060"/>
      <c r="AQ785" s="1060"/>
      <c r="AR785" s="1060"/>
      <c r="AS785" s="1060"/>
      <c r="AT785" s="1060"/>
      <c r="AU785" s="1060"/>
      <c r="AV785" s="1060"/>
    </row>
    <row r="786" spans="1:48" s="557" customFormat="1" hidden="1">
      <c r="A786" s="554"/>
      <c r="B786" s="554"/>
      <c r="C786" s="559" t="s">
        <v>4521</v>
      </c>
      <c r="D786" s="559"/>
      <c r="E786" s="559"/>
      <c r="F786" s="559"/>
      <c r="G786" s="559"/>
      <c r="H786" s="559"/>
      <c r="I786" s="559"/>
      <c r="J786" s="554"/>
      <c r="K786" s="554"/>
      <c r="L786" s="554"/>
      <c r="M786" s="554"/>
      <c r="N786" s="560"/>
      <c r="O786" s="561"/>
      <c r="P786" s="561"/>
      <c r="Q786" s="563"/>
      <c r="R786" s="556"/>
      <c r="S786" s="556"/>
      <c r="T786" s="556"/>
      <c r="U786" s="562"/>
      <c r="V786" s="554"/>
      <c r="W786" s="554"/>
      <c r="X786" s="554"/>
      <c r="Y786" s="562"/>
      <c r="Z786" s="554"/>
      <c r="AA786" s="554"/>
      <c r="AB786" s="554"/>
      <c r="AK786" s="554"/>
      <c r="AL786" s="554"/>
      <c r="AM786" s="562" t="s">
        <v>4426</v>
      </c>
      <c r="AN786" s="554"/>
      <c r="AO786" s="1152">
        <f>SUM(AO783:AV785)</f>
        <v>0</v>
      </c>
      <c r="AP786" s="1152"/>
      <c r="AQ786" s="1152"/>
      <c r="AR786" s="1152"/>
      <c r="AS786" s="1152"/>
      <c r="AT786" s="1152"/>
      <c r="AU786" s="1152"/>
      <c r="AV786" s="1152"/>
    </row>
    <row r="787" spans="1:48" s="557" customFormat="1" ht="15" hidden="1" customHeight="1">
      <c r="A787" s="553"/>
      <c r="B787" s="554"/>
      <c r="C787" s="555" t="s">
        <v>4566</v>
      </c>
      <c r="D787" s="556"/>
      <c r="E787" s="556"/>
      <c r="F787" s="556"/>
      <c r="G787" s="556"/>
      <c r="H787" s="556"/>
      <c r="I787" s="556"/>
      <c r="J787" s="556"/>
      <c r="K787" s="556"/>
      <c r="L787" s="556"/>
      <c r="M787" s="556"/>
      <c r="N787" s="556"/>
      <c r="O787" s="556"/>
      <c r="P787" s="556"/>
      <c r="Q787" s="556"/>
      <c r="R787" s="556"/>
      <c r="S787" s="556"/>
      <c r="T787" s="556"/>
      <c r="U787" s="556"/>
      <c r="V787" s="556"/>
      <c r="W787" s="556"/>
      <c r="X787" s="556"/>
      <c r="Y787" s="556"/>
      <c r="Z787" s="556"/>
      <c r="AA787" s="556"/>
      <c r="AB787" s="556"/>
      <c r="AK787" s="556"/>
      <c r="AL787" s="556"/>
      <c r="AM787" s="556"/>
      <c r="AN787" s="556"/>
      <c r="AO787" s="556"/>
      <c r="AP787" s="556"/>
      <c r="AQ787" s="556"/>
      <c r="AR787" s="556"/>
      <c r="AS787" s="556"/>
      <c r="AT787" s="556"/>
      <c r="AU787" s="556"/>
      <c r="AV787" s="556"/>
    </row>
    <row r="788" spans="1:48" s="557" customFormat="1" ht="15" hidden="1" customHeight="1">
      <c r="A788" s="554"/>
      <c r="B788" s="554"/>
      <c r="C788" s="1148">
        <v>0.15</v>
      </c>
      <c r="D788" s="1148"/>
      <c r="E788" s="1148"/>
      <c r="F788" s="1148"/>
      <c r="G788" s="1148"/>
      <c r="H788" s="1148"/>
      <c r="I788" s="559"/>
      <c r="J788" s="554"/>
      <c r="K788" s="554"/>
      <c r="L788" s="554"/>
      <c r="M788" s="554" t="s">
        <v>4508</v>
      </c>
      <c r="N788" s="560"/>
      <c r="O788" s="1270">
        <f>+AO786</f>
        <v>0</v>
      </c>
      <c r="P788" s="1270"/>
      <c r="Q788" s="1270"/>
      <c r="R788" s="1270"/>
      <c r="S788" s="1270"/>
      <c r="T788" s="1270"/>
      <c r="U788" s="1270"/>
      <c r="V788" s="1270"/>
      <c r="W788" s="1270"/>
      <c r="X788" s="1270"/>
      <c r="Y788" s="554"/>
      <c r="Z788" s="554"/>
      <c r="AA788" s="554"/>
      <c r="AB788" s="554"/>
      <c r="AK788" s="554"/>
      <c r="AL788" s="554"/>
      <c r="AM788" s="562" t="s">
        <v>4426</v>
      </c>
      <c r="AN788" s="554"/>
      <c r="AO788" s="1060">
        <f>ROUND(C788*O788,1)</f>
        <v>0</v>
      </c>
      <c r="AP788" s="1060"/>
      <c r="AQ788" s="1060"/>
      <c r="AR788" s="1060"/>
      <c r="AS788" s="1060"/>
      <c r="AT788" s="1060"/>
      <c r="AU788" s="1060"/>
      <c r="AV788" s="1060"/>
    </row>
    <row r="789" spans="1:48" s="336" customFormat="1" ht="14.25" hidden="1" thickBot="1">
      <c r="A789" s="354"/>
      <c r="B789" s="354"/>
      <c r="C789" s="487" t="str">
        <f>+C780</f>
        <v>VALOR DEL DEPOSITO Nº ..</v>
      </c>
      <c r="D789" s="488"/>
      <c r="E789" s="488"/>
      <c r="F789" s="488"/>
      <c r="G789" s="489"/>
      <c r="H789" s="490"/>
      <c r="I789" s="490"/>
      <c r="J789" s="491"/>
      <c r="K789" s="492"/>
      <c r="L789" s="493"/>
      <c r="M789" s="489"/>
      <c r="N789" s="489"/>
      <c r="O789" s="489"/>
      <c r="P789" s="489"/>
      <c r="Q789" s="489"/>
      <c r="R789" s="489"/>
      <c r="S789" s="489"/>
      <c r="T789" s="489"/>
      <c r="U789" s="489"/>
      <c r="V789" s="489"/>
      <c r="W789" s="489"/>
      <c r="X789" s="489"/>
      <c r="Y789" s="489"/>
      <c r="Z789" s="489"/>
      <c r="AA789" s="489"/>
      <c r="AB789" s="489"/>
      <c r="AC789" s="489"/>
      <c r="AD789" s="489"/>
      <c r="AE789" s="489"/>
      <c r="AF789" s="489"/>
      <c r="AG789" s="489"/>
      <c r="AH789" s="489"/>
      <c r="AI789" s="489"/>
      <c r="AJ789" s="489"/>
      <c r="AK789" s="489"/>
      <c r="AL789" s="489"/>
      <c r="AM789" s="494" t="s">
        <v>4426</v>
      </c>
      <c r="AN789" s="494"/>
      <c r="AO789" s="1052">
        <f>ROUND(SUM(AO786:AV788),1)</f>
        <v>0</v>
      </c>
      <c r="AP789" s="1052"/>
      <c r="AQ789" s="1052"/>
      <c r="AR789" s="1052"/>
      <c r="AS789" s="1052"/>
      <c r="AT789" s="1052"/>
      <c r="AU789" s="1052"/>
      <c r="AV789" s="1052"/>
    </row>
    <row r="790" spans="1:48" s="336" customFormat="1" ht="21.75" customHeight="1" thickTop="1">
      <c r="A790" s="354"/>
      <c r="B790" s="354"/>
      <c r="C790" s="1144" t="s">
        <v>4560</v>
      </c>
      <c r="D790" s="1145"/>
      <c r="E790" s="1145"/>
      <c r="F790" s="1145"/>
      <c r="G790" s="1145"/>
      <c r="H790" s="1145"/>
      <c r="I790" s="1145"/>
      <c r="J790" s="1145"/>
      <c r="K790" s="1145"/>
      <c r="L790" s="1145"/>
      <c r="M790" s="1145"/>
      <c r="N790" s="1145"/>
      <c r="O790" s="1145"/>
      <c r="P790" s="1145"/>
      <c r="Q790" s="1145"/>
      <c r="R790" s="1145"/>
      <c r="S790" s="1145"/>
      <c r="T790" s="1145"/>
      <c r="U790" s="1145"/>
      <c r="V790" s="1145"/>
      <c r="W790" s="1145"/>
      <c r="X790" s="1145"/>
      <c r="Y790" s="1145"/>
      <c r="Z790" s="1145"/>
      <c r="AA790" s="1145"/>
      <c r="AB790" s="1145"/>
      <c r="AC790" s="1145"/>
      <c r="AD790" s="1145"/>
      <c r="AE790" s="1145"/>
      <c r="AF790" s="1145"/>
      <c r="AG790" s="1145"/>
      <c r="AH790" s="1145"/>
      <c r="AI790" s="1145"/>
      <c r="AJ790" s="1145"/>
      <c r="AK790" s="1145"/>
      <c r="AL790" s="1145"/>
      <c r="AM790" s="1145"/>
      <c r="AN790" s="1145"/>
      <c r="AO790" s="1145"/>
      <c r="AP790" s="1145"/>
      <c r="AQ790" s="1145"/>
      <c r="AR790" s="1145"/>
      <c r="AS790" s="1145"/>
      <c r="AT790" s="1145"/>
      <c r="AU790" s="1145"/>
      <c r="AV790" s="1145"/>
    </row>
    <row r="791" spans="1:48" ht="22.5" customHeight="1">
      <c r="Q791" s="1269" t="s">
        <v>4613</v>
      </c>
      <c r="R791" s="1269"/>
      <c r="S791" s="1269"/>
      <c r="T791" s="1269"/>
      <c r="U791" s="1269"/>
      <c r="V791" s="1269"/>
      <c r="W791" s="1269"/>
      <c r="X791" s="1269"/>
      <c r="Y791" s="1269"/>
      <c r="Z791" s="1269"/>
      <c r="AA791" s="1269"/>
      <c r="AB791" s="1269"/>
      <c r="AC791" s="1269"/>
      <c r="AD791" s="1269"/>
      <c r="AE791" s="1269"/>
      <c r="AF791" s="1269"/>
      <c r="AG791" s="1269"/>
      <c r="AH791" s="1269"/>
    </row>
    <row r="792" spans="1:48" ht="12.95" customHeight="1">
      <c r="C792" s="330"/>
      <c r="D792" s="330"/>
      <c r="H792" s="284"/>
      <c r="J792" s="331"/>
      <c r="S792" s="331" t="str">
        <f>+S10</f>
        <v xml:space="preserve">  INFORME N°26</v>
      </c>
      <c r="U792" s="332"/>
      <c r="V792" s="333"/>
      <c r="AB792" s="1088">
        <f>+AC745</f>
        <v>0</v>
      </c>
      <c r="AC792" s="1146"/>
      <c r="AD792" s="1146"/>
      <c r="AE792" s="1146"/>
      <c r="AF792" s="1146"/>
    </row>
    <row r="793" spans="1:48" s="572" customFormat="1" ht="30" customHeight="1">
      <c r="A793" s="1169">
        <v>1</v>
      </c>
      <c r="B793" s="1170"/>
      <c r="C793" s="569" t="s">
        <v>4574</v>
      </c>
      <c r="D793" s="570"/>
      <c r="E793" s="570"/>
      <c r="F793" s="570"/>
      <c r="G793" s="570"/>
      <c r="H793" s="570"/>
      <c r="I793" s="570"/>
      <c r="J793" s="570"/>
      <c r="K793" s="570"/>
      <c r="L793" s="570"/>
      <c r="M793" s="569"/>
      <c r="N793" s="570"/>
      <c r="O793" s="570"/>
      <c r="P793" s="570"/>
      <c r="Q793" s="570"/>
      <c r="R793" s="570"/>
      <c r="S793" s="570"/>
      <c r="T793" s="570"/>
      <c r="U793" s="570"/>
      <c r="V793" s="570"/>
      <c r="W793" s="571"/>
      <c r="X793" s="571"/>
      <c r="Y793" s="571"/>
      <c r="Z793" s="571"/>
      <c r="AA793" s="571"/>
      <c r="AB793" s="571"/>
      <c r="AC793" s="571"/>
      <c r="AD793" s="571"/>
      <c r="AE793" s="571"/>
      <c r="AF793" s="571"/>
      <c r="AG793" s="571"/>
      <c r="AH793" s="571"/>
      <c r="AI793" s="571"/>
      <c r="AJ793" s="571"/>
      <c r="AK793" s="571"/>
      <c r="AL793" s="571"/>
      <c r="AM793" s="571"/>
      <c r="AN793" s="571"/>
      <c r="AO793" s="571"/>
      <c r="AP793" s="571"/>
      <c r="AQ793" s="571"/>
      <c r="AR793" s="571"/>
      <c r="AS793" s="571"/>
      <c r="AT793" s="571"/>
      <c r="AU793" s="571"/>
      <c r="AV793" s="571"/>
    </row>
    <row r="794" spans="1:48" s="268" customFormat="1" ht="13.5" customHeight="1">
      <c r="A794" s="262"/>
      <c r="B794" s="262"/>
      <c r="C794" s="573" t="s">
        <v>4575</v>
      </c>
      <c r="D794" s="262"/>
      <c r="E794" s="262" t="s">
        <v>4614</v>
      </c>
      <c r="F794" s="262"/>
      <c r="G794" s="262"/>
      <c r="H794" s="262"/>
      <c r="I794" s="262"/>
      <c r="J794" s="262"/>
      <c r="K794" s="262"/>
      <c r="L794" s="574"/>
      <c r="M794" s="262"/>
      <c r="N794" s="575"/>
      <c r="O794" s="575"/>
      <c r="P794" s="262"/>
      <c r="Q794" s="262"/>
      <c r="R794" s="262"/>
      <c r="S794" s="262"/>
      <c r="T794" s="262"/>
      <c r="U794" s="262"/>
      <c r="V794" s="262"/>
      <c r="W794" s="262"/>
      <c r="X794" s="262"/>
      <c r="Y794" s="262"/>
      <c r="Z794" s="262"/>
      <c r="AA794" s="262"/>
      <c r="AB794" s="262"/>
      <c r="AC794" s="262"/>
      <c r="AD794" s="262"/>
      <c r="AE794" s="262"/>
      <c r="AF794" s="262"/>
      <c r="AG794" s="262"/>
      <c r="AH794" s="574"/>
      <c r="AI794" s="262"/>
      <c r="AJ794" s="574" t="s">
        <v>4426</v>
      </c>
      <c r="AK794" s="1174"/>
      <c r="AL794" s="1174"/>
      <c r="AM794" s="1172">
        <f>SUM(AA795:AI797)</f>
        <v>0</v>
      </c>
      <c r="AN794" s="1172"/>
      <c r="AO794" s="1172"/>
      <c r="AP794" s="1173"/>
      <c r="AQ794" s="1173"/>
      <c r="AR794" s="1173"/>
      <c r="AS794" s="1173"/>
      <c r="AT794" s="1173"/>
      <c r="AU794" s="1173"/>
      <c r="AV794" s="262"/>
    </row>
    <row r="795" spans="1:48" s="268" customFormat="1" ht="13.5" customHeight="1">
      <c r="A795" s="262"/>
      <c r="B795" s="262"/>
      <c r="C795" s="1176"/>
      <c r="D795" s="1173"/>
      <c r="E795" s="262" t="str">
        <f>+C713</f>
        <v>VALOR DE LA EDIFICACIÓN</v>
      </c>
      <c r="F795" s="262"/>
      <c r="G795" s="262"/>
      <c r="H795" s="262"/>
      <c r="I795" s="262"/>
      <c r="J795" s="262"/>
      <c r="K795" s="262"/>
      <c r="L795" s="574"/>
      <c r="M795" s="262"/>
      <c r="N795" s="575"/>
      <c r="O795" s="575"/>
      <c r="P795" s="262"/>
      <c r="Q795" s="262"/>
      <c r="R795" s="262"/>
      <c r="S795" s="262"/>
      <c r="T795" s="262"/>
      <c r="U795" s="262"/>
      <c r="V795" s="262"/>
      <c r="W795" s="262"/>
      <c r="X795" s="574"/>
      <c r="Y795" s="262"/>
      <c r="Z795" s="574" t="s">
        <v>4359</v>
      </c>
      <c r="AA795" s="1172">
        <f>+AO720</f>
        <v>0</v>
      </c>
      <c r="AB795" s="1172"/>
      <c r="AC795" s="1172"/>
      <c r="AD795" s="1173"/>
      <c r="AE795" s="1173"/>
      <c r="AF795" s="1173"/>
      <c r="AG795" s="1173"/>
      <c r="AH795" s="1173"/>
      <c r="AI795" s="1173"/>
      <c r="AV795" s="262"/>
    </row>
    <row r="796" spans="1:48" s="268" customFormat="1" ht="13.5" customHeight="1">
      <c r="A796" s="262"/>
      <c r="B796" s="262"/>
      <c r="C796" s="1176"/>
      <c r="D796" s="1173"/>
      <c r="E796" s="578" t="str">
        <f>+C723</f>
        <v>VALOR DE LAS AREAS COMUNES</v>
      </c>
      <c r="F796" s="262"/>
      <c r="G796" s="262"/>
      <c r="H796" s="262"/>
      <c r="I796" s="262"/>
      <c r="J796" s="262"/>
      <c r="K796" s="262"/>
      <c r="L796" s="574"/>
      <c r="M796" s="262"/>
      <c r="N796" s="575"/>
      <c r="O796" s="575"/>
      <c r="P796" s="262"/>
      <c r="Q796" s="262"/>
      <c r="R796" s="262"/>
      <c r="S796" s="262"/>
      <c r="T796" s="262"/>
      <c r="U796" s="262"/>
      <c r="V796" s="262"/>
      <c r="W796" s="262"/>
      <c r="X796" s="574"/>
      <c r="Y796" s="262"/>
      <c r="Z796" s="574" t="s">
        <v>4359</v>
      </c>
      <c r="AA796" s="1172">
        <f>+AO723</f>
        <v>0</v>
      </c>
      <c r="AB796" s="1172"/>
      <c r="AC796" s="1172"/>
      <c r="AD796" s="1173"/>
      <c r="AE796" s="1173"/>
      <c r="AF796" s="1173"/>
      <c r="AG796" s="1173"/>
      <c r="AH796" s="1173"/>
      <c r="AI796" s="1173"/>
      <c r="AV796" s="262"/>
    </row>
    <row r="797" spans="1:48" s="268" customFormat="1" ht="13.5" customHeight="1">
      <c r="A797" s="262"/>
      <c r="B797" s="262"/>
      <c r="C797" s="1176"/>
      <c r="D797" s="1173"/>
      <c r="E797" s="578" t="str">
        <f>+C736</f>
        <v>VALOR DE LAS OBRAS COMPLEMENTARIAS</v>
      </c>
      <c r="F797" s="262"/>
      <c r="G797" s="262"/>
      <c r="H797" s="262"/>
      <c r="I797" s="262"/>
      <c r="J797" s="262"/>
      <c r="K797" s="262"/>
      <c r="L797" s="574"/>
      <c r="M797" s="262"/>
      <c r="N797" s="575"/>
      <c r="O797" s="575"/>
      <c r="P797" s="262"/>
      <c r="Q797" s="262"/>
      <c r="R797" s="262"/>
      <c r="S797" s="262"/>
      <c r="T797" s="262"/>
      <c r="U797" s="262"/>
      <c r="V797" s="262"/>
      <c r="W797" s="262"/>
      <c r="X797" s="574"/>
      <c r="Y797" s="262"/>
      <c r="Z797" s="574" t="s">
        <v>4359</v>
      </c>
      <c r="AA797" s="1172">
        <f>+AO736</f>
        <v>0</v>
      </c>
      <c r="AB797" s="1172"/>
      <c r="AC797" s="1172"/>
      <c r="AD797" s="1173"/>
      <c r="AE797" s="1173"/>
      <c r="AF797" s="1173"/>
      <c r="AG797" s="1173"/>
      <c r="AH797" s="1173"/>
      <c r="AI797" s="1173"/>
      <c r="AM797" s="579"/>
      <c r="AN797" s="579"/>
      <c r="AO797" s="579"/>
      <c r="AP797" s="579"/>
      <c r="AQ797" s="579"/>
      <c r="AR797" s="579"/>
      <c r="AS797" s="579"/>
      <c r="AT797" s="579"/>
      <c r="AU797" s="579"/>
      <c r="AV797" s="262"/>
    </row>
    <row r="798" spans="1:48" s="676" customFormat="1" ht="12">
      <c r="A798" s="302"/>
      <c r="B798" s="302"/>
      <c r="C798" s="672"/>
      <c r="D798" s="302"/>
      <c r="E798" s="580" t="s">
        <v>4615</v>
      </c>
      <c r="F798" s="302"/>
      <c r="G798" s="302"/>
      <c r="H798" s="302"/>
      <c r="I798" s="302"/>
      <c r="J798" s="302"/>
      <c r="K798" s="302"/>
      <c r="L798" s="673"/>
      <c r="M798" s="302"/>
      <c r="N798" s="674"/>
      <c r="O798" s="674"/>
      <c r="P798" s="302"/>
      <c r="Q798" s="302"/>
      <c r="R798" s="302"/>
      <c r="S798" s="302"/>
      <c r="T798" s="302"/>
      <c r="U798" s="302"/>
      <c r="V798" s="302"/>
      <c r="W798" s="302"/>
      <c r="X798" s="673"/>
      <c r="Y798" s="302"/>
      <c r="Z798" s="673"/>
      <c r="AA798" s="675"/>
      <c r="AB798" s="675"/>
      <c r="AC798" s="675"/>
      <c r="AD798" s="302"/>
      <c r="AE798" s="302"/>
      <c r="AF798" s="302"/>
      <c r="AG798" s="302"/>
      <c r="AH798" s="302"/>
      <c r="AI798" s="302"/>
      <c r="AJ798" s="673" t="s">
        <v>4426</v>
      </c>
      <c r="AK798" s="1273"/>
      <c r="AL798" s="1273"/>
      <c r="AM798" s="1172">
        <f>SUM(AM794:AU794)</f>
        <v>0</v>
      </c>
      <c r="AN798" s="1172"/>
      <c r="AO798" s="1172"/>
      <c r="AP798" s="1173"/>
      <c r="AQ798" s="1173"/>
      <c r="AR798" s="1173"/>
      <c r="AS798" s="1173"/>
      <c r="AT798" s="1173"/>
      <c r="AU798" s="1173"/>
      <c r="AV798" s="302"/>
    </row>
    <row r="799" spans="1:48" s="268" customFormat="1" ht="12">
      <c r="A799" s="262"/>
      <c r="B799" s="262"/>
      <c r="C799" s="573"/>
      <c r="D799" s="262"/>
      <c r="E799" s="677" t="s">
        <v>4579</v>
      </c>
      <c r="F799" s="262"/>
      <c r="G799" s="262"/>
      <c r="H799" s="262"/>
      <c r="I799" s="262"/>
      <c r="J799" s="262"/>
      <c r="K799" s="262"/>
      <c r="L799" s="574"/>
      <c r="M799" s="262"/>
      <c r="N799" s="575"/>
      <c r="O799" s="575"/>
      <c r="P799" s="262"/>
      <c r="Q799" s="262"/>
      <c r="R799" s="262"/>
      <c r="S799" s="262"/>
      <c r="T799" s="262"/>
      <c r="U799" s="262"/>
      <c r="V799" s="262"/>
      <c r="W799" s="262"/>
      <c r="X799" s="574"/>
      <c r="Y799" s="262"/>
      <c r="Z799" s="574"/>
      <c r="AA799" s="577"/>
      <c r="AB799" s="577"/>
      <c r="AC799" s="577"/>
      <c r="AD799" s="262"/>
      <c r="AE799" s="262"/>
      <c r="AF799" s="262"/>
      <c r="AG799" s="262"/>
      <c r="AH799" s="262"/>
      <c r="AI799" s="262"/>
      <c r="AJ799" s="574"/>
      <c r="AK799" s="576"/>
      <c r="AL799" s="576"/>
      <c r="AM799" s="577"/>
      <c r="AN799" s="577"/>
      <c r="AO799" s="577"/>
      <c r="AP799" s="262"/>
      <c r="AQ799" s="262"/>
      <c r="AR799" s="262"/>
      <c r="AS799" s="262"/>
      <c r="AT799" s="262"/>
      <c r="AU799" s="262"/>
      <c r="AV799" s="262"/>
    </row>
    <row r="800" spans="1:48" s="268" customFormat="1" ht="26.25" customHeight="1">
      <c r="A800" s="262"/>
      <c r="B800" s="262"/>
      <c r="C800" s="573"/>
      <c r="D800" s="262"/>
      <c r="E800" s="1250" t="s">
        <v>4580</v>
      </c>
      <c r="F800" s="1250"/>
      <c r="G800" s="1250"/>
      <c r="H800" s="1250"/>
      <c r="I800" s="1250"/>
      <c r="J800" s="1250"/>
      <c r="K800" s="1250"/>
      <c r="L800" s="1250"/>
      <c r="M800" s="1250"/>
      <c r="N800" s="1250"/>
      <c r="O800" s="1250"/>
      <c r="P800" s="1250"/>
      <c r="Q800" s="1250"/>
      <c r="R800" s="1250"/>
      <c r="S800" s="1250"/>
      <c r="T800" s="1250"/>
      <c r="U800" s="1250"/>
      <c r="V800" s="1250"/>
      <c r="W800" s="1250"/>
      <c r="X800" s="1250"/>
      <c r="Y800" s="1250"/>
      <c r="Z800" s="1250"/>
      <c r="AA800" s="1250"/>
      <c r="AB800" s="1250"/>
      <c r="AC800" s="1250"/>
      <c r="AD800" s="1250"/>
      <c r="AE800" s="1250"/>
      <c r="AF800" s="1250"/>
      <c r="AG800" s="1250"/>
      <c r="AH800" s="1250"/>
      <c r="AI800" s="1250"/>
      <c r="AJ800" s="1250"/>
      <c r="AK800" s="1250"/>
      <c r="AL800" s="1250"/>
      <c r="AM800" s="1250"/>
      <c r="AN800" s="1250"/>
      <c r="AO800" s="1250"/>
      <c r="AP800" s="1250"/>
      <c r="AQ800" s="1250"/>
      <c r="AR800" s="1250"/>
      <c r="AS800" s="1250"/>
      <c r="AT800" s="1250"/>
      <c r="AU800" s="1250"/>
      <c r="AV800" s="1250"/>
    </row>
    <row r="801" spans="1:48" s="268" customFormat="1" ht="12">
      <c r="A801" s="262"/>
      <c r="B801" s="262"/>
      <c r="C801" s="573"/>
      <c r="D801" s="262"/>
      <c r="E801" s="1171">
        <f>+E452</f>
        <v>1</v>
      </c>
      <c r="F801" s="1171"/>
      <c r="G801" s="1171"/>
      <c r="H801" s="1171"/>
      <c r="I801" s="1171"/>
      <c r="J801" s="1171"/>
      <c r="K801" s="1171"/>
      <c r="L801" s="574"/>
      <c r="M801" s="262"/>
      <c r="N801" s="575"/>
      <c r="O801" s="575" t="s">
        <v>4508</v>
      </c>
      <c r="P801" s="262"/>
      <c r="Q801" s="262"/>
      <c r="R801" s="262"/>
      <c r="S801" s="262"/>
      <c r="T801" s="1172">
        <f>+AM798</f>
        <v>0</v>
      </c>
      <c r="U801" s="1172"/>
      <c r="V801" s="1172"/>
      <c r="W801" s="1173"/>
      <c r="X801" s="1173"/>
      <c r="Y801" s="1173"/>
      <c r="Z801" s="1173"/>
      <c r="AA801" s="1173"/>
      <c r="AB801" s="1173"/>
      <c r="AC801" s="577"/>
      <c r="AD801" s="262"/>
      <c r="AE801" s="262"/>
      <c r="AF801" s="262"/>
      <c r="AG801" s="262"/>
      <c r="AH801" s="262"/>
      <c r="AI801" s="262"/>
      <c r="AJ801" s="574" t="s">
        <v>4426</v>
      </c>
      <c r="AK801" s="1174"/>
      <c r="AL801" s="1174"/>
      <c r="AM801" s="1172">
        <f>ROUND(E801*T801,1)</f>
        <v>0</v>
      </c>
      <c r="AN801" s="1172"/>
      <c r="AO801" s="1172"/>
      <c r="AP801" s="1173"/>
      <c r="AQ801" s="1173"/>
      <c r="AR801" s="1173"/>
      <c r="AS801" s="1173"/>
      <c r="AT801" s="1173"/>
      <c r="AU801" s="1173"/>
      <c r="AV801" s="262"/>
    </row>
    <row r="802" spans="1:48" s="268" customFormat="1" ht="13.5" hidden="1" customHeight="1">
      <c r="A802" s="262"/>
      <c r="B802" s="262"/>
      <c r="C802" s="1176"/>
      <c r="D802" s="1173"/>
      <c r="E802" s="578" t="str">
        <f>+C737</f>
        <v>VALOR DEL ESTACIONAMIENTO Nº …</v>
      </c>
      <c r="F802" s="262"/>
      <c r="G802" s="262"/>
      <c r="H802" s="262"/>
      <c r="I802" s="262"/>
      <c r="J802" s="262"/>
      <c r="K802" s="262"/>
      <c r="L802" s="574"/>
      <c r="M802" s="262"/>
      <c r="N802" s="575"/>
      <c r="O802" s="575"/>
      <c r="P802" s="262"/>
      <c r="Q802" s="262"/>
      <c r="R802" s="262"/>
      <c r="S802" s="262"/>
      <c r="T802" s="262"/>
      <c r="U802" s="262"/>
      <c r="V802" s="262"/>
      <c r="W802" s="262"/>
      <c r="X802" s="574"/>
      <c r="Y802" s="262"/>
      <c r="Z802" s="574"/>
      <c r="AA802" s="577"/>
      <c r="AB802" s="577"/>
      <c r="AC802" s="577"/>
      <c r="AD802" s="262"/>
      <c r="AE802" s="262"/>
      <c r="AF802" s="262"/>
      <c r="AG802" s="262"/>
      <c r="AH802" s="262"/>
      <c r="AI802" s="262"/>
      <c r="AJ802" s="574" t="s">
        <v>4426</v>
      </c>
      <c r="AK802" s="1174"/>
      <c r="AL802" s="1174"/>
      <c r="AM802" s="1172">
        <f>+AO739</f>
        <v>0</v>
      </c>
      <c r="AN802" s="1172"/>
      <c r="AO802" s="1172"/>
      <c r="AP802" s="1173"/>
      <c r="AQ802" s="1173"/>
      <c r="AR802" s="1173"/>
      <c r="AS802" s="1173"/>
      <c r="AT802" s="1173"/>
      <c r="AU802" s="1173"/>
      <c r="AV802" s="262"/>
    </row>
    <row r="803" spans="1:48" s="268" customFormat="1" ht="13.5" hidden="1" customHeight="1">
      <c r="A803" s="262"/>
      <c r="B803" s="262"/>
      <c r="C803" s="1176"/>
      <c r="D803" s="1173"/>
      <c r="E803" s="578" t="str">
        <f>+C740</f>
        <v>VALOR DEL DEPOSITO Nº ..</v>
      </c>
      <c r="F803" s="262"/>
      <c r="G803" s="262"/>
      <c r="H803" s="262"/>
      <c r="I803" s="262"/>
      <c r="J803" s="262"/>
      <c r="K803" s="262"/>
      <c r="L803" s="574"/>
      <c r="M803" s="262"/>
      <c r="N803" s="575"/>
      <c r="O803" s="575"/>
      <c r="P803" s="262"/>
      <c r="Q803" s="262"/>
      <c r="R803" s="262"/>
      <c r="S803" s="262"/>
      <c r="T803" s="262"/>
      <c r="U803" s="262"/>
      <c r="V803" s="262"/>
      <c r="W803" s="262"/>
      <c r="X803" s="574"/>
      <c r="Y803" s="262"/>
      <c r="Z803" s="574"/>
      <c r="AA803" s="577"/>
      <c r="AB803" s="577"/>
      <c r="AC803" s="577"/>
      <c r="AD803" s="262"/>
      <c r="AE803" s="262"/>
      <c r="AF803" s="262"/>
      <c r="AG803" s="262"/>
      <c r="AH803" s="262"/>
      <c r="AI803" s="262"/>
      <c r="AJ803" s="574" t="s">
        <v>4426</v>
      </c>
      <c r="AK803" s="1174"/>
      <c r="AL803" s="1174"/>
      <c r="AM803" s="1172">
        <f>+AO742</f>
        <v>0</v>
      </c>
      <c r="AN803" s="1172"/>
      <c r="AO803" s="1172"/>
      <c r="AP803" s="1173"/>
      <c r="AQ803" s="1173"/>
      <c r="AR803" s="1173"/>
      <c r="AS803" s="1173"/>
      <c r="AT803" s="1173"/>
      <c r="AU803" s="1173"/>
      <c r="AV803" s="262"/>
    </row>
    <row r="804" spans="1:48" s="587" customFormat="1" ht="15.95" customHeight="1" thickBot="1">
      <c r="A804" s="581"/>
      <c r="B804" s="581"/>
      <c r="C804" s="582" t="s">
        <v>4521</v>
      </c>
      <c r="D804" s="583"/>
      <c r="E804" s="583"/>
      <c r="F804" s="583"/>
      <c r="G804" s="583" t="str">
        <f>C793</f>
        <v>VALOR  COMERCIAL DEL INMUEBLE (VCI)</v>
      </c>
      <c r="H804" s="583"/>
      <c r="I804" s="583"/>
      <c r="J804" s="583"/>
      <c r="K804" s="583"/>
      <c r="L804" s="584"/>
      <c r="M804" s="583"/>
      <c r="N804" s="585"/>
      <c r="O804" s="585"/>
      <c r="P804" s="583"/>
      <c r="Q804" s="583"/>
      <c r="R804" s="583"/>
      <c r="S804" s="583"/>
      <c r="T804" s="583"/>
      <c r="U804" s="583"/>
      <c r="V804" s="583"/>
      <c r="W804" s="583"/>
      <c r="X804" s="583"/>
      <c r="Y804" s="583"/>
      <c r="Z804" s="583"/>
      <c r="AA804" s="583"/>
      <c r="AB804" s="583"/>
      <c r="AC804" s="583"/>
      <c r="AD804" s="583"/>
      <c r="AE804" s="583"/>
      <c r="AF804" s="583"/>
      <c r="AG804" s="583"/>
      <c r="AH804" s="584"/>
      <c r="AI804" s="583"/>
      <c r="AJ804" s="584" t="s">
        <v>4426</v>
      </c>
      <c r="AK804" s="1182"/>
      <c r="AL804" s="1182"/>
      <c r="AM804" s="1271">
        <f>ROUND(SUM(AM801:AU803),1)</f>
        <v>0</v>
      </c>
      <c r="AN804" s="1271"/>
      <c r="AO804" s="1271"/>
      <c r="AP804" s="1272"/>
      <c r="AQ804" s="1272"/>
      <c r="AR804" s="1272"/>
      <c r="AS804" s="1272"/>
      <c r="AT804" s="1272"/>
      <c r="AU804" s="1272"/>
      <c r="AV804" s="586"/>
    </row>
    <row r="805" spans="1:48" s="268" customFormat="1" ht="20.100000000000001" customHeight="1">
      <c r="A805" s="262"/>
      <c r="B805" s="262"/>
      <c r="C805" s="1185" t="str">
        <f>+CONCATENATE("SON: ",[4]!NumeLetras(AM804,"CON","DOLARES AMERICANOS",1))</f>
        <v>SON: CON 00/100 DOLARES AMERICANOS</v>
      </c>
      <c r="D805" s="1185"/>
      <c r="E805" s="1185"/>
      <c r="F805" s="1185"/>
      <c r="G805" s="1185"/>
      <c r="H805" s="1185"/>
      <c r="I805" s="1185"/>
      <c r="J805" s="1185"/>
      <c r="K805" s="1185"/>
      <c r="L805" s="1185"/>
      <c r="M805" s="1185"/>
      <c r="N805" s="1185"/>
      <c r="O805" s="1185"/>
      <c r="P805" s="1185"/>
      <c r="Q805" s="1185"/>
      <c r="R805" s="1185"/>
      <c r="S805" s="1185"/>
      <c r="T805" s="1185"/>
      <c r="U805" s="1173"/>
      <c r="V805" s="1173"/>
      <c r="W805" s="1173"/>
      <c r="X805" s="1173"/>
      <c r="Y805" s="1173"/>
      <c r="Z805" s="1173"/>
      <c r="AA805" s="1173"/>
      <c r="AB805" s="1173"/>
      <c r="AC805" s="1173"/>
      <c r="AD805" s="1173"/>
      <c r="AE805" s="1173"/>
      <c r="AF805" s="1173"/>
      <c r="AG805" s="1173"/>
      <c r="AH805" s="1173"/>
      <c r="AI805" s="1173"/>
      <c r="AJ805" s="1173"/>
      <c r="AK805" s="1173"/>
      <c r="AL805" s="1173"/>
      <c r="AM805" s="1173"/>
      <c r="AN805" s="1173"/>
      <c r="AO805" s="1173"/>
      <c r="AP805" s="1173"/>
      <c r="AQ805" s="1173"/>
      <c r="AR805" s="1173"/>
      <c r="AS805" s="1173"/>
      <c r="AT805" s="1173"/>
      <c r="AU805" s="1173"/>
      <c r="AV805" s="1173"/>
    </row>
    <row r="806" spans="1:48" s="268" customFormat="1" ht="30" customHeight="1">
      <c r="A806" s="1169">
        <f>1+A793</f>
        <v>2</v>
      </c>
      <c r="B806" s="1170"/>
      <c r="C806" s="589" t="s">
        <v>4583</v>
      </c>
      <c r="D806" s="590"/>
      <c r="E806" s="590"/>
      <c r="F806" s="590"/>
      <c r="G806" s="590"/>
      <c r="H806" s="590"/>
      <c r="I806" s="590"/>
      <c r="J806" s="590"/>
      <c r="K806" s="590"/>
      <c r="L806" s="590"/>
      <c r="M806" s="590"/>
      <c r="N806" s="590"/>
      <c r="O806" s="590"/>
      <c r="P806" s="590"/>
      <c r="Q806" s="590"/>
      <c r="R806" s="590"/>
      <c r="S806" s="590"/>
      <c r="T806" s="590"/>
      <c r="U806" s="590"/>
      <c r="V806" s="590"/>
      <c r="W806" s="590"/>
      <c r="X806" s="262"/>
      <c r="Y806" s="262"/>
      <c r="Z806" s="262"/>
      <c r="AA806" s="262"/>
      <c r="AB806" s="262"/>
      <c r="AC806" s="262"/>
      <c r="AD806" s="262"/>
      <c r="AE806" s="262"/>
      <c r="AF806" s="262"/>
      <c r="AG806" s="262"/>
      <c r="AH806" s="262"/>
      <c r="AI806" s="262"/>
      <c r="AJ806" s="262"/>
      <c r="AK806" s="262"/>
      <c r="AL806" s="262"/>
      <c r="AM806" s="262"/>
      <c r="AN806" s="262"/>
      <c r="AO806" s="262"/>
      <c r="AP806" s="262"/>
      <c r="AQ806" s="262"/>
      <c r="AR806" s="262"/>
      <c r="AS806" s="262"/>
      <c r="AT806" s="262"/>
      <c r="AU806" s="262"/>
      <c r="AV806" s="262"/>
    </row>
    <row r="807" spans="1:48" s="268" customFormat="1" ht="15" customHeight="1">
      <c r="A807" s="262"/>
      <c r="B807" s="262"/>
      <c r="C807" s="591" t="s">
        <v>4584</v>
      </c>
      <c r="D807" s="592"/>
      <c r="E807" s="592"/>
      <c r="F807" s="592"/>
      <c r="G807" s="592"/>
      <c r="H807" s="593"/>
      <c r="I807" s="593"/>
      <c r="J807" s="594"/>
      <c r="K807" s="592"/>
      <c r="L807" s="592"/>
      <c r="M807" s="592"/>
      <c r="N807" s="592"/>
      <c r="O807" s="592"/>
      <c r="P807" s="592"/>
      <c r="Q807" s="262"/>
      <c r="R807" s="262"/>
      <c r="S807" s="262"/>
      <c r="T807" s="262"/>
      <c r="U807" s="262"/>
      <c r="V807" s="262"/>
      <c r="W807" s="262"/>
      <c r="X807" s="262"/>
      <c r="Y807" s="262"/>
      <c r="Z807" s="262"/>
      <c r="AA807" s="262"/>
      <c r="AB807" s="262"/>
      <c r="AC807" s="262"/>
      <c r="AD807" s="262"/>
      <c r="AE807" s="262"/>
      <c r="AF807" s="262"/>
      <c r="AG807" s="262"/>
      <c r="AH807" s="262"/>
      <c r="AI807" s="262"/>
      <c r="AJ807" s="262"/>
      <c r="AK807" s="262"/>
      <c r="AL807" s="262"/>
      <c r="AM807" s="262"/>
      <c r="AN807" s="262"/>
      <c r="AO807" s="262"/>
      <c r="AP807" s="262"/>
      <c r="AQ807" s="262"/>
      <c r="AR807" s="262"/>
      <c r="AS807" s="262"/>
      <c r="AT807" s="262"/>
      <c r="AU807" s="262"/>
      <c r="AV807" s="262"/>
    </row>
    <row r="808" spans="1:48" s="268" customFormat="1" ht="15" customHeight="1">
      <c r="A808" s="262"/>
      <c r="B808" s="262"/>
      <c r="C808" s="262" t="s">
        <v>4585</v>
      </c>
      <c r="D808" s="262"/>
      <c r="E808" s="262"/>
      <c r="F808" s="262"/>
      <c r="G808" s="262"/>
      <c r="H808" s="595"/>
      <c r="I808" s="595"/>
      <c r="J808" s="595"/>
      <c r="K808" s="262"/>
      <c r="L808" s="262"/>
      <c r="M808" s="262"/>
      <c r="N808" s="262"/>
      <c r="O808" s="262"/>
      <c r="P808" s="262"/>
      <c r="Q808" s="262"/>
      <c r="R808" s="262"/>
      <c r="S808" s="262"/>
      <c r="T808" s="262"/>
      <c r="U808" s="262"/>
      <c r="V808" s="262"/>
      <c r="W808" s="262"/>
      <c r="X808" s="262"/>
      <c r="Y808" s="262"/>
      <c r="Z808" s="262"/>
      <c r="AA808" s="262"/>
      <c r="AB808" s="262"/>
      <c r="AC808" s="262"/>
      <c r="AD808" s="262"/>
      <c r="AE808" s="262"/>
      <c r="AF808" s="262"/>
      <c r="AG808" s="262"/>
      <c r="AH808" s="262"/>
      <c r="AI808" s="262"/>
      <c r="AJ808" s="262"/>
      <c r="AK808" s="262"/>
      <c r="AL808" s="262"/>
      <c r="AM808" s="262"/>
      <c r="AN808" s="262"/>
      <c r="AO808" s="262"/>
      <c r="AP808" s="262"/>
      <c r="AQ808" s="262"/>
      <c r="AR808" s="262"/>
      <c r="AS808" s="262"/>
      <c r="AT808" s="262"/>
      <c r="AU808" s="262"/>
      <c r="AV808" s="262"/>
    </row>
    <row r="809" spans="1:48" s="268" customFormat="1" ht="15" customHeight="1">
      <c r="A809" s="262"/>
      <c r="B809" s="262"/>
      <c r="C809" s="1177" t="s">
        <v>4586</v>
      </c>
      <c r="D809" s="1177"/>
      <c r="E809" s="262" t="s">
        <v>4587</v>
      </c>
      <c r="F809" s="262"/>
      <c r="G809" s="262"/>
      <c r="H809" s="595"/>
      <c r="I809" s="595"/>
      <c r="J809" s="595"/>
      <c r="K809" s="262"/>
      <c r="L809" s="262"/>
      <c r="M809" s="262"/>
      <c r="N809" s="262"/>
      <c r="O809" s="262"/>
      <c r="P809" s="262"/>
      <c r="Q809" s="262"/>
      <c r="R809" s="262"/>
      <c r="S809" s="262"/>
      <c r="T809" s="262"/>
      <c r="U809" s="262"/>
      <c r="V809" s="262"/>
      <c r="W809" s="262"/>
      <c r="X809" s="262"/>
      <c r="Y809" s="262"/>
      <c r="Z809" s="262"/>
      <c r="AA809" s="262"/>
      <c r="AB809" s="262"/>
      <c r="AC809" s="262"/>
      <c r="AD809" s="262"/>
      <c r="AE809" s="262"/>
      <c r="AF809" s="262"/>
      <c r="AG809" s="262"/>
      <c r="AH809" s="1178">
        <v>0.02</v>
      </c>
      <c r="AI809" s="1173"/>
      <c r="AJ809" s="1173"/>
      <c r="AK809" s="1173"/>
      <c r="AL809" s="1173"/>
      <c r="AM809" s="262"/>
      <c r="AN809" s="262"/>
      <c r="AO809" s="262"/>
      <c r="AP809" s="262"/>
      <c r="AQ809" s="262"/>
      <c r="AR809" s="262"/>
      <c r="AS809" s="262"/>
      <c r="AT809" s="262"/>
      <c r="AU809" s="262"/>
      <c r="AV809" s="262"/>
    </row>
    <row r="810" spans="1:48" s="268" customFormat="1" ht="12">
      <c r="A810" s="262"/>
      <c r="B810" s="262"/>
      <c r="C810" s="1177" t="s">
        <v>4586</v>
      </c>
      <c r="D810" s="1177"/>
      <c r="E810" s="262" t="s">
        <v>4588</v>
      </c>
      <c r="F810" s="262"/>
      <c r="G810" s="262"/>
      <c r="H810" s="595"/>
      <c r="I810" s="595"/>
      <c r="J810" s="595"/>
      <c r="K810" s="262"/>
      <c r="L810" s="262"/>
      <c r="M810" s="262"/>
      <c r="N810" s="262"/>
      <c r="O810" s="262"/>
      <c r="P810" s="262"/>
      <c r="Q810" s="262"/>
      <c r="R810" s="262"/>
      <c r="S810" s="262"/>
      <c r="T810" s="262"/>
      <c r="U810" s="262"/>
      <c r="V810" s="262"/>
      <c r="W810" s="262"/>
      <c r="X810" s="262"/>
      <c r="Y810" s="262"/>
      <c r="Z810" s="262"/>
      <c r="AA810" s="262"/>
      <c r="AB810" s="262"/>
      <c r="AC810" s="262"/>
      <c r="AD810" s="262"/>
      <c r="AE810" s="262"/>
      <c r="AF810" s="262"/>
      <c r="AG810" s="262"/>
      <c r="AH810" s="1178">
        <v>2E-3</v>
      </c>
      <c r="AI810" s="1173"/>
      <c r="AJ810" s="1173"/>
      <c r="AK810" s="1173"/>
      <c r="AL810" s="1173"/>
      <c r="AM810" s="262"/>
      <c r="AN810" s="262"/>
      <c r="AO810" s="262"/>
      <c r="AP810" s="262"/>
      <c r="AQ810" s="262"/>
      <c r="AR810" s="262"/>
      <c r="AS810" s="262"/>
      <c r="AT810" s="262"/>
      <c r="AU810" s="262"/>
      <c r="AV810" s="262"/>
    </row>
    <row r="811" spans="1:48" s="268" customFormat="1" ht="12">
      <c r="A811" s="262"/>
      <c r="B811" s="262"/>
      <c r="C811" s="1177" t="s">
        <v>4586</v>
      </c>
      <c r="D811" s="1177"/>
      <c r="E811" s="262" t="s">
        <v>4589</v>
      </c>
      <c r="F811" s="262"/>
      <c r="G811" s="262"/>
      <c r="H811" s="596"/>
      <c r="I811" s="262"/>
      <c r="J811" s="595"/>
      <c r="K811" s="262"/>
      <c r="L811" s="262"/>
      <c r="M811" s="262"/>
      <c r="N811" s="262"/>
      <c r="O811" s="262"/>
      <c r="P811" s="262"/>
      <c r="Q811" s="262"/>
      <c r="R811" s="262"/>
      <c r="S811" s="262"/>
      <c r="T811" s="262"/>
      <c r="U811" s="262"/>
      <c r="V811" s="262"/>
      <c r="W811" s="262"/>
      <c r="X811" s="262"/>
      <c r="Y811" s="262"/>
      <c r="Z811" s="262"/>
      <c r="AA811" s="262"/>
      <c r="AB811" s="262"/>
      <c r="AC811" s="262"/>
      <c r="AD811" s="262"/>
      <c r="AE811" s="262"/>
      <c r="AF811" s="262"/>
      <c r="AG811" s="262"/>
      <c r="AH811" s="1178">
        <v>0.04</v>
      </c>
      <c r="AI811" s="1173"/>
      <c r="AJ811" s="1173"/>
      <c r="AK811" s="1173"/>
      <c r="AL811" s="1173"/>
      <c r="AM811" s="262"/>
      <c r="AN811" s="262"/>
      <c r="AO811" s="262"/>
      <c r="AP811" s="262"/>
      <c r="AQ811" s="262"/>
      <c r="AR811" s="262"/>
      <c r="AS811" s="262"/>
      <c r="AT811" s="262"/>
      <c r="AU811" s="262"/>
      <c r="AV811" s="262"/>
    </row>
    <row r="812" spans="1:48" s="268" customFormat="1" ht="12">
      <c r="A812" s="262"/>
      <c r="B812" s="262"/>
      <c r="C812" s="1177" t="s">
        <v>4586</v>
      </c>
      <c r="D812" s="1177"/>
      <c r="E812" s="262" t="s">
        <v>4590</v>
      </c>
      <c r="F812" s="262"/>
      <c r="G812" s="262"/>
      <c r="H812" s="596"/>
      <c r="I812" s="262"/>
      <c r="J812" s="595"/>
      <c r="K812" s="262"/>
      <c r="L812" s="262"/>
      <c r="M812" s="262"/>
      <c r="N812" s="262"/>
      <c r="O812" s="262"/>
      <c r="P812" s="262"/>
      <c r="Q812" s="262"/>
      <c r="R812" s="262"/>
      <c r="S812" s="262"/>
      <c r="T812" s="262"/>
      <c r="U812" s="262"/>
      <c r="V812" s="262"/>
      <c r="W812" s="262"/>
      <c r="X812" s="262"/>
      <c r="Y812" s="262"/>
      <c r="Z812" s="262"/>
      <c r="AA812" s="262"/>
      <c r="AB812" s="262"/>
      <c r="AC812" s="262"/>
      <c r="AD812" s="262"/>
      <c r="AE812" s="262"/>
      <c r="AF812" s="262"/>
      <c r="AG812" s="262"/>
      <c r="AH812" s="1178">
        <v>0.02</v>
      </c>
      <c r="AI812" s="1173"/>
      <c r="AJ812" s="1173"/>
      <c r="AK812" s="1173"/>
      <c r="AL812" s="1173"/>
      <c r="AM812" s="262"/>
      <c r="AN812" s="262"/>
      <c r="AO812" s="262"/>
      <c r="AP812" s="262"/>
      <c r="AQ812" s="262"/>
      <c r="AR812" s="262"/>
      <c r="AS812" s="262"/>
      <c r="AT812" s="262"/>
      <c r="AU812" s="262"/>
      <c r="AV812" s="262"/>
    </row>
    <row r="813" spans="1:48" s="268" customFormat="1" ht="12">
      <c r="A813" s="262"/>
      <c r="B813" s="262"/>
      <c r="C813" s="1177" t="s">
        <v>4586</v>
      </c>
      <c r="D813" s="1177"/>
      <c r="E813" s="262" t="s">
        <v>4591</v>
      </c>
      <c r="F813" s="262"/>
      <c r="G813" s="262"/>
      <c r="H813" s="596"/>
      <c r="I813" s="262"/>
      <c r="J813" s="595"/>
      <c r="K813" s="262"/>
      <c r="L813" s="262"/>
      <c r="M813" s="262"/>
      <c r="N813" s="262"/>
      <c r="O813" s="262"/>
      <c r="P813" s="262"/>
      <c r="Q813" s="262"/>
      <c r="R813" s="262"/>
      <c r="S813" s="262"/>
      <c r="T813" s="262"/>
      <c r="U813" s="262"/>
      <c r="V813" s="262"/>
      <c r="W813" s="262"/>
      <c r="X813" s="262"/>
      <c r="Y813" s="262"/>
      <c r="Z813" s="262"/>
      <c r="AA813" s="262"/>
      <c r="AB813" s="262"/>
      <c r="AC813" s="262"/>
      <c r="AD813" s="262"/>
      <c r="AE813" s="262"/>
      <c r="AF813" s="262"/>
      <c r="AG813" s="262"/>
      <c r="AH813" s="1178">
        <f>+AH814-AH809-AH810-AH811-AH812</f>
        <v>0.11800000000000001</v>
      </c>
      <c r="AI813" s="1173"/>
      <c r="AJ813" s="1173"/>
      <c r="AK813" s="1173"/>
      <c r="AL813" s="1173"/>
      <c r="AM813" s="262"/>
      <c r="AN813" s="262"/>
      <c r="AO813" s="262"/>
      <c r="AP813" s="262"/>
      <c r="AQ813" s="262"/>
      <c r="AR813" s="262"/>
      <c r="AS813" s="262"/>
      <c r="AT813" s="262"/>
      <c r="AU813" s="262"/>
      <c r="AV813" s="262"/>
    </row>
    <row r="814" spans="1:48" s="268" customFormat="1" thickBot="1">
      <c r="A814" s="262"/>
      <c r="B814" s="262"/>
      <c r="C814" s="597" t="s">
        <v>4592</v>
      </c>
      <c r="D814" s="598"/>
      <c r="E814" s="598"/>
      <c r="F814" s="598"/>
      <c r="G814" s="598"/>
      <c r="H814" s="599"/>
      <c r="I814" s="598"/>
      <c r="J814" s="600"/>
      <c r="K814" s="598"/>
      <c r="L814" s="598"/>
      <c r="M814" s="598"/>
      <c r="N814" s="598"/>
      <c r="O814" s="598"/>
      <c r="P814" s="598"/>
      <c r="Q814" s="598"/>
      <c r="R814" s="598"/>
      <c r="S814" s="598"/>
      <c r="T814" s="598"/>
      <c r="U814" s="598"/>
      <c r="V814" s="598"/>
      <c r="W814" s="598"/>
      <c r="X814" s="598"/>
      <c r="Y814" s="598"/>
      <c r="Z814" s="598"/>
      <c r="AA814" s="598"/>
      <c r="AB814" s="598"/>
      <c r="AC814" s="598"/>
      <c r="AD814" s="598"/>
      <c r="AE814" s="598"/>
      <c r="AF814" s="598"/>
      <c r="AG814" s="598"/>
      <c r="AH814" s="1179">
        <f>+AH639</f>
        <v>0.2</v>
      </c>
      <c r="AI814" s="1180"/>
      <c r="AJ814" s="1180"/>
      <c r="AK814" s="1180"/>
      <c r="AL814" s="1180"/>
      <c r="AM814" s="262"/>
      <c r="AN814" s="262"/>
      <c r="AO814" s="262"/>
      <c r="AP814" s="262"/>
      <c r="AQ814" s="262"/>
      <c r="AR814" s="262"/>
      <c r="AS814" s="262"/>
      <c r="AT814" s="262"/>
      <c r="AU814" s="262"/>
      <c r="AV814" s="262"/>
    </row>
    <row r="815" spans="1:48" s="268" customFormat="1" ht="20.100000000000001" customHeight="1" thickTop="1">
      <c r="A815" s="262"/>
      <c r="B815" s="262"/>
      <c r="C815" s="262" t="s">
        <v>4593</v>
      </c>
      <c r="D815" s="262"/>
      <c r="E815" s="262"/>
      <c r="F815" s="262"/>
      <c r="G815" s="262"/>
      <c r="H815" s="262"/>
      <c r="I815" s="1181">
        <f>100%-AH814</f>
        <v>0.8</v>
      </c>
      <c r="J815" s="1173"/>
      <c r="K815" s="1173"/>
      <c r="L815" s="1173"/>
      <c r="M815" s="1173"/>
      <c r="N815" s="262" t="s">
        <v>4594</v>
      </c>
      <c r="O815" s="262"/>
      <c r="P815" s="262"/>
      <c r="Q815" s="262"/>
      <c r="R815" s="262"/>
      <c r="S815" s="262"/>
      <c r="T815" s="262"/>
      <c r="U815" s="262"/>
      <c r="V815" s="262"/>
      <c r="W815" s="262"/>
      <c r="X815" s="262"/>
      <c r="Y815" s="262"/>
      <c r="Z815" s="262"/>
      <c r="AA815" s="262"/>
      <c r="AB815" s="262"/>
      <c r="AC815" s="262"/>
      <c r="AD815" s="262"/>
      <c r="AE815" s="262"/>
      <c r="AF815" s="262"/>
      <c r="AG815" s="262"/>
      <c r="AH815" s="262"/>
      <c r="AI815" s="262"/>
      <c r="AJ815" s="262"/>
      <c r="AK815" s="262"/>
      <c r="AL815" s="262"/>
      <c r="AM815" s="262"/>
      <c r="AN815" s="262"/>
      <c r="AO815" s="262"/>
      <c r="AP815" s="262"/>
      <c r="AQ815" s="262"/>
      <c r="AR815" s="262"/>
      <c r="AS815" s="262"/>
      <c r="AT815" s="262"/>
      <c r="AU815" s="262"/>
      <c r="AV815" s="262"/>
    </row>
    <row r="816" spans="1:48" s="268" customFormat="1" ht="20.100000000000001" hidden="1" customHeight="1">
      <c r="A816" s="262"/>
      <c r="B816" s="262"/>
      <c r="C816" s="262" t="s">
        <v>4616</v>
      </c>
      <c r="D816" s="262"/>
      <c r="E816" s="262"/>
      <c r="F816" s="262"/>
      <c r="G816" s="262"/>
      <c r="H816" s="262"/>
      <c r="I816" s="601"/>
      <c r="J816" s="262"/>
      <c r="K816" s="262"/>
      <c r="L816" s="262"/>
      <c r="M816" s="262"/>
      <c r="N816" s="262"/>
      <c r="O816" s="262"/>
      <c r="P816" s="262"/>
      <c r="Q816" s="262"/>
      <c r="R816" s="262"/>
      <c r="S816" s="262"/>
      <c r="T816" s="262"/>
      <c r="U816" s="262"/>
      <c r="V816" s="262"/>
      <c r="W816" s="262"/>
      <c r="X816" s="262"/>
      <c r="Y816" s="262"/>
      <c r="Z816" s="262"/>
      <c r="AA816" s="262"/>
      <c r="AB816" s="262"/>
      <c r="AC816" s="262"/>
      <c r="AD816" s="262"/>
      <c r="AE816" s="262"/>
      <c r="AF816" s="262"/>
      <c r="AG816" s="262"/>
      <c r="AH816" s="262"/>
      <c r="AI816" s="262"/>
      <c r="AJ816" s="262"/>
      <c r="AK816" s="262"/>
      <c r="AL816" s="262"/>
      <c r="AM816" s="262"/>
      <c r="AN816" s="262"/>
      <c r="AO816" s="262"/>
      <c r="AP816" s="262"/>
      <c r="AQ816" s="262"/>
      <c r="AR816" s="262"/>
      <c r="AS816" s="262"/>
      <c r="AT816" s="262"/>
      <c r="AU816" s="262"/>
      <c r="AV816" s="262"/>
    </row>
    <row r="817" spans="1:48" s="268" customFormat="1" ht="13.5" customHeight="1">
      <c r="A817" s="262"/>
      <c r="B817" s="262"/>
      <c r="C817" s="262" t="str">
        <f>+C815</f>
        <v>VRA        =</v>
      </c>
      <c r="D817" s="262"/>
      <c r="E817" s="262"/>
      <c r="F817" s="262"/>
      <c r="G817" s="262"/>
      <c r="H817" s="262"/>
      <c r="I817" s="1181">
        <f>+I815</f>
        <v>0.8</v>
      </c>
      <c r="J817" s="1173"/>
      <c r="K817" s="1173"/>
      <c r="L817" s="1173"/>
      <c r="M817" s="1173"/>
      <c r="N817" s="1188">
        <f>+AM801</f>
        <v>0</v>
      </c>
      <c r="O817" s="1173"/>
      <c r="P817" s="1173"/>
      <c r="Q817" s="1173"/>
      <c r="R817" s="1173"/>
      <c r="S817" s="1173"/>
      <c r="T817" s="1173"/>
      <c r="U817" s="1173"/>
      <c r="V817" s="1173"/>
      <c r="W817" s="262"/>
      <c r="X817" s="262" t="s">
        <v>4595</v>
      </c>
      <c r="Y817" s="262"/>
      <c r="Z817" s="262"/>
      <c r="AA817" s="262"/>
      <c r="AB817" s="262"/>
      <c r="AC817" s="262"/>
      <c r="AD817" s="262"/>
      <c r="AE817" s="262"/>
      <c r="AF817" s="262"/>
      <c r="AG817" s="262"/>
      <c r="AH817" s="262"/>
      <c r="AI817" s="262"/>
      <c r="AJ817" s="262" t="s">
        <v>4426</v>
      </c>
      <c r="AK817" s="262"/>
      <c r="AL817" s="262"/>
      <c r="AM817" s="1189">
        <f>ROUND(I817*N817,1)</f>
        <v>0</v>
      </c>
      <c r="AN817" s="1189"/>
      <c r="AO817" s="1189"/>
      <c r="AP817" s="1190"/>
      <c r="AQ817" s="1190"/>
      <c r="AR817" s="1190"/>
      <c r="AS817" s="1190"/>
      <c r="AT817" s="1190"/>
      <c r="AU817" s="1190"/>
      <c r="AV817" s="262"/>
    </row>
    <row r="818" spans="1:48" s="268" customFormat="1" ht="20.100000000000001" hidden="1" customHeight="1">
      <c r="A818" s="262"/>
      <c r="B818" s="262"/>
      <c r="C818" s="262" t="s">
        <v>4617</v>
      </c>
      <c r="D818" s="262"/>
      <c r="E818" s="262"/>
      <c r="F818" s="262"/>
      <c r="G818" s="262"/>
      <c r="H818" s="262"/>
      <c r="I818" s="601"/>
      <c r="J818" s="262"/>
      <c r="K818" s="262"/>
      <c r="L818" s="262"/>
      <c r="M818" s="262"/>
      <c r="N818" s="262"/>
      <c r="O818" s="262"/>
      <c r="P818" s="262"/>
      <c r="Q818" s="262"/>
      <c r="R818" s="262"/>
      <c r="S818" s="262"/>
      <c r="T818" s="262"/>
      <c r="U818" s="262"/>
      <c r="V818" s="262"/>
      <c r="W818" s="262"/>
      <c r="X818" s="262"/>
      <c r="Y818" s="262"/>
      <c r="Z818" s="262"/>
      <c r="AA818" s="262"/>
      <c r="AB818" s="262"/>
      <c r="AC818" s="262"/>
      <c r="AD818" s="262"/>
      <c r="AE818" s="262"/>
      <c r="AF818" s="262"/>
      <c r="AG818" s="262"/>
      <c r="AH818" s="262"/>
      <c r="AI818" s="262"/>
      <c r="AJ818" s="262"/>
      <c r="AK818" s="262"/>
      <c r="AL818" s="262"/>
      <c r="AM818" s="262"/>
      <c r="AN818" s="262"/>
      <c r="AO818" s="262"/>
      <c r="AP818" s="262"/>
      <c r="AQ818" s="262"/>
      <c r="AR818" s="262"/>
      <c r="AS818" s="262"/>
      <c r="AT818" s="262"/>
      <c r="AU818" s="262"/>
      <c r="AV818" s="262"/>
    </row>
    <row r="819" spans="1:48" s="268" customFormat="1" ht="13.5" hidden="1" customHeight="1">
      <c r="A819" s="262"/>
      <c r="B819" s="262"/>
      <c r="C819" s="262" t="str">
        <f>+C817</f>
        <v>VRA        =</v>
      </c>
      <c r="D819" s="262"/>
      <c r="E819" s="262"/>
      <c r="F819" s="262"/>
      <c r="G819" s="262"/>
      <c r="H819" s="262"/>
      <c r="I819" s="1181">
        <f>+I817</f>
        <v>0.8</v>
      </c>
      <c r="J819" s="1173"/>
      <c r="K819" s="1173"/>
      <c r="L819" s="1173"/>
      <c r="M819" s="1173"/>
      <c r="N819" s="1188">
        <f>+AM802</f>
        <v>0</v>
      </c>
      <c r="O819" s="1173"/>
      <c r="P819" s="1173"/>
      <c r="Q819" s="1173"/>
      <c r="R819" s="1173"/>
      <c r="S819" s="1173"/>
      <c r="T819" s="1173"/>
      <c r="U819" s="1173"/>
      <c r="V819" s="1173"/>
      <c r="W819" s="262"/>
      <c r="X819" s="262" t="s">
        <v>4595</v>
      </c>
      <c r="Y819" s="262"/>
      <c r="Z819" s="262"/>
      <c r="AA819" s="262"/>
      <c r="AB819" s="262"/>
      <c r="AC819" s="262"/>
      <c r="AD819" s="262"/>
      <c r="AE819" s="262"/>
      <c r="AF819" s="262"/>
      <c r="AG819" s="262"/>
      <c r="AH819" s="262"/>
      <c r="AI819" s="262"/>
      <c r="AJ819" s="262" t="s">
        <v>4426</v>
      </c>
      <c r="AK819" s="262"/>
      <c r="AL819" s="262"/>
      <c r="AM819" s="1189">
        <f>ROUND(I819*N819,1)</f>
        <v>0</v>
      </c>
      <c r="AN819" s="1189"/>
      <c r="AO819" s="1189"/>
      <c r="AP819" s="1190"/>
      <c r="AQ819" s="1190"/>
      <c r="AR819" s="1190"/>
      <c r="AS819" s="1190"/>
      <c r="AT819" s="1190"/>
      <c r="AU819" s="1190"/>
      <c r="AV819" s="262"/>
    </row>
    <row r="820" spans="1:48" s="268" customFormat="1" ht="20.100000000000001" hidden="1" customHeight="1">
      <c r="A820" s="262"/>
      <c r="B820" s="262"/>
      <c r="C820" s="262" t="s">
        <v>4618</v>
      </c>
      <c r="D820" s="262"/>
      <c r="E820" s="262"/>
      <c r="F820" s="262"/>
      <c r="G820" s="262"/>
      <c r="H820" s="262"/>
      <c r="I820" s="601"/>
      <c r="J820" s="262"/>
      <c r="K820" s="262"/>
      <c r="L820" s="262"/>
      <c r="M820" s="262"/>
      <c r="N820" s="262"/>
      <c r="O820" s="262"/>
      <c r="P820" s="262"/>
      <c r="Q820" s="262"/>
      <c r="R820" s="262"/>
      <c r="S820" s="262"/>
      <c r="T820" s="262"/>
      <c r="U820" s="262"/>
      <c r="V820" s="262"/>
      <c r="W820" s="262"/>
      <c r="X820" s="262"/>
      <c r="Y820" s="262"/>
      <c r="Z820" s="262"/>
      <c r="AA820" s="262"/>
      <c r="AB820" s="262"/>
      <c r="AC820" s="262"/>
      <c r="AD820" s="262"/>
      <c r="AE820" s="262"/>
      <c r="AF820" s="262"/>
      <c r="AG820" s="262"/>
      <c r="AH820" s="262"/>
      <c r="AI820" s="262"/>
      <c r="AJ820" s="262"/>
      <c r="AK820" s="262"/>
      <c r="AL820" s="262"/>
      <c r="AM820" s="262"/>
      <c r="AN820" s="262"/>
      <c r="AO820" s="262"/>
      <c r="AP820" s="262"/>
      <c r="AQ820" s="262"/>
      <c r="AR820" s="262"/>
      <c r="AS820" s="262"/>
      <c r="AT820" s="262"/>
      <c r="AU820" s="262"/>
      <c r="AV820" s="262"/>
    </row>
    <row r="821" spans="1:48" s="268" customFormat="1" ht="13.5" hidden="1" customHeight="1">
      <c r="A821" s="262"/>
      <c r="B821" s="262"/>
      <c r="C821" s="262" t="str">
        <f>+C819</f>
        <v>VRA        =</v>
      </c>
      <c r="D821" s="262"/>
      <c r="E821" s="262"/>
      <c r="F821" s="262"/>
      <c r="G821" s="262"/>
      <c r="H821" s="262"/>
      <c r="I821" s="1181">
        <f>+I819</f>
        <v>0.8</v>
      </c>
      <c r="J821" s="1173"/>
      <c r="K821" s="1173"/>
      <c r="L821" s="1173"/>
      <c r="M821" s="1173"/>
      <c r="N821" s="1188">
        <f>+AM803</f>
        <v>0</v>
      </c>
      <c r="O821" s="1173"/>
      <c r="P821" s="1173"/>
      <c r="Q821" s="1173"/>
      <c r="R821" s="1173"/>
      <c r="S821" s="1173"/>
      <c r="T821" s="1173"/>
      <c r="U821" s="1173"/>
      <c r="V821" s="1173"/>
      <c r="W821" s="262"/>
      <c r="X821" s="262" t="s">
        <v>4595</v>
      </c>
      <c r="Y821" s="262"/>
      <c r="Z821" s="262"/>
      <c r="AA821" s="262"/>
      <c r="AB821" s="262"/>
      <c r="AC821" s="262"/>
      <c r="AD821" s="262"/>
      <c r="AE821" s="262"/>
      <c r="AF821" s="262"/>
      <c r="AG821" s="262"/>
      <c r="AH821" s="262"/>
      <c r="AI821" s="262"/>
      <c r="AJ821" s="262" t="s">
        <v>4426</v>
      </c>
      <c r="AK821" s="262"/>
      <c r="AL821" s="262"/>
      <c r="AM821" s="1189">
        <f>ROUND(I821*N821,1)</f>
        <v>0</v>
      </c>
      <c r="AN821" s="1189"/>
      <c r="AO821" s="1189"/>
      <c r="AP821" s="1190"/>
      <c r="AQ821" s="1190"/>
      <c r="AR821" s="1190"/>
      <c r="AS821" s="1190"/>
      <c r="AT821" s="1190"/>
      <c r="AU821" s="1190"/>
      <c r="AV821" s="262"/>
    </row>
    <row r="822" spans="1:48" s="587" customFormat="1" ht="15.95" customHeight="1" thickBot="1">
      <c r="A822" s="581"/>
      <c r="B822" s="581"/>
      <c r="C822" s="602" t="s">
        <v>4521</v>
      </c>
      <c r="D822" s="603"/>
      <c r="E822" s="603"/>
      <c r="F822" s="603"/>
      <c r="G822" s="603" t="str">
        <f>+C806</f>
        <v>VALOR DE REALIZACIÓN AUTOMÁTICA (VRA)</v>
      </c>
      <c r="H822" s="603"/>
      <c r="I822" s="603"/>
      <c r="J822" s="603"/>
      <c r="K822" s="603"/>
      <c r="L822" s="604"/>
      <c r="M822" s="603"/>
      <c r="N822" s="605"/>
      <c r="O822" s="605"/>
      <c r="P822" s="605"/>
      <c r="Q822" s="605"/>
      <c r="R822" s="605"/>
      <c r="S822" s="605"/>
      <c r="T822" s="605"/>
      <c r="U822" s="605"/>
      <c r="V822" s="605"/>
      <c r="W822" s="605"/>
      <c r="X822" s="605"/>
      <c r="Y822" s="605"/>
      <c r="Z822" s="605"/>
      <c r="AA822" s="605"/>
      <c r="AB822" s="605"/>
      <c r="AC822" s="605"/>
      <c r="AD822" s="605"/>
      <c r="AE822" s="605"/>
      <c r="AF822" s="605"/>
      <c r="AG822" s="605"/>
      <c r="AH822" s="605"/>
      <c r="AI822" s="606"/>
      <c r="AJ822" s="606" t="s">
        <v>4426</v>
      </c>
      <c r="AK822" s="1191"/>
      <c r="AL822" s="1192"/>
      <c r="AM822" s="1274">
        <f>ROUND(SUM(AM817:AU821),1)</f>
        <v>0</v>
      </c>
      <c r="AN822" s="1274"/>
      <c r="AO822" s="1274"/>
      <c r="AP822" s="1275"/>
      <c r="AQ822" s="1275"/>
      <c r="AR822" s="1275"/>
      <c r="AS822" s="1275"/>
      <c r="AT822" s="1275"/>
      <c r="AU822" s="1275"/>
      <c r="AV822" s="607"/>
    </row>
    <row r="823" spans="1:48" s="268" customFormat="1" ht="20.100000000000001" customHeight="1">
      <c r="A823" s="262"/>
      <c r="B823" s="262"/>
      <c r="C823" s="1185" t="str">
        <f>+CONCATENATE("SON: ",[4]!NumeLetras(AM822,"CON","DOLARES AMERICANOS",1))</f>
        <v>SON: CON 00/100 DOLARES AMERICANOS</v>
      </c>
      <c r="D823" s="1185"/>
      <c r="E823" s="1185"/>
      <c r="F823" s="1185"/>
      <c r="G823" s="1185"/>
      <c r="H823" s="1185"/>
      <c r="I823" s="1185"/>
      <c r="J823" s="1185"/>
      <c r="K823" s="1185"/>
      <c r="L823" s="1185"/>
      <c r="M823" s="1185"/>
      <c r="N823" s="1185"/>
      <c r="O823" s="1185"/>
      <c r="P823" s="1185"/>
      <c r="Q823" s="1185"/>
      <c r="R823" s="1185"/>
      <c r="S823" s="1185"/>
      <c r="T823" s="1185"/>
      <c r="U823" s="1173"/>
      <c r="V823" s="1173"/>
      <c r="W823" s="1173"/>
      <c r="X823" s="1173"/>
      <c r="Y823" s="1173"/>
      <c r="Z823" s="1173"/>
      <c r="AA823" s="1173"/>
      <c r="AB823" s="1173"/>
      <c r="AC823" s="1173"/>
      <c r="AD823" s="1173"/>
      <c r="AE823" s="1173"/>
      <c r="AF823" s="1173"/>
      <c r="AG823" s="1173"/>
      <c r="AH823" s="1173"/>
      <c r="AI823" s="1173"/>
      <c r="AJ823" s="1173"/>
      <c r="AK823" s="1173"/>
      <c r="AL823" s="1173"/>
      <c r="AM823" s="1173"/>
      <c r="AN823" s="1173"/>
      <c r="AO823" s="1173"/>
      <c r="AP823" s="1173"/>
      <c r="AQ823" s="1173"/>
      <c r="AR823" s="1173"/>
      <c r="AS823" s="1173"/>
      <c r="AT823" s="1173"/>
      <c r="AU823" s="1173"/>
      <c r="AV823" s="1173"/>
    </row>
    <row r="824" spans="1:48" s="572" customFormat="1" ht="20.100000000000001" customHeight="1">
      <c r="A824" s="1169">
        <v>3</v>
      </c>
      <c r="B824" s="1170"/>
      <c r="C824" s="608" t="s">
        <v>4596</v>
      </c>
      <c r="D824" s="609"/>
      <c r="E824" s="609"/>
      <c r="F824" s="609"/>
      <c r="G824" s="609"/>
      <c r="H824" s="609"/>
      <c r="I824" s="609"/>
      <c r="J824" s="609"/>
      <c r="K824" s="609"/>
      <c r="L824" s="609"/>
      <c r="M824" s="608"/>
      <c r="N824" s="609"/>
      <c r="O824" s="609"/>
      <c r="P824" s="609"/>
      <c r="Q824" s="609"/>
      <c r="R824" s="609"/>
      <c r="S824" s="609"/>
      <c r="T824" s="609"/>
      <c r="U824" s="609"/>
      <c r="V824" s="571"/>
      <c r="W824" s="571"/>
      <c r="X824" s="571"/>
      <c r="Y824" s="571"/>
      <c r="Z824" s="571"/>
      <c r="AA824" s="571"/>
      <c r="AB824" s="571"/>
      <c r="AC824" s="571"/>
      <c r="AD824" s="571"/>
      <c r="AE824" s="571"/>
      <c r="AF824" s="571"/>
      <c r="AG824" s="571"/>
      <c r="AH824" s="571"/>
      <c r="AI824" s="571"/>
      <c r="AJ824" s="571"/>
      <c r="AK824" s="571"/>
      <c r="AL824" s="571"/>
      <c r="AM824" s="571"/>
      <c r="AN824" s="571"/>
      <c r="AO824" s="571"/>
      <c r="AP824" s="571"/>
      <c r="AQ824" s="571"/>
      <c r="AR824" s="571"/>
      <c r="AS824" s="571"/>
      <c r="AT824" s="571"/>
      <c r="AU824" s="571"/>
      <c r="AV824" s="571"/>
    </row>
    <row r="825" spans="1:48" s="268" customFormat="1" ht="12.75" customHeight="1">
      <c r="A825" s="262"/>
      <c r="B825" s="262"/>
      <c r="C825" s="1176" t="s">
        <v>4575</v>
      </c>
      <c r="D825" s="1173"/>
      <c r="E825" s="578" t="str">
        <f>+C753</f>
        <v>VALOR  DE LA EDIFICACIÓN</v>
      </c>
      <c r="F825" s="262"/>
      <c r="G825" s="262"/>
      <c r="H825" s="262"/>
      <c r="I825" s="262"/>
      <c r="J825" s="262"/>
      <c r="K825" s="262"/>
      <c r="L825" s="574"/>
      <c r="M825" s="262"/>
      <c r="N825" s="575"/>
      <c r="O825" s="575"/>
      <c r="P825" s="262"/>
      <c r="Q825" s="262"/>
      <c r="R825" s="262"/>
      <c r="S825" s="262"/>
      <c r="T825" s="262"/>
      <c r="U825" s="262"/>
      <c r="V825" s="262"/>
      <c r="W825" s="262"/>
      <c r="X825" s="262"/>
      <c r="Y825" s="262"/>
      <c r="Z825" s="262"/>
      <c r="AA825" s="262"/>
      <c r="AB825" s="262"/>
      <c r="AC825" s="262"/>
      <c r="AD825" s="262"/>
      <c r="AE825" s="262"/>
      <c r="AF825" s="262"/>
      <c r="AG825" s="262"/>
      <c r="AH825" s="574"/>
      <c r="AI825" s="262"/>
      <c r="AJ825" s="574" t="s">
        <v>4426</v>
      </c>
      <c r="AK825" s="1174"/>
      <c r="AL825" s="1174"/>
      <c r="AM825" s="1172">
        <f>+AO753</f>
        <v>0</v>
      </c>
      <c r="AN825" s="1172"/>
      <c r="AO825" s="1172"/>
      <c r="AP825" s="1173"/>
      <c r="AQ825" s="1173"/>
      <c r="AR825" s="1173"/>
      <c r="AS825" s="1173"/>
      <c r="AT825" s="1173"/>
      <c r="AU825" s="1173"/>
      <c r="AV825" s="262"/>
    </row>
    <row r="826" spans="1:48" s="268" customFormat="1" ht="12" customHeight="1">
      <c r="A826" s="262"/>
      <c r="B826" s="262"/>
      <c r="C826" s="573" t="s">
        <v>4576</v>
      </c>
      <c r="D826" s="262"/>
      <c r="E826" s="578" t="str">
        <f>+C754</f>
        <v>VALOR DE LAS AREAS COMUNES</v>
      </c>
      <c r="F826" s="262"/>
      <c r="G826" s="262"/>
      <c r="H826" s="262"/>
      <c r="I826" s="262"/>
      <c r="J826" s="262"/>
      <c r="K826" s="262"/>
      <c r="L826" s="574"/>
      <c r="M826" s="262"/>
      <c r="N826" s="575"/>
      <c r="O826" s="575"/>
      <c r="P826" s="262"/>
      <c r="Q826" s="262"/>
      <c r="R826" s="262"/>
      <c r="S826" s="262"/>
      <c r="T826" s="262"/>
      <c r="U826" s="262"/>
      <c r="V826" s="262"/>
      <c r="W826" s="262"/>
      <c r="X826" s="262"/>
      <c r="Y826" s="262"/>
      <c r="Z826" s="262"/>
      <c r="AA826" s="262"/>
      <c r="AB826" s="262"/>
      <c r="AC826" s="262"/>
      <c r="AD826" s="262"/>
      <c r="AE826" s="262"/>
      <c r="AF826" s="262"/>
      <c r="AG826" s="262"/>
      <c r="AH826" s="574"/>
      <c r="AI826" s="262"/>
      <c r="AJ826" s="574" t="s">
        <v>4426</v>
      </c>
      <c r="AK826" s="1174"/>
      <c r="AL826" s="1174"/>
      <c r="AM826" s="1172">
        <f>+AO756</f>
        <v>0</v>
      </c>
      <c r="AN826" s="1172"/>
      <c r="AO826" s="1172"/>
      <c r="AP826" s="1173"/>
      <c r="AQ826" s="1173"/>
      <c r="AR826" s="1173"/>
      <c r="AS826" s="1173"/>
      <c r="AT826" s="1173"/>
      <c r="AU826" s="1173"/>
      <c r="AV826" s="262"/>
    </row>
    <row r="827" spans="1:48" s="268" customFormat="1" ht="12" customHeight="1">
      <c r="A827" s="262"/>
      <c r="B827" s="262"/>
      <c r="C827" s="573" t="s">
        <v>4581</v>
      </c>
      <c r="D827" s="262"/>
      <c r="E827" s="578" t="str">
        <f>+C769</f>
        <v>VALOR  DE LAS OBRAS COMPLEMENTARIAS</v>
      </c>
      <c r="F827" s="262"/>
      <c r="G827" s="262"/>
      <c r="H827" s="262"/>
      <c r="I827" s="262"/>
      <c r="J827" s="262"/>
      <c r="K827" s="262"/>
      <c r="L827" s="574"/>
      <c r="M827" s="262"/>
      <c r="N827" s="575"/>
      <c r="O827" s="575"/>
      <c r="P827" s="262"/>
      <c r="Q827" s="262"/>
      <c r="R827" s="262"/>
      <c r="S827" s="262"/>
      <c r="T827" s="262"/>
      <c r="U827" s="262"/>
      <c r="V827" s="262"/>
      <c r="W827" s="262"/>
      <c r="X827" s="262"/>
      <c r="Y827" s="262"/>
      <c r="Z827" s="262"/>
      <c r="AA827" s="262"/>
      <c r="AB827" s="262"/>
      <c r="AC827" s="262"/>
      <c r="AD827" s="262"/>
      <c r="AE827" s="262"/>
      <c r="AF827" s="262"/>
      <c r="AG827" s="262"/>
      <c r="AH827" s="574"/>
      <c r="AI827" s="262"/>
      <c r="AJ827" s="574" t="s">
        <v>4426</v>
      </c>
      <c r="AK827" s="1174"/>
      <c r="AL827" s="1174"/>
      <c r="AM827" s="1209">
        <f>+AO769</f>
        <v>0</v>
      </c>
      <c r="AN827" s="1209"/>
      <c r="AO827" s="1209"/>
      <c r="AP827" s="1210"/>
      <c r="AQ827" s="1210"/>
      <c r="AR827" s="1210"/>
      <c r="AS827" s="1210"/>
      <c r="AT827" s="1210"/>
      <c r="AU827" s="1210"/>
      <c r="AV827" s="262"/>
    </row>
    <row r="828" spans="1:48" s="268" customFormat="1" ht="12.75" customHeight="1">
      <c r="A828" s="262"/>
      <c r="B828" s="262"/>
      <c r="C828" s="1176"/>
      <c r="D828" s="1173"/>
      <c r="E828" s="578" t="s">
        <v>4597</v>
      </c>
      <c r="F828" s="262"/>
      <c r="G828" s="262"/>
      <c r="H828" s="262"/>
      <c r="I828" s="262"/>
      <c r="J828" s="262"/>
      <c r="K828" s="262"/>
      <c r="L828" s="574"/>
      <c r="M828" s="262"/>
      <c r="N828" s="575"/>
      <c r="O828" s="575"/>
      <c r="P828" s="262"/>
      <c r="Q828" s="262"/>
      <c r="R828" s="262"/>
      <c r="S828" s="262"/>
      <c r="T828" s="262"/>
      <c r="U828" s="262"/>
      <c r="V828" s="262"/>
      <c r="W828" s="262"/>
      <c r="X828" s="262"/>
      <c r="Y828" s="262"/>
      <c r="Z828" s="262"/>
      <c r="AA828" s="262"/>
      <c r="AB828" s="262"/>
      <c r="AC828" s="262"/>
      <c r="AD828" s="262"/>
      <c r="AE828" s="262"/>
      <c r="AF828" s="262"/>
      <c r="AG828" s="262"/>
      <c r="AH828" s="574"/>
      <c r="AI828" s="262"/>
      <c r="AJ828" s="574" t="s">
        <v>4426</v>
      </c>
      <c r="AK828" s="1174"/>
      <c r="AL828" s="1174"/>
      <c r="AM828" s="1172">
        <f>SUM(AM825:AU827)</f>
        <v>0</v>
      </c>
      <c r="AN828" s="1172"/>
      <c r="AO828" s="1172"/>
      <c r="AP828" s="1173"/>
      <c r="AQ828" s="1173"/>
      <c r="AR828" s="1173"/>
      <c r="AS828" s="1173"/>
      <c r="AT828" s="1173"/>
      <c r="AU828" s="1173"/>
      <c r="AV828" s="262"/>
    </row>
    <row r="829" spans="1:48" s="268" customFormat="1" ht="12" hidden="1" customHeight="1">
      <c r="A829" s="262"/>
      <c r="B829" s="262"/>
      <c r="C829" s="573" t="s">
        <v>4582</v>
      </c>
      <c r="D829" s="262"/>
      <c r="E829" s="578" t="str">
        <f>+C779</f>
        <v>VALOR DEL ESTACIONAMIENTO Nº …</v>
      </c>
      <c r="F829" s="262"/>
      <c r="G829" s="262"/>
      <c r="H829" s="262"/>
      <c r="I829" s="262"/>
      <c r="J829" s="262"/>
      <c r="K829" s="262"/>
      <c r="L829" s="574"/>
      <c r="M829" s="262"/>
      <c r="N829" s="575"/>
      <c r="O829" s="575"/>
      <c r="P829" s="262"/>
      <c r="Q829" s="262"/>
      <c r="R829" s="262"/>
      <c r="S829" s="262"/>
      <c r="T829" s="262"/>
      <c r="U829" s="262"/>
      <c r="V829" s="262"/>
      <c r="W829" s="262"/>
      <c r="X829" s="262"/>
      <c r="Y829" s="262"/>
      <c r="Z829" s="262"/>
      <c r="AA829" s="262"/>
      <c r="AB829" s="262"/>
      <c r="AC829" s="262"/>
      <c r="AD829" s="262"/>
      <c r="AE829" s="262"/>
      <c r="AF829" s="262"/>
      <c r="AG829" s="262"/>
      <c r="AH829" s="574"/>
      <c r="AI829" s="262"/>
      <c r="AJ829" s="574" t="s">
        <v>4426</v>
      </c>
      <c r="AK829" s="1174"/>
      <c r="AL829" s="1174"/>
      <c r="AM829" s="1172">
        <f>+AO779</f>
        <v>0</v>
      </c>
      <c r="AN829" s="1172"/>
      <c r="AO829" s="1172"/>
      <c r="AP829" s="1173"/>
      <c r="AQ829" s="1173"/>
      <c r="AR829" s="1173"/>
      <c r="AS829" s="1173"/>
      <c r="AT829" s="1173"/>
      <c r="AU829" s="1173"/>
      <c r="AV829" s="262"/>
    </row>
    <row r="830" spans="1:48" s="268" customFormat="1" ht="12" hidden="1" customHeight="1">
      <c r="A830" s="262"/>
      <c r="B830" s="262"/>
      <c r="C830" s="573" t="s">
        <v>4598</v>
      </c>
      <c r="D830" s="262"/>
      <c r="E830" s="578" t="str">
        <f>+C789</f>
        <v>VALOR DEL DEPOSITO Nº ..</v>
      </c>
      <c r="F830" s="262"/>
      <c r="G830" s="262"/>
      <c r="H830" s="262"/>
      <c r="I830" s="262"/>
      <c r="J830" s="262"/>
      <c r="K830" s="262"/>
      <c r="L830" s="574"/>
      <c r="M830" s="262"/>
      <c r="N830" s="575"/>
      <c r="O830" s="575"/>
      <c r="P830" s="262"/>
      <c r="Q830" s="262"/>
      <c r="R830" s="262"/>
      <c r="S830" s="262"/>
      <c r="T830" s="262"/>
      <c r="U830" s="262"/>
      <c r="V830" s="262"/>
      <c r="W830" s="262"/>
      <c r="X830" s="262"/>
      <c r="Y830" s="262"/>
      <c r="Z830" s="262"/>
      <c r="AA830" s="262"/>
      <c r="AB830" s="262"/>
      <c r="AC830" s="262"/>
      <c r="AD830" s="262"/>
      <c r="AE830" s="262"/>
      <c r="AF830" s="262"/>
      <c r="AG830" s="262"/>
      <c r="AH830" s="574"/>
      <c r="AI830" s="262"/>
      <c r="AJ830" s="574" t="s">
        <v>4426</v>
      </c>
      <c r="AK830" s="1174"/>
      <c r="AL830" s="1174"/>
      <c r="AM830" s="1172">
        <f>+AO789</f>
        <v>0</v>
      </c>
      <c r="AN830" s="1172"/>
      <c r="AO830" s="1172"/>
      <c r="AP830" s="1173"/>
      <c r="AQ830" s="1173"/>
      <c r="AR830" s="1173"/>
      <c r="AS830" s="1173"/>
      <c r="AT830" s="1173"/>
      <c r="AU830" s="1173"/>
      <c r="AV830" s="262"/>
    </row>
    <row r="831" spans="1:48" s="587" customFormat="1" ht="18" customHeight="1" thickBot="1">
      <c r="A831" s="581"/>
      <c r="B831" s="581"/>
      <c r="C831" s="610" t="s">
        <v>4521</v>
      </c>
      <c r="D831" s="611"/>
      <c r="E831" s="611"/>
      <c r="F831" s="611"/>
      <c r="G831" s="611" t="str">
        <f>C824</f>
        <v>VALOR DEL IMPORTE ASEGURABLE (VIA)</v>
      </c>
      <c r="H831" s="611"/>
      <c r="I831" s="611"/>
      <c r="J831" s="611"/>
      <c r="K831" s="611"/>
      <c r="L831" s="612"/>
      <c r="M831" s="611"/>
      <c r="N831" s="613"/>
      <c r="O831" s="613"/>
      <c r="P831" s="611"/>
      <c r="Q831" s="611"/>
      <c r="R831" s="611"/>
      <c r="S831" s="611"/>
      <c r="T831" s="611"/>
      <c r="U831" s="611"/>
      <c r="V831" s="611"/>
      <c r="W831" s="611"/>
      <c r="X831" s="611"/>
      <c r="Y831" s="611"/>
      <c r="Z831" s="611"/>
      <c r="AA831" s="611"/>
      <c r="AB831" s="611"/>
      <c r="AC831" s="611"/>
      <c r="AD831" s="611"/>
      <c r="AE831" s="611"/>
      <c r="AF831" s="611"/>
      <c r="AG831" s="611"/>
      <c r="AH831" s="612"/>
      <c r="AI831" s="611"/>
      <c r="AJ831" s="612" t="s">
        <v>4426</v>
      </c>
      <c r="AK831" s="1206"/>
      <c r="AL831" s="1206"/>
      <c r="AM831" s="1277">
        <f>ROUND(SUM(AM828:AU830),1)</f>
        <v>0</v>
      </c>
      <c r="AN831" s="1277"/>
      <c r="AO831" s="1277"/>
      <c r="AP831" s="1277"/>
      <c r="AQ831" s="1277"/>
      <c r="AR831" s="1277"/>
      <c r="AS831" s="1277"/>
      <c r="AT831" s="1277"/>
      <c r="AU831" s="1277"/>
      <c r="AV831" s="614"/>
    </row>
    <row r="832" spans="1:48" s="268" customFormat="1" ht="20.100000000000001" customHeight="1">
      <c r="A832" s="262"/>
      <c r="B832" s="262"/>
      <c r="C832" s="1185" t="str">
        <f>+CONCATENATE("SON: ",[4]!NumeLetras(AM831,"CON","DOLARES AMERICANOS",1))</f>
        <v>SON: CON 00/100 DOLARES AMERICANOS</v>
      </c>
      <c r="D832" s="1185"/>
      <c r="E832" s="1185"/>
      <c r="F832" s="1185"/>
      <c r="G832" s="1185"/>
      <c r="H832" s="1185"/>
      <c r="I832" s="1185"/>
      <c r="J832" s="1185"/>
      <c r="K832" s="1185"/>
      <c r="L832" s="1185"/>
      <c r="M832" s="1185"/>
      <c r="N832" s="1185"/>
      <c r="O832" s="1185"/>
      <c r="P832" s="1185"/>
      <c r="Q832" s="1185"/>
      <c r="R832" s="1185"/>
      <c r="S832" s="1185"/>
      <c r="T832" s="1185"/>
      <c r="U832" s="1173"/>
      <c r="V832" s="1173"/>
      <c r="W832" s="1173"/>
      <c r="X832" s="1173"/>
      <c r="Y832" s="1173"/>
      <c r="Z832" s="1173"/>
      <c r="AA832" s="1173"/>
      <c r="AB832" s="1173"/>
      <c r="AC832" s="1173"/>
      <c r="AD832" s="1173"/>
      <c r="AE832" s="1173"/>
      <c r="AF832" s="1173"/>
      <c r="AG832" s="1173"/>
      <c r="AH832" s="1173"/>
      <c r="AI832" s="1173"/>
      <c r="AJ832" s="1173"/>
      <c r="AK832" s="1173"/>
      <c r="AL832" s="1173"/>
      <c r="AM832" s="1173"/>
      <c r="AN832" s="1173"/>
      <c r="AO832" s="1173"/>
      <c r="AP832" s="1173"/>
      <c r="AQ832" s="1173"/>
      <c r="AR832" s="1173"/>
      <c r="AS832" s="1173"/>
      <c r="AT832" s="1173"/>
      <c r="AU832" s="1173"/>
      <c r="AV832" s="1173"/>
    </row>
    <row r="833" spans="1:48" s="268" customFormat="1" ht="20.100000000000001" customHeight="1">
      <c r="A833" s="262"/>
      <c r="B833" s="262"/>
      <c r="C833" s="588"/>
      <c r="D833" s="588"/>
      <c r="E833" s="588"/>
      <c r="F833" s="588"/>
      <c r="G833" s="588"/>
      <c r="H833" s="588"/>
      <c r="I833" s="588"/>
      <c r="J833" s="588"/>
      <c r="K833" s="588"/>
      <c r="L833" s="588"/>
      <c r="M833" s="588"/>
      <c r="N833" s="588"/>
      <c r="O833" s="588"/>
      <c r="P833" s="588"/>
      <c r="Q833" s="588"/>
      <c r="R833" s="588"/>
      <c r="S833" s="588"/>
      <c r="T833" s="588"/>
      <c r="U833" s="262"/>
      <c r="V833" s="262"/>
      <c r="W833" s="262"/>
      <c r="X833" s="262"/>
      <c r="Y833" s="262"/>
      <c r="Z833" s="262"/>
      <c r="AA833" s="262"/>
      <c r="AB833" s="262"/>
      <c r="AC833" s="262"/>
      <c r="AD833" s="262"/>
      <c r="AE833" s="262"/>
      <c r="AF833" s="262"/>
      <c r="AG833" s="262"/>
      <c r="AH833" s="262"/>
      <c r="AI833" s="262"/>
      <c r="AJ833" s="262"/>
      <c r="AK833" s="262"/>
      <c r="AL833" s="262"/>
      <c r="AM833" s="262"/>
      <c r="AN833" s="262"/>
      <c r="AO833" s="262"/>
      <c r="AP833" s="262"/>
      <c r="AQ833" s="262"/>
      <c r="AR833" s="262"/>
      <c r="AS833" s="262"/>
      <c r="AT833" s="262"/>
      <c r="AU833" s="262"/>
      <c r="AV833" s="262"/>
    </row>
    <row r="834" spans="1:48" s="268" customFormat="1" ht="20.100000000000001" customHeight="1">
      <c r="A834" s="262"/>
      <c r="B834" s="262"/>
      <c r="C834" s="261" t="s">
        <v>4407</v>
      </c>
      <c r="D834" s="588"/>
      <c r="E834" s="588"/>
      <c r="F834" s="1195">
        <f>+F485</f>
        <v>0</v>
      </c>
      <c r="G834" s="892"/>
      <c r="H834" s="892"/>
      <c r="I834" s="892"/>
      <c r="J834" s="892"/>
      <c r="K834" s="892"/>
      <c r="L834" s="892"/>
      <c r="M834" s="892"/>
      <c r="N834" s="739"/>
      <c r="O834" s="739"/>
      <c r="P834" s="739"/>
      <c r="Q834" s="739"/>
      <c r="R834" s="739"/>
      <c r="S834" s="739"/>
      <c r="T834" s="739"/>
      <c r="U834" s="739"/>
      <c r="V834" s="739"/>
      <c r="W834" s="739"/>
      <c r="X834" s="739"/>
      <c r="Y834" s="739"/>
      <c r="Z834" s="739"/>
      <c r="AA834" s="739"/>
      <c r="AB834" s="739"/>
      <c r="AC834" s="739"/>
      <c r="AD834" s="739"/>
      <c r="AE834" s="739"/>
      <c r="AF834" s="739"/>
      <c r="AG834" s="739"/>
      <c r="AH834" s="739"/>
      <c r="AI834" s="739"/>
      <c r="AJ834" s="739"/>
      <c r="AK834" s="739"/>
      <c r="AL834" s="739"/>
      <c r="AM834" s="739"/>
      <c r="AN834" s="739"/>
      <c r="AO834" s="739"/>
      <c r="AP834" s="739"/>
      <c r="AQ834" s="739"/>
      <c r="AR834" s="739"/>
      <c r="AS834" s="739"/>
      <c r="AT834" s="739"/>
      <c r="AU834" s="739"/>
      <c r="AV834" s="739"/>
    </row>
    <row r="835" spans="1:48" s="268" customFormat="1" ht="40.5" customHeight="1">
      <c r="A835" s="262"/>
      <c r="B835" s="262"/>
      <c r="C835" s="261"/>
      <c r="D835" s="588"/>
      <c r="E835" s="588"/>
      <c r="F835" s="615"/>
      <c r="G835" s="354"/>
      <c r="H835" s="354"/>
      <c r="I835" s="354"/>
      <c r="J835" s="354"/>
      <c r="K835" s="354"/>
      <c r="L835" s="354"/>
      <c r="M835" s="354"/>
      <c r="N835" s="261"/>
      <c r="O835" s="261"/>
      <c r="P835" s="261"/>
      <c r="Q835" s="261"/>
      <c r="R835" s="261"/>
      <c r="S835" s="261"/>
      <c r="T835" s="261"/>
      <c r="U835" s="261"/>
      <c r="V835" s="261"/>
      <c r="W835" s="261"/>
      <c r="X835" s="261"/>
      <c r="Y835" s="261"/>
      <c r="Z835" s="261"/>
      <c r="AA835" s="261"/>
      <c r="AB835" s="261"/>
      <c r="AC835" s="261"/>
      <c r="AD835" s="261"/>
      <c r="AE835" s="261"/>
      <c r="AF835" s="261"/>
      <c r="AG835" s="261"/>
      <c r="AH835" s="261"/>
      <c r="AI835" s="261"/>
      <c r="AJ835" s="261"/>
      <c r="AK835" s="261"/>
      <c r="AL835" s="261"/>
      <c r="AM835" s="261"/>
      <c r="AN835" s="261"/>
      <c r="AO835" s="261"/>
      <c r="AP835" s="261"/>
      <c r="AQ835" s="261"/>
      <c r="AR835" s="261"/>
      <c r="AS835" s="261"/>
      <c r="AT835" s="261"/>
      <c r="AU835" s="261"/>
      <c r="AV835" s="261"/>
    </row>
    <row r="836" spans="1:48" ht="69.75" customHeight="1"/>
    <row r="837" spans="1:48" ht="21.75" hidden="1" customHeight="1">
      <c r="A837" s="1224" t="s">
        <v>4603</v>
      </c>
      <c r="B837" s="1224"/>
      <c r="C837" s="1225" t="s">
        <v>4604</v>
      </c>
      <c r="D837" s="1225"/>
      <c r="E837" s="1225"/>
      <c r="F837" s="1225"/>
      <c r="G837" s="1225"/>
      <c r="H837" s="1225"/>
      <c r="I837" s="1225"/>
      <c r="J837" s="1225"/>
      <c r="K837" s="1225"/>
      <c r="L837" s="1225"/>
      <c r="M837" s="1225"/>
      <c r="N837" s="1225"/>
      <c r="O837" s="1225"/>
      <c r="P837" s="1225"/>
      <c r="Q837" s="1225"/>
      <c r="R837" s="1225"/>
      <c r="S837" s="1225"/>
      <c r="T837" s="1225"/>
      <c r="U837" s="1225"/>
      <c r="V837" s="1225"/>
      <c r="W837" s="1225"/>
      <c r="X837" s="1225"/>
      <c r="Y837" s="1225"/>
      <c r="Z837" s="1225"/>
      <c r="AA837" s="1225"/>
      <c r="AB837" s="1225"/>
      <c r="AC837" s="1225"/>
      <c r="AD837" s="1225"/>
      <c r="AE837" s="1225"/>
      <c r="AF837" s="1225"/>
      <c r="AG837" s="1225"/>
      <c r="AH837" s="1225"/>
      <c r="AI837" s="1225"/>
      <c r="AJ837" s="1225"/>
      <c r="AK837" s="1225"/>
      <c r="AL837" s="1225"/>
      <c r="AM837" s="1225"/>
      <c r="AN837" s="1225"/>
      <c r="AO837" s="1225"/>
      <c r="AP837" s="1225"/>
      <c r="AQ837" s="1225"/>
      <c r="AR837" s="1225"/>
      <c r="AS837" s="1225"/>
      <c r="AT837" s="1225"/>
      <c r="AU837" s="1225"/>
      <c r="AV837" s="1225"/>
    </row>
    <row r="838" spans="1:48" ht="21" hidden="1" customHeight="1">
      <c r="A838" s="891">
        <v>1</v>
      </c>
      <c r="B838" s="1043"/>
      <c r="C838" s="355" t="s">
        <v>4612</v>
      </c>
    </row>
    <row r="839" spans="1:48" ht="15" hidden="1" customHeight="1">
      <c r="A839" s="353"/>
      <c r="B839" s="444"/>
      <c r="C839" s="398" t="str">
        <f t="shared" ref="C839:C844" si="56">+C714</f>
        <v>Primer piso</v>
      </c>
      <c r="D839" s="398"/>
      <c r="E839" s="398"/>
      <c r="F839" s="398"/>
      <c r="G839" s="398"/>
      <c r="H839" s="398"/>
    </row>
    <row r="840" spans="1:48" s="354" customFormat="1" hidden="1">
      <c r="C840" s="1117">
        <f t="shared" si="56"/>
        <v>0</v>
      </c>
      <c r="D840" s="1117"/>
      <c r="E840" s="1117"/>
      <c r="F840" s="1117"/>
      <c r="G840" s="1117"/>
      <c r="H840" s="1117"/>
      <c r="I840" s="354" t="s">
        <v>10</v>
      </c>
      <c r="L840" s="354" t="s">
        <v>4508</v>
      </c>
      <c r="M840" s="497"/>
      <c r="N840" s="1276">
        <f>+N715*M78</f>
        <v>0</v>
      </c>
      <c r="O840" s="1276"/>
      <c r="P840" s="1276"/>
      <c r="Q840" s="1276"/>
      <c r="R840" s="1276"/>
      <c r="S840" s="1276"/>
      <c r="T840" s="496" t="s">
        <v>4509</v>
      </c>
      <c r="Y840" s="497" t="s">
        <v>4508</v>
      </c>
      <c r="AA840" s="1122">
        <f>+AA715</f>
        <v>1</v>
      </c>
      <c r="AB840" s="1122"/>
      <c r="AC840" s="1085"/>
      <c r="AD840" s="1085"/>
      <c r="AM840" s="496" t="s">
        <v>4426</v>
      </c>
      <c r="AO840" s="1220">
        <f>+C840*N840*AA840</f>
        <v>0</v>
      </c>
      <c r="AP840" s="1220"/>
      <c r="AQ840" s="1220"/>
      <c r="AR840" s="1221"/>
      <c r="AS840" s="1221"/>
      <c r="AT840" s="1221"/>
      <c r="AU840" s="1221"/>
      <c r="AV840" s="1221"/>
    </row>
    <row r="841" spans="1:48" ht="15" hidden="1" customHeight="1">
      <c r="A841" s="353"/>
      <c r="B841" s="444"/>
      <c r="C841" s="398" t="str">
        <f t="shared" si="56"/>
        <v>Segundo piso</v>
      </c>
      <c r="D841" s="398"/>
      <c r="E841" s="398"/>
      <c r="F841" s="398"/>
      <c r="G841" s="398"/>
      <c r="H841" s="398"/>
    </row>
    <row r="842" spans="1:48" s="354" customFormat="1" hidden="1">
      <c r="C842" s="1117">
        <f t="shared" si="56"/>
        <v>0</v>
      </c>
      <c r="D842" s="1117"/>
      <c r="E842" s="1117"/>
      <c r="F842" s="1117"/>
      <c r="G842" s="1117"/>
      <c r="H842" s="1117"/>
      <c r="I842" s="354" t="s">
        <v>10</v>
      </c>
      <c r="L842" s="354" t="s">
        <v>4508</v>
      </c>
      <c r="M842" s="497"/>
      <c r="N842" s="1276">
        <f>+N717*M78</f>
        <v>0</v>
      </c>
      <c r="O842" s="1276"/>
      <c r="P842" s="1276"/>
      <c r="Q842" s="1276"/>
      <c r="R842" s="1276"/>
      <c r="S842" s="1276"/>
      <c r="T842" s="496" t="s">
        <v>4509</v>
      </c>
      <c r="Y842" s="497" t="s">
        <v>4508</v>
      </c>
      <c r="AA842" s="1122">
        <f>+AA717</f>
        <v>1</v>
      </c>
      <c r="AB842" s="1122"/>
      <c r="AC842" s="1085"/>
      <c r="AD842" s="1085"/>
      <c r="AM842" s="496" t="s">
        <v>4426</v>
      </c>
      <c r="AO842" s="1220">
        <f>+C842*N842*AA842</f>
        <v>0</v>
      </c>
      <c r="AP842" s="1220"/>
      <c r="AQ842" s="1220"/>
      <c r="AR842" s="1221"/>
      <c r="AS842" s="1221"/>
      <c r="AT842" s="1221"/>
      <c r="AU842" s="1221"/>
      <c r="AV842" s="1221"/>
    </row>
    <row r="843" spans="1:48" ht="15" hidden="1" customHeight="1">
      <c r="A843" s="353"/>
      <c r="B843" s="444"/>
      <c r="C843" s="398" t="str">
        <f t="shared" si="56"/>
        <v>Tercer piso</v>
      </c>
      <c r="D843" s="398"/>
      <c r="E843" s="398"/>
      <c r="F843" s="398"/>
      <c r="G843" s="398"/>
      <c r="H843" s="398"/>
    </row>
    <row r="844" spans="1:48" s="354" customFormat="1" hidden="1">
      <c r="C844" s="1117">
        <f t="shared" si="56"/>
        <v>0</v>
      </c>
      <c r="D844" s="1117"/>
      <c r="E844" s="1117"/>
      <c r="F844" s="1117"/>
      <c r="G844" s="1117"/>
      <c r="H844" s="1117"/>
      <c r="I844" s="354" t="s">
        <v>10</v>
      </c>
      <c r="L844" s="354" t="s">
        <v>4508</v>
      </c>
      <c r="M844" s="497"/>
      <c r="N844" s="1276">
        <f>+N719*M78</f>
        <v>0</v>
      </c>
      <c r="O844" s="1276"/>
      <c r="P844" s="1276"/>
      <c r="Q844" s="1276"/>
      <c r="R844" s="1276"/>
      <c r="S844" s="1276"/>
      <c r="T844" s="496" t="s">
        <v>4509</v>
      </c>
      <c r="Y844" s="497" t="s">
        <v>4508</v>
      </c>
      <c r="AA844" s="1122">
        <f>+AA719</f>
        <v>1</v>
      </c>
      <c r="AB844" s="1122"/>
      <c r="AC844" s="1085"/>
      <c r="AD844" s="1085"/>
      <c r="AM844" s="496" t="s">
        <v>4426</v>
      </c>
      <c r="AO844" s="1220">
        <f>+C844*N844*AA844</f>
        <v>0</v>
      </c>
      <c r="AP844" s="1220"/>
      <c r="AQ844" s="1220"/>
      <c r="AR844" s="1221"/>
      <c r="AS844" s="1221"/>
      <c r="AT844" s="1221"/>
      <c r="AU844" s="1221"/>
      <c r="AV844" s="1221"/>
    </row>
    <row r="845" spans="1:48" s="336" customFormat="1" ht="15" hidden="1" customHeight="1" thickBot="1">
      <c r="C845" s="454" t="str">
        <f>+C838</f>
        <v>VALOR DE LA EDIFICACIÓN</v>
      </c>
      <c r="D845" s="455"/>
      <c r="E845" s="455"/>
      <c r="F845" s="455"/>
      <c r="G845" s="456"/>
      <c r="H845" s="457"/>
      <c r="I845" s="458"/>
      <c r="J845" s="459"/>
      <c r="K845" s="460"/>
      <c r="L845" s="456"/>
      <c r="M845" s="456"/>
      <c r="N845" s="456"/>
      <c r="O845" s="456"/>
      <c r="P845" s="456"/>
      <c r="Q845" s="456"/>
      <c r="R845" s="456"/>
      <c r="S845" s="456"/>
      <c r="T845" s="456"/>
      <c r="U845" s="456"/>
      <c r="V845" s="456"/>
      <c r="W845" s="456"/>
      <c r="X845" s="456"/>
      <c r="Y845" s="456"/>
      <c r="Z845" s="456"/>
      <c r="AA845" s="456"/>
      <c r="AB845" s="456"/>
      <c r="AC845" s="456"/>
      <c r="AD845" s="456"/>
      <c r="AE845" s="456"/>
      <c r="AF845" s="456"/>
      <c r="AG845" s="456"/>
      <c r="AH845" s="456"/>
      <c r="AI845" s="456"/>
      <c r="AJ845" s="456"/>
      <c r="AK845" s="456"/>
      <c r="AL845" s="456"/>
      <c r="AM845" s="461" t="s">
        <v>4426</v>
      </c>
      <c r="AN845" s="456"/>
      <c r="AO845" s="1222">
        <f>SUM(AO840:AV844)</f>
        <v>0</v>
      </c>
      <c r="AP845" s="1222"/>
      <c r="AQ845" s="1222"/>
      <c r="AR845" s="1223"/>
      <c r="AS845" s="1223"/>
      <c r="AT845" s="1223"/>
      <c r="AU845" s="1223"/>
      <c r="AV845" s="1223"/>
    </row>
    <row r="846" spans="1:48" ht="21.75" hidden="1" customHeight="1" thickTop="1">
      <c r="A846" s="891">
        <f>+A838+1</f>
        <v>2</v>
      </c>
      <c r="B846" s="1043"/>
      <c r="C846" s="355" t="s">
        <v>4606</v>
      </c>
    </row>
    <row r="847" spans="1:48" s="354" customFormat="1" hidden="1">
      <c r="C847" s="1229">
        <f>+C722</f>
        <v>0</v>
      </c>
      <c r="D847" s="1229"/>
      <c r="E847" s="1229"/>
      <c r="F847" s="1229"/>
      <c r="G847" s="1229"/>
      <c r="H847" s="1229"/>
      <c r="K847" s="354" t="s">
        <v>4508</v>
      </c>
      <c r="M847" s="497"/>
      <c r="N847" s="1219">
        <f>+AO845</f>
        <v>0</v>
      </c>
      <c r="O847" s="1219"/>
      <c r="P847" s="1219"/>
      <c r="Q847" s="1219"/>
      <c r="R847" s="1219"/>
      <c r="S847" s="1219"/>
      <c r="T847" s="1219"/>
      <c r="U847" s="1219"/>
      <c r="V847" s="1219"/>
      <c r="W847" s="1219"/>
      <c r="Y847" s="497"/>
      <c r="AA847" s="1122"/>
      <c r="AB847" s="1122"/>
      <c r="AC847" s="1085"/>
      <c r="AD847" s="1085"/>
      <c r="AM847" s="496" t="s">
        <v>4426</v>
      </c>
      <c r="AO847" s="1220">
        <f>+C847*N847</f>
        <v>0</v>
      </c>
      <c r="AP847" s="1220"/>
      <c r="AQ847" s="1220"/>
      <c r="AR847" s="1221"/>
      <c r="AS847" s="1221"/>
      <c r="AT847" s="1221"/>
      <c r="AU847" s="1221"/>
      <c r="AV847" s="1221"/>
    </row>
    <row r="848" spans="1:48" s="336" customFormat="1" ht="14.25" hidden="1" thickBot="1">
      <c r="C848" s="454" t="str">
        <f>+C846</f>
        <v>VALOR DE LAS ÁREAS COMUNES</v>
      </c>
      <c r="D848" s="455"/>
      <c r="E848" s="455"/>
      <c r="F848" s="455"/>
      <c r="G848" s="456"/>
      <c r="H848" s="457"/>
      <c r="I848" s="458"/>
      <c r="J848" s="459"/>
      <c r="K848" s="460"/>
      <c r="L848" s="456"/>
      <c r="M848" s="456"/>
      <c r="N848" s="456"/>
      <c r="O848" s="456"/>
      <c r="P848" s="456"/>
      <c r="Q848" s="456"/>
      <c r="R848" s="456"/>
      <c r="S848" s="456"/>
      <c r="T848" s="456"/>
      <c r="U848" s="456"/>
      <c r="V848" s="456"/>
      <c r="W848" s="456"/>
      <c r="X848" s="456"/>
      <c r="Y848" s="456"/>
      <c r="Z848" s="456"/>
      <c r="AA848" s="456"/>
      <c r="AB848" s="456"/>
      <c r="AC848" s="456"/>
      <c r="AD848" s="456"/>
      <c r="AE848" s="456"/>
      <c r="AF848" s="456"/>
      <c r="AG848" s="456"/>
      <c r="AH848" s="456"/>
      <c r="AI848" s="456"/>
      <c r="AJ848" s="456"/>
      <c r="AK848" s="456"/>
      <c r="AL848" s="456"/>
      <c r="AM848" s="461" t="s">
        <v>4426</v>
      </c>
      <c r="AN848" s="456"/>
      <c r="AO848" s="1222">
        <f>+SUM(AO847:AV847)</f>
        <v>0</v>
      </c>
      <c r="AP848" s="1222"/>
      <c r="AQ848" s="1222"/>
      <c r="AR848" s="1223"/>
      <c r="AS848" s="1223"/>
      <c r="AT848" s="1223"/>
      <c r="AU848" s="1223"/>
      <c r="AV848" s="1223"/>
    </row>
    <row r="849" spans="1:48" ht="22.5" hidden="1" customHeight="1" thickTop="1">
      <c r="A849" s="891">
        <f>+A846+1</f>
        <v>3</v>
      </c>
      <c r="B849" s="1043"/>
      <c r="C849" s="355" t="s">
        <v>4512</v>
      </c>
    </row>
    <row r="850" spans="1:48" s="354" customFormat="1" ht="15" hidden="1" customHeight="1">
      <c r="C850" s="542" t="str">
        <f t="shared" ref="C850:C857" si="57">+C725</f>
        <v>a) Cisterna (estimado):</v>
      </c>
      <c r="D850" s="543"/>
      <c r="E850" s="543"/>
      <c r="F850" s="543"/>
      <c r="G850" s="543"/>
      <c r="H850" s="543"/>
      <c r="I850" s="543"/>
      <c r="J850" s="543"/>
      <c r="K850" s="543"/>
      <c r="L850" s="543"/>
      <c r="M850" s="543"/>
      <c r="N850" s="543"/>
      <c r="O850" s="543"/>
      <c r="P850" s="543"/>
      <c r="Q850" s="543"/>
      <c r="R850" s="543"/>
      <c r="S850" s="543"/>
      <c r="T850" s="543"/>
      <c r="U850" s="543"/>
      <c r="V850" s="543"/>
      <c r="W850" s="543"/>
      <c r="X850" s="543"/>
      <c r="Y850" s="543"/>
      <c r="Z850" s="543"/>
      <c r="AA850" s="543"/>
      <c r="AB850" s="543"/>
      <c r="AC850" s="543"/>
      <c r="AD850" s="543"/>
      <c r="AE850" s="543"/>
      <c r="AF850" s="543"/>
      <c r="AG850" s="543"/>
      <c r="AH850" s="543"/>
      <c r="AI850" s="543"/>
      <c r="AJ850" s="543"/>
      <c r="AK850" s="543"/>
      <c r="AL850" s="543"/>
      <c r="AM850" s="543"/>
      <c r="AN850" s="543"/>
      <c r="AO850" s="543"/>
      <c r="AP850" s="543"/>
      <c r="AQ850" s="543"/>
      <c r="AR850" s="543"/>
      <c r="AS850" s="543"/>
      <c r="AT850" s="543"/>
      <c r="AU850" s="543"/>
      <c r="AV850" s="543"/>
    </row>
    <row r="851" spans="1:48" s="354" customFormat="1" ht="15" hidden="1" customHeight="1">
      <c r="C851" s="1117">
        <f t="shared" si="57"/>
        <v>0</v>
      </c>
      <c r="D851" s="1117"/>
      <c r="E851" s="1117"/>
      <c r="F851" s="1117"/>
      <c r="G851" s="1117"/>
      <c r="H851" s="1117"/>
      <c r="I851" s="354" t="str">
        <f>+I726</f>
        <v>m3</v>
      </c>
      <c r="L851" s="354" t="s">
        <v>4508</v>
      </c>
      <c r="M851" s="497"/>
      <c r="N851" s="1227">
        <f>+N726*$M$78</f>
        <v>0</v>
      </c>
      <c r="O851" s="1227"/>
      <c r="P851" s="1227"/>
      <c r="Q851" s="1228"/>
      <c r="R851" s="1228"/>
      <c r="S851" s="1228"/>
      <c r="T851" s="496" t="str">
        <f>+T726</f>
        <v>/m3</v>
      </c>
      <c r="Y851" s="497" t="s">
        <v>4508</v>
      </c>
      <c r="AA851" s="1136">
        <f>+AA726</f>
        <v>1</v>
      </c>
      <c r="AB851" s="1136"/>
      <c r="AC851" s="739"/>
      <c r="AD851" s="739"/>
      <c r="AM851" s="496" t="s">
        <v>4426</v>
      </c>
      <c r="AO851" s="1220">
        <f>+C851*N851*AA851</f>
        <v>0</v>
      </c>
      <c r="AP851" s="1220"/>
      <c r="AQ851" s="1220"/>
      <c r="AR851" s="1221"/>
      <c r="AS851" s="1221"/>
      <c r="AT851" s="1221"/>
      <c r="AU851" s="1221"/>
      <c r="AV851" s="1221"/>
    </row>
    <row r="852" spans="1:48" s="354" customFormat="1" ht="15" hidden="1" customHeight="1">
      <c r="C852" s="542" t="str">
        <f t="shared" si="57"/>
        <v>b) Tanque elevado (estimado):</v>
      </c>
      <c r="D852" s="543"/>
      <c r="E852" s="543"/>
      <c r="F852" s="543"/>
      <c r="G852" s="543"/>
      <c r="H852" s="543"/>
      <c r="J852" s="543"/>
      <c r="K852" s="543"/>
      <c r="L852" s="543"/>
      <c r="M852" s="543"/>
      <c r="N852" s="543"/>
      <c r="O852" s="543"/>
      <c r="P852" s="543"/>
      <c r="Q852" s="543"/>
      <c r="R852" s="543"/>
      <c r="S852" s="543"/>
      <c r="T852" s="543"/>
      <c r="U852" s="543"/>
      <c r="V852" s="543"/>
      <c r="W852" s="543"/>
      <c r="X852" s="543"/>
      <c r="Y852" s="543"/>
      <c r="Z852" s="543"/>
      <c r="AA852" s="543"/>
      <c r="AB852" s="543"/>
      <c r="AC852" s="543"/>
      <c r="AD852" s="543"/>
      <c r="AE852" s="543"/>
      <c r="AF852" s="543"/>
      <c r="AG852" s="543"/>
      <c r="AH852" s="543"/>
      <c r="AI852" s="543"/>
      <c r="AJ852" s="543"/>
      <c r="AK852" s="543"/>
      <c r="AL852" s="543"/>
      <c r="AM852" s="543"/>
      <c r="AN852" s="543"/>
      <c r="AO852" s="543"/>
      <c r="AP852" s="543"/>
      <c r="AQ852" s="543"/>
      <c r="AR852" s="543"/>
      <c r="AS852" s="543"/>
      <c r="AT852" s="543"/>
      <c r="AU852" s="543"/>
      <c r="AV852" s="543"/>
    </row>
    <row r="853" spans="1:48" s="354" customFormat="1" ht="15" hidden="1" customHeight="1">
      <c r="C853" s="1117">
        <f t="shared" si="57"/>
        <v>0</v>
      </c>
      <c r="D853" s="1117"/>
      <c r="E853" s="1117"/>
      <c r="F853" s="1117"/>
      <c r="G853" s="1117"/>
      <c r="H853" s="1117"/>
      <c r="I853" s="354" t="str">
        <f>+I728</f>
        <v>m3</v>
      </c>
      <c r="L853" s="354" t="s">
        <v>4508</v>
      </c>
      <c r="M853" s="497"/>
      <c r="N853" s="1227">
        <f>+N728*$M$78</f>
        <v>0</v>
      </c>
      <c r="O853" s="1227"/>
      <c r="P853" s="1227"/>
      <c r="Q853" s="1228"/>
      <c r="R853" s="1228"/>
      <c r="S853" s="1228"/>
      <c r="T853" s="496" t="str">
        <f>+T728</f>
        <v>/m3</v>
      </c>
      <c r="Y853" s="497" t="s">
        <v>4508</v>
      </c>
      <c r="AA853" s="1136">
        <f>+AA728</f>
        <v>1</v>
      </c>
      <c r="AB853" s="1136"/>
      <c r="AC853" s="739"/>
      <c r="AD853" s="739"/>
      <c r="AM853" s="496" t="s">
        <v>4426</v>
      </c>
      <c r="AO853" s="1220">
        <f>+C853*N853*AA853</f>
        <v>0</v>
      </c>
      <c r="AP853" s="1220"/>
      <c r="AQ853" s="1220"/>
      <c r="AR853" s="1221"/>
      <c r="AS853" s="1221"/>
      <c r="AT853" s="1221"/>
      <c r="AU853" s="1221"/>
      <c r="AV853" s="1221"/>
    </row>
    <row r="854" spans="1:48" s="354" customFormat="1" ht="15" hidden="1" customHeight="1">
      <c r="C854" s="542" t="str">
        <f t="shared" si="57"/>
        <v>c) Cerco Perimétrico (estimado):</v>
      </c>
      <c r="D854" s="543"/>
      <c r="E854" s="543"/>
      <c r="F854" s="543"/>
      <c r="G854" s="543"/>
      <c r="H854" s="543"/>
      <c r="J854" s="543"/>
      <c r="K854" s="543"/>
      <c r="L854" s="543"/>
      <c r="M854" s="543"/>
      <c r="N854" s="543"/>
      <c r="O854" s="543"/>
      <c r="P854" s="543"/>
      <c r="Q854" s="543"/>
      <c r="R854" s="543"/>
      <c r="S854" s="543"/>
      <c r="T854" s="543"/>
      <c r="U854" s="543"/>
      <c r="V854" s="543"/>
      <c r="W854" s="543"/>
      <c r="X854" s="543"/>
      <c r="Y854" s="543"/>
      <c r="Z854" s="543"/>
      <c r="AA854" s="543"/>
      <c r="AB854" s="543"/>
      <c r="AC854" s="543"/>
      <c r="AD854" s="543"/>
      <c r="AE854" s="543"/>
      <c r="AF854" s="543"/>
      <c r="AG854" s="543"/>
      <c r="AH854" s="543"/>
      <c r="AI854" s="543"/>
      <c r="AJ854" s="543"/>
      <c r="AK854" s="543"/>
      <c r="AL854" s="543"/>
      <c r="AM854" s="543"/>
      <c r="AN854" s="543"/>
      <c r="AO854" s="543"/>
      <c r="AP854" s="543"/>
      <c r="AQ854" s="543"/>
      <c r="AR854" s="543"/>
      <c r="AS854" s="543"/>
      <c r="AT854" s="543"/>
      <c r="AU854" s="543"/>
      <c r="AV854" s="543"/>
    </row>
    <row r="855" spans="1:48" s="354" customFormat="1" ht="15" hidden="1" customHeight="1">
      <c r="C855" s="1117">
        <f t="shared" si="57"/>
        <v>0</v>
      </c>
      <c r="D855" s="1117"/>
      <c r="E855" s="1117"/>
      <c r="F855" s="1117"/>
      <c r="G855" s="1117"/>
      <c r="H855" s="1117"/>
      <c r="I855" s="354" t="str">
        <f>+I730</f>
        <v>ml</v>
      </c>
      <c r="L855" s="354" t="s">
        <v>4508</v>
      </c>
      <c r="M855" s="497"/>
      <c r="N855" s="1227">
        <f>+N730*$M$78</f>
        <v>0</v>
      </c>
      <c r="O855" s="1227"/>
      <c r="P855" s="1227"/>
      <c r="Q855" s="1228"/>
      <c r="R855" s="1228"/>
      <c r="S855" s="1228"/>
      <c r="T855" s="496" t="str">
        <f>+T730</f>
        <v>/ml</v>
      </c>
      <c r="Y855" s="497" t="s">
        <v>4508</v>
      </c>
      <c r="AA855" s="1136">
        <f>+AA730</f>
        <v>1</v>
      </c>
      <c r="AB855" s="1136"/>
      <c r="AC855" s="739"/>
      <c r="AD855" s="739"/>
      <c r="AM855" s="496" t="s">
        <v>4426</v>
      </c>
      <c r="AO855" s="1220">
        <f>+C855*N855*AA855</f>
        <v>0</v>
      </c>
      <c r="AP855" s="1220"/>
      <c r="AQ855" s="1220"/>
      <c r="AR855" s="1221"/>
      <c r="AS855" s="1221"/>
      <c r="AT855" s="1221"/>
      <c r="AU855" s="1221"/>
      <c r="AV855" s="1221"/>
    </row>
    <row r="856" spans="1:48" s="354" customFormat="1" ht="15" hidden="1" customHeight="1">
      <c r="C856" s="542" t="str">
        <f t="shared" si="57"/>
        <v>d) Ascensor (estimado):</v>
      </c>
      <c r="D856" s="543"/>
      <c r="E856" s="543"/>
      <c r="F856" s="543"/>
      <c r="G856" s="543"/>
      <c r="H856" s="543"/>
      <c r="J856" s="543"/>
      <c r="K856" s="543"/>
      <c r="L856" s="543"/>
      <c r="M856" s="543"/>
      <c r="N856" s="543"/>
      <c r="O856" s="543"/>
      <c r="P856" s="543"/>
      <c r="Q856" s="543"/>
      <c r="R856" s="543"/>
      <c r="S856" s="543"/>
      <c r="T856" s="543"/>
      <c r="U856" s="543"/>
      <c r="V856" s="543"/>
      <c r="W856" s="543"/>
      <c r="X856" s="543"/>
      <c r="Y856" s="543"/>
      <c r="Z856" s="543"/>
      <c r="AA856" s="543"/>
      <c r="AB856" s="543"/>
      <c r="AC856" s="543"/>
      <c r="AD856" s="543"/>
      <c r="AE856" s="543"/>
      <c r="AF856" s="543"/>
      <c r="AG856" s="543"/>
      <c r="AH856" s="543"/>
      <c r="AI856" s="543"/>
      <c r="AJ856" s="543"/>
      <c r="AK856" s="543"/>
      <c r="AL856" s="543"/>
      <c r="AM856" s="543"/>
      <c r="AN856" s="543"/>
      <c r="AO856" s="543"/>
      <c r="AP856" s="543"/>
      <c r="AQ856" s="543"/>
      <c r="AR856" s="543"/>
      <c r="AS856" s="543"/>
      <c r="AT856" s="543"/>
      <c r="AU856" s="543"/>
      <c r="AV856" s="543"/>
    </row>
    <row r="857" spans="1:48" s="354" customFormat="1" ht="15" hidden="1" customHeight="1">
      <c r="C857" s="1117">
        <f t="shared" si="57"/>
        <v>0</v>
      </c>
      <c r="D857" s="1117"/>
      <c r="E857" s="1117"/>
      <c r="F857" s="1117"/>
      <c r="G857" s="1117"/>
      <c r="H857" s="1117"/>
      <c r="I857" s="354" t="str">
        <f>+I732</f>
        <v>Und</v>
      </c>
      <c r="L857" s="354" t="s">
        <v>4508</v>
      </c>
      <c r="M857" s="497"/>
      <c r="N857" s="1227">
        <f>+N732*$M$78</f>
        <v>0</v>
      </c>
      <c r="O857" s="1227"/>
      <c r="P857" s="1227"/>
      <c r="Q857" s="1228"/>
      <c r="R857" s="1228"/>
      <c r="S857" s="1228"/>
      <c r="T857" s="496" t="str">
        <f>+T732</f>
        <v>/Und</v>
      </c>
      <c r="Y857" s="497" t="s">
        <v>4508</v>
      </c>
      <c r="AA857" s="1136">
        <f>+AA732</f>
        <v>1</v>
      </c>
      <c r="AB857" s="1136"/>
      <c r="AC857" s="739"/>
      <c r="AD857" s="739"/>
      <c r="AM857" s="496" t="s">
        <v>4426</v>
      </c>
      <c r="AO857" s="1232">
        <f>+C857*N857*AA857</f>
        <v>0</v>
      </c>
      <c r="AP857" s="1232"/>
      <c r="AQ857" s="1232"/>
      <c r="AR857" s="1233"/>
      <c r="AS857" s="1233"/>
      <c r="AT857" s="1233"/>
      <c r="AU857" s="1233"/>
      <c r="AV857" s="1233"/>
    </row>
    <row r="858" spans="1:48" s="354" customFormat="1" hidden="1">
      <c r="C858" s="313" t="s">
        <v>4521</v>
      </c>
      <c r="D858" s="398"/>
      <c r="E858" s="398"/>
      <c r="F858" s="398"/>
      <c r="G858" s="398"/>
      <c r="H858" s="398"/>
      <c r="M858" s="497"/>
      <c r="N858" s="545"/>
      <c r="O858" s="545"/>
      <c r="P858" s="546"/>
      <c r="Q858" s="299"/>
      <c r="R858" s="299"/>
      <c r="S858" s="299"/>
      <c r="T858" s="496"/>
      <c r="Y858" s="497"/>
      <c r="AA858" s="544"/>
      <c r="AB858" s="544"/>
      <c r="AC858" s="261"/>
      <c r="AD858" s="261"/>
      <c r="AM858" s="496" t="s">
        <v>4426</v>
      </c>
      <c r="AO858" s="1220">
        <f>SUM(AO851:AV857)</f>
        <v>0</v>
      </c>
      <c r="AP858" s="1220"/>
      <c r="AQ858" s="1220"/>
      <c r="AR858" s="1221"/>
      <c r="AS858" s="1221"/>
      <c r="AT858" s="1221"/>
      <c r="AU858" s="1221"/>
      <c r="AV858" s="1221"/>
    </row>
    <row r="859" spans="1:48" s="354" customFormat="1" hidden="1">
      <c r="C859" s="398" t="s">
        <v>4522</v>
      </c>
      <c r="D859" s="398"/>
      <c r="E859" s="398"/>
      <c r="F859" s="398"/>
      <c r="G859" s="398"/>
      <c r="H859" s="398"/>
      <c r="M859" s="497"/>
      <c r="N859" s="545"/>
      <c r="O859" s="545"/>
      <c r="P859" s="546"/>
      <c r="Q859" s="299"/>
      <c r="R859" s="299"/>
      <c r="S859" s="299"/>
      <c r="T859" s="496"/>
      <c r="Y859" s="497"/>
      <c r="AA859" s="544"/>
      <c r="AB859" s="544"/>
      <c r="AC859" s="261"/>
      <c r="AD859" s="261"/>
      <c r="AM859" s="496"/>
      <c r="AO859" s="532"/>
      <c r="AP859" s="532"/>
      <c r="AQ859" s="532"/>
      <c r="AR859" s="261"/>
      <c r="AS859" s="261"/>
      <c r="AT859" s="261"/>
      <c r="AU859" s="261"/>
      <c r="AV859" s="261"/>
    </row>
    <row r="860" spans="1:48" s="354" customFormat="1" hidden="1">
      <c r="C860" s="1143">
        <f>+C735</f>
        <v>0</v>
      </c>
      <c r="D860" s="1143"/>
      <c r="E860" s="1143"/>
      <c r="F860" s="1143"/>
      <c r="G860" s="1143"/>
      <c r="H860" s="1143"/>
      <c r="I860" s="1143"/>
      <c r="K860" s="354" t="s">
        <v>4508</v>
      </c>
      <c r="M860" s="497"/>
      <c r="N860" s="545"/>
      <c r="O860" s="545"/>
      <c r="P860" s="546"/>
      <c r="Q860" s="1219">
        <f>+AO858</f>
        <v>0</v>
      </c>
      <c r="R860" s="1219"/>
      <c r="S860" s="1219"/>
      <c r="T860" s="1219"/>
      <c r="U860" s="1219"/>
      <c r="V860" s="1219"/>
      <c r="W860" s="1219"/>
      <c r="X860" s="1219"/>
      <c r="Y860" s="497"/>
      <c r="AA860" s="544"/>
      <c r="AB860" s="544"/>
      <c r="AC860" s="261"/>
      <c r="AD860" s="261"/>
      <c r="AM860" s="496" t="s">
        <v>4426</v>
      </c>
      <c r="AO860" s="1220">
        <f>+C860*Q860</f>
        <v>0</v>
      </c>
      <c r="AP860" s="1220"/>
      <c r="AQ860" s="1220"/>
      <c r="AR860" s="1221"/>
      <c r="AS860" s="1221"/>
      <c r="AT860" s="1221"/>
      <c r="AU860" s="1221"/>
      <c r="AV860" s="1221"/>
    </row>
    <row r="861" spans="1:48" s="336" customFormat="1" ht="15" hidden="1" customHeight="1" thickBot="1">
      <c r="C861" s="454" t="str">
        <f>+C849</f>
        <v>VALOR DE LAS OBRAS COMPLEMENTARIAS</v>
      </c>
      <c r="D861" s="455"/>
      <c r="E861" s="455"/>
      <c r="F861" s="455"/>
      <c r="G861" s="456"/>
      <c r="H861" s="457"/>
      <c r="I861" s="458"/>
      <c r="J861" s="459"/>
      <c r="K861" s="460"/>
      <c r="L861" s="456"/>
      <c r="M861" s="456"/>
      <c r="N861" s="456"/>
      <c r="O861" s="456"/>
      <c r="P861" s="456"/>
      <c r="Q861" s="456"/>
      <c r="R861" s="456"/>
      <c r="S861" s="456"/>
      <c r="T861" s="456"/>
      <c r="U861" s="456"/>
      <c r="V861" s="456"/>
      <c r="W861" s="456"/>
      <c r="X861" s="456"/>
      <c r="Y861" s="456"/>
      <c r="Z861" s="456"/>
      <c r="AA861" s="456"/>
      <c r="AB861" s="456"/>
      <c r="AC861" s="456"/>
      <c r="AD861" s="456"/>
      <c r="AE861" s="456"/>
      <c r="AF861" s="456"/>
      <c r="AG861" s="456"/>
      <c r="AH861" s="456"/>
      <c r="AI861" s="456"/>
      <c r="AJ861" s="456"/>
      <c r="AK861" s="456"/>
      <c r="AL861" s="456"/>
      <c r="AM861" s="461" t="s">
        <v>4426</v>
      </c>
      <c r="AN861" s="456"/>
      <c r="AO861" s="1222">
        <f>+AO860</f>
        <v>0</v>
      </c>
      <c r="AP861" s="1222"/>
      <c r="AQ861" s="1222"/>
      <c r="AR861" s="1223"/>
      <c r="AS861" s="1223"/>
      <c r="AT861" s="1223"/>
      <c r="AU861" s="1223"/>
      <c r="AV861" s="1223"/>
    </row>
    <row r="862" spans="1:48" ht="18.75" hidden="1" customHeight="1" thickTop="1">
      <c r="A862" s="891">
        <f>+A849+1</f>
        <v>4</v>
      </c>
      <c r="B862" s="1043"/>
      <c r="C862" s="355" t="str">
        <f>+C737</f>
        <v>VALOR DEL ESTACIONAMIENTO Nº …</v>
      </c>
    </row>
    <row r="863" spans="1:48" s="354" customFormat="1" ht="15.95" hidden="1" customHeight="1">
      <c r="C863" s="1117">
        <f>+C738</f>
        <v>1</v>
      </c>
      <c r="D863" s="1117"/>
      <c r="E863" s="1117"/>
      <c r="F863" s="1117"/>
      <c r="G863" s="1117"/>
      <c r="H863" s="1117"/>
      <c r="I863" s="354" t="s">
        <v>4520</v>
      </c>
      <c r="L863" s="354" t="s">
        <v>4508</v>
      </c>
      <c r="M863" s="497"/>
      <c r="N863" s="1227">
        <f>+N738*$M$78</f>
        <v>0</v>
      </c>
      <c r="O863" s="1227"/>
      <c r="P863" s="1227"/>
      <c r="Q863" s="1228"/>
      <c r="R863" s="1228"/>
      <c r="S863" s="1228"/>
      <c r="T863" s="496" t="s">
        <v>4511</v>
      </c>
      <c r="Y863" s="497"/>
      <c r="AA863" s="398"/>
      <c r="AB863" s="398"/>
      <c r="AC863" s="261"/>
      <c r="AD863" s="261"/>
      <c r="AM863" s="496" t="s">
        <v>4426</v>
      </c>
      <c r="AO863" s="1220">
        <f>+C863*N863</f>
        <v>0</v>
      </c>
      <c r="AP863" s="1220"/>
      <c r="AQ863" s="1220"/>
      <c r="AR863" s="1221"/>
      <c r="AS863" s="1221"/>
      <c r="AT863" s="1221"/>
      <c r="AU863" s="1221"/>
      <c r="AV863" s="1221"/>
    </row>
    <row r="864" spans="1:48" s="336" customFormat="1" ht="15" hidden="1" customHeight="1" thickBot="1">
      <c r="C864" s="454" t="str">
        <f>+C862</f>
        <v>VALOR DEL ESTACIONAMIENTO Nº …</v>
      </c>
      <c r="D864" s="455"/>
      <c r="E864" s="455"/>
      <c r="F864" s="455"/>
      <c r="G864" s="456"/>
      <c r="H864" s="457"/>
      <c r="I864" s="458"/>
      <c r="J864" s="459"/>
      <c r="K864" s="460"/>
      <c r="L864" s="456"/>
      <c r="M864" s="456"/>
      <c r="N864" s="456"/>
      <c r="O864" s="456"/>
      <c r="P864" s="456"/>
      <c r="Q864" s="456"/>
      <c r="R864" s="456"/>
      <c r="S864" s="456"/>
      <c r="T864" s="456"/>
      <c r="U864" s="456"/>
      <c r="V864" s="456"/>
      <c r="W864" s="456"/>
      <c r="X864" s="456"/>
      <c r="Y864" s="456"/>
      <c r="Z864" s="456"/>
      <c r="AA864" s="456"/>
      <c r="AB864" s="456"/>
      <c r="AC864" s="456"/>
      <c r="AD864" s="456"/>
      <c r="AE864" s="456"/>
      <c r="AF864" s="456"/>
      <c r="AG864" s="456"/>
      <c r="AH864" s="456"/>
      <c r="AI864" s="456"/>
      <c r="AJ864" s="456"/>
      <c r="AK864" s="456"/>
      <c r="AL864" s="456"/>
      <c r="AM864" s="461" t="s">
        <v>4426</v>
      </c>
      <c r="AN864" s="456"/>
      <c r="AO864" s="1222">
        <f>SUM(AO863:AV863)</f>
        <v>0</v>
      </c>
      <c r="AP864" s="1222"/>
      <c r="AQ864" s="1222"/>
      <c r="AR864" s="1223"/>
      <c r="AS864" s="1223"/>
      <c r="AT864" s="1223"/>
      <c r="AU864" s="1223"/>
      <c r="AV864" s="1223"/>
    </row>
    <row r="865" spans="1:48" ht="18.75" hidden="1" customHeight="1" thickTop="1">
      <c r="A865" s="891">
        <f>+A862+1</f>
        <v>5</v>
      </c>
      <c r="B865" s="1043"/>
      <c r="C865" s="355" t="str">
        <f>+C740</f>
        <v>VALOR DEL DEPOSITO Nº ..</v>
      </c>
    </row>
    <row r="866" spans="1:48" s="354" customFormat="1" ht="15.95" hidden="1" customHeight="1">
      <c r="C866" s="1117">
        <f>+C741</f>
        <v>1</v>
      </c>
      <c r="D866" s="1117"/>
      <c r="E866" s="1117"/>
      <c r="F866" s="1117"/>
      <c r="G866" s="1117"/>
      <c r="H866" s="1117"/>
      <c r="I866" s="354" t="s">
        <v>4520</v>
      </c>
      <c r="L866" s="354" t="s">
        <v>4508</v>
      </c>
      <c r="M866" s="497"/>
      <c r="N866" s="1227">
        <f>+N741*$M$78</f>
        <v>0</v>
      </c>
      <c r="O866" s="1227"/>
      <c r="P866" s="1227"/>
      <c r="Q866" s="1228"/>
      <c r="R866" s="1228"/>
      <c r="S866" s="1228"/>
      <c r="T866" s="496" t="s">
        <v>4511</v>
      </c>
      <c r="Y866" s="497"/>
      <c r="AA866" s="398"/>
      <c r="AB866" s="398"/>
      <c r="AC866" s="261"/>
      <c r="AD866" s="261"/>
      <c r="AM866" s="496" t="s">
        <v>4426</v>
      </c>
      <c r="AO866" s="1220">
        <f>+C866*N866</f>
        <v>0</v>
      </c>
      <c r="AP866" s="1220"/>
      <c r="AQ866" s="1220"/>
      <c r="AR866" s="1221"/>
      <c r="AS866" s="1221"/>
      <c r="AT866" s="1221"/>
      <c r="AU866" s="1221"/>
      <c r="AV866" s="1221"/>
    </row>
    <row r="867" spans="1:48" s="336" customFormat="1" ht="15" hidden="1" customHeight="1" thickBot="1">
      <c r="C867" s="454" t="str">
        <f>+C865</f>
        <v>VALOR DEL DEPOSITO Nº ..</v>
      </c>
      <c r="D867" s="455"/>
      <c r="E867" s="455"/>
      <c r="F867" s="455"/>
      <c r="G867" s="456"/>
      <c r="H867" s="457"/>
      <c r="I867" s="458"/>
      <c r="J867" s="459"/>
      <c r="K867" s="460"/>
      <c r="L867" s="456"/>
      <c r="M867" s="456"/>
      <c r="N867" s="456"/>
      <c r="O867" s="456"/>
      <c r="P867" s="456"/>
      <c r="Q867" s="456"/>
      <c r="R867" s="456"/>
      <c r="S867" s="456"/>
      <c r="T867" s="456"/>
      <c r="U867" s="456"/>
      <c r="V867" s="456"/>
      <c r="W867" s="456"/>
      <c r="X867" s="456"/>
      <c r="Y867" s="456"/>
      <c r="Z867" s="456"/>
      <c r="AA867" s="456"/>
      <c r="AB867" s="456"/>
      <c r="AC867" s="456"/>
      <c r="AD867" s="456"/>
      <c r="AE867" s="456"/>
      <c r="AF867" s="456"/>
      <c r="AG867" s="456"/>
      <c r="AH867" s="456"/>
      <c r="AI867" s="456"/>
      <c r="AJ867" s="456"/>
      <c r="AK867" s="456"/>
      <c r="AL867" s="456"/>
      <c r="AM867" s="461" t="s">
        <v>4426</v>
      </c>
      <c r="AN867" s="456"/>
      <c r="AO867" s="1222">
        <f>SUM(AO866:AV866)</f>
        <v>0</v>
      </c>
      <c r="AP867" s="1222"/>
      <c r="AQ867" s="1222"/>
      <c r="AR867" s="1223"/>
      <c r="AS867" s="1223"/>
      <c r="AT867" s="1223"/>
      <c r="AU867" s="1223"/>
      <c r="AV867" s="1223"/>
    </row>
    <row r="868" spans="1:48" s="336" customFormat="1" ht="30" hidden="1" customHeight="1" thickTop="1">
      <c r="A868" s="354"/>
      <c r="B868" s="354"/>
      <c r="C868" s="1230" t="s">
        <v>4560</v>
      </c>
      <c r="D868" s="1231"/>
      <c r="E868" s="1231"/>
      <c r="F868" s="1231"/>
      <c r="G868" s="1231"/>
      <c r="H868" s="1231"/>
      <c r="I868" s="1231"/>
      <c r="J868" s="1231"/>
      <c r="K868" s="1231"/>
      <c r="L868" s="1231"/>
      <c r="M868" s="1231"/>
      <c r="N868" s="1231"/>
      <c r="O868" s="1231"/>
      <c r="P868" s="1231"/>
      <c r="Q868" s="1231"/>
      <c r="R868" s="1231"/>
      <c r="S868" s="1231"/>
      <c r="T868" s="1231"/>
      <c r="U868" s="1231"/>
      <c r="V868" s="1231"/>
      <c r="W868" s="1231"/>
      <c r="X868" s="1231"/>
      <c r="Y868" s="1231"/>
      <c r="Z868" s="1231"/>
      <c r="AA868" s="1231"/>
      <c r="AB868" s="1231"/>
      <c r="AC868" s="1231"/>
      <c r="AD868" s="1231"/>
      <c r="AE868" s="1231"/>
      <c r="AF868" s="1231"/>
      <c r="AG868" s="1231"/>
      <c r="AH868" s="1231"/>
      <c r="AI868" s="1231"/>
      <c r="AJ868" s="1231"/>
      <c r="AK868" s="1231"/>
      <c r="AL868" s="1231"/>
      <c r="AM868" s="1231"/>
      <c r="AN868" s="1231"/>
      <c r="AO868" s="1231"/>
      <c r="AP868" s="1231"/>
      <c r="AQ868" s="1231"/>
      <c r="AR868" s="1231"/>
      <c r="AS868" s="1231"/>
      <c r="AT868" s="1231"/>
      <c r="AU868" s="1231"/>
      <c r="AV868" s="1231"/>
    </row>
    <row r="869" spans="1:48" s="336" customFormat="1" ht="15" hidden="1" customHeight="1">
      <c r="A869" s="1086" t="s">
        <v>4607</v>
      </c>
      <c r="B869" s="1086"/>
      <c r="C869" s="1084" t="s">
        <v>4524</v>
      </c>
      <c r="D869" s="1084"/>
      <c r="E869" s="1084"/>
      <c r="F869" s="1084"/>
      <c r="G869" s="1084"/>
      <c r="H869" s="1084"/>
      <c r="I869" s="1084"/>
      <c r="J869" s="1084"/>
      <c r="K869" s="1084"/>
      <c r="L869" s="1084"/>
      <c r="M869" s="1084"/>
      <c r="N869" s="1084"/>
      <c r="O869" s="1084"/>
      <c r="P869" s="1084"/>
      <c r="Q869" s="1084"/>
      <c r="R869" s="1084"/>
      <c r="S869" s="1084"/>
      <c r="T869" s="1084"/>
      <c r="U869" s="1084"/>
      <c r="V869" s="1084"/>
      <c r="W869" s="1084"/>
      <c r="X869" s="1084"/>
      <c r="Y869" s="1084"/>
      <c r="Z869" s="1084"/>
      <c r="AA869" s="1084"/>
      <c r="AB869" s="1084"/>
      <c r="AC869" s="1084"/>
      <c r="AD869" s="1084"/>
      <c r="AE869" s="1084"/>
      <c r="AF869" s="1084"/>
      <c r="AG869" s="1084"/>
      <c r="AH869" s="1084"/>
      <c r="AI869" s="1084"/>
      <c r="AJ869" s="1084"/>
      <c r="AK869" s="1084"/>
      <c r="AL869" s="1084"/>
      <c r="AM869" s="1084"/>
      <c r="AN869" s="1084"/>
      <c r="AO869" s="1084"/>
      <c r="AP869" s="1084"/>
      <c r="AQ869" s="1084"/>
      <c r="AR869" s="1084"/>
      <c r="AS869" s="1084"/>
      <c r="AT869" s="1084"/>
      <c r="AU869" s="1084"/>
      <c r="AV869" s="1084"/>
    </row>
    <row r="870" spans="1:48" s="336" customFormat="1" ht="13.5" hidden="1" customHeight="1">
      <c r="A870" s="261"/>
      <c r="B870" s="261"/>
      <c r="C870" s="330"/>
      <c r="D870" s="330"/>
      <c r="E870" s="261"/>
      <c r="F870" s="261"/>
      <c r="G870" s="261"/>
      <c r="H870" s="284"/>
      <c r="I870" s="284"/>
      <c r="J870" s="261"/>
      <c r="K870" s="331"/>
      <c r="L870" s="261"/>
      <c r="M870" s="261"/>
      <c r="N870" s="261"/>
      <c r="O870" s="261"/>
      <c r="P870" s="261"/>
      <c r="Q870" s="261"/>
      <c r="R870" s="261"/>
      <c r="S870" s="261"/>
      <c r="T870" s="331" t="str">
        <f>+S10</f>
        <v xml:space="preserve">  INFORME N°26</v>
      </c>
      <c r="U870" s="261"/>
      <c r="V870" s="332"/>
      <c r="W870" s="333"/>
      <c r="X870" s="261"/>
      <c r="Y870" s="261"/>
      <c r="Z870" s="261"/>
      <c r="AA870" s="261"/>
      <c r="AB870" s="261"/>
      <c r="AC870" s="1280">
        <f>+AC745</f>
        <v>0</v>
      </c>
      <c r="AD870" s="739"/>
      <c r="AE870" s="739"/>
      <c r="AF870" s="739"/>
      <c r="AG870" s="739"/>
      <c r="AH870" s="261"/>
      <c r="AI870" s="261"/>
      <c r="AJ870" s="261"/>
      <c r="AK870" s="261"/>
      <c r="AL870" s="261"/>
      <c r="AM870" s="261"/>
      <c r="AN870" s="261"/>
      <c r="AO870" s="261"/>
      <c r="AP870" s="261"/>
      <c r="AQ870" s="261"/>
      <c r="AR870" s="261"/>
      <c r="AS870" s="261"/>
      <c r="AT870" s="261"/>
      <c r="AU870" s="261"/>
      <c r="AV870" s="261"/>
    </row>
    <row r="871" spans="1:48" s="336" customFormat="1" ht="30" hidden="1" customHeight="1">
      <c r="A871" s="891">
        <v>1</v>
      </c>
      <c r="B871" s="892"/>
      <c r="C871" s="355" t="s">
        <v>4525</v>
      </c>
      <c r="D871" s="261"/>
      <c r="E871" s="261"/>
      <c r="F871" s="261"/>
      <c r="G871" s="261"/>
      <c r="H871" s="261"/>
      <c r="I871" s="261"/>
      <c r="J871" s="261"/>
      <c r="K871" s="261"/>
      <c r="L871" s="261"/>
      <c r="M871" s="261"/>
      <c r="N871" s="261"/>
      <c r="O871" s="261"/>
      <c r="P871" s="261"/>
      <c r="Q871" s="261"/>
      <c r="R871" s="261"/>
      <c r="S871" s="261"/>
      <c r="T871" s="261" t="s">
        <v>4526</v>
      </c>
      <c r="U871" s="261"/>
      <c r="V871" s="261"/>
      <c r="W871" s="261"/>
      <c r="X871" s="261"/>
      <c r="Y871" s="261"/>
      <c r="Z871" s="261"/>
      <c r="AA871" s="261"/>
      <c r="AB871" s="261"/>
      <c r="AC871" s="261"/>
      <c r="AD871" s="261"/>
      <c r="AE871" s="261"/>
      <c r="AF871" s="261"/>
      <c r="AG871" s="261"/>
      <c r="AH871" s="261"/>
      <c r="AI871" s="261"/>
      <c r="AJ871" s="261"/>
      <c r="AK871" s="261"/>
      <c r="AL871" s="261"/>
      <c r="AM871" s="261"/>
      <c r="AN871" s="261"/>
      <c r="AO871" s="261"/>
      <c r="AP871" s="261"/>
      <c r="AQ871" s="261"/>
      <c r="AR871" s="261"/>
      <c r="AS871" s="261"/>
      <c r="AT871" s="261"/>
      <c r="AU871" s="261"/>
      <c r="AV871" s="261"/>
    </row>
    <row r="872" spans="1:48" s="336" customFormat="1" ht="15" hidden="1" customHeight="1">
      <c r="A872" s="353"/>
      <c r="B872" s="354"/>
      <c r="C872" s="671" t="str">
        <f t="shared" ref="C872:C877" si="58">+C839</f>
        <v>Primer piso</v>
      </c>
      <c r="D872" s="398"/>
      <c r="E872" s="398"/>
      <c r="F872" s="398"/>
      <c r="G872" s="398"/>
      <c r="H872" s="398"/>
      <c r="I872" s="261"/>
      <c r="J872" s="261"/>
      <c r="K872" s="261"/>
      <c r="L872" s="261"/>
      <c r="M872" s="261"/>
      <c r="N872" s="261"/>
      <c r="O872" s="261"/>
      <c r="P872" s="261"/>
      <c r="Q872" s="261"/>
      <c r="R872" s="261"/>
      <c r="S872" s="261"/>
      <c r="T872" s="261"/>
      <c r="U872" s="261"/>
      <c r="V872" s="261"/>
      <c r="W872" s="261"/>
      <c r="X872" s="261"/>
      <c r="Y872" s="261"/>
      <c r="Z872" s="261"/>
      <c r="AA872" s="261"/>
      <c r="AB872" s="261"/>
      <c r="AC872" s="261"/>
      <c r="AD872" s="261"/>
      <c r="AE872" s="261"/>
      <c r="AF872" s="261"/>
      <c r="AG872" s="261"/>
      <c r="AH872" s="261"/>
      <c r="AI872" s="261"/>
      <c r="AJ872" s="261"/>
      <c r="AK872" s="261"/>
      <c r="AL872" s="261"/>
      <c r="AM872" s="261"/>
      <c r="AN872" s="261"/>
      <c r="AO872" s="261"/>
      <c r="AP872" s="261"/>
      <c r="AQ872" s="261"/>
      <c r="AR872" s="261"/>
      <c r="AS872" s="261"/>
      <c r="AT872" s="261"/>
      <c r="AU872" s="261"/>
      <c r="AV872" s="261"/>
    </row>
    <row r="873" spans="1:48" s="336" customFormat="1" ht="15.95" hidden="1" customHeight="1">
      <c r="A873" s="354"/>
      <c r="B873" s="354"/>
      <c r="C873" s="1117">
        <f>+C840</f>
        <v>0</v>
      </c>
      <c r="D873" s="1117"/>
      <c r="E873" s="1117"/>
      <c r="F873" s="1117"/>
      <c r="G873" s="1117"/>
      <c r="H873" s="1117"/>
      <c r="I873" s="398"/>
      <c r="J873" s="354" t="s">
        <v>10</v>
      </c>
      <c r="K873" s="354"/>
      <c r="L873" s="354"/>
      <c r="M873" s="354" t="s">
        <v>4508</v>
      </c>
      <c r="N873" s="1279">
        <f>+N840</f>
        <v>0</v>
      </c>
      <c r="O873" s="1279"/>
      <c r="P873" s="1279"/>
      <c r="Q873" s="1279"/>
      <c r="R873" s="1279"/>
      <c r="S873" s="1279"/>
      <c r="T873" s="1279"/>
      <c r="U873" s="496" t="s">
        <v>4509</v>
      </c>
      <c r="V873" s="354"/>
      <c r="W873" s="354"/>
      <c r="X873" s="354"/>
      <c r="Y873" s="354"/>
      <c r="Z873" s="497"/>
      <c r="AA873" s="354"/>
      <c r="AB873" s="1136"/>
      <c r="AC873" s="1136"/>
      <c r="AD873" s="739"/>
      <c r="AE873" s="739"/>
      <c r="AF873" s="354"/>
      <c r="AG873" s="354"/>
      <c r="AH873" s="354"/>
      <c r="AI873" s="354"/>
      <c r="AJ873" s="354"/>
      <c r="AK873" s="354"/>
      <c r="AL873" s="354"/>
      <c r="AM873" s="496" t="s">
        <v>4426</v>
      </c>
      <c r="AN873" s="496"/>
      <c r="AO873" s="1235">
        <f>+C873*N873</f>
        <v>0</v>
      </c>
      <c r="AP873" s="1235"/>
      <c r="AQ873" s="1235"/>
      <c r="AR873" s="1235"/>
      <c r="AS873" s="1235"/>
      <c r="AT873" s="1235"/>
      <c r="AU873" s="1235"/>
      <c r="AV873" s="1235"/>
    </row>
    <row r="874" spans="1:48" s="336" customFormat="1" ht="15" hidden="1" customHeight="1">
      <c r="A874" s="353"/>
      <c r="B874" s="354"/>
      <c r="C874" s="671" t="str">
        <f t="shared" si="58"/>
        <v>Segundo piso</v>
      </c>
      <c r="D874" s="398"/>
      <c r="E874" s="398"/>
      <c r="F874" s="398"/>
      <c r="G874" s="398"/>
      <c r="H874" s="398"/>
      <c r="I874" s="261"/>
      <c r="J874" s="261"/>
      <c r="K874" s="261"/>
      <c r="L874" s="261"/>
      <c r="M874" s="261"/>
      <c r="N874" s="261"/>
      <c r="O874" s="261"/>
      <c r="P874" s="261"/>
      <c r="Q874" s="261"/>
      <c r="R874" s="261"/>
      <c r="S874" s="261"/>
      <c r="T874" s="261"/>
      <c r="U874" s="261"/>
      <c r="V874" s="261"/>
      <c r="W874" s="261"/>
      <c r="X874" s="261"/>
      <c r="Y874" s="261"/>
      <c r="Z874" s="261"/>
      <c r="AA874" s="261"/>
      <c r="AB874" s="261"/>
      <c r="AC874" s="261"/>
      <c r="AD874" s="261"/>
      <c r="AE874" s="261"/>
      <c r="AF874" s="261"/>
      <c r="AG874" s="261"/>
      <c r="AH874" s="261"/>
      <c r="AI874" s="261"/>
      <c r="AJ874" s="261"/>
      <c r="AK874" s="261"/>
      <c r="AL874" s="261"/>
      <c r="AM874" s="261"/>
      <c r="AN874" s="261"/>
      <c r="AO874" s="261"/>
      <c r="AP874" s="261"/>
      <c r="AQ874" s="261"/>
      <c r="AR874" s="261"/>
      <c r="AS874" s="261"/>
      <c r="AT874" s="261"/>
      <c r="AU874" s="261"/>
      <c r="AV874" s="261"/>
    </row>
    <row r="875" spans="1:48" s="336" customFormat="1" ht="15.95" hidden="1" customHeight="1">
      <c r="A875" s="354"/>
      <c r="B875" s="354"/>
      <c r="C875" s="1117">
        <f t="shared" si="58"/>
        <v>0</v>
      </c>
      <c r="D875" s="1117"/>
      <c r="E875" s="1117"/>
      <c r="F875" s="1117"/>
      <c r="G875" s="1117"/>
      <c r="H875" s="1117"/>
      <c r="I875" s="398"/>
      <c r="J875" s="354" t="s">
        <v>10</v>
      </c>
      <c r="K875" s="354"/>
      <c r="L875" s="354"/>
      <c r="M875" s="354" t="s">
        <v>4508</v>
      </c>
      <c r="N875" s="1279">
        <f>+N842</f>
        <v>0</v>
      </c>
      <c r="O875" s="1279"/>
      <c r="P875" s="1279"/>
      <c r="Q875" s="1279"/>
      <c r="R875" s="1279"/>
      <c r="S875" s="1279"/>
      <c r="T875" s="1279"/>
      <c r="U875" s="496" t="s">
        <v>4509</v>
      </c>
      <c r="V875" s="354"/>
      <c r="W875" s="354"/>
      <c r="X875" s="354"/>
      <c r="Y875" s="354"/>
      <c r="Z875" s="497"/>
      <c r="AA875" s="354"/>
      <c r="AB875" s="1136"/>
      <c r="AC875" s="1136"/>
      <c r="AD875" s="739"/>
      <c r="AE875" s="739"/>
      <c r="AF875" s="354"/>
      <c r="AG875" s="354"/>
      <c r="AH875" s="354"/>
      <c r="AI875" s="354"/>
      <c r="AJ875" s="354"/>
      <c r="AK875" s="354"/>
      <c r="AL875" s="354"/>
      <c r="AM875" s="496" t="s">
        <v>4426</v>
      </c>
      <c r="AN875" s="496"/>
      <c r="AO875" s="1235">
        <f>+C875*N875</f>
        <v>0</v>
      </c>
      <c r="AP875" s="1235"/>
      <c r="AQ875" s="1235"/>
      <c r="AR875" s="1235"/>
      <c r="AS875" s="1235"/>
      <c r="AT875" s="1235"/>
      <c r="AU875" s="1235"/>
      <c r="AV875" s="1235"/>
    </row>
    <row r="876" spans="1:48" s="336" customFormat="1" ht="15" hidden="1" customHeight="1">
      <c r="A876" s="353"/>
      <c r="B876" s="354"/>
      <c r="C876" s="671" t="str">
        <f t="shared" si="58"/>
        <v>Tercer piso</v>
      </c>
      <c r="D876" s="398"/>
      <c r="E876" s="398"/>
      <c r="F876" s="398"/>
      <c r="G876" s="398"/>
      <c r="H876" s="398"/>
      <c r="I876" s="261"/>
      <c r="J876" s="261"/>
      <c r="K876" s="261"/>
      <c r="L876" s="261"/>
      <c r="M876" s="261"/>
      <c r="N876" s="261"/>
      <c r="O876" s="261"/>
      <c r="P876" s="261"/>
      <c r="Q876" s="261"/>
      <c r="R876" s="261"/>
      <c r="S876" s="261"/>
      <c r="T876" s="261"/>
      <c r="U876" s="261"/>
      <c r="V876" s="261"/>
      <c r="W876" s="261"/>
      <c r="X876" s="261"/>
      <c r="Y876" s="261"/>
      <c r="Z876" s="261"/>
      <c r="AA876" s="261"/>
      <c r="AB876" s="261"/>
      <c r="AC876" s="261"/>
      <c r="AD876" s="261"/>
      <c r="AE876" s="261"/>
      <c r="AF876" s="261"/>
      <c r="AG876" s="261"/>
      <c r="AH876" s="261"/>
      <c r="AI876" s="261"/>
      <c r="AJ876" s="261"/>
      <c r="AK876" s="261"/>
      <c r="AL876" s="261"/>
      <c r="AM876" s="261"/>
      <c r="AN876" s="261"/>
      <c r="AO876" s="261"/>
      <c r="AP876" s="261"/>
      <c r="AQ876" s="261"/>
      <c r="AR876" s="261"/>
      <c r="AS876" s="261"/>
      <c r="AT876" s="261"/>
      <c r="AU876" s="261"/>
      <c r="AV876" s="261"/>
    </row>
    <row r="877" spans="1:48" s="336" customFormat="1" ht="15.95" hidden="1" customHeight="1">
      <c r="A877" s="354"/>
      <c r="B877" s="354"/>
      <c r="C877" s="1117">
        <f t="shared" si="58"/>
        <v>0</v>
      </c>
      <c r="D877" s="1117"/>
      <c r="E877" s="1117"/>
      <c r="F877" s="1117"/>
      <c r="G877" s="1117"/>
      <c r="H877" s="1117"/>
      <c r="I877" s="398"/>
      <c r="J877" s="354" t="s">
        <v>10</v>
      </c>
      <c r="K877" s="354"/>
      <c r="L877" s="354"/>
      <c r="M877" s="354" t="s">
        <v>4508</v>
      </c>
      <c r="N877" s="1279">
        <f>+N844</f>
        <v>0</v>
      </c>
      <c r="O877" s="1279"/>
      <c r="P877" s="1279"/>
      <c r="Q877" s="1279"/>
      <c r="R877" s="1279"/>
      <c r="S877" s="1279"/>
      <c r="T877" s="1279"/>
      <c r="U877" s="496" t="s">
        <v>4509</v>
      </c>
      <c r="V877" s="354"/>
      <c r="W877" s="354"/>
      <c r="X877" s="354"/>
      <c r="Y877" s="354"/>
      <c r="Z877" s="497"/>
      <c r="AA877" s="354"/>
      <c r="AB877" s="1136"/>
      <c r="AC877" s="1136"/>
      <c r="AD877" s="739"/>
      <c r="AE877" s="739"/>
      <c r="AF877" s="354"/>
      <c r="AG877" s="354"/>
      <c r="AH877" s="354"/>
      <c r="AI877" s="354"/>
      <c r="AJ877" s="354"/>
      <c r="AK877" s="354"/>
      <c r="AL877" s="354"/>
      <c r="AM877" s="496" t="s">
        <v>4426</v>
      </c>
      <c r="AN877" s="496"/>
      <c r="AO877" s="1235">
        <f>+C877*N877</f>
        <v>0</v>
      </c>
      <c r="AP877" s="1235"/>
      <c r="AQ877" s="1235"/>
      <c r="AR877" s="1235"/>
      <c r="AS877" s="1235"/>
      <c r="AT877" s="1235"/>
      <c r="AU877" s="1235"/>
      <c r="AV877" s="1235"/>
    </row>
    <row r="878" spans="1:48" s="336" customFormat="1" ht="15" hidden="1" customHeight="1" thickBot="1">
      <c r="A878" s="354"/>
      <c r="B878" s="354"/>
      <c r="C878" s="487" t="str">
        <f>+C871</f>
        <v>VALOR  DE LA EDIFICACIÓN</v>
      </c>
      <c r="D878" s="488"/>
      <c r="E878" s="488"/>
      <c r="F878" s="488"/>
      <c r="G878" s="489"/>
      <c r="H878" s="490"/>
      <c r="I878" s="490"/>
      <c r="J878" s="491"/>
      <c r="K878" s="492"/>
      <c r="L878" s="493"/>
      <c r="M878" s="489"/>
      <c r="N878" s="489"/>
      <c r="O878" s="489"/>
      <c r="P878" s="489"/>
      <c r="Q878" s="489"/>
      <c r="R878" s="489"/>
      <c r="S878" s="489"/>
      <c r="T878" s="489"/>
      <c r="U878" s="489"/>
      <c r="V878" s="489"/>
      <c r="W878" s="489"/>
      <c r="X878" s="489"/>
      <c r="Y878" s="489"/>
      <c r="Z878" s="489"/>
      <c r="AA878" s="489"/>
      <c r="AB878" s="489"/>
      <c r="AC878" s="489"/>
      <c r="AD878" s="489"/>
      <c r="AE878" s="489"/>
      <c r="AF878" s="489"/>
      <c r="AG878" s="489"/>
      <c r="AH878" s="489"/>
      <c r="AI878" s="489"/>
      <c r="AJ878" s="489"/>
      <c r="AK878" s="489"/>
      <c r="AL878" s="489"/>
      <c r="AM878" s="494" t="s">
        <v>4426</v>
      </c>
      <c r="AN878" s="494"/>
      <c r="AO878" s="1278">
        <f>SUM(AO873:AV877)</f>
        <v>0</v>
      </c>
      <c r="AP878" s="1278"/>
      <c r="AQ878" s="1278"/>
      <c r="AR878" s="1278"/>
      <c r="AS878" s="1278"/>
      <c r="AT878" s="1278"/>
      <c r="AU878" s="1278"/>
      <c r="AV878" s="1278"/>
    </row>
    <row r="879" spans="1:48" s="336" customFormat="1" ht="25.5" hidden="1" customHeight="1" thickTop="1">
      <c r="A879" s="891">
        <f>1+A871</f>
        <v>2</v>
      </c>
      <c r="B879" s="892"/>
      <c r="C879" s="355" t="s">
        <v>4608</v>
      </c>
      <c r="D879" s="261"/>
      <c r="E879" s="261"/>
      <c r="F879" s="261"/>
      <c r="G879" s="261"/>
      <c r="H879" s="261"/>
      <c r="I879" s="261"/>
      <c r="J879" s="261"/>
      <c r="K879" s="261"/>
      <c r="L879" s="261"/>
      <c r="M879" s="261"/>
      <c r="N879" s="261"/>
      <c r="O879" s="261"/>
      <c r="P879" s="261"/>
      <c r="Q879" s="261"/>
      <c r="R879" s="261"/>
      <c r="S879" s="261"/>
      <c r="T879" s="261"/>
      <c r="U879" s="261"/>
      <c r="V879" s="261"/>
      <c r="W879" s="261"/>
      <c r="X879" s="261"/>
      <c r="Y879" s="261"/>
      <c r="Z879" s="261"/>
      <c r="AA879" s="261"/>
      <c r="AB879" s="261"/>
      <c r="AC879" s="261"/>
      <c r="AD879" s="261"/>
      <c r="AE879" s="261"/>
      <c r="AF879" s="261"/>
      <c r="AG879" s="261"/>
      <c r="AH879" s="261"/>
      <c r="AI879" s="261"/>
      <c r="AJ879" s="261"/>
      <c r="AK879" s="261"/>
      <c r="AL879" s="261"/>
      <c r="AM879" s="261"/>
      <c r="AN879" s="261"/>
      <c r="AO879" s="261"/>
      <c r="AP879" s="261"/>
      <c r="AQ879" s="261"/>
      <c r="AR879" s="261"/>
      <c r="AS879" s="261"/>
      <c r="AT879" s="261"/>
      <c r="AU879" s="261"/>
      <c r="AV879" s="261"/>
    </row>
    <row r="880" spans="1:48" s="336" customFormat="1" hidden="1">
      <c r="A880" s="354"/>
      <c r="B880" s="354"/>
      <c r="C880" s="1229">
        <f>+C847</f>
        <v>0</v>
      </c>
      <c r="D880" s="1229"/>
      <c r="E880" s="1229"/>
      <c r="F880" s="1229"/>
      <c r="G880" s="1229"/>
      <c r="H880" s="1229"/>
      <c r="I880" s="398"/>
      <c r="J880" s="354"/>
      <c r="K880" s="354"/>
      <c r="L880" s="354"/>
      <c r="M880" s="354" t="s">
        <v>4508</v>
      </c>
      <c r="N880" s="497"/>
      <c r="O880" s="1219">
        <f>+AO878</f>
        <v>0</v>
      </c>
      <c r="P880" s="1219"/>
      <c r="Q880" s="1219"/>
      <c r="R880" s="1219"/>
      <c r="S880" s="1219"/>
      <c r="T880" s="1219"/>
      <c r="U880" s="1219"/>
      <c r="V880" s="1219"/>
      <c r="W880" s="1219"/>
      <c r="X880" s="1219"/>
      <c r="Y880" s="1219"/>
      <c r="Z880" s="497"/>
      <c r="AA880" s="354"/>
      <c r="AB880" s="398"/>
      <c r="AC880" s="398"/>
      <c r="AD880" s="261"/>
      <c r="AE880" s="261"/>
      <c r="AF880" s="354"/>
      <c r="AG880" s="354"/>
      <c r="AH880" s="354"/>
      <c r="AI880" s="354"/>
      <c r="AJ880" s="354"/>
      <c r="AK880" s="354"/>
      <c r="AL880" s="354"/>
      <c r="AM880" s="354"/>
      <c r="AN880" s="496" t="s">
        <v>4426</v>
      </c>
      <c r="AO880" s="1235">
        <f>+C880*O880</f>
        <v>0</v>
      </c>
      <c r="AP880" s="1235"/>
      <c r="AQ880" s="1235"/>
      <c r="AR880" s="1235"/>
      <c r="AS880" s="1235"/>
      <c r="AT880" s="1235"/>
      <c r="AU880" s="1235"/>
      <c r="AV880" s="1235"/>
    </row>
    <row r="881" spans="1:48" s="336" customFormat="1" ht="14.25" hidden="1" thickBot="1">
      <c r="A881" s="354"/>
      <c r="B881" s="354"/>
      <c r="C881" s="487" t="str">
        <f>+C879</f>
        <v>VALOR  DE LAS ÁREAS COMUNES</v>
      </c>
      <c r="D881" s="488"/>
      <c r="E881" s="488"/>
      <c r="F881" s="488"/>
      <c r="G881" s="489"/>
      <c r="H881" s="490"/>
      <c r="I881" s="490"/>
      <c r="J881" s="491"/>
      <c r="K881" s="492"/>
      <c r="L881" s="493"/>
      <c r="M881" s="489"/>
      <c r="N881" s="489"/>
      <c r="O881" s="489"/>
      <c r="P881" s="489"/>
      <c r="Q881" s="489"/>
      <c r="R881" s="489"/>
      <c r="S881" s="489"/>
      <c r="T881" s="489"/>
      <c r="U881" s="489"/>
      <c r="V881" s="489"/>
      <c r="W881" s="489"/>
      <c r="X881" s="489"/>
      <c r="Y881" s="489"/>
      <c r="Z881" s="489"/>
      <c r="AA881" s="489"/>
      <c r="AB881" s="489"/>
      <c r="AC881" s="489"/>
      <c r="AD881" s="489"/>
      <c r="AE881" s="489"/>
      <c r="AF881" s="489"/>
      <c r="AG881" s="489"/>
      <c r="AH881" s="489"/>
      <c r="AI881" s="489"/>
      <c r="AJ881" s="489"/>
      <c r="AK881" s="489"/>
      <c r="AL881" s="489"/>
      <c r="AM881" s="489"/>
      <c r="AN881" s="494" t="s">
        <v>4426</v>
      </c>
      <c r="AO881" s="1234">
        <f>SUM(AO880:AV880)</f>
        <v>0</v>
      </c>
      <c r="AP881" s="1234"/>
      <c r="AQ881" s="1234"/>
      <c r="AR881" s="1234"/>
      <c r="AS881" s="1234"/>
      <c r="AT881" s="1234"/>
      <c r="AU881" s="1234"/>
      <c r="AV881" s="1234"/>
    </row>
    <row r="882" spans="1:48" s="336" customFormat="1" ht="27.95" hidden="1" customHeight="1" thickTop="1">
      <c r="A882" s="891">
        <f>+A879+1</f>
        <v>3</v>
      </c>
      <c r="B882" s="892"/>
      <c r="C882" s="355" t="s">
        <v>4527</v>
      </c>
      <c r="D882" s="261"/>
      <c r="E882" s="261"/>
      <c r="F882" s="261"/>
      <c r="G882" s="261"/>
      <c r="H882" s="261"/>
      <c r="I882" s="261"/>
      <c r="J882" s="261"/>
      <c r="K882" s="261"/>
      <c r="L882" s="261"/>
      <c r="M882" s="261"/>
      <c r="N882" s="261"/>
      <c r="O882" s="261"/>
      <c r="P882" s="261"/>
      <c r="Q882" s="261"/>
      <c r="R882" s="261"/>
      <c r="S882" s="261"/>
      <c r="T882" s="261"/>
      <c r="U882" s="261"/>
      <c r="V882" s="261"/>
      <c r="W882" s="261"/>
      <c r="X882" s="261"/>
      <c r="Y882" s="261"/>
      <c r="Z882" s="261"/>
      <c r="AA882" s="261"/>
      <c r="AB882" s="261"/>
      <c r="AC882" s="261" t="str">
        <f>+T871</f>
        <v>(Sin depreciación)</v>
      </c>
      <c r="AD882" s="261"/>
      <c r="AE882" s="261"/>
      <c r="AF882" s="261"/>
      <c r="AG882" s="261"/>
      <c r="AH882" s="261"/>
      <c r="AI882" s="261"/>
      <c r="AJ882" s="261"/>
      <c r="AK882" s="261"/>
      <c r="AL882" s="261"/>
      <c r="AM882" s="261"/>
      <c r="AN882" s="261"/>
      <c r="AO882" s="261"/>
      <c r="AP882" s="261"/>
      <c r="AQ882" s="261"/>
      <c r="AR882" s="261"/>
      <c r="AS882" s="261"/>
      <c r="AT882" s="261"/>
      <c r="AU882" s="261"/>
      <c r="AV882" s="261"/>
    </row>
    <row r="883" spans="1:48" s="336" customFormat="1" ht="15" hidden="1" customHeight="1">
      <c r="A883" s="354"/>
      <c r="B883" s="354"/>
      <c r="C883" s="542" t="str">
        <f t="shared" ref="C883:C890" si="59">+C850</f>
        <v>a) Cisterna (estimado):</v>
      </c>
      <c r="D883" s="543"/>
      <c r="E883" s="543"/>
      <c r="F883" s="543"/>
      <c r="G883" s="543"/>
      <c r="H883" s="543"/>
      <c r="I883" s="543"/>
      <c r="J883" s="543"/>
      <c r="K883" s="543"/>
      <c r="L883" s="543"/>
      <c r="M883" s="543"/>
      <c r="N883" s="543"/>
      <c r="O883" s="543"/>
      <c r="P883" s="543"/>
      <c r="Q883" s="543"/>
      <c r="R883" s="543"/>
      <c r="S883" s="543"/>
      <c r="T883" s="543"/>
      <c r="U883" s="543"/>
      <c r="V883" s="543"/>
      <c r="W883" s="543"/>
      <c r="X883" s="543"/>
      <c r="Y883" s="543"/>
      <c r="Z883" s="543"/>
      <c r="AA883" s="543"/>
      <c r="AB883" s="543"/>
      <c r="AC883" s="543"/>
      <c r="AD883" s="543"/>
      <c r="AE883" s="543"/>
      <c r="AF883" s="543"/>
      <c r="AG883" s="543"/>
      <c r="AH883" s="543"/>
      <c r="AI883" s="543"/>
      <c r="AJ883" s="543"/>
      <c r="AK883" s="543"/>
      <c r="AL883" s="543"/>
      <c r="AM883" s="543"/>
      <c r="AN883" s="543"/>
      <c r="AO883" s="543"/>
      <c r="AP883" s="543"/>
      <c r="AQ883" s="543"/>
      <c r="AR883" s="543"/>
      <c r="AS883" s="543"/>
      <c r="AT883" s="543"/>
      <c r="AU883" s="543"/>
      <c r="AV883" s="543"/>
    </row>
    <row r="884" spans="1:48" s="336" customFormat="1" ht="15" hidden="1" customHeight="1">
      <c r="A884" s="354"/>
      <c r="B884" s="354"/>
      <c r="C884" s="1117">
        <f>+C851</f>
        <v>0</v>
      </c>
      <c r="D884" s="1117"/>
      <c r="E884" s="1117"/>
      <c r="F884" s="1117"/>
      <c r="G884" s="1117"/>
      <c r="H884" s="1117"/>
      <c r="I884" s="398" t="str">
        <f>+I851</f>
        <v>m3</v>
      </c>
      <c r="J884" s="354"/>
      <c r="K884" s="354"/>
      <c r="L884" s="354"/>
      <c r="M884" s="354" t="s">
        <v>4508</v>
      </c>
      <c r="N884" s="1235">
        <f>+N851</f>
        <v>0</v>
      </c>
      <c r="O884" s="1235"/>
      <c r="P884" s="1235"/>
      <c r="Q884" s="1235"/>
      <c r="R884" s="1235"/>
      <c r="S884" s="1235"/>
      <c r="T884" s="1235"/>
      <c r="U884" s="496" t="str">
        <f>+T851</f>
        <v>/m3</v>
      </c>
      <c r="V884" s="354"/>
      <c r="W884" s="354"/>
      <c r="X884" s="354"/>
      <c r="Y884" s="354"/>
      <c r="Z884" s="497"/>
      <c r="AA884" s="354"/>
      <c r="AB884" s="1136"/>
      <c r="AC884" s="1136"/>
      <c r="AD884" s="739"/>
      <c r="AE884" s="739"/>
      <c r="AF884" s="354"/>
      <c r="AG884" s="354"/>
      <c r="AH884" s="354"/>
      <c r="AI884" s="354"/>
      <c r="AJ884" s="354"/>
      <c r="AK884" s="354"/>
      <c r="AL884" s="354"/>
      <c r="AM884" s="354"/>
      <c r="AN884" s="496" t="s">
        <v>4426</v>
      </c>
      <c r="AO884" s="1235">
        <f>+C884*N884</f>
        <v>0</v>
      </c>
      <c r="AP884" s="1235"/>
      <c r="AQ884" s="1235"/>
      <c r="AR884" s="1235"/>
      <c r="AS884" s="1235"/>
      <c r="AT884" s="1235"/>
      <c r="AU884" s="1235"/>
      <c r="AV884" s="1235"/>
    </row>
    <row r="885" spans="1:48" s="336" customFormat="1" ht="15" hidden="1" customHeight="1">
      <c r="A885" s="354"/>
      <c r="B885" s="354"/>
      <c r="C885" s="542" t="str">
        <f t="shared" si="59"/>
        <v>b) Tanque elevado (estimado):</v>
      </c>
      <c r="D885" s="543"/>
      <c r="E885" s="543"/>
      <c r="F885" s="543"/>
      <c r="G885" s="543"/>
      <c r="H885" s="543"/>
      <c r="I885" s="543"/>
      <c r="J885" s="543"/>
      <c r="K885" s="543"/>
      <c r="L885" s="543"/>
      <c r="M885" s="543"/>
      <c r="N885" s="543"/>
      <c r="O885" s="543"/>
      <c r="P885" s="543"/>
      <c r="Q885" s="543"/>
      <c r="R885" s="543"/>
      <c r="S885" s="543"/>
      <c r="T885" s="543"/>
      <c r="U885" s="543"/>
      <c r="V885" s="543"/>
      <c r="W885" s="543"/>
      <c r="X885" s="543"/>
      <c r="Y885" s="543"/>
      <c r="Z885" s="543"/>
      <c r="AA885" s="543"/>
      <c r="AB885" s="543"/>
      <c r="AC885" s="543"/>
      <c r="AD885" s="543"/>
      <c r="AE885" s="543"/>
      <c r="AF885" s="543"/>
      <c r="AG885" s="543"/>
      <c r="AH885" s="543"/>
      <c r="AI885" s="543"/>
      <c r="AJ885" s="543"/>
      <c r="AK885" s="543"/>
      <c r="AL885" s="543"/>
      <c r="AM885" s="543"/>
      <c r="AN885" s="543"/>
      <c r="AO885" s="543"/>
      <c r="AP885" s="543"/>
      <c r="AQ885" s="543"/>
      <c r="AR885" s="543"/>
      <c r="AS885" s="543"/>
      <c r="AT885" s="543"/>
      <c r="AU885" s="543"/>
      <c r="AV885" s="543"/>
    </row>
    <row r="886" spans="1:48" s="336" customFormat="1" ht="15" hidden="1" customHeight="1">
      <c r="A886" s="354"/>
      <c r="B886" s="354"/>
      <c r="C886" s="1117">
        <f>+C853</f>
        <v>0</v>
      </c>
      <c r="D886" s="1117"/>
      <c r="E886" s="1117"/>
      <c r="F886" s="1117"/>
      <c r="G886" s="1117"/>
      <c r="H886" s="1117"/>
      <c r="I886" s="398" t="str">
        <f>+I853</f>
        <v>m3</v>
      </c>
      <c r="J886" s="354"/>
      <c r="K886" s="354"/>
      <c r="L886" s="354"/>
      <c r="M886" s="354" t="s">
        <v>4508</v>
      </c>
      <c r="N886" s="1235">
        <f>+N853</f>
        <v>0</v>
      </c>
      <c r="O886" s="1235"/>
      <c r="P886" s="1235"/>
      <c r="Q886" s="1235"/>
      <c r="R886" s="1235"/>
      <c r="S886" s="1235"/>
      <c r="T886" s="1235"/>
      <c r="U886" s="496" t="str">
        <f>+T853</f>
        <v>/m3</v>
      </c>
      <c r="V886" s="354"/>
      <c r="W886" s="354"/>
      <c r="X886" s="354"/>
      <c r="Y886" s="354"/>
      <c r="Z886" s="497"/>
      <c r="AA886" s="354"/>
      <c r="AB886" s="1136"/>
      <c r="AC886" s="1136"/>
      <c r="AD886" s="739"/>
      <c r="AE886" s="739"/>
      <c r="AF886" s="354"/>
      <c r="AG886" s="354"/>
      <c r="AH886" s="354"/>
      <c r="AI886" s="354"/>
      <c r="AJ886" s="354"/>
      <c r="AK886" s="354"/>
      <c r="AL886" s="354"/>
      <c r="AM886" s="354"/>
      <c r="AN886" s="496" t="s">
        <v>4426</v>
      </c>
      <c r="AO886" s="1235">
        <f>+C886*N886</f>
        <v>0</v>
      </c>
      <c r="AP886" s="1235"/>
      <c r="AQ886" s="1235"/>
      <c r="AR886" s="1235"/>
      <c r="AS886" s="1235"/>
      <c r="AT886" s="1235"/>
      <c r="AU886" s="1235"/>
      <c r="AV886" s="1235"/>
    </row>
    <row r="887" spans="1:48" s="336" customFormat="1" ht="15" hidden="1" customHeight="1">
      <c r="A887" s="354"/>
      <c r="B887" s="354"/>
      <c r="C887" s="542" t="str">
        <f t="shared" si="59"/>
        <v>c) Cerco Perimétrico (estimado):</v>
      </c>
      <c r="D887" s="543"/>
      <c r="E887" s="543"/>
      <c r="F887" s="543"/>
      <c r="G887" s="543"/>
      <c r="H887" s="543"/>
      <c r="I887" s="543"/>
      <c r="J887" s="543"/>
      <c r="K887" s="543"/>
      <c r="L887" s="543"/>
      <c r="M887" s="543"/>
      <c r="N887" s="543"/>
      <c r="O887" s="543"/>
      <c r="P887" s="543"/>
      <c r="Q887" s="543"/>
      <c r="R887" s="543"/>
      <c r="S887" s="543"/>
      <c r="T887" s="543"/>
      <c r="U887" s="543"/>
      <c r="V887" s="543"/>
      <c r="W887" s="543"/>
      <c r="X887" s="543"/>
      <c r="Y887" s="543"/>
      <c r="Z887" s="543"/>
      <c r="AA887" s="543"/>
      <c r="AB887" s="543"/>
      <c r="AC887" s="543"/>
      <c r="AD887" s="543"/>
      <c r="AE887" s="543"/>
      <c r="AF887" s="543"/>
      <c r="AG887" s="543"/>
      <c r="AH887" s="543"/>
      <c r="AI887" s="543"/>
      <c r="AJ887" s="543"/>
      <c r="AK887" s="543"/>
      <c r="AL887" s="543"/>
      <c r="AM887" s="543"/>
      <c r="AN887" s="543"/>
      <c r="AO887" s="543"/>
      <c r="AP887" s="543"/>
      <c r="AQ887" s="543"/>
      <c r="AR887" s="543"/>
      <c r="AS887" s="543"/>
      <c r="AT887" s="543"/>
      <c r="AU887" s="543"/>
      <c r="AV887" s="543"/>
    </row>
    <row r="888" spans="1:48" s="336" customFormat="1" ht="15" hidden="1" customHeight="1">
      <c r="A888" s="354"/>
      <c r="B888" s="354"/>
      <c r="C888" s="1117">
        <f>+C855</f>
        <v>0</v>
      </c>
      <c r="D888" s="1117"/>
      <c r="E888" s="1117"/>
      <c r="F888" s="1117"/>
      <c r="G888" s="1117"/>
      <c r="H888" s="1117"/>
      <c r="I888" s="398" t="str">
        <f>+I855</f>
        <v>ml</v>
      </c>
      <c r="J888" s="354"/>
      <c r="K888" s="354"/>
      <c r="L888" s="354"/>
      <c r="M888" s="354" t="s">
        <v>4508</v>
      </c>
      <c r="N888" s="1235">
        <f>+N855</f>
        <v>0</v>
      </c>
      <c r="O888" s="1235"/>
      <c r="P888" s="1235"/>
      <c r="Q888" s="1235"/>
      <c r="R888" s="1235"/>
      <c r="S888" s="1235"/>
      <c r="T888" s="1235"/>
      <c r="U888" s="496" t="str">
        <f>+T855</f>
        <v>/ml</v>
      </c>
      <c r="V888" s="354"/>
      <c r="W888" s="354"/>
      <c r="X888" s="354"/>
      <c r="Y888" s="354"/>
      <c r="Z888" s="497"/>
      <c r="AA888" s="354"/>
      <c r="AB888" s="1136"/>
      <c r="AC888" s="1136"/>
      <c r="AD888" s="739"/>
      <c r="AE888" s="739"/>
      <c r="AF888" s="354"/>
      <c r="AG888" s="354"/>
      <c r="AH888" s="354"/>
      <c r="AI888" s="354"/>
      <c r="AJ888" s="354"/>
      <c r="AK888" s="354"/>
      <c r="AL888" s="354"/>
      <c r="AM888" s="354"/>
      <c r="AN888" s="496" t="s">
        <v>4426</v>
      </c>
      <c r="AO888" s="1235">
        <f>+C888*N888</f>
        <v>0</v>
      </c>
      <c r="AP888" s="1235"/>
      <c r="AQ888" s="1235"/>
      <c r="AR888" s="1235"/>
      <c r="AS888" s="1235"/>
      <c r="AT888" s="1235"/>
      <c r="AU888" s="1235"/>
      <c r="AV888" s="1235"/>
    </row>
    <row r="889" spans="1:48" s="336" customFormat="1" ht="15" hidden="1" customHeight="1">
      <c r="A889" s="354"/>
      <c r="B889" s="354"/>
      <c r="C889" s="542" t="str">
        <f t="shared" si="59"/>
        <v>d) Ascensor (estimado):</v>
      </c>
      <c r="D889" s="543"/>
      <c r="E889" s="543"/>
      <c r="F889" s="543"/>
      <c r="G889" s="543"/>
      <c r="H889" s="543"/>
      <c r="I889" s="543"/>
      <c r="J889" s="543"/>
      <c r="K889" s="543"/>
      <c r="L889" s="543"/>
      <c r="M889" s="543"/>
      <c r="N889" s="543"/>
      <c r="O889" s="543"/>
      <c r="P889" s="543"/>
      <c r="Q889" s="543"/>
      <c r="R889" s="543"/>
      <c r="S889" s="543"/>
      <c r="T889" s="543"/>
      <c r="U889" s="543"/>
      <c r="V889" s="543"/>
      <c r="W889" s="543"/>
      <c r="X889" s="543"/>
      <c r="Y889" s="543"/>
      <c r="Z889" s="543"/>
      <c r="AA889" s="543"/>
      <c r="AB889" s="543"/>
      <c r="AC889" s="543"/>
      <c r="AD889" s="543"/>
      <c r="AE889" s="543"/>
      <c r="AF889" s="543"/>
      <c r="AG889" s="543"/>
      <c r="AH889" s="543"/>
      <c r="AI889" s="543"/>
      <c r="AJ889" s="543"/>
      <c r="AK889" s="543"/>
      <c r="AL889" s="543"/>
      <c r="AM889" s="543"/>
      <c r="AN889" s="543"/>
      <c r="AO889" s="543"/>
      <c r="AP889" s="543"/>
      <c r="AQ889" s="543"/>
      <c r="AR889" s="543"/>
      <c r="AS889" s="543"/>
      <c r="AT889" s="543"/>
      <c r="AU889" s="543"/>
      <c r="AV889" s="543"/>
    </row>
    <row r="890" spans="1:48" s="336" customFormat="1" ht="15" hidden="1" customHeight="1">
      <c r="A890" s="354"/>
      <c r="B890" s="354"/>
      <c r="C890" s="1117">
        <f t="shared" si="59"/>
        <v>0</v>
      </c>
      <c r="D890" s="1117"/>
      <c r="E890" s="1117"/>
      <c r="F890" s="1117"/>
      <c r="G890" s="1117"/>
      <c r="H890" s="1117"/>
      <c r="I890" s="398" t="str">
        <f>+I857</f>
        <v>Und</v>
      </c>
      <c r="J890" s="354"/>
      <c r="K890" s="354"/>
      <c r="L890" s="354"/>
      <c r="M890" s="354" t="s">
        <v>4508</v>
      </c>
      <c r="N890" s="1235">
        <f>+N857</f>
        <v>0</v>
      </c>
      <c r="O890" s="1235"/>
      <c r="P890" s="1235"/>
      <c r="Q890" s="1235"/>
      <c r="R890" s="1235"/>
      <c r="S890" s="1235"/>
      <c r="T890" s="1235"/>
      <c r="U890" s="496" t="str">
        <f>+T857</f>
        <v>/Und</v>
      </c>
      <c r="V890" s="354"/>
      <c r="W890" s="354"/>
      <c r="X890" s="354"/>
      <c r="Y890" s="354"/>
      <c r="Z890" s="497"/>
      <c r="AA890" s="354"/>
      <c r="AB890" s="1136"/>
      <c r="AC890" s="1136"/>
      <c r="AD890" s="739"/>
      <c r="AE890" s="739"/>
      <c r="AF890" s="354"/>
      <c r="AG890" s="354"/>
      <c r="AH890" s="354"/>
      <c r="AI890" s="354"/>
      <c r="AJ890" s="354"/>
      <c r="AK890" s="354"/>
      <c r="AL890" s="354"/>
      <c r="AM890" s="354"/>
      <c r="AN890" s="496" t="s">
        <v>4426</v>
      </c>
      <c r="AO890" s="1235">
        <f>+C890*N890</f>
        <v>0</v>
      </c>
      <c r="AP890" s="1235"/>
      <c r="AQ890" s="1235"/>
      <c r="AR890" s="1235"/>
      <c r="AS890" s="1235"/>
      <c r="AT890" s="1235"/>
      <c r="AU890" s="1235"/>
      <c r="AV890" s="1235"/>
    </row>
    <row r="891" spans="1:48" s="336" customFormat="1" hidden="1">
      <c r="A891" s="354"/>
      <c r="B891" s="354"/>
      <c r="C891" s="398" t="s">
        <v>4521</v>
      </c>
      <c r="D891" s="398"/>
      <c r="E891" s="398"/>
      <c r="F891" s="398"/>
      <c r="G891" s="398"/>
      <c r="H891" s="398"/>
      <c r="I891" s="398"/>
      <c r="J891" s="354"/>
      <c r="K891" s="354"/>
      <c r="L891" s="354"/>
      <c r="M891" s="354"/>
      <c r="N891" s="497"/>
      <c r="O891" s="545"/>
      <c r="P891" s="545"/>
      <c r="Q891" s="546"/>
      <c r="R891" s="299"/>
      <c r="S891" s="299"/>
      <c r="T891" s="299"/>
      <c r="U891" s="496"/>
      <c r="V891" s="354"/>
      <c r="W891" s="354"/>
      <c r="X891" s="354"/>
      <c r="Y891" s="354"/>
      <c r="Z891" s="497"/>
      <c r="AA891" s="354"/>
      <c r="AB891" s="544"/>
      <c r="AC891" s="544"/>
      <c r="AD891" s="261"/>
      <c r="AE891" s="261"/>
      <c r="AF891" s="354"/>
      <c r="AG891" s="354"/>
      <c r="AH891" s="354"/>
      <c r="AI891" s="354"/>
      <c r="AJ891" s="354"/>
      <c r="AK891" s="354"/>
      <c r="AL891" s="354"/>
      <c r="AM891" s="354"/>
      <c r="AN891" s="496" t="s">
        <v>4426</v>
      </c>
      <c r="AO891" s="1281">
        <f>SUM(AO884:AV890)</f>
        <v>0</v>
      </c>
      <c r="AP891" s="1281"/>
      <c r="AQ891" s="1281"/>
      <c r="AR891" s="1281"/>
      <c r="AS891" s="1281"/>
      <c r="AT891" s="1281"/>
      <c r="AU891" s="1281"/>
      <c r="AV891" s="1281"/>
    </row>
    <row r="892" spans="1:48" s="336" customFormat="1" hidden="1">
      <c r="A892" s="354"/>
      <c r="B892" s="354"/>
      <c r="C892" s="398" t="str">
        <f>+C859</f>
        <v>Porcentaje de áreas comunes correspondiente al inmueble %</v>
      </c>
      <c r="D892" s="398"/>
      <c r="E892" s="398"/>
      <c r="F892" s="398"/>
      <c r="G892" s="398"/>
      <c r="H892" s="398"/>
      <c r="I892" s="398"/>
      <c r="J892" s="354"/>
      <c r="K892" s="354"/>
      <c r="L892" s="354"/>
      <c r="M892" s="354"/>
      <c r="N892" s="497"/>
      <c r="O892" s="545"/>
      <c r="P892" s="545"/>
      <c r="Q892" s="546"/>
      <c r="R892" s="299"/>
      <c r="S892" s="299"/>
      <c r="T892" s="299"/>
      <c r="U892" s="496"/>
      <c r="V892" s="354"/>
      <c r="W892" s="354"/>
      <c r="X892" s="354"/>
      <c r="Y892" s="354"/>
      <c r="Z892" s="497"/>
      <c r="AA892" s="354"/>
      <c r="AB892" s="544"/>
      <c r="AC892" s="544"/>
      <c r="AD892" s="261"/>
      <c r="AE892" s="261"/>
      <c r="AF892" s="354"/>
      <c r="AG892" s="354"/>
      <c r="AH892" s="354"/>
      <c r="AI892" s="354"/>
      <c r="AJ892" s="354"/>
      <c r="AK892" s="354"/>
      <c r="AL892" s="354"/>
      <c r="AM892" s="354"/>
      <c r="AN892" s="496"/>
      <c r="AO892" s="354"/>
      <c r="AP892" s="495"/>
      <c r="AQ892" s="495"/>
      <c r="AR892" s="495"/>
      <c r="AS892" s="495"/>
      <c r="AT892" s="495"/>
      <c r="AU892" s="495"/>
      <c r="AV892" s="495"/>
    </row>
    <row r="893" spans="1:48" s="336" customFormat="1" hidden="1">
      <c r="A893" s="354"/>
      <c r="B893" s="354"/>
      <c r="C893" s="1153">
        <f>+C860</f>
        <v>0</v>
      </c>
      <c r="D893" s="1153"/>
      <c r="E893" s="1153"/>
      <c r="F893" s="1153"/>
      <c r="G893" s="1153"/>
      <c r="H893" s="1153"/>
      <c r="I893" s="398"/>
      <c r="J893" s="354"/>
      <c r="K893" s="354"/>
      <c r="L893" s="354"/>
      <c r="M893" s="354" t="s">
        <v>4508</v>
      </c>
      <c r="N893" s="1219">
        <f>+AO891</f>
        <v>0</v>
      </c>
      <c r="O893" s="1219"/>
      <c r="P893" s="1219"/>
      <c r="Q893" s="1219"/>
      <c r="R893" s="1219"/>
      <c r="S893" s="1219"/>
      <c r="T893" s="1219"/>
      <c r="U893" s="1219"/>
      <c r="V893" s="1219"/>
      <c r="W893" s="354"/>
      <c r="X893" s="354"/>
      <c r="Y893" s="354"/>
      <c r="Z893" s="497"/>
      <c r="AA893" s="354"/>
      <c r="AB893" s="1136"/>
      <c r="AC893" s="1136"/>
      <c r="AD893" s="739"/>
      <c r="AE893" s="739"/>
      <c r="AF893" s="354"/>
      <c r="AG893" s="354"/>
      <c r="AH893" s="354"/>
      <c r="AI893" s="354"/>
      <c r="AJ893" s="354"/>
      <c r="AK893" s="354"/>
      <c r="AL893" s="354"/>
      <c r="AM893" s="354"/>
      <c r="AN893" s="496" t="s">
        <v>4426</v>
      </c>
      <c r="AO893" s="1235">
        <f>+C893*N893</f>
        <v>0</v>
      </c>
      <c r="AP893" s="1235"/>
      <c r="AQ893" s="1235"/>
      <c r="AR893" s="1235"/>
      <c r="AS893" s="1235"/>
      <c r="AT893" s="1235"/>
      <c r="AU893" s="1235"/>
      <c r="AV893" s="1235"/>
    </row>
    <row r="894" spans="1:48" s="336" customFormat="1" ht="15" hidden="1" customHeight="1" thickBot="1">
      <c r="A894" s="354"/>
      <c r="B894" s="354"/>
      <c r="C894" s="487" t="str">
        <f>+C882</f>
        <v>VALOR  DE LAS OBRAS COMPLEMENTARIAS</v>
      </c>
      <c r="D894" s="488"/>
      <c r="E894" s="488"/>
      <c r="F894" s="488"/>
      <c r="G894" s="489"/>
      <c r="H894" s="490"/>
      <c r="I894" s="490"/>
      <c r="J894" s="491"/>
      <c r="K894" s="492"/>
      <c r="L894" s="493"/>
      <c r="M894" s="489"/>
      <c r="N894" s="489"/>
      <c r="O894" s="489"/>
      <c r="P894" s="489"/>
      <c r="Q894" s="489"/>
      <c r="R894" s="489"/>
      <c r="S894" s="489"/>
      <c r="T894" s="489"/>
      <c r="U894" s="489"/>
      <c r="V894" s="489"/>
      <c r="W894" s="489"/>
      <c r="X894" s="489"/>
      <c r="Y894" s="489"/>
      <c r="Z894" s="489"/>
      <c r="AA894" s="489"/>
      <c r="AB894" s="489"/>
      <c r="AC894" s="489"/>
      <c r="AD894" s="489"/>
      <c r="AE894" s="489"/>
      <c r="AF894" s="489"/>
      <c r="AG894" s="489"/>
      <c r="AH894" s="489"/>
      <c r="AI894" s="489"/>
      <c r="AJ894" s="489"/>
      <c r="AK894" s="489"/>
      <c r="AL894" s="489"/>
      <c r="AM894" s="489"/>
      <c r="AN894" s="494" t="s">
        <v>4426</v>
      </c>
      <c r="AO894" s="1234">
        <f>+AO893</f>
        <v>0</v>
      </c>
      <c r="AP894" s="1234"/>
      <c r="AQ894" s="1234"/>
      <c r="AR894" s="1234"/>
      <c r="AS894" s="1234"/>
      <c r="AT894" s="1234"/>
      <c r="AU894" s="1234"/>
      <c r="AV894" s="1234"/>
    </row>
    <row r="895" spans="1:48" s="336" customFormat="1" ht="30" hidden="1" customHeight="1" thickTop="1">
      <c r="A895" s="354"/>
      <c r="B895" s="354"/>
      <c r="C895" s="1230" t="s">
        <v>4560</v>
      </c>
      <c r="D895" s="1231"/>
      <c r="E895" s="1231"/>
      <c r="F895" s="1231"/>
      <c r="G895" s="1231"/>
      <c r="H895" s="1231"/>
      <c r="I895" s="1231"/>
      <c r="J895" s="1231"/>
      <c r="K895" s="1231"/>
      <c r="L895" s="1231"/>
      <c r="M895" s="1231"/>
      <c r="N895" s="1231"/>
      <c r="O895" s="1231"/>
      <c r="P895" s="1231"/>
      <c r="Q895" s="1231"/>
      <c r="R895" s="1231"/>
      <c r="S895" s="1231"/>
      <c r="T895" s="1231"/>
      <c r="U895" s="1231"/>
      <c r="V895" s="1231"/>
      <c r="W895" s="1231"/>
      <c r="X895" s="1231"/>
      <c r="Y895" s="1231"/>
      <c r="Z895" s="1231"/>
      <c r="AA895" s="1231"/>
      <c r="AB895" s="1231"/>
      <c r="AC895" s="1231"/>
      <c r="AD895" s="1231"/>
      <c r="AE895" s="1231"/>
      <c r="AF895" s="1231"/>
      <c r="AG895" s="1231"/>
      <c r="AH895" s="1231"/>
      <c r="AI895" s="1231"/>
      <c r="AJ895" s="1231"/>
      <c r="AK895" s="1231"/>
      <c r="AL895" s="1231"/>
      <c r="AM895" s="1231"/>
      <c r="AN895" s="1231"/>
      <c r="AO895" s="1231"/>
      <c r="AP895" s="1231"/>
      <c r="AQ895" s="1231"/>
      <c r="AR895" s="1231"/>
      <c r="AS895" s="1231"/>
      <c r="AT895" s="1231"/>
      <c r="AU895" s="1231"/>
      <c r="AV895" s="1231"/>
    </row>
    <row r="896" spans="1:48" s="268" customFormat="1" ht="15" hidden="1">
      <c r="A896" s="302" t="s">
        <v>4504</v>
      </c>
      <c r="C896" s="1166" t="s">
        <v>4609</v>
      </c>
      <c r="D896" s="1167"/>
      <c r="E896" s="1167"/>
      <c r="F896" s="1167"/>
      <c r="G896" s="1167"/>
      <c r="H896" s="1167"/>
      <c r="I896" s="1167"/>
      <c r="J896" s="1167"/>
      <c r="K896" s="1167"/>
      <c r="L896" s="1167"/>
      <c r="M896" s="1167"/>
      <c r="N896" s="1167"/>
      <c r="O896" s="1167"/>
      <c r="P896" s="1167"/>
      <c r="Q896" s="1167"/>
      <c r="R896" s="1167"/>
      <c r="S896" s="1167"/>
      <c r="T896" s="1167"/>
      <c r="U896" s="1168"/>
      <c r="V896" s="1168"/>
      <c r="W896" s="1168"/>
      <c r="X896" s="1168"/>
      <c r="Y896" s="1168"/>
      <c r="Z896" s="1168"/>
      <c r="AA896" s="1168"/>
      <c r="AB896" s="1168"/>
      <c r="AC896" s="1168"/>
      <c r="AD896" s="1168"/>
      <c r="AE896" s="1168"/>
      <c r="AF896" s="1168"/>
      <c r="AG896" s="1168"/>
      <c r="AH896" s="1168"/>
      <c r="AI896" s="1168"/>
      <c r="AJ896" s="1168"/>
      <c r="AK896" s="1168"/>
      <c r="AL896" s="1168"/>
      <c r="AM896" s="1168"/>
      <c r="AN896" s="1168"/>
      <c r="AO896" s="1168"/>
      <c r="AP896" s="1168"/>
      <c r="AQ896" s="1168"/>
      <c r="AR896" s="1168"/>
      <c r="AS896" s="1168"/>
      <c r="AT896" s="1168"/>
      <c r="AU896" s="1168"/>
      <c r="AV896" s="1168"/>
    </row>
    <row r="897" spans="1:48" ht="12.95" hidden="1" customHeight="1">
      <c r="C897" s="330"/>
      <c r="D897" s="330"/>
      <c r="H897" s="284"/>
      <c r="J897" s="331"/>
      <c r="S897" s="331" t="str">
        <f>+S10</f>
        <v xml:space="preserve">  INFORME N°26</v>
      </c>
      <c r="U897" s="332"/>
      <c r="V897" s="333"/>
      <c r="AB897" s="1088">
        <f>+AC870</f>
        <v>0</v>
      </c>
      <c r="AC897" s="1146"/>
      <c r="AD897" s="1146"/>
      <c r="AE897" s="1146"/>
      <c r="AF897" s="1146"/>
    </row>
    <row r="898" spans="1:48" s="572" customFormat="1" ht="30" hidden="1" customHeight="1">
      <c r="A898" s="1169">
        <v>1</v>
      </c>
      <c r="B898" s="1170"/>
      <c r="C898" s="569" t="s">
        <v>4574</v>
      </c>
      <c r="D898" s="570"/>
      <c r="E898" s="570"/>
      <c r="F898" s="570"/>
      <c r="G898" s="570"/>
      <c r="H898" s="570"/>
      <c r="I898" s="570"/>
      <c r="J898" s="570"/>
      <c r="K898" s="570"/>
      <c r="L898" s="570"/>
      <c r="M898" s="569"/>
      <c r="N898" s="570"/>
      <c r="O898" s="570"/>
      <c r="P898" s="570"/>
      <c r="Q898" s="570"/>
      <c r="R898" s="570"/>
      <c r="S898" s="570"/>
      <c r="T898" s="570"/>
      <c r="U898" s="570"/>
      <c r="V898" s="570"/>
      <c r="W898" s="571"/>
      <c r="X898" s="571"/>
      <c r="Y898" s="571"/>
      <c r="Z898" s="571"/>
      <c r="AA898" s="571"/>
      <c r="AB898" s="571"/>
      <c r="AC898" s="571"/>
      <c r="AD898" s="571"/>
      <c r="AE898" s="571"/>
      <c r="AF898" s="571"/>
      <c r="AG898" s="571"/>
      <c r="AH898" s="571"/>
      <c r="AI898" s="571"/>
      <c r="AJ898" s="571"/>
      <c r="AK898" s="571"/>
      <c r="AL898" s="571"/>
      <c r="AM898" s="571"/>
      <c r="AN898" s="571"/>
      <c r="AO898" s="571"/>
      <c r="AP898" s="571"/>
      <c r="AQ898" s="571"/>
      <c r="AR898" s="571"/>
      <c r="AS898" s="571"/>
      <c r="AT898" s="571"/>
      <c r="AU898" s="571"/>
      <c r="AV898" s="571"/>
    </row>
    <row r="899" spans="1:48" s="268" customFormat="1" ht="13.5" hidden="1" customHeight="1">
      <c r="A899" s="262"/>
      <c r="B899" s="262"/>
      <c r="C899" s="573" t="s">
        <v>4575</v>
      </c>
      <c r="D899" s="262"/>
      <c r="E899" s="262" t="s">
        <v>4614</v>
      </c>
      <c r="F899" s="262"/>
      <c r="G899" s="262"/>
      <c r="H899" s="262"/>
      <c r="I899" s="262"/>
      <c r="J899" s="262"/>
      <c r="K899" s="262"/>
      <c r="L899" s="574"/>
      <c r="M899" s="262"/>
      <c r="N899" s="575"/>
      <c r="O899" s="575"/>
      <c r="P899" s="262"/>
      <c r="Q899" s="262"/>
      <c r="R899" s="262"/>
      <c r="S899" s="262"/>
      <c r="T899" s="262"/>
      <c r="U899" s="262"/>
      <c r="V899" s="262"/>
      <c r="W899" s="262"/>
      <c r="X899" s="262"/>
      <c r="Y899" s="262"/>
      <c r="Z899" s="262"/>
      <c r="AA899" s="262"/>
      <c r="AB899" s="262"/>
      <c r="AC899" s="262"/>
      <c r="AD899" s="262"/>
      <c r="AE899" s="262"/>
      <c r="AF899" s="262"/>
      <c r="AG899" s="262"/>
      <c r="AH899" s="574"/>
      <c r="AI899" s="262"/>
      <c r="AJ899" s="574" t="s">
        <v>4426</v>
      </c>
      <c r="AK899" s="1174"/>
      <c r="AL899" s="1174"/>
      <c r="AM899" s="1237">
        <f>SUM(AA900:AI902)</f>
        <v>0</v>
      </c>
      <c r="AN899" s="1237"/>
      <c r="AO899" s="1237"/>
      <c r="AP899" s="1237"/>
      <c r="AQ899" s="1237"/>
      <c r="AR899" s="1237"/>
      <c r="AS899" s="1237"/>
      <c r="AT899" s="1237"/>
      <c r="AU899" s="1237"/>
      <c r="AV899" s="262"/>
    </row>
    <row r="900" spans="1:48" s="268" customFormat="1" ht="13.5" hidden="1" customHeight="1">
      <c r="A900" s="262"/>
      <c r="B900" s="262"/>
      <c r="C900" s="1176"/>
      <c r="D900" s="1173"/>
      <c r="E900" s="262" t="str">
        <f>+C838</f>
        <v>VALOR DE LA EDIFICACIÓN</v>
      </c>
      <c r="F900" s="262"/>
      <c r="G900" s="262"/>
      <c r="H900" s="262"/>
      <c r="I900" s="262"/>
      <c r="J900" s="262"/>
      <c r="K900" s="262"/>
      <c r="L900" s="574"/>
      <c r="M900" s="262"/>
      <c r="N900" s="575"/>
      <c r="O900" s="575"/>
      <c r="P900" s="262"/>
      <c r="Q900" s="262"/>
      <c r="R900" s="262"/>
      <c r="S900" s="262"/>
      <c r="T900" s="262"/>
      <c r="U900" s="262"/>
      <c r="V900" s="262"/>
      <c r="W900" s="262"/>
      <c r="X900" s="574"/>
      <c r="Y900" s="262"/>
      <c r="Z900" s="574" t="s">
        <v>4359</v>
      </c>
      <c r="AA900" s="1237">
        <f>+AO845</f>
        <v>0</v>
      </c>
      <c r="AB900" s="1237"/>
      <c r="AC900" s="1237"/>
      <c r="AD900" s="1237"/>
      <c r="AE900" s="1237"/>
      <c r="AF900" s="1237"/>
      <c r="AG900" s="1237"/>
      <c r="AH900" s="1237"/>
      <c r="AI900" s="1237"/>
      <c r="AV900" s="262"/>
    </row>
    <row r="901" spans="1:48" s="268" customFormat="1" ht="13.5" hidden="1" customHeight="1">
      <c r="A901" s="262"/>
      <c r="B901" s="262"/>
      <c r="C901" s="573"/>
      <c r="D901" s="262"/>
      <c r="E901" s="578" t="str">
        <f>+C848</f>
        <v>VALOR DE LAS ÁREAS COMUNES</v>
      </c>
      <c r="F901" s="262"/>
      <c r="G901" s="262"/>
      <c r="H901" s="262"/>
      <c r="I901" s="262"/>
      <c r="J901" s="262"/>
      <c r="K901" s="262"/>
      <c r="L901" s="574"/>
      <c r="M901" s="262"/>
      <c r="N901" s="575"/>
      <c r="O901" s="575"/>
      <c r="P901" s="262"/>
      <c r="Q901" s="262"/>
      <c r="R901" s="262"/>
      <c r="S901" s="262"/>
      <c r="T901" s="262"/>
      <c r="U901" s="262"/>
      <c r="V901" s="262"/>
      <c r="W901" s="262"/>
      <c r="X901" s="574"/>
      <c r="Y901" s="262"/>
      <c r="Z901" s="574" t="s">
        <v>4359</v>
      </c>
      <c r="AA901" s="1237">
        <f>+AO848</f>
        <v>0</v>
      </c>
      <c r="AB901" s="1237"/>
      <c r="AC901" s="1237"/>
      <c r="AD901" s="1237"/>
      <c r="AE901" s="1237"/>
      <c r="AF901" s="1237"/>
      <c r="AG901" s="1237"/>
      <c r="AH901" s="1237"/>
      <c r="AI901" s="1237"/>
      <c r="AV901" s="262"/>
    </row>
    <row r="902" spans="1:48" s="268" customFormat="1" ht="12" hidden="1">
      <c r="A902" s="262"/>
      <c r="B902" s="262"/>
      <c r="C902" s="573"/>
      <c r="D902" s="262"/>
      <c r="E902" s="578" t="str">
        <f>+C861</f>
        <v>VALOR DE LAS OBRAS COMPLEMENTARIAS</v>
      </c>
      <c r="F902" s="262"/>
      <c r="G902" s="262"/>
      <c r="H902" s="262"/>
      <c r="I902" s="262"/>
      <c r="J902" s="262"/>
      <c r="K902" s="262"/>
      <c r="L902" s="574"/>
      <c r="M902" s="262"/>
      <c r="N902" s="575"/>
      <c r="O902" s="575"/>
      <c r="P902" s="262"/>
      <c r="Q902" s="262"/>
      <c r="R902" s="262"/>
      <c r="S902" s="262"/>
      <c r="T902" s="262"/>
      <c r="U902" s="262"/>
      <c r="V902" s="262"/>
      <c r="W902" s="262"/>
      <c r="X902" s="574"/>
      <c r="Y902" s="262"/>
      <c r="Z902" s="574" t="s">
        <v>4359</v>
      </c>
      <c r="AA902" s="1237">
        <f>+AO861</f>
        <v>0</v>
      </c>
      <c r="AB902" s="1237"/>
      <c r="AC902" s="1237"/>
      <c r="AD902" s="1237"/>
      <c r="AE902" s="1237"/>
      <c r="AF902" s="1237"/>
      <c r="AG902" s="1237"/>
      <c r="AH902" s="1237"/>
      <c r="AI902" s="1237"/>
      <c r="AM902" s="579"/>
      <c r="AN902" s="579"/>
      <c r="AO902" s="579"/>
      <c r="AP902" s="579"/>
      <c r="AQ902" s="579"/>
      <c r="AR902" s="579"/>
      <c r="AS902" s="579"/>
      <c r="AT902" s="579"/>
      <c r="AU902" s="579"/>
      <c r="AV902" s="262"/>
    </row>
    <row r="903" spans="1:48" s="268" customFormat="1" ht="12" hidden="1">
      <c r="A903" s="262"/>
      <c r="B903" s="262"/>
      <c r="C903" s="573"/>
      <c r="D903" s="262"/>
      <c r="E903" s="578" t="s">
        <v>4578</v>
      </c>
      <c r="F903" s="262"/>
      <c r="G903" s="262"/>
      <c r="H903" s="262"/>
      <c r="I903" s="262"/>
      <c r="J903" s="262"/>
      <c r="K903" s="262"/>
      <c r="L903" s="574"/>
      <c r="M903" s="262"/>
      <c r="N903" s="575"/>
      <c r="O903" s="575"/>
      <c r="P903" s="262"/>
      <c r="Q903" s="262"/>
      <c r="R903" s="262"/>
      <c r="S903" s="262"/>
      <c r="T903" s="262"/>
      <c r="U903" s="262"/>
      <c r="V903" s="262"/>
      <c r="W903" s="262"/>
      <c r="X903" s="574"/>
      <c r="Y903" s="262"/>
      <c r="Z903" s="574"/>
      <c r="AA903" s="577"/>
      <c r="AB903" s="577"/>
      <c r="AC903" s="577"/>
      <c r="AD903" s="262"/>
      <c r="AE903" s="262"/>
      <c r="AF903" s="262"/>
      <c r="AG903" s="262"/>
      <c r="AH903" s="262"/>
      <c r="AI903" s="262"/>
      <c r="AJ903" s="574" t="s">
        <v>4426</v>
      </c>
      <c r="AK903" s="1174"/>
      <c r="AL903" s="1174"/>
      <c r="AM903" s="1237">
        <f>SUM(AM899:AU902)</f>
        <v>0</v>
      </c>
      <c r="AN903" s="1237"/>
      <c r="AO903" s="1237"/>
      <c r="AP903" s="1237"/>
      <c r="AQ903" s="1237"/>
      <c r="AR903" s="1237"/>
      <c r="AS903" s="1237"/>
      <c r="AT903" s="1237"/>
      <c r="AU903" s="1237"/>
      <c r="AV903" s="262"/>
    </row>
    <row r="904" spans="1:48" s="268" customFormat="1" ht="12" hidden="1">
      <c r="A904" s="262"/>
      <c r="B904" s="262"/>
      <c r="C904" s="573"/>
      <c r="D904" s="262"/>
      <c r="E904" s="580" t="s">
        <v>4579</v>
      </c>
      <c r="F904" s="262"/>
      <c r="G904" s="262"/>
      <c r="H904" s="262"/>
      <c r="I904" s="262"/>
      <c r="J904" s="262"/>
      <c r="K904" s="262"/>
      <c r="L904" s="574"/>
      <c r="M904" s="262"/>
      <c r="N904" s="575"/>
      <c r="O904" s="575"/>
      <c r="P904" s="262"/>
      <c r="Q904" s="262"/>
      <c r="R904" s="262"/>
      <c r="S904" s="262"/>
      <c r="T904" s="262"/>
      <c r="U904" s="262"/>
      <c r="V904" s="262"/>
      <c r="W904" s="262"/>
      <c r="X904" s="574"/>
      <c r="Y904" s="262"/>
      <c r="Z904" s="574"/>
      <c r="AA904" s="577"/>
      <c r="AB904" s="577"/>
      <c r="AC904" s="577"/>
      <c r="AD904" s="262"/>
      <c r="AE904" s="262"/>
      <c r="AF904" s="262"/>
      <c r="AG904" s="262"/>
      <c r="AH904" s="262"/>
      <c r="AI904" s="262"/>
      <c r="AJ904" s="574"/>
      <c r="AK904" s="576"/>
      <c r="AL904" s="576"/>
      <c r="AM904" s="577"/>
      <c r="AN904" s="577"/>
      <c r="AO904" s="577"/>
      <c r="AP904" s="262"/>
      <c r="AQ904" s="262"/>
      <c r="AR904" s="262"/>
      <c r="AS904" s="262"/>
      <c r="AT904" s="262"/>
      <c r="AU904" s="262"/>
      <c r="AV904" s="262"/>
    </row>
    <row r="905" spans="1:48" s="268" customFormat="1" ht="26.25" hidden="1" customHeight="1">
      <c r="A905" s="262"/>
      <c r="B905" s="262"/>
      <c r="C905" s="573"/>
      <c r="D905" s="262"/>
      <c r="E905" s="1250" t="s">
        <v>4580</v>
      </c>
      <c r="F905" s="1250"/>
      <c r="G905" s="1250"/>
      <c r="H905" s="1250"/>
      <c r="I905" s="1250"/>
      <c r="J905" s="1250"/>
      <c r="K905" s="1250"/>
      <c r="L905" s="1250"/>
      <c r="M905" s="1250"/>
      <c r="N905" s="1250"/>
      <c r="O905" s="1250"/>
      <c r="P905" s="1250"/>
      <c r="Q905" s="1250"/>
      <c r="R905" s="1250"/>
      <c r="S905" s="1250"/>
      <c r="T905" s="1250"/>
      <c r="U905" s="1250"/>
      <c r="V905" s="1250"/>
      <c r="W905" s="1250"/>
      <c r="X905" s="1250"/>
      <c r="Y905" s="1250"/>
      <c r="Z905" s="1250"/>
      <c r="AA905" s="1250"/>
      <c r="AB905" s="1250"/>
      <c r="AC905" s="1250"/>
      <c r="AD905" s="1250"/>
      <c r="AE905" s="1250"/>
      <c r="AF905" s="1250"/>
      <c r="AG905" s="1250"/>
      <c r="AH905" s="1250"/>
      <c r="AI905" s="1250"/>
      <c r="AJ905" s="1250"/>
      <c r="AK905" s="1250"/>
      <c r="AL905" s="1250"/>
      <c r="AM905" s="1250"/>
      <c r="AN905" s="1250"/>
      <c r="AO905" s="1250"/>
      <c r="AP905" s="1250"/>
      <c r="AQ905" s="1250"/>
      <c r="AR905" s="1250"/>
      <c r="AS905" s="1250"/>
      <c r="AT905" s="1250"/>
      <c r="AU905" s="1250"/>
      <c r="AV905" s="1250"/>
    </row>
    <row r="906" spans="1:48" s="268" customFormat="1" ht="12" hidden="1">
      <c r="A906" s="262"/>
      <c r="B906" s="262"/>
      <c r="C906" s="573"/>
      <c r="D906" s="262"/>
      <c r="E906" s="1171">
        <f>+E626</f>
        <v>1</v>
      </c>
      <c r="F906" s="1171"/>
      <c r="G906" s="1171"/>
      <c r="H906" s="1171"/>
      <c r="I906" s="1171"/>
      <c r="J906" s="1171"/>
      <c r="K906" s="1171"/>
      <c r="L906" s="574"/>
      <c r="M906" s="262"/>
      <c r="N906" s="575"/>
      <c r="O906" s="575" t="s">
        <v>4508</v>
      </c>
      <c r="P906" s="262"/>
      <c r="Q906" s="262"/>
      <c r="R906" s="262"/>
      <c r="S906" s="262"/>
      <c r="T906" s="1237">
        <f>+AM903</f>
        <v>0</v>
      </c>
      <c r="U906" s="1237"/>
      <c r="V906" s="1237"/>
      <c r="W906" s="1237"/>
      <c r="X906" s="1237"/>
      <c r="Y906" s="1237"/>
      <c r="Z906" s="1237"/>
      <c r="AA906" s="1237"/>
      <c r="AB906" s="1237"/>
      <c r="AC906" s="577"/>
      <c r="AD906" s="262"/>
      <c r="AE906" s="262"/>
      <c r="AF906" s="262"/>
      <c r="AG906" s="262"/>
      <c r="AH906" s="262"/>
      <c r="AI906" s="262"/>
      <c r="AJ906" s="574" t="s">
        <v>4426</v>
      </c>
      <c r="AK906" s="1174"/>
      <c r="AL906" s="1174"/>
      <c r="AM906" s="1237">
        <f>+E906*T906</f>
        <v>0</v>
      </c>
      <c r="AN906" s="1237"/>
      <c r="AO906" s="1237"/>
      <c r="AP906" s="1237"/>
      <c r="AQ906" s="1237"/>
      <c r="AR906" s="1237"/>
      <c r="AS906" s="1237"/>
      <c r="AT906" s="1237"/>
      <c r="AU906" s="1237"/>
      <c r="AV906" s="262"/>
    </row>
    <row r="907" spans="1:48" s="268" customFormat="1" ht="13.5" hidden="1" customHeight="1">
      <c r="A907" s="262"/>
      <c r="B907" s="262"/>
      <c r="C907" s="573" t="s">
        <v>4581</v>
      </c>
      <c r="D907" s="262"/>
      <c r="E907" s="578" t="str">
        <f>+C864</f>
        <v>VALOR DEL ESTACIONAMIENTO Nº …</v>
      </c>
      <c r="F907" s="262"/>
      <c r="G907" s="262"/>
      <c r="H907" s="262"/>
      <c r="I907" s="262"/>
      <c r="J907" s="262"/>
      <c r="K907" s="262"/>
      <c r="L907" s="574"/>
      <c r="M907" s="262"/>
      <c r="N907" s="575"/>
      <c r="O907" s="575"/>
      <c r="P907" s="262"/>
      <c r="Q907" s="262"/>
      <c r="R907" s="262"/>
      <c r="S907" s="262"/>
      <c r="T907" s="262"/>
      <c r="U907" s="262"/>
      <c r="V907" s="262"/>
      <c r="W907" s="262"/>
      <c r="X907" s="262"/>
      <c r="Y907" s="262"/>
      <c r="Z907" s="262"/>
      <c r="AA907" s="262"/>
      <c r="AB907" s="262"/>
      <c r="AC907" s="262"/>
      <c r="AD907" s="262"/>
      <c r="AE907" s="262"/>
      <c r="AF907" s="262"/>
      <c r="AG907" s="262"/>
      <c r="AH907" s="574"/>
      <c r="AI907" s="262"/>
      <c r="AJ907" s="574" t="s">
        <v>4426</v>
      </c>
      <c r="AK907" s="1174"/>
      <c r="AL907" s="1174"/>
      <c r="AM907" s="1237">
        <f>+AO864</f>
        <v>0</v>
      </c>
      <c r="AN907" s="1237"/>
      <c r="AO907" s="1237"/>
      <c r="AP907" s="1237"/>
      <c r="AQ907" s="1237"/>
      <c r="AR907" s="1237"/>
      <c r="AS907" s="1237"/>
      <c r="AT907" s="1237"/>
      <c r="AU907" s="1237"/>
      <c r="AV907" s="262"/>
    </row>
    <row r="908" spans="1:48" s="268" customFormat="1" ht="13.5" hidden="1" customHeight="1">
      <c r="A908" s="262"/>
      <c r="B908" s="262"/>
      <c r="C908" s="573" t="s">
        <v>4582</v>
      </c>
      <c r="D908" s="262"/>
      <c r="E908" s="578" t="str">
        <f>+C867</f>
        <v>VALOR DEL DEPOSITO Nº ..</v>
      </c>
      <c r="F908" s="262"/>
      <c r="G908" s="262"/>
      <c r="H908" s="262"/>
      <c r="I908" s="262"/>
      <c r="J908" s="262"/>
      <c r="K908" s="262"/>
      <c r="L908" s="574"/>
      <c r="M908" s="262"/>
      <c r="N908" s="575"/>
      <c r="O908" s="575"/>
      <c r="P908" s="262"/>
      <c r="Q908" s="262"/>
      <c r="R908" s="262"/>
      <c r="S908" s="262"/>
      <c r="T908" s="262"/>
      <c r="U908" s="262"/>
      <c r="V908" s="262"/>
      <c r="W908" s="262"/>
      <c r="X908" s="262"/>
      <c r="Y908" s="262"/>
      <c r="Z908" s="262"/>
      <c r="AA908" s="262"/>
      <c r="AB908" s="262"/>
      <c r="AC908" s="262"/>
      <c r="AD908" s="262"/>
      <c r="AE908" s="262"/>
      <c r="AF908" s="262"/>
      <c r="AG908" s="262"/>
      <c r="AH908" s="574"/>
      <c r="AI908" s="262"/>
      <c r="AJ908" s="574" t="s">
        <v>4426</v>
      </c>
      <c r="AK908" s="1174"/>
      <c r="AL908" s="1174"/>
      <c r="AM908" s="1237">
        <f>+AO867</f>
        <v>0</v>
      </c>
      <c r="AN908" s="1237"/>
      <c r="AO908" s="1237"/>
      <c r="AP908" s="1237"/>
      <c r="AQ908" s="1237"/>
      <c r="AR908" s="1237"/>
      <c r="AS908" s="1237"/>
      <c r="AT908" s="1237"/>
      <c r="AU908" s="1237"/>
      <c r="AV908" s="262"/>
    </row>
    <row r="909" spans="1:48" s="587" customFormat="1" ht="18" hidden="1" customHeight="1" thickBot="1">
      <c r="A909" s="581"/>
      <c r="B909" s="581"/>
      <c r="C909" s="582" t="s">
        <v>4521</v>
      </c>
      <c r="D909" s="583"/>
      <c r="E909" s="583"/>
      <c r="F909" s="583"/>
      <c r="G909" s="583" t="str">
        <f>C898</f>
        <v>VALOR  COMERCIAL DEL INMUEBLE (VCI)</v>
      </c>
      <c r="H909" s="583"/>
      <c r="I909" s="583"/>
      <c r="J909" s="583"/>
      <c r="K909" s="583"/>
      <c r="L909" s="584"/>
      <c r="M909" s="583"/>
      <c r="N909" s="585"/>
      <c r="O909" s="585"/>
      <c r="P909" s="583"/>
      <c r="Q909" s="583"/>
      <c r="R909" s="583"/>
      <c r="S909" s="583"/>
      <c r="T909" s="583"/>
      <c r="U909" s="583"/>
      <c r="V909" s="583"/>
      <c r="W909" s="583"/>
      <c r="X909" s="583"/>
      <c r="Y909" s="583"/>
      <c r="Z909" s="583"/>
      <c r="AA909" s="583"/>
      <c r="AB909" s="583"/>
      <c r="AC909" s="583"/>
      <c r="AD909" s="583"/>
      <c r="AE909" s="583"/>
      <c r="AF909" s="583"/>
      <c r="AG909" s="583"/>
      <c r="AH909" s="584"/>
      <c r="AI909" s="583"/>
      <c r="AJ909" s="584" t="s">
        <v>4426</v>
      </c>
      <c r="AK909" s="1182"/>
      <c r="AL909" s="1182"/>
      <c r="AM909" s="1248">
        <f>SUM(AM906:AU908)</f>
        <v>0</v>
      </c>
      <c r="AN909" s="1248"/>
      <c r="AO909" s="1248"/>
      <c r="AP909" s="1249"/>
      <c r="AQ909" s="1249"/>
      <c r="AR909" s="1249"/>
      <c r="AS909" s="1249"/>
      <c r="AT909" s="1249"/>
      <c r="AU909" s="1249"/>
      <c r="AV909" s="586"/>
    </row>
    <row r="910" spans="1:48" s="268" customFormat="1" ht="18" hidden="1" customHeight="1">
      <c r="A910" s="262"/>
      <c r="B910" s="262"/>
      <c r="C910" s="1185" t="str">
        <f>+CONCATENATE("SON: ",[4]!NumeLetras(AM909,"CON","SOLES",1))</f>
        <v>SON: CON 00/100 SOLES</v>
      </c>
      <c r="D910" s="1185"/>
      <c r="E910" s="1185"/>
      <c r="F910" s="1185"/>
      <c r="G910" s="1185"/>
      <c r="H910" s="1185"/>
      <c r="I910" s="1185"/>
      <c r="J910" s="1185"/>
      <c r="K910" s="1185"/>
      <c r="L910" s="1185"/>
      <c r="M910" s="1185"/>
      <c r="N910" s="1185"/>
      <c r="O910" s="1185"/>
      <c r="P910" s="1185"/>
      <c r="Q910" s="1185"/>
      <c r="R910" s="1185"/>
      <c r="S910" s="1185"/>
      <c r="T910" s="1185"/>
      <c r="U910" s="1173"/>
      <c r="V910" s="1173"/>
      <c r="W910" s="1173"/>
      <c r="X910" s="1173"/>
      <c r="Y910" s="1173"/>
      <c r="Z910" s="1173"/>
      <c r="AA910" s="1173"/>
      <c r="AB910" s="1173"/>
      <c r="AC910" s="1173"/>
      <c r="AD910" s="1173"/>
      <c r="AE910" s="1173"/>
      <c r="AF910" s="1173"/>
      <c r="AG910" s="1173"/>
      <c r="AH910" s="1173"/>
      <c r="AI910" s="1173"/>
      <c r="AJ910" s="1173"/>
      <c r="AK910" s="1173"/>
      <c r="AL910" s="1173"/>
      <c r="AM910" s="1173"/>
      <c r="AN910" s="1173"/>
      <c r="AO910" s="1173"/>
      <c r="AP910" s="1173"/>
      <c r="AQ910" s="1173"/>
      <c r="AR910" s="1173"/>
      <c r="AS910" s="1173"/>
      <c r="AT910" s="1173"/>
      <c r="AU910" s="1173"/>
      <c r="AV910" s="1173"/>
    </row>
    <row r="911" spans="1:48" s="268" customFormat="1" ht="30" hidden="1" customHeight="1">
      <c r="A911" s="1169">
        <f>1+A898</f>
        <v>2</v>
      </c>
      <c r="B911" s="1170"/>
      <c r="C911" s="589" t="s">
        <v>4583</v>
      </c>
      <c r="D911" s="590"/>
      <c r="E911" s="590"/>
      <c r="F911" s="590"/>
      <c r="G911" s="590"/>
      <c r="H911" s="590"/>
      <c r="I911" s="590"/>
      <c r="J911" s="590"/>
      <c r="K911" s="590"/>
      <c r="L911" s="590"/>
      <c r="M911" s="590"/>
      <c r="N911" s="590"/>
      <c r="O911" s="590"/>
      <c r="P911" s="590"/>
      <c r="Q911" s="590"/>
      <c r="R911" s="590"/>
      <c r="S911" s="590"/>
      <c r="T911" s="590"/>
      <c r="U911" s="590"/>
      <c r="V911" s="590"/>
      <c r="W911" s="590"/>
      <c r="X911" s="262"/>
      <c r="Y911" s="262"/>
      <c r="Z911" s="262"/>
      <c r="AA911" s="262"/>
      <c r="AB911" s="262"/>
      <c r="AC911" s="262"/>
      <c r="AD911" s="262"/>
      <c r="AE911" s="262"/>
      <c r="AF911" s="262"/>
      <c r="AG911" s="262"/>
      <c r="AH911" s="262"/>
      <c r="AI911" s="262"/>
      <c r="AJ911" s="262"/>
      <c r="AK911" s="262"/>
      <c r="AL911" s="262"/>
      <c r="AM911" s="262"/>
      <c r="AN911" s="262"/>
      <c r="AO911" s="262"/>
      <c r="AP911" s="262"/>
      <c r="AQ911" s="262"/>
      <c r="AR911" s="262"/>
      <c r="AS911" s="262"/>
      <c r="AT911" s="262"/>
      <c r="AU911" s="262"/>
      <c r="AV911" s="262"/>
    </row>
    <row r="912" spans="1:48" s="268" customFormat="1" ht="15" hidden="1" customHeight="1">
      <c r="A912" s="262"/>
      <c r="B912" s="262"/>
      <c r="C912" s="591" t="s">
        <v>4584</v>
      </c>
      <c r="D912" s="592"/>
      <c r="E912" s="592"/>
      <c r="F912" s="592"/>
      <c r="G912" s="592"/>
      <c r="H912" s="593"/>
      <c r="I912" s="593"/>
      <c r="J912" s="594"/>
      <c r="K912" s="592"/>
      <c r="L912" s="592"/>
      <c r="M912" s="592"/>
      <c r="N912" s="592"/>
      <c r="O912" s="592"/>
      <c r="P912" s="592"/>
      <c r="Q912" s="262"/>
      <c r="R912" s="262"/>
      <c r="S912" s="262"/>
      <c r="T912" s="262"/>
      <c r="U912" s="262"/>
      <c r="V912" s="262"/>
      <c r="W912" s="262"/>
      <c r="X912" s="262"/>
      <c r="Y912" s="262"/>
      <c r="Z912" s="262"/>
      <c r="AA912" s="262"/>
      <c r="AB912" s="262"/>
      <c r="AC912" s="262"/>
      <c r="AD912" s="262"/>
      <c r="AE912" s="262"/>
      <c r="AF912" s="262"/>
      <c r="AG912" s="262"/>
      <c r="AH912" s="262"/>
      <c r="AI912" s="262"/>
      <c r="AJ912" s="262"/>
      <c r="AK912" s="262"/>
      <c r="AL912" s="262"/>
      <c r="AM912" s="262"/>
      <c r="AN912" s="262"/>
      <c r="AO912" s="262"/>
      <c r="AP912" s="262"/>
      <c r="AQ912" s="262"/>
      <c r="AR912" s="262"/>
      <c r="AS912" s="262"/>
      <c r="AT912" s="262"/>
      <c r="AU912" s="262"/>
      <c r="AV912" s="262"/>
    </row>
    <row r="913" spans="1:48" s="268" customFormat="1" ht="15" hidden="1" customHeight="1">
      <c r="A913" s="262"/>
      <c r="B913" s="262"/>
      <c r="C913" s="262" t="s">
        <v>4585</v>
      </c>
      <c r="D913" s="262"/>
      <c r="E913" s="262"/>
      <c r="F913" s="262"/>
      <c r="G913" s="262"/>
      <c r="H913" s="595"/>
      <c r="I913" s="595"/>
      <c r="J913" s="595"/>
      <c r="K913" s="262"/>
      <c r="L913" s="262"/>
      <c r="M913" s="262"/>
      <c r="N913" s="262"/>
      <c r="O913" s="262"/>
      <c r="P913" s="262"/>
      <c r="Q913" s="262"/>
      <c r="R913" s="262"/>
      <c r="S913" s="262"/>
      <c r="T913" s="262"/>
      <c r="U913" s="262"/>
      <c r="V913" s="262"/>
      <c r="W913" s="262"/>
      <c r="X913" s="262"/>
      <c r="Y913" s="262"/>
      <c r="Z913" s="262"/>
      <c r="AA913" s="262"/>
      <c r="AB913" s="262"/>
      <c r="AC913" s="262"/>
      <c r="AD913" s="262"/>
      <c r="AE913" s="262"/>
      <c r="AF913" s="262"/>
      <c r="AG913" s="262"/>
      <c r="AH913" s="262"/>
      <c r="AI913" s="262"/>
      <c r="AJ913" s="262"/>
      <c r="AK913" s="262"/>
      <c r="AL913" s="262"/>
      <c r="AM913" s="262"/>
      <c r="AN913" s="262"/>
      <c r="AO913" s="262"/>
      <c r="AP913" s="262"/>
      <c r="AQ913" s="262"/>
      <c r="AR913" s="262"/>
      <c r="AS913" s="262"/>
      <c r="AT913" s="262"/>
      <c r="AU913" s="262"/>
      <c r="AV913" s="262"/>
    </row>
    <row r="914" spans="1:48" s="268" customFormat="1" ht="15" hidden="1" customHeight="1">
      <c r="A914" s="262"/>
      <c r="B914" s="262"/>
      <c r="C914" s="1177" t="s">
        <v>4586</v>
      </c>
      <c r="D914" s="1177"/>
      <c r="E914" s="262" t="s">
        <v>4587</v>
      </c>
      <c r="F914" s="262"/>
      <c r="G914" s="262"/>
      <c r="H914" s="595"/>
      <c r="I914" s="595"/>
      <c r="J914" s="595"/>
      <c r="K914" s="262"/>
      <c r="L914" s="262"/>
      <c r="M914" s="262"/>
      <c r="N914" s="262"/>
      <c r="O914" s="262"/>
      <c r="P914" s="262"/>
      <c r="Q914" s="262"/>
      <c r="R914" s="262"/>
      <c r="S914" s="262"/>
      <c r="T914" s="262"/>
      <c r="U914" s="262"/>
      <c r="V914" s="262"/>
      <c r="W914" s="262"/>
      <c r="X914" s="262"/>
      <c r="Y914" s="262"/>
      <c r="Z914" s="262"/>
      <c r="AA914" s="262"/>
      <c r="AB914" s="262"/>
      <c r="AC914" s="262"/>
      <c r="AD914" s="262"/>
      <c r="AE914" s="262"/>
      <c r="AF914" s="262"/>
      <c r="AG914" s="262"/>
      <c r="AH914" s="1178">
        <v>0.02</v>
      </c>
      <c r="AI914" s="1173"/>
      <c r="AJ914" s="1173"/>
      <c r="AK914" s="1173"/>
      <c r="AL914" s="1173"/>
      <c r="AM914" s="262"/>
      <c r="AN914" s="262"/>
      <c r="AO914" s="262"/>
      <c r="AP914" s="262"/>
      <c r="AQ914" s="262"/>
      <c r="AR914" s="262"/>
      <c r="AS914" s="262"/>
      <c r="AT914" s="262"/>
      <c r="AU914" s="262"/>
      <c r="AV914" s="262"/>
    </row>
    <row r="915" spans="1:48" s="268" customFormat="1" ht="12" hidden="1">
      <c r="A915" s="262"/>
      <c r="B915" s="262"/>
      <c r="C915" s="1177" t="s">
        <v>4586</v>
      </c>
      <c r="D915" s="1177"/>
      <c r="E915" s="262" t="s">
        <v>4588</v>
      </c>
      <c r="F915" s="262"/>
      <c r="G915" s="262"/>
      <c r="H915" s="595"/>
      <c r="I915" s="595"/>
      <c r="J915" s="595"/>
      <c r="K915" s="262"/>
      <c r="L915" s="262"/>
      <c r="M915" s="262"/>
      <c r="N915" s="262"/>
      <c r="O915" s="262"/>
      <c r="P915" s="262"/>
      <c r="Q915" s="262"/>
      <c r="R915" s="262"/>
      <c r="S915" s="262"/>
      <c r="T915" s="262"/>
      <c r="U915" s="262"/>
      <c r="V915" s="262"/>
      <c r="W915" s="262"/>
      <c r="X915" s="262"/>
      <c r="Y915" s="262"/>
      <c r="Z915" s="262"/>
      <c r="AA915" s="262"/>
      <c r="AB915" s="262"/>
      <c r="AC915" s="262"/>
      <c r="AD915" s="262"/>
      <c r="AE915" s="262"/>
      <c r="AF915" s="262"/>
      <c r="AG915" s="262"/>
      <c r="AH915" s="1178">
        <v>2E-3</v>
      </c>
      <c r="AI915" s="1173"/>
      <c r="AJ915" s="1173"/>
      <c r="AK915" s="1173"/>
      <c r="AL915" s="1173"/>
      <c r="AM915" s="262"/>
      <c r="AN915" s="262"/>
      <c r="AO915" s="262"/>
      <c r="AP915" s="262"/>
      <c r="AQ915" s="262"/>
      <c r="AR915" s="262"/>
      <c r="AS915" s="262"/>
      <c r="AT915" s="262"/>
      <c r="AU915" s="262"/>
      <c r="AV915" s="262"/>
    </row>
    <row r="916" spans="1:48" s="268" customFormat="1" ht="12" hidden="1">
      <c r="A916" s="262"/>
      <c r="B916" s="262"/>
      <c r="C916" s="1177" t="s">
        <v>4586</v>
      </c>
      <c r="D916" s="1177"/>
      <c r="E916" s="262" t="s">
        <v>4589</v>
      </c>
      <c r="F916" s="262"/>
      <c r="G916" s="262"/>
      <c r="H916" s="596"/>
      <c r="I916" s="262"/>
      <c r="J916" s="595"/>
      <c r="K916" s="262"/>
      <c r="L916" s="262"/>
      <c r="M916" s="262"/>
      <c r="N916" s="262"/>
      <c r="O916" s="262"/>
      <c r="P916" s="262"/>
      <c r="Q916" s="262"/>
      <c r="R916" s="262"/>
      <c r="S916" s="262"/>
      <c r="T916" s="262"/>
      <c r="U916" s="262"/>
      <c r="V916" s="262"/>
      <c r="W916" s="262"/>
      <c r="X916" s="262"/>
      <c r="Y916" s="262"/>
      <c r="Z916" s="262"/>
      <c r="AA916" s="262"/>
      <c r="AB916" s="262"/>
      <c r="AC916" s="262"/>
      <c r="AD916" s="262"/>
      <c r="AE916" s="262"/>
      <c r="AF916" s="262"/>
      <c r="AG916" s="262"/>
      <c r="AH916" s="1178">
        <v>0.04</v>
      </c>
      <c r="AI916" s="1173"/>
      <c r="AJ916" s="1173"/>
      <c r="AK916" s="1173"/>
      <c r="AL916" s="1173"/>
      <c r="AM916" s="262"/>
      <c r="AN916" s="262"/>
      <c r="AO916" s="262"/>
      <c r="AP916" s="262"/>
      <c r="AQ916" s="262"/>
      <c r="AR916" s="262"/>
      <c r="AS916" s="262"/>
      <c r="AT916" s="262"/>
      <c r="AU916" s="262"/>
      <c r="AV916" s="262"/>
    </row>
    <row r="917" spans="1:48" s="268" customFormat="1" ht="12" hidden="1">
      <c r="A917" s="262"/>
      <c r="B917" s="262"/>
      <c r="C917" s="1177" t="s">
        <v>4586</v>
      </c>
      <c r="D917" s="1177"/>
      <c r="E917" s="262" t="s">
        <v>4590</v>
      </c>
      <c r="F917" s="262"/>
      <c r="G917" s="262"/>
      <c r="H917" s="596"/>
      <c r="I917" s="262"/>
      <c r="J917" s="595"/>
      <c r="K917" s="262"/>
      <c r="L917" s="262"/>
      <c r="M917" s="262"/>
      <c r="N917" s="262"/>
      <c r="O917" s="262"/>
      <c r="P917" s="262"/>
      <c r="Q917" s="262"/>
      <c r="R917" s="262"/>
      <c r="S917" s="262"/>
      <c r="T917" s="262"/>
      <c r="U917" s="262"/>
      <c r="V917" s="262"/>
      <c r="W917" s="262"/>
      <c r="X917" s="262"/>
      <c r="Y917" s="262"/>
      <c r="Z917" s="262"/>
      <c r="AA917" s="262"/>
      <c r="AB917" s="262"/>
      <c r="AC917" s="262"/>
      <c r="AD917" s="262"/>
      <c r="AE917" s="262"/>
      <c r="AF917" s="262"/>
      <c r="AG917" s="262"/>
      <c r="AH917" s="1178">
        <v>0.02</v>
      </c>
      <c r="AI917" s="1173"/>
      <c r="AJ917" s="1173"/>
      <c r="AK917" s="1173"/>
      <c r="AL917" s="1173"/>
      <c r="AM917" s="262"/>
      <c r="AN917" s="262"/>
      <c r="AO917" s="262"/>
      <c r="AP917" s="262"/>
      <c r="AQ917" s="262"/>
      <c r="AR917" s="262"/>
      <c r="AS917" s="262"/>
      <c r="AT917" s="262"/>
      <c r="AU917" s="262"/>
      <c r="AV917" s="262"/>
    </row>
    <row r="918" spans="1:48" s="268" customFormat="1" ht="12" hidden="1">
      <c r="A918" s="262"/>
      <c r="B918" s="262"/>
      <c r="C918" s="1177" t="s">
        <v>4586</v>
      </c>
      <c r="D918" s="1177"/>
      <c r="E918" s="262" t="s">
        <v>4591</v>
      </c>
      <c r="F918" s="262"/>
      <c r="G918" s="262"/>
      <c r="H918" s="596"/>
      <c r="I918" s="262"/>
      <c r="J918" s="595"/>
      <c r="K918" s="262"/>
      <c r="L918" s="262"/>
      <c r="M918" s="262"/>
      <c r="N918" s="262"/>
      <c r="O918" s="262"/>
      <c r="P918" s="262"/>
      <c r="Q918" s="262"/>
      <c r="R918" s="262"/>
      <c r="S918" s="262"/>
      <c r="T918" s="262"/>
      <c r="U918" s="262"/>
      <c r="V918" s="262"/>
      <c r="W918" s="262"/>
      <c r="X918" s="262"/>
      <c r="Y918" s="262"/>
      <c r="Z918" s="262"/>
      <c r="AA918" s="262"/>
      <c r="AB918" s="262"/>
      <c r="AC918" s="262"/>
      <c r="AD918" s="262"/>
      <c r="AE918" s="262"/>
      <c r="AF918" s="262"/>
      <c r="AG918" s="262"/>
      <c r="AH918" s="1178">
        <f>+AH919-AH914-AH915-AH916-AH917</f>
        <v>0.11800000000000001</v>
      </c>
      <c r="AI918" s="1173"/>
      <c r="AJ918" s="1173"/>
      <c r="AK918" s="1173"/>
      <c r="AL918" s="1173"/>
      <c r="AM918" s="262"/>
      <c r="AN918" s="262"/>
      <c r="AO918" s="262"/>
      <c r="AP918" s="262"/>
      <c r="AQ918" s="262"/>
      <c r="AR918" s="262"/>
      <c r="AS918" s="262"/>
      <c r="AT918" s="262"/>
      <c r="AU918" s="262"/>
      <c r="AV918" s="262"/>
    </row>
    <row r="919" spans="1:48" s="268" customFormat="1" hidden="1" thickBot="1">
      <c r="A919" s="262"/>
      <c r="B919" s="262"/>
      <c r="C919" s="597" t="s">
        <v>4592</v>
      </c>
      <c r="D919" s="598"/>
      <c r="E919" s="598"/>
      <c r="F919" s="598"/>
      <c r="G919" s="598"/>
      <c r="H919" s="599"/>
      <c r="I919" s="598"/>
      <c r="J919" s="600"/>
      <c r="K919" s="598"/>
      <c r="L919" s="598"/>
      <c r="M919" s="598"/>
      <c r="N919" s="598"/>
      <c r="O919" s="598"/>
      <c r="P919" s="598"/>
      <c r="Q919" s="598"/>
      <c r="R919" s="598"/>
      <c r="S919" s="598"/>
      <c r="T919" s="598"/>
      <c r="U919" s="598"/>
      <c r="V919" s="598"/>
      <c r="W919" s="598"/>
      <c r="X919" s="598"/>
      <c r="Y919" s="598"/>
      <c r="Z919" s="598"/>
      <c r="AA919" s="598"/>
      <c r="AB919" s="598"/>
      <c r="AC919" s="598"/>
      <c r="AD919" s="598"/>
      <c r="AE919" s="598"/>
      <c r="AF919" s="598"/>
      <c r="AG919" s="598"/>
      <c r="AH919" s="1179">
        <f>+AH639</f>
        <v>0.2</v>
      </c>
      <c r="AI919" s="1180"/>
      <c r="AJ919" s="1180"/>
      <c r="AK919" s="1180"/>
      <c r="AL919" s="1180"/>
      <c r="AM919" s="262"/>
      <c r="AN919" s="262"/>
      <c r="AO919" s="262"/>
      <c r="AP919" s="262"/>
      <c r="AQ919" s="262"/>
      <c r="AR919" s="262"/>
      <c r="AS919" s="262"/>
      <c r="AT919" s="262"/>
      <c r="AU919" s="262"/>
      <c r="AV919" s="262"/>
    </row>
    <row r="920" spans="1:48" s="268" customFormat="1" ht="12" hidden="1">
      <c r="A920" s="262"/>
      <c r="B920" s="262"/>
      <c r="C920" s="262" t="s">
        <v>4593</v>
      </c>
      <c r="D920" s="262"/>
      <c r="E920" s="262"/>
      <c r="F920" s="262"/>
      <c r="G920" s="262"/>
      <c r="H920" s="262"/>
      <c r="I920" s="1181">
        <f>100%-AH919</f>
        <v>0.8</v>
      </c>
      <c r="J920" s="1173"/>
      <c r="K920" s="1173"/>
      <c r="L920" s="1173"/>
      <c r="M920" s="1173"/>
      <c r="N920" s="262" t="s">
        <v>4594</v>
      </c>
      <c r="O920" s="262"/>
      <c r="P920" s="262"/>
      <c r="Q920" s="262"/>
      <c r="R920" s="262"/>
      <c r="S920" s="262"/>
      <c r="T920" s="262"/>
      <c r="U920" s="262"/>
      <c r="V920" s="262"/>
      <c r="W920" s="262"/>
      <c r="X920" s="262"/>
      <c r="Y920" s="262"/>
      <c r="Z920" s="262"/>
      <c r="AA920" s="262"/>
      <c r="AB920" s="262"/>
      <c r="AC920" s="262"/>
      <c r="AD920" s="262"/>
      <c r="AE920" s="262"/>
      <c r="AF920" s="262"/>
      <c r="AG920" s="262"/>
      <c r="AH920" s="262"/>
      <c r="AI920" s="262"/>
      <c r="AJ920" s="262"/>
      <c r="AK920" s="262"/>
      <c r="AL920" s="262"/>
      <c r="AM920" s="262"/>
      <c r="AN920" s="262"/>
      <c r="AO920" s="262"/>
      <c r="AP920" s="262"/>
      <c r="AQ920" s="262"/>
      <c r="AR920" s="262"/>
      <c r="AS920" s="262"/>
      <c r="AT920" s="262"/>
      <c r="AU920" s="262"/>
      <c r="AV920" s="262"/>
    </row>
    <row r="921" spans="1:48" s="268" customFormat="1" ht="20.100000000000001" hidden="1" customHeight="1">
      <c r="A921" s="262"/>
      <c r="B921" s="262"/>
      <c r="C921" s="571" t="str">
        <f>+C816</f>
        <v>A) INMUEBLE:</v>
      </c>
      <c r="D921" s="262"/>
      <c r="E921" s="262"/>
      <c r="F921" s="262"/>
      <c r="G921" s="262"/>
      <c r="H921" s="262"/>
      <c r="I921" s="601"/>
      <c r="J921" s="262"/>
      <c r="K921" s="262"/>
      <c r="L921" s="262"/>
      <c r="M921" s="262"/>
      <c r="N921" s="262"/>
      <c r="O921" s="262"/>
      <c r="P921" s="262"/>
      <c r="Q921" s="262"/>
      <c r="R921" s="262"/>
      <c r="S921" s="262"/>
      <c r="T921" s="262"/>
      <c r="U921" s="262"/>
      <c r="V921" s="262"/>
      <c r="W921" s="262"/>
      <c r="X921" s="262"/>
      <c r="Y921" s="262"/>
      <c r="Z921" s="262"/>
      <c r="AA921" s="262"/>
      <c r="AB921" s="262"/>
      <c r="AC921" s="262"/>
      <c r="AD921" s="262"/>
      <c r="AE921" s="262"/>
      <c r="AF921" s="262"/>
      <c r="AG921" s="262"/>
      <c r="AH921" s="262"/>
      <c r="AI921" s="262"/>
      <c r="AJ921" s="262"/>
      <c r="AK921" s="262"/>
      <c r="AL921" s="262"/>
      <c r="AM921" s="262"/>
      <c r="AN921" s="262"/>
      <c r="AO921" s="262"/>
      <c r="AP921" s="262"/>
      <c r="AQ921" s="262"/>
      <c r="AR921" s="262"/>
      <c r="AS921" s="262"/>
      <c r="AT921" s="262"/>
      <c r="AU921" s="262"/>
      <c r="AV921" s="262"/>
    </row>
    <row r="922" spans="1:48" s="268" customFormat="1" ht="13.5" hidden="1" customHeight="1">
      <c r="A922" s="262"/>
      <c r="B922" s="262"/>
      <c r="C922" s="262" t="str">
        <f>+C920</f>
        <v>VRA        =</v>
      </c>
      <c r="D922" s="262"/>
      <c r="E922" s="262"/>
      <c r="F922" s="262"/>
      <c r="G922" s="262"/>
      <c r="H922" s="262"/>
      <c r="I922" s="1181">
        <f>+I920</f>
        <v>0.8</v>
      </c>
      <c r="J922" s="1173"/>
      <c r="K922" s="1173"/>
      <c r="L922" s="1173"/>
      <c r="M922" s="1173"/>
      <c r="N922" s="1237">
        <f>+AM906</f>
        <v>0</v>
      </c>
      <c r="O922" s="1237"/>
      <c r="P922" s="1237"/>
      <c r="Q922" s="1237"/>
      <c r="R922" s="1237"/>
      <c r="S922" s="1237"/>
      <c r="T922" s="1237"/>
      <c r="U922" s="1237"/>
      <c r="V922" s="1237"/>
      <c r="W922" s="262"/>
      <c r="X922" s="262" t="s">
        <v>4595</v>
      </c>
      <c r="Y922" s="262"/>
      <c r="Z922" s="262"/>
      <c r="AA922" s="262"/>
      <c r="AB922" s="262"/>
      <c r="AC922" s="262"/>
      <c r="AD922" s="262"/>
      <c r="AE922" s="262"/>
      <c r="AF922" s="262"/>
      <c r="AG922" s="262"/>
      <c r="AH922" s="262"/>
      <c r="AI922" s="262"/>
      <c r="AJ922" s="262" t="s">
        <v>4426</v>
      </c>
      <c r="AK922" s="262"/>
      <c r="AL922" s="262"/>
      <c r="AM922" s="1251">
        <f>+I922*N922</f>
        <v>0</v>
      </c>
      <c r="AN922" s="1251"/>
      <c r="AO922" s="1251"/>
      <c r="AP922" s="1251"/>
      <c r="AQ922" s="1251"/>
      <c r="AR922" s="1251"/>
      <c r="AS922" s="1251"/>
      <c r="AT922" s="1251"/>
      <c r="AU922" s="1251"/>
      <c r="AV922" s="262"/>
    </row>
    <row r="923" spans="1:48" s="268" customFormat="1" ht="20.100000000000001" hidden="1" customHeight="1">
      <c r="A923" s="262"/>
      <c r="B923" s="262"/>
      <c r="C923" s="571" t="str">
        <f>+C818</f>
        <v>B) ESTACIONAMIENTO:</v>
      </c>
      <c r="D923" s="262"/>
      <c r="E923" s="262"/>
      <c r="F923" s="262"/>
      <c r="G923" s="262"/>
      <c r="H923" s="262"/>
      <c r="I923" s="601"/>
      <c r="J923" s="262"/>
      <c r="K923" s="262"/>
      <c r="L923" s="262"/>
      <c r="M923" s="262"/>
      <c r="N923" s="262"/>
      <c r="O923" s="262"/>
      <c r="P923" s="262"/>
      <c r="Q923" s="262"/>
      <c r="R923" s="262"/>
      <c r="S923" s="262"/>
      <c r="T923" s="262"/>
      <c r="U923" s="262"/>
      <c r="V923" s="262"/>
      <c r="W923" s="262"/>
      <c r="X923" s="262"/>
      <c r="Y923" s="262"/>
      <c r="Z923" s="262"/>
      <c r="AA923" s="262"/>
      <c r="AB923" s="262"/>
      <c r="AC923" s="262"/>
      <c r="AD923" s="262"/>
      <c r="AE923" s="262"/>
      <c r="AF923" s="262"/>
      <c r="AG923" s="262"/>
      <c r="AH923" s="262"/>
      <c r="AI923" s="262"/>
      <c r="AJ923" s="262"/>
      <c r="AK923" s="262"/>
      <c r="AL923" s="262"/>
      <c r="AM923" s="262"/>
      <c r="AN923" s="262"/>
      <c r="AO923" s="262"/>
      <c r="AP923" s="262"/>
      <c r="AQ923" s="262"/>
      <c r="AR923" s="262"/>
      <c r="AS923" s="262"/>
      <c r="AT923" s="262"/>
      <c r="AU923" s="262"/>
      <c r="AV923" s="262"/>
    </row>
    <row r="924" spans="1:48" s="268" customFormat="1" ht="13.5" hidden="1" customHeight="1">
      <c r="A924" s="262"/>
      <c r="B924" s="262"/>
      <c r="C924" s="262" t="str">
        <f>+C922</f>
        <v>VRA        =</v>
      </c>
      <c r="D924" s="262"/>
      <c r="E924" s="262"/>
      <c r="F924" s="262"/>
      <c r="G924" s="262"/>
      <c r="H924" s="262"/>
      <c r="I924" s="1181">
        <f>+I922</f>
        <v>0.8</v>
      </c>
      <c r="J924" s="1173"/>
      <c r="K924" s="1173"/>
      <c r="L924" s="1173"/>
      <c r="M924" s="1173"/>
      <c r="N924" s="1237">
        <f>+AM907</f>
        <v>0</v>
      </c>
      <c r="O924" s="1237"/>
      <c r="P924" s="1237"/>
      <c r="Q924" s="1237"/>
      <c r="R924" s="1237"/>
      <c r="S924" s="1237"/>
      <c r="T924" s="1237"/>
      <c r="U924" s="1237"/>
      <c r="V924" s="1237"/>
      <c r="W924" s="262"/>
      <c r="X924" s="262" t="s">
        <v>4595</v>
      </c>
      <c r="Y924" s="262"/>
      <c r="Z924" s="262"/>
      <c r="AA924" s="262"/>
      <c r="AB924" s="262"/>
      <c r="AC924" s="262"/>
      <c r="AD924" s="262"/>
      <c r="AE924" s="262"/>
      <c r="AF924" s="262"/>
      <c r="AG924" s="262"/>
      <c r="AH924" s="262"/>
      <c r="AI924" s="262"/>
      <c r="AJ924" s="262" t="s">
        <v>4426</v>
      </c>
      <c r="AK924" s="262"/>
      <c r="AL924" s="262"/>
      <c r="AM924" s="1251">
        <f>+I924*N924</f>
        <v>0</v>
      </c>
      <c r="AN924" s="1251"/>
      <c r="AO924" s="1251"/>
      <c r="AP924" s="1251"/>
      <c r="AQ924" s="1251"/>
      <c r="AR924" s="1251"/>
      <c r="AS924" s="1251"/>
      <c r="AT924" s="1251"/>
      <c r="AU924" s="1251"/>
      <c r="AV924" s="262"/>
    </row>
    <row r="925" spans="1:48" s="268" customFormat="1" ht="20.100000000000001" hidden="1" customHeight="1">
      <c r="A925" s="262"/>
      <c r="B925" s="262"/>
      <c r="C925" s="571" t="str">
        <f>+C820</f>
        <v>C) DEPOSITO:</v>
      </c>
      <c r="D925" s="262"/>
      <c r="E925" s="262"/>
      <c r="F925" s="262"/>
      <c r="G925" s="262"/>
      <c r="H925" s="262"/>
      <c r="I925" s="601"/>
      <c r="J925" s="262"/>
      <c r="K925" s="262"/>
      <c r="L925" s="262"/>
      <c r="M925" s="262"/>
      <c r="N925" s="262"/>
      <c r="O925" s="262"/>
      <c r="P925" s="262"/>
      <c r="Q925" s="262"/>
      <c r="R925" s="262"/>
      <c r="S925" s="262"/>
      <c r="T925" s="262"/>
      <c r="U925" s="262"/>
      <c r="V925" s="262"/>
      <c r="W925" s="262"/>
      <c r="X925" s="262"/>
      <c r="Y925" s="262"/>
      <c r="Z925" s="262"/>
      <c r="AA925" s="262"/>
      <c r="AB925" s="262"/>
      <c r="AC925" s="262"/>
      <c r="AD925" s="262"/>
      <c r="AE925" s="262"/>
      <c r="AF925" s="262"/>
      <c r="AG925" s="262"/>
      <c r="AH925" s="262"/>
      <c r="AI925" s="262"/>
      <c r="AJ925" s="262"/>
      <c r="AK925" s="262"/>
      <c r="AL925" s="262"/>
      <c r="AM925" s="262"/>
      <c r="AN925" s="262"/>
      <c r="AO925" s="262"/>
      <c r="AP925" s="262"/>
      <c r="AQ925" s="262"/>
      <c r="AR925" s="262"/>
      <c r="AS925" s="262"/>
      <c r="AT925" s="262"/>
      <c r="AU925" s="262"/>
      <c r="AV925" s="262"/>
    </row>
    <row r="926" spans="1:48" s="268" customFormat="1" ht="13.5" hidden="1" customHeight="1">
      <c r="A926" s="262"/>
      <c r="B926" s="262"/>
      <c r="C926" s="262" t="str">
        <f>+C924</f>
        <v>VRA        =</v>
      </c>
      <c r="D926" s="262"/>
      <c r="E926" s="262"/>
      <c r="F926" s="262"/>
      <c r="G926" s="262"/>
      <c r="H926" s="262"/>
      <c r="I926" s="1181">
        <f>+I924</f>
        <v>0.8</v>
      </c>
      <c r="J926" s="1173"/>
      <c r="K926" s="1173"/>
      <c r="L926" s="1173"/>
      <c r="M926" s="1173"/>
      <c r="N926" s="1237">
        <f>+AM908</f>
        <v>0</v>
      </c>
      <c r="O926" s="1237"/>
      <c r="P926" s="1237"/>
      <c r="Q926" s="1237"/>
      <c r="R926" s="1237"/>
      <c r="S926" s="1237"/>
      <c r="T926" s="1237"/>
      <c r="U926" s="1237"/>
      <c r="V926" s="1237"/>
      <c r="W926" s="262"/>
      <c r="X926" s="262" t="s">
        <v>4595</v>
      </c>
      <c r="Y926" s="262"/>
      <c r="Z926" s="262"/>
      <c r="AA926" s="262"/>
      <c r="AB926" s="262"/>
      <c r="AC926" s="262"/>
      <c r="AD926" s="262"/>
      <c r="AE926" s="262"/>
      <c r="AF926" s="262"/>
      <c r="AG926" s="262"/>
      <c r="AH926" s="262"/>
      <c r="AI926" s="262"/>
      <c r="AJ926" s="262" t="s">
        <v>4426</v>
      </c>
      <c r="AK926" s="262"/>
      <c r="AL926" s="262"/>
      <c r="AM926" s="1251">
        <f>+I926*N926</f>
        <v>0</v>
      </c>
      <c r="AN926" s="1251"/>
      <c r="AO926" s="1251"/>
      <c r="AP926" s="1251"/>
      <c r="AQ926" s="1251"/>
      <c r="AR926" s="1251"/>
      <c r="AS926" s="1251"/>
      <c r="AT926" s="1251"/>
      <c r="AU926" s="1251"/>
      <c r="AV926" s="262"/>
    </row>
    <row r="927" spans="1:48" s="587" customFormat="1" ht="18" hidden="1" customHeight="1" thickBot="1">
      <c r="A927" s="581"/>
      <c r="B927" s="581"/>
      <c r="C927" s="602" t="s">
        <v>4521</v>
      </c>
      <c r="D927" s="603"/>
      <c r="E927" s="603"/>
      <c r="F927" s="603"/>
      <c r="G927" s="603" t="str">
        <f>+C911</f>
        <v>VALOR DE REALIZACIÓN AUTOMÁTICA (VRA)</v>
      </c>
      <c r="H927" s="603"/>
      <c r="I927" s="603"/>
      <c r="J927" s="603"/>
      <c r="K927" s="603"/>
      <c r="L927" s="604"/>
      <c r="M927" s="603"/>
      <c r="N927" s="605"/>
      <c r="O927" s="605"/>
      <c r="P927" s="605"/>
      <c r="Q927" s="605"/>
      <c r="R927" s="605"/>
      <c r="S927" s="605"/>
      <c r="T927" s="605"/>
      <c r="U927" s="605"/>
      <c r="V927" s="605"/>
      <c r="W927" s="605"/>
      <c r="X927" s="605"/>
      <c r="Y927" s="605"/>
      <c r="Z927" s="605"/>
      <c r="AA927" s="605"/>
      <c r="AB927" s="605"/>
      <c r="AC927" s="605"/>
      <c r="AD927" s="605"/>
      <c r="AE927" s="605"/>
      <c r="AF927" s="605"/>
      <c r="AG927" s="605"/>
      <c r="AH927" s="605"/>
      <c r="AI927" s="606"/>
      <c r="AJ927" s="606" t="s">
        <v>4426</v>
      </c>
      <c r="AK927" s="1191"/>
      <c r="AL927" s="1192"/>
      <c r="AM927" s="1252">
        <f>SUM(AM922:AU926)</f>
        <v>0</v>
      </c>
      <c r="AN927" s="1252"/>
      <c r="AO927" s="1252"/>
      <c r="AP927" s="1253"/>
      <c r="AQ927" s="1253"/>
      <c r="AR927" s="1253"/>
      <c r="AS927" s="1253"/>
      <c r="AT927" s="1253"/>
      <c r="AU927" s="1253"/>
      <c r="AV927" s="607"/>
    </row>
    <row r="928" spans="1:48" s="268" customFormat="1" ht="20.100000000000001" hidden="1" customHeight="1">
      <c r="A928" s="262"/>
      <c r="B928" s="262"/>
      <c r="C928" s="1185" t="str">
        <f>+CONCATENATE("SON: ",[4]!NumeLetras(AM927,"CON","SOLES",1))</f>
        <v>SON: CON 00/100 SOLES</v>
      </c>
      <c r="D928" s="1185"/>
      <c r="E928" s="1185"/>
      <c r="F928" s="1185"/>
      <c r="G928" s="1185"/>
      <c r="H928" s="1185"/>
      <c r="I928" s="1185"/>
      <c r="J928" s="1185"/>
      <c r="K928" s="1185"/>
      <c r="L928" s="1185"/>
      <c r="M928" s="1185"/>
      <c r="N928" s="1185"/>
      <c r="O928" s="1185"/>
      <c r="P928" s="1185"/>
      <c r="Q928" s="1185"/>
      <c r="R928" s="1185"/>
      <c r="S928" s="1185"/>
      <c r="T928" s="1185"/>
      <c r="U928" s="1173"/>
      <c r="V928" s="1173"/>
      <c r="W928" s="1173"/>
      <c r="X928" s="1173"/>
      <c r="Y928" s="1173"/>
      <c r="Z928" s="1173"/>
      <c r="AA928" s="1173"/>
      <c r="AB928" s="1173"/>
      <c r="AC928" s="1173"/>
      <c r="AD928" s="1173"/>
      <c r="AE928" s="1173"/>
      <c r="AF928" s="1173"/>
      <c r="AG928" s="1173"/>
      <c r="AH928" s="1173"/>
      <c r="AI928" s="1173"/>
      <c r="AJ928" s="1173"/>
      <c r="AK928" s="1173"/>
      <c r="AL928" s="1173"/>
      <c r="AM928" s="1173"/>
      <c r="AN928" s="1173"/>
      <c r="AO928" s="1173"/>
      <c r="AP928" s="1173"/>
      <c r="AQ928" s="1173"/>
      <c r="AR928" s="1173"/>
      <c r="AS928" s="1173"/>
      <c r="AT928" s="1173"/>
      <c r="AU928" s="1173"/>
      <c r="AV928" s="1173"/>
    </row>
    <row r="929" spans="1:48" s="572" customFormat="1" ht="20.100000000000001" hidden="1" customHeight="1">
      <c r="A929" s="1169">
        <v>3</v>
      </c>
      <c r="B929" s="1170"/>
      <c r="C929" s="608" t="s">
        <v>4596</v>
      </c>
      <c r="D929" s="609"/>
      <c r="E929" s="609"/>
      <c r="F929" s="609"/>
      <c r="G929" s="609"/>
      <c r="H929" s="609"/>
      <c r="I929" s="609"/>
      <c r="J929" s="609"/>
      <c r="K929" s="609"/>
      <c r="L929" s="609"/>
      <c r="M929" s="608"/>
      <c r="N929" s="609"/>
      <c r="O929" s="609"/>
      <c r="P929" s="609"/>
      <c r="Q929" s="609"/>
      <c r="R929" s="609"/>
      <c r="S929" s="609"/>
      <c r="T929" s="609"/>
      <c r="U929" s="609"/>
      <c r="V929" s="571"/>
      <c r="W929" s="571"/>
      <c r="X929" s="571"/>
      <c r="Y929" s="571"/>
      <c r="Z929" s="571"/>
      <c r="AA929" s="571"/>
      <c r="AB929" s="571"/>
      <c r="AC929" s="571"/>
      <c r="AD929" s="571"/>
      <c r="AE929" s="571"/>
      <c r="AF929" s="571"/>
      <c r="AG929" s="571"/>
      <c r="AH929" s="571"/>
      <c r="AI929" s="571"/>
      <c r="AJ929" s="571"/>
      <c r="AK929" s="571"/>
      <c r="AL929" s="571"/>
      <c r="AM929" s="571"/>
      <c r="AN929" s="571"/>
      <c r="AO929" s="571"/>
      <c r="AP929" s="571"/>
      <c r="AQ929" s="571"/>
      <c r="AR929" s="571"/>
      <c r="AS929" s="571"/>
      <c r="AT929" s="571"/>
      <c r="AU929" s="571"/>
      <c r="AV929" s="571"/>
    </row>
    <row r="930" spans="1:48" s="268" customFormat="1" ht="12" hidden="1" customHeight="1">
      <c r="A930" s="262"/>
      <c r="B930" s="262"/>
      <c r="C930" s="1176" t="s">
        <v>4575</v>
      </c>
      <c r="D930" s="1173"/>
      <c r="E930" s="578" t="str">
        <f>+C878</f>
        <v>VALOR  DE LA EDIFICACIÓN</v>
      </c>
      <c r="F930" s="262"/>
      <c r="G930" s="262"/>
      <c r="H930" s="262"/>
      <c r="I930" s="262"/>
      <c r="J930" s="262"/>
      <c r="K930" s="262"/>
      <c r="L930" s="574"/>
      <c r="M930" s="262"/>
      <c r="N930" s="575"/>
      <c r="O930" s="575"/>
      <c r="P930" s="262"/>
      <c r="Q930" s="262"/>
      <c r="R930" s="262"/>
      <c r="S930" s="262"/>
      <c r="T930" s="262"/>
      <c r="U930" s="262"/>
      <c r="V930" s="262"/>
      <c r="W930" s="262"/>
      <c r="X930" s="262"/>
      <c r="Y930" s="262"/>
      <c r="Z930" s="262"/>
      <c r="AA930" s="262"/>
      <c r="AB930" s="262"/>
      <c r="AC930" s="262"/>
      <c r="AD930" s="262"/>
      <c r="AE930" s="262"/>
      <c r="AF930" s="262"/>
      <c r="AG930" s="262"/>
      <c r="AH930" s="574"/>
      <c r="AI930" s="262"/>
      <c r="AJ930" s="574" t="s">
        <v>4426</v>
      </c>
      <c r="AK930" s="1174"/>
      <c r="AL930" s="1174"/>
      <c r="AM930" s="1237">
        <f>+AO878</f>
        <v>0</v>
      </c>
      <c r="AN930" s="1237"/>
      <c r="AO930" s="1237"/>
      <c r="AP930" s="1237"/>
      <c r="AQ930" s="1237"/>
      <c r="AR930" s="1237"/>
      <c r="AS930" s="1237"/>
      <c r="AT930" s="1237"/>
      <c r="AU930" s="1237"/>
      <c r="AV930" s="262"/>
    </row>
    <row r="931" spans="1:48" s="268" customFormat="1" ht="12" hidden="1" customHeight="1">
      <c r="A931" s="262"/>
      <c r="B931" s="262"/>
      <c r="C931" s="1176" t="s">
        <v>4576</v>
      </c>
      <c r="D931" s="1173"/>
      <c r="E931" s="578" t="str">
        <f>+C879</f>
        <v>VALOR  DE LAS ÁREAS COMUNES</v>
      </c>
      <c r="F931" s="262"/>
      <c r="G931" s="262"/>
      <c r="H931" s="262"/>
      <c r="I931" s="262"/>
      <c r="J931" s="262"/>
      <c r="K931" s="262"/>
      <c r="L931" s="574"/>
      <c r="M931" s="262"/>
      <c r="N931" s="575"/>
      <c r="O931" s="575"/>
      <c r="P931" s="262"/>
      <c r="Q931" s="262"/>
      <c r="R931" s="262"/>
      <c r="S931" s="262"/>
      <c r="T931" s="262"/>
      <c r="U931" s="262"/>
      <c r="V931" s="262"/>
      <c r="W931" s="262"/>
      <c r="X931" s="262"/>
      <c r="Y931" s="262"/>
      <c r="Z931" s="262"/>
      <c r="AA931" s="262"/>
      <c r="AB931" s="262"/>
      <c r="AC931" s="262"/>
      <c r="AD931" s="262"/>
      <c r="AE931" s="262"/>
      <c r="AF931" s="262"/>
      <c r="AG931" s="262"/>
      <c r="AH931" s="574"/>
      <c r="AI931" s="262"/>
      <c r="AJ931" s="574" t="s">
        <v>4426</v>
      </c>
      <c r="AK931" s="1174"/>
      <c r="AL931" s="1174"/>
      <c r="AM931" s="1237">
        <f>+AO881</f>
        <v>0</v>
      </c>
      <c r="AN931" s="1237"/>
      <c r="AO931" s="1237"/>
      <c r="AP931" s="1237"/>
      <c r="AQ931" s="1237"/>
      <c r="AR931" s="1237"/>
      <c r="AS931" s="1237"/>
      <c r="AT931" s="1237"/>
      <c r="AU931" s="1237"/>
      <c r="AV931" s="262"/>
    </row>
    <row r="932" spans="1:48" s="268" customFormat="1" ht="12" hidden="1" customHeight="1">
      <c r="A932" s="262"/>
      <c r="B932" s="262"/>
      <c r="C932" s="1176" t="s">
        <v>4581</v>
      </c>
      <c r="D932" s="1173"/>
      <c r="E932" s="578" t="str">
        <f>+C894</f>
        <v>VALOR  DE LAS OBRAS COMPLEMENTARIAS</v>
      </c>
      <c r="F932" s="262"/>
      <c r="G932" s="262"/>
      <c r="H932" s="262"/>
      <c r="I932" s="262"/>
      <c r="J932" s="262"/>
      <c r="K932" s="262"/>
      <c r="L932" s="574"/>
      <c r="M932" s="262"/>
      <c r="N932" s="575"/>
      <c r="O932" s="575"/>
      <c r="P932" s="262"/>
      <c r="Q932" s="262"/>
      <c r="R932" s="262"/>
      <c r="S932" s="262"/>
      <c r="T932" s="262"/>
      <c r="U932" s="262"/>
      <c r="V932" s="262"/>
      <c r="W932" s="262"/>
      <c r="X932" s="262"/>
      <c r="Y932" s="262"/>
      <c r="Z932" s="262"/>
      <c r="AA932" s="262"/>
      <c r="AB932" s="262"/>
      <c r="AC932" s="262"/>
      <c r="AD932" s="262"/>
      <c r="AE932" s="262"/>
      <c r="AF932" s="262"/>
      <c r="AG932" s="262"/>
      <c r="AH932" s="574"/>
      <c r="AI932" s="262"/>
      <c r="AJ932" s="574" t="s">
        <v>4426</v>
      </c>
      <c r="AK932" s="1174"/>
      <c r="AL932" s="1174"/>
      <c r="AM932" s="1256">
        <f>+AO894</f>
        <v>0</v>
      </c>
      <c r="AN932" s="1256"/>
      <c r="AO932" s="1256"/>
      <c r="AP932" s="1256"/>
      <c r="AQ932" s="1256"/>
      <c r="AR932" s="1256"/>
      <c r="AS932" s="1256"/>
      <c r="AT932" s="1256"/>
      <c r="AU932" s="1256"/>
      <c r="AV932" s="262"/>
    </row>
    <row r="933" spans="1:48" s="587" customFormat="1" ht="18" hidden="1" customHeight="1" thickBot="1">
      <c r="A933" s="581"/>
      <c r="B933" s="581"/>
      <c r="C933" s="610" t="s">
        <v>4521</v>
      </c>
      <c r="D933" s="611"/>
      <c r="E933" s="611"/>
      <c r="F933" s="611"/>
      <c r="G933" s="611" t="str">
        <f>C929</f>
        <v>VALOR DEL IMPORTE ASEGURABLE (VIA)</v>
      </c>
      <c r="H933" s="611"/>
      <c r="I933" s="611"/>
      <c r="J933" s="611"/>
      <c r="K933" s="611"/>
      <c r="L933" s="612"/>
      <c r="M933" s="611"/>
      <c r="N933" s="613"/>
      <c r="O933" s="613"/>
      <c r="P933" s="611"/>
      <c r="Q933" s="611"/>
      <c r="R933" s="611"/>
      <c r="S933" s="611"/>
      <c r="T933" s="611"/>
      <c r="U933" s="611"/>
      <c r="V933" s="611"/>
      <c r="W933" s="611"/>
      <c r="X933" s="611"/>
      <c r="Y933" s="611"/>
      <c r="Z933" s="611"/>
      <c r="AA933" s="611"/>
      <c r="AB933" s="611"/>
      <c r="AC933" s="611"/>
      <c r="AD933" s="611"/>
      <c r="AE933" s="611"/>
      <c r="AF933" s="611"/>
      <c r="AG933" s="611"/>
      <c r="AH933" s="612"/>
      <c r="AI933" s="611"/>
      <c r="AJ933" s="612" t="s">
        <v>4426</v>
      </c>
      <c r="AK933" s="1206"/>
      <c r="AL933" s="1206"/>
      <c r="AM933" s="1287">
        <f>SUM(AM930:AU932)</f>
        <v>0</v>
      </c>
      <c r="AN933" s="1287"/>
      <c r="AO933" s="1287"/>
      <c r="AP933" s="1288"/>
      <c r="AQ933" s="1288"/>
      <c r="AR933" s="1288"/>
      <c r="AS933" s="1288"/>
      <c r="AT933" s="1288"/>
      <c r="AU933" s="1288"/>
      <c r="AV933" s="614"/>
    </row>
    <row r="934" spans="1:48" s="268" customFormat="1" ht="20.100000000000001" hidden="1" customHeight="1">
      <c r="A934" s="262"/>
      <c r="B934" s="262"/>
      <c r="C934" s="1185" t="str">
        <f>+CONCATENATE("SON: ",[4]!NumeLetras(AM933,"CON","SOLES",1))</f>
        <v>SON: CON 00/100 SOLES</v>
      </c>
      <c r="D934" s="1185"/>
      <c r="E934" s="1185"/>
      <c r="F934" s="1185"/>
      <c r="G934" s="1185"/>
      <c r="H934" s="1185"/>
      <c r="I934" s="1185"/>
      <c r="J934" s="1185"/>
      <c r="K934" s="1185"/>
      <c r="L934" s="1185"/>
      <c r="M934" s="1185"/>
      <c r="N934" s="1185"/>
      <c r="O934" s="1185"/>
      <c r="P934" s="1185"/>
      <c r="Q934" s="1185"/>
      <c r="R934" s="1185"/>
      <c r="S934" s="1185"/>
      <c r="T934" s="1185"/>
      <c r="U934" s="1173"/>
      <c r="V934" s="1173"/>
      <c r="W934" s="1173"/>
      <c r="X934" s="1173"/>
      <c r="Y934" s="1173"/>
      <c r="Z934" s="1173"/>
      <c r="AA934" s="1173"/>
      <c r="AB934" s="1173"/>
      <c r="AC934" s="1173"/>
      <c r="AD934" s="1173"/>
      <c r="AE934" s="1173"/>
      <c r="AF934" s="1173"/>
      <c r="AG934" s="1173"/>
      <c r="AH934" s="1173"/>
      <c r="AI934" s="1173"/>
      <c r="AJ934" s="1173"/>
      <c r="AK934" s="1173"/>
      <c r="AL934" s="1173"/>
      <c r="AM934" s="1173"/>
      <c r="AN934" s="1173"/>
      <c r="AO934" s="1173"/>
      <c r="AP934" s="1173"/>
      <c r="AQ934" s="1173"/>
      <c r="AR934" s="1173"/>
      <c r="AS934" s="1173"/>
      <c r="AT934" s="1173"/>
      <c r="AU934" s="1173"/>
      <c r="AV934" s="1173"/>
    </row>
    <row r="935" spans="1:48" s="268" customFormat="1" ht="20.100000000000001" hidden="1" customHeight="1">
      <c r="A935" s="262"/>
      <c r="B935" s="262"/>
      <c r="C935" s="588"/>
      <c r="D935" s="588"/>
      <c r="E935" s="588"/>
      <c r="F935" s="588"/>
      <c r="G935" s="588"/>
      <c r="H935" s="588"/>
      <c r="I935" s="588"/>
      <c r="J935" s="588"/>
      <c r="K935" s="588"/>
      <c r="L935" s="588"/>
      <c r="M935" s="588"/>
      <c r="N935" s="588"/>
      <c r="O935" s="588"/>
      <c r="P935" s="588"/>
      <c r="Q935" s="588"/>
      <c r="R935" s="588"/>
      <c r="S935" s="588"/>
      <c r="T935" s="588"/>
      <c r="U935" s="262"/>
      <c r="V935" s="262"/>
      <c r="W935" s="262"/>
      <c r="X935" s="262"/>
      <c r="Y935" s="262"/>
      <c r="Z935" s="262"/>
      <c r="AA935" s="262"/>
      <c r="AB935" s="262"/>
      <c r="AC935" s="262"/>
      <c r="AD935" s="262"/>
      <c r="AE935" s="262"/>
      <c r="AF935" s="262"/>
      <c r="AG935" s="262"/>
      <c r="AH935" s="262"/>
      <c r="AI935" s="262"/>
      <c r="AJ935" s="262"/>
      <c r="AK935" s="262"/>
      <c r="AL935" s="262"/>
      <c r="AM935" s="262"/>
      <c r="AN935" s="262"/>
      <c r="AO935" s="262"/>
      <c r="AP935" s="262"/>
      <c r="AQ935" s="262"/>
      <c r="AR935" s="262"/>
      <c r="AS935" s="262"/>
      <c r="AT935" s="262"/>
      <c r="AU935" s="262"/>
      <c r="AV935" s="262"/>
    </row>
    <row r="936" spans="1:48" s="268" customFormat="1" ht="20.100000000000001" hidden="1" customHeight="1">
      <c r="A936" s="262"/>
      <c r="B936" s="262"/>
      <c r="C936" s="588"/>
      <c r="D936" s="588"/>
      <c r="E936" s="588"/>
      <c r="F936" s="588"/>
      <c r="G936" s="588"/>
      <c r="H936" s="588"/>
      <c r="I936" s="588"/>
      <c r="J936" s="588"/>
      <c r="K936" s="588"/>
      <c r="L936" s="588"/>
      <c r="M936" s="588"/>
      <c r="N936" s="588"/>
      <c r="O936" s="588"/>
      <c r="P936" s="588"/>
      <c r="Q936" s="588"/>
      <c r="R936" s="588"/>
      <c r="S936" s="588"/>
      <c r="T936" s="588"/>
      <c r="U936" s="262"/>
      <c r="V936" s="262"/>
      <c r="W936" s="262"/>
      <c r="X936" s="262"/>
      <c r="Y936" s="262"/>
      <c r="Z936" s="262"/>
      <c r="AA936" s="262"/>
      <c r="AB936" s="262"/>
      <c r="AC936" s="262"/>
      <c r="AD936" s="262"/>
      <c r="AE936" s="262"/>
      <c r="AF936" s="262"/>
      <c r="AG936" s="262"/>
      <c r="AH936" s="262"/>
      <c r="AI936" s="262"/>
      <c r="AJ936" s="262"/>
      <c r="AK936" s="262"/>
      <c r="AL936" s="262"/>
      <c r="AM936" s="262"/>
      <c r="AN936" s="262"/>
      <c r="AO936" s="262"/>
      <c r="AP936" s="262"/>
      <c r="AQ936" s="262"/>
      <c r="AR936" s="262"/>
      <c r="AS936" s="262"/>
      <c r="AT936" s="262"/>
      <c r="AU936" s="262"/>
      <c r="AV936" s="262"/>
    </row>
    <row r="937" spans="1:48" ht="13.5" hidden="1" customHeight="1">
      <c r="C937" s="261" t="s">
        <v>4407</v>
      </c>
      <c r="F937" s="1195">
        <f>+F834</f>
        <v>0</v>
      </c>
      <c r="G937" s="892"/>
      <c r="H937" s="892"/>
      <c r="I937" s="892"/>
      <c r="J937" s="892"/>
      <c r="K937" s="892"/>
      <c r="L937" s="892"/>
      <c r="M937" s="892"/>
      <c r="N937" s="739"/>
      <c r="O937" s="739"/>
      <c r="P937" s="739"/>
      <c r="Q937" s="739"/>
      <c r="R937" s="739"/>
      <c r="S937" s="739"/>
      <c r="T937" s="739"/>
      <c r="U937" s="739"/>
      <c r="V937" s="739"/>
      <c r="W937" s="739"/>
      <c r="X937" s="739"/>
      <c r="Y937" s="739"/>
      <c r="Z937" s="739"/>
      <c r="AA937" s="739"/>
      <c r="AB937" s="739"/>
      <c r="AC937" s="739"/>
      <c r="AD937" s="739"/>
      <c r="AE937" s="739"/>
      <c r="AF937" s="739"/>
      <c r="AG937" s="739"/>
      <c r="AH937" s="739"/>
      <c r="AI937" s="739"/>
      <c r="AJ937" s="739"/>
      <c r="AK937" s="739"/>
      <c r="AL937" s="739"/>
      <c r="AM937" s="739"/>
      <c r="AN937" s="739"/>
      <c r="AO937" s="739"/>
      <c r="AP937" s="739"/>
      <c r="AQ937" s="739"/>
      <c r="AR937" s="739"/>
      <c r="AS937" s="739"/>
      <c r="AT937" s="739"/>
      <c r="AU937" s="739"/>
      <c r="AV937" s="739"/>
    </row>
    <row r="938" spans="1:48" ht="84.75" hidden="1" customHeight="1"/>
    <row r="939" spans="1:48" ht="23.25" customHeight="1">
      <c r="C939" s="1260" t="s">
        <v>4619</v>
      </c>
      <c r="D939" s="1260"/>
      <c r="E939" s="1260"/>
      <c r="F939" s="1260"/>
      <c r="G939" s="1260"/>
      <c r="H939" s="1260"/>
      <c r="I939" s="1260"/>
      <c r="J939" s="1260"/>
      <c r="K939" s="1260"/>
      <c r="L939" s="1260"/>
      <c r="M939" s="1260"/>
      <c r="N939" s="1260"/>
      <c r="O939" s="1260"/>
      <c r="P939" s="1260"/>
      <c r="Q939" s="1260"/>
      <c r="R939" s="1260"/>
      <c r="S939" s="1260"/>
      <c r="T939" s="1260"/>
      <c r="U939" s="1260"/>
      <c r="V939" s="1260"/>
      <c r="W939" s="1260"/>
      <c r="X939" s="1260"/>
      <c r="Y939" s="1260"/>
      <c r="Z939" s="1260"/>
      <c r="AA939" s="1260"/>
      <c r="AB939" s="1260"/>
      <c r="AC939" s="1260"/>
      <c r="AD939" s="1260"/>
      <c r="AE939" s="1260"/>
      <c r="AF939" s="1260"/>
      <c r="AG939" s="1260"/>
      <c r="AH939" s="1260"/>
      <c r="AI939" s="1260"/>
      <c r="AJ939" s="1260"/>
      <c r="AK939" s="1260"/>
      <c r="AL939" s="1260"/>
      <c r="AM939" s="1260"/>
      <c r="AN939" s="1260"/>
      <c r="AO939" s="1260"/>
      <c r="AP939" s="1260"/>
      <c r="AQ939" s="1260"/>
      <c r="AR939" s="1260"/>
      <c r="AS939" s="1260"/>
      <c r="AT939" s="1260"/>
      <c r="AU939" s="1260"/>
      <c r="AV939" s="1260"/>
    </row>
    <row r="940" spans="1:48" ht="9.6" customHeight="1"/>
    <row r="941" spans="1:48" ht="21.6" customHeight="1">
      <c r="C941" s="1282">
        <v>1</v>
      </c>
      <c r="D941" s="1282"/>
      <c r="E941" s="1282"/>
      <c r="F941" s="1282"/>
      <c r="G941" s="1282"/>
      <c r="H941" s="1283" t="s">
        <v>4620</v>
      </c>
      <c r="I941" s="1283"/>
      <c r="J941" s="1283"/>
      <c r="K941" s="1283"/>
      <c r="L941" s="1283"/>
      <c r="M941" s="1283"/>
      <c r="N941" s="1283"/>
      <c r="O941" s="1283"/>
      <c r="P941" s="1283"/>
      <c r="Q941" s="1283"/>
      <c r="R941" s="1283"/>
      <c r="S941" s="1283"/>
      <c r="T941" s="1283"/>
      <c r="U941" s="1283"/>
      <c r="V941" s="1283"/>
      <c r="W941" s="1283"/>
      <c r="X941" s="1283"/>
      <c r="Y941" s="1283"/>
      <c r="Z941" s="1283"/>
      <c r="AA941" s="1283"/>
      <c r="AB941" s="1283"/>
      <c r="AC941" s="1283"/>
      <c r="AD941" s="1283"/>
      <c r="AE941" s="1283"/>
      <c r="AF941" s="1283"/>
      <c r="AG941" s="1283"/>
      <c r="AH941" s="1283"/>
      <c r="AI941" s="1283"/>
      <c r="AJ941" s="1283"/>
      <c r="AK941" s="1283"/>
      <c r="AL941" s="1283"/>
      <c r="AM941" s="1283"/>
      <c r="AN941" s="1283"/>
      <c r="AO941" s="1283"/>
      <c r="AP941" s="1283"/>
      <c r="AQ941" s="1283"/>
      <c r="AR941" s="1283"/>
      <c r="AS941" s="1283"/>
      <c r="AT941" s="1283"/>
      <c r="AU941" s="1283"/>
      <c r="AV941" s="1283"/>
    </row>
    <row r="942" spans="1:48" ht="18.600000000000001" customHeight="1">
      <c r="C942" s="1284">
        <v>2</v>
      </c>
      <c r="D942" s="1285"/>
      <c r="E942" s="1285"/>
      <c r="F942" s="1285"/>
      <c r="G942" s="1286"/>
      <c r="H942" s="1283" t="s">
        <v>4302</v>
      </c>
      <c r="I942" s="1283"/>
      <c r="J942" s="1283"/>
      <c r="K942" s="1283"/>
      <c r="L942" s="1283"/>
      <c r="M942" s="1283"/>
      <c r="N942" s="1283"/>
      <c r="O942" s="1283"/>
      <c r="P942" s="1283"/>
      <c r="Q942" s="1283"/>
      <c r="R942" s="1283"/>
      <c r="S942" s="1283"/>
      <c r="T942" s="1283"/>
      <c r="U942" s="1283"/>
      <c r="V942" s="1283"/>
      <c r="W942" s="1283"/>
      <c r="X942" s="1283"/>
      <c r="Y942" s="1283"/>
      <c r="Z942" s="1283"/>
      <c r="AA942" s="1283"/>
      <c r="AB942" s="1283"/>
      <c r="AC942" s="1283"/>
      <c r="AD942" s="1283"/>
      <c r="AE942" s="1283"/>
      <c r="AF942" s="1283"/>
      <c r="AG942" s="1283"/>
      <c r="AH942" s="1283"/>
      <c r="AI942" s="1283"/>
      <c r="AJ942" s="1283"/>
      <c r="AK942" s="1283"/>
      <c r="AL942" s="1283"/>
      <c r="AM942" s="1283"/>
      <c r="AN942" s="1283"/>
      <c r="AO942" s="1283"/>
      <c r="AP942" s="1283"/>
      <c r="AQ942" s="1283"/>
      <c r="AR942" s="1283"/>
      <c r="AS942" s="1283"/>
      <c r="AT942" s="1283"/>
      <c r="AU942" s="1283"/>
      <c r="AV942" s="1283"/>
    </row>
    <row r="943" spans="1:48" ht="18.600000000000001" customHeight="1">
      <c r="C943" s="1282">
        <v>3</v>
      </c>
      <c r="D943" s="1282"/>
      <c r="E943" s="1282"/>
      <c r="F943" s="1282"/>
      <c r="G943" s="1282"/>
      <c r="H943" s="1283" t="s">
        <v>4621</v>
      </c>
      <c r="I943" s="1283"/>
      <c r="J943" s="1283"/>
      <c r="K943" s="1283"/>
      <c r="L943" s="1283"/>
      <c r="M943" s="1283"/>
      <c r="N943" s="1283"/>
      <c r="O943" s="1283"/>
      <c r="P943" s="1283"/>
      <c r="Q943" s="1283"/>
      <c r="R943" s="1283"/>
      <c r="S943" s="1283"/>
      <c r="T943" s="1283"/>
      <c r="U943" s="1283"/>
      <c r="V943" s="1283"/>
      <c r="W943" s="1283"/>
      <c r="X943" s="1283"/>
      <c r="Y943" s="1283"/>
      <c r="Z943" s="1283"/>
      <c r="AA943" s="1283"/>
      <c r="AB943" s="1283"/>
      <c r="AC943" s="1283"/>
      <c r="AD943" s="1283"/>
      <c r="AE943" s="1283"/>
      <c r="AF943" s="1283"/>
      <c r="AG943" s="1283"/>
      <c r="AH943" s="1283"/>
      <c r="AI943" s="1283"/>
      <c r="AJ943" s="1283"/>
      <c r="AK943" s="1283"/>
      <c r="AL943" s="1283"/>
      <c r="AM943" s="1283"/>
      <c r="AN943" s="1283"/>
      <c r="AO943" s="1283"/>
      <c r="AP943" s="1283"/>
      <c r="AQ943" s="1283"/>
      <c r="AR943" s="1283"/>
      <c r="AS943" s="1283"/>
      <c r="AT943" s="1283"/>
      <c r="AU943" s="1283"/>
      <c r="AV943" s="1283"/>
    </row>
    <row r="944" spans="1:48" ht="18.600000000000001" customHeight="1">
      <c r="C944" s="1284">
        <v>4</v>
      </c>
      <c r="D944" s="1285"/>
      <c r="E944" s="1285"/>
      <c r="F944" s="1285"/>
      <c r="G944" s="1286"/>
      <c r="H944" s="1283" t="s">
        <v>4622</v>
      </c>
      <c r="I944" s="1283"/>
      <c r="J944" s="1283"/>
      <c r="K944" s="1283"/>
      <c r="L944" s="1283"/>
      <c r="M944" s="1283"/>
      <c r="N944" s="1283"/>
      <c r="O944" s="1283"/>
      <c r="P944" s="1283"/>
      <c r="Q944" s="1283"/>
      <c r="R944" s="1283"/>
      <c r="S944" s="1283"/>
      <c r="T944" s="1283"/>
      <c r="U944" s="1283"/>
      <c r="V944" s="1283"/>
      <c r="W944" s="1283"/>
      <c r="X944" s="1283"/>
      <c r="Y944" s="1283"/>
      <c r="Z944" s="1283"/>
      <c r="AA944" s="1283"/>
      <c r="AB944" s="1283"/>
      <c r="AC944" s="1283"/>
      <c r="AD944" s="1283"/>
      <c r="AE944" s="1283"/>
      <c r="AF944" s="1283"/>
      <c r="AG944" s="1283"/>
      <c r="AH944" s="1283"/>
      <c r="AI944" s="1283"/>
      <c r="AJ944" s="1283"/>
      <c r="AK944" s="1283"/>
      <c r="AL944" s="1283"/>
      <c r="AM944" s="1283"/>
      <c r="AN944" s="1283"/>
      <c r="AO944" s="1283"/>
      <c r="AP944" s="1283"/>
      <c r="AQ944" s="1283"/>
      <c r="AR944" s="1283"/>
      <c r="AS944" s="1283"/>
      <c r="AT944" s="1283"/>
      <c r="AU944" s="1283"/>
      <c r="AV944" s="1283"/>
    </row>
    <row r="945" spans="3:48" ht="18.600000000000001" customHeight="1">
      <c r="C945" s="1282">
        <v>5</v>
      </c>
      <c r="D945" s="1282"/>
      <c r="E945" s="1282"/>
      <c r="F945" s="1282"/>
      <c r="G945" s="1282"/>
      <c r="H945" s="1283" t="s">
        <v>4623</v>
      </c>
      <c r="I945" s="1283"/>
      <c r="J945" s="1283"/>
      <c r="K945" s="1283"/>
      <c r="L945" s="1283"/>
      <c r="M945" s="1283"/>
      <c r="N945" s="1283"/>
      <c r="O945" s="1283"/>
      <c r="P945" s="1283"/>
      <c r="Q945" s="1283"/>
      <c r="R945" s="1283"/>
      <c r="S945" s="1283"/>
      <c r="T945" s="1283"/>
      <c r="U945" s="1283"/>
      <c r="V945" s="1283"/>
      <c r="W945" s="1283"/>
      <c r="X945" s="1283"/>
      <c r="Y945" s="1283"/>
      <c r="Z945" s="1283"/>
      <c r="AA945" s="1283"/>
      <c r="AB945" s="1283"/>
      <c r="AC945" s="1283"/>
      <c r="AD945" s="1283"/>
      <c r="AE945" s="1283"/>
      <c r="AF945" s="1283"/>
      <c r="AG945" s="1283"/>
      <c r="AH945" s="1283"/>
      <c r="AI945" s="1283"/>
      <c r="AJ945" s="1283"/>
      <c r="AK945" s="1283"/>
      <c r="AL945" s="1283"/>
      <c r="AM945" s="1283"/>
      <c r="AN945" s="1283"/>
      <c r="AO945" s="1283"/>
      <c r="AP945" s="1283"/>
      <c r="AQ945" s="1283"/>
      <c r="AR945" s="1283"/>
      <c r="AS945" s="1283"/>
      <c r="AT945" s="1283"/>
      <c r="AU945" s="1283"/>
      <c r="AV945" s="1283"/>
    </row>
    <row r="946" spans="3:48" ht="18.600000000000001" customHeight="1">
      <c r="C946" s="1284">
        <v>6</v>
      </c>
      <c r="D946" s="1285"/>
      <c r="E946" s="1285"/>
      <c r="F946" s="1285"/>
      <c r="G946" s="1286"/>
      <c r="H946" s="1283" t="s">
        <v>4306</v>
      </c>
      <c r="I946" s="1283"/>
      <c r="J946" s="1283"/>
      <c r="K946" s="1283"/>
      <c r="L946" s="1283"/>
      <c r="M946" s="1283"/>
      <c r="N946" s="1283"/>
      <c r="O946" s="1283"/>
      <c r="P946" s="1283"/>
      <c r="Q946" s="1283"/>
      <c r="R946" s="1283"/>
      <c r="S946" s="1283"/>
      <c r="T946" s="1283"/>
      <c r="U946" s="1283"/>
      <c r="V946" s="1283"/>
      <c r="W946" s="1283"/>
      <c r="X946" s="1283"/>
      <c r="Y946" s="1283"/>
      <c r="Z946" s="1283"/>
      <c r="AA946" s="1283"/>
      <c r="AB946" s="1283"/>
      <c r="AC946" s="1283"/>
      <c r="AD946" s="1283"/>
      <c r="AE946" s="1283"/>
      <c r="AF946" s="1283"/>
      <c r="AG946" s="1283"/>
      <c r="AH946" s="1283"/>
      <c r="AI946" s="1283"/>
      <c r="AJ946" s="1283"/>
      <c r="AK946" s="1283"/>
      <c r="AL946" s="1283"/>
      <c r="AM946" s="1283"/>
      <c r="AN946" s="1283"/>
      <c r="AO946" s="1283"/>
      <c r="AP946" s="1283"/>
      <c r="AQ946" s="1283"/>
      <c r="AR946" s="1283"/>
      <c r="AS946" s="1283"/>
      <c r="AT946" s="1283"/>
      <c r="AU946" s="1283"/>
      <c r="AV946" s="1283"/>
    </row>
    <row r="947" spans="3:48" ht="18.600000000000001" customHeight="1">
      <c r="C947" s="1282">
        <v>7</v>
      </c>
      <c r="D947" s="1282"/>
      <c r="E947" s="1282"/>
      <c r="F947" s="1282"/>
      <c r="G947" s="1282"/>
      <c r="H947" s="1283" t="s">
        <v>4624</v>
      </c>
      <c r="I947" s="1283"/>
      <c r="J947" s="1283"/>
      <c r="K947" s="1283"/>
      <c r="L947" s="1283"/>
      <c r="M947" s="1283"/>
      <c r="N947" s="1283"/>
      <c r="O947" s="1283"/>
      <c r="P947" s="1283"/>
      <c r="Q947" s="1283"/>
      <c r="R947" s="1283"/>
      <c r="S947" s="1283"/>
      <c r="T947" s="1283"/>
      <c r="U947" s="1283"/>
      <c r="V947" s="1283"/>
      <c r="W947" s="1283"/>
      <c r="X947" s="1283"/>
      <c r="Y947" s="1283"/>
      <c r="Z947" s="1283"/>
      <c r="AA947" s="1283"/>
      <c r="AB947" s="1283"/>
      <c r="AC947" s="1283"/>
      <c r="AD947" s="1283"/>
      <c r="AE947" s="1283"/>
      <c r="AF947" s="1283"/>
      <c r="AG947" s="1283"/>
      <c r="AH947" s="1283"/>
      <c r="AI947" s="1283"/>
      <c r="AJ947" s="1283"/>
      <c r="AK947" s="1283"/>
      <c r="AL947" s="1283"/>
      <c r="AM947" s="1283"/>
      <c r="AN947" s="1283"/>
      <c r="AO947" s="1283"/>
      <c r="AP947" s="1283"/>
      <c r="AQ947" s="1283"/>
      <c r="AR947" s="1283"/>
      <c r="AS947" s="1283"/>
      <c r="AT947" s="1283"/>
      <c r="AU947" s="1283"/>
      <c r="AV947" s="1283"/>
    </row>
    <row r="948" spans="3:48" ht="33.6" customHeight="1">
      <c r="C948" s="1284">
        <v>8</v>
      </c>
      <c r="D948" s="1285"/>
      <c r="E948" s="1285"/>
      <c r="F948" s="1285"/>
      <c r="G948" s="1286"/>
      <c r="H948" s="1283" t="s">
        <v>4625</v>
      </c>
      <c r="I948" s="1283"/>
      <c r="J948" s="1283"/>
      <c r="K948" s="1283"/>
      <c r="L948" s="1283"/>
      <c r="M948" s="1283"/>
      <c r="N948" s="1283"/>
      <c r="O948" s="1283"/>
      <c r="P948" s="1283"/>
      <c r="Q948" s="1283"/>
      <c r="R948" s="1283"/>
      <c r="S948" s="1283"/>
      <c r="T948" s="1283"/>
      <c r="U948" s="1283"/>
      <c r="V948" s="1283"/>
      <c r="W948" s="1283"/>
      <c r="X948" s="1283"/>
      <c r="Y948" s="1283"/>
      <c r="Z948" s="1283"/>
      <c r="AA948" s="1283"/>
      <c r="AB948" s="1283"/>
      <c r="AC948" s="1283"/>
      <c r="AD948" s="1283"/>
      <c r="AE948" s="1283"/>
      <c r="AF948" s="1283"/>
      <c r="AG948" s="1283"/>
      <c r="AH948" s="1283"/>
      <c r="AI948" s="1283"/>
      <c r="AJ948" s="1283"/>
      <c r="AK948" s="1283"/>
      <c r="AL948" s="1283"/>
      <c r="AM948" s="1283"/>
      <c r="AN948" s="1283"/>
      <c r="AO948" s="1283"/>
      <c r="AP948" s="1283"/>
      <c r="AQ948" s="1283"/>
      <c r="AR948" s="1283"/>
      <c r="AS948" s="1283"/>
      <c r="AT948" s="1283"/>
      <c r="AU948" s="1283"/>
      <c r="AV948" s="1283"/>
    </row>
    <row r="949" spans="3:48" ht="12.75" customHeight="1">
      <c r="C949" s="1282">
        <v>9</v>
      </c>
      <c r="D949" s="1282"/>
      <c r="E949" s="1282"/>
      <c r="F949" s="1282"/>
      <c r="G949" s="1282"/>
      <c r="H949" s="1283" t="s">
        <v>4626</v>
      </c>
      <c r="I949" s="1283"/>
      <c r="J949" s="1283"/>
      <c r="K949" s="1283"/>
      <c r="L949" s="1283"/>
      <c r="M949" s="1283"/>
      <c r="N949" s="1283"/>
      <c r="O949" s="1283"/>
      <c r="P949" s="1283"/>
      <c r="Q949" s="1283"/>
      <c r="R949" s="1283"/>
      <c r="S949" s="1283"/>
      <c r="T949" s="1283"/>
      <c r="U949" s="1283"/>
      <c r="V949" s="1283"/>
      <c r="W949" s="1283"/>
      <c r="X949" s="1283"/>
      <c r="Y949" s="1283"/>
      <c r="Z949" s="1283"/>
      <c r="AA949" s="1283"/>
      <c r="AB949" s="1283"/>
      <c r="AC949" s="1283"/>
      <c r="AD949" s="1283"/>
      <c r="AE949" s="1283"/>
      <c r="AF949" s="1283"/>
      <c r="AG949" s="1283"/>
      <c r="AH949" s="1283"/>
      <c r="AI949" s="1283"/>
      <c r="AJ949" s="1283"/>
      <c r="AK949" s="1283"/>
      <c r="AL949" s="1283"/>
      <c r="AM949" s="1283"/>
      <c r="AN949" s="1283"/>
      <c r="AO949" s="1283"/>
      <c r="AP949" s="1283"/>
      <c r="AQ949" s="1283"/>
      <c r="AR949" s="1283"/>
      <c r="AS949" s="1283"/>
      <c r="AT949" s="1283"/>
      <c r="AU949" s="1283"/>
      <c r="AV949" s="1283"/>
    </row>
    <row r="950" spans="3:48" ht="31.9" customHeight="1">
      <c r="C950" s="1284">
        <v>10</v>
      </c>
      <c r="D950" s="1285"/>
      <c r="E950" s="1285"/>
      <c r="F950" s="1285"/>
      <c r="G950" s="1286"/>
      <c r="H950" s="1283" t="s">
        <v>4627</v>
      </c>
      <c r="I950" s="1283"/>
      <c r="J950" s="1283"/>
      <c r="K950" s="1283"/>
      <c r="L950" s="1283"/>
      <c r="M950" s="1283"/>
      <c r="N950" s="1283"/>
      <c r="O950" s="1283"/>
      <c r="P950" s="1283"/>
      <c r="Q950" s="1283"/>
      <c r="R950" s="1283"/>
      <c r="S950" s="1283"/>
      <c r="T950" s="1283"/>
      <c r="U950" s="1283"/>
      <c r="V950" s="1283"/>
      <c r="W950" s="1283"/>
      <c r="X950" s="1283"/>
      <c r="Y950" s="1283"/>
      <c r="Z950" s="1283"/>
      <c r="AA950" s="1283"/>
      <c r="AB950" s="1283"/>
      <c r="AC950" s="1283"/>
      <c r="AD950" s="1283"/>
      <c r="AE950" s="1283"/>
      <c r="AF950" s="1283"/>
      <c r="AG950" s="1283"/>
      <c r="AH950" s="1283"/>
      <c r="AI950" s="1283"/>
      <c r="AJ950" s="1283"/>
      <c r="AK950" s="1283"/>
      <c r="AL950" s="1283"/>
      <c r="AM950" s="1283"/>
      <c r="AN950" s="1283"/>
      <c r="AO950" s="1283"/>
      <c r="AP950" s="1283"/>
      <c r="AQ950" s="1283"/>
      <c r="AR950" s="1283"/>
      <c r="AS950" s="1283"/>
      <c r="AT950" s="1283"/>
      <c r="AU950" s="1283"/>
      <c r="AV950" s="1283"/>
    </row>
    <row r="951" spans="3:48" ht="30" customHeight="1">
      <c r="C951" s="1282">
        <v>11</v>
      </c>
      <c r="D951" s="1282"/>
      <c r="E951" s="1282"/>
      <c r="F951" s="1282"/>
      <c r="G951" s="1282"/>
      <c r="H951" s="1283" t="s">
        <v>4628</v>
      </c>
      <c r="I951" s="1283"/>
      <c r="J951" s="1283"/>
      <c r="K951" s="1283"/>
      <c r="L951" s="1283"/>
      <c r="M951" s="1283"/>
      <c r="N951" s="1283"/>
      <c r="O951" s="1283"/>
      <c r="P951" s="1283"/>
      <c r="Q951" s="1283"/>
      <c r="R951" s="1283"/>
      <c r="S951" s="1283"/>
      <c r="T951" s="1283"/>
      <c r="U951" s="1283"/>
      <c r="V951" s="1283"/>
      <c r="W951" s="1283"/>
      <c r="X951" s="1283"/>
      <c r="Y951" s="1283"/>
      <c r="Z951" s="1283"/>
      <c r="AA951" s="1283"/>
      <c r="AB951" s="1283"/>
      <c r="AC951" s="1283"/>
      <c r="AD951" s="1283"/>
      <c r="AE951" s="1283"/>
      <c r="AF951" s="1283"/>
      <c r="AG951" s="1283"/>
      <c r="AH951" s="1283"/>
      <c r="AI951" s="1283"/>
      <c r="AJ951" s="1283"/>
      <c r="AK951" s="1283"/>
      <c r="AL951" s="1283"/>
      <c r="AM951" s="1283"/>
      <c r="AN951" s="1283"/>
      <c r="AO951" s="1283"/>
      <c r="AP951" s="1283"/>
      <c r="AQ951" s="1283"/>
      <c r="AR951" s="1283"/>
      <c r="AS951" s="1283"/>
      <c r="AT951" s="1283"/>
      <c r="AU951" s="1283"/>
      <c r="AV951" s="1283"/>
    </row>
    <row r="952" spans="3:48" ht="12.75" customHeight="1"/>
  </sheetData>
  <mergeCells count="1606">
    <mergeCell ref="C949:G949"/>
    <mergeCell ref="H949:AV949"/>
    <mergeCell ref="C950:G950"/>
    <mergeCell ref="H950:AV950"/>
    <mergeCell ref="C951:G951"/>
    <mergeCell ref="H951:AV951"/>
    <mergeCell ref="C946:G946"/>
    <mergeCell ref="H946:AV946"/>
    <mergeCell ref="C947:G947"/>
    <mergeCell ref="H947:AV947"/>
    <mergeCell ref="C948:G948"/>
    <mergeCell ref="H948:AV948"/>
    <mergeCell ref="C943:G943"/>
    <mergeCell ref="H943:AV943"/>
    <mergeCell ref="C944:G944"/>
    <mergeCell ref="H944:AV944"/>
    <mergeCell ref="C945:G945"/>
    <mergeCell ref="H945:AV945"/>
    <mergeCell ref="F937:AV937"/>
    <mergeCell ref="C939:AV939"/>
    <mergeCell ref="C941:G941"/>
    <mergeCell ref="H941:AV941"/>
    <mergeCell ref="C942:G942"/>
    <mergeCell ref="H942:AV942"/>
    <mergeCell ref="C932:D932"/>
    <mergeCell ref="AK932:AL932"/>
    <mergeCell ref="AM932:AU932"/>
    <mergeCell ref="AK933:AL933"/>
    <mergeCell ref="AM933:AU933"/>
    <mergeCell ref="C934:AV934"/>
    <mergeCell ref="A929:B929"/>
    <mergeCell ref="C930:D930"/>
    <mergeCell ref="AK930:AL930"/>
    <mergeCell ref="AM930:AU930"/>
    <mergeCell ref="C931:D931"/>
    <mergeCell ref="AK931:AL931"/>
    <mergeCell ref="AM931:AU931"/>
    <mergeCell ref="I926:M926"/>
    <mergeCell ref="N926:V926"/>
    <mergeCell ref="AM926:AU926"/>
    <mergeCell ref="AK927:AL927"/>
    <mergeCell ref="AM927:AU927"/>
    <mergeCell ref="C928:AV928"/>
    <mergeCell ref="I922:M922"/>
    <mergeCell ref="N922:V922"/>
    <mergeCell ref="AM922:AU922"/>
    <mergeCell ref="I924:M924"/>
    <mergeCell ref="N924:V924"/>
    <mergeCell ref="AM924:AU924"/>
    <mergeCell ref="C917:D917"/>
    <mergeCell ref="AH917:AL917"/>
    <mergeCell ref="C918:D918"/>
    <mergeCell ref="AH918:AL918"/>
    <mergeCell ref="AH919:AL919"/>
    <mergeCell ref="I920:M920"/>
    <mergeCell ref="C914:D914"/>
    <mergeCell ref="AH914:AL914"/>
    <mergeCell ref="C915:D915"/>
    <mergeCell ref="AH915:AL915"/>
    <mergeCell ref="C916:D916"/>
    <mergeCell ref="AH916:AL916"/>
    <mergeCell ref="AK908:AL908"/>
    <mergeCell ref="AM908:AU908"/>
    <mergeCell ref="AK909:AL909"/>
    <mergeCell ref="AM909:AU909"/>
    <mergeCell ref="C910:AV910"/>
    <mergeCell ref="A911:B911"/>
    <mergeCell ref="E905:AV905"/>
    <mergeCell ref="E906:K906"/>
    <mergeCell ref="T906:AB906"/>
    <mergeCell ref="AK906:AL906"/>
    <mergeCell ref="AM906:AU906"/>
    <mergeCell ref="AK907:AL907"/>
    <mergeCell ref="AM907:AU907"/>
    <mergeCell ref="C900:D900"/>
    <mergeCell ref="AA900:AI900"/>
    <mergeCell ref="AA901:AI901"/>
    <mergeCell ref="AA902:AI902"/>
    <mergeCell ref="AK903:AL903"/>
    <mergeCell ref="AM903:AU903"/>
    <mergeCell ref="C895:AV895"/>
    <mergeCell ref="C896:AV896"/>
    <mergeCell ref="AB897:AF897"/>
    <mergeCell ref="A898:B898"/>
    <mergeCell ref="AK899:AL899"/>
    <mergeCell ref="AM899:AU899"/>
    <mergeCell ref="AO891:AV891"/>
    <mergeCell ref="C893:H893"/>
    <mergeCell ref="N893:V893"/>
    <mergeCell ref="AB893:AE893"/>
    <mergeCell ref="AO893:AV893"/>
    <mergeCell ref="AO894:AV894"/>
    <mergeCell ref="C888:H888"/>
    <mergeCell ref="N888:T888"/>
    <mergeCell ref="AB888:AE888"/>
    <mergeCell ref="AO888:AV888"/>
    <mergeCell ref="C890:H890"/>
    <mergeCell ref="N890:T890"/>
    <mergeCell ref="AB890:AE890"/>
    <mergeCell ref="AO890:AV890"/>
    <mergeCell ref="A882:B882"/>
    <mergeCell ref="C884:H884"/>
    <mergeCell ref="N884:T884"/>
    <mergeCell ref="AB884:AE884"/>
    <mergeCell ref="AO884:AV884"/>
    <mergeCell ref="C886:H886"/>
    <mergeCell ref="N886:T886"/>
    <mergeCell ref="AB886:AE886"/>
    <mergeCell ref="AO886:AV886"/>
    <mergeCell ref="AO878:AV878"/>
    <mergeCell ref="A879:B879"/>
    <mergeCell ref="C880:H880"/>
    <mergeCell ref="O880:Y880"/>
    <mergeCell ref="AO880:AV880"/>
    <mergeCell ref="AO881:AV881"/>
    <mergeCell ref="C875:H875"/>
    <mergeCell ref="N875:T875"/>
    <mergeCell ref="AB875:AE875"/>
    <mergeCell ref="AO875:AV875"/>
    <mergeCell ref="C877:H877"/>
    <mergeCell ref="N877:T877"/>
    <mergeCell ref="AB877:AE877"/>
    <mergeCell ref="AO877:AV877"/>
    <mergeCell ref="A869:B869"/>
    <mergeCell ref="C869:AV869"/>
    <mergeCell ref="AC870:AG870"/>
    <mergeCell ref="A871:B871"/>
    <mergeCell ref="C873:H873"/>
    <mergeCell ref="N873:T873"/>
    <mergeCell ref="AB873:AE873"/>
    <mergeCell ref="AO873:AV873"/>
    <mergeCell ref="A865:B865"/>
    <mergeCell ref="C866:H866"/>
    <mergeCell ref="N866:S866"/>
    <mergeCell ref="AO866:AV866"/>
    <mergeCell ref="AO867:AV867"/>
    <mergeCell ref="C868:AV868"/>
    <mergeCell ref="AO861:AV861"/>
    <mergeCell ref="A862:B862"/>
    <mergeCell ref="C863:H863"/>
    <mergeCell ref="N863:S863"/>
    <mergeCell ref="AO863:AV863"/>
    <mergeCell ref="AO864:AV864"/>
    <mergeCell ref="C857:H857"/>
    <mergeCell ref="N857:S857"/>
    <mergeCell ref="AA857:AD857"/>
    <mergeCell ref="AO857:AV857"/>
    <mergeCell ref="AO858:AV858"/>
    <mergeCell ref="C860:I860"/>
    <mergeCell ref="Q860:X860"/>
    <mergeCell ref="AO860:AV860"/>
    <mergeCell ref="C853:H853"/>
    <mergeCell ref="N853:S853"/>
    <mergeCell ref="AA853:AD853"/>
    <mergeCell ref="AO853:AV853"/>
    <mergeCell ref="C855:H855"/>
    <mergeCell ref="N855:S855"/>
    <mergeCell ref="AA855:AD855"/>
    <mergeCell ref="AO855:AV855"/>
    <mergeCell ref="AO848:AV848"/>
    <mergeCell ref="A849:B849"/>
    <mergeCell ref="C851:H851"/>
    <mergeCell ref="N851:S851"/>
    <mergeCell ref="AA851:AD851"/>
    <mergeCell ref="AO851:AV851"/>
    <mergeCell ref="AO845:AV845"/>
    <mergeCell ref="A846:B846"/>
    <mergeCell ref="C847:H847"/>
    <mergeCell ref="N847:W847"/>
    <mergeCell ref="AA847:AD847"/>
    <mergeCell ref="AO847:AV847"/>
    <mergeCell ref="C842:H842"/>
    <mergeCell ref="N842:S842"/>
    <mergeCell ref="AA842:AD842"/>
    <mergeCell ref="AO842:AV842"/>
    <mergeCell ref="C844:H844"/>
    <mergeCell ref="N844:S844"/>
    <mergeCell ref="AA844:AD844"/>
    <mergeCell ref="AO844:AV844"/>
    <mergeCell ref="A837:B837"/>
    <mergeCell ref="C837:AV837"/>
    <mergeCell ref="A838:B838"/>
    <mergeCell ref="C840:H840"/>
    <mergeCell ref="N840:S840"/>
    <mergeCell ref="AA840:AD840"/>
    <mergeCell ref="AO840:AV840"/>
    <mergeCell ref="AK830:AL830"/>
    <mergeCell ref="AM830:AU830"/>
    <mergeCell ref="AK831:AL831"/>
    <mergeCell ref="AM831:AU831"/>
    <mergeCell ref="C832:AV832"/>
    <mergeCell ref="F834:AV834"/>
    <mergeCell ref="AK827:AL827"/>
    <mergeCell ref="AM827:AU827"/>
    <mergeCell ref="C828:D828"/>
    <mergeCell ref="AK828:AL828"/>
    <mergeCell ref="AM828:AU828"/>
    <mergeCell ref="AK829:AL829"/>
    <mergeCell ref="AM829:AU829"/>
    <mergeCell ref="A824:B824"/>
    <mergeCell ref="C825:D825"/>
    <mergeCell ref="AK825:AL825"/>
    <mergeCell ref="AM825:AU825"/>
    <mergeCell ref="AK826:AL826"/>
    <mergeCell ref="AM826:AU826"/>
    <mergeCell ref="I821:M821"/>
    <mergeCell ref="N821:V821"/>
    <mergeCell ref="AM821:AU821"/>
    <mergeCell ref="AK822:AL822"/>
    <mergeCell ref="AM822:AU822"/>
    <mergeCell ref="C823:AV823"/>
    <mergeCell ref="I817:M817"/>
    <mergeCell ref="N817:V817"/>
    <mergeCell ref="AM817:AU817"/>
    <mergeCell ref="I819:M819"/>
    <mergeCell ref="N819:V819"/>
    <mergeCell ref="AM819:AU819"/>
    <mergeCell ref="C812:D812"/>
    <mergeCell ref="AH812:AL812"/>
    <mergeCell ref="C813:D813"/>
    <mergeCell ref="AH813:AL813"/>
    <mergeCell ref="AH814:AL814"/>
    <mergeCell ref="I815:M815"/>
    <mergeCell ref="A806:B806"/>
    <mergeCell ref="C809:D809"/>
    <mergeCell ref="AH809:AL809"/>
    <mergeCell ref="C810:D810"/>
    <mergeCell ref="AH810:AL810"/>
    <mergeCell ref="C811:D811"/>
    <mergeCell ref="AH811:AL811"/>
    <mergeCell ref="C803:D803"/>
    <mergeCell ref="AK803:AL803"/>
    <mergeCell ref="AM803:AU803"/>
    <mergeCell ref="AK804:AL804"/>
    <mergeCell ref="AM804:AU804"/>
    <mergeCell ref="C805:AV805"/>
    <mergeCell ref="E800:AV800"/>
    <mergeCell ref="E801:K801"/>
    <mergeCell ref="T801:AB801"/>
    <mergeCell ref="AK801:AL801"/>
    <mergeCell ref="AM801:AU801"/>
    <mergeCell ref="C802:D802"/>
    <mergeCell ref="AK802:AL802"/>
    <mergeCell ref="AM802:AU802"/>
    <mergeCell ref="C796:D796"/>
    <mergeCell ref="AA796:AI796"/>
    <mergeCell ref="C797:D797"/>
    <mergeCell ref="AA797:AI797"/>
    <mergeCell ref="AK798:AL798"/>
    <mergeCell ref="AM798:AU798"/>
    <mergeCell ref="Q791:AH791"/>
    <mergeCell ref="AB792:AF792"/>
    <mergeCell ref="A793:B793"/>
    <mergeCell ref="AK794:AL794"/>
    <mergeCell ref="AM794:AU794"/>
    <mergeCell ref="C795:D795"/>
    <mergeCell ref="AA795:AI795"/>
    <mergeCell ref="AO786:AV786"/>
    <mergeCell ref="C788:H788"/>
    <mergeCell ref="O788:X788"/>
    <mergeCell ref="AO788:AV788"/>
    <mergeCell ref="AO789:AV789"/>
    <mergeCell ref="C790:AV790"/>
    <mergeCell ref="C783:H783"/>
    <mergeCell ref="O783:V783"/>
    <mergeCell ref="AO783:AV783"/>
    <mergeCell ref="C785:H785"/>
    <mergeCell ref="O785:V785"/>
    <mergeCell ref="AO785:AV785"/>
    <mergeCell ref="AO776:AV776"/>
    <mergeCell ref="C778:H778"/>
    <mergeCell ref="O778:X778"/>
    <mergeCell ref="AO778:AV778"/>
    <mergeCell ref="AO779:AV779"/>
    <mergeCell ref="A780:B780"/>
    <mergeCell ref="A770:B770"/>
    <mergeCell ref="C773:H773"/>
    <mergeCell ref="O773:V773"/>
    <mergeCell ref="AO773:AV773"/>
    <mergeCell ref="C775:H775"/>
    <mergeCell ref="O775:V775"/>
    <mergeCell ref="AO775:AV775"/>
    <mergeCell ref="AO766:AV766"/>
    <mergeCell ref="C768:H768"/>
    <mergeCell ref="O768:V768"/>
    <mergeCell ref="AB768:AE768"/>
    <mergeCell ref="AO768:AV768"/>
    <mergeCell ref="AO769:AV769"/>
    <mergeCell ref="C763:H763"/>
    <mergeCell ref="N763:T763"/>
    <mergeCell ref="AB763:AE763"/>
    <mergeCell ref="AO763:AV763"/>
    <mergeCell ref="C765:H765"/>
    <mergeCell ref="N765:T765"/>
    <mergeCell ref="AB765:AE765"/>
    <mergeCell ref="AO765:AV765"/>
    <mergeCell ref="A757:B757"/>
    <mergeCell ref="C759:H759"/>
    <mergeCell ref="N759:T759"/>
    <mergeCell ref="AB759:AE759"/>
    <mergeCell ref="AO759:AV759"/>
    <mergeCell ref="C761:H761"/>
    <mergeCell ref="N761:T761"/>
    <mergeCell ref="AB761:AE761"/>
    <mergeCell ref="AO761:AV761"/>
    <mergeCell ref="AO753:AV753"/>
    <mergeCell ref="A754:B754"/>
    <mergeCell ref="C755:H755"/>
    <mergeCell ref="M755:S755"/>
    <mergeCell ref="AO755:AV755"/>
    <mergeCell ref="AO756:AV756"/>
    <mergeCell ref="C750:H750"/>
    <mergeCell ref="O750:T750"/>
    <mergeCell ref="AB750:AE750"/>
    <mergeCell ref="AO750:AV750"/>
    <mergeCell ref="C752:H752"/>
    <mergeCell ref="O752:T752"/>
    <mergeCell ref="AB752:AE752"/>
    <mergeCell ref="AO752:AV752"/>
    <mergeCell ref="AC745:AG745"/>
    <mergeCell ref="A746:B746"/>
    <mergeCell ref="C748:H748"/>
    <mergeCell ref="O748:T748"/>
    <mergeCell ref="AB748:AE748"/>
    <mergeCell ref="AO748:AV748"/>
    <mergeCell ref="A740:B740"/>
    <mergeCell ref="C741:H741"/>
    <mergeCell ref="N741:S741"/>
    <mergeCell ref="AO741:AV741"/>
    <mergeCell ref="AO742:AV742"/>
    <mergeCell ref="C744:AV744"/>
    <mergeCell ref="AO736:AV736"/>
    <mergeCell ref="A737:B737"/>
    <mergeCell ref="C738:H738"/>
    <mergeCell ref="N738:S738"/>
    <mergeCell ref="AO738:AV738"/>
    <mergeCell ref="AO739:AV739"/>
    <mergeCell ref="C732:H732"/>
    <mergeCell ref="N732:S732"/>
    <mergeCell ref="AA732:AD732"/>
    <mergeCell ref="AO732:AV732"/>
    <mergeCell ref="AO733:AV733"/>
    <mergeCell ref="C735:I735"/>
    <mergeCell ref="Q735:X735"/>
    <mergeCell ref="AO735:AV735"/>
    <mergeCell ref="C728:H728"/>
    <mergeCell ref="N728:S728"/>
    <mergeCell ref="AA728:AD728"/>
    <mergeCell ref="AO728:AV728"/>
    <mergeCell ref="C730:H730"/>
    <mergeCell ref="N730:S730"/>
    <mergeCell ref="AA730:AD730"/>
    <mergeCell ref="AO730:AV730"/>
    <mergeCell ref="C722:H722"/>
    <mergeCell ref="N722:S722"/>
    <mergeCell ref="AO722:AV722"/>
    <mergeCell ref="AO723:AV723"/>
    <mergeCell ref="A724:B724"/>
    <mergeCell ref="C726:H726"/>
    <mergeCell ref="N726:S726"/>
    <mergeCell ref="AA726:AD726"/>
    <mergeCell ref="AO726:AV726"/>
    <mergeCell ref="C719:H719"/>
    <mergeCell ref="N719:S719"/>
    <mergeCell ref="AA719:AD719"/>
    <mergeCell ref="AO719:AV719"/>
    <mergeCell ref="AO720:AV720"/>
    <mergeCell ref="A721:B721"/>
    <mergeCell ref="C715:H715"/>
    <mergeCell ref="N715:S715"/>
    <mergeCell ref="AA715:AD715"/>
    <mergeCell ref="AO715:AV715"/>
    <mergeCell ref="C717:H717"/>
    <mergeCell ref="N717:S717"/>
    <mergeCell ref="AA717:AD717"/>
    <mergeCell ref="AO717:AV717"/>
    <mergeCell ref="AO703:AV703"/>
    <mergeCell ref="F705:AB705"/>
    <mergeCell ref="C709:AV709"/>
    <mergeCell ref="C710:AV710"/>
    <mergeCell ref="AC711:AG711"/>
    <mergeCell ref="A713:B713"/>
    <mergeCell ref="C699:H699"/>
    <mergeCell ref="N699:S699"/>
    <mergeCell ref="AO699:AV699"/>
    <mergeCell ref="AO700:AV700"/>
    <mergeCell ref="A701:B701"/>
    <mergeCell ref="C702:H702"/>
    <mergeCell ref="N702:S702"/>
    <mergeCell ref="AO702:AV702"/>
    <mergeCell ref="AO693:AV693"/>
    <mergeCell ref="C695:I695"/>
    <mergeCell ref="Q695:X695"/>
    <mergeCell ref="AO695:AV695"/>
    <mergeCell ref="AO696:AV696"/>
    <mergeCell ref="A698:B698"/>
    <mergeCell ref="C690:H690"/>
    <mergeCell ref="N690:S690"/>
    <mergeCell ref="AA690:AD690"/>
    <mergeCell ref="AO690:AV690"/>
    <mergeCell ref="C692:H692"/>
    <mergeCell ref="N692:S692"/>
    <mergeCell ref="AA692:AD692"/>
    <mergeCell ref="AO692:AV692"/>
    <mergeCell ref="C686:H686"/>
    <mergeCell ref="N686:S686"/>
    <mergeCell ref="AA686:AD686"/>
    <mergeCell ref="AO686:AV686"/>
    <mergeCell ref="C688:H688"/>
    <mergeCell ref="N688:S688"/>
    <mergeCell ref="AA688:AD688"/>
    <mergeCell ref="AO688:AV688"/>
    <mergeCell ref="C682:H682"/>
    <mergeCell ref="N682:W682"/>
    <mergeCell ref="AA682:AD682"/>
    <mergeCell ref="AO682:AV682"/>
    <mergeCell ref="AO683:AV683"/>
    <mergeCell ref="A684:B684"/>
    <mergeCell ref="C679:H679"/>
    <mergeCell ref="N679:S679"/>
    <mergeCell ref="AA679:AD679"/>
    <mergeCell ref="AO679:AV679"/>
    <mergeCell ref="AO680:AV680"/>
    <mergeCell ref="A681:B681"/>
    <mergeCell ref="C675:H675"/>
    <mergeCell ref="N675:S675"/>
    <mergeCell ref="AA675:AD675"/>
    <mergeCell ref="AO675:AV675"/>
    <mergeCell ref="C677:H677"/>
    <mergeCell ref="N677:S677"/>
    <mergeCell ref="AA677:AD677"/>
    <mergeCell ref="AO677:AV677"/>
    <mergeCell ref="AO669:AV669"/>
    <mergeCell ref="A670:B670"/>
    <mergeCell ref="C673:H673"/>
    <mergeCell ref="N673:S673"/>
    <mergeCell ref="AA673:AD673"/>
    <mergeCell ref="AO673:AV673"/>
    <mergeCell ref="C658:AV658"/>
    <mergeCell ref="F659:AV659"/>
    <mergeCell ref="C665:AV665"/>
    <mergeCell ref="AB666:AF666"/>
    <mergeCell ref="A667:B667"/>
    <mergeCell ref="C668:H668"/>
    <mergeCell ref="N668:T668"/>
    <mergeCell ref="AO668:AV668"/>
    <mergeCell ref="AK655:AL655"/>
    <mergeCell ref="AM655:AU655"/>
    <mergeCell ref="AK656:AL656"/>
    <mergeCell ref="AM656:AU656"/>
    <mergeCell ref="AK657:AL657"/>
    <mergeCell ref="AM657:AU657"/>
    <mergeCell ref="AK652:AL652"/>
    <mergeCell ref="AM652:AU652"/>
    <mergeCell ref="AK653:AL653"/>
    <mergeCell ref="AM653:AU653"/>
    <mergeCell ref="AK654:AL654"/>
    <mergeCell ref="AM654:AU654"/>
    <mergeCell ref="A649:B649"/>
    <mergeCell ref="C650:D650"/>
    <mergeCell ref="AK650:AL650"/>
    <mergeCell ref="AM650:AU650"/>
    <mergeCell ref="AK651:AL651"/>
    <mergeCell ref="AM651:AU651"/>
    <mergeCell ref="I646:M646"/>
    <mergeCell ref="N646:V646"/>
    <mergeCell ref="AM646:AU646"/>
    <mergeCell ref="AK647:AL647"/>
    <mergeCell ref="AM647:AU647"/>
    <mergeCell ref="C648:AV648"/>
    <mergeCell ref="I642:M642"/>
    <mergeCell ref="N642:V642"/>
    <mergeCell ref="AM642:AU642"/>
    <mergeCell ref="I644:M644"/>
    <mergeCell ref="N644:V644"/>
    <mergeCell ref="AM644:AU644"/>
    <mergeCell ref="C637:D637"/>
    <mergeCell ref="AH637:AL637"/>
    <mergeCell ref="C638:D638"/>
    <mergeCell ref="AH638:AL638"/>
    <mergeCell ref="AH639:AL639"/>
    <mergeCell ref="I640:M640"/>
    <mergeCell ref="C634:D634"/>
    <mergeCell ref="AH634:AL634"/>
    <mergeCell ref="C635:D635"/>
    <mergeCell ref="AH635:AL635"/>
    <mergeCell ref="C636:D636"/>
    <mergeCell ref="AH636:AL636"/>
    <mergeCell ref="AK628:AL628"/>
    <mergeCell ref="AM628:AU628"/>
    <mergeCell ref="AK629:AL629"/>
    <mergeCell ref="AM629:AU629"/>
    <mergeCell ref="C630:AV630"/>
    <mergeCell ref="A631:B631"/>
    <mergeCell ref="E625:AV625"/>
    <mergeCell ref="E626:K626"/>
    <mergeCell ref="T626:AB626"/>
    <mergeCell ref="AK626:AL626"/>
    <mergeCell ref="AM626:AU626"/>
    <mergeCell ref="AK627:AL627"/>
    <mergeCell ref="AM627:AU627"/>
    <mergeCell ref="AK619:AL619"/>
    <mergeCell ref="AM619:AU619"/>
    <mergeCell ref="AA620:AI620"/>
    <mergeCell ref="AA621:AI621"/>
    <mergeCell ref="AA622:AI622"/>
    <mergeCell ref="AK623:AL623"/>
    <mergeCell ref="AM623:AU623"/>
    <mergeCell ref="C614:AV614"/>
    <mergeCell ref="C615:AV615"/>
    <mergeCell ref="AB616:AF616"/>
    <mergeCell ref="A617:B617"/>
    <mergeCell ref="C618:D618"/>
    <mergeCell ref="AK618:AL618"/>
    <mergeCell ref="AM618:AU618"/>
    <mergeCell ref="AO610:AV610"/>
    <mergeCell ref="C612:H612"/>
    <mergeCell ref="O612:V612"/>
    <mergeCell ref="AF612:AI612"/>
    <mergeCell ref="AO612:AV612"/>
    <mergeCell ref="AO613:AV613"/>
    <mergeCell ref="C607:H607"/>
    <mergeCell ref="O607:T607"/>
    <mergeCell ref="AF607:AI607"/>
    <mergeCell ref="AO607:AV607"/>
    <mergeCell ref="C609:H609"/>
    <mergeCell ref="O609:T609"/>
    <mergeCell ref="AF609:AI609"/>
    <mergeCell ref="AO609:AV609"/>
    <mergeCell ref="AO600:AV600"/>
    <mergeCell ref="C602:H602"/>
    <mergeCell ref="O602:V602"/>
    <mergeCell ref="AO602:AV602"/>
    <mergeCell ref="AO603:AV603"/>
    <mergeCell ref="A604:B604"/>
    <mergeCell ref="A594:B594"/>
    <mergeCell ref="C597:H597"/>
    <mergeCell ref="O597:T597"/>
    <mergeCell ref="AO597:AV597"/>
    <mergeCell ref="C599:H599"/>
    <mergeCell ref="O599:T599"/>
    <mergeCell ref="AO599:AV599"/>
    <mergeCell ref="AO590:AV590"/>
    <mergeCell ref="C592:H592"/>
    <mergeCell ref="O592:V592"/>
    <mergeCell ref="AB592:AE592"/>
    <mergeCell ref="AO592:AV592"/>
    <mergeCell ref="AO593:AV593"/>
    <mergeCell ref="C587:H587"/>
    <mergeCell ref="O587:T587"/>
    <mergeCell ref="AB587:AE587"/>
    <mergeCell ref="AO587:AV587"/>
    <mergeCell ref="C589:H589"/>
    <mergeCell ref="O589:T589"/>
    <mergeCell ref="AB589:AE589"/>
    <mergeCell ref="AO589:AV589"/>
    <mergeCell ref="A581:B581"/>
    <mergeCell ref="C583:H583"/>
    <mergeCell ref="O583:T583"/>
    <mergeCell ref="AB583:AE583"/>
    <mergeCell ref="AO583:AV583"/>
    <mergeCell ref="C585:H585"/>
    <mergeCell ref="O585:T585"/>
    <mergeCell ref="AB585:AE585"/>
    <mergeCell ref="AO585:AV585"/>
    <mergeCell ref="AO577:AV577"/>
    <mergeCell ref="A578:B578"/>
    <mergeCell ref="C579:H579"/>
    <mergeCell ref="O579:Y579"/>
    <mergeCell ref="AO579:AV579"/>
    <mergeCell ref="AO580:AV580"/>
    <mergeCell ref="C574:H574"/>
    <mergeCell ref="O574:W574"/>
    <mergeCell ref="AO574:AV574"/>
    <mergeCell ref="C576:H576"/>
    <mergeCell ref="O576:W576"/>
    <mergeCell ref="AO576:AV576"/>
    <mergeCell ref="A565:B565"/>
    <mergeCell ref="C565:AV565"/>
    <mergeCell ref="AC566:AG566"/>
    <mergeCell ref="A567:B567"/>
    <mergeCell ref="A570:B570"/>
    <mergeCell ref="C572:H572"/>
    <mergeCell ref="O572:W572"/>
    <mergeCell ref="AO572:AV572"/>
    <mergeCell ref="A561:B561"/>
    <mergeCell ref="C562:H562"/>
    <mergeCell ref="N562:S562"/>
    <mergeCell ref="AO562:AV562"/>
    <mergeCell ref="AO563:AV563"/>
    <mergeCell ref="C564:AV564"/>
    <mergeCell ref="AO557:AV557"/>
    <mergeCell ref="A558:B558"/>
    <mergeCell ref="C559:H559"/>
    <mergeCell ref="N559:S559"/>
    <mergeCell ref="AO559:AV559"/>
    <mergeCell ref="AO560:AV560"/>
    <mergeCell ref="C553:H553"/>
    <mergeCell ref="N553:S553"/>
    <mergeCell ref="AA553:AD553"/>
    <mergeCell ref="AO553:AV553"/>
    <mergeCell ref="AO554:AV554"/>
    <mergeCell ref="C556:I556"/>
    <mergeCell ref="Q556:X556"/>
    <mergeCell ref="AO556:AV556"/>
    <mergeCell ref="C549:H549"/>
    <mergeCell ref="N549:S549"/>
    <mergeCell ref="AA549:AD549"/>
    <mergeCell ref="AO549:AV549"/>
    <mergeCell ref="C551:H551"/>
    <mergeCell ref="N551:S551"/>
    <mergeCell ref="AA551:AD551"/>
    <mergeCell ref="AO551:AV551"/>
    <mergeCell ref="AO544:AV544"/>
    <mergeCell ref="A545:B545"/>
    <mergeCell ref="C547:H547"/>
    <mergeCell ref="N547:S547"/>
    <mergeCell ref="AA547:AD547"/>
    <mergeCell ref="AO547:AV547"/>
    <mergeCell ref="AO541:AV541"/>
    <mergeCell ref="A542:B542"/>
    <mergeCell ref="C543:H543"/>
    <mergeCell ref="N543:W543"/>
    <mergeCell ref="AA543:AD543"/>
    <mergeCell ref="AO543:AV543"/>
    <mergeCell ref="C538:H538"/>
    <mergeCell ref="N538:U538"/>
    <mergeCell ref="AA538:AD538"/>
    <mergeCell ref="AO538:AV538"/>
    <mergeCell ref="C540:H540"/>
    <mergeCell ref="N540:U540"/>
    <mergeCell ref="AA540:AD540"/>
    <mergeCell ref="AO540:AV540"/>
    <mergeCell ref="AO533:AV533"/>
    <mergeCell ref="A534:B534"/>
    <mergeCell ref="C536:H536"/>
    <mergeCell ref="N536:U536"/>
    <mergeCell ref="AA536:AD536"/>
    <mergeCell ref="AO536:AV536"/>
    <mergeCell ref="A530:B530"/>
    <mergeCell ref="C530:AV530"/>
    <mergeCell ref="A531:B531"/>
    <mergeCell ref="C532:H532"/>
    <mergeCell ref="N532:T532"/>
    <mergeCell ref="AO532:AV532"/>
    <mergeCell ref="A523:B523"/>
    <mergeCell ref="C524:H524"/>
    <mergeCell ref="N524:S524"/>
    <mergeCell ref="AO524:AV524"/>
    <mergeCell ref="AO525:AV525"/>
    <mergeCell ref="F528:AB528"/>
    <mergeCell ref="AO518:AV518"/>
    <mergeCell ref="A520:B520"/>
    <mergeCell ref="C521:H521"/>
    <mergeCell ref="N521:S521"/>
    <mergeCell ref="AO521:AV521"/>
    <mergeCell ref="AO522:AV522"/>
    <mergeCell ref="C514:H514"/>
    <mergeCell ref="N514:S514"/>
    <mergeCell ref="AA514:AD514"/>
    <mergeCell ref="AO514:AV514"/>
    <mergeCell ref="AO515:AV515"/>
    <mergeCell ref="C517:I517"/>
    <mergeCell ref="Q517:X517"/>
    <mergeCell ref="AO517:AV517"/>
    <mergeCell ref="C510:H510"/>
    <mergeCell ref="N510:S510"/>
    <mergeCell ref="AA510:AD510"/>
    <mergeCell ref="AO510:AV510"/>
    <mergeCell ref="C512:H512"/>
    <mergeCell ref="N512:S512"/>
    <mergeCell ref="AA512:AD512"/>
    <mergeCell ref="AO512:AV512"/>
    <mergeCell ref="C504:H504"/>
    <mergeCell ref="N504:S504"/>
    <mergeCell ref="AO504:AV504"/>
    <mergeCell ref="AO505:AV505"/>
    <mergeCell ref="A506:B506"/>
    <mergeCell ref="C508:H508"/>
    <mergeCell ref="N508:S508"/>
    <mergeCell ref="AA508:AD508"/>
    <mergeCell ref="AO508:AV508"/>
    <mergeCell ref="C501:H501"/>
    <mergeCell ref="N501:S501"/>
    <mergeCell ref="AA501:AD501"/>
    <mergeCell ref="AO501:AV501"/>
    <mergeCell ref="AO502:AV502"/>
    <mergeCell ref="A503:B503"/>
    <mergeCell ref="C497:H497"/>
    <mergeCell ref="N497:S497"/>
    <mergeCell ref="AA497:AD497"/>
    <mergeCell ref="AO497:AV497"/>
    <mergeCell ref="C499:H499"/>
    <mergeCell ref="N499:S499"/>
    <mergeCell ref="AA499:AD499"/>
    <mergeCell ref="AO499:AV499"/>
    <mergeCell ref="AO491:AV491"/>
    <mergeCell ref="A492:B492"/>
    <mergeCell ref="C495:H495"/>
    <mergeCell ref="N495:S495"/>
    <mergeCell ref="AA495:AD495"/>
    <mergeCell ref="AO495:AV495"/>
    <mergeCell ref="C484:AV484"/>
    <mergeCell ref="F485:AV485"/>
    <mergeCell ref="C487:AV487"/>
    <mergeCell ref="AB488:AF488"/>
    <mergeCell ref="A489:B489"/>
    <mergeCell ref="C490:H490"/>
    <mergeCell ref="N490:T490"/>
    <mergeCell ref="AO490:AV490"/>
    <mergeCell ref="AK481:AL481"/>
    <mergeCell ref="AM481:AU481"/>
    <mergeCell ref="AK482:AL482"/>
    <mergeCell ref="AM482:AU482"/>
    <mergeCell ref="AK483:AL483"/>
    <mergeCell ref="AM483:AU483"/>
    <mergeCell ref="AK478:AL478"/>
    <mergeCell ref="AM478:AU478"/>
    <mergeCell ref="AK479:AL479"/>
    <mergeCell ref="AM479:AU479"/>
    <mergeCell ref="AK480:AL480"/>
    <mergeCell ref="AM480:AU480"/>
    <mergeCell ref="A475:B475"/>
    <mergeCell ref="C476:D476"/>
    <mergeCell ref="AK476:AL476"/>
    <mergeCell ref="AM476:AU476"/>
    <mergeCell ref="AK477:AL477"/>
    <mergeCell ref="AM477:AU477"/>
    <mergeCell ref="I472:M472"/>
    <mergeCell ref="N472:V472"/>
    <mergeCell ref="AM472:AU472"/>
    <mergeCell ref="AK473:AL473"/>
    <mergeCell ref="AM473:AU473"/>
    <mergeCell ref="C474:AV474"/>
    <mergeCell ref="I468:M468"/>
    <mergeCell ref="N468:V468"/>
    <mergeCell ref="AM468:AU468"/>
    <mergeCell ref="I470:M470"/>
    <mergeCell ref="N470:V470"/>
    <mergeCell ref="AM470:AU470"/>
    <mergeCell ref="C463:D463"/>
    <mergeCell ref="AH463:AL463"/>
    <mergeCell ref="C464:D464"/>
    <mergeCell ref="AH464:AL464"/>
    <mergeCell ref="AH465:AL465"/>
    <mergeCell ref="I466:M466"/>
    <mergeCell ref="C460:D460"/>
    <mergeCell ref="AH460:AL460"/>
    <mergeCell ref="C461:D461"/>
    <mergeCell ref="AH461:AL461"/>
    <mergeCell ref="C462:D462"/>
    <mergeCell ref="AH462:AL462"/>
    <mergeCell ref="AK454:AL454"/>
    <mergeCell ref="AM454:AU454"/>
    <mergeCell ref="AK455:AL455"/>
    <mergeCell ref="AM455:AU455"/>
    <mergeCell ref="C456:AV456"/>
    <mergeCell ref="A457:B457"/>
    <mergeCell ref="E452:K452"/>
    <mergeCell ref="T452:AB452"/>
    <mergeCell ref="AK452:AL452"/>
    <mergeCell ref="AM452:AU452"/>
    <mergeCell ref="AK453:AL453"/>
    <mergeCell ref="AM453:AU453"/>
    <mergeCell ref="AA446:AI446"/>
    <mergeCell ref="AA447:AI447"/>
    <mergeCell ref="AA448:AI448"/>
    <mergeCell ref="AK449:AL449"/>
    <mergeCell ref="AM449:AU449"/>
    <mergeCell ref="E451:AV451"/>
    <mergeCell ref="AB442:AF442"/>
    <mergeCell ref="A443:B443"/>
    <mergeCell ref="C444:D444"/>
    <mergeCell ref="AK444:AL444"/>
    <mergeCell ref="AM444:AU444"/>
    <mergeCell ref="AK445:AL445"/>
    <mergeCell ref="AM445:AU445"/>
    <mergeCell ref="C439:AV439"/>
    <mergeCell ref="C440:U440"/>
    <mergeCell ref="V440:AB440"/>
    <mergeCell ref="AC440:AF440"/>
    <mergeCell ref="AG440:AV440"/>
    <mergeCell ref="C441:AV441"/>
    <mergeCell ref="C422:J422"/>
    <mergeCell ref="K422:Q422"/>
    <mergeCell ref="C423:AV436"/>
    <mergeCell ref="C437:AV437"/>
    <mergeCell ref="C438:U438"/>
    <mergeCell ref="V438:AB438"/>
    <mergeCell ref="AC438:AF438"/>
    <mergeCell ref="AG438:AV438"/>
    <mergeCell ref="C420:AV420"/>
    <mergeCell ref="C421:Q421"/>
    <mergeCell ref="R421:T422"/>
    <mergeCell ref="U421:W422"/>
    <mergeCell ref="X421:Z422"/>
    <mergeCell ref="AA421:AC422"/>
    <mergeCell ref="AD421:AH422"/>
    <mergeCell ref="AI421:AM422"/>
    <mergeCell ref="AN421:AR422"/>
    <mergeCell ref="AS421:AV422"/>
    <mergeCell ref="AD418:AH419"/>
    <mergeCell ref="AI418:AM419"/>
    <mergeCell ref="AN418:AR419"/>
    <mergeCell ref="AS418:AV419"/>
    <mergeCell ref="C419:J419"/>
    <mergeCell ref="K419:Q419"/>
    <mergeCell ref="AI416:AM417"/>
    <mergeCell ref="AN416:AR417"/>
    <mergeCell ref="AS416:AV417"/>
    <mergeCell ref="C417:J417"/>
    <mergeCell ref="K417:Q417"/>
    <mergeCell ref="C418:Q418"/>
    <mergeCell ref="R418:T419"/>
    <mergeCell ref="U418:W419"/>
    <mergeCell ref="X418:Z419"/>
    <mergeCell ref="AA418:AC419"/>
    <mergeCell ref="AI414:AM414"/>
    <mergeCell ref="AN414:AR414"/>
    <mergeCell ref="AS414:AV414"/>
    <mergeCell ref="C415:AV415"/>
    <mergeCell ref="C416:Q416"/>
    <mergeCell ref="R416:T417"/>
    <mergeCell ref="U416:W417"/>
    <mergeCell ref="X416:Z417"/>
    <mergeCell ref="AA416:AC417"/>
    <mergeCell ref="AD416:AH417"/>
    <mergeCell ref="C414:Q414"/>
    <mergeCell ref="R414:T414"/>
    <mergeCell ref="U414:W414"/>
    <mergeCell ref="X414:Z414"/>
    <mergeCell ref="AA414:AC414"/>
    <mergeCell ref="AD414:AH414"/>
    <mergeCell ref="C406:AV406"/>
    <mergeCell ref="AB407:AF407"/>
    <mergeCell ref="A408:B408"/>
    <mergeCell ref="C409:AV409"/>
    <mergeCell ref="C411:AV411"/>
    <mergeCell ref="C412:AV412"/>
    <mergeCell ref="AO402:AV402"/>
    <mergeCell ref="C404:H404"/>
    <mergeCell ref="O404:V404"/>
    <mergeCell ref="AF404:AI404"/>
    <mergeCell ref="AO404:AV404"/>
    <mergeCell ref="AO405:AV405"/>
    <mergeCell ref="C399:H399"/>
    <mergeCell ref="O399:T399"/>
    <mergeCell ref="AF399:AI399"/>
    <mergeCell ref="AO399:AV399"/>
    <mergeCell ref="C401:H401"/>
    <mergeCell ref="O401:T401"/>
    <mergeCell ref="AF401:AI401"/>
    <mergeCell ref="AO401:AV401"/>
    <mergeCell ref="AO392:AV392"/>
    <mergeCell ref="C394:H394"/>
    <mergeCell ref="O394:V394"/>
    <mergeCell ref="AO394:AV394"/>
    <mergeCell ref="AO395:AV395"/>
    <mergeCell ref="A396:B396"/>
    <mergeCell ref="AO385:AV385"/>
    <mergeCell ref="A386:B386"/>
    <mergeCell ref="C389:H389"/>
    <mergeCell ref="O389:T389"/>
    <mergeCell ref="AO389:AV389"/>
    <mergeCell ref="C391:H391"/>
    <mergeCell ref="O391:T391"/>
    <mergeCell ref="AO391:AV391"/>
    <mergeCell ref="C381:H381"/>
    <mergeCell ref="N381:T381"/>
    <mergeCell ref="AB381:AE381"/>
    <mergeCell ref="AO381:AV381"/>
    <mergeCell ref="AO382:AV382"/>
    <mergeCell ref="C384:H384"/>
    <mergeCell ref="O384:V384"/>
    <mergeCell ref="AB384:AE384"/>
    <mergeCell ref="AO384:AV384"/>
    <mergeCell ref="C377:H377"/>
    <mergeCell ref="N377:T377"/>
    <mergeCell ref="AB377:AE377"/>
    <mergeCell ref="AO377:AV377"/>
    <mergeCell ref="C379:H379"/>
    <mergeCell ref="N379:T379"/>
    <mergeCell ref="AB379:AE379"/>
    <mergeCell ref="AO379:AV379"/>
    <mergeCell ref="C371:H371"/>
    <mergeCell ref="M371:S371"/>
    <mergeCell ref="AO371:AV371"/>
    <mergeCell ref="AO372:AV372"/>
    <mergeCell ref="A373:B373"/>
    <mergeCell ref="C375:H375"/>
    <mergeCell ref="N375:T375"/>
    <mergeCell ref="AB375:AE375"/>
    <mergeCell ref="AO375:AV375"/>
    <mergeCell ref="C368:H368"/>
    <mergeCell ref="O368:T368"/>
    <mergeCell ref="AB368:AE368"/>
    <mergeCell ref="AO368:AV368"/>
    <mergeCell ref="AO369:AV369"/>
    <mergeCell ref="A370:B370"/>
    <mergeCell ref="C364:H364"/>
    <mergeCell ref="O364:T364"/>
    <mergeCell ref="AB364:AE364"/>
    <mergeCell ref="AO364:AV364"/>
    <mergeCell ref="C366:H366"/>
    <mergeCell ref="O366:T366"/>
    <mergeCell ref="AB366:AE366"/>
    <mergeCell ref="AO366:AV366"/>
    <mergeCell ref="AO355:AV355"/>
    <mergeCell ref="C356:AV356"/>
    <mergeCell ref="C357:AV357"/>
    <mergeCell ref="AC358:AG358"/>
    <mergeCell ref="A359:B359"/>
    <mergeCell ref="A362:B362"/>
    <mergeCell ref="C351:H351"/>
    <mergeCell ref="N351:S351"/>
    <mergeCell ref="AO351:AV351"/>
    <mergeCell ref="AO352:AV352"/>
    <mergeCell ref="A353:B353"/>
    <mergeCell ref="C354:H354"/>
    <mergeCell ref="N354:S354"/>
    <mergeCell ref="AO354:AV354"/>
    <mergeCell ref="AO346:AV346"/>
    <mergeCell ref="C348:I348"/>
    <mergeCell ref="Q348:X348"/>
    <mergeCell ref="AO348:AV348"/>
    <mergeCell ref="AO349:AV349"/>
    <mergeCell ref="A350:B350"/>
    <mergeCell ref="C343:H343"/>
    <mergeCell ref="N343:S343"/>
    <mergeCell ref="AA343:AD343"/>
    <mergeCell ref="AO343:AV343"/>
    <mergeCell ref="C345:H345"/>
    <mergeCell ref="N345:S345"/>
    <mergeCell ref="AA345:AD345"/>
    <mergeCell ref="AO345:AV345"/>
    <mergeCell ref="A337:B337"/>
    <mergeCell ref="C339:H339"/>
    <mergeCell ref="N339:S339"/>
    <mergeCell ref="AA339:AD339"/>
    <mergeCell ref="AO339:AV339"/>
    <mergeCell ref="C341:H341"/>
    <mergeCell ref="N341:S341"/>
    <mergeCell ref="AA341:AD341"/>
    <mergeCell ref="AO341:AV341"/>
    <mergeCell ref="AO333:AV333"/>
    <mergeCell ref="A334:B334"/>
    <mergeCell ref="C335:H335"/>
    <mergeCell ref="N335:S335"/>
    <mergeCell ref="AO335:AV335"/>
    <mergeCell ref="AO336:AV336"/>
    <mergeCell ref="C330:H330"/>
    <mergeCell ref="N330:S330"/>
    <mergeCell ref="Z330:AD330"/>
    <mergeCell ref="AO330:AV330"/>
    <mergeCell ref="C332:H332"/>
    <mergeCell ref="N332:S332"/>
    <mergeCell ref="Z332:AD332"/>
    <mergeCell ref="AO332:AV332"/>
    <mergeCell ref="C324:H324"/>
    <mergeCell ref="N324:T324"/>
    <mergeCell ref="AO324:AV324"/>
    <mergeCell ref="AO325:AV325"/>
    <mergeCell ref="A326:B326"/>
    <mergeCell ref="C328:H328"/>
    <mergeCell ref="N328:S328"/>
    <mergeCell ref="Z328:AD328"/>
    <mergeCell ref="AO328:AV328"/>
    <mergeCell ref="C306:J306"/>
    <mergeCell ref="K306:Q306"/>
    <mergeCell ref="C307:AV320"/>
    <mergeCell ref="C321:AV321"/>
    <mergeCell ref="C322:U322"/>
    <mergeCell ref="V322:AB322"/>
    <mergeCell ref="AC322:AF322"/>
    <mergeCell ref="AG322:AV322"/>
    <mergeCell ref="C304:AV304"/>
    <mergeCell ref="C305:Q305"/>
    <mergeCell ref="R305:T306"/>
    <mergeCell ref="U305:W306"/>
    <mergeCell ref="X305:Z306"/>
    <mergeCell ref="AA305:AC306"/>
    <mergeCell ref="AD305:AH306"/>
    <mergeCell ref="AI305:AM306"/>
    <mergeCell ref="AN305:AR306"/>
    <mergeCell ref="AS305:AV306"/>
    <mergeCell ref="AD302:AH303"/>
    <mergeCell ref="AI302:AM303"/>
    <mergeCell ref="AN302:AR303"/>
    <mergeCell ref="AS302:AV303"/>
    <mergeCell ref="C303:J303"/>
    <mergeCell ref="K303:Q303"/>
    <mergeCell ref="AI300:AM301"/>
    <mergeCell ref="AN300:AR301"/>
    <mergeCell ref="AS300:AV301"/>
    <mergeCell ref="C301:J301"/>
    <mergeCell ref="K301:Q301"/>
    <mergeCell ref="C302:Q302"/>
    <mergeCell ref="R302:T303"/>
    <mergeCell ref="U302:W303"/>
    <mergeCell ref="X302:Z303"/>
    <mergeCell ref="AA302:AC303"/>
    <mergeCell ref="AN298:AR299"/>
    <mergeCell ref="AS298:AV299"/>
    <mergeCell ref="C299:J299"/>
    <mergeCell ref="K299:Q299"/>
    <mergeCell ref="C300:Q300"/>
    <mergeCell ref="R300:T301"/>
    <mergeCell ref="U300:W301"/>
    <mergeCell ref="X300:Z301"/>
    <mergeCell ref="AA300:AC301"/>
    <mergeCell ref="AD300:AH301"/>
    <mergeCell ref="AN296:AR296"/>
    <mergeCell ref="AS296:AV296"/>
    <mergeCell ref="C297:AV297"/>
    <mergeCell ref="C298:Q298"/>
    <mergeCell ref="R298:T299"/>
    <mergeCell ref="U298:W299"/>
    <mergeCell ref="X298:Z299"/>
    <mergeCell ref="AA298:AC299"/>
    <mergeCell ref="AD298:AH299"/>
    <mergeCell ref="AI298:AM299"/>
    <mergeCell ref="A291:B291"/>
    <mergeCell ref="C292:AV292"/>
    <mergeCell ref="C294:AV294"/>
    <mergeCell ref="C296:Q296"/>
    <mergeCell ref="R296:T296"/>
    <mergeCell ref="U296:W296"/>
    <mergeCell ref="X296:Z296"/>
    <mergeCell ref="AA296:AC296"/>
    <mergeCell ref="AD296:AH296"/>
    <mergeCell ref="AI296:AM296"/>
    <mergeCell ref="A287:AV287"/>
    <mergeCell ref="A288:B288"/>
    <mergeCell ref="C288:AV288"/>
    <mergeCell ref="A289:B289"/>
    <mergeCell ref="C289:AV289"/>
    <mergeCell ref="AB290:AF290"/>
    <mergeCell ref="C282:D282"/>
    <mergeCell ref="E282:AV282"/>
    <mergeCell ref="C284:D284"/>
    <mergeCell ref="E284:AV284"/>
    <mergeCell ref="C286:D286"/>
    <mergeCell ref="E286:AV286"/>
    <mergeCell ref="C274:D274"/>
    <mergeCell ref="E274:AV274"/>
    <mergeCell ref="C276:D276"/>
    <mergeCell ref="E276:AV276"/>
    <mergeCell ref="C278:D278"/>
    <mergeCell ref="C280:D280"/>
    <mergeCell ref="AO267:AV267"/>
    <mergeCell ref="A268:B268"/>
    <mergeCell ref="C270:D270"/>
    <mergeCell ref="E270:AV270"/>
    <mergeCell ref="C272:D272"/>
    <mergeCell ref="E272:AV272"/>
    <mergeCell ref="C263:H263"/>
    <mergeCell ref="N263:T263"/>
    <mergeCell ref="AB263:AE263"/>
    <mergeCell ref="AO263:AV263"/>
    <mergeCell ref="AO264:AV264"/>
    <mergeCell ref="C266:H266"/>
    <mergeCell ref="O266:V266"/>
    <mergeCell ref="AB266:AE266"/>
    <mergeCell ref="AO266:AV266"/>
    <mergeCell ref="C259:H259"/>
    <mergeCell ref="N259:T259"/>
    <mergeCell ref="AB259:AE259"/>
    <mergeCell ref="AO259:AV259"/>
    <mergeCell ref="C261:H261"/>
    <mergeCell ref="N261:T261"/>
    <mergeCell ref="AB261:AE261"/>
    <mergeCell ref="AO261:AV261"/>
    <mergeCell ref="C253:H253"/>
    <mergeCell ref="M253:S253"/>
    <mergeCell ref="AO253:AV253"/>
    <mergeCell ref="AO254:AV254"/>
    <mergeCell ref="A255:B255"/>
    <mergeCell ref="C257:H257"/>
    <mergeCell ref="N257:T257"/>
    <mergeCell ref="AB257:AE257"/>
    <mergeCell ref="AO257:AV257"/>
    <mergeCell ref="C250:H250"/>
    <mergeCell ref="O250:T250"/>
    <mergeCell ref="AB250:AE250"/>
    <mergeCell ref="AO250:AV250"/>
    <mergeCell ref="AO251:AV251"/>
    <mergeCell ref="A252:B252"/>
    <mergeCell ref="A244:B244"/>
    <mergeCell ref="C246:H246"/>
    <mergeCell ref="O246:T246"/>
    <mergeCell ref="AB246:AE246"/>
    <mergeCell ref="AO246:AV246"/>
    <mergeCell ref="C248:H248"/>
    <mergeCell ref="O248:T248"/>
    <mergeCell ref="AB248:AE248"/>
    <mergeCell ref="AO248:AV248"/>
    <mergeCell ref="AO238:AV238"/>
    <mergeCell ref="C240:I240"/>
    <mergeCell ref="Q240:X240"/>
    <mergeCell ref="AO240:AV240"/>
    <mergeCell ref="AO241:AV241"/>
    <mergeCell ref="C243:AV243"/>
    <mergeCell ref="C235:H235"/>
    <mergeCell ref="N235:S235"/>
    <mergeCell ref="AA235:AD235"/>
    <mergeCell ref="AO235:AV235"/>
    <mergeCell ref="C237:H237"/>
    <mergeCell ref="N237:S237"/>
    <mergeCell ref="AA237:AD237"/>
    <mergeCell ref="AO237:AV237"/>
    <mergeCell ref="A229:B229"/>
    <mergeCell ref="C231:H231"/>
    <mergeCell ref="N231:S231"/>
    <mergeCell ref="AA231:AD231"/>
    <mergeCell ref="AO231:AV231"/>
    <mergeCell ref="C233:H233"/>
    <mergeCell ref="N233:S233"/>
    <mergeCell ref="AA233:AD233"/>
    <mergeCell ref="AO233:AV233"/>
    <mergeCell ref="AO225:AV225"/>
    <mergeCell ref="A226:B226"/>
    <mergeCell ref="C227:H227"/>
    <mergeCell ref="N227:S227"/>
    <mergeCell ref="AO227:AV227"/>
    <mergeCell ref="AO228:AV228"/>
    <mergeCell ref="C222:H222"/>
    <mergeCell ref="N222:S222"/>
    <mergeCell ref="Z222:AD222"/>
    <mergeCell ref="AO222:AV222"/>
    <mergeCell ref="C224:H224"/>
    <mergeCell ref="N224:S224"/>
    <mergeCell ref="Z224:AD224"/>
    <mergeCell ref="AO224:AV224"/>
    <mergeCell ref="A217:B217"/>
    <mergeCell ref="C217:AV217"/>
    <mergeCell ref="A218:B218"/>
    <mergeCell ref="C220:H220"/>
    <mergeCell ref="N220:S220"/>
    <mergeCell ref="Z220:AD220"/>
    <mergeCell ref="AO220:AV220"/>
    <mergeCell ref="IW213:KM213"/>
    <mergeCell ref="C214:AV214"/>
    <mergeCell ref="IW214:KM214"/>
    <mergeCell ref="Q215:W215"/>
    <mergeCell ref="C216:P216"/>
    <mergeCell ref="Q216:W216"/>
    <mergeCell ref="A210:B210"/>
    <mergeCell ref="C210:AV210"/>
    <mergeCell ref="C211:AV211"/>
    <mergeCell ref="A212:B212"/>
    <mergeCell ref="C212:AV212"/>
    <mergeCell ref="C213:AV213"/>
    <mergeCell ref="C208:L208"/>
    <mergeCell ref="M208:Q208"/>
    <mergeCell ref="W208:AF208"/>
    <mergeCell ref="AG208:AP208"/>
    <mergeCell ref="C209:L209"/>
    <mergeCell ref="M209:Q209"/>
    <mergeCell ref="W209:AF209"/>
    <mergeCell ref="AG209:AP209"/>
    <mergeCell ref="A204:B204"/>
    <mergeCell ref="C206:L206"/>
    <mergeCell ref="M206:V206"/>
    <mergeCell ref="W206:AF206"/>
    <mergeCell ref="AG206:AP206"/>
    <mergeCell ref="C207:L207"/>
    <mergeCell ref="M207:Q207"/>
    <mergeCell ref="W207:AF207"/>
    <mergeCell ref="AG207:AP207"/>
    <mergeCell ref="AM201:AQ202"/>
    <mergeCell ref="AR201:AV202"/>
    <mergeCell ref="C202:AL202"/>
    <mergeCell ref="AH203:AL203"/>
    <mergeCell ref="AM203:AQ203"/>
    <mergeCell ref="AR203:AV203"/>
    <mergeCell ref="AM197:AQ198"/>
    <mergeCell ref="AR197:AV198"/>
    <mergeCell ref="C198:AL198"/>
    <mergeCell ref="AM199:AQ200"/>
    <mergeCell ref="AR199:AV200"/>
    <mergeCell ref="C200:AL200"/>
    <mergeCell ref="AM193:AQ194"/>
    <mergeCell ref="AR193:AV194"/>
    <mergeCell ref="C194:AL194"/>
    <mergeCell ref="AM195:AQ196"/>
    <mergeCell ref="AR195:AV196"/>
    <mergeCell ref="C196:AL196"/>
    <mergeCell ref="AM189:AQ190"/>
    <mergeCell ref="AR189:AV190"/>
    <mergeCell ref="C190:AL190"/>
    <mergeCell ref="AM191:AQ192"/>
    <mergeCell ref="AR191:AV192"/>
    <mergeCell ref="C192:AL192"/>
    <mergeCell ref="A185:B185"/>
    <mergeCell ref="AM187:AQ187"/>
    <mergeCell ref="AR187:AV187"/>
    <mergeCell ref="AH188:AL188"/>
    <mergeCell ref="AM188:AQ188"/>
    <mergeCell ref="AR188:AV188"/>
    <mergeCell ref="C183:M183"/>
    <mergeCell ref="N183:S183"/>
    <mergeCell ref="V183:AA183"/>
    <mergeCell ref="AD183:AI183"/>
    <mergeCell ref="AL183:AQ183"/>
    <mergeCell ref="C184:M184"/>
    <mergeCell ref="N184:S184"/>
    <mergeCell ref="V184:AA184"/>
    <mergeCell ref="AD184:AI184"/>
    <mergeCell ref="AL184:AQ184"/>
    <mergeCell ref="C181:M181"/>
    <mergeCell ref="N181:S181"/>
    <mergeCell ref="V181:AA181"/>
    <mergeCell ref="AD181:AI181"/>
    <mergeCell ref="AL181:AQ181"/>
    <mergeCell ref="N182:S182"/>
    <mergeCell ref="V182:AA182"/>
    <mergeCell ref="AD182:AI182"/>
    <mergeCell ref="AL182:AQ182"/>
    <mergeCell ref="C179:M179"/>
    <mergeCell ref="N179:S179"/>
    <mergeCell ref="V179:AA179"/>
    <mergeCell ref="AD179:AI179"/>
    <mergeCell ref="AL179:AQ179"/>
    <mergeCell ref="C180:M180"/>
    <mergeCell ref="N180:S180"/>
    <mergeCell ref="V180:AA180"/>
    <mergeCell ref="AD180:AI180"/>
    <mergeCell ref="AL180:AQ180"/>
    <mergeCell ref="C174:AV174"/>
    <mergeCell ref="C175:AV175"/>
    <mergeCell ref="A176:B176"/>
    <mergeCell ref="C178:M178"/>
    <mergeCell ref="N178:U178"/>
    <mergeCell ref="V178:AC178"/>
    <mergeCell ref="AD178:AK178"/>
    <mergeCell ref="AL178:AS178"/>
    <mergeCell ref="C168:AV168"/>
    <mergeCell ref="A169:B169"/>
    <mergeCell ref="C170:AV170"/>
    <mergeCell ref="C171:AV171"/>
    <mergeCell ref="C172:AV172"/>
    <mergeCell ref="C173:AV173"/>
    <mergeCell ref="A151:B151"/>
    <mergeCell ref="C152:AV152"/>
    <mergeCell ref="C153:AV153"/>
    <mergeCell ref="C155:AI166"/>
    <mergeCell ref="AJ155:AV166"/>
    <mergeCell ref="A167:B167"/>
    <mergeCell ref="M144:N144"/>
    <mergeCell ref="A145:B145"/>
    <mergeCell ref="C146:AV146"/>
    <mergeCell ref="A147:B147"/>
    <mergeCell ref="AC148:AI148"/>
    <mergeCell ref="C150:AV150"/>
    <mergeCell ref="JH138:JI138"/>
    <mergeCell ref="M140:N140"/>
    <mergeCell ref="W140:X140"/>
    <mergeCell ref="M142:N142"/>
    <mergeCell ref="W142:X142"/>
    <mergeCell ref="AD142:AE142"/>
    <mergeCell ref="AM142:AN142"/>
    <mergeCell ref="AP133:AT133"/>
    <mergeCell ref="AO134:AS134"/>
    <mergeCell ref="A135:B135"/>
    <mergeCell ref="C136:AV136"/>
    <mergeCell ref="M138:N138"/>
    <mergeCell ref="W138:X138"/>
    <mergeCell ref="A127:B127"/>
    <mergeCell ref="AO128:AS128"/>
    <mergeCell ref="AP129:AT129"/>
    <mergeCell ref="AO130:AS130"/>
    <mergeCell ref="AP131:AT131"/>
    <mergeCell ref="AO132:AS132"/>
    <mergeCell ref="C124:G124"/>
    <mergeCell ref="C125:AN125"/>
    <mergeCell ref="AQ125:AT125"/>
    <mergeCell ref="AU125:AV125"/>
    <mergeCell ref="C126:S126"/>
    <mergeCell ref="AQ126:AT126"/>
    <mergeCell ref="AU126:AV126"/>
    <mergeCell ref="C120:G120"/>
    <mergeCell ref="C121:AN121"/>
    <mergeCell ref="AQ121:AT121"/>
    <mergeCell ref="AU121:AV121"/>
    <mergeCell ref="C122:I122"/>
    <mergeCell ref="C123:AN123"/>
    <mergeCell ref="AQ123:AT123"/>
    <mergeCell ref="AU123:AV123"/>
    <mergeCell ref="C115:AV115"/>
    <mergeCell ref="A116:B116"/>
    <mergeCell ref="C117:AV117"/>
    <mergeCell ref="C118:G118"/>
    <mergeCell ref="C119:AN119"/>
    <mergeCell ref="AQ119:AT119"/>
    <mergeCell ref="AU119:AV119"/>
    <mergeCell ref="C105:AV105"/>
    <mergeCell ref="C106:AV106"/>
    <mergeCell ref="C107:AV107"/>
    <mergeCell ref="A108:B108"/>
    <mergeCell ref="C111:AV111"/>
    <mergeCell ref="C113:AV113"/>
    <mergeCell ref="C102:AV102"/>
    <mergeCell ref="C103:T103"/>
    <mergeCell ref="U103:Z103"/>
    <mergeCell ref="AA103:AH103"/>
    <mergeCell ref="AI103:AR103"/>
    <mergeCell ref="C104:N104"/>
    <mergeCell ref="O104:U104"/>
    <mergeCell ref="P91:AA91"/>
    <mergeCell ref="AB94:AF94"/>
    <mergeCell ref="A95:AV95"/>
    <mergeCell ref="S97:AU97"/>
    <mergeCell ref="S98:AV98"/>
    <mergeCell ref="V99:AV99"/>
    <mergeCell ref="M84:AV84"/>
    <mergeCell ref="M85:AV85"/>
    <mergeCell ref="M86:AV86"/>
    <mergeCell ref="A87:F90"/>
    <mergeCell ref="M87:AV87"/>
    <mergeCell ref="M89:Z89"/>
    <mergeCell ref="AA89:AG89"/>
    <mergeCell ref="M90:Z90"/>
    <mergeCell ref="AA90:AG90"/>
    <mergeCell ref="M78:R78"/>
    <mergeCell ref="M79:N79"/>
    <mergeCell ref="M80:AV80"/>
    <mergeCell ref="M81:AV81"/>
    <mergeCell ref="M82:AV82"/>
    <mergeCell ref="M83:AV83"/>
    <mergeCell ref="AK75:AP75"/>
    <mergeCell ref="AQ75:AV75"/>
    <mergeCell ref="K76:N76"/>
    <mergeCell ref="O76:T76"/>
    <mergeCell ref="U76:X76"/>
    <mergeCell ref="Y76:AD76"/>
    <mergeCell ref="AE76:AJ76"/>
    <mergeCell ref="AK76:AP76"/>
    <mergeCell ref="AQ76:AV76"/>
    <mergeCell ref="A75:J75"/>
    <mergeCell ref="K75:N75"/>
    <mergeCell ref="O75:T75"/>
    <mergeCell ref="U75:X75"/>
    <mergeCell ref="Y75:AD75"/>
    <mergeCell ref="AE75:AJ75"/>
    <mergeCell ref="AK73:AP73"/>
    <mergeCell ref="AQ73:AV73"/>
    <mergeCell ref="A74:J74"/>
    <mergeCell ref="K74:N74"/>
    <mergeCell ref="O74:T74"/>
    <mergeCell ref="U74:X74"/>
    <mergeCell ref="Y74:AD74"/>
    <mergeCell ref="AE74:AJ74"/>
    <mergeCell ref="AK74:AP74"/>
    <mergeCell ref="AQ74:AV74"/>
    <mergeCell ref="A73:J73"/>
    <mergeCell ref="K73:N73"/>
    <mergeCell ref="O73:T73"/>
    <mergeCell ref="U73:X73"/>
    <mergeCell ref="Y73:AD73"/>
    <mergeCell ref="AE73:AJ73"/>
    <mergeCell ref="A71:AV71"/>
    <mergeCell ref="A72:J72"/>
    <mergeCell ref="K72:N72"/>
    <mergeCell ref="O72:T72"/>
    <mergeCell ref="U72:X72"/>
    <mergeCell ref="Y72:AD72"/>
    <mergeCell ref="AE72:AJ72"/>
    <mergeCell ref="AK72:AP72"/>
    <mergeCell ref="AQ72:AV72"/>
    <mergeCell ref="AK69:AP69"/>
    <mergeCell ref="AQ69:AV69"/>
    <mergeCell ref="A70:J70"/>
    <mergeCell ref="K70:N70"/>
    <mergeCell ref="O70:T70"/>
    <mergeCell ref="U70:X70"/>
    <mergeCell ref="Y70:AD70"/>
    <mergeCell ref="AE70:AJ70"/>
    <mergeCell ref="AK70:AP70"/>
    <mergeCell ref="AQ70:AV70"/>
    <mergeCell ref="A69:J69"/>
    <mergeCell ref="K69:N69"/>
    <mergeCell ref="O69:T69"/>
    <mergeCell ref="U69:X69"/>
    <mergeCell ref="Y69:AD69"/>
    <mergeCell ref="AE69:AJ69"/>
    <mergeCell ref="AQ67:AV67"/>
    <mergeCell ref="A68:J68"/>
    <mergeCell ref="K68:N68"/>
    <mergeCell ref="O68:T68"/>
    <mergeCell ref="U68:X68"/>
    <mergeCell ref="Y68:AD68"/>
    <mergeCell ref="AE68:AJ68"/>
    <mergeCell ref="AK68:AP68"/>
    <mergeCell ref="AQ68:AV68"/>
    <mergeCell ref="AK65:AP65"/>
    <mergeCell ref="AQ65:AV65"/>
    <mergeCell ref="A66:AV66"/>
    <mergeCell ref="A67:J67"/>
    <mergeCell ref="K67:N67"/>
    <mergeCell ref="O67:T67"/>
    <mergeCell ref="U67:X67"/>
    <mergeCell ref="Y67:AD67"/>
    <mergeCell ref="AE67:AJ67"/>
    <mergeCell ref="AK67:AP67"/>
    <mergeCell ref="A65:J65"/>
    <mergeCell ref="K65:N65"/>
    <mergeCell ref="O65:T65"/>
    <mergeCell ref="U65:X65"/>
    <mergeCell ref="Y65:AD65"/>
    <mergeCell ref="AE65:AJ65"/>
    <mergeCell ref="AK63:AP63"/>
    <mergeCell ref="AQ63:AV63"/>
    <mergeCell ref="A64:J64"/>
    <mergeCell ref="K64:N64"/>
    <mergeCell ref="O64:T64"/>
    <mergeCell ref="U64:X64"/>
    <mergeCell ref="Y64:AD64"/>
    <mergeCell ref="AE64:AJ64"/>
    <mergeCell ref="AK64:AP64"/>
    <mergeCell ref="AQ64:AV64"/>
    <mergeCell ref="A63:J63"/>
    <mergeCell ref="K63:N63"/>
    <mergeCell ref="O63:T63"/>
    <mergeCell ref="U63:X63"/>
    <mergeCell ref="Y63:AD63"/>
    <mergeCell ref="AE63:AJ63"/>
    <mergeCell ref="AK61:AP61"/>
    <mergeCell ref="AQ61:AV61"/>
    <mergeCell ref="A62:J62"/>
    <mergeCell ref="K62:N62"/>
    <mergeCell ref="O62:T62"/>
    <mergeCell ref="U62:X62"/>
    <mergeCell ref="Y62:AD62"/>
    <mergeCell ref="AE62:AJ62"/>
    <mergeCell ref="AK62:AP62"/>
    <mergeCell ref="AQ62:AV62"/>
    <mergeCell ref="A61:J61"/>
    <mergeCell ref="K61:N61"/>
    <mergeCell ref="O61:T61"/>
    <mergeCell ref="U61:X61"/>
    <mergeCell ref="Y61:AD61"/>
    <mergeCell ref="AE61:AJ61"/>
    <mergeCell ref="A59:AV59"/>
    <mergeCell ref="A60:J60"/>
    <mergeCell ref="K60:N60"/>
    <mergeCell ref="O60:T60"/>
    <mergeCell ref="U60:X60"/>
    <mergeCell ref="Y60:AD60"/>
    <mergeCell ref="AE60:AJ60"/>
    <mergeCell ref="AK60:AP60"/>
    <mergeCell ref="AQ60:AV60"/>
    <mergeCell ref="AQ56:AV56"/>
    <mergeCell ref="A58:J58"/>
    <mergeCell ref="K58:N58"/>
    <mergeCell ref="O58:T58"/>
    <mergeCell ref="U58:X58"/>
    <mergeCell ref="Y58:AD58"/>
    <mergeCell ref="AE58:AJ58"/>
    <mergeCell ref="AK58:AP58"/>
    <mergeCell ref="AQ58:AV58"/>
    <mergeCell ref="K56:N56"/>
    <mergeCell ref="O56:T56"/>
    <mergeCell ref="U56:X56"/>
    <mergeCell ref="Y56:AD56"/>
    <mergeCell ref="AE56:AJ56"/>
    <mergeCell ref="AK56:AP56"/>
    <mergeCell ref="AK54:AP54"/>
    <mergeCell ref="AQ54:AV54"/>
    <mergeCell ref="A55:J55"/>
    <mergeCell ref="K55:N55"/>
    <mergeCell ref="O55:T55"/>
    <mergeCell ref="U55:X55"/>
    <mergeCell ref="Y55:AD55"/>
    <mergeCell ref="AE55:AJ55"/>
    <mergeCell ref="AK55:AP55"/>
    <mergeCell ref="AQ55:AV55"/>
    <mergeCell ref="A54:J54"/>
    <mergeCell ref="K54:N54"/>
    <mergeCell ref="O54:T54"/>
    <mergeCell ref="U54:X54"/>
    <mergeCell ref="Y54:AD54"/>
    <mergeCell ref="AE54:AJ54"/>
    <mergeCell ref="AQ52:AV52"/>
    <mergeCell ref="A53:J53"/>
    <mergeCell ref="K53:N53"/>
    <mergeCell ref="O53:T53"/>
    <mergeCell ref="U53:X53"/>
    <mergeCell ref="Y53:AD53"/>
    <mergeCell ref="AE53:AJ53"/>
    <mergeCell ref="AK53:AP53"/>
    <mergeCell ref="AQ53:AV53"/>
    <mergeCell ref="AK50:AP50"/>
    <mergeCell ref="AQ50:AV50"/>
    <mergeCell ref="A51:AV51"/>
    <mergeCell ref="A52:J52"/>
    <mergeCell ref="K52:N52"/>
    <mergeCell ref="O52:T52"/>
    <mergeCell ref="U52:X52"/>
    <mergeCell ref="Y52:AD52"/>
    <mergeCell ref="AE52:AJ52"/>
    <mergeCell ref="AK52:AP52"/>
    <mergeCell ref="A50:J50"/>
    <mergeCell ref="K50:N50"/>
    <mergeCell ref="O50:T50"/>
    <mergeCell ref="U50:X50"/>
    <mergeCell ref="Y50:AD50"/>
    <mergeCell ref="AE50:AJ50"/>
    <mergeCell ref="AK48:AP48"/>
    <mergeCell ref="AQ48:AV48"/>
    <mergeCell ref="A49:J49"/>
    <mergeCell ref="K49:N49"/>
    <mergeCell ref="O49:T49"/>
    <mergeCell ref="U49:X49"/>
    <mergeCell ref="Y49:AD49"/>
    <mergeCell ref="AE49:AJ49"/>
    <mergeCell ref="AK49:AP49"/>
    <mergeCell ref="AQ49:AV49"/>
    <mergeCell ref="A48:J48"/>
    <mergeCell ref="K48:N48"/>
    <mergeCell ref="O48:T48"/>
    <mergeCell ref="U48:X48"/>
    <mergeCell ref="Y48:AD48"/>
    <mergeCell ref="AE48:AJ48"/>
    <mergeCell ref="A46:AV46"/>
    <mergeCell ref="A47:J47"/>
    <mergeCell ref="K47:N47"/>
    <mergeCell ref="O47:T47"/>
    <mergeCell ref="U47:X47"/>
    <mergeCell ref="Y47:AD47"/>
    <mergeCell ref="AE47:AJ47"/>
    <mergeCell ref="AK47:AP47"/>
    <mergeCell ref="AQ47:AV47"/>
    <mergeCell ref="AK44:AP44"/>
    <mergeCell ref="AQ44:AV44"/>
    <mergeCell ref="A45:J45"/>
    <mergeCell ref="K45:N45"/>
    <mergeCell ref="O45:T45"/>
    <mergeCell ref="U45:X45"/>
    <mergeCell ref="Y45:AD45"/>
    <mergeCell ref="AE45:AJ45"/>
    <mergeCell ref="AK45:AP45"/>
    <mergeCell ref="AQ45:AV45"/>
    <mergeCell ref="A44:J44"/>
    <mergeCell ref="K44:N44"/>
    <mergeCell ref="O44:T44"/>
    <mergeCell ref="U44:X44"/>
    <mergeCell ref="Y44:AD44"/>
    <mergeCell ref="AE44:AJ44"/>
    <mergeCell ref="AK42:AP42"/>
    <mergeCell ref="AQ42:AV42"/>
    <mergeCell ref="A43:J43"/>
    <mergeCell ref="K43:N43"/>
    <mergeCell ref="O43:T43"/>
    <mergeCell ref="U43:X43"/>
    <mergeCell ref="Y43:AD43"/>
    <mergeCell ref="AE43:AJ43"/>
    <mergeCell ref="AK43:AP43"/>
    <mergeCell ref="AQ43:AV43"/>
    <mergeCell ref="A42:J42"/>
    <mergeCell ref="K42:N42"/>
    <mergeCell ref="O42:T42"/>
    <mergeCell ref="U42:X42"/>
    <mergeCell ref="Y42:AD42"/>
    <mergeCell ref="AE42:AJ42"/>
    <mergeCell ref="AQ40:AV40"/>
    <mergeCell ref="A41:J41"/>
    <mergeCell ref="K41:N41"/>
    <mergeCell ref="O41:T41"/>
    <mergeCell ref="U41:X41"/>
    <mergeCell ref="Y41:AD41"/>
    <mergeCell ref="AE41:AJ41"/>
    <mergeCell ref="AK41:AP41"/>
    <mergeCell ref="AQ41:AV41"/>
    <mergeCell ref="AK38:AP38"/>
    <mergeCell ref="AQ38:AV38"/>
    <mergeCell ref="A39:AV39"/>
    <mergeCell ref="A40:J40"/>
    <mergeCell ref="K40:N40"/>
    <mergeCell ref="O40:T40"/>
    <mergeCell ref="U40:X40"/>
    <mergeCell ref="Y40:AD40"/>
    <mergeCell ref="AE40:AJ40"/>
    <mergeCell ref="AK40:AP40"/>
    <mergeCell ref="A28:AV29"/>
    <mergeCell ref="A30:AV32"/>
    <mergeCell ref="U34:AC34"/>
    <mergeCell ref="AK34:AS34"/>
    <mergeCell ref="A38:J38"/>
    <mergeCell ref="K38:N38"/>
    <mergeCell ref="O38:T38"/>
    <mergeCell ref="U38:X38"/>
    <mergeCell ref="Y38:AD38"/>
    <mergeCell ref="AE38:AJ38"/>
    <mergeCell ref="F16:N16"/>
    <mergeCell ref="P16:AV16"/>
    <mergeCell ref="F17:N17"/>
    <mergeCell ref="P17:AV17"/>
    <mergeCell ref="A19:AV20"/>
    <mergeCell ref="A21:AV27"/>
    <mergeCell ref="AB10:AF10"/>
    <mergeCell ref="A11:AV11"/>
    <mergeCell ref="P12:AV12"/>
    <mergeCell ref="P13:AV13"/>
    <mergeCell ref="P14:AV14"/>
    <mergeCell ref="F15:N15"/>
    <mergeCell ref="P15:AV15"/>
  </mergeCells>
  <dataValidations disablePrompts="1" count="3">
    <dataValidation type="list" allowBlank="1" showInputMessage="1" showErrorMessage="1" sqref="V144:W144 J142:J144 WVR138:WVR144 WLV138:WLV144 WBZ138:WBZ144 VSD138:VSD144 VIH138:VIH144 UYL138:UYL144 UOP138:UOP144 UET138:UET144 TUX138:TUX144 TLB138:TLB144 TBF138:TBF144 SRJ138:SRJ144 SHN138:SHN144 RXR138:RXR144 RNV138:RNV144 RDZ138:RDZ144 QUD138:QUD144 QKH138:QKH144 QAL138:QAL144 PQP138:PQP144 PGT138:PGT144 OWX138:OWX144 ONB138:ONB144 ODF138:ODF144 NTJ138:NTJ144 NJN138:NJN144 MZR138:MZR144 MPV138:MPV144 MFZ138:MFZ144 LWD138:LWD144 LMH138:LMH144 LCL138:LCL144 KSP138:KSP144 KIT138:KIT144 JYX138:JYX144 JPB138:JPB144 JFF138:JFF144 IVJ138:IVJ144 ILN138:ILN144 IBR138:IBR144 HRV138:HRV144 HHZ138:HHZ144 GYD138:GYD144 GOH138:GOH144 GEL138:GEL144 FUP138:FUP144 FKT138:FKT144 FAX138:FAX144 ERB138:ERB144 EHF138:EHF144 DXJ138:DXJ144 DNN138:DNN144 DDR138:DDR144 CTV138:CTV144 CJZ138:CJZ144 CAD138:CAD144 BQH138:BQH144 BGL138:BGL144 AWP138:AWP144 AMT138:AMT144 ACX138:ACX144 TB138:TB144 JF138:JF144 JR138:JS144 WWD138:WWE144 WMH138:WMI144 WCL138:WCM144 VSP138:VSQ144 VIT138:VIU144 UYX138:UYY144 UPB138:UPC144 UFF138:UFG144 TVJ138:TVK144 TLN138:TLO144 TBR138:TBS144 SRV138:SRW144 SHZ138:SIA144 RYD138:RYE144 ROH138:ROI144 REL138:REM144 QUP138:QUQ144 QKT138:QKU144 QAX138:QAY144 PRB138:PRC144 PHF138:PHG144 OXJ138:OXK144 ONN138:ONO144 ODR138:ODS144 NTV138:NTW144 NJZ138:NKA144 NAD138:NAE144 MQH138:MQI144 MGL138:MGM144 LWP138:LWQ144 LMT138:LMU144 LCX138:LCY144 KTB138:KTC144 KJF138:KJG144 JZJ138:JZK144 JPN138:JPO144 JFR138:JFS144 IVV138:IVW144 ILZ138:IMA144 ICD138:ICE144 HSH138:HSI144 HIL138:HIM144 GYP138:GYQ144 GOT138:GOU144 GEX138:GEY144 FVB138:FVC144 FLF138:FLG144 FBJ138:FBK144 ERN138:ERO144 EHR138:EHS144 DXV138:DXW144 DNZ138:DOA144 DED138:DEE144 CUH138:CUI144 CKL138:CKM144 CAP138:CAQ144 BQT138:BQU144 BGX138:BGY144 AXB138:AXC144 ANF138:ANG144 ADJ138:ADK144 TN138:TO144 J139:J140" xr:uid="{F75CF36E-0026-4D52-AF3D-656E4C663A6A}">
      <formula1>$AW$161:$AW$162</formula1>
    </dataValidation>
    <dataValidation type="list" allowBlank="1" showInputMessage="1" showErrorMessage="1" sqref="J141 V141:W141" xr:uid="{B8732901-7EE7-40B6-8EA1-2C3B7537F7B7}">
      <formula1>$AW$174:$AW$175</formula1>
    </dataValidation>
    <dataValidation type="list" allowBlank="1" showInputMessage="1" showErrorMessage="1" sqref="W142:X142 AD142:AE142 AM142:AN142 M138:N138 W138:X138 M140:N140 W140:X140" xr:uid="{366C463A-3107-4A07-8092-A6DF1E828E95}">
      <formula1>$JH$138</formula1>
    </dataValidation>
  </dataValidations>
  <printOptions horizontalCentered="1"/>
  <pageMargins left="0.78740157480314965" right="0.59055118110236227" top="0.78740157480314965" bottom="0.39370078740157483" header="0" footer="0.19685039370078741"/>
  <pageSetup paperSize="9" scale="95" orientation="portrait" r:id="rId1"/>
  <headerFooter alignWithMargins="0">
    <oddFooter>&amp;L&amp;G&amp;R&amp;"Arial Narrow,Normal"&amp;8&amp;G
&amp;P</oddFooter>
  </headerFooter>
  <rowBreaks count="10" manualBreakCount="10">
    <brk id="56" max="16383" man="1"/>
    <brk id="93" max="16383" man="1"/>
    <brk id="126" max="16383" man="1"/>
    <brk id="287" max="16383" man="1"/>
    <brk id="356" max="16383" man="1"/>
    <brk id="440" max="16383" man="1"/>
    <brk id="706" max="16383" man="1"/>
    <brk id="743" max="16383" man="1"/>
    <brk id="790" max="16383" man="1"/>
    <brk id="938" max="16383"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FBA0-9A21-42B4-BA48-3D7EE85BF265}">
  <dimension ref="A1:CZ1578"/>
  <sheetViews>
    <sheetView workbookViewId="0"/>
  </sheetViews>
  <sheetFormatPr baseColWidth="10" defaultColWidth="9.140625" defaultRowHeight="12.75"/>
  <cols>
    <col min="1" max="1" width="2.7109375" style="679" customWidth="1"/>
    <col min="2" max="2" width="5" style="686" customWidth="1"/>
    <col min="3" max="3" width="5.42578125" style="679" customWidth="1"/>
    <col min="4" max="6" width="9.140625" style="679" customWidth="1"/>
    <col min="7" max="7" width="5.7109375" style="679" customWidth="1"/>
    <col min="8" max="9" width="4.5703125" style="679" customWidth="1"/>
    <col min="10" max="12" width="9.140625" style="679" customWidth="1"/>
    <col min="13" max="13" width="5.7109375" style="679" customWidth="1"/>
    <col min="14" max="14" width="6.140625" style="679" customWidth="1"/>
    <col min="15" max="15" width="3.5703125" style="679" customWidth="1"/>
    <col min="16" max="16" width="3.28515625" style="679" customWidth="1"/>
    <col min="17" max="17" width="5" style="686" customWidth="1"/>
    <col min="18" max="18" width="5.42578125" style="679" customWidth="1"/>
    <col min="19" max="21" width="9.140625" style="679"/>
    <col min="22" max="22" width="5.7109375" style="679" customWidth="1"/>
    <col min="23" max="24" width="4.5703125" style="679" customWidth="1"/>
    <col min="25" max="27" width="9.140625" style="679"/>
    <col min="28" max="28" width="5.7109375" style="679" customWidth="1"/>
    <col min="29" max="29" width="6.140625" style="679" customWidth="1"/>
    <col min="30" max="30" width="5.140625" style="679" customWidth="1"/>
    <col min="31" max="31" width="2.7109375" style="679" customWidth="1"/>
    <col min="32" max="32" width="5" style="686" customWidth="1"/>
    <col min="33" max="33" width="5.42578125" style="679" customWidth="1"/>
    <col min="34" max="36" width="9.140625" style="679"/>
    <col min="37" max="37" width="5.7109375" style="679" customWidth="1"/>
    <col min="38" max="39" width="4.5703125" style="679" customWidth="1"/>
    <col min="40" max="42" width="9.140625" style="679"/>
    <col min="43" max="43" width="5.7109375" style="679" customWidth="1"/>
    <col min="44" max="44" width="6.140625" style="679" customWidth="1"/>
    <col min="45" max="45" width="3.5703125" style="679" customWidth="1"/>
    <col min="46" max="46" width="3.28515625" style="679" customWidth="1"/>
    <col min="47" max="47" width="5" style="686" customWidth="1"/>
    <col min="48" max="48" width="5.42578125" style="679" customWidth="1"/>
    <col min="49" max="51" width="9.140625" style="679"/>
    <col min="52" max="52" width="5.7109375" style="679" customWidth="1"/>
    <col min="53" max="54" width="4.5703125" style="679" customWidth="1"/>
    <col min="55" max="57" width="9.140625" style="679"/>
    <col min="58" max="58" width="5.7109375" style="679" customWidth="1"/>
    <col min="59" max="59" width="6.140625" style="679" customWidth="1"/>
    <col min="60" max="60" width="9.140625" style="679"/>
    <col min="61" max="61" width="2.7109375" style="679" customWidth="1"/>
    <col min="62" max="62" width="5" style="686" customWidth="1"/>
    <col min="63" max="63" width="5.42578125" style="679" customWidth="1"/>
    <col min="64" max="66" width="9.140625" style="679"/>
    <col min="67" max="67" width="5.7109375" style="679" customWidth="1"/>
    <col min="68" max="69" width="4.5703125" style="679" customWidth="1"/>
    <col min="70" max="72" width="9.140625" style="679"/>
    <col min="73" max="73" width="5.7109375" style="679" customWidth="1"/>
    <col min="74" max="74" width="6.140625" style="679" customWidth="1"/>
    <col min="75" max="75" width="3.5703125" style="679" customWidth="1"/>
    <col min="76" max="76" width="3.28515625" style="679" customWidth="1"/>
    <col min="77" max="77" width="5" style="686" customWidth="1"/>
    <col min="78" max="78" width="5.42578125" style="679" customWidth="1"/>
    <col min="79" max="81" width="9.140625" style="679"/>
    <col min="82" max="82" width="5.7109375" style="679" customWidth="1"/>
    <col min="83" max="84" width="4.5703125" style="679" customWidth="1"/>
    <col min="85" max="87" width="9.140625" style="679"/>
    <col min="88" max="88" width="5.7109375" style="679" customWidth="1"/>
    <col min="89" max="89" width="6.140625" style="679" customWidth="1"/>
    <col min="90" max="90" width="5.140625" style="679" customWidth="1"/>
    <col min="91" max="91" width="2.7109375" style="679" customWidth="1"/>
    <col min="92" max="92" width="5" style="686" customWidth="1"/>
    <col min="93" max="93" width="5.42578125" style="679" customWidth="1"/>
    <col min="94" max="96" width="9.140625" style="679"/>
    <col min="97" max="97" width="5.7109375" style="679" customWidth="1"/>
    <col min="98" max="99" width="4.5703125" style="679" customWidth="1"/>
    <col min="100" max="102" width="9.140625" style="679"/>
    <col min="103" max="103" width="5.7109375" style="679" customWidth="1"/>
    <col min="104" max="104" width="6.140625" style="679" customWidth="1"/>
    <col min="105" max="330" width="9.140625" style="679"/>
    <col min="331" max="331" width="0.85546875" style="679" customWidth="1"/>
    <col min="332" max="332" width="5" style="679" customWidth="1"/>
    <col min="333" max="333" width="5.42578125" style="679" customWidth="1"/>
    <col min="334" max="336" width="9.140625" style="679"/>
    <col min="337" max="337" width="5.7109375" style="679" customWidth="1"/>
    <col min="338" max="339" width="4.5703125" style="679" customWidth="1"/>
    <col min="340" max="342" width="9.140625" style="679"/>
    <col min="343" max="343" width="5.7109375" style="679" customWidth="1"/>
    <col min="344" max="344" width="6.140625" style="679" customWidth="1"/>
    <col min="345" max="586" width="9.140625" style="679"/>
    <col min="587" max="587" width="0.85546875" style="679" customWidth="1"/>
    <col min="588" max="588" width="5" style="679" customWidth="1"/>
    <col min="589" max="589" width="5.42578125" style="679" customWidth="1"/>
    <col min="590" max="592" width="9.140625" style="679"/>
    <col min="593" max="593" width="5.7109375" style="679" customWidth="1"/>
    <col min="594" max="595" width="4.5703125" style="679" customWidth="1"/>
    <col min="596" max="598" width="9.140625" style="679"/>
    <col min="599" max="599" width="5.7109375" style="679" customWidth="1"/>
    <col min="600" max="600" width="6.140625" style="679" customWidth="1"/>
    <col min="601" max="842" width="9.140625" style="679"/>
    <col min="843" max="843" width="0.85546875" style="679" customWidth="1"/>
    <col min="844" max="844" width="5" style="679" customWidth="1"/>
    <col min="845" max="845" width="5.42578125" style="679" customWidth="1"/>
    <col min="846" max="848" width="9.140625" style="679"/>
    <col min="849" max="849" width="5.7109375" style="679" customWidth="1"/>
    <col min="850" max="851" width="4.5703125" style="679" customWidth="1"/>
    <col min="852" max="854" width="9.140625" style="679"/>
    <col min="855" max="855" width="5.7109375" style="679" customWidth="1"/>
    <col min="856" max="856" width="6.140625" style="679" customWidth="1"/>
    <col min="857" max="1098" width="9.140625" style="679"/>
    <col min="1099" max="1099" width="0.85546875" style="679" customWidth="1"/>
    <col min="1100" max="1100" width="5" style="679" customWidth="1"/>
    <col min="1101" max="1101" width="5.42578125" style="679" customWidth="1"/>
    <col min="1102" max="1104" width="9.140625" style="679"/>
    <col min="1105" max="1105" width="5.7109375" style="679" customWidth="1"/>
    <col min="1106" max="1107" width="4.5703125" style="679" customWidth="1"/>
    <col min="1108" max="1110" width="9.140625" style="679"/>
    <col min="1111" max="1111" width="5.7109375" style="679" customWidth="1"/>
    <col min="1112" max="1112" width="6.140625" style="679" customWidth="1"/>
    <col min="1113" max="1354" width="9.140625" style="679"/>
    <col min="1355" max="1355" width="0.85546875" style="679" customWidth="1"/>
    <col min="1356" max="1356" width="5" style="679" customWidth="1"/>
    <col min="1357" max="1357" width="5.42578125" style="679" customWidth="1"/>
    <col min="1358" max="1360" width="9.140625" style="679"/>
    <col min="1361" max="1361" width="5.7109375" style="679" customWidth="1"/>
    <col min="1362" max="1363" width="4.5703125" style="679" customWidth="1"/>
    <col min="1364" max="1366" width="9.140625" style="679"/>
    <col min="1367" max="1367" width="5.7109375" style="679" customWidth="1"/>
    <col min="1368" max="1368" width="6.140625" style="679" customWidth="1"/>
    <col min="1369" max="1610" width="9.140625" style="679"/>
    <col min="1611" max="1611" width="0.85546875" style="679" customWidth="1"/>
    <col min="1612" max="1612" width="5" style="679" customWidth="1"/>
    <col min="1613" max="1613" width="5.42578125" style="679" customWidth="1"/>
    <col min="1614" max="1616" width="9.140625" style="679"/>
    <col min="1617" max="1617" width="5.7109375" style="679" customWidth="1"/>
    <col min="1618" max="1619" width="4.5703125" style="679" customWidth="1"/>
    <col min="1620" max="1622" width="9.140625" style="679"/>
    <col min="1623" max="1623" width="5.7109375" style="679" customWidth="1"/>
    <col min="1624" max="1624" width="6.140625" style="679" customWidth="1"/>
    <col min="1625" max="1866" width="9.140625" style="679"/>
    <col min="1867" max="1867" width="0.85546875" style="679" customWidth="1"/>
    <col min="1868" max="1868" width="5" style="679" customWidth="1"/>
    <col min="1869" max="1869" width="5.42578125" style="679" customWidth="1"/>
    <col min="1870" max="1872" width="9.140625" style="679"/>
    <col min="1873" max="1873" width="5.7109375" style="679" customWidth="1"/>
    <col min="1874" max="1875" width="4.5703125" style="679" customWidth="1"/>
    <col min="1876" max="1878" width="9.140625" style="679"/>
    <col min="1879" max="1879" width="5.7109375" style="679" customWidth="1"/>
    <col min="1880" max="1880" width="6.140625" style="679" customWidth="1"/>
    <col min="1881" max="2122" width="9.140625" style="679"/>
    <col min="2123" max="2123" width="0.85546875" style="679" customWidth="1"/>
    <col min="2124" max="2124" width="5" style="679" customWidth="1"/>
    <col min="2125" max="2125" width="5.42578125" style="679" customWidth="1"/>
    <col min="2126" max="2128" width="9.140625" style="679"/>
    <col min="2129" max="2129" width="5.7109375" style="679" customWidth="1"/>
    <col min="2130" max="2131" width="4.5703125" style="679" customWidth="1"/>
    <col min="2132" max="2134" width="9.140625" style="679"/>
    <col min="2135" max="2135" width="5.7109375" style="679" customWidth="1"/>
    <col min="2136" max="2136" width="6.140625" style="679" customWidth="1"/>
    <col min="2137" max="2378" width="9.140625" style="679"/>
    <col min="2379" max="2379" width="0.85546875" style="679" customWidth="1"/>
    <col min="2380" max="2380" width="5" style="679" customWidth="1"/>
    <col min="2381" max="2381" width="5.42578125" style="679" customWidth="1"/>
    <col min="2382" max="2384" width="9.140625" style="679"/>
    <col min="2385" max="2385" width="5.7109375" style="679" customWidth="1"/>
    <col min="2386" max="2387" width="4.5703125" style="679" customWidth="1"/>
    <col min="2388" max="2390" width="9.140625" style="679"/>
    <col min="2391" max="2391" width="5.7109375" style="679" customWidth="1"/>
    <col min="2392" max="2392" width="6.140625" style="679" customWidth="1"/>
    <col min="2393" max="2634" width="9.140625" style="679"/>
    <col min="2635" max="2635" width="0.85546875" style="679" customWidth="1"/>
    <col min="2636" max="2636" width="5" style="679" customWidth="1"/>
    <col min="2637" max="2637" width="5.42578125" style="679" customWidth="1"/>
    <col min="2638" max="2640" width="9.140625" style="679"/>
    <col min="2641" max="2641" width="5.7109375" style="679" customWidth="1"/>
    <col min="2642" max="2643" width="4.5703125" style="679" customWidth="1"/>
    <col min="2644" max="2646" width="9.140625" style="679"/>
    <col min="2647" max="2647" width="5.7109375" style="679" customWidth="1"/>
    <col min="2648" max="2648" width="6.140625" style="679" customWidth="1"/>
    <col min="2649" max="2890" width="9.140625" style="679"/>
    <col min="2891" max="2891" width="0.85546875" style="679" customWidth="1"/>
    <col min="2892" max="2892" width="5" style="679" customWidth="1"/>
    <col min="2893" max="2893" width="5.42578125" style="679" customWidth="1"/>
    <col min="2894" max="2896" width="9.140625" style="679"/>
    <col min="2897" max="2897" width="5.7109375" style="679" customWidth="1"/>
    <col min="2898" max="2899" width="4.5703125" style="679" customWidth="1"/>
    <col min="2900" max="2902" width="9.140625" style="679"/>
    <col min="2903" max="2903" width="5.7109375" style="679" customWidth="1"/>
    <col min="2904" max="2904" width="6.140625" style="679" customWidth="1"/>
    <col min="2905" max="3146" width="9.140625" style="679"/>
    <col min="3147" max="3147" width="0.85546875" style="679" customWidth="1"/>
    <col min="3148" max="3148" width="5" style="679" customWidth="1"/>
    <col min="3149" max="3149" width="5.42578125" style="679" customWidth="1"/>
    <col min="3150" max="3152" width="9.140625" style="679"/>
    <col min="3153" max="3153" width="5.7109375" style="679" customWidth="1"/>
    <col min="3154" max="3155" width="4.5703125" style="679" customWidth="1"/>
    <col min="3156" max="3158" width="9.140625" style="679"/>
    <col min="3159" max="3159" width="5.7109375" style="679" customWidth="1"/>
    <col min="3160" max="3160" width="6.140625" style="679" customWidth="1"/>
    <col min="3161" max="3402" width="9.140625" style="679"/>
    <col min="3403" max="3403" width="0.85546875" style="679" customWidth="1"/>
    <col min="3404" max="3404" width="5" style="679" customWidth="1"/>
    <col min="3405" max="3405" width="5.42578125" style="679" customWidth="1"/>
    <col min="3406" max="3408" width="9.140625" style="679"/>
    <col min="3409" max="3409" width="5.7109375" style="679" customWidth="1"/>
    <col min="3410" max="3411" width="4.5703125" style="679" customWidth="1"/>
    <col min="3412" max="3414" width="9.140625" style="679"/>
    <col min="3415" max="3415" width="5.7109375" style="679" customWidth="1"/>
    <col min="3416" max="3416" width="6.140625" style="679" customWidth="1"/>
    <col min="3417" max="3658" width="9.140625" style="679"/>
    <col min="3659" max="3659" width="0.85546875" style="679" customWidth="1"/>
    <col min="3660" max="3660" width="5" style="679" customWidth="1"/>
    <col min="3661" max="3661" width="5.42578125" style="679" customWidth="1"/>
    <col min="3662" max="3664" width="9.140625" style="679"/>
    <col min="3665" max="3665" width="5.7109375" style="679" customWidth="1"/>
    <col min="3666" max="3667" width="4.5703125" style="679" customWidth="1"/>
    <col min="3668" max="3670" width="9.140625" style="679"/>
    <col min="3671" max="3671" width="5.7109375" style="679" customWidth="1"/>
    <col min="3672" max="3672" width="6.140625" style="679" customWidth="1"/>
    <col min="3673" max="3914" width="9.140625" style="679"/>
    <col min="3915" max="3915" width="0.85546875" style="679" customWidth="1"/>
    <col min="3916" max="3916" width="5" style="679" customWidth="1"/>
    <col min="3917" max="3917" width="5.42578125" style="679" customWidth="1"/>
    <col min="3918" max="3920" width="9.140625" style="679"/>
    <col min="3921" max="3921" width="5.7109375" style="679" customWidth="1"/>
    <col min="3922" max="3923" width="4.5703125" style="679" customWidth="1"/>
    <col min="3924" max="3926" width="9.140625" style="679"/>
    <col min="3927" max="3927" width="5.7109375" style="679" customWidth="1"/>
    <col min="3928" max="3928" width="6.140625" style="679" customWidth="1"/>
    <col min="3929" max="4170" width="9.140625" style="679"/>
    <col min="4171" max="4171" width="0.85546875" style="679" customWidth="1"/>
    <col min="4172" max="4172" width="5" style="679" customWidth="1"/>
    <col min="4173" max="4173" width="5.42578125" style="679" customWidth="1"/>
    <col min="4174" max="4176" width="9.140625" style="679"/>
    <col min="4177" max="4177" width="5.7109375" style="679" customWidth="1"/>
    <col min="4178" max="4179" width="4.5703125" style="679" customWidth="1"/>
    <col min="4180" max="4182" width="9.140625" style="679"/>
    <col min="4183" max="4183" width="5.7109375" style="679" customWidth="1"/>
    <col min="4184" max="4184" width="6.140625" style="679" customWidth="1"/>
    <col min="4185" max="4426" width="9.140625" style="679"/>
    <col min="4427" max="4427" width="0.85546875" style="679" customWidth="1"/>
    <col min="4428" max="4428" width="5" style="679" customWidth="1"/>
    <col min="4429" max="4429" width="5.42578125" style="679" customWidth="1"/>
    <col min="4430" max="4432" width="9.140625" style="679"/>
    <col min="4433" max="4433" width="5.7109375" style="679" customWidth="1"/>
    <col min="4434" max="4435" width="4.5703125" style="679" customWidth="1"/>
    <col min="4436" max="4438" width="9.140625" style="679"/>
    <col min="4439" max="4439" width="5.7109375" style="679" customWidth="1"/>
    <col min="4440" max="4440" width="6.140625" style="679" customWidth="1"/>
    <col min="4441" max="4682" width="9.140625" style="679"/>
    <col min="4683" max="4683" width="0.85546875" style="679" customWidth="1"/>
    <col min="4684" max="4684" width="5" style="679" customWidth="1"/>
    <col min="4685" max="4685" width="5.42578125" style="679" customWidth="1"/>
    <col min="4686" max="4688" width="9.140625" style="679"/>
    <col min="4689" max="4689" width="5.7109375" style="679" customWidth="1"/>
    <col min="4690" max="4691" width="4.5703125" style="679" customWidth="1"/>
    <col min="4692" max="4694" width="9.140625" style="679"/>
    <col min="4695" max="4695" width="5.7109375" style="679" customWidth="1"/>
    <col min="4696" max="4696" width="6.140625" style="679" customWidth="1"/>
    <col min="4697" max="4938" width="9.140625" style="679"/>
    <col min="4939" max="4939" width="0.85546875" style="679" customWidth="1"/>
    <col min="4940" max="4940" width="5" style="679" customWidth="1"/>
    <col min="4941" max="4941" width="5.42578125" style="679" customWidth="1"/>
    <col min="4942" max="4944" width="9.140625" style="679"/>
    <col min="4945" max="4945" width="5.7109375" style="679" customWidth="1"/>
    <col min="4946" max="4947" width="4.5703125" style="679" customWidth="1"/>
    <col min="4948" max="4950" width="9.140625" style="679"/>
    <col min="4951" max="4951" width="5.7109375" style="679" customWidth="1"/>
    <col min="4952" max="4952" width="6.140625" style="679" customWidth="1"/>
    <col min="4953" max="5194" width="9.140625" style="679"/>
    <col min="5195" max="5195" width="0.85546875" style="679" customWidth="1"/>
    <col min="5196" max="5196" width="5" style="679" customWidth="1"/>
    <col min="5197" max="5197" width="5.42578125" style="679" customWidth="1"/>
    <col min="5198" max="5200" width="9.140625" style="679"/>
    <col min="5201" max="5201" width="5.7109375" style="679" customWidth="1"/>
    <col min="5202" max="5203" width="4.5703125" style="679" customWidth="1"/>
    <col min="5204" max="5206" width="9.140625" style="679"/>
    <col min="5207" max="5207" width="5.7109375" style="679" customWidth="1"/>
    <col min="5208" max="5208" width="6.140625" style="679" customWidth="1"/>
    <col min="5209" max="5450" width="9.140625" style="679"/>
    <col min="5451" max="5451" width="0.85546875" style="679" customWidth="1"/>
    <col min="5452" max="5452" width="5" style="679" customWidth="1"/>
    <col min="5453" max="5453" width="5.42578125" style="679" customWidth="1"/>
    <col min="5454" max="5456" width="9.140625" style="679"/>
    <col min="5457" max="5457" width="5.7109375" style="679" customWidth="1"/>
    <col min="5458" max="5459" width="4.5703125" style="679" customWidth="1"/>
    <col min="5460" max="5462" width="9.140625" style="679"/>
    <col min="5463" max="5463" width="5.7109375" style="679" customWidth="1"/>
    <col min="5464" max="5464" width="6.140625" style="679" customWidth="1"/>
    <col min="5465" max="5706" width="9.140625" style="679"/>
    <col min="5707" max="5707" width="0.85546875" style="679" customWidth="1"/>
    <col min="5708" max="5708" width="5" style="679" customWidth="1"/>
    <col min="5709" max="5709" width="5.42578125" style="679" customWidth="1"/>
    <col min="5710" max="5712" width="9.140625" style="679"/>
    <col min="5713" max="5713" width="5.7109375" style="679" customWidth="1"/>
    <col min="5714" max="5715" width="4.5703125" style="679" customWidth="1"/>
    <col min="5716" max="5718" width="9.140625" style="679"/>
    <col min="5719" max="5719" width="5.7109375" style="679" customWidth="1"/>
    <col min="5720" max="5720" width="6.140625" style="679" customWidth="1"/>
    <col min="5721" max="5962" width="9.140625" style="679"/>
    <col min="5963" max="5963" width="0.85546875" style="679" customWidth="1"/>
    <col min="5964" max="5964" width="5" style="679" customWidth="1"/>
    <col min="5965" max="5965" width="5.42578125" style="679" customWidth="1"/>
    <col min="5966" max="5968" width="9.140625" style="679"/>
    <col min="5969" max="5969" width="5.7109375" style="679" customWidth="1"/>
    <col min="5970" max="5971" width="4.5703125" style="679" customWidth="1"/>
    <col min="5972" max="5974" width="9.140625" style="679"/>
    <col min="5975" max="5975" width="5.7109375" style="679" customWidth="1"/>
    <col min="5976" max="5976" width="6.140625" style="679" customWidth="1"/>
    <col min="5977" max="6218" width="9.140625" style="679"/>
    <col min="6219" max="6219" width="0.85546875" style="679" customWidth="1"/>
    <col min="6220" max="6220" width="5" style="679" customWidth="1"/>
    <col min="6221" max="6221" width="5.42578125" style="679" customWidth="1"/>
    <col min="6222" max="6224" width="9.140625" style="679"/>
    <col min="6225" max="6225" width="5.7109375" style="679" customWidth="1"/>
    <col min="6226" max="6227" width="4.5703125" style="679" customWidth="1"/>
    <col min="6228" max="6230" width="9.140625" style="679"/>
    <col min="6231" max="6231" width="5.7109375" style="679" customWidth="1"/>
    <col min="6232" max="6232" width="6.140625" style="679" customWidth="1"/>
    <col min="6233" max="6474" width="9.140625" style="679"/>
    <col min="6475" max="6475" width="0.85546875" style="679" customWidth="1"/>
    <col min="6476" max="6476" width="5" style="679" customWidth="1"/>
    <col min="6477" max="6477" width="5.42578125" style="679" customWidth="1"/>
    <col min="6478" max="6480" width="9.140625" style="679"/>
    <col min="6481" max="6481" width="5.7109375" style="679" customWidth="1"/>
    <col min="6482" max="6483" width="4.5703125" style="679" customWidth="1"/>
    <col min="6484" max="6486" width="9.140625" style="679"/>
    <col min="6487" max="6487" width="5.7109375" style="679" customWidth="1"/>
    <col min="6488" max="6488" width="6.140625" style="679" customWidth="1"/>
    <col min="6489" max="6730" width="9.140625" style="679"/>
    <col min="6731" max="6731" width="0.85546875" style="679" customWidth="1"/>
    <col min="6732" max="6732" width="5" style="679" customWidth="1"/>
    <col min="6733" max="6733" width="5.42578125" style="679" customWidth="1"/>
    <col min="6734" max="6736" width="9.140625" style="679"/>
    <col min="6737" max="6737" width="5.7109375" style="679" customWidth="1"/>
    <col min="6738" max="6739" width="4.5703125" style="679" customWidth="1"/>
    <col min="6740" max="6742" width="9.140625" style="679"/>
    <col min="6743" max="6743" width="5.7109375" style="679" customWidth="1"/>
    <col min="6744" max="6744" width="6.140625" style="679" customWidth="1"/>
    <col min="6745" max="6986" width="9.140625" style="679"/>
    <col min="6987" max="6987" width="0.85546875" style="679" customWidth="1"/>
    <col min="6988" max="6988" width="5" style="679" customWidth="1"/>
    <col min="6989" max="6989" width="5.42578125" style="679" customWidth="1"/>
    <col min="6990" max="6992" width="9.140625" style="679"/>
    <col min="6993" max="6993" width="5.7109375" style="679" customWidth="1"/>
    <col min="6994" max="6995" width="4.5703125" style="679" customWidth="1"/>
    <col min="6996" max="6998" width="9.140625" style="679"/>
    <col min="6999" max="6999" width="5.7109375" style="679" customWidth="1"/>
    <col min="7000" max="7000" width="6.140625" style="679" customWidth="1"/>
    <col min="7001" max="7242" width="9.140625" style="679"/>
    <col min="7243" max="7243" width="0.85546875" style="679" customWidth="1"/>
    <col min="7244" max="7244" width="5" style="679" customWidth="1"/>
    <col min="7245" max="7245" width="5.42578125" style="679" customWidth="1"/>
    <col min="7246" max="7248" width="9.140625" style="679"/>
    <col min="7249" max="7249" width="5.7109375" style="679" customWidth="1"/>
    <col min="7250" max="7251" width="4.5703125" style="679" customWidth="1"/>
    <col min="7252" max="7254" width="9.140625" style="679"/>
    <col min="7255" max="7255" width="5.7109375" style="679" customWidth="1"/>
    <col min="7256" max="7256" width="6.140625" style="679" customWidth="1"/>
    <col min="7257" max="7498" width="9.140625" style="679"/>
    <col min="7499" max="7499" width="0.85546875" style="679" customWidth="1"/>
    <col min="7500" max="7500" width="5" style="679" customWidth="1"/>
    <col min="7501" max="7501" width="5.42578125" style="679" customWidth="1"/>
    <col min="7502" max="7504" width="9.140625" style="679"/>
    <col min="7505" max="7505" width="5.7109375" style="679" customWidth="1"/>
    <col min="7506" max="7507" width="4.5703125" style="679" customWidth="1"/>
    <col min="7508" max="7510" width="9.140625" style="679"/>
    <col min="7511" max="7511" width="5.7109375" style="679" customWidth="1"/>
    <col min="7512" max="7512" width="6.140625" style="679" customWidth="1"/>
    <col min="7513" max="7754" width="9.140625" style="679"/>
    <col min="7755" max="7755" width="0.85546875" style="679" customWidth="1"/>
    <col min="7756" max="7756" width="5" style="679" customWidth="1"/>
    <col min="7757" max="7757" width="5.42578125" style="679" customWidth="1"/>
    <col min="7758" max="7760" width="9.140625" style="679"/>
    <col min="7761" max="7761" width="5.7109375" style="679" customWidth="1"/>
    <col min="7762" max="7763" width="4.5703125" style="679" customWidth="1"/>
    <col min="7764" max="7766" width="9.140625" style="679"/>
    <col min="7767" max="7767" width="5.7109375" style="679" customWidth="1"/>
    <col min="7768" max="7768" width="6.140625" style="679" customWidth="1"/>
    <col min="7769" max="8010" width="9.140625" style="679"/>
    <col min="8011" max="8011" width="0.85546875" style="679" customWidth="1"/>
    <col min="8012" max="8012" width="5" style="679" customWidth="1"/>
    <col min="8013" max="8013" width="5.42578125" style="679" customWidth="1"/>
    <col min="8014" max="8016" width="9.140625" style="679"/>
    <col min="8017" max="8017" width="5.7109375" style="679" customWidth="1"/>
    <col min="8018" max="8019" width="4.5703125" style="679" customWidth="1"/>
    <col min="8020" max="8022" width="9.140625" style="679"/>
    <col min="8023" max="8023" width="5.7109375" style="679" customWidth="1"/>
    <col min="8024" max="8024" width="6.140625" style="679" customWidth="1"/>
    <col min="8025" max="8266" width="9.140625" style="679"/>
    <col min="8267" max="8267" width="0.85546875" style="679" customWidth="1"/>
    <col min="8268" max="8268" width="5" style="679" customWidth="1"/>
    <col min="8269" max="8269" width="5.42578125" style="679" customWidth="1"/>
    <col min="8270" max="8272" width="9.140625" style="679"/>
    <col min="8273" max="8273" width="5.7109375" style="679" customWidth="1"/>
    <col min="8274" max="8275" width="4.5703125" style="679" customWidth="1"/>
    <col min="8276" max="8278" width="9.140625" style="679"/>
    <col min="8279" max="8279" width="5.7109375" style="679" customWidth="1"/>
    <col min="8280" max="8280" width="6.140625" style="679" customWidth="1"/>
    <col min="8281" max="8522" width="9.140625" style="679"/>
    <col min="8523" max="8523" width="0.85546875" style="679" customWidth="1"/>
    <col min="8524" max="8524" width="5" style="679" customWidth="1"/>
    <col min="8525" max="8525" width="5.42578125" style="679" customWidth="1"/>
    <col min="8526" max="8528" width="9.140625" style="679"/>
    <col min="8529" max="8529" width="5.7109375" style="679" customWidth="1"/>
    <col min="8530" max="8531" width="4.5703125" style="679" customWidth="1"/>
    <col min="8532" max="8534" width="9.140625" style="679"/>
    <col min="8535" max="8535" width="5.7109375" style="679" customWidth="1"/>
    <col min="8536" max="8536" width="6.140625" style="679" customWidth="1"/>
    <col min="8537" max="8778" width="9.140625" style="679"/>
    <col min="8779" max="8779" width="0.85546875" style="679" customWidth="1"/>
    <col min="8780" max="8780" width="5" style="679" customWidth="1"/>
    <col min="8781" max="8781" width="5.42578125" style="679" customWidth="1"/>
    <col min="8782" max="8784" width="9.140625" style="679"/>
    <col min="8785" max="8785" width="5.7109375" style="679" customWidth="1"/>
    <col min="8786" max="8787" width="4.5703125" style="679" customWidth="1"/>
    <col min="8788" max="8790" width="9.140625" style="679"/>
    <col min="8791" max="8791" width="5.7109375" style="679" customWidth="1"/>
    <col min="8792" max="8792" width="6.140625" style="679" customWidth="1"/>
    <col min="8793" max="9034" width="9.140625" style="679"/>
    <col min="9035" max="9035" width="0.85546875" style="679" customWidth="1"/>
    <col min="9036" max="9036" width="5" style="679" customWidth="1"/>
    <col min="9037" max="9037" width="5.42578125" style="679" customWidth="1"/>
    <col min="9038" max="9040" width="9.140625" style="679"/>
    <col min="9041" max="9041" width="5.7109375" style="679" customWidth="1"/>
    <col min="9042" max="9043" width="4.5703125" style="679" customWidth="1"/>
    <col min="9044" max="9046" width="9.140625" style="679"/>
    <col min="9047" max="9047" width="5.7109375" style="679" customWidth="1"/>
    <col min="9048" max="9048" width="6.140625" style="679" customWidth="1"/>
    <col min="9049" max="9290" width="9.140625" style="679"/>
    <col min="9291" max="9291" width="0.85546875" style="679" customWidth="1"/>
    <col min="9292" max="9292" width="5" style="679" customWidth="1"/>
    <col min="9293" max="9293" width="5.42578125" style="679" customWidth="1"/>
    <col min="9294" max="9296" width="9.140625" style="679"/>
    <col min="9297" max="9297" width="5.7109375" style="679" customWidth="1"/>
    <col min="9298" max="9299" width="4.5703125" style="679" customWidth="1"/>
    <col min="9300" max="9302" width="9.140625" style="679"/>
    <col min="9303" max="9303" width="5.7109375" style="679" customWidth="1"/>
    <col min="9304" max="9304" width="6.140625" style="679" customWidth="1"/>
    <col min="9305" max="9546" width="9.140625" style="679"/>
    <col min="9547" max="9547" width="0.85546875" style="679" customWidth="1"/>
    <col min="9548" max="9548" width="5" style="679" customWidth="1"/>
    <col min="9549" max="9549" width="5.42578125" style="679" customWidth="1"/>
    <col min="9550" max="9552" width="9.140625" style="679"/>
    <col min="9553" max="9553" width="5.7109375" style="679" customWidth="1"/>
    <col min="9554" max="9555" width="4.5703125" style="679" customWidth="1"/>
    <col min="9556" max="9558" width="9.140625" style="679"/>
    <col min="9559" max="9559" width="5.7109375" style="679" customWidth="1"/>
    <col min="9560" max="9560" width="6.140625" style="679" customWidth="1"/>
    <col min="9561" max="9802" width="9.140625" style="679"/>
    <col min="9803" max="9803" width="0.85546875" style="679" customWidth="1"/>
    <col min="9804" max="9804" width="5" style="679" customWidth="1"/>
    <col min="9805" max="9805" width="5.42578125" style="679" customWidth="1"/>
    <col min="9806" max="9808" width="9.140625" style="679"/>
    <col min="9809" max="9809" width="5.7109375" style="679" customWidth="1"/>
    <col min="9810" max="9811" width="4.5703125" style="679" customWidth="1"/>
    <col min="9812" max="9814" width="9.140625" style="679"/>
    <col min="9815" max="9815" width="5.7109375" style="679" customWidth="1"/>
    <col min="9816" max="9816" width="6.140625" style="679" customWidth="1"/>
    <col min="9817" max="10058" width="9.140625" style="679"/>
    <col min="10059" max="10059" width="0.85546875" style="679" customWidth="1"/>
    <col min="10060" max="10060" width="5" style="679" customWidth="1"/>
    <col min="10061" max="10061" width="5.42578125" style="679" customWidth="1"/>
    <col min="10062" max="10064" width="9.140625" style="679"/>
    <col min="10065" max="10065" width="5.7109375" style="679" customWidth="1"/>
    <col min="10066" max="10067" width="4.5703125" style="679" customWidth="1"/>
    <col min="10068" max="10070" width="9.140625" style="679"/>
    <col min="10071" max="10071" width="5.7109375" style="679" customWidth="1"/>
    <col min="10072" max="10072" width="6.140625" style="679" customWidth="1"/>
    <col min="10073" max="10314" width="9.140625" style="679"/>
    <col min="10315" max="10315" width="0.85546875" style="679" customWidth="1"/>
    <col min="10316" max="10316" width="5" style="679" customWidth="1"/>
    <col min="10317" max="10317" width="5.42578125" style="679" customWidth="1"/>
    <col min="10318" max="10320" width="9.140625" style="679"/>
    <col min="10321" max="10321" width="5.7109375" style="679" customWidth="1"/>
    <col min="10322" max="10323" width="4.5703125" style="679" customWidth="1"/>
    <col min="10324" max="10326" width="9.140625" style="679"/>
    <col min="10327" max="10327" width="5.7109375" style="679" customWidth="1"/>
    <col min="10328" max="10328" width="6.140625" style="679" customWidth="1"/>
    <col min="10329" max="10570" width="9.140625" style="679"/>
    <col min="10571" max="10571" width="0.85546875" style="679" customWidth="1"/>
    <col min="10572" max="10572" width="5" style="679" customWidth="1"/>
    <col min="10573" max="10573" width="5.42578125" style="679" customWidth="1"/>
    <col min="10574" max="10576" width="9.140625" style="679"/>
    <col min="10577" max="10577" width="5.7109375" style="679" customWidth="1"/>
    <col min="10578" max="10579" width="4.5703125" style="679" customWidth="1"/>
    <col min="10580" max="10582" width="9.140625" style="679"/>
    <col min="10583" max="10583" width="5.7109375" style="679" customWidth="1"/>
    <col min="10584" max="10584" width="6.140625" style="679" customWidth="1"/>
    <col min="10585" max="10826" width="9.140625" style="679"/>
    <col min="10827" max="10827" width="0.85546875" style="679" customWidth="1"/>
    <col min="10828" max="10828" width="5" style="679" customWidth="1"/>
    <col min="10829" max="10829" width="5.42578125" style="679" customWidth="1"/>
    <col min="10830" max="10832" width="9.140625" style="679"/>
    <col min="10833" max="10833" width="5.7109375" style="679" customWidth="1"/>
    <col min="10834" max="10835" width="4.5703125" style="679" customWidth="1"/>
    <col min="10836" max="10838" width="9.140625" style="679"/>
    <col min="10839" max="10839" width="5.7109375" style="679" customWidth="1"/>
    <col min="10840" max="10840" width="6.140625" style="679" customWidth="1"/>
    <col min="10841" max="11082" width="9.140625" style="679"/>
    <col min="11083" max="11083" width="0.85546875" style="679" customWidth="1"/>
    <col min="11084" max="11084" width="5" style="679" customWidth="1"/>
    <col min="11085" max="11085" width="5.42578125" style="679" customWidth="1"/>
    <col min="11086" max="11088" width="9.140625" style="679"/>
    <col min="11089" max="11089" width="5.7109375" style="679" customWidth="1"/>
    <col min="11090" max="11091" width="4.5703125" style="679" customWidth="1"/>
    <col min="11092" max="11094" width="9.140625" style="679"/>
    <col min="11095" max="11095" width="5.7109375" style="679" customWidth="1"/>
    <col min="11096" max="11096" width="6.140625" style="679" customWidth="1"/>
    <col min="11097" max="11338" width="9.140625" style="679"/>
    <col min="11339" max="11339" width="0.85546875" style="679" customWidth="1"/>
    <col min="11340" max="11340" width="5" style="679" customWidth="1"/>
    <col min="11341" max="11341" width="5.42578125" style="679" customWidth="1"/>
    <col min="11342" max="11344" width="9.140625" style="679"/>
    <col min="11345" max="11345" width="5.7109375" style="679" customWidth="1"/>
    <col min="11346" max="11347" width="4.5703125" style="679" customWidth="1"/>
    <col min="11348" max="11350" width="9.140625" style="679"/>
    <col min="11351" max="11351" width="5.7109375" style="679" customWidth="1"/>
    <col min="11352" max="11352" width="6.140625" style="679" customWidth="1"/>
    <col min="11353" max="11594" width="9.140625" style="679"/>
    <col min="11595" max="11595" width="0.85546875" style="679" customWidth="1"/>
    <col min="11596" max="11596" width="5" style="679" customWidth="1"/>
    <col min="11597" max="11597" width="5.42578125" style="679" customWidth="1"/>
    <col min="11598" max="11600" width="9.140625" style="679"/>
    <col min="11601" max="11601" width="5.7109375" style="679" customWidth="1"/>
    <col min="11602" max="11603" width="4.5703125" style="679" customWidth="1"/>
    <col min="11604" max="11606" width="9.140625" style="679"/>
    <col min="11607" max="11607" width="5.7109375" style="679" customWidth="1"/>
    <col min="11608" max="11608" width="6.140625" style="679" customWidth="1"/>
    <col min="11609" max="11850" width="9.140625" style="679"/>
    <col min="11851" max="11851" width="0.85546875" style="679" customWidth="1"/>
    <col min="11852" max="11852" width="5" style="679" customWidth="1"/>
    <col min="11853" max="11853" width="5.42578125" style="679" customWidth="1"/>
    <col min="11854" max="11856" width="9.140625" style="679"/>
    <col min="11857" max="11857" width="5.7109375" style="679" customWidth="1"/>
    <col min="11858" max="11859" width="4.5703125" style="679" customWidth="1"/>
    <col min="11860" max="11862" width="9.140625" style="679"/>
    <col min="11863" max="11863" width="5.7109375" style="679" customWidth="1"/>
    <col min="11864" max="11864" width="6.140625" style="679" customWidth="1"/>
    <col min="11865" max="12106" width="9.140625" style="679"/>
    <col min="12107" max="12107" width="0.85546875" style="679" customWidth="1"/>
    <col min="12108" max="12108" width="5" style="679" customWidth="1"/>
    <col min="12109" max="12109" width="5.42578125" style="679" customWidth="1"/>
    <col min="12110" max="12112" width="9.140625" style="679"/>
    <col min="12113" max="12113" width="5.7109375" style="679" customWidth="1"/>
    <col min="12114" max="12115" width="4.5703125" style="679" customWidth="1"/>
    <col min="12116" max="12118" width="9.140625" style="679"/>
    <col min="12119" max="12119" width="5.7109375" style="679" customWidth="1"/>
    <col min="12120" max="12120" width="6.140625" style="679" customWidth="1"/>
    <col min="12121" max="12362" width="9.140625" style="679"/>
    <col min="12363" max="12363" width="0.85546875" style="679" customWidth="1"/>
    <col min="12364" max="12364" width="5" style="679" customWidth="1"/>
    <col min="12365" max="12365" width="5.42578125" style="679" customWidth="1"/>
    <col min="12366" max="12368" width="9.140625" style="679"/>
    <col min="12369" max="12369" width="5.7109375" style="679" customWidth="1"/>
    <col min="12370" max="12371" width="4.5703125" style="679" customWidth="1"/>
    <col min="12372" max="12374" width="9.140625" style="679"/>
    <col min="12375" max="12375" width="5.7109375" style="679" customWidth="1"/>
    <col min="12376" max="12376" width="6.140625" style="679" customWidth="1"/>
    <col min="12377" max="12618" width="9.140625" style="679"/>
    <col min="12619" max="12619" width="0.85546875" style="679" customWidth="1"/>
    <col min="12620" max="12620" width="5" style="679" customWidth="1"/>
    <col min="12621" max="12621" width="5.42578125" style="679" customWidth="1"/>
    <col min="12622" max="12624" width="9.140625" style="679"/>
    <col min="12625" max="12625" width="5.7109375" style="679" customWidth="1"/>
    <col min="12626" max="12627" width="4.5703125" style="679" customWidth="1"/>
    <col min="12628" max="12630" width="9.140625" style="679"/>
    <col min="12631" max="12631" width="5.7109375" style="679" customWidth="1"/>
    <col min="12632" max="12632" width="6.140625" style="679" customWidth="1"/>
    <col min="12633" max="12874" width="9.140625" style="679"/>
    <col min="12875" max="12875" width="0.85546875" style="679" customWidth="1"/>
    <col min="12876" max="12876" width="5" style="679" customWidth="1"/>
    <col min="12877" max="12877" width="5.42578125" style="679" customWidth="1"/>
    <col min="12878" max="12880" width="9.140625" style="679"/>
    <col min="12881" max="12881" width="5.7109375" style="679" customWidth="1"/>
    <col min="12882" max="12883" width="4.5703125" style="679" customWidth="1"/>
    <col min="12884" max="12886" width="9.140625" style="679"/>
    <col min="12887" max="12887" width="5.7109375" style="679" customWidth="1"/>
    <col min="12888" max="12888" width="6.140625" style="679" customWidth="1"/>
    <col min="12889" max="13130" width="9.140625" style="679"/>
    <col min="13131" max="13131" width="0.85546875" style="679" customWidth="1"/>
    <col min="13132" max="13132" width="5" style="679" customWidth="1"/>
    <col min="13133" max="13133" width="5.42578125" style="679" customWidth="1"/>
    <col min="13134" max="13136" width="9.140625" style="679"/>
    <col min="13137" max="13137" width="5.7109375" style="679" customWidth="1"/>
    <col min="13138" max="13139" width="4.5703125" style="679" customWidth="1"/>
    <col min="13140" max="13142" width="9.140625" style="679"/>
    <col min="13143" max="13143" width="5.7109375" style="679" customWidth="1"/>
    <col min="13144" max="13144" width="6.140625" style="679" customWidth="1"/>
    <col min="13145" max="13386" width="9.140625" style="679"/>
    <col min="13387" max="13387" width="0.85546875" style="679" customWidth="1"/>
    <col min="13388" max="13388" width="5" style="679" customWidth="1"/>
    <col min="13389" max="13389" width="5.42578125" style="679" customWidth="1"/>
    <col min="13390" max="13392" width="9.140625" style="679"/>
    <col min="13393" max="13393" width="5.7109375" style="679" customWidth="1"/>
    <col min="13394" max="13395" width="4.5703125" style="679" customWidth="1"/>
    <col min="13396" max="13398" width="9.140625" style="679"/>
    <col min="13399" max="13399" width="5.7109375" style="679" customWidth="1"/>
    <col min="13400" max="13400" width="6.140625" style="679" customWidth="1"/>
    <col min="13401" max="13642" width="9.140625" style="679"/>
    <col min="13643" max="13643" width="0.85546875" style="679" customWidth="1"/>
    <col min="13644" max="13644" width="5" style="679" customWidth="1"/>
    <col min="13645" max="13645" width="5.42578125" style="679" customWidth="1"/>
    <col min="13646" max="13648" width="9.140625" style="679"/>
    <col min="13649" max="13649" width="5.7109375" style="679" customWidth="1"/>
    <col min="13650" max="13651" width="4.5703125" style="679" customWidth="1"/>
    <col min="13652" max="13654" width="9.140625" style="679"/>
    <col min="13655" max="13655" width="5.7109375" style="679" customWidth="1"/>
    <col min="13656" max="13656" width="6.140625" style="679" customWidth="1"/>
    <col min="13657" max="13898" width="9.140625" style="679"/>
    <col min="13899" max="13899" width="0.85546875" style="679" customWidth="1"/>
    <col min="13900" max="13900" width="5" style="679" customWidth="1"/>
    <col min="13901" max="13901" width="5.42578125" style="679" customWidth="1"/>
    <col min="13902" max="13904" width="9.140625" style="679"/>
    <col min="13905" max="13905" width="5.7109375" style="679" customWidth="1"/>
    <col min="13906" max="13907" width="4.5703125" style="679" customWidth="1"/>
    <col min="13908" max="13910" width="9.140625" style="679"/>
    <col min="13911" max="13911" width="5.7109375" style="679" customWidth="1"/>
    <col min="13912" max="13912" width="6.140625" style="679" customWidth="1"/>
    <col min="13913" max="14154" width="9.140625" style="679"/>
    <col min="14155" max="14155" width="0.85546875" style="679" customWidth="1"/>
    <col min="14156" max="14156" width="5" style="679" customWidth="1"/>
    <col min="14157" max="14157" width="5.42578125" style="679" customWidth="1"/>
    <col min="14158" max="14160" width="9.140625" style="679"/>
    <col min="14161" max="14161" width="5.7109375" style="679" customWidth="1"/>
    <col min="14162" max="14163" width="4.5703125" style="679" customWidth="1"/>
    <col min="14164" max="14166" width="9.140625" style="679"/>
    <col min="14167" max="14167" width="5.7109375" style="679" customWidth="1"/>
    <col min="14168" max="14168" width="6.140625" style="679" customWidth="1"/>
    <col min="14169" max="14410" width="9.140625" style="679"/>
    <col min="14411" max="14411" width="0.85546875" style="679" customWidth="1"/>
    <col min="14412" max="14412" width="5" style="679" customWidth="1"/>
    <col min="14413" max="14413" width="5.42578125" style="679" customWidth="1"/>
    <col min="14414" max="14416" width="9.140625" style="679"/>
    <col min="14417" max="14417" width="5.7109375" style="679" customWidth="1"/>
    <col min="14418" max="14419" width="4.5703125" style="679" customWidth="1"/>
    <col min="14420" max="14422" width="9.140625" style="679"/>
    <col min="14423" max="14423" width="5.7109375" style="679" customWidth="1"/>
    <col min="14424" max="14424" width="6.140625" style="679" customWidth="1"/>
    <col min="14425" max="14666" width="9.140625" style="679"/>
    <col min="14667" max="14667" width="0.85546875" style="679" customWidth="1"/>
    <col min="14668" max="14668" width="5" style="679" customWidth="1"/>
    <col min="14669" max="14669" width="5.42578125" style="679" customWidth="1"/>
    <col min="14670" max="14672" width="9.140625" style="679"/>
    <col min="14673" max="14673" width="5.7109375" style="679" customWidth="1"/>
    <col min="14674" max="14675" width="4.5703125" style="679" customWidth="1"/>
    <col min="14676" max="14678" width="9.140625" style="679"/>
    <col min="14679" max="14679" width="5.7109375" style="679" customWidth="1"/>
    <col min="14680" max="14680" width="6.140625" style="679" customWidth="1"/>
    <col min="14681" max="14922" width="9.140625" style="679"/>
    <col min="14923" max="14923" width="0.85546875" style="679" customWidth="1"/>
    <col min="14924" max="14924" width="5" style="679" customWidth="1"/>
    <col min="14925" max="14925" width="5.42578125" style="679" customWidth="1"/>
    <col min="14926" max="14928" width="9.140625" style="679"/>
    <col min="14929" max="14929" width="5.7109375" style="679" customWidth="1"/>
    <col min="14930" max="14931" width="4.5703125" style="679" customWidth="1"/>
    <col min="14932" max="14934" width="9.140625" style="679"/>
    <col min="14935" max="14935" width="5.7109375" style="679" customWidth="1"/>
    <col min="14936" max="14936" width="6.140625" style="679" customWidth="1"/>
    <col min="14937" max="15178" width="9.140625" style="679"/>
    <col min="15179" max="15179" width="0.85546875" style="679" customWidth="1"/>
    <col min="15180" max="15180" width="5" style="679" customWidth="1"/>
    <col min="15181" max="15181" width="5.42578125" style="679" customWidth="1"/>
    <col min="15182" max="15184" width="9.140625" style="679"/>
    <col min="15185" max="15185" width="5.7109375" style="679" customWidth="1"/>
    <col min="15186" max="15187" width="4.5703125" style="679" customWidth="1"/>
    <col min="15188" max="15190" width="9.140625" style="679"/>
    <col min="15191" max="15191" width="5.7109375" style="679" customWidth="1"/>
    <col min="15192" max="15192" width="6.140625" style="679" customWidth="1"/>
    <col min="15193" max="15434" width="9.140625" style="679"/>
    <col min="15435" max="15435" width="0.85546875" style="679" customWidth="1"/>
    <col min="15436" max="15436" width="5" style="679" customWidth="1"/>
    <col min="15437" max="15437" width="5.42578125" style="679" customWidth="1"/>
    <col min="15438" max="15440" width="9.140625" style="679"/>
    <col min="15441" max="15441" width="5.7109375" style="679" customWidth="1"/>
    <col min="15442" max="15443" width="4.5703125" style="679" customWidth="1"/>
    <col min="15444" max="15446" width="9.140625" style="679"/>
    <col min="15447" max="15447" width="5.7109375" style="679" customWidth="1"/>
    <col min="15448" max="15448" width="6.140625" style="679" customWidth="1"/>
    <col min="15449" max="15690" width="9.140625" style="679"/>
    <col min="15691" max="15691" width="0.85546875" style="679" customWidth="1"/>
    <col min="15692" max="15692" width="5" style="679" customWidth="1"/>
    <col min="15693" max="15693" width="5.42578125" style="679" customWidth="1"/>
    <col min="15694" max="15696" width="9.140625" style="679"/>
    <col min="15697" max="15697" width="5.7109375" style="679" customWidth="1"/>
    <col min="15698" max="15699" width="4.5703125" style="679" customWidth="1"/>
    <col min="15700" max="15702" width="9.140625" style="679"/>
    <col min="15703" max="15703" width="5.7109375" style="679" customWidth="1"/>
    <col min="15704" max="15704" width="6.140625" style="679" customWidth="1"/>
    <col min="15705" max="15946" width="9.140625" style="679"/>
    <col min="15947" max="15947" width="0.85546875" style="679" customWidth="1"/>
    <col min="15948" max="15948" width="5" style="679" customWidth="1"/>
    <col min="15949" max="15949" width="5.42578125" style="679" customWidth="1"/>
    <col min="15950" max="15952" width="9.140625" style="679"/>
    <col min="15953" max="15953" width="5.7109375" style="679" customWidth="1"/>
    <col min="15954" max="15955" width="4.5703125" style="679" customWidth="1"/>
    <col min="15956" max="15958" width="9.140625" style="679"/>
    <col min="15959" max="15959" width="5.7109375" style="679" customWidth="1"/>
    <col min="15960" max="15960" width="6.140625" style="679" customWidth="1"/>
    <col min="15961" max="16202" width="9.140625" style="679"/>
    <col min="16203" max="16203" width="0.85546875" style="679" customWidth="1"/>
    <col min="16204" max="16204" width="5" style="679" customWidth="1"/>
    <col min="16205" max="16205" width="5.42578125" style="679" customWidth="1"/>
    <col min="16206" max="16208" width="9.140625" style="679"/>
    <col min="16209" max="16209" width="5.7109375" style="679" customWidth="1"/>
    <col min="16210" max="16211" width="4.5703125" style="679" customWidth="1"/>
    <col min="16212" max="16214" width="9.140625" style="679"/>
    <col min="16215" max="16215" width="5.7109375" style="679" customWidth="1"/>
    <col min="16216" max="16216" width="6.140625" style="679" customWidth="1"/>
    <col min="16217" max="16384" width="9.140625" style="679"/>
  </cols>
  <sheetData>
    <row r="1" spans="1:104" ht="45" customHeight="1">
      <c r="A1" s="678"/>
      <c r="B1" s="678"/>
      <c r="C1" s="678"/>
      <c r="D1" s="678"/>
      <c r="E1" s="678"/>
      <c r="F1" s="678"/>
      <c r="G1" s="678"/>
      <c r="H1" s="678"/>
      <c r="I1" s="678"/>
      <c r="J1" s="1292"/>
      <c r="K1" s="1292"/>
      <c r="L1" s="1292"/>
      <c r="M1" s="1292"/>
      <c r="N1" s="1292"/>
      <c r="O1" s="678"/>
      <c r="P1" s="678"/>
      <c r="Q1" s="678"/>
      <c r="R1" s="678"/>
      <c r="S1" s="678"/>
      <c r="T1" s="678"/>
      <c r="U1" s="678"/>
      <c r="V1" s="678"/>
      <c r="W1" s="678"/>
      <c r="X1" s="678"/>
      <c r="Y1" s="1292"/>
      <c r="Z1" s="1292"/>
      <c r="AA1" s="1292"/>
      <c r="AB1" s="1292"/>
      <c r="AC1" s="1292"/>
      <c r="AE1" s="678"/>
      <c r="AF1" s="678"/>
      <c r="AG1" s="678"/>
      <c r="AH1" s="678"/>
      <c r="AI1" s="678"/>
      <c r="AJ1" s="678"/>
      <c r="AK1" s="678"/>
      <c r="AL1" s="678"/>
      <c r="AM1" s="678"/>
      <c r="AN1" s="1292"/>
      <c r="AO1" s="1292"/>
      <c r="AP1" s="1292"/>
      <c r="AQ1" s="1292"/>
      <c r="AR1" s="1292"/>
      <c r="AS1" s="678"/>
      <c r="AT1" s="678"/>
      <c r="AU1" s="678"/>
      <c r="AV1" s="678"/>
      <c r="AW1" s="678"/>
      <c r="AX1" s="678"/>
      <c r="AY1" s="678"/>
      <c r="AZ1" s="678"/>
      <c r="BA1" s="678"/>
      <c r="BB1" s="678"/>
      <c r="BC1" s="1292"/>
      <c r="BD1" s="1292"/>
      <c r="BE1" s="1292"/>
      <c r="BF1" s="1292"/>
      <c r="BG1" s="1292"/>
      <c r="BI1" s="678"/>
      <c r="BJ1" s="678"/>
      <c r="BK1" s="678"/>
      <c r="BL1" s="678"/>
      <c r="BM1" s="678"/>
      <c r="BN1" s="678"/>
      <c r="BO1" s="678"/>
      <c r="BP1" s="678"/>
      <c r="BQ1" s="678"/>
      <c r="BR1" s="1292"/>
      <c r="BS1" s="1292"/>
      <c r="BT1" s="1292"/>
      <c r="BU1" s="1292"/>
      <c r="BV1" s="1292"/>
      <c r="BW1" s="678"/>
      <c r="BX1" s="678"/>
      <c r="BY1" s="678"/>
      <c r="BZ1" s="678"/>
      <c r="CA1" s="678"/>
      <c r="CB1" s="678"/>
      <c r="CC1" s="678"/>
      <c r="CD1" s="678"/>
      <c r="CE1" s="678"/>
      <c r="CF1" s="678"/>
      <c r="CG1" s="1292"/>
      <c r="CH1" s="1292"/>
      <c r="CI1" s="1292"/>
      <c r="CJ1" s="1292"/>
      <c r="CK1" s="1292"/>
      <c r="CM1" s="678"/>
      <c r="CN1" s="678"/>
      <c r="CO1" s="678"/>
      <c r="CP1" s="678"/>
      <c r="CQ1" s="678"/>
      <c r="CR1" s="678"/>
      <c r="CS1" s="678"/>
      <c r="CT1" s="678"/>
      <c r="CU1" s="678"/>
      <c r="CV1" s="1292"/>
      <c r="CW1" s="1292"/>
      <c r="CX1" s="1292"/>
      <c r="CY1" s="1292"/>
      <c r="CZ1" s="1292"/>
    </row>
    <row r="2" spans="1:104" s="682" customFormat="1" ht="19.5" customHeight="1">
      <c r="A2" s="1293">
        <f>+'MEMORIA Y VAL'!AB94</f>
        <v>0</v>
      </c>
      <c r="B2" s="1293"/>
      <c r="C2" s="680" t="s">
        <v>4629</v>
      </c>
      <c r="D2" s="681"/>
      <c r="E2" s="681"/>
      <c r="F2" s="681"/>
      <c r="G2" s="681"/>
      <c r="H2" s="681"/>
      <c r="I2" s="681"/>
      <c r="J2" s="681"/>
      <c r="K2" s="681"/>
      <c r="L2" s="681"/>
      <c r="M2" s="681"/>
      <c r="N2" s="681"/>
      <c r="P2" s="683"/>
      <c r="Q2" s="683">
        <f>+A2</f>
        <v>0</v>
      </c>
      <c r="R2" s="680" t="str">
        <f>+C2</f>
        <v xml:space="preserve">/ </v>
      </c>
      <c r="S2" s="681"/>
      <c r="T2" s="681"/>
      <c r="U2" s="681"/>
      <c r="V2" s="681"/>
      <c r="W2" s="681"/>
      <c r="X2" s="681"/>
      <c r="Y2" s="681"/>
      <c r="Z2" s="681"/>
      <c r="AA2" s="681"/>
      <c r="AB2" s="681"/>
      <c r="AC2" s="681"/>
      <c r="AE2" s="1293">
        <f>+Q2</f>
        <v>0</v>
      </c>
      <c r="AF2" s="1293"/>
      <c r="AG2" s="680" t="str">
        <f>+R2</f>
        <v xml:space="preserve">/ </v>
      </c>
      <c r="AH2" s="681"/>
      <c r="AI2" s="681"/>
      <c r="AJ2" s="681"/>
      <c r="AK2" s="681"/>
      <c r="AL2" s="681"/>
      <c r="AM2" s="681"/>
      <c r="AN2" s="681"/>
      <c r="AO2" s="681"/>
      <c r="AP2" s="681"/>
      <c r="AQ2" s="681"/>
      <c r="AR2" s="681"/>
      <c r="AT2" s="683"/>
      <c r="AU2" s="683">
        <f>+AE2</f>
        <v>0</v>
      </c>
      <c r="AV2" s="680" t="str">
        <f>+AG2</f>
        <v xml:space="preserve">/ </v>
      </c>
      <c r="AW2" s="681"/>
      <c r="AX2" s="681"/>
      <c r="AY2" s="681"/>
      <c r="AZ2" s="681"/>
      <c r="BA2" s="681"/>
      <c r="BB2" s="681"/>
      <c r="BC2" s="681"/>
      <c r="BD2" s="681"/>
      <c r="BE2" s="681"/>
      <c r="BF2" s="681"/>
      <c r="BG2" s="681"/>
      <c r="BI2" s="1293">
        <f>+AU2</f>
        <v>0</v>
      </c>
      <c r="BJ2" s="1293"/>
      <c r="BK2" s="680" t="s">
        <v>4629</v>
      </c>
      <c r="BL2" s="681"/>
      <c r="BM2" s="681"/>
      <c r="BN2" s="681"/>
      <c r="BO2" s="681"/>
      <c r="BP2" s="681"/>
      <c r="BQ2" s="681"/>
      <c r="BR2" s="681"/>
      <c r="BS2" s="681"/>
      <c r="BT2" s="681"/>
      <c r="BU2" s="681"/>
      <c r="BV2" s="681"/>
      <c r="BX2" s="683"/>
      <c r="BY2" s="683">
        <f>+BI2</f>
        <v>0</v>
      </c>
      <c r="BZ2" s="680" t="str">
        <f>+BK2</f>
        <v xml:space="preserve">/ </v>
      </c>
      <c r="CA2" s="681"/>
      <c r="CB2" s="681"/>
      <c r="CC2" s="681"/>
      <c r="CD2" s="681"/>
      <c r="CE2" s="681"/>
      <c r="CF2" s="681"/>
      <c r="CG2" s="681"/>
      <c r="CH2" s="681"/>
      <c r="CI2" s="681"/>
      <c r="CJ2" s="681"/>
      <c r="CK2" s="681"/>
      <c r="CM2" s="1293">
        <f>+BY2</f>
        <v>0</v>
      </c>
      <c r="CN2" s="1293"/>
      <c r="CO2" s="680" t="str">
        <f>+BZ2</f>
        <v xml:space="preserve">/ </v>
      </c>
      <c r="CP2" s="681"/>
      <c r="CQ2" s="681"/>
      <c r="CR2" s="681"/>
      <c r="CS2" s="681"/>
      <c r="CT2" s="681"/>
      <c r="CU2" s="681"/>
      <c r="CV2" s="681"/>
      <c r="CW2" s="681"/>
      <c r="CX2" s="681"/>
      <c r="CY2" s="681"/>
      <c r="CZ2" s="681"/>
    </row>
    <row r="3" spans="1:104" s="682" customFormat="1" ht="12.75" customHeight="1">
      <c r="A3" s="684"/>
      <c r="B3" s="684"/>
      <c r="C3" s="680"/>
      <c r="D3" s="681"/>
      <c r="E3" s="681"/>
      <c r="F3" s="681"/>
      <c r="G3" s="681"/>
      <c r="H3" s="681"/>
      <c r="I3" s="681"/>
      <c r="J3" s="681"/>
      <c r="K3" s="681"/>
      <c r="L3" s="681"/>
      <c r="M3" s="681"/>
      <c r="N3" s="681"/>
      <c r="O3" s="684"/>
      <c r="P3" s="684"/>
      <c r="Q3" s="684"/>
      <c r="R3" s="680"/>
      <c r="S3" s="681"/>
      <c r="T3" s="681"/>
      <c r="U3" s="681"/>
      <c r="V3" s="681"/>
      <c r="W3" s="681"/>
      <c r="X3" s="681"/>
      <c r="Y3" s="681"/>
      <c r="Z3" s="681"/>
      <c r="AA3" s="681"/>
      <c r="AB3" s="681"/>
      <c r="AC3" s="681"/>
      <c r="AE3" s="684"/>
      <c r="AF3" s="684"/>
      <c r="AG3" s="680"/>
      <c r="AH3" s="681"/>
      <c r="AI3" s="681"/>
      <c r="AJ3" s="681"/>
      <c r="AK3" s="681"/>
      <c r="AL3" s="681"/>
      <c r="AM3" s="681"/>
      <c r="AN3" s="681"/>
      <c r="AO3" s="681"/>
      <c r="AP3" s="681"/>
      <c r="AQ3" s="681"/>
      <c r="AR3" s="681"/>
      <c r="AS3" s="684"/>
      <c r="AT3" s="684"/>
      <c r="AU3" s="684"/>
      <c r="AV3" s="680"/>
      <c r="AW3" s="681"/>
      <c r="AX3" s="681"/>
      <c r="AY3" s="681"/>
      <c r="AZ3" s="681"/>
      <c r="BA3" s="681"/>
      <c r="BB3" s="681"/>
      <c r="BC3" s="681"/>
      <c r="BD3" s="681"/>
      <c r="BE3" s="681"/>
      <c r="BF3" s="681"/>
      <c r="BG3" s="681"/>
      <c r="BI3" s="684"/>
      <c r="BJ3" s="684"/>
      <c r="BK3" s="680"/>
      <c r="BL3" s="681"/>
      <c r="BM3" s="681"/>
      <c r="BN3" s="681"/>
      <c r="BO3" s="681"/>
      <c r="BP3" s="681"/>
      <c r="BQ3" s="681"/>
      <c r="BR3" s="681"/>
      <c r="BS3" s="681"/>
      <c r="BT3" s="681"/>
      <c r="BU3" s="681"/>
      <c r="BV3" s="681"/>
      <c r="BW3" s="684"/>
      <c r="BX3" s="684"/>
      <c r="BY3" s="684"/>
      <c r="BZ3" s="680"/>
      <c r="CA3" s="681"/>
      <c r="CB3" s="681"/>
      <c r="CC3" s="681"/>
      <c r="CD3" s="681"/>
      <c r="CE3" s="681"/>
      <c r="CF3" s="681"/>
      <c r="CG3" s="681"/>
      <c r="CH3" s="681"/>
      <c r="CI3" s="681"/>
      <c r="CJ3" s="681"/>
      <c r="CK3" s="681"/>
      <c r="CM3" s="684"/>
      <c r="CN3" s="684"/>
      <c r="CO3" s="680"/>
      <c r="CP3" s="681"/>
      <c r="CQ3" s="681"/>
      <c r="CR3" s="681"/>
      <c r="CS3" s="681"/>
      <c r="CT3" s="681"/>
      <c r="CU3" s="681"/>
      <c r="CV3" s="681"/>
      <c r="CW3" s="681"/>
      <c r="CX3" s="681"/>
      <c r="CY3" s="681"/>
      <c r="CZ3" s="681"/>
    </row>
    <row r="4" spans="1:104" s="682" customFormat="1" ht="12.75" customHeight="1">
      <c r="A4" s="684"/>
      <c r="B4" s="684"/>
      <c r="C4" s="680"/>
      <c r="D4" s="681"/>
      <c r="E4" s="681"/>
      <c r="F4" s="681"/>
      <c r="G4" s="681"/>
      <c r="H4" s="681"/>
      <c r="I4" s="681"/>
      <c r="J4" s="681"/>
      <c r="K4" s="681"/>
      <c r="L4" s="681"/>
      <c r="M4" s="681"/>
      <c r="N4" s="681"/>
      <c r="O4" s="684"/>
      <c r="P4" s="684"/>
      <c r="Q4" s="684"/>
      <c r="R4" s="680"/>
      <c r="S4" s="681"/>
      <c r="T4" s="681"/>
      <c r="U4" s="681"/>
      <c r="V4" s="681"/>
      <c r="W4" s="681"/>
      <c r="X4" s="681"/>
      <c r="Y4" s="681"/>
      <c r="Z4" s="681"/>
      <c r="AA4" s="681"/>
      <c r="AB4" s="681"/>
      <c r="AC4" s="681"/>
      <c r="AE4" s="684"/>
      <c r="AF4" s="684"/>
      <c r="AG4" s="680"/>
      <c r="AH4" s="681"/>
      <c r="AI4" s="681"/>
      <c r="AJ4" s="681"/>
      <c r="AK4" s="681"/>
      <c r="AL4" s="681"/>
      <c r="AM4" s="681"/>
      <c r="AN4" s="681"/>
      <c r="AO4" s="681"/>
      <c r="AP4" s="681"/>
      <c r="AQ4" s="681"/>
      <c r="AR4" s="681"/>
      <c r="AS4" s="684"/>
      <c r="AT4" s="684"/>
      <c r="AU4" s="684"/>
      <c r="AV4" s="680"/>
      <c r="AW4" s="681"/>
      <c r="AX4" s="681"/>
      <c r="AY4" s="681"/>
      <c r="AZ4" s="681"/>
      <c r="BA4" s="681"/>
      <c r="BB4" s="681"/>
      <c r="BC4" s="681"/>
      <c r="BD4" s="681"/>
      <c r="BE4" s="681"/>
      <c r="BF4" s="681"/>
      <c r="BG4" s="681"/>
      <c r="BI4" s="684"/>
      <c r="BJ4" s="684"/>
      <c r="BK4" s="680"/>
      <c r="BL4" s="681"/>
      <c r="BM4" s="681"/>
      <c r="BN4" s="681"/>
      <c r="BO4" s="681"/>
      <c r="BP4" s="681"/>
      <c r="BQ4" s="681"/>
      <c r="BR4" s="681"/>
      <c r="BS4" s="681"/>
      <c r="BT4" s="681"/>
      <c r="BU4" s="681"/>
      <c r="BV4" s="681"/>
      <c r="BW4" s="684"/>
      <c r="BX4" s="684"/>
      <c r="BY4" s="684"/>
      <c r="BZ4" s="680"/>
      <c r="CA4" s="681"/>
      <c r="CB4" s="681"/>
      <c r="CC4" s="681"/>
      <c r="CD4" s="681"/>
      <c r="CE4" s="681"/>
      <c r="CF4" s="681"/>
      <c r="CG4" s="681"/>
      <c r="CH4" s="681"/>
      <c r="CI4" s="681"/>
      <c r="CJ4" s="681"/>
      <c r="CK4" s="681"/>
      <c r="CM4" s="684"/>
      <c r="CN4" s="684"/>
      <c r="CO4" s="680"/>
      <c r="CP4" s="681"/>
      <c r="CQ4" s="681"/>
      <c r="CR4" s="681"/>
      <c r="CS4" s="681"/>
      <c r="CT4" s="681"/>
      <c r="CU4" s="681"/>
      <c r="CV4" s="681"/>
      <c r="CW4" s="681"/>
      <c r="CX4" s="681"/>
      <c r="CY4" s="681"/>
      <c r="CZ4" s="681"/>
    </row>
    <row r="5" spans="1:104" s="682" customFormat="1" ht="12.75" customHeight="1">
      <c r="A5" s="684"/>
      <c r="B5" s="684"/>
      <c r="C5" s="680"/>
      <c r="D5" s="681"/>
      <c r="E5" s="681"/>
      <c r="F5" s="681"/>
      <c r="G5" s="681"/>
      <c r="H5" s="681"/>
      <c r="I5" s="681"/>
      <c r="J5" s="681"/>
      <c r="K5" s="681"/>
      <c r="L5" s="681"/>
      <c r="M5" s="681"/>
      <c r="N5" s="681"/>
      <c r="O5" s="684"/>
      <c r="P5" s="684"/>
      <c r="Q5" s="684"/>
      <c r="R5" s="680"/>
      <c r="S5" s="681"/>
      <c r="T5" s="681"/>
      <c r="U5" s="681"/>
      <c r="V5" s="681"/>
      <c r="W5" s="681"/>
      <c r="X5" s="681"/>
      <c r="Y5" s="681"/>
      <c r="Z5" s="681"/>
      <c r="AA5" s="681"/>
      <c r="AB5" s="681"/>
      <c r="AC5" s="681"/>
      <c r="AE5" s="684"/>
      <c r="AF5" s="684"/>
      <c r="AG5" s="680"/>
      <c r="AH5" s="681"/>
      <c r="AI5" s="681"/>
      <c r="AJ5" s="681"/>
      <c r="AK5" s="681"/>
      <c r="AL5" s="681"/>
      <c r="AM5" s="681"/>
      <c r="AN5" s="681"/>
      <c r="AO5" s="681"/>
      <c r="AP5" s="681"/>
      <c r="AQ5" s="681"/>
      <c r="AR5" s="681"/>
      <c r="AS5" s="684"/>
      <c r="AT5" s="684"/>
      <c r="AU5" s="684"/>
      <c r="AV5" s="680"/>
      <c r="AW5" s="681"/>
      <c r="AX5" s="681"/>
      <c r="AY5" s="681"/>
      <c r="AZ5" s="681"/>
      <c r="BA5" s="681"/>
      <c r="BB5" s="681"/>
      <c r="BC5" s="681"/>
      <c r="BD5" s="681"/>
      <c r="BE5" s="681"/>
      <c r="BF5" s="681"/>
      <c r="BG5" s="681"/>
      <c r="BI5" s="684"/>
      <c r="BJ5" s="684"/>
      <c r="BK5" s="680"/>
      <c r="BL5" s="681"/>
      <c r="BM5" s="681"/>
      <c r="BN5" s="681"/>
      <c r="BO5" s="681"/>
      <c r="BP5" s="681"/>
      <c r="BQ5" s="681"/>
      <c r="BR5" s="681"/>
      <c r="BS5" s="681"/>
      <c r="BT5" s="681"/>
      <c r="BU5" s="681"/>
      <c r="BV5" s="681"/>
      <c r="BW5" s="684"/>
      <c r="BX5" s="684"/>
      <c r="BY5" s="684"/>
      <c r="BZ5" s="680"/>
      <c r="CA5" s="681"/>
      <c r="CB5" s="681"/>
      <c r="CC5" s="681"/>
      <c r="CD5" s="681"/>
      <c r="CE5" s="681"/>
      <c r="CF5" s="681"/>
      <c r="CG5" s="681"/>
      <c r="CH5" s="681"/>
      <c r="CI5" s="681"/>
      <c r="CJ5" s="681"/>
      <c r="CK5" s="681"/>
      <c r="CM5" s="684"/>
      <c r="CN5" s="684"/>
      <c r="CO5" s="680"/>
      <c r="CP5" s="681"/>
      <c r="CQ5" s="681"/>
      <c r="CR5" s="681"/>
      <c r="CS5" s="681"/>
      <c r="CT5" s="681"/>
      <c r="CU5" s="681"/>
      <c r="CV5" s="681"/>
      <c r="CW5" s="681"/>
      <c r="CX5" s="681"/>
      <c r="CY5" s="681"/>
      <c r="CZ5" s="681"/>
    </row>
    <row r="6" spans="1:104" s="682" customFormat="1" ht="12.75" customHeight="1">
      <c r="A6" s="684"/>
      <c r="B6" s="684"/>
      <c r="C6" s="680"/>
      <c r="D6" s="681"/>
      <c r="E6" s="681"/>
      <c r="F6" s="681"/>
      <c r="G6" s="681"/>
      <c r="H6" s="681"/>
      <c r="I6" s="681"/>
      <c r="J6" s="681"/>
      <c r="K6" s="681"/>
      <c r="L6" s="681"/>
      <c r="M6" s="681"/>
      <c r="N6" s="681"/>
      <c r="O6" s="684"/>
      <c r="P6" s="684"/>
      <c r="Q6" s="684"/>
      <c r="R6" s="680"/>
      <c r="S6" s="681"/>
      <c r="T6" s="681"/>
      <c r="U6" s="681"/>
      <c r="V6" s="681"/>
      <c r="W6" s="681"/>
      <c r="X6" s="681"/>
      <c r="Y6" s="681"/>
      <c r="Z6" s="681"/>
      <c r="AA6" s="681"/>
      <c r="AB6" s="681"/>
      <c r="AC6" s="681"/>
      <c r="AE6" s="684"/>
      <c r="AF6" s="684"/>
      <c r="AG6" s="680"/>
      <c r="AH6" s="681"/>
      <c r="AI6" s="681"/>
      <c r="AJ6" s="681"/>
      <c r="AK6" s="681"/>
      <c r="AL6" s="681"/>
      <c r="AM6" s="681"/>
      <c r="AN6" s="681"/>
      <c r="AO6" s="681"/>
      <c r="AP6" s="681"/>
      <c r="AQ6" s="681"/>
      <c r="AR6" s="681"/>
      <c r="AS6" s="684"/>
      <c r="AT6" s="684"/>
      <c r="AU6" s="684"/>
      <c r="AV6" s="680"/>
      <c r="AW6" s="681"/>
      <c r="AX6" s="681"/>
      <c r="AY6" s="681"/>
      <c r="AZ6" s="681"/>
      <c r="BA6" s="681"/>
      <c r="BB6" s="681"/>
      <c r="BC6" s="681"/>
      <c r="BD6" s="681"/>
      <c r="BE6" s="681"/>
      <c r="BF6" s="681"/>
      <c r="BG6" s="681"/>
      <c r="BI6" s="684"/>
      <c r="BJ6" s="684"/>
      <c r="BK6" s="680"/>
      <c r="BL6" s="681"/>
      <c r="BM6" s="681"/>
      <c r="BN6" s="681"/>
      <c r="BO6" s="681"/>
      <c r="BP6" s="681"/>
      <c r="BQ6" s="681"/>
      <c r="BR6" s="681"/>
      <c r="BS6" s="681"/>
      <c r="BT6" s="681"/>
      <c r="BU6" s="681"/>
      <c r="BV6" s="681"/>
      <c r="BW6" s="684"/>
      <c r="BX6" s="684"/>
      <c r="BY6" s="684"/>
      <c r="BZ6" s="680"/>
      <c r="CA6" s="681"/>
      <c r="CB6" s="681"/>
      <c r="CC6" s="681"/>
      <c r="CD6" s="681"/>
      <c r="CE6" s="681"/>
      <c r="CF6" s="681"/>
      <c r="CG6" s="681"/>
      <c r="CH6" s="681"/>
      <c r="CI6" s="681"/>
      <c r="CJ6" s="681"/>
      <c r="CK6" s="681"/>
      <c r="CM6" s="684"/>
      <c r="CN6" s="684"/>
      <c r="CO6" s="680"/>
      <c r="CP6" s="681"/>
      <c r="CQ6" s="681"/>
      <c r="CR6" s="681"/>
      <c r="CS6" s="681"/>
      <c r="CT6" s="681"/>
      <c r="CU6" s="681"/>
      <c r="CV6" s="681"/>
      <c r="CW6" s="681"/>
      <c r="CX6" s="681"/>
      <c r="CY6" s="681"/>
      <c r="CZ6" s="681"/>
    </row>
    <row r="7" spans="1:104" s="682" customFormat="1" ht="12.75" customHeight="1">
      <c r="A7" s="684"/>
      <c r="B7" s="684"/>
      <c r="C7" s="680"/>
      <c r="D7" s="681"/>
      <c r="E7" s="681"/>
      <c r="F7" s="681"/>
      <c r="G7" s="681"/>
      <c r="H7" s="681"/>
      <c r="I7" s="681"/>
      <c r="J7" s="681"/>
      <c r="K7" s="681"/>
      <c r="L7" s="681"/>
      <c r="M7" s="681"/>
      <c r="N7" s="681"/>
      <c r="O7" s="684"/>
      <c r="P7" s="684"/>
      <c r="Q7" s="684"/>
      <c r="R7" s="680"/>
      <c r="S7" s="681"/>
      <c r="T7" s="681"/>
      <c r="U7" s="681"/>
      <c r="V7" s="681"/>
      <c r="W7" s="681"/>
      <c r="X7" s="681"/>
      <c r="Y7" s="681"/>
      <c r="Z7" s="681"/>
      <c r="AA7" s="681"/>
      <c r="AB7" s="681"/>
      <c r="AC7" s="681"/>
      <c r="AE7" s="684"/>
      <c r="AF7" s="684"/>
      <c r="AG7" s="680"/>
      <c r="AH7" s="681"/>
      <c r="AI7" s="681"/>
      <c r="AJ7" s="681"/>
      <c r="AK7" s="681"/>
      <c r="AL7" s="681"/>
      <c r="AM7" s="681"/>
      <c r="AN7" s="681"/>
      <c r="AO7" s="681"/>
      <c r="AP7" s="681"/>
      <c r="AQ7" s="681"/>
      <c r="AR7" s="681"/>
      <c r="AS7" s="684"/>
      <c r="AT7" s="684"/>
      <c r="AU7" s="684"/>
      <c r="AV7" s="680"/>
      <c r="AW7" s="681"/>
      <c r="AX7" s="681"/>
      <c r="AY7" s="681"/>
      <c r="AZ7" s="681"/>
      <c r="BA7" s="681"/>
      <c r="BB7" s="681"/>
      <c r="BC7" s="681"/>
      <c r="BD7" s="681"/>
      <c r="BE7" s="681"/>
      <c r="BF7" s="681"/>
      <c r="BG7" s="681"/>
      <c r="BI7" s="684"/>
      <c r="BJ7" s="684"/>
      <c r="BK7" s="680"/>
      <c r="BL7" s="681"/>
      <c r="BM7" s="681"/>
      <c r="BN7" s="681"/>
      <c r="BO7" s="681"/>
      <c r="BP7" s="681"/>
      <c r="BQ7" s="681"/>
      <c r="BR7" s="681"/>
      <c r="BS7" s="681"/>
      <c r="BT7" s="681"/>
      <c r="BU7" s="681"/>
      <c r="BV7" s="681"/>
      <c r="BW7" s="684"/>
      <c r="BX7" s="684"/>
      <c r="BY7" s="684"/>
      <c r="BZ7" s="680"/>
      <c r="CA7" s="681"/>
      <c r="CB7" s="681"/>
      <c r="CC7" s="681"/>
      <c r="CD7" s="681"/>
      <c r="CE7" s="681"/>
      <c r="CF7" s="681"/>
      <c r="CG7" s="681"/>
      <c r="CH7" s="681"/>
      <c r="CI7" s="681"/>
      <c r="CJ7" s="681"/>
      <c r="CK7" s="681"/>
      <c r="CM7" s="684"/>
      <c r="CN7" s="684"/>
      <c r="CO7" s="680"/>
      <c r="CP7" s="681"/>
      <c r="CQ7" s="681"/>
      <c r="CR7" s="681"/>
      <c r="CS7" s="681"/>
      <c r="CT7" s="681"/>
      <c r="CU7" s="681"/>
      <c r="CV7" s="681"/>
      <c r="CW7" s="681"/>
      <c r="CX7" s="681"/>
      <c r="CY7" s="681"/>
      <c r="CZ7" s="681"/>
    </row>
    <row r="8" spans="1:104" ht="12.75" customHeight="1">
      <c r="A8" s="685"/>
      <c r="B8" s="685"/>
      <c r="C8" s="685"/>
      <c r="D8" s="685"/>
      <c r="E8" s="685"/>
      <c r="F8" s="685"/>
      <c r="G8" s="685"/>
      <c r="H8" s="685"/>
      <c r="I8" s="685"/>
      <c r="J8" s="685" t="s">
        <v>4630</v>
      </c>
      <c r="K8" s="685"/>
      <c r="L8" s="685"/>
      <c r="M8" s="685"/>
      <c r="N8" s="685"/>
      <c r="O8" s="685"/>
      <c r="P8" s="685"/>
      <c r="Q8" s="685"/>
      <c r="R8" s="685"/>
      <c r="S8" s="685"/>
      <c r="T8" s="685"/>
      <c r="U8" s="685"/>
      <c r="V8" s="685"/>
      <c r="W8" s="685"/>
      <c r="X8" s="685"/>
      <c r="Y8" s="685"/>
      <c r="Z8" s="685"/>
      <c r="AA8" s="685"/>
      <c r="AB8" s="685"/>
      <c r="AC8" s="685"/>
      <c r="AE8" s="685"/>
      <c r="AF8" s="685"/>
      <c r="AG8" s="685"/>
      <c r="AH8" s="685"/>
      <c r="AI8" s="685"/>
      <c r="AJ8" s="685"/>
      <c r="AK8" s="685"/>
      <c r="AL8" s="685"/>
      <c r="AM8" s="685"/>
      <c r="AN8" s="685" t="s">
        <v>4630</v>
      </c>
      <c r="AO8" s="685"/>
      <c r="AP8" s="685"/>
      <c r="AQ8" s="685"/>
      <c r="AR8" s="685"/>
      <c r="AS8" s="685"/>
      <c r="AT8" s="685"/>
      <c r="AU8" s="685"/>
      <c r="AV8" s="685"/>
      <c r="AW8" s="685"/>
      <c r="AX8" s="685"/>
      <c r="AY8" s="685"/>
      <c r="AZ8" s="685"/>
      <c r="BA8" s="685"/>
      <c r="BB8" s="685"/>
      <c r="BC8" s="685"/>
      <c r="BD8" s="685"/>
      <c r="BE8" s="685"/>
      <c r="BF8" s="685"/>
      <c r="BG8" s="685"/>
      <c r="BI8" s="685"/>
      <c r="BJ8" s="685"/>
      <c r="BK8" s="685"/>
      <c r="BL8" s="685"/>
      <c r="BM8" s="685"/>
      <c r="BN8" s="685"/>
      <c r="BO8" s="685"/>
      <c r="BP8" s="685"/>
      <c r="BQ8" s="685"/>
      <c r="BR8" s="685" t="s">
        <v>4630</v>
      </c>
      <c r="BS8" s="685"/>
      <c r="BT8" s="685"/>
      <c r="BU8" s="685"/>
      <c r="BV8" s="685"/>
      <c r="BW8" s="685"/>
      <c r="BX8" s="685"/>
      <c r="BY8" s="685"/>
      <c r="BZ8" s="685"/>
      <c r="CA8" s="685"/>
      <c r="CB8" s="685"/>
      <c r="CC8" s="685"/>
      <c r="CD8" s="685"/>
      <c r="CE8" s="685"/>
      <c r="CF8" s="685"/>
      <c r="CG8" s="685"/>
      <c r="CH8" s="685"/>
      <c r="CI8" s="685"/>
      <c r="CJ8" s="685"/>
      <c r="CK8" s="685"/>
      <c r="CM8" s="685"/>
      <c r="CN8" s="685"/>
      <c r="CO8" s="685"/>
      <c r="CP8" s="685"/>
      <c r="CQ8" s="685"/>
      <c r="CR8" s="685"/>
      <c r="CS8" s="685"/>
      <c r="CT8" s="685"/>
      <c r="CU8" s="685"/>
      <c r="CV8" s="685" t="s">
        <v>4630</v>
      </c>
      <c r="CW8" s="685"/>
      <c r="CX8" s="685"/>
      <c r="CY8" s="685"/>
      <c r="CZ8" s="685"/>
    </row>
    <row r="9" spans="1:104">
      <c r="A9" s="685"/>
      <c r="B9" s="685"/>
      <c r="C9" s="685"/>
      <c r="D9" s="685"/>
      <c r="E9" s="685"/>
      <c r="F9" s="685"/>
      <c r="G9" s="685"/>
      <c r="H9" s="685"/>
      <c r="I9" s="685"/>
      <c r="J9" s="685"/>
      <c r="K9" s="685"/>
      <c r="L9" s="685"/>
      <c r="M9" s="685"/>
      <c r="N9" s="685"/>
      <c r="O9" s="685"/>
      <c r="P9" s="685"/>
      <c r="Q9" s="685"/>
      <c r="R9" s="685"/>
      <c r="S9" s="685"/>
      <c r="T9" s="685"/>
      <c r="U9" s="685"/>
      <c r="V9" s="685"/>
      <c r="W9" s="685"/>
      <c r="X9" s="685"/>
      <c r="Y9" s="685"/>
      <c r="Z9" s="685"/>
      <c r="AA9" s="685"/>
      <c r="AB9" s="685"/>
      <c r="AC9" s="685"/>
      <c r="AE9" s="685"/>
      <c r="AF9" s="685"/>
      <c r="AG9" s="685"/>
      <c r="AH9" s="685"/>
      <c r="AI9" s="685"/>
      <c r="AJ9" s="685"/>
      <c r="AK9" s="685"/>
      <c r="AL9" s="685"/>
      <c r="AM9" s="685"/>
      <c r="AN9" s="685"/>
      <c r="AO9" s="685"/>
      <c r="AP9" s="685"/>
      <c r="AQ9" s="685"/>
      <c r="AR9" s="685"/>
      <c r="AS9" s="685"/>
      <c r="AT9" s="685"/>
      <c r="AU9" s="685"/>
      <c r="AV9" s="685"/>
      <c r="AW9" s="685"/>
      <c r="AX9" s="685"/>
      <c r="AY9" s="685"/>
      <c r="AZ9" s="685"/>
      <c r="BA9" s="685"/>
      <c r="BB9" s="685"/>
      <c r="BC9" s="685"/>
      <c r="BD9" s="685"/>
      <c r="BE9" s="685"/>
      <c r="BF9" s="685"/>
      <c r="BG9" s="685"/>
      <c r="BI9" s="685"/>
      <c r="BJ9" s="685"/>
      <c r="BK9" s="685"/>
      <c r="BL9" s="685"/>
      <c r="BM9" s="685"/>
      <c r="BN9" s="685"/>
      <c r="BO9" s="685"/>
      <c r="BP9" s="685"/>
      <c r="BQ9" s="685"/>
      <c r="BR9" s="685"/>
      <c r="BS9" s="685"/>
      <c r="BT9" s="685"/>
      <c r="BU9" s="685"/>
      <c r="BV9" s="685"/>
      <c r="BW9" s="685"/>
      <c r="BX9" s="685"/>
      <c r="BY9" s="685"/>
      <c r="BZ9" s="685"/>
      <c r="CA9" s="685"/>
      <c r="CB9" s="685"/>
      <c r="CC9" s="685"/>
      <c r="CD9" s="685"/>
      <c r="CE9" s="685"/>
      <c r="CF9" s="685"/>
      <c r="CG9" s="685"/>
      <c r="CH9" s="685"/>
      <c r="CI9" s="685"/>
      <c r="CJ9" s="685"/>
      <c r="CK9" s="685"/>
      <c r="CM9" s="685"/>
      <c r="CN9" s="685"/>
      <c r="CO9" s="685"/>
      <c r="CP9" s="685"/>
      <c r="CQ9" s="685"/>
      <c r="CR9" s="685"/>
      <c r="CS9" s="685"/>
      <c r="CT9" s="685"/>
      <c r="CU9" s="685"/>
      <c r="CV9" s="685"/>
      <c r="CW9" s="685"/>
      <c r="CX9" s="685"/>
      <c r="CY9" s="685"/>
      <c r="CZ9" s="685"/>
    </row>
    <row r="10" spans="1:104">
      <c r="A10" s="685"/>
      <c r="B10" s="685"/>
      <c r="C10" s="685"/>
      <c r="D10" s="685"/>
      <c r="E10" s="685"/>
      <c r="F10" s="685"/>
      <c r="G10" s="685"/>
      <c r="H10" s="685"/>
      <c r="I10" s="685"/>
      <c r="J10" s="685"/>
      <c r="K10" s="685"/>
      <c r="L10" s="685"/>
      <c r="M10" s="685"/>
      <c r="N10" s="685"/>
      <c r="O10" s="685"/>
      <c r="P10" s="685"/>
      <c r="Q10" s="685"/>
      <c r="R10" s="685"/>
      <c r="S10" s="685"/>
      <c r="T10" s="685"/>
      <c r="U10" s="685"/>
      <c r="V10" s="685"/>
      <c r="W10" s="685"/>
      <c r="X10" s="685"/>
      <c r="Y10" s="685"/>
      <c r="Z10" s="685"/>
      <c r="AA10" s="685"/>
      <c r="AB10" s="685"/>
      <c r="AC10" s="685"/>
      <c r="AE10" s="685"/>
      <c r="AF10" s="685"/>
      <c r="AG10" s="685"/>
      <c r="AH10" s="685"/>
      <c r="AI10" s="685"/>
      <c r="AJ10" s="685"/>
      <c r="AK10" s="685"/>
      <c r="AL10" s="685"/>
      <c r="AM10" s="685"/>
      <c r="AN10" s="685"/>
      <c r="AO10" s="685"/>
      <c r="AP10" s="685"/>
      <c r="AQ10" s="685"/>
      <c r="AR10" s="685"/>
      <c r="AS10" s="685"/>
      <c r="AT10" s="685"/>
      <c r="AU10" s="685"/>
      <c r="AV10" s="685"/>
      <c r="AW10" s="685"/>
      <c r="AX10" s="685"/>
      <c r="AY10" s="685"/>
      <c r="AZ10" s="685"/>
      <c r="BA10" s="685"/>
      <c r="BB10" s="685"/>
      <c r="BC10" s="685"/>
      <c r="BD10" s="685"/>
      <c r="BE10" s="685"/>
      <c r="BF10" s="685"/>
      <c r="BG10" s="685"/>
      <c r="BI10" s="685"/>
      <c r="BJ10" s="685"/>
      <c r="BK10" s="685"/>
      <c r="BL10" s="685"/>
      <c r="BM10" s="685"/>
      <c r="BN10" s="685"/>
      <c r="BO10" s="685"/>
      <c r="BP10" s="685"/>
      <c r="BQ10" s="685"/>
      <c r="BR10" s="685"/>
      <c r="BS10" s="685"/>
      <c r="BT10" s="685"/>
      <c r="BU10" s="685"/>
      <c r="BV10" s="685"/>
      <c r="BW10" s="685"/>
      <c r="BX10" s="685"/>
      <c r="BY10" s="685"/>
      <c r="BZ10" s="685"/>
      <c r="CA10" s="685"/>
      <c r="CB10" s="685"/>
      <c r="CC10" s="685"/>
      <c r="CD10" s="685"/>
      <c r="CE10" s="685"/>
      <c r="CF10" s="685"/>
      <c r="CG10" s="685"/>
      <c r="CH10" s="685"/>
      <c r="CI10" s="685"/>
      <c r="CJ10" s="685"/>
      <c r="CK10" s="685"/>
      <c r="CM10" s="685"/>
      <c r="CN10" s="685"/>
      <c r="CO10" s="685"/>
      <c r="CP10" s="685"/>
      <c r="CQ10" s="685"/>
      <c r="CR10" s="685"/>
      <c r="CS10" s="685"/>
      <c r="CT10" s="685"/>
      <c r="CU10" s="685"/>
      <c r="CV10" s="685"/>
      <c r="CW10" s="685"/>
      <c r="CX10" s="685"/>
      <c r="CY10" s="685"/>
      <c r="CZ10" s="685"/>
    </row>
    <row r="11" spans="1:104" ht="12.75" customHeight="1">
      <c r="A11" s="685"/>
      <c r="B11" s="685"/>
      <c r="C11" s="685"/>
      <c r="D11" s="685"/>
      <c r="E11" s="685"/>
      <c r="F11" s="685"/>
      <c r="G11" s="685"/>
      <c r="H11" s="685"/>
      <c r="I11" s="685"/>
      <c r="J11" s="685"/>
      <c r="K11" s="685"/>
      <c r="L11" s="685"/>
      <c r="M11" s="685"/>
      <c r="N11" s="685"/>
      <c r="O11" s="685"/>
      <c r="P11" s="685"/>
      <c r="Q11" s="685"/>
      <c r="R11" s="685"/>
      <c r="S11" s="685"/>
      <c r="T11" s="685"/>
      <c r="U11" s="685"/>
      <c r="V11" s="685"/>
      <c r="W11" s="685"/>
      <c r="X11" s="685"/>
      <c r="Y11" s="685"/>
      <c r="Z11" s="685"/>
      <c r="AA11" s="685"/>
      <c r="AB11" s="685"/>
      <c r="AC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I11" s="685"/>
      <c r="BJ11" s="685"/>
      <c r="BK11" s="685"/>
      <c r="BL11" s="685"/>
      <c r="BM11" s="685"/>
      <c r="BN11" s="685"/>
      <c r="BO11" s="685"/>
      <c r="BP11" s="685"/>
      <c r="BQ11" s="685"/>
      <c r="BR11" s="685"/>
      <c r="BS11" s="685"/>
      <c r="BT11" s="685"/>
      <c r="BU11" s="685"/>
      <c r="BV11" s="685"/>
      <c r="BW11" s="685"/>
      <c r="BX11" s="685"/>
      <c r="BY11" s="685"/>
      <c r="BZ11" s="685"/>
      <c r="CA11" s="685"/>
      <c r="CB11" s="685"/>
      <c r="CC11" s="685"/>
      <c r="CD11" s="685"/>
      <c r="CE11" s="685"/>
      <c r="CF11" s="685"/>
      <c r="CG11" s="685"/>
      <c r="CH11" s="685"/>
      <c r="CI11" s="685"/>
      <c r="CJ11" s="685"/>
      <c r="CK11" s="685"/>
      <c r="CM11" s="685"/>
      <c r="CN11" s="685"/>
      <c r="CO11" s="685"/>
      <c r="CP11" s="685"/>
      <c r="CQ11" s="685"/>
      <c r="CR11" s="685"/>
      <c r="CS11" s="685"/>
      <c r="CT11" s="685"/>
      <c r="CU11" s="685"/>
      <c r="CV11" s="685"/>
      <c r="CW11" s="685"/>
      <c r="CX11" s="685"/>
      <c r="CY11" s="685"/>
      <c r="CZ11" s="685"/>
    </row>
    <row r="12" spans="1:104">
      <c r="A12" s="685"/>
      <c r="B12" s="685"/>
      <c r="C12" s="685"/>
      <c r="D12" s="685"/>
      <c r="E12" s="685"/>
      <c r="F12" s="685"/>
      <c r="G12" s="685"/>
      <c r="H12" s="685"/>
      <c r="I12" s="685"/>
      <c r="J12" s="685"/>
      <c r="K12" s="685"/>
      <c r="L12" s="685"/>
      <c r="M12" s="685"/>
      <c r="N12" s="685"/>
      <c r="O12" s="685"/>
      <c r="P12" s="685"/>
      <c r="Q12" s="685"/>
      <c r="R12" s="685"/>
      <c r="S12" s="685"/>
      <c r="T12" s="685"/>
      <c r="U12" s="685"/>
      <c r="V12" s="685"/>
      <c r="W12" s="685"/>
      <c r="X12" s="685"/>
      <c r="Y12" s="685"/>
      <c r="Z12" s="685"/>
      <c r="AA12" s="685"/>
      <c r="AB12" s="685"/>
      <c r="AC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I12" s="685"/>
      <c r="BJ12" s="685"/>
      <c r="BK12" s="685"/>
      <c r="BL12" s="685"/>
      <c r="BM12" s="685"/>
      <c r="BN12" s="685"/>
      <c r="BO12" s="685"/>
      <c r="BP12" s="685"/>
      <c r="BQ12" s="685"/>
      <c r="BR12" s="685"/>
      <c r="BS12" s="685"/>
      <c r="BT12" s="685"/>
      <c r="BU12" s="685"/>
      <c r="BV12" s="685"/>
      <c r="BW12" s="685"/>
      <c r="BX12" s="685"/>
      <c r="BY12" s="685"/>
      <c r="BZ12" s="685"/>
      <c r="CA12" s="685"/>
      <c r="CB12" s="685"/>
      <c r="CC12" s="685"/>
      <c r="CD12" s="685"/>
      <c r="CE12" s="685"/>
      <c r="CF12" s="685"/>
      <c r="CG12" s="685"/>
      <c r="CH12" s="685"/>
      <c r="CI12" s="685"/>
      <c r="CJ12" s="685"/>
      <c r="CK12" s="685"/>
      <c r="CM12" s="685"/>
      <c r="CN12" s="685"/>
      <c r="CO12" s="685"/>
      <c r="CP12" s="685"/>
      <c r="CQ12" s="685"/>
      <c r="CR12" s="685"/>
      <c r="CS12" s="685"/>
      <c r="CT12" s="685"/>
      <c r="CU12" s="685"/>
      <c r="CV12" s="685"/>
      <c r="CW12" s="685"/>
      <c r="CX12" s="685"/>
      <c r="CY12" s="685"/>
      <c r="CZ12" s="685"/>
    </row>
    <row r="13" spans="1:104">
      <c r="A13" s="685"/>
      <c r="B13" s="685"/>
      <c r="C13" s="685"/>
      <c r="D13" s="685"/>
      <c r="E13" s="685"/>
      <c r="F13" s="685"/>
      <c r="G13" s="685"/>
      <c r="H13" s="685"/>
      <c r="I13" s="685"/>
      <c r="J13" s="685"/>
      <c r="K13" s="685"/>
      <c r="L13" s="685"/>
      <c r="M13" s="685"/>
      <c r="N13" s="685"/>
      <c r="O13" s="685"/>
      <c r="P13" s="685"/>
      <c r="Q13" s="685"/>
      <c r="R13" s="685"/>
      <c r="S13" s="685"/>
      <c r="T13" s="685"/>
      <c r="U13" s="685"/>
      <c r="V13" s="685"/>
      <c r="W13" s="685"/>
      <c r="X13" s="685"/>
      <c r="Y13" s="685"/>
      <c r="Z13" s="685"/>
      <c r="AA13" s="685"/>
      <c r="AB13" s="685"/>
      <c r="AC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I13" s="685"/>
      <c r="BJ13" s="685"/>
      <c r="BK13" s="685"/>
      <c r="BL13" s="685"/>
      <c r="BM13" s="685"/>
      <c r="BN13" s="685"/>
      <c r="BO13" s="685"/>
      <c r="BP13" s="685"/>
      <c r="BQ13" s="685"/>
      <c r="BR13" s="685"/>
      <c r="BS13" s="685"/>
      <c r="BT13" s="685"/>
      <c r="BU13" s="685"/>
      <c r="BV13" s="685"/>
      <c r="BW13" s="685"/>
      <c r="BX13" s="685"/>
      <c r="BY13" s="685"/>
      <c r="BZ13" s="685"/>
      <c r="CA13" s="685"/>
      <c r="CB13" s="685"/>
      <c r="CC13" s="685"/>
      <c r="CD13" s="685"/>
      <c r="CE13" s="685"/>
      <c r="CF13" s="685"/>
      <c r="CG13" s="685"/>
      <c r="CH13" s="685"/>
      <c r="CI13" s="685"/>
      <c r="CJ13" s="685"/>
      <c r="CK13" s="685"/>
      <c r="CM13" s="685"/>
      <c r="CN13" s="685"/>
      <c r="CO13" s="685"/>
      <c r="CP13" s="685"/>
      <c r="CQ13" s="685"/>
      <c r="CR13" s="685"/>
      <c r="CS13" s="685"/>
      <c r="CT13" s="685"/>
      <c r="CU13" s="685"/>
      <c r="CV13" s="685"/>
      <c r="CW13" s="685"/>
      <c r="CX13" s="685"/>
      <c r="CY13" s="685"/>
      <c r="CZ13" s="685"/>
    </row>
    <row r="14" spans="1:104" ht="12.75" customHeight="1">
      <c r="A14" s="685"/>
      <c r="B14" s="685"/>
      <c r="C14" s="685"/>
      <c r="D14" s="685"/>
      <c r="E14" s="685"/>
      <c r="F14" s="685"/>
      <c r="G14" s="685"/>
      <c r="H14" s="685"/>
      <c r="I14" s="685"/>
      <c r="J14" s="685"/>
      <c r="K14" s="685"/>
      <c r="L14" s="685"/>
      <c r="M14" s="685"/>
      <c r="N14" s="685"/>
      <c r="O14" s="685"/>
      <c r="P14" s="685"/>
      <c r="Q14" s="685"/>
      <c r="R14" s="685"/>
      <c r="S14" s="685"/>
      <c r="T14" s="685"/>
      <c r="U14" s="685"/>
      <c r="V14" s="685"/>
      <c r="W14" s="685"/>
      <c r="X14" s="685"/>
      <c r="Y14" s="685"/>
      <c r="Z14" s="685"/>
      <c r="AA14" s="685"/>
      <c r="AB14" s="685"/>
      <c r="AC14" s="685"/>
      <c r="AE14" s="685"/>
      <c r="AF14" s="685"/>
      <c r="AG14" s="685"/>
      <c r="AH14" s="685"/>
      <c r="AI14" s="685"/>
      <c r="AJ14" s="685"/>
      <c r="AK14" s="685"/>
      <c r="AL14" s="685"/>
      <c r="AM14" s="685"/>
      <c r="AN14" s="685"/>
      <c r="AO14" s="685"/>
      <c r="AP14" s="685"/>
      <c r="AQ14" s="685"/>
      <c r="AR14" s="685"/>
      <c r="AS14" s="685"/>
      <c r="AT14" s="685"/>
      <c r="AU14" s="685"/>
      <c r="AV14" s="685"/>
      <c r="AW14" s="685"/>
      <c r="AX14" s="685"/>
      <c r="AY14" s="685"/>
      <c r="AZ14" s="685"/>
      <c r="BA14" s="685"/>
      <c r="BB14" s="685"/>
      <c r="BC14" s="685"/>
      <c r="BD14" s="685"/>
      <c r="BE14" s="685"/>
      <c r="BF14" s="685"/>
      <c r="BG14" s="685"/>
      <c r="BI14" s="685"/>
      <c r="BJ14" s="685"/>
      <c r="BK14" s="685"/>
      <c r="BL14" s="685"/>
      <c r="BM14" s="685"/>
      <c r="BN14" s="685"/>
      <c r="BO14" s="685"/>
      <c r="BP14" s="685"/>
      <c r="BQ14" s="685"/>
      <c r="BR14" s="685"/>
      <c r="BS14" s="685"/>
      <c r="BT14" s="685"/>
      <c r="BU14" s="685"/>
      <c r="BV14" s="685"/>
      <c r="BW14" s="685"/>
      <c r="BX14" s="685"/>
      <c r="BY14" s="685"/>
      <c r="BZ14" s="685"/>
      <c r="CA14" s="685"/>
      <c r="CB14" s="685"/>
      <c r="CC14" s="685"/>
      <c r="CD14" s="685"/>
      <c r="CE14" s="685"/>
      <c r="CF14" s="685"/>
      <c r="CG14" s="685"/>
      <c r="CH14" s="685"/>
      <c r="CI14" s="685"/>
      <c r="CJ14" s="685"/>
      <c r="CK14" s="685"/>
      <c r="CM14" s="685"/>
      <c r="CN14" s="685"/>
      <c r="CO14" s="685"/>
      <c r="CP14" s="685"/>
      <c r="CQ14" s="685"/>
      <c r="CR14" s="685"/>
      <c r="CS14" s="685"/>
      <c r="CT14" s="685"/>
      <c r="CU14" s="685"/>
      <c r="CV14" s="685"/>
      <c r="CW14" s="685"/>
      <c r="CX14" s="685"/>
      <c r="CY14" s="685"/>
      <c r="CZ14" s="685"/>
    </row>
    <row r="15" spans="1:104">
      <c r="A15" s="685"/>
      <c r="B15" s="685"/>
      <c r="C15" s="685"/>
      <c r="D15" s="685"/>
      <c r="E15" s="685"/>
      <c r="F15" s="685"/>
      <c r="G15" s="685"/>
      <c r="H15" s="685"/>
      <c r="I15" s="685"/>
      <c r="J15" s="685"/>
      <c r="K15" s="685"/>
      <c r="L15" s="685"/>
      <c r="M15" s="685"/>
      <c r="N15" s="685"/>
      <c r="O15" s="685"/>
      <c r="P15" s="685"/>
      <c r="Q15" s="685"/>
      <c r="R15" s="685"/>
      <c r="S15" s="685"/>
      <c r="T15" s="685"/>
      <c r="U15" s="685"/>
      <c r="V15" s="685"/>
      <c r="W15" s="685"/>
      <c r="X15" s="685"/>
      <c r="Y15" s="685"/>
      <c r="Z15" s="685"/>
      <c r="AA15" s="685"/>
      <c r="AB15" s="685"/>
      <c r="AC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I15" s="685"/>
      <c r="BJ15" s="685"/>
      <c r="BK15" s="685"/>
      <c r="BL15" s="685"/>
      <c r="BM15" s="685"/>
      <c r="BN15" s="685"/>
      <c r="BO15" s="685"/>
      <c r="BP15" s="685"/>
      <c r="BQ15" s="685"/>
      <c r="BR15" s="685"/>
      <c r="BS15" s="685"/>
      <c r="BT15" s="685"/>
      <c r="BU15" s="685"/>
      <c r="BV15" s="685"/>
      <c r="BW15" s="685"/>
      <c r="BX15" s="685"/>
      <c r="BY15" s="685"/>
      <c r="BZ15" s="685"/>
      <c r="CA15" s="685"/>
      <c r="CB15" s="685"/>
      <c r="CC15" s="685"/>
      <c r="CD15" s="685"/>
      <c r="CE15" s="685"/>
      <c r="CF15" s="685"/>
      <c r="CG15" s="685"/>
      <c r="CH15" s="685"/>
      <c r="CI15" s="685"/>
      <c r="CJ15" s="685"/>
      <c r="CK15" s="685"/>
      <c r="CM15" s="685"/>
      <c r="CN15" s="685"/>
      <c r="CO15" s="685"/>
      <c r="CP15" s="685"/>
      <c r="CQ15" s="685"/>
      <c r="CR15" s="685"/>
      <c r="CS15" s="685"/>
      <c r="CT15" s="685"/>
      <c r="CU15" s="685"/>
      <c r="CV15" s="685"/>
      <c r="CW15" s="685"/>
      <c r="CX15" s="685"/>
      <c r="CY15" s="685"/>
      <c r="CZ15" s="685"/>
    </row>
    <row r="16" spans="1:104">
      <c r="A16" s="685"/>
      <c r="B16" s="685"/>
      <c r="C16" s="685"/>
      <c r="D16" s="685"/>
      <c r="E16" s="685"/>
      <c r="F16" s="685"/>
      <c r="G16" s="685"/>
      <c r="H16" s="685"/>
      <c r="I16" s="685"/>
      <c r="J16" s="685"/>
      <c r="K16" s="685"/>
      <c r="L16" s="685"/>
      <c r="M16" s="685"/>
      <c r="N16" s="685"/>
      <c r="O16" s="685"/>
      <c r="P16" s="685"/>
      <c r="Q16" s="685"/>
      <c r="R16" s="685"/>
      <c r="S16" s="685"/>
      <c r="T16" s="685"/>
      <c r="U16" s="685"/>
      <c r="V16" s="685"/>
      <c r="W16" s="685"/>
      <c r="X16" s="685"/>
      <c r="Y16" s="685"/>
      <c r="Z16" s="685"/>
      <c r="AA16" s="685"/>
      <c r="AB16" s="685"/>
      <c r="AC16" s="685"/>
      <c r="AE16" s="685"/>
      <c r="AF16" s="685"/>
      <c r="AG16" s="685"/>
      <c r="AH16" s="685"/>
      <c r="AI16" s="685"/>
      <c r="AJ16" s="685"/>
      <c r="AK16" s="685"/>
      <c r="AL16" s="685"/>
      <c r="AM16" s="685"/>
      <c r="AN16" s="685"/>
      <c r="AO16" s="685"/>
      <c r="AP16" s="685"/>
      <c r="AQ16" s="685"/>
      <c r="AR16" s="685"/>
      <c r="AS16" s="685"/>
      <c r="AT16" s="685"/>
      <c r="AU16" s="685"/>
      <c r="AV16" s="685"/>
      <c r="AW16" s="685"/>
      <c r="AX16" s="685"/>
      <c r="AY16" s="685"/>
      <c r="AZ16" s="685"/>
      <c r="BA16" s="685"/>
      <c r="BB16" s="685"/>
      <c r="BC16" s="685"/>
      <c r="BD16" s="685"/>
      <c r="BE16" s="685"/>
      <c r="BF16" s="685"/>
      <c r="BG16" s="685"/>
      <c r="BI16" s="685"/>
      <c r="BJ16" s="685"/>
      <c r="BK16" s="685"/>
      <c r="BL16" s="685"/>
      <c r="BM16" s="685"/>
      <c r="BN16" s="685"/>
      <c r="BO16" s="685"/>
      <c r="BP16" s="685"/>
      <c r="BQ16" s="685"/>
      <c r="BR16" s="685"/>
      <c r="BS16" s="685"/>
      <c r="BT16" s="685"/>
      <c r="BU16" s="685"/>
      <c r="BV16" s="685"/>
      <c r="BW16" s="685"/>
      <c r="BX16" s="685"/>
      <c r="BY16" s="685"/>
      <c r="BZ16" s="685"/>
      <c r="CA16" s="685"/>
      <c r="CB16" s="685"/>
      <c r="CC16" s="685"/>
      <c r="CD16" s="685"/>
      <c r="CE16" s="685"/>
      <c r="CF16" s="685"/>
      <c r="CG16" s="685"/>
      <c r="CH16" s="685"/>
      <c r="CI16" s="685"/>
      <c r="CJ16" s="685"/>
      <c r="CK16" s="685"/>
      <c r="CM16" s="685"/>
      <c r="CN16" s="685"/>
      <c r="CO16" s="685"/>
      <c r="CP16" s="685"/>
      <c r="CQ16" s="685"/>
      <c r="CR16" s="685"/>
      <c r="CS16" s="685"/>
      <c r="CT16" s="685"/>
      <c r="CU16" s="685"/>
      <c r="CV16" s="685"/>
      <c r="CW16" s="685"/>
      <c r="CX16" s="685"/>
      <c r="CY16" s="685"/>
      <c r="CZ16" s="685"/>
    </row>
    <row r="17" spans="1:104">
      <c r="A17" s="685"/>
      <c r="B17" s="685"/>
      <c r="C17" s="685"/>
      <c r="D17" s="685"/>
      <c r="E17" s="685"/>
      <c r="F17" s="685"/>
      <c r="G17" s="685"/>
      <c r="H17" s="685"/>
      <c r="I17" s="685"/>
      <c r="J17" s="685"/>
      <c r="K17" s="685"/>
      <c r="L17" s="685"/>
      <c r="M17" s="685"/>
      <c r="N17" s="685"/>
      <c r="O17" s="685"/>
      <c r="P17" s="685"/>
      <c r="Q17" s="685"/>
      <c r="R17" s="685"/>
      <c r="S17" s="685"/>
      <c r="T17" s="685"/>
      <c r="U17" s="685"/>
      <c r="V17" s="685"/>
      <c r="W17" s="685"/>
      <c r="X17" s="685"/>
      <c r="Y17" s="685"/>
      <c r="Z17" s="685"/>
      <c r="AA17" s="685"/>
      <c r="AB17" s="685"/>
      <c r="AC17" s="685"/>
      <c r="AE17" s="685"/>
      <c r="AF17" s="685"/>
      <c r="AG17" s="685"/>
      <c r="AH17" s="685"/>
      <c r="AI17" s="685"/>
      <c r="AJ17" s="685"/>
      <c r="AK17" s="685"/>
      <c r="AL17" s="685"/>
      <c r="AM17" s="685"/>
      <c r="AN17" s="685"/>
      <c r="AO17" s="685"/>
      <c r="AP17" s="685"/>
      <c r="AQ17" s="685"/>
      <c r="AR17" s="685"/>
      <c r="AS17" s="685"/>
      <c r="AT17" s="685"/>
      <c r="AU17" s="685"/>
      <c r="AV17" s="685"/>
      <c r="AW17" s="685"/>
      <c r="AX17" s="685"/>
      <c r="AY17" s="685"/>
      <c r="AZ17" s="685"/>
      <c r="BA17" s="685"/>
      <c r="BB17" s="685"/>
      <c r="BC17" s="685"/>
      <c r="BD17" s="685"/>
      <c r="BE17" s="685"/>
      <c r="BF17" s="685"/>
      <c r="BG17" s="685"/>
      <c r="BI17" s="685"/>
      <c r="BJ17" s="685"/>
      <c r="BK17" s="685"/>
      <c r="BL17" s="685"/>
      <c r="BM17" s="685"/>
      <c r="BN17" s="685"/>
      <c r="BO17" s="685"/>
      <c r="BP17" s="685"/>
      <c r="BQ17" s="685"/>
      <c r="BR17" s="685"/>
      <c r="BS17" s="685"/>
      <c r="BT17" s="685"/>
      <c r="BU17" s="685"/>
      <c r="BV17" s="685"/>
      <c r="BW17" s="685"/>
      <c r="BX17" s="685"/>
      <c r="BY17" s="685"/>
      <c r="BZ17" s="685"/>
      <c r="CA17" s="685"/>
      <c r="CB17" s="685"/>
      <c r="CC17" s="685"/>
      <c r="CD17" s="685"/>
      <c r="CE17" s="685"/>
      <c r="CF17" s="685"/>
      <c r="CG17" s="685"/>
      <c r="CH17" s="685"/>
      <c r="CI17" s="685"/>
      <c r="CJ17" s="685"/>
      <c r="CK17" s="685"/>
      <c r="CM17" s="685"/>
      <c r="CN17" s="685"/>
      <c r="CO17" s="685"/>
      <c r="CP17" s="685"/>
      <c r="CQ17" s="685"/>
      <c r="CR17" s="685"/>
      <c r="CS17" s="685"/>
      <c r="CT17" s="685"/>
      <c r="CU17" s="685"/>
      <c r="CV17" s="685"/>
      <c r="CW17" s="685"/>
      <c r="CX17" s="685"/>
      <c r="CY17" s="685"/>
      <c r="CZ17" s="685"/>
    </row>
    <row r="18" spans="1:104" ht="15.75" customHeight="1">
      <c r="A18" s="685"/>
      <c r="B18" s="685"/>
      <c r="C18" s="685"/>
      <c r="D18" s="685"/>
      <c r="E18" s="685"/>
      <c r="F18" s="685"/>
      <c r="G18" s="685"/>
      <c r="H18" s="685"/>
      <c r="I18" s="685"/>
      <c r="J18" s="685"/>
      <c r="K18" s="685"/>
      <c r="L18" s="685"/>
      <c r="M18" s="685"/>
      <c r="N18" s="685"/>
      <c r="O18" s="685"/>
      <c r="P18" s="685"/>
      <c r="Q18" s="685"/>
      <c r="R18" s="685"/>
      <c r="S18" s="685"/>
      <c r="T18" s="685"/>
      <c r="U18" s="685"/>
      <c r="V18" s="685"/>
      <c r="W18" s="685"/>
      <c r="X18" s="685"/>
      <c r="Y18" s="685"/>
      <c r="Z18" s="685"/>
      <c r="AA18" s="685"/>
      <c r="AB18" s="685"/>
      <c r="AC18" s="685"/>
      <c r="AE18" s="685"/>
      <c r="AF18" s="685"/>
      <c r="AG18" s="685"/>
      <c r="AH18" s="685"/>
      <c r="AI18" s="685"/>
      <c r="AJ18" s="685"/>
      <c r="AK18" s="685"/>
      <c r="AL18" s="685"/>
      <c r="AM18" s="685"/>
      <c r="AN18" s="685"/>
      <c r="AO18" s="685"/>
      <c r="AP18" s="685"/>
      <c r="AQ18" s="685"/>
      <c r="AR18" s="685"/>
      <c r="AS18" s="685"/>
      <c r="AT18" s="685"/>
      <c r="AU18" s="685"/>
      <c r="AV18" s="685"/>
      <c r="AW18" s="685"/>
      <c r="AX18" s="685"/>
      <c r="AY18" s="685"/>
      <c r="AZ18" s="685"/>
      <c r="BA18" s="685"/>
      <c r="BB18" s="685"/>
      <c r="BC18" s="685"/>
      <c r="BD18" s="685"/>
      <c r="BE18" s="685"/>
      <c r="BF18" s="685"/>
      <c r="BG18" s="685"/>
      <c r="BI18" s="685"/>
      <c r="BJ18" s="685"/>
      <c r="BK18" s="685"/>
      <c r="BL18" s="685"/>
      <c r="BM18" s="685"/>
      <c r="BN18" s="685"/>
      <c r="BO18" s="685"/>
      <c r="BP18" s="685"/>
      <c r="BQ18" s="685"/>
      <c r="BR18" s="685"/>
      <c r="BS18" s="685"/>
      <c r="BT18" s="685"/>
      <c r="BU18" s="685"/>
      <c r="BV18" s="685"/>
      <c r="BW18" s="685"/>
      <c r="BX18" s="685"/>
      <c r="BY18" s="685"/>
      <c r="BZ18" s="685"/>
      <c r="CA18" s="685"/>
      <c r="CB18" s="685"/>
      <c r="CC18" s="685"/>
      <c r="CD18" s="685"/>
      <c r="CE18" s="685"/>
      <c r="CF18" s="685"/>
      <c r="CG18" s="685"/>
      <c r="CH18" s="685"/>
      <c r="CI18" s="685"/>
      <c r="CJ18" s="685"/>
      <c r="CK18" s="685"/>
      <c r="CM18" s="685"/>
      <c r="CN18" s="685"/>
      <c r="CO18" s="685"/>
      <c r="CP18" s="685"/>
      <c r="CQ18" s="685"/>
      <c r="CR18" s="685"/>
      <c r="CS18" s="685"/>
      <c r="CT18" s="685"/>
      <c r="CU18" s="685"/>
      <c r="CV18" s="685"/>
      <c r="CW18" s="685"/>
      <c r="CX18" s="685"/>
      <c r="CY18" s="685"/>
      <c r="CZ18" s="685"/>
    </row>
    <row r="19" spans="1:104">
      <c r="A19" s="685"/>
      <c r="O19" s="685"/>
      <c r="P19" s="685"/>
      <c r="AE19" s="685"/>
      <c r="AS19" s="685"/>
      <c r="AT19" s="685"/>
      <c r="BI19" s="685"/>
      <c r="BW19" s="685"/>
      <c r="BX19" s="685"/>
      <c r="CM19" s="685"/>
    </row>
    <row r="20" spans="1:104">
      <c r="A20" s="685"/>
      <c r="B20" s="687">
        <v>1</v>
      </c>
      <c r="C20" s="1289"/>
      <c r="D20" s="1290"/>
      <c r="E20" s="1290"/>
      <c r="F20" s="1290"/>
      <c r="G20" s="1291"/>
      <c r="I20" s="687">
        <f>1+B20</f>
        <v>2</v>
      </c>
      <c r="J20" s="1289"/>
      <c r="K20" s="1290"/>
      <c r="L20" s="1290"/>
      <c r="M20" s="1290"/>
      <c r="N20" s="1291"/>
      <c r="O20" s="685"/>
      <c r="P20" s="685"/>
      <c r="Q20" s="687">
        <f>1+I60</f>
        <v>7</v>
      </c>
      <c r="R20" s="1289"/>
      <c r="S20" s="1290"/>
      <c r="T20" s="1290"/>
      <c r="U20" s="1290"/>
      <c r="V20" s="1291"/>
      <c r="X20" s="687">
        <f>1+Q20</f>
        <v>8</v>
      </c>
      <c r="Y20" s="1289"/>
      <c r="Z20" s="1290"/>
      <c r="AA20" s="1290"/>
      <c r="AB20" s="1290"/>
      <c r="AC20" s="1291"/>
      <c r="AE20" s="685"/>
      <c r="AF20" s="687">
        <f>1+X60</f>
        <v>13</v>
      </c>
      <c r="AG20" s="1289"/>
      <c r="AH20" s="1290"/>
      <c r="AI20" s="1290"/>
      <c r="AJ20" s="1290"/>
      <c r="AK20" s="1291"/>
      <c r="AM20" s="687">
        <f>1+AF20</f>
        <v>14</v>
      </c>
      <c r="AN20" s="1289"/>
      <c r="AO20" s="1290"/>
      <c r="AP20" s="1290"/>
      <c r="AQ20" s="1290"/>
      <c r="AR20" s="1291"/>
      <c r="AS20" s="685"/>
      <c r="AT20" s="685"/>
      <c r="AU20" s="687">
        <f>1+AM60</f>
        <v>19</v>
      </c>
      <c r="AV20" s="1289"/>
      <c r="AW20" s="1290"/>
      <c r="AX20" s="1290"/>
      <c r="AY20" s="1290"/>
      <c r="AZ20" s="1291"/>
      <c r="BB20" s="687">
        <f>1+AU20</f>
        <v>20</v>
      </c>
      <c r="BC20" s="1289"/>
      <c r="BD20" s="1290"/>
      <c r="BE20" s="1290"/>
      <c r="BF20" s="1290"/>
      <c r="BG20" s="1291"/>
      <c r="BI20" s="685"/>
      <c r="BJ20" s="687">
        <f>1+BB60</f>
        <v>25</v>
      </c>
      <c r="BK20" s="1289"/>
      <c r="BL20" s="1290"/>
      <c r="BM20" s="1290"/>
      <c r="BN20" s="1290"/>
      <c r="BO20" s="1291"/>
      <c r="BQ20" s="687">
        <f>1+BJ20</f>
        <v>26</v>
      </c>
      <c r="BR20" s="1289"/>
      <c r="BS20" s="1290"/>
      <c r="BT20" s="1290"/>
      <c r="BU20" s="1290"/>
      <c r="BV20" s="1291"/>
      <c r="BW20" s="685"/>
      <c r="BX20" s="685"/>
      <c r="BY20" s="687">
        <f>1+BQ60</f>
        <v>31</v>
      </c>
      <c r="BZ20" s="1289"/>
      <c r="CA20" s="1290"/>
      <c r="CB20" s="1290"/>
      <c r="CC20" s="1290"/>
      <c r="CD20" s="1291"/>
      <c r="CF20" s="687">
        <f>1+BY20</f>
        <v>32</v>
      </c>
      <c r="CG20" s="1289"/>
      <c r="CH20" s="1290"/>
      <c r="CI20" s="1290"/>
      <c r="CJ20" s="1290"/>
      <c r="CK20" s="1291"/>
      <c r="CM20" s="685"/>
      <c r="CN20" s="687">
        <f>1+CF60</f>
        <v>37</v>
      </c>
      <c r="CO20" s="1289"/>
      <c r="CP20" s="1290"/>
      <c r="CQ20" s="1290"/>
      <c r="CR20" s="1290"/>
      <c r="CS20" s="1291"/>
      <c r="CU20" s="687">
        <f>1+CN20</f>
        <v>38</v>
      </c>
      <c r="CV20" s="1289"/>
      <c r="CW20" s="1290"/>
      <c r="CX20" s="1290"/>
      <c r="CY20" s="1290"/>
      <c r="CZ20" s="1291"/>
    </row>
    <row r="21" spans="1:104">
      <c r="A21" s="685"/>
      <c r="B21" s="685"/>
      <c r="C21" s="685"/>
      <c r="D21" s="685"/>
      <c r="E21" s="685"/>
      <c r="F21" s="685"/>
      <c r="G21" s="685"/>
      <c r="H21" s="685"/>
      <c r="I21" s="685"/>
      <c r="J21" s="685"/>
      <c r="K21" s="685"/>
      <c r="L21" s="685"/>
      <c r="M21" s="685"/>
      <c r="N21" s="685"/>
      <c r="O21" s="685"/>
      <c r="P21" s="685"/>
      <c r="Q21" s="685"/>
      <c r="R21" s="685"/>
      <c r="S21" s="685"/>
      <c r="T21" s="685"/>
      <c r="U21" s="685"/>
      <c r="V21" s="685"/>
      <c r="W21" s="685"/>
      <c r="X21" s="685"/>
      <c r="Y21" s="685"/>
      <c r="Z21" s="685"/>
      <c r="AA21" s="685"/>
      <c r="AB21" s="685"/>
      <c r="AC21" s="685"/>
      <c r="AE21" s="685"/>
      <c r="AF21" s="685"/>
      <c r="AG21" s="685"/>
      <c r="AH21" s="685"/>
      <c r="AI21" s="685"/>
      <c r="AJ21" s="685"/>
      <c r="AK21" s="685"/>
      <c r="AL21" s="685"/>
      <c r="AM21" s="685"/>
      <c r="AN21" s="685"/>
      <c r="AO21" s="685"/>
      <c r="AP21" s="685"/>
      <c r="AQ21" s="685"/>
      <c r="AR21" s="685"/>
      <c r="AS21" s="685"/>
      <c r="AT21" s="685"/>
      <c r="AU21" s="685"/>
      <c r="AV21" s="685"/>
      <c r="AW21" s="685"/>
      <c r="AX21" s="685"/>
      <c r="AY21" s="685"/>
      <c r="AZ21" s="685"/>
      <c r="BA21" s="685"/>
      <c r="BB21" s="685"/>
      <c r="BC21" s="685"/>
      <c r="BD21" s="685"/>
      <c r="BE21" s="685"/>
      <c r="BF21" s="685"/>
      <c r="BG21" s="685"/>
      <c r="BI21" s="685"/>
      <c r="BJ21" s="685"/>
      <c r="BK21" s="685"/>
      <c r="BL21" s="685"/>
      <c r="BM21" s="685"/>
      <c r="BN21" s="685"/>
      <c r="BO21" s="685"/>
      <c r="BP21" s="685"/>
      <c r="BQ21" s="685"/>
      <c r="BR21" s="685"/>
      <c r="BS21" s="685"/>
      <c r="BT21" s="685"/>
      <c r="BU21" s="685"/>
      <c r="BV21" s="685"/>
      <c r="BW21" s="685"/>
      <c r="BX21" s="685"/>
      <c r="BY21" s="685"/>
      <c r="BZ21" s="685"/>
      <c r="CA21" s="685"/>
      <c r="CB21" s="685"/>
      <c r="CC21" s="685"/>
      <c r="CD21" s="685"/>
      <c r="CE21" s="685"/>
      <c r="CF21" s="685"/>
      <c r="CG21" s="685"/>
      <c r="CH21" s="685"/>
      <c r="CI21" s="685"/>
      <c r="CJ21" s="685"/>
      <c r="CK21" s="685"/>
      <c r="CM21" s="685"/>
      <c r="CN21" s="685"/>
      <c r="CO21" s="685"/>
      <c r="CP21" s="685"/>
      <c r="CQ21" s="685"/>
      <c r="CR21" s="685"/>
      <c r="CS21" s="685"/>
      <c r="CT21" s="685"/>
      <c r="CU21" s="685"/>
      <c r="CV21" s="685"/>
      <c r="CW21" s="685"/>
      <c r="CX21" s="685"/>
      <c r="CY21" s="685"/>
      <c r="CZ21" s="685"/>
    </row>
    <row r="22" spans="1:104">
      <c r="A22" s="685"/>
      <c r="B22" s="685"/>
      <c r="C22" s="685"/>
      <c r="D22" s="685"/>
      <c r="E22" s="685"/>
      <c r="F22" s="685"/>
      <c r="G22" s="685"/>
      <c r="H22" s="685"/>
      <c r="I22" s="685"/>
      <c r="J22" s="685"/>
      <c r="K22" s="685"/>
      <c r="L22" s="685"/>
      <c r="M22" s="685"/>
      <c r="N22" s="685"/>
      <c r="O22" s="685"/>
      <c r="P22" s="685"/>
      <c r="Q22" s="685"/>
      <c r="R22" s="685"/>
      <c r="S22" s="685"/>
      <c r="T22" s="685"/>
      <c r="U22" s="685"/>
      <c r="V22" s="685"/>
      <c r="W22" s="685"/>
      <c r="X22" s="685"/>
      <c r="Y22" s="685"/>
      <c r="Z22" s="685"/>
      <c r="AA22" s="685"/>
      <c r="AB22" s="685"/>
      <c r="AC22" s="685"/>
      <c r="AE22" s="685"/>
      <c r="AF22" s="685"/>
      <c r="AG22" s="685"/>
      <c r="AH22" s="685"/>
      <c r="AI22" s="685"/>
      <c r="AJ22" s="685"/>
      <c r="AK22" s="685"/>
      <c r="AL22" s="685"/>
      <c r="AM22" s="685"/>
      <c r="AN22" s="685"/>
      <c r="AO22" s="685"/>
      <c r="AP22" s="685"/>
      <c r="AQ22" s="685"/>
      <c r="AR22" s="685"/>
      <c r="AS22" s="685"/>
      <c r="AT22" s="685"/>
      <c r="AU22" s="685"/>
      <c r="AV22" s="685"/>
      <c r="AW22" s="685"/>
      <c r="AX22" s="685"/>
      <c r="AY22" s="685"/>
      <c r="AZ22" s="685"/>
      <c r="BA22" s="685"/>
      <c r="BB22" s="685"/>
      <c r="BC22" s="685"/>
      <c r="BD22" s="685"/>
      <c r="BE22" s="685"/>
      <c r="BF22" s="685"/>
      <c r="BG22" s="685"/>
      <c r="BI22" s="685"/>
      <c r="BJ22" s="685"/>
      <c r="BK22" s="685"/>
      <c r="BL22" s="685"/>
      <c r="BM22" s="685"/>
      <c r="BN22" s="685"/>
      <c r="BO22" s="685"/>
      <c r="BP22" s="685"/>
      <c r="BQ22" s="685"/>
      <c r="BR22" s="685"/>
      <c r="BS22" s="685"/>
      <c r="BT22" s="685"/>
      <c r="BU22" s="685"/>
      <c r="BV22" s="685"/>
      <c r="BW22" s="685"/>
      <c r="BX22" s="685"/>
      <c r="BY22" s="685"/>
      <c r="BZ22" s="685"/>
      <c r="CA22" s="685"/>
      <c r="CB22" s="685"/>
      <c r="CC22" s="685"/>
      <c r="CD22" s="685"/>
      <c r="CE22" s="685"/>
      <c r="CF22" s="685"/>
      <c r="CG22" s="685"/>
      <c r="CH22" s="685"/>
      <c r="CI22" s="685"/>
      <c r="CJ22" s="685"/>
      <c r="CK22" s="685"/>
      <c r="CM22" s="685"/>
      <c r="CN22" s="685"/>
      <c r="CO22" s="685"/>
      <c r="CP22" s="685"/>
      <c r="CQ22" s="685"/>
      <c r="CR22" s="685"/>
      <c r="CS22" s="685"/>
      <c r="CT22" s="685"/>
      <c r="CU22" s="685"/>
      <c r="CV22" s="685"/>
      <c r="CW22" s="685"/>
      <c r="CX22" s="685"/>
      <c r="CY22" s="685"/>
      <c r="CZ22" s="685"/>
    </row>
    <row r="23" spans="1:104">
      <c r="A23" s="685"/>
      <c r="B23" s="685"/>
      <c r="C23" s="685"/>
      <c r="D23" s="685"/>
      <c r="E23" s="685"/>
      <c r="F23" s="685"/>
      <c r="G23" s="685"/>
      <c r="H23" s="685"/>
      <c r="I23" s="685"/>
      <c r="J23" s="685"/>
      <c r="K23" s="685"/>
      <c r="L23" s="685"/>
      <c r="M23" s="685"/>
      <c r="N23" s="685"/>
      <c r="O23" s="685"/>
      <c r="P23" s="685"/>
      <c r="Q23" s="685"/>
      <c r="R23" s="685"/>
      <c r="S23" s="685"/>
      <c r="T23" s="685"/>
      <c r="U23" s="685"/>
      <c r="V23" s="685"/>
      <c r="W23" s="685"/>
      <c r="X23" s="685"/>
      <c r="Y23" s="685"/>
      <c r="Z23" s="685"/>
      <c r="AA23" s="685"/>
      <c r="AB23" s="685"/>
      <c r="AC23" s="685"/>
      <c r="AE23" s="685"/>
      <c r="AF23" s="685"/>
      <c r="AG23" s="685"/>
      <c r="AH23" s="685"/>
      <c r="AI23" s="685"/>
      <c r="AJ23" s="685"/>
      <c r="AK23" s="685"/>
      <c r="AL23" s="685"/>
      <c r="AM23" s="685"/>
      <c r="AN23" s="685"/>
      <c r="AO23" s="685"/>
      <c r="AP23" s="685"/>
      <c r="AQ23" s="685"/>
      <c r="AR23" s="685"/>
      <c r="AS23" s="685"/>
      <c r="AT23" s="685"/>
      <c r="AU23" s="685"/>
      <c r="AV23" s="685"/>
      <c r="AW23" s="685"/>
      <c r="AX23" s="685"/>
      <c r="AY23" s="685"/>
      <c r="AZ23" s="685"/>
      <c r="BA23" s="685"/>
      <c r="BB23" s="685"/>
      <c r="BC23" s="685"/>
      <c r="BD23" s="685"/>
      <c r="BE23" s="685"/>
      <c r="BF23" s="685"/>
      <c r="BG23" s="685"/>
      <c r="BI23" s="685"/>
      <c r="BJ23" s="685"/>
      <c r="BK23" s="685"/>
      <c r="BL23" s="685"/>
      <c r="BM23" s="685"/>
      <c r="BN23" s="685"/>
      <c r="BO23" s="685"/>
      <c r="BP23" s="685"/>
      <c r="BQ23" s="685"/>
      <c r="BR23" s="685"/>
      <c r="BS23" s="685"/>
      <c r="BT23" s="685"/>
      <c r="BU23" s="685"/>
      <c r="BV23" s="685"/>
      <c r="BW23" s="685"/>
      <c r="BX23" s="685"/>
      <c r="BY23" s="685"/>
      <c r="BZ23" s="685"/>
      <c r="CA23" s="685"/>
      <c r="CB23" s="685"/>
      <c r="CC23" s="685"/>
      <c r="CD23" s="685"/>
      <c r="CE23" s="685"/>
      <c r="CF23" s="685"/>
      <c r="CG23" s="685"/>
      <c r="CH23" s="685"/>
      <c r="CI23" s="685"/>
      <c r="CJ23" s="685"/>
      <c r="CK23" s="685"/>
      <c r="CM23" s="685"/>
      <c r="CN23" s="685"/>
      <c r="CO23" s="685"/>
      <c r="CP23" s="685"/>
      <c r="CQ23" s="685"/>
      <c r="CR23" s="685"/>
      <c r="CS23" s="685"/>
      <c r="CT23" s="685"/>
      <c r="CU23" s="685"/>
      <c r="CV23" s="685"/>
      <c r="CW23" s="685"/>
      <c r="CX23" s="685"/>
      <c r="CY23" s="685"/>
      <c r="CZ23" s="685"/>
    </row>
    <row r="24" spans="1:104">
      <c r="A24" s="685"/>
      <c r="B24" s="685"/>
      <c r="C24" s="685"/>
      <c r="D24" s="685"/>
      <c r="E24" s="685"/>
      <c r="F24" s="685"/>
      <c r="M24" s="685"/>
      <c r="N24" s="685"/>
      <c r="O24" s="685"/>
      <c r="P24" s="685"/>
      <c r="Q24" s="685"/>
      <c r="R24" s="685"/>
      <c r="S24" s="685"/>
      <c r="T24" s="685"/>
      <c r="U24" s="685"/>
      <c r="AB24" s="685"/>
      <c r="AC24" s="685"/>
      <c r="AE24" s="685"/>
      <c r="AF24" s="685"/>
      <c r="AG24" s="685"/>
      <c r="AH24" s="685"/>
      <c r="AI24" s="685"/>
      <c r="AJ24" s="685"/>
      <c r="AQ24" s="685"/>
      <c r="AR24" s="685"/>
      <c r="AS24" s="685"/>
      <c r="AT24" s="685"/>
      <c r="AU24" s="685"/>
      <c r="AV24" s="685"/>
      <c r="AW24" s="685"/>
      <c r="AX24" s="685"/>
      <c r="AY24" s="685"/>
      <c r="BF24" s="685"/>
      <c r="BG24" s="685"/>
      <c r="BI24" s="685"/>
      <c r="BJ24" s="685"/>
      <c r="BK24" s="685"/>
      <c r="BL24" s="685"/>
      <c r="BM24" s="685"/>
      <c r="BN24" s="685"/>
      <c r="BU24" s="685"/>
      <c r="BV24" s="685"/>
      <c r="BW24" s="685"/>
      <c r="BX24" s="685"/>
      <c r="BY24" s="685"/>
      <c r="BZ24" s="685"/>
      <c r="CA24" s="685"/>
      <c r="CB24" s="685"/>
      <c r="CC24" s="685"/>
      <c r="CJ24" s="685"/>
      <c r="CK24" s="685"/>
      <c r="CM24" s="685"/>
      <c r="CN24" s="685"/>
      <c r="CO24" s="685"/>
      <c r="CP24" s="685"/>
      <c r="CQ24" s="685"/>
      <c r="CR24" s="685"/>
      <c r="CY24" s="685"/>
      <c r="CZ24" s="685"/>
    </row>
    <row r="25" spans="1:104">
      <c r="A25" s="685"/>
      <c r="B25" s="685"/>
      <c r="C25" s="685"/>
      <c r="D25" s="685"/>
      <c r="E25" s="685"/>
      <c r="L25" s="685"/>
      <c r="M25" s="685"/>
      <c r="N25" s="685"/>
      <c r="O25" s="685"/>
      <c r="P25" s="685"/>
      <c r="Q25" s="685"/>
      <c r="R25" s="685"/>
      <c r="S25" s="685"/>
      <c r="T25" s="685"/>
      <c r="AA25" s="685"/>
      <c r="AB25" s="685"/>
      <c r="AC25" s="685"/>
      <c r="AE25" s="685"/>
      <c r="AF25" s="685"/>
      <c r="AG25" s="685"/>
      <c r="AH25" s="685"/>
      <c r="AI25" s="685"/>
      <c r="AP25" s="685"/>
      <c r="AQ25" s="685"/>
      <c r="AR25" s="685"/>
      <c r="AS25" s="685"/>
      <c r="AT25" s="685"/>
      <c r="AU25" s="685"/>
      <c r="AV25" s="685"/>
      <c r="AW25" s="685"/>
      <c r="AX25" s="685"/>
      <c r="BE25" s="685"/>
      <c r="BF25" s="685"/>
      <c r="BG25" s="685"/>
      <c r="BI25" s="685"/>
      <c r="BJ25" s="685"/>
      <c r="BK25" s="685"/>
      <c r="BL25" s="685"/>
      <c r="BM25" s="685"/>
      <c r="BT25" s="685"/>
      <c r="BU25" s="685"/>
      <c r="BV25" s="685"/>
      <c r="BW25" s="685"/>
      <c r="BX25" s="685"/>
      <c r="BY25" s="685"/>
      <c r="BZ25" s="685"/>
      <c r="CA25" s="685"/>
      <c r="CB25" s="685"/>
      <c r="CI25" s="685"/>
      <c r="CJ25" s="685"/>
      <c r="CK25" s="685"/>
      <c r="CM25" s="685"/>
      <c r="CN25" s="685"/>
      <c r="CO25" s="685"/>
      <c r="CP25" s="685"/>
      <c r="CQ25" s="685"/>
      <c r="CX25" s="685"/>
      <c r="CY25" s="685"/>
      <c r="CZ25" s="685"/>
    </row>
    <row r="26" spans="1:104">
      <c r="A26" s="685"/>
      <c r="B26" s="685"/>
      <c r="C26" s="685"/>
      <c r="D26" s="685"/>
      <c r="E26" s="685"/>
      <c r="F26" s="685"/>
      <c r="G26" s="685"/>
      <c r="H26" s="685"/>
      <c r="I26" s="685"/>
      <c r="J26" s="685"/>
      <c r="K26" s="685"/>
      <c r="L26" s="685"/>
      <c r="M26" s="685"/>
      <c r="N26" s="685"/>
      <c r="O26" s="685"/>
      <c r="P26" s="685"/>
      <c r="Q26" s="685"/>
      <c r="R26" s="685"/>
      <c r="S26" s="685"/>
      <c r="T26" s="685"/>
      <c r="U26" s="685"/>
      <c r="V26" s="685"/>
      <c r="W26" s="685"/>
      <c r="X26" s="685"/>
      <c r="Y26" s="685"/>
      <c r="Z26" s="685"/>
      <c r="AA26" s="685"/>
      <c r="AB26" s="685"/>
      <c r="AC26" s="685"/>
      <c r="AE26" s="685"/>
      <c r="AF26" s="685"/>
      <c r="AG26" s="685"/>
      <c r="AH26" s="685"/>
      <c r="AI26" s="685"/>
      <c r="AJ26" s="685"/>
      <c r="AK26" s="685"/>
      <c r="AL26" s="685"/>
      <c r="AM26" s="685"/>
      <c r="AN26" s="685"/>
      <c r="AO26" s="685"/>
      <c r="AP26" s="685"/>
      <c r="AQ26" s="685"/>
      <c r="AR26" s="685"/>
      <c r="AS26" s="685"/>
      <c r="AT26" s="685"/>
      <c r="AU26" s="685"/>
      <c r="AV26" s="685"/>
      <c r="AW26" s="685"/>
      <c r="AX26" s="685"/>
      <c r="AY26" s="685"/>
      <c r="AZ26" s="685"/>
      <c r="BA26" s="685"/>
      <c r="BB26" s="685"/>
      <c r="BC26" s="685"/>
      <c r="BD26" s="685"/>
      <c r="BE26" s="685"/>
      <c r="BF26" s="685"/>
      <c r="BG26" s="685"/>
      <c r="BI26" s="685"/>
      <c r="BJ26" s="685"/>
      <c r="BK26" s="685"/>
      <c r="BL26" s="685"/>
      <c r="BM26" s="685"/>
      <c r="BN26" s="685"/>
      <c r="BO26" s="685"/>
      <c r="BP26" s="685"/>
      <c r="BQ26" s="685"/>
      <c r="BR26" s="685"/>
      <c r="BS26" s="685"/>
      <c r="BT26" s="685"/>
      <c r="BU26" s="685"/>
      <c r="BV26" s="685"/>
      <c r="BW26" s="685"/>
      <c r="BX26" s="685"/>
      <c r="BY26" s="685"/>
      <c r="BZ26" s="685"/>
      <c r="CA26" s="685"/>
      <c r="CB26" s="685"/>
      <c r="CC26" s="685"/>
      <c r="CD26" s="685"/>
      <c r="CE26" s="685"/>
      <c r="CF26" s="685"/>
      <c r="CG26" s="685"/>
      <c r="CH26" s="685"/>
      <c r="CI26" s="685"/>
      <c r="CJ26" s="685"/>
      <c r="CK26" s="685"/>
      <c r="CM26" s="685"/>
      <c r="CN26" s="685"/>
      <c r="CO26" s="685"/>
      <c r="CP26" s="685"/>
      <c r="CQ26" s="685"/>
      <c r="CR26" s="685"/>
      <c r="CS26" s="685"/>
      <c r="CT26" s="685"/>
      <c r="CU26" s="685"/>
      <c r="CV26" s="685"/>
      <c r="CW26" s="685"/>
      <c r="CX26" s="685"/>
      <c r="CY26" s="685"/>
      <c r="CZ26" s="685"/>
    </row>
    <row r="27" spans="1:104">
      <c r="A27" s="685"/>
      <c r="B27" s="685"/>
      <c r="C27" s="685"/>
      <c r="D27" s="685"/>
      <c r="E27" s="685"/>
      <c r="F27" s="685"/>
      <c r="G27" s="685"/>
      <c r="H27" s="685"/>
      <c r="I27" s="685"/>
      <c r="J27" s="685"/>
      <c r="K27" s="685"/>
      <c r="L27" s="685"/>
      <c r="M27" s="685"/>
      <c r="N27" s="685"/>
      <c r="O27" s="685"/>
      <c r="P27" s="685"/>
      <c r="Q27" s="685"/>
      <c r="R27" s="685"/>
      <c r="S27" s="685"/>
      <c r="T27" s="685"/>
      <c r="U27" s="685"/>
      <c r="V27" s="685"/>
      <c r="W27" s="685"/>
      <c r="X27" s="685"/>
      <c r="Y27" s="685"/>
      <c r="Z27" s="685"/>
      <c r="AA27" s="685"/>
      <c r="AB27" s="685"/>
      <c r="AC27" s="685"/>
      <c r="AE27" s="685"/>
      <c r="AF27" s="685"/>
      <c r="AG27" s="685"/>
      <c r="AH27" s="685"/>
      <c r="AI27" s="685"/>
      <c r="AJ27" s="685"/>
      <c r="AK27" s="685"/>
      <c r="AL27" s="685"/>
      <c r="AM27" s="685"/>
      <c r="AN27" s="685"/>
      <c r="AO27" s="685"/>
      <c r="AP27" s="685"/>
      <c r="AQ27" s="685"/>
      <c r="AR27" s="685"/>
      <c r="AS27" s="685"/>
      <c r="AT27" s="685"/>
      <c r="AU27" s="685"/>
      <c r="AV27" s="685"/>
      <c r="AW27" s="685"/>
      <c r="AX27" s="685"/>
      <c r="AY27" s="685"/>
      <c r="AZ27" s="685"/>
      <c r="BA27" s="685"/>
      <c r="BB27" s="685"/>
      <c r="BC27" s="685"/>
      <c r="BD27" s="685"/>
      <c r="BE27" s="685"/>
      <c r="BF27" s="685"/>
      <c r="BG27" s="685"/>
      <c r="BI27" s="685"/>
      <c r="BJ27" s="685"/>
      <c r="BK27" s="685"/>
      <c r="BL27" s="685"/>
      <c r="BM27" s="685"/>
      <c r="BN27" s="685"/>
      <c r="BO27" s="685"/>
      <c r="BP27" s="685"/>
      <c r="BQ27" s="685"/>
      <c r="BR27" s="685"/>
      <c r="BS27" s="685"/>
      <c r="BT27" s="685"/>
      <c r="BU27" s="685"/>
      <c r="BV27" s="685"/>
      <c r="BW27" s="685"/>
      <c r="BX27" s="685"/>
      <c r="BY27" s="685"/>
      <c r="BZ27" s="685"/>
      <c r="CA27" s="685"/>
      <c r="CB27" s="685"/>
      <c r="CC27" s="685"/>
      <c r="CD27" s="685"/>
      <c r="CE27" s="685"/>
      <c r="CF27" s="685"/>
      <c r="CG27" s="685"/>
      <c r="CH27" s="685"/>
      <c r="CI27" s="685"/>
      <c r="CJ27" s="685"/>
      <c r="CK27" s="685"/>
      <c r="CM27" s="685"/>
      <c r="CN27" s="685"/>
      <c r="CO27" s="685"/>
      <c r="CP27" s="685"/>
      <c r="CQ27" s="685"/>
      <c r="CR27" s="685"/>
      <c r="CS27" s="685"/>
      <c r="CT27" s="685"/>
      <c r="CU27" s="685"/>
      <c r="CV27" s="685"/>
      <c r="CW27" s="685"/>
      <c r="CX27" s="685"/>
      <c r="CY27" s="685"/>
      <c r="CZ27" s="685"/>
    </row>
    <row r="28" spans="1:104">
      <c r="A28" s="685"/>
      <c r="B28" s="685"/>
      <c r="C28" s="685"/>
      <c r="D28" s="685"/>
      <c r="E28" s="685"/>
      <c r="F28" s="685"/>
      <c r="G28" s="685"/>
      <c r="H28" s="685"/>
      <c r="I28" s="685"/>
      <c r="J28" s="685"/>
      <c r="K28" s="685"/>
      <c r="L28" s="685"/>
      <c r="M28" s="685"/>
      <c r="N28" s="685"/>
      <c r="O28" s="685"/>
      <c r="P28" s="685"/>
      <c r="Q28" s="685"/>
      <c r="R28" s="685"/>
      <c r="S28" s="685"/>
      <c r="T28" s="685"/>
      <c r="U28" s="685"/>
      <c r="V28" s="685"/>
      <c r="W28" s="685"/>
      <c r="X28" s="685"/>
      <c r="Y28" s="685"/>
      <c r="Z28" s="685"/>
      <c r="AA28" s="685"/>
      <c r="AB28" s="685"/>
      <c r="AC28" s="685"/>
      <c r="AE28" s="685"/>
      <c r="AF28" s="685"/>
      <c r="AG28" s="685"/>
      <c r="AH28" s="685"/>
      <c r="AI28" s="685"/>
      <c r="AJ28" s="685"/>
      <c r="AK28" s="685"/>
      <c r="AL28" s="685"/>
      <c r="AM28" s="685"/>
      <c r="AN28" s="685"/>
      <c r="AO28" s="685"/>
      <c r="AP28" s="685"/>
      <c r="AQ28" s="685"/>
      <c r="AR28" s="685"/>
      <c r="AS28" s="685"/>
      <c r="AT28" s="685"/>
      <c r="AU28" s="685"/>
      <c r="AV28" s="685"/>
      <c r="AW28" s="685"/>
      <c r="AX28" s="685"/>
      <c r="AY28" s="685"/>
      <c r="AZ28" s="685"/>
      <c r="BA28" s="685"/>
      <c r="BB28" s="685"/>
      <c r="BC28" s="685"/>
      <c r="BD28" s="685"/>
      <c r="BE28" s="685"/>
      <c r="BF28" s="685"/>
      <c r="BG28" s="685"/>
      <c r="BI28" s="685"/>
      <c r="BJ28" s="685"/>
      <c r="BK28" s="685"/>
      <c r="BL28" s="685"/>
      <c r="BM28" s="685"/>
      <c r="BN28" s="685"/>
      <c r="BO28" s="685"/>
      <c r="BP28" s="685"/>
      <c r="BQ28" s="685"/>
      <c r="BR28" s="685"/>
      <c r="BS28" s="685"/>
      <c r="BT28" s="685"/>
      <c r="BU28" s="685"/>
      <c r="BV28" s="685"/>
      <c r="BW28" s="685"/>
      <c r="BX28" s="685"/>
      <c r="BY28" s="685"/>
      <c r="BZ28" s="685"/>
      <c r="CA28" s="685"/>
      <c r="CB28" s="685"/>
      <c r="CC28" s="685"/>
      <c r="CD28" s="685"/>
      <c r="CE28" s="685"/>
      <c r="CF28" s="685"/>
      <c r="CG28" s="685"/>
      <c r="CH28" s="685"/>
      <c r="CI28" s="685"/>
      <c r="CJ28" s="685"/>
      <c r="CK28" s="685"/>
      <c r="CM28" s="685"/>
      <c r="CN28" s="685"/>
      <c r="CO28" s="685"/>
      <c r="CP28" s="685"/>
      <c r="CQ28" s="685"/>
      <c r="CR28" s="685"/>
      <c r="CS28" s="685"/>
      <c r="CT28" s="685"/>
      <c r="CU28" s="685"/>
      <c r="CV28" s="685"/>
      <c r="CW28" s="685"/>
      <c r="CX28" s="685"/>
      <c r="CY28" s="685"/>
      <c r="CZ28" s="685"/>
    </row>
    <row r="29" spans="1:104" s="689" customFormat="1">
      <c r="A29" s="688"/>
      <c r="O29" s="688"/>
      <c r="P29" s="688"/>
      <c r="AE29" s="688"/>
      <c r="AS29" s="688"/>
      <c r="AT29" s="688"/>
      <c r="BI29" s="688"/>
      <c r="BW29" s="688"/>
      <c r="BX29" s="688"/>
      <c r="CM29" s="688"/>
    </row>
    <row r="30" spans="1:104" ht="15">
      <c r="G30" s="690"/>
      <c r="V30" s="690"/>
      <c r="AK30" s="690"/>
      <c r="AZ30" s="690"/>
      <c r="BO30" s="690"/>
      <c r="CD30" s="690"/>
      <c r="CS30" s="690"/>
    </row>
    <row r="31" spans="1:104" ht="15">
      <c r="G31" s="690"/>
      <c r="V31" s="690"/>
      <c r="AK31" s="690"/>
      <c r="AZ31" s="690"/>
      <c r="BO31" s="690"/>
      <c r="CD31" s="690"/>
      <c r="CS31" s="690"/>
    </row>
    <row r="32" spans="1:104">
      <c r="A32" s="685"/>
      <c r="B32" s="685"/>
      <c r="C32" s="685"/>
      <c r="D32" s="685"/>
      <c r="E32" s="685"/>
      <c r="F32" s="685"/>
      <c r="G32" s="685"/>
      <c r="H32" s="685"/>
      <c r="I32" s="685"/>
      <c r="J32" s="685"/>
      <c r="K32" s="685"/>
      <c r="L32" s="685"/>
      <c r="M32" s="685"/>
      <c r="N32" s="685"/>
      <c r="O32" s="685"/>
      <c r="P32" s="685"/>
      <c r="Q32" s="685"/>
      <c r="R32" s="685"/>
      <c r="S32" s="685"/>
      <c r="T32" s="685"/>
      <c r="U32" s="685"/>
      <c r="V32" s="685"/>
      <c r="W32" s="685"/>
      <c r="X32" s="685"/>
      <c r="Y32" s="685"/>
      <c r="Z32" s="685"/>
      <c r="AA32" s="685"/>
      <c r="AB32" s="685"/>
      <c r="AC32" s="685"/>
      <c r="AE32" s="685"/>
      <c r="AF32" s="685"/>
      <c r="AG32" s="685"/>
      <c r="AH32" s="685"/>
      <c r="AI32" s="685"/>
      <c r="AJ32" s="685"/>
      <c r="AK32" s="685"/>
      <c r="AL32" s="685"/>
      <c r="AM32" s="685"/>
      <c r="AN32" s="685"/>
      <c r="AO32" s="685"/>
      <c r="AP32" s="685"/>
      <c r="AQ32" s="685"/>
      <c r="AR32" s="685"/>
      <c r="AS32" s="685"/>
      <c r="AT32" s="685"/>
      <c r="AU32" s="685"/>
      <c r="AV32" s="685"/>
      <c r="AW32" s="685"/>
      <c r="AX32" s="685"/>
      <c r="AY32" s="685"/>
      <c r="AZ32" s="685"/>
      <c r="BA32" s="685"/>
      <c r="BB32" s="685"/>
      <c r="BC32" s="685"/>
      <c r="BD32" s="685"/>
      <c r="BE32" s="685"/>
      <c r="BF32" s="685"/>
      <c r="BG32" s="685"/>
      <c r="BI32" s="685"/>
      <c r="BJ32" s="685"/>
      <c r="BK32" s="685"/>
      <c r="BL32" s="685"/>
      <c r="BM32" s="685"/>
      <c r="BN32" s="685"/>
      <c r="BO32" s="685"/>
      <c r="BP32" s="685"/>
      <c r="BQ32" s="685"/>
      <c r="BR32" s="685"/>
      <c r="BS32" s="685"/>
      <c r="BT32" s="685"/>
      <c r="BU32" s="685"/>
      <c r="BV32" s="685"/>
      <c r="BW32" s="685"/>
      <c r="BX32" s="685"/>
      <c r="BY32" s="685"/>
      <c r="BZ32" s="685"/>
      <c r="CA32" s="685"/>
      <c r="CB32" s="685"/>
      <c r="CC32" s="685"/>
      <c r="CD32" s="685"/>
      <c r="CE32" s="685"/>
      <c r="CF32" s="685"/>
      <c r="CG32" s="685"/>
      <c r="CH32" s="685"/>
      <c r="CI32" s="685"/>
      <c r="CJ32" s="685"/>
      <c r="CK32" s="685"/>
      <c r="CM32" s="685"/>
      <c r="CN32" s="685"/>
      <c r="CO32" s="685"/>
      <c r="CP32" s="685"/>
      <c r="CQ32" s="685"/>
      <c r="CR32" s="685"/>
      <c r="CS32" s="685"/>
      <c r="CT32" s="685"/>
      <c r="CU32" s="685"/>
      <c r="CV32" s="685"/>
      <c r="CW32" s="685"/>
      <c r="CX32" s="685"/>
      <c r="CY32" s="685"/>
      <c r="CZ32" s="685"/>
    </row>
    <row r="33" spans="1:104">
      <c r="A33" s="685"/>
      <c r="B33" s="685"/>
      <c r="C33" s="685"/>
      <c r="D33" s="685"/>
      <c r="E33" s="685"/>
      <c r="F33" s="685"/>
      <c r="G33" s="685"/>
      <c r="H33" s="685"/>
      <c r="I33" s="685"/>
      <c r="J33" s="685"/>
      <c r="K33" s="685"/>
      <c r="L33" s="685"/>
      <c r="M33" s="685"/>
      <c r="N33" s="685"/>
      <c r="O33" s="685"/>
      <c r="P33" s="685"/>
      <c r="Q33" s="685"/>
      <c r="R33" s="685"/>
      <c r="S33" s="685"/>
      <c r="T33" s="685"/>
      <c r="U33" s="685"/>
      <c r="V33" s="685"/>
      <c r="W33" s="685"/>
      <c r="X33" s="685"/>
      <c r="Y33" s="685"/>
      <c r="Z33" s="685"/>
      <c r="AA33" s="685"/>
      <c r="AB33" s="685"/>
      <c r="AC33" s="685"/>
      <c r="AE33" s="685"/>
      <c r="AF33" s="685"/>
      <c r="AG33" s="685"/>
      <c r="AH33" s="685"/>
      <c r="AI33" s="685"/>
      <c r="AJ33" s="685"/>
      <c r="AK33" s="685"/>
      <c r="AL33" s="685"/>
      <c r="AM33" s="685"/>
      <c r="AN33" s="685"/>
      <c r="AO33" s="685"/>
      <c r="AP33" s="685"/>
      <c r="AQ33" s="685"/>
      <c r="AR33" s="685"/>
      <c r="AS33" s="685"/>
      <c r="AT33" s="685"/>
      <c r="AU33" s="685"/>
      <c r="AV33" s="685"/>
      <c r="AW33" s="685"/>
      <c r="AX33" s="685"/>
      <c r="AY33" s="685"/>
      <c r="AZ33" s="685"/>
      <c r="BA33" s="685"/>
      <c r="BB33" s="685"/>
      <c r="BC33" s="685"/>
      <c r="BD33" s="685"/>
      <c r="BE33" s="685"/>
      <c r="BF33" s="685"/>
      <c r="BG33" s="685"/>
      <c r="BI33" s="685"/>
      <c r="BJ33" s="685"/>
      <c r="BK33" s="685"/>
      <c r="BL33" s="685"/>
      <c r="BM33" s="685"/>
      <c r="BN33" s="685"/>
      <c r="BO33" s="685"/>
      <c r="BP33" s="685"/>
      <c r="BQ33" s="685"/>
      <c r="BR33" s="685"/>
      <c r="BS33" s="685"/>
      <c r="BT33" s="685"/>
      <c r="BU33" s="685"/>
      <c r="BV33" s="685"/>
      <c r="BW33" s="685"/>
      <c r="BX33" s="685"/>
      <c r="BY33" s="685"/>
      <c r="BZ33" s="685"/>
      <c r="CA33" s="685"/>
      <c r="CB33" s="685"/>
      <c r="CC33" s="685"/>
      <c r="CD33" s="685"/>
      <c r="CE33" s="685"/>
      <c r="CF33" s="685"/>
      <c r="CG33" s="685"/>
      <c r="CH33" s="685"/>
      <c r="CI33" s="685"/>
      <c r="CJ33" s="685"/>
      <c r="CK33" s="685"/>
      <c r="CM33" s="685"/>
      <c r="CN33" s="685"/>
      <c r="CO33" s="685"/>
      <c r="CP33" s="685"/>
      <c r="CQ33" s="685"/>
      <c r="CR33" s="685"/>
      <c r="CS33" s="685"/>
      <c r="CT33" s="685"/>
      <c r="CU33" s="685"/>
      <c r="CV33" s="685"/>
      <c r="CW33" s="685"/>
      <c r="CX33" s="685"/>
      <c r="CY33" s="685"/>
      <c r="CZ33" s="685"/>
    </row>
    <row r="34" spans="1:104">
      <c r="A34" s="685"/>
      <c r="B34" s="685"/>
      <c r="C34" s="685"/>
      <c r="D34" s="685"/>
      <c r="E34" s="685"/>
      <c r="F34" s="685"/>
      <c r="G34" s="685"/>
      <c r="H34" s="685"/>
      <c r="I34" s="685"/>
      <c r="J34" s="685"/>
      <c r="K34" s="685"/>
      <c r="L34" s="685"/>
      <c r="M34" s="685"/>
      <c r="N34" s="685"/>
      <c r="O34" s="685"/>
      <c r="P34" s="685"/>
      <c r="Q34" s="685"/>
      <c r="R34" s="685"/>
      <c r="S34" s="685"/>
      <c r="T34" s="685"/>
      <c r="U34" s="685"/>
      <c r="V34" s="685"/>
      <c r="W34" s="685"/>
      <c r="X34" s="685"/>
      <c r="Y34" s="685"/>
      <c r="Z34" s="685"/>
      <c r="AA34" s="685"/>
      <c r="AB34" s="685"/>
      <c r="AC34" s="685"/>
      <c r="AE34" s="685"/>
      <c r="AF34" s="685"/>
      <c r="AG34" s="685"/>
      <c r="AH34" s="685"/>
      <c r="AI34" s="685"/>
      <c r="AJ34" s="685"/>
      <c r="AK34" s="685"/>
      <c r="AL34" s="685"/>
      <c r="AM34" s="685"/>
      <c r="AN34" s="685"/>
      <c r="AO34" s="685"/>
      <c r="AP34" s="685"/>
      <c r="AQ34" s="685"/>
      <c r="AR34" s="685"/>
      <c r="AS34" s="685"/>
      <c r="AT34" s="685"/>
      <c r="AU34" s="685"/>
      <c r="AV34" s="685"/>
      <c r="AW34" s="685"/>
      <c r="AX34" s="685"/>
      <c r="AY34" s="685"/>
      <c r="AZ34" s="685"/>
      <c r="BA34" s="685"/>
      <c r="BB34" s="685"/>
      <c r="BC34" s="685"/>
      <c r="BD34" s="685"/>
      <c r="BE34" s="685"/>
      <c r="BF34" s="685"/>
      <c r="BG34" s="685"/>
      <c r="BI34" s="685"/>
      <c r="BJ34" s="685"/>
      <c r="BK34" s="685"/>
      <c r="BL34" s="685"/>
      <c r="BM34" s="685"/>
      <c r="BN34" s="685"/>
      <c r="BO34" s="685"/>
      <c r="BP34" s="685"/>
      <c r="BQ34" s="685"/>
      <c r="BR34" s="685"/>
      <c r="BS34" s="685"/>
      <c r="BT34" s="685"/>
      <c r="BU34" s="685"/>
      <c r="BV34" s="685"/>
      <c r="BW34" s="685"/>
      <c r="BX34" s="685"/>
      <c r="BY34" s="685"/>
      <c r="BZ34" s="685"/>
      <c r="CA34" s="685"/>
      <c r="CB34" s="685"/>
      <c r="CC34" s="685"/>
      <c r="CD34" s="685"/>
      <c r="CE34" s="685"/>
      <c r="CF34" s="685"/>
      <c r="CG34" s="685"/>
      <c r="CH34" s="685"/>
      <c r="CI34" s="685"/>
      <c r="CJ34" s="685"/>
      <c r="CK34" s="685"/>
      <c r="CM34" s="685"/>
      <c r="CN34" s="685"/>
      <c r="CO34" s="685"/>
      <c r="CP34" s="685"/>
      <c r="CQ34" s="685"/>
      <c r="CR34" s="685"/>
      <c r="CS34" s="685"/>
      <c r="CT34" s="685"/>
      <c r="CU34" s="685"/>
      <c r="CV34" s="685"/>
      <c r="CW34" s="685"/>
      <c r="CX34" s="685"/>
      <c r="CY34" s="685"/>
      <c r="CZ34" s="685"/>
    </row>
    <row r="35" spans="1:104">
      <c r="A35" s="685"/>
      <c r="B35" s="685"/>
      <c r="C35" s="685"/>
      <c r="D35" s="685"/>
      <c r="E35" s="685"/>
      <c r="F35" s="685"/>
      <c r="G35" s="685"/>
      <c r="H35" s="685"/>
      <c r="I35" s="685"/>
      <c r="J35" s="685"/>
      <c r="K35" s="685"/>
      <c r="L35" s="685"/>
      <c r="M35" s="685"/>
      <c r="N35" s="685"/>
      <c r="O35" s="685"/>
      <c r="P35" s="685"/>
      <c r="Q35" s="685"/>
      <c r="R35" s="685"/>
      <c r="S35" s="685"/>
      <c r="T35" s="685"/>
      <c r="U35" s="685"/>
      <c r="V35" s="685"/>
      <c r="W35" s="685"/>
      <c r="X35" s="685"/>
      <c r="Y35" s="685"/>
      <c r="Z35" s="685"/>
      <c r="AA35" s="685"/>
      <c r="AB35" s="685"/>
      <c r="AC35" s="685"/>
      <c r="AE35" s="685"/>
      <c r="AF35" s="685"/>
      <c r="AG35" s="685"/>
      <c r="AH35" s="685"/>
      <c r="AI35" s="685"/>
      <c r="AJ35" s="685"/>
      <c r="AK35" s="685"/>
      <c r="AL35" s="685"/>
      <c r="AM35" s="685"/>
      <c r="AN35" s="685"/>
      <c r="AO35" s="685"/>
      <c r="AP35" s="685"/>
      <c r="AQ35" s="685"/>
      <c r="AR35" s="685"/>
      <c r="AS35" s="685"/>
      <c r="AT35" s="685"/>
      <c r="AU35" s="685"/>
      <c r="AV35" s="685"/>
      <c r="AW35" s="685"/>
      <c r="AX35" s="685"/>
      <c r="AY35" s="685"/>
      <c r="AZ35" s="685"/>
      <c r="BA35" s="685"/>
      <c r="BB35" s="685"/>
      <c r="BC35" s="685"/>
      <c r="BD35" s="685"/>
      <c r="BE35" s="685"/>
      <c r="BF35" s="685"/>
      <c r="BG35" s="685"/>
      <c r="BI35" s="685"/>
      <c r="BJ35" s="685"/>
      <c r="BK35" s="685"/>
      <c r="BL35" s="685"/>
      <c r="BM35" s="685"/>
      <c r="BN35" s="685"/>
      <c r="BO35" s="685"/>
      <c r="BP35" s="685"/>
      <c r="BQ35" s="685"/>
      <c r="BR35" s="685"/>
      <c r="BS35" s="685"/>
      <c r="BT35" s="685"/>
      <c r="BU35" s="685"/>
      <c r="BV35" s="685"/>
      <c r="BW35" s="685"/>
      <c r="BX35" s="685"/>
      <c r="BY35" s="685"/>
      <c r="BZ35" s="685"/>
      <c r="CA35" s="685"/>
      <c r="CB35" s="685"/>
      <c r="CC35" s="685"/>
      <c r="CD35" s="685"/>
      <c r="CE35" s="685"/>
      <c r="CF35" s="685"/>
      <c r="CG35" s="685"/>
      <c r="CH35" s="685"/>
      <c r="CI35" s="685"/>
      <c r="CJ35" s="685"/>
      <c r="CK35" s="685"/>
      <c r="CM35" s="685"/>
      <c r="CN35" s="685"/>
      <c r="CO35" s="685"/>
      <c r="CP35" s="685"/>
      <c r="CQ35" s="685"/>
      <c r="CR35" s="685"/>
      <c r="CS35" s="685"/>
      <c r="CT35" s="685"/>
      <c r="CU35" s="685"/>
      <c r="CV35" s="685"/>
      <c r="CW35" s="685"/>
      <c r="CX35" s="685"/>
      <c r="CY35" s="685"/>
      <c r="CZ35" s="685"/>
    </row>
    <row r="36" spans="1:104">
      <c r="A36" s="685"/>
      <c r="B36" s="685"/>
      <c r="C36" s="685"/>
      <c r="D36" s="685"/>
      <c r="E36" s="685"/>
      <c r="F36" s="685"/>
      <c r="G36" s="685"/>
      <c r="H36" s="685"/>
      <c r="I36" s="685"/>
      <c r="J36" s="685"/>
      <c r="K36" s="685"/>
      <c r="L36" s="685"/>
      <c r="M36" s="685"/>
      <c r="N36" s="685"/>
      <c r="O36" s="685"/>
      <c r="P36" s="685"/>
      <c r="Q36" s="685"/>
      <c r="R36" s="685"/>
      <c r="S36" s="685"/>
      <c r="T36" s="685"/>
      <c r="U36" s="685"/>
      <c r="V36" s="685"/>
      <c r="W36" s="685"/>
      <c r="X36" s="685"/>
      <c r="Y36" s="685"/>
      <c r="Z36" s="685"/>
      <c r="AA36" s="685"/>
      <c r="AB36" s="685"/>
      <c r="AC36" s="685"/>
      <c r="AE36" s="685"/>
      <c r="AF36" s="685"/>
      <c r="AG36" s="685"/>
      <c r="AH36" s="685"/>
      <c r="AI36" s="685"/>
      <c r="AJ36" s="685"/>
      <c r="AK36" s="685"/>
      <c r="AL36" s="685"/>
      <c r="AM36" s="685"/>
      <c r="AN36" s="685"/>
      <c r="AO36" s="685"/>
      <c r="AP36" s="685"/>
      <c r="AQ36" s="685"/>
      <c r="AR36" s="685"/>
      <c r="AS36" s="685"/>
      <c r="AT36" s="685"/>
      <c r="AU36" s="685"/>
      <c r="AV36" s="685"/>
      <c r="AW36" s="685"/>
      <c r="AX36" s="685"/>
      <c r="AY36" s="685"/>
      <c r="AZ36" s="685"/>
      <c r="BA36" s="685"/>
      <c r="BB36" s="685"/>
      <c r="BC36" s="685"/>
      <c r="BD36" s="685"/>
      <c r="BE36" s="685"/>
      <c r="BF36" s="685"/>
      <c r="BG36" s="685"/>
      <c r="BI36" s="685"/>
      <c r="BJ36" s="685"/>
      <c r="BK36" s="685"/>
      <c r="BL36" s="685"/>
      <c r="BM36" s="685"/>
      <c r="BN36" s="685"/>
      <c r="BO36" s="685"/>
      <c r="BP36" s="685"/>
      <c r="BQ36" s="685"/>
      <c r="BR36" s="685"/>
      <c r="BS36" s="685"/>
      <c r="BT36" s="685"/>
      <c r="BU36" s="685"/>
      <c r="BV36" s="685"/>
      <c r="BW36" s="685"/>
      <c r="BX36" s="685"/>
      <c r="BY36" s="685"/>
      <c r="BZ36" s="685"/>
      <c r="CA36" s="685"/>
      <c r="CB36" s="685"/>
      <c r="CC36" s="685"/>
      <c r="CD36" s="685"/>
      <c r="CE36" s="685"/>
      <c r="CF36" s="685"/>
      <c r="CG36" s="685"/>
      <c r="CH36" s="685"/>
      <c r="CI36" s="685"/>
      <c r="CJ36" s="685"/>
      <c r="CK36" s="685"/>
      <c r="CM36" s="685"/>
      <c r="CN36" s="685"/>
      <c r="CO36" s="685"/>
      <c r="CP36" s="685"/>
      <c r="CQ36" s="685"/>
      <c r="CR36" s="685"/>
      <c r="CS36" s="685"/>
      <c r="CT36" s="685"/>
      <c r="CU36" s="685"/>
      <c r="CV36" s="685"/>
      <c r="CW36" s="685"/>
      <c r="CX36" s="685"/>
      <c r="CY36" s="685"/>
      <c r="CZ36" s="685"/>
    </row>
    <row r="37" spans="1:104">
      <c r="A37" s="685"/>
      <c r="B37" s="685"/>
      <c r="C37" s="685"/>
      <c r="D37" s="685"/>
      <c r="E37" s="685"/>
      <c r="L37" s="685"/>
      <c r="M37" s="685"/>
      <c r="N37" s="685"/>
      <c r="O37" s="685"/>
      <c r="P37" s="685"/>
      <c r="Q37" s="685"/>
      <c r="R37" s="685"/>
      <c r="S37" s="685"/>
      <c r="T37" s="685"/>
      <c r="AA37" s="685"/>
      <c r="AB37" s="685"/>
      <c r="AC37" s="685"/>
      <c r="AE37" s="685"/>
      <c r="AF37" s="685"/>
      <c r="AG37" s="685"/>
      <c r="AH37" s="685"/>
      <c r="AI37" s="685"/>
      <c r="AP37" s="685"/>
      <c r="AQ37" s="685"/>
      <c r="AR37" s="685"/>
      <c r="AS37" s="685"/>
      <c r="AT37" s="685"/>
      <c r="AU37" s="685"/>
      <c r="AV37" s="685"/>
      <c r="AW37" s="685"/>
      <c r="AX37" s="685"/>
      <c r="BE37" s="685"/>
      <c r="BF37" s="685"/>
      <c r="BG37" s="685"/>
      <c r="BI37" s="685"/>
      <c r="BJ37" s="685"/>
      <c r="BK37" s="685"/>
      <c r="BL37" s="685"/>
      <c r="BM37" s="685"/>
      <c r="BT37" s="685"/>
      <c r="BU37" s="685"/>
      <c r="BV37" s="685"/>
      <c r="BW37" s="685"/>
      <c r="BX37" s="685"/>
      <c r="BY37" s="685"/>
      <c r="BZ37" s="685"/>
      <c r="CA37" s="685"/>
      <c r="CB37" s="685"/>
      <c r="CI37" s="685"/>
      <c r="CJ37" s="685"/>
      <c r="CK37" s="685"/>
      <c r="CM37" s="685"/>
      <c r="CN37" s="685"/>
      <c r="CO37" s="685"/>
      <c r="CP37" s="685"/>
      <c r="CQ37" s="685"/>
      <c r="CX37" s="685"/>
      <c r="CY37" s="685"/>
      <c r="CZ37" s="685"/>
    </row>
    <row r="38" spans="1:104">
      <c r="A38" s="685"/>
      <c r="B38" s="685"/>
      <c r="C38" s="685"/>
      <c r="D38" s="685"/>
      <c r="E38" s="685"/>
      <c r="F38" s="685"/>
      <c r="G38" s="685"/>
      <c r="H38" s="685"/>
      <c r="I38" s="685"/>
      <c r="J38" s="685"/>
      <c r="K38" s="685"/>
      <c r="L38" s="685"/>
      <c r="M38" s="685"/>
      <c r="N38" s="685"/>
      <c r="O38" s="685"/>
      <c r="P38" s="685"/>
      <c r="Q38" s="685"/>
      <c r="R38" s="685"/>
      <c r="S38" s="685"/>
      <c r="T38" s="685"/>
      <c r="U38" s="685"/>
      <c r="V38" s="685"/>
      <c r="W38" s="685"/>
      <c r="X38" s="685"/>
      <c r="Y38" s="685"/>
      <c r="Z38" s="685"/>
      <c r="AA38" s="685"/>
      <c r="AB38" s="685"/>
      <c r="AC38" s="685"/>
      <c r="AE38" s="685"/>
      <c r="AF38" s="685"/>
      <c r="AG38" s="685"/>
      <c r="AH38" s="685"/>
      <c r="AI38" s="685"/>
      <c r="AJ38" s="685"/>
      <c r="AK38" s="685"/>
      <c r="AL38" s="685"/>
      <c r="AM38" s="685"/>
      <c r="AN38" s="685"/>
      <c r="AO38" s="685"/>
      <c r="AP38" s="685"/>
      <c r="AQ38" s="685"/>
      <c r="AR38" s="685"/>
      <c r="AS38" s="685"/>
      <c r="AT38" s="685"/>
      <c r="AU38" s="685"/>
      <c r="AV38" s="685"/>
      <c r="AW38" s="685"/>
      <c r="AX38" s="685"/>
      <c r="AY38" s="685"/>
      <c r="AZ38" s="685"/>
      <c r="BA38" s="685"/>
      <c r="BB38" s="685"/>
      <c r="BC38" s="685"/>
      <c r="BD38" s="685"/>
      <c r="BE38" s="685"/>
      <c r="BF38" s="685"/>
      <c r="BG38" s="685"/>
      <c r="BI38" s="685"/>
      <c r="BJ38" s="685"/>
      <c r="BK38" s="685"/>
      <c r="BL38" s="685"/>
      <c r="BM38" s="685"/>
      <c r="BN38" s="685"/>
      <c r="BO38" s="685"/>
      <c r="BP38" s="685"/>
      <c r="BQ38" s="685"/>
      <c r="BR38" s="685"/>
      <c r="BS38" s="685"/>
      <c r="BT38" s="685"/>
      <c r="BU38" s="685"/>
      <c r="BV38" s="685"/>
      <c r="BW38" s="685"/>
      <c r="BX38" s="685"/>
      <c r="BY38" s="685"/>
      <c r="BZ38" s="685"/>
      <c r="CA38" s="685"/>
      <c r="CB38" s="685"/>
      <c r="CC38" s="685"/>
      <c r="CD38" s="685"/>
      <c r="CE38" s="685"/>
      <c r="CF38" s="685"/>
      <c r="CG38" s="685"/>
      <c r="CH38" s="685"/>
      <c r="CI38" s="685"/>
      <c r="CJ38" s="685"/>
      <c r="CK38" s="685"/>
      <c r="CM38" s="685"/>
      <c r="CN38" s="685"/>
      <c r="CO38" s="685"/>
      <c r="CP38" s="685"/>
      <c r="CQ38" s="685"/>
      <c r="CR38" s="685"/>
      <c r="CS38" s="685"/>
      <c r="CT38" s="685"/>
      <c r="CU38" s="685"/>
      <c r="CV38" s="685"/>
      <c r="CW38" s="685"/>
      <c r="CX38" s="685"/>
      <c r="CY38" s="685"/>
      <c r="CZ38" s="685"/>
    </row>
    <row r="39" spans="1:104">
      <c r="A39" s="685"/>
      <c r="O39" s="685"/>
      <c r="P39" s="685"/>
      <c r="AE39" s="685"/>
      <c r="AS39" s="685"/>
      <c r="AT39" s="685"/>
      <c r="BI39" s="685"/>
      <c r="BW39" s="685"/>
      <c r="BX39" s="685"/>
      <c r="CM39" s="685"/>
    </row>
    <row r="40" spans="1:104">
      <c r="A40" s="685"/>
      <c r="B40" s="687">
        <f>+I20+1</f>
        <v>3</v>
      </c>
      <c r="C40" s="1289"/>
      <c r="D40" s="1290"/>
      <c r="E40" s="1290"/>
      <c r="F40" s="1290"/>
      <c r="G40" s="1291"/>
      <c r="I40" s="687">
        <f>+B40+1</f>
        <v>4</v>
      </c>
      <c r="J40" s="1289"/>
      <c r="K40" s="1290"/>
      <c r="L40" s="1290"/>
      <c r="M40" s="1290"/>
      <c r="N40" s="1291"/>
      <c r="O40" s="685"/>
      <c r="P40" s="685"/>
      <c r="Q40" s="687">
        <f>+X20+1</f>
        <v>9</v>
      </c>
      <c r="R40" s="1289"/>
      <c r="S40" s="1290"/>
      <c r="T40" s="1290"/>
      <c r="U40" s="1290"/>
      <c r="V40" s="1291"/>
      <c r="X40" s="687">
        <f>+Q40+1</f>
        <v>10</v>
      </c>
      <c r="Y40" s="1289"/>
      <c r="Z40" s="1290"/>
      <c r="AA40" s="1290"/>
      <c r="AB40" s="1290"/>
      <c r="AC40" s="1291"/>
      <c r="AE40" s="685"/>
      <c r="AF40" s="687">
        <f>+AM20+1</f>
        <v>15</v>
      </c>
      <c r="AG40" s="1289"/>
      <c r="AH40" s="1290"/>
      <c r="AI40" s="1290"/>
      <c r="AJ40" s="1290"/>
      <c r="AK40" s="1291"/>
      <c r="AM40" s="687">
        <f>+AF40+1</f>
        <v>16</v>
      </c>
      <c r="AN40" s="1289"/>
      <c r="AO40" s="1290"/>
      <c r="AP40" s="1290"/>
      <c r="AQ40" s="1290"/>
      <c r="AR40" s="1291"/>
      <c r="AS40" s="685"/>
      <c r="AT40" s="685"/>
      <c r="AU40" s="687">
        <f>+BB20+1</f>
        <v>21</v>
      </c>
      <c r="AV40" s="1289"/>
      <c r="AW40" s="1290"/>
      <c r="AX40" s="1290"/>
      <c r="AY40" s="1290"/>
      <c r="AZ40" s="1291"/>
      <c r="BB40" s="687">
        <f>+AU40+1</f>
        <v>22</v>
      </c>
      <c r="BC40" s="1289"/>
      <c r="BD40" s="1290"/>
      <c r="BE40" s="1290"/>
      <c r="BF40" s="1290"/>
      <c r="BG40" s="1291"/>
      <c r="BI40" s="685"/>
      <c r="BJ40" s="687">
        <f>+BQ20+1</f>
        <v>27</v>
      </c>
      <c r="BK40" s="1289"/>
      <c r="BL40" s="1290"/>
      <c r="BM40" s="1290"/>
      <c r="BN40" s="1290"/>
      <c r="BO40" s="1291"/>
      <c r="BQ40" s="687">
        <f>+BJ40+1</f>
        <v>28</v>
      </c>
      <c r="BR40" s="1289"/>
      <c r="BS40" s="1290"/>
      <c r="BT40" s="1290"/>
      <c r="BU40" s="1290"/>
      <c r="BV40" s="1291"/>
      <c r="BW40" s="685"/>
      <c r="BX40" s="685"/>
      <c r="BY40" s="687">
        <f>+CF20+1</f>
        <v>33</v>
      </c>
      <c r="BZ40" s="1289"/>
      <c r="CA40" s="1290"/>
      <c r="CB40" s="1290"/>
      <c r="CC40" s="1290"/>
      <c r="CD40" s="1291"/>
      <c r="CF40" s="687">
        <f>+BY40+1</f>
        <v>34</v>
      </c>
      <c r="CG40" s="1289"/>
      <c r="CH40" s="1290"/>
      <c r="CI40" s="1290"/>
      <c r="CJ40" s="1290"/>
      <c r="CK40" s="1291"/>
      <c r="CM40" s="685"/>
      <c r="CN40" s="687">
        <f>+CU20+1</f>
        <v>39</v>
      </c>
      <c r="CO40" s="1289"/>
      <c r="CP40" s="1290"/>
      <c r="CQ40" s="1290"/>
      <c r="CR40" s="1290"/>
      <c r="CS40" s="1291"/>
      <c r="CU40" s="687">
        <f>+CN40+1</f>
        <v>40</v>
      </c>
      <c r="CV40" s="1289"/>
      <c r="CW40" s="1290"/>
      <c r="CX40" s="1290"/>
      <c r="CY40" s="1290"/>
      <c r="CZ40" s="1291"/>
    </row>
    <row r="41" spans="1:104">
      <c r="A41" s="685"/>
      <c r="O41" s="685"/>
      <c r="P41" s="685"/>
      <c r="AE41" s="685"/>
      <c r="AS41" s="685"/>
      <c r="AT41" s="685"/>
      <c r="BI41" s="685"/>
      <c r="BW41" s="685"/>
      <c r="BX41" s="685"/>
      <c r="CM41" s="685"/>
    </row>
    <row r="42" spans="1:104">
      <c r="A42" s="685"/>
      <c r="O42" s="685"/>
      <c r="P42" s="685"/>
      <c r="AE42" s="685"/>
      <c r="AS42" s="685"/>
      <c r="AT42" s="685"/>
      <c r="BI42" s="685"/>
      <c r="BW42" s="685"/>
      <c r="BX42" s="685"/>
      <c r="CM42" s="685"/>
    </row>
    <row r="43" spans="1:104">
      <c r="A43" s="685"/>
      <c r="O43" s="685"/>
      <c r="P43" s="685"/>
      <c r="AE43" s="685"/>
      <c r="AS43" s="685"/>
      <c r="AT43" s="685"/>
      <c r="BI43" s="685"/>
      <c r="BW43" s="685"/>
      <c r="BX43" s="685"/>
      <c r="CM43" s="685"/>
    </row>
    <row r="44" spans="1:104">
      <c r="A44" s="685"/>
      <c r="O44" s="685"/>
      <c r="P44" s="685"/>
      <c r="AE44" s="685"/>
      <c r="AS44" s="685"/>
      <c r="AT44" s="685"/>
      <c r="BI44" s="685"/>
      <c r="BW44" s="685"/>
      <c r="BX44" s="685"/>
      <c r="CM44" s="685"/>
    </row>
    <row r="45" spans="1:104">
      <c r="A45" s="685"/>
      <c r="O45" s="685"/>
      <c r="P45" s="685"/>
      <c r="AE45" s="685"/>
      <c r="AS45" s="685"/>
      <c r="AT45" s="685"/>
      <c r="BI45" s="685"/>
      <c r="BW45" s="685"/>
      <c r="BX45" s="685"/>
      <c r="CM45" s="685"/>
    </row>
    <row r="46" spans="1:104">
      <c r="A46" s="685"/>
      <c r="B46" s="685"/>
      <c r="C46" s="685"/>
      <c r="D46" s="685"/>
      <c r="M46" s="685"/>
      <c r="N46" s="685"/>
      <c r="O46" s="685"/>
      <c r="P46" s="685"/>
      <c r="Q46" s="685"/>
      <c r="R46" s="685"/>
      <c r="S46" s="685"/>
      <c r="AB46" s="685"/>
      <c r="AC46" s="685"/>
      <c r="AE46" s="685"/>
      <c r="AF46" s="685"/>
      <c r="AG46" s="685"/>
      <c r="AH46" s="685"/>
      <c r="AQ46" s="685"/>
      <c r="AR46" s="685"/>
      <c r="AS46" s="685"/>
      <c r="AT46" s="685"/>
      <c r="AU46" s="685"/>
      <c r="AV46" s="685"/>
      <c r="AW46" s="685"/>
      <c r="BF46" s="685"/>
      <c r="BG46" s="685"/>
      <c r="BI46" s="685"/>
      <c r="BJ46" s="685"/>
      <c r="BK46" s="685"/>
      <c r="BL46" s="685"/>
      <c r="BU46" s="685"/>
      <c r="BV46" s="685"/>
      <c r="BW46" s="685"/>
      <c r="BX46" s="685"/>
      <c r="BY46" s="685"/>
      <c r="BZ46" s="685"/>
      <c r="CA46" s="685"/>
      <c r="CJ46" s="685"/>
      <c r="CK46" s="685"/>
      <c r="CM46" s="685"/>
      <c r="CN46" s="685"/>
      <c r="CO46" s="685"/>
      <c r="CP46" s="685"/>
      <c r="CY46" s="685"/>
      <c r="CZ46" s="685"/>
    </row>
    <row r="47" spans="1:104">
      <c r="A47" s="685"/>
      <c r="B47" s="685"/>
      <c r="C47" s="685"/>
      <c r="D47" s="685"/>
      <c r="E47" s="685"/>
      <c r="L47" s="685"/>
      <c r="M47" s="685"/>
      <c r="N47" s="685"/>
      <c r="O47" s="685"/>
      <c r="P47" s="685"/>
      <c r="Q47" s="685"/>
      <c r="R47" s="685"/>
      <c r="S47" s="685"/>
      <c r="T47" s="685"/>
      <c r="AA47" s="685"/>
      <c r="AB47" s="685"/>
      <c r="AC47" s="685"/>
      <c r="AE47" s="685"/>
      <c r="AF47" s="685"/>
      <c r="AG47" s="685"/>
      <c r="AH47" s="685"/>
      <c r="AI47" s="685"/>
      <c r="AP47" s="685"/>
      <c r="AQ47" s="685"/>
      <c r="AR47" s="685"/>
      <c r="AS47" s="685"/>
      <c r="AT47" s="685"/>
      <c r="AU47" s="685"/>
      <c r="AV47" s="685"/>
      <c r="AW47" s="685"/>
      <c r="AX47" s="685"/>
      <c r="BE47" s="685"/>
      <c r="BF47" s="685"/>
      <c r="BG47" s="685"/>
      <c r="BI47" s="685"/>
      <c r="BJ47" s="685"/>
      <c r="BK47" s="685"/>
      <c r="BL47" s="685"/>
      <c r="BM47" s="685"/>
      <c r="BT47" s="685"/>
      <c r="BU47" s="685"/>
      <c r="BV47" s="685"/>
      <c r="BW47" s="685"/>
      <c r="BX47" s="685"/>
      <c r="BY47" s="685"/>
      <c r="BZ47" s="685"/>
      <c r="CA47" s="685"/>
      <c r="CB47" s="685"/>
      <c r="CI47" s="685"/>
      <c r="CJ47" s="685"/>
      <c r="CK47" s="685"/>
      <c r="CM47" s="685"/>
      <c r="CN47" s="685"/>
      <c r="CO47" s="685"/>
      <c r="CP47" s="685"/>
      <c r="CQ47" s="685"/>
      <c r="CX47" s="685"/>
      <c r="CY47" s="685"/>
      <c r="CZ47" s="685"/>
    </row>
    <row r="48" spans="1:104">
      <c r="A48" s="685"/>
      <c r="B48" s="685"/>
      <c r="C48" s="685"/>
      <c r="D48" s="685"/>
      <c r="E48" s="685"/>
      <c r="F48" s="685"/>
      <c r="G48" s="685"/>
      <c r="H48" s="685"/>
      <c r="I48" s="685"/>
      <c r="J48" s="685"/>
      <c r="K48" s="685"/>
      <c r="L48" s="685"/>
      <c r="M48" s="685"/>
      <c r="N48" s="685"/>
      <c r="O48" s="685"/>
      <c r="P48" s="685"/>
      <c r="Q48" s="685"/>
      <c r="R48" s="685"/>
      <c r="S48" s="685"/>
      <c r="T48" s="685"/>
      <c r="U48" s="685"/>
      <c r="V48" s="685"/>
      <c r="W48" s="685"/>
      <c r="X48" s="685"/>
      <c r="Y48" s="685"/>
      <c r="Z48" s="685"/>
      <c r="AA48" s="685"/>
      <c r="AB48" s="685"/>
      <c r="AC48" s="685"/>
      <c r="AE48" s="685"/>
      <c r="AF48" s="685"/>
      <c r="AG48" s="685"/>
      <c r="AH48" s="685"/>
      <c r="AI48" s="685"/>
      <c r="AJ48" s="685"/>
      <c r="AK48" s="685"/>
      <c r="AL48" s="685"/>
      <c r="AM48" s="685"/>
      <c r="AN48" s="685"/>
      <c r="AO48" s="685"/>
      <c r="AP48" s="685"/>
      <c r="AQ48" s="685"/>
      <c r="AR48" s="685"/>
      <c r="AS48" s="685"/>
      <c r="AT48" s="685"/>
      <c r="AU48" s="685"/>
      <c r="AV48" s="685"/>
      <c r="AW48" s="685"/>
      <c r="AX48" s="685"/>
      <c r="AY48" s="685"/>
      <c r="AZ48" s="685"/>
      <c r="BA48" s="685"/>
      <c r="BB48" s="685"/>
      <c r="BC48" s="685"/>
      <c r="BD48" s="685"/>
      <c r="BE48" s="685"/>
      <c r="BF48" s="685"/>
      <c r="BG48" s="685"/>
      <c r="BI48" s="685"/>
      <c r="BJ48" s="685"/>
      <c r="BK48" s="685"/>
      <c r="BL48" s="685"/>
      <c r="BM48" s="685"/>
      <c r="BN48" s="685"/>
      <c r="BO48" s="685"/>
      <c r="BP48" s="685"/>
      <c r="BQ48" s="685"/>
      <c r="BR48" s="685"/>
      <c r="BS48" s="685"/>
      <c r="BT48" s="685"/>
      <c r="BU48" s="685"/>
      <c r="BV48" s="685"/>
      <c r="BW48" s="685"/>
      <c r="BX48" s="685"/>
      <c r="BY48" s="685"/>
      <c r="BZ48" s="685"/>
      <c r="CA48" s="685"/>
      <c r="CB48" s="685"/>
      <c r="CC48" s="685"/>
      <c r="CD48" s="685"/>
      <c r="CE48" s="685"/>
      <c r="CF48" s="685"/>
      <c r="CG48" s="685"/>
      <c r="CH48" s="685"/>
      <c r="CI48" s="685"/>
      <c r="CJ48" s="685"/>
      <c r="CK48" s="685"/>
      <c r="CM48" s="685"/>
      <c r="CN48" s="685"/>
      <c r="CO48" s="685"/>
      <c r="CP48" s="685"/>
      <c r="CQ48" s="685"/>
      <c r="CR48" s="685"/>
      <c r="CS48" s="685"/>
      <c r="CT48" s="685"/>
      <c r="CU48" s="685"/>
      <c r="CV48" s="685"/>
      <c r="CW48" s="685"/>
      <c r="CX48" s="685"/>
      <c r="CY48" s="685"/>
      <c r="CZ48" s="685"/>
    </row>
    <row r="49" spans="1:104">
      <c r="A49" s="685"/>
      <c r="B49" s="685"/>
      <c r="C49" s="685"/>
      <c r="D49" s="685"/>
      <c r="E49" s="685"/>
      <c r="F49" s="685"/>
      <c r="G49" s="685"/>
      <c r="H49" s="685"/>
      <c r="I49" s="685"/>
      <c r="J49" s="685"/>
      <c r="K49" s="685"/>
      <c r="L49" s="685"/>
      <c r="M49" s="685"/>
      <c r="N49" s="685"/>
      <c r="O49" s="685"/>
      <c r="P49" s="685"/>
      <c r="Q49" s="685"/>
      <c r="R49" s="685"/>
      <c r="S49" s="685"/>
      <c r="T49" s="685"/>
      <c r="U49" s="685"/>
      <c r="V49" s="685"/>
      <c r="W49" s="685"/>
      <c r="X49" s="685"/>
      <c r="Y49" s="685"/>
      <c r="Z49" s="685"/>
      <c r="AA49" s="685"/>
      <c r="AB49" s="685"/>
      <c r="AC49" s="685"/>
      <c r="AE49" s="685"/>
      <c r="AF49" s="685"/>
      <c r="AG49" s="685"/>
      <c r="AH49" s="685"/>
      <c r="AI49" s="685"/>
      <c r="AJ49" s="685"/>
      <c r="AK49" s="685"/>
      <c r="AL49" s="685"/>
      <c r="AM49" s="685"/>
      <c r="AN49" s="685"/>
      <c r="AO49" s="685"/>
      <c r="AP49" s="685"/>
      <c r="AQ49" s="685"/>
      <c r="AR49" s="685"/>
      <c r="AS49" s="685"/>
      <c r="AT49" s="685"/>
      <c r="AU49" s="685"/>
      <c r="AV49" s="685"/>
      <c r="AW49" s="685"/>
      <c r="AX49" s="685"/>
      <c r="AY49" s="685"/>
      <c r="AZ49" s="685"/>
      <c r="BA49" s="685"/>
      <c r="BB49" s="685"/>
      <c r="BC49" s="685"/>
      <c r="BD49" s="685"/>
      <c r="BE49" s="685"/>
      <c r="BF49" s="685"/>
      <c r="BG49" s="685"/>
      <c r="BI49" s="685"/>
      <c r="BJ49" s="685"/>
      <c r="BK49" s="685"/>
      <c r="BL49" s="685"/>
      <c r="BM49" s="685"/>
      <c r="BN49" s="685"/>
      <c r="BO49" s="685"/>
      <c r="BP49" s="685"/>
      <c r="BQ49" s="685"/>
      <c r="BR49" s="685"/>
      <c r="BS49" s="685"/>
      <c r="BT49" s="685"/>
      <c r="BU49" s="685"/>
      <c r="BV49" s="685"/>
      <c r="BW49" s="685"/>
      <c r="BX49" s="685"/>
      <c r="BY49" s="685"/>
      <c r="BZ49" s="685"/>
      <c r="CA49" s="685"/>
      <c r="CB49" s="685"/>
      <c r="CC49" s="685"/>
      <c r="CD49" s="685"/>
      <c r="CE49" s="685"/>
      <c r="CF49" s="685"/>
      <c r="CG49" s="685"/>
      <c r="CH49" s="685"/>
      <c r="CI49" s="685"/>
      <c r="CJ49" s="685"/>
      <c r="CK49" s="685"/>
      <c r="CM49" s="685"/>
      <c r="CN49" s="685"/>
      <c r="CO49" s="685"/>
      <c r="CP49" s="685"/>
      <c r="CQ49" s="685"/>
      <c r="CR49" s="685"/>
      <c r="CS49" s="685"/>
      <c r="CT49" s="685"/>
      <c r="CU49" s="685"/>
      <c r="CV49" s="685"/>
      <c r="CW49" s="685"/>
      <c r="CX49" s="685"/>
      <c r="CY49" s="685"/>
      <c r="CZ49" s="685"/>
    </row>
    <row r="50" spans="1:104">
      <c r="A50" s="685"/>
      <c r="B50" s="685"/>
      <c r="C50" s="685"/>
      <c r="D50" s="685"/>
      <c r="E50" s="685"/>
      <c r="F50" s="685"/>
      <c r="G50" s="685"/>
      <c r="H50" s="685"/>
      <c r="I50" s="685"/>
      <c r="J50" s="685"/>
      <c r="K50" s="685"/>
      <c r="L50" s="685"/>
      <c r="M50" s="685"/>
      <c r="N50" s="685"/>
      <c r="O50" s="685"/>
      <c r="P50" s="685"/>
      <c r="Q50" s="685"/>
      <c r="R50" s="685"/>
      <c r="S50" s="685"/>
      <c r="T50" s="685"/>
      <c r="U50" s="685"/>
      <c r="V50" s="685"/>
      <c r="W50" s="685"/>
      <c r="X50" s="685"/>
      <c r="Y50" s="685"/>
      <c r="Z50" s="685"/>
      <c r="AA50" s="685"/>
      <c r="AB50" s="685"/>
      <c r="AC50" s="685"/>
      <c r="AE50" s="685"/>
      <c r="AF50" s="685"/>
      <c r="AG50" s="685"/>
      <c r="AH50" s="685"/>
      <c r="AI50" s="685"/>
      <c r="AJ50" s="685"/>
      <c r="AK50" s="685"/>
      <c r="AL50" s="685"/>
      <c r="AM50" s="685"/>
      <c r="AN50" s="685"/>
      <c r="AO50" s="685"/>
      <c r="AP50" s="685"/>
      <c r="AQ50" s="685"/>
      <c r="AR50" s="685"/>
      <c r="AS50" s="685"/>
      <c r="AT50" s="685"/>
      <c r="AU50" s="685"/>
      <c r="AV50" s="685"/>
      <c r="AW50" s="685"/>
      <c r="AX50" s="685"/>
      <c r="AY50" s="685"/>
      <c r="AZ50" s="685"/>
      <c r="BA50" s="685"/>
      <c r="BB50" s="685"/>
      <c r="BC50" s="685"/>
      <c r="BD50" s="685"/>
      <c r="BE50" s="685"/>
      <c r="BF50" s="685"/>
      <c r="BG50" s="685"/>
      <c r="BI50" s="685"/>
      <c r="BJ50" s="685"/>
      <c r="BK50" s="685"/>
      <c r="BL50" s="685"/>
      <c r="BM50" s="685"/>
      <c r="BN50" s="685"/>
      <c r="BO50" s="685"/>
      <c r="BP50" s="685"/>
      <c r="BQ50" s="685"/>
      <c r="BR50" s="685"/>
      <c r="BS50" s="685"/>
      <c r="BT50" s="685"/>
      <c r="BU50" s="685"/>
      <c r="BV50" s="685"/>
      <c r="BW50" s="685"/>
      <c r="BX50" s="685"/>
      <c r="BY50" s="685"/>
      <c r="BZ50" s="685"/>
      <c r="CA50" s="685"/>
      <c r="CB50" s="685"/>
      <c r="CC50" s="685"/>
      <c r="CD50" s="685"/>
      <c r="CE50" s="685"/>
      <c r="CF50" s="685"/>
      <c r="CG50" s="685"/>
      <c r="CH50" s="685"/>
      <c r="CI50" s="685"/>
      <c r="CJ50" s="685"/>
      <c r="CK50" s="685"/>
      <c r="CM50" s="685"/>
      <c r="CN50" s="685"/>
      <c r="CO50" s="685"/>
      <c r="CP50" s="685"/>
      <c r="CQ50" s="685"/>
      <c r="CR50" s="685"/>
      <c r="CS50" s="685"/>
      <c r="CT50" s="685"/>
      <c r="CU50" s="685"/>
      <c r="CV50" s="685"/>
      <c r="CW50" s="685"/>
      <c r="CX50" s="685"/>
      <c r="CY50" s="685"/>
      <c r="CZ50" s="685"/>
    </row>
    <row r="51" spans="1:104">
      <c r="A51" s="685"/>
      <c r="B51" s="685"/>
      <c r="C51" s="685"/>
      <c r="D51" s="685"/>
      <c r="E51" s="685"/>
      <c r="F51" s="685"/>
      <c r="G51" s="685"/>
      <c r="H51" s="685"/>
      <c r="I51" s="685"/>
      <c r="J51" s="685"/>
      <c r="K51" s="685"/>
      <c r="L51" s="685"/>
      <c r="M51" s="685"/>
      <c r="N51" s="685"/>
      <c r="O51" s="685"/>
      <c r="P51" s="685"/>
      <c r="Q51" s="685"/>
      <c r="R51" s="685"/>
      <c r="S51" s="685"/>
      <c r="T51" s="685"/>
      <c r="U51" s="685"/>
      <c r="V51" s="685"/>
      <c r="W51" s="685"/>
      <c r="X51" s="685"/>
      <c r="Y51" s="685"/>
      <c r="Z51" s="685"/>
      <c r="AA51" s="685"/>
      <c r="AB51" s="685"/>
      <c r="AC51" s="685"/>
      <c r="AE51" s="685"/>
      <c r="AF51" s="685"/>
      <c r="AG51" s="685"/>
      <c r="AH51" s="685"/>
      <c r="AI51" s="685"/>
      <c r="AJ51" s="685"/>
      <c r="AK51" s="685"/>
      <c r="AL51" s="685"/>
      <c r="AM51" s="685"/>
      <c r="AN51" s="685"/>
      <c r="AO51" s="685"/>
      <c r="AP51" s="685"/>
      <c r="AQ51" s="685"/>
      <c r="AR51" s="685"/>
      <c r="AS51" s="685"/>
      <c r="AT51" s="685"/>
      <c r="AU51" s="685"/>
      <c r="AV51" s="685"/>
      <c r="AW51" s="685"/>
      <c r="AX51" s="685"/>
      <c r="AY51" s="685"/>
      <c r="AZ51" s="685"/>
      <c r="BA51" s="685"/>
      <c r="BB51" s="685"/>
      <c r="BC51" s="685"/>
      <c r="BD51" s="685"/>
      <c r="BE51" s="685"/>
      <c r="BF51" s="685"/>
      <c r="BG51" s="685"/>
      <c r="BI51" s="685"/>
      <c r="BJ51" s="685"/>
      <c r="BK51" s="685"/>
      <c r="BL51" s="685"/>
      <c r="BM51" s="685"/>
      <c r="BN51" s="685"/>
      <c r="BO51" s="685"/>
      <c r="BP51" s="685"/>
      <c r="BQ51" s="685"/>
      <c r="BR51" s="685"/>
      <c r="BS51" s="685"/>
      <c r="BT51" s="685"/>
      <c r="BU51" s="685"/>
      <c r="BV51" s="685"/>
      <c r="BW51" s="685"/>
      <c r="BX51" s="685"/>
      <c r="BY51" s="685"/>
      <c r="BZ51" s="685"/>
      <c r="CA51" s="685"/>
      <c r="CB51" s="685"/>
      <c r="CC51" s="685"/>
      <c r="CD51" s="685"/>
      <c r="CE51" s="685"/>
      <c r="CF51" s="685"/>
      <c r="CG51" s="685"/>
      <c r="CH51" s="685"/>
      <c r="CI51" s="685"/>
      <c r="CJ51" s="685"/>
      <c r="CK51" s="685"/>
      <c r="CM51" s="685"/>
      <c r="CN51" s="685"/>
      <c r="CO51" s="685"/>
      <c r="CP51" s="685"/>
      <c r="CQ51" s="685"/>
      <c r="CR51" s="685"/>
      <c r="CS51" s="685"/>
      <c r="CT51" s="685"/>
      <c r="CU51" s="685"/>
      <c r="CV51" s="685"/>
      <c r="CW51" s="685"/>
      <c r="CX51" s="685"/>
      <c r="CY51" s="685"/>
      <c r="CZ51" s="685"/>
    </row>
    <row r="52" spans="1:104">
      <c r="A52" s="685"/>
      <c r="B52" s="685"/>
      <c r="C52" s="685"/>
      <c r="D52" s="685"/>
      <c r="E52" s="685"/>
      <c r="F52" s="685"/>
      <c r="M52" s="685"/>
      <c r="N52" s="685"/>
      <c r="O52" s="685"/>
      <c r="P52" s="685"/>
      <c r="Q52" s="685"/>
      <c r="R52" s="685"/>
      <c r="S52" s="685"/>
      <c r="T52" s="685"/>
      <c r="U52" s="685"/>
      <c r="AB52" s="685"/>
      <c r="AC52" s="685"/>
      <c r="AE52" s="685"/>
      <c r="AF52" s="685"/>
      <c r="AG52" s="685"/>
      <c r="AH52" s="685"/>
      <c r="AI52" s="685"/>
      <c r="AJ52" s="685"/>
      <c r="AQ52" s="685"/>
      <c r="AR52" s="685"/>
      <c r="AS52" s="685"/>
      <c r="AT52" s="685"/>
      <c r="AU52" s="685"/>
      <c r="AV52" s="685"/>
      <c r="AW52" s="685"/>
      <c r="AX52" s="685"/>
      <c r="AY52" s="685"/>
      <c r="BF52" s="685"/>
      <c r="BG52" s="685"/>
      <c r="BI52" s="685"/>
      <c r="BJ52" s="685"/>
      <c r="BK52" s="685"/>
      <c r="BL52" s="685"/>
      <c r="BM52" s="685"/>
      <c r="BN52" s="685"/>
      <c r="BU52" s="685"/>
      <c r="BV52" s="685"/>
      <c r="BW52" s="685"/>
      <c r="BX52" s="685"/>
      <c r="BY52" s="685"/>
      <c r="BZ52" s="685"/>
      <c r="CA52" s="685"/>
      <c r="CB52" s="685"/>
      <c r="CC52" s="685"/>
      <c r="CJ52" s="685"/>
      <c r="CK52" s="685"/>
      <c r="CM52" s="685"/>
      <c r="CN52" s="685"/>
      <c r="CO52" s="685"/>
      <c r="CP52" s="685"/>
      <c r="CQ52" s="685"/>
      <c r="CR52" s="685"/>
      <c r="CY52" s="685"/>
      <c r="CZ52" s="685"/>
    </row>
    <row r="53" spans="1:104">
      <c r="A53" s="685"/>
      <c r="B53" s="685"/>
      <c r="C53" s="685"/>
      <c r="D53" s="685"/>
      <c r="E53" s="685"/>
      <c r="F53" s="685"/>
      <c r="G53" s="685"/>
      <c r="H53" s="685"/>
      <c r="I53" s="685"/>
      <c r="J53" s="685"/>
      <c r="K53" s="685"/>
      <c r="L53" s="685"/>
      <c r="M53" s="685"/>
      <c r="N53" s="685"/>
      <c r="O53" s="685"/>
      <c r="P53" s="685"/>
      <c r="Q53" s="685"/>
      <c r="R53" s="685"/>
      <c r="S53" s="685"/>
      <c r="T53" s="685"/>
      <c r="U53" s="685"/>
      <c r="V53" s="685"/>
      <c r="W53" s="685"/>
      <c r="X53" s="685"/>
      <c r="Y53" s="685"/>
      <c r="Z53" s="685"/>
      <c r="AA53" s="685"/>
      <c r="AB53" s="685"/>
      <c r="AC53" s="685"/>
      <c r="AE53" s="685"/>
      <c r="AF53" s="685"/>
      <c r="AG53" s="685"/>
      <c r="AH53" s="685"/>
      <c r="AI53" s="685"/>
      <c r="AJ53" s="685"/>
      <c r="AK53" s="685"/>
      <c r="AL53" s="685"/>
      <c r="AM53" s="685"/>
      <c r="AN53" s="685"/>
      <c r="AO53" s="685"/>
      <c r="AP53" s="685"/>
      <c r="AQ53" s="685"/>
      <c r="AR53" s="685"/>
      <c r="AS53" s="685"/>
      <c r="AT53" s="685"/>
      <c r="AU53" s="685"/>
      <c r="AV53" s="685"/>
      <c r="AW53" s="685"/>
      <c r="AX53" s="685"/>
      <c r="AY53" s="685"/>
      <c r="AZ53" s="685"/>
      <c r="BA53" s="685"/>
      <c r="BB53" s="685"/>
      <c r="BC53" s="685"/>
      <c r="BD53" s="685"/>
      <c r="BE53" s="685"/>
      <c r="BF53" s="685"/>
      <c r="BG53" s="685"/>
      <c r="BI53" s="685"/>
      <c r="BJ53" s="685"/>
      <c r="BK53" s="685"/>
      <c r="BL53" s="685"/>
      <c r="BM53" s="685"/>
      <c r="BN53" s="685"/>
      <c r="BO53" s="685"/>
      <c r="BP53" s="685"/>
      <c r="BQ53" s="685"/>
      <c r="BR53" s="685"/>
      <c r="BS53" s="685"/>
      <c r="BT53" s="685"/>
      <c r="BU53" s="685"/>
      <c r="BV53" s="685"/>
      <c r="BW53" s="685"/>
      <c r="BX53" s="685"/>
      <c r="BY53" s="685"/>
      <c r="BZ53" s="685"/>
      <c r="CA53" s="685"/>
      <c r="CB53" s="685"/>
      <c r="CC53" s="685"/>
      <c r="CD53" s="685"/>
      <c r="CE53" s="685"/>
      <c r="CF53" s="685"/>
      <c r="CG53" s="685"/>
      <c r="CH53" s="685"/>
      <c r="CI53" s="685"/>
      <c r="CJ53" s="685"/>
      <c r="CK53" s="685"/>
      <c r="CM53" s="685"/>
      <c r="CN53" s="685"/>
      <c r="CO53" s="685"/>
      <c r="CP53" s="685"/>
      <c r="CQ53" s="685"/>
      <c r="CR53" s="685"/>
      <c r="CS53" s="685"/>
      <c r="CT53" s="685"/>
      <c r="CU53" s="685"/>
      <c r="CV53" s="685"/>
      <c r="CW53" s="685"/>
      <c r="CX53" s="685"/>
      <c r="CY53" s="685"/>
      <c r="CZ53" s="685"/>
    </row>
    <row r="54" spans="1:104">
      <c r="A54" s="691"/>
      <c r="B54" s="691"/>
      <c r="C54" s="692"/>
      <c r="D54" s="692"/>
      <c r="E54" s="692"/>
      <c r="F54" s="692"/>
      <c r="G54" s="685"/>
      <c r="H54" s="691"/>
      <c r="I54" s="691"/>
      <c r="J54" s="691"/>
      <c r="K54" s="692"/>
      <c r="L54" s="692"/>
      <c r="M54" s="692"/>
      <c r="N54" s="692"/>
      <c r="O54" s="691"/>
      <c r="P54" s="691"/>
      <c r="Q54" s="691"/>
      <c r="R54" s="692"/>
      <c r="S54" s="692"/>
      <c r="T54" s="692"/>
      <c r="U54" s="692"/>
      <c r="V54" s="685"/>
      <c r="W54" s="691"/>
      <c r="X54" s="691"/>
      <c r="Y54" s="691"/>
      <c r="Z54" s="692"/>
      <c r="AA54" s="692"/>
      <c r="AB54" s="692"/>
      <c r="AC54" s="692"/>
      <c r="AE54" s="691"/>
      <c r="AF54" s="691"/>
      <c r="AG54" s="692"/>
      <c r="AH54" s="692"/>
      <c r="AI54" s="692"/>
      <c r="AJ54" s="692"/>
      <c r="AK54" s="685"/>
      <c r="AL54" s="691"/>
      <c r="AM54" s="691"/>
      <c r="AN54" s="691"/>
      <c r="AO54" s="692"/>
      <c r="AP54" s="692"/>
      <c r="AQ54" s="692"/>
      <c r="AR54" s="692"/>
      <c r="AS54" s="691"/>
      <c r="AT54" s="691"/>
      <c r="AU54" s="691"/>
      <c r="AV54" s="692"/>
      <c r="AW54" s="692"/>
      <c r="AX54" s="692"/>
      <c r="AY54" s="692"/>
      <c r="AZ54" s="685"/>
      <c r="BA54" s="691"/>
      <c r="BB54" s="691"/>
      <c r="BC54" s="691"/>
      <c r="BD54" s="692"/>
      <c r="BE54" s="692"/>
      <c r="BF54" s="692"/>
      <c r="BG54" s="692"/>
      <c r="BI54" s="691"/>
      <c r="BJ54" s="691"/>
      <c r="BK54" s="692"/>
      <c r="BL54" s="692"/>
      <c r="BM54" s="692"/>
      <c r="BN54" s="692"/>
      <c r="BO54" s="685"/>
      <c r="BP54" s="691"/>
      <c r="BQ54" s="691"/>
      <c r="BR54" s="691"/>
      <c r="BS54" s="692"/>
      <c r="BT54" s="692"/>
      <c r="BU54" s="692"/>
      <c r="BV54" s="692"/>
      <c r="BW54" s="691"/>
      <c r="BX54" s="691"/>
      <c r="BY54" s="691"/>
      <c r="BZ54" s="692"/>
      <c r="CA54" s="692"/>
      <c r="CB54" s="692"/>
      <c r="CC54" s="692"/>
      <c r="CD54" s="685"/>
      <c r="CE54" s="691"/>
      <c r="CF54" s="691"/>
      <c r="CG54" s="691"/>
      <c r="CH54" s="692"/>
      <c r="CI54" s="692"/>
      <c r="CJ54" s="692"/>
      <c r="CK54" s="692"/>
      <c r="CM54" s="691"/>
      <c r="CN54" s="691"/>
      <c r="CO54" s="692"/>
      <c r="CP54" s="692"/>
      <c r="CQ54" s="692"/>
      <c r="CR54" s="692"/>
      <c r="CS54" s="685"/>
      <c r="CT54" s="691"/>
      <c r="CU54" s="691"/>
      <c r="CV54" s="691"/>
      <c r="CW54" s="692"/>
      <c r="CX54" s="692"/>
      <c r="CY54" s="692"/>
      <c r="CZ54" s="692"/>
    </row>
    <row r="55" spans="1:104">
      <c r="A55" s="691"/>
      <c r="B55" s="691"/>
      <c r="C55" s="692"/>
      <c r="D55" s="692"/>
      <c r="E55" s="692"/>
      <c r="F55" s="692"/>
      <c r="G55" s="685"/>
      <c r="H55" s="691"/>
      <c r="I55" s="691"/>
      <c r="J55" s="691"/>
      <c r="K55" s="692"/>
      <c r="L55" s="692"/>
      <c r="M55" s="692"/>
      <c r="N55" s="692"/>
      <c r="O55" s="691"/>
      <c r="P55" s="691"/>
      <c r="Q55" s="691"/>
      <c r="R55" s="692"/>
      <c r="S55" s="692"/>
      <c r="T55" s="692"/>
      <c r="U55" s="692"/>
      <c r="V55" s="685"/>
      <c r="W55" s="691"/>
      <c r="X55" s="691"/>
      <c r="Y55" s="691"/>
      <c r="Z55" s="692"/>
      <c r="AA55" s="692"/>
      <c r="AB55" s="692"/>
      <c r="AC55" s="692"/>
      <c r="AE55" s="691"/>
      <c r="AF55" s="691"/>
      <c r="AG55" s="692"/>
      <c r="AH55" s="692"/>
      <c r="AI55" s="692"/>
      <c r="AJ55" s="692"/>
      <c r="AK55" s="685"/>
      <c r="AL55" s="691"/>
      <c r="AM55" s="691"/>
      <c r="AN55" s="691"/>
      <c r="AO55" s="692"/>
      <c r="AP55" s="692"/>
      <c r="AQ55" s="692"/>
      <c r="AR55" s="692"/>
      <c r="AS55" s="691"/>
      <c r="AT55" s="691"/>
      <c r="AU55" s="691"/>
      <c r="AV55" s="692"/>
      <c r="AW55" s="692"/>
      <c r="AX55" s="692"/>
      <c r="AY55" s="692"/>
      <c r="AZ55" s="685"/>
      <c r="BA55" s="691"/>
      <c r="BB55" s="691"/>
      <c r="BC55" s="691"/>
      <c r="BD55" s="692"/>
      <c r="BE55" s="692"/>
      <c r="BF55" s="692"/>
      <c r="BG55" s="692"/>
      <c r="BI55" s="691"/>
      <c r="BJ55" s="691"/>
      <c r="BK55" s="692"/>
      <c r="BL55" s="692"/>
      <c r="BM55" s="692"/>
      <c r="BN55" s="692"/>
      <c r="BO55" s="685"/>
      <c r="BP55" s="691"/>
      <c r="BQ55" s="691"/>
      <c r="BR55" s="691"/>
      <c r="BS55" s="692"/>
      <c r="BT55" s="692"/>
      <c r="BU55" s="692"/>
      <c r="BV55" s="692"/>
      <c r="BW55" s="691"/>
      <c r="BX55" s="691"/>
      <c r="BY55" s="691"/>
      <c r="BZ55" s="692"/>
      <c r="CA55" s="692"/>
      <c r="CB55" s="692"/>
      <c r="CC55" s="692"/>
      <c r="CD55" s="685"/>
      <c r="CE55" s="691"/>
      <c r="CF55" s="691"/>
      <c r="CG55" s="691"/>
      <c r="CH55" s="692"/>
      <c r="CI55" s="692"/>
      <c r="CJ55" s="692"/>
      <c r="CK55" s="692"/>
      <c r="CM55" s="691"/>
      <c r="CN55" s="691"/>
      <c r="CO55" s="692"/>
      <c r="CP55" s="692"/>
      <c r="CQ55" s="692"/>
      <c r="CR55" s="692"/>
      <c r="CS55" s="685"/>
      <c r="CT55" s="691"/>
      <c r="CU55" s="691"/>
      <c r="CV55" s="691"/>
      <c r="CW55" s="692"/>
      <c r="CX55" s="692"/>
      <c r="CY55" s="692"/>
      <c r="CZ55" s="692"/>
    </row>
    <row r="56" spans="1:104">
      <c r="A56" s="685"/>
      <c r="B56" s="685"/>
      <c r="C56" s="685"/>
      <c r="D56" s="685"/>
      <c r="E56" s="685"/>
      <c r="F56" s="685"/>
      <c r="G56" s="685"/>
      <c r="H56" s="685"/>
      <c r="I56" s="685"/>
      <c r="J56" s="685"/>
      <c r="K56" s="685"/>
      <c r="L56" s="685"/>
      <c r="M56" s="685"/>
      <c r="N56" s="685"/>
      <c r="O56" s="685"/>
      <c r="P56" s="685"/>
      <c r="Q56" s="685"/>
      <c r="R56" s="685"/>
      <c r="S56" s="685"/>
      <c r="T56" s="685"/>
      <c r="U56" s="685"/>
      <c r="V56" s="685"/>
      <c r="W56" s="685"/>
      <c r="X56" s="685"/>
      <c r="Y56" s="685"/>
      <c r="Z56" s="685"/>
      <c r="AA56" s="685"/>
      <c r="AB56" s="685"/>
      <c r="AC56" s="685"/>
      <c r="AE56" s="685"/>
      <c r="AF56" s="685"/>
      <c r="AG56" s="685"/>
      <c r="AH56" s="685"/>
      <c r="AI56" s="685"/>
      <c r="AJ56" s="685"/>
      <c r="AK56" s="685"/>
      <c r="AL56" s="685"/>
      <c r="AM56" s="685"/>
      <c r="AN56" s="685"/>
      <c r="AO56" s="685"/>
      <c r="AP56" s="685"/>
      <c r="AQ56" s="685"/>
      <c r="AR56" s="685"/>
      <c r="AS56" s="685"/>
      <c r="AT56" s="685"/>
      <c r="AU56" s="685"/>
      <c r="AV56" s="685"/>
      <c r="AW56" s="685"/>
      <c r="AX56" s="685"/>
      <c r="AY56" s="685"/>
      <c r="AZ56" s="685"/>
      <c r="BA56" s="685"/>
      <c r="BB56" s="685"/>
      <c r="BC56" s="685"/>
      <c r="BD56" s="685"/>
      <c r="BE56" s="685"/>
      <c r="BF56" s="685"/>
      <c r="BG56" s="685"/>
      <c r="BI56" s="685"/>
      <c r="BJ56" s="685"/>
      <c r="BK56" s="685"/>
      <c r="BL56" s="685"/>
      <c r="BM56" s="685"/>
      <c r="BN56" s="685"/>
      <c r="BO56" s="685"/>
      <c r="BP56" s="685"/>
      <c r="BQ56" s="685"/>
      <c r="BR56" s="685"/>
      <c r="BS56" s="685"/>
      <c r="BT56" s="685"/>
      <c r="BU56" s="685"/>
      <c r="BV56" s="685"/>
      <c r="BW56" s="685"/>
      <c r="BX56" s="685"/>
      <c r="BY56" s="685"/>
      <c r="BZ56" s="685"/>
      <c r="CA56" s="685"/>
      <c r="CB56" s="685"/>
      <c r="CC56" s="685"/>
      <c r="CD56" s="685"/>
      <c r="CE56" s="685"/>
      <c r="CF56" s="685"/>
      <c r="CG56" s="685"/>
      <c r="CH56" s="685"/>
      <c r="CI56" s="685"/>
      <c r="CJ56" s="685"/>
      <c r="CK56" s="685"/>
      <c r="CM56" s="685"/>
      <c r="CN56" s="685"/>
      <c r="CO56" s="685"/>
      <c r="CP56" s="685"/>
      <c r="CQ56" s="685"/>
      <c r="CR56" s="685"/>
      <c r="CS56" s="685"/>
      <c r="CT56" s="685"/>
      <c r="CU56" s="685"/>
      <c r="CV56" s="685"/>
      <c r="CW56" s="685"/>
      <c r="CX56" s="685"/>
      <c r="CY56" s="685"/>
      <c r="CZ56" s="685"/>
    </row>
    <row r="57" spans="1:104">
      <c r="A57" s="685"/>
      <c r="B57" s="685"/>
      <c r="C57" s="685"/>
      <c r="D57" s="685"/>
      <c r="E57" s="685"/>
      <c r="L57" s="685"/>
      <c r="M57" s="685"/>
      <c r="N57" s="685"/>
      <c r="O57" s="685"/>
      <c r="P57" s="685"/>
      <c r="Q57" s="685"/>
      <c r="R57" s="685"/>
      <c r="S57" s="685"/>
      <c r="T57" s="685"/>
      <c r="AA57" s="685"/>
      <c r="AB57" s="685"/>
      <c r="AC57" s="685"/>
      <c r="AE57" s="685"/>
      <c r="AF57" s="685"/>
      <c r="AG57" s="685"/>
      <c r="AH57" s="685"/>
      <c r="AI57" s="685"/>
      <c r="AP57" s="685"/>
      <c r="AQ57" s="685"/>
      <c r="AR57" s="685"/>
      <c r="AS57" s="685"/>
      <c r="AT57" s="685"/>
      <c r="AU57" s="685"/>
      <c r="AV57" s="685"/>
      <c r="AW57" s="685"/>
      <c r="AX57" s="685"/>
      <c r="BE57" s="685"/>
      <c r="BF57" s="685"/>
      <c r="BG57" s="685"/>
      <c r="BI57" s="685"/>
      <c r="BJ57" s="685"/>
      <c r="BK57" s="685"/>
      <c r="BL57" s="685"/>
      <c r="BM57" s="685"/>
      <c r="BT57" s="685"/>
      <c r="BU57" s="685"/>
      <c r="BV57" s="685"/>
      <c r="BW57" s="685"/>
      <c r="BX57" s="685"/>
      <c r="BY57" s="685"/>
      <c r="BZ57" s="685"/>
      <c r="CA57" s="685"/>
      <c r="CB57" s="685"/>
      <c r="CI57" s="685"/>
      <c r="CJ57" s="685"/>
      <c r="CK57" s="685"/>
      <c r="CM57" s="685"/>
      <c r="CN57" s="685"/>
      <c r="CO57" s="685"/>
      <c r="CP57" s="685"/>
      <c r="CQ57" s="685"/>
      <c r="CX57" s="685"/>
      <c r="CY57" s="685"/>
      <c r="CZ57" s="685"/>
    </row>
    <row r="58" spans="1:104" s="689" customFormat="1" ht="15" customHeight="1">
      <c r="A58" s="688"/>
      <c r="B58" s="691"/>
      <c r="C58" s="690"/>
      <c r="D58" s="692"/>
      <c r="E58" s="690"/>
      <c r="F58" s="690"/>
      <c r="G58" s="690"/>
      <c r="H58" s="690"/>
      <c r="I58" s="690"/>
      <c r="J58" s="690"/>
      <c r="K58" s="690"/>
      <c r="L58" s="690"/>
      <c r="M58" s="690"/>
      <c r="N58" s="690"/>
      <c r="O58" s="688"/>
      <c r="P58" s="688"/>
      <c r="Q58" s="691"/>
      <c r="R58" s="690"/>
      <c r="S58" s="692"/>
      <c r="T58" s="690"/>
      <c r="U58" s="690"/>
      <c r="V58" s="690"/>
      <c r="W58" s="690"/>
      <c r="X58" s="690"/>
      <c r="Y58" s="690"/>
      <c r="Z58" s="690"/>
      <c r="AA58" s="690"/>
      <c r="AB58" s="690"/>
      <c r="AC58" s="690"/>
      <c r="AE58" s="688"/>
      <c r="AF58" s="691"/>
      <c r="AG58" s="690"/>
      <c r="AH58" s="692"/>
      <c r="AI58" s="690"/>
      <c r="AJ58" s="690"/>
      <c r="AK58" s="690"/>
      <c r="AL58" s="690"/>
      <c r="AM58" s="690"/>
      <c r="AN58" s="690"/>
      <c r="AO58" s="690"/>
      <c r="AP58" s="690"/>
      <c r="AQ58" s="690"/>
      <c r="AR58" s="690"/>
      <c r="AS58" s="688"/>
      <c r="AT58" s="688"/>
      <c r="AU58" s="691"/>
      <c r="AV58" s="690"/>
      <c r="AW58" s="692"/>
      <c r="AX58" s="690"/>
      <c r="AY58" s="690"/>
      <c r="AZ58" s="690"/>
      <c r="BA58" s="690"/>
      <c r="BB58" s="690"/>
      <c r="BC58" s="690"/>
      <c r="BD58" s="690"/>
      <c r="BE58" s="690"/>
      <c r="BF58" s="690"/>
      <c r="BG58" s="690"/>
      <c r="BI58" s="688"/>
      <c r="BJ58" s="691"/>
      <c r="BK58" s="690"/>
      <c r="BL58" s="692"/>
      <c r="BM58" s="690"/>
      <c r="BN58" s="690"/>
      <c r="BO58" s="690"/>
      <c r="BP58" s="690"/>
      <c r="BQ58" s="690"/>
      <c r="BR58" s="690"/>
      <c r="BS58" s="690"/>
      <c r="BT58" s="690"/>
      <c r="BU58" s="690"/>
      <c r="BV58" s="690"/>
      <c r="BW58" s="688"/>
      <c r="BX58" s="688"/>
      <c r="BY58" s="691"/>
      <c r="BZ58" s="690"/>
      <c r="CA58" s="692"/>
      <c r="CB58" s="690"/>
      <c r="CC58" s="690"/>
      <c r="CD58" s="690"/>
      <c r="CE58" s="690"/>
      <c r="CF58" s="690"/>
      <c r="CG58" s="690"/>
      <c r="CH58" s="690"/>
      <c r="CI58" s="690"/>
      <c r="CJ58" s="690"/>
      <c r="CK58" s="690"/>
      <c r="CM58" s="688"/>
      <c r="CN58" s="691"/>
      <c r="CO58" s="690"/>
      <c r="CP58" s="692"/>
      <c r="CQ58" s="690"/>
      <c r="CR58" s="690"/>
      <c r="CS58" s="690"/>
      <c r="CT58" s="690"/>
      <c r="CU58" s="690"/>
      <c r="CV58" s="690"/>
      <c r="CW58" s="690"/>
      <c r="CX58" s="690"/>
      <c r="CY58" s="690"/>
      <c r="CZ58" s="690"/>
    </row>
    <row r="59" spans="1:104" ht="12.75" customHeight="1">
      <c r="A59" s="685"/>
      <c r="O59" s="685"/>
      <c r="P59" s="685"/>
      <c r="AE59" s="685"/>
      <c r="AS59" s="685"/>
      <c r="AT59" s="685"/>
      <c r="BI59" s="685"/>
      <c r="BW59" s="685"/>
      <c r="BX59" s="685"/>
      <c r="CM59" s="685"/>
    </row>
    <row r="60" spans="1:104">
      <c r="B60" s="687">
        <f>+I40+1</f>
        <v>5</v>
      </c>
      <c r="C60" s="1289"/>
      <c r="D60" s="1290"/>
      <c r="E60" s="1290"/>
      <c r="F60" s="1290"/>
      <c r="G60" s="1291"/>
      <c r="I60" s="687">
        <f>+B60+1</f>
        <v>6</v>
      </c>
      <c r="J60" s="1289"/>
      <c r="K60" s="1290"/>
      <c r="L60" s="1290"/>
      <c r="M60" s="1290"/>
      <c r="N60" s="1291"/>
      <c r="Q60" s="687">
        <f>+X40+1</f>
        <v>11</v>
      </c>
      <c r="R60" s="1289"/>
      <c r="S60" s="1290"/>
      <c r="T60" s="1290"/>
      <c r="U60" s="1290"/>
      <c r="V60" s="1291"/>
      <c r="X60" s="687">
        <f>+Q60+1</f>
        <v>12</v>
      </c>
      <c r="Y60" s="1289"/>
      <c r="Z60" s="1290"/>
      <c r="AA60" s="1290"/>
      <c r="AB60" s="1290"/>
      <c r="AC60" s="1291"/>
      <c r="AF60" s="687">
        <f>+AM40+1</f>
        <v>17</v>
      </c>
      <c r="AG60" s="1289"/>
      <c r="AH60" s="1290"/>
      <c r="AI60" s="1290"/>
      <c r="AJ60" s="1290"/>
      <c r="AK60" s="1291"/>
      <c r="AM60" s="687">
        <f>+AF60+1</f>
        <v>18</v>
      </c>
      <c r="AN60" s="1289"/>
      <c r="AO60" s="1290"/>
      <c r="AP60" s="1290"/>
      <c r="AQ60" s="1290"/>
      <c r="AR60" s="1291"/>
      <c r="AU60" s="687">
        <f>+BB40+1</f>
        <v>23</v>
      </c>
      <c r="AV60" s="1289"/>
      <c r="AW60" s="1290"/>
      <c r="AX60" s="1290"/>
      <c r="AY60" s="1290"/>
      <c r="AZ60" s="1291"/>
      <c r="BB60" s="687">
        <f>+AU60+1</f>
        <v>24</v>
      </c>
      <c r="BC60" s="1289"/>
      <c r="BD60" s="1290"/>
      <c r="BE60" s="1290"/>
      <c r="BF60" s="1290"/>
      <c r="BG60" s="1291"/>
      <c r="BJ60" s="687">
        <f>+BQ40+1</f>
        <v>29</v>
      </c>
      <c r="BK60" s="1289"/>
      <c r="BL60" s="1290"/>
      <c r="BM60" s="1290"/>
      <c r="BN60" s="1290"/>
      <c r="BO60" s="1291"/>
      <c r="BQ60" s="687">
        <f>+BJ60+1</f>
        <v>30</v>
      </c>
      <c r="BR60" s="1289"/>
      <c r="BS60" s="1290"/>
      <c r="BT60" s="1290"/>
      <c r="BU60" s="1290"/>
      <c r="BV60" s="1291"/>
      <c r="BY60" s="687">
        <f>+CF40+1</f>
        <v>35</v>
      </c>
      <c r="BZ60" s="1289"/>
      <c r="CA60" s="1290"/>
      <c r="CB60" s="1290"/>
      <c r="CC60" s="1290"/>
      <c r="CD60" s="1291"/>
      <c r="CF60" s="687">
        <f>+BY60+1</f>
        <v>36</v>
      </c>
      <c r="CG60" s="1289"/>
      <c r="CH60" s="1290"/>
      <c r="CI60" s="1290"/>
      <c r="CJ60" s="1290"/>
      <c r="CK60" s="1291"/>
      <c r="CN60" s="687">
        <f>+CU40+1</f>
        <v>41</v>
      </c>
      <c r="CO60" s="1289"/>
      <c r="CP60" s="1290"/>
      <c r="CQ60" s="1290"/>
      <c r="CR60" s="1290"/>
      <c r="CS60" s="1291"/>
      <c r="CU60" s="687">
        <f>+CN60+1</f>
        <v>42</v>
      </c>
      <c r="CV60" s="1289"/>
      <c r="CW60" s="1290"/>
      <c r="CX60" s="1290"/>
      <c r="CY60" s="1290"/>
      <c r="CZ60" s="1291"/>
    </row>
    <row r="61" spans="1:104" hidden="1">
      <c r="I61" s="687">
        <f>+F60+1</f>
        <v>1</v>
      </c>
      <c r="J61" s="1290"/>
      <c r="K61" s="1290"/>
      <c r="L61" s="1290"/>
      <c r="M61" s="1290"/>
      <c r="N61" s="1291"/>
      <c r="X61" s="687">
        <f>+U60+1</f>
        <v>1</v>
      </c>
      <c r="Y61" s="1290"/>
      <c r="Z61" s="1290"/>
      <c r="AA61" s="1290"/>
      <c r="AB61" s="1290"/>
      <c r="AC61" s="1291"/>
      <c r="AM61" s="687">
        <f>+AJ60+1</f>
        <v>1</v>
      </c>
      <c r="AN61" s="1290"/>
      <c r="AO61" s="1290"/>
      <c r="AP61" s="1290"/>
      <c r="AQ61" s="1290"/>
      <c r="AR61" s="1291"/>
      <c r="BB61" s="687">
        <f>+AY60+1</f>
        <v>1</v>
      </c>
      <c r="BC61" s="1290"/>
      <c r="BD61" s="1290"/>
      <c r="BE61" s="1290"/>
      <c r="BF61" s="1290"/>
      <c r="BG61" s="1291"/>
      <c r="BQ61" s="687">
        <f>+BN60+1</f>
        <v>1</v>
      </c>
      <c r="BR61" s="1290"/>
      <c r="BS61" s="1290"/>
      <c r="BT61" s="1290"/>
      <c r="BU61" s="1290"/>
      <c r="BV61" s="1291"/>
      <c r="CF61" s="687">
        <f>+CC60+1</f>
        <v>1</v>
      </c>
      <c r="CG61" s="1290"/>
      <c r="CH61" s="1290"/>
      <c r="CI61" s="1290"/>
      <c r="CJ61" s="1290"/>
      <c r="CK61" s="1291"/>
      <c r="CU61" s="687">
        <f>+CR60+1</f>
        <v>1</v>
      </c>
      <c r="CV61" s="1290"/>
      <c r="CW61" s="1290"/>
      <c r="CX61" s="1290"/>
      <c r="CY61" s="1290"/>
      <c r="CZ61" s="1291"/>
    </row>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row r="1001" ht="21.75" customHeight="1"/>
    <row r="1002" ht="21.75" customHeight="1"/>
    <row r="1003" ht="21.75" customHeight="1"/>
    <row r="1004" ht="21.75" customHeight="1"/>
    <row r="1005" ht="21.75" customHeight="1"/>
    <row r="1006" ht="21.75" customHeight="1"/>
    <row r="1007" ht="21.75" customHeight="1"/>
    <row r="1008" ht="21.75" customHeight="1"/>
    <row r="1009" ht="21.75" customHeight="1"/>
    <row r="1010" ht="21.75" customHeight="1"/>
    <row r="1011" ht="21.75" customHeight="1"/>
    <row r="1012" ht="21.75" customHeight="1"/>
    <row r="1013" ht="21.75" customHeight="1"/>
    <row r="1014" ht="21.75" customHeight="1"/>
    <row r="1015" ht="21.75" customHeight="1"/>
    <row r="1016" ht="21.75" customHeight="1"/>
    <row r="1017" ht="21.75" customHeight="1"/>
    <row r="1018" ht="21.75" customHeight="1"/>
    <row r="1019" ht="21.75" customHeight="1"/>
    <row r="1020" ht="21.75" customHeight="1"/>
    <row r="1021" ht="21.75" customHeight="1"/>
    <row r="1022" ht="21.75" customHeight="1"/>
    <row r="1023" ht="21.75" customHeight="1"/>
    <row r="1024" ht="21.75" customHeight="1"/>
    <row r="1025" ht="21.75" customHeight="1"/>
    <row r="1026" ht="21.75" customHeight="1"/>
    <row r="1027" ht="21.75" customHeight="1"/>
    <row r="1028" ht="21.75" customHeight="1"/>
    <row r="1029" ht="21.75" customHeight="1"/>
    <row r="1030" ht="21.75" customHeight="1"/>
    <row r="1031" ht="21.75" customHeight="1"/>
    <row r="1032" ht="21.75" customHeight="1"/>
    <row r="1033" ht="21.75" customHeight="1"/>
    <row r="1034" ht="21.75" customHeight="1"/>
    <row r="1035" ht="21.75" customHeight="1"/>
    <row r="1036" ht="21.75" customHeight="1"/>
    <row r="1037" ht="21.75" customHeight="1"/>
    <row r="1038" ht="21.75" customHeight="1"/>
    <row r="1039" ht="21.75" customHeight="1"/>
    <row r="1040" ht="21.75" customHeight="1"/>
    <row r="1041" ht="21.75" customHeight="1"/>
    <row r="1042" ht="21.75" customHeight="1"/>
    <row r="1043" ht="21.75" customHeight="1"/>
    <row r="1044" ht="21.75" customHeight="1"/>
    <row r="1045" ht="21.75" customHeight="1"/>
    <row r="1046" ht="21.75" customHeight="1"/>
    <row r="1047" ht="21.75" customHeight="1"/>
    <row r="1048" ht="21.75" customHeight="1"/>
    <row r="1049" ht="21.75" customHeight="1"/>
    <row r="1050" ht="21.75" customHeight="1"/>
    <row r="1051" ht="21.75" customHeight="1"/>
    <row r="1052" ht="21.75" customHeight="1"/>
    <row r="1053" ht="21.75" customHeight="1"/>
    <row r="1054" ht="21.75" customHeight="1"/>
    <row r="1055" ht="21.75" customHeight="1"/>
    <row r="1056" ht="21.75" customHeight="1"/>
    <row r="1057" ht="21.75" customHeight="1"/>
    <row r="1058" ht="21.75" customHeight="1"/>
    <row r="1059" ht="21.75" customHeight="1"/>
    <row r="1060" ht="21.75" customHeight="1"/>
    <row r="1061" ht="21.75" customHeight="1"/>
    <row r="1062" ht="21.75" customHeight="1"/>
    <row r="1063" ht="21.75" customHeight="1"/>
    <row r="1064" ht="21.75" customHeight="1"/>
    <row r="1065" ht="21.75" customHeight="1"/>
    <row r="1066" ht="21.75" customHeight="1"/>
    <row r="1067" ht="21.75" customHeight="1"/>
    <row r="1068" ht="21.75" customHeight="1"/>
    <row r="1069" ht="21.75" customHeight="1"/>
    <row r="1070" ht="21.75" customHeight="1"/>
    <row r="1071" ht="21.75" customHeight="1"/>
    <row r="1072" ht="21.75" customHeight="1"/>
    <row r="1073" ht="21.75" customHeight="1"/>
    <row r="1074" ht="21.75" customHeight="1"/>
    <row r="1075" ht="21.75" customHeight="1"/>
    <row r="1076" ht="21.75" customHeight="1"/>
    <row r="1077" ht="21.75" customHeight="1"/>
    <row r="1078" ht="21.75" customHeight="1"/>
    <row r="1079" ht="21.75" customHeight="1"/>
    <row r="1080" ht="21.75" customHeight="1"/>
    <row r="1081" ht="21.75" customHeight="1"/>
    <row r="1082" ht="21.75" customHeight="1"/>
    <row r="1083" ht="21.75" customHeight="1"/>
    <row r="1084" ht="21.75" customHeight="1"/>
    <row r="1085" ht="21.75" customHeight="1"/>
    <row r="1086" ht="21.75" customHeight="1"/>
    <row r="1087" ht="21.75" customHeight="1"/>
    <row r="1088" ht="21.75" customHeight="1"/>
    <row r="1089" ht="21.75" customHeight="1"/>
    <row r="1090" ht="21.75" customHeight="1"/>
    <row r="1091" ht="21.75" customHeight="1"/>
    <row r="1092" ht="21.75" customHeight="1"/>
    <row r="1093" ht="21.75" customHeight="1"/>
    <row r="1094" ht="21.75" customHeight="1"/>
    <row r="1095" ht="21.75" customHeight="1"/>
    <row r="1096" ht="21.75" customHeight="1"/>
    <row r="1097" ht="21.75" customHeight="1"/>
    <row r="1098" ht="21.75" customHeight="1"/>
    <row r="1099" ht="21.75" customHeight="1"/>
    <row r="1100" ht="21.75" customHeight="1"/>
    <row r="1101" ht="21.75" customHeight="1"/>
    <row r="1102" ht="21.75" customHeight="1"/>
    <row r="1103" ht="21.75" customHeight="1"/>
    <row r="1104" ht="21.75" customHeight="1"/>
    <row r="1105" ht="21.75" customHeight="1"/>
    <row r="1106" ht="21.75" customHeight="1"/>
    <row r="1107" ht="21.75" customHeight="1"/>
    <row r="1108" ht="21.75" customHeight="1"/>
    <row r="1109" ht="21.75" customHeight="1"/>
    <row r="1110" ht="21.75" customHeight="1"/>
    <row r="1111" ht="21.75" customHeight="1"/>
    <row r="1112" ht="21.75" customHeight="1"/>
    <row r="1113" ht="21.75" customHeight="1"/>
    <row r="1114" ht="21.75" customHeight="1"/>
    <row r="1115" ht="21.75" customHeight="1"/>
    <row r="1116" ht="21.75" customHeight="1"/>
    <row r="1117" ht="21.75" customHeight="1"/>
    <row r="1118" ht="21.75" customHeight="1"/>
    <row r="1119" ht="21.75" customHeight="1"/>
    <row r="1120" ht="21.75" customHeight="1"/>
    <row r="1121" ht="21.75" customHeight="1"/>
    <row r="1122" ht="21.75" customHeight="1"/>
    <row r="1123" ht="21.75" customHeight="1"/>
    <row r="1124" ht="21.75" customHeight="1"/>
    <row r="1125" ht="21.75" customHeight="1"/>
    <row r="1126" ht="21.75" customHeight="1"/>
    <row r="1127" ht="21.75" customHeight="1"/>
    <row r="1128" ht="21.75" customHeight="1"/>
    <row r="1129" ht="21.75" customHeight="1"/>
    <row r="1130" ht="21.75" customHeight="1"/>
    <row r="1131" ht="21.75" customHeight="1"/>
    <row r="1132" ht="21.75" customHeight="1"/>
    <row r="1133" ht="21.75" customHeight="1"/>
    <row r="1134" ht="21.75" customHeight="1"/>
    <row r="1135" ht="21.75" customHeight="1"/>
    <row r="1136" ht="21.75" customHeight="1"/>
    <row r="1137" ht="21.75" customHeight="1"/>
    <row r="1138" ht="21.75" customHeight="1"/>
    <row r="1139" ht="21.75" customHeight="1"/>
    <row r="1140" ht="21.75" customHeight="1"/>
    <row r="1141" ht="21.75" customHeight="1"/>
    <row r="1142" ht="21.75" customHeight="1"/>
    <row r="1143" ht="21.75" customHeight="1"/>
    <row r="1144" ht="21.75" customHeight="1"/>
    <row r="1145" ht="21.75" customHeight="1"/>
    <row r="1146" ht="21.75" customHeight="1"/>
    <row r="1147" ht="21.75" customHeight="1"/>
    <row r="1148" ht="21.75" customHeight="1"/>
    <row r="1149" ht="21.75" customHeight="1"/>
    <row r="1150" ht="21.75" customHeight="1"/>
    <row r="1151" ht="21.75" customHeight="1"/>
    <row r="1152" ht="21.75" customHeight="1"/>
    <row r="1153" ht="21.75" customHeight="1"/>
    <row r="1154" ht="21.75" customHeight="1"/>
    <row r="1155" ht="21.75" customHeight="1"/>
    <row r="1156" ht="21.75" customHeight="1"/>
    <row r="1157" ht="21.75" customHeight="1"/>
    <row r="1158" ht="21.75" customHeight="1"/>
    <row r="1159" ht="21.75" customHeight="1"/>
    <row r="1160" ht="21.75" customHeight="1"/>
    <row r="1161" ht="21.75" customHeight="1"/>
    <row r="1162" ht="21.75" customHeight="1"/>
    <row r="1163" ht="21.75" customHeight="1"/>
    <row r="1164" ht="21.75" customHeight="1"/>
    <row r="1165" ht="21.75" customHeight="1"/>
    <row r="1166" ht="21.75" customHeight="1"/>
    <row r="1167" ht="21.75" customHeight="1"/>
    <row r="1168" ht="21.75" customHeight="1"/>
    <row r="1169" ht="21.75" customHeight="1"/>
    <row r="1170" ht="21.75" customHeight="1"/>
    <row r="1171" ht="21.75" customHeight="1"/>
    <row r="1172" ht="21.75" customHeight="1"/>
    <row r="1173" ht="21.75" customHeight="1"/>
    <row r="1174" ht="21.75" customHeight="1"/>
    <row r="1175" ht="21.75" customHeight="1"/>
    <row r="1176" ht="21.75" customHeight="1"/>
    <row r="1177" ht="21.75" customHeight="1"/>
    <row r="1178" ht="21.75" customHeight="1"/>
    <row r="1179" ht="21.75" customHeight="1"/>
    <row r="1180" ht="21.75" customHeight="1"/>
    <row r="1181" ht="21.75" customHeight="1"/>
    <row r="1182" ht="21.75" customHeight="1"/>
    <row r="1183" ht="21.75" customHeight="1"/>
    <row r="1184" ht="21.75" customHeight="1"/>
    <row r="1185" ht="21.75" customHeight="1"/>
    <row r="1186" ht="21.75" customHeight="1"/>
    <row r="1187" ht="21.75" customHeight="1"/>
    <row r="1188" ht="21.75" customHeight="1"/>
    <row r="1189" ht="21.75" customHeight="1"/>
    <row r="1190" ht="21.75" customHeight="1"/>
    <row r="1191" ht="21.75" customHeight="1"/>
    <row r="1192" ht="21.75" customHeight="1"/>
    <row r="1193" ht="21.75" customHeight="1"/>
    <row r="1194" ht="21.75" customHeight="1"/>
    <row r="1195" ht="21.75" customHeight="1"/>
    <row r="1196" ht="21.75" customHeight="1"/>
    <row r="1197" ht="21.75" customHeight="1"/>
    <row r="1198" ht="21.75" customHeight="1"/>
    <row r="1199" ht="21.75" customHeight="1"/>
    <row r="1200" ht="21.75" customHeight="1"/>
    <row r="1201" ht="21.75" customHeight="1"/>
    <row r="1202" ht="21.75" customHeight="1"/>
    <row r="1203" ht="21.75" customHeight="1"/>
    <row r="1204" ht="21.75" customHeight="1"/>
    <row r="1205" ht="21.75" customHeight="1"/>
    <row r="1206" ht="21.75" customHeight="1"/>
    <row r="1207" ht="21.75" customHeight="1"/>
    <row r="1208" ht="21.75" customHeight="1"/>
    <row r="1209" ht="21.75" customHeight="1"/>
    <row r="1210" ht="21.75" customHeight="1"/>
    <row r="1211" ht="21.75" customHeight="1"/>
    <row r="1212" ht="21.75" customHeight="1"/>
    <row r="1213" ht="21.75" customHeight="1"/>
    <row r="1214" ht="21.75" customHeight="1"/>
    <row r="1215" ht="21.75" customHeight="1"/>
    <row r="1216" ht="21.75" customHeight="1"/>
    <row r="1217" ht="21.75" customHeight="1"/>
    <row r="1218" ht="21.75" customHeight="1"/>
    <row r="1219" ht="21.75" customHeight="1"/>
    <row r="1220" ht="21.75" customHeight="1"/>
    <row r="1221" ht="21.75" customHeight="1"/>
    <row r="1222" ht="21.75" customHeight="1"/>
    <row r="1223" ht="21.75" customHeight="1"/>
    <row r="1224" ht="21.75" customHeight="1"/>
    <row r="1225" ht="21.75" customHeight="1"/>
    <row r="1226" ht="21.75" customHeight="1"/>
    <row r="1227" ht="21.75" customHeight="1"/>
    <row r="1228" ht="21.75" customHeight="1"/>
    <row r="1229" ht="21.75" customHeight="1"/>
    <row r="1230" ht="21.75" customHeight="1"/>
    <row r="1231" ht="21.75" customHeight="1"/>
    <row r="1232" ht="21.75" customHeight="1"/>
    <row r="1233" ht="21.75" customHeight="1"/>
    <row r="1234" ht="21.75" customHeight="1"/>
    <row r="1235" ht="21.75" customHeight="1"/>
    <row r="1236" ht="21.75" customHeight="1"/>
    <row r="1237" ht="21.75" customHeight="1"/>
    <row r="1238" ht="21.75" customHeight="1"/>
    <row r="1239" ht="21.75" customHeight="1"/>
    <row r="1240" ht="21.75" customHeight="1"/>
    <row r="1241" ht="21.75" customHeight="1"/>
    <row r="1242" ht="21.75" customHeight="1"/>
    <row r="1243" ht="21.75" customHeight="1"/>
    <row r="1244" ht="21.75" customHeight="1"/>
    <row r="1245" ht="21.75" customHeight="1"/>
    <row r="1246" ht="21.75" customHeight="1"/>
    <row r="1247" ht="21.75" customHeight="1"/>
    <row r="1248" ht="21.75" customHeight="1"/>
    <row r="1249" ht="21.75" customHeight="1"/>
    <row r="1250" ht="21.75" customHeight="1"/>
    <row r="1251" ht="21.75" customHeight="1"/>
    <row r="1252" ht="21.75" customHeight="1"/>
    <row r="1253" ht="21.75" customHeight="1"/>
    <row r="1254" ht="21.75" customHeight="1"/>
    <row r="1255" ht="21.75" customHeight="1"/>
    <row r="1256" ht="21.75" customHeight="1"/>
    <row r="1257" ht="21.75" customHeight="1"/>
    <row r="1258" ht="21.75" customHeight="1"/>
    <row r="1259" ht="21.75" customHeight="1"/>
    <row r="1260" ht="21.75" customHeight="1"/>
    <row r="1261" ht="21.75" customHeight="1"/>
    <row r="1262" ht="21.75" customHeight="1"/>
    <row r="1263" ht="21.75" customHeight="1"/>
    <row r="1264" ht="21.75" customHeight="1"/>
    <row r="1265" ht="21.75" customHeight="1"/>
    <row r="1266" ht="21.75" customHeight="1"/>
    <row r="1267" ht="21.75" customHeight="1"/>
    <row r="1268" ht="21.75" customHeight="1"/>
    <row r="1269" ht="21.75" customHeight="1"/>
    <row r="1270" ht="21.75" customHeight="1"/>
    <row r="1271" ht="21.75" customHeight="1"/>
    <row r="1272" ht="21.75" customHeight="1"/>
    <row r="1273" ht="21.75" customHeight="1"/>
    <row r="1274" ht="21.75" customHeight="1"/>
    <row r="1275" ht="21.75" customHeight="1"/>
    <row r="1276" ht="21.75" customHeight="1"/>
    <row r="1277" ht="21.75" customHeight="1"/>
    <row r="1278" ht="21.75" customHeight="1"/>
    <row r="1279" ht="21.75" customHeight="1"/>
    <row r="1280" ht="21.75" customHeight="1"/>
    <row r="1281" ht="21.75" customHeight="1"/>
    <row r="1282" ht="21.75" customHeight="1"/>
    <row r="1283" ht="21.75" customHeight="1"/>
    <row r="1284" ht="21.75" customHeight="1"/>
    <row r="1285" ht="21.75" customHeight="1"/>
    <row r="1286" ht="21.75" customHeight="1"/>
    <row r="1287" ht="21.75" customHeight="1"/>
    <row r="1288" ht="21.75" customHeight="1"/>
    <row r="1289" ht="21.75" customHeight="1"/>
    <row r="1290" ht="21.75" customHeight="1"/>
    <row r="1291" ht="21.75" customHeight="1"/>
    <row r="1292" ht="21.75" customHeight="1"/>
    <row r="1293" ht="21.75" customHeight="1"/>
    <row r="1294" ht="21.75" customHeight="1"/>
    <row r="1295" ht="21.75" customHeight="1"/>
    <row r="1296" ht="21.75" customHeight="1"/>
    <row r="1297" ht="21.75" customHeight="1"/>
    <row r="1298" ht="21.75" customHeight="1"/>
    <row r="1299" ht="21.75" customHeight="1"/>
    <row r="1300" ht="21.75" customHeight="1"/>
    <row r="1301" ht="21.75" customHeight="1"/>
    <row r="1302" ht="21.75" customHeight="1"/>
    <row r="1303" ht="21.75" customHeight="1"/>
    <row r="1304" ht="21.75" customHeight="1"/>
    <row r="1305" ht="21.75" customHeight="1"/>
    <row r="1306" ht="21.75" customHeight="1"/>
    <row r="1307" ht="21.75" customHeight="1"/>
    <row r="1308" ht="21.75" customHeight="1"/>
    <row r="1309" ht="21.75" customHeight="1"/>
    <row r="1310" ht="21.75" customHeight="1"/>
    <row r="1311" ht="21.75" customHeight="1"/>
    <row r="1312" ht="21.75" customHeight="1"/>
    <row r="1313" ht="21.75" customHeight="1"/>
    <row r="1314" ht="21.75" customHeight="1"/>
    <row r="1315" ht="21.75" customHeight="1"/>
    <row r="1316" ht="21.75" customHeight="1"/>
    <row r="1317" ht="21.75" customHeight="1"/>
    <row r="1318" ht="21.75" customHeight="1"/>
    <row r="1319" ht="21.75" customHeight="1"/>
    <row r="1320" ht="21.75" customHeight="1"/>
    <row r="1321" ht="21.75" customHeight="1"/>
    <row r="1322" ht="21.75" customHeight="1"/>
    <row r="1323" ht="21.75" customHeight="1"/>
    <row r="1324" ht="21.75" customHeight="1"/>
    <row r="1325" ht="21.75" customHeight="1"/>
    <row r="1326" ht="21.75" customHeight="1"/>
    <row r="1327" ht="21.75" customHeight="1"/>
    <row r="1328" ht="21.75" customHeight="1"/>
    <row r="1329" ht="21.75" customHeight="1"/>
    <row r="1330" ht="21.75" customHeight="1"/>
    <row r="1331" ht="21.75" customHeight="1"/>
    <row r="1332" ht="21.75" customHeight="1"/>
    <row r="1333" ht="21.75" customHeight="1"/>
    <row r="1334" ht="21.75" customHeight="1"/>
    <row r="1335" ht="21.75" customHeight="1"/>
    <row r="1336" ht="21.75" customHeight="1"/>
    <row r="1337" ht="21.75" customHeight="1"/>
    <row r="1338" ht="21.75" customHeight="1"/>
    <row r="1339" ht="21.75" customHeight="1"/>
    <row r="1340" ht="21.75" customHeight="1"/>
    <row r="1341" ht="21.75" customHeight="1"/>
    <row r="1342" ht="21.75" customHeight="1"/>
    <row r="1343" ht="21.75" customHeight="1"/>
    <row r="1344" ht="21.75" customHeight="1"/>
    <row r="1345" ht="21.75" customHeight="1"/>
    <row r="1346" ht="21.75" customHeight="1"/>
    <row r="1347" ht="21.75" customHeight="1"/>
    <row r="1348" ht="21.75" customHeight="1"/>
    <row r="1349" ht="21.75" customHeight="1"/>
    <row r="1350" ht="21.75" customHeight="1"/>
    <row r="1351" ht="21.75" customHeight="1"/>
    <row r="1352" ht="21.75" customHeight="1"/>
    <row r="1353" ht="21.75" customHeight="1"/>
    <row r="1354" ht="21.75" customHeight="1"/>
    <row r="1355" ht="21.75" customHeight="1"/>
    <row r="1356" ht="21.75" customHeight="1"/>
    <row r="1357" ht="21.75" customHeight="1"/>
    <row r="1358" ht="21.75" customHeight="1"/>
    <row r="1359" ht="21.75" customHeight="1"/>
    <row r="1360" ht="21.75" customHeight="1"/>
    <row r="1361" ht="21.75" customHeight="1"/>
    <row r="1362" ht="21.75" customHeight="1"/>
    <row r="1363" ht="21.75" customHeight="1"/>
    <row r="1364" ht="21.75" customHeight="1"/>
    <row r="1365" ht="21.75" customHeight="1"/>
    <row r="1366" ht="21.75" customHeight="1"/>
    <row r="1367" ht="21.75" customHeight="1"/>
    <row r="1368" ht="21.75" customHeight="1"/>
    <row r="1369" ht="21.75" customHeight="1"/>
    <row r="1370" ht="21.75" customHeight="1"/>
    <row r="1371" ht="21.75" customHeight="1"/>
    <row r="1372" ht="21.75" customHeight="1"/>
    <row r="1373" ht="21.75" customHeight="1"/>
    <row r="1374" ht="21.75" customHeight="1"/>
    <row r="1375" ht="21.75" customHeight="1"/>
    <row r="1376" ht="21.75" customHeight="1"/>
    <row r="1377" ht="21.75" customHeight="1"/>
    <row r="1378" ht="21.75" customHeight="1"/>
    <row r="1379" ht="21.75" customHeight="1"/>
    <row r="1380" ht="21.75" customHeight="1"/>
    <row r="1381" ht="21.75" customHeight="1"/>
    <row r="1382" ht="21.75" customHeight="1"/>
    <row r="1383" ht="21.75" customHeight="1"/>
    <row r="1384" ht="21.75" customHeight="1"/>
    <row r="1385" ht="21.75" customHeight="1"/>
    <row r="1386" ht="21.75" customHeight="1"/>
    <row r="1387" ht="21.75" customHeight="1"/>
    <row r="1388" ht="21.75" customHeight="1"/>
    <row r="1389" ht="21.75" customHeight="1"/>
    <row r="1390" ht="21.75" customHeight="1"/>
    <row r="1391" ht="21.75" customHeight="1"/>
    <row r="1392" ht="21.75" customHeight="1"/>
    <row r="1393" ht="21.75" customHeight="1"/>
    <row r="1394" ht="21.75" customHeight="1"/>
    <row r="1395" ht="21.75" customHeight="1"/>
    <row r="1396" ht="21.75" customHeight="1"/>
    <row r="1397" ht="21.75" customHeight="1"/>
    <row r="1398" ht="21.75" customHeight="1"/>
    <row r="1399" ht="21.75" customHeight="1"/>
    <row r="1400" ht="21.75" customHeight="1"/>
    <row r="1401" ht="21.75" customHeight="1"/>
    <row r="1402" ht="21.75" customHeight="1"/>
    <row r="1403" ht="21.75" customHeight="1"/>
    <row r="1404" ht="21.75" customHeight="1"/>
    <row r="1405" ht="21.75" customHeight="1"/>
    <row r="1406" ht="21.75" customHeight="1"/>
    <row r="1407" ht="21.75" customHeight="1"/>
    <row r="1408" ht="21.75" customHeight="1"/>
    <row r="1409" ht="21.75" customHeight="1"/>
    <row r="1410" ht="21.75" customHeight="1"/>
    <row r="1411" ht="21.75" customHeight="1"/>
    <row r="1412" ht="21.75" customHeight="1"/>
    <row r="1413" ht="21.75" customHeight="1"/>
    <row r="1414" ht="21.75" customHeight="1"/>
    <row r="1415" ht="21.75" customHeight="1"/>
    <row r="1416" ht="21.75" customHeight="1"/>
    <row r="1417" ht="21.75" customHeight="1"/>
    <row r="1418" ht="21.75" customHeight="1"/>
    <row r="1419" ht="21.75" customHeight="1"/>
    <row r="1420" ht="21.75" customHeight="1"/>
    <row r="1421" ht="21.75" customHeight="1"/>
    <row r="1422" ht="21.75" customHeight="1"/>
    <row r="1423" ht="21.75" customHeight="1"/>
    <row r="1424" ht="21.75" customHeight="1"/>
    <row r="1425" ht="21.75" customHeight="1"/>
    <row r="1426" ht="21.75" customHeight="1"/>
    <row r="1427" ht="21.75" customHeight="1"/>
    <row r="1428" ht="21.75" customHeight="1"/>
    <row r="1429" ht="21.75" customHeight="1"/>
    <row r="1430" ht="21.75" customHeight="1"/>
    <row r="1431" ht="21.75" customHeight="1"/>
    <row r="1432" ht="21.75" customHeight="1"/>
    <row r="1433" ht="21.75" customHeight="1"/>
    <row r="1434" ht="21.75" customHeight="1"/>
    <row r="1435" ht="21.75" customHeight="1"/>
    <row r="1436" ht="21.75" customHeight="1"/>
    <row r="1437" ht="21.75" customHeight="1"/>
    <row r="1438" ht="21.75" customHeight="1"/>
    <row r="1439" ht="21.75" customHeight="1"/>
    <row r="1440" ht="21.75" customHeight="1"/>
    <row r="1441" ht="21.75" customHeight="1"/>
    <row r="1442" ht="21.75" customHeight="1"/>
    <row r="1443" ht="21.75" customHeight="1"/>
    <row r="1444" ht="21.75" customHeight="1"/>
    <row r="1445" ht="21.75" customHeight="1"/>
    <row r="1446" ht="21.75" customHeight="1"/>
    <row r="1447" ht="21.75" customHeight="1"/>
    <row r="1448" ht="21.75" customHeight="1"/>
    <row r="1449" ht="21.75" customHeight="1"/>
    <row r="1450" ht="21.75" customHeight="1"/>
    <row r="1451" ht="21.75" customHeight="1"/>
    <row r="1452" ht="21.75" customHeight="1"/>
    <row r="1453" ht="21.75" customHeight="1"/>
    <row r="1454" ht="21.75" customHeight="1"/>
    <row r="1455" ht="21.75" customHeight="1"/>
    <row r="1456" ht="21.75" customHeight="1"/>
    <row r="1457" ht="21.75" customHeight="1"/>
    <row r="1458" ht="21.75" customHeight="1"/>
    <row r="1459" ht="21.75" customHeight="1"/>
    <row r="1460" ht="21.75" customHeight="1"/>
    <row r="1461" ht="21.75" customHeight="1"/>
    <row r="1462" ht="21.75" customHeight="1"/>
    <row r="1463" ht="21.75" customHeight="1"/>
    <row r="1464" ht="21.75" customHeight="1"/>
    <row r="1465" ht="21.75" customHeight="1"/>
    <row r="1466" ht="21.75" customHeight="1"/>
    <row r="1467" ht="21.75" customHeight="1"/>
    <row r="1468" ht="21.75" customHeight="1"/>
    <row r="1469" ht="21.75" customHeight="1"/>
    <row r="1470" ht="21.75" customHeight="1"/>
    <row r="1471" ht="21.75" customHeight="1"/>
    <row r="1472" ht="21.75" customHeight="1"/>
    <row r="1473" ht="21.75" customHeight="1"/>
    <row r="1474" ht="21.75" customHeight="1"/>
    <row r="1475" ht="21.75" customHeight="1"/>
    <row r="1476" ht="21.75" customHeight="1"/>
    <row r="1477" ht="21.75" customHeight="1"/>
    <row r="1478" ht="21.75" customHeight="1"/>
    <row r="1479" ht="21.75" customHeight="1"/>
    <row r="1480" ht="21.75" customHeight="1"/>
    <row r="1481" ht="21.75" customHeight="1"/>
    <row r="1482" ht="21.75" customHeight="1"/>
    <row r="1483" ht="21.75" customHeight="1"/>
    <row r="1484" ht="21.75" customHeight="1"/>
    <row r="1485" ht="21.75" customHeight="1"/>
    <row r="1486" ht="21.75" customHeight="1"/>
    <row r="1487" ht="21.75" customHeight="1"/>
    <row r="1488" ht="21.75" customHeight="1"/>
    <row r="1489" ht="21.75" customHeight="1"/>
    <row r="1490" ht="21.75" customHeight="1"/>
    <row r="1491" ht="21.75" customHeight="1"/>
    <row r="1492" ht="21.75" customHeight="1"/>
    <row r="1493" ht="21.75" customHeight="1"/>
    <row r="1494" ht="21.75" customHeight="1"/>
    <row r="1495" ht="21.75" customHeight="1"/>
    <row r="1496" ht="21.75" customHeight="1"/>
    <row r="1497" ht="21.75" customHeight="1"/>
    <row r="1498" ht="21.75" customHeight="1"/>
    <row r="1499" ht="21.75" customHeight="1"/>
    <row r="1500" ht="21.75" customHeight="1"/>
    <row r="1501" ht="21.75" customHeight="1"/>
    <row r="1502" ht="21.75" customHeight="1"/>
    <row r="1503" ht="21.75" customHeight="1"/>
    <row r="1504" ht="21.75" customHeight="1"/>
    <row r="1505" ht="21.75" customHeight="1"/>
    <row r="1506" ht="21.75" customHeight="1"/>
    <row r="1507" ht="21.75" customHeight="1"/>
    <row r="1508" ht="21.75" customHeight="1"/>
    <row r="1509" ht="21.75" customHeight="1"/>
    <row r="1510" ht="21.75" customHeight="1"/>
    <row r="1511" ht="21.75" customHeight="1"/>
    <row r="1512" ht="21.75" customHeight="1"/>
    <row r="1513" ht="21.75" customHeight="1"/>
    <row r="1514" ht="21.75" customHeight="1"/>
    <row r="1515" ht="21.75" customHeight="1"/>
    <row r="1516" ht="21.75" customHeight="1"/>
    <row r="1517" ht="21.75" customHeight="1"/>
    <row r="1518" ht="21.75" customHeight="1"/>
    <row r="1519" ht="21.75" customHeight="1"/>
    <row r="1520" ht="21.75" customHeight="1"/>
    <row r="1521" ht="21.75" customHeight="1"/>
    <row r="1522" ht="21.75" customHeight="1"/>
    <row r="1523" ht="21.75" customHeight="1"/>
    <row r="1524" ht="21.75" customHeight="1"/>
    <row r="1525" ht="21.75" customHeight="1"/>
    <row r="1526" ht="21.75" customHeight="1"/>
    <row r="1527" ht="21.75" customHeight="1"/>
    <row r="1528" ht="21.75" customHeight="1"/>
    <row r="1529" ht="21.75" customHeight="1"/>
    <row r="1530" ht="21.75" customHeight="1"/>
    <row r="1531" ht="21.75" customHeight="1"/>
    <row r="1532" ht="21.75" customHeight="1"/>
    <row r="1533" ht="21.75" customHeight="1"/>
    <row r="1534" ht="21.75" customHeight="1"/>
    <row r="1535" ht="21.75" customHeight="1"/>
    <row r="1536" ht="21.75" customHeight="1"/>
    <row r="1537" ht="21.75" customHeight="1"/>
    <row r="1538" ht="21.75" customHeight="1"/>
    <row r="1539" ht="21.75" customHeight="1"/>
    <row r="1540" ht="21.75" customHeight="1"/>
    <row r="1541" ht="21.75" customHeight="1"/>
    <row r="1542" ht="21.75" customHeight="1"/>
    <row r="1543" ht="21.75" customHeight="1"/>
    <row r="1544" ht="21.75" customHeight="1"/>
    <row r="1545" ht="21.75" customHeight="1"/>
    <row r="1546" ht="21.75" customHeight="1"/>
    <row r="1547" ht="21.75" customHeight="1"/>
    <row r="1548" ht="21.75" customHeight="1"/>
    <row r="1549" ht="21.75" customHeight="1"/>
    <row r="1550" ht="21.75" customHeight="1"/>
    <row r="1551" ht="21.75" customHeight="1"/>
    <row r="1552" ht="21.75" customHeight="1"/>
    <row r="1553" ht="21.75" customHeight="1"/>
    <row r="1554" ht="21.75" customHeight="1"/>
    <row r="1555" ht="21.75" customHeight="1"/>
    <row r="1556" ht="21.75" customHeight="1"/>
    <row r="1557" ht="21.75" customHeight="1"/>
    <row r="1558" ht="21.75" customHeight="1"/>
    <row r="1559" ht="21.75" customHeight="1"/>
    <row r="1560" ht="21.75" customHeight="1"/>
    <row r="1561" ht="21.75" customHeight="1"/>
    <row r="1562" ht="21.75" customHeight="1"/>
    <row r="1563" ht="21.75" customHeight="1"/>
    <row r="1564" ht="21.75" customHeight="1"/>
    <row r="1565" ht="21.75" customHeight="1"/>
    <row r="1566" ht="21.75" customHeight="1"/>
    <row r="1567" ht="21.75" customHeight="1"/>
    <row r="1568" ht="21.75" customHeight="1"/>
    <row r="1569" ht="21.75" customHeight="1"/>
    <row r="1570" ht="21.75" customHeight="1"/>
    <row r="1571" ht="21.75" customHeight="1"/>
    <row r="1572" ht="21.75" customHeight="1"/>
    <row r="1573" ht="21.75" customHeight="1"/>
    <row r="1574" ht="21.75" customHeight="1"/>
    <row r="1575" ht="21.75" customHeight="1"/>
    <row r="1576" ht="21.75" customHeight="1"/>
    <row r="1577" ht="21.75" customHeight="1"/>
    <row r="1578" ht="21.75" customHeight="1"/>
  </sheetData>
  <mergeCells count="60">
    <mergeCell ref="CG61:CK61"/>
    <mergeCell ref="CV61:CZ61"/>
    <mergeCell ref="BR60:BV60"/>
    <mergeCell ref="BZ60:CD60"/>
    <mergeCell ref="CG60:CK60"/>
    <mergeCell ref="CO60:CS60"/>
    <mergeCell ref="CV60:CZ60"/>
    <mergeCell ref="J61:N61"/>
    <mergeCell ref="Y61:AC61"/>
    <mergeCell ref="AN61:AR61"/>
    <mergeCell ref="BC61:BG61"/>
    <mergeCell ref="BR61:BV61"/>
    <mergeCell ref="CV40:CZ40"/>
    <mergeCell ref="C60:G60"/>
    <mergeCell ref="J60:N60"/>
    <mergeCell ref="R60:V60"/>
    <mergeCell ref="Y60:AC60"/>
    <mergeCell ref="AG60:AK60"/>
    <mergeCell ref="AN60:AR60"/>
    <mergeCell ref="AV60:AZ60"/>
    <mergeCell ref="BC60:BG60"/>
    <mergeCell ref="BK60:BO60"/>
    <mergeCell ref="BC40:BG40"/>
    <mergeCell ref="BK40:BO40"/>
    <mergeCell ref="BR40:BV40"/>
    <mergeCell ref="BZ40:CD40"/>
    <mergeCell ref="CG40:CK40"/>
    <mergeCell ref="CO40:CS40"/>
    <mergeCell ref="CG20:CK20"/>
    <mergeCell ref="CO20:CS20"/>
    <mergeCell ref="CV20:CZ20"/>
    <mergeCell ref="C40:G40"/>
    <mergeCell ref="J40:N40"/>
    <mergeCell ref="R40:V40"/>
    <mergeCell ref="Y40:AC40"/>
    <mergeCell ref="AG40:AK40"/>
    <mergeCell ref="AN40:AR40"/>
    <mergeCell ref="AV40:AZ40"/>
    <mergeCell ref="AN20:AR20"/>
    <mergeCell ref="AV20:AZ20"/>
    <mergeCell ref="BC20:BG20"/>
    <mergeCell ref="BK20:BO20"/>
    <mergeCell ref="BR20:BV20"/>
    <mergeCell ref="BZ20:CD20"/>
    <mergeCell ref="CV1:CZ1"/>
    <mergeCell ref="A2:B2"/>
    <mergeCell ref="AE2:AF2"/>
    <mergeCell ref="BI2:BJ2"/>
    <mergeCell ref="CM2:CN2"/>
    <mergeCell ref="J1:N1"/>
    <mergeCell ref="Y1:AC1"/>
    <mergeCell ref="AN1:AR1"/>
    <mergeCell ref="BC1:BG1"/>
    <mergeCell ref="BR1:BV1"/>
    <mergeCell ref="CG1:CK1"/>
    <mergeCell ref="C20:G20"/>
    <mergeCell ref="J20:N20"/>
    <mergeCell ref="R20:V20"/>
    <mergeCell ref="Y20:AC20"/>
    <mergeCell ref="AG20:AK20"/>
  </mergeCells>
  <printOptions horizontalCentered="1"/>
  <pageMargins left="0" right="0" top="0" bottom="0" header="0" footer="0"/>
  <pageSetup paperSize="9" orientation="portrait" r:id="rId1"/>
  <headerFooter alignWithMargins="0"/>
  <colBreaks count="6" manualBreakCount="6">
    <brk id="15" max="1048575" man="1"/>
    <brk id="30" max="1048575" man="1"/>
    <brk id="45" max="1048575" man="1"/>
    <brk id="60" max="1048575" man="1"/>
    <brk id="75" max="1048575" man="1"/>
    <brk id="90"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B0A3-9F01-492F-9C17-9B4CDC7CADAB}">
  <dimension ref="A1:AR1577"/>
  <sheetViews>
    <sheetView workbookViewId="0"/>
  </sheetViews>
  <sheetFormatPr baseColWidth="10" defaultColWidth="9.140625" defaultRowHeight="12.75"/>
  <cols>
    <col min="1" max="1" width="2.7109375" style="679" customWidth="1"/>
    <col min="2" max="2" width="5" style="686" customWidth="1"/>
    <col min="3" max="3" width="5.42578125" style="679" customWidth="1"/>
    <col min="4" max="6" width="9.140625" style="679" customWidth="1"/>
    <col min="7" max="7" width="5.7109375" style="679" customWidth="1"/>
    <col min="8" max="9" width="4.5703125" style="679" customWidth="1"/>
    <col min="10" max="12" width="9.140625" style="679" customWidth="1"/>
    <col min="13" max="13" width="5.7109375" style="679" customWidth="1"/>
    <col min="14" max="14" width="6.140625" style="679" customWidth="1"/>
    <col min="15" max="15" width="3.5703125" style="679" customWidth="1"/>
    <col min="16" max="16" width="2.7109375" style="679" customWidth="1"/>
    <col min="17" max="17" width="5" style="686" customWidth="1"/>
    <col min="18" max="18" width="5.42578125" style="679" customWidth="1"/>
    <col min="19" max="21" width="9.140625" style="679"/>
    <col min="22" max="22" width="5.7109375" style="679" customWidth="1"/>
    <col min="23" max="24" width="4.5703125" style="679" customWidth="1"/>
    <col min="25" max="27" width="9.140625" style="679"/>
    <col min="28" max="28" width="5.7109375" style="679" customWidth="1"/>
    <col min="29" max="29" width="6.140625" style="679" customWidth="1"/>
    <col min="30" max="30" width="3.5703125" style="679" customWidth="1"/>
    <col min="31" max="31" width="2.7109375" style="679" customWidth="1"/>
    <col min="32" max="32" width="5" style="686" customWidth="1"/>
    <col min="33" max="33" width="5.42578125" style="679" customWidth="1"/>
    <col min="34" max="36" width="9.140625" style="679" customWidth="1"/>
    <col min="37" max="37" width="5.7109375" style="679" customWidth="1"/>
    <col min="38" max="39" width="4.5703125" style="679" customWidth="1"/>
    <col min="40" max="42" width="9.140625" style="679" customWidth="1"/>
    <col min="43" max="43" width="5.7109375" style="679" customWidth="1"/>
    <col min="44" max="44" width="6.140625" style="679" customWidth="1"/>
    <col min="45" max="271" width="9.140625" style="679"/>
    <col min="272" max="272" width="0.85546875" style="679" customWidth="1"/>
    <col min="273" max="273" width="5" style="679" customWidth="1"/>
    <col min="274" max="274" width="5.42578125" style="679" customWidth="1"/>
    <col min="275" max="277" width="9.140625" style="679"/>
    <col min="278" max="278" width="5.7109375" style="679" customWidth="1"/>
    <col min="279" max="280" width="4.5703125" style="679" customWidth="1"/>
    <col min="281" max="283" width="9.140625" style="679"/>
    <col min="284" max="284" width="5.7109375" style="679" customWidth="1"/>
    <col min="285" max="285" width="6.140625" style="679" customWidth="1"/>
    <col min="286" max="527" width="9.140625" style="679"/>
    <col min="528" max="528" width="0.85546875" style="679" customWidth="1"/>
    <col min="529" max="529" width="5" style="679" customWidth="1"/>
    <col min="530" max="530" width="5.42578125" style="679" customWidth="1"/>
    <col min="531" max="533" width="9.140625" style="679"/>
    <col min="534" max="534" width="5.7109375" style="679" customWidth="1"/>
    <col min="535" max="536" width="4.5703125" style="679" customWidth="1"/>
    <col min="537" max="539" width="9.140625" style="679"/>
    <col min="540" max="540" width="5.7109375" style="679" customWidth="1"/>
    <col min="541" max="541" width="6.140625" style="679" customWidth="1"/>
    <col min="542" max="783" width="9.140625" style="679"/>
    <col min="784" max="784" width="0.85546875" style="679" customWidth="1"/>
    <col min="785" max="785" width="5" style="679" customWidth="1"/>
    <col min="786" max="786" width="5.42578125" style="679" customWidth="1"/>
    <col min="787" max="789" width="9.140625" style="679"/>
    <col min="790" max="790" width="5.7109375" style="679" customWidth="1"/>
    <col min="791" max="792" width="4.5703125" style="679" customWidth="1"/>
    <col min="793" max="795" width="9.140625" style="679"/>
    <col min="796" max="796" width="5.7109375" style="679" customWidth="1"/>
    <col min="797" max="797" width="6.140625" style="679" customWidth="1"/>
    <col min="798" max="1039" width="9.140625" style="679"/>
    <col min="1040" max="1040" width="0.85546875" style="679" customWidth="1"/>
    <col min="1041" max="1041" width="5" style="679" customWidth="1"/>
    <col min="1042" max="1042" width="5.42578125" style="679" customWidth="1"/>
    <col min="1043" max="1045" width="9.140625" style="679"/>
    <col min="1046" max="1046" width="5.7109375" style="679" customWidth="1"/>
    <col min="1047" max="1048" width="4.5703125" style="679" customWidth="1"/>
    <col min="1049" max="1051" width="9.140625" style="679"/>
    <col min="1052" max="1052" width="5.7109375" style="679" customWidth="1"/>
    <col min="1053" max="1053" width="6.140625" style="679" customWidth="1"/>
    <col min="1054" max="1295" width="9.140625" style="679"/>
    <col min="1296" max="1296" width="0.85546875" style="679" customWidth="1"/>
    <col min="1297" max="1297" width="5" style="679" customWidth="1"/>
    <col min="1298" max="1298" width="5.42578125" style="679" customWidth="1"/>
    <col min="1299" max="1301" width="9.140625" style="679"/>
    <col min="1302" max="1302" width="5.7109375" style="679" customWidth="1"/>
    <col min="1303" max="1304" width="4.5703125" style="679" customWidth="1"/>
    <col min="1305" max="1307" width="9.140625" style="679"/>
    <col min="1308" max="1308" width="5.7109375" style="679" customWidth="1"/>
    <col min="1309" max="1309" width="6.140625" style="679" customWidth="1"/>
    <col min="1310" max="1551" width="9.140625" style="679"/>
    <col min="1552" max="1552" width="0.85546875" style="679" customWidth="1"/>
    <col min="1553" max="1553" width="5" style="679" customWidth="1"/>
    <col min="1554" max="1554" width="5.42578125" style="679" customWidth="1"/>
    <col min="1555" max="1557" width="9.140625" style="679"/>
    <col min="1558" max="1558" width="5.7109375" style="679" customWidth="1"/>
    <col min="1559" max="1560" width="4.5703125" style="679" customWidth="1"/>
    <col min="1561" max="1563" width="9.140625" style="679"/>
    <col min="1564" max="1564" width="5.7109375" style="679" customWidth="1"/>
    <col min="1565" max="1565" width="6.140625" style="679" customWidth="1"/>
    <col min="1566" max="1807" width="9.140625" style="679"/>
    <col min="1808" max="1808" width="0.85546875" style="679" customWidth="1"/>
    <col min="1809" max="1809" width="5" style="679" customWidth="1"/>
    <col min="1810" max="1810" width="5.42578125" style="679" customWidth="1"/>
    <col min="1811" max="1813" width="9.140625" style="679"/>
    <col min="1814" max="1814" width="5.7109375" style="679" customWidth="1"/>
    <col min="1815" max="1816" width="4.5703125" style="679" customWidth="1"/>
    <col min="1817" max="1819" width="9.140625" style="679"/>
    <col min="1820" max="1820" width="5.7109375" style="679" customWidth="1"/>
    <col min="1821" max="1821" width="6.140625" style="679" customWidth="1"/>
    <col min="1822" max="2063" width="9.140625" style="679"/>
    <col min="2064" max="2064" width="0.85546875" style="679" customWidth="1"/>
    <col min="2065" max="2065" width="5" style="679" customWidth="1"/>
    <col min="2066" max="2066" width="5.42578125" style="679" customWidth="1"/>
    <col min="2067" max="2069" width="9.140625" style="679"/>
    <col min="2070" max="2070" width="5.7109375" style="679" customWidth="1"/>
    <col min="2071" max="2072" width="4.5703125" style="679" customWidth="1"/>
    <col min="2073" max="2075" width="9.140625" style="679"/>
    <col min="2076" max="2076" width="5.7109375" style="679" customWidth="1"/>
    <col min="2077" max="2077" width="6.140625" style="679" customWidth="1"/>
    <col min="2078" max="2319" width="9.140625" style="679"/>
    <col min="2320" max="2320" width="0.85546875" style="679" customWidth="1"/>
    <col min="2321" max="2321" width="5" style="679" customWidth="1"/>
    <col min="2322" max="2322" width="5.42578125" style="679" customWidth="1"/>
    <col min="2323" max="2325" width="9.140625" style="679"/>
    <col min="2326" max="2326" width="5.7109375" style="679" customWidth="1"/>
    <col min="2327" max="2328" width="4.5703125" style="679" customWidth="1"/>
    <col min="2329" max="2331" width="9.140625" style="679"/>
    <col min="2332" max="2332" width="5.7109375" style="679" customWidth="1"/>
    <col min="2333" max="2333" width="6.140625" style="679" customWidth="1"/>
    <col min="2334" max="2575" width="9.140625" style="679"/>
    <col min="2576" max="2576" width="0.85546875" style="679" customWidth="1"/>
    <col min="2577" max="2577" width="5" style="679" customWidth="1"/>
    <col min="2578" max="2578" width="5.42578125" style="679" customWidth="1"/>
    <col min="2579" max="2581" width="9.140625" style="679"/>
    <col min="2582" max="2582" width="5.7109375" style="679" customWidth="1"/>
    <col min="2583" max="2584" width="4.5703125" style="679" customWidth="1"/>
    <col min="2585" max="2587" width="9.140625" style="679"/>
    <col min="2588" max="2588" width="5.7109375" style="679" customWidth="1"/>
    <col min="2589" max="2589" width="6.140625" style="679" customWidth="1"/>
    <col min="2590" max="2831" width="9.140625" style="679"/>
    <col min="2832" max="2832" width="0.85546875" style="679" customWidth="1"/>
    <col min="2833" max="2833" width="5" style="679" customWidth="1"/>
    <col min="2834" max="2834" width="5.42578125" style="679" customWidth="1"/>
    <col min="2835" max="2837" width="9.140625" style="679"/>
    <col min="2838" max="2838" width="5.7109375" style="679" customWidth="1"/>
    <col min="2839" max="2840" width="4.5703125" style="679" customWidth="1"/>
    <col min="2841" max="2843" width="9.140625" style="679"/>
    <col min="2844" max="2844" width="5.7109375" style="679" customWidth="1"/>
    <col min="2845" max="2845" width="6.140625" style="679" customWidth="1"/>
    <col min="2846" max="3087" width="9.140625" style="679"/>
    <col min="3088" max="3088" width="0.85546875" style="679" customWidth="1"/>
    <col min="3089" max="3089" width="5" style="679" customWidth="1"/>
    <col min="3090" max="3090" width="5.42578125" style="679" customWidth="1"/>
    <col min="3091" max="3093" width="9.140625" style="679"/>
    <col min="3094" max="3094" width="5.7109375" style="679" customWidth="1"/>
    <col min="3095" max="3096" width="4.5703125" style="679" customWidth="1"/>
    <col min="3097" max="3099" width="9.140625" style="679"/>
    <col min="3100" max="3100" width="5.7109375" style="679" customWidth="1"/>
    <col min="3101" max="3101" width="6.140625" style="679" customWidth="1"/>
    <col min="3102" max="3343" width="9.140625" style="679"/>
    <col min="3344" max="3344" width="0.85546875" style="679" customWidth="1"/>
    <col min="3345" max="3345" width="5" style="679" customWidth="1"/>
    <col min="3346" max="3346" width="5.42578125" style="679" customWidth="1"/>
    <col min="3347" max="3349" width="9.140625" style="679"/>
    <col min="3350" max="3350" width="5.7109375" style="679" customWidth="1"/>
    <col min="3351" max="3352" width="4.5703125" style="679" customWidth="1"/>
    <col min="3353" max="3355" width="9.140625" style="679"/>
    <col min="3356" max="3356" width="5.7109375" style="679" customWidth="1"/>
    <col min="3357" max="3357" width="6.140625" style="679" customWidth="1"/>
    <col min="3358" max="3599" width="9.140625" style="679"/>
    <col min="3600" max="3600" width="0.85546875" style="679" customWidth="1"/>
    <col min="3601" max="3601" width="5" style="679" customWidth="1"/>
    <col min="3602" max="3602" width="5.42578125" style="679" customWidth="1"/>
    <col min="3603" max="3605" width="9.140625" style="679"/>
    <col min="3606" max="3606" width="5.7109375" style="679" customWidth="1"/>
    <col min="3607" max="3608" width="4.5703125" style="679" customWidth="1"/>
    <col min="3609" max="3611" width="9.140625" style="679"/>
    <col min="3612" max="3612" width="5.7109375" style="679" customWidth="1"/>
    <col min="3613" max="3613" width="6.140625" style="679" customWidth="1"/>
    <col min="3614" max="3855" width="9.140625" style="679"/>
    <col min="3856" max="3856" width="0.85546875" style="679" customWidth="1"/>
    <col min="3857" max="3857" width="5" style="679" customWidth="1"/>
    <col min="3858" max="3858" width="5.42578125" style="679" customWidth="1"/>
    <col min="3859" max="3861" width="9.140625" style="679"/>
    <col min="3862" max="3862" width="5.7109375" style="679" customWidth="1"/>
    <col min="3863" max="3864" width="4.5703125" style="679" customWidth="1"/>
    <col min="3865" max="3867" width="9.140625" style="679"/>
    <col min="3868" max="3868" width="5.7109375" style="679" customWidth="1"/>
    <col min="3869" max="3869" width="6.140625" style="679" customWidth="1"/>
    <col min="3870" max="4111" width="9.140625" style="679"/>
    <col min="4112" max="4112" width="0.85546875" style="679" customWidth="1"/>
    <col min="4113" max="4113" width="5" style="679" customWidth="1"/>
    <col min="4114" max="4114" width="5.42578125" style="679" customWidth="1"/>
    <col min="4115" max="4117" width="9.140625" style="679"/>
    <col min="4118" max="4118" width="5.7109375" style="679" customWidth="1"/>
    <col min="4119" max="4120" width="4.5703125" style="679" customWidth="1"/>
    <col min="4121" max="4123" width="9.140625" style="679"/>
    <col min="4124" max="4124" width="5.7109375" style="679" customWidth="1"/>
    <col min="4125" max="4125" width="6.140625" style="679" customWidth="1"/>
    <col min="4126" max="4367" width="9.140625" style="679"/>
    <col min="4368" max="4368" width="0.85546875" style="679" customWidth="1"/>
    <col min="4369" max="4369" width="5" style="679" customWidth="1"/>
    <col min="4370" max="4370" width="5.42578125" style="679" customWidth="1"/>
    <col min="4371" max="4373" width="9.140625" style="679"/>
    <col min="4374" max="4374" width="5.7109375" style="679" customWidth="1"/>
    <col min="4375" max="4376" width="4.5703125" style="679" customWidth="1"/>
    <col min="4377" max="4379" width="9.140625" style="679"/>
    <col min="4380" max="4380" width="5.7109375" style="679" customWidth="1"/>
    <col min="4381" max="4381" width="6.140625" style="679" customWidth="1"/>
    <col min="4382" max="4623" width="9.140625" style="679"/>
    <col min="4624" max="4624" width="0.85546875" style="679" customWidth="1"/>
    <col min="4625" max="4625" width="5" style="679" customWidth="1"/>
    <col min="4626" max="4626" width="5.42578125" style="679" customWidth="1"/>
    <col min="4627" max="4629" width="9.140625" style="679"/>
    <col min="4630" max="4630" width="5.7109375" style="679" customWidth="1"/>
    <col min="4631" max="4632" width="4.5703125" style="679" customWidth="1"/>
    <col min="4633" max="4635" width="9.140625" style="679"/>
    <col min="4636" max="4636" width="5.7109375" style="679" customWidth="1"/>
    <col min="4637" max="4637" width="6.140625" style="679" customWidth="1"/>
    <col min="4638" max="4879" width="9.140625" style="679"/>
    <col min="4880" max="4880" width="0.85546875" style="679" customWidth="1"/>
    <col min="4881" max="4881" width="5" style="679" customWidth="1"/>
    <col min="4882" max="4882" width="5.42578125" style="679" customWidth="1"/>
    <col min="4883" max="4885" width="9.140625" style="679"/>
    <col min="4886" max="4886" width="5.7109375" style="679" customWidth="1"/>
    <col min="4887" max="4888" width="4.5703125" style="679" customWidth="1"/>
    <col min="4889" max="4891" width="9.140625" style="679"/>
    <col min="4892" max="4892" width="5.7109375" style="679" customWidth="1"/>
    <col min="4893" max="4893" width="6.140625" style="679" customWidth="1"/>
    <col min="4894" max="5135" width="9.140625" style="679"/>
    <col min="5136" max="5136" width="0.85546875" style="679" customWidth="1"/>
    <col min="5137" max="5137" width="5" style="679" customWidth="1"/>
    <col min="5138" max="5138" width="5.42578125" style="679" customWidth="1"/>
    <col min="5139" max="5141" width="9.140625" style="679"/>
    <col min="5142" max="5142" width="5.7109375" style="679" customWidth="1"/>
    <col min="5143" max="5144" width="4.5703125" style="679" customWidth="1"/>
    <col min="5145" max="5147" width="9.140625" style="679"/>
    <col min="5148" max="5148" width="5.7109375" style="679" customWidth="1"/>
    <col min="5149" max="5149" width="6.140625" style="679" customWidth="1"/>
    <col min="5150" max="5391" width="9.140625" style="679"/>
    <col min="5392" max="5392" width="0.85546875" style="679" customWidth="1"/>
    <col min="5393" max="5393" width="5" style="679" customWidth="1"/>
    <col min="5394" max="5394" width="5.42578125" style="679" customWidth="1"/>
    <col min="5395" max="5397" width="9.140625" style="679"/>
    <col min="5398" max="5398" width="5.7109375" style="679" customWidth="1"/>
    <col min="5399" max="5400" width="4.5703125" style="679" customWidth="1"/>
    <col min="5401" max="5403" width="9.140625" style="679"/>
    <col min="5404" max="5404" width="5.7109375" style="679" customWidth="1"/>
    <col min="5405" max="5405" width="6.140625" style="679" customWidth="1"/>
    <col min="5406" max="5647" width="9.140625" style="679"/>
    <col min="5648" max="5648" width="0.85546875" style="679" customWidth="1"/>
    <col min="5649" max="5649" width="5" style="679" customWidth="1"/>
    <col min="5650" max="5650" width="5.42578125" style="679" customWidth="1"/>
    <col min="5651" max="5653" width="9.140625" style="679"/>
    <col min="5654" max="5654" width="5.7109375" style="679" customWidth="1"/>
    <col min="5655" max="5656" width="4.5703125" style="679" customWidth="1"/>
    <col min="5657" max="5659" width="9.140625" style="679"/>
    <col min="5660" max="5660" width="5.7109375" style="679" customWidth="1"/>
    <col min="5661" max="5661" width="6.140625" style="679" customWidth="1"/>
    <col min="5662" max="5903" width="9.140625" style="679"/>
    <col min="5904" max="5904" width="0.85546875" style="679" customWidth="1"/>
    <col min="5905" max="5905" width="5" style="679" customWidth="1"/>
    <col min="5906" max="5906" width="5.42578125" style="679" customWidth="1"/>
    <col min="5907" max="5909" width="9.140625" style="679"/>
    <col min="5910" max="5910" width="5.7109375" style="679" customWidth="1"/>
    <col min="5911" max="5912" width="4.5703125" style="679" customWidth="1"/>
    <col min="5913" max="5915" width="9.140625" style="679"/>
    <col min="5916" max="5916" width="5.7109375" style="679" customWidth="1"/>
    <col min="5917" max="5917" width="6.140625" style="679" customWidth="1"/>
    <col min="5918" max="6159" width="9.140625" style="679"/>
    <col min="6160" max="6160" width="0.85546875" style="679" customWidth="1"/>
    <col min="6161" max="6161" width="5" style="679" customWidth="1"/>
    <col min="6162" max="6162" width="5.42578125" style="679" customWidth="1"/>
    <col min="6163" max="6165" width="9.140625" style="679"/>
    <col min="6166" max="6166" width="5.7109375" style="679" customWidth="1"/>
    <col min="6167" max="6168" width="4.5703125" style="679" customWidth="1"/>
    <col min="6169" max="6171" width="9.140625" style="679"/>
    <col min="6172" max="6172" width="5.7109375" style="679" customWidth="1"/>
    <col min="6173" max="6173" width="6.140625" style="679" customWidth="1"/>
    <col min="6174" max="6415" width="9.140625" style="679"/>
    <col min="6416" max="6416" width="0.85546875" style="679" customWidth="1"/>
    <col min="6417" max="6417" width="5" style="679" customWidth="1"/>
    <col min="6418" max="6418" width="5.42578125" style="679" customWidth="1"/>
    <col min="6419" max="6421" width="9.140625" style="679"/>
    <col min="6422" max="6422" width="5.7109375" style="679" customWidth="1"/>
    <col min="6423" max="6424" width="4.5703125" style="679" customWidth="1"/>
    <col min="6425" max="6427" width="9.140625" style="679"/>
    <col min="6428" max="6428" width="5.7109375" style="679" customWidth="1"/>
    <col min="6429" max="6429" width="6.140625" style="679" customWidth="1"/>
    <col min="6430" max="6671" width="9.140625" style="679"/>
    <col min="6672" max="6672" width="0.85546875" style="679" customWidth="1"/>
    <col min="6673" max="6673" width="5" style="679" customWidth="1"/>
    <col min="6674" max="6674" width="5.42578125" style="679" customWidth="1"/>
    <col min="6675" max="6677" width="9.140625" style="679"/>
    <col min="6678" max="6678" width="5.7109375" style="679" customWidth="1"/>
    <col min="6679" max="6680" width="4.5703125" style="679" customWidth="1"/>
    <col min="6681" max="6683" width="9.140625" style="679"/>
    <col min="6684" max="6684" width="5.7109375" style="679" customWidth="1"/>
    <col min="6685" max="6685" width="6.140625" style="679" customWidth="1"/>
    <col min="6686" max="6927" width="9.140625" style="679"/>
    <col min="6928" max="6928" width="0.85546875" style="679" customWidth="1"/>
    <col min="6929" max="6929" width="5" style="679" customWidth="1"/>
    <col min="6930" max="6930" width="5.42578125" style="679" customWidth="1"/>
    <col min="6931" max="6933" width="9.140625" style="679"/>
    <col min="6934" max="6934" width="5.7109375" style="679" customWidth="1"/>
    <col min="6935" max="6936" width="4.5703125" style="679" customWidth="1"/>
    <col min="6937" max="6939" width="9.140625" style="679"/>
    <col min="6940" max="6940" width="5.7109375" style="679" customWidth="1"/>
    <col min="6941" max="6941" width="6.140625" style="679" customWidth="1"/>
    <col min="6942" max="7183" width="9.140625" style="679"/>
    <col min="7184" max="7184" width="0.85546875" style="679" customWidth="1"/>
    <col min="7185" max="7185" width="5" style="679" customWidth="1"/>
    <col min="7186" max="7186" width="5.42578125" style="679" customWidth="1"/>
    <col min="7187" max="7189" width="9.140625" style="679"/>
    <col min="7190" max="7190" width="5.7109375" style="679" customWidth="1"/>
    <col min="7191" max="7192" width="4.5703125" style="679" customWidth="1"/>
    <col min="7193" max="7195" width="9.140625" style="679"/>
    <col min="7196" max="7196" width="5.7109375" style="679" customWidth="1"/>
    <col min="7197" max="7197" width="6.140625" style="679" customWidth="1"/>
    <col min="7198" max="7439" width="9.140625" style="679"/>
    <col min="7440" max="7440" width="0.85546875" style="679" customWidth="1"/>
    <col min="7441" max="7441" width="5" style="679" customWidth="1"/>
    <col min="7442" max="7442" width="5.42578125" style="679" customWidth="1"/>
    <col min="7443" max="7445" width="9.140625" style="679"/>
    <col min="7446" max="7446" width="5.7109375" style="679" customWidth="1"/>
    <col min="7447" max="7448" width="4.5703125" style="679" customWidth="1"/>
    <col min="7449" max="7451" width="9.140625" style="679"/>
    <col min="7452" max="7452" width="5.7109375" style="679" customWidth="1"/>
    <col min="7453" max="7453" width="6.140625" style="679" customWidth="1"/>
    <col min="7454" max="7695" width="9.140625" style="679"/>
    <col min="7696" max="7696" width="0.85546875" style="679" customWidth="1"/>
    <col min="7697" max="7697" width="5" style="679" customWidth="1"/>
    <col min="7698" max="7698" width="5.42578125" style="679" customWidth="1"/>
    <col min="7699" max="7701" width="9.140625" style="679"/>
    <col min="7702" max="7702" width="5.7109375" style="679" customWidth="1"/>
    <col min="7703" max="7704" width="4.5703125" style="679" customWidth="1"/>
    <col min="7705" max="7707" width="9.140625" style="679"/>
    <col min="7708" max="7708" width="5.7109375" style="679" customWidth="1"/>
    <col min="7709" max="7709" width="6.140625" style="679" customWidth="1"/>
    <col min="7710" max="7951" width="9.140625" style="679"/>
    <col min="7952" max="7952" width="0.85546875" style="679" customWidth="1"/>
    <col min="7953" max="7953" width="5" style="679" customWidth="1"/>
    <col min="7954" max="7954" width="5.42578125" style="679" customWidth="1"/>
    <col min="7955" max="7957" width="9.140625" style="679"/>
    <col min="7958" max="7958" width="5.7109375" style="679" customWidth="1"/>
    <col min="7959" max="7960" width="4.5703125" style="679" customWidth="1"/>
    <col min="7961" max="7963" width="9.140625" style="679"/>
    <col min="7964" max="7964" width="5.7109375" style="679" customWidth="1"/>
    <col min="7965" max="7965" width="6.140625" style="679" customWidth="1"/>
    <col min="7966" max="8207" width="9.140625" style="679"/>
    <col min="8208" max="8208" width="0.85546875" style="679" customWidth="1"/>
    <col min="8209" max="8209" width="5" style="679" customWidth="1"/>
    <col min="8210" max="8210" width="5.42578125" style="679" customWidth="1"/>
    <col min="8211" max="8213" width="9.140625" style="679"/>
    <col min="8214" max="8214" width="5.7109375" style="679" customWidth="1"/>
    <col min="8215" max="8216" width="4.5703125" style="679" customWidth="1"/>
    <col min="8217" max="8219" width="9.140625" style="679"/>
    <col min="8220" max="8220" width="5.7109375" style="679" customWidth="1"/>
    <col min="8221" max="8221" width="6.140625" style="679" customWidth="1"/>
    <col min="8222" max="8463" width="9.140625" style="679"/>
    <col min="8464" max="8464" width="0.85546875" style="679" customWidth="1"/>
    <col min="8465" max="8465" width="5" style="679" customWidth="1"/>
    <col min="8466" max="8466" width="5.42578125" style="679" customWidth="1"/>
    <col min="8467" max="8469" width="9.140625" style="679"/>
    <col min="8470" max="8470" width="5.7109375" style="679" customWidth="1"/>
    <col min="8471" max="8472" width="4.5703125" style="679" customWidth="1"/>
    <col min="8473" max="8475" width="9.140625" style="679"/>
    <col min="8476" max="8476" width="5.7109375" style="679" customWidth="1"/>
    <col min="8477" max="8477" width="6.140625" style="679" customWidth="1"/>
    <col min="8478" max="8719" width="9.140625" style="679"/>
    <col min="8720" max="8720" width="0.85546875" style="679" customWidth="1"/>
    <col min="8721" max="8721" width="5" style="679" customWidth="1"/>
    <col min="8722" max="8722" width="5.42578125" style="679" customWidth="1"/>
    <col min="8723" max="8725" width="9.140625" style="679"/>
    <col min="8726" max="8726" width="5.7109375" style="679" customWidth="1"/>
    <col min="8727" max="8728" width="4.5703125" style="679" customWidth="1"/>
    <col min="8729" max="8731" width="9.140625" style="679"/>
    <col min="8732" max="8732" width="5.7109375" style="679" customWidth="1"/>
    <col min="8733" max="8733" width="6.140625" style="679" customWidth="1"/>
    <col min="8734" max="8975" width="9.140625" style="679"/>
    <col min="8976" max="8976" width="0.85546875" style="679" customWidth="1"/>
    <col min="8977" max="8977" width="5" style="679" customWidth="1"/>
    <col min="8978" max="8978" width="5.42578125" style="679" customWidth="1"/>
    <col min="8979" max="8981" width="9.140625" style="679"/>
    <col min="8982" max="8982" width="5.7109375" style="679" customWidth="1"/>
    <col min="8983" max="8984" width="4.5703125" style="679" customWidth="1"/>
    <col min="8985" max="8987" width="9.140625" style="679"/>
    <col min="8988" max="8988" width="5.7109375" style="679" customWidth="1"/>
    <col min="8989" max="8989" width="6.140625" style="679" customWidth="1"/>
    <col min="8990" max="9231" width="9.140625" style="679"/>
    <col min="9232" max="9232" width="0.85546875" style="679" customWidth="1"/>
    <col min="9233" max="9233" width="5" style="679" customWidth="1"/>
    <col min="9234" max="9234" width="5.42578125" style="679" customWidth="1"/>
    <col min="9235" max="9237" width="9.140625" style="679"/>
    <col min="9238" max="9238" width="5.7109375" style="679" customWidth="1"/>
    <col min="9239" max="9240" width="4.5703125" style="679" customWidth="1"/>
    <col min="9241" max="9243" width="9.140625" style="679"/>
    <col min="9244" max="9244" width="5.7109375" style="679" customWidth="1"/>
    <col min="9245" max="9245" width="6.140625" style="679" customWidth="1"/>
    <col min="9246" max="9487" width="9.140625" style="679"/>
    <col min="9488" max="9488" width="0.85546875" style="679" customWidth="1"/>
    <col min="9489" max="9489" width="5" style="679" customWidth="1"/>
    <col min="9490" max="9490" width="5.42578125" style="679" customWidth="1"/>
    <col min="9491" max="9493" width="9.140625" style="679"/>
    <col min="9494" max="9494" width="5.7109375" style="679" customWidth="1"/>
    <col min="9495" max="9496" width="4.5703125" style="679" customWidth="1"/>
    <col min="9497" max="9499" width="9.140625" style="679"/>
    <col min="9500" max="9500" width="5.7109375" style="679" customWidth="1"/>
    <col min="9501" max="9501" width="6.140625" style="679" customWidth="1"/>
    <col min="9502" max="9743" width="9.140625" style="679"/>
    <col min="9744" max="9744" width="0.85546875" style="679" customWidth="1"/>
    <col min="9745" max="9745" width="5" style="679" customWidth="1"/>
    <col min="9746" max="9746" width="5.42578125" style="679" customWidth="1"/>
    <col min="9747" max="9749" width="9.140625" style="679"/>
    <col min="9750" max="9750" width="5.7109375" style="679" customWidth="1"/>
    <col min="9751" max="9752" width="4.5703125" style="679" customWidth="1"/>
    <col min="9753" max="9755" width="9.140625" style="679"/>
    <col min="9756" max="9756" width="5.7109375" style="679" customWidth="1"/>
    <col min="9757" max="9757" width="6.140625" style="679" customWidth="1"/>
    <col min="9758" max="9999" width="9.140625" style="679"/>
    <col min="10000" max="10000" width="0.85546875" style="679" customWidth="1"/>
    <col min="10001" max="10001" width="5" style="679" customWidth="1"/>
    <col min="10002" max="10002" width="5.42578125" style="679" customWidth="1"/>
    <col min="10003" max="10005" width="9.140625" style="679"/>
    <col min="10006" max="10006" width="5.7109375" style="679" customWidth="1"/>
    <col min="10007" max="10008" width="4.5703125" style="679" customWidth="1"/>
    <col min="10009" max="10011" width="9.140625" style="679"/>
    <col min="10012" max="10012" width="5.7109375" style="679" customWidth="1"/>
    <col min="10013" max="10013" width="6.140625" style="679" customWidth="1"/>
    <col min="10014" max="10255" width="9.140625" style="679"/>
    <col min="10256" max="10256" width="0.85546875" style="679" customWidth="1"/>
    <col min="10257" max="10257" width="5" style="679" customWidth="1"/>
    <col min="10258" max="10258" width="5.42578125" style="679" customWidth="1"/>
    <col min="10259" max="10261" width="9.140625" style="679"/>
    <col min="10262" max="10262" width="5.7109375" style="679" customWidth="1"/>
    <col min="10263" max="10264" width="4.5703125" style="679" customWidth="1"/>
    <col min="10265" max="10267" width="9.140625" style="679"/>
    <col min="10268" max="10268" width="5.7109375" style="679" customWidth="1"/>
    <col min="10269" max="10269" width="6.140625" style="679" customWidth="1"/>
    <col min="10270" max="10511" width="9.140625" style="679"/>
    <col min="10512" max="10512" width="0.85546875" style="679" customWidth="1"/>
    <col min="10513" max="10513" width="5" style="679" customWidth="1"/>
    <col min="10514" max="10514" width="5.42578125" style="679" customWidth="1"/>
    <col min="10515" max="10517" width="9.140625" style="679"/>
    <col min="10518" max="10518" width="5.7109375" style="679" customWidth="1"/>
    <col min="10519" max="10520" width="4.5703125" style="679" customWidth="1"/>
    <col min="10521" max="10523" width="9.140625" style="679"/>
    <col min="10524" max="10524" width="5.7109375" style="679" customWidth="1"/>
    <col min="10525" max="10525" width="6.140625" style="679" customWidth="1"/>
    <col min="10526" max="10767" width="9.140625" style="679"/>
    <col min="10768" max="10768" width="0.85546875" style="679" customWidth="1"/>
    <col min="10769" max="10769" width="5" style="679" customWidth="1"/>
    <col min="10770" max="10770" width="5.42578125" style="679" customWidth="1"/>
    <col min="10771" max="10773" width="9.140625" style="679"/>
    <col min="10774" max="10774" width="5.7109375" style="679" customWidth="1"/>
    <col min="10775" max="10776" width="4.5703125" style="679" customWidth="1"/>
    <col min="10777" max="10779" width="9.140625" style="679"/>
    <col min="10780" max="10780" width="5.7109375" style="679" customWidth="1"/>
    <col min="10781" max="10781" width="6.140625" style="679" customWidth="1"/>
    <col min="10782" max="11023" width="9.140625" style="679"/>
    <col min="11024" max="11024" width="0.85546875" style="679" customWidth="1"/>
    <col min="11025" max="11025" width="5" style="679" customWidth="1"/>
    <col min="11026" max="11026" width="5.42578125" style="679" customWidth="1"/>
    <col min="11027" max="11029" width="9.140625" style="679"/>
    <col min="11030" max="11030" width="5.7109375" style="679" customWidth="1"/>
    <col min="11031" max="11032" width="4.5703125" style="679" customWidth="1"/>
    <col min="11033" max="11035" width="9.140625" style="679"/>
    <col min="11036" max="11036" width="5.7109375" style="679" customWidth="1"/>
    <col min="11037" max="11037" width="6.140625" style="679" customWidth="1"/>
    <col min="11038" max="11279" width="9.140625" style="679"/>
    <col min="11280" max="11280" width="0.85546875" style="679" customWidth="1"/>
    <col min="11281" max="11281" width="5" style="679" customWidth="1"/>
    <col min="11282" max="11282" width="5.42578125" style="679" customWidth="1"/>
    <col min="11283" max="11285" width="9.140625" style="679"/>
    <col min="11286" max="11286" width="5.7109375" style="679" customWidth="1"/>
    <col min="11287" max="11288" width="4.5703125" style="679" customWidth="1"/>
    <col min="11289" max="11291" width="9.140625" style="679"/>
    <col min="11292" max="11292" width="5.7109375" style="679" customWidth="1"/>
    <col min="11293" max="11293" width="6.140625" style="679" customWidth="1"/>
    <col min="11294" max="11535" width="9.140625" style="679"/>
    <col min="11536" max="11536" width="0.85546875" style="679" customWidth="1"/>
    <col min="11537" max="11537" width="5" style="679" customWidth="1"/>
    <col min="11538" max="11538" width="5.42578125" style="679" customWidth="1"/>
    <col min="11539" max="11541" width="9.140625" style="679"/>
    <col min="11542" max="11542" width="5.7109375" style="679" customWidth="1"/>
    <col min="11543" max="11544" width="4.5703125" style="679" customWidth="1"/>
    <col min="11545" max="11547" width="9.140625" style="679"/>
    <col min="11548" max="11548" width="5.7109375" style="679" customWidth="1"/>
    <col min="11549" max="11549" width="6.140625" style="679" customWidth="1"/>
    <col min="11550" max="11791" width="9.140625" style="679"/>
    <col min="11792" max="11792" width="0.85546875" style="679" customWidth="1"/>
    <col min="11793" max="11793" width="5" style="679" customWidth="1"/>
    <col min="11794" max="11794" width="5.42578125" style="679" customWidth="1"/>
    <col min="11795" max="11797" width="9.140625" style="679"/>
    <col min="11798" max="11798" width="5.7109375" style="679" customWidth="1"/>
    <col min="11799" max="11800" width="4.5703125" style="679" customWidth="1"/>
    <col min="11801" max="11803" width="9.140625" style="679"/>
    <col min="11804" max="11804" width="5.7109375" style="679" customWidth="1"/>
    <col min="11805" max="11805" width="6.140625" style="679" customWidth="1"/>
    <col min="11806" max="12047" width="9.140625" style="679"/>
    <col min="12048" max="12048" width="0.85546875" style="679" customWidth="1"/>
    <col min="12049" max="12049" width="5" style="679" customWidth="1"/>
    <col min="12050" max="12050" width="5.42578125" style="679" customWidth="1"/>
    <col min="12051" max="12053" width="9.140625" style="679"/>
    <col min="12054" max="12054" width="5.7109375" style="679" customWidth="1"/>
    <col min="12055" max="12056" width="4.5703125" style="679" customWidth="1"/>
    <col min="12057" max="12059" width="9.140625" style="679"/>
    <col min="12060" max="12060" width="5.7109375" style="679" customWidth="1"/>
    <col min="12061" max="12061" width="6.140625" style="679" customWidth="1"/>
    <col min="12062" max="12303" width="9.140625" style="679"/>
    <col min="12304" max="12304" width="0.85546875" style="679" customWidth="1"/>
    <col min="12305" max="12305" width="5" style="679" customWidth="1"/>
    <col min="12306" max="12306" width="5.42578125" style="679" customWidth="1"/>
    <col min="12307" max="12309" width="9.140625" style="679"/>
    <col min="12310" max="12310" width="5.7109375" style="679" customWidth="1"/>
    <col min="12311" max="12312" width="4.5703125" style="679" customWidth="1"/>
    <col min="12313" max="12315" width="9.140625" style="679"/>
    <col min="12316" max="12316" width="5.7109375" style="679" customWidth="1"/>
    <col min="12317" max="12317" width="6.140625" style="679" customWidth="1"/>
    <col min="12318" max="12559" width="9.140625" style="679"/>
    <col min="12560" max="12560" width="0.85546875" style="679" customWidth="1"/>
    <col min="12561" max="12561" width="5" style="679" customWidth="1"/>
    <col min="12562" max="12562" width="5.42578125" style="679" customWidth="1"/>
    <col min="12563" max="12565" width="9.140625" style="679"/>
    <col min="12566" max="12566" width="5.7109375" style="679" customWidth="1"/>
    <col min="12567" max="12568" width="4.5703125" style="679" customWidth="1"/>
    <col min="12569" max="12571" width="9.140625" style="679"/>
    <col min="12572" max="12572" width="5.7109375" style="679" customWidth="1"/>
    <col min="12573" max="12573" width="6.140625" style="679" customWidth="1"/>
    <col min="12574" max="12815" width="9.140625" style="679"/>
    <col min="12816" max="12816" width="0.85546875" style="679" customWidth="1"/>
    <col min="12817" max="12817" width="5" style="679" customWidth="1"/>
    <col min="12818" max="12818" width="5.42578125" style="679" customWidth="1"/>
    <col min="12819" max="12821" width="9.140625" style="679"/>
    <col min="12822" max="12822" width="5.7109375" style="679" customWidth="1"/>
    <col min="12823" max="12824" width="4.5703125" style="679" customWidth="1"/>
    <col min="12825" max="12827" width="9.140625" style="679"/>
    <col min="12828" max="12828" width="5.7109375" style="679" customWidth="1"/>
    <col min="12829" max="12829" width="6.140625" style="679" customWidth="1"/>
    <col min="12830" max="13071" width="9.140625" style="679"/>
    <col min="13072" max="13072" width="0.85546875" style="679" customWidth="1"/>
    <col min="13073" max="13073" width="5" style="679" customWidth="1"/>
    <col min="13074" max="13074" width="5.42578125" style="679" customWidth="1"/>
    <col min="13075" max="13077" width="9.140625" style="679"/>
    <col min="13078" max="13078" width="5.7109375" style="679" customWidth="1"/>
    <col min="13079" max="13080" width="4.5703125" style="679" customWidth="1"/>
    <col min="13081" max="13083" width="9.140625" style="679"/>
    <col min="13084" max="13084" width="5.7109375" style="679" customWidth="1"/>
    <col min="13085" max="13085" width="6.140625" style="679" customWidth="1"/>
    <col min="13086" max="13327" width="9.140625" style="679"/>
    <col min="13328" max="13328" width="0.85546875" style="679" customWidth="1"/>
    <col min="13329" max="13329" width="5" style="679" customWidth="1"/>
    <col min="13330" max="13330" width="5.42578125" style="679" customWidth="1"/>
    <col min="13331" max="13333" width="9.140625" style="679"/>
    <col min="13334" max="13334" width="5.7109375" style="679" customWidth="1"/>
    <col min="13335" max="13336" width="4.5703125" style="679" customWidth="1"/>
    <col min="13337" max="13339" width="9.140625" style="679"/>
    <col min="13340" max="13340" width="5.7109375" style="679" customWidth="1"/>
    <col min="13341" max="13341" width="6.140625" style="679" customWidth="1"/>
    <col min="13342" max="13583" width="9.140625" style="679"/>
    <col min="13584" max="13584" width="0.85546875" style="679" customWidth="1"/>
    <col min="13585" max="13585" width="5" style="679" customWidth="1"/>
    <col min="13586" max="13586" width="5.42578125" style="679" customWidth="1"/>
    <col min="13587" max="13589" width="9.140625" style="679"/>
    <col min="13590" max="13590" width="5.7109375" style="679" customWidth="1"/>
    <col min="13591" max="13592" width="4.5703125" style="679" customWidth="1"/>
    <col min="13593" max="13595" width="9.140625" style="679"/>
    <col min="13596" max="13596" width="5.7109375" style="679" customWidth="1"/>
    <col min="13597" max="13597" width="6.140625" style="679" customWidth="1"/>
    <col min="13598" max="13839" width="9.140625" style="679"/>
    <col min="13840" max="13840" width="0.85546875" style="679" customWidth="1"/>
    <col min="13841" max="13841" width="5" style="679" customWidth="1"/>
    <col min="13842" max="13842" width="5.42578125" style="679" customWidth="1"/>
    <col min="13843" max="13845" width="9.140625" style="679"/>
    <col min="13846" max="13846" width="5.7109375" style="679" customWidth="1"/>
    <col min="13847" max="13848" width="4.5703125" style="679" customWidth="1"/>
    <col min="13849" max="13851" width="9.140625" style="679"/>
    <col min="13852" max="13852" width="5.7109375" style="679" customWidth="1"/>
    <col min="13853" max="13853" width="6.140625" style="679" customWidth="1"/>
    <col min="13854" max="14095" width="9.140625" style="679"/>
    <col min="14096" max="14096" width="0.85546875" style="679" customWidth="1"/>
    <col min="14097" max="14097" width="5" style="679" customWidth="1"/>
    <col min="14098" max="14098" width="5.42578125" style="679" customWidth="1"/>
    <col min="14099" max="14101" width="9.140625" style="679"/>
    <col min="14102" max="14102" width="5.7109375" style="679" customWidth="1"/>
    <col min="14103" max="14104" width="4.5703125" style="679" customWidth="1"/>
    <col min="14105" max="14107" width="9.140625" style="679"/>
    <col min="14108" max="14108" width="5.7109375" style="679" customWidth="1"/>
    <col min="14109" max="14109" width="6.140625" style="679" customWidth="1"/>
    <col min="14110" max="14351" width="9.140625" style="679"/>
    <col min="14352" max="14352" width="0.85546875" style="679" customWidth="1"/>
    <col min="14353" max="14353" width="5" style="679" customWidth="1"/>
    <col min="14354" max="14354" width="5.42578125" style="679" customWidth="1"/>
    <col min="14355" max="14357" width="9.140625" style="679"/>
    <col min="14358" max="14358" width="5.7109375" style="679" customWidth="1"/>
    <col min="14359" max="14360" width="4.5703125" style="679" customWidth="1"/>
    <col min="14361" max="14363" width="9.140625" style="679"/>
    <col min="14364" max="14364" width="5.7109375" style="679" customWidth="1"/>
    <col min="14365" max="14365" width="6.140625" style="679" customWidth="1"/>
    <col min="14366" max="14607" width="9.140625" style="679"/>
    <col min="14608" max="14608" width="0.85546875" style="679" customWidth="1"/>
    <col min="14609" max="14609" width="5" style="679" customWidth="1"/>
    <col min="14610" max="14610" width="5.42578125" style="679" customWidth="1"/>
    <col min="14611" max="14613" width="9.140625" style="679"/>
    <col min="14614" max="14614" width="5.7109375" style="679" customWidth="1"/>
    <col min="14615" max="14616" width="4.5703125" style="679" customWidth="1"/>
    <col min="14617" max="14619" width="9.140625" style="679"/>
    <col min="14620" max="14620" width="5.7109375" style="679" customWidth="1"/>
    <col min="14621" max="14621" width="6.140625" style="679" customWidth="1"/>
    <col min="14622" max="14863" width="9.140625" style="679"/>
    <col min="14864" max="14864" width="0.85546875" style="679" customWidth="1"/>
    <col min="14865" max="14865" width="5" style="679" customWidth="1"/>
    <col min="14866" max="14866" width="5.42578125" style="679" customWidth="1"/>
    <col min="14867" max="14869" width="9.140625" style="679"/>
    <col min="14870" max="14870" width="5.7109375" style="679" customWidth="1"/>
    <col min="14871" max="14872" width="4.5703125" style="679" customWidth="1"/>
    <col min="14873" max="14875" width="9.140625" style="679"/>
    <col min="14876" max="14876" width="5.7109375" style="679" customWidth="1"/>
    <col min="14877" max="14877" width="6.140625" style="679" customWidth="1"/>
    <col min="14878" max="15119" width="9.140625" style="679"/>
    <col min="15120" max="15120" width="0.85546875" style="679" customWidth="1"/>
    <col min="15121" max="15121" width="5" style="679" customWidth="1"/>
    <col min="15122" max="15122" width="5.42578125" style="679" customWidth="1"/>
    <col min="15123" max="15125" width="9.140625" style="679"/>
    <col min="15126" max="15126" width="5.7109375" style="679" customWidth="1"/>
    <col min="15127" max="15128" width="4.5703125" style="679" customWidth="1"/>
    <col min="15129" max="15131" width="9.140625" style="679"/>
    <col min="15132" max="15132" width="5.7109375" style="679" customWidth="1"/>
    <col min="15133" max="15133" width="6.140625" style="679" customWidth="1"/>
    <col min="15134" max="15375" width="9.140625" style="679"/>
    <col min="15376" max="15376" width="0.85546875" style="679" customWidth="1"/>
    <col min="15377" max="15377" width="5" style="679" customWidth="1"/>
    <col min="15378" max="15378" width="5.42578125" style="679" customWidth="1"/>
    <col min="15379" max="15381" width="9.140625" style="679"/>
    <col min="15382" max="15382" width="5.7109375" style="679" customWidth="1"/>
    <col min="15383" max="15384" width="4.5703125" style="679" customWidth="1"/>
    <col min="15385" max="15387" width="9.140625" style="679"/>
    <col min="15388" max="15388" width="5.7109375" style="679" customWidth="1"/>
    <col min="15389" max="15389" width="6.140625" style="679" customWidth="1"/>
    <col min="15390" max="15631" width="9.140625" style="679"/>
    <col min="15632" max="15632" width="0.85546875" style="679" customWidth="1"/>
    <col min="15633" max="15633" width="5" style="679" customWidth="1"/>
    <col min="15634" max="15634" width="5.42578125" style="679" customWidth="1"/>
    <col min="15635" max="15637" width="9.140625" style="679"/>
    <col min="15638" max="15638" width="5.7109375" style="679" customWidth="1"/>
    <col min="15639" max="15640" width="4.5703125" style="679" customWidth="1"/>
    <col min="15641" max="15643" width="9.140625" style="679"/>
    <col min="15644" max="15644" width="5.7109375" style="679" customWidth="1"/>
    <col min="15645" max="15645" width="6.140625" style="679" customWidth="1"/>
    <col min="15646" max="15887" width="9.140625" style="679"/>
    <col min="15888" max="15888" width="0.85546875" style="679" customWidth="1"/>
    <col min="15889" max="15889" width="5" style="679" customWidth="1"/>
    <col min="15890" max="15890" width="5.42578125" style="679" customWidth="1"/>
    <col min="15891" max="15893" width="9.140625" style="679"/>
    <col min="15894" max="15894" width="5.7109375" style="679" customWidth="1"/>
    <col min="15895" max="15896" width="4.5703125" style="679" customWidth="1"/>
    <col min="15897" max="15899" width="9.140625" style="679"/>
    <col min="15900" max="15900" width="5.7109375" style="679" customWidth="1"/>
    <col min="15901" max="15901" width="6.140625" style="679" customWidth="1"/>
    <col min="15902" max="16143" width="9.140625" style="679"/>
    <col min="16144" max="16144" width="0.85546875" style="679" customWidth="1"/>
    <col min="16145" max="16145" width="5" style="679" customWidth="1"/>
    <col min="16146" max="16146" width="5.42578125" style="679" customWidth="1"/>
    <col min="16147" max="16149" width="9.140625" style="679"/>
    <col min="16150" max="16150" width="5.7109375" style="679" customWidth="1"/>
    <col min="16151" max="16152" width="4.5703125" style="679" customWidth="1"/>
    <col min="16153" max="16155" width="9.140625" style="679"/>
    <col min="16156" max="16156" width="5.7109375" style="679" customWidth="1"/>
    <col min="16157" max="16157" width="6.140625" style="679" customWidth="1"/>
    <col min="16158" max="16384" width="9.140625" style="679"/>
  </cols>
  <sheetData>
    <row r="1" spans="1:44" ht="45" customHeight="1">
      <c r="A1" s="678"/>
      <c r="B1" s="678"/>
      <c r="C1" s="678"/>
      <c r="D1" s="678"/>
      <c r="E1" s="678"/>
      <c r="F1" s="678"/>
      <c r="G1" s="678"/>
      <c r="H1" s="678"/>
      <c r="I1" s="678"/>
      <c r="J1" s="1292"/>
      <c r="K1" s="1292"/>
      <c r="L1" s="1292"/>
      <c r="M1" s="1292"/>
      <c r="N1" s="1292"/>
      <c r="O1" s="678"/>
      <c r="P1" s="678"/>
      <c r="Q1" s="678"/>
      <c r="R1" s="678"/>
      <c r="S1" s="678"/>
      <c r="T1" s="678"/>
      <c r="U1" s="678"/>
      <c r="V1" s="678"/>
      <c r="W1" s="678"/>
      <c r="X1" s="678"/>
      <c r="Y1" s="1292"/>
      <c r="Z1" s="1292"/>
      <c r="AA1" s="1292"/>
      <c r="AB1" s="1292"/>
      <c r="AC1" s="1292"/>
      <c r="AD1" s="678"/>
      <c r="AE1" s="678"/>
      <c r="AF1" s="678"/>
      <c r="AG1" s="678"/>
      <c r="AH1" s="678"/>
      <c r="AI1" s="678"/>
      <c r="AJ1" s="678"/>
      <c r="AK1" s="678"/>
      <c r="AL1" s="678"/>
      <c r="AM1" s="678"/>
      <c r="AN1" s="1292"/>
      <c r="AO1" s="1292"/>
      <c r="AP1" s="1292"/>
      <c r="AQ1" s="1292"/>
      <c r="AR1" s="1292"/>
    </row>
    <row r="2" spans="1:44" s="682" customFormat="1" ht="19.5" customHeight="1">
      <c r="A2" s="1293">
        <f>+FOTO!A2</f>
        <v>0</v>
      </c>
      <c r="B2" s="1293"/>
      <c r="C2" s="680" t="str">
        <f>+FOTO!C2</f>
        <v xml:space="preserve">/ </v>
      </c>
      <c r="D2" s="681"/>
      <c r="E2" s="681"/>
      <c r="F2" s="681"/>
      <c r="G2" s="681"/>
      <c r="H2" s="681"/>
      <c r="I2" s="681"/>
      <c r="J2" s="681"/>
      <c r="K2" s="681"/>
      <c r="L2" s="681"/>
      <c r="M2" s="681"/>
      <c r="N2" s="681"/>
      <c r="P2" s="1293">
        <f>+A2</f>
        <v>0</v>
      </c>
      <c r="Q2" s="1293"/>
      <c r="R2" s="680" t="str">
        <f>+C2</f>
        <v xml:space="preserve">/ </v>
      </c>
      <c r="S2" s="681"/>
      <c r="T2" s="681"/>
      <c r="U2" s="681"/>
      <c r="V2" s="681"/>
      <c r="W2" s="681"/>
      <c r="X2" s="681"/>
      <c r="Y2" s="681"/>
      <c r="Z2" s="681"/>
      <c r="AA2" s="681"/>
      <c r="AB2" s="681"/>
      <c r="AC2" s="681"/>
      <c r="AE2" s="1293">
        <f>+P2</f>
        <v>0</v>
      </c>
      <c r="AF2" s="1293"/>
      <c r="AG2" s="680" t="str">
        <f>+R2</f>
        <v xml:space="preserve">/ </v>
      </c>
      <c r="AH2" s="681"/>
      <c r="AI2" s="681"/>
      <c r="AJ2" s="681"/>
      <c r="AK2" s="681"/>
      <c r="AL2" s="681"/>
      <c r="AM2" s="681"/>
      <c r="AN2" s="681"/>
      <c r="AO2" s="681"/>
      <c r="AP2" s="681"/>
      <c r="AQ2" s="681"/>
      <c r="AR2" s="681"/>
    </row>
    <row r="3" spans="1:44" s="682" customFormat="1" ht="12.75" customHeight="1">
      <c r="A3" s="684"/>
      <c r="B3" s="684"/>
      <c r="C3" s="680"/>
      <c r="D3" s="681"/>
      <c r="E3" s="681"/>
      <c r="F3" s="681"/>
      <c r="G3" s="681"/>
      <c r="H3" s="681"/>
      <c r="I3" s="681"/>
      <c r="J3" s="681"/>
      <c r="K3" s="681"/>
      <c r="L3" s="681"/>
      <c r="M3" s="681"/>
      <c r="N3" s="681"/>
      <c r="O3" s="684"/>
      <c r="P3" s="684"/>
      <c r="Q3" s="684"/>
      <c r="R3" s="680"/>
      <c r="S3" s="681"/>
      <c r="T3" s="681"/>
      <c r="U3" s="681"/>
      <c r="V3" s="681"/>
      <c r="W3" s="681"/>
      <c r="X3" s="681"/>
      <c r="Y3" s="681"/>
      <c r="Z3" s="681"/>
      <c r="AA3" s="681"/>
      <c r="AB3" s="681"/>
      <c r="AC3" s="681"/>
      <c r="AD3" s="684"/>
      <c r="AE3" s="684"/>
      <c r="AF3" s="684"/>
      <c r="AG3" s="680"/>
      <c r="AH3" s="681"/>
      <c r="AI3" s="681"/>
      <c r="AJ3" s="681"/>
      <c r="AK3" s="681"/>
      <c r="AL3" s="681"/>
      <c r="AM3" s="681"/>
      <c r="AN3" s="681"/>
      <c r="AO3" s="681"/>
      <c r="AP3" s="681"/>
      <c r="AQ3" s="681"/>
      <c r="AR3" s="681"/>
    </row>
    <row r="4" spans="1:44" s="694" customFormat="1" ht="24" customHeight="1">
      <c r="A4" s="693"/>
      <c r="B4" s="1294" t="s">
        <v>4631</v>
      </c>
      <c r="C4" s="1294"/>
      <c r="D4" s="1294"/>
      <c r="E4" s="1294"/>
      <c r="F4" s="1294"/>
      <c r="G4" s="1294"/>
      <c r="H4" s="1294"/>
      <c r="I4" s="1294"/>
      <c r="J4" s="1294"/>
      <c r="K4" s="1294"/>
      <c r="L4" s="1294"/>
      <c r="M4" s="1294"/>
      <c r="N4" s="1294"/>
      <c r="O4" s="693"/>
      <c r="P4" s="693"/>
      <c r="Q4" s="1294" t="s">
        <v>4632</v>
      </c>
      <c r="R4" s="1294"/>
      <c r="S4" s="1294"/>
      <c r="T4" s="1294"/>
      <c r="U4" s="1294"/>
      <c r="V4" s="1294"/>
      <c r="W4" s="1294"/>
      <c r="X4" s="1294"/>
      <c r="Y4" s="1294"/>
      <c r="Z4" s="1294"/>
      <c r="AA4" s="1294"/>
      <c r="AB4" s="1294"/>
      <c r="AC4" s="1294"/>
      <c r="AD4" s="693"/>
      <c r="AE4" s="693"/>
      <c r="AF4" s="1294"/>
      <c r="AG4" s="1294"/>
      <c r="AH4" s="1294"/>
      <c r="AI4" s="1294"/>
      <c r="AJ4" s="1294"/>
      <c r="AK4" s="1294"/>
      <c r="AL4" s="1294"/>
      <c r="AM4" s="1294"/>
      <c r="AN4" s="1294"/>
      <c r="AO4" s="1294"/>
      <c r="AP4" s="1294"/>
      <c r="AQ4" s="1294"/>
      <c r="AR4" s="1294"/>
    </row>
    <row r="5" spans="1:44" s="682" customFormat="1" ht="12.75" customHeight="1">
      <c r="A5" s="684"/>
      <c r="B5" s="684"/>
      <c r="C5" s="680"/>
      <c r="D5" s="681"/>
      <c r="E5" s="681"/>
      <c r="F5" s="681"/>
      <c r="G5" s="681"/>
      <c r="H5" s="681"/>
      <c r="I5" s="681"/>
      <c r="J5" s="681"/>
      <c r="K5" s="681"/>
      <c r="L5" s="681"/>
      <c r="M5" s="681"/>
      <c r="N5" s="681"/>
      <c r="O5" s="684"/>
      <c r="P5" s="684"/>
      <c r="Q5" s="684"/>
      <c r="R5" s="680"/>
      <c r="S5" s="681"/>
      <c r="T5" s="681"/>
      <c r="U5" s="681"/>
      <c r="V5" s="681"/>
      <c r="W5" s="681"/>
      <c r="X5" s="681"/>
      <c r="Y5" s="681"/>
      <c r="Z5" s="681"/>
      <c r="AA5" s="681"/>
      <c r="AB5" s="681"/>
      <c r="AC5" s="681"/>
      <c r="AD5" s="684"/>
      <c r="AE5" s="684"/>
      <c r="AF5" s="684"/>
      <c r="AG5" s="680"/>
      <c r="AH5" s="681"/>
      <c r="AI5" s="681"/>
      <c r="AJ5" s="681"/>
      <c r="AK5" s="681"/>
      <c r="AL5" s="681"/>
      <c r="AM5" s="681"/>
      <c r="AN5" s="681"/>
      <c r="AO5" s="681"/>
      <c r="AP5" s="681"/>
      <c r="AQ5" s="681"/>
      <c r="AR5" s="681"/>
    </row>
    <row r="6" spans="1:44" s="682" customFormat="1" ht="12.75" customHeight="1">
      <c r="A6" s="684"/>
      <c r="B6" s="684"/>
      <c r="C6" s="680"/>
      <c r="D6" s="681"/>
      <c r="E6" s="681"/>
      <c r="F6" s="681"/>
      <c r="G6" s="681"/>
      <c r="H6" s="681"/>
      <c r="I6" s="681"/>
      <c r="J6" s="681"/>
      <c r="K6" s="681"/>
      <c r="L6" s="681"/>
      <c r="M6" s="681"/>
      <c r="N6" s="681"/>
      <c r="O6" s="684"/>
      <c r="P6" s="684"/>
      <c r="Q6" s="684"/>
      <c r="R6" s="680"/>
      <c r="S6" s="681"/>
      <c r="T6" s="681"/>
      <c r="U6" s="681"/>
      <c r="V6" s="681"/>
      <c r="W6" s="681"/>
      <c r="X6" s="681"/>
      <c r="Y6" s="681"/>
      <c r="Z6" s="681"/>
      <c r="AA6" s="681"/>
      <c r="AB6" s="681"/>
      <c r="AC6" s="681"/>
      <c r="AD6" s="684"/>
      <c r="AE6" s="684"/>
      <c r="AF6" s="684"/>
      <c r="AG6" s="680"/>
      <c r="AH6" s="681"/>
      <c r="AI6" s="681"/>
      <c r="AJ6" s="681"/>
      <c r="AK6" s="681"/>
      <c r="AL6" s="681"/>
      <c r="AM6" s="681"/>
      <c r="AN6" s="681"/>
      <c r="AO6" s="681"/>
      <c r="AP6" s="681"/>
      <c r="AQ6" s="681"/>
      <c r="AR6" s="681"/>
    </row>
    <row r="7" spans="1:44" s="682" customFormat="1" ht="12.75" customHeight="1">
      <c r="A7" s="684"/>
      <c r="B7" s="684"/>
      <c r="C7" s="680"/>
      <c r="D7" s="681"/>
      <c r="E7" s="681"/>
      <c r="F7" s="681"/>
      <c r="G7" s="681"/>
      <c r="H7" s="681"/>
      <c r="I7" s="681"/>
      <c r="J7" s="681"/>
      <c r="K7" s="681"/>
      <c r="L7" s="681"/>
      <c r="M7" s="681"/>
      <c r="N7" s="681"/>
      <c r="O7" s="684"/>
      <c r="P7" s="684"/>
      <c r="Q7" s="684"/>
      <c r="R7" s="680"/>
      <c r="S7" s="681"/>
      <c r="T7" s="681"/>
      <c r="U7" s="681"/>
      <c r="V7" s="681"/>
      <c r="W7" s="681"/>
      <c r="X7" s="681"/>
      <c r="Y7" s="681"/>
      <c r="Z7" s="681"/>
      <c r="AA7" s="681"/>
      <c r="AB7" s="681"/>
      <c r="AC7" s="681"/>
      <c r="AD7" s="684"/>
      <c r="AE7" s="684"/>
      <c r="AF7" s="684"/>
      <c r="AG7" s="680"/>
      <c r="AH7" s="681"/>
      <c r="AI7" s="681"/>
      <c r="AJ7" s="681"/>
      <c r="AK7" s="681"/>
      <c r="AL7" s="681"/>
      <c r="AM7" s="681"/>
      <c r="AN7" s="681"/>
      <c r="AO7" s="681"/>
      <c r="AP7" s="681"/>
      <c r="AQ7" s="681"/>
      <c r="AR7" s="681"/>
    </row>
    <row r="8" spans="1:44" ht="12.75" customHeight="1">
      <c r="A8" s="685"/>
      <c r="B8" s="685"/>
      <c r="C8" s="685"/>
      <c r="D8" s="685"/>
      <c r="E8" s="685"/>
      <c r="F8" s="685"/>
      <c r="G8" s="685"/>
      <c r="H8" s="685"/>
      <c r="I8" s="685"/>
      <c r="J8" s="685"/>
      <c r="K8" s="685"/>
      <c r="L8" s="685"/>
      <c r="M8" s="685"/>
      <c r="N8" s="685"/>
      <c r="O8" s="685"/>
      <c r="P8" s="685"/>
      <c r="Q8" s="685"/>
      <c r="R8" s="685"/>
      <c r="S8" s="685"/>
      <c r="T8" s="685"/>
      <c r="U8" s="685"/>
      <c r="V8" s="685"/>
      <c r="W8" s="685"/>
      <c r="X8" s="685"/>
      <c r="Y8" s="685"/>
      <c r="Z8" s="685"/>
      <c r="AA8" s="685"/>
      <c r="AB8" s="685"/>
      <c r="AC8" s="685"/>
      <c r="AD8" s="685"/>
      <c r="AE8" s="685"/>
      <c r="AF8" s="685"/>
      <c r="AG8" s="685"/>
      <c r="AH8" s="685"/>
      <c r="AI8" s="685"/>
      <c r="AJ8" s="685"/>
      <c r="AK8" s="685"/>
      <c r="AL8" s="685"/>
      <c r="AM8" s="685"/>
      <c r="AN8" s="685"/>
      <c r="AO8" s="685"/>
      <c r="AP8" s="685"/>
      <c r="AQ8" s="685"/>
      <c r="AR8" s="685"/>
    </row>
    <row r="9" spans="1:44">
      <c r="A9" s="685"/>
      <c r="B9" s="685"/>
      <c r="C9" s="685"/>
      <c r="D9" s="685"/>
      <c r="E9" s="685"/>
      <c r="F9" s="685"/>
      <c r="G9" s="685"/>
      <c r="H9" s="685"/>
      <c r="I9" s="685"/>
      <c r="J9" s="685"/>
      <c r="K9" s="685"/>
      <c r="L9" s="685"/>
      <c r="M9" s="685"/>
      <c r="N9" s="685"/>
      <c r="O9" s="685"/>
      <c r="P9" s="685"/>
      <c r="Q9" s="685"/>
      <c r="R9" s="685"/>
      <c r="S9" s="685"/>
      <c r="T9" s="685"/>
      <c r="U9" s="685"/>
      <c r="V9" s="685"/>
      <c r="W9" s="685"/>
      <c r="X9" s="685"/>
      <c r="Y9" s="685"/>
      <c r="Z9" s="685"/>
      <c r="AA9" s="685"/>
      <c r="AB9" s="685"/>
      <c r="AC9" s="685"/>
      <c r="AD9" s="685"/>
      <c r="AE9" s="685"/>
      <c r="AF9" s="685"/>
      <c r="AG9" s="685"/>
      <c r="AH9" s="685"/>
      <c r="AI9" s="685"/>
      <c r="AJ9" s="685"/>
      <c r="AK9" s="685"/>
      <c r="AL9" s="685"/>
      <c r="AM9" s="685"/>
      <c r="AN9" s="685"/>
      <c r="AO9" s="685"/>
      <c r="AP9" s="685"/>
      <c r="AQ9" s="685"/>
      <c r="AR9" s="685"/>
    </row>
    <row r="10" spans="1:44">
      <c r="A10" s="685"/>
      <c r="B10" s="685"/>
      <c r="C10" s="685"/>
      <c r="D10" s="685"/>
      <c r="E10" s="685"/>
      <c r="F10" s="685"/>
      <c r="G10" s="685"/>
      <c r="H10" s="685"/>
      <c r="I10" s="685"/>
      <c r="J10" s="685"/>
      <c r="K10" s="685"/>
      <c r="L10" s="685"/>
      <c r="M10" s="685"/>
      <c r="N10" s="685"/>
      <c r="O10" s="685"/>
      <c r="P10" s="685"/>
      <c r="Q10" s="685"/>
      <c r="R10" s="685"/>
      <c r="S10" s="685"/>
      <c r="T10" s="685"/>
      <c r="U10" s="685"/>
      <c r="V10" s="685"/>
      <c r="W10" s="685"/>
      <c r="X10" s="685"/>
      <c r="Y10" s="685"/>
      <c r="Z10" s="685"/>
      <c r="AA10" s="685"/>
      <c r="AB10" s="685"/>
      <c r="AC10" s="685"/>
      <c r="AD10" s="685"/>
      <c r="AE10" s="685"/>
      <c r="AF10" s="685"/>
      <c r="AG10" s="685"/>
      <c r="AH10" s="685"/>
      <c r="AI10" s="685"/>
      <c r="AJ10" s="685"/>
      <c r="AK10" s="685"/>
      <c r="AL10" s="685"/>
      <c r="AM10" s="685"/>
      <c r="AN10" s="685"/>
      <c r="AO10" s="685"/>
      <c r="AP10" s="685"/>
      <c r="AQ10" s="685"/>
      <c r="AR10" s="685"/>
    </row>
    <row r="11" spans="1:44" ht="12.75" customHeight="1">
      <c r="A11" s="685"/>
      <c r="B11" s="685"/>
      <c r="C11" s="685"/>
      <c r="D11" s="685"/>
      <c r="E11" s="685"/>
      <c r="F11" s="685"/>
      <c r="G11" s="685"/>
      <c r="H11" s="685"/>
      <c r="I11" s="685"/>
      <c r="J11" s="685"/>
      <c r="K11" s="685"/>
      <c r="L11" s="685"/>
      <c r="M11" s="685"/>
      <c r="N11" s="685"/>
      <c r="O11" s="685"/>
      <c r="P11" s="685"/>
      <c r="Q11" s="685"/>
      <c r="R11" s="685"/>
      <c r="S11" s="685"/>
      <c r="T11" s="685"/>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row>
    <row r="12" spans="1:44">
      <c r="A12" s="685"/>
      <c r="B12" s="685"/>
      <c r="C12" s="685"/>
      <c r="D12" s="685"/>
      <c r="E12" s="685"/>
      <c r="F12" s="685"/>
      <c r="G12" s="685"/>
      <c r="H12" s="685"/>
      <c r="I12" s="685"/>
      <c r="J12" s="685"/>
      <c r="K12" s="68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row>
    <row r="13" spans="1:44">
      <c r="A13" s="685"/>
      <c r="B13" s="685"/>
      <c r="C13" s="685"/>
      <c r="D13" s="685"/>
      <c r="E13" s="685"/>
      <c r="F13" s="685"/>
      <c r="G13" s="685"/>
      <c r="H13" s="685"/>
      <c r="I13" s="685"/>
      <c r="J13" s="685"/>
      <c r="K13" s="685"/>
      <c r="L13" s="685"/>
      <c r="M13" s="685"/>
      <c r="N13" s="685"/>
      <c r="O13" s="685"/>
      <c r="P13" s="685"/>
      <c r="Q13" s="685"/>
      <c r="R13" s="685"/>
      <c r="S13" s="685"/>
      <c r="T13" s="685"/>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row>
    <row r="14" spans="1:44" ht="12.75" customHeight="1">
      <c r="A14" s="685"/>
      <c r="B14" s="685"/>
      <c r="C14" s="685"/>
      <c r="D14" s="685"/>
      <c r="E14" s="685"/>
      <c r="F14" s="685"/>
      <c r="G14" s="685"/>
      <c r="H14" s="685"/>
      <c r="I14" s="685"/>
      <c r="J14" s="685"/>
      <c r="K14" s="685"/>
      <c r="L14" s="685"/>
      <c r="M14" s="685"/>
      <c r="N14" s="685"/>
      <c r="O14" s="685"/>
      <c r="P14" s="685"/>
      <c r="Q14" s="685"/>
      <c r="R14" s="685"/>
      <c r="S14" s="685"/>
      <c r="T14" s="685"/>
      <c r="U14" s="685"/>
      <c r="V14" s="685"/>
      <c r="W14" s="685"/>
      <c r="X14" s="685"/>
      <c r="Y14" s="685"/>
      <c r="Z14" s="685"/>
      <c r="AA14" s="685"/>
      <c r="AB14" s="685"/>
      <c r="AC14" s="685"/>
      <c r="AD14" s="685"/>
      <c r="AE14" s="685"/>
      <c r="AF14" s="685"/>
      <c r="AG14" s="685"/>
      <c r="AH14" s="685"/>
      <c r="AI14" s="685"/>
      <c r="AJ14" s="685"/>
      <c r="AK14" s="685"/>
      <c r="AL14" s="685"/>
      <c r="AM14" s="685"/>
      <c r="AN14" s="685"/>
      <c r="AO14" s="685"/>
      <c r="AP14" s="685"/>
      <c r="AQ14" s="685"/>
      <c r="AR14" s="685"/>
    </row>
    <row r="15" spans="1:44">
      <c r="A15" s="685"/>
      <c r="B15" s="685"/>
      <c r="C15" s="685"/>
      <c r="D15" s="685"/>
      <c r="E15" s="685"/>
      <c r="F15" s="685"/>
      <c r="G15" s="685"/>
      <c r="H15" s="685"/>
      <c r="I15" s="685"/>
      <c r="J15" s="685"/>
      <c r="K15" s="685"/>
      <c r="L15" s="685"/>
      <c r="M15" s="685"/>
      <c r="N15" s="685"/>
      <c r="O15" s="685"/>
      <c r="P15" s="685"/>
      <c r="Q15" s="685"/>
      <c r="R15" s="685"/>
      <c r="S15" s="685"/>
      <c r="T15" s="685"/>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row>
    <row r="16" spans="1:44">
      <c r="A16" s="685"/>
      <c r="B16" s="685"/>
      <c r="C16" s="685"/>
      <c r="D16" s="685"/>
      <c r="E16" s="685"/>
      <c r="F16" s="685"/>
      <c r="G16" s="685"/>
      <c r="H16" s="685"/>
      <c r="I16" s="685"/>
      <c r="J16" s="685"/>
      <c r="K16" s="685"/>
      <c r="L16" s="685"/>
      <c r="M16" s="685"/>
      <c r="N16" s="685"/>
      <c r="O16" s="685"/>
      <c r="P16" s="685"/>
      <c r="Q16" s="685"/>
      <c r="R16" s="685"/>
      <c r="S16" s="685"/>
      <c r="T16" s="685"/>
      <c r="U16" s="685"/>
      <c r="V16" s="685"/>
      <c r="W16" s="685"/>
      <c r="X16" s="685"/>
      <c r="Y16" s="685"/>
      <c r="Z16" s="685"/>
      <c r="AA16" s="685"/>
      <c r="AB16" s="685"/>
      <c r="AC16" s="685"/>
      <c r="AD16" s="685"/>
      <c r="AE16" s="685"/>
      <c r="AF16" s="685"/>
      <c r="AG16" s="685"/>
      <c r="AH16" s="685"/>
      <c r="AI16" s="685"/>
      <c r="AJ16" s="685"/>
      <c r="AK16" s="685"/>
      <c r="AL16" s="685"/>
      <c r="AM16" s="685"/>
      <c r="AN16" s="685"/>
      <c r="AO16" s="685"/>
      <c r="AP16" s="685"/>
      <c r="AQ16" s="685"/>
      <c r="AR16" s="685"/>
    </row>
    <row r="17" spans="1:44">
      <c r="A17" s="685"/>
      <c r="B17" s="685"/>
      <c r="C17" s="685"/>
      <c r="D17" s="685"/>
      <c r="E17" s="685"/>
      <c r="F17" s="685"/>
      <c r="G17" s="685"/>
      <c r="H17" s="685"/>
      <c r="I17" s="685"/>
      <c r="J17" s="685"/>
      <c r="K17" s="685"/>
      <c r="L17" s="685"/>
      <c r="M17" s="685"/>
      <c r="N17" s="685"/>
      <c r="O17" s="685"/>
      <c r="P17" s="685"/>
      <c r="Q17" s="685"/>
      <c r="R17" s="685"/>
      <c r="S17" s="685"/>
      <c r="T17" s="685"/>
      <c r="U17" s="685"/>
      <c r="V17" s="685"/>
      <c r="W17" s="685"/>
      <c r="X17" s="685"/>
      <c r="Y17" s="685"/>
      <c r="Z17" s="685"/>
      <c r="AA17" s="685"/>
      <c r="AB17" s="685"/>
      <c r="AC17" s="685"/>
      <c r="AD17" s="685"/>
      <c r="AE17" s="685"/>
      <c r="AF17" s="685"/>
      <c r="AG17" s="685"/>
      <c r="AH17" s="685"/>
      <c r="AI17" s="685"/>
      <c r="AJ17" s="685"/>
      <c r="AK17" s="685"/>
      <c r="AL17" s="685"/>
      <c r="AM17" s="685"/>
      <c r="AN17" s="685"/>
      <c r="AO17" s="685"/>
      <c r="AP17" s="685"/>
      <c r="AQ17" s="685"/>
      <c r="AR17" s="685"/>
    </row>
    <row r="18" spans="1:44" ht="15.75" customHeight="1">
      <c r="A18" s="685"/>
      <c r="B18" s="685"/>
      <c r="C18" s="685"/>
      <c r="D18" s="685"/>
      <c r="E18" s="685"/>
      <c r="F18" s="685"/>
      <c r="G18" s="685"/>
      <c r="H18" s="685"/>
      <c r="I18" s="685"/>
      <c r="J18" s="685"/>
      <c r="K18" s="685"/>
      <c r="L18" s="685"/>
      <c r="M18" s="685"/>
      <c r="N18" s="685"/>
      <c r="O18" s="685"/>
      <c r="P18" s="685"/>
      <c r="Q18" s="685"/>
      <c r="R18" s="685"/>
      <c r="S18" s="685"/>
      <c r="T18" s="685"/>
      <c r="U18" s="685"/>
      <c r="V18" s="685"/>
      <c r="W18" s="685"/>
      <c r="X18" s="685"/>
      <c r="Y18" s="685"/>
      <c r="Z18" s="685"/>
      <c r="AA18" s="685"/>
      <c r="AB18" s="685"/>
      <c r="AC18" s="685"/>
      <c r="AD18" s="685"/>
      <c r="AE18" s="685"/>
      <c r="AF18" s="685"/>
      <c r="AG18" s="685"/>
      <c r="AH18" s="685"/>
      <c r="AI18" s="685"/>
      <c r="AJ18" s="685"/>
      <c r="AK18" s="685"/>
      <c r="AL18" s="685"/>
      <c r="AM18" s="685"/>
      <c r="AN18" s="685"/>
      <c r="AO18" s="685"/>
      <c r="AP18" s="685"/>
      <c r="AQ18" s="685"/>
      <c r="AR18" s="685"/>
    </row>
    <row r="19" spans="1:44">
      <c r="A19" s="685"/>
      <c r="O19" s="685"/>
      <c r="P19" s="685"/>
      <c r="AD19" s="685"/>
      <c r="AE19" s="685"/>
    </row>
    <row r="20" spans="1:44">
      <c r="A20" s="685"/>
      <c r="B20" s="685"/>
      <c r="C20" s="1295"/>
      <c r="D20" s="1295"/>
      <c r="E20" s="1295"/>
      <c r="F20" s="1295"/>
      <c r="G20" s="1295"/>
      <c r="I20" s="685"/>
      <c r="J20" s="1295"/>
      <c r="K20" s="1295"/>
      <c r="L20" s="1295"/>
      <c r="M20" s="1295"/>
      <c r="N20" s="1295"/>
      <c r="O20" s="685"/>
      <c r="P20" s="685"/>
      <c r="Q20" s="685"/>
      <c r="R20" s="1295"/>
      <c r="S20" s="1295"/>
      <c r="T20" s="1295"/>
      <c r="U20" s="1295"/>
      <c r="V20" s="1295"/>
      <c r="X20" s="685"/>
      <c r="Y20" s="1295"/>
      <c r="Z20" s="1295"/>
      <c r="AA20" s="1295"/>
      <c r="AB20" s="1295"/>
      <c r="AC20" s="1295"/>
      <c r="AD20" s="685"/>
      <c r="AE20" s="685"/>
      <c r="AF20" s="685"/>
      <c r="AG20" s="1295"/>
      <c r="AH20" s="1295"/>
      <c r="AI20" s="1295"/>
      <c r="AJ20" s="1295"/>
      <c r="AK20" s="1295"/>
      <c r="AM20" s="685"/>
      <c r="AN20" s="1295"/>
      <c r="AO20" s="1295"/>
      <c r="AP20" s="1295"/>
      <c r="AQ20" s="1295"/>
      <c r="AR20" s="1295"/>
    </row>
    <row r="21" spans="1:44">
      <c r="A21" s="685"/>
      <c r="B21" s="685"/>
      <c r="C21" s="685"/>
      <c r="D21" s="685"/>
      <c r="E21" s="685"/>
      <c r="F21" s="685"/>
      <c r="G21" s="685"/>
      <c r="H21" s="685"/>
      <c r="I21" s="685"/>
      <c r="J21" s="685"/>
      <c r="K21" s="685"/>
      <c r="L21" s="685"/>
      <c r="M21" s="685"/>
      <c r="N21" s="685"/>
      <c r="O21" s="685"/>
      <c r="P21" s="685"/>
      <c r="Q21" s="685"/>
      <c r="R21" s="685"/>
      <c r="S21" s="685"/>
      <c r="T21" s="685"/>
      <c r="U21" s="685"/>
      <c r="V21" s="685"/>
      <c r="W21" s="685"/>
      <c r="X21" s="685"/>
      <c r="Y21" s="685"/>
      <c r="Z21" s="685"/>
      <c r="AA21" s="685"/>
      <c r="AB21" s="685"/>
      <c r="AC21" s="685"/>
      <c r="AD21" s="685"/>
      <c r="AE21" s="685"/>
      <c r="AF21" s="685"/>
      <c r="AG21" s="685"/>
      <c r="AH21" s="685"/>
      <c r="AI21" s="685"/>
      <c r="AJ21" s="685"/>
      <c r="AK21" s="685"/>
      <c r="AL21" s="685"/>
      <c r="AM21" s="685"/>
      <c r="AN21" s="685"/>
      <c r="AO21" s="685"/>
      <c r="AP21" s="685"/>
      <c r="AQ21" s="685"/>
      <c r="AR21" s="685"/>
    </row>
    <row r="22" spans="1:44">
      <c r="A22" s="685"/>
      <c r="B22" s="685"/>
      <c r="C22" s="685"/>
      <c r="D22" s="685"/>
      <c r="E22" s="685"/>
      <c r="F22" s="685"/>
      <c r="G22" s="685"/>
      <c r="H22" s="685"/>
      <c r="I22" s="685"/>
      <c r="J22" s="685"/>
      <c r="K22" s="685"/>
      <c r="L22" s="685"/>
      <c r="M22" s="685"/>
      <c r="N22" s="685"/>
      <c r="O22" s="685"/>
      <c r="P22" s="685"/>
      <c r="Q22" s="685"/>
      <c r="R22" s="685"/>
      <c r="S22" s="685"/>
      <c r="T22" s="685"/>
      <c r="U22" s="685"/>
      <c r="V22" s="685"/>
      <c r="W22" s="685"/>
      <c r="X22" s="685"/>
      <c r="Y22" s="685"/>
      <c r="Z22" s="685"/>
      <c r="AA22" s="685"/>
      <c r="AB22" s="685"/>
      <c r="AC22" s="685"/>
      <c r="AD22" s="685"/>
      <c r="AE22" s="685"/>
      <c r="AF22" s="685"/>
      <c r="AG22" s="685"/>
      <c r="AH22" s="685"/>
      <c r="AI22" s="685"/>
      <c r="AJ22" s="685"/>
      <c r="AK22" s="685"/>
      <c r="AL22" s="685"/>
      <c r="AM22" s="685"/>
      <c r="AN22" s="685"/>
      <c r="AO22" s="685"/>
      <c r="AP22" s="685"/>
      <c r="AQ22" s="685"/>
      <c r="AR22" s="685"/>
    </row>
    <row r="23" spans="1:44">
      <c r="A23" s="685"/>
      <c r="B23" s="685"/>
      <c r="C23" s="685"/>
      <c r="D23" s="685"/>
      <c r="E23" s="685"/>
      <c r="F23" s="685"/>
      <c r="G23" s="685"/>
      <c r="H23" s="685"/>
      <c r="I23" s="685"/>
      <c r="J23" s="685"/>
      <c r="K23" s="685"/>
      <c r="L23" s="685"/>
      <c r="M23" s="685"/>
      <c r="N23" s="685"/>
      <c r="O23" s="685"/>
      <c r="P23" s="685"/>
      <c r="Q23" s="685"/>
      <c r="R23" s="685"/>
      <c r="S23" s="685"/>
      <c r="T23" s="685"/>
      <c r="U23" s="685"/>
      <c r="V23" s="685"/>
      <c r="W23" s="685"/>
      <c r="X23" s="685"/>
      <c r="Y23" s="685"/>
      <c r="Z23" s="685"/>
      <c r="AA23" s="685"/>
      <c r="AB23" s="685"/>
      <c r="AC23" s="685"/>
      <c r="AD23" s="685"/>
      <c r="AE23" s="685"/>
      <c r="AF23" s="685"/>
      <c r="AG23" s="685"/>
      <c r="AH23" s="685"/>
      <c r="AI23" s="685"/>
      <c r="AJ23" s="685"/>
      <c r="AK23" s="685"/>
      <c r="AL23" s="685"/>
      <c r="AM23" s="685"/>
      <c r="AN23" s="685"/>
      <c r="AO23" s="685"/>
      <c r="AP23" s="685"/>
      <c r="AQ23" s="685"/>
      <c r="AR23" s="685"/>
    </row>
    <row r="24" spans="1:44">
      <c r="A24" s="685"/>
      <c r="B24" s="685"/>
      <c r="C24" s="685"/>
      <c r="D24" s="685"/>
      <c r="E24" s="685"/>
      <c r="F24" s="685"/>
      <c r="M24" s="685"/>
      <c r="N24" s="685"/>
      <c r="O24" s="685"/>
      <c r="P24" s="685"/>
      <c r="Q24" s="685"/>
      <c r="R24" s="685"/>
      <c r="S24" s="685"/>
      <c r="T24" s="685"/>
      <c r="U24" s="685"/>
      <c r="AB24" s="685"/>
      <c r="AC24" s="685"/>
      <c r="AD24" s="685"/>
      <c r="AE24" s="685"/>
      <c r="AF24" s="685"/>
      <c r="AG24" s="685"/>
      <c r="AH24" s="685"/>
      <c r="AI24" s="685"/>
      <c r="AJ24" s="685"/>
      <c r="AQ24" s="685"/>
      <c r="AR24" s="685"/>
    </row>
    <row r="25" spans="1:44">
      <c r="A25" s="685"/>
      <c r="B25" s="685"/>
      <c r="C25" s="685"/>
      <c r="D25" s="685"/>
      <c r="E25" s="685"/>
      <c r="L25" s="685"/>
      <c r="M25" s="685"/>
      <c r="N25" s="685"/>
      <c r="O25" s="685"/>
      <c r="P25" s="685"/>
      <c r="Q25" s="685"/>
      <c r="R25" s="685"/>
      <c r="S25" s="685"/>
      <c r="T25" s="685"/>
      <c r="AA25" s="685"/>
      <c r="AB25" s="685"/>
      <c r="AC25" s="685"/>
      <c r="AD25" s="685"/>
      <c r="AE25" s="685"/>
      <c r="AF25" s="685"/>
      <c r="AG25" s="685"/>
      <c r="AH25" s="685"/>
      <c r="AI25" s="685"/>
      <c r="AP25" s="685"/>
      <c r="AQ25" s="685"/>
      <c r="AR25" s="685"/>
    </row>
    <row r="26" spans="1:44">
      <c r="A26" s="685"/>
      <c r="B26" s="685"/>
      <c r="C26" s="685"/>
      <c r="D26" s="685"/>
      <c r="E26" s="685"/>
      <c r="F26" s="685"/>
      <c r="G26" s="685"/>
      <c r="H26" s="685"/>
      <c r="I26" s="685"/>
      <c r="J26" s="685"/>
      <c r="K26" s="685"/>
      <c r="L26" s="685"/>
      <c r="M26" s="685"/>
      <c r="N26" s="685"/>
      <c r="O26" s="685"/>
      <c r="P26" s="685"/>
      <c r="Q26" s="685"/>
      <c r="R26" s="685"/>
      <c r="S26" s="685"/>
      <c r="T26" s="685"/>
      <c r="U26" s="685"/>
      <c r="V26" s="685"/>
      <c r="W26" s="685"/>
      <c r="X26" s="685"/>
      <c r="Y26" s="685"/>
      <c r="Z26" s="685"/>
      <c r="AA26" s="685"/>
      <c r="AB26" s="685"/>
      <c r="AC26" s="685"/>
      <c r="AD26" s="685"/>
      <c r="AE26" s="685"/>
      <c r="AF26" s="685"/>
      <c r="AG26" s="685"/>
      <c r="AH26" s="685"/>
      <c r="AI26" s="685"/>
      <c r="AJ26" s="685"/>
      <c r="AK26" s="685"/>
      <c r="AL26" s="685"/>
      <c r="AM26" s="685"/>
      <c r="AN26" s="685"/>
      <c r="AO26" s="685"/>
      <c r="AP26" s="685"/>
      <c r="AQ26" s="685"/>
      <c r="AR26" s="685"/>
    </row>
    <row r="27" spans="1:44">
      <c r="A27" s="685"/>
      <c r="B27" s="685"/>
      <c r="C27" s="685"/>
      <c r="D27" s="685"/>
      <c r="E27" s="685"/>
      <c r="F27" s="685"/>
      <c r="G27" s="685"/>
      <c r="H27" s="685"/>
      <c r="I27" s="685"/>
      <c r="J27" s="685"/>
      <c r="K27" s="685"/>
      <c r="L27" s="685"/>
      <c r="M27" s="685"/>
      <c r="N27" s="685"/>
      <c r="O27" s="685"/>
      <c r="P27" s="685"/>
      <c r="Q27" s="685"/>
      <c r="R27" s="685"/>
      <c r="S27" s="685"/>
      <c r="T27" s="685"/>
      <c r="U27" s="685"/>
      <c r="V27" s="685"/>
      <c r="W27" s="685"/>
      <c r="X27" s="685"/>
      <c r="Y27" s="685"/>
      <c r="Z27" s="685"/>
      <c r="AA27" s="685"/>
      <c r="AB27" s="685"/>
      <c r="AC27" s="685"/>
      <c r="AD27" s="685"/>
      <c r="AE27" s="685"/>
      <c r="AF27" s="685"/>
      <c r="AG27" s="685"/>
      <c r="AH27" s="685"/>
      <c r="AI27" s="685"/>
      <c r="AJ27" s="685"/>
      <c r="AK27" s="685"/>
      <c r="AL27" s="685"/>
      <c r="AM27" s="685"/>
      <c r="AN27" s="685"/>
      <c r="AO27" s="685"/>
      <c r="AP27" s="685"/>
      <c r="AQ27" s="685"/>
      <c r="AR27" s="685"/>
    </row>
    <row r="28" spans="1:44">
      <c r="A28" s="685"/>
      <c r="B28" s="685"/>
      <c r="C28" s="685"/>
      <c r="D28" s="685"/>
      <c r="E28" s="685"/>
      <c r="F28" s="685"/>
      <c r="G28" s="685"/>
      <c r="H28" s="685"/>
      <c r="I28" s="685"/>
      <c r="J28" s="685"/>
      <c r="K28" s="685"/>
      <c r="L28" s="685"/>
      <c r="M28" s="685"/>
      <c r="N28" s="685"/>
      <c r="O28" s="685"/>
      <c r="P28" s="685"/>
      <c r="Q28" s="685"/>
      <c r="R28" s="685"/>
      <c r="S28" s="685"/>
      <c r="T28" s="685"/>
      <c r="U28" s="685"/>
      <c r="V28" s="685"/>
      <c r="W28" s="685"/>
      <c r="X28" s="685"/>
      <c r="Y28" s="685"/>
      <c r="Z28" s="685"/>
      <c r="AA28" s="685"/>
      <c r="AB28" s="685"/>
      <c r="AC28" s="685"/>
      <c r="AD28" s="685"/>
      <c r="AE28" s="685"/>
      <c r="AF28" s="685"/>
      <c r="AG28" s="685"/>
      <c r="AH28" s="685"/>
      <c r="AI28" s="685"/>
      <c r="AJ28" s="685"/>
      <c r="AK28" s="685"/>
      <c r="AL28" s="685"/>
      <c r="AM28" s="685"/>
      <c r="AN28" s="685"/>
      <c r="AO28" s="685"/>
      <c r="AP28" s="685"/>
      <c r="AQ28" s="685"/>
      <c r="AR28" s="685"/>
    </row>
    <row r="29" spans="1:44" ht="15">
      <c r="G29" s="690"/>
      <c r="V29" s="690"/>
      <c r="AK29" s="690"/>
    </row>
    <row r="30" spans="1:44" ht="15">
      <c r="G30" s="690"/>
      <c r="V30" s="690"/>
      <c r="AK30" s="690"/>
    </row>
    <row r="31" spans="1:44">
      <c r="A31" s="685"/>
      <c r="B31" s="685"/>
      <c r="C31" s="685"/>
      <c r="D31" s="685"/>
      <c r="E31" s="685"/>
      <c r="F31" s="685"/>
      <c r="G31" s="685"/>
      <c r="H31" s="685"/>
      <c r="I31" s="685"/>
      <c r="J31" s="685"/>
      <c r="K31" s="685"/>
      <c r="L31" s="685"/>
      <c r="M31" s="685"/>
      <c r="N31" s="685"/>
      <c r="O31" s="685"/>
      <c r="P31" s="685"/>
      <c r="Q31" s="685"/>
      <c r="R31" s="685"/>
      <c r="S31" s="685"/>
      <c r="T31" s="685"/>
      <c r="U31" s="685"/>
      <c r="V31" s="685"/>
      <c r="W31" s="685"/>
      <c r="X31" s="685"/>
      <c r="Y31" s="685"/>
      <c r="Z31" s="685"/>
      <c r="AA31" s="685"/>
      <c r="AB31" s="685"/>
      <c r="AC31" s="685"/>
      <c r="AD31" s="685"/>
      <c r="AE31" s="685"/>
      <c r="AF31" s="685"/>
      <c r="AG31" s="685"/>
      <c r="AH31" s="685"/>
      <c r="AI31" s="685"/>
      <c r="AJ31" s="685"/>
      <c r="AK31" s="685"/>
      <c r="AL31" s="685"/>
      <c r="AM31" s="685"/>
      <c r="AN31" s="685"/>
      <c r="AO31" s="685"/>
      <c r="AP31" s="685"/>
      <c r="AQ31" s="685"/>
      <c r="AR31" s="685"/>
    </row>
    <row r="32" spans="1:44" s="696" customFormat="1" ht="28.15" customHeight="1">
      <c r="A32" s="695"/>
      <c r="B32" s="1294" t="s">
        <v>4633</v>
      </c>
      <c r="C32" s="1294"/>
      <c r="D32" s="1294"/>
      <c r="E32" s="1294"/>
      <c r="F32" s="1294"/>
      <c r="G32" s="1294"/>
      <c r="H32" s="1294"/>
      <c r="I32" s="1294"/>
      <c r="J32" s="1294"/>
      <c r="K32" s="1294"/>
      <c r="L32" s="1294"/>
      <c r="M32" s="1294"/>
      <c r="N32" s="1294"/>
      <c r="O32" s="695"/>
      <c r="P32" s="695"/>
      <c r="Q32" s="1294" t="s">
        <v>4634</v>
      </c>
      <c r="R32" s="1294"/>
      <c r="S32" s="1294"/>
      <c r="T32" s="1294"/>
      <c r="U32" s="1294"/>
      <c r="V32" s="1294"/>
      <c r="W32" s="1294"/>
      <c r="X32" s="1294"/>
      <c r="Y32" s="1294"/>
      <c r="Z32" s="1294"/>
      <c r="AA32" s="1294"/>
      <c r="AB32" s="1294"/>
      <c r="AC32" s="1294"/>
      <c r="AD32" s="695"/>
      <c r="AE32" s="695"/>
      <c r="AF32" s="1294"/>
      <c r="AG32" s="1294"/>
      <c r="AH32" s="1294"/>
      <c r="AI32" s="1294"/>
      <c r="AJ32" s="1294"/>
      <c r="AK32" s="1294"/>
      <c r="AL32" s="1294"/>
      <c r="AM32" s="1294"/>
      <c r="AN32" s="1294"/>
      <c r="AO32" s="1294"/>
      <c r="AP32" s="1294"/>
      <c r="AQ32" s="1294"/>
      <c r="AR32" s="1294"/>
    </row>
    <row r="33" spans="1:44">
      <c r="A33" s="685"/>
      <c r="B33" s="685"/>
      <c r="C33" s="685"/>
      <c r="D33" s="685"/>
      <c r="E33" s="685"/>
      <c r="F33" s="685"/>
      <c r="G33" s="685"/>
      <c r="H33" s="685"/>
      <c r="I33" s="685"/>
      <c r="J33" s="685"/>
      <c r="K33" s="685"/>
      <c r="L33" s="685"/>
      <c r="M33" s="685"/>
      <c r="N33" s="685"/>
      <c r="O33" s="685"/>
      <c r="P33" s="685"/>
      <c r="Q33" s="685"/>
      <c r="R33" s="685"/>
      <c r="S33" s="685"/>
      <c r="T33" s="685"/>
      <c r="U33" s="685"/>
      <c r="V33" s="685"/>
      <c r="W33" s="685"/>
      <c r="X33" s="685"/>
      <c r="Y33" s="685"/>
      <c r="Z33" s="685"/>
      <c r="AA33" s="685"/>
      <c r="AB33" s="685"/>
      <c r="AC33" s="685"/>
      <c r="AD33" s="685"/>
      <c r="AE33" s="685"/>
      <c r="AF33" s="685"/>
      <c r="AG33" s="685"/>
      <c r="AH33" s="685"/>
      <c r="AI33" s="685"/>
      <c r="AJ33" s="685"/>
      <c r="AK33" s="685"/>
      <c r="AL33" s="685"/>
      <c r="AM33" s="685"/>
      <c r="AN33" s="685"/>
      <c r="AO33" s="685"/>
      <c r="AP33" s="685"/>
      <c r="AQ33" s="685"/>
      <c r="AR33" s="685"/>
    </row>
    <row r="34" spans="1:44">
      <c r="A34" s="685"/>
      <c r="B34" s="685"/>
      <c r="C34" s="685"/>
      <c r="D34" s="685"/>
      <c r="E34" s="685"/>
      <c r="F34" s="685"/>
      <c r="G34" s="685"/>
      <c r="H34" s="685"/>
      <c r="I34" s="685"/>
      <c r="J34" s="685"/>
      <c r="K34" s="685"/>
      <c r="L34" s="685"/>
      <c r="M34" s="685"/>
      <c r="N34" s="685"/>
      <c r="O34" s="685"/>
      <c r="P34" s="685"/>
      <c r="Q34" s="685"/>
      <c r="R34" s="685"/>
      <c r="S34" s="685"/>
      <c r="T34" s="685"/>
      <c r="U34" s="685"/>
      <c r="V34" s="685"/>
      <c r="W34" s="685"/>
      <c r="X34" s="685"/>
      <c r="Y34" s="685"/>
      <c r="Z34" s="685"/>
      <c r="AA34" s="685"/>
      <c r="AB34" s="685"/>
      <c r="AC34" s="685"/>
      <c r="AD34" s="685"/>
      <c r="AE34" s="685"/>
      <c r="AF34" s="685"/>
      <c r="AG34" s="685"/>
      <c r="AH34" s="685"/>
      <c r="AI34" s="685"/>
      <c r="AJ34" s="685"/>
      <c r="AK34" s="685"/>
      <c r="AL34" s="685"/>
      <c r="AM34" s="685"/>
      <c r="AN34" s="685"/>
      <c r="AO34" s="685"/>
      <c r="AP34" s="685"/>
      <c r="AQ34" s="685"/>
      <c r="AR34" s="685"/>
    </row>
    <row r="35" spans="1:44">
      <c r="A35" s="685"/>
      <c r="B35" s="685"/>
      <c r="C35" s="685"/>
      <c r="D35" s="685"/>
      <c r="E35" s="685"/>
      <c r="F35" s="685"/>
      <c r="G35" s="685"/>
      <c r="H35" s="685"/>
      <c r="I35" s="685"/>
      <c r="J35" s="685"/>
      <c r="K35" s="685"/>
      <c r="L35" s="685"/>
      <c r="M35" s="685"/>
      <c r="N35" s="685"/>
      <c r="O35" s="685"/>
      <c r="P35" s="685"/>
      <c r="Q35" s="685"/>
      <c r="R35" s="685"/>
      <c r="S35" s="685"/>
      <c r="T35" s="685"/>
      <c r="U35" s="685"/>
      <c r="V35" s="685"/>
      <c r="W35" s="685"/>
      <c r="X35" s="685"/>
      <c r="Y35" s="685"/>
      <c r="Z35" s="685"/>
      <c r="AA35" s="685"/>
      <c r="AB35" s="685"/>
      <c r="AC35" s="685"/>
      <c r="AD35" s="685"/>
      <c r="AE35" s="685"/>
      <c r="AF35" s="685"/>
      <c r="AG35" s="685"/>
      <c r="AH35" s="685"/>
      <c r="AI35" s="685"/>
      <c r="AJ35" s="685"/>
      <c r="AK35" s="685"/>
      <c r="AL35" s="685"/>
      <c r="AM35" s="685"/>
      <c r="AN35" s="685"/>
      <c r="AO35" s="685"/>
      <c r="AP35" s="685"/>
      <c r="AQ35" s="685"/>
      <c r="AR35" s="685"/>
    </row>
    <row r="36" spans="1:44">
      <c r="A36" s="685"/>
      <c r="B36" s="685"/>
      <c r="C36" s="685"/>
      <c r="D36" s="685"/>
      <c r="E36" s="685"/>
      <c r="L36" s="685"/>
      <c r="M36" s="685"/>
      <c r="N36" s="685"/>
      <c r="O36" s="685"/>
      <c r="P36" s="685"/>
      <c r="Q36" s="685"/>
      <c r="R36" s="685"/>
      <c r="S36" s="685"/>
      <c r="T36" s="685"/>
      <c r="AA36" s="685"/>
      <c r="AB36" s="685"/>
      <c r="AC36" s="685"/>
      <c r="AD36" s="685"/>
      <c r="AE36" s="685"/>
      <c r="AF36" s="685"/>
      <c r="AG36" s="685"/>
      <c r="AH36" s="685"/>
      <c r="AI36" s="685"/>
      <c r="AP36" s="685"/>
      <c r="AQ36" s="685"/>
      <c r="AR36" s="685"/>
    </row>
    <row r="37" spans="1:44">
      <c r="A37" s="685"/>
      <c r="B37" s="685"/>
      <c r="C37" s="685"/>
      <c r="D37" s="685"/>
      <c r="E37" s="685"/>
      <c r="F37" s="685"/>
      <c r="G37" s="685"/>
      <c r="H37" s="685"/>
      <c r="I37" s="685"/>
      <c r="J37" s="685"/>
      <c r="K37" s="685"/>
      <c r="L37" s="685"/>
      <c r="M37" s="685"/>
      <c r="N37" s="685"/>
      <c r="O37" s="685"/>
      <c r="P37" s="685"/>
      <c r="Q37" s="685"/>
      <c r="R37" s="685"/>
      <c r="S37" s="685"/>
      <c r="T37" s="685"/>
      <c r="U37" s="685"/>
      <c r="V37" s="685"/>
      <c r="W37" s="685"/>
      <c r="X37" s="685"/>
      <c r="Y37" s="685"/>
      <c r="Z37" s="685"/>
      <c r="AA37" s="685"/>
      <c r="AB37" s="685"/>
      <c r="AC37" s="685"/>
      <c r="AD37" s="685"/>
      <c r="AE37" s="685"/>
      <c r="AF37" s="685"/>
      <c r="AG37" s="685"/>
      <c r="AH37" s="685"/>
      <c r="AI37" s="685"/>
      <c r="AJ37" s="685"/>
      <c r="AK37" s="685"/>
      <c r="AL37" s="685"/>
      <c r="AM37" s="685"/>
      <c r="AN37" s="685"/>
      <c r="AO37" s="685"/>
      <c r="AP37" s="685"/>
      <c r="AQ37" s="685"/>
      <c r="AR37" s="685"/>
    </row>
    <row r="38" spans="1:44">
      <c r="A38" s="685"/>
      <c r="O38" s="685"/>
      <c r="P38" s="685"/>
      <c r="AD38" s="685"/>
      <c r="AE38" s="685"/>
    </row>
    <row r="39" spans="1:44">
      <c r="A39" s="685"/>
      <c r="B39" s="685"/>
      <c r="C39" s="1295"/>
      <c r="D39" s="1295"/>
      <c r="E39" s="1295"/>
      <c r="F39" s="1295"/>
      <c r="G39" s="1295"/>
      <c r="I39" s="685"/>
      <c r="J39" s="1295"/>
      <c r="K39" s="1295"/>
      <c r="L39" s="1295"/>
      <c r="M39" s="1295"/>
      <c r="N39" s="1295"/>
      <c r="O39" s="685"/>
      <c r="P39" s="685"/>
      <c r="Q39" s="685"/>
      <c r="R39" s="1295"/>
      <c r="S39" s="1295"/>
      <c r="T39" s="1295"/>
      <c r="U39" s="1295"/>
      <c r="V39" s="1295"/>
      <c r="X39" s="685"/>
      <c r="Y39" s="1295"/>
      <c r="Z39" s="1295"/>
      <c r="AA39" s="1295"/>
      <c r="AB39" s="1295"/>
      <c r="AC39" s="1295"/>
      <c r="AD39" s="685"/>
      <c r="AE39" s="685"/>
      <c r="AF39" s="685"/>
      <c r="AG39" s="1295"/>
      <c r="AH39" s="1295"/>
      <c r="AI39" s="1295"/>
      <c r="AJ39" s="1295"/>
      <c r="AK39" s="1295"/>
      <c r="AM39" s="685"/>
      <c r="AN39" s="1295"/>
      <c r="AO39" s="1295"/>
      <c r="AP39" s="1295"/>
      <c r="AQ39" s="1295"/>
      <c r="AR39" s="1295"/>
    </row>
    <row r="40" spans="1:44">
      <c r="A40" s="685"/>
      <c r="O40" s="685"/>
      <c r="P40" s="685"/>
      <c r="AD40" s="685"/>
      <c r="AE40" s="685"/>
    </row>
    <row r="41" spans="1:44">
      <c r="A41" s="685"/>
      <c r="O41" s="685"/>
      <c r="P41" s="685"/>
      <c r="AD41" s="685"/>
      <c r="AE41" s="685"/>
    </row>
    <row r="42" spans="1:44">
      <c r="A42" s="685"/>
      <c r="O42" s="685"/>
      <c r="P42" s="685"/>
      <c r="AD42" s="685"/>
      <c r="AE42" s="685"/>
    </row>
    <row r="43" spans="1:44">
      <c r="A43" s="685"/>
      <c r="O43" s="685"/>
      <c r="P43" s="685"/>
      <c r="AD43" s="685"/>
      <c r="AE43" s="685"/>
    </row>
    <row r="44" spans="1:44">
      <c r="A44" s="685"/>
      <c r="O44" s="685"/>
      <c r="P44" s="685"/>
      <c r="AD44" s="685"/>
      <c r="AE44" s="685"/>
    </row>
    <row r="45" spans="1:44">
      <c r="A45" s="685"/>
      <c r="B45" s="685"/>
      <c r="C45" s="685"/>
      <c r="D45" s="685"/>
      <c r="M45" s="685"/>
      <c r="N45" s="685"/>
      <c r="O45" s="685"/>
      <c r="P45" s="685"/>
      <c r="Q45" s="685"/>
      <c r="R45" s="685"/>
      <c r="S45" s="685"/>
      <c r="AB45" s="685"/>
      <c r="AC45" s="685"/>
      <c r="AD45" s="685"/>
      <c r="AE45" s="685"/>
      <c r="AF45" s="685"/>
      <c r="AG45" s="685"/>
      <c r="AH45" s="685"/>
      <c r="AQ45" s="685"/>
      <c r="AR45" s="685"/>
    </row>
    <row r="46" spans="1:44">
      <c r="A46" s="685"/>
      <c r="B46" s="685"/>
      <c r="C46" s="685"/>
      <c r="D46" s="685"/>
      <c r="E46" s="685"/>
      <c r="L46" s="685"/>
      <c r="M46" s="685"/>
      <c r="N46" s="685"/>
      <c r="O46" s="685"/>
      <c r="P46" s="685"/>
      <c r="Q46" s="685"/>
      <c r="R46" s="685"/>
      <c r="S46" s="685"/>
      <c r="T46" s="685"/>
      <c r="AA46" s="685"/>
      <c r="AB46" s="685"/>
      <c r="AC46" s="685"/>
      <c r="AD46" s="685"/>
      <c r="AE46" s="685"/>
      <c r="AF46" s="685"/>
      <c r="AG46" s="685"/>
      <c r="AH46" s="685"/>
      <c r="AI46" s="685"/>
      <c r="AP46" s="685"/>
      <c r="AQ46" s="685"/>
      <c r="AR46" s="685"/>
    </row>
    <row r="47" spans="1:44">
      <c r="A47" s="685"/>
      <c r="B47" s="685"/>
      <c r="C47" s="685"/>
      <c r="D47" s="685"/>
      <c r="E47" s="685"/>
      <c r="F47" s="685"/>
      <c r="G47" s="685"/>
      <c r="H47" s="685"/>
      <c r="I47" s="685"/>
      <c r="J47" s="685"/>
      <c r="K47" s="685"/>
      <c r="L47" s="685"/>
      <c r="M47" s="685"/>
      <c r="N47" s="685"/>
      <c r="O47" s="685"/>
      <c r="P47" s="685"/>
      <c r="Q47" s="685"/>
      <c r="R47" s="685"/>
      <c r="S47" s="685"/>
      <c r="T47" s="685"/>
      <c r="U47" s="685"/>
      <c r="V47" s="685"/>
      <c r="W47" s="685"/>
      <c r="X47" s="685"/>
      <c r="Y47" s="685"/>
      <c r="Z47" s="685"/>
      <c r="AA47" s="685"/>
      <c r="AB47" s="685"/>
      <c r="AC47" s="685"/>
      <c r="AD47" s="685"/>
      <c r="AE47" s="685"/>
      <c r="AF47" s="685"/>
      <c r="AG47" s="685"/>
      <c r="AH47" s="685"/>
      <c r="AI47" s="685"/>
      <c r="AJ47" s="685"/>
      <c r="AK47" s="685"/>
      <c r="AL47" s="685"/>
      <c r="AM47" s="685"/>
      <c r="AN47" s="685"/>
      <c r="AO47" s="685"/>
      <c r="AP47" s="685"/>
      <c r="AQ47" s="685"/>
      <c r="AR47" s="685"/>
    </row>
    <row r="48" spans="1:44">
      <c r="A48" s="685"/>
      <c r="B48" s="685"/>
      <c r="C48" s="685"/>
      <c r="D48" s="685"/>
      <c r="E48" s="685"/>
      <c r="F48" s="685"/>
      <c r="G48" s="685"/>
      <c r="H48" s="685"/>
      <c r="I48" s="685"/>
      <c r="J48" s="685"/>
      <c r="K48" s="685"/>
      <c r="L48" s="685"/>
      <c r="M48" s="685"/>
      <c r="N48" s="685"/>
      <c r="O48" s="685"/>
      <c r="P48" s="685"/>
      <c r="Q48" s="685"/>
      <c r="R48" s="685"/>
      <c r="S48" s="685"/>
      <c r="T48" s="685"/>
      <c r="U48" s="685"/>
      <c r="V48" s="685"/>
      <c r="W48" s="685"/>
      <c r="X48" s="685"/>
      <c r="Y48" s="685"/>
      <c r="Z48" s="685"/>
      <c r="AA48" s="685"/>
      <c r="AB48" s="685"/>
      <c r="AC48" s="685"/>
      <c r="AD48" s="685"/>
      <c r="AE48" s="685"/>
      <c r="AF48" s="685"/>
      <c r="AG48" s="685"/>
      <c r="AH48" s="685"/>
      <c r="AI48" s="685"/>
      <c r="AJ48" s="685"/>
      <c r="AK48" s="685"/>
      <c r="AL48" s="685"/>
      <c r="AM48" s="685"/>
      <c r="AN48" s="685"/>
      <c r="AO48" s="685"/>
      <c r="AP48" s="685"/>
      <c r="AQ48" s="685"/>
      <c r="AR48" s="685"/>
    </row>
    <row r="49" spans="1:44">
      <c r="A49" s="685"/>
      <c r="B49" s="685"/>
      <c r="C49" s="685"/>
      <c r="D49" s="685"/>
      <c r="E49" s="685"/>
      <c r="F49" s="685"/>
      <c r="G49" s="685"/>
      <c r="H49" s="685"/>
      <c r="I49" s="685"/>
      <c r="J49" s="685"/>
      <c r="K49" s="685"/>
      <c r="L49" s="685"/>
      <c r="M49" s="685"/>
      <c r="N49" s="685"/>
      <c r="O49" s="685"/>
      <c r="P49" s="685"/>
      <c r="Q49" s="685"/>
      <c r="R49" s="685"/>
      <c r="S49" s="685"/>
      <c r="T49" s="685"/>
      <c r="U49" s="685"/>
      <c r="V49" s="685"/>
      <c r="W49" s="685"/>
      <c r="X49" s="685"/>
      <c r="Y49" s="685"/>
      <c r="Z49" s="685"/>
      <c r="AA49" s="685"/>
      <c r="AB49" s="685"/>
      <c r="AC49" s="685"/>
      <c r="AD49" s="685"/>
      <c r="AE49" s="685"/>
      <c r="AF49" s="685"/>
      <c r="AG49" s="685"/>
      <c r="AH49" s="685"/>
      <c r="AI49" s="685"/>
      <c r="AJ49" s="685"/>
      <c r="AK49" s="685"/>
      <c r="AL49" s="685"/>
      <c r="AM49" s="685"/>
      <c r="AN49" s="685"/>
      <c r="AO49" s="685"/>
      <c r="AP49" s="685"/>
      <c r="AQ49" s="685"/>
      <c r="AR49" s="685"/>
    </row>
    <row r="50" spans="1:44">
      <c r="A50" s="685"/>
      <c r="B50" s="685"/>
      <c r="C50" s="685"/>
      <c r="D50" s="685"/>
      <c r="E50" s="685"/>
      <c r="F50" s="685"/>
      <c r="G50" s="685"/>
      <c r="H50" s="685"/>
      <c r="I50" s="685"/>
      <c r="J50" s="685"/>
      <c r="K50" s="685"/>
      <c r="L50" s="685"/>
      <c r="M50" s="685"/>
      <c r="N50" s="685"/>
      <c r="O50" s="685"/>
      <c r="P50" s="685"/>
      <c r="Q50" s="685"/>
      <c r="R50" s="685"/>
      <c r="S50" s="685"/>
      <c r="T50" s="685"/>
      <c r="U50" s="685"/>
      <c r="V50" s="685"/>
      <c r="W50" s="685"/>
      <c r="X50" s="685"/>
      <c r="Y50" s="685"/>
      <c r="Z50" s="685"/>
      <c r="AA50" s="685"/>
      <c r="AB50" s="685"/>
      <c r="AC50" s="685"/>
      <c r="AD50" s="685"/>
      <c r="AE50" s="685"/>
      <c r="AF50" s="685"/>
      <c r="AG50" s="685"/>
      <c r="AH50" s="685"/>
      <c r="AI50" s="685"/>
      <c r="AJ50" s="685"/>
      <c r="AK50" s="685"/>
      <c r="AL50" s="685"/>
      <c r="AM50" s="685"/>
      <c r="AN50" s="685"/>
      <c r="AO50" s="685"/>
      <c r="AP50" s="685"/>
      <c r="AQ50" s="685"/>
      <c r="AR50" s="685"/>
    </row>
    <row r="51" spans="1:44">
      <c r="A51" s="685"/>
      <c r="B51" s="685"/>
      <c r="C51" s="685"/>
      <c r="D51" s="685"/>
      <c r="E51" s="685"/>
      <c r="F51" s="685"/>
      <c r="M51" s="685"/>
      <c r="N51" s="685"/>
      <c r="O51" s="685"/>
      <c r="P51" s="685"/>
      <c r="Q51" s="685"/>
      <c r="R51" s="685"/>
      <c r="S51" s="685"/>
      <c r="T51" s="685"/>
      <c r="U51" s="685"/>
      <c r="AB51" s="685"/>
      <c r="AC51" s="685"/>
      <c r="AD51" s="685"/>
      <c r="AE51" s="685"/>
      <c r="AF51" s="685"/>
      <c r="AG51" s="685"/>
      <c r="AH51" s="685"/>
      <c r="AI51" s="685"/>
      <c r="AJ51" s="685"/>
      <c r="AQ51" s="685"/>
      <c r="AR51" s="685"/>
    </row>
    <row r="52" spans="1:44">
      <c r="A52" s="685"/>
      <c r="B52" s="685"/>
      <c r="C52" s="685"/>
      <c r="D52" s="685"/>
      <c r="E52" s="685"/>
      <c r="F52" s="685"/>
      <c r="G52" s="685"/>
      <c r="H52" s="685"/>
      <c r="I52" s="685"/>
      <c r="J52" s="685"/>
      <c r="K52" s="685"/>
      <c r="L52" s="685"/>
      <c r="M52" s="685"/>
      <c r="N52" s="685"/>
      <c r="O52" s="685"/>
      <c r="P52" s="685"/>
      <c r="Q52" s="685"/>
      <c r="R52" s="685"/>
      <c r="S52" s="685"/>
      <c r="T52" s="685"/>
      <c r="U52" s="685"/>
      <c r="V52" s="685"/>
      <c r="W52" s="685"/>
      <c r="X52" s="685"/>
      <c r="Y52" s="685"/>
      <c r="Z52" s="685"/>
      <c r="AA52" s="685"/>
      <c r="AB52" s="685"/>
      <c r="AC52" s="685"/>
      <c r="AD52" s="685"/>
      <c r="AE52" s="685"/>
      <c r="AF52" s="685"/>
      <c r="AG52" s="685"/>
      <c r="AH52" s="685"/>
      <c r="AI52" s="685"/>
      <c r="AJ52" s="685"/>
      <c r="AK52" s="685"/>
      <c r="AL52" s="685"/>
      <c r="AM52" s="685"/>
      <c r="AN52" s="685"/>
      <c r="AO52" s="685"/>
      <c r="AP52" s="685"/>
      <c r="AQ52" s="685"/>
      <c r="AR52" s="685"/>
    </row>
    <row r="53" spans="1:44">
      <c r="A53" s="691"/>
      <c r="B53" s="691"/>
      <c r="C53" s="692"/>
      <c r="D53" s="692"/>
      <c r="E53" s="692"/>
      <c r="F53" s="692"/>
      <c r="G53" s="685"/>
      <c r="H53" s="691"/>
      <c r="I53" s="691"/>
      <c r="J53" s="691"/>
      <c r="K53" s="692"/>
      <c r="L53" s="692"/>
      <c r="M53" s="692"/>
      <c r="N53" s="692"/>
      <c r="O53" s="691"/>
      <c r="P53" s="691"/>
      <c r="Q53" s="691"/>
      <c r="R53" s="692"/>
      <c r="S53" s="692"/>
      <c r="T53" s="692"/>
      <c r="U53" s="692"/>
      <c r="V53" s="685"/>
      <c r="W53" s="691"/>
      <c r="X53" s="691"/>
      <c r="Y53" s="691"/>
      <c r="Z53" s="692"/>
      <c r="AA53" s="692"/>
      <c r="AB53" s="692"/>
      <c r="AC53" s="692"/>
      <c r="AD53" s="691"/>
      <c r="AE53" s="691"/>
      <c r="AF53" s="691"/>
      <c r="AG53" s="692"/>
      <c r="AH53" s="692"/>
      <c r="AI53" s="692"/>
      <c r="AJ53" s="692"/>
      <c r="AK53" s="685"/>
      <c r="AL53" s="691"/>
      <c r="AM53" s="691"/>
      <c r="AN53" s="691"/>
      <c r="AO53" s="692"/>
      <c r="AP53" s="692"/>
      <c r="AQ53" s="692"/>
      <c r="AR53" s="692"/>
    </row>
    <row r="54" spans="1:44">
      <c r="A54" s="691"/>
      <c r="B54" s="691"/>
      <c r="C54" s="692"/>
      <c r="D54" s="692"/>
      <c r="E54" s="692"/>
      <c r="F54" s="692"/>
      <c r="G54" s="685"/>
      <c r="H54" s="691"/>
      <c r="I54" s="691"/>
      <c r="J54" s="691"/>
      <c r="K54" s="692"/>
      <c r="L54" s="692"/>
      <c r="M54" s="692"/>
      <c r="N54" s="692"/>
      <c r="O54" s="691"/>
      <c r="P54" s="691"/>
      <c r="Q54" s="691"/>
      <c r="R54" s="692"/>
      <c r="S54" s="692"/>
      <c r="T54" s="692"/>
      <c r="U54" s="692"/>
      <c r="V54" s="685"/>
      <c r="W54" s="691"/>
      <c r="X54" s="691"/>
      <c r="Y54" s="691"/>
      <c r="Z54" s="692"/>
      <c r="AA54" s="692"/>
      <c r="AB54" s="692"/>
      <c r="AC54" s="692"/>
      <c r="AD54" s="691"/>
      <c r="AE54" s="691"/>
      <c r="AF54" s="691"/>
      <c r="AG54" s="692"/>
      <c r="AH54" s="692"/>
      <c r="AI54" s="692"/>
      <c r="AJ54" s="692"/>
      <c r="AK54" s="685"/>
      <c r="AL54" s="691"/>
      <c r="AM54" s="691"/>
      <c r="AN54" s="691"/>
      <c r="AO54" s="692"/>
      <c r="AP54" s="692"/>
      <c r="AQ54" s="692"/>
      <c r="AR54" s="692"/>
    </row>
    <row r="55" spans="1:44">
      <c r="A55" s="685"/>
      <c r="B55" s="685"/>
      <c r="C55" s="685"/>
      <c r="D55" s="685"/>
      <c r="E55" s="685"/>
      <c r="F55" s="685"/>
      <c r="G55" s="685"/>
      <c r="H55" s="685"/>
      <c r="I55" s="685"/>
      <c r="J55" s="685"/>
      <c r="K55" s="685"/>
      <c r="L55" s="685"/>
      <c r="M55" s="685"/>
      <c r="N55" s="685"/>
      <c r="O55" s="685"/>
      <c r="P55" s="685"/>
      <c r="Q55" s="685"/>
      <c r="R55" s="685"/>
      <c r="S55" s="685"/>
      <c r="T55" s="685"/>
      <c r="U55" s="685"/>
      <c r="V55" s="685"/>
      <c r="W55" s="685"/>
      <c r="X55" s="685"/>
      <c r="Y55" s="685"/>
      <c r="Z55" s="685"/>
      <c r="AA55" s="685"/>
      <c r="AB55" s="685"/>
      <c r="AC55" s="685"/>
      <c r="AD55" s="685"/>
      <c r="AE55" s="685"/>
      <c r="AF55" s="685"/>
      <c r="AG55" s="685"/>
      <c r="AH55" s="685"/>
      <c r="AI55" s="685"/>
      <c r="AJ55" s="685"/>
      <c r="AK55" s="685"/>
      <c r="AL55" s="685"/>
      <c r="AM55" s="685"/>
      <c r="AN55" s="685"/>
      <c r="AO55" s="685"/>
      <c r="AP55" s="685"/>
      <c r="AQ55" s="685"/>
      <c r="AR55" s="685"/>
    </row>
    <row r="56" spans="1:44">
      <c r="A56" s="685"/>
      <c r="B56" s="685"/>
      <c r="C56" s="685"/>
      <c r="D56" s="685"/>
      <c r="E56" s="685"/>
      <c r="L56" s="685"/>
      <c r="M56" s="685"/>
      <c r="N56" s="685"/>
      <c r="O56" s="685"/>
      <c r="P56" s="685"/>
      <c r="Q56" s="685"/>
      <c r="R56" s="685"/>
      <c r="S56" s="685"/>
      <c r="T56" s="685"/>
      <c r="AA56" s="685"/>
      <c r="AB56" s="685"/>
      <c r="AC56" s="685"/>
      <c r="AD56" s="685"/>
      <c r="AE56" s="685"/>
      <c r="AF56" s="685"/>
      <c r="AG56" s="685"/>
      <c r="AH56" s="685"/>
      <c r="AI56" s="685"/>
      <c r="AP56" s="685"/>
      <c r="AQ56" s="685"/>
      <c r="AR56" s="685"/>
    </row>
    <row r="57" spans="1:44" s="689" customFormat="1" ht="15" customHeight="1">
      <c r="A57" s="688"/>
      <c r="B57" s="691"/>
      <c r="C57" s="690"/>
      <c r="D57" s="692"/>
      <c r="E57" s="690"/>
      <c r="F57" s="690"/>
      <c r="G57" s="690"/>
      <c r="H57" s="690"/>
      <c r="I57" s="690"/>
      <c r="J57" s="690"/>
      <c r="K57" s="690"/>
      <c r="L57" s="690"/>
      <c r="M57" s="690"/>
      <c r="N57" s="690"/>
      <c r="O57" s="688"/>
      <c r="P57" s="688"/>
      <c r="Q57" s="691"/>
      <c r="R57" s="690"/>
      <c r="S57" s="692"/>
      <c r="T57" s="690"/>
      <c r="U57" s="690"/>
      <c r="V57" s="690"/>
      <c r="W57" s="690"/>
      <c r="X57" s="690"/>
      <c r="Y57" s="690"/>
      <c r="Z57" s="690"/>
      <c r="AA57" s="690"/>
      <c r="AB57" s="690"/>
      <c r="AC57" s="690"/>
      <c r="AD57" s="688"/>
      <c r="AE57" s="688"/>
      <c r="AF57" s="691"/>
      <c r="AG57" s="690"/>
      <c r="AH57" s="692"/>
      <c r="AI57" s="690"/>
      <c r="AJ57" s="690"/>
      <c r="AK57" s="690"/>
      <c r="AL57" s="690"/>
      <c r="AM57" s="690"/>
      <c r="AN57" s="690"/>
      <c r="AO57" s="690"/>
      <c r="AP57" s="690"/>
      <c r="AQ57" s="690"/>
      <c r="AR57" s="690"/>
    </row>
    <row r="58" spans="1:44" ht="12.75" customHeight="1">
      <c r="A58" s="685"/>
      <c r="O58" s="685"/>
      <c r="P58" s="685"/>
      <c r="AD58" s="685"/>
      <c r="AE58" s="685"/>
    </row>
    <row r="59" spans="1:44">
      <c r="B59" s="685"/>
      <c r="C59" s="1295"/>
      <c r="D59" s="1295"/>
      <c r="E59" s="1295"/>
      <c r="F59" s="1295"/>
      <c r="G59" s="1295"/>
      <c r="I59" s="685"/>
      <c r="J59" s="1295"/>
      <c r="K59" s="1295"/>
      <c r="L59" s="1295"/>
      <c r="M59" s="1295"/>
      <c r="N59" s="1295"/>
      <c r="Q59" s="685"/>
      <c r="R59" s="1295"/>
      <c r="S59" s="1295"/>
      <c r="T59" s="1295"/>
      <c r="U59" s="1295"/>
      <c r="V59" s="1295"/>
      <c r="X59" s="685"/>
      <c r="Y59" s="1295"/>
      <c r="Z59" s="1295"/>
      <c r="AA59" s="1295"/>
      <c r="AB59" s="1295"/>
      <c r="AC59" s="1295"/>
      <c r="AF59" s="685"/>
      <c r="AG59" s="1295"/>
      <c r="AH59" s="1295"/>
      <c r="AI59" s="1295"/>
      <c r="AJ59" s="1295"/>
      <c r="AK59" s="1295"/>
      <c r="AM59" s="685"/>
      <c r="AN59" s="1295"/>
      <c r="AO59" s="1295"/>
      <c r="AP59" s="1295"/>
      <c r="AQ59" s="1295"/>
      <c r="AR59" s="1295"/>
    </row>
    <row r="60" spans="1:44" ht="12.75" hidden="1" customHeight="1">
      <c r="I60" s="685"/>
      <c r="J60" s="1295"/>
      <c r="K60" s="1295"/>
      <c r="L60" s="1295"/>
      <c r="M60" s="1295"/>
      <c r="N60" s="1295"/>
      <c r="X60" s="685"/>
      <c r="Y60" s="1295"/>
      <c r="Z60" s="1295"/>
      <c r="AA60" s="1295"/>
      <c r="AB60" s="1295"/>
      <c r="AC60" s="1295"/>
      <c r="AM60" s="685"/>
      <c r="AN60" s="1295"/>
      <c r="AO60" s="1295"/>
      <c r="AP60" s="1295"/>
      <c r="AQ60" s="1295"/>
      <c r="AR60" s="1295"/>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row r="1001" ht="21.75" customHeight="1"/>
    <row r="1002" ht="21.75" customHeight="1"/>
    <row r="1003" ht="21.75" customHeight="1"/>
    <row r="1004" ht="21.75" customHeight="1"/>
    <row r="1005" ht="21.75" customHeight="1"/>
    <row r="1006" ht="21.75" customHeight="1"/>
    <row r="1007" ht="21.75" customHeight="1"/>
    <row r="1008" ht="21.75" customHeight="1"/>
    <row r="1009" ht="21.75" customHeight="1"/>
    <row r="1010" ht="21.75" customHeight="1"/>
    <row r="1011" ht="21.75" customHeight="1"/>
    <row r="1012" ht="21.75" customHeight="1"/>
    <row r="1013" ht="21.75" customHeight="1"/>
    <row r="1014" ht="21.75" customHeight="1"/>
    <row r="1015" ht="21.75" customHeight="1"/>
    <row r="1016" ht="21.75" customHeight="1"/>
    <row r="1017" ht="21.75" customHeight="1"/>
    <row r="1018" ht="21.75" customHeight="1"/>
    <row r="1019" ht="21.75" customHeight="1"/>
    <row r="1020" ht="21.75" customHeight="1"/>
    <row r="1021" ht="21.75" customHeight="1"/>
    <row r="1022" ht="21.75" customHeight="1"/>
    <row r="1023" ht="21.75" customHeight="1"/>
    <row r="1024" ht="21.75" customHeight="1"/>
    <row r="1025" ht="21.75" customHeight="1"/>
    <row r="1026" ht="21.75" customHeight="1"/>
    <row r="1027" ht="21.75" customHeight="1"/>
    <row r="1028" ht="21.75" customHeight="1"/>
    <row r="1029" ht="21.75" customHeight="1"/>
    <row r="1030" ht="21.75" customHeight="1"/>
    <row r="1031" ht="21.75" customHeight="1"/>
    <row r="1032" ht="21.75" customHeight="1"/>
    <row r="1033" ht="21.75" customHeight="1"/>
    <row r="1034" ht="21.75" customHeight="1"/>
    <row r="1035" ht="21.75" customHeight="1"/>
    <row r="1036" ht="21.75" customHeight="1"/>
    <row r="1037" ht="21.75" customHeight="1"/>
    <row r="1038" ht="21.75" customHeight="1"/>
    <row r="1039" ht="21.75" customHeight="1"/>
    <row r="1040" ht="21.75" customHeight="1"/>
    <row r="1041" ht="21.75" customHeight="1"/>
    <row r="1042" ht="21.75" customHeight="1"/>
    <row r="1043" ht="21.75" customHeight="1"/>
    <row r="1044" ht="21.75" customHeight="1"/>
    <row r="1045" ht="21.75" customHeight="1"/>
    <row r="1046" ht="21.75" customHeight="1"/>
    <row r="1047" ht="21.75" customHeight="1"/>
    <row r="1048" ht="21.75" customHeight="1"/>
    <row r="1049" ht="21.75" customHeight="1"/>
    <row r="1050" ht="21.75" customHeight="1"/>
    <row r="1051" ht="21.75" customHeight="1"/>
    <row r="1052" ht="21.75" customHeight="1"/>
    <row r="1053" ht="21.75" customHeight="1"/>
    <row r="1054" ht="21.75" customHeight="1"/>
    <row r="1055" ht="21.75" customHeight="1"/>
    <row r="1056" ht="21.75" customHeight="1"/>
    <row r="1057" ht="21.75" customHeight="1"/>
    <row r="1058" ht="21.75" customHeight="1"/>
    <row r="1059" ht="21.75" customHeight="1"/>
    <row r="1060" ht="21.75" customHeight="1"/>
    <row r="1061" ht="21.75" customHeight="1"/>
    <row r="1062" ht="21.75" customHeight="1"/>
    <row r="1063" ht="21.75" customHeight="1"/>
    <row r="1064" ht="21.75" customHeight="1"/>
    <row r="1065" ht="21.75" customHeight="1"/>
    <row r="1066" ht="21.75" customHeight="1"/>
    <row r="1067" ht="21.75" customHeight="1"/>
    <row r="1068" ht="21.75" customHeight="1"/>
    <row r="1069" ht="21.75" customHeight="1"/>
    <row r="1070" ht="21.75" customHeight="1"/>
    <row r="1071" ht="21.75" customHeight="1"/>
    <row r="1072" ht="21.75" customHeight="1"/>
    <row r="1073" ht="21.75" customHeight="1"/>
    <row r="1074" ht="21.75" customHeight="1"/>
    <row r="1075" ht="21.75" customHeight="1"/>
    <row r="1076" ht="21.75" customHeight="1"/>
    <row r="1077" ht="21.75" customHeight="1"/>
    <row r="1078" ht="21.75" customHeight="1"/>
    <row r="1079" ht="21.75" customHeight="1"/>
    <row r="1080" ht="21.75" customHeight="1"/>
    <row r="1081" ht="21.75" customHeight="1"/>
    <row r="1082" ht="21.75" customHeight="1"/>
    <row r="1083" ht="21.75" customHeight="1"/>
    <row r="1084" ht="21.75" customHeight="1"/>
    <row r="1085" ht="21.75" customHeight="1"/>
    <row r="1086" ht="21.75" customHeight="1"/>
    <row r="1087" ht="21.75" customHeight="1"/>
    <row r="1088" ht="21.75" customHeight="1"/>
    <row r="1089" ht="21.75" customHeight="1"/>
    <row r="1090" ht="21.75" customHeight="1"/>
    <row r="1091" ht="21.75" customHeight="1"/>
    <row r="1092" ht="21.75" customHeight="1"/>
    <row r="1093" ht="21.75" customHeight="1"/>
    <row r="1094" ht="21.75" customHeight="1"/>
    <row r="1095" ht="21.75" customHeight="1"/>
    <row r="1096" ht="21.75" customHeight="1"/>
    <row r="1097" ht="21.75" customHeight="1"/>
    <row r="1098" ht="21.75" customHeight="1"/>
    <row r="1099" ht="21.75" customHeight="1"/>
    <row r="1100" ht="21.75" customHeight="1"/>
    <row r="1101" ht="21.75" customHeight="1"/>
    <row r="1102" ht="21.75" customHeight="1"/>
    <row r="1103" ht="21.75" customHeight="1"/>
    <row r="1104" ht="21.75" customHeight="1"/>
    <row r="1105" ht="21.75" customHeight="1"/>
    <row r="1106" ht="21.75" customHeight="1"/>
    <row r="1107" ht="21.75" customHeight="1"/>
    <row r="1108" ht="21.75" customHeight="1"/>
    <row r="1109" ht="21.75" customHeight="1"/>
    <row r="1110" ht="21.75" customHeight="1"/>
    <row r="1111" ht="21.75" customHeight="1"/>
    <row r="1112" ht="21.75" customHeight="1"/>
    <row r="1113" ht="21.75" customHeight="1"/>
    <row r="1114" ht="21.75" customHeight="1"/>
    <row r="1115" ht="21.75" customHeight="1"/>
    <row r="1116" ht="21.75" customHeight="1"/>
    <row r="1117" ht="21.75" customHeight="1"/>
    <row r="1118" ht="21.75" customHeight="1"/>
    <row r="1119" ht="21.75" customHeight="1"/>
    <row r="1120" ht="21.75" customHeight="1"/>
    <row r="1121" ht="21.75" customHeight="1"/>
    <row r="1122" ht="21.75" customHeight="1"/>
    <row r="1123" ht="21.75" customHeight="1"/>
    <row r="1124" ht="21.75" customHeight="1"/>
    <row r="1125" ht="21.75" customHeight="1"/>
    <row r="1126" ht="21.75" customHeight="1"/>
    <row r="1127" ht="21.75" customHeight="1"/>
    <row r="1128" ht="21.75" customHeight="1"/>
    <row r="1129" ht="21.75" customHeight="1"/>
    <row r="1130" ht="21.75" customHeight="1"/>
    <row r="1131" ht="21.75" customHeight="1"/>
    <row r="1132" ht="21.75" customHeight="1"/>
    <row r="1133" ht="21.75" customHeight="1"/>
    <row r="1134" ht="21.75" customHeight="1"/>
    <row r="1135" ht="21.75" customHeight="1"/>
    <row r="1136" ht="21.75" customHeight="1"/>
    <row r="1137" ht="21.75" customHeight="1"/>
    <row r="1138" ht="21.75" customHeight="1"/>
    <row r="1139" ht="21.75" customHeight="1"/>
    <row r="1140" ht="21.75" customHeight="1"/>
    <row r="1141" ht="21.75" customHeight="1"/>
    <row r="1142" ht="21.75" customHeight="1"/>
    <row r="1143" ht="21.75" customHeight="1"/>
    <row r="1144" ht="21.75" customHeight="1"/>
    <row r="1145" ht="21.75" customHeight="1"/>
    <row r="1146" ht="21.75" customHeight="1"/>
    <row r="1147" ht="21.75" customHeight="1"/>
    <row r="1148" ht="21.75" customHeight="1"/>
    <row r="1149" ht="21.75" customHeight="1"/>
    <row r="1150" ht="21.75" customHeight="1"/>
    <row r="1151" ht="21.75" customHeight="1"/>
    <row r="1152" ht="21.75" customHeight="1"/>
    <row r="1153" ht="21.75" customHeight="1"/>
    <row r="1154" ht="21.75" customHeight="1"/>
    <row r="1155" ht="21.75" customHeight="1"/>
    <row r="1156" ht="21.75" customHeight="1"/>
    <row r="1157" ht="21.75" customHeight="1"/>
    <row r="1158" ht="21.75" customHeight="1"/>
    <row r="1159" ht="21.75" customHeight="1"/>
    <row r="1160" ht="21.75" customHeight="1"/>
    <row r="1161" ht="21.75" customHeight="1"/>
    <row r="1162" ht="21.75" customHeight="1"/>
    <row r="1163" ht="21.75" customHeight="1"/>
    <row r="1164" ht="21.75" customHeight="1"/>
    <row r="1165" ht="21.75" customHeight="1"/>
    <row r="1166" ht="21.75" customHeight="1"/>
    <row r="1167" ht="21.75" customHeight="1"/>
    <row r="1168" ht="21.75" customHeight="1"/>
    <row r="1169" ht="21.75" customHeight="1"/>
    <row r="1170" ht="21.75" customHeight="1"/>
    <row r="1171" ht="21.75" customHeight="1"/>
    <row r="1172" ht="21.75" customHeight="1"/>
    <row r="1173" ht="21.75" customHeight="1"/>
    <row r="1174" ht="21.75" customHeight="1"/>
    <row r="1175" ht="21.75" customHeight="1"/>
    <row r="1176" ht="21.75" customHeight="1"/>
    <row r="1177" ht="21.75" customHeight="1"/>
    <row r="1178" ht="21.75" customHeight="1"/>
    <row r="1179" ht="21.75" customHeight="1"/>
    <row r="1180" ht="21.75" customHeight="1"/>
    <row r="1181" ht="21.75" customHeight="1"/>
    <row r="1182" ht="21.75" customHeight="1"/>
    <row r="1183" ht="21.75" customHeight="1"/>
    <row r="1184" ht="21.75" customHeight="1"/>
    <row r="1185" ht="21.75" customHeight="1"/>
    <row r="1186" ht="21.75" customHeight="1"/>
    <row r="1187" ht="21.75" customHeight="1"/>
    <row r="1188" ht="21.75" customHeight="1"/>
    <row r="1189" ht="21.75" customHeight="1"/>
    <row r="1190" ht="21.75" customHeight="1"/>
    <row r="1191" ht="21.75" customHeight="1"/>
    <row r="1192" ht="21.75" customHeight="1"/>
    <row r="1193" ht="21.75" customHeight="1"/>
    <row r="1194" ht="21.75" customHeight="1"/>
    <row r="1195" ht="21.75" customHeight="1"/>
    <row r="1196" ht="21.75" customHeight="1"/>
    <row r="1197" ht="21.75" customHeight="1"/>
    <row r="1198" ht="21.75" customHeight="1"/>
    <row r="1199" ht="21.75" customHeight="1"/>
    <row r="1200" ht="21.75" customHeight="1"/>
    <row r="1201" ht="21.75" customHeight="1"/>
    <row r="1202" ht="21.75" customHeight="1"/>
    <row r="1203" ht="21.75" customHeight="1"/>
    <row r="1204" ht="21.75" customHeight="1"/>
    <row r="1205" ht="21.75" customHeight="1"/>
    <row r="1206" ht="21.75" customHeight="1"/>
    <row r="1207" ht="21.75" customHeight="1"/>
    <row r="1208" ht="21.75" customHeight="1"/>
    <row r="1209" ht="21.75" customHeight="1"/>
    <row r="1210" ht="21.75" customHeight="1"/>
    <row r="1211" ht="21.75" customHeight="1"/>
    <row r="1212" ht="21.75" customHeight="1"/>
    <row r="1213" ht="21.75" customHeight="1"/>
    <row r="1214" ht="21.75" customHeight="1"/>
    <row r="1215" ht="21.75" customHeight="1"/>
    <row r="1216" ht="21.75" customHeight="1"/>
    <row r="1217" ht="21.75" customHeight="1"/>
    <row r="1218" ht="21.75" customHeight="1"/>
    <row r="1219" ht="21.75" customHeight="1"/>
    <row r="1220" ht="21.75" customHeight="1"/>
    <row r="1221" ht="21.75" customHeight="1"/>
    <row r="1222" ht="21.75" customHeight="1"/>
    <row r="1223" ht="21.75" customHeight="1"/>
    <row r="1224" ht="21.75" customHeight="1"/>
    <row r="1225" ht="21.75" customHeight="1"/>
    <row r="1226" ht="21.75" customHeight="1"/>
    <row r="1227" ht="21.75" customHeight="1"/>
    <row r="1228" ht="21.75" customHeight="1"/>
    <row r="1229" ht="21.75" customHeight="1"/>
    <row r="1230" ht="21.75" customHeight="1"/>
    <row r="1231" ht="21.75" customHeight="1"/>
    <row r="1232" ht="21.75" customHeight="1"/>
    <row r="1233" ht="21.75" customHeight="1"/>
    <row r="1234" ht="21.75" customHeight="1"/>
    <row r="1235" ht="21.75" customHeight="1"/>
    <row r="1236" ht="21.75" customHeight="1"/>
    <row r="1237" ht="21.75" customHeight="1"/>
    <row r="1238" ht="21.75" customHeight="1"/>
    <row r="1239" ht="21.75" customHeight="1"/>
    <row r="1240" ht="21.75" customHeight="1"/>
    <row r="1241" ht="21.75" customHeight="1"/>
    <row r="1242" ht="21.75" customHeight="1"/>
    <row r="1243" ht="21.75" customHeight="1"/>
    <row r="1244" ht="21.75" customHeight="1"/>
    <row r="1245" ht="21.75" customHeight="1"/>
    <row r="1246" ht="21.75" customHeight="1"/>
    <row r="1247" ht="21.75" customHeight="1"/>
    <row r="1248" ht="21.75" customHeight="1"/>
    <row r="1249" ht="21.75" customHeight="1"/>
    <row r="1250" ht="21.75" customHeight="1"/>
    <row r="1251" ht="21.75" customHeight="1"/>
    <row r="1252" ht="21.75" customHeight="1"/>
    <row r="1253" ht="21.75" customHeight="1"/>
    <row r="1254" ht="21.75" customHeight="1"/>
    <row r="1255" ht="21.75" customHeight="1"/>
    <row r="1256" ht="21.75" customHeight="1"/>
    <row r="1257" ht="21.75" customHeight="1"/>
    <row r="1258" ht="21.75" customHeight="1"/>
    <row r="1259" ht="21.75" customHeight="1"/>
    <row r="1260" ht="21.75" customHeight="1"/>
    <row r="1261" ht="21.75" customHeight="1"/>
    <row r="1262" ht="21.75" customHeight="1"/>
    <row r="1263" ht="21.75" customHeight="1"/>
    <row r="1264" ht="21.75" customHeight="1"/>
    <row r="1265" ht="21.75" customHeight="1"/>
    <row r="1266" ht="21.75" customHeight="1"/>
    <row r="1267" ht="21.75" customHeight="1"/>
    <row r="1268" ht="21.75" customHeight="1"/>
    <row r="1269" ht="21.75" customHeight="1"/>
    <row r="1270" ht="21.75" customHeight="1"/>
    <row r="1271" ht="21.75" customHeight="1"/>
    <row r="1272" ht="21.75" customHeight="1"/>
    <row r="1273" ht="21.75" customHeight="1"/>
    <row r="1274" ht="21.75" customHeight="1"/>
    <row r="1275" ht="21.75" customHeight="1"/>
    <row r="1276" ht="21.75" customHeight="1"/>
    <row r="1277" ht="21.75" customHeight="1"/>
    <row r="1278" ht="21.75" customHeight="1"/>
    <row r="1279" ht="21.75" customHeight="1"/>
    <row r="1280" ht="21.75" customHeight="1"/>
    <row r="1281" ht="21.75" customHeight="1"/>
    <row r="1282" ht="21.75" customHeight="1"/>
    <row r="1283" ht="21.75" customHeight="1"/>
    <row r="1284" ht="21.75" customHeight="1"/>
    <row r="1285" ht="21.75" customHeight="1"/>
    <row r="1286" ht="21.75" customHeight="1"/>
    <row r="1287" ht="21.75" customHeight="1"/>
    <row r="1288" ht="21.75" customHeight="1"/>
    <row r="1289" ht="21.75" customHeight="1"/>
    <row r="1290" ht="21.75" customHeight="1"/>
    <row r="1291" ht="21.75" customHeight="1"/>
    <row r="1292" ht="21.75" customHeight="1"/>
    <row r="1293" ht="21.75" customHeight="1"/>
    <row r="1294" ht="21.75" customHeight="1"/>
    <row r="1295" ht="21.75" customHeight="1"/>
    <row r="1296" ht="21.75" customHeight="1"/>
    <row r="1297" ht="21.75" customHeight="1"/>
    <row r="1298" ht="21.75" customHeight="1"/>
    <row r="1299" ht="21.75" customHeight="1"/>
    <row r="1300" ht="21.75" customHeight="1"/>
    <row r="1301" ht="21.75" customHeight="1"/>
    <row r="1302" ht="21.75" customHeight="1"/>
    <row r="1303" ht="21.75" customHeight="1"/>
    <row r="1304" ht="21.75" customHeight="1"/>
    <row r="1305" ht="21.75" customHeight="1"/>
    <row r="1306" ht="21.75" customHeight="1"/>
    <row r="1307" ht="21.75" customHeight="1"/>
    <row r="1308" ht="21.75" customHeight="1"/>
    <row r="1309" ht="21.75" customHeight="1"/>
    <row r="1310" ht="21.75" customHeight="1"/>
    <row r="1311" ht="21.75" customHeight="1"/>
    <row r="1312" ht="21.75" customHeight="1"/>
    <row r="1313" ht="21.75" customHeight="1"/>
    <row r="1314" ht="21.75" customHeight="1"/>
    <row r="1315" ht="21.75" customHeight="1"/>
    <row r="1316" ht="21.75" customHeight="1"/>
    <row r="1317" ht="21.75" customHeight="1"/>
    <row r="1318" ht="21.75" customHeight="1"/>
    <row r="1319" ht="21.75" customHeight="1"/>
    <row r="1320" ht="21.75" customHeight="1"/>
    <row r="1321" ht="21.75" customHeight="1"/>
    <row r="1322" ht="21.75" customHeight="1"/>
    <row r="1323" ht="21.75" customHeight="1"/>
    <row r="1324" ht="21.75" customHeight="1"/>
    <row r="1325" ht="21.75" customHeight="1"/>
    <row r="1326" ht="21.75" customHeight="1"/>
    <row r="1327" ht="21.75" customHeight="1"/>
    <row r="1328" ht="21.75" customHeight="1"/>
    <row r="1329" ht="21.75" customHeight="1"/>
    <row r="1330" ht="21.75" customHeight="1"/>
    <row r="1331" ht="21.75" customHeight="1"/>
    <row r="1332" ht="21.75" customHeight="1"/>
    <row r="1333" ht="21.75" customHeight="1"/>
    <row r="1334" ht="21.75" customHeight="1"/>
    <row r="1335" ht="21.75" customHeight="1"/>
    <row r="1336" ht="21.75" customHeight="1"/>
    <row r="1337" ht="21.75" customHeight="1"/>
    <row r="1338" ht="21.75" customHeight="1"/>
    <row r="1339" ht="21.75" customHeight="1"/>
    <row r="1340" ht="21.75" customHeight="1"/>
    <row r="1341" ht="21.75" customHeight="1"/>
    <row r="1342" ht="21.75" customHeight="1"/>
    <row r="1343" ht="21.75" customHeight="1"/>
    <row r="1344" ht="21.75" customHeight="1"/>
    <row r="1345" ht="21.75" customHeight="1"/>
    <row r="1346" ht="21.75" customHeight="1"/>
    <row r="1347" ht="21.75" customHeight="1"/>
    <row r="1348" ht="21.75" customHeight="1"/>
    <row r="1349" ht="21.75" customHeight="1"/>
    <row r="1350" ht="21.75" customHeight="1"/>
    <row r="1351" ht="21.75" customHeight="1"/>
    <row r="1352" ht="21.75" customHeight="1"/>
    <row r="1353" ht="21.75" customHeight="1"/>
    <row r="1354" ht="21.75" customHeight="1"/>
    <row r="1355" ht="21.75" customHeight="1"/>
    <row r="1356" ht="21.75" customHeight="1"/>
    <row r="1357" ht="21.75" customHeight="1"/>
    <row r="1358" ht="21.75" customHeight="1"/>
    <row r="1359" ht="21.75" customHeight="1"/>
    <row r="1360" ht="21.75" customHeight="1"/>
    <row r="1361" ht="21.75" customHeight="1"/>
    <row r="1362" ht="21.75" customHeight="1"/>
    <row r="1363" ht="21.75" customHeight="1"/>
    <row r="1364" ht="21.75" customHeight="1"/>
    <row r="1365" ht="21.75" customHeight="1"/>
    <row r="1366" ht="21.75" customHeight="1"/>
    <row r="1367" ht="21.75" customHeight="1"/>
    <row r="1368" ht="21.75" customHeight="1"/>
    <row r="1369" ht="21.75" customHeight="1"/>
    <row r="1370" ht="21.75" customHeight="1"/>
    <row r="1371" ht="21.75" customHeight="1"/>
    <row r="1372" ht="21.75" customHeight="1"/>
    <row r="1373" ht="21.75" customHeight="1"/>
    <row r="1374" ht="21.75" customHeight="1"/>
    <row r="1375" ht="21.75" customHeight="1"/>
    <row r="1376" ht="21.75" customHeight="1"/>
    <row r="1377" ht="21.75" customHeight="1"/>
    <row r="1378" ht="21.75" customHeight="1"/>
    <row r="1379" ht="21.75" customHeight="1"/>
    <row r="1380" ht="21.75" customHeight="1"/>
    <row r="1381" ht="21.75" customHeight="1"/>
    <row r="1382" ht="21.75" customHeight="1"/>
    <row r="1383" ht="21.75" customHeight="1"/>
    <row r="1384" ht="21.75" customHeight="1"/>
    <row r="1385" ht="21.75" customHeight="1"/>
    <row r="1386" ht="21.75" customHeight="1"/>
    <row r="1387" ht="21.75" customHeight="1"/>
    <row r="1388" ht="21.75" customHeight="1"/>
    <row r="1389" ht="21.75" customHeight="1"/>
    <row r="1390" ht="21.75" customHeight="1"/>
    <row r="1391" ht="21.75" customHeight="1"/>
    <row r="1392" ht="21.75" customHeight="1"/>
    <row r="1393" ht="21.75" customHeight="1"/>
    <row r="1394" ht="21.75" customHeight="1"/>
    <row r="1395" ht="21.75" customHeight="1"/>
    <row r="1396" ht="21.75" customHeight="1"/>
    <row r="1397" ht="21.75" customHeight="1"/>
    <row r="1398" ht="21.75" customHeight="1"/>
    <row r="1399" ht="21.75" customHeight="1"/>
    <row r="1400" ht="21.75" customHeight="1"/>
    <row r="1401" ht="21.75" customHeight="1"/>
    <row r="1402" ht="21.75" customHeight="1"/>
    <row r="1403" ht="21.75" customHeight="1"/>
    <row r="1404" ht="21.75" customHeight="1"/>
    <row r="1405" ht="21.75" customHeight="1"/>
    <row r="1406" ht="21.75" customHeight="1"/>
    <row r="1407" ht="21.75" customHeight="1"/>
    <row r="1408" ht="21.75" customHeight="1"/>
    <row r="1409" ht="21.75" customHeight="1"/>
    <row r="1410" ht="21.75" customHeight="1"/>
    <row r="1411" ht="21.75" customHeight="1"/>
    <row r="1412" ht="21.75" customHeight="1"/>
    <row r="1413" ht="21.75" customHeight="1"/>
    <row r="1414" ht="21.75" customHeight="1"/>
    <row r="1415" ht="21.75" customHeight="1"/>
    <row r="1416" ht="21.75" customHeight="1"/>
    <row r="1417" ht="21.75" customHeight="1"/>
    <row r="1418" ht="21.75" customHeight="1"/>
    <row r="1419" ht="21.75" customHeight="1"/>
    <row r="1420" ht="21.75" customHeight="1"/>
    <row r="1421" ht="21.75" customHeight="1"/>
    <row r="1422" ht="21.75" customHeight="1"/>
    <row r="1423" ht="21.75" customHeight="1"/>
    <row r="1424" ht="21.75" customHeight="1"/>
    <row r="1425" ht="21.75" customHeight="1"/>
    <row r="1426" ht="21.75" customHeight="1"/>
    <row r="1427" ht="21.75" customHeight="1"/>
    <row r="1428" ht="21.75" customHeight="1"/>
    <row r="1429" ht="21.75" customHeight="1"/>
    <row r="1430" ht="21.75" customHeight="1"/>
    <row r="1431" ht="21.75" customHeight="1"/>
    <row r="1432" ht="21.75" customHeight="1"/>
    <row r="1433" ht="21.75" customHeight="1"/>
    <row r="1434" ht="21.75" customHeight="1"/>
    <row r="1435" ht="21.75" customHeight="1"/>
    <row r="1436" ht="21.75" customHeight="1"/>
    <row r="1437" ht="21.75" customHeight="1"/>
    <row r="1438" ht="21.75" customHeight="1"/>
    <row r="1439" ht="21.75" customHeight="1"/>
    <row r="1440" ht="21.75" customHeight="1"/>
    <row r="1441" ht="21.75" customHeight="1"/>
    <row r="1442" ht="21.75" customHeight="1"/>
    <row r="1443" ht="21.75" customHeight="1"/>
    <row r="1444" ht="21.75" customHeight="1"/>
    <row r="1445" ht="21.75" customHeight="1"/>
    <row r="1446" ht="21.75" customHeight="1"/>
    <row r="1447" ht="21.75" customHeight="1"/>
    <row r="1448" ht="21.75" customHeight="1"/>
    <row r="1449" ht="21.75" customHeight="1"/>
    <row r="1450" ht="21.75" customHeight="1"/>
    <row r="1451" ht="21.75" customHeight="1"/>
    <row r="1452" ht="21.75" customHeight="1"/>
    <row r="1453" ht="21.75" customHeight="1"/>
    <row r="1454" ht="21.75" customHeight="1"/>
    <row r="1455" ht="21.75" customHeight="1"/>
    <row r="1456" ht="21.75" customHeight="1"/>
    <row r="1457" ht="21.75" customHeight="1"/>
    <row r="1458" ht="21.75" customHeight="1"/>
    <row r="1459" ht="21.75" customHeight="1"/>
    <row r="1460" ht="21.75" customHeight="1"/>
    <row r="1461" ht="21.75" customHeight="1"/>
    <row r="1462" ht="21.75" customHeight="1"/>
    <row r="1463" ht="21.75" customHeight="1"/>
    <row r="1464" ht="21.75" customHeight="1"/>
    <row r="1465" ht="21.75" customHeight="1"/>
    <row r="1466" ht="21.75" customHeight="1"/>
    <row r="1467" ht="21.75" customHeight="1"/>
    <row r="1468" ht="21.75" customHeight="1"/>
    <row r="1469" ht="21.75" customHeight="1"/>
    <row r="1470" ht="21.75" customHeight="1"/>
    <row r="1471" ht="21.75" customHeight="1"/>
    <row r="1472" ht="21.75" customHeight="1"/>
    <row r="1473" ht="21.75" customHeight="1"/>
    <row r="1474" ht="21.75" customHeight="1"/>
    <row r="1475" ht="21.75" customHeight="1"/>
    <row r="1476" ht="21.75" customHeight="1"/>
    <row r="1477" ht="21.75" customHeight="1"/>
    <row r="1478" ht="21.75" customHeight="1"/>
    <row r="1479" ht="21.75" customHeight="1"/>
    <row r="1480" ht="21.75" customHeight="1"/>
    <row r="1481" ht="21.75" customHeight="1"/>
    <row r="1482" ht="21.75" customHeight="1"/>
    <row r="1483" ht="21.75" customHeight="1"/>
    <row r="1484" ht="21.75" customHeight="1"/>
    <row r="1485" ht="21.75" customHeight="1"/>
    <row r="1486" ht="21.75" customHeight="1"/>
    <row r="1487" ht="21.75" customHeight="1"/>
    <row r="1488" ht="21.75" customHeight="1"/>
    <row r="1489" ht="21.75" customHeight="1"/>
    <row r="1490" ht="21.75" customHeight="1"/>
    <row r="1491" ht="21.75" customHeight="1"/>
    <row r="1492" ht="21.75" customHeight="1"/>
    <row r="1493" ht="21.75" customHeight="1"/>
    <row r="1494" ht="21.75" customHeight="1"/>
    <row r="1495" ht="21.75" customHeight="1"/>
    <row r="1496" ht="21.75" customHeight="1"/>
    <row r="1497" ht="21.75" customHeight="1"/>
    <row r="1498" ht="21.75" customHeight="1"/>
    <row r="1499" ht="21.75" customHeight="1"/>
    <row r="1500" ht="21.75" customHeight="1"/>
    <row r="1501" ht="21.75" customHeight="1"/>
    <row r="1502" ht="21.75" customHeight="1"/>
    <row r="1503" ht="21.75" customHeight="1"/>
    <row r="1504" ht="21.75" customHeight="1"/>
    <row r="1505" ht="21.75" customHeight="1"/>
    <row r="1506" ht="21.75" customHeight="1"/>
    <row r="1507" ht="21.75" customHeight="1"/>
    <row r="1508" ht="21.75" customHeight="1"/>
    <row r="1509" ht="21.75" customHeight="1"/>
    <row r="1510" ht="21.75" customHeight="1"/>
    <row r="1511" ht="21.75" customHeight="1"/>
    <row r="1512" ht="21.75" customHeight="1"/>
    <row r="1513" ht="21.75" customHeight="1"/>
    <row r="1514" ht="21.75" customHeight="1"/>
    <row r="1515" ht="21.75" customHeight="1"/>
    <row r="1516" ht="21.75" customHeight="1"/>
    <row r="1517" ht="21.75" customHeight="1"/>
    <row r="1518" ht="21.75" customHeight="1"/>
    <row r="1519" ht="21.75" customHeight="1"/>
    <row r="1520" ht="21.75" customHeight="1"/>
    <row r="1521" ht="21.75" customHeight="1"/>
    <row r="1522" ht="21.75" customHeight="1"/>
    <row r="1523" ht="21.75" customHeight="1"/>
    <row r="1524" ht="21.75" customHeight="1"/>
    <row r="1525" ht="21.75" customHeight="1"/>
    <row r="1526" ht="21.75" customHeight="1"/>
    <row r="1527" ht="21.75" customHeight="1"/>
    <row r="1528" ht="21.75" customHeight="1"/>
    <row r="1529" ht="21.75" customHeight="1"/>
    <row r="1530" ht="21.75" customHeight="1"/>
    <row r="1531" ht="21.75" customHeight="1"/>
    <row r="1532" ht="21.75" customHeight="1"/>
    <row r="1533" ht="21.75" customHeight="1"/>
    <row r="1534" ht="21.75" customHeight="1"/>
    <row r="1535" ht="21.75" customHeight="1"/>
    <row r="1536" ht="21.75" customHeight="1"/>
    <row r="1537" ht="21.75" customHeight="1"/>
    <row r="1538" ht="21.75" customHeight="1"/>
    <row r="1539" ht="21.75" customHeight="1"/>
    <row r="1540" ht="21.75" customHeight="1"/>
    <row r="1541" ht="21.75" customHeight="1"/>
    <row r="1542" ht="21.75" customHeight="1"/>
    <row r="1543" ht="21.75" customHeight="1"/>
    <row r="1544" ht="21.75" customHeight="1"/>
    <row r="1545" ht="21.75" customHeight="1"/>
    <row r="1546" ht="21.75" customHeight="1"/>
    <row r="1547" ht="21.75" customHeight="1"/>
    <row r="1548" ht="21.75" customHeight="1"/>
    <row r="1549" ht="21.75" customHeight="1"/>
    <row r="1550" ht="21.75" customHeight="1"/>
    <row r="1551" ht="21.75" customHeight="1"/>
    <row r="1552" ht="21.75" customHeight="1"/>
    <row r="1553" ht="21.75" customHeight="1"/>
    <row r="1554" ht="21.75" customHeight="1"/>
    <row r="1555" ht="21.75" customHeight="1"/>
    <row r="1556" ht="21.75" customHeight="1"/>
    <row r="1557" ht="21.75" customHeight="1"/>
    <row r="1558" ht="21.75" customHeight="1"/>
    <row r="1559" ht="21.75" customHeight="1"/>
    <row r="1560" ht="21.75" customHeight="1"/>
    <row r="1561" ht="21.75" customHeight="1"/>
    <row r="1562" ht="21.75" customHeight="1"/>
    <row r="1563" ht="21.75" customHeight="1"/>
    <row r="1564" ht="21.75" customHeight="1"/>
    <row r="1565" ht="21.75" customHeight="1"/>
    <row r="1566" ht="21.75" customHeight="1"/>
    <row r="1567" ht="21.75" customHeight="1"/>
    <row r="1568" ht="21.75" customHeight="1"/>
    <row r="1569" ht="21.75" customHeight="1"/>
    <row r="1570" ht="21.75" customHeight="1"/>
    <row r="1571" ht="21.75" customHeight="1"/>
    <row r="1572" ht="21.75" customHeight="1"/>
    <row r="1573" ht="21.75" customHeight="1"/>
    <row r="1574" ht="21.75" customHeight="1"/>
    <row r="1575" ht="21.75" customHeight="1"/>
    <row r="1576" ht="21.75" customHeight="1"/>
    <row r="1577" ht="21.75" customHeight="1"/>
  </sheetData>
  <mergeCells count="33">
    <mergeCell ref="J60:N60"/>
    <mergeCell ref="Y60:AC60"/>
    <mergeCell ref="AN60:AR60"/>
    <mergeCell ref="C59:G59"/>
    <mergeCell ref="J59:N59"/>
    <mergeCell ref="R59:V59"/>
    <mergeCell ref="Y59:AC59"/>
    <mergeCell ref="AG59:AK59"/>
    <mergeCell ref="AN59:AR59"/>
    <mergeCell ref="B32:N32"/>
    <mergeCell ref="Q32:AC32"/>
    <mergeCell ref="AF32:AR32"/>
    <mergeCell ref="C39:G39"/>
    <mergeCell ref="J39:N39"/>
    <mergeCell ref="R39:V39"/>
    <mergeCell ref="Y39:AC39"/>
    <mergeCell ref="AG39:AK39"/>
    <mergeCell ref="AN39:AR39"/>
    <mergeCell ref="B4:N4"/>
    <mergeCell ref="Q4:AC4"/>
    <mergeCell ref="AF4:AR4"/>
    <mergeCell ref="C20:G20"/>
    <mergeCell ref="J20:N20"/>
    <mergeCell ref="R20:V20"/>
    <mergeCell ref="Y20:AC20"/>
    <mergeCell ref="AG20:AK20"/>
    <mergeCell ref="AN20:AR20"/>
    <mergeCell ref="J1:N1"/>
    <mergeCell ref="Y1:AC1"/>
    <mergeCell ref="AN1:AR1"/>
    <mergeCell ref="A2:B2"/>
    <mergeCell ref="P2:Q2"/>
    <mergeCell ref="AE2:AF2"/>
  </mergeCells>
  <printOptions horizontalCentered="1"/>
  <pageMargins left="0" right="0" top="0" bottom="0" header="0" footer="0"/>
  <pageSetup paperSize="9" orientation="portrait" r:id="rId1"/>
  <headerFooter alignWithMargins="0"/>
  <colBreaks count="1" manualBreakCount="1">
    <brk id="15" max="1048575"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6EB7-4A71-456D-917C-B08B29327EC9}">
  <dimension ref="A1:J32"/>
  <sheetViews>
    <sheetView workbookViewId="0">
      <selection activeCell="D14" sqref="D14"/>
    </sheetView>
  </sheetViews>
  <sheetFormatPr baseColWidth="10" defaultRowHeight="15"/>
  <cols>
    <col min="1" max="1" width="22.85546875" customWidth="1"/>
    <col min="2" max="3" width="12" customWidth="1"/>
    <col min="4" max="4" width="12.28515625" customWidth="1"/>
    <col min="5" max="5" width="10.5703125" customWidth="1"/>
    <col min="6" max="8" width="12" customWidth="1"/>
    <col min="9" max="9" width="7.42578125" customWidth="1"/>
    <col min="10" max="10" width="14.140625" customWidth="1"/>
  </cols>
  <sheetData>
    <row r="1" spans="1:10" ht="13.5" customHeight="1"/>
    <row r="2" spans="1:10" ht="13.5" customHeight="1">
      <c r="A2" s="1296" t="s">
        <v>4260</v>
      </c>
      <c r="B2" s="1296"/>
      <c r="C2" s="1296"/>
      <c r="D2" s="1296"/>
      <c r="E2" s="1296"/>
      <c r="F2" s="1296"/>
      <c r="G2" s="1296"/>
      <c r="H2" s="1296"/>
      <c r="I2" s="1296"/>
      <c r="J2" s="1296"/>
    </row>
    <row r="3" spans="1:10" ht="13.5" customHeight="1">
      <c r="A3" s="214"/>
      <c r="B3" s="215"/>
      <c r="C3" s="215"/>
      <c r="D3" s="215"/>
      <c r="E3" s="215"/>
      <c r="F3" s="215"/>
      <c r="G3" s="215"/>
      <c r="H3" s="215"/>
      <c r="I3" s="215"/>
      <c r="J3" s="215"/>
    </row>
    <row r="4" spans="1:10" ht="13.5" customHeight="1">
      <c r="A4" s="216"/>
      <c r="B4" s="216"/>
      <c r="C4" s="213" t="s">
        <v>4261</v>
      </c>
      <c r="D4" s="217">
        <f>+'MEMORIA Y VAL'!S97</f>
        <v>0</v>
      </c>
      <c r="E4" s="216"/>
      <c r="F4" s="218"/>
      <c r="G4" s="218"/>
      <c r="H4" s="218"/>
      <c r="I4" s="218"/>
      <c r="J4" s="218"/>
    </row>
    <row r="5" spans="1:10" ht="13.5" customHeight="1">
      <c r="A5" s="214"/>
      <c r="B5" s="215"/>
      <c r="C5" s="215"/>
      <c r="D5" s="215"/>
      <c r="E5" s="215"/>
      <c r="F5" s="215"/>
      <c r="G5" s="215"/>
      <c r="H5" s="215"/>
      <c r="I5" s="215"/>
      <c r="J5" s="215"/>
    </row>
    <row r="6" spans="1:10" ht="13.5" customHeight="1">
      <c r="A6" s="1296" t="s">
        <v>4262</v>
      </c>
      <c r="B6" s="1296"/>
      <c r="C6" s="1296"/>
      <c r="D6" s="1296"/>
      <c r="E6" s="1296"/>
      <c r="F6" s="1296"/>
      <c r="G6" s="1296"/>
      <c r="H6" s="1296"/>
      <c r="I6" s="1296"/>
      <c r="J6" s="1296"/>
    </row>
    <row r="7" spans="1:10" ht="13.5" customHeight="1">
      <c r="A7" s="214"/>
      <c r="B7" s="215"/>
      <c r="C7" s="215"/>
      <c r="D7" s="215"/>
      <c r="E7" s="215"/>
      <c r="F7" s="215"/>
      <c r="G7" s="215"/>
      <c r="H7" s="215"/>
      <c r="I7" s="215"/>
      <c r="J7" s="215"/>
    </row>
    <row r="8" spans="1:10" ht="13.5" customHeight="1">
      <c r="A8" s="1296" t="s">
        <v>4263</v>
      </c>
      <c r="B8" s="1296"/>
      <c r="C8" s="1296"/>
      <c r="D8" s="1296"/>
      <c r="E8" s="1296"/>
      <c r="F8" s="1296"/>
      <c r="G8" s="1296"/>
      <c r="H8" s="1296"/>
      <c r="I8" s="1296"/>
      <c r="J8" s="1296"/>
    </row>
    <row r="9" spans="1:10" ht="13.5" customHeight="1"/>
    <row r="10" spans="1:10" ht="25.5" customHeight="1">
      <c r="A10" s="1297" t="s">
        <v>4264</v>
      </c>
      <c r="B10" s="1297" t="s">
        <v>44</v>
      </c>
      <c r="C10" s="1297" t="s">
        <v>4265</v>
      </c>
      <c r="D10" s="1297" t="s">
        <v>4266</v>
      </c>
      <c r="E10" s="1298" t="s">
        <v>4267</v>
      </c>
      <c r="F10" s="1297" t="s">
        <v>4268</v>
      </c>
      <c r="G10" s="1297" t="s">
        <v>4269</v>
      </c>
      <c r="H10" s="1297" t="s">
        <v>4270</v>
      </c>
      <c r="I10" s="1297" t="s">
        <v>17</v>
      </c>
      <c r="J10" s="1297" t="s">
        <v>4271</v>
      </c>
    </row>
    <row r="11" spans="1:10">
      <c r="A11" s="1297"/>
      <c r="B11" s="1297" t="s">
        <v>4272</v>
      </c>
      <c r="C11" s="1297" t="s">
        <v>4273</v>
      </c>
      <c r="D11" s="1297" t="s">
        <v>4272</v>
      </c>
      <c r="E11" s="1299"/>
      <c r="F11" s="1297" t="s">
        <v>4273</v>
      </c>
      <c r="G11" s="1297"/>
      <c r="H11" s="1297" t="s">
        <v>4273</v>
      </c>
      <c r="I11" s="1297"/>
      <c r="J11" s="1297" t="s">
        <v>4273</v>
      </c>
    </row>
    <row r="12" spans="1:10">
      <c r="A12" s="1304" t="s">
        <v>4274</v>
      </c>
      <c r="B12" s="1305"/>
      <c r="C12" s="1305"/>
      <c r="D12" s="1305"/>
      <c r="E12" s="1305"/>
      <c r="F12" s="1305"/>
      <c r="G12" s="1305"/>
      <c r="H12" s="1305"/>
      <c r="I12" s="1305"/>
      <c r="J12" s="1306"/>
    </row>
    <row r="13" spans="1:10">
      <c r="A13" s="697" t="str">
        <f>+'MEMORIA Y VAL'!A40</f>
        <v>Primer piso</v>
      </c>
      <c r="B13" s="698">
        <f>+'MEMORIA Y VAL'!K40</f>
        <v>0</v>
      </c>
      <c r="C13" s="698">
        <f>+'MEMORIA Y VAL'!O40</f>
        <v>0</v>
      </c>
      <c r="D13" s="698">
        <f>+'MEMORIA Y VAL'!U40</f>
        <v>0</v>
      </c>
      <c r="E13" s="698">
        <f>+'MEMORIA Y VAL'!Y40</f>
        <v>0</v>
      </c>
      <c r="F13" s="698">
        <f>+'MEMORIA Y VAL'!AE40</f>
        <v>0</v>
      </c>
      <c r="G13" s="698">
        <f>+'MEMORIA Y VAL'!Z328</f>
        <v>1</v>
      </c>
      <c r="H13" s="698">
        <f>+'MEMORIA Y VAL'!AK40</f>
        <v>0</v>
      </c>
      <c r="I13" s="699">
        <f>+'MEMORIA Y VAL'!I466</f>
        <v>0.8</v>
      </c>
      <c r="J13" s="698">
        <f>+'MEMORIA Y VAL'!AQ40</f>
        <v>0</v>
      </c>
    </row>
    <row r="14" spans="1:10">
      <c r="A14" s="697" t="str">
        <f>+'MEMORIA Y VAL'!A41</f>
        <v>Segundo piso</v>
      </c>
      <c r="B14" s="698"/>
      <c r="C14" s="698"/>
      <c r="D14" s="698">
        <f>+'MEMORIA Y VAL'!U41</f>
        <v>0</v>
      </c>
      <c r="E14" s="698">
        <f>+'MEMORIA Y VAL'!Y41</f>
        <v>0</v>
      </c>
      <c r="F14" s="698">
        <f>+'MEMORIA Y VAL'!AE41</f>
        <v>0</v>
      </c>
      <c r="G14" s="698">
        <f>+'MEMORIA Y VAL'!Z330</f>
        <v>1</v>
      </c>
      <c r="H14" s="698">
        <f>+'MEMORIA Y VAL'!AK41</f>
        <v>0</v>
      </c>
      <c r="I14" s="699">
        <f>+I13</f>
        <v>0.8</v>
      </c>
      <c r="J14" s="698">
        <f>+'MEMORIA Y VAL'!AQ41</f>
        <v>0</v>
      </c>
    </row>
    <row r="15" spans="1:10">
      <c r="A15" s="697" t="str">
        <f>+'MEMORIA Y VAL'!A42</f>
        <v>Tercer piso</v>
      </c>
      <c r="B15" s="698"/>
      <c r="C15" s="698"/>
      <c r="D15" s="698">
        <f>+'MEMORIA Y VAL'!U42</f>
        <v>0</v>
      </c>
      <c r="E15" s="698">
        <f>+'MEMORIA Y VAL'!Y42</f>
        <v>0</v>
      </c>
      <c r="F15" s="698">
        <f>+'MEMORIA Y VAL'!AE42</f>
        <v>0</v>
      </c>
      <c r="G15" s="698">
        <f>+'MEMORIA Y VAL'!Z332</f>
        <v>1</v>
      </c>
      <c r="H15" s="698">
        <f>+'MEMORIA Y VAL'!AK42</f>
        <v>0</v>
      </c>
      <c r="I15" s="699">
        <f>+I14</f>
        <v>0.8</v>
      </c>
      <c r="J15" s="698">
        <f>+'MEMORIA Y VAL'!AQ42</f>
        <v>0</v>
      </c>
    </row>
    <row r="16" spans="1:10">
      <c r="A16" s="697" t="str">
        <f>+'MEMORIA Y VAL'!A43</f>
        <v>Estacionamiento Nº..</v>
      </c>
      <c r="B16" s="698"/>
      <c r="C16" s="698"/>
      <c r="D16" s="698">
        <f>+'MEMORIA Y VAL'!U43</f>
        <v>0</v>
      </c>
      <c r="E16" s="698">
        <f>+'MEMORIA Y VAL'!Y43</f>
        <v>0</v>
      </c>
      <c r="F16" s="698">
        <f>+'MEMORIA Y VAL'!AE43</f>
        <v>0</v>
      </c>
      <c r="G16" s="698"/>
      <c r="H16" s="698">
        <f>+'MEMORIA Y VAL'!AK43</f>
        <v>0</v>
      </c>
      <c r="I16" s="699">
        <f>+I15</f>
        <v>0.8</v>
      </c>
      <c r="J16" s="698">
        <f>+'MEMORIA Y VAL'!AQ43</f>
        <v>0</v>
      </c>
    </row>
    <row r="17" spans="1:10" ht="21" customHeight="1">
      <c r="A17" s="697" t="str">
        <f>+'MEMORIA Y VAL'!A44</f>
        <v>Depósito Nº …</v>
      </c>
      <c r="B17" s="698"/>
      <c r="C17" s="698"/>
      <c r="D17" s="698">
        <f>+'MEMORIA Y VAL'!U44</f>
        <v>0</v>
      </c>
      <c r="E17" s="698">
        <f>+'MEMORIA Y VAL'!Y44</f>
        <v>0</v>
      </c>
      <c r="F17" s="698">
        <f>+'MEMORIA Y VAL'!AE44</f>
        <v>0</v>
      </c>
      <c r="G17" s="698"/>
      <c r="H17" s="698">
        <f>+'MEMORIA Y VAL'!AK44</f>
        <v>0</v>
      </c>
      <c r="I17" s="699">
        <f>+I16</f>
        <v>0.8</v>
      </c>
      <c r="J17" s="698">
        <f>+'MEMORIA Y VAL'!AQ44</f>
        <v>0</v>
      </c>
    </row>
    <row r="18" spans="1:10">
      <c r="A18" s="103" t="s">
        <v>4275</v>
      </c>
      <c r="B18" s="700"/>
      <c r="C18" s="700"/>
      <c r="D18" s="700"/>
      <c r="E18" s="700"/>
      <c r="F18" s="701">
        <f>ROUND(SUM(F13:F17),1)</f>
        <v>0</v>
      </c>
      <c r="G18" s="701"/>
      <c r="H18" s="701">
        <f>ROUND(SUM(H13:H17),1)</f>
        <v>0</v>
      </c>
      <c r="I18" s="701"/>
      <c r="J18" s="701">
        <f>ROUND(SUM(J13:J17),1)</f>
        <v>0</v>
      </c>
    </row>
    <row r="19" spans="1:10">
      <c r="A19" s="1304" t="s">
        <v>4276</v>
      </c>
      <c r="B19" s="1305"/>
      <c r="C19" s="1305"/>
      <c r="D19" s="1305"/>
      <c r="E19" s="1305"/>
      <c r="F19" s="1305"/>
      <c r="G19" s="1305"/>
      <c r="H19" s="1305"/>
      <c r="I19" s="1305"/>
      <c r="J19" s="1306"/>
    </row>
    <row r="20" spans="1:10">
      <c r="A20" s="108" t="str">
        <f>+'MEMORIA Y VAL'!A47</f>
        <v>Primer piso</v>
      </c>
      <c r="B20" s="145"/>
      <c r="C20" s="145"/>
      <c r="D20" s="702">
        <f>+'MEMORIA Y VAL'!U47</f>
        <v>0</v>
      </c>
      <c r="E20" s="702">
        <f>+'MEMORIA Y VAL'!Y47</f>
        <v>0</v>
      </c>
      <c r="F20" s="702">
        <f>+'MEMORIA Y VAL'!AE47</f>
        <v>0</v>
      </c>
      <c r="G20" s="702">
        <f>+'MEMORIA Y VAL'!AA715</f>
        <v>1</v>
      </c>
      <c r="H20" s="702">
        <f>+'MEMORIA Y VAL'!AK47</f>
        <v>0</v>
      </c>
      <c r="I20" s="699">
        <f>+I17</f>
        <v>0.8</v>
      </c>
      <c r="J20" s="698">
        <f>+'MEMORIA Y VAL'!AQ47</f>
        <v>0</v>
      </c>
    </row>
    <row r="21" spans="1:10">
      <c r="A21" s="108" t="str">
        <f>+'MEMORIA Y VAL'!A48</f>
        <v>Segundo piso</v>
      </c>
      <c r="B21" s="145"/>
      <c r="C21" s="145"/>
      <c r="D21" s="702">
        <f>+'MEMORIA Y VAL'!U48</f>
        <v>0</v>
      </c>
      <c r="E21" s="702">
        <f>+'MEMORIA Y VAL'!Y48</f>
        <v>0</v>
      </c>
      <c r="F21" s="702">
        <f>+'MEMORIA Y VAL'!AE48</f>
        <v>0</v>
      </c>
      <c r="G21" s="702">
        <f>+'MEMORIA Y VAL'!AA717</f>
        <v>1</v>
      </c>
      <c r="H21" s="702">
        <f>+'MEMORIA Y VAL'!AK48</f>
        <v>0</v>
      </c>
      <c r="I21" s="699">
        <f>+I20</f>
        <v>0.8</v>
      </c>
      <c r="J21" s="698">
        <f>+'MEMORIA Y VAL'!AQ48</f>
        <v>0</v>
      </c>
    </row>
    <row r="22" spans="1:10">
      <c r="A22" s="108" t="str">
        <f>+'MEMORIA Y VAL'!A49</f>
        <v>Tercer piso</v>
      </c>
      <c r="B22" s="145"/>
      <c r="C22" s="145"/>
      <c r="D22" s="702">
        <f>+'MEMORIA Y VAL'!U49</f>
        <v>0</v>
      </c>
      <c r="E22" s="702">
        <f>+'MEMORIA Y VAL'!Y49</f>
        <v>0</v>
      </c>
      <c r="F22" s="702">
        <f>+'MEMORIA Y VAL'!AE49</f>
        <v>0</v>
      </c>
      <c r="G22" s="702">
        <f>+'MEMORIA Y VAL'!AA719</f>
        <v>1</v>
      </c>
      <c r="H22" s="702">
        <f>+'MEMORIA Y VAL'!AK49</f>
        <v>0</v>
      </c>
      <c r="I22" s="699">
        <f>+I21</f>
        <v>0.8</v>
      </c>
      <c r="J22" s="698">
        <f>+'MEMORIA Y VAL'!AQ49</f>
        <v>0</v>
      </c>
    </row>
    <row r="23" spans="1:10">
      <c r="A23" s="103" t="s">
        <v>4277</v>
      </c>
      <c r="B23" s="109"/>
      <c r="C23" s="109"/>
      <c r="D23" s="700"/>
      <c r="E23" s="703"/>
      <c r="F23" s="701">
        <f>SUM(F20:F22)</f>
        <v>0</v>
      </c>
      <c r="G23" s="701"/>
      <c r="H23" s="701">
        <f>SUM(H20:H22)</f>
        <v>0</v>
      </c>
      <c r="I23" s="704"/>
      <c r="J23" s="701">
        <f>SUM(J20:J22)</f>
        <v>0</v>
      </c>
    </row>
    <row r="24" spans="1:10">
      <c r="A24" s="1304" t="s">
        <v>4278</v>
      </c>
      <c r="B24" s="1305"/>
      <c r="C24" s="1305"/>
      <c r="D24" s="1305"/>
      <c r="E24" s="1305"/>
      <c r="F24" s="1305"/>
      <c r="G24" s="1305"/>
      <c r="H24" s="1305"/>
      <c r="I24" s="1305"/>
      <c r="J24" s="1306"/>
    </row>
    <row r="25" spans="1:10">
      <c r="A25" s="1300" t="s">
        <v>4279</v>
      </c>
      <c r="B25" s="1301"/>
      <c r="C25" s="1301"/>
      <c r="D25" s="1301"/>
      <c r="E25" s="1301"/>
      <c r="F25" s="701">
        <f>+'MEMORIA Y VAL'!AE55</f>
        <v>0</v>
      </c>
      <c r="G25" s="701"/>
      <c r="H25" s="701">
        <f>+'MEMORIA Y VAL'!AK55</f>
        <v>0</v>
      </c>
      <c r="I25" s="704"/>
      <c r="J25" s="701">
        <f>+'MEMORIA Y VAL'!AQ55</f>
        <v>0</v>
      </c>
    </row>
    <row r="26" spans="1:10">
      <c r="J26" s="705"/>
    </row>
    <row r="27" spans="1:10" ht="27" customHeight="1">
      <c r="B27" s="110"/>
      <c r="C27" s="1302" t="s">
        <v>4280</v>
      </c>
      <c r="D27" s="1303"/>
      <c r="E27" s="1303"/>
      <c r="F27" s="706">
        <f>+F25+F23+F18</f>
        <v>0</v>
      </c>
      <c r="G27" s="707"/>
      <c r="H27" s="706">
        <f>+H25+H23+H18</f>
        <v>0</v>
      </c>
      <c r="I27" s="708"/>
      <c r="J27" s="706">
        <f>+J25+J23+J18</f>
        <v>0</v>
      </c>
    </row>
    <row r="28" spans="1:10">
      <c r="A28" s="104"/>
      <c r="B28" s="104"/>
      <c r="C28" s="104"/>
      <c r="D28" s="104"/>
      <c r="E28" s="104"/>
      <c r="F28" s="104"/>
      <c r="G28" s="104"/>
      <c r="H28" s="105"/>
    </row>
    <row r="29" spans="1:10">
      <c r="A29" s="104"/>
      <c r="B29" s="104"/>
      <c r="C29" s="104"/>
      <c r="D29" s="104"/>
      <c r="E29" s="104"/>
      <c r="F29" s="104"/>
      <c r="G29" s="104"/>
      <c r="H29" s="105"/>
    </row>
    <row r="30" spans="1:10" ht="76.5" customHeight="1">
      <c r="A30" s="104"/>
      <c r="B30" s="104"/>
      <c r="C30" s="104"/>
      <c r="D30" s="106"/>
      <c r="E30" s="104"/>
      <c r="F30" s="104"/>
      <c r="G30" s="104"/>
      <c r="H30" s="105"/>
    </row>
    <row r="31" spans="1:10">
      <c r="A31" s="105"/>
      <c r="B31" s="104"/>
      <c r="C31" s="104"/>
      <c r="D31" s="104"/>
      <c r="E31" s="104"/>
      <c r="F31" s="105"/>
      <c r="G31" s="104"/>
      <c r="H31" s="105"/>
    </row>
    <row r="32" spans="1:10">
      <c r="A32" s="104"/>
      <c r="B32" s="107"/>
      <c r="C32" s="107"/>
      <c r="D32" s="107"/>
      <c r="E32" s="107"/>
      <c r="F32" s="104"/>
      <c r="G32" s="107"/>
    </row>
  </sheetData>
  <mergeCells count="18">
    <mergeCell ref="A25:E25"/>
    <mergeCell ref="C27:E27"/>
    <mergeCell ref="H10:H11"/>
    <mergeCell ref="I10:I11"/>
    <mergeCell ref="J10:J11"/>
    <mergeCell ref="A12:J12"/>
    <mergeCell ref="A19:J19"/>
    <mergeCell ref="A24:J24"/>
    <mergeCell ref="A2:J2"/>
    <mergeCell ref="A6:J6"/>
    <mergeCell ref="A8:J8"/>
    <mergeCell ref="A10:A11"/>
    <mergeCell ref="B10:B11"/>
    <mergeCell ref="C10:C11"/>
    <mergeCell ref="D10:D11"/>
    <mergeCell ref="E10:E11"/>
    <mergeCell ref="F10:F11"/>
    <mergeCell ref="G10:G11"/>
  </mergeCells>
  <pageMargins left="0.39370078740157483" right="0.39370078740157483" top="0.39370078740157483" bottom="0.55118110236220474" header="0.39370078740157483" footer="0.39370078740157483"/>
  <pageSetup paperSize="9" scale="94" orientation="landscape" r:id="rId1"/>
  <headerFooter>
    <oddFooter>&amp;R&amp;"Arial,Normal"&amp;10 2</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378C-015F-45B2-AF4F-0C74B2CDD68D}">
  <dimension ref="A1:J34"/>
  <sheetViews>
    <sheetView workbookViewId="0">
      <selection activeCell="H29" activeCellId="5" sqref="F27 H27 J27 J29 F29 H29"/>
    </sheetView>
  </sheetViews>
  <sheetFormatPr baseColWidth="10" defaultRowHeight="15"/>
  <cols>
    <col min="1" max="1" width="26.7109375" customWidth="1"/>
    <col min="2" max="4" width="12" customWidth="1"/>
    <col min="5" max="5" width="10.5703125" customWidth="1"/>
    <col min="6" max="8" width="12" customWidth="1"/>
    <col min="9" max="9" width="7.28515625" customWidth="1"/>
    <col min="10" max="10" width="12" customWidth="1"/>
  </cols>
  <sheetData>
    <row r="1" spans="1:10" ht="13.5" customHeight="1"/>
    <row r="2" spans="1:10" ht="13.5" customHeight="1">
      <c r="A2" s="1307" t="s">
        <v>4281</v>
      </c>
      <c r="B2" s="1307"/>
      <c r="C2" s="1307"/>
      <c r="D2" s="1307"/>
      <c r="E2" s="1307"/>
      <c r="F2" s="1307"/>
      <c r="G2" s="1307"/>
      <c r="H2" s="1307"/>
      <c r="I2" s="1307"/>
      <c r="J2" s="1307"/>
    </row>
    <row r="3" spans="1:10" ht="13.5" customHeight="1">
      <c r="A3" s="143"/>
      <c r="B3" s="144"/>
      <c r="C3" s="144"/>
      <c r="D3" s="144"/>
      <c r="E3" s="144"/>
      <c r="F3" s="144"/>
      <c r="G3" s="144"/>
      <c r="H3" s="144"/>
      <c r="I3" s="144"/>
      <c r="J3" s="144"/>
    </row>
    <row r="4" spans="1:10" ht="13.5" customHeight="1">
      <c r="A4" s="102"/>
      <c r="B4" s="102"/>
      <c r="C4" s="101" t="s">
        <v>4261</v>
      </c>
      <c r="D4" s="142">
        <f>+'Anexo 1'!D4</f>
        <v>0</v>
      </c>
      <c r="E4" s="102"/>
      <c r="F4" s="102"/>
      <c r="G4" s="102"/>
      <c r="H4" s="102"/>
      <c r="I4" s="102"/>
      <c r="J4" s="102"/>
    </row>
    <row r="5" spans="1:10" ht="13.5" customHeight="1">
      <c r="A5" s="143"/>
      <c r="B5" s="144"/>
      <c r="C5" s="144"/>
      <c r="D5" s="144"/>
      <c r="E5" s="144"/>
      <c r="F5" s="144"/>
      <c r="G5" s="144"/>
      <c r="H5" s="144"/>
      <c r="I5" s="144"/>
      <c r="J5" s="144"/>
    </row>
    <row r="6" spans="1:10" ht="13.5" customHeight="1">
      <c r="A6" s="1307" t="s">
        <v>4262</v>
      </c>
      <c r="B6" s="1307"/>
      <c r="C6" s="1307"/>
      <c r="D6" s="1307"/>
      <c r="E6" s="1307"/>
      <c r="F6" s="1307"/>
      <c r="G6" s="1307"/>
      <c r="H6" s="1307"/>
      <c r="I6" s="1307"/>
      <c r="J6" s="1307"/>
    </row>
    <row r="7" spans="1:10" ht="13.5" customHeight="1">
      <c r="A7" s="143"/>
      <c r="B7" s="144"/>
      <c r="C7" s="144"/>
      <c r="D7" s="144"/>
      <c r="E7" s="144"/>
      <c r="F7" s="144"/>
      <c r="G7" s="144"/>
      <c r="H7" s="144"/>
      <c r="I7" s="144"/>
      <c r="J7" s="144"/>
    </row>
    <row r="8" spans="1:10" ht="13.5" customHeight="1">
      <c r="A8" s="1307" t="s">
        <v>4282</v>
      </c>
      <c r="B8" s="1307"/>
      <c r="C8" s="1307"/>
      <c r="D8" s="1307"/>
      <c r="E8" s="1307"/>
      <c r="F8" s="1307"/>
      <c r="G8" s="1307"/>
      <c r="H8" s="1307"/>
      <c r="I8" s="1307"/>
      <c r="J8" s="1307"/>
    </row>
    <row r="9" spans="1:10" ht="13.5" customHeight="1"/>
    <row r="10" spans="1:10" ht="13.5" customHeight="1">
      <c r="B10" s="102"/>
      <c r="C10" s="102"/>
      <c r="D10" s="102" t="s">
        <v>4283</v>
      </c>
      <c r="F10" s="709">
        <f>+[5]HR!K38</f>
        <v>3.508</v>
      </c>
      <c r="G10" s="102"/>
      <c r="H10" s="102"/>
      <c r="I10" s="102"/>
      <c r="J10" s="102"/>
    </row>
    <row r="11" spans="1:10" ht="13.5" customHeight="1"/>
    <row r="12" spans="1:10" ht="25.5" customHeight="1">
      <c r="A12" s="1297" t="s">
        <v>4264</v>
      </c>
      <c r="B12" s="1297" t="s">
        <v>44</v>
      </c>
      <c r="C12" s="1297" t="s">
        <v>4284</v>
      </c>
      <c r="D12" s="1297" t="s">
        <v>4266</v>
      </c>
      <c r="E12" s="1298" t="s">
        <v>4285</v>
      </c>
      <c r="F12" s="1297" t="s">
        <v>4286</v>
      </c>
      <c r="G12" s="1297" t="s">
        <v>4269</v>
      </c>
      <c r="H12" s="1297" t="s">
        <v>4287</v>
      </c>
      <c r="I12" s="1297" t="s">
        <v>17</v>
      </c>
      <c r="J12" s="1297" t="s">
        <v>4288</v>
      </c>
    </row>
    <row r="13" spans="1:10">
      <c r="A13" s="1297"/>
      <c r="B13" s="1297" t="s">
        <v>4272</v>
      </c>
      <c r="C13" s="1297" t="s">
        <v>4273</v>
      </c>
      <c r="D13" s="1297" t="s">
        <v>4272</v>
      </c>
      <c r="E13" s="1299"/>
      <c r="F13" s="1297" t="s">
        <v>4273</v>
      </c>
      <c r="G13" s="1297"/>
      <c r="H13" s="1297" t="s">
        <v>4273</v>
      </c>
      <c r="I13" s="1297"/>
      <c r="J13" s="1297" t="s">
        <v>4273</v>
      </c>
    </row>
    <row r="14" spans="1:10">
      <c r="A14" s="1304" t="s">
        <v>4274</v>
      </c>
      <c r="B14" s="1305"/>
      <c r="C14" s="1305"/>
      <c r="D14" s="1305"/>
      <c r="E14" s="1305"/>
      <c r="F14" s="1305"/>
      <c r="G14" s="1305"/>
      <c r="H14" s="1305"/>
      <c r="I14" s="1305"/>
      <c r="J14" s="1306"/>
    </row>
    <row r="15" spans="1:10">
      <c r="A15" s="710" t="str">
        <f>+'Anexo 1'!A13</f>
        <v>Primer piso</v>
      </c>
      <c r="B15" s="698">
        <f>+'Anexo 1'!B13</f>
        <v>0</v>
      </c>
      <c r="C15" s="698">
        <f>+'MEMORIA Y VAL'!O60</f>
        <v>0</v>
      </c>
      <c r="D15" s="698">
        <f>+'Anexo 1'!D13</f>
        <v>0</v>
      </c>
      <c r="E15" s="711">
        <f>+'MEMORIA Y VAL'!Y60</f>
        <v>0</v>
      </c>
      <c r="F15" s="698">
        <f>+'MEMORIA Y VAL'!AE60</f>
        <v>0</v>
      </c>
      <c r="G15" s="698">
        <f>+'Anexo 1'!G13</f>
        <v>1</v>
      </c>
      <c r="H15" s="698">
        <f>+'MEMORIA Y VAL'!AK60</f>
        <v>0</v>
      </c>
      <c r="I15" s="699">
        <f>+'Anexo 1'!I13</f>
        <v>0.8</v>
      </c>
      <c r="J15" s="698">
        <f>+'MEMORIA Y VAL'!AQ60</f>
        <v>0</v>
      </c>
    </row>
    <row r="16" spans="1:10">
      <c r="A16" s="710" t="str">
        <f>+'Anexo 1'!A14</f>
        <v>Segundo piso</v>
      </c>
      <c r="B16" s="698"/>
      <c r="C16" s="698"/>
      <c r="D16" s="698">
        <f>+'Anexo 1'!D14</f>
        <v>0</v>
      </c>
      <c r="E16" s="711">
        <f>+'MEMORIA Y VAL'!Y61</f>
        <v>0</v>
      </c>
      <c r="F16" s="698">
        <f>+'MEMORIA Y VAL'!AE61</f>
        <v>0</v>
      </c>
      <c r="G16" s="698">
        <f>+'Anexo 1'!G14</f>
        <v>1</v>
      </c>
      <c r="H16" s="698">
        <f>+'MEMORIA Y VAL'!AK61</f>
        <v>0</v>
      </c>
      <c r="I16" s="699">
        <f>+'Anexo 1'!I14</f>
        <v>0.8</v>
      </c>
      <c r="J16" s="698">
        <f>+'MEMORIA Y VAL'!AQ61</f>
        <v>0</v>
      </c>
    </row>
    <row r="17" spans="1:10">
      <c r="A17" s="710" t="str">
        <f>+'Anexo 1'!A15</f>
        <v>Tercer piso</v>
      </c>
      <c r="B17" s="698"/>
      <c r="C17" s="698"/>
      <c r="D17" s="698">
        <f>+'Anexo 1'!D15</f>
        <v>0</v>
      </c>
      <c r="E17" s="711">
        <f>+'MEMORIA Y VAL'!Y62</f>
        <v>0</v>
      </c>
      <c r="F17" s="698">
        <f>+'MEMORIA Y VAL'!AE62</f>
        <v>0</v>
      </c>
      <c r="G17" s="698">
        <f>+'Anexo 1'!G15</f>
        <v>1</v>
      </c>
      <c r="H17" s="698">
        <f>+'MEMORIA Y VAL'!AK62</f>
        <v>0</v>
      </c>
      <c r="I17" s="699">
        <f>+'Anexo 1'!I15</f>
        <v>0.8</v>
      </c>
      <c r="J17" s="698">
        <f>+'MEMORIA Y VAL'!AQ62</f>
        <v>0</v>
      </c>
    </row>
    <row r="18" spans="1:10">
      <c r="A18" s="710" t="str">
        <f>+'Anexo 1'!A16</f>
        <v>Estacionamiento Nº..</v>
      </c>
      <c r="B18" s="698"/>
      <c r="C18" s="698"/>
      <c r="D18" s="698">
        <f>+'Anexo 1'!D16</f>
        <v>0</v>
      </c>
      <c r="E18" s="711">
        <f>+'MEMORIA Y VAL'!Y63</f>
        <v>0</v>
      </c>
      <c r="F18" s="698">
        <f>+'MEMORIA Y VAL'!AE63</f>
        <v>0</v>
      </c>
      <c r="G18" s="698"/>
      <c r="H18" s="698">
        <f>+'MEMORIA Y VAL'!AK63</f>
        <v>0</v>
      </c>
      <c r="I18" s="699">
        <f>+'Anexo 1'!I16</f>
        <v>0.8</v>
      </c>
      <c r="J18" s="698">
        <f>+'MEMORIA Y VAL'!AQ63</f>
        <v>0</v>
      </c>
    </row>
    <row r="19" spans="1:10">
      <c r="A19" s="710" t="str">
        <f>+'Anexo 1'!A17</f>
        <v>Depósito Nº …</v>
      </c>
      <c r="B19" s="698"/>
      <c r="C19" s="698"/>
      <c r="D19" s="698">
        <f>+'Anexo 1'!D17</f>
        <v>0</v>
      </c>
      <c r="E19" s="711">
        <f>+'MEMORIA Y VAL'!Y64</f>
        <v>0</v>
      </c>
      <c r="F19" s="698">
        <f>+'MEMORIA Y VAL'!AE64</f>
        <v>0</v>
      </c>
      <c r="G19" s="698"/>
      <c r="H19" s="698">
        <f>+'MEMORIA Y VAL'!AK64</f>
        <v>0</v>
      </c>
      <c r="I19" s="699">
        <f>+'Anexo 1'!I17</f>
        <v>0.8</v>
      </c>
      <c r="J19" s="698">
        <f>+'MEMORIA Y VAL'!AQ64</f>
        <v>0</v>
      </c>
    </row>
    <row r="20" spans="1:10">
      <c r="A20" s="103" t="s">
        <v>4275</v>
      </c>
      <c r="B20" s="700"/>
      <c r="C20" s="700"/>
      <c r="D20" s="700"/>
      <c r="E20" s="700"/>
      <c r="F20" s="701">
        <f>ROUND(SUM(F15:F19),1)</f>
        <v>0</v>
      </c>
      <c r="G20" s="701"/>
      <c r="H20" s="701">
        <f>ROUND(SUM(H15:H19),1)</f>
        <v>0</v>
      </c>
      <c r="I20" s="701"/>
      <c r="J20" s="701">
        <f>ROUND(SUM(J15:J19),1)</f>
        <v>0</v>
      </c>
    </row>
    <row r="21" spans="1:10">
      <c r="A21" s="1304" t="s">
        <v>4276</v>
      </c>
      <c r="B21" s="1305"/>
      <c r="C21" s="1305"/>
      <c r="D21" s="1305"/>
      <c r="E21" s="1305"/>
      <c r="F21" s="1305"/>
      <c r="G21" s="1305"/>
      <c r="H21" s="1305"/>
      <c r="I21" s="1305"/>
      <c r="J21" s="1306"/>
    </row>
    <row r="22" spans="1:10">
      <c r="A22" s="108" t="str">
        <f>+'Anexo 1'!A20</f>
        <v>Primer piso</v>
      </c>
      <c r="B22" s="145"/>
      <c r="C22" s="145"/>
      <c r="D22" s="702">
        <f>+'Anexo 1'!D20</f>
        <v>0</v>
      </c>
      <c r="E22" s="702">
        <f>+'MEMORIA Y VAL'!Y67</f>
        <v>0</v>
      </c>
      <c r="F22" s="702">
        <f>+'MEMORIA Y VAL'!AE67</f>
        <v>0</v>
      </c>
      <c r="G22" s="702">
        <f>+'Anexo 1'!G20</f>
        <v>1</v>
      </c>
      <c r="H22" s="702">
        <f>+'MEMORIA Y VAL'!AK67</f>
        <v>0</v>
      </c>
      <c r="I22" s="699">
        <f>+I19</f>
        <v>0.8</v>
      </c>
      <c r="J22" s="698">
        <f>+'MEMORIA Y VAL'!AQ67</f>
        <v>0</v>
      </c>
    </row>
    <row r="23" spans="1:10">
      <c r="A23" s="108" t="str">
        <f>+'Anexo 1'!A21</f>
        <v>Segundo piso</v>
      </c>
      <c r="B23" s="145"/>
      <c r="C23" s="145"/>
      <c r="D23" s="702">
        <f>+'Anexo 1'!D21</f>
        <v>0</v>
      </c>
      <c r="E23" s="702">
        <f>+'MEMORIA Y VAL'!Y68</f>
        <v>0</v>
      </c>
      <c r="F23" s="702">
        <f>+'MEMORIA Y VAL'!AE68</f>
        <v>0</v>
      </c>
      <c r="G23" s="702">
        <f>+'Anexo 1'!G21</f>
        <v>1</v>
      </c>
      <c r="H23" s="702">
        <f>+'MEMORIA Y VAL'!AK68</f>
        <v>0</v>
      </c>
      <c r="I23" s="699">
        <f>+I22</f>
        <v>0.8</v>
      </c>
      <c r="J23" s="698">
        <f>+'MEMORIA Y VAL'!AQ68</f>
        <v>0</v>
      </c>
    </row>
    <row r="24" spans="1:10">
      <c r="A24" s="108" t="str">
        <f>+'Anexo 1'!A22</f>
        <v>Tercer piso</v>
      </c>
      <c r="B24" s="145"/>
      <c r="C24" s="145"/>
      <c r="D24" s="702">
        <f>+'Anexo 1'!D22</f>
        <v>0</v>
      </c>
      <c r="E24" s="702">
        <f>+'MEMORIA Y VAL'!Y69</f>
        <v>0</v>
      </c>
      <c r="F24" s="702">
        <f>+'MEMORIA Y VAL'!AE69</f>
        <v>0</v>
      </c>
      <c r="G24" s="702">
        <f>+'Anexo 1'!G22</f>
        <v>1</v>
      </c>
      <c r="H24" s="702">
        <f>+'MEMORIA Y VAL'!AK69</f>
        <v>0</v>
      </c>
      <c r="I24" s="699">
        <f>+I23</f>
        <v>0.8</v>
      </c>
      <c r="J24" s="698">
        <f>+'MEMORIA Y VAL'!AQ69</f>
        <v>0</v>
      </c>
    </row>
    <row r="25" spans="1:10">
      <c r="A25" s="103" t="s">
        <v>4277</v>
      </c>
      <c r="B25" s="109"/>
      <c r="C25" s="109"/>
      <c r="D25" s="700"/>
      <c r="E25" s="703"/>
      <c r="F25" s="701">
        <f>ROUND(SUM(F22:F24),1)</f>
        <v>0</v>
      </c>
      <c r="G25" s="701"/>
      <c r="H25" s="701">
        <f>ROUND(SUM(H22:H24),1)</f>
        <v>0</v>
      </c>
      <c r="I25" s="704"/>
      <c r="J25" s="701">
        <f>ROUND(SUM(J22:J24),1)</f>
        <v>0</v>
      </c>
    </row>
    <row r="26" spans="1:10" ht="17.25" customHeight="1">
      <c r="A26" s="1304" t="s">
        <v>4278</v>
      </c>
      <c r="B26" s="1305"/>
      <c r="C26" s="1305"/>
      <c r="D26" s="1305"/>
      <c r="E26" s="1305"/>
      <c r="F26" s="1305"/>
      <c r="G26" s="1305"/>
      <c r="H26" s="1305"/>
      <c r="I26" s="1305"/>
      <c r="J26" s="1306"/>
    </row>
    <row r="27" spans="1:10">
      <c r="A27" s="1308" t="s">
        <v>4279</v>
      </c>
      <c r="B27" s="1309"/>
      <c r="C27" s="1309"/>
      <c r="D27" s="1309"/>
      <c r="E27" s="1309"/>
      <c r="F27" s="701">
        <f>+'MEMORIA Y VAL'!AE75</f>
        <v>0</v>
      </c>
      <c r="G27" s="147"/>
      <c r="H27" s="701">
        <f>+'MEMORIA Y VAL'!AK75</f>
        <v>0</v>
      </c>
      <c r="I27" s="146"/>
      <c r="J27" s="701">
        <f>+'MEMORIA Y VAL'!AQ75</f>
        <v>0</v>
      </c>
    </row>
    <row r="29" spans="1:10" ht="24.75" customHeight="1">
      <c r="B29" s="110"/>
      <c r="C29" s="1302" t="s">
        <v>4280</v>
      </c>
      <c r="D29" s="1303"/>
      <c r="E29" s="1303"/>
      <c r="F29" s="706">
        <f>+F27+F25+F20</f>
        <v>0</v>
      </c>
      <c r="G29" s="149"/>
      <c r="H29" s="706">
        <f>+H27+H25+H20</f>
        <v>0</v>
      </c>
      <c r="I29" s="148"/>
      <c r="J29" s="706">
        <f>+J27+J25+J20</f>
        <v>0</v>
      </c>
    </row>
    <row r="30" spans="1:10">
      <c r="A30" s="104"/>
      <c r="B30" s="107"/>
      <c r="C30" s="104"/>
      <c r="D30" s="104"/>
      <c r="E30" s="104"/>
      <c r="H30" s="105"/>
    </row>
    <row r="31" spans="1:10">
      <c r="A31" s="104"/>
      <c r="B31" s="104"/>
      <c r="C31" s="104"/>
      <c r="D31" s="104"/>
      <c r="E31" s="104"/>
      <c r="H31" s="105"/>
    </row>
    <row r="32" spans="1:10">
      <c r="A32" s="104"/>
      <c r="B32" s="104"/>
      <c r="C32" s="104"/>
      <c r="D32" s="106"/>
      <c r="E32" s="104"/>
      <c r="H32" s="105"/>
    </row>
    <row r="33" spans="1:8">
      <c r="A33" s="105"/>
      <c r="B33" s="104"/>
      <c r="C33" s="104"/>
      <c r="D33" s="104"/>
      <c r="E33" s="104"/>
      <c r="H33" s="105"/>
    </row>
    <row r="34" spans="1:8" ht="57" customHeight="1">
      <c r="A34" s="104"/>
      <c r="C34" s="107"/>
      <c r="D34" s="107"/>
      <c r="E34" s="107"/>
    </row>
  </sheetData>
  <mergeCells count="18">
    <mergeCell ref="A27:E27"/>
    <mergeCell ref="C29:E29"/>
    <mergeCell ref="H12:H13"/>
    <mergeCell ref="I12:I13"/>
    <mergeCell ref="J12:J13"/>
    <mergeCell ref="A14:J14"/>
    <mergeCell ref="A21:J21"/>
    <mergeCell ref="A26:J26"/>
    <mergeCell ref="A2:J2"/>
    <mergeCell ref="A6:J6"/>
    <mergeCell ref="A8:J8"/>
    <mergeCell ref="A12:A13"/>
    <mergeCell ref="B12:B13"/>
    <mergeCell ref="C12:C13"/>
    <mergeCell ref="D12:D13"/>
    <mergeCell ref="E12:E13"/>
    <mergeCell ref="F12:F13"/>
    <mergeCell ref="G12:G13"/>
  </mergeCells>
  <pageMargins left="0.39370078740157483" right="0.39370078740157483" top="0.39370078740157483" bottom="0.55118110236220474" header="0.31496062992125984" footer="0.31496062992125984"/>
  <pageSetup paperSize="9" scale="94" orientation="landscape" r:id="rId1"/>
  <headerFooter>
    <oddFooter>&amp;R&amp;"Arial,Normal"&amp;10 3</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A0F55-D3DC-4AE9-A9E8-0984F2780D6F}">
  <dimension ref="A1:AT40"/>
  <sheetViews>
    <sheetView workbookViewId="0"/>
  </sheetViews>
  <sheetFormatPr baseColWidth="10" defaultRowHeight="15"/>
  <cols>
    <col min="1" max="1" width="28.7109375" customWidth="1"/>
    <col min="2" max="2" width="12" customWidth="1"/>
    <col min="3" max="3" width="12.5703125" customWidth="1"/>
    <col min="4" max="4" width="13.42578125" customWidth="1"/>
    <col min="5" max="5" width="15.42578125" customWidth="1"/>
    <col min="6" max="6" width="11.42578125" customWidth="1"/>
    <col min="7" max="7" width="28.7109375" customWidth="1"/>
    <col min="8" max="8" width="15.5703125" customWidth="1"/>
    <col min="9" max="9" width="14.5703125" customWidth="1"/>
  </cols>
  <sheetData>
    <row r="1" spans="1:14" ht="15.75">
      <c r="A1" s="111"/>
      <c r="B1" s="111"/>
      <c r="C1" s="111"/>
      <c r="D1" s="111"/>
      <c r="E1" s="111"/>
      <c r="F1" s="111"/>
      <c r="G1" s="111"/>
      <c r="H1" s="112"/>
      <c r="I1" s="112"/>
      <c r="J1" s="112"/>
      <c r="K1" s="112"/>
      <c r="L1" s="112"/>
    </row>
    <row r="3" spans="1:14" ht="13.5" customHeight="1">
      <c r="A3" s="111"/>
      <c r="B3" s="111"/>
      <c r="C3" s="1086" t="str">
        <f>+'[6]Anexo 2'!D2</f>
        <v xml:space="preserve">  INFORME N°26</v>
      </c>
      <c r="D3" s="1086"/>
      <c r="E3" s="1311">
        <f>+'MEMORIA Y VAL'!AB94</f>
        <v>0</v>
      </c>
      <c r="F3" s="1089"/>
      <c r="G3" s="1089"/>
      <c r="H3" s="112"/>
      <c r="I3" s="112"/>
    </row>
    <row r="4" spans="1:14" ht="13.5" customHeight="1">
      <c r="A4" s="111"/>
      <c r="B4" s="111"/>
      <c r="C4" s="344"/>
      <c r="D4" s="344"/>
      <c r="E4" s="712"/>
      <c r="F4" s="520"/>
      <c r="G4" s="520"/>
      <c r="H4" s="112"/>
      <c r="I4" s="112"/>
    </row>
    <row r="5" spans="1:14" ht="13.5" customHeight="1">
      <c r="A5" s="1312" t="s">
        <v>4289</v>
      </c>
      <c r="B5" s="1312"/>
      <c r="C5" s="1312"/>
      <c r="D5" s="1312"/>
      <c r="E5" s="1312"/>
      <c r="F5" s="1312"/>
      <c r="G5" s="1312"/>
      <c r="H5" s="113"/>
      <c r="I5" s="113"/>
      <c r="J5" s="113"/>
      <c r="K5" s="113"/>
      <c r="L5" s="113"/>
      <c r="M5" s="113"/>
      <c r="N5" s="113"/>
    </row>
    <row r="6" spans="1:14" ht="13.5" customHeight="1">
      <c r="A6" s="114"/>
      <c r="B6" s="114"/>
      <c r="C6" s="114"/>
      <c r="D6" s="114"/>
      <c r="E6" s="114"/>
      <c r="F6" s="114"/>
      <c r="G6" s="114"/>
      <c r="H6" s="115"/>
      <c r="I6" s="115"/>
      <c r="J6" s="115"/>
    </row>
    <row r="7" spans="1:14" ht="13.5" customHeight="1">
      <c r="A7" s="113"/>
      <c r="B7" s="101" t="s">
        <v>4261</v>
      </c>
      <c r="C7" s="116">
        <f>+'Anexo 2'!D4</f>
        <v>0</v>
      </c>
      <c r="D7" s="113"/>
      <c r="E7" s="113"/>
      <c r="F7" s="113"/>
      <c r="G7" s="113"/>
      <c r="H7" s="117"/>
    </row>
    <row r="8" spans="1:14" ht="13.5" customHeight="1">
      <c r="A8" s="114"/>
      <c r="B8" s="114"/>
      <c r="C8" s="114"/>
      <c r="D8" s="114"/>
      <c r="E8" s="114"/>
      <c r="F8" s="114"/>
      <c r="G8" s="114"/>
      <c r="H8" s="118"/>
      <c r="I8" s="118"/>
      <c r="J8" s="118"/>
      <c r="K8" s="118"/>
      <c r="L8" s="118"/>
    </row>
    <row r="9" spans="1:14" ht="13.5" customHeight="1">
      <c r="A9" s="114" t="s">
        <v>4290</v>
      </c>
      <c r="B9" s="114"/>
      <c r="C9" s="114"/>
      <c r="D9" s="114"/>
      <c r="E9" s="114"/>
      <c r="F9" s="114"/>
      <c r="G9" s="114"/>
      <c r="H9" s="119"/>
    </row>
    <row r="10" spans="1:14" ht="13.5" customHeight="1">
      <c r="A10" s="120"/>
      <c r="B10" s="120"/>
      <c r="C10" s="120"/>
      <c r="D10" s="120"/>
      <c r="E10" s="120"/>
      <c r="F10" s="120"/>
      <c r="G10" s="120"/>
    </row>
    <row r="11" spans="1:14" ht="41.25" customHeight="1">
      <c r="A11" s="150" t="s">
        <v>4291</v>
      </c>
      <c r="B11" s="150" t="s">
        <v>4292</v>
      </c>
      <c r="C11" s="151" t="s">
        <v>4293</v>
      </c>
      <c r="D11" s="150" t="s">
        <v>45</v>
      </c>
      <c r="E11" s="150" t="s">
        <v>46</v>
      </c>
      <c r="F11" s="150" t="s">
        <v>4294</v>
      </c>
      <c r="G11" s="150" t="s">
        <v>4295</v>
      </c>
    </row>
    <row r="12" spans="1:14" ht="48.75" customHeight="1">
      <c r="A12" s="152" t="str">
        <f>+'MEMORIA Y VAL'!C298</f>
        <v>PONER DISTANCIAS</v>
      </c>
      <c r="B12" s="713"/>
      <c r="C12" s="153">
        <f>+'MEMORIA Y VAL'!X298</f>
        <v>0</v>
      </c>
      <c r="D12" s="714">
        <f>+'MEMORIA Y VAL'!AA298</f>
        <v>0</v>
      </c>
      <c r="E12" s="715">
        <f>+'MEMORIA Y VAL'!AD298</f>
        <v>0</v>
      </c>
      <c r="F12" s="714" t="e">
        <f>+'MEMORIA Y VAL'!AS298</f>
        <v>#DIV/0!</v>
      </c>
      <c r="G12" s="713" t="str">
        <f>+A12</f>
        <v>PONER DISTANCIAS</v>
      </c>
    </row>
    <row r="13" spans="1:14" ht="48.75" customHeight="1">
      <c r="A13" s="152">
        <f>+'MEMORIA Y VAL'!C300</f>
        <v>0</v>
      </c>
      <c r="B13" s="716"/>
      <c r="C13" s="153">
        <f>+'MEMORIA Y VAL'!X300</f>
        <v>0</v>
      </c>
      <c r="D13" s="714">
        <f>+'MEMORIA Y VAL'!AA300</f>
        <v>0</v>
      </c>
      <c r="E13" s="715">
        <f>+'MEMORIA Y VAL'!AD300</f>
        <v>0</v>
      </c>
      <c r="F13" s="714" t="e">
        <f>+'MEMORIA Y VAL'!AS300</f>
        <v>#DIV/0!</v>
      </c>
      <c r="G13" s="713">
        <f t="shared" ref="G13:G20" si="0">+A13</f>
        <v>0</v>
      </c>
    </row>
    <row r="14" spans="1:14" ht="48.75" customHeight="1">
      <c r="A14" s="152">
        <f>+'MEMORIA Y VAL'!C302</f>
        <v>0</v>
      </c>
      <c r="B14" s="716"/>
      <c r="C14" s="153">
        <f>+'MEMORIA Y VAL'!X302</f>
        <v>0</v>
      </c>
      <c r="D14" s="714">
        <f>+'MEMORIA Y VAL'!AA302</f>
        <v>0</v>
      </c>
      <c r="E14" s="715">
        <f>+'MEMORIA Y VAL'!AD302</f>
        <v>0</v>
      </c>
      <c r="F14" s="714" t="e">
        <f>+'MEMORIA Y VAL'!AS302</f>
        <v>#DIV/0!</v>
      </c>
      <c r="G14" s="713">
        <f t="shared" si="0"/>
        <v>0</v>
      </c>
    </row>
    <row r="15" spans="1:14" ht="75" customHeight="1">
      <c r="A15" s="717" t="str">
        <f>+'MEMORIA Y VAL'!C304</f>
        <v>"INMUEBLES VENDIDOS - VENTAS CERRADAS"
Tomado del aplicativo Vanetmap</v>
      </c>
      <c r="B15" s="716"/>
      <c r="C15" s="153"/>
      <c r="D15" s="714"/>
      <c r="E15" s="715"/>
      <c r="F15" s="714"/>
      <c r="G15" s="713" t="str">
        <f t="shared" si="0"/>
        <v>"INMUEBLES VENDIDOS - VENTAS CERRADAS"
Tomado del aplicativo Vanetmap</v>
      </c>
    </row>
    <row r="16" spans="1:14" ht="48.75" customHeight="1">
      <c r="A16" s="152">
        <f>+'MEMORIA Y VAL'!C305</f>
        <v>0</v>
      </c>
      <c r="B16" s="713"/>
      <c r="C16" s="153">
        <f>+'MEMORIA Y VAL'!X305</f>
        <v>0</v>
      </c>
      <c r="D16" s="714">
        <f>+'MEMORIA Y VAL'!AA305</f>
        <v>0</v>
      </c>
      <c r="E16" s="715">
        <f>+'MEMORIA Y VAL'!AD305</f>
        <v>0</v>
      </c>
      <c r="F16" s="714" t="e">
        <f>+'MEMORIA Y VAL'!AS305</f>
        <v>#DIV/0!</v>
      </c>
      <c r="G16" s="713">
        <f t="shared" si="0"/>
        <v>0</v>
      </c>
    </row>
    <row r="17" spans="1:46" ht="48.75" customHeight="1">
      <c r="A17" s="152">
        <f>+'MEMORIA Y VAL'!C416</f>
        <v>0</v>
      </c>
      <c r="B17" s="713"/>
      <c r="C17" s="153"/>
      <c r="D17" s="714">
        <f>+'MEMORIA Y VAL'!AA416</f>
        <v>0</v>
      </c>
      <c r="E17" s="715">
        <f>+'MEMORIA Y VAL'!AD416</f>
        <v>0</v>
      </c>
      <c r="F17" s="714" t="e">
        <f>+'MEMORIA Y VAL'!AS416</f>
        <v>#DIV/0!</v>
      </c>
      <c r="G17" s="713">
        <f t="shared" si="0"/>
        <v>0</v>
      </c>
    </row>
    <row r="18" spans="1:46" ht="48.75" customHeight="1">
      <c r="A18" s="152">
        <f>+'MEMORIA Y VAL'!C418</f>
        <v>0</v>
      </c>
      <c r="B18" s="716"/>
      <c r="C18" s="153"/>
      <c r="D18" s="714">
        <f>+'MEMORIA Y VAL'!AA418</f>
        <v>0</v>
      </c>
      <c r="E18" s="715">
        <f>+'MEMORIA Y VAL'!AD418</f>
        <v>0</v>
      </c>
      <c r="F18" s="714" t="e">
        <f>+'MEMORIA Y VAL'!AS418</f>
        <v>#DIV/0!</v>
      </c>
      <c r="G18" s="713">
        <f t="shared" si="0"/>
        <v>0</v>
      </c>
    </row>
    <row r="19" spans="1:46" ht="70.5" customHeight="1">
      <c r="A19" s="717" t="str">
        <f>+'MEMORIA Y VAL'!C420</f>
        <v>"INMUEBLES VENDIDOS - VENTAS CERRADAS"
Tomado del aplicativo Vanetmap</v>
      </c>
      <c r="B19" s="713"/>
      <c r="C19" s="153"/>
      <c r="D19" s="714"/>
      <c r="E19" s="715"/>
      <c r="F19" s="714"/>
      <c r="G19" s="713" t="str">
        <f t="shared" si="0"/>
        <v>"INMUEBLES VENDIDOS - VENTAS CERRADAS"
Tomado del aplicativo Vanetmap</v>
      </c>
    </row>
    <row r="20" spans="1:46" ht="48.75" customHeight="1">
      <c r="A20" s="152">
        <f>+'MEMORIA Y VAL'!C421</f>
        <v>0</v>
      </c>
      <c r="B20" s="716"/>
      <c r="C20" s="153"/>
      <c r="D20" s="714">
        <f>+'MEMORIA Y VAL'!AA421</f>
        <v>0</v>
      </c>
      <c r="E20" s="715">
        <f>+'MEMORIA Y VAL'!AD421</f>
        <v>0</v>
      </c>
      <c r="F20" s="714" t="e">
        <f>+'MEMORIA Y VAL'!AS421</f>
        <v>#DIV/0!</v>
      </c>
      <c r="G20" s="713">
        <f t="shared" si="0"/>
        <v>0</v>
      </c>
    </row>
    <row r="21" spans="1:46">
      <c r="F21" s="718"/>
    </row>
    <row r="22" spans="1:46" ht="16.5">
      <c r="A22" s="154" t="s">
        <v>4296</v>
      </c>
      <c r="B22" s="1313"/>
      <c r="C22" s="1313"/>
      <c r="D22" s="1313"/>
      <c r="E22" s="1313"/>
      <c r="F22" s="1313"/>
      <c r="G22" s="1313"/>
      <c r="H22" s="113"/>
      <c r="I22" s="113"/>
    </row>
    <row r="23" spans="1:46">
      <c r="A23" s="1314">
        <f>+'MEMORIA Y VAL'!C321</f>
        <v>0</v>
      </c>
      <c r="B23" s="1315"/>
      <c r="C23" s="1315"/>
      <c r="D23" s="1315"/>
      <c r="E23" s="1315"/>
      <c r="F23" s="1315"/>
      <c r="G23" s="1316"/>
    </row>
    <row r="24" spans="1:46" ht="81.75" customHeight="1">
      <c r="A24" s="1317"/>
      <c r="B24" s="1318"/>
      <c r="C24" s="1318"/>
      <c r="D24" s="1318"/>
      <c r="E24" s="1318"/>
      <c r="F24" s="1318"/>
      <c r="G24" s="1319"/>
      <c r="H24" s="121"/>
      <c r="I24" s="122"/>
    </row>
    <row r="25" spans="1:46">
      <c r="A25" s="1317"/>
      <c r="B25" s="1318"/>
      <c r="C25" s="1318"/>
      <c r="D25" s="1318"/>
      <c r="E25" s="1318"/>
      <c r="F25" s="1318"/>
      <c r="G25" s="1319"/>
    </row>
    <row r="26" spans="1:46">
      <c r="A26" s="1317"/>
      <c r="B26" s="1318"/>
      <c r="C26" s="1318"/>
      <c r="D26" s="1318"/>
      <c r="E26" s="1318"/>
      <c r="F26" s="1318"/>
      <c r="G26" s="1319"/>
    </row>
    <row r="27" spans="1:46">
      <c r="A27" s="1320"/>
      <c r="B27" s="1321"/>
      <c r="C27" s="1321"/>
      <c r="D27" s="1321"/>
      <c r="E27" s="1321"/>
      <c r="F27" s="1321"/>
      <c r="G27" s="1322"/>
    </row>
    <row r="28" spans="1:46" ht="9.75" customHeight="1">
      <c r="A28" s="719"/>
      <c r="B28" s="719"/>
      <c r="C28" s="719"/>
      <c r="D28" s="719"/>
      <c r="E28" s="719"/>
      <c r="F28" s="719"/>
      <c r="G28" s="719"/>
    </row>
    <row r="29" spans="1:46" ht="21" customHeight="1">
      <c r="A29" s="720"/>
      <c r="B29" s="721"/>
      <c r="C29" s="722"/>
      <c r="D29" s="723">
        <f>+'MEMORIA Y VAL'!V322</f>
        <v>0</v>
      </c>
      <c r="E29" s="724" t="s">
        <v>4556</v>
      </c>
      <c r="F29" s="721"/>
      <c r="G29" s="725"/>
      <c r="H29" s="726"/>
      <c r="I29" s="726"/>
      <c r="K29" s="726"/>
      <c r="L29" s="726"/>
      <c r="M29" s="523"/>
      <c r="N29" s="523"/>
      <c r="O29" s="523"/>
      <c r="P29" s="523"/>
      <c r="Q29" s="523"/>
      <c r="R29" s="523"/>
      <c r="S29" s="523"/>
      <c r="T29" s="727"/>
      <c r="U29" s="523"/>
      <c r="V29" s="523"/>
      <c r="W29" s="523"/>
      <c r="X29" s="523"/>
      <c r="Y29" s="523"/>
      <c r="Z29" s="523"/>
      <c r="AA29" s="728" t="s">
        <v>4556</v>
      </c>
      <c r="AB29" s="523"/>
      <c r="AC29" s="523"/>
      <c r="AD29" s="523"/>
      <c r="AE29" s="523"/>
      <c r="AF29" s="523"/>
      <c r="AG29" s="523"/>
      <c r="AH29" s="523"/>
      <c r="AI29" s="523"/>
      <c r="AJ29" s="523"/>
      <c r="AK29" s="523"/>
      <c r="AL29" s="523"/>
      <c r="AM29" s="523"/>
      <c r="AN29" s="523"/>
      <c r="AO29" s="523"/>
      <c r="AP29" s="523"/>
      <c r="AQ29" s="523"/>
      <c r="AR29" s="523"/>
      <c r="AS29" s="523"/>
      <c r="AT29" s="524"/>
    </row>
    <row r="30" spans="1:46">
      <c r="B30" s="1310"/>
      <c r="C30" s="1310"/>
      <c r="D30" s="1310"/>
      <c r="E30" s="1310"/>
      <c r="F30" s="1310"/>
      <c r="G30" s="1310"/>
    </row>
    <row r="38" spans="1:7">
      <c r="A38" s="104"/>
      <c r="B38" s="104"/>
      <c r="E38" s="123"/>
      <c r="G38" s="123"/>
    </row>
    <row r="39" spans="1:7">
      <c r="A39" s="104"/>
      <c r="B39" s="104"/>
      <c r="C39" s="104"/>
      <c r="D39" s="104"/>
      <c r="E39" s="105"/>
      <c r="F39" s="104"/>
    </row>
    <row r="40" spans="1:7">
      <c r="A40" s="104"/>
      <c r="B40" s="104"/>
      <c r="C40" s="104"/>
      <c r="D40" s="104"/>
      <c r="E40" s="105"/>
      <c r="F40" s="104"/>
    </row>
  </sheetData>
  <mergeCells count="6">
    <mergeCell ref="B30:G30"/>
    <mergeCell ref="C3:D3"/>
    <mergeCell ref="E3:G3"/>
    <mergeCell ref="A5:G5"/>
    <mergeCell ref="B22:G22"/>
    <mergeCell ref="A23:G27"/>
  </mergeCells>
  <pageMargins left="0.59055118110236227" right="0.39370078740157483" top="0.39370078740157483" bottom="0.55118110236220474" header="0.31496062992125984" footer="0.31496062992125984"/>
  <pageSetup paperSize="9" scale="7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320B-E458-46E1-B10B-1BF219FD3752}">
  <dimension ref="A1:F35"/>
  <sheetViews>
    <sheetView workbookViewId="0"/>
  </sheetViews>
  <sheetFormatPr baseColWidth="10" defaultRowHeight="15"/>
  <cols>
    <col min="1" max="1" width="22.42578125" customWidth="1"/>
    <col min="2" max="2" width="18.5703125" customWidth="1"/>
    <col min="3" max="3" width="11.42578125" customWidth="1"/>
    <col min="5" max="5" width="25.42578125" customWidth="1"/>
    <col min="6" max="6" width="18.5703125" customWidth="1"/>
  </cols>
  <sheetData>
    <row r="1" spans="1:6" ht="79.5" customHeight="1">
      <c r="A1" s="124"/>
      <c r="B1" s="125"/>
      <c r="C1" s="125"/>
      <c r="D1" s="125"/>
      <c r="E1" s="125"/>
      <c r="F1" s="124"/>
    </row>
    <row r="2" spans="1:6" ht="37.5" customHeight="1">
      <c r="A2" s="124"/>
      <c r="B2" s="125"/>
      <c r="C2" s="125"/>
      <c r="D2" s="125"/>
      <c r="E2" s="125"/>
      <c r="F2" s="124"/>
    </row>
    <row r="3" spans="1:6" ht="23.25" customHeight="1">
      <c r="A3" s="124"/>
      <c r="B3" s="125"/>
      <c r="C3" s="125"/>
      <c r="D3" s="125"/>
      <c r="E3" s="125"/>
      <c r="F3" s="124"/>
    </row>
    <row r="4" spans="1:6" ht="13.5" customHeight="1">
      <c r="A4" s="124"/>
      <c r="B4" s="125"/>
      <c r="C4" s="125"/>
      <c r="D4" s="125"/>
      <c r="E4" s="125"/>
      <c r="F4" s="124"/>
    </row>
    <row r="5" spans="1:6" ht="13.5" customHeight="1">
      <c r="A5" s="124"/>
      <c r="B5" s="1325" t="str">
        <f>+'Anexo 3 '!C3</f>
        <v xml:space="preserve">  INFORME N°26</v>
      </c>
      <c r="C5" s="1325"/>
      <c r="D5" s="1311">
        <f>+'Anexo 3 '!E3</f>
        <v>0</v>
      </c>
      <c r="E5" s="1089"/>
      <c r="F5" s="1089"/>
    </row>
    <row r="6" spans="1:6" ht="13.5" customHeight="1">
      <c r="A6" s="124"/>
      <c r="B6" s="125"/>
      <c r="C6" s="125"/>
      <c r="D6" s="125"/>
      <c r="E6" s="125"/>
      <c r="F6" s="124"/>
    </row>
    <row r="7" spans="1:6" ht="13.5" customHeight="1">
      <c r="A7" s="1326" t="s">
        <v>4297</v>
      </c>
      <c r="B7" s="1326"/>
      <c r="C7" s="1326"/>
      <c r="D7" s="1326"/>
      <c r="E7" s="1326"/>
      <c r="F7" s="1326"/>
    </row>
    <row r="8" spans="1:6" ht="13.5" customHeight="1">
      <c r="A8" s="155"/>
      <c r="B8" s="155"/>
      <c r="C8" s="155"/>
      <c r="D8" s="155"/>
      <c r="E8" s="155"/>
      <c r="F8" s="155"/>
    </row>
    <row r="9" spans="1:6" ht="13.5" customHeight="1">
      <c r="A9" s="116"/>
      <c r="B9" s="101" t="s">
        <v>4261</v>
      </c>
      <c r="C9" s="116">
        <f>+'Anexo 3 '!C7</f>
        <v>0</v>
      </c>
      <c r="D9" s="116"/>
      <c r="E9" s="116"/>
      <c r="F9" s="116"/>
    </row>
    <row r="10" spans="1:6" ht="13.5" customHeight="1">
      <c r="A10" s="124"/>
      <c r="B10" s="124"/>
      <c r="C10" s="124"/>
      <c r="D10" s="124"/>
      <c r="E10" s="124"/>
      <c r="F10" s="124"/>
    </row>
    <row r="11" spans="1:6" ht="30">
      <c r="A11" s="1327" t="s">
        <v>4298</v>
      </c>
      <c r="B11" s="1327"/>
      <c r="C11" s="1327"/>
      <c r="D11" s="1327"/>
      <c r="E11" s="156" t="s">
        <v>4299</v>
      </c>
      <c r="F11" s="156" t="s">
        <v>4300</v>
      </c>
    </row>
    <row r="12" spans="1:6" ht="18.75" customHeight="1">
      <c r="A12" s="1323" t="s">
        <v>4301</v>
      </c>
      <c r="B12" s="1324"/>
      <c r="C12" s="1324"/>
      <c r="D12" s="1324"/>
      <c r="E12" s="729" t="s">
        <v>4635</v>
      </c>
      <c r="F12" s="730" t="s">
        <v>4636</v>
      </c>
    </row>
    <row r="13" spans="1:6" ht="18.75" customHeight="1">
      <c r="A13" s="1323" t="s">
        <v>4302</v>
      </c>
      <c r="B13" s="1324"/>
      <c r="C13" s="1324"/>
      <c r="D13" s="1324"/>
      <c r="E13" s="729" t="s">
        <v>4637</v>
      </c>
      <c r="F13" s="730" t="s">
        <v>4636</v>
      </c>
    </row>
    <row r="14" spans="1:6" ht="18.75" customHeight="1">
      <c r="A14" s="1323" t="s">
        <v>4303</v>
      </c>
      <c r="B14" s="1324"/>
      <c r="C14" s="1324"/>
      <c r="D14" s="1324"/>
      <c r="E14" s="731" t="s">
        <v>4638</v>
      </c>
      <c r="F14" s="730" t="s">
        <v>4636</v>
      </c>
    </row>
    <row r="15" spans="1:6" ht="18.75" customHeight="1">
      <c r="A15" s="1323" t="s">
        <v>4304</v>
      </c>
      <c r="B15" s="1324"/>
      <c r="C15" s="1324"/>
      <c r="D15" s="1324"/>
      <c r="E15" s="731" t="s">
        <v>4639</v>
      </c>
      <c r="F15" s="730" t="s">
        <v>4636</v>
      </c>
    </row>
    <row r="16" spans="1:6" ht="25.5" customHeight="1">
      <c r="A16" s="1323" t="s">
        <v>4305</v>
      </c>
      <c r="B16" s="1324"/>
      <c r="C16" s="1324"/>
      <c r="D16" s="1324"/>
      <c r="E16" s="731" t="s">
        <v>4640</v>
      </c>
      <c r="F16" s="730" t="s">
        <v>4636</v>
      </c>
    </row>
    <row r="17" spans="1:6" ht="18.75" customHeight="1">
      <c r="A17" s="1323" t="s">
        <v>4306</v>
      </c>
      <c r="B17" s="1324"/>
      <c r="C17" s="1324"/>
      <c r="D17" s="1324"/>
      <c r="E17" s="731" t="s">
        <v>4640</v>
      </c>
      <c r="F17" s="730" t="s">
        <v>4636</v>
      </c>
    </row>
    <row r="18" spans="1:6" ht="19.5" customHeight="1">
      <c r="A18" s="1323" t="s">
        <v>4307</v>
      </c>
      <c r="B18" s="1324"/>
      <c r="C18" s="1324"/>
      <c r="D18" s="1324"/>
      <c r="E18" s="731" t="s">
        <v>4641</v>
      </c>
      <c r="F18" s="730" t="s">
        <v>4636</v>
      </c>
    </row>
    <row r="19" spans="1:6" ht="37.5" customHeight="1">
      <c r="A19" s="1323" t="s">
        <v>4308</v>
      </c>
      <c r="B19" s="1324"/>
      <c r="C19" s="1324"/>
      <c r="D19" s="1324"/>
      <c r="E19" s="731" t="s">
        <v>4642</v>
      </c>
      <c r="F19" s="730" t="s">
        <v>4636</v>
      </c>
    </row>
    <row r="20" spans="1:6" ht="18.75" customHeight="1">
      <c r="A20" s="1323" t="s">
        <v>4309</v>
      </c>
      <c r="B20" s="1324"/>
      <c r="C20" s="1324"/>
      <c r="D20" s="1324"/>
      <c r="E20" s="731" t="s">
        <v>4643</v>
      </c>
      <c r="F20" s="730" t="s">
        <v>4636</v>
      </c>
    </row>
    <row r="21" spans="1:6" ht="37.5" customHeight="1">
      <c r="A21" s="1323" t="s">
        <v>4310</v>
      </c>
      <c r="B21" s="1324"/>
      <c r="C21" s="1324"/>
      <c r="D21" s="1324"/>
      <c r="E21" s="731" t="s">
        <v>4644</v>
      </c>
      <c r="F21" s="730" t="s">
        <v>4636</v>
      </c>
    </row>
    <row r="22" spans="1:6" ht="37.5" customHeight="1">
      <c r="A22" s="1328" t="s">
        <v>4311</v>
      </c>
      <c r="B22" s="1328"/>
      <c r="C22" s="1328"/>
      <c r="D22" s="1328"/>
      <c r="E22" s="731" t="s">
        <v>4645</v>
      </c>
      <c r="F22" s="730" t="s">
        <v>4636</v>
      </c>
    </row>
    <row r="23" spans="1:6">
      <c r="A23" s="124"/>
      <c r="B23" s="124"/>
      <c r="C23" s="124"/>
      <c r="D23" s="124"/>
      <c r="E23" s="124"/>
      <c r="F23" s="124"/>
    </row>
    <row r="24" spans="1:6">
      <c r="A24" s="124"/>
      <c r="B24" s="124"/>
      <c r="C24" s="126"/>
      <c r="D24" s="126"/>
      <c r="E24" s="126"/>
      <c r="F24" s="126"/>
    </row>
    <row r="25" spans="1:6">
      <c r="A25" s="124"/>
      <c r="B25" s="124"/>
      <c r="C25" s="126"/>
      <c r="D25" s="126"/>
      <c r="E25" s="126"/>
      <c r="F25" s="126"/>
    </row>
    <row r="26" spans="1:6" ht="15" customHeight="1">
      <c r="A26" s="126"/>
      <c r="B26" s="126"/>
      <c r="C26" s="124"/>
      <c r="D26" s="124"/>
      <c r="E26" s="1329"/>
      <c r="F26" s="1329"/>
    </row>
    <row r="27" spans="1:6" ht="15" customHeight="1">
      <c r="A27" s="126"/>
      <c r="B27" s="124"/>
      <c r="C27" s="127"/>
      <c r="D27" s="127"/>
      <c r="E27" s="128"/>
      <c r="F27" s="124"/>
    </row>
    <row r="28" spans="1:6" ht="15" customHeight="1">
      <c r="A28" s="126"/>
      <c r="B28" s="127"/>
      <c r="C28" s="124"/>
      <c r="D28" s="124"/>
      <c r="E28" s="128"/>
      <c r="F28" s="124"/>
    </row>
    <row r="29" spans="1:6" ht="15" customHeight="1">
      <c r="A29" s="126"/>
      <c r="B29" s="124"/>
      <c r="C29" s="124"/>
      <c r="D29" s="124"/>
      <c r="E29" s="128"/>
      <c r="F29" s="124"/>
    </row>
    <row r="30" spans="1:6" ht="15" customHeight="1">
      <c r="A30" s="128"/>
      <c r="B30" s="124"/>
      <c r="C30" s="124"/>
      <c r="D30" s="124"/>
      <c r="E30" s="128"/>
      <c r="F30" s="124"/>
    </row>
    <row r="31" spans="1:6" ht="15" customHeight="1">
      <c r="A31" s="126"/>
      <c r="B31" s="124"/>
      <c r="C31" s="124"/>
      <c r="D31" s="124"/>
      <c r="E31" s="124"/>
      <c r="F31" s="124"/>
    </row>
    <row r="32" spans="1:6">
      <c r="A32" s="124"/>
      <c r="B32" s="124"/>
      <c r="C32" s="124"/>
      <c r="D32" s="124"/>
      <c r="E32" s="124"/>
      <c r="F32" s="124"/>
    </row>
    <row r="33" spans="1:6">
      <c r="A33" s="124"/>
      <c r="B33" s="124"/>
      <c r="C33" s="124"/>
      <c r="D33" s="124"/>
      <c r="E33" s="124"/>
      <c r="F33" s="124"/>
    </row>
    <row r="34" spans="1:6">
      <c r="A34" s="124"/>
      <c r="B34" s="124"/>
      <c r="C34" s="124"/>
      <c r="D34" s="124"/>
      <c r="E34" s="124"/>
      <c r="F34" s="124"/>
    </row>
    <row r="35" spans="1:6">
      <c r="A35" s="1330"/>
      <c r="B35" s="1330"/>
      <c r="C35" s="1330"/>
      <c r="D35" s="1330"/>
      <c r="E35" s="1330"/>
      <c r="F35" s="1330"/>
    </row>
  </sheetData>
  <mergeCells count="17">
    <mergeCell ref="A20:D20"/>
    <mergeCell ref="A21:D21"/>
    <mergeCell ref="A22:D22"/>
    <mergeCell ref="E26:F26"/>
    <mergeCell ref="A35:F35"/>
    <mergeCell ref="A19:D19"/>
    <mergeCell ref="B5:C5"/>
    <mergeCell ref="D5:F5"/>
    <mergeCell ref="A7:F7"/>
    <mergeCell ref="A11:D11"/>
    <mergeCell ref="A12:D12"/>
    <mergeCell ref="A13:D13"/>
    <mergeCell ref="A14:D14"/>
    <mergeCell ref="A15:D15"/>
    <mergeCell ref="A16:D16"/>
    <mergeCell ref="A17:D17"/>
    <mergeCell ref="A18:D18"/>
  </mergeCells>
  <pageMargins left="0.39370078740157483" right="0.39370078740157483" top="0.39370078740157483" bottom="0.55118110236220474" header="0.31496062992125984" footer="0.31496062992125984"/>
  <pageSetup paperSize="9" scale="88"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K104"/>
  <sheetViews>
    <sheetView topLeftCell="A82" workbookViewId="0">
      <selection activeCell="AE36" sqref="AE36"/>
    </sheetView>
  </sheetViews>
  <sheetFormatPr baseColWidth="10" defaultColWidth="7.42578125" defaultRowHeight="15.6" customHeight="1"/>
  <cols>
    <col min="1" max="1" width="28" style="48" customWidth="1"/>
    <col min="2" max="2" width="13.42578125" style="48" customWidth="1"/>
    <col min="3" max="3" width="18" style="48" customWidth="1"/>
    <col min="4" max="4" width="14" style="48" customWidth="1"/>
    <col min="5" max="5" width="16.42578125" style="48" customWidth="1"/>
    <col min="6" max="6" width="13.5703125" style="48" customWidth="1"/>
    <col min="7" max="7" width="20.42578125" style="48" customWidth="1"/>
    <col min="8" max="8" width="13.5703125" style="48" customWidth="1"/>
    <col min="9" max="9" width="14" style="48" customWidth="1"/>
    <col min="10" max="10" width="13.5703125" style="48" customWidth="1"/>
    <col min="11" max="11" width="15.42578125" style="48" customWidth="1"/>
    <col min="12" max="12" width="7.42578125" style="48" customWidth="1"/>
    <col min="13" max="13" width="38.42578125" style="48" hidden="1" customWidth="1"/>
    <col min="14" max="14" width="5.5703125" style="48" hidden="1" customWidth="1"/>
    <col min="15" max="16" width="0" style="48" hidden="1" customWidth="1"/>
    <col min="17" max="17" width="23.85546875" style="48" hidden="1" customWidth="1"/>
    <col min="18" max="18" width="0" style="48" hidden="1" customWidth="1"/>
    <col min="19" max="19" width="11.5703125" style="48" hidden="1" customWidth="1"/>
    <col min="20" max="20" width="8.85546875" style="48" hidden="1" customWidth="1"/>
    <col min="21" max="21" width="0" style="48" hidden="1" customWidth="1"/>
    <col min="22" max="22" width="40.5703125" style="48" hidden="1" customWidth="1"/>
    <col min="23" max="23" width="0" style="48" hidden="1" customWidth="1"/>
    <col min="24" max="24" width="42.5703125" style="48" hidden="1" customWidth="1"/>
    <col min="25" max="25" width="0" style="48" hidden="1" customWidth="1"/>
    <col min="26" max="26" width="15.85546875" style="48" hidden="1" customWidth="1"/>
    <col min="27" max="27" width="0" style="48" hidden="1" customWidth="1"/>
    <col min="28" max="28" width="20.140625" style="48" hidden="1" customWidth="1"/>
    <col min="29" max="29" width="0" style="48" hidden="1" customWidth="1"/>
    <col min="30" max="30" width="9" style="48" hidden="1" customWidth="1"/>
    <col min="31" max="31" width="7.42578125" style="48"/>
    <col min="32" max="32" width="40.5703125" style="48" bestFit="1" customWidth="1"/>
    <col min="33" max="33" width="7.42578125" style="48"/>
    <col min="34" max="34" width="42.5703125" style="48" bestFit="1" customWidth="1"/>
    <col min="35" max="35" width="3.42578125" style="48" bestFit="1" customWidth="1"/>
    <col min="36" max="16384" width="7.42578125" style="48"/>
  </cols>
  <sheetData>
    <row r="1" spans="1:37" ht="15.6" customHeight="1">
      <c r="A1" s="1371" t="s">
        <v>32</v>
      </c>
      <c r="B1" s="1371"/>
      <c r="C1" s="1371"/>
      <c r="D1" s="1371"/>
      <c r="E1" s="1371"/>
      <c r="F1" s="1371"/>
      <c r="G1" s="1371"/>
      <c r="H1" s="1371"/>
      <c r="I1" s="1371"/>
      <c r="J1" s="1371"/>
      <c r="K1" s="1371"/>
    </row>
    <row r="2" spans="1:37" ht="15.6" customHeight="1">
      <c r="A2" s="157" t="s">
        <v>3</v>
      </c>
      <c r="B2" s="158"/>
      <c r="C2" s="158"/>
      <c r="D2" s="158"/>
      <c r="E2" s="159" t="s">
        <v>4258</v>
      </c>
      <c r="F2" s="158"/>
      <c r="G2" s="158"/>
      <c r="H2" s="158"/>
      <c r="I2" s="158"/>
      <c r="J2" s="158"/>
      <c r="K2" s="158"/>
      <c r="M2" s="230"/>
      <c r="N2" s="230"/>
      <c r="O2" s="230"/>
      <c r="P2" s="230"/>
      <c r="Q2" s="230"/>
      <c r="R2" s="230"/>
      <c r="S2" s="230"/>
      <c r="T2" s="230"/>
      <c r="U2" s="230"/>
      <c r="V2" s="230"/>
      <c r="W2" s="230"/>
      <c r="X2" s="230"/>
      <c r="Y2" s="230"/>
      <c r="Z2" s="230"/>
      <c r="AA2" s="230"/>
      <c r="AB2" s="230"/>
      <c r="AC2" s="230"/>
      <c r="AD2" s="230"/>
    </row>
    <row r="3" spans="1:37" ht="15.6" customHeight="1">
      <c r="A3" s="160" t="s">
        <v>47</v>
      </c>
      <c r="B3" s="1381" t="s">
        <v>4</v>
      </c>
      <c r="C3" s="1381"/>
      <c r="D3" s="1381"/>
      <c r="E3" s="162" t="s">
        <v>48</v>
      </c>
      <c r="F3" s="36"/>
      <c r="G3" s="36"/>
      <c r="H3" s="36"/>
      <c r="I3" s="36"/>
      <c r="J3" s="36"/>
      <c r="K3" s="37"/>
      <c r="M3" s="231"/>
      <c r="N3" s="231"/>
      <c r="O3" s="231"/>
      <c r="P3" s="231"/>
      <c r="Q3" s="232"/>
      <c r="R3" s="232"/>
      <c r="S3" s="232"/>
      <c r="T3" s="232"/>
      <c r="U3" s="232"/>
      <c r="V3" s="232"/>
      <c r="W3" s="232"/>
      <c r="X3" s="230"/>
      <c r="Y3" s="231"/>
      <c r="Z3" s="231"/>
      <c r="AA3" s="231"/>
      <c r="AB3" s="231"/>
      <c r="AC3" s="231"/>
      <c r="AD3" s="231"/>
      <c r="AE3" s="216"/>
      <c r="AF3" s="216"/>
      <c r="AG3" s="216"/>
      <c r="AH3" s="216"/>
      <c r="AI3" s="216"/>
      <c r="AJ3" s="216"/>
      <c r="AK3" s="216"/>
    </row>
    <row r="4" spans="1:37" ht="15.6" customHeight="1">
      <c r="A4" s="161" t="s">
        <v>49</v>
      </c>
      <c r="B4" s="1387" t="s">
        <v>4322</v>
      </c>
      <c r="C4" s="1387"/>
      <c r="D4" s="1387"/>
      <c r="E4" s="163" t="s">
        <v>50</v>
      </c>
      <c r="F4" s="1382"/>
      <c r="G4" s="1383"/>
      <c r="H4" s="38"/>
      <c r="I4" s="38"/>
      <c r="J4" s="38"/>
      <c r="K4" s="39"/>
      <c r="M4" s="233" t="s">
        <v>4236</v>
      </c>
      <c r="N4" s="233" t="s">
        <v>4237</v>
      </c>
      <c r="O4" s="231"/>
      <c r="P4" s="231"/>
      <c r="Q4" s="233" t="s">
        <v>4136</v>
      </c>
      <c r="R4" s="234"/>
      <c r="S4" s="1404" t="s">
        <v>54</v>
      </c>
      <c r="T4" s="1404"/>
      <c r="U4" s="232"/>
      <c r="V4" s="235" t="s">
        <v>77</v>
      </c>
      <c r="W4" s="232"/>
      <c r="X4" s="236" t="s">
        <v>4169</v>
      </c>
      <c r="Y4" s="231"/>
      <c r="Z4" s="237" t="s">
        <v>4168</v>
      </c>
      <c r="AA4" s="231"/>
      <c r="AB4" s="233" t="s">
        <v>4170</v>
      </c>
      <c r="AC4" s="231"/>
      <c r="AD4" s="235" t="s">
        <v>75</v>
      </c>
      <c r="AE4" s="216"/>
      <c r="AG4" s="216"/>
      <c r="AJ4" s="216"/>
      <c r="AK4" s="216"/>
    </row>
    <row r="5" spans="1:37" ht="15.6" customHeight="1">
      <c r="A5" s="161" t="s">
        <v>51</v>
      </c>
      <c r="B5" s="1418">
        <f>+'MEMORIA Y VAL'!M86</f>
        <v>0</v>
      </c>
      <c r="C5" s="1418"/>
      <c r="D5" s="1418"/>
      <c r="E5" s="163" t="s">
        <v>52</v>
      </c>
      <c r="F5" s="1382"/>
      <c r="G5" s="1383"/>
      <c r="H5" s="164" t="s">
        <v>4259</v>
      </c>
      <c r="I5" s="100"/>
      <c r="J5" s="38"/>
      <c r="K5" s="39"/>
      <c r="M5" s="238" t="s">
        <v>4205</v>
      </c>
      <c r="N5" s="239">
        <v>1044</v>
      </c>
      <c r="O5" s="231"/>
      <c r="P5" s="231"/>
      <c r="Q5" s="240" t="s">
        <v>83</v>
      </c>
      <c r="R5" s="232"/>
      <c r="S5" s="240">
        <v>1</v>
      </c>
      <c r="T5" s="240" t="s">
        <v>4201</v>
      </c>
      <c r="U5" s="232"/>
      <c r="V5" s="241" t="s">
        <v>85</v>
      </c>
      <c r="W5" s="232"/>
      <c r="X5" s="240" t="s">
        <v>94</v>
      </c>
      <c r="Y5" s="231"/>
      <c r="Z5" s="240" t="s">
        <v>97</v>
      </c>
      <c r="AA5" s="231"/>
      <c r="AB5" s="240" t="s">
        <v>4162</v>
      </c>
      <c r="AC5" s="231"/>
      <c r="AD5" s="240">
        <v>0</v>
      </c>
      <c r="AE5" s="216"/>
      <c r="AG5" s="49"/>
      <c r="AJ5" s="216"/>
      <c r="AK5" s="216"/>
    </row>
    <row r="6" spans="1:37" ht="18" customHeight="1">
      <c r="A6" s="1415" t="s">
        <v>53</v>
      </c>
      <c r="B6" s="1416"/>
      <c r="C6" s="1416"/>
      <c r="D6" s="1416"/>
      <c r="E6" s="1416"/>
      <c r="F6" s="1416"/>
      <c r="G6" s="1416"/>
      <c r="H6" s="1416"/>
      <c r="I6" s="1416"/>
      <c r="J6" s="1416"/>
      <c r="K6" s="1417"/>
      <c r="M6" s="242" t="s">
        <v>4206</v>
      </c>
      <c r="N6" s="239">
        <v>131</v>
      </c>
      <c r="O6" s="231"/>
      <c r="P6" s="231"/>
      <c r="Q6" s="240" t="s">
        <v>84</v>
      </c>
      <c r="R6" s="232"/>
      <c r="S6" s="240">
        <v>2</v>
      </c>
      <c r="T6" s="240" t="s">
        <v>4147</v>
      </c>
      <c r="U6" s="232"/>
      <c r="V6" s="241" t="s">
        <v>87</v>
      </c>
      <c r="W6" s="232"/>
      <c r="X6" s="240" t="s">
        <v>95</v>
      </c>
      <c r="Y6" s="231"/>
      <c r="Z6" s="240" t="s">
        <v>99</v>
      </c>
      <c r="AA6" s="231"/>
      <c r="AB6" s="240" t="s">
        <v>4163</v>
      </c>
      <c r="AC6" s="231"/>
      <c r="AD6" s="240">
        <v>1</v>
      </c>
      <c r="AE6" s="216"/>
      <c r="AG6" s="49"/>
      <c r="AJ6" s="216"/>
      <c r="AK6" s="216"/>
    </row>
    <row r="7" spans="1:37" ht="15.6" customHeight="1">
      <c r="A7" s="161" t="s">
        <v>54</v>
      </c>
      <c r="B7" s="194">
        <v>1</v>
      </c>
      <c r="C7" s="1390" t="str">
        <f>IF(B7="","",VLOOKUP(B7,S5:T5,2,FALSE))</f>
        <v>Hipoteca</v>
      </c>
      <c r="D7" s="1391"/>
      <c r="E7" s="163" t="s">
        <v>55</v>
      </c>
      <c r="F7" s="1405"/>
      <c r="G7" s="1406"/>
      <c r="H7" s="53" t="str">
        <f>IF(F7="","",VLOOKUP(F7,X21:Y43,2,FALSE))</f>
        <v/>
      </c>
      <c r="I7" s="54"/>
      <c r="J7" s="54"/>
      <c r="K7" s="55"/>
      <c r="M7" s="242" t="s">
        <v>4207</v>
      </c>
      <c r="N7" s="239">
        <v>2</v>
      </c>
      <c r="O7" s="231"/>
      <c r="P7" s="231"/>
      <c r="Q7" s="240" t="s">
        <v>86</v>
      </c>
      <c r="R7" s="232"/>
      <c r="S7" s="232"/>
      <c r="T7" s="232"/>
      <c r="U7" s="232"/>
      <c r="V7" s="243" t="s">
        <v>89</v>
      </c>
      <c r="W7" s="232"/>
      <c r="X7" s="240" t="s">
        <v>96</v>
      </c>
      <c r="Y7" s="231"/>
      <c r="Z7" s="240" t="s">
        <v>101</v>
      </c>
      <c r="AA7" s="231"/>
      <c r="AB7" s="240" t="s">
        <v>4164</v>
      </c>
      <c r="AC7" s="231"/>
      <c r="AD7" s="240">
        <v>2</v>
      </c>
      <c r="AE7" s="216"/>
      <c r="AG7" s="49"/>
      <c r="AJ7" s="216"/>
      <c r="AK7" s="216"/>
    </row>
    <row r="8" spans="1:37" ht="15.6" customHeight="1">
      <c r="A8" s="1331" t="s">
        <v>5</v>
      </c>
      <c r="B8" s="1332"/>
      <c r="C8" s="1332"/>
      <c r="D8" s="1332"/>
      <c r="E8" s="1332"/>
      <c r="F8" s="1332"/>
      <c r="G8" s="1332"/>
      <c r="H8" s="1332"/>
      <c r="I8" s="1332"/>
      <c r="J8" s="1332"/>
      <c r="K8" s="1333"/>
      <c r="M8" s="242" t="s">
        <v>4323</v>
      </c>
      <c r="N8" s="239">
        <v>42</v>
      </c>
      <c r="O8" s="231"/>
      <c r="P8" s="244"/>
      <c r="Q8" s="245" t="s">
        <v>88</v>
      </c>
      <c r="R8" s="246"/>
      <c r="S8" s="246"/>
      <c r="T8" s="246"/>
      <c r="U8" s="246"/>
      <c r="V8" s="241" t="s">
        <v>91</v>
      </c>
      <c r="W8" s="246"/>
      <c r="X8" s="245" t="s">
        <v>98</v>
      </c>
      <c r="Y8" s="244"/>
      <c r="Z8" s="244"/>
      <c r="AA8" s="244"/>
      <c r="AB8" s="245" t="s">
        <v>4165</v>
      </c>
      <c r="AC8" s="244"/>
      <c r="AD8" s="245">
        <v>3</v>
      </c>
      <c r="AE8" s="228"/>
      <c r="AG8" s="229"/>
      <c r="AJ8" s="228"/>
      <c r="AK8" s="228"/>
    </row>
    <row r="9" spans="1:37" ht="15.6" customHeight="1">
      <c r="A9" s="161" t="s">
        <v>56</v>
      </c>
      <c r="B9" s="1387">
        <f>+'MEMORIA Y VAL'!S97</f>
        <v>0</v>
      </c>
      <c r="C9" s="1387"/>
      <c r="D9" s="1387"/>
      <c r="E9" s="163" t="s">
        <v>57</v>
      </c>
      <c r="F9" s="1388"/>
      <c r="G9" s="1388"/>
      <c r="H9" s="1388"/>
      <c r="I9" s="1388"/>
      <c r="J9" s="1388"/>
      <c r="K9" s="1389"/>
      <c r="M9" s="242" t="s">
        <v>4324</v>
      </c>
      <c r="N9" s="239">
        <v>1074</v>
      </c>
      <c r="O9" s="231"/>
      <c r="P9" s="231"/>
      <c r="Q9" s="240" t="s">
        <v>90</v>
      </c>
      <c r="R9" s="232"/>
      <c r="S9" s="232"/>
      <c r="T9" s="232"/>
      <c r="U9" s="232"/>
      <c r="V9" s="241" t="s">
        <v>93</v>
      </c>
      <c r="W9" s="232"/>
      <c r="X9" s="240" t="s">
        <v>100</v>
      </c>
      <c r="Y9" s="231"/>
      <c r="Z9" s="231"/>
      <c r="AA9" s="231"/>
      <c r="AB9" s="240" t="s">
        <v>4200</v>
      </c>
      <c r="AC9" s="231"/>
      <c r="AD9" s="240">
        <v>4</v>
      </c>
      <c r="AE9" s="216"/>
      <c r="AG9" s="49"/>
      <c r="AJ9" s="216"/>
      <c r="AK9" s="216"/>
    </row>
    <row r="10" spans="1:37" ht="15.6" customHeight="1">
      <c r="A10" s="161" t="s">
        <v>58</v>
      </c>
      <c r="B10" s="1387"/>
      <c r="C10" s="1387"/>
      <c r="D10" s="1387"/>
      <c r="E10" s="163" t="s">
        <v>4194</v>
      </c>
      <c r="F10" s="1388"/>
      <c r="G10" s="1388"/>
      <c r="H10" s="1388"/>
      <c r="I10" s="1388"/>
      <c r="J10" s="1388"/>
      <c r="K10" s="1389"/>
      <c r="M10" s="242" t="s">
        <v>4208</v>
      </c>
      <c r="N10" s="239">
        <v>141</v>
      </c>
      <c r="O10" s="231"/>
      <c r="P10" s="231"/>
      <c r="Q10" s="231"/>
      <c r="R10" s="231"/>
      <c r="S10" s="232"/>
      <c r="T10" s="232"/>
      <c r="U10" s="232"/>
      <c r="V10" s="241" t="s">
        <v>4132</v>
      </c>
      <c r="W10" s="232"/>
      <c r="X10" s="240" t="s">
        <v>4252</v>
      </c>
      <c r="Y10" s="231"/>
      <c r="Z10" s="231"/>
      <c r="AA10" s="231"/>
      <c r="AB10" s="240" t="s">
        <v>4247</v>
      </c>
      <c r="AC10" s="231"/>
      <c r="AD10" s="240">
        <v>5</v>
      </c>
      <c r="AE10" s="216"/>
      <c r="AG10" s="49"/>
      <c r="AJ10" s="216"/>
      <c r="AK10" s="216"/>
    </row>
    <row r="11" spans="1:37" ht="15.6" customHeight="1">
      <c r="A11" s="1331" t="s">
        <v>59</v>
      </c>
      <c r="B11" s="1332"/>
      <c r="C11" s="1332"/>
      <c r="D11" s="1332"/>
      <c r="E11" s="1332"/>
      <c r="F11" s="1332"/>
      <c r="G11" s="1332"/>
      <c r="H11" s="1332"/>
      <c r="I11" s="1332"/>
      <c r="J11" s="1332"/>
      <c r="K11" s="1333"/>
      <c r="M11" s="242" t="s">
        <v>4209</v>
      </c>
      <c r="N11" s="239">
        <v>1085</v>
      </c>
      <c r="O11" s="231"/>
      <c r="P11" s="231"/>
      <c r="Q11" s="233" t="s">
        <v>12</v>
      </c>
      <c r="R11" s="232"/>
      <c r="S11" s="232"/>
      <c r="T11" s="232"/>
      <c r="U11" s="232"/>
      <c r="V11" s="232"/>
      <c r="W11" s="232"/>
      <c r="X11" s="240" t="s">
        <v>4253</v>
      </c>
      <c r="Y11" s="231"/>
      <c r="Z11" s="237" t="s">
        <v>73</v>
      </c>
      <c r="AA11" s="231"/>
      <c r="AB11" s="231"/>
      <c r="AC11" s="231"/>
      <c r="AD11" s="240">
        <v>6</v>
      </c>
      <c r="AE11" s="216"/>
      <c r="AG11" s="49"/>
      <c r="AJ11" s="216"/>
      <c r="AK11" s="216"/>
    </row>
    <row r="12" spans="1:37" ht="15.6" customHeight="1">
      <c r="A12" s="161" t="s">
        <v>60</v>
      </c>
      <c r="B12" s="1383">
        <f>+'MEMORIA Y VAL'!AI103</f>
        <v>0</v>
      </c>
      <c r="C12" s="1383"/>
      <c r="D12" s="1383"/>
      <c r="E12" s="163" t="s">
        <v>57</v>
      </c>
      <c r="F12" s="1383">
        <f>+'MEMORIA Y VAL'!O104</f>
        <v>0</v>
      </c>
      <c r="G12" s="1383"/>
      <c r="H12" s="1383"/>
      <c r="I12" s="1383"/>
      <c r="J12" s="1413"/>
      <c r="K12" s="1414"/>
      <c r="M12" s="242" t="s">
        <v>4353</v>
      </c>
      <c r="N12" s="239">
        <v>113</v>
      </c>
      <c r="O12" s="231"/>
      <c r="P12" s="231"/>
      <c r="Q12" s="247" t="s">
        <v>118</v>
      </c>
      <c r="R12" s="232"/>
      <c r="S12" s="232"/>
      <c r="T12" s="232"/>
      <c r="U12" s="232"/>
      <c r="V12" s="232"/>
      <c r="W12" s="232"/>
      <c r="X12" s="240" t="s">
        <v>4254</v>
      </c>
      <c r="Y12" s="231"/>
      <c r="Z12" s="240" t="s">
        <v>22</v>
      </c>
      <c r="AA12" s="231"/>
      <c r="AB12" s="233" t="s">
        <v>72</v>
      </c>
      <c r="AC12" s="231"/>
      <c r="AD12" s="240">
        <v>7</v>
      </c>
      <c r="AE12" s="216"/>
      <c r="AG12" s="49"/>
      <c r="AJ12" s="216"/>
      <c r="AK12" s="216"/>
    </row>
    <row r="13" spans="1:37" ht="15.6" customHeight="1">
      <c r="A13" s="161" t="s">
        <v>7</v>
      </c>
      <c r="B13" s="1374"/>
      <c r="C13" s="1374"/>
      <c r="D13" s="1374"/>
      <c r="E13" s="1374"/>
      <c r="F13" s="1374"/>
      <c r="G13" s="1374"/>
      <c r="H13" s="1374"/>
      <c r="I13" s="1374"/>
      <c r="J13" s="1374"/>
      <c r="K13" s="1375"/>
      <c r="M13" s="242" t="s">
        <v>4210</v>
      </c>
      <c r="N13" s="239">
        <v>1087</v>
      </c>
      <c r="O13" s="231"/>
      <c r="P13" s="231"/>
      <c r="Q13" s="247" t="s">
        <v>120</v>
      </c>
      <c r="R13" s="232"/>
      <c r="S13" s="232"/>
      <c r="T13" s="232"/>
      <c r="U13" s="232"/>
      <c r="V13" s="237" t="s">
        <v>4168</v>
      </c>
      <c r="W13" s="232"/>
      <c r="X13" s="240" t="s">
        <v>4255</v>
      </c>
      <c r="Y13" s="231"/>
      <c r="Z13" s="240" t="s">
        <v>23</v>
      </c>
      <c r="AA13" s="231"/>
      <c r="AB13" s="240" t="s">
        <v>4142</v>
      </c>
      <c r="AC13" s="231"/>
      <c r="AD13" s="240">
        <v>8</v>
      </c>
      <c r="AE13" s="216"/>
      <c r="AG13" s="49"/>
      <c r="AJ13" s="216"/>
      <c r="AK13" s="216"/>
    </row>
    <row r="14" spans="1:37" ht="15.6" customHeight="1">
      <c r="A14" s="1331" t="s">
        <v>8</v>
      </c>
      <c r="B14" s="1332"/>
      <c r="C14" s="1332"/>
      <c r="D14" s="1332"/>
      <c r="E14" s="1332"/>
      <c r="F14" s="1332"/>
      <c r="G14" s="1332"/>
      <c r="H14" s="1332"/>
      <c r="I14" s="1332"/>
      <c r="J14" s="1332"/>
      <c r="K14" s="1333"/>
      <c r="M14" s="242" t="s">
        <v>4325</v>
      </c>
      <c r="N14" s="239">
        <v>46</v>
      </c>
      <c r="O14" s="231"/>
      <c r="P14" s="231"/>
      <c r="Q14" s="247" t="s">
        <v>121</v>
      </c>
      <c r="R14" s="232"/>
      <c r="S14" s="232"/>
      <c r="T14" s="232"/>
      <c r="U14" s="232"/>
      <c r="V14" s="240" t="s">
        <v>97</v>
      </c>
      <c r="W14" s="232"/>
      <c r="X14" s="240" t="s">
        <v>4256</v>
      </c>
      <c r="Y14" s="231"/>
      <c r="Z14" s="232"/>
      <c r="AA14" s="231"/>
      <c r="AB14" s="240" t="s">
        <v>4143</v>
      </c>
      <c r="AC14" s="231"/>
      <c r="AD14" s="240">
        <v>9</v>
      </c>
      <c r="AE14" s="216"/>
      <c r="AG14" s="49"/>
      <c r="AJ14" s="216"/>
      <c r="AK14" s="216"/>
    </row>
    <row r="15" spans="1:37" ht="20.45" customHeight="1">
      <c r="A15" s="165" t="s">
        <v>63</v>
      </c>
      <c r="B15" s="1385" t="s">
        <v>4349</v>
      </c>
      <c r="C15" s="1385"/>
      <c r="D15" s="40">
        <f>+VLOOKUP(B15,M5:N69,2,FALSE)</f>
        <v>105</v>
      </c>
      <c r="E15" s="166" t="s">
        <v>4238</v>
      </c>
      <c r="F15" s="1376">
        <v>45865</v>
      </c>
      <c r="G15" s="1377"/>
      <c r="H15" s="1411" t="s">
        <v>4239</v>
      </c>
      <c r="I15" s="1412"/>
      <c r="J15" s="1394" t="s">
        <v>4646</v>
      </c>
      <c r="K15" s="1395"/>
      <c r="M15" s="242" t="s">
        <v>4211</v>
      </c>
      <c r="N15" s="239">
        <v>125</v>
      </c>
      <c r="O15" s="231"/>
      <c r="P15" s="231"/>
      <c r="Q15" s="247" t="s">
        <v>122</v>
      </c>
      <c r="R15" s="232"/>
      <c r="S15" s="232"/>
      <c r="T15" s="232"/>
      <c r="U15" s="232"/>
      <c r="V15" s="240" t="s">
        <v>99</v>
      </c>
      <c r="W15" s="232"/>
      <c r="X15" s="240" t="s">
        <v>4257</v>
      </c>
      <c r="Y15" s="231"/>
      <c r="Z15" s="231"/>
      <c r="AA15" s="231"/>
      <c r="AB15" s="240" t="s">
        <v>4144</v>
      </c>
      <c r="AC15" s="231"/>
      <c r="AD15" s="240">
        <v>10</v>
      </c>
      <c r="AE15" s="216"/>
      <c r="AG15" s="49"/>
      <c r="AJ15" s="216"/>
      <c r="AK15" s="216"/>
    </row>
    <row r="16" spans="1:37" ht="15.6" customHeight="1">
      <c r="A16" s="1397" t="s">
        <v>64</v>
      </c>
      <c r="B16" s="1398"/>
      <c r="C16" s="1398"/>
      <c r="D16" s="1398"/>
      <c r="E16" s="1398"/>
      <c r="F16" s="1398"/>
      <c r="G16" s="1398"/>
      <c r="H16" s="1398"/>
      <c r="I16" s="1398"/>
      <c r="J16" s="1398"/>
      <c r="K16" s="1398"/>
      <c r="M16" s="242" t="s">
        <v>4212</v>
      </c>
      <c r="N16" s="239">
        <v>34</v>
      </c>
      <c r="O16" s="231"/>
      <c r="P16" s="231"/>
      <c r="Q16" s="247" t="s">
        <v>124</v>
      </c>
      <c r="R16" s="232"/>
      <c r="S16" s="232"/>
      <c r="T16" s="232"/>
      <c r="U16" s="232"/>
      <c r="V16" s="232"/>
      <c r="W16" s="232"/>
      <c r="X16" s="230"/>
      <c r="Y16" s="231"/>
      <c r="Z16" s="231"/>
      <c r="AA16" s="231"/>
      <c r="AB16" s="240" t="s">
        <v>4150</v>
      </c>
      <c r="AC16" s="231"/>
      <c r="AD16" s="240">
        <v>11</v>
      </c>
      <c r="AE16" s="216"/>
      <c r="AG16" s="49"/>
      <c r="AJ16" s="216"/>
      <c r="AK16" s="216"/>
    </row>
    <row r="17" spans="1:37" ht="21" customHeight="1">
      <c r="A17" s="167" t="s">
        <v>4140</v>
      </c>
      <c r="B17" s="1384">
        <f>+'MEMORIA Y VAL'!$AC$148</f>
        <v>0</v>
      </c>
      <c r="C17" s="1385"/>
      <c r="D17" s="1385"/>
      <c r="E17" s="1386"/>
      <c r="F17" s="1409" t="s">
        <v>61</v>
      </c>
      <c r="G17" s="1410"/>
      <c r="H17" s="98">
        <f>+'MEMORIA Y VAL'!U103</f>
        <v>0</v>
      </c>
      <c r="I17" s="1407" t="s">
        <v>62</v>
      </c>
      <c r="J17" s="1408"/>
      <c r="K17" s="129">
        <f>+'MEMORIA Y VAL'!V99</f>
        <v>0</v>
      </c>
      <c r="M17" s="242" t="s">
        <v>4213</v>
      </c>
      <c r="N17" s="239">
        <v>104</v>
      </c>
      <c r="O17" s="231"/>
      <c r="P17" s="231"/>
      <c r="Q17" s="232"/>
      <c r="R17" s="234"/>
      <c r="S17" s="232"/>
      <c r="T17" s="232"/>
      <c r="U17" s="232"/>
      <c r="V17" s="232"/>
      <c r="W17" s="232"/>
      <c r="X17" s="230"/>
      <c r="Y17" s="231"/>
      <c r="Z17" s="231"/>
      <c r="AA17" s="231"/>
      <c r="AB17" s="240" t="s">
        <v>4312</v>
      </c>
      <c r="AC17" s="231"/>
      <c r="AD17" s="240">
        <v>12</v>
      </c>
      <c r="AE17" s="216"/>
      <c r="AG17" s="49"/>
      <c r="AJ17" s="216"/>
      <c r="AK17" s="216"/>
    </row>
    <row r="18" spans="1:37" ht="20.100000000000001" customHeight="1">
      <c r="A18" s="167" t="s">
        <v>65</v>
      </c>
      <c r="B18" s="1399">
        <f>+'MEMORIA Y VAL'!$S$98</f>
        <v>0</v>
      </c>
      <c r="C18" s="1400"/>
      <c r="D18" s="1400"/>
      <c r="E18" s="1400"/>
      <c r="F18" s="1400"/>
      <c r="G18" s="1400"/>
      <c r="H18" s="1400"/>
      <c r="I18" s="1400"/>
      <c r="J18" s="1400"/>
      <c r="K18" s="1400"/>
      <c r="M18" s="242" t="s">
        <v>4214</v>
      </c>
      <c r="N18" s="239">
        <v>1065</v>
      </c>
      <c r="O18" s="231"/>
      <c r="P18" s="231"/>
      <c r="Q18" s="233" t="s">
        <v>11</v>
      </c>
      <c r="R18" s="232"/>
      <c r="S18" s="232"/>
      <c r="T18" s="232"/>
      <c r="U18" s="232"/>
      <c r="V18" s="232"/>
      <c r="W18" s="232"/>
      <c r="X18" s="230"/>
      <c r="Y18" s="231"/>
      <c r="Z18" s="231"/>
      <c r="AA18" s="231"/>
      <c r="AB18" s="231"/>
      <c r="AC18" s="231"/>
      <c r="AD18" s="240">
        <v>13</v>
      </c>
      <c r="AE18" s="216"/>
      <c r="AG18" s="49"/>
      <c r="AJ18" s="216"/>
      <c r="AK18" s="216"/>
    </row>
    <row r="19" spans="1:37" ht="24.95" customHeight="1">
      <c r="A19" s="167" t="s">
        <v>66</v>
      </c>
      <c r="B19" s="1399">
        <f>+'MEMORIA Y VAL'!$C$111</f>
        <v>0</v>
      </c>
      <c r="C19" s="1400"/>
      <c r="D19" s="1400"/>
      <c r="E19" s="1400"/>
      <c r="F19" s="1400"/>
      <c r="G19" s="1400"/>
      <c r="H19" s="1400"/>
      <c r="I19" s="1400"/>
      <c r="J19" s="1400"/>
      <c r="K19" s="1400"/>
      <c r="M19" s="242" t="s">
        <v>4354</v>
      </c>
      <c r="N19" s="239">
        <v>26</v>
      </c>
      <c r="O19" s="231"/>
      <c r="P19" s="231"/>
      <c r="Q19" s="248" t="s">
        <v>117</v>
      </c>
      <c r="R19" s="232"/>
      <c r="S19" s="232"/>
      <c r="T19" s="232"/>
      <c r="U19" s="232"/>
      <c r="V19" s="232"/>
      <c r="W19" s="232"/>
      <c r="X19" s="230"/>
      <c r="Y19" s="231"/>
      <c r="Z19" s="231"/>
      <c r="AA19" s="231"/>
      <c r="AB19" s="231"/>
      <c r="AC19" s="231"/>
      <c r="AD19" s="240">
        <v>14</v>
      </c>
      <c r="AE19" s="216"/>
      <c r="AF19" s="216"/>
      <c r="AG19" s="216"/>
      <c r="AJ19" s="216"/>
      <c r="AK19" s="216"/>
    </row>
    <row r="20" spans="1:37" ht="20.100000000000001" customHeight="1">
      <c r="A20" s="167" t="s">
        <v>67</v>
      </c>
      <c r="B20" s="1386"/>
      <c r="C20" s="1380"/>
      <c r="D20" s="1380"/>
      <c r="E20" s="1380"/>
      <c r="F20" s="1380"/>
      <c r="G20" s="1380"/>
      <c r="H20" s="1380"/>
      <c r="I20" s="1380"/>
      <c r="J20" s="1380"/>
      <c r="K20" s="1380"/>
      <c r="M20" s="249" t="s">
        <v>4326</v>
      </c>
      <c r="N20" s="239">
        <v>1063</v>
      </c>
      <c r="O20" s="231"/>
      <c r="P20" s="231"/>
      <c r="Q20" s="248" t="s">
        <v>119</v>
      </c>
      <c r="R20" s="232"/>
      <c r="S20" s="232"/>
      <c r="T20" s="232"/>
      <c r="U20" s="232"/>
      <c r="V20" s="233" t="s">
        <v>71</v>
      </c>
      <c r="W20" s="232"/>
      <c r="X20" s="1404" t="s">
        <v>55</v>
      </c>
      <c r="Y20" s="1404"/>
      <c r="Z20" s="231"/>
      <c r="AA20" s="231"/>
      <c r="AB20" s="232"/>
      <c r="AC20" s="231"/>
      <c r="AD20" s="240">
        <v>15</v>
      </c>
      <c r="AE20" s="216"/>
      <c r="AF20" s="216"/>
      <c r="AG20" s="216"/>
      <c r="AJ20" s="216"/>
      <c r="AK20" s="216"/>
    </row>
    <row r="21" spans="1:37" ht="15.6" customHeight="1">
      <c r="A21" s="167" t="s">
        <v>4240</v>
      </c>
      <c r="B21" s="1386"/>
      <c r="C21" s="1380"/>
      <c r="D21" s="1380"/>
      <c r="E21" s="167" t="s">
        <v>4241</v>
      </c>
      <c r="F21" s="1384"/>
      <c r="G21" s="1385"/>
      <c r="H21" s="1386"/>
      <c r="I21" s="167" t="s">
        <v>81</v>
      </c>
      <c r="J21" s="1384"/>
      <c r="K21" s="1386"/>
      <c r="M21" s="242" t="s">
        <v>4215</v>
      </c>
      <c r="N21" s="239">
        <v>1077</v>
      </c>
      <c r="O21" s="231"/>
      <c r="P21" s="231"/>
      <c r="Q21" s="240" t="s">
        <v>92</v>
      </c>
      <c r="R21" s="232"/>
      <c r="S21" s="232"/>
      <c r="T21" s="232"/>
      <c r="U21" s="232"/>
      <c r="V21" s="240" t="s">
        <v>103</v>
      </c>
      <c r="W21" s="232"/>
      <c r="X21" s="250" t="s">
        <v>4313</v>
      </c>
      <c r="Y21" s="251">
        <v>40</v>
      </c>
      <c r="Z21" s="231"/>
      <c r="AA21" s="231"/>
      <c r="AB21" s="232"/>
      <c r="AC21" s="231"/>
      <c r="AD21" s="240">
        <v>16</v>
      </c>
      <c r="AE21" s="216"/>
      <c r="AF21" s="216"/>
      <c r="AG21" s="216"/>
      <c r="AJ21" s="216"/>
      <c r="AK21" s="216"/>
    </row>
    <row r="22" spans="1:37" ht="15.6" customHeight="1">
      <c r="A22" s="167" t="s">
        <v>71</v>
      </c>
      <c r="B22" s="1385"/>
      <c r="C22" s="1385"/>
      <c r="D22" s="1386"/>
      <c r="E22" s="167" t="s">
        <v>68</v>
      </c>
      <c r="F22" s="42" t="str">
        <f>IF(J21="","",VLOOKUP(J21,Limites2015!J1:K1875,2,FALSE))</f>
        <v/>
      </c>
      <c r="G22" s="167" t="s">
        <v>69</v>
      </c>
      <c r="H22" s="140">
        <f>+'MEMORIA Y VAL'!$U$34</f>
        <v>0</v>
      </c>
      <c r="I22" s="167" t="s">
        <v>70</v>
      </c>
      <c r="J22" s="1401">
        <f>+'MEMORIA Y VAL'!$AK$34</f>
        <v>0</v>
      </c>
      <c r="K22" s="1402"/>
      <c r="M22" s="242" t="s">
        <v>4216</v>
      </c>
      <c r="N22" s="239">
        <v>130</v>
      </c>
      <c r="O22" s="231"/>
      <c r="P22" s="231"/>
      <c r="Q22" s="232"/>
      <c r="R22" s="232"/>
      <c r="S22" s="232"/>
      <c r="T22" s="232"/>
      <c r="U22" s="232"/>
      <c r="V22" s="240" t="s">
        <v>104</v>
      </c>
      <c r="W22" s="232"/>
      <c r="X22" s="250" t="s">
        <v>4314</v>
      </c>
      <c r="Y22" s="251">
        <v>50</v>
      </c>
      <c r="Z22" s="231"/>
      <c r="AA22" s="231"/>
      <c r="AB22" s="232"/>
      <c r="AC22" s="231"/>
      <c r="AD22" s="240">
        <v>17</v>
      </c>
      <c r="AE22" s="216"/>
      <c r="AF22" s="216"/>
      <c r="AG22" s="216"/>
      <c r="AJ22" s="216"/>
      <c r="AK22" s="216"/>
    </row>
    <row r="23" spans="1:37" ht="15.6" customHeight="1">
      <c r="A23" s="163" t="s">
        <v>74</v>
      </c>
      <c r="B23" s="41"/>
      <c r="C23" s="170" t="s">
        <v>73</v>
      </c>
      <c r="D23" s="44"/>
      <c r="E23" s="171" t="s">
        <v>4168</v>
      </c>
      <c r="F23" s="46"/>
      <c r="G23" s="167" t="s">
        <v>72</v>
      </c>
      <c r="H23" s="45"/>
      <c r="I23" s="174"/>
      <c r="J23" s="56"/>
      <c r="K23" s="56"/>
      <c r="M23" s="238" t="s">
        <v>4217</v>
      </c>
      <c r="N23" s="239">
        <v>1072</v>
      </c>
      <c r="O23" s="231"/>
      <c r="P23" s="231"/>
      <c r="Q23" s="232"/>
      <c r="R23" s="232"/>
      <c r="S23" s="232"/>
      <c r="T23" s="232"/>
      <c r="U23" s="232"/>
      <c r="V23" s="240" t="s">
        <v>105</v>
      </c>
      <c r="W23" s="232"/>
      <c r="X23" s="250" t="s">
        <v>4315</v>
      </c>
      <c r="Y23" s="252">
        <v>22</v>
      </c>
      <c r="Z23" s="231"/>
      <c r="AA23" s="231"/>
      <c r="AB23" s="232"/>
      <c r="AC23" s="231"/>
      <c r="AD23" s="240">
        <v>20</v>
      </c>
      <c r="AE23" s="216"/>
      <c r="AF23" s="216"/>
      <c r="AG23" s="216"/>
      <c r="AJ23" s="216"/>
      <c r="AK23" s="216"/>
    </row>
    <row r="24" spans="1:37" ht="15.6" customHeight="1">
      <c r="A24" s="168" t="s">
        <v>77</v>
      </c>
      <c r="B24" s="42"/>
      <c r="C24" s="168" t="s">
        <v>4199</v>
      </c>
      <c r="D24" s="57"/>
      <c r="E24" s="172" t="s">
        <v>75</v>
      </c>
      <c r="F24" s="44"/>
      <c r="G24" s="173" t="s">
        <v>76</v>
      </c>
      <c r="H24" s="44"/>
      <c r="I24" s="1403" t="s">
        <v>4202</v>
      </c>
      <c r="J24" s="1403"/>
      <c r="K24" s="58">
        <f>2026-'MEMORIA Y VAL'!$M$207</f>
        <v>2026</v>
      </c>
      <c r="M24" s="242" t="s">
        <v>4327</v>
      </c>
      <c r="N24" s="239">
        <v>25</v>
      </c>
      <c r="O24" s="231"/>
      <c r="P24" s="231"/>
      <c r="Q24" s="233" t="s">
        <v>74</v>
      </c>
      <c r="R24" s="232"/>
      <c r="S24" s="232"/>
      <c r="T24" s="232"/>
      <c r="U24" s="232"/>
      <c r="V24" s="245" t="s">
        <v>106</v>
      </c>
      <c r="W24" s="232"/>
      <c r="X24" s="250" t="s">
        <v>4316</v>
      </c>
      <c r="Y24" s="251">
        <v>23</v>
      </c>
      <c r="Z24" s="231"/>
      <c r="AA24" s="231"/>
      <c r="AB24" s="232"/>
      <c r="AC24" s="231"/>
      <c r="AD24" s="240">
        <v>25</v>
      </c>
      <c r="AE24" s="216"/>
      <c r="AF24" s="216"/>
      <c r="AG24" s="216"/>
      <c r="AJ24" s="216"/>
      <c r="AK24" s="216"/>
    </row>
    <row r="25" spans="1:37" ht="15.6" customHeight="1">
      <c r="A25" s="169" t="s">
        <v>4136</v>
      </c>
      <c r="B25" s="43"/>
      <c r="C25" s="168" t="s">
        <v>4133</v>
      </c>
      <c r="D25" s="44"/>
      <c r="E25" s="168" t="s">
        <v>4134</v>
      </c>
      <c r="F25" s="44"/>
      <c r="G25" s="169" t="s">
        <v>4169</v>
      </c>
      <c r="H25" s="1384"/>
      <c r="I25" s="1386"/>
      <c r="J25" s="162" t="s">
        <v>4170</v>
      </c>
      <c r="K25" s="99"/>
      <c r="M25" s="242" t="s">
        <v>4328</v>
      </c>
      <c r="N25" s="239">
        <v>143</v>
      </c>
      <c r="O25" s="231"/>
      <c r="P25" s="231"/>
      <c r="Q25" s="240" t="s">
        <v>123</v>
      </c>
      <c r="R25" s="232"/>
      <c r="S25" s="232"/>
      <c r="T25" s="232"/>
      <c r="U25" s="232"/>
      <c r="V25" s="240" t="s">
        <v>107</v>
      </c>
      <c r="W25" s="232"/>
      <c r="X25" s="250" t="s">
        <v>4320</v>
      </c>
      <c r="Y25" s="251">
        <v>28</v>
      </c>
      <c r="Z25" s="231"/>
      <c r="AA25" s="231"/>
      <c r="AB25" s="232"/>
      <c r="AC25" s="231"/>
      <c r="AD25" s="240">
        <v>26</v>
      </c>
      <c r="AE25" s="216"/>
      <c r="AF25" s="216"/>
      <c r="AG25" s="216"/>
      <c r="AJ25" s="216"/>
      <c r="AK25" s="216"/>
    </row>
    <row r="26" spans="1:37" ht="15.6" customHeight="1">
      <c r="A26" s="1396" t="s">
        <v>4145</v>
      </c>
      <c r="B26" s="1393"/>
      <c r="C26" s="1393"/>
      <c r="D26" s="1393"/>
      <c r="E26" s="1393"/>
      <c r="F26" s="1393"/>
      <c r="G26" s="1393"/>
      <c r="H26" s="1393"/>
      <c r="I26" s="1393"/>
      <c r="J26" s="1393"/>
      <c r="K26" s="1393"/>
      <c r="M26" s="242" t="s">
        <v>4218</v>
      </c>
      <c r="N26" s="239">
        <v>1078</v>
      </c>
      <c r="O26" s="231"/>
      <c r="P26" s="231"/>
      <c r="Q26" s="240" t="s">
        <v>125</v>
      </c>
      <c r="R26" s="232"/>
      <c r="S26" s="232"/>
      <c r="T26" s="232"/>
      <c r="U26" s="232"/>
      <c r="V26" s="240" t="s">
        <v>108</v>
      </c>
      <c r="W26" s="232"/>
      <c r="X26" s="250" t="s">
        <v>4187</v>
      </c>
      <c r="Y26" s="251">
        <v>21</v>
      </c>
      <c r="Z26" s="231"/>
      <c r="AA26" s="231"/>
      <c r="AB26" s="232"/>
      <c r="AC26" s="231"/>
      <c r="AD26" s="240">
        <v>27</v>
      </c>
      <c r="AE26" s="216"/>
      <c r="AF26" s="216"/>
      <c r="AG26" s="216"/>
      <c r="AJ26" s="216"/>
      <c r="AK26" s="216"/>
    </row>
    <row r="27" spans="1:37" ht="15.6" customHeight="1">
      <c r="A27" s="163" t="s">
        <v>4135</v>
      </c>
      <c r="B27" s="1384"/>
      <c r="C27" s="1385"/>
      <c r="D27" s="1386"/>
      <c r="E27" s="175" t="s">
        <v>4154</v>
      </c>
      <c r="F27" s="58"/>
      <c r="G27" s="58"/>
      <c r="H27" s="58"/>
      <c r="I27" s="58"/>
      <c r="J27" s="58"/>
      <c r="K27" s="58"/>
      <c r="M27" s="242" t="s">
        <v>4329</v>
      </c>
      <c r="N27" s="239">
        <v>17</v>
      </c>
      <c r="O27" s="231"/>
      <c r="P27" s="231"/>
      <c r="Q27" s="240" t="s">
        <v>126</v>
      </c>
      <c r="R27" s="232"/>
      <c r="S27" s="232"/>
      <c r="T27" s="232"/>
      <c r="U27" s="232"/>
      <c r="V27" s="240" t="s">
        <v>109</v>
      </c>
      <c r="W27" s="232"/>
      <c r="X27" s="250" t="s">
        <v>4186</v>
      </c>
      <c r="Y27" s="251">
        <v>15</v>
      </c>
      <c r="Z27" s="231"/>
      <c r="AA27" s="231"/>
      <c r="AB27" s="232"/>
      <c r="AC27" s="231"/>
      <c r="AD27" s="240">
        <v>28</v>
      </c>
      <c r="AE27" s="216"/>
      <c r="AF27" s="216"/>
      <c r="AG27" s="216"/>
      <c r="AJ27" s="216"/>
      <c r="AK27" s="216"/>
    </row>
    <row r="28" spans="1:37" ht="15.6" customHeight="1">
      <c r="A28" s="163" t="s">
        <v>4152</v>
      </c>
      <c r="B28" s="1384"/>
      <c r="C28" s="1385"/>
      <c r="D28" s="1386"/>
      <c r="E28" s="175" t="s">
        <v>4153</v>
      </c>
      <c r="F28" s="58"/>
      <c r="G28" s="58"/>
      <c r="H28" s="58"/>
      <c r="I28" s="58"/>
      <c r="J28" s="58"/>
      <c r="K28" s="58"/>
      <c r="M28" s="242" t="s">
        <v>4355</v>
      </c>
      <c r="N28" s="239">
        <v>37</v>
      </c>
      <c r="O28" s="231"/>
      <c r="P28" s="231"/>
      <c r="Q28" s="232"/>
      <c r="R28" s="232"/>
      <c r="S28" s="232"/>
      <c r="T28" s="232"/>
      <c r="U28" s="232"/>
      <c r="V28" s="240" t="s">
        <v>110</v>
      </c>
      <c r="W28" s="232"/>
      <c r="X28" s="250" t="s">
        <v>4317</v>
      </c>
      <c r="Y28" s="251">
        <v>16</v>
      </c>
      <c r="Z28" s="231"/>
      <c r="AA28" s="231"/>
      <c r="AB28" s="231"/>
      <c r="AC28" s="231"/>
      <c r="AD28" s="240">
        <v>29</v>
      </c>
      <c r="AE28" s="216"/>
      <c r="AF28" s="216"/>
      <c r="AG28" s="216"/>
      <c r="AH28" s="216"/>
      <c r="AI28" s="216"/>
      <c r="AJ28" s="216"/>
      <c r="AK28" s="216"/>
    </row>
    <row r="29" spans="1:37" ht="15.6" customHeight="1">
      <c r="A29" s="177" t="s">
        <v>4174</v>
      </c>
      <c r="B29" s="44"/>
      <c r="C29" s="179" t="s">
        <v>4175</v>
      </c>
      <c r="D29" s="44"/>
      <c r="E29" s="175" t="s">
        <v>4151</v>
      </c>
      <c r="F29" s="1380"/>
      <c r="G29" s="1380"/>
      <c r="H29" s="1380"/>
      <c r="I29" s="1380"/>
      <c r="J29" s="1380"/>
      <c r="K29" s="1380"/>
      <c r="M29" s="242" t="s">
        <v>4330</v>
      </c>
      <c r="N29" s="239">
        <v>45</v>
      </c>
      <c r="O29" s="231"/>
      <c r="P29" s="231"/>
      <c r="Q29" s="233" t="s">
        <v>49</v>
      </c>
      <c r="R29" s="232"/>
      <c r="S29" s="232"/>
      <c r="T29" s="232"/>
      <c r="U29" s="232"/>
      <c r="V29" s="240" t="s">
        <v>111</v>
      </c>
      <c r="W29" s="232"/>
      <c r="X29" s="250" t="s">
        <v>4318</v>
      </c>
      <c r="Y29" s="251">
        <v>17</v>
      </c>
      <c r="Z29" s="231"/>
      <c r="AA29" s="231"/>
      <c r="AB29" s="231"/>
      <c r="AC29" s="231"/>
      <c r="AD29" s="240">
        <v>30</v>
      </c>
      <c r="AE29" s="216"/>
      <c r="AF29" s="216"/>
      <c r="AG29" s="216"/>
      <c r="AH29" s="216"/>
      <c r="AI29" s="216"/>
      <c r="AJ29" s="216"/>
      <c r="AK29" s="216"/>
    </row>
    <row r="30" spans="1:37" ht="15.6" customHeight="1">
      <c r="A30" s="51" t="s">
        <v>4156</v>
      </c>
      <c r="B30" s="44"/>
      <c r="C30" s="44"/>
      <c r="D30" s="44"/>
      <c r="E30" s="176" t="s">
        <v>4157</v>
      </c>
      <c r="F30" s="58"/>
      <c r="G30" s="58"/>
      <c r="H30" s="58"/>
      <c r="I30" s="58"/>
      <c r="J30" s="58"/>
      <c r="K30" s="58"/>
      <c r="M30" s="242" t="s">
        <v>4219</v>
      </c>
      <c r="N30" s="239">
        <v>1045</v>
      </c>
      <c r="O30" s="231"/>
      <c r="P30" s="231"/>
      <c r="Q30" s="240" t="s">
        <v>4191</v>
      </c>
      <c r="R30" s="232"/>
      <c r="S30" s="232"/>
      <c r="T30" s="232"/>
      <c r="U30" s="232"/>
      <c r="V30" s="240" t="s">
        <v>112</v>
      </c>
      <c r="W30" s="232"/>
      <c r="X30" s="250" t="s">
        <v>4243</v>
      </c>
      <c r="Y30" s="251">
        <v>24</v>
      </c>
      <c r="Z30" s="231"/>
      <c r="AA30" s="231"/>
      <c r="AB30" s="231"/>
      <c r="AC30" s="231"/>
      <c r="AD30" s="240">
        <v>31</v>
      </c>
      <c r="AE30" s="216"/>
      <c r="AF30" s="216"/>
      <c r="AG30" s="216"/>
      <c r="AH30" s="216"/>
      <c r="AI30" s="216"/>
      <c r="AJ30" s="216"/>
      <c r="AK30" s="216"/>
    </row>
    <row r="31" spans="1:37" ht="15.6" customHeight="1">
      <c r="A31" s="51" t="s">
        <v>4155</v>
      </c>
      <c r="B31" s="178" t="s">
        <v>4141</v>
      </c>
      <c r="C31" s="1378"/>
      <c r="D31" s="1379"/>
      <c r="E31" s="176" t="s">
        <v>4157</v>
      </c>
      <c r="F31" s="58"/>
      <c r="G31" s="171" t="s">
        <v>4167</v>
      </c>
      <c r="H31" s="46"/>
      <c r="I31" s="180"/>
      <c r="J31" s="180"/>
      <c r="K31" s="180"/>
      <c r="M31" s="242" t="s">
        <v>4220</v>
      </c>
      <c r="N31" s="239">
        <v>21</v>
      </c>
      <c r="O31" s="231"/>
      <c r="P31" s="231"/>
      <c r="Q31" s="240" t="s">
        <v>4189</v>
      </c>
      <c r="R31" s="232"/>
      <c r="S31" s="232"/>
      <c r="T31" s="232"/>
      <c r="U31" s="232"/>
      <c r="V31" s="240" t="s">
        <v>113</v>
      </c>
      <c r="W31" s="232"/>
      <c r="X31" s="250" t="s">
        <v>4244</v>
      </c>
      <c r="Y31" s="251">
        <v>25</v>
      </c>
      <c r="Z31" s="231"/>
      <c r="AA31" s="231"/>
      <c r="AB31" s="231"/>
      <c r="AC31" s="231"/>
      <c r="AD31" s="240">
        <v>32</v>
      </c>
      <c r="AE31" s="216"/>
      <c r="AF31" s="216"/>
      <c r="AG31" s="216"/>
      <c r="AH31" s="216"/>
      <c r="AI31" s="216"/>
      <c r="AJ31" s="216"/>
      <c r="AK31" s="216"/>
    </row>
    <row r="32" spans="1:37" ht="15.6" customHeight="1">
      <c r="A32" s="1392" t="s">
        <v>4171</v>
      </c>
      <c r="B32" s="1393"/>
      <c r="C32" s="1393"/>
      <c r="D32" s="1393"/>
      <c r="E32" s="1393"/>
      <c r="F32" s="1393"/>
      <c r="G32" s="1393"/>
      <c r="H32" s="1393"/>
      <c r="I32" s="1393"/>
      <c r="J32" s="1393"/>
      <c r="K32" s="1393"/>
      <c r="M32" s="248" t="s">
        <v>4331</v>
      </c>
      <c r="N32" s="239">
        <v>38</v>
      </c>
      <c r="O32" s="231"/>
      <c r="P32" s="231"/>
      <c r="Q32" s="240" t="s">
        <v>4188</v>
      </c>
      <c r="R32" s="232"/>
      <c r="S32" s="232"/>
      <c r="T32" s="232"/>
      <c r="U32" s="232"/>
      <c r="V32" s="240" t="s">
        <v>114</v>
      </c>
      <c r="W32" s="232"/>
      <c r="X32" s="250" t="s">
        <v>4245</v>
      </c>
      <c r="Y32" s="251">
        <v>26</v>
      </c>
      <c r="Z32" s="231"/>
      <c r="AA32" s="231"/>
      <c r="AB32" s="231"/>
      <c r="AC32" s="231"/>
      <c r="AD32" s="240">
        <v>33</v>
      </c>
      <c r="AE32" s="216"/>
      <c r="AF32" s="216"/>
      <c r="AG32" s="216"/>
      <c r="AH32" s="216"/>
      <c r="AI32" s="216"/>
      <c r="AJ32" s="216"/>
      <c r="AK32" s="216"/>
    </row>
    <row r="33" spans="1:37" ht="15.6" customHeight="1">
      <c r="A33" s="30" t="s">
        <v>4139</v>
      </c>
      <c r="B33" s="31"/>
      <c r="C33" s="32"/>
      <c r="D33" s="59" t="s">
        <v>4138</v>
      </c>
      <c r="E33" s="32"/>
      <c r="F33" s="59"/>
      <c r="G33" s="33" t="s">
        <v>4137</v>
      </c>
      <c r="H33" s="31"/>
      <c r="I33" s="30" t="s">
        <v>102</v>
      </c>
      <c r="J33" s="30"/>
      <c r="K33" s="32"/>
      <c r="M33" s="242" t="s">
        <v>4221</v>
      </c>
      <c r="N33" s="239">
        <v>1018</v>
      </c>
      <c r="O33" s="231"/>
      <c r="P33" s="231"/>
      <c r="Q33" s="240" t="s">
        <v>4192</v>
      </c>
      <c r="R33" s="232"/>
      <c r="S33" s="232"/>
      <c r="T33" s="232"/>
      <c r="U33" s="232"/>
      <c r="V33" s="240" t="s">
        <v>115</v>
      </c>
      <c r="W33" s="232"/>
      <c r="X33" s="250" t="s">
        <v>4246</v>
      </c>
      <c r="Y33" s="251">
        <v>27</v>
      </c>
      <c r="Z33" s="231"/>
      <c r="AA33" s="231"/>
      <c r="AB33" s="231"/>
      <c r="AC33" s="231"/>
      <c r="AD33" s="240">
        <v>34</v>
      </c>
      <c r="AE33" s="216"/>
      <c r="AF33" s="216"/>
      <c r="AG33" s="216"/>
      <c r="AH33" s="216"/>
      <c r="AI33" s="216"/>
      <c r="AJ33" s="216"/>
      <c r="AK33" s="216"/>
    </row>
    <row r="34" spans="1:37" ht="15.6" customHeight="1">
      <c r="A34" s="30" t="s">
        <v>4166</v>
      </c>
      <c r="B34" s="31"/>
      <c r="C34" s="32"/>
      <c r="D34" s="31" t="s">
        <v>4158</v>
      </c>
      <c r="E34" s="59"/>
      <c r="F34" s="59"/>
      <c r="G34" s="34"/>
      <c r="H34" s="34"/>
      <c r="I34" s="35"/>
      <c r="J34" s="34"/>
      <c r="K34" s="32"/>
      <c r="M34" s="242" t="s">
        <v>4332</v>
      </c>
      <c r="N34" s="239">
        <v>4</v>
      </c>
      <c r="O34" s="231"/>
      <c r="P34" s="231"/>
      <c r="Q34" s="240" t="s">
        <v>4322</v>
      </c>
      <c r="R34" s="232"/>
      <c r="S34" s="232"/>
      <c r="T34" s="232"/>
      <c r="U34" s="232"/>
      <c r="V34" s="240" t="s">
        <v>116</v>
      </c>
      <c r="W34" s="232"/>
      <c r="X34" s="250" t="s">
        <v>4319</v>
      </c>
      <c r="Y34" s="251">
        <v>14</v>
      </c>
      <c r="Z34" s="231"/>
      <c r="AA34" s="231"/>
      <c r="AB34" s="231"/>
      <c r="AC34" s="231"/>
      <c r="AD34" s="240">
        <v>35</v>
      </c>
      <c r="AE34" s="216"/>
      <c r="AF34" s="216"/>
      <c r="AG34" s="216"/>
      <c r="AH34" s="216"/>
      <c r="AI34" s="216"/>
      <c r="AJ34" s="216"/>
      <c r="AK34" s="216"/>
    </row>
    <row r="35" spans="1:37" ht="15.6" customHeight="1">
      <c r="A35" s="30" t="s">
        <v>4159</v>
      </c>
      <c r="B35" s="31"/>
      <c r="C35" s="32"/>
      <c r="D35" s="31" t="s">
        <v>4176</v>
      </c>
      <c r="E35" s="59"/>
      <c r="F35" s="59"/>
      <c r="G35" s="31" t="s">
        <v>4178</v>
      </c>
      <c r="H35" s="59"/>
      <c r="I35" s="35"/>
      <c r="J35" s="34"/>
      <c r="K35" s="32"/>
      <c r="M35" s="242" t="s">
        <v>4333</v>
      </c>
      <c r="N35" s="239">
        <v>44</v>
      </c>
      <c r="O35" s="231"/>
      <c r="P35" s="231"/>
      <c r="Q35" s="240" t="s">
        <v>4190</v>
      </c>
      <c r="R35" s="232"/>
      <c r="S35" s="232"/>
      <c r="T35" s="232"/>
      <c r="U35" s="232"/>
      <c r="V35" s="232"/>
      <c r="W35" s="232"/>
      <c r="X35" s="250" t="s">
        <v>4179</v>
      </c>
      <c r="Y35" s="251">
        <v>30</v>
      </c>
      <c r="Z35" s="231"/>
      <c r="AA35" s="231"/>
      <c r="AB35" s="231"/>
      <c r="AC35" s="231"/>
      <c r="AD35" s="240">
        <v>36</v>
      </c>
      <c r="AE35" s="216"/>
      <c r="AF35" s="216"/>
      <c r="AG35" s="216"/>
      <c r="AH35" s="216"/>
      <c r="AI35" s="216"/>
      <c r="AJ35" s="216"/>
      <c r="AK35" s="216"/>
    </row>
    <row r="36" spans="1:37" ht="15.6" customHeight="1">
      <c r="A36" s="30" t="s">
        <v>4160</v>
      </c>
      <c r="B36" s="31"/>
      <c r="C36" s="32"/>
      <c r="D36" s="31" t="s">
        <v>4177</v>
      </c>
      <c r="E36" s="59"/>
      <c r="F36" s="59"/>
      <c r="G36" s="56" t="s">
        <v>4161</v>
      </c>
      <c r="H36" s="34"/>
      <c r="I36" s="35"/>
      <c r="J36" s="34"/>
      <c r="K36" s="32"/>
      <c r="M36" s="242" t="s">
        <v>4334</v>
      </c>
      <c r="N36" s="239">
        <v>36</v>
      </c>
      <c r="O36" s="231"/>
      <c r="P36" s="231"/>
      <c r="Q36" s="240" t="s">
        <v>4193</v>
      </c>
      <c r="R36" s="232"/>
      <c r="S36" s="232"/>
      <c r="T36" s="232"/>
      <c r="U36" s="232"/>
      <c r="V36" s="232"/>
      <c r="W36" s="232"/>
      <c r="X36" s="250" t="s">
        <v>4180</v>
      </c>
      <c r="Y36" s="251">
        <v>3</v>
      </c>
      <c r="Z36" s="231"/>
      <c r="AA36" s="231"/>
      <c r="AB36" s="231"/>
      <c r="AC36" s="231"/>
      <c r="AD36" s="231"/>
      <c r="AE36" s="216"/>
      <c r="AF36" s="216"/>
      <c r="AG36" s="216"/>
      <c r="AH36" s="216"/>
      <c r="AI36" s="216"/>
      <c r="AJ36" s="216"/>
      <c r="AK36" s="216"/>
    </row>
    <row r="37" spans="1:37" ht="15.6" customHeight="1">
      <c r="A37" s="1331" t="s">
        <v>78</v>
      </c>
      <c r="B37" s="1332"/>
      <c r="C37" s="1332"/>
      <c r="D37" s="1332"/>
      <c r="E37" s="1332"/>
      <c r="F37" s="1332"/>
      <c r="G37" s="1332"/>
      <c r="H37" s="1332"/>
      <c r="I37" s="1332"/>
      <c r="J37" s="1332"/>
      <c r="K37" s="1333"/>
      <c r="M37" s="242" t="s">
        <v>4335</v>
      </c>
      <c r="N37" s="239">
        <v>7</v>
      </c>
      <c r="O37" s="231"/>
      <c r="P37" s="231"/>
      <c r="Q37" s="232"/>
      <c r="R37" s="232"/>
      <c r="S37" s="232"/>
      <c r="T37" s="232"/>
      <c r="U37" s="232"/>
      <c r="V37" s="232"/>
      <c r="W37" s="232"/>
      <c r="X37" s="250" t="s">
        <v>4181</v>
      </c>
      <c r="Y37" s="251">
        <v>7</v>
      </c>
      <c r="Z37" s="231"/>
      <c r="AA37" s="231"/>
      <c r="AB37" s="231"/>
      <c r="AC37" s="231"/>
      <c r="AD37" s="231"/>
      <c r="AE37" s="216"/>
      <c r="AF37" s="216"/>
      <c r="AG37" s="216"/>
      <c r="AH37" s="216"/>
      <c r="AI37" s="216"/>
      <c r="AJ37" s="216"/>
      <c r="AK37" s="216"/>
    </row>
    <row r="38" spans="1:37" ht="20.100000000000001" customHeight="1">
      <c r="A38" s="181" t="s">
        <v>79</v>
      </c>
      <c r="B38" s="736">
        <f>+'MEMORIA Y VAL'!$V$322</f>
        <v>0</v>
      </c>
      <c r="C38" s="182" t="s">
        <v>4249</v>
      </c>
      <c r="D38" s="736">
        <f>+'MEMORIA Y VAL'!$AO$130</f>
        <v>0</v>
      </c>
      <c r="E38" s="182" t="s">
        <v>4248</v>
      </c>
      <c r="F38" s="736">
        <f>+'MEMORIA Y VAL'!N182</f>
        <v>0</v>
      </c>
      <c r="G38" s="1334" t="s">
        <v>4250</v>
      </c>
      <c r="H38" s="1335"/>
      <c r="I38" s="737" t="e">
        <f>+'MEMORIA Y VAL'!$AK$56/'MEMORIA Y VAL'!$U$56</f>
        <v>#DIV/0!</v>
      </c>
      <c r="J38" s="183" t="s">
        <v>80</v>
      </c>
      <c r="K38" s="732">
        <f>+'MEMORIA Y VAL'!$M$78</f>
        <v>3.4950000000000001</v>
      </c>
      <c r="M38" s="242" t="s">
        <v>4336</v>
      </c>
      <c r="N38" s="239">
        <v>53</v>
      </c>
      <c r="O38" s="231"/>
      <c r="P38" s="231"/>
      <c r="Q38" s="232"/>
      <c r="R38" s="232"/>
      <c r="S38" s="232"/>
      <c r="T38" s="232"/>
      <c r="U38" s="232"/>
      <c r="V38" s="246"/>
      <c r="W38" s="232"/>
      <c r="X38" s="250" t="s">
        <v>4182</v>
      </c>
      <c r="Y38" s="251">
        <v>8</v>
      </c>
      <c r="Z38" s="231"/>
      <c r="AA38" s="231"/>
      <c r="AB38" s="231"/>
      <c r="AC38" s="231"/>
      <c r="AD38" s="231"/>
      <c r="AE38" s="216"/>
      <c r="AF38" s="216"/>
      <c r="AG38" s="216"/>
      <c r="AH38" s="216"/>
      <c r="AI38" s="216"/>
      <c r="AJ38" s="216"/>
      <c r="AK38" s="216"/>
    </row>
    <row r="39" spans="1:37" ht="15.6" customHeight="1">
      <c r="A39" s="1353" t="s">
        <v>9</v>
      </c>
      <c r="B39" s="1354"/>
      <c r="C39" s="1354"/>
      <c r="D39" s="1354"/>
      <c r="E39" s="1354"/>
      <c r="F39" s="1354"/>
      <c r="G39" s="1354"/>
      <c r="H39" s="1354"/>
      <c r="I39" s="1354"/>
      <c r="J39" s="1354"/>
      <c r="K39" s="1355"/>
      <c r="M39" s="242" t="s">
        <v>4337</v>
      </c>
      <c r="N39" s="239">
        <v>8</v>
      </c>
      <c r="O39" s="231"/>
      <c r="P39" s="231"/>
      <c r="Q39" s="232"/>
      <c r="R39" s="246"/>
      <c r="S39" s="246"/>
      <c r="T39" s="246"/>
      <c r="U39" s="246"/>
      <c r="V39" s="232"/>
      <c r="W39" s="246"/>
      <c r="X39" s="250" t="s">
        <v>4242</v>
      </c>
      <c r="Y39" s="251">
        <v>9</v>
      </c>
      <c r="Z39" s="231"/>
      <c r="AA39" s="231"/>
      <c r="AB39" s="231"/>
      <c r="AC39" s="231"/>
      <c r="AD39" s="231"/>
      <c r="AE39" s="216"/>
      <c r="AF39" s="216"/>
      <c r="AG39" s="216"/>
      <c r="AH39" s="216"/>
      <c r="AI39" s="216"/>
      <c r="AJ39" s="216"/>
      <c r="AK39" s="216"/>
    </row>
    <row r="40" spans="1:37" ht="27" customHeight="1">
      <c r="A40" s="195" t="s">
        <v>128</v>
      </c>
      <c r="B40" s="196" t="s">
        <v>10</v>
      </c>
      <c r="C40" s="197" t="s">
        <v>11</v>
      </c>
      <c r="D40" s="196" t="s">
        <v>12</v>
      </c>
      <c r="E40" s="196" t="s">
        <v>13</v>
      </c>
      <c r="F40" s="196" t="s">
        <v>14</v>
      </c>
      <c r="G40" s="196" t="s">
        <v>15</v>
      </c>
      <c r="H40" s="197" t="s">
        <v>16</v>
      </c>
      <c r="I40" s="197" t="s">
        <v>0</v>
      </c>
      <c r="J40" s="196" t="s">
        <v>17</v>
      </c>
      <c r="K40" s="198" t="s">
        <v>18</v>
      </c>
      <c r="M40" s="242" t="s">
        <v>4222</v>
      </c>
      <c r="N40" s="239">
        <v>115</v>
      </c>
      <c r="O40" s="231"/>
      <c r="P40" s="231"/>
      <c r="Q40" s="232"/>
      <c r="R40" s="232"/>
      <c r="S40" s="232"/>
      <c r="T40" s="232"/>
      <c r="U40" s="232"/>
      <c r="V40" s="232"/>
      <c r="W40" s="232"/>
      <c r="X40" s="250" t="s">
        <v>4183</v>
      </c>
      <c r="Y40" s="251">
        <v>10</v>
      </c>
      <c r="Z40" s="231"/>
      <c r="AA40" s="231"/>
      <c r="AB40" s="231"/>
      <c r="AC40" s="231"/>
      <c r="AD40" s="231"/>
      <c r="AE40" s="216"/>
      <c r="AF40" s="216"/>
      <c r="AG40" s="216"/>
      <c r="AH40" s="216"/>
      <c r="AI40" s="216"/>
      <c r="AJ40" s="216"/>
      <c r="AK40" s="216"/>
    </row>
    <row r="41" spans="1:37" ht="15.6" customHeight="1">
      <c r="A41" s="199" t="s">
        <v>33</v>
      </c>
      <c r="B41" s="90"/>
      <c r="C41" s="91"/>
      <c r="D41" s="92"/>
      <c r="E41" s="93"/>
      <c r="F41" s="94"/>
      <c r="G41" s="95"/>
      <c r="H41" s="257"/>
      <c r="I41" s="258"/>
      <c r="J41" s="96"/>
      <c r="K41" s="219"/>
      <c r="M41" s="242" t="s">
        <v>4223</v>
      </c>
      <c r="N41" s="239">
        <v>20</v>
      </c>
      <c r="O41" s="231"/>
      <c r="P41" s="231"/>
      <c r="Q41" s="232"/>
      <c r="R41" s="232"/>
      <c r="S41" s="232"/>
      <c r="T41" s="232"/>
      <c r="U41" s="232"/>
      <c r="V41" s="232"/>
      <c r="W41" s="232"/>
      <c r="X41" s="250" t="s">
        <v>4184</v>
      </c>
      <c r="Y41" s="251">
        <v>12</v>
      </c>
      <c r="Z41" s="231"/>
      <c r="AA41" s="231"/>
      <c r="AB41" s="231"/>
      <c r="AC41" s="231"/>
      <c r="AD41" s="231"/>
      <c r="AE41" s="216"/>
      <c r="AF41" s="216"/>
      <c r="AG41" s="216"/>
      <c r="AH41" s="216"/>
      <c r="AI41" s="216"/>
      <c r="AJ41" s="216"/>
      <c r="AK41" s="216"/>
    </row>
    <row r="42" spans="1:37" ht="15.6" customHeight="1">
      <c r="A42" s="60" t="s">
        <v>1</v>
      </c>
      <c r="B42" s="735">
        <f>+'MEMORIA Y VAL'!C324</f>
        <v>0</v>
      </c>
      <c r="C42" s="131"/>
      <c r="D42" s="130"/>
      <c r="E42" s="132"/>
      <c r="F42" s="130">
        <f>+'MEMORIA Y VAL'!N324</f>
        <v>0</v>
      </c>
      <c r="G42" s="735"/>
      <c r="H42" s="259"/>
      <c r="I42" s="260">
        <f>+ROUND(B42*F42,1)</f>
        <v>0</v>
      </c>
      <c r="J42" s="97">
        <f>+'MEMORIA Y VAL'!I466</f>
        <v>0.8</v>
      </c>
      <c r="K42" s="220">
        <f>+ROUND(I42*J42,1)</f>
        <v>0</v>
      </c>
      <c r="M42" s="242" t="s">
        <v>4224</v>
      </c>
      <c r="N42" s="239">
        <v>124</v>
      </c>
      <c r="O42" s="231"/>
      <c r="P42" s="231"/>
      <c r="Q42" s="232"/>
      <c r="R42" s="232"/>
      <c r="S42" s="232"/>
      <c r="T42" s="232"/>
      <c r="U42" s="232"/>
      <c r="V42" s="232"/>
      <c r="W42" s="232"/>
      <c r="X42" s="250" t="s">
        <v>4185</v>
      </c>
      <c r="Y42" s="251">
        <v>13</v>
      </c>
      <c r="Z42" s="231"/>
      <c r="AA42" s="231"/>
      <c r="AB42" s="231"/>
      <c r="AC42" s="231"/>
      <c r="AD42" s="231"/>
      <c r="AE42" s="216"/>
      <c r="AF42" s="216"/>
      <c r="AG42" s="216"/>
      <c r="AH42" s="216"/>
      <c r="AI42" s="216"/>
      <c r="AJ42" s="216"/>
      <c r="AK42" s="216"/>
    </row>
    <row r="43" spans="1:37" ht="15.6" customHeight="1">
      <c r="A43" s="60" t="str">
        <f>+'MEMORIA Y VAL'!C327</f>
        <v>Primer piso</v>
      </c>
      <c r="B43" s="735">
        <f>+'MEMORIA Y VAL'!C328</f>
        <v>0</v>
      </c>
      <c r="C43" s="131" t="s">
        <v>117</v>
      </c>
      <c r="D43" s="130" t="s">
        <v>120</v>
      </c>
      <c r="E43" s="132">
        <f>+K24</f>
        <v>2026</v>
      </c>
      <c r="F43" s="130">
        <f>+'MEMORIA Y VAL'!N328</f>
        <v>0</v>
      </c>
      <c r="G43" s="735">
        <f>+'MEMORIA Y VAL'!Z328</f>
        <v>1</v>
      </c>
      <c r="H43" s="259">
        <f>IF(OR($F$7="horizontal BIEN FUTURO-DEPARTAMENTO",$F$7="Horizontal BIEN FUTURO-OFICINA",$F$7="Horizontal BIEN TERMINADO-DEPARTAMENTO",$F$7="Horizontal BIEN TERMINADO-OFICINA",$F$7="Horizontal BIEN TERMINADO-LOCAL COMERCIAL"),"",ROUND(B43*F43,1))</f>
        <v>0</v>
      </c>
      <c r="I43" s="260">
        <f>+ROUND(B43*F43*G43,1)</f>
        <v>0</v>
      </c>
      <c r="J43" s="97">
        <f>+J42</f>
        <v>0.8</v>
      </c>
      <c r="K43" s="220">
        <f>+ROUND(I43*J43,1)</f>
        <v>0</v>
      </c>
      <c r="M43" s="242" t="s">
        <v>4338</v>
      </c>
      <c r="N43" s="239">
        <v>29</v>
      </c>
      <c r="O43" s="231"/>
      <c r="P43" s="231"/>
      <c r="Q43" s="232"/>
      <c r="R43" s="232"/>
      <c r="S43" s="232"/>
      <c r="T43" s="232"/>
      <c r="U43" s="232"/>
      <c r="V43" s="232"/>
      <c r="W43" s="232"/>
      <c r="X43" s="250" t="s">
        <v>4321</v>
      </c>
      <c r="Y43" s="251">
        <v>60</v>
      </c>
      <c r="Z43" s="231"/>
      <c r="AA43" s="231"/>
      <c r="AB43" s="231"/>
      <c r="AC43" s="231"/>
      <c r="AD43" s="231"/>
      <c r="AE43" s="216"/>
      <c r="AF43" s="216"/>
      <c r="AG43" s="216"/>
      <c r="AH43" s="216"/>
      <c r="AI43" s="216"/>
      <c r="AJ43" s="216"/>
      <c r="AK43" s="216"/>
    </row>
    <row r="44" spans="1:37" ht="15.6" customHeight="1">
      <c r="A44" s="60" t="str">
        <f>+'MEMORIA Y VAL'!C329</f>
        <v>Segundo piso</v>
      </c>
      <c r="B44" s="735">
        <f>+'MEMORIA Y VAL'!C330</f>
        <v>0</v>
      </c>
      <c r="C44" s="131"/>
      <c r="D44" s="130"/>
      <c r="E44" s="132"/>
      <c r="F44" s="130">
        <f>+'MEMORIA Y VAL'!N330</f>
        <v>0</v>
      </c>
      <c r="G44" s="735">
        <f>+'MEMORIA Y VAL'!Z330</f>
        <v>1</v>
      </c>
      <c r="H44" s="259">
        <f t="shared" ref="H44:H51" si="0">IF(OR($F$7="horizontal BIEN FUTURO-DEPARTAMENTO",$F$7="Horizontal BIEN FUTURO-OFICINA",$F$7="Horizontal BIEN TERMINADO-DEPARTAMENTO",$F$7="Horizontal BIEN TERMINADO-OFICINA",$F$7="Horizontal BIEN TERMINADO-LOCAL COMERCIAL"),"",ROUND(B44*F44,1))</f>
        <v>0</v>
      </c>
      <c r="I44" s="260">
        <f t="shared" ref="I44:I51" si="1">+ROUND(B44*F44*G44,1)</f>
        <v>0</v>
      </c>
      <c r="J44" s="97">
        <f>+J43</f>
        <v>0.8</v>
      </c>
      <c r="K44" s="220">
        <f t="shared" ref="K44:K51" si="2">+ROUND(I44*J44,1)</f>
        <v>0</v>
      </c>
      <c r="M44" s="242" t="s">
        <v>4339</v>
      </c>
      <c r="N44" s="239">
        <v>43</v>
      </c>
      <c r="O44" s="231"/>
      <c r="P44" s="231"/>
      <c r="Q44" s="232"/>
      <c r="R44" s="231"/>
      <c r="S44" s="232"/>
      <c r="T44" s="232"/>
      <c r="U44" s="232"/>
      <c r="V44" s="232"/>
      <c r="W44" s="232"/>
      <c r="X44" s="230"/>
      <c r="Y44" s="231"/>
      <c r="Z44" s="231"/>
      <c r="AA44" s="231"/>
      <c r="AB44" s="231"/>
      <c r="AC44" s="231"/>
      <c r="AD44" s="231"/>
      <c r="AE44" s="216"/>
      <c r="AF44" s="216"/>
      <c r="AG44" s="216"/>
      <c r="AH44" s="216"/>
      <c r="AI44" s="216"/>
      <c r="AJ44" s="216"/>
      <c r="AK44" s="216"/>
    </row>
    <row r="45" spans="1:37" ht="15.6" customHeight="1">
      <c r="A45" s="60" t="str">
        <f>+'MEMORIA Y VAL'!C331</f>
        <v>Tercer piso</v>
      </c>
      <c r="B45" s="735">
        <f>+'MEMORIA Y VAL'!C332</f>
        <v>0</v>
      </c>
      <c r="C45" s="131"/>
      <c r="D45" s="130"/>
      <c r="E45" s="132"/>
      <c r="F45" s="130">
        <f>+'MEMORIA Y VAL'!N332</f>
        <v>0</v>
      </c>
      <c r="G45" s="735">
        <f>+'MEMORIA Y VAL'!Z332</f>
        <v>1</v>
      </c>
      <c r="H45" s="259">
        <f t="shared" si="0"/>
        <v>0</v>
      </c>
      <c r="I45" s="260">
        <f t="shared" si="1"/>
        <v>0</v>
      </c>
      <c r="J45" s="97">
        <f>+J44</f>
        <v>0.8</v>
      </c>
      <c r="K45" s="220">
        <f t="shared" si="2"/>
        <v>0</v>
      </c>
      <c r="M45" s="242" t="s">
        <v>4225</v>
      </c>
      <c r="N45" s="239">
        <v>1039</v>
      </c>
      <c r="O45" s="231"/>
      <c r="P45" s="231"/>
      <c r="Q45" s="232"/>
      <c r="R45" s="232"/>
      <c r="S45" s="232"/>
      <c r="T45" s="232"/>
      <c r="U45" s="232"/>
      <c r="V45" s="232"/>
      <c r="W45" s="232"/>
      <c r="X45" s="230"/>
      <c r="Y45" s="231"/>
      <c r="Z45" s="231"/>
      <c r="AA45" s="231"/>
      <c r="AB45" s="231"/>
      <c r="AC45" s="231"/>
      <c r="AD45" s="231"/>
      <c r="AE45" s="216"/>
      <c r="AF45" s="216"/>
      <c r="AG45" s="216"/>
      <c r="AH45" s="216"/>
      <c r="AI45" s="216"/>
      <c r="AJ45" s="216"/>
      <c r="AK45" s="216"/>
    </row>
    <row r="46" spans="1:37" ht="15.6" customHeight="1">
      <c r="A46" s="60" t="s">
        <v>4647</v>
      </c>
      <c r="B46" s="130"/>
      <c r="C46" s="131"/>
      <c r="D46" s="130"/>
      <c r="E46" s="132"/>
      <c r="F46" s="130"/>
      <c r="G46" s="130"/>
      <c r="H46" s="259">
        <f t="shared" si="0"/>
        <v>0</v>
      </c>
      <c r="I46" s="260">
        <f t="shared" si="1"/>
        <v>0</v>
      </c>
      <c r="J46" s="97"/>
      <c r="K46" s="220">
        <f t="shared" si="2"/>
        <v>0</v>
      </c>
      <c r="M46" s="242" t="s">
        <v>4226</v>
      </c>
      <c r="N46" s="239">
        <v>1020</v>
      </c>
      <c r="O46" s="231"/>
      <c r="P46" s="231"/>
      <c r="Q46" s="232"/>
      <c r="R46" s="232"/>
      <c r="S46" s="232"/>
      <c r="T46" s="232"/>
      <c r="U46" s="232"/>
      <c r="V46" s="232"/>
      <c r="W46" s="232"/>
      <c r="X46" s="230"/>
      <c r="Y46" s="231"/>
      <c r="Z46" s="231"/>
      <c r="AA46" s="231"/>
      <c r="AB46" s="231"/>
      <c r="AC46" s="231"/>
      <c r="AD46" s="231"/>
      <c r="AE46" s="216"/>
      <c r="AF46" s="216"/>
      <c r="AG46" s="216"/>
      <c r="AH46" s="216"/>
      <c r="AI46" s="216"/>
      <c r="AJ46" s="216"/>
      <c r="AK46" s="216"/>
    </row>
    <row r="47" spans="1:37" ht="15.6" customHeight="1">
      <c r="A47" s="60"/>
      <c r="B47" s="130"/>
      <c r="C47" s="131"/>
      <c r="D47" s="130"/>
      <c r="E47" s="132"/>
      <c r="F47" s="130"/>
      <c r="G47" s="130"/>
      <c r="H47" s="259">
        <f>IF(OR($F$7="horizontal BIEN FUTURO-DEPARTAMENTO",$F$7="Horizontal BIEN FUTURO-OFICINA",$F$7="Horizontal BIEN TERMINADO-DEPARTAMENTO",$F$7="Horizontal BIEN TERMINADO-OFICINA",$F$7="Horizontal BIEN TERMINADO-LOCAL COMERCIAL"),"",ROUND(B47*F47,1))</f>
        <v>0</v>
      </c>
      <c r="I47" s="260">
        <f>+ROUND(B47*F47*G47,1)</f>
        <v>0</v>
      </c>
      <c r="J47" s="97"/>
      <c r="K47" s="220">
        <f t="shared" si="2"/>
        <v>0</v>
      </c>
      <c r="M47" s="242" t="s">
        <v>4227</v>
      </c>
      <c r="N47" s="239">
        <v>1049</v>
      </c>
      <c r="O47" s="231"/>
      <c r="P47" s="231"/>
      <c r="Q47" s="232"/>
      <c r="R47" s="232"/>
      <c r="S47" s="232"/>
      <c r="T47" s="232"/>
      <c r="U47" s="232"/>
      <c r="V47" s="232"/>
      <c r="W47" s="232"/>
      <c r="X47" s="230"/>
      <c r="Y47" s="231"/>
      <c r="Z47" s="231"/>
      <c r="AA47" s="231"/>
      <c r="AB47" s="231"/>
      <c r="AC47" s="231"/>
      <c r="AD47" s="231"/>
      <c r="AE47" s="216"/>
      <c r="AF47" s="216"/>
      <c r="AG47" s="216"/>
      <c r="AH47" s="216"/>
      <c r="AI47" s="216"/>
      <c r="AJ47" s="216"/>
      <c r="AK47" s="216"/>
    </row>
    <row r="48" spans="1:37" ht="15.6" customHeight="1">
      <c r="A48" s="136"/>
      <c r="B48" s="130"/>
      <c r="C48" s="131"/>
      <c r="D48" s="130"/>
      <c r="E48" s="132"/>
      <c r="F48" s="130"/>
      <c r="G48" s="130"/>
      <c r="H48" s="259">
        <f t="shared" si="0"/>
        <v>0</v>
      </c>
      <c r="I48" s="260">
        <f t="shared" si="1"/>
        <v>0</v>
      </c>
      <c r="J48" s="97"/>
      <c r="K48" s="220">
        <f t="shared" si="2"/>
        <v>0</v>
      </c>
      <c r="M48" s="242" t="s">
        <v>4228</v>
      </c>
      <c r="N48" s="239">
        <v>144</v>
      </c>
      <c r="O48" s="231"/>
      <c r="P48" s="231"/>
      <c r="Q48" s="232"/>
      <c r="R48" s="232"/>
      <c r="S48" s="232"/>
      <c r="T48" s="232"/>
      <c r="U48" s="232"/>
      <c r="V48" s="232"/>
      <c r="W48" s="232"/>
      <c r="X48" s="230"/>
      <c r="Y48" s="231"/>
      <c r="Z48" s="231"/>
      <c r="AA48" s="231"/>
      <c r="AB48" s="231"/>
      <c r="AC48" s="231"/>
      <c r="AD48" s="231"/>
      <c r="AE48" s="216"/>
      <c r="AF48" s="216"/>
      <c r="AG48" s="216"/>
      <c r="AH48" s="216"/>
      <c r="AI48" s="216"/>
      <c r="AJ48" s="216"/>
      <c r="AK48" s="216"/>
    </row>
    <row r="49" spans="1:37" ht="15.6" customHeight="1">
      <c r="A49" s="136"/>
      <c r="B49" s="130"/>
      <c r="C49" s="131"/>
      <c r="D49" s="130"/>
      <c r="E49" s="132"/>
      <c r="F49" s="130"/>
      <c r="G49" s="130"/>
      <c r="H49" s="259">
        <f t="shared" si="0"/>
        <v>0</v>
      </c>
      <c r="I49" s="260">
        <f t="shared" si="1"/>
        <v>0</v>
      </c>
      <c r="J49" s="97"/>
      <c r="K49" s="220">
        <f t="shared" si="2"/>
        <v>0</v>
      </c>
      <c r="M49" s="242" t="s">
        <v>4356</v>
      </c>
      <c r="N49" s="239">
        <v>138</v>
      </c>
      <c r="O49" s="231"/>
      <c r="P49" s="231"/>
      <c r="Q49" s="232"/>
      <c r="R49" s="232"/>
      <c r="S49" s="232"/>
      <c r="T49" s="232"/>
      <c r="U49" s="232"/>
      <c r="V49" s="232"/>
      <c r="W49" s="232"/>
      <c r="X49" s="230"/>
      <c r="Y49" s="231"/>
      <c r="Z49" s="231"/>
      <c r="AA49" s="231"/>
      <c r="AB49" s="231"/>
      <c r="AC49" s="231"/>
      <c r="AD49" s="231"/>
      <c r="AE49" s="216"/>
      <c r="AF49" s="216"/>
      <c r="AG49" s="216"/>
      <c r="AH49" s="216"/>
      <c r="AI49" s="216"/>
      <c r="AJ49" s="216"/>
      <c r="AK49" s="216"/>
    </row>
    <row r="50" spans="1:37" ht="15.6" customHeight="1">
      <c r="A50" s="136"/>
      <c r="B50" s="130"/>
      <c r="C50" s="131"/>
      <c r="D50" s="130"/>
      <c r="E50" s="132"/>
      <c r="F50" s="130"/>
      <c r="G50" s="130"/>
      <c r="H50" s="259">
        <f t="shared" si="0"/>
        <v>0</v>
      </c>
      <c r="I50" s="260">
        <f t="shared" si="1"/>
        <v>0</v>
      </c>
      <c r="J50" s="97"/>
      <c r="K50" s="220">
        <f t="shared" si="2"/>
        <v>0</v>
      </c>
      <c r="M50" s="242" t="s">
        <v>4340</v>
      </c>
      <c r="N50" s="239">
        <v>30</v>
      </c>
      <c r="O50" s="231"/>
      <c r="P50" s="231"/>
      <c r="Q50" s="232"/>
      <c r="R50" s="232"/>
      <c r="S50" s="232"/>
      <c r="T50" s="232"/>
      <c r="U50" s="232"/>
      <c r="V50" s="232"/>
      <c r="W50" s="232"/>
      <c r="X50" s="230"/>
      <c r="Y50" s="231"/>
      <c r="Z50" s="231"/>
      <c r="AA50" s="231"/>
      <c r="AB50" s="231"/>
      <c r="AC50" s="231"/>
      <c r="AD50" s="231"/>
      <c r="AE50" s="216"/>
      <c r="AF50" s="216"/>
      <c r="AG50" s="216"/>
      <c r="AH50" s="216"/>
      <c r="AI50" s="216"/>
      <c r="AJ50" s="216"/>
      <c r="AK50" s="216"/>
    </row>
    <row r="51" spans="1:37" ht="15.6" customHeight="1">
      <c r="A51" s="137"/>
      <c r="B51" s="130"/>
      <c r="C51" s="133"/>
      <c r="D51" s="134"/>
      <c r="E51" s="135"/>
      <c r="F51" s="134"/>
      <c r="G51" s="130"/>
      <c r="H51" s="259">
        <f t="shared" si="0"/>
        <v>0</v>
      </c>
      <c r="I51" s="260">
        <f t="shared" si="1"/>
        <v>0</v>
      </c>
      <c r="J51" s="97"/>
      <c r="K51" s="220">
        <f t="shared" si="2"/>
        <v>0</v>
      </c>
      <c r="M51" s="242" t="s">
        <v>4341</v>
      </c>
      <c r="N51" s="239">
        <v>33</v>
      </c>
      <c r="O51" s="231"/>
      <c r="P51" s="231"/>
      <c r="Q51" s="232"/>
      <c r="R51" s="232"/>
      <c r="S51" s="232"/>
      <c r="T51" s="232"/>
      <c r="U51" s="232"/>
      <c r="V51" s="232"/>
      <c r="W51" s="232"/>
      <c r="X51" s="230"/>
      <c r="Y51" s="231"/>
      <c r="Z51" s="231"/>
      <c r="AA51" s="231"/>
      <c r="AB51" s="231"/>
      <c r="AC51" s="231"/>
      <c r="AD51" s="231"/>
      <c r="AE51" s="216"/>
      <c r="AF51" s="216"/>
      <c r="AG51" s="216"/>
      <c r="AH51" s="216"/>
      <c r="AI51" s="216"/>
      <c r="AJ51" s="216"/>
      <c r="AK51" s="216"/>
    </row>
    <row r="52" spans="1:37" ht="15.6" customHeight="1">
      <c r="A52" s="200" t="s">
        <v>19</v>
      </c>
      <c r="B52" s="201"/>
      <c r="C52" s="202"/>
      <c r="D52" s="202"/>
      <c r="E52" s="201"/>
      <c r="F52" s="201"/>
      <c r="G52" s="201"/>
      <c r="H52" s="201">
        <f>IF(OR(F7="horizontal BIEN FUTURO-DEPARTAMENTO",F7="Horizontal BIEN FUTURO-OFICINA",F7="Horizontal BIEN TERMINADO-DEPARTAMENTO",F7="Horizontal BIEN TERMINADO-OFICINA",F7="Horizontal BIEN TERMINADO-LOCAL COMERCIAL"),"",ROUND(SUM(H43:H51),1))</f>
        <v>0</v>
      </c>
      <c r="I52" s="221">
        <f>+ROUND(SUM(I42:I51),1)</f>
        <v>0</v>
      </c>
      <c r="J52" s="203"/>
      <c r="K52" s="221">
        <f>+ROUND(SUM(K42:K51),1)</f>
        <v>0</v>
      </c>
      <c r="M52" s="242" t="s">
        <v>4229</v>
      </c>
      <c r="N52" s="239">
        <v>1043</v>
      </c>
      <c r="O52" s="231"/>
      <c r="P52" s="231"/>
      <c r="Q52" s="232"/>
      <c r="R52" s="232"/>
      <c r="S52" s="232"/>
      <c r="T52" s="232"/>
      <c r="U52" s="232"/>
      <c r="V52" s="232"/>
      <c r="W52" s="232"/>
      <c r="X52" s="230"/>
      <c r="Y52" s="231"/>
      <c r="Z52" s="231"/>
      <c r="AA52" s="231"/>
      <c r="AB52" s="231"/>
      <c r="AC52" s="231"/>
      <c r="AD52" s="231"/>
      <c r="AE52" s="216"/>
      <c r="AF52" s="216"/>
      <c r="AG52" s="216"/>
      <c r="AH52" s="216"/>
      <c r="AI52" s="216"/>
      <c r="AJ52" s="216"/>
      <c r="AK52" s="216"/>
    </row>
    <row r="53" spans="1:37" ht="15.6" customHeight="1" thickBot="1">
      <c r="A53" s="204" t="s">
        <v>20</v>
      </c>
      <c r="B53" s="205"/>
      <c r="C53" s="205"/>
      <c r="D53" s="205"/>
      <c r="E53" s="205"/>
      <c r="F53" s="205"/>
      <c r="G53" s="205"/>
      <c r="H53" s="205">
        <f>IF(OR(F7="horizontal BIEN FUTURO-DEPARTAMENTO",F7="Horizontal BIEN FUTURO-OFICINA",F7="Horizontal BIEN TERMINADO-DEPARTAMENTO",F7="Horizontal BIEN TERMINADO-OFICINA",F7="Horizontal BIEN TERMINADO-LOCAL COMERCIAL"),"",ROUND(H52*K38,1))</f>
        <v>0</v>
      </c>
      <c r="I53" s="223">
        <f>+ROUND(I52*K38,1)</f>
        <v>0</v>
      </c>
      <c r="J53" s="203"/>
      <c r="K53" s="222">
        <f>+ROUND(K52*K38,1)</f>
        <v>0</v>
      </c>
      <c r="M53" s="248" t="s">
        <v>4342</v>
      </c>
      <c r="N53" s="239">
        <v>32</v>
      </c>
      <c r="O53" s="231"/>
      <c r="P53" s="231"/>
      <c r="Q53" s="232"/>
      <c r="R53" s="232"/>
      <c r="S53" s="232"/>
      <c r="T53" s="232"/>
      <c r="U53" s="232"/>
      <c r="V53" s="232"/>
      <c r="W53" s="232"/>
      <c r="X53" s="230"/>
      <c r="Y53" s="231"/>
      <c r="Z53" s="231"/>
      <c r="AA53" s="231"/>
      <c r="AB53" s="231"/>
      <c r="AC53" s="231"/>
      <c r="AD53" s="231"/>
      <c r="AE53" s="216"/>
      <c r="AF53" s="216"/>
      <c r="AG53" s="216"/>
      <c r="AH53" s="216"/>
      <c r="AI53" s="216"/>
      <c r="AJ53" s="216"/>
      <c r="AK53" s="216"/>
    </row>
    <row r="54" spans="1:37" ht="15.6" customHeight="1">
      <c r="A54" s="206" t="s">
        <v>37</v>
      </c>
      <c r="B54" s="207"/>
      <c r="C54" s="207"/>
      <c r="D54" s="207"/>
      <c r="E54" s="207"/>
      <c r="F54" s="207"/>
      <c r="G54" s="207"/>
      <c r="H54" s="224">
        <f>ROUND(IF(OR(F7="horizontal BIEN FUTURO-DEPARTAMENTO",F7="Horizontal BIEN FUTURO-OFICINA",F7="Horizontal BIEN TERMINADO-DEPARTAMENTO",F7="Horizontal BIEN TERMINADO-OFICINA",F7="Horizontal BIEN TERMINADO-LOCAL COMERCIAL"),+I52+D58+C76,+H52+D60+C78),1)</f>
        <v>0</v>
      </c>
      <c r="I54" s="207"/>
      <c r="J54" s="208"/>
      <c r="K54" s="209"/>
      <c r="M54" s="242" t="s">
        <v>4343</v>
      </c>
      <c r="N54" s="239">
        <v>93</v>
      </c>
      <c r="O54" s="231"/>
      <c r="P54" s="231"/>
      <c r="Q54" s="232"/>
      <c r="R54" s="232"/>
      <c r="S54" s="232"/>
      <c r="T54" s="232"/>
      <c r="U54" s="232"/>
      <c r="V54" s="232"/>
      <c r="W54" s="232"/>
      <c r="X54" s="230"/>
      <c r="Y54" s="231"/>
      <c r="Z54" s="231"/>
      <c r="AA54" s="231"/>
      <c r="AB54" s="231"/>
      <c r="AC54" s="231"/>
      <c r="AD54" s="231"/>
      <c r="AE54" s="216"/>
      <c r="AF54" s="216"/>
      <c r="AG54" s="216"/>
      <c r="AH54" s="216"/>
      <c r="AI54" s="216"/>
      <c r="AJ54" s="216"/>
      <c r="AK54" s="216"/>
    </row>
    <row r="55" spans="1:37" ht="15.6" customHeight="1" thickBot="1">
      <c r="A55" s="210" t="s">
        <v>38</v>
      </c>
      <c r="B55" s="211"/>
      <c r="C55" s="211"/>
      <c r="D55" s="211"/>
      <c r="E55" s="211"/>
      <c r="F55" s="211"/>
      <c r="G55" s="211"/>
      <c r="H55" s="225">
        <f>+ROUND(H54*K38,1)</f>
        <v>0</v>
      </c>
      <c r="I55" s="211"/>
      <c r="J55" s="211"/>
      <c r="K55" s="212"/>
      <c r="M55" s="242" t="s">
        <v>4357</v>
      </c>
      <c r="N55" s="239">
        <v>18</v>
      </c>
      <c r="O55" s="231"/>
      <c r="P55" s="231"/>
      <c r="Q55" s="232"/>
      <c r="R55" s="232" t="s">
        <v>102</v>
      </c>
      <c r="S55" s="232"/>
      <c r="T55" s="232"/>
      <c r="U55" s="232"/>
      <c r="V55" s="232"/>
      <c r="W55" s="232"/>
      <c r="X55" s="230"/>
      <c r="Y55" s="231"/>
      <c r="Z55" s="231"/>
      <c r="AA55" s="231"/>
      <c r="AB55" s="231"/>
      <c r="AC55" s="231"/>
      <c r="AD55" s="231"/>
      <c r="AE55" s="216"/>
      <c r="AF55" s="216"/>
      <c r="AG55" s="216"/>
      <c r="AH55" s="216"/>
      <c r="AI55" s="216"/>
      <c r="AJ55" s="216"/>
      <c r="AK55" s="216"/>
    </row>
    <row r="56" spans="1:37" ht="15.6" customHeight="1">
      <c r="A56" s="1356" t="s">
        <v>31</v>
      </c>
      <c r="B56" s="1357"/>
      <c r="C56" s="1357"/>
      <c r="D56" s="1357"/>
      <c r="E56" s="1357"/>
      <c r="F56" s="1357"/>
      <c r="G56" s="1357"/>
      <c r="H56" s="1357"/>
      <c r="I56" s="1357"/>
      <c r="J56" s="1357"/>
      <c r="K56" s="1358"/>
      <c r="M56" s="242" t="s">
        <v>4230</v>
      </c>
      <c r="N56" s="239">
        <v>1071</v>
      </c>
      <c r="O56" s="231"/>
      <c r="P56" s="231"/>
      <c r="Q56" s="232"/>
      <c r="R56" s="232"/>
      <c r="S56" s="232"/>
      <c r="T56" s="232"/>
      <c r="U56" s="232"/>
      <c r="V56" s="232"/>
      <c r="W56" s="232"/>
      <c r="X56" s="230"/>
      <c r="Y56" s="231"/>
      <c r="Z56" s="231"/>
      <c r="AA56" s="231"/>
      <c r="AB56" s="231"/>
      <c r="AC56" s="231"/>
      <c r="AD56" s="231"/>
      <c r="AE56" s="216"/>
      <c r="AF56" s="216"/>
      <c r="AG56" s="216"/>
      <c r="AH56" s="216"/>
      <c r="AI56" s="216"/>
      <c r="AJ56" s="216"/>
      <c r="AK56" s="216"/>
    </row>
    <row r="57" spans="1:37" s="50" customFormat="1" ht="15.6" customHeight="1">
      <c r="A57" s="184" t="s">
        <v>4195</v>
      </c>
      <c r="B57" s="62"/>
      <c r="C57" s="61"/>
      <c r="D57" s="185" t="s">
        <v>36</v>
      </c>
      <c r="E57" s="185" t="s">
        <v>2</v>
      </c>
      <c r="F57" s="63"/>
      <c r="G57" s="63"/>
      <c r="H57" s="63"/>
      <c r="I57" s="63"/>
      <c r="J57" s="63"/>
      <c r="K57" s="64"/>
      <c r="M57" s="242" t="s">
        <v>4231</v>
      </c>
      <c r="N57" s="239">
        <v>135</v>
      </c>
      <c r="O57" s="231"/>
      <c r="P57" s="231"/>
      <c r="Q57" s="232"/>
      <c r="R57" s="232"/>
      <c r="S57" s="232"/>
      <c r="T57" s="232"/>
      <c r="U57" s="232"/>
      <c r="V57" s="232"/>
      <c r="W57" s="232"/>
      <c r="X57" s="230"/>
      <c r="Y57" s="231"/>
      <c r="Z57" s="231"/>
      <c r="AA57" s="231"/>
      <c r="AB57" s="231"/>
      <c r="AC57" s="231"/>
      <c r="AD57" s="231"/>
      <c r="AE57" s="216"/>
      <c r="AF57" s="216"/>
      <c r="AG57" s="216"/>
      <c r="AH57" s="216"/>
      <c r="AI57" s="216"/>
      <c r="AJ57" s="216"/>
      <c r="AK57" s="216"/>
    </row>
    <row r="58" spans="1:37" ht="15.6" customHeight="1">
      <c r="A58" s="1347" t="s">
        <v>4196</v>
      </c>
      <c r="B58" s="1348"/>
      <c r="C58" s="65"/>
      <c r="D58" s="66">
        <f>+'MEMORIA Y VAL'!AK50</f>
        <v>0</v>
      </c>
      <c r="E58" s="226">
        <f>+ROUND(D58*K38,1)</f>
        <v>0</v>
      </c>
      <c r="F58" s="63"/>
      <c r="G58" s="63"/>
      <c r="H58" s="63"/>
      <c r="I58" s="63"/>
      <c r="J58" s="63"/>
      <c r="K58" s="64"/>
      <c r="M58" s="242" t="s">
        <v>4232</v>
      </c>
      <c r="N58" s="239">
        <v>114</v>
      </c>
      <c r="O58" s="231"/>
      <c r="P58" s="231"/>
      <c r="Q58" s="232"/>
      <c r="R58" s="232"/>
      <c r="S58" s="232"/>
      <c r="T58" s="232"/>
      <c r="U58" s="232"/>
      <c r="V58" s="232"/>
      <c r="W58" s="232"/>
      <c r="X58" s="253"/>
      <c r="Y58" s="231"/>
      <c r="Z58" s="231"/>
      <c r="AA58" s="231"/>
      <c r="AB58" s="231"/>
      <c r="AC58" s="231"/>
      <c r="AD58" s="231"/>
      <c r="AE58" s="216"/>
      <c r="AF58" s="216"/>
      <c r="AG58" s="216"/>
      <c r="AH58" s="216"/>
      <c r="AI58" s="216"/>
      <c r="AJ58" s="216"/>
      <c r="AK58" s="216"/>
    </row>
    <row r="59" spans="1:37" ht="15.6" customHeight="1">
      <c r="A59" s="1345" t="s">
        <v>4197</v>
      </c>
      <c r="B59" s="1346"/>
      <c r="C59" s="65"/>
      <c r="D59" s="66">
        <f>+'MEMORIA Y VAL'!AQ50</f>
        <v>0</v>
      </c>
      <c r="E59" s="226">
        <f>+ROUND(D59*K38,1)</f>
        <v>0</v>
      </c>
      <c r="F59" s="68"/>
      <c r="G59" s="68"/>
      <c r="H59" s="68"/>
      <c r="I59" s="68"/>
      <c r="J59" s="68"/>
      <c r="K59" s="69"/>
      <c r="M59" s="242" t="s">
        <v>4344</v>
      </c>
      <c r="N59" s="239">
        <v>9</v>
      </c>
      <c r="O59" s="231"/>
      <c r="P59" s="231"/>
      <c r="Q59" s="232"/>
      <c r="R59" s="232"/>
      <c r="S59" s="232"/>
      <c r="T59" s="232"/>
      <c r="U59" s="232"/>
      <c r="V59" s="232"/>
      <c r="W59" s="232"/>
      <c r="X59" s="230"/>
      <c r="Y59" s="231"/>
      <c r="Z59" s="231"/>
      <c r="AA59" s="231"/>
      <c r="AB59" s="231"/>
      <c r="AC59" s="231"/>
      <c r="AD59" s="231"/>
      <c r="AE59" s="216"/>
      <c r="AF59" s="216"/>
      <c r="AG59" s="216"/>
      <c r="AH59" s="216"/>
      <c r="AI59" s="216"/>
      <c r="AJ59" s="216"/>
      <c r="AK59" s="216"/>
    </row>
    <row r="60" spans="1:37" ht="15.6" customHeight="1">
      <c r="A60" s="1345" t="s">
        <v>4198</v>
      </c>
      <c r="B60" s="1346"/>
      <c r="C60" s="65"/>
      <c r="D60" s="66">
        <f>+'MEMORIA Y VAL'!AE50</f>
        <v>0</v>
      </c>
      <c r="E60" s="226">
        <f>+ROUND(D60*K38,1)</f>
        <v>0</v>
      </c>
      <c r="F60" s="68"/>
      <c r="G60" s="68"/>
      <c r="H60" s="68"/>
      <c r="I60" s="68"/>
      <c r="J60" s="68"/>
      <c r="K60" s="69"/>
      <c r="M60" s="242" t="s">
        <v>4233</v>
      </c>
      <c r="N60" s="239">
        <v>1033</v>
      </c>
      <c r="O60" s="231"/>
      <c r="P60" s="231"/>
      <c r="Q60" s="232"/>
      <c r="R60" s="232"/>
      <c r="S60" s="232"/>
      <c r="T60" s="232"/>
      <c r="U60" s="232"/>
      <c r="V60" s="232"/>
      <c r="W60" s="232"/>
      <c r="X60" s="230"/>
      <c r="Y60" s="231"/>
      <c r="Z60" s="231"/>
      <c r="AA60" s="231"/>
      <c r="AB60" s="231"/>
      <c r="AC60" s="231"/>
      <c r="AD60" s="231"/>
      <c r="AE60" s="216"/>
      <c r="AF60" s="216"/>
      <c r="AG60" s="216"/>
      <c r="AH60" s="216"/>
      <c r="AI60" s="216"/>
      <c r="AJ60" s="216"/>
      <c r="AK60" s="216"/>
    </row>
    <row r="61" spans="1:37" ht="15.6" customHeight="1">
      <c r="A61" s="70"/>
      <c r="B61" s="71"/>
      <c r="C61" s="72"/>
      <c r="D61" s="73"/>
      <c r="E61" s="68"/>
      <c r="F61" s="68"/>
      <c r="G61" s="68"/>
      <c r="H61" s="68"/>
      <c r="I61" s="68"/>
      <c r="J61" s="68"/>
      <c r="K61" s="69"/>
      <c r="M61" s="248" t="s">
        <v>4345</v>
      </c>
      <c r="N61" s="239">
        <v>41</v>
      </c>
      <c r="O61" s="231"/>
      <c r="P61" s="231"/>
      <c r="Q61" s="232"/>
      <c r="R61" s="232"/>
      <c r="S61" s="232"/>
      <c r="T61" s="232"/>
      <c r="U61" s="232"/>
      <c r="V61" s="232"/>
      <c r="W61" s="232"/>
      <c r="X61" s="230"/>
      <c r="Y61" s="231"/>
      <c r="Z61" s="231"/>
      <c r="AA61" s="231"/>
      <c r="AB61" s="231"/>
      <c r="AC61" s="231"/>
      <c r="AD61" s="231"/>
      <c r="AE61" s="216"/>
      <c r="AF61" s="216"/>
      <c r="AG61" s="216"/>
      <c r="AH61" s="216"/>
      <c r="AI61" s="216"/>
      <c r="AJ61" s="216"/>
      <c r="AK61" s="216"/>
    </row>
    <row r="62" spans="1:37" ht="15.6" customHeight="1" thickBot="1">
      <c r="A62" s="74"/>
      <c r="B62" s="75"/>
      <c r="C62" s="75"/>
      <c r="D62" s="75"/>
      <c r="E62" s="75"/>
      <c r="F62" s="75"/>
      <c r="G62" s="75"/>
      <c r="H62" s="75"/>
      <c r="I62" s="75"/>
      <c r="J62" s="75"/>
      <c r="K62" s="76"/>
      <c r="M62" s="242" t="s">
        <v>4346</v>
      </c>
      <c r="N62" s="254">
        <v>35</v>
      </c>
      <c r="O62" s="231"/>
      <c r="P62" s="231"/>
      <c r="Q62" s="232"/>
      <c r="R62" s="232"/>
      <c r="S62" s="232"/>
      <c r="T62" s="232"/>
      <c r="U62" s="232"/>
      <c r="V62" s="232"/>
      <c r="W62" s="232"/>
      <c r="X62" s="230"/>
      <c r="Y62" s="231"/>
      <c r="Z62" s="231"/>
      <c r="AA62" s="231"/>
      <c r="AB62" s="231"/>
      <c r="AC62" s="231"/>
      <c r="AD62" s="231"/>
      <c r="AE62" s="216"/>
      <c r="AF62" s="216"/>
      <c r="AG62" s="216"/>
      <c r="AH62" s="216"/>
      <c r="AI62" s="216"/>
      <c r="AJ62" s="216"/>
      <c r="AK62" s="216"/>
    </row>
    <row r="63" spans="1:37" ht="15.6" customHeight="1">
      <c r="A63" s="1365" t="s">
        <v>40</v>
      </c>
      <c r="B63" s="1366"/>
      <c r="C63" s="1366"/>
      <c r="D63" s="1366"/>
      <c r="E63" s="1366"/>
      <c r="F63" s="1366"/>
      <c r="G63" s="1366"/>
      <c r="H63" s="1366"/>
      <c r="I63" s="1366"/>
      <c r="J63" s="1366"/>
      <c r="K63" s="1367"/>
      <c r="M63" s="242" t="s">
        <v>4347</v>
      </c>
      <c r="N63" s="239">
        <v>16</v>
      </c>
      <c r="O63" s="231"/>
      <c r="P63" s="231"/>
      <c r="Q63" s="232"/>
      <c r="R63" s="232"/>
      <c r="S63" s="232"/>
      <c r="T63" s="232"/>
      <c r="U63" s="232"/>
      <c r="V63" s="232"/>
      <c r="W63" s="232"/>
      <c r="X63" s="230"/>
      <c r="Y63" s="231"/>
      <c r="Z63" s="231"/>
      <c r="AA63" s="231"/>
      <c r="AB63" s="231"/>
      <c r="AC63" s="231"/>
      <c r="AD63" s="231"/>
      <c r="AE63" s="216"/>
      <c r="AF63" s="216"/>
      <c r="AG63" s="216"/>
      <c r="AH63" s="216"/>
      <c r="AI63" s="216"/>
      <c r="AJ63" s="216"/>
      <c r="AK63" s="216"/>
    </row>
    <row r="64" spans="1:37" ht="30.95" customHeight="1">
      <c r="A64" s="186"/>
      <c r="B64" s="187" t="s">
        <v>4203</v>
      </c>
      <c r="C64" s="188" t="s">
        <v>4204</v>
      </c>
      <c r="D64" s="188" t="s">
        <v>44</v>
      </c>
      <c r="E64" s="188" t="s">
        <v>45</v>
      </c>
      <c r="F64" s="188" t="s">
        <v>46</v>
      </c>
      <c r="G64" s="187" t="s">
        <v>82</v>
      </c>
      <c r="H64" s="187" t="s">
        <v>69</v>
      </c>
      <c r="I64" s="187" t="s">
        <v>70</v>
      </c>
      <c r="J64" s="1349" t="s">
        <v>6</v>
      </c>
      <c r="K64" s="1350"/>
      <c r="M64" s="242" t="s">
        <v>4348</v>
      </c>
      <c r="N64" s="239">
        <v>31</v>
      </c>
      <c r="O64" s="231"/>
      <c r="P64" s="231"/>
      <c r="Q64" s="232"/>
      <c r="R64" s="232"/>
      <c r="S64" s="232"/>
      <c r="T64" s="232"/>
      <c r="U64" s="232"/>
      <c r="V64" s="232"/>
      <c r="W64" s="232"/>
      <c r="X64" s="230"/>
      <c r="Y64" s="231"/>
      <c r="Z64" s="231"/>
      <c r="AA64" s="231"/>
      <c r="AB64" s="231"/>
      <c r="AC64" s="231"/>
      <c r="AD64" s="231"/>
      <c r="AE64" s="216"/>
      <c r="AF64" s="216"/>
      <c r="AG64" s="216"/>
      <c r="AH64" s="216"/>
      <c r="AI64" s="216"/>
      <c r="AJ64" s="216"/>
      <c r="AK64" s="216"/>
    </row>
    <row r="65" spans="1:37" ht="17.100000000000001" customHeight="1">
      <c r="A65" s="189" t="s">
        <v>41</v>
      </c>
      <c r="B65" s="734" t="e">
        <f>+'MEMORIA Y VAL'!AS298</f>
        <v>#DIV/0!</v>
      </c>
      <c r="C65" s="734">
        <v>0</v>
      </c>
      <c r="D65" s="734">
        <f>+'MEMORIA Y VAL'!X298</f>
        <v>0</v>
      </c>
      <c r="E65" s="734">
        <f>+'MEMORIA Y VAL'!AA298</f>
        <v>0</v>
      </c>
      <c r="F65" s="734">
        <f>+'MEMORIA Y VAL'!AD298</f>
        <v>0</v>
      </c>
      <c r="G65" s="733">
        <f>+'MEMORIA Y VAL'!R298</f>
        <v>0</v>
      </c>
      <c r="H65" s="141">
        <v>0</v>
      </c>
      <c r="I65" s="141">
        <v>0</v>
      </c>
      <c r="J65" s="1351">
        <f>+J21</f>
        <v>0</v>
      </c>
      <c r="K65" s="1352"/>
      <c r="M65" s="242" t="s">
        <v>4234</v>
      </c>
      <c r="N65" s="239">
        <v>11</v>
      </c>
      <c r="O65" s="231"/>
      <c r="P65" s="231"/>
      <c r="Q65" s="232"/>
      <c r="R65" s="232"/>
      <c r="S65" s="232"/>
      <c r="T65" s="232"/>
      <c r="U65" s="232"/>
      <c r="V65" s="232"/>
      <c r="W65" s="232"/>
      <c r="X65" s="230"/>
      <c r="Y65" s="231"/>
      <c r="Z65" s="231"/>
      <c r="AA65" s="231"/>
      <c r="AB65" s="231"/>
      <c r="AC65" s="231"/>
      <c r="AD65" s="231"/>
      <c r="AE65" s="216"/>
      <c r="AF65" s="216"/>
      <c r="AG65" s="216"/>
      <c r="AH65" s="216"/>
      <c r="AI65" s="216"/>
      <c r="AJ65" s="216"/>
      <c r="AK65" s="216"/>
    </row>
    <row r="66" spans="1:37" ht="15.6" customHeight="1">
      <c r="A66" s="189" t="s">
        <v>43</v>
      </c>
      <c r="B66" s="734" t="e">
        <f>+'MEMORIA Y VAL'!AS300</f>
        <v>#DIV/0!</v>
      </c>
      <c r="C66" s="734">
        <v>0</v>
      </c>
      <c r="D66" s="734">
        <f>+'MEMORIA Y VAL'!X300</f>
        <v>0</v>
      </c>
      <c r="E66" s="734">
        <f>+'MEMORIA Y VAL'!AA300</f>
        <v>0</v>
      </c>
      <c r="F66" s="734">
        <f>+'MEMORIA Y VAL'!AD300</f>
        <v>0</v>
      </c>
      <c r="G66" s="733">
        <f>+'MEMORIA Y VAL'!R300</f>
        <v>0</v>
      </c>
      <c r="H66" s="141">
        <v>0</v>
      </c>
      <c r="I66" s="141">
        <v>0</v>
      </c>
      <c r="J66" s="1351">
        <f>+J65</f>
        <v>0</v>
      </c>
      <c r="K66" s="1352"/>
      <c r="M66" s="242" t="s">
        <v>4349</v>
      </c>
      <c r="N66" s="239">
        <v>105</v>
      </c>
      <c r="O66" s="231"/>
      <c r="P66" s="231"/>
      <c r="Q66" s="232"/>
      <c r="R66" s="232"/>
      <c r="S66" s="232"/>
      <c r="T66" s="232"/>
      <c r="U66" s="232"/>
      <c r="V66" s="232"/>
      <c r="W66" s="232"/>
      <c r="X66" s="230"/>
      <c r="Y66" s="231"/>
      <c r="Z66" s="231"/>
      <c r="AA66" s="231"/>
      <c r="AB66" s="231"/>
      <c r="AC66" s="231"/>
      <c r="AD66" s="231"/>
      <c r="AE66" s="216"/>
      <c r="AF66" s="216"/>
      <c r="AG66" s="216"/>
      <c r="AH66" s="216"/>
      <c r="AI66" s="216"/>
      <c r="AJ66" s="216"/>
      <c r="AK66" s="216"/>
    </row>
    <row r="67" spans="1:37" ht="15.6" customHeight="1" thickBot="1">
      <c r="A67" s="190" t="s">
        <v>42</v>
      </c>
      <c r="B67" s="734" t="e">
        <f>+'MEMORIA Y VAL'!AS302</f>
        <v>#DIV/0!</v>
      </c>
      <c r="C67" s="734">
        <v>0</v>
      </c>
      <c r="D67" s="734">
        <f>+'MEMORIA Y VAL'!X302</f>
        <v>0</v>
      </c>
      <c r="E67" s="734">
        <f>+'MEMORIA Y VAL'!AA302</f>
        <v>0</v>
      </c>
      <c r="F67" s="734">
        <f>+'MEMORIA Y VAL'!AD302</f>
        <v>0</v>
      </c>
      <c r="G67" s="733">
        <f>+'MEMORIA Y VAL'!R302</f>
        <v>0</v>
      </c>
      <c r="H67" s="141">
        <v>0</v>
      </c>
      <c r="I67" s="141">
        <v>0</v>
      </c>
      <c r="J67" s="1351">
        <f>+J66</f>
        <v>0</v>
      </c>
      <c r="K67" s="1352"/>
      <c r="M67" s="242" t="s">
        <v>4350</v>
      </c>
      <c r="N67" s="239">
        <v>14</v>
      </c>
      <c r="O67" s="231"/>
      <c r="P67" s="231"/>
      <c r="Q67" s="232"/>
      <c r="R67" s="232"/>
      <c r="S67" s="232"/>
      <c r="T67" s="232"/>
      <c r="U67" s="232"/>
      <c r="V67" s="232"/>
      <c r="W67" s="232"/>
      <c r="X67" s="230"/>
      <c r="Y67" s="231"/>
      <c r="Z67" s="231"/>
      <c r="AA67" s="231"/>
      <c r="AB67" s="231"/>
      <c r="AC67" s="231"/>
      <c r="AD67" s="231"/>
      <c r="AE67" s="216"/>
      <c r="AF67" s="216"/>
      <c r="AG67" s="216"/>
      <c r="AH67" s="216"/>
      <c r="AI67" s="216"/>
      <c r="AJ67" s="216"/>
      <c r="AK67" s="216"/>
    </row>
    <row r="68" spans="1:37" ht="18" customHeight="1">
      <c r="A68" s="1368" t="s">
        <v>4172</v>
      </c>
      <c r="B68" s="1369"/>
      <c r="C68" s="1369"/>
      <c r="D68" s="1369"/>
      <c r="E68" s="1369"/>
      <c r="F68" s="1369"/>
      <c r="G68" s="1369"/>
      <c r="H68" s="1369"/>
      <c r="I68" s="1369"/>
      <c r="J68" s="1369"/>
      <c r="K68" s="1370"/>
      <c r="M68" s="242" t="s">
        <v>4351</v>
      </c>
      <c r="N68" s="239">
        <v>24</v>
      </c>
      <c r="O68" s="231"/>
      <c r="P68" s="231"/>
      <c r="Q68" s="232"/>
      <c r="R68" s="232"/>
      <c r="S68" s="232"/>
      <c r="T68" s="232"/>
      <c r="U68" s="232"/>
      <c r="V68" s="232"/>
      <c r="W68" s="232"/>
      <c r="X68" s="230"/>
      <c r="Y68" s="231"/>
      <c r="Z68" s="231"/>
      <c r="AA68" s="231"/>
      <c r="AB68" s="231"/>
      <c r="AC68" s="231"/>
      <c r="AD68" s="231"/>
      <c r="AE68" s="216"/>
      <c r="AF68" s="216"/>
      <c r="AG68" s="216"/>
      <c r="AH68" s="216"/>
      <c r="AI68" s="216"/>
      <c r="AJ68" s="216"/>
      <c r="AK68" s="216"/>
    </row>
    <row r="69" spans="1:37" s="77" customFormat="1" ht="20.100000000000001" customHeight="1">
      <c r="A69" s="1339" t="s">
        <v>4648</v>
      </c>
      <c r="B69" s="1340"/>
      <c r="C69" s="1340"/>
      <c r="D69" s="1340"/>
      <c r="E69" s="1340"/>
      <c r="F69" s="1340"/>
      <c r="G69" s="1340"/>
      <c r="H69" s="1340"/>
      <c r="I69" s="1340"/>
      <c r="J69" s="1340"/>
      <c r="K69" s="1341"/>
      <c r="M69" s="242" t="s">
        <v>4235</v>
      </c>
      <c r="N69" s="239">
        <v>13</v>
      </c>
      <c r="O69" s="231"/>
      <c r="P69" s="231"/>
      <c r="Q69" s="232"/>
      <c r="R69" s="255"/>
      <c r="S69" s="232"/>
      <c r="T69" s="232"/>
      <c r="U69" s="232"/>
      <c r="V69" s="232"/>
      <c r="W69" s="232"/>
      <c r="X69" s="230"/>
      <c r="Y69" s="231"/>
      <c r="Z69" s="231"/>
      <c r="AA69" s="231"/>
      <c r="AB69" s="231"/>
      <c r="AC69" s="231"/>
      <c r="AD69" s="231"/>
      <c r="AE69" s="216"/>
      <c r="AF69" s="216"/>
      <c r="AG69" s="216"/>
      <c r="AH69" s="216"/>
      <c r="AI69" s="216"/>
      <c r="AJ69" s="216"/>
      <c r="AK69" s="216"/>
    </row>
    <row r="70" spans="1:37" ht="18" customHeight="1">
      <c r="A70" s="1339"/>
      <c r="B70" s="1340"/>
      <c r="C70" s="1340"/>
      <c r="D70" s="1340"/>
      <c r="E70" s="1340"/>
      <c r="F70" s="1340"/>
      <c r="G70" s="1340"/>
      <c r="H70" s="1340"/>
      <c r="I70" s="1340"/>
      <c r="J70" s="1340"/>
      <c r="K70" s="1341"/>
      <c r="M70" s="231"/>
      <c r="N70" s="231"/>
      <c r="O70" s="231"/>
      <c r="P70" s="231"/>
      <c r="Q70" s="256"/>
      <c r="R70" s="232"/>
      <c r="S70" s="232"/>
      <c r="T70" s="232"/>
      <c r="U70" s="232"/>
      <c r="V70" s="232"/>
      <c r="W70" s="232"/>
      <c r="X70" s="256"/>
      <c r="Y70" s="231"/>
      <c r="Z70" s="231"/>
      <c r="AA70" s="231"/>
      <c r="AB70" s="231"/>
      <c r="AC70" s="231"/>
      <c r="AD70" s="231"/>
      <c r="AE70" s="216"/>
      <c r="AF70" s="216"/>
      <c r="AG70" s="216"/>
      <c r="AH70" s="216"/>
      <c r="AI70" s="216"/>
      <c r="AJ70" s="216"/>
      <c r="AK70" s="216"/>
    </row>
    <row r="71" spans="1:37" ht="20.100000000000001" customHeight="1">
      <c r="A71" s="1339"/>
      <c r="B71" s="1340"/>
      <c r="C71" s="1340"/>
      <c r="D71" s="1340"/>
      <c r="E71" s="1340"/>
      <c r="F71" s="1340"/>
      <c r="G71" s="1340"/>
      <c r="H71" s="1340"/>
      <c r="I71" s="1340"/>
      <c r="J71" s="1340"/>
      <c r="K71" s="1341"/>
      <c r="M71" s="231"/>
      <c r="N71" s="231"/>
      <c r="O71" s="231"/>
      <c r="P71" s="231"/>
      <c r="Q71" s="232"/>
      <c r="R71" s="232"/>
      <c r="S71" s="232"/>
      <c r="T71" s="232"/>
      <c r="U71" s="232"/>
      <c r="V71" s="232"/>
      <c r="W71" s="232"/>
      <c r="X71" s="230"/>
      <c r="Y71" s="231"/>
      <c r="Z71" s="231"/>
      <c r="AA71" s="231"/>
      <c r="AB71" s="231"/>
      <c r="AC71" s="231"/>
      <c r="AD71" s="231"/>
      <c r="AE71" s="216"/>
      <c r="AF71" s="216"/>
      <c r="AG71" s="216"/>
      <c r="AH71" s="216"/>
      <c r="AI71" s="216"/>
      <c r="AJ71" s="216"/>
      <c r="AK71" s="216"/>
    </row>
    <row r="72" spans="1:37" ht="20.100000000000001" customHeight="1">
      <c r="A72" s="1339"/>
      <c r="B72" s="1340"/>
      <c r="C72" s="1340"/>
      <c r="D72" s="1340"/>
      <c r="E72" s="1340"/>
      <c r="F72" s="1340"/>
      <c r="G72" s="1340"/>
      <c r="H72" s="1340"/>
      <c r="I72" s="1340"/>
      <c r="J72" s="1340"/>
      <c r="K72" s="1341"/>
      <c r="M72" s="230"/>
      <c r="N72" s="230"/>
      <c r="O72" s="230"/>
      <c r="P72" s="230"/>
      <c r="Q72" s="230"/>
      <c r="R72" s="230"/>
      <c r="S72" s="230"/>
      <c r="T72" s="230"/>
      <c r="U72" s="230"/>
      <c r="V72" s="230"/>
      <c r="W72" s="230"/>
      <c r="X72" s="230"/>
      <c r="Y72" s="230"/>
      <c r="Z72" s="230"/>
      <c r="AA72" s="230"/>
      <c r="AB72" s="230"/>
      <c r="AC72" s="230"/>
      <c r="AD72" s="230"/>
    </row>
    <row r="73" spans="1:37" ht="20.100000000000001" customHeight="1">
      <c r="A73" s="1342"/>
      <c r="B73" s="1343"/>
      <c r="C73" s="1343"/>
      <c r="D73" s="1343"/>
      <c r="E73" s="1343"/>
      <c r="F73" s="1343"/>
      <c r="G73" s="1343"/>
      <c r="H73" s="1343"/>
      <c r="I73" s="1343"/>
      <c r="J73" s="1343"/>
      <c r="K73" s="1344"/>
      <c r="M73" s="230"/>
      <c r="N73" s="230"/>
      <c r="O73" s="230"/>
      <c r="P73" s="230"/>
      <c r="Q73" s="230"/>
      <c r="R73" s="230"/>
      <c r="S73" s="230"/>
      <c r="T73" s="230"/>
      <c r="U73" s="230"/>
      <c r="V73" s="230"/>
      <c r="W73" s="230"/>
      <c r="X73" s="230"/>
      <c r="Y73" s="230"/>
      <c r="Z73" s="230"/>
      <c r="AA73" s="230"/>
      <c r="AB73" s="230"/>
      <c r="AC73" s="230"/>
      <c r="AD73" s="230"/>
    </row>
    <row r="74" spans="1:37" s="50" customFormat="1" ht="15.6" customHeight="1">
      <c r="A74" s="1336" t="s">
        <v>4148</v>
      </c>
      <c r="B74" s="1337"/>
      <c r="C74" s="1337"/>
      <c r="D74" s="1337"/>
      <c r="E74" s="1337"/>
      <c r="F74" s="1337"/>
      <c r="G74" s="1337"/>
      <c r="H74" s="1337"/>
      <c r="I74" s="1337"/>
      <c r="J74" s="1337"/>
      <c r="K74" s="1338"/>
      <c r="M74" s="253"/>
      <c r="N74" s="253"/>
      <c r="O74" s="253"/>
      <c r="P74" s="253"/>
      <c r="Q74" s="253"/>
      <c r="R74" s="253"/>
      <c r="S74" s="253"/>
      <c r="T74" s="253"/>
      <c r="U74" s="253"/>
      <c r="V74" s="253"/>
      <c r="W74" s="253"/>
      <c r="X74" s="253"/>
      <c r="Y74" s="253"/>
      <c r="Z74" s="253"/>
      <c r="AA74" s="253"/>
      <c r="AB74" s="253"/>
      <c r="AC74" s="253"/>
      <c r="AD74" s="253"/>
    </row>
    <row r="75" spans="1:37" ht="30" customHeight="1">
      <c r="A75" s="1347" t="s">
        <v>4173</v>
      </c>
      <c r="B75" s="1348"/>
      <c r="C75" s="185" t="s">
        <v>36</v>
      </c>
      <c r="D75" s="185" t="s">
        <v>2</v>
      </c>
      <c r="E75" s="78"/>
      <c r="F75" s="78"/>
      <c r="G75" s="78"/>
      <c r="H75" s="78"/>
      <c r="I75" s="78"/>
      <c r="J75" s="78"/>
      <c r="K75" s="79"/>
      <c r="M75" s="230"/>
      <c r="N75" s="230"/>
      <c r="O75" s="230"/>
      <c r="P75" s="230"/>
      <c r="Q75" s="230"/>
      <c r="R75" s="230"/>
      <c r="S75" s="230"/>
      <c r="T75" s="230"/>
      <c r="U75" s="230"/>
      <c r="V75" s="230"/>
      <c r="W75" s="230"/>
      <c r="X75" s="230"/>
      <c r="Y75" s="230"/>
      <c r="Z75" s="230"/>
      <c r="AA75" s="230"/>
      <c r="AB75" s="230"/>
      <c r="AC75" s="230"/>
      <c r="AD75" s="230"/>
    </row>
    <row r="76" spans="1:37" ht="15.6" customHeight="1">
      <c r="A76" s="1347" t="s">
        <v>34</v>
      </c>
      <c r="B76" s="1348"/>
      <c r="C76" s="66">
        <f>+'MEMORIA Y VAL'!AK55</f>
        <v>0</v>
      </c>
      <c r="D76" s="226">
        <f>+ROUND(C76*K38,1)</f>
        <v>0</v>
      </c>
      <c r="E76" s="78"/>
      <c r="F76" s="78"/>
      <c r="G76" s="78"/>
      <c r="H76" s="78"/>
      <c r="I76" s="78"/>
      <c r="J76" s="78"/>
      <c r="K76" s="79"/>
      <c r="M76" s="230"/>
      <c r="N76" s="230"/>
      <c r="O76" s="230"/>
      <c r="P76" s="230"/>
      <c r="Q76" s="230"/>
      <c r="R76" s="230"/>
      <c r="S76" s="230"/>
      <c r="T76" s="230"/>
      <c r="U76" s="230"/>
      <c r="V76" s="230"/>
      <c r="W76" s="230"/>
      <c r="X76" s="230"/>
      <c r="Y76" s="230"/>
      <c r="Z76" s="230"/>
      <c r="AA76" s="230"/>
      <c r="AB76" s="230"/>
      <c r="AC76" s="230"/>
      <c r="AD76" s="230"/>
    </row>
    <row r="77" spans="1:37" ht="15.6" customHeight="1">
      <c r="A77" s="1345" t="s">
        <v>39</v>
      </c>
      <c r="B77" s="1346"/>
      <c r="C77" s="66">
        <f>+'MEMORIA Y VAL'!AQ55</f>
        <v>0</v>
      </c>
      <c r="D77" s="226">
        <f>+ROUND(C77*K38,1)</f>
        <v>0</v>
      </c>
      <c r="E77" s="80"/>
      <c r="F77" s="80"/>
      <c r="G77" s="80"/>
      <c r="H77" s="80"/>
      <c r="I77" s="80"/>
      <c r="J77" s="80"/>
      <c r="K77" s="81"/>
      <c r="M77" s="230"/>
      <c r="N77" s="230"/>
      <c r="O77" s="230"/>
      <c r="P77" s="230"/>
      <c r="Q77" s="230"/>
      <c r="R77" s="230"/>
      <c r="S77" s="230"/>
      <c r="T77" s="230"/>
      <c r="U77" s="230"/>
      <c r="V77" s="230"/>
      <c r="W77" s="230"/>
      <c r="X77" s="230"/>
      <c r="Y77" s="230"/>
      <c r="Z77" s="230"/>
      <c r="AA77" s="230"/>
      <c r="AB77" s="230"/>
      <c r="AC77" s="230"/>
      <c r="AD77" s="230"/>
    </row>
    <row r="78" spans="1:37" ht="15.6" customHeight="1">
      <c r="A78" s="1345" t="s">
        <v>35</v>
      </c>
      <c r="B78" s="1346"/>
      <c r="C78" s="66">
        <f>+'MEMORIA Y VAL'!AE55</f>
        <v>0</v>
      </c>
      <c r="D78" s="226">
        <f>+ROUND(C78*K38,1)</f>
        <v>0</v>
      </c>
      <c r="E78" s="80"/>
      <c r="F78" s="80"/>
      <c r="G78" s="80"/>
      <c r="H78" s="80"/>
      <c r="I78" s="80"/>
      <c r="J78" s="80"/>
      <c r="K78" s="81"/>
      <c r="M78" s="230"/>
      <c r="N78" s="230"/>
      <c r="O78" s="230"/>
      <c r="P78" s="230"/>
      <c r="Q78" s="230"/>
      <c r="R78" s="230"/>
      <c r="S78" s="230"/>
      <c r="T78" s="230"/>
      <c r="U78" s="230"/>
      <c r="V78" s="230"/>
      <c r="W78" s="230"/>
      <c r="X78" s="230"/>
      <c r="Y78" s="230"/>
      <c r="Z78" s="230"/>
      <c r="AA78" s="230"/>
      <c r="AB78" s="230"/>
      <c r="AC78" s="230"/>
      <c r="AD78" s="230"/>
    </row>
    <row r="79" spans="1:37" ht="15.6" customHeight="1">
      <c r="A79" s="67"/>
      <c r="B79" s="67"/>
      <c r="C79" s="65"/>
      <c r="D79" s="82"/>
      <c r="E79" s="80"/>
      <c r="F79" s="80"/>
      <c r="G79" s="80"/>
      <c r="H79" s="80"/>
      <c r="I79" s="80"/>
      <c r="J79" s="80"/>
      <c r="K79" s="80"/>
      <c r="M79" s="230"/>
      <c r="N79" s="230"/>
      <c r="O79" s="230"/>
      <c r="P79" s="230"/>
      <c r="Q79" s="230"/>
      <c r="R79" s="230"/>
      <c r="S79" s="230"/>
      <c r="T79" s="230"/>
      <c r="U79" s="230"/>
      <c r="V79" s="230"/>
      <c r="W79" s="230"/>
      <c r="X79" s="230"/>
      <c r="Y79" s="230"/>
      <c r="Z79" s="230"/>
      <c r="AA79" s="230"/>
      <c r="AB79" s="230"/>
      <c r="AC79" s="230"/>
      <c r="AD79" s="230"/>
    </row>
    <row r="80" spans="1:37" ht="15.6" customHeight="1">
      <c r="A80" s="1336" t="s">
        <v>4149</v>
      </c>
      <c r="B80" s="1337"/>
      <c r="C80" s="1337"/>
      <c r="D80" s="1337"/>
      <c r="E80" s="1337"/>
      <c r="F80" s="1337"/>
      <c r="G80" s="1337"/>
      <c r="H80" s="1337"/>
      <c r="I80" s="1337"/>
      <c r="J80" s="1337"/>
      <c r="K80" s="1338"/>
      <c r="M80" s="230"/>
      <c r="N80" s="230"/>
      <c r="O80" s="230"/>
      <c r="P80" s="230"/>
      <c r="Q80" s="230"/>
      <c r="R80" s="230"/>
      <c r="S80" s="230"/>
      <c r="T80" s="230"/>
      <c r="U80" s="230"/>
      <c r="V80" s="230"/>
      <c r="W80" s="230"/>
      <c r="X80" s="230"/>
      <c r="Y80" s="230"/>
      <c r="Z80" s="230"/>
      <c r="AA80" s="230"/>
      <c r="AB80" s="230"/>
      <c r="AC80" s="230"/>
      <c r="AD80" s="230"/>
    </row>
    <row r="81" spans="1:30" ht="15.6" customHeight="1">
      <c r="A81" s="1360" t="s">
        <v>129</v>
      </c>
      <c r="B81" s="1361"/>
      <c r="C81" s="191" t="s">
        <v>36</v>
      </c>
      <c r="D81" s="191" t="s">
        <v>2</v>
      </c>
      <c r="E81" s="83"/>
      <c r="F81" s="83"/>
      <c r="G81" s="83"/>
      <c r="H81" s="83"/>
      <c r="I81" s="83"/>
      <c r="J81" s="83"/>
      <c r="K81" s="83"/>
      <c r="M81" s="230"/>
      <c r="N81" s="230"/>
      <c r="O81" s="230"/>
      <c r="P81" s="230"/>
      <c r="Q81" s="230"/>
      <c r="R81" s="230"/>
      <c r="S81" s="230"/>
      <c r="T81" s="230"/>
      <c r="U81" s="230"/>
      <c r="V81" s="230"/>
      <c r="W81" s="230"/>
      <c r="X81" s="230"/>
      <c r="Y81" s="230"/>
      <c r="Z81" s="230"/>
      <c r="AA81" s="230"/>
      <c r="AB81" s="230"/>
      <c r="AC81" s="230"/>
      <c r="AD81" s="230"/>
    </row>
    <row r="82" spans="1:30" ht="15.6" customHeight="1">
      <c r="A82" s="1347" t="s">
        <v>4146</v>
      </c>
      <c r="B82" s="1348"/>
      <c r="C82" s="89">
        <v>0</v>
      </c>
      <c r="D82" s="227">
        <v>0</v>
      </c>
      <c r="E82" s="80"/>
      <c r="F82" s="80"/>
      <c r="G82" s="80"/>
      <c r="H82" s="80"/>
      <c r="I82" s="80"/>
      <c r="J82" s="80"/>
      <c r="K82" s="80"/>
    </row>
    <row r="83" spans="1:30" ht="15.6" customHeight="1">
      <c r="A83" s="1345" t="s">
        <v>130</v>
      </c>
      <c r="B83" s="1346"/>
      <c r="C83" s="89">
        <v>0</v>
      </c>
      <c r="D83" s="227">
        <v>0</v>
      </c>
      <c r="E83" s="80"/>
      <c r="F83" s="80"/>
      <c r="G83" s="80"/>
      <c r="H83" s="80"/>
      <c r="I83" s="80"/>
      <c r="J83" s="80"/>
      <c r="K83" s="80"/>
    </row>
    <row r="84" spans="1:30" ht="15.6" customHeight="1">
      <c r="A84" s="80"/>
      <c r="B84" s="80"/>
      <c r="C84" s="80"/>
      <c r="D84" s="80"/>
      <c r="E84" s="80"/>
      <c r="F84" s="80"/>
      <c r="G84" s="80"/>
      <c r="H84" s="80"/>
      <c r="I84" s="80"/>
      <c r="J84" s="80"/>
      <c r="K84" s="80"/>
    </row>
    <row r="85" spans="1:30" ht="15.6" customHeight="1" thickBot="1">
      <c r="A85" s="84"/>
      <c r="B85" s="84"/>
      <c r="C85" s="84"/>
      <c r="D85" s="84"/>
      <c r="E85" s="84"/>
      <c r="F85" s="84"/>
      <c r="G85" s="84"/>
      <c r="H85" s="84"/>
      <c r="I85" s="84"/>
      <c r="J85" s="84"/>
      <c r="K85" s="84"/>
    </row>
    <row r="86" spans="1:30" ht="15.6" customHeight="1">
      <c r="A86" s="85"/>
      <c r="B86" s="85"/>
      <c r="C86" s="85"/>
      <c r="D86" s="85"/>
      <c r="E86" s="85"/>
      <c r="F86" s="85"/>
      <c r="G86" s="85"/>
      <c r="H86" s="86"/>
      <c r="I86" s="86"/>
      <c r="J86" s="86"/>
      <c r="K86" s="86"/>
    </row>
    <row r="87" spans="1:30" ht="15.6" customHeight="1">
      <c r="A87" s="52" t="s">
        <v>21</v>
      </c>
      <c r="B87" s="87"/>
      <c r="C87" s="87"/>
      <c r="D87" s="87"/>
      <c r="E87" s="87"/>
      <c r="F87" s="87"/>
      <c r="G87" s="87"/>
    </row>
    <row r="88" spans="1:30" ht="15.6" customHeight="1">
      <c r="A88" s="87"/>
      <c r="B88" s="87"/>
      <c r="C88" s="87"/>
      <c r="D88" s="87"/>
      <c r="E88" s="87"/>
      <c r="F88" s="87"/>
      <c r="G88" s="87"/>
      <c r="H88" s="193" t="s">
        <v>22</v>
      </c>
      <c r="I88" s="193" t="s">
        <v>23</v>
      </c>
      <c r="K88" s="77"/>
    </row>
    <row r="89" spans="1:30" ht="15.6" customHeight="1">
      <c r="A89" s="1362" t="s">
        <v>24</v>
      </c>
      <c r="B89" s="1363"/>
      <c r="C89" s="1363"/>
      <c r="D89" s="1363"/>
      <c r="E89" s="1363"/>
      <c r="F89" s="1363"/>
      <c r="G89" s="1364"/>
      <c r="H89" s="138"/>
      <c r="I89" s="139"/>
      <c r="K89" s="77"/>
    </row>
    <row r="90" spans="1:30" ht="15.6" customHeight="1">
      <c r="A90" s="1362" t="s">
        <v>25</v>
      </c>
      <c r="B90" s="1363"/>
      <c r="C90" s="1363"/>
      <c r="D90" s="1363"/>
      <c r="E90" s="1363"/>
      <c r="F90" s="1363"/>
      <c r="G90" s="1364"/>
      <c r="H90" s="138"/>
      <c r="I90" s="139"/>
      <c r="K90" s="77"/>
    </row>
    <row r="91" spans="1:30" ht="15.6" customHeight="1">
      <c r="A91" s="1362" t="s">
        <v>26</v>
      </c>
      <c r="B91" s="1363"/>
      <c r="C91" s="1363"/>
      <c r="D91" s="1363"/>
      <c r="E91" s="1363"/>
      <c r="F91" s="1363"/>
      <c r="G91" s="1364"/>
      <c r="H91" s="138"/>
      <c r="I91" s="139"/>
      <c r="K91" s="77"/>
    </row>
    <row r="92" spans="1:30" ht="15.6" customHeight="1">
      <c r="A92" s="1362" t="s">
        <v>27</v>
      </c>
      <c r="B92" s="1363"/>
      <c r="C92" s="1363"/>
      <c r="D92" s="1363"/>
      <c r="E92" s="1363"/>
      <c r="F92" s="1363"/>
      <c r="G92" s="1364"/>
      <c r="H92" s="138"/>
      <c r="I92" s="139"/>
      <c r="K92" s="77"/>
    </row>
    <row r="93" spans="1:30" ht="15.6" customHeight="1">
      <c r="A93" s="1362" t="s">
        <v>28</v>
      </c>
      <c r="B93" s="1363"/>
      <c r="C93" s="1363"/>
      <c r="D93" s="1363"/>
      <c r="E93" s="1363"/>
      <c r="F93" s="1363"/>
      <c r="G93" s="1364"/>
      <c r="H93" s="138"/>
      <c r="I93" s="139"/>
      <c r="K93" s="77"/>
    </row>
    <row r="94" spans="1:30" ht="15.6" customHeight="1">
      <c r="A94" s="1362" t="s">
        <v>29</v>
      </c>
      <c r="B94" s="1363"/>
      <c r="C94" s="1363"/>
      <c r="D94" s="1363"/>
      <c r="E94" s="1363"/>
      <c r="F94" s="1363"/>
      <c r="G94" s="1364"/>
      <c r="H94" s="138"/>
      <c r="I94" s="139"/>
      <c r="K94" s="77"/>
    </row>
    <row r="95" spans="1:30" ht="15.6" customHeight="1">
      <c r="A95" s="1362" t="s">
        <v>4251</v>
      </c>
      <c r="B95" s="1363"/>
      <c r="C95" s="1363"/>
      <c r="D95" s="1363"/>
      <c r="E95" s="1363"/>
      <c r="F95" s="1363"/>
      <c r="G95" s="1364"/>
      <c r="H95" s="138"/>
      <c r="I95" s="139"/>
    </row>
    <row r="96" spans="1:30" ht="15.6" customHeight="1">
      <c r="A96" s="192" t="s">
        <v>30</v>
      </c>
      <c r="B96" s="1372"/>
      <c r="C96" s="1373"/>
    </row>
    <row r="101" spans="6:11" ht="15.6" customHeight="1">
      <c r="H101" s="77"/>
      <c r="I101" s="77"/>
    </row>
    <row r="102" spans="6:11" ht="15.6" customHeight="1">
      <c r="H102" s="47"/>
      <c r="I102" s="47"/>
      <c r="J102" s="77"/>
      <c r="K102" s="77"/>
    </row>
    <row r="103" spans="6:11" ht="15.6" customHeight="1">
      <c r="F103" s="88"/>
      <c r="G103" s="88"/>
      <c r="H103" s="88"/>
      <c r="I103" s="88"/>
      <c r="J103" s="47"/>
      <c r="K103" s="47"/>
    </row>
    <row r="104" spans="6:11" ht="15.6" customHeight="1">
      <c r="F104" s="1359" t="s">
        <v>127</v>
      </c>
      <c r="G104" s="1359"/>
      <c r="H104" s="1359"/>
      <c r="I104" s="1359"/>
    </row>
  </sheetData>
  <sheetProtection algorithmName="SHA-512" hashValue="NgnAZNPyogXHENG9ORWjrjZ9bOOuoMw9iyXa1sJFiH0c9mEcXmzWKGu5bMB1FaL15zlEg6WzfBTUH4k0nCbnaA==" saltValue="8ygKYCGWjJ/U2AzKQ2poow==" spinCount="100000" sheet="1" scenarios="1" formatCells="0" formatRows="0"/>
  <dataConsolidate/>
  <mergeCells count="79">
    <mergeCell ref="S4:T4"/>
    <mergeCell ref="X20:Y20"/>
    <mergeCell ref="B17:E17"/>
    <mergeCell ref="F7:G7"/>
    <mergeCell ref="I17:J17"/>
    <mergeCell ref="F17:G17"/>
    <mergeCell ref="H15:I15"/>
    <mergeCell ref="A11:K11"/>
    <mergeCell ref="B12:D12"/>
    <mergeCell ref="F12:G12"/>
    <mergeCell ref="H12:I12"/>
    <mergeCell ref="J12:K12"/>
    <mergeCell ref="B4:D4"/>
    <mergeCell ref="A6:K6"/>
    <mergeCell ref="F10:K10"/>
    <mergeCell ref="B5:D5"/>
    <mergeCell ref="A32:K32"/>
    <mergeCell ref="J15:K15"/>
    <mergeCell ref="A26:K26"/>
    <mergeCell ref="B27:D27"/>
    <mergeCell ref="A16:K16"/>
    <mergeCell ref="B22:D22"/>
    <mergeCell ref="B19:K19"/>
    <mergeCell ref="B21:D21"/>
    <mergeCell ref="B20:K20"/>
    <mergeCell ref="B18:K18"/>
    <mergeCell ref="J21:K21"/>
    <mergeCell ref="J22:K22"/>
    <mergeCell ref="F21:H21"/>
    <mergeCell ref="H25:I25"/>
    <mergeCell ref="I24:J24"/>
    <mergeCell ref="B15:C15"/>
    <mergeCell ref="F5:G5"/>
    <mergeCell ref="A8:K8"/>
    <mergeCell ref="B9:D9"/>
    <mergeCell ref="F9:K9"/>
    <mergeCell ref="B10:D10"/>
    <mergeCell ref="C7:D7"/>
    <mergeCell ref="A1:K1"/>
    <mergeCell ref="B96:C96"/>
    <mergeCell ref="A89:G89"/>
    <mergeCell ref="A90:G90"/>
    <mergeCell ref="A91:G91"/>
    <mergeCell ref="A92:G92"/>
    <mergeCell ref="A93:G93"/>
    <mergeCell ref="A94:G94"/>
    <mergeCell ref="B13:K13"/>
    <mergeCell ref="A14:K14"/>
    <mergeCell ref="F15:G15"/>
    <mergeCell ref="C31:D31"/>
    <mergeCell ref="F29:K29"/>
    <mergeCell ref="B3:D3"/>
    <mergeCell ref="F4:G4"/>
    <mergeCell ref="B28:D28"/>
    <mergeCell ref="F104:I104"/>
    <mergeCell ref="A58:B58"/>
    <mergeCell ref="A76:B76"/>
    <mergeCell ref="A83:B83"/>
    <mergeCell ref="A82:B82"/>
    <mergeCell ref="A81:B81"/>
    <mergeCell ref="A95:G95"/>
    <mergeCell ref="A63:K63"/>
    <mergeCell ref="A68:K68"/>
    <mergeCell ref="A37:K37"/>
    <mergeCell ref="G38:H38"/>
    <mergeCell ref="A74:K74"/>
    <mergeCell ref="A80:K80"/>
    <mergeCell ref="A69:K73"/>
    <mergeCell ref="A78:B78"/>
    <mergeCell ref="A59:B59"/>
    <mergeCell ref="A60:B60"/>
    <mergeCell ref="A75:B75"/>
    <mergeCell ref="A77:B77"/>
    <mergeCell ref="J64:K64"/>
    <mergeCell ref="J65:K65"/>
    <mergeCell ref="J66:K66"/>
    <mergeCell ref="J67:K67"/>
    <mergeCell ref="A39:K39"/>
    <mergeCell ref="A56:K56"/>
  </mergeCells>
  <conditionalFormatting sqref="M44">
    <cfRule type="expression" dxfId="0" priority="1">
      <formula>$B53="NO ASIGNAR"</formula>
    </cfRule>
  </conditionalFormatting>
  <dataValidations count="21">
    <dataValidation allowBlank="1" showInputMessage="1" showErrorMessage="1" promptTitle="Fecha de Envio de Archivo" prompt="Formato de fecha dd/mm/yyyy" sqref="B96:C96" xr:uid="{00000000-0002-0000-0000-000000000000}"/>
    <dataValidation type="list" allowBlank="1" showInputMessage="1" showErrorMessage="1" sqref="J21:K21 F21:H21" xr:uid="{C5DEC221-FA79-4F7D-B576-5EC286742BAE}">
      <formula1>INDIRECT(B21)</formula1>
    </dataValidation>
    <dataValidation type="whole" allowBlank="1" showInputMessage="1" showErrorMessage="1" sqref="K24" xr:uid="{8EE44725-185D-44AE-9E93-77603D0245B8}">
      <formula1>1000</formula1>
      <formula2>3000</formula2>
    </dataValidation>
    <dataValidation type="list" allowBlank="1" showInputMessage="1" showErrorMessage="1" promptTitle="Estado de Conservación" prompt="Seleccione un valor" sqref="D44:D51" xr:uid="{00000000-0002-0000-0000-00000E000000}">
      <formula1>#REF!</formula1>
    </dataValidation>
    <dataValidation type="list" allowBlank="1" showInputMessage="1" showErrorMessage="1" promptTitle="Tipo de Acabado" prompt="Seleccione un valor" sqref="C44:C51" xr:uid="{00000000-0002-0000-0000-00000F000000}">
      <formula1>#REF!</formula1>
    </dataValidation>
    <dataValidation type="list" allowBlank="1" showInputMessage="1" showErrorMessage="1" sqref="B22:D22" xr:uid="{00000000-0002-0000-0000-000009000000}">
      <formula1>$V$21:$V$34</formula1>
    </dataValidation>
    <dataValidation type="list" allowBlank="1" showInputMessage="1" showErrorMessage="1" sqref="B23" xr:uid="{00000000-0002-0000-0000-00000A000000}">
      <formula1>$Q$25:$Q$27</formula1>
    </dataValidation>
    <dataValidation type="list" allowBlank="1" showInputMessage="1" showErrorMessage="1" sqref="B24" xr:uid="{00000000-0002-0000-0000-000014000000}">
      <formula1>$V$5:$V$10</formula1>
    </dataValidation>
    <dataValidation type="list" allowBlank="1" showInputMessage="1" showErrorMessage="1" sqref="K25" xr:uid="{00000000-0002-0000-0000-000017000000}">
      <formula1>$AB$5:$AB$10</formula1>
    </dataValidation>
    <dataValidation type="list" allowBlank="1" showInputMessage="1" showErrorMessage="1" sqref="B25" xr:uid="{00000000-0002-0000-0000-000019000000}">
      <formula1>$Q$5:$Q$9</formula1>
    </dataValidation>
    <dataValidation type="list" allowBlank="1" showInputMessage="1" showErrorMessage="1" sqref="B4:D4" xr:uid="{00000000-0002-0000-0000-00001B000000}">
      <formula1>$Q$30:$Q$36</formula1>
    </dataValidation>
    <dataValidation type="list" allowBlank="1" showInputMessage="1" showErrorMessage="1" sqref="B7" xr:uid="{37535FC8-64A7-4FDC-98F1-7B37FA7142BD}">
      <formula1>$S$5</formula1>
    </dataValidation>
    <dataValidation type="list" allowBlank="1" showInputMessage="1" showErrorMessage="1" sqref="B15:C15" xr:uid="{3FBE1B44-862C-4530-8C24-F552D23C1065}">
      <formula1>$M$5:$M$69</formula1>
    </dataValidation>
    <dataValidation type="list" allowBlank="1" showInputMessage="1" showErrorMessage="1" sqref="H23" xr:uid="{00000000-0002-0000-0000-00000C000000}">
      <formula1>$AB$13:$AB$17</formula1>
    </dataValidation>
    <dataValidation type="list" allowBlank="1" showInputMessage="1" showErrorMessage="1" sqref="H25:I25" xr:uid="{B5113C71-9145-474E-B052-3662E75BC7C0}">
      <formula1>$X$5:$X$15</formula1>
    </dataValidation>
    <dataValidation type="list" allowBlank="1" showInputMessage="1" showErrorMessage="1" sqref="F7:G7" xr:uid="{00000000-0002-0000-0000-000011000000}">
      <formula1>$X$21:$X$43</formula1>
    </dataValidation>
    <dataValidation type="list" allowBlank="1" showInputMessage="1" showErrorMessage="1" promptTitle="Tipo de Acabado" prompt="Seleccione un valor" sqref="C43" xr:uid="{BB2B1D39-4FE6-4936-8E55-C4B29ABC9B30}">
      <formula1>$Q$19:$Q$21</formula1>
    </dataValidation>
    <dataValidation type="list" allowBlank="1" showInputMessage="1" showErrorMessage="1" promptTitle="Estado de Conservación" prompt="Seleccione un valor" sqref="D43" xr:uid="{C26ACF33-B554-4157-9570-9B57B0FC06F3}">
      <formula1>$Q$12:$Q$16</formula1>
    </dataValidation>
    <dataValidation type="list" allowBlank="1" showInputMessage="1" showErrorMessage="1" sqref="C31:D31 F24:F25 D25 H24" xr:uid="{ED7E3315-BD23-4C68-941F-C4B5315D90CA}">
      <formula1>$AD$5:$AD$35</formula1>
    </dataValidation>
    <dataValidation type="list" allowBlank="1" showInputMessage="1" showErrorMessage="1" sqref="F23 H31" xr:uid="{489310D4-B055-431C-881B-399FDC5D521F}">
      <formula1>$Z$5:$Z$7</formula1>
    </dataValidation>
    <dataValidation type="list" allowBlank="1" showInputMessage="1" showErrorMessage="1" sqref="D23 B29:B30 D29:D30 C30" xr:uid="{CDFFB7AC-A08E-4EF9-BA7D-A2AC78A92CC1}">
      <formula1>$Z$12:$Z$13</formula1>
    </dataValidation>
  </dataValidations>
  <pageMargins left="0.78740157480314965" right="0.19685039370078741" top="0.31496062992125984" bottom="0.39370078740157483" header="0.19685039370078741" footer="0.19685039370078741"/>
  <pageSetup paperSize="9" scale="4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81" r:id="rId4" name="Check Box 57">
              <controlPr defaultSize="0" autoFill="0" autoLine="0" autoPict="0">
                <anchor moveWithCells="1">
                  <from>
                    <xdr:col>1</xdr:col>
                    <xdr:colOff>28575</xdr:colOff>
                    <xdr:row>32</xdr:row>
                    <xdr:rowOff>0</xdr:rowOff>
                  </from>
                  <to>
                    <xdr:col>1</xdr:col>
                    <xdr:colOff>419100</xdr:colOff>
                    <xdr:row>33</xdr:row>
                    <xdr:rowOff>9525</xdr:rowOff>
                  </to>
                </anchor>
              </controlPr>
            </control>
          </mc:Choice>
        </mc:AlternateContent>
        <mc:AlternateContent xmlns:mc="http://schemas.openxmlformats.org/markup-compatibility/2006">
          <mc:Choice Requires="x14">
            <control shapeId="1082" r:id="rId5" name="Check Box 58">
              <controlPr defaultSize="0" autoFill="0" autoLine="0" autoPict="0">
                <anchor moveWithCells="1">
                  <from>
                    <xdr:col>10</xdr:col>
                    <xdr:colOff>676275</xdr:colOff>
                    <xdr:row>33</xdr:row>
                    <xdr:rowOff>114300</xdr:rowOff>
                  </from>
                  <to>
                    <xdr:col>10</xdr:col>
                    <xdr:colOff>942975</xdr:colOff>
                    <xdr:row>34</xdr:row>
                    <xdr:rowOff>152400</xdr:rowOff>
                  </to>
                </anchor>
              </controlPr>
            </control>
          </mc:Choice>
        </mc:AlternateContent>
        <mc:AlternateContent xmlns:mc="http://schemas.openxmlformats.org/markup-compatibility/2006">
          <mc:Choice Requires="x14">
            <control shapeId="1083" r:id="rId6" name="Check Box 59">
              <controlPr defaultSize="0" autoFill="0" autoLine="0" autoPict="0">
                <anchor moveWithCells="1">
                  <from>
                    <xdr:col>5</xdr:col>
                    <xdr:colOff>333375</xdr:colOff>
                    <xdr:row>31</xdr:row>
                    <xdr:rowOff>161925</xdr:rowOff>
                  </from>
                  <to>
                    <xdr:col>5</xdr:col>
                    <xdr:colOff>657225</xdr:colOff>
                    <xdr:row>32</xdr:row>
                    <xdr:rowOff>180975</xdr:rowOff>
                  </to>
                </anchor>
              </controlPr>
            </control>
          </mc:Choice>
        </mc:AlternateContent>
        <mc:AlternateContent xmlns:mc="http://schemas.openxmlformats.org/markup-compatibility/2006">
          <mc:Choice Requires="x14">
            <control shapeId="1084" r:id="rId7" name="Check Box 60">
              <controlPr defaultSize="0" autoFill="0" autoLine="0" autoPict="0">
                <anchor moveWithCells="1">
                  <from>
                    <xdr:col>6</xdr:col>
                    <xdr:colOff>790575</xdr:colOff>
                    <xdr:row>31</xdr:row>
                    <xdr:rowOff>142875</xdr:rowOff>
                  </from>
                  <to>
                    <xdr:col>6</xdr:col>
                    <xdr:colOff>1152525</xdr:colOff>
                    <xdr:row>32</xdr:row>
                    <xdr:rowOff>180975</xdr:rowOff>
                  </to>
                </anchor>
              </controlPr>
            </control>
          </mc:Choice>
        </mc:AlternateContent>
        <mc:AlternateContent xmlns:mc="http://schemas.openxmlformats.org/markup-compatibility/2006">
          <mc:Choice Requires="x14">
            <control shapeId="1087" r:id="rId8" name="Check Box 63">
              <controlPr defaultSize="0" autoFill="0" autoLine="0" autoPict="0">
                <anchor moveWithCells="1">
                  <from>
                    <xdr:col>0</xdr:col>
                    <xdr:colOff>1628775</xdr:colOff>
                    <xdr:row>28</xdr:row>
                    <xdr:rowOff>190500</xdr:rowOff>
                  </from>
                  <to>
                    <xdr:col>1</xdr:col>
                    <xdr:colOff>123825</xdr:colOff>
                    <xdr:row>29</xdr:row>
                    <xdr:rowOff>180975</xdr:rowOff>
                  </to>
                </anchor>
              </controlPr>
            </control>
          </mc:Choice>
        </mc:AlternateContent>
        <mc:AlternateContent xmlns:mc="http://schemas.openxmlformats.org/markup-compatibility/2006">
          <mc:Choice Requires="x14">
            <control shapeId="1109" r:id="rId9" name="Check Box 85">
              <controlPr defaultSize="0" autoFill="0" autoLine="0" autoPict="0">
                <anchor moveWithCells="1">
                  <from>
                    <xdr:col>0</xdr:col>
                    <xdr:colOff>1628775</xdr:colOff>
                    <xdr:row>30</xdr:row>
                    <xdr:rowOff>28575</xdr:rowOff>
                  </from>
                  <to>
                    <xdr:col>1</xdr:col>
                    <xdr:colOff>123825</xdr:colOff>
                    <xdr:row>31</xdr:row>
                    <xdr:rowOff>9525</xdr:rowOff>
                  </to>
                </anchor>
              </controlPr>
            </control>
          </mc:Choice>
        </mc:AlternateContent>
        <mc:AlternateContent xmlns:mc="http://schemas.openxmlformats.org/markup-compatibility/2006">
          <mc:Choice Requires="x14">
            <control shapeId="1114" r:id="rId10" name="Check Box 90">
              <controlPr defaultSize="0" autoFill="0" autoLine="0" autoPict="0">
                <anchor moveWithCells="1">
                  <from>
                    <xdr:col>1</xdr:col>
                    <xdr:colOff>28575</xdr:colOff>
                    <xdr:row>34</xdr:row>
                    <xdr:rowOff>28575</xdr:rowOff>
                  </from>
                  <to>
                    <xdr:col>1</xdr:col>
                    <xdr:colOff>419100</xdr:colOff>
                    <xdr:row>35</xdr:row>
                    <xdr:rowOff>9525</xdr:rowOff>
                  </to>
                </anchor>
              </controlPr>
            </control>
          </mc:Choice>
        </mc:AlternateContent>
        <mc:AlternateContent xmlns:mc="http://schemas.openxmlformats.org/markup-compatibility/2006">
          <mc:Choice Requires="x14">
            <control shapeId="1115" r:id="rId11" name="Check Box 91">
              <controlPr defaultSize="0" autoFill="0" autoLine="0" autoPict="0">
                <anchor moveWithCells="1">
                  <from>
                    <xdr:col>5</xdr:col>
                    <xdr:colOff>314325</xdr:colOff>
                    <xdr:row>32</xdr:row>
                    <xdr:rowOff>142875</xdr:rowOff>
                  </from>
                  <to>
                    <xdr:col>5</xdr:col>
                    <xdr:colOff>590550</xdr:colOff>
                    <xdr:row>33</xdr:row>
                    <xdr:rowOff>180975</xdr:rowOff>
                  </to>
                </anchor>
              </controlPr>
            </control>
          </mc:Choice>
        </mc:AlternateContent>
        <mc:AlternateContent xmlns:mc="http://schemas.openxmlformats.org/markup-compatibility/2006">
          <mc:Choice Requires="x14">
            <control shapeId="1116" r:id="rId12" name="Check Box 92">
              <controlPr defaultSize="0" autoFill="0" autoLine="0" autoPict="0">
                <anchor moveWithCells="1">
                  <from>
                    <xdr:col>10</xdr:col>
                    <xdr:colOff>676275</xdr:colOff>
                    <xdr:row>34</xdr:row>
                    <xdr:rowOff>114300</xdr:rowOff>
                  </from>
                  <to>
                    <xdr:col>10</xdr:col>
                    <xdr:colOff>990600</xdr:colOff>
                    <xdr:row>35</xdr:row>
                    <xdr:rowOff>180975</xdr:rowOff>
                  </to>
                </anchor>
              </controlPr>
            </control>
          </mc:Choice>
        </mc:AlternateContent>
        <mc:AlternateContent xmlns:mc="http://schemas.openxmlformats.org/markup-compatibility/2006">
          <mc:Choice Requires="x14">
            <control shapeId="1118" r:id="rId13" name="Check Box 94">
              <controlPr defaultSize="0" autoFill="0" autoLine="0" autoPict="0">
                <anchor moveWithCells="1">
                  <from>
                    <xdr:col>1</xdr:col>
                    <xdr:colOff>28575</xdr:colOff>
                    <xdr:row>35</xdr:row>
                    <xdr:rowOff>28575</xdr:rowOff>
                  </from>
                  <to>
                    <xdr:col>1</xdr:col>
                    <xdr:colOff>419100</xdr:colOff>
                    <xdr:row>36</xdr:row>
                    <xdr:rowOff>9525</xdr:rowOff>
                  </to>
                </anchor>
              </controlPr>
            </control>
          </mc:Choice>
        </mc:AlternateContent>
        <mc:AlternateContent xmlns:mc="http://schemas.openxmlformats.org/markup-compatibility/2006">
          <mc:Choice Requires="x14">
            <control shapeId="1124" r:id="rId14" name="Check Box 100">
              <controlPr defaultSize="0" autoFill="0" autoLine="0" autoPict="0">
                <anchor moveWithCells="1">
                  <from>
                    <xdr:col>5</xdr:col>
                    <xdr:colOff>314325</xdr:colOff>
                    <xdr:row>33</xdr:row>
                    <xdr:rowOff>142875</xdr:rowOff>
                  </from>
                  <to>
                    <xdr:col>5</xdr:col>
                    <xdr:colOff>590550</xdr:colOff>
                    <xdr:row>34</xdr:row>
                    <xdr:rowOff>180975</xdr:rowOff>
                  </to>
                </anchor>
              </controlPr>
            </control>
          </mc:Choice>
        </mc:AlternateContent>
        <mc:AlternateContent xmlns:mc="http://schemas.openxmlformats.org/markup-compatibility/2006">
          <mc:Choice Requires="x14">
            <control shapeId="1125" r:id="rId15" name="Check Box 101">
              <controlPr defaultSize="0" autoFill="0" autoLine="0" autoPict="0">
                <anchor moveWithCells="1">
                  <from>
                    <xdr:col>5</xdr:col>
                    <xdr:colOff>314325</xdr:colOff>
                    <xdr:row>34</xdr:row>
                    <xdr:rowOff>142875</xdr:rowOff>
                  </from>
                  <to>
                    <xdr:col>5</xdr:col>
                    <xdr:colOff>609600</xdr:colOff>
                    <xdr:row>35</xdr:row>
                    <xdr:rowOff>180975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77B5D1FB-D1F0-491B-9057-0FDB127918B4}">
          <x14:formula1>
            <xm:f>DPTOS!$A$1:$A$26</xm:f>
          </x14:formula1>
          <xm:sqref>B21:D21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75"/>
  <sheetViews>
    <sheetView topLeftCell="B1" workbookViewId="0"/>
  </sheetViews>
  <sheetFormatPr baseColWidth="10" defaultColWidth="11.5703125" defaultRowHeight="16.5"/>
  <cols>
    <col min="1" max="1" width="8.5703125" style="3" hidden="1" customWidth="1"/>
    <col min="2" max="2" width="16" style="3" bestFit="1" customWidth="1"/>
    <col min="3" max="3" width="13.42578125" style="3" customWidth="1"/>
    <col min="4" max="4" width="29.42578125" style="3" bestFit="1" customWidth="1"/>
    <col min="5" max="5" width="24.5703125" style="3" customWidth="1"/>
    <col min="6" max="7" width="35.5703125" style="3" customWidth="1"/>
    <col min="8" max="9" width="37.5703125" style="3" customWidth="1"/>
    <col min="10" max="10" width="35.5703125" style="3" customWidth="1"/>
    <col min="11" max="11" width="8.5703125" style="3" customWidth="1"/>
    <col min="13" max="16384" width="11.5703125" style="3"/>
  </cols>
  <sheetData>
    <row r="1" spans="1:12" ht="31.35" customHeight="1">
      <c r="A1" s="1" t="s">
        <v>131</v>
      </c>
      <c r="B1" s="1" t="s">
        <v>132</v>
      </c>
      <c r="C1" s="1"/>
      <c r="D1" s="1" t="s">
        <v>133</v>
      </c>
      <c r="E1" s="1"/>
      <c r="F1" s="1" t="s">
        <v>134</v>
      </c>
      <c r="G1" s="1"/>
      <c r="H1" s="1" t="s">
        <v>135</v>
      </c>
      <c r="I1" s="1"/>
      <c r="J1" s="1" t="s">
        <v>134</v>
      </c>
      <c r="K1" s="1" t="s">
        <v>131</v>
      </c>
      <c r="L1" s="3"/>
    </row>
    <row r="2" spans="1:12" s="4" customFormat="1" ht="18" customHeight="1">
      <c r="A2" s="2" t="s">
        <v>136</v>
      </c>
      <c r="B2" s="2" t="s">
        <v>137</v>
      </c>
      <c r="C2" s="2"/>
      <c r="D2" s="2" t="s">
        <v>682</v>
      </c>
      <c r="E2" s="2"/>
      <c r="F2" s="2" t="s">
        <v>682</v>
      </c>
      <c r="G2" s="2"/>
      <c r="H2" s="2" t="s">
        <v>682</v>
      </c>
      <c r="I2" s="2"/>
      <c r="J2" s="2" t="s">
        <v>138</v>
      </c>
      <c r="K2" s="2" t="s">
        <v>136</v>
      </c>
    </row>
    <row r="3" spans="1:12" s="4" customFormat="1" ht="18" customHeight="1">
      <c r="A3" s="2" t="s">
        <v>139</v>
      </c>
      <c r="B3" s="2" t="s">
        <v>328</v>
      </c>
      <c r="C3" s="2"/>
      <c r="D3" s="2" t="s">
        <v>644</v>
      </c>
      <c r="E3" s="2"/>
      <c r="F3" s="2" t="s">
        <v>384</v>
      </c>
      <c r="G3" s="2"/>
      <c r="H3" s="2" t="s">
        <v>385</v>
      </c>
      <c r="I3" s="2"/>
      <c r="J3" s="2" t="s">
        <v>140</v>
      </c>
      <c r="K3" s="2" t="s">
        <v>139</v>
      </c>
    </row>
    <row r="4" spans="1:12" s="4" customFormat="1" ht="18" customHeight="1">
      <c r="A4" s="2" t="s">
        <v>141</v>
      </c>
      <c r="B4" s="2" t="s">
        <v>681</v>
      </c>
      <c r="C4" s="2"/>
      <c r="D4" s="2" t="s">
        <v>1644</v>
      </c>
      <c r="E4" s="2"/>
      <c r="F4" s="2" t="s">
        <v>947</v>
      </c>
      <c r="G4" s="2"/>
      <c r="H4" s="2" t="s">
        <v>947</v>
      </c>
      <c r="I4" s="2"/>
      <c r="J4" s="2" t="s">
        <v>142</v>
      </c>
      <c r="K4" s="2" t="s">
        <v>141</v>
      </c>
    </row>
    <row r="5" spans="1:12" s="4" customFormat="1" ht="18" customHeight="1">
      <c r="A5" s="2" t="s">
        <v>143</v>
      </c>
      <c r="B5" s="2" t="s">
        <v>862</v>
      </c>
      <c r="C5" s="2"/>
      <c r="D5" s="2" t="s">
        <v>354</v>
      </c>
      <c r="E5" s="2"/>
      <c r="F5" s="2" t="s">
        <v>555</v>
      </c>
      <c r="G5" s="2"/>
      <c r="H5" s="2" t="s">
        <v>555</v>
      </c>
      <c r="I5" s="2"/>
      <c r="J5" s="2" t="s">
        <v>144</v>
      </c>
      <c r="K5" s="2" t="s">
        <v>143</v>
      </c>
    </row>
    <row r="6" spans="1:12" s="4" customFormat="1" ht="18" customHeight="1">
      <c r="A6" s="2" t="s">
        <v>145</v>
      </c>
      <c r="B6" s="2" t="s">
        <v>1101</v>
      </c>
      <c r="C6" s="2"/>
      <c r="D6" s="2" t="s">
        <v>3178</v>
      </c>
      <c r="E6" s="2"/>
      <c r="F6" s="2" t="s">
        <v>1794</v>
      </c>
      <c r="G6" s="2"/>
      <c r="H6" s="2" t="s">
        <v>1794</v>
      </c>
      <c r="I6" s="2"/>
      <c r="J6" s="2" t="s">
        <v>146</v>
      </c>
      <c r="K6" s="2" t="s">
        <v>145</v>
      </c>
    </row>
    <row r="7" spans="1:12" s="4" customFormat="1" ht="18" customHeight="1">
      <c r="A7" s="2" t="s">
        <v>147</v>
      </c>
      <c r="B7" s="2" t="s">
        <v>1356</v>
      </c>
      <c r="C7" s="2"/>
      <c r="D7" s="2" t="s">
        <v>2088</v>
      </c>
      <c r="E7" s="2"/>
      <c r="F7" s="2" t="s">
        <v>1342</v>
      </c>
      <c r="G7" s="2"/>
      <c r="H7" s="2" t="s">
        <v>1342</v>
      </c>
      <c r="I7" s="2"/>
      <c r="J7" s="2" t="s">
        <v>148</v>
      </c>
      <c r="K7" s="2" t="s">
        <v>147</v>
      </c>
    </row>
    <row r="8" spans="1:12" s="4" customFormat="1" ht="18" customHeight="1">
      <c r="A8" s="2" t="s">
        <v>149</v>
      </c>
      <c r="B8" s="2" t="s">
        <v>1616</v>
      </c>
      <c r="C8" s="2"/>
      <c r="D8" s="2" t="s">
        <v>701</v>
      </c>
      <c r="E8" s="2"/>
      <c r="F8" s="2" t="s">
        <v>3588</v>
      </c>
      <c r="G8" s="2"/>
      <c r="H8" s="2" t="s">
        <v>3588</v>
      </c>
      <c r="I8" s="2"/>
      <c r="J8" s="2" t="s">
        <v>150</v>
      </c>
      <c r="K8" s="2" t="s">
        <v>149</v>
      </c>
    </row>
    <row r="9" spans="1:12" s="4" customFormat="1" ht="18" customHeight="1">
      <c r="A9" s="2" t="s">
        <v>151</v>
      </c>
      <c r="B9" s="2" t="s">
        <v>1629</v>
      </c>
      <c r="C9" s="2"/>
      <c r="D9" s="2" t="s">
        <v>1910</v>
      </c>
      <c r="E9" s="2"/>
      <c r="F9" s="2" t="s">
        <v>1006</v>
      </c>
      <c r="G9" s="2"/>
      <c r="H9" s="2" t="s">
        <v>1006</v>
      </c>
      <c r="I9" s="2"/>
      <c r="J9" s="2" t="s">
        <v>152</v>
      </c>
      <c r="K9" s="2" t="s">
        <v>151</v>
      </c>
    </row>
    <row r="10" spans="1:12" s="4" customFormat="1" ht="18" customHeight="1">
      <c r="A10" s="2" t="s">
        <v>153</v>
      </c>
      <c r="B10" s="2" t="s">
        <v>1860</v>
      </c>
      <c r="C10" s="2"/>
      <c r="D10" s="2" t="s">
        <v>422</v>
      </c>
      <c r="E10" s="2"/>
      <c r="F10" s="2" t="s">
        <v>432</v>
      </c>
      <c r="G10" s="2"/>
      <c r="H10" s="2" t="s">
        <v>432</v>
      </c>
      <c r="I10" s="2"/>
      <c r="J10" s="2" t="s">
        <v>154</v>
      </c>
      <c r="K10" s="2" t="s">
        <v>153</v>
      </c>
    </row>
    <row r="11" spans="1:12" s="4" customFormat="1" ht="18" customHeight="1">
      <c r="A11" s="2" t="s">
        <v>155</v>
      </c>
      <c r="B11" s="2" t="s">
        <v>2058</v>
      </c>
      <c r="C11" s="2"/>
      <c r="D11" s="2" t="s">
        <v>743</v>
      </c>
      <c r="E11" s="2"/>
      <c r="F11" s="2" t="s">
        <v>432</v>
      </c>
      <c r="G11" s="2"/>
      <c r="H11" s="2" t="s">
        <v>432</v>
      </c>
      <c r="I11" s="2"/>
      <c r="J11" s="2" t="s">
        <v>156</v>
      </c>
      <c r="K11" s="2" t="s">
        <v>155</v>
      </c>
    </row>
    <row r="12" spans="1:12" s="4" customFormat="1" ht="18" customHeight="1">
      <c r="A12" s="2" t="s">
        <v>157</v>
      </c>
      <c r="B12" s="2" t="s">
        <v>2242</v>
      </c>
      <c r="C12" s="2"/>
      <c r="D12" s="2" t="s">
        <v>364</v>
      </c>
      <c r="E12" s="2"/>
      <c r="F12" s="2" t="s">
        <v>644</v>
      </c>
      <c r="G12" s="2"/>
      <c r="H12" s="2" t="s">
        <v>644</v>
      </c>
      <c r="I12" s="2"/>
      <c r="J12" s="2" t="s">
        <v>158</v>
      </c>
      <c r="K12" s="2" t="s">
        <v>157</v>
      </c>
    </row>
    <row r="13" spans="1:12" s="4" customFormat="1" ht="18" customHeight="1">
      <c r="A13" s="2" t="s">
        <v>159</v>
      </c>
      <c r="B13" s="2" t="s">
        <v>2324</v>
      </c>
      <c r="C13" s="2"/>
      <c r="D13" s="2" t="s">
        <v>862</v>
      </c>
      <c r="E13" s="2"/>
      <c r="F13" s="2" t="s">
        <v>644</v>
      </c>
      <c r="G13" s="2"/>
      <c r="H13" s="2" t="s">
        <v>644</v>
      </c>
      <c r="I13" s="2"/>
      <c r="J13" s="2" t="s">
        <v>160</v>
      </c>
      <c r="K13" s="2" t="s">
        <v>159</v>
      </c>
    </row>
    <row r="14" spans="1:12" s="4" customFormat="1" ht="18" customHeight="1">
      <c r="A14" s="2" t="s">
        <v>161</v>
      </c>
      <c r="B14" s="2" t="s">
        <v>4116</v>
      </c>
      <c r="C14" s="2"/>
      <c r="D14" s="2" t="s">
        <v>2594</v>
      </c>
      <c r="E14" s="2"/>
      <c r="F14" s="2" t="s">
        <v>644</v>
      </c>
      <c r="G14" s="2"/>
      <c r="H14" s="2" t="s">
        <v>644</v>
      </c>
      <c r="I14" s="2"/>
      <c r="J14" s="2" t="s">
        <v>162</v>
      </c>
      <c r="K14" s="2" t="s">
        <v>161</v>
      </c>
    </row>
    <row r="15" spans="1:12" s="4" customFormat="1" ht="18" customHeight="1">
      <c r="A15" s="2" t="s">
        <v>164</v>
      </c>
      <c r="B15" s="2" t="s">
        <v>2736</v>
      </c>
      <c r="C15" s="2"/>
      <c r="D15" s="2" t="s">
        <v>140</v>
      </c>
      <c r="E15" s="2"/>
      <c r="F15" s="2" t="s">
        <v>1862</v>
      </c>
      <c r="G15" s="2"/>
      <c r="H15" s="2" t="s">
        <v>1862</v>
      </c>
      <c r="I15" s="2"/>
      <c r="J15" s="2" t="s">
        <v>165</v>
      </c>
      <c r="K15" s="2" t="s">
        <v>164</v>
      </c>
    </row>
    <row r="16" spans="1:12" s="4" customFormat="1" ht="18" customHeight="1">
      <c r="A16" s="2" t="s">
        <v>166</v>
      </c>
      <c r="B16" s="2" t="s">
        <v>2809</v>
      </c>
      <c r="C16" s="2"/>
      <c r="D16" s="2" t="s">
        <v>4052</v>
      </c>
      <c r="E16" s="2"/>
      <c r="F16" s="2" t="s">
        <v>379</v>
      </c>
      <c r="G16" s="2"/>
      <c r="H16" s="2" t="s">
        <v>379</v>
      </c>
      <c r="I16" s="2"/>
      <c r="J16" s="2" t="s">
        <v>167</v>
      </c>
      <c r="K16" s="2" t="s">
        <v>166</v>
      </c>
    </row>
    <row r="17" spans="1:11" s="4" customFormat="1" ht="18" customHeight="1">
      <c r="A17" s="2" t="s">
        <v>168</v>
      </c>
      <c r="B17" s="2" t="s">
        <v>3151</v>
      </c>
      <c r="C17" s="2"/>
      <c r="D17" s="2" t="s">
        <v>3440</v>
      </c>
      <c r="E17" s="2"/>
      <c r="F17" s="2" t="s">
        <v>1104</v>
      </c>
      <c r="G17" s="2"/>
      <c r="H17" s="2" t="s">
        <v>1104</v>
      </c>
      <c r="I17" s="2"/>
      <c r="J17" s="2" t="s">
        <v>169</v>
      </c>
      <c r="K17" s="2" t="s">
        <v>168</v>
      </c>
    </row>
    <row r="18" spans="1:11" s="4" customFormat="1" ht="18" customHeight="1">
      <c r="A18" s="2" t="s">
        <v>170</v>
      </c>
      <c r="B18" s="2" t="s">
        <v>4117</v>
      </c>
      <c r="C18" s="2"/>
      <c r="D18" s="2" t="s">
        <v>759</v>
      </c>
      <c r="E18" s="2"/>
      <c r="F18" s="2" t="s">
        <v>2422</v>
      </c>
      <c r="G18" s="2"/>
      <c r="H18" s="2" t="s">
        <v>2422</v>
      </c>
      <c r="I18" s="2"/>
      <c r="J18" s="2" t="s">
        <v>171</v>
      </c>
      <c r="K18" s="2" t="s">
        <v>170</v>
      </c>
    </row>
    <row r="19" spans="1:11" s="4" customFormat="1" ht="18" customHeight="1">
      <c r="A19" s="2" t="s">
        <v>172</v>
      </c>
      <c r="B19" s="2" t="s">
        <v>3316</v>
      </c>
      <c r="C19" s="2"/>
      <c r="D19" s="2" t="s">
        <v>3095</v>
      </c>
      <c r="E19" s="2"/>
      <c r="F19" s="2" t="s">
        <v>1644</v>
      </c>
      <c r="G19" s="2"/>
      <c r="H19" s="2" t="s">
        <v>1644</v>
      </c>
      <c r="I19" s="2"/>
      <c r="J19" s="2" t="s">
        <v>173</v>
      </c>
      <c r="K19" s="2" t="s">
        <v>172</v>
      </c>
    </row>
    <row r="20" spans="1:11" s="4" customFormat="1" ht="18" customHeight="1">
      <c r="A20" s="2" t="s">
        <v>175</v>
      </c>
      <c r="B20" s="2" t="s">
        <v>3358</v>
      </c>
      <c r="C20" s="2"/>
      <c r="D20" s="2" t="s">
        <v>184</v>
      </c>
      <c r="E20" s="2"/>
      <c r="F20" s="2" t="s">
        <v>418</v>
      </c>
      <c r="G20" s="2"/>
      <c r="H20" s="2" t="s">
        <v>418</v>
      </c>
      <c r="I20" s="2"/>
      <c r="J20" s="2" t="s">
        <v>176</v>
      </c>
      <c r="K20" s="2" t="s">
        <v>175</v>
      </c>
    </row>
    <row r="21" spans="1:11" s="4" customFormat="1" ht="18" customHeight="1">
      <c r="A21" s="2" t="s">
        <v>178</v>
      </c>
      <c r="B21" s="2" t="s">
        <v>3419</v>
      </c>
      <c r="C21" s="2"/>
      <c r="D21" s="2" t="s">
        <v>2893</v>
      </c>
      <c r="E21" s="2"/>
      <c r="F21" s="2" t="s">
        <v>1646</v>
      </c>
      <c r="G21" s="2"/>
      <c r="H21" s="2" t="s">
        <v>1646</v>
      </c>
      <c r="I21" s="2"/>
      <c r="J21" s="2" t="s">
        <v>179</v>
      </c>
      <c r="K21" s="2" t="s">
        <v>178</v>
      </c>
    </row>
    <row r="22" spans="1:11" s="4" customFormat="1" ht="18" customHeight="1">
      <c r="A22" s="2" t="s">
        <v>180</v>
      </c>
      <c r="B22" s="2" t="s">
        <v>3557</v>
      </c>
      <c r="C22" s="2"/>
      <c r="D22" s="2" t="s">
        <v>1507</v>
      </c>
      <c r="E22" s="2"/>
      <c r="F22" s="2" t="s">
        <v>3559</v>
      </c>
      <c r="G22" s="2"/>
      <c r="H22" s="2" t="s">
        <v>3559</v>
      </c>
      <c r="I22" s="2"/>
      <c r="J22" s="2" t="s">
        <v>181</v>
      </c>
      <c r="K22" s="2" t="s">
        <v>180</v>
      </c>
    </row>
    <row r="23" spans="1:11" s="4" customFormat="1" ht="18" customHeight="1">
      <c r="A23" s="2" t="s">
        <v>183</v>
      </c>
      <c r="B23" s="2" t="s">
        <v>4110</v>
      </c>
      <c r="C23" s="2"/>
      <c r="D23" s="2" t="s">
        <v>1562</v>
      </c>
      <c r="E23" s="2"/>
      <c r="F23" s="2" t="s">
        <v>1864</v>
      </c>
      <c r="G23" s="2"/>
      <c r="H23" s="2" t="s">
        <v>1864</v>
      </c>
      <c r="I23" s="2"/>
      <c r="J23" s="2" t="s">
        <v>184</v>
      </c>
      <c r="K23" s="2" t="s">
        <v>183</v>
      </c>
    </row>
    <row r="24" spans="1:11" s="4" customFormat="1" ht="18" customHeight="1">
      <c r="A24" s="2" t="s">
        <v>185</v>
      </c>
      <c r="B24" s="2" t="s">
        <v>3943</v>
      </c>
      <c r="C24" s="2"/>
      <c r="D24" s="2" t="s">
        <v>381</v>
      </c>
      <c r="E24" s="2"/>
      <c r="F24" s="2" t="s">
        <v>1648</v>
      </c>
      <c r="G24" s="2"/>
      <c r="H24" s="2" t="s">
        <v>1648</v>
      </c>
      <c r="I24" s="2"/>
      <c r="J24" s="2" t="s">
        <v>186</v>
      </c>
      <c r="K24" s="2" t="s">
        <v>185</v>
      </c>
    </row>
    <row r="25" spans="1:11" s="4" customFormat="1" ht="18" customHeight="1">
      <c r="A25" s="2" t="s">
        <v>187</v>
      </c>
      <c r="B25" s="2" t="s">
        <v>4004</v>
      </c>
      <c r="C25" s="2"/>
      <c r="D25" s="2" t="s">
        <v>197</v>
      </c>
      <c r="E25" s="2"/>
      <c r="F25" s="2" t="s">
        <v>1106</v>
      </c>
      <c r="G25" s="2"/>
      <c r="H25" s="2" t="s">
        <v>1106</v>
      </c>
      <c r="I25" s="2"/>
      <c r="J25" s="2" t="s">
        <v>188</v>
      </c>
      <c r="K25" s="2" t="s">
        <v>187</v>
      </c>
    </row>
    <row r="26" spans="1:11" s="4" customFormat="1" ht="18" customHeight="1">
      <c r="A26" s="2" t="s">
        <v>189</v>
      </c>
      <c r="B26" s="2" t="s">
        <v>3245</v>
      </c>
      <c r="C26" s="2"/>
      <c r="D26" s="2" t="s">
        <v>1377</v>
      </c>
      <c r="E26" s="2"/>
      <c r="F26" s="2" t="s">
        <v>2019</v>
      </c>
      <c r="G26" s="2"/>
      <c r="H26" s="2" t="s">
        <v>2019</v>
      </c>
      <c r="I26" s="2"/>
      <c r="J26" s="2" t="s">
        <v>190</v>
      </c>
      <c r="K26" s="2" t="s">
        <v>189</v>
      </c>
    </row>
    <row r="27" spans="1:11" s="4" customFormat="1" ht="18" customHeight="1">
      <c r="A27" s="2" t="s">
        <v>191</v>
      </c>
      <c r="B27" s="3"/>
      <c r="C27" s="2"/>
      <c r="D27" s="2" t="s">
        <v>1356</v>
      </c>
      <c r="E27" s="2"/>
      <c r="F27" s="2" t="s">
        <v>2021</v>
      </c>
      <c r="G27" s="2"/>
      <c r="H27" s="2" t="s">
        <v>2021</v>
      </c>
      <c r="I27" s="2"/>
      <c r="J27" s="2" t="s">
        <v>192</v>
      </c>
      <c r="K27" s="2" t="s">
        <v>191</v>
      </c>
    </row>
    <row r="28" spans="1:11" s="4" customFormat="1" ht="18" customHeight="1">
      <c r="A28" s="2" t="s">
        <v>194</v>
      </c>
      <c r="B28" s="3"/>
      <c r="C28" s="2"/>
      <c r="D28" s="2" t="s">
        <v>2903</v>
      </c>
      <c r="E28" s="2"/>
      <c r="F28" s="2" t="s">
        <v>367</v>
      </c>
      <c r="G28" s="2"/>
      <c r="H28" s="2" t="s">
        <v>367</v>
      </c>
      <c r="I28" s="2"/>
      <c r="J28" s="2" t="s">
        <v>195</v>
      </c>
      <c r="K28" s="2" t="s">
        <v>194</v>
      </c>
    </row>
    <row r="29" spans="1:11" s="4" customFormat="1" ht="18" customHeight="1">
      <c r="A29" s="2" t="s">
        <v>196</v>
      </c>
      <c r="B29" s="3"/>
      <c r="C29" s="2"/>
      <c r="D29" s="2" t="s">
        <v>1675</v>
      </c>
      <c r="E29" s="2"/>
      <c r="F29" s="2" t="s">
        <v>2636</v>
      </c>
      <c r="G29" s="2"/>
      <c r="H29" s="2" t="s">
        <v>2636</v>
      </c>
      <c r="I29" s="2"/>
      <c r="J29" s="2" t="s">
        <v>198</v>
      </c>
      <c r="K29" s="2" t="s">
        <v>196</v>
      </c>
    </row>
    <row r="30" spans="1:11" s="4" customFormat="1" ht="18" customHeight="1">
      <c r="A30" s="2" t="s">
        <v>199</v>
      </c>
      <c r="B30" s="3"/>
      <c r="C30" s="2"/>
      <c r="D30" s="2" t="s">
        <v>1616</v>
      </c>
      <c r="E30" s="2"/>
      <c r="F30" s="2" t="s">
        <v>1584</v>
      </c>
      <c r="G30" s="2"/>
      <c r="H30" s="2" t="s">
        <v>1584</v>
      </c>
      <c r="I30" s="2"/>
      <c r="J30" s="2" t="s">
        <v>200</v>
      </c>
      <c r="K30" s="2" t="s">
        <v>199</v>
      </c>
    </row>
    <row r="31" spans="1:11" s="4" customFormat="1" ht="18" customHeight="1">
      <c r="A31" s="2" t="s">
        <v>201</v>
      </c>
      <c r="B31" s="3"/>
      <c r="C31" s="2"/>
      <c r="D31" s="2" t="s">
        <v>925</v>
      </c>
      <c r="E31" s="2"/>
      <c r="F31" s="2" t="s">
        <v>4028</v>
      </c>
      <c r="G31" s="2"/>
      <c r="H31" s="2" t="s">
        <v>4028</v>
      </c>
      <c r="I31" s="2"/>
      <c r="J31" s="2" t="s">
        <v>202</v>
      </c>
      <c r="K31" s="2" t="s">
        <v>201</v>
      </c>
    </row>
    <row r="32" spans="1:11" s="4" customFormat="1" ht="18" customHeight="1">
      <c r="A32" s="2" t="s">
        <v>203</v>
      </c>
      <c r="B32" s="3"/>
      <c r="C32" s="2"/>
      <c r="D32" s="2" t="s">
        <v>1692</v>
      </c>
      <c r="E32" s="2"/>
      <c r="F32" s="2" t="s">
        <v>2556</v>
      </c>
      <c r="G32" s="2"/>
      <c r="H32" s="2" t="s">
        <v>2556</v>
      </c>
      <c r="I32" s="2"/>
      <c r="J32" s="2" t="s">
        <v>204</v>
      </c>
      <c r="K32" s="2" t="s">
        <v>203</v>
      </c>
    </row>
    <row r="33" spans="1:11" s="4" customFormat="1" ht="18" customHeight="1">
      <c r="A33" s="2" t="s">
        <v>205</v>
      </c>
      <c r="B33" s="3"/>
      <c r="C33" s="2"/>
      <c r="D33" s="2" t="s">
        <v>1710</v>
      </c>
      <c r="E33" s="2"/>
      <c r="F33" s="2" t="s">
        <v>2023</v>
      </c>
      <c r="G33" s="2"/>
      <c r="H33" s="2" t="s">
        <v>2023</v>
      </c>
      <c r="I33" s="2"/>
      <c r="J33" s="2" t="s">
        <v>206</v>
      </c>
      <c r="K33" s="2" t="s">
        <v>205</v>
      </c>
    </row>
    <row r="34" spans="1:11" s="4" customFormat="1" ht="18" customHeight="1">
      <c r="A34" s="2" t="s">
        <v>207</v>
      </c>
      <c r="B34" s="3"/>
      <c r="C34" s="2"/>
      <c r="D34" s="2" t="s">
        <v>3967</v>
      </c>
      <c r="E34" s="2"/>
      <c r="F34" s="2" t="s">
        <v>354</v>
      </c>
      <c r="G34" s="2"/>
      <c r="H34" s="2" t="s">
        <v>354</v>
      </c>
      <c r="I34" s="2"/>
      <c r="J34" s="2" t="s">
        <v>208</v>
      </c>
      <c r="K34" s="2" t="s">
        <v>207</v>
      </c>
    </row>
    <row r="35" spans="1:11" s="4" customFormat="1" ht="18" customHeight="1">
      <c r="A35" s="2" t="s">
        <v>210</v>
      </c>
      <c r="B35" s="3"/>
      <c r="C35" s="2"/>
      <c r="D35" s="2" t="s">
        <v>1136</v>
      </c>
      <c r="E35" s="2"/>
      <c r="F35" s="2" t="s">
        <v>3619</v>
      </c>
      <c r="G35" s="2"/>
      <c r="H35" s="2" t="s">
        <v>3619</v>
      </c>
      <c r="I35" s="2"/>
      <c r="J35" s="2" t="s">
        <v>211</v>
      </c>
      <c r="K35" s="2" t="s">
        <v>210</v>
      </c>
    </row>
    <row r="36" spans="1:11" s="4" customFormat="1" ht="18" customHeight="1">
      <c r="A36" s="2" t="s">
        <v>213</v>
      </c>
      <c r="B36" s="3"/>
      <c r="C36" s="2"/>
      <c r="D36" s="2" t="s">
        <v>2912</v>
      </c>
      <c r="E36" s="2"/>
      <c r="F36" s="2" t="s">
        <v>3904</v>
      </c>
      <c r="G36" s="2"/>
      <c r="H36" s="2" t="s">
        <v>3905</v>
      </c>
      <c r="I36" s="2"/>
      <c r="J36" s="2" t="s">
        <v>214</v>
      </c>
      <c r="K36" s="2" t="s">
        <v>213</v>
      </c>
    </row>
    <row r="37" spans="1:11" s="4" customFormat="1" ht="18" customHeight="1">
      <c r="A37" s="2" t="s">
        <v>215</v>
      </c>
      <c r="B37" s="3"/>
      <c r="C37" s="2"/>
      <c r="D37" s="2" t="s">
        <v>2926</v>
      </c>
      <c r="E37" s="2"/>
      <c r="F37" s="2" t="s">
        <v>1078</v>
      </c>
      <c r="G37" s="2"/>
      <c r="H37" s="2" t="s">
        <v>1078</v>
      </c>
      <c r="I37" s="2"/>
      <c r="J37" s="2" t="s">
        <v>216</v>
      </c>
      <c r="K37" s="2" t="s">
        <v>215</v>
      </c>
    </row>
    <row r="38" spans="1:11" s="4" customFormat="1" ht="18" customHeight="1">
      <c r="A38" s="2" t="s">
        <v>217</v>
      </c>
      <c r="B38" s="3"/>
      <c r="C38" s="2"/>
      <c r="D38" s="2" t="s">
        <v>3616</v>
      </c>
      <c r="E38" s="2"/>
      <c r="F38" s="2" t="s">
        <v>1317</v>
      </c>
      <c r="G38" s="2"/>
      <c r="H38" s="2" t="s">
        <v>1317</v>
      </c>
      <c r="I38" s="2"/>
      <c r="J38" s="2" t="s">
        <v>218</v>
      </c>
      <c r="K38" s="2" t="s">
        <v>217</v>
      </c>
    </row>
    <row r="39" spans="1:11" s="4" customFormat="1" ht="18" customHeight="1">
      <c r="A39" s="2" t="s">
        <v>219</v>
      </c>
      <c r="B39" s="3"/>
      <c r="C39" s="2"/>
      <c r="D39" s="2" t="s">
        <v>945</v>
      </c>
      <c r="E39" s="2"/>
      <c r="F39" s="2" t="s">
        <v>4073</v>
      </c>
      <c r="G39" s="2"/>
      <c r="H39" s="2" t="s">
        <v>4073</v>
      </c>
      <c r="I39" s="2"/>
      <c r="J39" s="2" t="s">
        <v>220</v>
      </c>
      <c r="K39" s="2" t="s">
        <v>219</v>
      </c>
    </row>
    <row r="40" spans="1:11" s="4" customFormat="1" ht="18" customHeight="1">
      <c r="A40" s="2" t="s">
        <v>222</v>
      </c>
      <c r="B40" s="3"/>
      <c r="C40" s="2"/>
      <c r="D40" s="2" t="s">
        <v>416</v>
      </c>
      <c r="E40" s="2"/>
      <c r="F40" s="2" t="s">
        <v>646</v>
      </c>
      <c r="G40" s="2"/>
      <c r="H40" s="2" t="s">
        <v>647</v>
      </c>
      <c r="I40" s="2"/>
      <c r="J40" s="2" t="s">
        <v>223</v>
      </c>
      <c r="K40" s="2" t="s">
        <v>222</v>
      </c>
    </row>
    <row r="41" spans="1:11" s="4" customFormat="1" ht="18" customHeight="1">
      <c r="A41" s="2" t="s">
        <v>224</v>
      </c>
      <c r="B41" s="3"/>
      <c r="C41" s="2"/>
      <c r="D41" s="2" t="s">
        <v>440</v>
      </c>
      <c r="E41" s="2"/>
      <c r="F41" s="2" t="s">
        <v>3089</v>
      </c>
      <c r="G41" s="2"/>
      <c r="H41" s="2" t="s">
        <v>3089</v>
      </c>
      <c r="I41" s="2"/>
      <c r="J41" s="2" t="s">
        <v>226</v>
      </c>
      <c r="K41" s="2" t="s">
        <v>224</v>
      </c>
    </row>
    <row r="42" spans="1:11" s="4" customFormat="1" ht="18" customHeight="1">
      <c r="A42" s="2" t="s">
        <v>228</v>
      </c>
      <c r="B42" s="3"/>
      <c r="C42" s="2"/>
      <c r="D42" s="2" t="s">
        <v>446</v>
      </c>
      <c r="E42" s="2"/>
      <c r="F42" s="2" t="s">
        <v>3091</v>
      </c>
      <c r="G42" s="2"/>
      <c r="H42" s="2" t="s">
        <v>3091</v>
      </c>
      <c r="I42" s="2"/>
      <c r="J42" s="2" t="s">
        <v>229</v>
      </c>
      <c r="K42" s="2" t="s">
        <v>228</v>
      </c>
    </row>
    <row r="43" spans="1:11" s="4" customFormat="1" ht="18" customHeight="1">
      <c r="A43" s="2" t="s">
        <v>231</v>
      </c>
      <c r="B43" s="3"/>
      <c r="C43" s="2"/>
      <c r="D43" s="2" t="s">
        <v>973</v>
      </c>
      <c r="E43" s="2"/>
      <c r="F43" s="2" t="s">
        <v>3829</v>
      </c>
      <c r="G43" s="2"/>
      <c r="H43" s="2" t="s">
        <v>3830</v>
      </c>
      <c r="I43" s="2"/>
      <c r="J43" s="2" t="s">
        <v>232</v>
      </c>
      <c r="K43" s="2" t="s">
        <v>231</v>
      </c>
    </row>
    <row r="44" spans="1:11" s="4" customFormat="1" ht="18" customHeight="1">
      <c r="A44" s="2" t="s">
        <v>234</v>
      </c>
      <c r="B44" s="3"/>
      <c r="C44" s="2"/>
      <c r="D44" s="2" t="s">
        <v>1936</v>
      </c>
      <c r="E44" s="2"/>
      <c r="F44" s="2" t="s">
        <v>3795</v>
      </c>
      <c r="G44" s="2"/>
      <c r="H44" s="2" t="s">
        <v>3796</v>
      </c>
      <c r="I44" s="2"/>
      <c r="J44" s="2" t="s">
        <v>236</v>
      </c>
      <c r="K44" s="2" t="s">
        <v>234</v>
      </c>
    </row>
    <row r="45" spans="1:11" s="4" customFormat="1" ht="18" customHeight="1">
      <c r="A45" s="2" t="s">
        <v>237</v>
      </c>
      <c r="B45" s="3"/>
      <c r="C45" s="2"/>
      <c r="D45" s="2" t="s">
        <v>1003</v>
      </c>
      <c r="E45" s="2"/>
      <c r="F45" s="2" t="s">
        <v>3945</v>
      </c>
      <c r="G45" s="2"/>
      <c r="H45" s="2" t="s">
        <v>1602</v>
      </c>
      <c r="I45" s="2"/>
      <c r="J45" s="2" t="s">
        <v>238</v>
      </c>
      <c r="K45" s="2" t="s">
        <v>237</v>
      </c>
    </row>
    <row r="46" spans="1:11" s="4" customFormat="1" ht="18" customHeight="1">
      <c r="A46" s="2" t="s">
        <v>239</v>
      </c>
      <c r="B46" s="3"/>
      <c r="C46" s="2"/>
      <c r="D46" s="2" t="s">
        <v>1387</v>
      </c>
      <c r="E46" s="2"/>
      <c r="F46" s="2" t="s">
        <v>3759</v>
      </c>
      <c r="G46" s="2"/>
      <c r="H46" s="2" t="s">
        <v>3760</v>
      </c>
      <c r="I46" s="2"/>
      <c r="J46" s="2" t="s">
        <v>240</v>
      </c>
      <c r="K46" s="2" t="s">
        <v>239</v>
      </c>
    </row>
    <row r="47" spans="1:11" s="4" customFormat="1" ht="18" customHeight="1">
      <c r="A47" s="2" t="s">
        <v>241</v>
      </c>
      <c r="B47" s="3"/>
      <c r="C47" s="2"/>
      <c r="D47" s="2" t="s">
        <v>138</v>
      </c>
      <c r="E47" s="2"/>
      <c r="F47" s="2" t="s">
        <v>2274</v>
      </c>
      <c r="G47" s="2"/>
      <c r="H47" s="2" t="s">
        <v>2274</v>
      </c>
      <c r="I47" s="2"/>
      <c r="J47" s="2" t="s">
        <v>242</v>
      </c>
      <c r="K47" s="2" t="s">
        <v>241</v>
      </c>
    </row>
    <row r="48" spans="1:11" s="4" customFormat="1" ht="18" customHeight="1">
      <c r="A48" s="2" t="s">
        <v>243</v>
      </c>
      <c r="B48" s="3"/>
      <c r="C48" s="2"/>
      <c r="D48" s="2" t="s">
        <v>2407</v>
      </c>
      <c r="E48" s="2"/>
      <c r="F48" s="2" t="s">
        <v>3155</v>
      </c>
      <c r="G48" s="2"/>
      <c r="H48" s="2" t="s">
        <v>3156</v>
      </c>
      <c r="I48" s="2"/>
      <c r="J48" s="2" t="s">
        <v>244</v>
      </c>
      <c r="K48" s="2" t="s">
        <v>243</v>
      </c>
    </row>
    <row r="49" spans="1:11" s="4" customFormat="1" ht="18" customHeight="1">
      <c r="A49" s="2" t="s">
        <v>246</v>
      </c>
      <c r="B49" s="3"/>
      <c r="C49" s="2"/>
      <c r="D49" s="2" t="s">
        <v>2622</v>
      </c>
      <c r="E49" s="2"/>
      <c r="F49" s="2" t="s">
        <v>1757</v>
      </c>
      <c r="G49" s="2"/>
      <c r="H49" s="2" t="s">
        <v>1758</v>
      </c>
      <c r="I49" s="2"/>
      <c r="J49" s="2" t="s">
        <v>247</v>
      </c>
      <c r="K49" s="2" t="s">
        <v>246</v>
      </c>
    </row>
    <row r="50" spans="1:11" s="4" customFormat="1" ht="18" customHeight="1">
      <c r="A50" s="2" t="s">
        <v>248</v>
      </c>
      <c r="B50" s="3"/>
      <c r="C50" s="2"/>
      <c r="D50" s="2" t="s">
        <v>2737</v>
      </c>
      <c r="E50" s="2"/>
      <c r="F50" s="2" t="s">
        <v>3816</v>
      </c>
      <c r="G50" s="2"/>
      <c r="H50" s="2" t="s">
        <v>3817</v>
      </c>
      <c r="I50" s="2"/>
      <c r="J50" s="2" t="s">
        <v>249</v>
      </c>
      <c r="K50" s="2" t="s">
        <v>248</v>
      </c>
    </row>
    <row r="51" spans="1:11" s="4" customFormat="1" ht="18" customHeight="1">
      <c r="A51" s="2" t="s">
        <v>250</v>
      </c>
      <c r="B51" s="3"/>
      <c r="C51" s="2"/>
      <c r="D51" s="2" t="s">
        <v>2271</v>
      </c>
      <c r="E51" s="2"/>
      <c r="F51" s="2" t="s">
        <v>864</v>
      </c>
      <c r="G51" s="2"/>
      <c r="H51" s="2" t="s">
        <v>865</v>
      </c>
      <c r="I51" s="2"/>
      <c r="J51" s="2" t="s">
        <v>251</v>
      </c>
      <c r="K51" s="2" t="s">
        <v>250</v>
      </c>
    </row>
    <row r="52" spans="1:11" s="4" customFormat="1" ht="18" customHeight="1">
      <c r="A52" s="2" t="s">
        <v>252</v>
      </c>
      <c r="B52" s="3"/>
      <c r="C52" s="2"/>
      <c r="D52" s="2" t="s">
        <v>806</v>
      </c>
      <c r="E52" s="2"/>
      <c r="F52" s="2" t="s">
        <v>3216</v>
      </c>
      <c r="G52" s="2"/>
      <c r="H52" s="2" t="s">
        <v>3217</v>
      </c>
      <c r="I52" s="2"/>
      <c r="J52" s="2" t="s">
        <v>235</v>
      </c>
      <c r="K52" s="2" t="s">
        <v>252</v>
      </c>
    </row>
    <row r="53" spans="1:11" s="4" customFormat="1" ht="18" customHeight="1">
      <c r="A53" s="2" t="s">
        <v>253</v>
      </c>
      <c r="B53" s="3"/>
      <c r="C53" s="2"/>
      <c r="D53" s="2" t="s">
        <v>1414</v>
      </c>
      <c r="E53" s="2"/>
      <c r="F53" s="2" t="s">
        <v>3561</v>
      </c>
      <c r="G53" s="2"/>
      <c r="H53" s="2" t="s">
        <v>3561</v>
      </c>
      <c r="I53" s="2"/>
      <c r="J53" s="2" t="s">
        <v>254</v>
      </c>
      <c r="K53" s="2" t="s">
        <v>253</v>
      </c>
    </row>
    <row r="54" spans="1:11" s="4" customFormat="1" ht="18" customHeight="1">
      <c r="A54" s="2" t="s">
        <v>255</v>
      </c>
      <c r="B54" s="3"/>
      <c r="C54" s="2"/>
      <c r="D54" s="2" t="s">
        <v>3567</v>
      </c>
      <c r="E54" s="2"/>
      <c r="F54" s="2" t="s">
        <v>2060</v>
      </c>
      <c r="G54" s="2"/>
      <c r="H54" s="2" t="s">
        <v>1972</v>
      </c>
      <c r="I54" s="2"/>
      <c r="J54" s="2" t="s">
        <v>256</v>
      </c>
      <c r="K54" s="2" t="s">
        <v>255</v>
      </c>
    </row>
    <row r="55" spans="1:11" s="4" customFormat="1" ht="18" customHeight="1">
      <c r="A55" s="2" t="s">
        <v>257</v>
      </c>
      <c r="B55" s="3"/>
      <c r="C55" s="2"/>
      <c r="D55" s="2" t="s">
        <v>1725</v>
      </c>
      <c r="E55" s="2"/>
      <c r="F55" s="2" t="s">
        <v>420</v>
      </c>
      <c r="G55" s="2"/>
      <c r="H55" s="2" t="s">
        <v>420</v>
      </c>
      <c r="I55" s="2"/>
      <c r="J55" s="2" t="s">
        <v>258</v>
      </c>
      <c r="K55" s="2" t="s">
        <v>257</v>
      </c>
    </row>
    <row r="56" spans="1:11" s="4" customFormat="1" ht="18" customHeight="1">
      <c r="A56" s="2" t="s">
        <v>259</v>
      </c>
      <c r="B56" s="3"/>
      <c r="C56" s="2"/>
      <c r="D56" s="2" t="s">
        <v>2554</v>
      </c>
      <c r="E56" s="2"/>
      <c r="F56" s="2" t="s">
        <v>3052</v>
      </c>
      <c r="G56" s="2"/>
      <c r="H56" s="2" t="s">
        <v>3052</v>
      </c>
      <c r="I56" s="2"/>
      <c r="J56" s="2" t="s">
        <v>260</v>
      </c>
      <c r="K56" s="2" t="s">
        <v>259</v>
      </c>
    </row>
    <row r="57" spans="1:11" s="4" customFormat="1" ht="18" customHeight="1">
      <c r="A57" s="2" t="s">
        <v>262</v>
      </c>
      <c r="B57" s="3"/>
      <c r="C57" s="2"/>
      <c r="D57" s="2" t="s">
        <v>1960</v>
      </c>
      <c r="E57" s="2"/>
      <c r="F57" s="2" t="s">
        <v>2088</v>
      </c>
      <c r="G57" s="2"/>
      <c r="H57" s="2" t="s">
        <v>2088</v>
      </c>
      <c r="I57" s="2"/>
      <c r="J57" s="2" t="s">
        <v>263</v>
      </c>
      <c r="K57" s="2" t="s">
        <v>262</v>
      </c>
    </row>
    <row r="58" spans="1:11" s="4" customFormat="1" ht="18" customHeight="1">
      <c r="A58" s="2" t="s">
        <v>265</v>
      </c>
      <c r="B58" s="3"/>
      <c r="C58" s="2"/>
      <c r="D58" s="2" t="s">
        <v>1346</v>
      </c>
      <c r="E58" s="2"/>
      <c r="F58" s="2" t="s">
        <v>3499</v>
      </c>
      <c r="G58" s="2"/>
      <c r="H58" s="2" t="s">
        <v>3499</v>
      </c>
      <c r="I58" s="2"/>
      <c r="J58" s="2" t="s">
        <v>266</v>
      </c>
      <c r="K58" s="2" t="s">
        <v>265</v>
      </c>
    </row>
    <row r="59" spans="1:11" s="4" customFormat="1" ht="18" customHeight="1">
      <c r="A59" s="2" t="s">
        <v>267</v>
      </c>
      <c r="B59" s="3"/>
      <c r="C59" s="2"/>
      <c r="D59" s="2" t="s">
        <v>1044</v>
      </c>
      <c r="E59" s="2"/>
      <c r="F59" s="2" t="s">
        <v>3724</v>
      </c>
      <c r="G59" s="2"/>
      <c r="H59" s="2" t="s">
        <v>3724</v>
      </c>
      <c r="I59" s="2"/>
      <c r="J59" s="2" t="s">
        <v>268</v>
      </c>
      <c r="K59" s="2" t="s">
        <v>267</v>
      </c>
    </row>
    <row r="60" spans="1:11" s="4" customFormat="1" ht="18" customHeight="1">
      <c r="A60" s="2" t="s">
        <v>270</v>
      </c>
      <c r="B60" s="3"/>
      <c r="C60" s="2"/>
      <c r="D60" s="2" t="s">
        <v>225</v>
      </c>
      <c r="E60" s="2"/>
      <c r="F60" s="2" t="s">
        <v>3767</v>
      </c>
      <c r="G60" s="2"/>
      <c r="H60" s="2" t="s">
        <v>3767</v>
      </c>
      <c r="I60" s="2"/>
      <c r="J60" s="2" t="s">
        <v>271</v>
      </c>
      <c r="K60" s="2" t="s">
        <v>270</v>
      </c>
    </row>
    <row r="61" spans="1:11" s="4" customFormat="1" ht="18" customHeight="1">
      <c r="A61" s="2" t="s">
        <v>272</v>
      </c>
      <c r="B61" s="3"/>
      <c r="C61" s="2"/>
      <c r="D61" s="2" t="s">
        <v>4017</v>
      </c>
      <c r="E61" s="2"/>
      <c r="F61" s="2" t="s">
        <v>1659</v>
      </c>
      <c r="G61" s="2"/>
      <c r="H61" s="2" t="s">
        <v>1659</v>
      </c>
      <c r="I61" s="2"/>
      <c r="J61" s="2" t="s">
        <v>273</v>
      </c>
      <c r="K61" s="2" t="s">
        <v>272</v>
      </c>
    </row>
    <row r="62" spans="1:11" s="4" customFormat="1" ht="18" customHeight="1">
      <c r="A62" s="2" t="s">
        <v>275</v>
      </c>
      <c r="B62" s="3"/>
      <c r="C62" s="2"/>
      <c r="D62" s="2" t="s">
        <v>1451</v>
      </c>
      <c r="E62" s="2"/>
      <c r="F62" s="2" t="s">
        <v>1208</v>
      </c>
      <c r="G62" s="2"/>
      <c r="H62" s="2" t="s">
        <v>1208</v>
      </c>
      <c r="I62" s="2"/>
      <c r="J62" s="2" t="s">
        <v>276</v>
      </c>
      <c r="K62" s="2" t="s">
        <v>275</v>
      </c>
    </row>
    <row r="63" spans="1:11" s="4" customFormat="1" ht="18" customHeight="1">
      <c r="A63" s="2" t="s">
        <v>277</v>
      </c>
      <c r="B63" s="3"/>
      <c r="C63" s="2"/>
      <c r="D63" s="2" t="s">
        <v>4034</v>
      </c>
      <c r="E63" s="2"/>
      <c r="F63" s="2" t="s">
        <v>1913</v>
      </c>
      <c r="G63" s="2"/>
      <c r="H63" s="2" t="s">
        <v>1913</v>
      </c>
      <c r="I63" s="2"/>
      <c r="J63" s="2" t="s">
        <v>278</v>
      </c>
      <c r="K63" s="2" t="s">
        <v>277</v>
      </c>
    </row>
    <row r="64" spans="1:11" s="4" customFormat="1" ht="18" customHeight="1">
      <c r="A64" s="2" t="s">
        <v>279</v>
      </c>
      <c r="B64" s="3"/>
      <c r="C64" s="2"/>
      <c r="D64" s="2" t="s">
        <v>455</v>
      </c>
      <c r="E64" s="2"/>
      <c r="F64" s="2" t="s">
        <v>1190</v>
      </c>
      <c r="G64" s="2"/>
      <c r="H64" s="2" t="s">
        <v>1191</v>
      </c>
      <c r="I64" s="2"/>
      <c r="J64" s="2" t="s">
        <v>280</v>
      </c>
      <c r="K64" s="2" t="s">
        <v>279</v>
      </c>
    </row>
    <row r="65" spans="1:11" s="4" customFormat="1" ht="18" customHeight="1">
      <c r="A65" s="2" t="s">
        <v>281</v>
      </c>
      <c r="B65" s="3"/>
      <c r="C65" s="2"/>
      <c r="D65" s="2" t="s">
        <v>794</v>
      </c>
      <c r="E65" s="2"/>
      <c r="F65" s="2" t="s">
        <v>1190</v>
      </c>
      <c r="G65" s="2"/>
      <c r="H65" s="2" t="s">
        <v>1962</v>
      </c>
      <c r="I65" s="2"/>
      <c r="J65" s="2" t="s">
        <v>282</v>
      </c>
      <c r="K65" s="2" t="s">
        <v>281</v>
      </c>
    </row>
    <row r="66" spans="1:11" s="4" customFormat="1" ht="18" customHeight="1">
      <c r="A66" s="2" t="s">
        <v>283</v>
      </c>
      <c r="B66" s="3"/>
      <c r="C66" s="2"/>
      <c r="D66" s="2" t="s">
        <v>1629</v>
      </c>
      <c r="E66" s="2"/>
      <c r="F66" s="2" t="s">
        <v>808</v>
      </c>
      <c r="G66" s="2"/>
      <c r="H66" s="2" t="s">
        <v>809</v>
      </c>
      <c r="I66" s="2"/>
      <c r="J66" s="2" t="s">
        <v>284</v>
      </c>
      <c r="K66" s="2" t="s">
        <v>283</v>
      </c>
    </row>
    <row r="67" spans="1:11" s="4" customFormat="1" ht="18" customHeight="1">
      <c r="A67" s="2" t="s">
        <v>285</v>
      </c>
      <c r="B67" s="3"/>
      <c r="C67" s="2"/>
      <c r="D67" s="2" t="s">
        <v>1470</v>
      </c>
      <c r="E67" s="2"/>
      <c r="F67" s="2" t="s">
        <v>2811</v>
      </c>
      <c r="G67" s="2"/>
      <c r="H67" s="2" t="s">
        <v>2811</v>
      </c>
      <c r="I67" s="2"/>
      <c r="J67" s="2" t="s">
        <v>287</v>
      </c>
      <c r="K67" s="2" t="s">
        <v>285</v>
      </c>
    </row>
    <row r="68" spans="1:11" s="4" customFormat="1" ht="18" customHeight="1">
      <c r="A68" s="2" t="s">
        <v>289</v>
      </c>
      <c r="B68" s="3"/>
      <c r="C68" s="2"/>
      <c r="D68" s="2" t="s">
        <v>3387</v>
      </c>
      <c r="E68" s="2"/>
      <c r="F68" s="2" t="s">
        <v>1596</v>
      </c>
      <c r="G68" s="2"/>
      <c r="H68" s="2" t="s">
        <v>1596</v>
      </c>
      <c r="I68" s="2"/>
      <c r="J68" s="2" t="s">
        <v>290</v>
      </c>
      <c r="K68" s="2" t="s">
        <v>289</v>
      </c>
    </row>
    <row r="69" spans="1:11" s="4" customFormat="1" ht="18" customHeight="1">
      <c r="A69" s="2" t="s">
        <v>291</v>
      </c>
      <c r="B69" s="3"/>
      <c r="C69" s="2"/>
      <c r="D69" s="2" t="s">
        <v>3259</v>
      </c>
      <c r="E69" s="2"/>
      <c r="F69" s="2" t="s">
        <v>1596</v>
      </c>
      <c r="G69" s="2"/>
      <c r="H69" s="2" t="s">
        <v>1596</v>
      </c>
      <c r="I69" s="2"/>
      <c r="J69" s="2" t="s">
        <v>292</v>
      </c>
      <c r="K69" s="2" t="s">
        <v>291</v>
      </c>
    </row>
    <row r="70" spans="1:11" s="4" customFormat="1" ht="18" customHeight="1">
      <c r="A70" s="2" t="s">
        <v>293</v>
      </c>
      <c r="B70" s="3"/>
      <c r="C70" s="2"/>
      <c r="D70" s="2" t="s">
        <v>2104</v>
      </c>
      <c r="E70" s="2"/>
      <c r="F70" s="2" t="s">
        <v>976</v>
      </c>
      <c r="G70" s="2"/>
      <c r="H70" s="2" t="s">
        <v>976</v>
      </c>
      <c r="I70" s="2"/>
      <c r="J70" s="2" t="s">
        <v>294</v>
      </c>
      <c r="K70" s="2" t="s">
        <v>293</v>
      </c>
    </row>
    <row r="71" spans="1:11" s="4" customFormat="1" ht="18" customHeight="1">
      <c r="A71" s="2" t="s">
        <v>295</v>
      </c>
      <c r="B71" s="3"/>
      <c r="C71" s="2"/>
      <c r="D71" s="2" t="s">
        <v>3653</v>
      </c>
      <c r="E71" s="2"/>
      <c r="F71" s="2" t="s">
        <v>701</v>
      </c>
      <c r="G71" s="2"/>
      <c r="H71" s="2" t="s">
        <v>701</v>
      </c>
      <c r="I71" s="2"/>
      <c r="J71" s="2" t="s">
        <v>296</v>
      </c>
      <c r="K71" s="2" t="s">
        <v>295</v>
      </c>
    </row>
    <row r="72" spans="1:11" s="4" customFormat="1" ht="18" customHeight="1">
      <c r="A72" s="2" t="s">
        <v>297</v>
      </c>
      <c r="B72" s="3"/>
      <c r="C72" s="2"/>
      <c r="D72" s="2" t="s">
        <v>3806</v>
      </c>
      <c r="E72" s="2"/>
      <c r="F72" s="2" t="s">
        <v>1826</v>
      </c>
      <c r="G72" s="2"/>
      <c r="H72" s="2" t="s">
        <v>1826</v>
      </c>
      <c r="I72" s="2"/>
      <c r="J72" s="2" t="s">
        <v>298</v>
      </c>
      <c r="K72" s="2" t="s">
        <v>297</v>
      </c>
    </row>
    <row r="73" spans="1:11" s="4" customFormat="1" ht="18" customHeight="1">
      <c r="A73" s="2" t="s">
        <v>299</v>
      </c>
      <c r="B73" s="3"/>
      <c r="C73" s="2"/>
      <c r="D73" s="2" t="s">
        <v>1741</v>
      </c>
      <c r="E73" s="2"/>
      <c r="F73" s="2" t="s">
        <v>3077</v>
      </c>
      <c r="G73" s="2"/>
      <c r="H73" s="2" t="s">
        <v>3077</v>
      </c>
      <c r="I73" s="2"/>
      <c r="J73" s="2" t="s">
        <v>300</v>
      </c>
      <c r="K73" s="2" t="s">
        <v>299</v>
      </c>
    </row>
    <row r="74" spans="1:11" s="4" customFormat="1" ht="18" customHeight="1">
      <c r="A74" s="2" t="s">
        <v>301</v>
      </c>
      <c r="B74" s="3"/>
      <c r="C74" s="2"/>
      <c r="D74" s="2" t="s">
        <v>2777</v>
      </c>
      <c r="E74" s="2"/>
      <c r="F74" s="2" t="s">
        <v>1219</v>
      </c>
      <c r="G74" s="2"/>
      <c r="H74" s="2" t="s">
        <v>1219</v>
      </c>
      <c r="I74" s="2"/>
      <c r="J74" s="2" t="s">
        <v>302</v>
      </c>
      <c r="K74" s="2" t="s">
        <v>301</v>
      </c>
    </row>
    <row r="75" spans="1:11" s="4" customFormat="1" ht="18" customHeight="1">
      <c r="A75" s="2" t="s">
        <v>303</v>
      </c>
      <c r="B75" s="3"/>
      <c r="C75" s="2"/>
      <c r="D75" s="2" t="s">
        <v>3329</v>
      </c>
      <c r="E75" s="2"/>
      <c r="F75" s="2" t="s">
        <v>703</v>
      </c>
      <c r="G75" s="2"/>
      <c r="H75" s="2" t="s">
        <v>703</v>
      </c>
      <c r="I75" s="2"/>
      <c r="J75" s="2" t="s">
        <v>304</v>
      </c>
      <c r="K75" s="2" t="s">
        <v>303</v>
      </c>
    </row>
    <row r="76" spans="1:11" s="4" customFormat="1" ht="18" customHeight="1">
      <c r="A76" s="2" t="s">
        <v>305</v>
      </c>
      <c r="B76" s="3"/>
      <c r="C76" s="2"/>
      <c r="D76" s="2" t="s">
        <v>2721</v>
      </c>
      <c r="E76" s="2"/>
      <c r="F76" s="2" t="s">
        <v>1046</v>
      </c>
      <c r="G76" s="2"/>
      <c r="H76" s="2" t="s">
        <v>1046</v>
      </c>
      <c r="I76" s="2"/>
      <c r="J76" s="2" t="s">
        <v>306</v>
      </c>
      <c r="K76" s="2" t="s">
        <v>305</v>
      </c>
    </row>
    <row r="77" spans="1:11" s="4" customFormat="1" ht="18" customHeight="1">
      <c r="A77" s="2" t="s">
        <v>308</v>
      </c>
      <c r="B77" s="3"/>
      <c r="C77" s="2"/>
      <c r="D77" s="2" t="s">
        <v>831</v>
      </c>
      <c r="E77" s="2"/>
      <c r="F77" s="2" t="s">
        <v>2049</v>
      </c>
      <c r="G77" s="2"/>
      <c r="H77" s="2" t="s">
        <v>2049</v>
      </c>
      <c r="I77" s="2"/>
      <c r="J77" s="2" t="s">
        <v>309</v>
      </c>
      <c r="K77" s="2" t="s">
        <v>308</v>
      </c>
    </row>
    <row r="78" spans="1:11" s="4" customFormat="1" ht="18" customHeight="1">
      <c r="A78" s="2" t="s">
        <v>310</v>
      </c>
      <c r="B78" s="3"/>
      <c r="C78" s="2"/>
      <c r="D78" s="2" t="s">
        <v>2122</v>
      </c>
      <c r="E78" s="2"/>
      <c r="F78" s="2" t="s">
        <v>3273</v>
      </c>
      <c r="G78" s="2"/>
      <c r="H78" s="2" t="s">
        <v>3274</v>
      </c>
      <c r="I78" s="2"/>
      <c r="J78" s="2" t="s">
        <v>311</v>
      </c>
      <c r="K78" s="2" t="s">
        <v>310</v>
      </c>
    </row>
    <row r="79" spans="1:11" s="4" customFormat="1" ht="18" customHeight="1">
      <c r="A79" s="2" t="s">
        <v>312</v>
      </c>
      <c r="B79" s="3"/>
      <c r="C79" s="2"/>
      <c r="D79" s="2" t="s">
        <v>1499</v>
      </c>
      <c r="E79" s="2"/>
      <c r="F79" s="2" t="s">
        <v>1133</v>
      </c>
      <c r="G79" s="2"/>
      <c r="H79" s="2" t="s">
        <v>1134</v>
      </c>
      <c r="I79" s="2"/>
      <c r="J79" s="2" t="s">
        <v>314</v>
      </c>
      <c r="K79" s="2" t="s">
        <v>312</v>
      </c>
    </row>
    <row r="80" spans="1:11" s="4" customFormat="1" ht="18" customHeight="1">
      <c r="A80" s="2" t="s">
        <v>315</v>
      </c>
      <c r="B80" s="3"/>
      <c r="C80" s="2"/>
      <c r="D80" s="2" t="s">
        <v>3801</v>
      </c>
      <c r="E80" s="2"/>
      <c r="F80" s="2" t="s">
        <v>2709</v>
      </c>
      <c r="G80" s="2"/>
      <c r="H80" s="2" t="s">
        <v>2709</v>
      </c>
      <c r="I80" s="2"/>
      <c r="J80" s="2" t="s">
        <v>316</v>
      </c>
      <c r="K80" s="2" t="s">
        <v>315</v>
      </c>
    </row>
    <row r="81" spans="1:11" s="4" customFormat="1" ht="18" customHeight="1">
      <c r="A81" s="2" t="s">
        <v>317</v>
      </c>
      <c r="B81" s="3"/>
      <c r="C81" s="2"/>
      <c r="D81" s="2" t="s">
        <v>2129</v>
      </c>
      <c r="E81" s="2"/>
      <c r="F81" s="2" t="s">
        <v>1416</v>
      </c>
      <c r="G81" s="2"/>
      <c r="H81" s="2" t="s">
        <v>1416</v>
      </c>
      <c r="I81" s="2"/>
      <c r="J81" s="2" t="s">
        <v>318</v>
      </c>
      <c r="K81" s="2" t="s">
        <v>317</v>
      </c>
    </row>
    <row r="82" spans="1:11" s="4" customFormat="1" ht="18" customHeight="1">
      <c r="A82" s="2" t="s">
        <v>319</v>
      </c>
      <c r="B82" s="3"/>
      <c r="C82" s="2"/>
      <c r="D82" s="2" t="s">
        <v>1102</v>
      </c>
      <c r="E82" s="2"/>
      <c r="F82" s="2" t="s">
        <v>470</v>
      </c>
      <c r="G82" s="2"/>
      <c r="H82" s="2" t="s">
        <v>470</v>
      </c>
      <c r="I82" s="2"/>
      <c r="J82" s="2" t="s">
        <v>320</v>
      </c>
      <c r="K82" s="2" t="s">
        <v>319</v>
      </c>
    </row>
    <row r="83" spans="1:11" s="4" customFormat="1" ht="18" customHeight="1">
      <c r="A83" s="2" t="s">
        <v>321</v>
      </c>
      <c r="B83" s="3"/>
      <c r="C83" s="2"/>
      <c r="D83" s="2" t="s">
        <v>1149</v>
      </c>
      <c r="E83" s="2"/>
      <c r="F83" s="2" t="s">
        <v>422</v>
      </c>
      <c r="G83" s="2"/>
      <c r="H83" s="2" t="s">
        <v>422</v>
      </c>
      <c r="I83" s="2"/>
      <c r="J83" s="2" t="s">
        <v>322</v>
      </c>
      <c r="K83" s="2" t="s">
        <v>321</v>
      </c>
    </row>
    <row r="84" spans="1:11" s="4" customFormat="1" ht="18" customHeight="1">
      <c r="A84" s="2" t="s">
        <v>323</v>
      </c>
      <c r="B84" s="3"/>
      <c r="C84" s="2"/>
      <c r="D84" s="2" t="s">
        <v>741</v>
      </c>
      <c r="E84" s="2"/>
      <c r="F84" s="2" t="s">
        <v>422</v>
      </c>
      <c r="G84" s="2"/>
      <c r="H84" s="2" t="s">
        <v>422</v>
      </c>
      <c r="I84" s="2"/>
      <c r="J84" s="2" t="s">
        <v>324</v>
      </c>
      <c r="K84" s="2" t="s">
        <v>323</v>
      </c>
    </row>
    <row r="85" spans="1:11" s="4" customFormat="1" ht="18" customHeight="1">
      <c r="A85" s="2" t="s">
        <v>325</v>
      </c>
      <c r="B85" s="3"/>
      <c r="C85" s="2"/>
      <c r="D85" s="2" t="s">
        <v>3664</v>
      </c>
      <c r="E85" s="2"/>
      <c r="F85" s="2" t="s">
        <v>422</v>
      </c>
      <c r="G85" s="2"/>
      <c r="H85" s="2" t="s">
        <v>422</v>
      </c>
      <c r="I85" s="2"/>
      <c r="J85" s="2" t="s">
        <v>326</v>
      </c>
      <c r="K85" s="2" t="s">
        <v>325</v>
      </c>
    </row>
    <row r="86" spans="1:11" s="4" customFormat="1" ht="18" customHeight="1">
      <c r="A86" s="2" t="s">
        <v>327</v>
      </c>
      <c r="B86" s="3"/>
      <c r="C86" s="2"/>
      <c r="D86" s="2" t="s">
        <v>1860</v>
      </c>
      <c r="E86" s="2"/>
      <c r="F86" s="2" t="s">
        <v>743</v>
      </c>
      <c r="G86" s="2"/>
      <c r="H86" s="2" t="s">
        <v>743</v>
      </c>
      <c r="I86" s="2"/>
      <c r="J86" s="2" t="s">
        <v>329</v>
      </c>
      <c r="K86" s="2" t="s">
        <v>327</v>
      </c>
    </row>
    <row r="87" spans="1:11" s="4" customFormat="1" ht="18" customHeight="1">
      <c r="A87" s="2" t="s">
        <v>330</v>
      </c>
      <c r="B87" s="3"/>
      <c r="C87" s="2"/>
      <c r="D87" s="2" t="s">
        <v>2325</v>
      </c>
      <c r="E87" s="2"/>
      <c r="F87" s="2" t="s">
        <v>3698</v>
      </c>
      <c r="G87" s="2"/>
      <c r="H87" s="2" t="s">
        <v>3698</v>
      </c>
      <c r="I87" s="2"/>
      <c r="J87" s="2" t="s">
        <v>331</v>
      </c>
      <c r="K87" s="2" t="s">
        <v>330</v>
      </c>
    </row>
    <row r="88" spans="1:11" s="4" customFormat="1" ht="18" customHeight="1">
      <c r="A88" s="2" t="s">
        <v>332</v>
      </c>
      <c r="B88" s="3"/>
      <c r="C88" s="2"/>
      <c r="D88" s="2" t="s">
        <v>1158</v>
      </c>
      <c r="E88" s="2"/>
      <c r="F88" s="2" t="s">
        <v>2985</v>
      </c>
      <c r="G88" s="2"/>
      <c r="H88" s="2" t="s">
        <v>2985</v>
      </c>
      <c r="I88" s="2"/>
      <c r="J88" s="2" t="s">
        <v>333</v>
      </c>
      <c r="K88" s="2" t="s">
        <v>332</v>
      </c>
    </row>
    <row r="89" spans="1:11" s="4" customFormat="1" ht="18" customHeight="1">
      <c r="A89" s="2" t="s">
        <v>334</v>
      </c>
      <c r="B89" s="3"/>
      <c r="C89" s="2"/>
      <c r="D89" s="2" t="s">
        <v>2058</v>
      </c>
      <c r="E89" s="2"/>
      <c r="F89" s="2" t="s">
        <v>364</v>
      </c>
      <c r="G89" s="2"/>
      <c r="H89" s="2" t="s">
        <v>387</v>
      </c>
      <c r="I89" s="2"/>
      <c r="J89" s="2" t="s">
        <v>335</v>
      </c>
      <c r="K89" s="2" t="s">
        <v>334</v>
      </c>
    </row>
    <row r="90" spans="1:11" s="4" customFormat="1" ht="18" customHeight="1">
      <c r="A90" s="2" t="s">
        <v>336</v>
      </c>
      <c r="B90" s="3"/>
      <c r="C90" s="2"/>
      <c r="D90" s="2" t="s">
        <v>2956</v>
      </c>
      <c r="E90" s="2"/>
      <c r="F90" s="2" t="s">
        <v>2231</v>
      </c>
      <c r="G90" s="2"/>
      <c r="H90" s="2" t="s">
        <v>2232</v>
      </c>
      <c r="I90" s="2"/>
      <c r="J90" s="2" t="s">
        <v>337</v>
      </c>
      <c r="K90" s="2" t="s">
        <v>336</v>
      </c>
    </row>
    <row r="91" spans="1:11" s="4" customFormat="1" ht="18" customHeight="1">
      <c r="A91" s="2" t="s">
        <v>339</v>
      </c>
      <c r="B91" s="3"/>
      <c r="C91" s="2"/>
      <c r="D91" s="2" t="s">
        <v>329</v>
      </c>
      <c r="E91" s="2"/>
      <c r="F91" s="2" t="s">
        <v>2424</v>
      </c>
      <c r="G91" s="2"/>
      <c r="H91" s="2" t="s">
        <v>2424</v>
      </c>
      <c r="I91" s="2"/>
      <c r="J91" s="2" t="s">
        <v>340</v>
      </c>
      <c r="K91" s="2" t="s">
        <v>339</v>
      </c>
    </row>
    <row r="92" spans="1:11" s="4" customFormat="1" ht="18" customHeight="1">
      <c r="A92" s="2" t="s">
        <v>341</v>
      </c>
      <c r="B92" s="3"/>
      <c r="C92" s="2"/>
      <c r="D92" s="2" t="s">
        <v>468</v>
      </c>
      <c r="E92" s="2"/>
      <c r="F92" s="2" t="s">
        <v>974</v>
      </c>
      <c r="G92" s="2"/>
      <c r="H92" s="2" t="s">
        <v>974</v>
      </c>
      <c r="I92" s="2"/>
      <c r="J92" s="2" t="s">
        <v>342</v>
      </c>
      <c r="K92" s="2" t="s">
        <v>341</v>
      </c>
    </row>
    <row r="93" spans="1:11" s="4" customFormat="1" ht="18" customHeight="1">
      <c r="A93" s="2" t="s">
        <v>344</v>
      </c>
      <c r="B93" s="3"/>
      <c r="C93" s="2"/>
      <c r="D93" s="2" t="s">
        <v>501</v>
      </c>
      <c r="E93" s="2"/>
      <c r="F93" s="2" t="s">
        <v>1319</v>
      </c>
      <c r="G93" s="2"/>
      <c r="H93" s="2" t="s">
        <v>1319</v>
      </c>
      <c r="I93" s="2"/>
      <c r="J93" s="2" t="s">
        <v>169</v>
      </c>
      <c r="K93" s="2" t="s">
        <v>344</v>
      </c>
    </row>
    <row r="94" spans="1:11" s="4" customFormat="1" ht="18" customHeight="1">
      <c r="A94" s="2" t="s">
        <v>345</v>
      </c>
      <c r="B94" s="3"/>
      <c r="C94" s="2"/>
      <c r="D94" s="2" t="s">
        <v>2982</v>
      </c>
      <c r="E94" s="2"/>
      <c r="F94" s="2" t="s">
        <v>389</v>
      </c>
      <c r="G94" s="2"/>
      <c r="H94" s="2" t="s">
        <v>389</v>
      </c>
      <c r="I94" s="2"/>
      <c r="J94" s="2" t="s">
        <v>346</v>
      </c>
      <c r="K94" s="2" t="s">
        <v>345</v>
      </c>
    </row>
    <row r="95" spans="1:11" s="4" customFormat="1" ht="18" customHeight="1">
      <c r="A95" s="2" t="s">
        <v>347</v>
      </c>
      <c r="B95" s="3"/>
      <c r="C95" s="2"/>
      <c r="D95" s="2" t="s">
        <v>3049</v>
      </c>
      <c r="E95" s="2"/>
      <c r="F95" s="2" t="s">
        <v>2914</v>
      </c>
      <c r="G95" s="2"/>
      <c r="H95" s="2" t="s">
        <v>2914</v>
      </c>
      <c r="I95" s="2"/>
      <c r="J95" s="2" t="s">
        <v>348</v>
      </c>
      <c r="K95" s="2" t="s">
        <v>347</v>
      </c>
    </row>
    <row r="96" spans="1:11" s="4" customFormat="1" ht="18" customHeight="1">
      <c r="A96" s="2" t="s">
        <v>349</v>
      </c>
      <c r="B96" s="3"/>
      <c r="C96" s="2"/>
      <c r="D96" s="2" t="s">
        <v>512</v>
      </c>
      <c r="E96" s="2"/>
      <c r="F96" s="2" t="s">
        <v>186</v>
      </c>
      <c r="G96" s="2"/>
      <c r="H96" s="2" t="s">
        <v>186</v>
      </c>
      <c r="I96" s="2"/>
      <c r="J96" s="2" t="s">
        <v>350</v>
      </c>
      <c r="K96" s="2" t="s">
        <v>349</v>
      </c>
    </row>
    <row r="97" spans="1:11" s="4" customFormat="1" ht="18" customHeight="1">
      <c r="A97" s="2" t="s">
        <v>351</v>
      </c>
      <c r="B97" s="3"/>
      <c r="C97" s="2"/>
      <c r="D97" s="2" t="s">
        <v>1984</v>
      </c>
      <c r="E97" s="2"/>
      <c r="F97" s="2" t="s">
        <v>2132</v>
      </c>
      <c r="G97" s="2"/>
      <c r="H97" s="2" t="s">
        <v>2132</v>
      </c>
      <c r="I97" s="2"/>
      <c r="J97" s="2" t="s">
        <v>352</v>
      </c>
      <c r="K97" s="2" t="s">
        <v>351</v>
      </c>
    </row>
    <row r="98" spans="1:11" s="4" customFormat="1" ht="18" customHeight="1">
      <c r="A98" s="2" t="s">
        <v>353</v>
      </c>
      <c r="B98" s="3"/>
      <c r="C98" s="2"/>
      <c r="D98" s="2" t="s">
        <v>2242</v>
      </c>
      <c r="E98" s="2"/>
      <c r="F98" s="2" t="s">
        <v>3590</v>
      </c>
      <c r="G98" s="2"/>
      <c r="H98" s="2" t="s">
        <v>3590</v>
      </c>
      <c r="I98" s="2"/>
      <c r="J98" s="2" t="s">
        <v>354</v>
      </c>
      <c r="K98" s="2" t="s">
        <v>353</v>
      </c>
    </row>
    <row r="99" spans="1:11" s="4" customFormat="1" ht="18" customHeight="1">
      <c r="A99" s="2" t="s">
        <v>355</v>
      </c>
      <c r="B99" s="3"/>
      <c r="C99" s="2"/>
      <c r="D99" s="2" t="s">
        <v>3352</v>
      </c>
      <c r="E99" s="2"/>
      <c r="F99" s="2" t="s">
        <v>3501</v>
      </c>
      <c r="G99" s="2"/>
      <c r="H99" s="2" t="s">
        <v>3501</v>
      </c>
      <c r="I99" s="2"/>
      <c r="J99" s="2" t="s">
        <v>356</v>
      </c>
      <c r="K99" s="2" t="s">
        <v>355</v>
      </c>
    </row>
    <row r="100" spans="1:11" s="4" customFormat="1" ht="18" customHeight="1">
      <c r="A100" s="2" t="s">
        <v>357</v>
      </c>
      <c r="B100" s="3"/>
      <c r="C100" s="2"/>
      <c r="D100" s="2" t="s">
        <v>1061</v>
      </c>
      <c r="E100" s="2"/>
      <c r="F100" s="2" t="s">
        <v>862</v>
      </c>
      <c r="G100" s="2"/>
      <c r="H100" s="2" t="s">
        <v>862</v>
      </c>
      <c r="I100" s="2"/>
      <c r="J100" s="2" t="s">
        <v>358</v>
      </c>
      <c r="K100" s="2" t="s">
        <v>357</v>
      </c>
    </row>
    <row r="101" spans="1:11" s="4" customFormat="1" ht="18" customHeight="1">
      <c r="A101" s="2" t="s">
        <v>359</v>
      </c>
      <c r="B101" s="3"/>
      <c r="C101" s="2"/>
      <c r="D101" s="2" t="s">
        <v>1505</v>
      </c>
      <c r="E101" s="2"/>
      <c r="F101" s="2" t="s">
        <v>1938</v>
      </c>
      <c r="G101" s="2"/>
      <c r="H101" s="2" t="s">
        <v>1938</v>
      </c>
      <c r="I101" s="2"/>
      <c r="J101" s="2" t="s">
        <v>360</v>
      </c>
      <c r="K101" s="2" t="s">
        <v>359</v>
      </c>
    </row>
    <row r="102" spans="1:11" s="4" customFormat="1" ht="18" customHeight="1">
      <c r="A102" s="2" t="s">
        <v>361</v>
      </c>
      <c r="B102" s="3"/>
      <c r="C102" s="2"/>
      <c r="D102" s="2" t="s">
        <v>2420</v>
      </c>
      <c r="E102" s="2"/>
      <c r="F102" s="2" t="s">
        <v>1894</v>
      </c>
      <c r="G102" s="2"/>
      <c r="H102" s="2" t="s">
        <v>1894</v>
      </c>
      <c r="I102" s="2"/>
      <c r="J102" s="2" t="s">
        <v>362</v>
      </c>
      <c r="K102" s="2" t="s">
        <v>361</v>
      </c>
    </row>
    <row r="103" spans="1:11" s="4" customFormat="1" ht="18" customHeight="1">
      <c r="A103" s="2" t="s">
        <v>363</v>
      </c>
      <c r="B103" s="3"/>
      <c r="C103" s="2"/>
      <c r="D103" s="2" t="s">
        <v>3980</v>
      </c>
      <c r="E103" s="2"/>
      <c r="F103" s="2" t="s">
        <v>2594</v>
      </c>
      <c r="G103" s="2"/>
      <c r="H103" s="2" t="s">
        <v>2594</v>
      </c>
      <c r="I103" s="2"/>
      <c r="J103" s="2" t="s">
        <v>365</v>
      </c>
      <c r="K103" s="2" t="s">
        <v>363</v>
      </c>
    </row>
    <row r="104" spans="1:11" s="4" customFormat="1" ht="18" customHeight="1">
      <c r="A104" s="2" t="s">
        <v>366</v>
      </c>
      <c r="B104" s="3"/>
      <c r="C104" s="2"/>
      <c r="D104" s="2" t="s">
        <v>2444</v>
      </c>
      <c r="E104" s="2"/>
      <c r="F104" s="2" t="s">
        <v>2929</v>
      </c>
      <c r="G104" s="2"/>
      <c r="H104" s="2" t="s">
        <v>2929</v>
      </c>
      <c r="I104" s="2"/>
      <c r="J104" s="2" t="s">
        <v>367</v>
      </c>
      <c r="K104" s="2" t="s">
        <v>366</v>
      </c>
    </row>
    <row r="105" spans="1:11" s="4" customFormat="1" ht="18" customHeight="1">
      <c r="A105" s="2" t="s">
        <v>368</v>
      </c>
      <c r="B105" s="3"/>
      <c r="C105" s="2"/>
      <c r="D105" s="2" t="s">
        <v>2324</v>
      </c>
      <c r="E105" s="2"/>
      <c r="F105" s="2" t="s">
        <v>3592</v>
      </c>
      <c r="G105" s="2"/>
      <c r="H105" s="2" t="s">
        <v>3592</v>
      </c>
      <c r="I105" s="2"/>
      <c r="J105" s="2" t="s">
        <v>369</v>
      </c>
      <c r="K105" s="2" t="s">
        <v>368</v>
      </c>
    </row>
    <row r="106" spans="1:11" s="4" customFormat="1" ht="18" customHeight="1">
      <c r="A106" s="2" t="s">
        <v>370</v>
      </c>
      <c r="B106" s="3"/>
      <c r="C106" s="2"/>
      <c r="D106" s="2" t="s">
        <v>1760</v>
      </c>
      <c r="E106" s="2"/>
      <c r="F106" s="2" t="s">
        <v>1321</v>
      </c>
      <c r="G106" s="2"/>
      <c r="H106" s="2" t="s">
        <v>1321</v>
      </c>
      <c r="I106" s="2"/>
      <c r="J106" s="2" t="s">
        <v>371</v>
      </c>
      <c r="K106" s="2" t="s">
        <v>370</v>
      </c>
    </row>
    <row r="107" spans="1:11" s="4" customFormat="1" ht="18" customHeight="1">
      <c r="A107" s="2" t="s">
        <v>372</v>
      </c>
      <c r="B107" s="3"/>
      <c r="C107" s="2"/>
      <c r="D107" s="2" t="s">
        <v>1187</v>
      </c>
      <c r="E107" s="2"/>
      <c r="F107" s="2" t="s">
        <v>140</v>
      </c>
      <c r="G107" s="2"/>
      <c r="H107" s="2" t="s">
        <v>140</v>
      </c>
      <c r="I107" s="2"/>
      <c r="J107" s="2" t="s">
        <v>373</v>
      </c>
      <c r="K107" s="2" t="s">
        <v>372</v>
      </c>
    </row>
    <row r="108" spans="1:11" s="4" customFormat="1" ht="18" customHeight="1">
      <c r="A108" s="2" t="s">
        <v>374</v>
      </c>
      <c r="B108" s="3"/>
      <c r="C108" s="2"/>
      <c r="D108" s="2" t="s">
        <v>1075</v>
      </c>
      <c r="E108" s="2"/>
      <c r="F108" s="2" t="s">
        <v>140</v>
      </c>
      <c r="G108" s="2"/>
      <c r="H108" s="2" t="s">
        <v>140</v>
      </c>
      <c r="I108" s="2"/>
      <c r="J108" s="2" t="s">
        <v>375</v>
      </c>
      <c r="K108" s="2" t="s">
        <v>374</v>
      </c>
    </row>
    <row r="109" spans="1:11" s="4" customFormat="1" ht="18" customHeight="1">
      <c r="A109" s="2" t="s">
        <v>376</v>
      </c>
      <c r="B109" s="3"/>
      <c r="C109" s="2"/>
      <c r="D109" s="2" t="s">
        <v>3827</v>
      </c>
      <c r="E109" s="2"/>
      <c r="F109" s="2" t="s">
        <v>424</v>
      </c>
      <c r="G109" s="2"/>
      <c r="H109" s="2" t="s">
        <v>425</v>
      </c>
      <c r="I109" s="2"/>
      <c r="J109" s="2" t="s">
        <v>377</v>
      </c>
      <c r="K109" s="2" t="s">
        <v>376</v>
      </c>
    </row>
    <row r="110" spans="1:11" s="4" customFormat="1" ht="18" customHeight="1">
      <c r="A110" s="2" t="s">
        <v>378</v>
      </c>
      <c r="B110" s="3"/>
      <c r="C110" s="2"/>
      <c r="D110" s="2" t="s">
        <v>2736</v>
      </c>
      <c r="E110" s="2"/>
      <c r="F110" s="2" t="s">
        <v>2426</v>
      </c>
      <c r="G110" s="2"/>
      <c r="H110" s="2" t="s">
        <v>2426</v>
      </c>
      <c r="I110" s="2"/>
      <c r="J110" s="2" t="s">
        <v>379</v>
      </c>
      <c r="K110" s="2" t="s">
        <v>378</v>
      </c>
    </row>
    <row r="111" spans="1:11" s="4" customFormat="1" ht="18" customHeight="1">
      <c r="A111" s="2" t="s">
        <v>380</v>
      </c>
      <c r="B111" s="3"/>
      <c r="C111" s="2"/>
      <c r="D111" s="2" t="s">
        <v>1277</v>
      </c>
      <c r="E111" s="2"/>
      <c r="F111" s="2" t="s">
        <v>2958</v>
      </c>
      <c r="G111" s="2"/>
      <c r="H111" s="2" t="s">
        <v>2959</v>
      </c>
      <c r="I111" s="2"/>
      <c r="J111" s="2" t="s">
        <v>382</v>
      </c>
      <c r="K111" s="2" t="s">
        <v>380</v>
      </c>
    </row>
    <row r="112" spans="1:11" s="4" customFormat="1" ht="18" customHeight="1">
      <c r="A112" s="2" t="s">
        <v>383</v>
      </c>
      <c r="B112" s="3"/>
      <c r="C112" s="2"/>
      <c r="D112" s="2" t="s">
        <v>2208</v>
      </c>
      <c r="E112" s="2"/>
      <c r="F112" s="2" t="s">
        <v>2961</v>
      </c>
      <c r="G112" s="2"/>
      <c r="H112" s="2" t="s">
        <v>2962</v>
      </c>
      <c r="I112" s="2"/>
      <c r="J112" s="2" t="s">
        <v>384</v>
      </c>
      <c r="K112" s="2" t="s">
        <v>383</v>
      </c>
    </row>
    <row r="113" spans="1:11" s="4" customFormat="1" ht="18" customHeight="1">
      <c r="A113" s="2" t="s">
        <v>386</v>
      </c>
      <c r="B113" s="3"/>
      <c r="C113" s="2"/>
      <c r="D113" s="2" t="s">
        <v>1229</v>
      </c>
      <c r="E113" s="2"/>
      <c r="F113" s="2" t="s">
        <v>2813</v>
      </c>
      <c r="G113" s="2"/>
      <c r="H113" s="2" t="s">
        <v>2814</v>
      </c>
      <c r="I113" s="2"/>
      <c r="J113" s="2" t="s">
        <v>364</v>
      </c>
      <c r="K113" s="2" t="s">
        <v>386</v>
      </c>
    </row>
    <row r="114" spans="1:11" s="4" customFormat="1" ht="18" customHeight="1">
      <c r="A114" s="2" t="s">
        <v>388</v>
      </c>
      <c r="B114" s="3"/>
      <c r="C114" s="2"/>
      <c r="D114" s="2" t="s">
        <v>4118</v>
      </c>
      <c r="E114" s="2"/>
      <c r="F114" s="2" t="s">
        <v>949</v>
      </c>
      <c r="G114" s="2"/>
      <c r="H114" s="2" t="s">
        <v>949</v>
      </c>
      <c r="I114" s="2"/>
      <c r="J114" s="2" t="s">
        <v>389</v>
      </c>
      <c r="K114" s="2" t="s">
        <v>388</v>
      </c>
    </row>
    <row r="115" spans="1:11" s="4" customFormat="1" ht="18" customHeight="1">
      <c r="A115" s="2" t="s">
        <v>390</v>
      </c>
      <c r="B115" s="3"/>
      <c r="C115" s="2"/>
      <c r="D115" s="2" t="s">
        <v>3151</v>
      </c>
      <c r="E115" s="2"/>
      <c r="F115" s="2" t="s">
        <v>951</v>
      </c>
      <c r="G115" s="2"/>
      <c r="H115" s="2" t="s">
        <v>951</v>
      </c>
      <c r="I115" s="2"/>
      <c r="J115" s="2" t="s">
        <v>391</v>
      </c>
      <c r="K115" s="2" t="s">
        <v>390</v>
      </c>
    </row>
    <row r="116" spans="1:11" s="4" customFormat="1" ht="18" customHeight="1">
      <c r="A116" s="2" t="s">
        <v>392</v>
      </c>
      <c r="B116" s="3"/>
      <c r="C116" s="2"/>
      <c r="D116" s="2" t="s">
        <v>1212</v>
      </c>
      <c r="E116" s="2"/>
      <c r="F116" s="2" t="s">
        <v>3563</v>
      </c>
      <c r="G116" s="2"/>
      <c r="H116" s="2" t="s">
        <v>3563</v>
      </c>
      <c r="I116" s="2"/>
      <c r="J116" s="2" t="s">
        <v>393</v>
      </c>
      <c r="K116" s="2" t="s">
        <v>392</v>
      </c>
    </row>
    <row r="117" spans="1:11" s="4" customFormat="1" ht="18" customHeight="1">
      <c r="A117" s="2" t="s">
        <v>394</v>
      </c>
      <c r="B117" s="3"/>
      <c r="C117" s="2"/>
      <c r="D117" s="2" t="s">
        <v>235</v>
      </c>
      <c r="E117" s="2"/>
      <c r="F117" s="2" t="s">
        <v>2964</v>
      </c>
      <c r="G117" s="2"/>
      <c r="H117" s="2" t="s">
        <v>2964</v>
      </c>
      <c r="I117" s="2"/>
      <c r="J117" s="2" t="s">
        <v>395</v>
      </c>
      <c r="K117" s="2" t="s">
        <v>394</v>
      </c>
    </row>
    <row r="118" spans="1:11" s="4" customFormat="1" ht="18" customHeight="1">
      <c r="A118" s="2" t="s">
        <v>397</v>
      </c>
      <c r="B118" s="3"/>
      <c r="C118" s="2"/>
      <c r="D118" s="2" t="s">
        <v>3301</v>
      </c>
      <c r="E118" s="2"/>
      <c r="F118" s="2" t="s">
        <v>1215</v>
      </c>
      <c r="G118" s="2"/>
      <c r="H118" s="2" t="s">
        <v>1215</v>
      </c>
      <c r="I118" s="2"/>
      <c r="J118" s="2" t="s">
        <v>398</v>
      </c>
      <c r="K118" s="2" t="s">
        <v>397</v>
      </c>
    </row>
    <row r="119" spans="1:11" s="4" customFormat="1" ht="18" customHeight="1">
      <c r="A119" s="2" t="s">
        <v>399</v>
      </c>
      <c r="B119" s="3"/>
      <c r="C119" s="2"/>
      <c r="D119" s="2" t="s">
        <v>2176</v>
      </c>
      <c r="E119" s="2"/>
      <c r="F119" s="2" t="s">
        <v>1940</v>
      </c>
      <c r="G119" s="2"/>
      <c r="H119" s="2" t="s">
        <v>1940</v>
      </c>
      <c r="I119" s="2"/>
      <c r="J119" s="2" t="s">
        <v>400</v>
      </c>
      <c r="K119" s="2" t="s">
        <v>399</v>
      </c>
    </row>
    <row r="120" spans="1:11" s="4" customFormat="1" ht="18" customHeight="1">
      <c r="A120" s="2" t="s">
        <v>401</v>
      </c>
      <c r="B120" s="3"/>
      <c r="C120" s="2"/>
      <c r="D120" s="2" t="s">
        <v>933</v>
      </c>
      <c r="E120" s="2"/>
      <c r="F120" s="2" t="s">
        <v>3883</v>
      </c>
      <c r="G120" s="2"/>
      <c r="H120" s="2" t="s">
        <v>3884</v>
      </c>
      <c r="I120" s="2"/>
      <c r="J120" s="2" t="s">
        <v>402</v>
      </c>
      <c r="K120" s="2" t="s">
        <v>401</v>
      </c>
    </row>
    <row r="121" spans="1:11" s="4" customFormat="1" ht="18" customHeight="1">
      <c r="A121" s="2" t="s">
        <v>403</v>
      </c>
      <c r="B121" s="3"/>
      <c r="C121" s="2"/>
      <c r="D121" s="2" t="s">
        <v>534</v>
      </c>
      <c r="E121" s="2"/>
      <c r="F121" s="2" t="s">
        <v>3440</v>
      </c>
      <c r="G121" s="2"/>
      <c r="H121" s="2" t="s">
        <v>3440</v>
      </c>
      <c r="I121" s="2"/>
      <c r="J121" s="2" t="s">
        <v>404</v>
      </c>
      <c r="K121" s="2" t="s">
        <v>403</v>
      </c>
    </row>
    <row r="122" spans="1:11" s="4" customFormat="1" ht="18" customHeight="1">
      <c r="A122" s="2" t="s">
        <v>406</v>
      </c>
      <c r="B122" s="3"/>
      <c r="C122" s="2"/>
      <c r="D122" s="2" t="s">
        <v>3317</v>
      </c>
      <c r="E122" s="2"/>
      <c r="F122" s="2" t="s">
        <v>1101</v>
      </c>
      <c r="G122" s="2"/>
      <c r="H122" s="2" t="s">
        <v>1101</v>
      </c>
      <c r="I122" s="2"/>
      <c r="J122" s="2" t="s">
        <v>407</v>
      </c>
      <c r="K122" s="2" t="s">
        <v>406</v>
      </c>
    </row>
    <row r="123" spans="1:11" s="4" customFormat="1" ht="18" customHeight="1">
      <c r="A123" s="2" t="s">
        <v>408</v>
      </c>
      <c r="B123" s="3"/>
      <c r="C123" s="2"/>
      <c r="D123" s="2" t="s">
        <v>3203</v>
      </c>
      <c r="E123" s="2"/>
      <c r="F123" s="2" t="s">
        <v>1160</v>
      </c>
      <c r="G123" s="2"/>
      <c r="H123" s="2" t="s">
        <v>1161</v>
      </c>
      <c r="I123" s="2"/>
      <c r="J123" s="2" t="s">
        <v>409</v>
      </c>
      <c r="K123" s="2" t="s">
        <v>408</v>
      </c>
    </row>
    <row r="124" spans="1:11" s="4" customFormat="1" ht="18" customHeight="1">
      <c r="A124" s="2" t="s">
        <v>410</v>
      </c>
      <c r="B124" s="3"/>
      <c r="C124" s="2"/>
      <c r="D124" s="2" t="s">
        <v>3152</v>
      </c>
      <c r="E124" s="2"/>
      <c r="F124" s="2" t="s">
        <v>3621</v>
      </c>
      <c r="G124" s="2"/>
      <c r="H124" s="2" t="s">
        <v>3621</v>
      </c>
      <c r="I124" s="2"/>
      <c r="J124" s="2" t="s">
        <v>411</v>
      </c>
      <c r="K124" s="2" t="s">
        <v>410</v>
      </c>
    </row>
    <row r="125" spans="1:11" s="4" customFormat="1" ht="18" customHeight="1">
      <c r="A125" s="2" t="s">
        <v>413</v>
      </c>
      <c r="B125" s="3"/>
      <c r="C125" s="2"/>
      <c r="D125" s="2" t="s">
        <v>3696</v>
      </c>
      <c r="E125" s="2"/>
      <c r="F125" s="2" t="s">
        <v>1986</v>
      </c>
      <c r="G125" s="2"/>
      <c r="H125" s="2" t="s">
        <v>1986</v>
      </c>
      <c r="I125" s="2"/>
      <c r="J125" s="2" t="s">
        <v>414</v>
      </c>
      <c r="K125" s="2" t="s">
        <v>413</v>
      </c>
    </row>
    <row r="126" spans="1:11" s="4" customFormat="1" ht="18" customHeight="1">
      <c r="A126" s="2" t="s">
        <v>415</v>
      </c>
      <c r="B126" s="3"/>
      <c r="C126" s="2"/>
      <c r="D126" s="2" t="s">
        <v>3713</v>
      </c>
      <c r="E126" s="2"/>
      <c r="F126" s="2" t="s">
        <v>3093</v>
      </c>
      <c r="G126" s="2"/>
      <c r="H126" s="2" t="s">
        <v>3093</v>
      </c>
      <c r="I126" s="2"/>
      <c r="J126" s="2" t="s">
        <v>416</v>
      </c>
      <c r="K126" s="2" t="s">
        <v>415</v>
      </c>
    </row>
    <row r="127" spans="1:11" s="4" customFormat="1" ht="18" customHeight="1">
      <c r="A127" s="2" t="s">
        <v>417</v>
      </c>
      <c r="B127" s="3"/>
      <c r="C127" s="2"/>
      <c r="D127" s="2" t="s">
        <v>3476</v>
      </c>
      <c r="E127" s="2"/>
      <c r="F127" s="2" t="s">
        <v>3093</v>
      </c>
      <c r="G127" s="2"/>
      <c r="H127" s="2" t="s">
        <v>3093</v>
      </c>
      <c r="I127" s="2"/>
      <c r="J127" s="2" t="s">
        <v>418</v>
      </c>
      <c r="K127" s="2" t="s">
        <v>417</v>
      </c>
    </row>
    <row r="128" spans="1:11" s="4" customFormat="1" ht="18" customHeight="1">
      <c r="A128" s="2" t="s">
        <v>419</v>
      </c>
      <c r="B128" s="3"/>
      <c r="C128" s="2"/>
      <c r="D128" s="2" t="s">
        <v>3782</v>
      </c>
      <c r="E128" s="2"/>
      <c r="F128" s="2" t="s">
        <v>1193</v>
      </c>
      <c r="G128" s="2"/>
      <c r="H128" s="2" t="s">
        <v>1194</v>
      </c>
      <c r="I128" s="2"/>
      <c r="J128" s="2" t="s">
        <v>420</v>
      </c>
      <c r="K128" s="2" t="s">
        <v>419</v>
      </c>
    </row>
    <row r="129" spans="1:11" s="4" customFormat="1" ht="18" customHeight="1">
      <c r="A129" s="2" t="s">
        <v>421</v>
      </c>
      <c r="B129" s="3"/>
      <c r="C129" s="2"/>
      <c r="D129" s="2" t="s">
        <v>2292</v>
      </c>
      <c r="E129" s="2"/>
      <c r="F129" s="2" t="s">
        <v>978</v>
      </c>
      <c r="G129" s="2"/>
      <c r="H129" s="2" t="s">
        <v>978</v>
      </c>
      <c r="I129" s="2"/>
      <c r="J129" s="2" t="s">
        <v>422</v>
      </c>
      <c r="K129" s="2" t="s">
        <v>421</v>
      </c>
    </row>
    <row r="130" spans="1:11" s="4" customFormat="1" ht="18" customHeight="1">
      <c r="A130" s="2" t="s">
        <v>423</v>
      </c>
      <c r="B130" s="3"/>
      <c r="C130" s="2"/>
      <c r="D130" s="2" t="s">
        <v>553</v>
      </c>
      <c r="E130" s="2"/>
      <c r="F130" s="2" t="s">
        <v>3095</v>
      </c>
      <c r="G130" s="2"/>
      <c r="H130" s="2" t="s">
        <v>3095</v>
      </c>
      <c r="I130" s="2"/>
      <c r="J130" s="2" t="s">
        <v>424</v>
      </c>
      <c r="K130" s="2" t="s">
        <v>423</v>
      </c>
    </row>
    <row r="131" spans="1:11" s="4" customFormat="1" ht="18" customHeight="1">
      <c r="A131" s="2" t="s">
        <v>426</v>
      </c>
      <c r="B131" s="3"/>
      <c r="C131" s="2"/>
      <c r="D131" s="2" t="s">
        <v>2634</v>
      </c>
      <c r="E131" s="2"/>
      <c r="F131" s="2" t="s">
        <v>3095</v>
      </c>
      <c r="G131" s="2"/>
      <c r="H131" s="2" t="s">
        <v>3095</v>
      </c>
      <c r="I131" s="2"/>
      <c r="J131" s="2" t="s">
        <v>427</v>
      </c>
      <c r="K131" s="2" t="s">
        <v>426</v>
      </c>
    </row>
    <row r="132" spans="1:11" s="4" customFormat="1" ht="18" customHeight="1">
      <c r="A132" s="2" t="s">
        <v>428</v>
      </c>
      <c r="B132" s="3"/>
      <c r="C132" s="2"/>
      <c r="D132" s="2" t="s">
        <v>3403</v>
      </c>
      <c r="E132" s="2"/>
      <c r="F132" s="2" t="s">
        <v>184</v>
      </c>
      <c r="G132" s="2"/>
      <c r="H132" s="2" t="s">
        <v>184</v>
      </c>
      <c r="I132" s="2"/>
      <c r="J132" s="2" t="s">
        <v>429</v>
      </c>
      <c r="K132" s="2" t="s">
        <v>428</v>
      </c>
    </row>
    <row r="133" spans="1:11" s="4" customFormat="1" ht="18" customHeight="1">
      <c r="A133" s="2" t="s">
        <v>430</v>
      </c>
      <c r="B133" s="3"/>
      <c r="C133" s="2"/>
      <c r="D133" s="2" t="s">
        <v>3075</v>
      </c>
      <c r="E133" s="2"/>
      <c r="F133" s="2" t="s">
        <v>314</v>
      </c>
      <c r="G133" s="2"/>
      <c r="H133" s="2" t="s">
        <v>314</v>
      </c>
      <c r="I133" s="2"/>
      <c r="J133" s="2" t="s">
        <v>431</v>
      </c>
      <c r="K133" s="2" t="s">
        <v>430</v>
      </c>
    </row>
    <row r="134" spans="1:11" s="4" customFormat="1" ht="18" customHeight="1">
      <c r="A134" s="2" t="s">
        <v>433</v>
      </c>
      <c r="B134" s="3"/>
      <c r="C134" s="2"/>
      <c r="D134" s="2" t="s">
        <v>2654</v>
      </c>
      <c r="E134" s="2"/>
      <c r="F134" s="2" t="s">
        <v>3798</v>
      </c>
      <c r="G134" s="2"/>
      <c r="H134" s="2" t="s">
        <v>3799</v>
      </c>
      <c r="I134" s="2"/>
      <c r="J134" s="2" t="s">
        <v>434</v>
      </c>
      <c r="K134" s="2" t="s">
        <v>433</v>
      </c>
    </row>
    <row r="135" spans="1:11" s="4" customFormat="1" ht="18" customHeight="1">
      <c r="A135" s="2" t="s">
        <v>435</v>
      </c>
      <c r="B135" s="3"/>
      <c r="C135" s="2"/>
      <c r="D135" s="2" t="s">
        <v>2188</v>
      </c>
      <c r="E135" s="2"/>
      <c r="F135" s="2" t="s">
        <v>3181</v>
      </c>
      <c r="G135" s="2"/>
      <c r="H135" s="2" t="s">
        <v>3181</v>
      </c>
      <c r="I135" s="2"/>
      <c r="J135" s="2" t="s">
        <v>436</v>
      </c>
      <c r="K135" s="2" t="s">
        <v>435</v>
      </c>
    </row>
    <row r="136" spans="1:11" s="4" customFormat="1" ht="18" customHeight="1">
      <c r="A136" s="2" t="s">
        <v>437</v>
      </c>
      <c r="B136" s="3"/>
      <c r="C136" s="2"/>
      <c r="D136" s="2" t="s">
        <v>4062</v>
      </c>
      <c r="E136" s="2"/>
      <c r="F136" s="2" t="s">
        <v>142</v>
      </c>
      <c r="G136" s="2"/>
      <c r="H136" s="2" t="s">
        <v>142</v>
      </c>
      <c r="I136" s="2"/>
      <c r="J136" s="2" t="s">
        <v>438</v>
      </c>
      <c r="K136" s="2" t="s">
        <v>437</v>
      </c>
    </row>
    <row r="137" spans="1:11" s="4" customFormat="1" ht="18" customHeight="1">
      <c r="A137" s="2" t="s">
        <v>439</v>
      </c>
      <c r="B137" s="3"/>
      <c r="C137" s="2"/>
      <c r="D137" s="2" t="s">
        <v>3497</v>
      </c>
      <c r="E137" s="2"/>
      <c r="F137" s="2" t="s">
        <v>1500</v>
      </c>
      <c r="G137" s="2"/>
      <c r="H137" s="2" t="s">
        <v>1500</v>
      </c>
      <c r="I137" s="2"/>
      <c r="J137" s="2" t="s">
        <v>441</v>
      </c>
      <c r="K137" s="2" t="s">
        <v>439</v>
      </c>
    </row>
    <row r="138" spans="1:11" s="4" customFormat="1" ht="18" customHeight="1">
      <c r="A138" s="2" t="s">
        <v>442</v>
      </c>
      <c r="B138" s="3"/>
      <c r="C138" s="2"/>
      <c r="D138" s="2" t="s">
        <v>574</v>
      </c>
      <c r="E138" s="2"/>
      <c r="F138" s="2" t="s">
        <v>1500</v>
      </c>
      <c r="G138" s="2"/>
      <c r="H138" s="2" t="s">
        <v>1500</v>
      </c>
      <c r="I138" s="2"/>
      <c r="J138" s="2" t="s">
        <v>287</v>
      </c>
      <c r="K138" s="2" t="s">
        <v>442</v>
      </c>
    </row>
    <row r="139" spans="1:11" s="4" customFormat="1" ht="18" customHeight="1">
      <c r="A139" s="2" t="s">
        <v>443</v>
      </c>
      <c r="B139" s="3"/>
      <c r="C139" s="2"/>
      <c r="D139" s="2" t="s">
        <v>2301</v>
      </c>
      <c r="E139" s="2"/>
      <c r="F139" s="2" t="s">
        <v>458</v>
      </c>
      <c r="G139" s="2"/>
      <c r="H139" s="2" t="s">
        <v>458</v>
      </c>
      <c r="I139" s="2"/>
      <c r="J139" s="2" t="s">
        <v>444</v>
      </c>
      <c r="K139" s="2" t="s">
        <v>443</v>
      </c>
    </row>
    <row r="140" spans="1:11" s="4" customFormat="1" ht="18" customHeight="1">
      <c r="A140" s="2" t="s">
        <v>445</v>
      </c>
      <c r="B140" s="3"/>
      <c r="C140" s="2"/>
      <c r="D140" s="2" t="s">
        <v>1251</v>
      </c>
      <c r="E140" s="2"/>
      <c r="F140" s="2" t="s">
        <v>2210</v>
      </c>
      <c r="G140" s="2"/>
      <c r="H140" s="2" t="s">
        <v>2210</v>
      </c>
      <c r="I140" s="2"/>
      <c r="J140" s="2" t="s">
        <v>446</v>
      </c>
      <c r="K140" s="2" t="s">
        <v>445</v>
      </c>
    </row>
    <row r="141" spans="1:11" s="4" customFormat="1" ht="18" customHeight="1">
      <c r="A141" s="2" t="s">
        <v>447</v>
      </c>
      <c r="B141" s="3"/>
      <c r="C141" s="2"/>
      <c r="D141" s="2" t="s">
        <v>1792</v>
      </c>
      <c r="E141" s="2"/>
      <c r="F141" s="2" t="s">
        <v>2893</v>
      </c>
      <c r="G141" s="2"/>
      <c r="H141" s="2" t="s">
        <v>2893</v>
      </c>
      <c r="I141" s="2"/>
      <c r="J141" s="2" t="s">
        <v>448</v>
      </c>
      <c r="K141" s="2" t="s">
        <v>447</v>
      </c>
    </row>
    <row r="142" spans="1:11" s="4" customFormat="1" ht="18" customHeight="1">
      <c r="A142" s="2" t="s">
        <v>449</v>
      </c>
      <c r="B142" s="3"/>
      <c r="C142" s="2"/>
      <c r="D142" s="2" t="s">
        <v>3358</v>
      </c>
      <c r="E142" s="2"/>
      <c r="F142" s="2" t="s">
        <v>2893</v>
      </c>
      <c r="G142" s="2"/>
      <c r="H142" s="2" t="s">
        <v>2476</v>
      </c>
      <c r="I142" s="2"/>
      <c r="J142" s="2" t="s">
        <v>450</v>
      </c>
      <c r="K142" s="2" t="s">
        <v>449</v>
      </c>
    </row>
    <row r="143" spans="1:11" s="4" customFormat="1" ht="18" customHeight="1">
      <c r="A143" s="2" t="s">
        <v>452</v>
      </c>
      <c r="B143" s="3"/>
      <c r="C143" s="2"/>
      <c r="D143" s="2" t="s">
        <v>2662</v>
      </c>
      <c r="E143" s="2"/>
      <c r="F143" s="2" t="s">
        <v>2816</v>
      </c>
      <c r="G143" s="2"/>
      <c r="H143" s="2" t="s">
        <v>2816</v>
      </c>
      <c r="I143" s="2"/>
      <c r="J143" s="2" t="s">
        <v>453</v>
      </c>
      <c r="K143" s="2" t="s">
        <v>452</v>
      </c>
    </row>
    <row r="144" spans="1:11" s="4" customFormat="1" ht="18" customHeight="1">
      <c r="A144" s="2" t="s">
        <v>454</v>
      </c>
      <c r="B144" s="3"/>
      <c r="C144" s="2"/>
      <c r="D144" s="2" t="s">
        <v>1270</v>
      </c>
      <c r="E144" s="2"/>
      <c r="F144" s="2" t="s">
        <v>3832</v>
      </c>
      <c r="G144" s="2"/>
      <c r="H144" s="2" t="s">
        <v>3832</v>
      </c>
      <c r="I144" s="2"/>
      <c r="J144" s="2" t="s">
        <v>455</v>
      </c>
      <c r="K144" s="2" t="s">
        <v>454</v>
      </c>
    </row>
    <row r="145" spans="1:11" s="4" customFormat="1" ht="18" customHeight="1">
      <c r="A145" s="2" t="s">
        <v>456</v>
      </c>
      <c r="B145" s="3"/>
      <c r="C145" s="2"/>
      <c r="D145" s="2" t="s">
        <v>1810</v>
      </c>
      <c r="E145" s="2"/>
      <c r="F145" s="2" t="s">
        <v>1294</v>
      </c>
      <c r="G145" s="2"/>
      <c r="H145" s="2" t="s">
        <v>1294</v>
      </c>
      <c r="I145" s="2"/>
      <c r="J145" s="2" t="s">
        <v>432</v>
      </c>
      <c r="K145" s="2" t="s">
        <v>456</v>
      </c>
    </row>
    <row r="146" spans="1:11" s="4" customFormat="1" ht="18" customHeight="1">
      <c r="A146" s="2" t="s">
        <v>457</v>
      </c>
      <c r="B146" s="3"/>
      <c r="C146" s="2"/>
      <c r="D146" s="2" t="s">
        <v>3861</v>
      </c>
      <c r="E146" s="2"/>
      <c r="F146" s="2" t="s">
        <v>1294</v>
      </c>
      <c r="G146" s="2"/>
      <c r="H146" s="2" t="s">
        <v>1294</v>
      </c>
      <c r="I146" s="2"/>
      <c r="J146" s="2" t="s">
        <v>458</v>
      </c>
      <c r="K146" s="2" t="s">
        <v>457</v>
      </c>
    </row>
    <row r="147" spans="1:11" s="4" customFormat="1" ht="18" customHeight="1">
      <c r="A147" s="2" t="s">
        <v>459</v>
      </c>
      <c r="B147" s="3"/>
      <c r="C147" s="2"/>
      <c r="D147" s="2" t="s">
        <v>2309</v>
      </c>
      <c r="E147" s="2"/>
      <c r="F147" s="2" t="s">
        <v>953</v>
      </c>
      <c r="G147" s="2"/>
      <c r="H147" s="2" t="s">
        <v>953</v>
      </c>
      <c r="I147" s="2"/>
      <c r="J147" s="2" t="s">
        <v>460</v>
      </c>
      <c r="K147" s="2" t="s">
        <v>459</v>
      </c>
    </row>
    <row r="148" spans="1:11" s="4" customFormat="1" ht="18" customHeight="1">
      <c r="A148" s="2" t="s">
        <v>461</v>
      </c>
      <c r="B148" s="3"/>
      <c r="C148" s="2"/>
      <c r="D148" s="2" t="s">
        <v>3419</v>
      </c>
      <c r="E148" s="2"/>
      <c r="F148" s="2" t="s">
        <v>1507</v>
      </c>
      <c r="G148" s="2"/>
      <c r="H148" s="2" t="s">
        <v>1507</v>
      </c>
      <c r="I148" s="2"/>
      <c r="J148" s="2" t="s">
        <v>462</v>
      </c>
      <c r="K148" s="2" t="s">
        <v>461</v>
      </c>
    </row>
    <row r="149" spans="1:11" s="4" customFormat="1" ht="18" customHeight="1">
      <c r="A149" s="2" t="s">
        <v>463</v>
      </c>
      <c r="B149" s="3"/>
      <c r="C149" s="2"/>
      <c r="D149" s="2" t="s">
        <v>594</v>
      </c>
      <c r="E149" s="2"/>
      <c r="F149" s="2" t="s">
        <v>1507</v>
      </c>
      <c r="G149" s="2"/>
      <c r="H149" s="2" t="s">
        <v>1507</v>
      </c>
      <c r="I149" s="2"/>
      <c r="J149" s="2" t="s">
        <v>464</v>
      </c>
      <c r="K149" s="2" t="s">
        <v>463</v>
      </c>
    </row>
    <row r="150" spans="1:11" s="4" customFormat="1" ht="18" customHeight="1">
      <c r="A150" s="2" t="s">
        <v>465</v>
      </c>
      <c r="B150" s="3"/>
      <c r="C150" s="2"/>
      <c r="D150" s="2" t="s">
        <v>2198</v>
      </c>
      <c r="E150" s="2"/>
      <c r="F150" s="2" t="s">
        <v>1507</v>
      </c>
      <c r="G150" s="2"/>
      <c r="H150" s="2" t="s">
        <v>1507</v>
      </c>
      <c r="I150" s="2"/>
      <c r="J150" s="2" t="s">
        <v>466</v>
      </c>
      <c r="K150" s="2" t="s">
        <v>465</v>
      </c>
    </row>
    <row r="151" spans="1:11" s="4" customFormat="1" ht="18" customHeight="1">
      <c r="A151" s="2" t="s">
        <v>467</v>
      </c>
      <c r="B151" s="3"/>
      <c r="C151" s="2"/>
      <c r="D151" s="2" t="s">
        <v>3557</v>
      </c>
      <c r="E151" s="2"/>
      <c r="F151" s="2" t="s">
        <v>1507</v>
      </c>
      <c r="G151" s="2"/>
      <c r="H151" s="2" t="s">
        <v>1507</v>
      </c>
      <c r="I151" s="2"/>
      <c r="J151" s="2" t="s">
        <v>468</v>
      </c>
      <c r="K151" s="2" t="s">
        <v>467</v>
      </c>
    </row>
    <row r="152" spans="1:11" s="4" customFormat="1" ht="18" customHeight="1">
      <c r="A152" s="2" t="s">
        <v>469</v>
      </c>
      <c r="B152" s="3"/>
      <c r="C152" s="2"/>
      <c r="D152" s="2" t="s">
        <v>4075</v>
      </c>
      <c r="E152" s="2"/>
      <c r="F152" s="2" t="s">
        <v>3545</v>
      </c>
      <c r="G152" s="2"/>
      <c r="H152" s="2" t="s">
        <v>1507</v>
      </c>
      <c r="I152" s="2"/>
      <c r="J152" s="2" t="s">
        <v>470</v>
      </c>
      <c r="K152" s="2" t="s">
        <v>469</v>
      </c>
    </row>
    <row r="153" spans="1:11" s="4" customFormat="1" ht="18" customHeight="1">
      <c r="A153" s="2" t="s">
        <v>471</v>
      </c>
      <c r="B153" s="3"/>
      <c r="C153" s="2"/>
      <c r="D153" s="2" t="s">
        <v>3276</v>
      </c>
      <c r="E153" s="2"/>
      <c r="F153" s="2" t="s">
        <v>3547</v>
      </c>
      <c r="G153" s="2"/>
      <c r="H153" s="2" t="s">
        <v>3547</v>
      </c>
      <c r="I153" s="2"/>
      <c r="J153" s="2" t="s">
        <v>472</v>
      </c>
      <c r="K153" s="2" t="s">
        <v>471</v>
      </c>
    </row>
    <row r="154" spans="1:11" s="4" customFormat="1" ht="18" customHeight="1">
      <c r="A154" s="2" t="s">
        <v>473</v>
      </c>
      <c r="B154" s="3"/>
      <c r="C154" s="2"/>
      <c r="D154" s="2" t="s">
        <v>1823</v>
      </c>
      <c r="E154" s="2"/>
      <c r="F154" s="2" t="s">
        <v>1562</v>
      </c>
      <c r="G154" s="2"/>
      <c r="H154" s="2" t="s">
        <v>1562</v>
      </c>
      <c r="I154" s="2"/>
      <c r="J154" s="2" t="s">
        <v>474</v>
      </c>
      <c r="K154" s="2" t="s">
        <v>473</v>
      </c>
    </row>
    <row r="155" spans="1:11" s="4" customFormat="1" ht="18" customHeight="1">
      <c r="A155" s="2" t="s">
        <v>475</v>
      </c>
      <c r="B155" s="3"/>
      <c r="C155" s="2"/>
      <c r="D155" s="2" t="s">
        <v>602</v>
      </c>
      <c r="E155" s="2"/>
      <c r="F155" s="2" t="s">
        <v>1562</v>
      </c>
      <c r="G155" s="2"/>
      <c r="H155" s="2" t="s">
        <v>1562</v>
      </c>
      <c r="I155" s="2"/>
      <c r="J155" s="2" t="s">
        <v>476</v>
      </c>
      <c r="K155" s="2" t="s">
        <v>475</v>
      </c>
    </row>
    <row r="156" spans="1:11" s="4" customFormat="1" ht="18" customHeight="1">
      <c r="A156" s="2" t="s">
        <v>477</v>
      </c>
      <c r="B156" s="3"/>
      <c r="C156" s="2"/>
      <c r="D156" s="2" t="s">
        <v>3214</v>
      </c>
      <c r="E156" s="2"/>
      <c r="F156" s="2" t="s">
        <v>381</v>
      </c>
      <c r="G156" s="2"/>
      <c r="H156" s="2" t="s">
        <v>381</v>
      </c>
      <c r="I156" s="2"/>
      <c r="J156" s="2" t="s">
        <v>478</v>
      </c>
      <c r="K156" s="2" t="s">
        <v>477</v>
      </c>
    </row>
    <row r="157" spans="1:11" s="4" customFormat="1" ht="18" customHeight="1">
      <c r="A157" s="2" t="s">
        <v>479</v>
      </c>
      <c r="B157" s="3"/>
      <c r="C157" s="2"/>
      <c r="D157" s="2" t="s">
        <v>3881</v>
      </c>
      <c r="E157" s="2"/>
      <c r="F157" s="2" t="s">
        <v>2818</v>
      </c>
      <c r="G157" s="2"/>
      <c r="H157" s="2" t="s">
        <v>2818</v>
      </c>
      <c r="I157" s="2"/>
      <c r="J157" s="2" t="s">
        <v>480</v>
      </c>
      <c r="K157" s="2" t="s">
        <v>479</v>
      </c>
    </row>
    <row r="158" spans="1:11" s="4" customFormat="1" ht="18" customHeight="1">
      <c r="A158" s="2" t="s">
        <v>481</v>
      </c>
      <c r="B158" s="3"/>
      <c r="C158" s="2"/>
      <c r="D158" s="2" t="s">
        <v>286</v>
      </c>
      <c r="E158" s="2"/>
      <c r="F158" s="2" t="s">
        <v>448</v>
      </c>
      <c r="G158" s="2"/>
      <c r="H158" s="2" t="s">
        <v>448</v>
      </c>
      <c r="I158" s="2"/>
      <c r="J158" s="2" t="s">
        <v>482</v>
      </c>
      <c r="K158" s="2" t="s">
        <v>481</v>
      </c>
    </row>
    <row r="159" spans="1:11" s="4" customFormat="1" ht="18" customHeight="1">
      <c r="A159" s="2" t="s">
        <v>483</v>
      </c>
      <c r="B159" s="3"/>
      <c r="C159" s="2"/>
      <c r="D159" s="2" t="s">
        <v>3721</v>
      </c>
      <c r="E159" s="2"/>
      <c r="F159" s="2" t="s">
        <v>640</v>
      </c>
      <c r="G159" s="2"/>
      <c r="H159" s="2" t="s">
        <v>640</v>
      </c>
      <c r="I159" s="2"/>
      <c r="J159" s="2" t="s">
        <v>484</v>
      </c>
      <c r="K159" s="2" t="s">
        <v>483</v>
      </c>
    </row>
    <row r="160" spans="1:11" s="4" customFormat="1" ht="18" customHeight="1">
      <c r="A160" s="2" t="s">
        <v>485</v>
      </c>
      <c r="B160" s="3"/>
      <c r="C160" s="2"/>
      <c r="D160" s="2" t="s">
        <v>1528</v>
      </c>
      <c r="E160" s="2"/>
      <c r="F160" s="2" t="s">
        <v>640</v>
      </c>
      <c r="G160" s="2"/>
      <c r="H160" s="2" t="s">
        <v>640</v>
      </c>
      <c r="I160" s="2"/>
      <c r="J160" s="2" t="s">
        <v>486</v>
      </c>
      <c r="K160" s="2" t="s">
        <v>485</v>
      </c>
    </row>
    <row r="161" spans="1:11" s="4" customFormat="1" ht="18" customHeight="1">
      <c r="A161" s="2" t="s">
        <v>487</v>
      </c>
      <c r="B161" s="3"/>
      <c r="C161" s="2"/>
      <c r="D161" s="2" t="s">
        <v>494</v>
      </c>
      <c r="E161" s="2"/>
      <c r="F161" s="2" t="s">
        <v>2665</v>
      </c>
      <c r="G161" s="2"/>
      <c r="H161" s="2" t="s">
        <v>2665</v>
      </c>
      <c r="I161" s="2"/>
      <c r="J161" s="2" t="s">
        <v>488</v>
      </c>
      <c r="K161" s="2" t="s">
        <v>487</v>
      </c>
    </row>
    <row r="162" spans="1:11" s="4" customFormat="1" ht="18" customHeight="1">
      <c r="A162" s="2" t="s">
        <v>489</v>
      </c>
      <c r="B162" s="3"/>
      <c r="C162" s="2"/>
      <c r="D162" s="2" t="s">
        <v>3438</v>
      </c>
      <c r="E162" s="2"/>
      <c r="F162" s="2" t="s">
        <v>575</v>
      </c>
      <c r="G162" s="2"/>
      <c r="H162" s="2" t="s">
        <v>575</v>
      </c>
      <c r="I162" s="2"/>
      <c r="J162" s="2" t="s">
        <v>490</v>
      </c>
      <c r="K162" s="2" t="s">
        <v>489</v>
      </c>
    </row>
    <row r="163" spans="1:11" s="4" customFormat="1" ht="18" customHeight="1">
      <c r="A163" s="2" t="s">
        <v>491</v>
      </c>
      <c r="B163" s="3"/>
      <c r="C163" s="2"/>
      <c r="D163" s="2" t="s">
        <v>1188</v>
      </c>
      <c r="E163" s="2"/>
      <c r="F163" s="2" t="s">
        <v>575</v>
      </c>
      <c r="G163" s="2"/>
      <c r="H163" s="2" t="s">
        <v>575</v>
      </c>
      <c r="I163" s="2"/>
      <c r="J163" s="2" t="s">
        <v>492</v>
      </c>
      <c r="K163" s="2" t="s">
        <v>491</v>
      </c>
    </row>
    <row r="164" spans="1:11" s="4" customFormat="1" ht="18" customHeight="1">
      <c r="A164" s="2" t="s">
        <v>493</v>
      </c>
      <c r="B164" s="3"/>
      <c r="C164" s="2"/>
      <c r="D164" s="2" t="s">
        <v>1586</v>
      </c>
      <c r="E164" s="2"/>
      <c r="F164" s="2" t="s">
        <v>575</v>
      </c>
      <c r="G164" s="2"/>
      <c r="H164" s="2" t="s">
        <v>575</v>
      </c>
      <c r="I164" s="2"/>
      <c r="J164" s="2" t="s">
        <v>494</v>
      </c>
      <c r="K164" s="2" t="s">
        <v>493</v>
      </c>
    </row>
    <row r="165" spans="1:11" s="4" customFormat="1" ht="18" customHeight="1">
      <c r="A165" s="2" t="s">
        <v>495</v>
      </c>
      <c r="B165" s="3"/>
      <c r="C165" s="2"/>
      <c r="D165" s="2" t="s">
        <v>3733</v>
      </c>
      <c r="E165" s="2"/>
      <c r="F165" s="2" t="s">
        <v>1008</v>
      </c>
      <c r="G165" s="2"/>
      <c r="H165" s="2" t="s">
        <v>1008</v>
      </c>
      <c r="I165" s="2"/>
      <c r="J165" s="2" t="s">
        <v>496</v>
      </c>
      <c r="K165" s="2" t="s">
        <v>495</v>
      </c>
    </row>
    <row r="166" spans="1:11" s="4" customFormat="1" ht="18" customHeight="1">
      <c r="A166" s="2" t="s">
        <v>498</v>
      </c>
      <c r="B166" s="3"/>
      <c r="C166" s="2"/>
      <c r="D166" s="2" t="s">
        <v>2689</v>
      </c>
      <c r="E166" s="2"/>
      <c r="F166" s="2" t="s">
        <v>3681</v>
      </c>
      <c r="G166" s="2"/>
      <c r="H166" s="2" t="s">
        <v>3681</v>
      </c>
      <c r="I166" s="2"/>
      <c r="J166" s="2" t="s">
        <v>499</v>
      </c>
      <c r="K166" s="2" t="s">
        <v>498</v>
      </c>
    </row>
    <row r="167" spans="1:11" s="4" customFormat="1" ht="18" customHeight="1">
      <c r="A167" s="2" t="s">
        <v>500</v>
      </c>
      <c r="B167" s="3"/>
      <c r="C167" s="2"/>
      <c r="D167" s="2" t="s">
        <v>3743</v>
      </c>
      <c r="E167" s="2"/>
      <c r="F167" s="2" t="s">
        <v>3737</v>
      </c>
      <c r="G167" s="2"/>
      <c r="H167" s="2" t="s">
        <v>3738</v>
      </c>
      <c r="I167" s="2"/>
      <c r="J167" s="2" t="s">
        <v>501</v>
      </c>
      <c r="K167" s="2" t="s">
        <v>500</v>
      </c>
    </row>
    <row r="168" spans="1:11" s="4" customFormat="1" ht="18" customHeight="1">
      <c r="A168" s="2" t="s">
        <v>502</v>
      </c>
      <c r="B168" s="3"/>
      <c r="C168" s="2"/>
      <c r="D168" s="2" t="s">
        <v>622</v>
      </c>
      <c r="E168" s="2"/>
      <c r="F168" s="2" t="s">
        <v>3907</v>
      </c>
      <c r="G168" s="2"/>
      <c r="H168" s="2" t="s">
        <v>3907</v>
      </c>
      <c r="I168" s="2"/>
      <c r="J168" s="2" t="s">
        <v>503</v>
      </c>
      <c r="K168" s="2" t="s">
        <v>502</v>
      </c>
    </row>
    <row r="169" spans="1:11" s="4" customFormat="1" ht="18" customHeight="1">
      <c r="A169" s="2" t="s">
        <v>504</v>
      </c>
      <c r="B169" s="3"/>
      <c r="C169" s="2"/>
      <c r="D169" s="2" t="s">
        <v>527</v>
      </c>
      <c r="E169" s="2"/>
      <c r="F169" s="2" t="s">
        <v>625</v>
      </c>
      <c r="G169" s="2"/>
      <c r="H169" s="2" t="s">
        <v>626</v>
      </c>
      <c r="I169" s="2"/>
      <c r="J169" s="2" t="s">
        <v>505</v>
      </c>
      <c r="K169" s="2" t="s">
        <v>504</v>
      </c>
    </row>
    <row r="170" spans="1:11" s="4" customFormat="1" ht="18" customHeight="1">
      <c r="A170" s="2" t="s">
        <v>507</v>
      </c>
      <c r="B170" s="3"/>
      <c r="C170" s="2"/>
      <c r="D170" s="2" t="s">
        <v>2707</v>
      </c>
      <c r="E170" s="2"/>
      <c r="F170" s="2" t="s">
        <v>1379</v>
      </c>
      <c r="G170" s="2"/>
      <c r="H170" s="2" t="s">
        <v>1379</v>
      </c>
      <c r="I170" s="2"/>
      <c r="J170" s="2" t="s">
        <v>508</v>
      </c>
      <c r="K170" s="2" t="s">
        <v>507</v>
      </c>
    </row>
    <row r="171" spans="1:11" s="4" customFormat="1" ht="18" customHeight="1">
      <c r="A171" s="2" t="s">
        <v>509</v>
      </c>
      <c r="B171" s="3"/>
      <c r="C171" s="2"/>
      <c r="D171" s="2" t="s">
        <v>2497</v>
      </c>
      <c r="E171" s="2"/>
      <c r="F171" s="2" t="s">
        <v>2711</v>
      </c>
      <c r="G171" s="2"/>
      <c r="H171" s="2" t="s">
        <v>2711</v>
      </c>
      <c r="I171" s="2"/>
      <c r="J171" s="2" t="s">
        <v>510</v>
      </c>
      <c r="K171" s="2" t="s">
        <v>509</v>
      </c>
    </row>
    <row r="172" spans="1:11" s="4" customFormat="1" ht="18" customHeight="1">
      <c r="A172" s="2" t="s">
        <v>511</v>
      </c>
      <c r="B172" s="3"/>
      <c r="C172" s="2"/>
      <c r="D172" s="2" t="s">
        <v>3543</v>
      </c>
      <c r="E172" s="2"/>
      <c r="F172" s="2" t="s">
        <v>1661</v>
      </c>
      <c r="G172" s="2"/>
      <c r="H172" s="2" t="s">
        <v>1661</v>
      </c>
      <c r="I172" s="2"/>
      <c r="J172" s="2" t="s">
        <v>513</v>
      </c>
      <c r="K172" s="2" t="s">
        <v>511</v>
      </c>
    </row>
    <row r="173" spans="1:11" s="4" customFormat="1" ht="18" customHeight="1">
      <c r="A173" s="2" t="s">
        <v>514</v>
      </c>
      <c r="B173" s="3"/>
      <c r="C173" s="2"/>
      <c r="D173" s="2" t="s">
        <v>642</v>
      </c>
      <c r="E173" s="2"/>
      <c r="F173" s="2" t="s">
        <v>3097</v>
      </c>
      <c r="G173" s="2"/>
      <c r="H173" s="2" t="s">
        <v>3097</v>
      </c>
      <c r="I173" s="2"/>
      <c r="J173" s="2" t="s">
        <v>398</v>
      </c>
      <c r="K173" s="2" t="s">
        <v>514</v>
      </c>
    </row>
    <row r="174" spans="1:11" s="4" customFormat="1" ht="18" customHeight="1">
      <c r="A174" s="2" t="s">
        <v>515</v>
      </c>
      <c r="B174" s="3"/>
      <c r="C174" s="2"/>
      <c r="D174" s="2" t="s">
        <v>520</v>
      </c>
      <c r="E174" s="2"/>
      <c r="F174" s="2" t="s">
        <v>2227</v>
      </c>
      <c r="G174" s="2"/>
      <c r="H174" s="2" t="s">
        <v>2227</v>
      </c>
      <c r="I174" s="2"/>
      <c r="J174" s="2" t="s">
        <v>516</v>
      </c>
      <c r="K174" s="2" t="s">
        <v>515</v>
      </c>
    </row>
    <row r="175" spans="1:11" s="4" customFormat="1" ht="18" customHeight="1">
      <c r="A175" s="2" t="s">
        <v>517</v>
      </c>
      <c r="B175" s="3"/>
      <c r="C175" s="2"/>
      <c r="D175" s="2" t="s">
        <v>3513</v>
      </c>
      <c r="E175" s="2"/>
      <c r="F175" s="2" t="s">
        <v>955</v>
      </c>
      <c r="G175" s="2"/>
      <c r="H175" s="2" t="s">
        <v>955</v>
      </c>
      <c r="I175" s="2"/>
      <c r="J175" s="2" t="s">
        <v>512</v>
      </c>
      <c r="K175" s="2" t="s">
        <v>517</v>
      </c>
    </row>
    <row r="176" spans="1:11" s="4" customFormat="1" ht="18" customHeight="1">
      <c r="A176" s="2" t="s">
        <v>518</v>
      </c>
      <c r="B176" s="3"/>
      <c r="C176" s="2"/>
      <c r="D176" s="2" t="s">
        <v>3943</v>
      </c>
      <c r="E176" s="2"/>
      <c r="F176" s="2" t="s">
        <v>3261</v>
      </c>
      <c r="G176" s="2"/>
      <c r="H176" s="2" t="s">
        <v>3262</v>
      </c>
      <c r="I176" s="2"/>
      <c r="J176" s="2" t="s">
        <v>519</v>
      </c>
      <c r="K176" s="2" t="s">
        <v>518</v>
      </c>
    </row>
    <row r="177" spans="1:11" s="4" customFormat="1" ht="18" customHeight="1">
      <c r="A177" s="2" t="s">
        <v>521</v>
      </c>
      <c r="B177" s="3"/>
      <c r="C177" s="2"/>
      <c r="D177" s="2" t="s">
        <v>3311</v>
      </c>
      <c r="E177" s="2"/>
      <c r="F177" s="2" t="s">
        <v>1812</v>
      </c>
      <c r="G177" s="2"/>
      <c r="H177" s="2" t="s">
        <v>1812</v>
      </c>
      <c r="I177" s="2"/>
      <c r="J177" s="2" t="s">
        <v>522</v>
      </c>
      <c r="K177" s="2" t="s">
        <v>521</v>
      </c>
    </row>
    <row r="178" spans="1:11" s="4" customFormat="1" ht="18" customHeight="1">
      <c r="A178" s="2" t="s">
        <v>523</v>
      </c>
      <c r="B178" s="3"/>
      <c r="C178" s="2"/>
      <c r="D178" s="2" t="s">
        <v>3529</v>
      </c>
      <c r="E178" s="2"/>
      <c r="F178" s="2" t="s">
        <v>3969</v>
      </c>
      <c r="G178" s="2"/>
      <c r="H178" s="2" t="s">
        <v>3969</v>
      </c>
      <c r="I178" s="2"/>
      <c r="J178" s="2" t="s">
        <v>524</v>
      </c>
      <c r="K178" s="2" t="s">
        <v>523</v>
      </c>
    </row>
    <row r="179" spans="1:11" s="4" customFormat="1" ht="18" customHeight="1">
      <c r="A179" s="2" t="s">
        <v>526</v>
      </c>
      <c r="B179" s="3"/>
      <c r="C179" s="2"/>
      <c r="D179" s="2" t="s">
        <v>3289</v>
      </c>
      <c r="E179" s="2"/>
      <c r="F179" s="2" t="s">
        <v>1901</v>
      </c>
      <c r="G179" s="2"/>
      <c r="H179" s="2" t="s">
        <v>1901</v>
      </c>
      <c r="I179" s="2"/>
      <c r="J179" s="2" t="s">
        <v>527</v>
      </c>
      <c r="K179" s="2" t="s">
        <v>526</v>
      </c>
    </row>
    <row r="180" spans="1:11" s="4" customFormat="1" ht="18" customHeight="1">
      <c r="A180" s="2" t="s">
        <v>529</v>
      </c>
      <c r="B180" s="3"/>
      <c r="C180" s="2"/>
      <c r="D180" s="2" t="s">
        <v>3987</v>
      </c>
      <c r="E180" s="2"/>
      <c r="F180" s="2" t="s">
        <v>1377</v>
      </c>
      <c r="G180" s="2"/>
      <c r="H180" s="2" t="s">
        <v>1377</v>
      </c>
      <c r="I180" s="2"/>
      <c r="J180" s="2" t="s">
        <v>530</v>
      </c>
      <c r="K180" s="2" t="s">
        <v>529</v>
      </c>
    </row>
    <row r="181" spans="1:11" s="4" customFormat="1" ht="18" customHeight="1">
      <c r="A181" s="2" t="s">
        <v>531</v>
      </c>
      <c r="B181" s="3"/>
      <c r="C181" s="2"/>
      <c r="D181" s="2" t="s">
        <v>2519</v>
      </c>
      <c r="E181" s="2"/>
      <c r="F181" s="2" t="s">
        <v>391</v>
      </c>
      <c r="G181" s="2"/>
      <c r="H181" s="2" t="s">
        <v>391</v>
      </c>
      <c r="I181" s="2"/>
      <c r="J181" s="2" t="s">
        <v>532</v>
      </c>
      <c r="K181" s="2" t="s">
        <v>531</v>
      </c>
    </row>
    <row r="182" spans="1:11" s="4" customFormat="1" ht="18" customHeight="1">
      <c r="A182" s="2" t="s">
        <v>533</v>
      </c>
      <c r="B182" s="3"/>
      <c r="C182" s="2"/>
      <c r="D182" s="2" t="s">
        <v>2017</v>
      </c>
      <c r="E182" s="2"/>
      <c r="F182" s="2" t="s">
        <v>1356</v>
      </c>
      <c r="G182" s="2"/>
      <c r="H182" s="2" t="s">
        <v>1356</v>
      </c>
      <c r="I182" s="2"/>
      <c r="J182" s="2" t="s">
        <v>535</v>
      </c>
      <c r="K182" s="2" t="s">
        <v>533</v>
      </c>
    </row>
    <row r="183" spans="1:11" s="4" customFormat="1" ht="18" customHeight="1">
      <c r="A183" s="2" t="s">
        <v>536</v>
      </c>
      <c r="B183" s="3"/>
      <c r="C183" s="2"/>
      <c r="D183" s="2" t="s">
        <v>3932</v>
      </c>
      <c r="E183" s="2"/>
      <c r="F183" s="2" t="s">
        <v>343</v>
      </c>
      <c r="G183" s="2"/>
      <c r="H183" s="2" t="s">
        <v>343</v>
      </c>
      <c r="I183" s="2"/>
      <c r="J183" s="2" t="s">
        <v>537</v>
      </c>
      <c r="K183" s="2" t="s">
        <v>536</v>
      </c>
    </row>
    <row r="184" spans="1:11" s="4" customFormat="1" ht="18" customHeight="1">
      <c r="A184" s="2" t="s">
        <v>538</v>
      </c>
      <c r="B184" s="3"/>
      <c r="C184" s="2"/>
      <c r="D184" s="2" t="s">
        <v>2574</v>
      </c>
      <c r="E184" s="2"/>
      <c r="F184" s="2" t="s">
        <v>316</v>
      </c>
      <c r="G184" s="2"/>
      <c r="H184" s="2" t="s">
        <v>316</v>
      </c>
      <c r="I184" s="2"/>
      <c r="J184" s="2" t="s">
        <v>539</v>
      </c>
      <c r="K184" s="2" t="s">
        <v>538</v>
      </c>
    </row>
    <row r="185" spans="1:11" s="4" customFormat="1" ht="18" customHeight="1">
      <c r="A185" s="2" t="s">
        <v>541</v>
      </c>
      <c r="B185" s="3"/>
      <c r="C185" s="2"/>
      <c r="D185" s="2" t="s">
        <v>4004</v>
      </c>
      <c r="E185" s="2"/>
      <c r="F185" s="2" t="s">
        <v>2903</v>
      </c>
      <c r="G185" s="2"/>
      <c r="H185" s="2" t="s">
        <v>2903</v>
      </c>
      <c r="I185" s="2"/>
      <c r="J185" s="2" t="s">
        <v>542</v>
      </c>
      <c r="K185" s="2" t="s">
        <v>541</v>
      </c>
    </row>
    <row r="186" spans="1:11" s="4" customFormat="1" ht="18" customHeight="1">
      <c r="A186" s="2" t="s">
        <v>544</v>
      </c>
      <c r="B186" s="3"/>
      <c r="C186" s="2"/>
      <c r="D186" s="2" t="s">
        <v>3245</v>
      </c>
      <c r="E186" s="2"/>
      <c r="F186" s="2" t="s">
        <v>472</v>
      </c>
      <c r="G186" s="2"/>
      <c r="H186" s="2" t="s">
        <v>472</v>
      </c>
      <c r="I186" s="2"/>
      <c r="J186" s="2" t="s">
        <v>545</v>
      </c>
      <c r="K186" s="2" t="s">
        <v>544</v>
      </c>
    </row>
    <row r="187" spans="1:11" s="4" customFormat="1" ht="18" customHeight="1">
      <c r="A187" s="2" t="s">
        <v>546</v>
      </c>
      <c r="B187" s="3"/>
      <c r="C187" s="2"/>
      <c r="D187" s="2" t="s">
        <v>1847</v>
      </c>
      <c r="E187" s="2"/>
      <c r="F187" s="2" t="s">
        <v>2628</v>
      </c>
      <c r="G187" s="2"/>
      <c r="H187" s="2" t="s">
        <v>2628</v>
      </c>
      <c r="I187" s="2"/>
      <c r="J187" s="2" t="s">
        <v>547</v>
      </c>
      <c r="K187" s="2" t="s">
        <v>546</v>
      </c>
    </row>
    <row r="188" spans="1:11" s="4" customFormat="1" ht="18" customHeight="1">
      <c r="A188" s="2" t="s">
        <v>548</v>
      </c>
      <c r="B188" s="3"/>
      <c r="C188" s="2"/>
      <c r="D188" s="2" t="s">
        <v>313</v>
      </c>
      <c r="E188" s="2"/>
      <c r="F188" s="2" t="s">
        <v>3947</v>
      </c>
      <c r="G188" s="2"/>
      <c r="H188" s="2" t="s">
        <v>3947</v>
      </c>
      <c r="I188" s="2"/>
      <c r="J188" s="2" t="s">
        <v>549</v>
      </c>
      <c r="K188" s="2" t="s">
        <v>548</v>
      </c>
    </row>
    <row r="189" spans="1:11" s="4" customFormat="1" ht="18" customHeight="1">
      <c r="A189" s="2" t="s">
        <v>550</v>
      </c>
      <c r="B189" s="3"/>
      <c r="C189" s="2"/>
      <c r="D189" s="2" t="s">
        <v>1314</v>
      </c>
      <c r="E189" s="2"/>
      <c r="F189" s="2" t="s">
        <v>2931</v>
      </c>
      <c r="G189" s="2"/>
      <c r="H189" s="2" t="s">
        <v>2931</v>
      </c>
      <c r="I189" s="2"/>
      <c r="J189" s="2" t="s">
        <v>551</v>
      </c>
      <c r="K189" s="2" t="s">
        <v>550</v>
      </c>
    </row>
    <row r="190" spans="1:11" s="4" customFormat="1" ht="18" customHeight="1">
      <c r="A190" s="2" t="s">
        <v>552</v>
      </c>
      <c r="B190" s="3"/>
      <c r="C190" s="2"/>
      <c r="D190" s="2" t="s">
        <v>1340</v>
      </c>
      <c r="E190" s="2"/>
      <c r="F190" s="2" t="s">
        <v>3683</v>
      </c>
      <c r="G190" s="2"/>
      <c r="H190" s="2" t="s">
        <v>3683</v>
      </c>
      <c r="I190" s="2"/>
      <c r="J190" s="2" t="s">
        <v>553</v>
      </c>
      <c r="K190" s="2" t="s">
        <v>552</v>
      </c>
    </row>
    <row r="191" spans="1:11" s="4" customFormat="1" ht="18" customHeight="1">
      <c r="A191" s="2" t="s">
        <v>554</v>
      </c>
      <c r="B191" s="3"/>
      <c r="C191" s="2"/>
      <c r="D191" s="2" t="s">
        <v>2730</v>
      </c>
      <c r="E191" s="2"/>
      <c r="F191" s="2" t="s">
        <v>1675</v>
      </c>
      <c r="G191" s="2"/>
      <c r="H191" s="2" t="s">
        <v>1675</v>
      </c>
      <c r="I191" s="2"/>
      <c r="J191" s="2" t="s">
        <v>555</v>
      </c>
      <c r="K191" s="2" t="s">
        <v>554</v>
      </c>
    </row>
    <row r="192" spans="1:11" s="4" customFormat="1" ht="18" customHeight="1">
      <c r="A192" s="2" t="s">
        <v>556</v>
      </c>
      <c r="B192" s="3"/>
      <c r="C192" s="2"/>
      <c r="D192" s="2" t="s">
        <v>2224</v>
      </c>
      <c r="E192" s="2"/>
      <c r="F192" s="2" t="s">
        <v>3054</v>
      </c>
      <c r="G192" s="2"/>
      <c r="H192" s="2" t="s">
        <v>3054</v>
      </c>
      <c r="I192" s="2"/>
      <c r="J192" s="2" t="s">
        <v>343</v>
      </c>
      <c r="K192" s="2" t="s">
        <v>556</v>
      </c>
    </row>
    <row r="193" spans="1:11" s="4" customFormat="1" ht="18" customHeight="1">
      <c r="A193" s="2" t="s">
        <v>557</v>
      </c>
      <c r="B193" s="3"/>
      <c r="C193" s="2"/>
      <c r="D193" s="2" t="s">
        <v>1892</v>
      </c>
      <c r="E193" s="2"/>
      <c r="F193" s="2" t="s">
        <v>2987</v>
      </c>
      <c r="G193" s="2"/>
      <c r="H193" s="2" t="s">
        <v>2987</v>
      </c>
      <c r="I193" s="2"/>
      <c r="J193" s="2" t="s">
        <v>558</v>
      </c>
      <c r="K193" s="2" t="s">
        <v>557</v>
      </c>
    </row>
    <row r="194" spans="1:11" s="4" customFormat="1" ht="18" customHeight="1">
      <c r="A194" s="2" t="s">
        <v>559</v>
      </c>
      <c r="B194" s="3"/>
      <c r="C194" s="2"/>
      <c r="D194" s="2" t="s">
        <v>2488</v>
      </c>
      <c r="E194" s="2"/>
      <c r="F194" s="2" t="s">
        <v>1010</v>
      </c>
      <c r="G194" s="2"/>
      <c r="H194" s="2" t="s">
        <v>1010</v>
      </c>
      <c r="I194" s="2"/>
      <c r="J194" s="2" t="s">
        <v>560</v>
      </c>
      <c r="K194" s="2" t="s">
        <v>559</v>
      </c>
    </row>
    <row r="195" spans="1:11" s="4" customFormat="1" ht="18" customHeight="1">
      <c r="A195" s="2" t="s">
        <v>561</v>
      </c>
      <c r="B195" s="3"/>
      <c r="C195" s="2"/>
      <c r="D195" s="2" t="s">
        <v>665</v>
      </c>
      <c r="E195" s="2"/>
      <c r="F195" s="2" t="s">
        <v>1915</v>
      </c>
      <c r="G195" s="2"/>
      <c r="H195" s="2" t="s">
        <v>1915</v>
      </c>
      <c r="I195" s="2"/>
      <c r="J195" s="2" t="s">
        <v>562</v>
      </c>
      <c r="K195" s="2" t="s">
        <v>561</v>
      </c>
    </row>
    <row r="196" spans="1:11" s="4" customFormat="1" ht="18" customHeight="1">
      <c r="A196" s="2" t="s">
        <v>563</v>
      </c>
      <c r="B196" s="3"/>
      <c r="C196" s="2"/>
      <c r="D196" s="2" t="s">
        <v>3765</v>
      </c>
      <c r="E196" s="2"/>
      <c r="F196" s="2" t="s">
        <v>1616</v>
      </c>
      <c r="G196" s="2"/>
      <c r="H196" s="2" t="s">
        <v>1616</v>
      </c>
      <c r="I196" s="2"/>
      <c r="J196" s="2" t="s">
        <v>564</v>
      </c>
      <c r="K196" s="2" t="s">
        <v>563</v>
      </c>
    </row>
    <row r="197" spans="1:11" s="4" customFormat="1" ht="18" customHeight="1">
      <c r="A197" s="2" t="s">
        <v>565</v>
      </c>
      <c r="B197" s="3"/>
      <c r="C197" s="2"/>
      <c r="D197" s="2" t="s">
        <v>4026</v>
      </c>
      <c r="E197" s="2"/>
      <c r="F197" s="2" t="s">
        <v>1472</v>
      </c>
      <c r="G197" s="2"/>
      <c r="H197" s="2" t="s">
        <v>1472</v>
      </c>
      <c r="I197" s="2"/>
      <c r="J197" s="2" t="s">
        <v>566</v>
      </c>
      <c r="K197" s="2" t="s">
        <v>565</v>
      </c>
    </row>
    <row r="198" spans="1:11" s="4" customFormat="1" ht="18" customHeight="1">
      <c r="A198" s="2" t="s">
        <v>568</v>
      </c>
      <c r="B198" s="3"/>
      <c r="C198" s="2"/>
      <c r="D198" s="3"/>
      <c r="E198" s="2"/>
      <c r="F198" s="2" t="s">
        <v>4035</v>
      </c>
      <c r="G198" s="2"/>
      <c r="H198" s="2" t="s">
        <v>4036</v>
      </c>
      <c r="I198" s="2"/>
      <c r="J198" s="2" t="s">
        <v>569</v>
      </c>
      <c r="K198" s="2" t="s">
        <v>568</v>
      </c>
    </row>
    <row r="199" spans="1:11" s="4" customFormat="1" ht="18" customHeight="1">
      <c r="A199" s="2" t="s">
        <v>571</v>
      </c>
      <c r="B199" s="3"/>
      <c r="C199" s="2"/>
      <c r="D199" s="3"/>
      <c r="E199" s="2"/>
      <c r="F199" s="2" t="s">
        <v>1564</v>
      </c>
      <c r="G199" s="2"/>
      <c r="H199" s="2" t="s">
        <v>1564</v>
      </c>
      <c r="I199" s="2"/>
      <c r="J199" s="2" t="s">
        <v>572</v>
      </c>
      <c r="K199" s="2" t="s">
        <v>571</v>
      </c>
    </row>
    <row r="200" spans="1:11" s="4" customFormat="1" ht="18" customHeight="1">
      <c r="A200" s="2" t="s">
        <v>573</v>
      </c>
      <c r="B200" s="3"/>
      <c r="C200" s="2"/>
      <c r="D200" s="3"/>
      <c r="E200" s="2"/>
      <c r="F200" s="2" t="s">
        <v>3784</v>
      </c>
      <c r="G200" s="2"/>
      <c r="H200" s="2" t="s">
        <v>3784</v>
      </c>
      <c r="I200" s="2"/>
      <c r="J200" s="2" t="s">
        <v>575</v>
      </c>
      <c r="K200" s="2" t="s">
        <v>573</v>
      </c>
    </row>
    <row r="201" spans="1:11" s="4" customFormat="1" ht="18" customHeight="1">
      <c r="A201" s="2" t="s">
        <v>576</v>
      </c>
      <c r="B201" s="3"/>
      <c r="C201" s="2"/>
      <c r="D201" s="3"/>
      <c r="E201" s="2"/>
      <c r="F201" s="2" t="s">
        <v>925</v>
      </c>
      <c r="G201" s="2"/>
      <c r="H201" s="2" t="s">
        <v>925</v>
      </c>
      <c r="I201" s="2"/>
      <c r="J201" s="2" t="s">
        <v>381</v>
      </c>
      <c r="K201" s="2" t="s">
        <v>576</v>
      </c>
    </row>
    <row r="202" spans="1:11" s="4" customFormat="1" ht="18" customHeight="1">
      <c r="A202" s="2" t="s">
        <v>577</v>
      </c>
      <c r="B202" s="3"/>
      <c r="C202" s="2"/>
      <c r="D202" s="3"/>
      <c r="E202" s="2"/>
      <c r="F202" s="2" t="s">
        <v>1828</v>
      </c>
      <c r="G202" s="2"/>
      <c r="H202" s="2" t="s">
        <v>1829</v>
      </c>
      <c r="I202" s="2"/>
      <c r="J202" s="2" t="s">
        <v>578</v>
      </c>
      <c r="K202" s="2" t="s">
        <v>577</v>
      </c>
    </row>
    <row r="203" spans="1:11" s="4" customFormat="1" ht="18" customHeight="1">
      <c r="A203" s="2" t="s">
        <v>579</v>
      </c>
      <c r="B203" s="3"/>
      <c r="C203" s="2"/>
      <c r="D203" s="3"/>
      <c r="E203" s="2"/>
      <c r="F203" s="2" t="s">
        <v>3971</v>
      </c>
      <c r="G203" s="2"/>
      <c r="H203" s="2" t="s">
        <v>3972</v>
      </c>
      <c r="I203" s="2"/>
      <c r="J203" s="2" t="s">
        <v>580</v>
      </c>
      <c r="K203" s="2" t="s">
        <v>579</v>
      </c>
    </row>
    <row r="204" spans="1:11" s="4" customFormat="1" ht="18" customHeight="1">
      <c r="A204" s="2" t="s">
        <v>581</v>
      </c>
      <c r="B204" s="3"/>
      <c r="C204" s="2"/>
      <c r="D204" s="3"/>
      <c r="E204" s="2"/>
      <c r="F204" s="2" t="s">
        <v>3594</v>
      </c>
      <c r="G204" s="2"/>
      <c r="H204" s="2" t="s">
        <v>3594</v>
      </c>
      <c r="I204" s="2"/>
      <c r="J204" s="2" t="s">
        <v>582</v>
      </c>
      <c r="K204" s="2" t="s">
        <v>581</v>
      </c>
    </row>
    <row r="205" spans="1:11" s="4" customFormat="1" ht="18" customHeight="1">
      <c r="A205" s="2" t="s">
        <v>583</v>
      </c>
      <c r="B205" s="3"/>
      <c r="C205" s="2"/>
      <c r="D205" s="3"/>
      <c r="E205" s="2"/>
      <c r="F205" s="2" t="s">
        <v>3853</v>
      </c>
      <c r="G205" s="2"/>
      <c r="H205" s="2" t="s">
        <v>3853</v>
      </c>
      <c r="I205" s="2"/>
      <c r="J205" s="2" t="s">
        <v>584</v>
      </c>
      <c r="K205" s="2" t="s">
        <v>583</v>
      </c>
    </row>
    <row r="206" spans="1:11" s="4" customFormat="1" ht="18" customHeight="1">
      <c r="A206" s="2" t="s">
        <v>585</v>
      </c>
      <c r="B206" s="3"/>
      <c r="C206" s="2"/>
      <c r="D206" s="3"/>
      <c r="E206" s="2"/>
      <c r="F206" s="2" t="s">
        <v>238</v>
      </c>
      <c r="G206" s="2"/>
      <c r="H206" s="2" t="s">
        <v>238</v>
      </c>
      <c r="I206" s="2"/>
      <c r="J206" s="2" t="s">
        <v>586</v>
      </c>
      <c r="K206" s="2" t="s">
        <v>585</v>
      </c>
    </row>
    <row r="207" spans="1:11" s="4" customFormat="1" ht="18" customHeight="1">
      <c r="A207" s="2" t="s">
        <v>587</v>
      </c>
      <c r="B207" s="3"/>
      <c r="C207" s="2"/>
      <c r="D207" s="3"/>
      <c r="E207" s="2"/>
      <c r="F207" s="2" t="s">
        <v>4038</v>
      </c>
      <c r="G207" s="2"/>
      <c r="H207" s="2" t="s">
        <v>4039</v>
      </c>
      <c r="I207" s="2"/>
      <c r="J207" s="2" t="s">
        <v>574</v>
      </c>
      <c r="K207" s="2" t="s">
        <v>587</v>
      </c>
    </row>
    <row r="208" spans="1:11" s="4" customFormat="1" ht="18" customHeight="1">
      <c r="A208" s="2" t="s">
        <v>588</v>
      </c>
      <c r="B208" s="3"/>
      <c r="C208" s="2"/>
      <c r="D208" s="3"/>
      <c r="E208" s="2"/>
      <c r="F208" s="2" t="s">
        <v>1323</v>
      </c>
      <c r="G208" s="2"/>
      <c r="H208" s="2" t="s">
        <v>1323</v>
      </c>
      <c r="I208" s="2"/>
      <c r="J208" s="2" t="s">
        <v>589</v>
      </c>
      <c r="K208" s="2" t="s">
        <v>588</v>
      </c>
    </row>
    <row r="209" spans="1:11" s="4" customFormat="1" ht="18" customHeight="1">
      <c r="A209" s="2" t="s">
        <v>590</v>
      </c>
      <c r="B209" s="3"/>
      <c r="C209" s="2"/>
      <c r="D209" s="3"/>
      <c r="E209" s="2"/>
      <c r="F209" s="2" t="s">
        <v>1177</v>
      </c>
      <c r="G209" s="2"/>
      <c r="H209" s="2" t="s">
        <v>1177</v>
      </c>
      <c r="I209" s="2"/>
      <c r="J209" s="2" t="s">
        <v>306</v>
      </c>
      <c r="K209" s="2" t="s">
        <v>590</v>
      </c>
    </row>
    <row r="210" spans="1:11" s="4" customFormat="1" ht="18" customHeight="1">
      <c r="A210" s="2" t="s">
        <v>591</v>
      </c>
      <c r="B210" s="3"/>
      <c r="C210" s="2"/>
      <c r="D210" s="3"/>
      <c r="E210" s="2"/>
      <c r="F210" s="2" t="s">
        <v>2124</v>
      </c>
      <c r="G210" s="2"/>
      <c r="H210" s="2" t="s">
        <v>2124</v>
      </c>
      <c r="I210" s="2"/>
      <c r="J210" s="2" t="s">
        <v>592</v>
      </c>
      <c r="K210" s="2" t="s">
        <v>591</v>
      </c>
    </row>
    <row r="211" spans="1:11" s="4" customFormat="1" ht="18" customHeight="1">
      <c r="A211" s="2" t="s">
        <v>593</v>
      </c>
      <c r="B211" s="3"/>
      <c r="C211" s="2"/>
      <c r="D211" s="3"/>
      <c r="E211" s="2"/>
      <c r="F211" s="2" t="s">
        <v>3460</v>
      </c>
      <c r="G211" s="2"/>
      <c r="H211" s="2" t="s">
        <v>3460</v>
      </c>
      <c r="I211" s="2"/>
      <c r="J211" s="2" t="s">
        <v>594</v>
      </c>
      <c r="K211" s="2" t="s">
        <v>593</v>
      </c>
    </row>
    <row r="212" spans="1:11" s="4" customFormat="1" ht="18" customHeight="1">
      <c r="A212" s="2" t="s">
        <v>595</v>
      </c>
      <c r="B212" s="3"/>
      <c r="C212" s="2"/>
      <c r="D212" s="3"/>
      <c r="E212" s="2"/>
      <c r="F212" s="2" t="s">
        <v>2428</v>
      </c>
      <c r="G212" s="2"/>
      <c r="H212" s="2" t="s">
        <v>2428</v>
      </c>
      <c r="I212" s="2"/>
      <c r="J212" s="2" t="s">
        <v>596</v>
      </c>
      <c r="K212" s="2" t="s">
        <v>595</v>
      </c>
    </row>
    <row r="213" spans="1:11" s="4" customFormat="1" ht="18" customHeight="1">
      <c r="A213" s="2" t="s">
        <v>597</v>
      </c>
      <c r="B213" s="3"/>
      <c r="C213" s="2"/>
      <c r="D213" s="3"/>
      <c r="E213" s="2"/>
      <c r="F213" s="2" t="s">
        <v>3967</v>
      </c>
      <c r="G213" s="2"/>
      <c r="H213" s="2" t="s">
        <v>3967</v>
      </c>
      <c r="I213" s="2"/>
      <c r="J213" s="2" t="s">
        <v>598</v>
      </c>
      <c r="K213" s="2" t="s">
        <v>597</v>
      </c>
    </row>
    <row r="214" spans="1:11" s="4" customFormat="1" ht="18" customHeight="1">
      <c r="A214" s="2" t="s">
        <v>599</v>
      </c>
      <c r="B214" s="3"/>
      <c r="C214" s="2"/>
      <c r="D214" s="3"/>
      <c r="E214" s="2"/>
      <c r="F214" s="2" t="s">
        <v>1136</v>
      </c>
      <c r="G214" s="2"/>
      <c r="H214" s="2" t="s">
        <v>1136</v>
      </c>
      <c r="I214" s="2"/>
      <c r="J214" s="2" t="s">
        <v>600</v>
      </c>
      <c r="K214" s="2" t="s">
        <v>599</v>
      </c>
    </row>
    <row r="215" spans="1:11" s="4" customFormat="1" ht="18" customHeight="1">
      <c r="A215" s="2" t="s">
        <v>601</v>
      </c>
      <c r="B215" s="3"/>
      <c r="C215" s="2"/>
      <c r="D215" s="3"/>
      <c r="E215" s="2"/>
      <c r="F215" s="2" t="s">
        <v>393</v>
      </c>
      <c r="G215" s="2"/>
      <c r="H215" s="2" t="s">
        <v>393</v>
      </c>
      <c r="I215" s="2"/>
      <c r="J215" s="2" t="s">
        <v>602</v>
      </c>
      <c r="K215" s="2" t="s">
        <v>601</v>
      </c>
    </row>
    <row r="216" spans="1:11" s="4" customFormat="1" ht="18" customHeight="1">
      <c r="A216" s="2" t="s">
        <v>603</v>
      </c>
      <c r="B216" s="3"/>
      <c r="C216" s="2"/>
      <c r="D216" s="3"/>
      <c r="E216" s="2"/>
      <c r="F216" s="2" t="s">
        <v>4023</v>
      </c>
      <c r="G216" s="2"/>
      <c r="H216" s="2" t="s">
        <v>4024</v>
      </c>
      <c r="I216" s="2"/>
      <c r="J216" s="2" t="s">
        <v>604</v>
      </c>
      <c r="K216" s="2" t="s">
        <v>603</v>
      </c>
    </row>
    <row r="217" spans="1:11" s="4" customFormat="1" ht="18" customHeight="1">
      <c r="A217" s="2" t="s">
        <v>605</v>
      </c>
      <c r="B217" s="3"/>
      <c r="C217" s="2"/>
      <c r="D217" s="3"/>
      <c r="E217" s="2"/>
      <c r="F217" s="2" t="s">
        <v>2912</v>
      </c>
      <c r="G217" s="2"/>
      <c r="H217" s="2" t="s">
        <v>2912</v>
      </c>
      <c r="I217" s="2"/>
      <c r="J217" s="2" t="s">
        <v>606</v>
      </c>
      <c r="K217" s="2" t="s">
        <v>605</v>
      </c>
    </row>
    <row r="218" spans="1:11" s="4" customFormat="1" ht="18" customHeight="1">
      <c r="A218" s="2" t="s">
        <v>607</v>
      </c>
      <c r="B218" s="3"/>
      <c r="C218" s="2"/>
      <c r="D218" s="3"/>
      <c r="E218" s="2"/>
      <c r="F218" s="2" t="s">
        <v>2779</v>
      </c>
      <c r="G218" s="2"/>
      <c r="H218" s="2" t="s">
        <v>2779</v>
      </c>
      <c r="I218" s="2"/>
      <c r="J218" s="2" t="s">
        <v>608</v>
      </c>
      <c r="K218" s="2" t="s">
        <v>607</v>
      </c>
    </row>
    <row r="219" spans="1:11" s="4" customFormat="1" ht="18" customHeight="1">
      <c r="A219" s="2" t="s">
        <v>609</v>
      </c>
      <c r="B219" s="3"/>
      <c r="C219" s="2"/>
      <c r="D219" s="3"/>
      <c r="E219" s="2"/>
      <c r="F219" s="2" t="s">
        <v>3565</v>
      </c>
      <c r="G219" s="2"/>
      <c r="H219" s="2" t="s">
        <v>3565</v>
      </c>
      <c r="I219" s="2"/>
      <c r="J219" s="2" t="s">
        <v>610</v>
      </c>
      <c r="K219" s="2" t="s">
        <v>609</v>
      </c>
    </row>
    <row r="220" spans="1:11" s="4" customFormat="1" ht="18" customHeight="1">
      <c r="A220" s="2" t="s">
        <v>611</v>
      </c>
      <c r="B220" s="3"/>
      <c r="C220" s="2"/>
      <c r="D220" s="3"/>
      <c r="E220" s="2"/>
      <c r="F220" s="2" t="s">
        <v>1727</v>
      </c>
      <c r="G220" s="2"/>
      <c r="H220" s="2" t="s">
        <v>1727</v>
      </c>
      <c r="I220" s="2"/>
      <c r="J220" s="2" t="s">
        <v>612</v>
      </c>
      <c r="K220" s="2" t="s">
        <v>611</v>
      </c>
    </row>
    <row r="221" spans="1:11" s="4" customFormat="1" ht="18" customHeight="1">
      <c r="A221" s="2" t="s">
        <v>613</v>
      </c>
      <c r="B221" s="3"/>
      <c r="C221" s="2"/>
      <c r="D221" s="3"/>
      <c r="E221" s="2"/>
      <c r="F221" s="2" t="s">
        <v>762</v>
      </c>
      <c r="G221" s="2"/>
      <c r="H221" s="2" t="s">
        <v>762</v>
      </c>
      <c r="I221" s="2"/>
      <c r="J221" s="2" t="s">
        <v>614</v>
      </c>
      <c r="K221" s="2" t="s">
        <v>613</v>
      </c>
    </row>
    <row r="222" spans="1:11" s="4" customFormat="1" ht="18" customHeight="1">
      <c r="A222" s="2" t="s">
        <v>615</v>
      </c>
      <c r="B222" s="3"/>
      <c r="C222" s="2"/>
      <c r="D222" s="3"/>
      <c r="E222" s="2"/>
      <c r="F222" s="2" t="s">
        <v>3656</v>
      </c>
      <c r="G222" s="2"/>
      <c r="H222" s="2" t="s">
        <v>3656</v>
      </c>
      <c r="I222" s="2"/>
      <c r="J222" s="2" t="s">
        <v>616</v>
      </c>
      <c r="K222" s="2" t="s">
        <v>615</v>
      </c>
    </row>
    <row r="223" spans="1:11" s="4" customFormat="1" ht="18" customHeight="1">
      <c r="A223" s="2" t="s">
        <v>617</v>
      </c>
      <c r="B223" s="3"/>
      <c r="C223" s="2"/>
      <c r="D223" s="3"/>
      <c r="E223" s="2"/>
      <c r="F223" s="2" t="s">
        <v>3219</v>
      </c>
      <c r="G223" s="2"/>
      <c r="H223" s="2" t="s">
        <v>3220</v>
      </c>
      <c r="I223" s="2"/>
      <c r="J223" s="2" t="s">
        <v>618</v>
      </c>
      <c r="K223" s="2" t="s">
        <v>617</v>
      </c>
    </row>
    <row r="224" spans="1:11" s="4" customFormat="1" ht="18" customHeight="1">
      <c r="A224" s="2" t="s">
        <v>619</v>
      </c>
      <c r="B224" s="3"/>
      <c r="C224" s="2"/>
      <c r="D224" s="3"/>
      <c r="E224" s="2"/>
      <c r="F224" s="2" t="s">
        <v>1942</v>
      </c>
      <c r="G224" s="2"/>
      <c r="H224" s="2" t="s">
        <v>1942</v>
      </c>
      <c r="I224" s="2"/>
      <c r="J224" s="2" t="s">
        <v>620</v>
      </c>
      <c r="K224" s="2" t="s">
        <v>619</v>
      </c>
    </row>
    <row r="225" spans="1:11" s="4" customFormat="1" ht="18" customHeight="1">
      <c r="A225" s="2" t="s">
        <v>621</v>
      </c>
      <c r="B225" s="3"/>
      <c r="C225" s="2"/>
      <c r="D225" s="3"/>
      <c r="E225" s="2"/>
      <c r="F225" s="2" t="s">
        <v>2630</v>
      </c>
      <c r="G225" s="2"/>
      <c r="H225" s="2" t="s">
        <v>2630</v>
      </c>
      <c r="I225" s="2"/>
      <c r="J225" s="2" t="s">
        <v>623</v>
      </c>
      <c r="K225" s="2" t="s">
        <v>621</v>
      </c>
    </row>
    <row r="226" spans="1:11" s="4" customFormat="1" ht="18" customHeight="1">
      <c r="A226" s="2" t="s">
        <v>624</v>
      </c>
      <c r="B226" s="3"/>
      <c r="C226" s="2"/>
      <c r="D226" s="3"/>
      <c r="E226" s="2"/>
      <c r="F226" s="2" t="s">
        <v>2820</v>
      </c>
      <c r="G226" s="2"/>
      <c r="H226" s="2" t="s">
        <v>2820</v>
      </c>
      <c r="I226" s="2"/>
      <c r="J226" s="2" t="s">
        <v>625</v>
      </c>
      <c r="K226" s="2" t="s">
        <v>624</v>
      </c>
    </row>
    <row r="227" spans="1:11" s="4" customFormat="1" ht="18" customHeight="1">
      <c r="A227" s="2" t="s">
        <v>627</v>
      </c>
      <c r="B227" s="3"/>
      <c r="C227" s="2"/>
      <c r="D227" s="3"/>
      <c r="E227" s="2"/>
      <c r="F227" s="2" t="s">
        <v>3740</v>
      </c>
      <c r="G227" s="2"/>
      <c r="H227" s="2" t="s">
        <v>3740</v>
      </c>
      <c r="I227" s="2"/>
      <c r="J227" s="2" t="s">
        <v>628</v>
      </c>
      <c r="K227" s="2" t="s">
        <v>627</v>
      </c>
    </row>
    <row r="228" spans="1:11" s="4" customFormat="1" ht="18" customHeight="1">
      <c r="A228" s="2" t="s">
        <v>629</v>
      </c>
      <c r="B228" s="3"/>
      <c r="C228" s="2"/>
      <c r="D228" s="3"/>
      <c r="E228" s="2"/>
      <c r="F228" s="2" t="s">
        <v>2989</v>
      </c>
      <c r="G228" s="2"/>
      <c r="H228" s="2" t="s">
        <v>2989</v>
      </c>
      <c r="I228" s="2"/>
      <c r="J228" s="2" t="s">
        <v>630</v>
      </c>
      <c r="K228" s="2" t="s">
        <v>629</v>
      </c>
    </row>
    <row r="229" spans="1:11" s="4" customFormat="1" ht="18" customHeight="1">
      <c r="A229" s="2" t="s">
        <v>631</v>
      </c>
      <c r="B229" s="3"/>
      <c r="C229" s="2"/>
      <c r="D229" s="3"/>
      <c r="E229" s="2"/>
      <c r="F229" s="2" t="s">
        <v>3099</v>
      </c>
      <c r="G229" s="2"/>
      <c r="H229" s="2" t="s">
        <v>3099</v>
      </c>
      <c r="I229" s="2"/>
      <c r="J229" s="2" t="s">
        <v>632</v>
      </c>
      <c r="K229" s="2" t="s">
        <v>631</v>
      </c>
    </row>
    <row r="230" spans="1:11" s="4" customFormat="1" ht="18" customHeight="1">
      <c r="A230" s="2" t="s">
        <v>633</v>
      </c>
      <c r="B230" s="3"/>
      <c r="C230" s="2"/>
      <c r="D230" s="3"/>
      <c r="E230" s="2"/>
      <c r="F230" s="2" t="s">
        <v>1152</v>
      </c>
      <c r="G230" s="2"/>
      <c r="H230" s="2" t="s">
        <v>1152</v>
      </c>
      <c r="I230" s="2"/>
      <c r="J230" s="2" t="s">
        <v>634</v>
      </c>
      <c r="K230" s="2" t="s">
        <v>633</v>
      </c>
    </row>
    <row r="231" spans="1:11" s="4" customFormat="1" ht="18" customHeight="1">
      <c r="A231" s="2" t="s">
        <v>635</v>
      </c>
      <c r="B231" s="3"/>
      <c r="C231" s="2"/>
      <c r="D231" s="3"/>
      <c r="E231" s="2"/>
      <c r="F231" s="2" t="s">
        <v>945</v>
      </c>
      <c r="G231" s="2"/>
      <c r="H231" s="2" t="s">
        <v>945</v>
      </c>
      <c r="I231" s="2"/>
      <c r="J231" s="2" t="s">
        <v>636</v>
      </c>
      <c r="K231" s="2" t="s">
        <v>635</v>
      </c>
    </row>
    <row r="232" spans="1:11" s="4" customFormat="1" ht="18" customHeight="1">
      <c r="A232" s="2" t="s">
        <v>637</v>
      </c>
      <c r="B232" s="3"/>
      <c r="C232" s="2"/>
      <c r="D232" s="3"/>
      <c r="E232" s="2"/>
      <c r="F232" s="2" t="s">
        <v>764</v>
      </c>
      <c r="G232" s="2"/>
      <c r="H232" s="2" t="s">
        <v>764</v>
      </c>
      <c r="I232" s="2"/>
      <c r="J232" s="2" t="s">
        <v>622</v>
      </c>
      <c r="K232" s="2" t="s">
        <v>637</v>
      </c>
    </row>
    <row r="233" spans="1:11" s="4" customFormat="1" ht="18" customHeight="1">
      <c r="A233" s="2" t="s">
        <v>638</v>
      </c>
      <c r="B233" s="3"/>
      <c r="C233" s="2"/>
      <c r="D233" s="3"/>
      <c r="E233" s="2"/>
      <c r="F233" s="2" t="s">
        <v>513</v>
      </c>
      <c r="G233" s="2"/>
      <c r="H233" s="2" t="s">
        <v>513</v>
      </c>
      <c r="I233" s="2"/>
      <c r="J233" s="2" t="s">
        <v>639</v>
      </c>
      <c r="K233" s="2" t="s">
        <v>638</v>
      </c>
    </row>
    <row r="234" spans="1:11" s="4" customFormat="1" ht="18" customHeight="1">
      <c r="A234" s="2" t="s">
        <v>641</v>
      </c>
      <c r="B234" s="3"/>
      <c r="C234" s="2"/>
      <c r="D234" s="3"/>
      <c r="E234" s="2"/>
      <c r="F234" s="2" t="s">
        <v>2327</v>
      </c>
      <c r="G234" s="2"/>
      <c r="H234" s="2" t="s">
        <v>2327</v>
      </c>
      <c r="I234" s="2"/>
      <c r="J234" s="2" t="s">
        <v>642</v>
      </c>
      <c r="K234" s="2" t="s">
        <v>641</v>
      </c>
    </row>
    <row r="235" spans="1:11" s="4" customFormat="1" ht="18" customHeight="1">
      <c r="A235" s="2" t="s">
        <v>643</v>
      </c>
      <c r="B235" s="3"/>
      <c r="C235" s="2"/>
      <c r="D235" s="3"/>
      <c r="E235" s="2"/>
      <c r="F235" s="2" t="s">
        <v>2491</v>
      </c>
      <c r="G235" s="2"/>
      <c r="H235" s="2" t="s">
        <v>2491</v>
      </c>
      <c r="I235" s="2"/>
      <c r="J235" s="2" t="s">
        <v>644</v>
      </c>
      <c r="K235" s="2" t="s">
        <v>643</v>
      </c>
    </row>
    <row r="236" spans="1:11" s="4" customFormat="1" ht="18" customHeight="1">
      <c r="A236" s="2" t="s">
        <v>645</v>
      </c>
      <c r="B236" s="3"/>
      <c r="C236" s="2"/>
      <c r="D236" s="3"/>
      <c r="E236" s="2"/>
      <c r="F236" s="2" t="s">
        <v>1344</v>
      </c>
      <c r="G236" s="2"/>
      <c r="H236" s="2" t="s">
        <v>1344</v>
      </c>
      <c r="I236" s="2"/>
      <c r="J236" s="2" t="s">
        <v>646</v>
      </c>
      <c r="K236" s="2" t="s">
        <v>645</v>
      </c>
    </row>
    <row r="237" spans="1:11" s="4" customFormat="1" ht="18" customHeight="1">
      <c r="A237" s="2" t="s">
        <v>648</v>
      </c>
      <c r="B237" s="3"/>
      <c r="C237" s="2"/>
      <c r="D237" s="3"/>
      <c r="E237" s="2"/>
      <c r="F237" s="2" t="s">
        <v>558</v>
      </c>
      <c r="G237" s="2"/>
      <c r="H237" s="2" t="s">
        <v>432</v>
      </c>
      <c r="I237" s="2"/>
      <c r="J237" s="2" t="s">
        <v>649</v>
      </c>
      <c r="K237" s="2" t="s">
        <v>648</v>
      </c>
    </row>
    <row r="238" spans="1:11" s="4" customFormat="1" ht="18" customHeight="1">
      <c r="A238" s="2" t="s">
        <v>650</v>
      </c>
      <c r="B238" s="3"/>
      <c r="C238" s="2"/>
      <c r="D238" s="3"/>
      <c r="E238" s="2"/>
      <c r="F238" s="2" t="s">
        <v>416</v>
      </c>
      <c r="G238" s="2"/>
      <c r="H238" s="2" t="s">
        <v>416</v>
      </c>
      <c r="I238" s="2"/>
      <c r="J238" s="2" t="s">
        <v>651</v>
      </c>
      <c r="K238" s="2" t="s">
        <v>650</v>
      </c>
    </row>
    <row r="239" spans="1:11" s="4" customFormat="1" ht="18" customHeight="1">
      <c r="A239" s="2" t="s">
        <v>652</v>
      </c>
      <c r="B239" s="3"/>
      <c r="C239" s="2"/>
      <c r="D239" s="3"/>
      <c r="E239" s="2"/>
      <c r="F239" s="2" t="s">
        <v>1108</v>
      </c>
      <c r="G239" s="2"/>
      <c r="H239" s="2" t="s">
        <v>1108</v>
      </c>
      <c r="I239" s="2"/>
      <c r="J239" s="2" t="s">
        <v>653</v>
      </c>
      <c r="K239" s="2" t="s">
        <v>652</v>
      </c>
    </row>
    <row r="240" spans="1:11" s="4" customFormat="1" ht="18" customHeight="1">
      <c r="A240" s="2" t="s">
        <v>654</v>
      </c>
      <c r="B240" s="3"/>
      <c r="C240" s="2"/>
      <c r="D240" s="3"/>
      <c r="E240" s="2"/>
      <c r="F240" s="2" t="s">
        <v>1619</v>
      </c>
      <c r="G240" s="2"/>
      <c r="H240" s="2" t="s">
        <v>1619</v>
      </c>
      <c r="I240" s="2"/>
      <c r="J240" s="2" t="s">
        <v>655</v>
      </c>
      <c r="K240" s="2" t="s">
        <v>654</v>
      </c>
    </row>
    <row r="241" spans="1:11" s="4" customFormat="1" ht="18" customHeight="1">
      <c r="A241" s="2" t="s">
        <v>656</v>
      </c>
      <c r="B241" s="3"/>
      <c r="C241" s="2"/>
      <c r="D241" s="3"/>
      <c r="E241" s="2"/>
      <c r="F241" s="2" t="s">
        <v>1218</v>
      </c>
      <c r="G241" s="2"/>
      <c r="H241" s="2" t="s">
        <v>1219</v>
      </c>
      <c r="I241" s="2"/>
      <c r="J241" s="2" t="s">
        <v>657</v>
      </c>
      <c r="K241" s="2" t="s">
        <v>656</v>
      </c>
    </row>
    <row r="242" spans="1:11" s="4" customFormat="1" ht="18" customHeight="1">
      <c r="A242" s="2" t="s">
        <v>658</v>
      </c>
      <c r="B242" s="3"/>
      <c r="C242" s="2"/>
      <c r="D242" s="3"/>
      <c r="E242" s="2"/>
      <c r="F242" s="2" t="s">
        <v>3319</v>
      </c>
      <c r="G242" s="2"/>
      <c r="H242" s="2" t="s">
        <v>3319</v>
      </c>
      <c r="I242" s="2"/>
      <c r="J242" s="2" t="s">
        <v>659</v>
      </c>
      <c r="K242" s="2" t="s">
        <v>658</v>
      </c>
    </row>
    <row r="243" spans="1:11" s="4" customFormat="1" ht="18" customHeight="1">
      <c r="A243" s="2" t="s">
        <v>661</v>
      </c>
      <c r="B243" s="3"/>
      <c r="C243" s="2"/>
      <c r="D243" s="3"/>
      <c r="E243" s="2"/>
      <c r="F243" s="2" t="s">
        <v>2609</v>
      </c>
      <c r="G243" s="2"/>
      <c r="H243" s="2" t="s">
        <v>2609</v>
      </c>
      <c r="I243" s="2"/>
      <c r="J243" s="2" t="s">
        <v>662</v>
      </c>
      <c r="K243" s="2" t="s">
        <v>661</v>
      </c>
    </row>
    <row r="244" spans="1:11" s="4" customFormat="1" ht="18" customHeight="1">
      <c r="A244" s="2" t="s">
        <v>664</v>
      </c>
      <c r="B244" s="3"/>
      <c r="C244" s="2"/>
      <c r="D244" s="3"/>
      <c r="E244" s="2"/>
      <c r="F244" s="2" t="s">
        <v>537</v>
      </c>
      <c r="G244" s="2"/>
      <c r="H244" s="2" t="s">
        <v>537</v>
      </c>
      <c r="I244" s="2"/>
      <c r="J244" s="2" t="s">
        <v>665</v>
      </c>
      <c r="K244" s="2" t="s">
        <v>664</v>
      </c>
    </row>
    <row r="245" spans="1:11" s="4" customFormat="1" ht="18" customHeight="1">
      <c r="A245" s="2" t="s">
        <v>666</v>
      </c>
      <c r="B245" s="3"/>
      <c r="C245" s="2"/>
      <c r="D245" s="3"/>
      <c r="E245" s="2"/>
      <c r="F245" s="2" t="s">
        <v>667</v>
      </c>
      <c r="G245" s="2"/>
      <c r="H245" s="2" t="s">
        <v>667</v>
      </c>
      <c r="I245" s="2"/>
      <c r="J245" s="2" t="s">
        <v>667</v>
      </c>
      <c r="K245" s="2" t="s">
        <v>666</v>
      </c>
    </row>
    <row r="246" spans="1:11" s="4" customFormat="1" ht="18" customHeight="1">
      <c r="A246" s="2" t="s">
        <v>668</v>
      </c>
      <c r="B246" s="3"/>
      <c r="C246" s="2"/>
      <c r="D246" s="3"/>
      <c r="E246" s="2"/>
      <c r="F246" s="2" t="s">
        <v>2722</v>
      </c>
      <c r="G246" s="2"/>
      <c r="H246" s="2" t="s">
        <v>2722</v>
      </c>
      <c r="I246" s="2"/>
      <c r="J246" s="2" t="s">
        <v>669</v>
      </c>
      <c r="K246" s="2" t="s">
        <v>668</v>
      </c>
    </row>
    <row r="247" spans="1:11" s="4" customFormat="1" ht="18" customHeight="1">
      <c r="A247" s="2" t="s">
        <v>670</v>
      </c>
      <c r="B247" s="3"/>
      <c r="C247" s="2"/>
      <c r="D247" s="3"/>
      <c r="E247" s="2"/>
      <c r="F247" s="2" t="s">
        <v>649</v>
      </c>
      <c r="G247" s="2"/>
      <c r="H247" s="2" t="s">
        <v>649</v>
      </c>
      <c r="I247" s="2"/>
      <c r="J247" s="2" t="s">
        <v>671</v>
      </c>
      <c r="K247" s="2" t="s">
        <v>670</v>
      </c>
    </row>
    <row r="248" spans="1:11" s="4" customFormat="1" ht="18" customHeight="1">
      <c r="A248" s="2" t="s">
        <v>672</v>
      </c>
      <c r="B248" s="3"/>
      <c r="C248" s="2"/>
      <c r="D248" s="3"/>
      <c r="E248" s="2"/>
      <c r="F248" s="2" t="s">
        <v>4020</v>
      </c>
      <c r="G248" s="2"/>
      <c r="H248" s="2" t="s">
        <v>4021</v>
      </c>
      <c r="I248" s="2"/>
      <c r="J248" s="2" t="s">
        <v>673</v>
      </c>
      <c r="K248" s="2" t="s">
        <v>672</v>
      </c>
    </row>
    <row r="249" spans="1:11" s="4" customFormat="1" ht="18" customHeight="1">
      <c r="A249" s="2" t="s">
        <v>674</v>
      </c>
      <c r="B249" s="3"/>
      <c r="C249" s="2"/>
      <c r="D249" s="3"/>
      <c r="E249" s="2"/>
      <c r="F249" s="2" t="s">
        <v>446</v>
      </c>
      <c r="G249" s="2"/>
      <c r="H249" s="2" t="s">
        <v>446</v>
      </c>
      <c r="I249" s="2"/>
      <c r="J249" s="2" t="s">
        <v>675</v>
      </c>
      <c r="K249" s="2" t="s">
        <v>674</v>
      </c>
    </row>
    <row r="250" spans="1:11" s="4" customFormat="1" ht="18" customHeight="1">
      <c r="A250" s="2" t="s">
        <v>676</v>
      </c>
      <c r="B250" s="3"/>
      <c r="C250" s="2"/>
      <c r="D250" s="3"/>
      <c r="E250" s="2"/>
      <c r="F250" s="2" t="s">
        <v>3864</v>
      </c>
      <c r="G250" s="2"/>
      <c r="H250" s="2" t="s">
        <v>3864</v>
      </c>
      <c r="I250" s="2"/>
      <c r="J250" s="2" t="s">
        <v>677</v>
      </c>
      <c r="K250" s="2" t="s">
        <v>676</v>
      </c>
    </row>
    <row r="251" spans="1:11" s="4" customFormat="1" ht="18" customHeight="1">
      <c r="A251" s="2" t="s">
        <v>678</v>
      </c>
      <c r="B251" s="3"/>
      <c r="C251" s="2"/>
      <c r="D251" s="3"/>
      <c r="E251" s="2"/>
      <c r="F251" s="2" t="s">
        <v>973</v>
      </c>
      <c r="G251" s="2"/>
      <c r="H251" s="2" t="s">
        <v>973</v>
      </c>
      <c r="I251" s="2"/>
      <c r="J251" s="2" t="s">
        <v>679</v>
      </c>
      <c r="K251" s="2" t="s">
        <v>678</v>
      </c>
    </row>
    <row r="252" spans="1:11" s="4" customFormat="1" ht="18" customHeight="1">
      <c r="A252" s="2" t="s">
        <v>680</v>
      </c>
      <c r="B252" s="3"/>
      <c r="C252" s="2"/>
      <c r="D252" s="3"/>
      <c r="E252" s="2"/>
      <c r="F252" s="2" t="s">
        <v>2169</v>
      </c>
      <c r="G252" s="2"/>
      <c r="H252" s="2" t="s">
        <v>2169</v>
      </c>
      <c r="I252" s="2"/>
      <c r="J252" s="2" t="s">
        <v>682</v>
      </c>
      <c r="K252" s="2" t="s">
        <v>680</v>
      </c>
    </row>
    <row r="253" spans="1:11" s="4" customFormat="1" ht="18" customHeight="1">
      <c r="A253" s="2" t="s">
        <v>683</v>
      </c>
      <c r="B253" s="3"/>
      <c r="C253" s="2"/>
      <c r="D253" s="3"/>
      <c r="E253" s="2"/>
      <c r="F253" s="2" t="s">
        <v>1936</v>
      </c>
      <c r="G253" s="2"/>
      <c r="H253" s="2" t="s">
        <v>1936</v>
      </c>
      <c r="I253" s="2"/>
      <c r="J253" s="2" t="s">
        <v>684</v>
      </c>
      <c r="K253" s="2" t="s">
        <v>683</v>
      </c>
    </row>
    <row r="254" spans="1:11" s="4" customFormat="1" ht="18" customHeight="1">
      <c r="A254" s="2" t="s">
        <v>685</v>
      </c>
      <c r="B254" s="3"/>
      <c r="C254" s="2"/>
      <c r="D254" s="3"/>
      <c r="E254" s="2"/>
      <c r="F254" s="2" t="s">
        <v>604</v>
      </c>
      <c r="G254" s="2"/>
      <c r="H254" s="2" t="s">
        <v>604</v>
      </c>
      <c r="I254" s="2"/>
      <c r="J254" s="2" t="s">
        <v>686</v>
      </c>
      <c r="K254" s="2" t="s">
        <v>685</v>
      </c>
    </row>
    <row r="255" spans="1:11" s="4" customFormat="1" ht="18" customHeight="1">
      <c r="A255" s="2" t="s">
        <v>687</v>
      </c>
      <c r="B255" s="3"/>
      <c r="C255" s="2"/>
      <c r="D255" s="3"/>
      <c r="E255" s="2"/>
      <c r="F255" s="2" t="s">
        <v>3422</v>
      </c>
      <c r="G255" s="2"/>
      <c r="H255" s="2" t="s">
        <v>3422</v>
      </c>
      <c r="I255" s="2"/>
      <c r="J255" s="2" t="s">
        <v>688</v>
      </c>
      <c r="K255" s="2" t="s">
        <v>687</v>
      </c>
    </row>
    <row r="256" spans="1:11" s="4" customFormat="1" ht="18" customHeight="1">
      <c r="A256" s="2" t="s">
        <v>689</v>
      </c>
      <c r="B256" s="3"/>
      <c r="C256" s="2"/>
      <c r="D256" s="3"/>
      <c r="E256" s="2"/>
      <c r="F256" s="2" t="s">
        <v>1598</v>
      </c>
      <c r="G256" s="2"/>
      <c r="H256" s="2" t="s">
        <v>1598</v>
      </c>
      <c r="I256" s="2"/>
      <c r="J256" s="2" t="s">
        <v>690</v>
      </c>
      <c r="K256" s="2" t="s">
        <v>689</v>
      </c>
    </row>
    <row r="257" spans="1:11" s="4" customFormat="1" ht="18" customHeight="1">
      <c r="A257" s="2" t="s">
        <v>691</v>
      </c>
      <c r="B257" s="3"/>
      <c r="C257" s="2"/>
      <c r="D257" s="3"/>
      <c r="E257" s="2"/>
      <c r="F257" s="2" t="s">
        <v>3101</v>
      </c>
      <c r="G257" s="2"/>
      <c r="H257" s="2" t="s">
        <v>3101</v>
      </c>
      <c r="I257" s="2"/>
      <c r="J257" s="2" t="s">
        <v>692</v>
      </c>
      <c r="K257" s="2" t="s">
        <v>691</v>
      </c>
    </row>
    <row r="258" spans="1:11" s="4" customFormat="1" ht="18" customHeight="1">
      <c r="A258" s="2" t="s">
        <v>693</v>
      </c>
      <c r="B258" s="3"/>
      <c r="C258" s="2"/>
      <c r="D258" s="3"/>
      <c r="E258" s="2"/>
      <c r="F258" s="2" t="s">
        <v>1566</v>
      </c>
      <c r="G258" s="2"/>
      <c r="H258" s="2" t="s">
        <v>1566</v>
      </c>
      <c r="I258" s="2"/>
      <c r="J258" s="2" t="s">
        <v>694</v>
      </c>
      <c r="K258" s="2" t="s">
        <v>693</v>
      </c>
    </row>
    <row r="259" spans="1:11" s="4" customFormat="1" ht="18" customHeight="1">
      <c r="A259" s="2" t="s">
        <v>695</v>
      </c>
      <c r="B259" s="3"/>
      <c r="C259" s="2"/>
      <c r="D259" s="3"/>
      <c r="E259" s="2"/>
      <c r="F259" s="2" t="s">
        <v>3079</v>
      </c>
      <c r="G259" s="2"/>
      <c r="H259" s="2" t="s">
        <v>3079</v>
      </c>
      <c r="I259" s="2"/>
      <c r="J259" s="2" t="s">
        <v>696</v>
      </c>
      <c r="K259" s="2" t="s">
        <v>695</v>
      </c>
    </row>
    <row r="260" spans="1:11" s="4" customFormat="1" ht="18" customHeight="1">
      <c r="A260" s="2" t="s">
        <v>698</v>
      </c>
      <c r="B260" s="3"/>
      <c r="C260" s="2"/>
      <c r="D260" s="3"/>
      <c r="E260" s="2"/>
      <c r="F260" s="2" t="s">
        <v>2767</v>
      </c>
      <c r="G260" s="2"/>
      <c r="H260" s="2" t="s">
        <v>2767</v>
      </c>
      <c r="I260" s="2"/>
      <c r="J260" s="2" t="s">
        <v>699</v>
      </c>
      <c r="K260" s="2" t="s">
        <v>698</v>
      </c>
    </row>
    <row r="261" spans="1:11" s="4" customFormat="1" ht="18" customHeight="1">
      <c r="A261" s="2" t="s">
        <v>700</v>
      </c>
      <c r="B261" s="3"/>
      <c r="C261" s="2"/>
      <c r="D261" s="3"/>
      <c r="E261" s="2"/>
      <c r="F261" s="2" t="s">
        <v>1325</v>
      </c>
      <c r="G261" s="2"/>
      <c r="H261" s="2" t="s">
        <v>1325</v>
      </c>
      <c r="I261" s="2"/>
      <c r="J261" s="2" t="s">
        <v>701</v>
      </c>
      <c r="K261" s="2" t="s">
        <v>700</v>
      </c>
    </row>
    <row r="262" spans="1:11" s="4" customFormat="1" ht="18" customHeight="1">
      <c r="A262" s="2" t="s">
        <v>702</v>
      </c>
      <c r="B262" s="3"/>
      <c r="C262" s="2"/>
      <c r="D262" s="3"/>
      <c r="E262" s="2"/>
      <c r="F262" s="2" t="s">
        <v>1048</v>
      </c>
      <c r="G262" s="2"/>
      <c r="H262" s="2" t="s">
        <v>1048</v>
      </c>
      <c r="I262" s="2"/>
      <c r="J262" s="2" t="s">
        <v>703</v>
      </c>
      <c r="K262" s="2" t="s">
        <v>702</v>
      </c>
    </row>
    <row r="263" spans="1:11" s="4" customFormat="1" ht="18" customHeight="1">
      <c r="A263" s="2" t="s">
        <v>704</v>
      </c>
      <c r="B263" s="3"/>
      <c r="C263" s="2"/>
      <c r="D263" s="3"/>
      <c r="E263" s="2"/>
      <c r="F263" s="2" t="s">
        <v>1003</v>
      </c>
      <c r="G263" s="2"/>
      <c r="H263" s="2" t="s">
        <v>1003</v>
      </c>
      <c r="I263" s="2"/>
      <c r="J263" s="2" t="s">
        <v>705</v>
      </c>
      <c r="K263" s="2" t="s">
        <v>704</v>
      </c>
    </row>
    <row r="264" spans="1:11" s="4" customFormat="1" ht="18" customHeight="1">
      <c r="A264" s="2" t="s">
        <v>706</v>
      </c>
      <c r="B264" s="3"/>
      <c r="C264" s="2"/>
      <c r="D264" s="3"/>
      <c r="E264" s="2"/>
      <c r="F264" s="2" t="s">
        <v>867</v>
      </c>
      <c r="G264" s="2"/>
      <c r="H264" s="2" t="s">
        <v>867</v>
      </c>
      <c r="I264" s="2"/>
      <c r="J264" s="2" t="s">
        <v>707</v>
      </c>
      <c r="K264" s="2" t="s">
        <v>706</v>
      </c>
    </row>
    <row r="265" spans="1:11" s="4" customFormat="1" ht="18" customHeight="1">
      <c r="A265" s="2" t="s">
        <v>708</v>
      </c>
      <c r="B265" s="3"/>
      <c r="C265" s="2"/>
      <c r="D265" s="3"/>
      <c r="E265" s="2"/>
      <c r="F265" s="2" t="s">
        <v>2090</v>
      </c>
      <c r="G265" s="2"/>
      <c r="H265" s="2" t="s">
        <v>2090</v>
      </c>
      <c r="I265" s="2"/>
      <c r="J265" s="2" t="s">
        <v>709</v>
      </c>
      <c r="K265" s="2" t="s">
        <v>708</v>
      </c>
    </row>
    <row r="266" spans="1:11" s="4" customFormat="1" ht="18" customHeight="1">
      <c r="A266" s="2" t="s">
        <v>710</v>
      </c>
      <c r="B266" s="3"/>
      <c r="C266" s="2"/>
      <c r="D266" s="3"/>
      <c r="E266" s="2"/>
      <c r="F266" s="2" t="s">
        <v>3834</v>
      </c>
      <c r="G266" s="2"/>
      <c r="H266" s="2" t="s">
        <v>3835</v>
      </c>
      <c r="I266" s="2"/>
      <c r="J266" s="2" t="s">
        <v>711</v>
      </c>
      <c r="K266" s="2" t="s">
        <v>710</v>
      </c>
    </row>
    <row r="267" spans="1:11" s="4" customFormat="1" ht="18" customHeight="1">
      <c r="A267" s="2" t="s">
        <v>712</v>
      </c>
      <c r="B267" s="3"/>
      <c r="C267" s="2"/>
      <c r="D267" s="3"/>
      <c r="E267" s="2"/>
      <c r="F267" s="2" t="s">
        <v>1796</v>
      </c>
      <c r="G267" s="2"/>
      <c r="H267" s="2" t="s">
        <v>1796</v>
      </c>
      <c r="I267" s="2"/>
      <c r="J267" s="2" t="s">
        <v>713</v>
      </c>
      <c r="K267" s="2" t="s">
        <v>712</v>
      </c>
    </row>
    <row r="268" spans="1:11" s="4" customFormat="1" ht="18" customHeight="1">
      <c r="A268" s="2" t="s">
        <v>714</v>
      </c>
      <c r="B268" s="3"/>
      <c r="C268" s="2"/>
      <c r="D268" s="3"/>
      <c r="E268" s="2"/>
      <c r="F268" s="2" t="s">
        <v>1831</v>
      </c>
      <c r="G268" s="2"/>
      <c r="H268" s="2" t="s">
        <v>1831</v>
      </c>
      <c r="I268" s="2"/>
      <c r="J268" s="2" t="s">
        <v>715</v>
      </c>
      <c r="K268" s="2" t="s">
        <v>714</v>
      </c>
    </row>
    <row r="269" spans="1:11" s="4" customFormat="1" ht="18" customHeight="1">
      <c r="A269" s="2" t="s">
        <v>716</v>
      </c>
      <c r="B269" s="3"/>
      <c r="C269" s="2"/>
      <c r="D269" s="3"/>
      <c r="E269" s="2"/>
      <c r="F269" s="2" t="s">
        <v>1833</v>
      </c>
      <c r="G269" s="2"/>
      <c r="H269" s="2" t="s">
        <v>1833</v>
      </c>
      <c r="I269" s="2"/>
      <c r="J269" s="2" t="s">
        <v>717</v>
      </c>
      <c r="K269" s="2" t="s">
        <v>716</v>
      </c>
    </row>
    <row r="270" spans="1:11" s="4" customFormat="1" ht="18" customHeight="1">
      <c r="A270" s="2" t="s">
        <v>718</v>
      </c>
      <c r="B270" s="3"/>
      <c r="C270" s="2"/>
      <c r="D270" s="3"/>
      <c r="E270" s="2"/>
      <c r="F270" s="2" t="s">
        <v>1917</v>
      </c>
      <c r="G270" s="2"/>
      <c r="H270" s="2" t="s">
        <v>1917</v>
      </c>
      <c r="I270" s="2"/>
      <c r="J270" s="2" t="s">
        <v>719</v>
      </c>
      <c r="K270" s="2" t="s">
        <v>718</v>
      </c>
    </row>
    <row r="271" spans="1:11" s="4" customFormat="1" ht="18" customHeight="1">
      <c r="A271" s="2" t="s">
        <v>720</v>
      </c>
      <c r="B271" s="3"/>
      <c r="C271" s="2"/>
      <c r="D271" s="3"/>
      <c r="E271" s="2"/>
      <c r="F271" s="2" t="s">
        <v>1631</v>
      </c>
      <c r="G271" s="2"/>
      <c r="H271" s="2" t="s">
        <v>1631</v>
      </c>
      <c r="I271" s="2"/>
      <c r="J271" s="2" t="s">
        <v>721</v>
      </c>
      <c r="K271" s="2" t="s">
        <v>720</v>
      </c>
    </row>
    <row r="272" spans="1:11" s="4" customFormat="1" ht="18" customHeight="1">
      <c r="A272" s="2" t="s">
        <v>722</v>
      </c>
      <c r="B272" s="3"/>
      <c r="C272" s="2"/>
      <c r="D272" s="3"/>
      <c r="E272" s="2"/>
      <c r="F272" s="2" t="s">
        <v>1387</v>
      </c>
      <c r="G272" s="2"/>
      <c r="H272" s="2" t="s">
        <v>1387</v>
      </c>
      <c r="I272" s="2"/>
      <c r="J272" s="2" t="s">
        <v>723</v>
      </c>
      <c r="K272" s="2" t="s">
        <v>722</v>
      </c>
    </row>
    <row r="273" spans="1:11" s="4" customFormat="1" ht="18" customHeight="1">
      <c r="A273" s="2" t="s">
        <v>724</v>
      </c>
      <c r="B273" s="3"/>
      <c r="C273" s="2"/>
      <c r="D273" s="3"/>
      <c r="E273" s="2"/>
      <c r="F273" s="2" t="s">
        <v>2933</v>
      </c>
      <c r="G273" s="2"/>
      <c r="H273" s="2" t="s">
        <v>2933</v>
      </c>
      <c r="I273" s="2"/>
      <c r="J273" s="2" t="s">
        <v>273</v>
      </c>
      <c r="K273" s="2" t="s">
        <v>724</v>
      </c>
    </row>
    <row r="274" spans="1:11" s="4" customFormat="1" ht="18" customHeight="1">
      <c r="A274" s="2" t="s">
        <v>725</v>
      </c>
      <c r="B274" s="3"/>
      <c r="C274" s="2"/>
      <c r="D274" s="3"/>
      <c r="E274" s="2"/>
      <c r="F274" s="2" t="s">
        <v>869</v>
      </c>
      <c r="G274" s="2"/>
      <c r="H274" s="2" t="s">
        <v>342</v>
      </c>
      <c r="I274" s="2"/>
      <c r="J274" s="2" t="s">
        <v>726</v>
      </c>
      <c r="K274" s="2" t="s">
        <v>725</v>
      </c>
    </row>
    <row r="275" spans="1:11" s="4" customFormat="1" ht="18" customHeight="1">
      <c r="A275" s="2" t="s">
        <v>728</v>
      </c>
      <c r="B275" s="3"/>
      <c r="C275" s="2"/>
      <c r="D275" s="3"/>
      <c r="E275" s="2"/>
      <c r="F275" s="2" t="s">
        <v>1185</v>
      </c>
      <c r="G275" s="2"/>
      <c r="H275" s="2" t="s">
        <v>1185</v>
      </c>
      <c r="I275" s="2"/>
      <c r="J275" s="2" t="s">
        <v>729</v>
      </c>
      <c r="K275" s="2" t="s">
        <v>728</v>
      </c>
    </row>
    <row r="276" spans="1:11" s="4" customFormat="1" ht="18" customHeight="1">
      <c r="A276" s="2" t="s">
        <v>730</v>
      </c>
      <c r="B276" s="3"/>
      <c r="C276" s="2"/>
      <c r="D276" s="3"/>
      <c r="E276" s="2"/>
      <c r="F276" s="2" t="s">
        <v>2229</v>
      </c>
      <c r="G276" s="2"/>
      <c r="H276" s="2" t="s">
        <v>2229</v>
      </c>
      <c r="I276" s="2"/>
      <c r="J276" s="2" t="s">
        <v>731</v>
      </c>
      <c r="K276" s="2" t="s">
        <v>730</v>
      </c>
    </row>
    <row r="277" spans="1:11" s="4" customFormat="1" ht="18" customHeight="1">
      <c r="A277" s="2" t="s">
        <v>732</v>
      </c>
      <c r="B277" s="3"/>
      <c r="C277" s="2"/>
      <c r="D277" s="3"/>
      <c r="E277" s="2"/>
      <c r="F277" s="2" t="s">
        <v>2537</v>
      </c>
      <c r="G277" s="2"/>
      <c r="H277" s="2" t="s">
        <v>2537</v>
      </c>
      <c r="I277" s="2"/>
      <c r="J277" s="2" t="s">
        <v>733</v>
      </c>
      <c r="K277" s="2" t="s">
        <v>732</v>
      </c>
    </row>
    <row r="278" spans="1:11" s="4" customFormat="1" ht="18" customHeight="1">
      <c r="A278" s="2" t="s">
        <v>735</v>
      </c>
      <c r="B278" s="3"/>
      <c r="C278" s="2"/>
      <c r="D278" s="3"/>
      <c r="E278" s="2"/>
      <c r="F278" s="2" t="s">
        <v>2329</v>
      </c>
      <c r="G278" s="2"/>
      <c r="H278" s="2" t="s">
        <v>2329</v>
      </c>
      <c r="I278" s="2"/>
      <c r="J278" s="2" t="s">
        <v>736</v>
      </c>
      <c r="K278" s="2" t="s">
        <v>735</v>
      </c>
    </row>
    <row r="279" spans="1:11" s="4" customFormat="1" ht="18" customHeight="1">
      <c r="A279" s="2" t="s">
        <v>737</v>
      </c>
      <c r="B279" s="3"/>
      <c r="C279" s="2"/>
      <c r="D279" s="3"/>
      <c r="E279" s="2"/>
      <c r="F279" s="2" t="s">
        <v>377</v>
      </c>
      <c r="G279" s="2"/>
      <c r="H279" s="2" t="s">
        <v>377</v>
      </c>
      <c r="I279" s="2"/>
      <c r="J279" s="2" t="s">
        <v>738</v>
      </c>
      <c r="K279" s="2" t="s">
        <v>737</v>
      </c>
    </row>
    <row r="280" spans="1:11" s="4" customFormat="1" ht="18" customHeight="1">
      <c r="A280" s="2" t="s">
        <v>739</v>
      </c>
      <c r="B280" s="3"/>
      <c r="C280" s="2"/>
      <c r="D280" s="3"/>
      <c r="E280" s="2"/>
      <c r="F280" s="2" t="s">
        <v>3390</v>
      </c>
      <c r="G280" s="2"/>
      <c r="H280" s="2" t="s">
        <v>3390</v>
      </c>
      <c r="I280" s="2"/>
      <c r="J280" s="2" t="s">
        <v>740</v>
      </c>
      <c r="K280" s="2" t="s">
        <v>739</v>
      </c>
    </row>
    <row r="281" spans="1:11" s="4" customFormat="1" ht="18" customHeight="1">
      <c r="A281" s="2" t="s">
        <v>742</v>
      </c>
      <c r="B281" s="3"/>
      <c r="C281" s="2"/>
      <c r="D281" s="3"/>
      <c r="E281" s="2"/>
      <c r="F281" s="2" t="s">
        <v>369</v>
      </c>
      <c r="G281" s="2"/>
      <c r="H281" s="2" t="s">
        <v>369</v>
      </c>
      <c r="I281" s="2"/>
      <c r="J281" s="2" t="s">
        <v>743</v>
      </c>
      <c r="K281" s="2" t="s">
        <v>742</v>
      </c>
    </row>
    <row r="282" spans="1:11" s="4" customFormat="1" ht="18" customHeight="1">
      <c r="A282" s="2" t="s">
        <v>744</v>
      </c>
      <c r="B282" s="3"/>
      <c r="C282" s="2"/>
      <c r="D282" s="3"/>
      <c r="E282" s="2"/>
      <c r="F282" s="2" t="s">
        <v>138</v>
      </c>
      <c r="G282" s="2"/>
      <c r="H282" s="2" t="s">
        <v>138</v>
      </c>
      <c r="I282" s="2"/>
      <c r="J282" s="2" t="s">
        <v>745</v>
      </c>
      <c r="K282" s="2" t="s">
        <v>744</v>
      </c>
    </row>
    <row r="283" spans="1:11" s="4" customFormat="1" ht="18" customHeight="1">
      <c r="A283" s="2" t="s">
        <v>747</v>
      </c>
      <c r="B283" s="3"/>
      <c r="C283" s="2"/>
      <c r="D283" s="3"/>
      <c r="E283" s="2"/>
      <c r="F283" s="2" t="s">
        <v>980</v>
      </c>
      <c r="G283" s="2"/>
      <c r="H283" s="2" t="s">
        <v>980</v>
      </c>
      <c r="I283" s="2"/>
      <c r="J283" s="2" t="s">
        <v>748</v>
      </c>
      <c r="K283" s="2" t="s">
        <v>747</v>
      </c>
    </row>
    <row r="284" spans="1:11" s="4" customFormat="1" ht="18" customHeight="1">
      <c r="A284" s="2" t="s">
        <v>749</v>
      </c>
      <c r="B284" s="3"/>
      <c r="C284" s="2"/>
      <c r="D284" s="3"/>
      <c r="E284" s="2"/>
      <c r="F284" s="2" t="s">
        <v>2822</v>
      </c>
      <c r="G284" s="2"/>
      <c r="H284" s="2" t="s">
        <v>2822</v>
      </c>
      <c r="I284" s="2"/>
      <c r="J284" s="2" t="s">
        <v>750</v>
      </c>
      <c r="K284" s="2" t="s">
        <v>749</v>
      </c>
    </row>
    <row r="285" spans="1:11" s="4" customFormat="1" ht="18" customHeight="1">
      <c r="A285" s="2" t="s">
        <v>752</v>
      </c>
      <c r="B285" s="3"/>
      <c r="C285" s="2"/>
      <c r="D285" s="3"/>
      <c r="E285" s="2"/>
      <c r="F285" s="2" t="s">
        <v>684</v>
      </c>
      <c r="G285" s="2"/>
      <c r="H285" s="2" t="s">
        <v>684</v>
      </c>
      <c r="I285" s="2"/>
      <c r="J285" s="2" t="s">
        <v>753</v>
      </c>
      <c r="K285" s="2" t="s">
        <v>752</v>
      </c>
    </row>
    <row r="286" spans="1:11" s="4" customFormat="1" ht="18" customHeight="1">
      <c r="A286" s="2" t="s">
        <v>754</v>
      </c>
      <c r="B286" s="3"/>
      <c r="C286" s="2"/>
      <c r="D286" s="3"/>
      <c r="E286" s="2"/>
      <c r="F286" s="2" t="s">
        <v>1418</v>
      </c>
      <c r="G286" s="2"/>
      <c r="H286" s="2" t="s">
        <v>1418</v>
      </c>
      <c r="I286" s="2"/>
      <c r="J286" s="2" t="s">
        <v>755</v>
      </c>
      <c r="K286" s="2" t="s">
        <v>754</v>
      </c>
    </row>
    <row r="287" spans="1:11" s="4" customFormat="1" ht="18" customHeight="1">
      <c r="A287" s="2" t="s">
        <v>756</v>
      </c>
      <c r="B287" s="3"/>
      <c r="C287" s="2"/>
      <c r="D287" s="3"/>
      <c r="E287" s="2"/>
      <c r="F287" s="2" t="s">
        <v>2191</v>
      </c>
      <c r="G287" s="2"/>
      <c r="H287" s="2" t="s">
        <v>2191</v>
      </c>
      <c r="I287" s="2"/>
      <c r="J287" s="2" t="s">
        <v>757</v>
      </c>
      <c r="K287" s="2" t="s">
        <v>756</v>
      </c>
    </row>
    <row r="288" spans="1:11" s="4" customFormat="1" ht="18" customHeight="1">
      <c r="A288" s="2" t="s">
        <v>758</v>
      </c>
      <c r="B288" s="3"/>
      <c r="C288" s="2"/>
      <c r="D288" s="3"/>
      <c r="E288" s="2"/>
      <c r="F288" s="2" t="s">
        <v>957</v>
      </c>
      <c r="G288" s="2"/>
      <c r="H288" s="2" t="s">
        <v>957</v>
      </c>
      <c r="I288" s="2"/>
      <c r="J288" s="2" t="s">
        <v>760</v>
      </c>
      <c r="K288" s="2" t="s">
        <v>758</v>
      </c>
    </row>
    <row r="289" spans="1:11" s="4" customFormat="1" ht="18" customHeight="1">
      <c r="A289" s="2" t="s">
        <v>761</v>
      </c>
      <c r="B289" s="3"/>
      <c r="C289" s="2"/>
      <c r="D289" s="3"/>
      <c r="E289" s="2"/>
      <c r="F289" s="2" t="s">
        <v>3480</v>
      </c>
      <c r="G289" s="2"/>
      <c r="H289" s="2" t="s">
        <v>3480</v>
      </c>
      <c r="I289" s="2"/>
      <c r="J289" s="2" t="s">
        <v>762</v>
      </c>
      <c r="K289" s="2" t="s">
        <v>761</v>
      </c>
    </row>
    <row r="290" spans="1:11" s="4" customFormat="1" ht="18" customHeight="1">
      <c r="A290" s="2" t="s">
        <v>763</v>
      </c>
      <c r="B290" s="3"/>
      <c r="C290" s="2"/>
      <c r="D290" s="3"/>
      <c r="E290" s="2"/>
      <c r="F290" s="2" t="s">
        <v>1449</v>
      </c>
      <c r="G290" s="2"/>
      <c r="H290" s="2" t="s">
        <v>1449</v>
      </c>
      <c r="I290" s="2"/>
      <c r="J290" s="2" t="s">
        <v>764</v>
      </c>
      <c r="K290" s="2" t="s">
        <v>763</v>
      </c>
    </row>
    <row r="291" spans="1:11" s="4" customFormat="1" ht="18" customHeight="1">
      <c r="A291" s="2" t="s">
        <v>765</v>
      </c>
      <c r="B291" s="3"/>
      <c r="C291" s="2"/>
      <c r="D291" s="3"/>
      <c r="E291" s="2"/>
      <c r="F291" s="2" t="s">
        <v>1296</v>
      </c>
      <c r="G291" s="2"/>
      <c r="H291" s="2" t="s">
        <v>1296</v>
      </c>
      <c r="I291" s="2"/>
      <c r="J291" s="2" t="s">
        <v>766</v>
      </c>
      <c r="K291" s="2" t="s">
        <v>765</v>
      </c>
    </row>
    <row r="292" spans="1:11" s="4" customFormat="1" ht="18" customHeight="1">
      <c r="A292" s="2" t="s">
        <v>767</v>
      </c>
      <c r="B292" s="3"/>
      <c r="C292" s="2"/>
      <c r="D292" s="3"/>
      <c r="E292" s="2"/>
      <c r="F292" s="2" t="s">
        <v>760</v>
      </c>
      <c r="G292" s="2"/>
      <c r="H292" s="2" t="s">
        <v>760</v>
      </c>
      <c r="I292" s="2"/>
      <c r="J292" s="2" t="s">
        <v>333</v>
      </c>
      <c r="K292" s="2" t="s">
        <v>767</v>
      </c>
    </row>
    <row r="293" spans="1:11" s="4" customFormat="1" ht="18" customHeight="1">
      <c r="A293" s="2" t="s">
        <v>768</v>
      </c>
      <c r="B293" s="3"/>
      <c r="C293" s="2"/>
      <c r="D293" s="3"/>
      <c r="E293" s="2"/>
      <c r="F293" s="2" t="s">
        <v>1814</v>
      </c>
      <c r="G293" s="2"/>
      <c r="H293" s="2" t="s">
        <v>1814</v>
      </c>
      <c r="I293" s="2"/>
      <c r="J293" s="2" t="s">
        <v>769</v>
      </c>
      <c r="K293" s="2" t="s">
        <v>768</v>
      </c>
    </row>
    <row r="294" spans="1:11" s="4" customFormat="1" ht="18" customHeight="1">
      <c r="A294" s="2" t="s">
        <v>770</v>
      </c>
      <c r="B294" s="3"/>
      <c r="C294" s="2"/>
      <c r="D294" s="3"/>
      <c r="E294" s="2"/>
      <c r="F294" s="2" t="s">
        <v>804</v>
      </c>
      <c r="G294" s="2"/>
      <c r="H294" s="2" t="s">
        <v>804</v>
      </c>
      <c r="I294" s="2"/>
      <c r="J294" s="2" t="s">
        <v>771</v>
      </c>
      <c r="K294" s="2" t="s">
        <v>770</v>
      </c>
    </row>
    <row r="295" spans="1:11" s="4" customFormat="1" ht="18" customHeight="1">
      <c r="A295" s="2" t="s">
        <v>772</v>
      </c>
      <c r="B295" s="3"/>
      <c r="C295" s="2"/>
      <c r="D295" s="3"/>
      <c r="E295" s="2"/>
      <c r="F295" s="2" t="s">
        <v>1729</v>
      </c>
      <c r="G295" s="2"/>
      <c r="H295" s="2" t="s">
        <v>1729</v>
      </c>
      <c r="I295" s="2"/>
      <c r="J295" s="2" t="s">
        <v>773</v>
      </c>
      <c r="K295" s="2" t="s">
        <v>772</v>
      </c>
    </row>
    <row r="296" spans="1:11" s="4" customFormat="1" ht="18" customHeight="1">
      <c r="A296" s="2" t="s">
        <v>775</v>
      </c>
      <c r="B296" s="3"/>
      <c r="C296" s="2"/>
      <c r="D296" s="3"/>
      <c r="E296" s="2"/>
      <c r="F296" s="2" t="s">
        <v>2382</v>
      </c>
      <c r="G296" s="2"/>
      <c r="H296" s="2" t="s">
        <v>2382</v>
      </c>
      <c r="I296" s="2"/>
      <c r="J296" s="2" t="s">
        <v>776</v>
      </c>
      <c r="K296" s="2" t="s">
        <v>775</v>
      </c>
    </row>
    <row r="297" spans="1:11" s="4" customFormat="1" ht="18" customHeight="1">
      <c r="A297" s="2" t="s">
        <v>777</v>
      </c>
      <c r="B297" s="3"/>
      <c r="C297" s="2"/>
      <c r="D297" s="3"/>
      <c r="E297" s="2"/>
      <c r="F297" s="2" t="s">
        <v>1544</v>
      </c>
      <c r="G297" s="2"/>
      <c r="H297" s="2" t="s">
        <v>1544</v>
      </c>
      <c r="I297" s="2"/>
      <c r="J297" s="2" t="s">
        <v>778</v>
      </c>
      <c r="K297" s="2" t="s">
        <v>777</v>
      </c>
    </row>
    <row r="298" spans="1:11" s="4" customFormat="1" ht="18" customHeight="1">
      <c r="A298" s="2" t="s">
        <v>779</v>
      </c>
      <c r="B298" s="3"/>
      <c r="C298" s="2"/>
      <c r="D298" s="3"/>
      <c r="E298" s="2"/>
      <c r="F298" s="2" t="s">
        <v>1544</v>
      </c>
      <c r="G298" s="2"/>
      <c r="H298" s="2" t="s">
        <v>1544</v>
      </c>
      <c r="I298" s="2"/>
      <c r="J298" s="2" t="s">
        <v>780</v>
      </c>
      <c r="K298" s="2" t="s">
        <v>779</v>
      </c>
    </row>
    <row r="299" spans="1:11" s="4" customFormat="1" ht="18" customHeight="1">
      <c r="A299" s="2" t="s">
        <v>781</v>
      </c>
      <c r="B299" s="3"/>
      <c r="C299" s="2"/>
      <c r="D299" s="3"/>
      <c r="E299" s="2"/>
      <c r="F299" s="2" t="s">
        <v>1600</v>
      </c>
      <c r="G299" s="2"/>
      <c r="H299" s="2" t="s">
        <v>1600</v>
      </c>
      <c r="I299" s="2"/>
      <c r="J299" s="2" t="s">
        <v>782</v>
      </c>
      <c r="K299" s="2" t="s">
        <v>781</v>
      </c>
    </row>
    <row r="300" spans="1:11" s="4" customFormat="1" ht="18" customHeight="1">
      <c r="A300" s="2" t="s">
        <v>783</v>
      </c>
      <c r="B300" s="3"/>
      <c r="C300" s="2"/>
      <c r="D300" s="3"/>
      <c r="E300" s="2"/>
      <c r="F300" s="2" t="s">
        <v>2407</v>
      </c>
      <c r="G300" s="2"/>
      <c r="H300" s="2" t="s">
        <v>360</v>
      </c>
      <c r="I300" s="2"/>
      <c r="J300" s="2" t="s">
        <v>784</v>
      </c>
      <c r="K300" s="2" t="s">
        <v>783</v>
      </c>
    </row>
    <row r="301" spans="1:11" s="4" customFormat="1" ht="18" customHeight="1">
      <c r="A301" s="2" t="s">
        <v>785</v>
      </c>
      <c r="B301" s="3"/>
      <c r="C301" s="2"/>
      <c r="D301" s="3"/>
      <c r="E301" s="2"/>
      <c r="F301" s="2" t="s">
        <v>2294</v>
      </c>
      <c r="G301" s="2"/>
      <c r="H301" s="2" t="s">
        <v>2294</v>
      </c>
      <c r="I301" s="2"/>
      <c r="J301" s="2" t="s">
        <v>786</v>
      </c>
      <c r="K301" s="2" t="s">
        <v>785</v>
      </c>
    </row>
    <row r="302" spans="1:11" s="4" customFormat="1" ht="18" customHeight="1">
      <c r="A302" s="2" t="s">
        <v>787</v>
      </c>
      <c r="B302" s="3"/>
      <c r="C302" s="2"/>
      <c r="D302" s="3"/>
      <c r="E302" s="2"/>
      <c r="F302" s="2" t="s">
        <v>2732</v>
      </c>
      <c r="G302" s="2"/>
      <c r="H302" s="2" t="s">
        <v>2732</v>
      </c>
      <c r="I302" s="2"/>
      <c r="J302" s="2" t="s">
        <v>788</v>
      </c>
      <c r="K302" s="2" t="s">
        <v>787</v>
      </c>
    </row>
    <row r="303" spans="1:11" s="4" customFormat="1" ht="18" customHeight="1">
      <c r="A303" s="2" t="s">
        <v>789</v>
      </c>
      <c r="B303" s="3"/>
      <c r="C303" s="2"/>
      <c r="D303" s="3"/>
      <c r="E303" s="2"/>
      <c r="F303" s="2" t="s">
        <v>959</v>
      </c>
      <c r="G303" s="2"/>
      <c r="H303" s="2" t="s">
        <v>960</v>
      </c>
      <c r="I303" s="2"/>
      <c r="J303" s="2" t="s">
        <v>790</v>
      </c>
      <c r="K303" s="2" t="s">
        <v>789</v>
      </c>
    </row>
    <row r="304" spans="1:11" s="4" customFormat="1" ht="18" customHeight="1">
      <c r="A304" s="2" t="s">
        <v>791</v>
      </c>
      <c r="B304" s="3"/>
      <c r="C304" s="2"/>
      <c r="D304" s="3"/>
      <c r="E304" s="2"/>
      <c r="F304" s="2" t="s">
        <v>766</v>
      </c>
      <c r="G304" s="2"/>
      <c r="H304" s="2" t="s">
        <v>766</v>
      </c>
      <c r="I304" s="2"/>
      <c r="J304" s="2" t="s">
        <v>792</v>
      </c>
      <c r="K304" s="2" t="s">
        <v>791</v>
      </c>
    </row>
    <row r="305" spans="1:11" s="4" customFormat="1" ht="18" customHeight="1">
      <c r="A305" s="2" t="s">
        <v>793</v>
      </c>
      <c r="B305" s="3"/>
      <c r="C305" s="2"/>
      <c r="D305" s="3"/>
      <c r="E305" s="2"/>
      <c r="F305" s="2" t="s">
        <v>871</v>
      </c>
      <c r="G305" s="2"/>
      <c r="H305" s="2" t="s">
        <v>871</v>
      </c>
      <c r="I305" s="2"/>
      <c r="J305" s="2" t="s">
        <v>795</v>
      </c>
      <c r="K305" s="2" t="s">
        <v>793</v>
      </c>
    </row>
    <row r="306" spans="1:11" s="4" customFormat="1" ht="18" customHeight="1">
      <c r="A306" s="2" t="s">
        <v>796</v>
      </c>
      <c r="B306" s="3"/>
      <c r="C306" s="2"/>
      <c r="D306" s="3"/>
      <c r="E306" s="2"/>
      <c r="F306" s="2" t="s">
        <v>2638</v>
      </c>
      <c r="G306" s="2"/>
      <c r="H306" s="2" t="s">
        <v>2638</v>
      </c>
      <c r="I306" s="2"/>
      <c r="J306" s="2" t="s">
        <v>794</v>
      </c>
      <c r="K306" s="2" t="s">
        <v>796</v>
      </c>
    </row>
    <row r="307" spans="1:11" s="4" customFormat="1" ht="18" customHeight="1">
      <c r="A307" s="2" t="s">
        <v>797</v>
      </c>
      <c r="B307" s="3"/>
      <c r="C307" s="2"/>
      <c r="D307" s="3"/>
      <c r="E307" s="2"/>
      <c r="F307" s="2" t="s">
        <v>1080</v>
      </c>
      <c r="G307" s="2"/>
      <c r="H307" s="2" t="s">
        <v>1080</v>
      </c>
      <c r="I307" s="2"/>
      <c r="J307" s="2" t="s">
        <v>798</v>
      </c>
      <c r="K307" s="2" t="s">
        <v>797</v>
      </c>
    </row>
    <row r="308" spans="1:11" s="4" customFormat="1" ht="18" customHeight="1">
      <c r="A308" s="2" t="s">
        <v>799</v>
      </c>
      <c r="B308" s="3"/>
      <c r="C308" s="2"/>
      <c r="D308" s="3"/>
      <c r="E308" s="2"/>
      <c r="F308" s="2" t="s">
        <v>3359</v>
      </c>
      <c r="G308" s="2"/>
      <c r="H308" s="2" t="s">
        <v>3360</v>
      </c>
      <c r="I308" s="2"/>
      <c r="J308" s="2" t="s">
        <v>800</v>
      </c>
      <c r="K308" s="2" t="s">
        <v>799</v>
      </c>
    </row>
    <row r="309" spans="1:11" s="4" customFormat="1" ht="18" customHeight="1">
      <c r="A309" s="2" t="s">
        <v>801</v>
      </c>
      <c r="B309" s="3"/>
      <c r="C309" s="2"/>
      <c r="D309" s="3"/>
      <c r="E309" s="2"/>
      <c r="F309" s="2" t="s">
        <v>2276</v>
      </c>
      <c r="G309" s="2"/>
      <c r="H309" s="2" t="s">
        <v>2276</v>
      </c>
      <c r="I309" s="2"/>
      <c r="J309" s="2" t="s">
        <v>802</v>
      </c>
      <c r="K309" s="2" t="s">
        <v>801</v>
      </c>
    </row>
    <row r="310" spans="1:11" s="4" customFormat="1" ht="18" customHeight="1">
      <c r="A310" s="2" t="s">
        <v>803</v>
      </c>
      <c r="B310" s="3"/>
      <c r="C310" s="2"/>
      <c r="D310" s="3"/>
      <c r="E310" s="2"/>
      <c r="F310" s="2" t="s">
        <v>474</v>
      </c>
      <c r="G310" s="2"/>
      <c r="H310" s="2" t="s">
        <v>474</v>
      </c>
      <c r="I310" s="2"/>
      <c r="J310" s="2" t="s">
        <v>804</v>
      </c>
      <c r="K310" s="2" t="s">
        <v>803</v>
      </c>
    </row>
    <row r="311" spans="1:11" s="4" customFormat="1" ht="18" customHeight="1">
      <c r="A311" s="2" t="s">
        <v>805</v>
      </c>
      <c r="B311" s="3"/>
      <c r="C311" s="2"/>
      <c r="D311" s="3"/>
      <c r="E311" s="2"/>
      <c r="F311" s="2" t="s">
        <v>2134</v>
      </c>
      <c r="G311" s="2"/>
      <c r="H311" s="2" t="s">
        <v>2134</v>
      </c>
      <c r="I311" s="2"/>
      <c r="J311" s="2" t="s">
        <v>806</v>
      </c>
      <c r="K311" s="2" t="s">
        <v>805</v>
      </c>
    </row>
    <row r="312" spans="1:11" s="4" customFormat="1" ht="18" customHeight="1">
      <c r="A312" s="2" t="s">
        <v>807</v>
      </c>
      <c r="B312" s="3"/>
      <c r="C312" s="2"/>
      <c r="D312" s="3"/>
      <c r="E312" s="2"/>
      <c r="F312" s="2" t="s">
        <v>2225</v>
      </c>
      <c r="G312" s="2"/>
      <c r="H312" s="2" t="s">
        <v>2225</v>
      </c>
      <c r="I312" s="2"/>
      <c r="J312" s="2" t="s">
        <v>808</v>
      </c>
      <c r="K312" s="2" t="s">
        <v>807</v>
      </c>
    </row>
    <row r="313" spans="1:11" s="4" customFormat="1" ht="18" customHeight="1">
      <c r="A313" s="2" t="s">
        <v>810</v>
      </c>
      <c r="B313" s="3"/>
      <c r="C313" s="2"/>
      <c r="D313" s="3"/>
      <c r="E313" s="2"/>
      <c r="F313" s="2" t="s">
        <v>1221</v>
      </c>
      <c r="G313" s="2"/>
      <c r="H313" s="2" t="s">
        <v>1221</v>
      </c>
      <c r="I313" s="2"/>
      <c r="J313" s="2" t="s">
        <v>811</v>
      </c>
      <c r="K313" s="2" t="s">
        <v>810</v>
      </c>
    </row>
    <row r="314" spans="1:11" s="4" customFormat="1" ht="18" customHeight="1">
      <c r="A314" s="2" t="s">
        <v>812</v>
      </c>
      <c r="B314" s="3"/>
      <c r="C314" s="2"/>
      <c r="D314" s="3"/>
      <c r="E314" s="2"/>
      <c r="F314" s="2" t="s">
        <v>3909</v>
      </c>
      <c r="G314" s="2"/>
      <c r="H314" s="2" t="s">
        <v>3909</v>
      </c>
      <c r="I314" s="2"/>
      <c r="J314" s="2" t="s">
        <v>813</v>
      </c>
      <c r="K314" s="2" t="s">
        <v>812</v>
      </c>
    </row>
    <row r="315" spans="1:11" s="4" customFormat="1" ht="18" customHeight="1">
      <c r="A315" s="2" t="s">
        <v>814</v>
      </c>
      <c r="B315" s="3"/>
      <c r="C315" s="2"/>
      <c r="D315" s="3"/>
      <c r="E315" s="2"/>
      <c r="F315" s="2" t="s">
        <v>1713</v>
      </c>
      <c r="G315" s="2"/>
      <c r="H315" s="2" t="s">
        <v>1713</v>
      </c>
      <c r="I315" s="2"/>
      <c r="J315" s="2" t="s">
        <v>815</v>
      </c>
      <c r="K315" s="2" t="s">
        <v>814</v>
      </c>
    </row>
    <row r="316" spans="1:11" s="4" customFormat="1" ht="18" customHeight="1">
      <c r="A316" s="2" t="s">
        <v>816</v>
      </c>
      <c r="B316" s="3"/>
      <c r="C316" s="2"/>
      <c r="D316" s="3"/>
      <c r="E316" s="2"/>
      <c r="F316" s="2" t="s">
        <v>1695</v>
      </c>
      <c r="G316" s="2"/>
      <c r="H316" s="2" t="s">
        <v>1695</v>
      </c>
      <c r="I316" s="2"/>
      <c r="J316" s="2" t="s">
        <v>817</v>
      </c>
      <c r="K316" s="2" t="s">
        <v>816</v>
      </c>
    </row>
    <row r="317" spans="1:11" s="4" customFormat="1" ht="18" customHeight="1">
      <c r="A317" s="2" t="s">
        <v>818</v>
      </c>
      <c r="B317" s="3"/>
      <c r="C317" s="2"/>
      <c r="D317" s="3"/>
      <c r="E317" s="2"/>
      <c r="F317" s="2" t="s">
        <v>3056</v>
      </c>
      <c r="G317" s="2"/>
      <c r="H317" s="2" t="s">
        <v>3057</v>
      </c>
      <c r="I317" s="2"/>
      <c r="J317" s="2" t="s">
        <v>819</v>
      </c>
      <c r="K317" s="2" t="s">
        <v>818</v>
      </c>
    </row>
    <row r="318" spans="1:11" s="4" customFormat="1" ht="18" customHeight="1">
      <c r="A318" s="2" t="s">
        <v>820</v>
      </c>
      <c r="B318" s="3"/>
      <c r="C318" s="2"/>
      <c r="D318" s="3"/>
      <c r="E318" s="2"/>
      <c r="F318" s="2" t="s">
        <v>2622</v>
      </c>
      <c r="G318" s="2"/>
      <c r="H318" s="2" t="s">
        <v>2622</v>
      </c>
      <c r="I318" s="2"/>
      <c r="J318" s="2" t="s">
        <v>821</v>
      </c>
      <c r="K318" s="2" t="s">
        <v>820</v>
      </c>
    </row>
    <row r="319" spans="1:11" s="4" customFormat="1" ht="18" customHeight="1">
      <c r="A319" s="2" t="s">
        <v>822</v>
      </c>
      <c r="B319" s="3"/>
      <c r="C319" s="2"/>
      <c r="D319" s="3"/>
      <c r="E319" s="2"/>
      <c r="F319" s="2" t="s">
        <v>1359</v>
      </c>
      <c r="G319" s="2"/>
      <c r="H319" s="2" t="s">
        <v>1359</v>
      </c>
      <c r="I319" s="2"/>
      <c r="J319" s="2" t="s">
        <v>823</v>
      </c>
      <c r="K319" s="2" t="s">
        <v>822</v>
      </c>
    </row>
    <row r="320" spans="1:11" s="4" customFormat="1" ht="18" customHeight="1">
      <c r="A320" s="2" t="s">
        <v>824</v>
      </c>
      <c r="B320" s="3"/>
      <c r="C320" s="2"/>
      <c r="D320" s="3"/>
      <c r="E320" s="2"/>
      <c r="F320" s="2" t="s">
        <v>144</v>
      </c>
      <c r="G320" s="2"/>
      <c r="H320" s="2" t="s">
        <v>144</v>
      </c>
      <c r="I320" s="2"/>
      <c r="J320" s="2" t="s">
        <v>825</v>
      </c>
      <c r="K320" s="2" t="s">
        <v>824</v>
      </c>
    </row>
    <row r="321" spans="1:11" s="4" customFormat="1" ht="18" customHeight="1">
      <c r="A321" s="2" t="s">
        <v>827</v>
      </c>
      <c r="B321" s="3"/>
      <c r="C321" s="2"/>
      <c r="D321" s="3"/>
      <c r="E321" s="2"/>
      <c r="F321" s="2" t="s">
        <v>705</v>
      </c>
      <c r="G321" s="2"/>
      <c r="H321" s="2" t="s">
        <v>705</v>
      </c>
      <c r="I321" s="2"/>
      <c r="J321" s="2" t="s">
        <v>828</v>
      </c>
      <c r="K321" s="2" t="s">
        <v>827</v>
      </c>
    </row>
    <row r="322" spans="1:11" s="4" customFormat="1" ht="18" customHeight="1">
      <c r="A322" s="2" t="s">
        <v>830</v>
      </c>
      <c r="B322" s="3"/>
      <c r="C322" s="2"/>
      <c r="D322" s="3"/>
      <c r="E322" s="2"/>
      <c r="F322" s="2" t="s">
        <v>705</v>
      </c>
      <c r="G322" s="2"/>
      <c r="H322" s="2" t="s">
        <v>705</v>
      </c>
      <c r="I322" s="2"/>
      <c r="J322" s="2" t="s">
        <v>832</v>
      </c>
      <c r="K322" s="2" t="s">
        <v>830</v>
      </c>
    </row>
    <row r="323" spans="1:11" s="4" customFormat="1" ht="18" customHeight="1">
      <c r="A323" s="2" t="s">
        <v>833</v>
      </c>
      <c r="B323" s="3"/>
      <c r="C323" s="2"/>
      <c r="D323" s="3"/>
      <c r="E323" s="2"/>
      <c r="F323" s="2" t="s">
        <v>2596</v>
      </c>
      <c r="G323" s="2"/>
      <c r="H323" s="2" t="s">
        <v>2596</v>
      </c>
      <c r="I323" s="2"/>
      <c r="J323" s="2" t="s">
        <v>834</v>
      </c>
      <c r="K323" s="2" t="s">
        <v>833</v>
      </c>
    </row>
    <row r="324" spans="1:11" s="4" customFormat="1" ht="18" customHeight="1">
      <c r="A324" s="2" t="s">
        <v>835</v>
      </c>
      <c r="B324" s="3"/>
      <c r="C324" s="2"/>
      <c r="D324" s="3"/>
      <c r="E324" s="2"/>
      <c r="F324" s="2" t="s">
        <v>2331</v>
      </c>
      <c r="G324" s="2"/>
      <c r="H324" s="2" t="s">
        <v>2331</v>
      </c>
      <c r="I324" s="2"/>
      <c r="J324" s="2" t="s">
        <v>836</v>
      </c>
      <c r="K324" s="2" t="s">
        <v>835</v>
      </c>
    </row>
    <row r="325" spans="1:11" s="4" customFormat="1" ht="18" customHeight="1">
      <c r="A325" s="2" t="s">
        <v>838</v>
      </c>
      <c r="B325" s="3"/>
      <c r="C325" s="2"/>
      <c r="D325" s="3"/>
      <c r="E325" s="2"/>
      <c r="F325" s="2" t="s">
        <v>1050</v>
      </c>
      <c r="G325" s="2"/>
      <c r="H325" s="2" t="s">
        <v>1050</v>
      </c>
      <c r="I325" s="2"/>
      <c r="J325" s="2" t="s">
        <v>839</v>
      </c>
      <c r="K325" s="2" t="s">
        <v>838</v>
      </c>
    </row>
    <row r="326" spans="1:11" s="4" customFormat="1" ht="18" customHeight="1">
      <c r="A326" s="2" t="s">
        <v>840</v>
      </c>
      <c r="B326" s="3"/>
      <c r="C326" s="2"/>
      <c r="D326" s="3"/>
      <c r="E326" s="2"/>
      <c r="F326" s="2" t="s">
        <v>2991</v>
      </c>
      <c r="G326" s="2"/>
      <c r="H326" s="2" t="s">
        <v>2991</v>
      </c>
      <c r="I326" s="2"/>
      <c r="J326" s="2" t="s">
        <v>841</v>
      </c>
      <c r="K326" s="2" t="s">
        <v>840</v>
      </c>
    </row>
    <row r="327" spans="1:11" s="4" customFormat="1" ht="18" customHeight="1">
      <c r="A327" s="2" t="s">
        <v>842</v>
      </c>
      <c r="B327" s="3"/>
      <c r="C327" s="2"/>
      <c r="D327" s="3"/>
      <c r="E327" s="2"/>
      <c r="F327" s="2" t="s">
        <v>2737</v>
      </c>
      <c r="G327" s="2"/>
      <c r="H327" s="2" t="s">
        <v>2737</v>
      </c>
      <c r="I327" s="2"/>
      <c r="J327" s="2" t="s">
        <v>843</v>
      </c>
      <c r="K327" s="2" t="s">
        <v>842</v>
      </c>
    </row>
    <row r="328" spans="1:11" s="4" customFormat="1" ht="18" customHeight="1">
      <c r="A328" s="2" t="s">
        <v>845</v>
      </c>
      <c r="B328" s="3"/>
      <c r="C328" s="2"/>
      <c r="D328" s="3"/>
      <c r="E328" s="2"/>
      <c r="F328" s="2" t="s">
        <v>873</v>
      </c>
      <c r="G328" s="2"/>
      <c r="H328" s="2" t="s">
        <v>873</v>
      </c>
      <c r="I328" s="2"/>
      <c r="J328" s="2" t="s">
        <v>846</v>
      </c>
      <c r="K328" s="2" t="s">
        <v>845</v>
      </c>
    </row>
    <row r="329" spans="1:11" s="4" customFormat="1" ht="18" customHeight="1">
      <c r="A329" s="2" t="s">
        <v>847</v>
      </c>
      <c r="B329" s="3"/>
      <c r="C329" s="2"/>
      <c r="D329" s="3"/>
      <c r="E329" s="2"/>
      <c r="F329" s="2" t="s">
        <v>1420</v>
      </c>
      <c r="G329" s="2"/>
      <c r="H329" s="2" t="s">
        <v>1420</v>
      </c>
      <c r="I329" s="2"/>
      <c r="J329" s="2" t="s">
        <v>848</v>
      </c>
      <c r="K329" s="2" t="s">
        <v>847</v>
      </c>
    </row>
    <row r="330" spans="1:11" s="4" customFormat="1" ht="18" customHeight="1">
      <c r="A330" s="2" t="s">
        <v>849</v>
      </c>
      <c r="B330" s="3"/>
      <c r="C330" s="2"/>
      <c r="D330" s="3"/>
      <c r="E330" s="2"/>
      <c r="F330" s="2" t="s">
        <v>2333</v>
      </c>
      <c r="G330" s="2"/>
      <c r="H330" s="2" t="s">
        <v>2333</v>
      </c>
      <c r="I330" s="2"/>
      <c r="J330" s="2" t="s">
        <v>850</v>
      </c>
      <c r="K330" s="2" t="s">
        <v>849</v>
      </c>
    </row>
    <row r="331" spans="1:11" s="4" customFormat="1" ht="18" customHeight="1">
      <c r="A331" s="2" t="s">
        <v>851</v>
      </c>
      <c r="B331" s="3"/>
      <c r="C331" s="2"/>
      <c r="D331" s="3"/>
      <c r="E331" s="2"/>
      <c r="F331" s="2" t="s">
        <v>2333</v>
      </c>
      <c r="G331" s="2"/>
      <c r="H331" s="2" t="s">
        <v>2333</v>
      </c>
      <c r="I331" s="2"/>
      <c r="J331" s="2" t="s">
        <v>306</v>
      </c>
      <c r="K331" s="2" t="s">
        <v>851</v>
      </c>
    </row>
    <row r="332" spans="1:11" s="4" customFormat="1" ht="18" customHeight="1">
      <c r="A332" s="2" t="s">
        <v>852</v>
      </c>
      <c r="B332" s="3"/>
      <c r="C332" s="2"/>
      <c r="D332" s="3"/>
      <c r="E332" s="2"/>
      <c r="F332" s="2" t="s">
        <v>1196</v>
      </c>
      <c r="G332" s="2"/>
      <c r="H332" s="2" t="s">
        <v>1196</v>
      </c>
      <c r="I332" s="2"/>
      <c r="J332" s="2" t="s">
        <v>853</v>
      </c>
      <c r="K332" s="2" t="s">
        <v>852</v>
      </c>
    </row>
    <row r="333" spans="1:11" s="4" customFormat="1" ht="18" customHeight="1">
      <c r="A333" s="2" t="s">
        <v>854</v>
      </c>
      <c r="B333" s="3"/>
      <c r="C333" s="2"/>
      <c r="D333" s="3"/>
      <c r="E333" s="2"/>
      <c r="F333" s="2" t="s">
        <v>982</v>
      </c>
      <c r="G333" s="2"/>
      <c r="H333" s="2" t="s">
        <v>982</v>
      </c>
      <c r="I333" s="2"/>
      <c r="J333" s="2" t="s">
        <v>855</v>
      </c>
      <c r="K333" s="2" t="s">
        <v>854</v>
      </c>
    </row>
    <row r="334" spans="1:11" s="4" customFormat="1" ht="18" customHeight="1">
      <c r="A334" s="2" t="s">
        <v>856</v>
      </c>
      <c r="B334" s="3"/>
      <c r="C334" s="2"/>
      <c r="D334" s="3"/>
      <c r="E334" s="2"/>
      <c r="F334" s="2" t="s">
        <v>1298</v>
      </c>
      <c r="G334" s="2"/>
      <c r="H334" s="2" t="s">
        <v>1298</v>
      </c>
      <c r="I334" s="2"/>
      <c r="J334" s="2" t="s">
        <v>857</v>
      </c>
      <c r="K334" s="2" t="s">
        <v>856</v>
      </c>
    </row>
    <row r="335" spans="1:11" s="4" customFormat="1" ht="18" customHeight="1">
      <c r="A335" s="2" t="s">
        <v>859</v>
      </c>
      <c r="B335" s="3"/>
      <c r="C335" s="2"/>
      <c r="D335" s="3"/>
      <c r="E335" s="2"/>
      <c r="F335" s="2" t="s">
        <v>1453</v>
      </c>
      <c r="G335" s="2"/>
      <c r="H335" s="2" t="s">
        <v>1453</v>
      </c>
      <c r="I335" s="2"/>
      <c r="J335" s="2" t="s">
        <v>860</v>
      </c>
      <c r="K335" s="2" t="s">
        <v>859</v>
      </c>
    </row>
    <row r="336" spans="1:11" s="4" customFormat="1" ht="18" customHeight="1">
      <c r="A336" s="2" t="s">
        <v>861</v>
      </c>
      <c r="B336" s="3"/>
      <c r="C336" s="2"/>
      <c r="D336" s="3"/>
      <c r="E336" s="2"/>
      <c r="F336" s="2" t="s">
        <v>146</v>
      </c>
      <c r="G336" s="2"/>
      <c r="H336" s="2" t="s">
        <v>146</v>
      </c>
      <c r="I336" s="2"/>
      <c r="J336" s="2" t="s">
        <v>862</v>
      </c>
      <c r="K336" s="2" t="s">
        <v>861</v>
      </c>
    </row>
    <row r="337" spans="1:11" s="4" customFormat="1" ht="18" customHeight="1">
      <c r="A337" s="2" t="s">
        <v>863</v>
      </c>
      <c r="B337" s="3"/>
      <c r="C337" s="2"/>
      <c r="D337" s="3"/>
      <c r="E337" s="2"/>
      <c r="F337" s="2" t="s">
        <v>2667</v>
      </c>
      <c r="G337" s="2"/>
      <c r="H337" s="2" t="s">
        <v>2667</v>
      </c>
      <c r="I337" s="2"/>
      <c r="J337" s="2" t="s">
        <v>864</v>
      </c>
      <c r="K337" s="2" t="s">
        <v>863</v>
      </c>
    </row>
    <row r="338" spans="1:11" s="4" customFormat="1" ht="18" customHeight="1">
      <c r="A338" s="2" t="s">
        <v>866</v>
      </c>
      <c r="B338" s="3"/>
      <c r="C338" s="2"/>
      <c r="D338" s="3"/>
      <c r="E338" s="2"/>
      <c r="F338" s="2" t="s">
        <v>1422</v>
      </c>
      <c r="G338" s="2"/>
      <c r="H338" s="2" t="s">
        <v>1422</v>
      </c>
      <c r="I338" s="2"/>
      <c r="J338" s="2" t="s">
        <v>867</v>
      </c>
      <c r="K338" s="2" t="s">
        <v>866</v>
      </c>
    </row>
    <row r="339" spans="1:11" s="4" customFormat="1" ht="18" customHeight="1">
      <c r="A339" s="2" t="s">
        <v>868</v>
      </c>
      <c r="B339" s="3"/>
      <c r="C339" s="2"/>
      <c r="D339" s="3"/>
      <c r="E339" s="2"/>
      <c r="F339" s="2" t="s">
        <v>623</v>
      </c>
      <c r="G339" s="2"/>
      <c r="H339" s="2" t="s">
        <v>623</v>
      </c>
      <c r="I339" s="2"/>
      <c r="J339" s="2" t="s">
        <v>869</v>
      </c>
      <c r="K339" s="2" t="s">
        <v>868</v>
      </c>
    </row>
    <row r="340" spans="1:11" s="4" customFormat="1" ht="18" customHeight="1">
      <c r="A340" s="2" t="s">
        <v>870</v>
      </c>
      <c r="B340" s="3"/>
      <c r="C340" s="2"/>
      <c r="D340" s="3"/>
      <c r="E340" s="2"/>
      <c r="F340" s="2" t="s">
        <v>2272</v>
      </c>
      <c r="G340" s="2"/>
      <c r="H340" s="2" t="s">
        <v>2272</v>
      </c>
      <c r="I340" s="2"/>
      <c r="J340" s="2" t="s">
        <v>871</v>
      </c>
      <c r="K340" s="2" t="s">
        <v>870</v>
      </c>
    </row>
    <row r="341" spans="1:11" s="4" customFormat="1" ht="18" customHeight="1">
      <c r="A341" s="2" t="s">
        <v>872</v>
      </c>
      <c r="B341" s="3"/>
      <c r="C341" s="2"/>
      <c r="D341" s="3"/>
      <c r="E341" s="2"/>
      <c r="F341" s="2" t="s">
        <v>2278</v>
      </c>
      <c r="G341" s="2"/>
      <c r="H341" s="2" t="s">
        <v>2278</v>
      </c>
      <c r="I341" s="2"/>
      <c r="J341" s="2" t="s">
        <v>873</v>
      </c>
      <c r="K341" s="2" t="s">
        <v>872</v>
      </c>
    </row>
    <row r="342" spans="1:11" s="4" customFormat="1" ht="18" customHeight="1">
      <c r="A342" s="2" t="s">
        <v>874</v>
      </c>
      <c r="B342" s="3"/>
      <c r="C342" s="2"/>
      <c r="D342" s="3"/>
      <c r="E342" s="2"/>
      <c r="F342" s="2" t="s">
        <v>2062</v>
      </c>
      <c r="G342" s="2"/>
      <c r="H342" s="2" t="s">
        <v>1644</v>
      </c>
      <c r="I342" s="2"/>
      <c r="J342" s="2" t="s">
        <v>875</v>
      </c>
      <c r="K342" s="2" t="s">
        <v>874</v>
      </c>
    </row>
    <row r="343" spans="1:11" s="4" customFormat="1" ht="18" customHeight="1">
      <c r="A343" s="2" t="s">
        <v>876</v>
      </c>
      <c r="B343" s="3"/>
      <c r="C343" s="2"/>
      <c r="D343" s="3"/>
      <c r="E343" s="2"/>
      <c r="F343" s="2" t="s">
        <v>1663</v>
      </c>
      <c r="G343" s="2"/>
      <c r="H343" s="2" t="s">
        <v>1663</v>
      </c>
      <c r="I343" s="2"/>
      <c r="J343" s="2" t="s">
        <v>877</v>
      </c>
      <c r="K343" s="2" t="s">
        <v>876</v>
      </c>
    </row>
    <row r="344" spans="1:11" s="4" customFormat="1" ht="18" customHeight="1">
      <c r="A344" s="2" t="s">
        <v>878</v>
      </c>
      <c r="B344" s="3"/>
      <c r="C344" s="2"/>
      <c r="D344" s="3"/>
      <c r="E344" s="2"/>
      <c r="F344" s="2" t="s">
        <v>1849</v>
      </c>
      <c r="G344" s="2"/>
      <c r="H344" s="2" t="s">
        <v>1849</v>
      </c>
      <c r="I344" s="2"/>
      <c r="J344" s="2" t="s">
        <v>879</v>
      </c>
      <c r="K344" s="2" t="s">
        <v>878</v>
      </c>
    </row>
    <row r="345" spans="1:11" s="4" customFormat="1" ht="18" customHeight="1">
      <c r="A345" s="2" t="s">
        <v>880</v>
      </c>
      <c r="B345" s="3"/>
      <c r="C345" s="2"/>
      <c r="D345" s="3"/>
      <c r="E345" s="2"/>
      <c r="F345" s="2" t="s">
        <v>806</v>
      </c>
      <c r="G345" s="2"/>
      <c r="H345" s="2" t="s">
        <v>806</v>
      </c>
      <c r="I345" s="2"/>
      <c r="J345" s="2" t="s">
        <v>881</v>
      </c>
      <c r="K345" s="2" t="s">
        <v>880</v>
      </c>
    </row>
    <row r="346" spans="1:11" s="4" customFormat="1" ht="18" customHeight="1">
      <c r="A346" s="2" t="s">
        <v>882</v>
      </c>
      <c r="B346" s="3"/>
      <c r="C346" s="2"/>
      <c r="D346" s="3"/>
      <c r="E346" s="2"/>
      <c r="F346" s="2" t="s">
        <v>1964</v>
      </c>
      <c r="G346" s="2"/>
      <c r="H346" s="2" t="s">
        <v>1964</v>
      </c>
      <c r="I346" s="2"/>
      <c r="J346" s="2" t="s">
        <v>883</v>
      </c>
      <c r="K346" s="2" t="s">
        <v>882</v>
      </c>
    </row>
    <row r="347" spans="1:11" s="4" customFormat="1" ht="18" customHeight="1">
      <c r="A347" s="2" t="s">
        <v>884</v>
      </c>
      <c r="B347" s="3"/>
      <c r="C347" s="2"/>
      <c r="D347" s="3"/>
      <c r="E347" s="2"/>
      <c r="F347" s="2" t="s">
        <v>1919</v>
      </c>
      <c r="G347" s="2"/>
      <c r="H347" s="2" t="s">
        <v>1919</v>
      </c>
      <c r="I347" s="2"/>
      <c r="J347" s="2" t="s">
        <v>885</v>
      </c>
      <c r="K347" s="2" t="s">
        <v>884</v>
      </c>
    </row>
    <row r="348" spans="1:11" s="4" customFormat="1" ht="18" customHeight="1">
      <c r="A348" s="2" t="s">
        <v>886</v>
      </c>
      <c r="B348" s="3"/>
      <c r="C348" s="2"/>
      <c r="D348" s="3"/>
      <c r="E348" s="2"/>
      <c r="F348" s="2" t="s">
        <v>651</v>
      </c>
      <c r="G348" s="2"/>
      <c r="H348" s="2" t="s">
        <v>651</v>
      </c>
      <c r="I348" s="2"/>
      <c r="J348" s="2" t="s">
        <v>887</v>
      </c>
      <c r="K348" s="2" t="s">
        <v>886</v>
      </c>
    </row>
    <row r="349" spans="1:11" s="4" customFormat="1" ht="18" customHeight="1">
      <c r="A349" s="2" t="s">
        <v>888</v>
      </c>
      <c r="B349" s="3"/>
      <c r="C349" s="2"/>
      <c r="D349" s="3"/>
      <c r="E349" s="2"/>
      <c r="F349" s="2" t="s">
        <v>371</v>
      </c>
      <c r="G349" s="2"/>
      <c r="H349" s="2" t="s">
        <v>371</v>
      </c>
      <c r="I349" s="2"/>
      <c r="J349" s="2" t="s">
        <v>889</v>
      </c>
      <c r="K349" s="2" t="s">
        <v>888</v>
      </c>
    </row>
    <row r="350" spans="1:11" s="4" customFormat="1" ht="18" customHeight="1">
      <c r="A350" s="2" t="s">
        <v>891</v>
      </c>
      <c r="B350" s="3"/>
      <c r="C350" s="2"/>
      <c r="D350" s="3"/>
      <c r="E350" s="2"/>
      <c r="F350" s="2" t="s">
        <v>1223</v>
      </c>
      <c r="G350" s="2"/>
      <c r="H350" s="2" t="s">
        <v>1223</v>
      </c>
      <c r="I350" s="2"/>
      <c r="J350" s="2" t="s">
        <v>892</v>
      </c>
      <c r="K350" s="2" t="s">
        <v>891</v>
      </c>
    </row>
    <row r="351" spans="1:11" s="4" customFormat="1" ht="18" customHeight="1">
      <c r="A351" s="2" t="s">
        <v>893</v>
      </c>
      <c r="B351" s="3"/>
      <c r="C351" s="2"/>
      <c r="D351" s="3"/>
      <c r="E351" s="2"/>
      <c r="F351" s="2" t="s">
        <v>3911</v>
      </c>
      <c r="G351" s="2"/>
      <c r="H351" s="2" t="s">
        <v>3912</v>
      </c>
      <c r="I351" s="2"/>
      <c r="J351" s="2" t="s">
        <v>894</v>
      </c>
      <c r="K351" s="2" t="s">
        <v>893</v>
      </c>
    </row>
    <row r="352" spans="1:11" s="4" customFormat="1" ht="18" customHeight="1">
      <c r="A352" s="2" t="s">
        <v>895</v>
      </c>
      <c r="B352" s="3"/>
      <c r="C352" s="2"/>
      <c r="D352" s="3"/>
      <c r="E352" s="2"/>
      <c r="F352" s="2" t="s">
        <v>382</v>
      </c>
      <c r="G352" s="2"/>
      <c r="H352" s="2" t="s">
        <v>382</v>
      </c>
      <c r="I352" s="2"/>
      <c r="J352" s="2" t="s">
        <v>896</v>
      </c>
      <c r="K352" s="2" t="s">
        <v>895</v>
      </c>
    </row>
    <row r="353" spans="1:11" s="4" customFormat="1" ht="18" customHeight="1">
      <c r="A353" s="2" t="s">
        <v>897</v>
      </c>
      <c r="B353" s="3"/>
      <c r="C353" s="2"/>
      <c r="D353" s="3"/>
      <c r="E353" s="2"/>
      <c r="F353" s="2" t="s">
        <v>290</v>
      </c>
      <c r="G353" s="2"/>
      <c r="H353" s="2" t="s">
        <v>290</v>
      </c>
      <c r="I353" s="2"/>
      <c r="J353" s="2" t="s">
        <v>898</v>
      </c>
      <c r="K353" s="2" t="s">
        <v>897</v>
      </c>
    </row>
    <row r="354" spans="1:11" s="4" customFormat="1" ht="18" customHeight="1">
      <c r="A354" s="2" t="s">
        <v>900</v>
      </c>
      <c r="B354" s="3"/>
      <c r="C354" s="2"/>
      <c r="D354" s="3"/>
      <c r="E354" s="2"/>
      <c r="F354" s="2" t="s">
        <v>1530</v>
      </c>
      <c r="G354" s="2"/>
      <c r="H354" s="2" t="s">
        <v>1530</v>
      </c>
      <c r="I354" s="2"/>
      <c r="J354" s="2" t="s">
        <v>901</v>
      </c>
      <c r="K354" s="2" t="s">
        <v>900</v>
      </c>
    </row>
    <row r="355" spans="1:11" s="4" customFormat="1" ht="18" customHeight="1">
      <c r="A355" s="2" t="s">
        <v>903</v>
      </c>
      <c r="B355" s="3"/>
      <c r="C355" s="2"/>
      <c r="D355" s="3"/>
      <c r="E355" s="2"/>
      <c r="F355" s="2" t="s">
        <v>200</v>
      </c>
      <c r="G355" s="2"/>
      <c r="H355" s="2" t="s">
        <v>200</v>
      </c>
      <c r="I355" s="2"/>
      <c r="J355" s="2" t="s">
        <v>904</v>
      </c>
      <c r="K355" s="2" t="s">
        <v>903</v>
      </c>
    </row>
    <row r="356" spans="1:11" s="4" customFormat="1" ht="18" customHeight="1">
      <c r="A356" s="2" t="s">
        <v>905</v>
      </c>
      <c r="B356" s="3"/>
      <c r="C356" s="2"/>
      <c r="D356" s="3"/>
      <c r="E356" s="2"/>
      <c r="F356" s="2" t="s">
        <v>1004</v>
      </c>
      <c r="G356" s="2"/>
      <c r="H356" s="2" t="s">
        <v>1004</v>
      </c>
      <c r="I356" s="2"/>
      <c r="J356" s="2" t="s">
        <v>906</v>
      </c>
      <c r="K356" s="2" t="s">
        <v>905</v>
      </c>
    </row>
    <row r="357" spans="1:11" s="4" customFormat="1" ht="18" customHeight="1">
      <c r="A357" s="2" t="s">
        <v>907</v>
      </c>
      <c r="B357" s="3"/>
      <c r="C357" s="2"/>
      <c r="D357" s="3"/>
      <c r="E357" s="2"/>
      <c r="F357" s="2" t="s">
        <v>2789</v>
      </c>
      <c r="G357" s="2"/>
      <c r="H357" s="2" t="s">
        <v>2789</v>
      </c>
      <c r="I357" s="2"/>
      <c r="J357" s="2" t="s">
        <v>908</v>
      </c>
      <c r="K357" s="2" t="s">
        <v>907</v>
      </c>
    </row>
    <row r="358" spans="1:11" s="4" customFormat="1" ht="18" customHeight="1">
      <c r="A358" s="2" t="s">
        <v>909</v>
      </c>
      <c r="B358" s="3"/>
      <c r="C358" s="2"/>
      <c r="D358" s="3"/>
      <c r="E358" s="2"/>
      <c r="F358" s="2" t="s">
        <v>984</v>
      </c>
      <c r="G358" s="2"/>
      <c r="H358" s="2" t="s">
        <v>984</v>
      </c>
      <c r="I358" s="2"/>
      <c r="J358" s="2" t="s">
        <v>910</v>
      </c>
      <c r="K358" s="2" t="s">
        <v>909</v>
      </c>
    </row>
    <row r="359" spans="1:11" s="4" customFormat="1" ht="18" customHeight="1">
      <c r="A359" s="2" t="s">
        <v>911</v>
      </c>
      <c r="B359" s="3"/>
      <c r="C359" s="2"/>
      <c r="D359" s="3"/>
      <c r="E359" s="2"/>
      <c r="F359" s="2" t="s">
        <v>2598</v>
      </c>
      <c r="G359" s="2"/>
      <c r="H359" s="2" t="s">
        <v>2598</v>
      </c>
      <c r="I359" s="2"/>
      <c r="J359" s="2" t="s">
        <v>912</v>
      </c>
      <c r="K359" s="2" t="s">
        <v>911</v>
      </c>
    </row>
    <row r="360" spans="1:11" s="4" customFormat="1" ht="18" customHeight="1">
      <c r="A360" s="2" t="s">
        <v>913</v>
      </c>
      <c r="B360" s="3"/>
      <c r="C360" s="2"/>
      <c r="D360" s="3"/>
      <c r="E360" s="2"/>
      <c r="F360" s="2" t="s">
        <v>3103</v>
      </c>
      <c r="G360" s="2"/>
      <c r="H360" s="2" t="s">
        <v>3103</v>
      </c>
      <c r="I360" s="2"/>
      <c r="J360" s="2" t="s">
        <v>914</v>
      </c>
      <c r="K360" s="2" t="s">
        <v>913</v>
      </c>
    </row>
    <row r="361" spans="1:11" s="4" customFormat="1" ht="18" customHeight="1">
      <c r="A361" s="2" t="s">
        <v>915</v>
      </c>
      <c r="B361" s="3"/>
      <c r="C361" s="2"/>
      <c r="D361" s="3"/>
      <c r="E361" s="2"/>
      <c r="F361" s="2" t="s">
        <v>3332</v>
      </c>
      <c r="G361" s="2"/>
      <c r="H361" s="2" t="s">
        <v>3332</v>
      </c>
      <c r="I361" s="2"/>
      <c r="J361" s="2" t="s">
        <v>916</v>
      </c>
      <c r="K361" s="2" t="s">
        <v>915</v>
      </c>
    </row>
    <row r="362" spans="1:11" s="4" customFormat="1" ht="18" customHeight="1">
      <c r="A362" s="2" t="s">
        <v>917</v>
      </c>
      <c r="B362" s="3"/>
      <c r="C362" s="2"/>
      <c r="D362" s="3"/>
      <c r="E362" s="2"/>
      <c r="F362" s="2" t="s">
        <v>2179</v>
      </c>
      <c r="G362" s="2"/>
      <c r="H362" s="2" t="s">
        <v>2180</v>
      </c>
      <c r="I362" s="2"/>
      <c r="J362" s="2" t="s">
        <v>918</v>
      </c>
      <c r="K362" s="2" t="s">
        <v>917</v>
      </c>
    </row>
    <row r="363" spans="1:11" s="4" customFormat="1" ht="18" customHeight="1">
      <c r="A363" s="2" t="s">
        <v>919</v>
      </c>
      <c r="B363" s="3"/>
      <c r="C363" s="2"/>
      <c r="D363" s="3"/>
      <c r="E363" s="2"/>
      <c r="F363" s="2" t="s">
        <v>2335</v>
      </c>
      <c r="G363" s="2"/>
      <c r="H363" s="2" t="s">
        <v>2335</v>
      </c>
      <c r="I363" s="2"/>
      <c r="J363" s="2" t="s">
        <v>920</v>
      </c>
      <c r="K363" s="2" t="s">
        <v>919</v>
      </c>
    </row>
    <row r="364" spans="1:11" s="4" customFormat="1" ht="18" customHeight="1">
      <c r="A364" s="2" t="s">
        <v>921</v>
      </c>
      <c r="B364" s="3"/>
      <c r="C364" s="2"/>
      <c r="D364" s="3"/>
      <c r="E364" s="2"/>
      <c r="F364" s="2" t="s">
        <v>2558</v>
      </c>
      <c r="G364" s="2"/>
      <c r="H364" s="2" t="s">
        <v>2558</v>
      </c>
      <c r="I364" s="2"/>
      <c r="J364" s="2" t="s">
        <v>922</v>
      </c>
      <c r="K364" s="2" t="s">
        <v>921</v>
      </c>
    </row>
    <row r="365" spans="1:11" s="4" customFormat="1" ht="18" customHeight="1">
      <c r="A365" s="2" t="s">
        <v>924</v>
      </c>
      <c r="B365" s="3"/>
      <c r="C365" s="2"/>
      <c r="D365" s="3"/>
      <c r="E365" s="2"/>
      <c r="F365" s="2" t="s">
        <v>2739</v>
      </c>
      <c r="G365" s="2"/>
      <c r="H365" s="2" t="s">
        <v>2739</v>
      </c>
      <c r="I365" s="2"/>
      <c r="J365" s="2" t="s">
        <v>925</v>
      </c>
      <c r="K365" s="2" t="s">
        <v>924</v>
      </c>
    </row>
    <row r="366" spans="1:11" s="4" customFormat="1" ht="18" customHeight="1">
      <c r="A366" s="2" t="s">
        <v>926</v>
      </c>
      <c r="B366" s="3"/>
      <c r="C366" s="2"/>
      <c r="D366" s="3"/>
      <c r="E366" s="2"/>
      <c r="F366" s="2" t="s">
        <v>3405</v>
      </c>
      <c r="G366" s="2"/>
      <c r="H366" s="2" t="s">
        <v>3405</v>
      </c>
      <c r="I366" s="2"/>
      <c r="J366" s="2" t="s">
        <v>927</v>
      </c>
      <c r="K366" s="2" t="s">
        <v>926</v>
      </c>
    </row>
    <row r="367" spans="1:11" s="4" customFormat="1" ht="18" customHeight="1">
      <c r="A367" s="2" t="s">
        <v>929</v>
      </c>
      <c r="B367" s="3"/>
      <c r="C367" s="2"/>
      <c r="D367" s="3"/>
      <c r="E367" s="2"/>
      <c r="F367" s="2" t="s">
        <v>1509</v>
      </c>
      <c r="G367" s="2"/>
      <c r="H367" s="2" t="s">
        <v>1509</v>
      </c>
      <c r="I367" s="2"/>
      <c r="J367" s="2" t="s">
        <v>930</v>
      </c>
      <c r="K367" s="2" t="s">
        <v>929</v>
      </c>
    </row>
    <row r="368" spans="1:11" s="4" customFormat="1" ht="18" customHeight="1">
      <c r="A368" s="2" t="s">
        <v>932</v>
      </c>
      <c r="B368" s="3"/>
      <c r="C368" s="2"/>
      <c r="D368" s="3"/>
      <c r="E368" s="2"/>
      <c r="F368" s="2" t="s">
        <v>2240</v>
      </c>
      <c r="G368" s="2"/>
      <c r="H368" s="2" t="s">
        <v>2240</v>
      </c>
      <c r="I368" s="2"/>
      <c r="J368" s="2" t="s">
        <v>933</v>
      </c>
      <c r="K368" s="2" t="s">
        <v>932</v>
      </c>
    </row>
    <row r="369" spans="1:11" s="4" customFormat="1" ht="18" customHeight="1">
      <c r="A369" s="2" t="s">
        <v>935</v>
      </c>
      <c r="B369" s="3"/>
      <c r="C369" s="2"/>
      <c r="D369" s="3"/>
      <c r="E369" s="2"/>
      <c r="F369" s="2" t="s">
        <v>1424</v>
      </c>
      <c r="G369" s="2"/>
      <c r="H369" s="2" t="s">
        <v>1424</v>
      </c>
      <c r="I369" s="2"/>
      <c r="J369" s="2" t="s">
        <v>936</v>
      </c>
      <c r="K369" s="2" t="s">
        <v>935</v>
      </c>
    </row>
    <row r="370" spans="1:11" s="4" customFormat="1" ht="18" customHeight="1">
      <c r="A370" s="2" t="s">
        <v>938</v>
      </c>
      <c r="B370" s="3"/>
      <c r="C370" s="2"/>
      <c r="D370" s="3"/>
      <c r="E370" s="2"/>
      <c r="F370" s="2" t="s">
        <v>1474</v>
      </c>
      <c r="G370" s="2"/>
      <c r="H370" s="2" t="s">
        <v>1474</v>
      </c>
      <c r="I370" s="2"/>
      <c r="J370" s="2" t="s">
        <v>939</v>
      </c>
      <c r="K370" s="2" t="s">
        <v>938</v>
      </c>
    </row>
    <row r="371" spans="1:11" s="4" customFormat="1" ht="18" customHeight="1">
      <c r="A371" s="2" t="s">
        <v>940</v>
      </c>
      <c r="B371" s="3"/>
      <c r="C371" s="2"/>
      <c r="D371" s="3"/>
      <c r="E371" s="2"/>
      <c r="F371" s="2" t="s">
        <v>2824</v>
      </c>
      <c r="G371" s="2"/>
      <c r="H371" s="2" t="s">
        <v>2824</v>
      </c>
      <c r="I371" s="2"/>
      <c r="J371" s="2" t="s">
        <v>941</v>
      </c>
      <c r="K371" s="2" t="s">
        <v>940</v>
      </c>
    </row>
    <row r="372" spans="1:11" s="4" customFormat="1" ht="18" customHeight="1">
      <c r="A372" s="2" t="s">
        <v>942</v>
      </c>
      <c r="B372" s="3"/>
      <c r="C372" s="2"/>
      <c r="D372" s="3"/>
      <c r="E372" s="2"/>
      <c r="F372" s="2" t="s">
        <v>1414</v>
      </c>
      <c r="G372" s="2"/>
      <c r="H372" s="2" t="s">
        <v>1414</v>
      </c>
      <c r="I372" s="2"/>
      <c r="J372" s="2" t="s">
        <v>943</v>
      </c>
      <c r="K372" s="2" t="s">
        <v>942</v>
      </c>
    </row>
    <row r="373" spans="1:11" s="4" customFormat="1" ht="18" customHeight="1">
      <c r="A373" s="2" t="s">
        <v>944</v>
      </c>
      <c r="B373" s="3"/>
      <c r="C373" s="2"/>
      <c r="D373" s="3"/>
      <c r="E373" s="2"/>
      <c r="F373" s="2" t="s">
        <v>3567</v>
      </c>
      <c r="G373" s="2"/>
      <c r="H373" s="2" t="s">
        <v>3567</v>
      </c>
      <c r="I373" s="2"/>
      <c r="J373" s="2" t="s">
        <v>945</v>
      </c>
      <c r="K373" s="2" t="s">
        <v>944</v>
      </c>
    </row>
    <row r="374" spans="1:11" s="4" customFormat="1" ht="18" customHeight="1">
      <c r="A374" s="2" t="s">
        <v>946</v>
      </c>
      <c r="B374" s="3"/>
      <c r="C374" s="2"/>
      <c r="D374" s="3"/>
      <c r="E374" s="2"/>
      <c r="F374" s="2" t="s">
        <v>2692</v>
      </c>
      <c r="G374" s="2"/>
      <c r="H374" s="2" t="s">
        <v>2692</v>
      </c>
      <c r="I374" s="2"/>
      <c r="J374" s="2" t="s">
        <v>947</v>
      </c>
      <c r="K374" s="2" t="s">
        <v>946</v>
      </c>
    </row>
    <row r="375" spans="1:11" s="4" customFormat="1" ht="18" customHeight="1">
      <c r="A375" s="2" t="s">
        <v>948</v>
      </c>
      <c r="B375" s="3"/>
      <c r="C375" s="2"/>
      <c r="D375" s="3"/>
      <c r="E375" s="2"/>
      <c r="F375" s="2" t="s">
        <v>1502</v>
      </c>
      <c r="G375" s="2"/>
      <c r="H375" s="2" t="s">
        <v>1502</v>
      </c>
      <c r="I375" s="2"/>
      <c r="J375" s="2" t="s">
        <v>949</v>
      </c>
      <c r="K375" s="2" t="s">
        <v>948</v>
      </c>
    </row>
    <row r="376" spans="1:11" s="4" customFormat="1" ht="18" customHeight="1">
      <c r="A376" s="2" t="s">
        <v>950</v>
      </c>
      <c r="B376" s="3"/>
      <c r="C376" s="2"/>
      <c r="D376" s="3"/>
      <c r="E376" s="2"/>
      <c r="F376" s="2" t="s">
        <v>3477</v>
      </c>
      <c r="G376" s="2"/>
      <c r="H376" s="2" t="s">
        <v>3477</v>
      </c>
      <c r="I376" s="2"/>
      <c r="J376" s="2" t="s">
        <v>951</v>
      </c>
      <c r="K376" s="2" t="s">
        <v>950</v>
      </c>
    </row>
    <row r="377" spans="1:11" s="4" customFormat="1" ht="18" customHeight="1">
      <c r="A377" s="2" t="s">
        <v>952</v>
      </c>
      <c r="B377" s="3"/>
      <c r="C377" s="2"/>
      <c r="D377" s="3"/>
      <c r="E377" s="2"/>
      <c r="F377" s="2" t="s">
        <v>1254</v>
      </c>
      <c r="G377" s="2"/>
      <c r="H377" s="2" t="s">
        <v>1254</v>
      </c>
      <c r="I377" s="2"/>
      <c r="J377" s="2" t="s">
        <v>953</v>
      </c>
      <c r="K377" s="2" t="s">
        <v>952</v>
      </c>
    </row>
    <row r="378" spans="1:11" s="4" customFormat="1" ht="18" customHeight="1">
      <c r="A378" s="2" t="s">
        <v>954</v>
      </c>
      <c r="B378" s="3"/>
      <c r="C378" s="2"/>
      <c r="D378" s="3"/>
      <c r="E378" s="2"/>
      <c r="F378" s="2" t="s">
        <v>1389</v>
      </c>
      <c r="G378" s="2"/>
      <c r="H378" s="2" t="s">
        <v>1389</v>
      </c>
      <c r="I378" s="2"/>
      <c r="J378" s="2" t="s">
        <v>955</v>
      </c>
      <c r="K378" s="2" t="s">
        <v>954</v>
      </c>
    </row>
    <row r="379" spans="1:11" s="4" customFormat="1" ht="18" customHeight="1">
      <c r="A379" s="2" t="s">
        <v>956</v>
      </c>
      <c r="B379" s="3"/>
      <c r="C379" s="2"/>
      <c r="D379" s="3"/>
      <c r="E379" s="2"/>
      <c r="F379" s="2" t="s">
        <v>1198</v>
      </c>
      <c r="G379" s="2"/>
      <c r="H379" s="2" t="s">
        <v>1198</v>
      </c>
      <c r="I379" s="2"/>
      <c r="J379" s="2" t="s">
        <v>957</v>
      </c>
      <c r="K379" s="2" t="s">
        <v>956</v>
      </c>
    </row>
    <row r="380" spans="1:11" s="4" customFormat="1" ht="18" customHeight="1">
      <c r="A380" s="2" t="s">
        <v>958</v>
      </c>
      <c r="B380" s="3"/>
      <c r="C380" s="2"/>
      <c r="D380" s="3"/>
      <c r="E380" s="2"/>
      <c r="F380" s="2" t="s">
        <v>3596</v>
      </c>
      <c r="G380" s="2"/>
      <c r="H380" s="2" t="s">
        <v>3596</v>
      </c>
      <c r="I380" s="2"/>
      <c r="J380" s="2" t="s">
        <v>959</v>
      </c>
      <c r="K380" s="2" t="s">
        <v>958</v>
      </c>
    </row>
    <row r="381" spans="1:11" s="4" customFormat="1" ht="18" customHeight="1">
      <c r="A381" s="2" t="s">
        <v>961</v>
      </c>
      <c r="B381" s="3"/>
      <c r="C381" s="2"/>
      <c r="D381" s="3"/>
      <c r="E381" s="2"/>
      <c r="F381" s="2" t="s">
        <v>2554</v>
      </c>
      <c r="G381" s="2"/>
      <c r="H381" s="2" t="s">
        <v>2554</v>
      </c>
      <c r="I381" s="2"/>
      <c r="J381" s="2" t="s">
        <v>962</v>
      </c>
      <c r="K381" s="2" t="s">
        <v>961</v>
      </c>
    </row>
    <row r="382" spans="1:11" s="4" customFormat="1" ht="18" customHeight="1">
      <c r="A382" s="2" t="s">
        <v>964</v>
      </c>
      <c r="B382" s="3"/>
      <c r="C382" s="2"/>
      <c r="D382" s="3"/>
      <c r="E382" s="2"/>
      <c r="F382" s="2" t="s">
        <v>1944</v>
      </c>
      <c r="G382" s="2"/>
      <c r="H382" s="2" t="s">
        <v>1944</v>
      </c>
      <c r="I382" s="2"/>
      <c r="J382" s="2" t="s">
        <v>965</v>
      </c>
      <c r="K382" s="2" t="s">
        <v>964</v>
      </c>
    </row>
    <row r="383" spans="1:11" s="4" customFormat="1" ht="18" customHeight="1">
      <c r="A383" s="2" t="s">
        <v>966</v>
      </c>
      <c r="B383" s="3"/>
      <c r="C383" s="2"/>
      <c r="D383" s="3"/>
      <c r="E383" s="2"/>
      <c r="F383" s="2" t="s">
        <v>2337</v>
      </c>
      <c r="G383" s="2"/>
      <c r="H383" s="2" t="s">
        <v>2337</v>
      </c>
      <c r="I383" s="2"/>
      <c r="J383" s="2" t="s">
        <v>967</v>
      </c>
      <c r="K383" s="2" t="s">
        <v>966</v>
      </c>
    </row>
    <row r="384" spans="1:11" s="4" customFormat="1" ht="18" customHeight="1">
      <c r="A384" s="2" t="s">
        <v>968</v>
      </c>
      <c r="B384" s="3"/>
      <c r="C384" s="2"/>
      <c r="D384" s="3"/>
      <c r="E384" s="2"/>
      <c r="F384" s="2" t="s">
        <v>148</v>
      </c>
      <c r="G384" s="2"/>
      <c r="H384" s="2" t="s">
        <v>148</v>
      </c>
      <c r="I384" s="2"/>
      <c r="J384" s="2" t="s">
        <v>969</v>
      </c>
      <c r="K384" s="2" t="s">
        <v>968</v>
      </c>
    </row>
    <row r="385" spans="1:11" s="4" customFormat="1" ht="18" customHeight="1">
      <c r="A385" s="2" t="s">
        <v>970</v>
      </c>
      <c r="B385" s="3"/>
      <c r="C385" s="2"/>
      <c r="D385" s="3"/>
      <c r="E385" s="2"/>
      <c r="F385" s="2" t="s">
        <v>148</v>
      </c>
      <c r="G385" s="2"/>
      <c r="H385" s="2" t="s">
        <v>148</v>
      </c>
      <c r="I385" s="2"/>
      <c r="J385" s="2" t="s">
        <v>971</v>
      </c>
      <c r="K385" s="2" t="s">
        <v>970</v>
      </c>
    </row>
    <row r="386" spans="1:11" s="4" customFormat="1" ht="18" customHeight="1">
      <c r="A386" s="2" t="s">
        <v>972</v>
      </c>
      <c r="B386" s="3"/>
      <c r="C386" s="2"/>
      <c r="D386" s="3"/>
      <c r="E386" s="2"/>
      <c r="F386" s="2" t="s">
        <v>832</v>
      </c>
      <c r="G386" s="2"/>
      <c r="H386" s="2" t="s">
        <v>832</v>
      </c>
      <c r="I386" s="2"/>
      <c r="J386" s="2" t="s">
        <v>974</v>
      </c>
      <c r="K386" s="2" t="s">
        <v>972</v>
      </c>
    </row>
    <row r="387" spans="1:11" s="4" customFormat="1" ht="18" customHeight="1">
      <c r="A387" s="2" t="s">
        <v>975</v>
      </c>
      <c r="B387" s="3"/>
      <c r="C387" s="2"/>
      <c r="D387" s="3"/>
      <c r="E387" s="2"/>
      <c r="F387" s="2" t="s">
        <v>2106</v>
      </c>
      <c r="G387" s="2"/>
      <c r="H387" s="2" t="s">
        <v>2106</v>
      </c>
      <c r="I387" s="2"/>
      <c r="J387" s="2" t="s">
        <v>976</v>
      </c>
      <c r="K387" s="2" t="s">
        <v>975</v>
      </c>
    </row>
    <row r="388" spans="1:11" s="4" customFormat="1" ht="18" customHeight="1">
      <c r="A388" s="2" t="s">
        <v>977</v>
      </c>
      <c r="B388" s="3"/>
      <c r="C388" s="2"/>
      <c r="D388" s="3"/>
      <c r="E388" s="2"/>
      <c r="F388" s="2" t="s">
        <v>1960</v>
      </c>
      <c r="G388" s="2"/>
      <c r="H388" s="2" t="s">
        <v>1960</v>
      </c>
      <c r="I388" s="2"/>
      <c r="J388" s="2" t="s">
        <v>978</v>
      </c>
      <c r="K388" s="2" t="s">
        <v>977</v>
      </c>
    </row>
    <row r="389" spans="1:11" s="4" customFormat="1" ht="18" customHeight="1">
      <c r="A389" s="2" t="s">
        <v>979</v>
      </c>
      <c r="B389" s="3"/>
      <c r="C389" s="2"/>
      <c r="D389" s="3"/>
      <c r="E389" s="2"/>
      <c r="F389" s="2" t="s">
        <v>2064</v>
      </c>
      <c r="G389" s="2"/>
      <c r="H389" s="2" t="s">
        <v>2064</v>
      </c>
      <c r="I389" s="2"/>
      <c r="J389" s="2" t="s">
        <v>980</v>
      </c>
      <c r="K389" s="2" t="s">
        <v>979</v>
      </c>
    </row>
    <row r="390" spans="1:11" s="4" customFormat="1" ht="18" customHeight="1">
      <c r="A390" s="2" t="s">
        <v>981</v>
      </c>
      <c r="B390" s="3"/>
      <c r="C390" s="2"/>
      <c r="D390" s="3"/>
      <c r="E390" s="2"/>
      <c r="F390" s="2" t="s">
        <v>202</v>
      </c>
      <c r="G390" s="2"/>
      <c r="H390" s="2" t="s">
        <v>202</v>
      </c>
      <c r="I390" s="2"/>
      <c r="J390" s="2" t="s">
        <v>982</v>
      </c>
      <c r="K390" s="2" t="s">
        <v>981</v>
      </c>
    </row>
    <row r="391" spans="1:11" s="4" customFormat="1" ht="18" customHeight="1">
      <c r="A391" s="2" t="s">
        <v>983</v>
      </c>
      <c r="B391" s="3"/>
      <c r="C391" s="2"/>
      <c r="D391" s="3"/>
      <c r="E391" s="2"/>
      <c r="F391" s="2" t="s">
        <v>1138</v>
      </c>
      <c r="G391" s="2"/>
      <c r="H391" s="2" t="s">
        <v>1138</v>
      </c>
      <c r="I391" s="2"/>
      <c r="J391" s="2" t="s">
        <v>984</v>
      </c>
      <c r="K391" s="2" t="s">
        <v>983</v>
      </c>
    </row>
    <row r="392" spans="1:11" s="4" customFormat="1" ht="18" customHeight="1">
      <c r="A392" s="2" t="s">
        <v>985</v>
      </c>
      <c r="B392" s="3"/>
      <c r="C392" s="2"/>
      <c r="D392" s="3"/>
      <c r="E392" s="2"/>
      <c r="F392" s="2" t="s">
        <v>2826</v>
      </c>
      <c r="G392" s="2"/>
      <c r="H392" s="2" t="s">
        <v>2826</v>
      </c>
      <c r="I392" s="2"/>
      <c r="J392" s="2" t="s">
        <v>986</v>
      </c>
      <c r="K392" s="2" t="s">
        <v>985</v>
      </c>
    </row>
    <row r="393" spans="1:11" s="4" customFormat="1" ht="18" customHeight="1">
      <c r="A393" s="2" t="s">
        <v>987</v>
      </c>
      <c r="B393" s="3"/>
      <c r="C393" s="2"/>
      <c r="D393" s="3"/>
      <c r="E393" s="2"/>
      <c r="F393" s="2" t="s">
        <v>686</v>
      </c>
      <c r="G393" s="2"/>
      <c r="H393" s="2" t="s">
        <v>686</v>
      </c>
      <c r="I393" s="2"/>
      <c r="J393" s="2" t="s">
        <v>988</v>
      </c>
      <c r="K393" s="2" t="s">
        <v>987</v>
      </c>
    </row>
    <row r="394" spans="1:11" s="4" customFormat="1" ht="18" customHeight="1">
      <c r="A394" s="2" t="s">
        <v>989</v>
      </c>
      <c r="B394" s="3"/>
      <c r="C394" s="2"/>
      <c r="D394" s="3"/>
      <c r="E394" s="2"/>
      <c r="F394" s="2" t="s">
        <v>3949</v>
      </c>
      <c r="G394" s="2"/>
      <c r="H394" s="2" t="s">
        <v>3949</v>
      </c>
      <c r="I394" s="2"/>
      <c r="J394" s="2" t="s">
        <v>990</v>
      </c>
      <c r="K394" s="2" t="s">
        <v>989</v>
      </c>
    </row>
    <row r="395" spans="1:11" s="4" customFormat="1" ht="18" customHeight="1">
      <c r="A395" s="2" t="s">
        <v>991</v>
      </c>
      <c r="B395" s="3"/>
      <c r="C395" s="2"/>
      <c r="D395" s="3"/>
      <c r="E395" s="2"/>
      <c r="F395" s="2" t="s">
        <v>3334</v>
      </c>
      <c r="G395" s="2"/>
      <c r="H395" s="2" t="s">
        <v>3334</v>
      </c>
      <c r="I395" s="2"/>
      <c r="J395" s="2" t="s">
        <v>992</v>
      </c>
      <c r="K395" s="2" t="s">
        <v>991</v>
      </c>
    </row>
    <row r="396" spans="1:11" s="4" customFormat="1" ht="18" customHeight="1">
      <c r="A396" s="2" t="s">
        <v>993</v>
      </c>
      <c r="B396" s="3"/>
      <c r="C396" s="2"/>
      <c r="D396" s="3"/>
      <c r="E396" s="2"/>
      <c r="F396" s="2" t="s">
        <v>3623</v>
      </c>
      <c r="G396" s="2"/>
      <c r="H396" s="2" t="s">
        <v>3623</v>
      </c>
      <c r="I396" s="2"/>
      <c r="J396" s="2" t="s">
        <v>994</v>
      </c>
      <c r="K396" s="2" t="s">
        <v>993</v>
      </c>
    </row>
    <row r="397" spans="1:11" s="4" customFormat="1" ht="18" customHeight="1">
      <c r="A397" s="2" t="s">
        <v>995</v>
      </c>
      <c r="B397" s="3"/>
      <c r="C397" s="2"/>
      <c r="D397" s="3"/>
      <c r="E397" s="2"/>
      <c r="F397" s="2" t="s">
        <v>3569</v>
      </c>
      <c r="G397" s="2"/>
      <c r="H397" s="2" t="s">
        <v>3569</v>
      </c>
      <c r="I397" s="2"/>
      <c r="J397" s="2" t="s">
        <v>996</v>
      </c>
      <c r="K397" s="2" t="s">
        <v>995</v>
      </c>
    </row>
    <row r="398" spans="1:11" s="4" customFormat="1" ht="18" customHeight="1">
      <c r="A398" s="2" t="s">
        <v>997</v>
      </c>
      <c r="B398" s="3"/>
      <c r="C398" s="2"/>
      <c r="D398" s="3"/>
      <c r="E398" s="2"/>
      <c r="F398" s="2" t="s">
        <v>2936</v>
      </c>
      <c r="G398" s="2"/>
      <c r="H398" s="2" t="s">
        <v>2936</v>
      </c>
      <c r="I398" s="2"/>
      <c r="J398" s="2" t="s">
        <v>998</v>
      </c>
      <c r="K398" s="2" t="s">
        <v>997</v>
      </c>
    </row>
    <row r="399" spans="1:11" s="4" customFormat="1" ht="18" customHeight="1">
      <c r="A399" s="2" t="s">
        <v>1000</v>
      </c>
      <c r="B399" s="3"/>
      <c r="C399" s="2"/>
      <c r="D399" s="3"/>
      <c r="E399" s="2"/>
      <c r="F399" s="2" t="s">
        <v>240</v>
      </c>
      <c r="G399" s="2"/>
      <c r="H399" s="2" t="s">
        <v>240</v>
      </c>
      <c r="I399" s="2"/>
      <c r="J399" s="2" t="s">
        <v>1001</v>
      </c>
      <c r="K399" s="2" t="s">
        <v>1000</v>
      </c>
    </row>
    <row r="400" spans="1:11" s="4" customFormat="1" ht="18" customHeight="1">
      <c r="A400" s="2" t="s">
        <v>1002</v>
      </c>
      <c r="B400" s="3"/>
      <c r="C400" s="2"/>
      <c r="D400" s="3"/>
      <c r="E400" s="2"/>
      <c r="F400" s="2" t="s">
        <v>1064</v>
      </c>
      <c r="G400" s="2"/>
      <c r="H400" s="2" t="s">
        <v>1064</v>
      </c>
      <c r="I400" s="2"/>
      <c r="J400" s="2" t="s">
        <v>1004</v>
      </c>
      <c r="K400" s="2" t="s">
        <v>1002</v>
      </c>
    </row>
    <row r="401" spans="1:11" s="4" customFormat="1" ht="18" customHeight="1">
      <c r="A401" s="2" t="s">
        <v>1005</v>
      </c>
      <c r="B401" s="3"/>
      <c r="C401" s="2"/>
      <c r="D401" s="3"/>
      <c r="E401" s="2"/>
      <c r="F401" s="2" t="s">
        <v>1946</v>
      </c>
      <c r="G401" s="2"/>
      <c r="H401" s="2" t="s">
        <v>1946</v>
      </c>
      <c r="I401" s="2"/>
      <c r="J401" s="2" t="s">
        <v>1006</v>
      </c>
      <c r="K401" s="2" t="s">
        <v>1005</v>
      </c>
    </row>
    <row r="402" spans="1:11" s="4" customFormat="1" ht="18" customHeight="1">
      <c r="A402" s="2" t="s">
        <v>1007</v>
      </c>
      <c r="B402" s="3"/>
      <c r="C402" s="2"/>
      <c r="D402" s="3"/>
      <c r="E402" s="2"/>
      <c r="F402" s="2" t="s">
        <v>331</v>
      </c>
      <c r="G402" s="2"/>
      <c r="H402" s="2" t="s">
        <v>331</v>
      </c>
      <c r="I402" s="2"/>
      <c r="J402" s="2" t="s">
        <v>1008</v>
      </c>
      <c r="K402" s="2" t="s">
        <v>1007</v>
      </c>
    </row>
    <row r="403" spans="1:11" s="4" customFormat="1" ht="18" customHeight="1">
      <c r="A403" s="2" t="s">
        <v>1009</v>
      </c>
      <c r="B403" s="3"/>
      <c r="C403" s="2"/>
      <c r="D403" s="3"/>
      <c r="E403" s="2"/>
      <c r="F403" s="2" t="s">
        <v>331</v>
      </c>
      <c r="G403" s="2"/>
      <c r="H403" s="2" t="s">
        <v>331</v>
      </c>
      <c r="I403" s="2"/>
      <c r="J403" s="2" t="s">
        <v>1010</v>
      </c>
      <c r="K403" s="2" t="s">
        <v>1009</v>
      </c>
    </row>
    <row r="404" spans="1:11" s="4" customFormat="1" ht="18" customHeight="1">
      <c r="A404" s="2" t="s">
        <v>1011</v>
      </c>
      <c r="B404" s="3"/>
      <c r="C404" s="2"/>
      <c r="D404" s="3"/>
      <c r="E404" s="2"/>
      <c r="F404" s="2" t="s">
        <v>331</v>
      </c>
      <c r="G404" s="2"/>
      <c r="H404" s="2" t="s">
        <v>331</v>
      </c>
      <c r="I404" s="2"/>
      <c r="J404" s="2" t="s">
        <v>1003</v>
      </c>
      <c r="K404" s="2" t="s">
        <v>1011</v>
      </c>
    </row>
    <row r="405" spans="1:11" s="4" customFormat="1" ht="18" customHeight="1">
      <c r="A405" s="2" t="s">
        <v>1012</v>
      </c>
      <c r="B405" s="3"/>
      <c r="C405" s="2"/>
      <c r="D405" s="3"/>
      <c r="E405" s="2"/>
      <c r="F405" s="2" t="s">
        <v>292</v>
      </c>
      <c r="G405" s="2"/>
      <c r="H405" s="2" t="s">
        <v>292</v>
      </c>
      <c r="I405" s="2"/>
      <c r="J405" s="2" t="s">
        <v>1013</v>
      </c>
      <c r="K405" s="2" t="s">
        <v>1012</v>
      </c>
    </row>
    <row r="406" spans="1:11" s="4" customFormat="1" ht="18" customHeight="1">
      <c r="A406" s="2" t="s">
        <v>1014</v>
      </c>
      <c r="B406" s="3"/>
      <c r="C406" s="2"/>
      <c r="D406" s="3"/>
      <c r="E406" s="2"/>
      <c r="F406" s="2" t="s">
        <v>3081</v>
      </c>
      <c r="G406" s="2"/>
      <c r="H406" s="2" t="s">
        <v>3081</v>
      </c>
      <c r="I406" s="2"/>
      <c r="J406" s="2" t="s">
        <v>294</v>
      </c>
      <c r="K406" s="2" t="s">
        <v>1014</v>
      </c>
    </row>
    <row r="407" spans="1:11" s="4" customFormat="1" ht="18" customHeight="1">
      <c r="A407" s="2" t="s">
        <v>1015</v>
      </c>
      <c r="B407" s="3"/>
      <c r="C407" s="2"/>
      <c r="D407" s="3"/>
      <c r="E407" s="2"/>
      <c r="F407" s="2" t="s">
        <v>503</v>
      </c>
      <c r="G407" s="2"/>
      <c r="H407" s="2" t="s">
        <v>503</v>
      </c>
      <c r="I407" s="2"/>
      <c r="J407" s="2" t="s">
        <v>1016</v>
      </c>
      <c r="K407" s="2" t="s">
        <v>1015</v>
      </c>
    </row>
    <row r="408" spans="1:11" s="4" customFormat="1" ht="18" customHeight="1">
      <c r="A408" s="2" t="s">
        <v>1017</v>
      </c>
      <c r="B408" s="3"/>
      <c r="C408" s="2"/>
      <c r="D408" s="3"/>
      <c r="E408" s="2"/>
      <c r="F408" s="2" t="s">
        <v>811</v>
      </c>
      <c r="G408" s="2"/>
      <c r="H408" s="2" t="s">
        <v>811</v>
      </c>
      <c r="I408" s="2"/>
      <c r="J408" s="2" t="s">
        <v>1018</v>
      </c>
      <c r="K408" s="2" t="s">
        <v>1017</v>
      </c>
    </row>
    <row r="409" spans="1:11" s="4" customFormat="1" ht="18" customHeight="1">
      <c r="A409" s="2" t="s">
        <v>1019</v>
      </c>
      <c r="B409" s="3"/>
      <c r="C409" s="2"/>
      <c r="D409" s="3"/>
      <c r="E409" s="2"/>
      <c r="F409" s="2" t="s">
        <v>560</v>
      </c>
      <c r="G409" s="2"/>
      <c r="H409" s="2" t="s">
        <v>335</v>
      </c>
      <c r="I409" s="2"/>
      <c r="J409" s="2" t="s">
        <v>1020</v>
      </c>
      <c r="K409" s="2" t="s">
        <v>1019</v>
      </c>
    </row>
    <row r="410" spans="1:11" s="4" customFormat="1" ht="18" customHeight="1">
      <c r="A410" s="2" t="s">
        <v>1021</v>
      </c>
      <c r="B410" s="3"/>
      <c r="C410" s="2"/>
      <c r="D410" s="3"/>
      <c r="E410" s="2"/>
      <c r="F410" s="2" t="s">
        <v>560</v>
      </c>
      <c r="G410" s="2"/>
      <c r="H410" s="2" t="s">
        <v>560</v>
      </c>
      <c r="I410" s="2"/>
      <c r="J410" s="2" t="s">
        <v>1022</v>
      </c>
      <c r="K410" s="2" t="s">
        <v>1021</v>
      </c>
    </row>
    <row r="411" spans="1:11" s="4" customFormat="1" ht="18" customHeight="1">
      <c r="A411" s="2" t="s">
        <v>1023</v>
      </c>
      <c r="B411" s="3"/>
      <c r="C411" s="2"/>
      <c r="D411" s="3"/>
      <c r="E411" s="2"/>
      <c r="F411" s="2" t="s">
        <v>560</v>
      </c>
      <c r="G411" s="2"/>
      <c r="H411" s="2" t="s">
        <v>560</v>
      </c>
      <c r="I411" s="2"/>
      <c r="J411" s="2" t="s">
        <v>1024</v>
      </c>
      <c r="K411" s="2" t="s">
        <v>1023</v>
      </c>
    </row>
    <row r="412" spans="1:11" s="4" customFormat="1" ht="18" customHeight="1">
      <c r="A412" s="2" t="s">
        <v>1025</v>
      </c>
      <c r="B412" s="3"/>
      <c r="C412" s="2"/>
      <c r="D412" s="3"/>
      <c r="E412" s="2"/>
      <c r="F412" s="2" t="s">
        <v>2694</v>
      </c>
      <c r="G412" s="2"/>
      <c r="H412" s="2" t="s">
        <v>2695</v>
      </c>
      <c r="I412" s="2"/>
      <c r="J412" s="2" t="s">
        <v>1026</v>
      </c>
      <c r="K412" s="2" t="s">
        <v>1025</v>
      </c>
    </row>
    <row r="413" spans="1:11" s="4" customFormat="1" ht="18" customHeight="1">
      <c r="A413" s="2" t="s">
        <v>1027</v>
      </c>
      <c r="B413" s="3"/>
      <c r="C413" s="2"/>
      <c r="D413" s="3"/>
      <c r="E413" s="2"/>
      <c r="F413" s="2" t="s">
        <v>2200</v>
      </c>
      <c r="G413" s="2"/>
      <c r="H413" s="2" t="s">
        <v>2200</v>
      </c>
      <c r="I413" s="2"/>
      <c r="J413" s="2" t="s">
        <v>1028</v>
      </c>
      <c r="K413" s="2" t="s">
        <v>1027</v>
      </c>
    </row>
    <row r="414" spans="1:11" s="4" customFormat="1" ht="18" customHeight="1">
      <c r="A414" s="2" t="s">
        <v>1030</v>
      </c>
      <c r="B414" s="3"/>
      <c r="C414" s="2"/>
      <c r="D414" s="3"/>
      <c r="E414" s="2"/>
      <c r="F414" s="2" t="s">
        <v>628</v>
      </c>
      <c r="G414" s="2"/>
      <c r="H414" s="2" t="s">
        <v>628</v>
      </c>
      <c r="I414" s="2"/>
      <c r="J414" s="2" t="s">
        <v>1031</v>
      </c>
      <c r="K414" s="2" t="s">
        <v>1030</v>
      </c>
    </row>
    <row r="415" spans="1:11" s="4" customFormat="1" ht="18" customHeight="1">
      <c r="A415" s="2" t="s">
        <v>1032</v>
      </c>
      <c r="B415" s="3"/>
      <c r="C415" s="2"/>
      <c r="D415" s="3"/>
      <c r="E415" s="2"/>
      <c r="F415" s="2" t="s">
        <v>3666</v>
      </c>
      <c r="G415" s="2"/>
      <c r="H415" s="2" t="s">
        <v>3666</v>
      </c>
      <c r="I415" s="2"/>
      <c r="J415" s="2" t="s">
        <v>1033</v>
      </c>
      <c r="K415" s="2" t="s">
        <v>1032</v>
      </c>
    </row>
    <row r="416" spans="1:11" s="4" customFormat="1" ht="18" customHeight="1">
      <c r="A416" s="2" t="s">
        <v>1034</v>
      </c>
      <c r="B416" s="3"/>
      <c r="C416" s="2"/>
      <c r="D416" s="3"/>
      <c r="E416" s="2"/>
      <c r="F416" s="2" t="s">
        <v>3503</v>
      </c>
      <c r="G416" s="2"/>
      <c r="H416" s="2" t="s">
        <v>3504</v>
      </c>
      <c r="I416" s="2"/>
      <c r="J416" s="2" t="s">
        <v>1035</v>
      </c>
      <c r="K416" s="2" t="s">
        <v>1034</v>
      </c>
    </row>
    <row r="417" spans="1:11" s="4" customFormat="1" ht="18" customHeight="1">
      <c r="A417" s="2" t="s">
        <v>1036</v>
      </c>
      <c r="B417" s="3"/>
      <c r="C417" s="2"/>
      <c r="D417" s="3"/>
      <c r="E417" s="2"/>
      <c r="F417" s="2" t="s">
        <v>1511</v>
      </c>
      <c r="G417" s="2"/>
      <c r="H417" s="2" t="s">
        <v>1511</v>
      </c>
      <c r="I417" s="2"/>
      <c r="J417" s="2" t="s">
        <v>1037</v>
      </c>
      <c r="K417" s="2" t="s">
        <v>1036</v>
      </c>
    </row>
    <row r="418" spans="1:11" s="4" customFormat="1" ht="18" customHeight="1">
      <c r="A418" s="2" t="s">
        <v>1038</v>
      </c>
      <c r="B418" s="3"/>
      <c r="C418" s="2"/>
      <c r="D418" s="3"/>
      <c r="E418" s="2"/>
      <c r="F418" s="2" t="s">
        <v>1327</v>
      </c>
      <c r="G418" s="2"/>
      <c r="H418" s="2" t="s">
        <v>1327</v>
      </c>
      <c r="I418" s="2"/>
      <c r="J418" s="2" t="s">
        <v>1039</v>
      </c>
      <c r="K418" s="2" t="s">
        <v>1038</v>
      </c>
    </row>
    <row r="419" spans="1:11" s="4" customFormat="1" ht="18" customHeight="1">
      <c r="A419" s="2" t="s">
        <v>1040</v>
      </c>
      <c r="B419" s="3"/>
      <c r="C419" s="2"/>
      <c r="D419" s="3"/>
      <c r="E419" s="2"/>
      <c r="F419" s="2" t="s">
        <v>1327</v>
      </c>
      <c r="G419" s="2"/>
      <c r="H419" s="2" t="s">
        <v>1327</v>
      </c>
      <c r="I419" s="2"/>
      <c r="J419" s="2" t="s">
        <v>1041</v>
      </c>
      <c r="K419" s="2" t="s">
        <v>1040</v>
      </c>
    </row>
    <row r="420" spans="1:11" s="4" customFormat="1" ht="18" customHeight="1">
      <c r="A420" s="2" t="s">
        <v>1043</v>
      </c>
      <c r="B420" s="3"/>
      <c r="C420" s="2"/>
      <c r="D420" s="3"/>
      <c r="E420" s="2"/>
      <c r="F420" s="2" t="s">
        <v>333</v>
      </c>
      <c r="G420" s="2"/>
      <c r="H420" s="2" t="s">
        <v>333</v>
      </c>
      <c r="I420" s="2"/>
      <c r="J420" s="2" t="s">
        <v>148</v>
      </c>
      <c r="K420" s="2" t="s">
        <v>1043</v>
      </c>
    </row>
    <row r="421" spans="1:11" s="4" customFormat="1" ht="18" customHeight="1">
      <c r="A421" s="2" t="s">
        <v>1045</v>
      </c>
      <c r="B421" s="3"/>
      <c r="C421" s="2"/>
      <c r="D421" s="3"/>
      <c r="E421" s="2"/>
      <c r="F421" s="2" t="s">
        <v>333</v>
      </c>
      <c r="G421" s="2"/>
      <c r="H421" s="2" t="s">
        <v>333</v>
      </c>
      <c r="I421" s="2"/>
      <c r="J421" s="2" t="s">
        <v>1046</v>
      </c>
      <c r="K421" s="2" t="s">
        <v>1045</v>
      </c>
    </row>
    <row r="422" spans="1:11" s="4" customFormat="1" ht="18" customHeight="1">
      <c r="A422" s="2" t="s">
        <v>1047</v>
      </c>
      <c r="B422" s="3"/>
      <c r="C422" s="2"/>
      <c r="D422" s="3"/>
      <c r="E422" s="2"/>
      <c r="F422" s="2" t="s">
        <v>333</v>
      </c>
      <c r="G422" s="2"/>
      <c r="H422" s="2" t="s">
        <v>333</v>
      </c>
      <c r="I422" s="2"/>
      <c r="J422" s="2" t="s">
        <v>1048</v>
      </c>
      <c r="K422" s="2" t="s">
        <v>1047</v>
      </c>
    </row>
    <row r="423" spans="1:11" s="4" customFormat="1" ht="18" customHeight="1">
      <c r="A423" s="2" t="s">
        <v>1049</v>
      </c>
      <c r="B423" s="3"/>
      <c r="C423" s="2"/>
      <c r="D423" s="3"/>
      <c r="E423" s="2"/>
      <c r="F423" s="2" t="s">
        <v>242</v>
      </c>
      <c r="G423" s="2"/>
      <c r="H423" s="2" t="s">
        <v>242</v>
      </c>
      <c r="I423" s="2"/>
      <c r="J423" s="2" t="s">
        <v>1050</v>
      </c>
      <c r="K423" s="2" t="s">
        <v>1049</v>
      </c>
    </row>
    <row r="424" spans="1:11" s="4" customFormat="1" ht="18" customHeight="1">
      <c r="A424" s="2" t="s">
        <v>1051</v>
      </c>
      <c r="B424" s="3"/>
      <c r="C424" s="2"/>
      <c r="D424" s="3"/>
      <c r="E424" s="2"/>
      <c r="F424" s="2" t="s">
        <v>1798</v>
      </c>
      <c r="G424" s="2"/>
      <c r="H424" s="2" t="s">
        <v>1798</v>
      </c>
      <c r="I424" s="2"/>
      <c r="J424" s="2" t="s">
        <v>1052</v>
      </c>
      <c r="K424" s="2" t="s">
        <v>1051</v>
      </c>
    </row>
    <row r="425" spans="1:11" s="4" customFormat="1" ht="18" customHeight="1">
      <c r="A425" s="2" t="s">
        <v>1053</v>
      </c>
      <c r="B425" s="3"/>
      <c r="C425" s="2"/>
      <c r="D425" s="3"/>
      <c r="E425" s="2"/>
      <c r="F425" s="2" t="s">
        <v>3106</v>
      </c>
      <c r="G425" s="2"/>
      <c r="H425" s="2" t="s">
        <v>3106</v>
      </c>
      <c r="I425" s="2"/>
      <c r="J425" s="2" t="s">
        <v>1054</v>
      </c>
      <c r="K425" s="2" t="s">
        <v>1053</v>
      </c>
    </row>
    <row r="426" spans="1:11" s="4" customFormat="1" ht="18" customHeight="1">
      <c r="A426" s="2" t="s">
        <v>1056</v>
      </c>
      <c r="B426" s="3"/>
      <c r="C426" s="2"/>
      <c r="D426" s="3"/>
      <c r="E426" s="2"/>
      <c r="F426" s="2" t="s">
        <v>2092</v>
      </c>
      <c r="G426" s="2"/>
      <c r="H426" s="2" t="s">
        <v>2092</v>
      </c>
      <c r="I426" s="2"/>
      <c r="J426" s="2" t="s">
        <v>1057</v>
      </c>
      <c r="K426" s="2" t="s">
        <v>1056</v>
      </c>
    </row>
    <row r="427" spans="1:11" s="4" customFormat="1" ht="18" customHeight="1">
      <c r="A427" s="2" t="s">
        <v>1058</v>
      </c>
      <c r="B427" s="3"/>
      <c r="C427" s="2"/>
      <c r="D427" s="3"/>
      <c r="E427" s="2"/>
      <c r="F427" s="2" t="s">
        <v>1731</v>
      </c>
      <c r="G427" s="2"/>
      <c r="H427" s="2" t="s">
        <v>1731</v>
      </c>
      <c r="I427" s="2"/>
      <c r="J427" s="2" t="s">
        <v>1059</v>
      </c>
      <c r="K427" s="2" t="s">
        <v>1058</v>
      </c>
    </row>
    <row r="428" spans="1:11" s="4" customFormat="1" ht="18" customHeight="1">
      <c r="A428" s="2" t="s">
        <v>1060</v>
      </c>
      <c r="B428" s="3"/>
      <c r="C428" s="2"/>
      <c r="D428" s="3"/>
      <c r="E428" s="2"/>
      <c r="F428" s="2" t="s">
        <v>1816</v>
      </c>
      <c r="G428" s="2"/>
      <c r="H428" s="2" t="s">
        <v>1816</v>
      </c>
      <c r="I428" s="2"/>
      <c r="J428" s="2" t="s">
        <v>1062</v>
      </c>
      <c r="K428" s="2" t="s">
        <v>1060</v>
      </c>
    </row>
    <row r="429" spans="1:11" s="4" customFormat="1" ht="18" customHeight="1">
      <c r="A429" s="2" t="s">
        <v>1063</v>
      </c>
      <c r="B429" s="3"/>
      <c r="C429" s="2"/>
      <c r="D429" s="3"/>
      <c r="E429" s="2"/>
      <c r="F429" s="2" t="s">
        <v>395</v>
      </c>
      <c r="G429" s="2"/>
      <c r="H429" s="2" t="s">
        <v>396</v>
      </c>
      <c r="I429" s="2"/>
      <c r="J429" s="2" t="s">
        <v>1064</v>
      </c>
      <c r="K429" s="2" t="s">
        <v>1063</v>
      </c>
    </row>
    <row r="430" spans="1:11" s="4" customFormat="1" ht="18" customHeight="1">
      <c r="A430" s="2" t="s">
        <v>1065</v>
      </c>
      <c r="B430" s="3"/>
      <c r="C430" s="2"/>
      <c r="D430" s="3"/>
      <c r="E430" s="2"/>
      <c r="F430" s="2" t="s">
        <v>1273</v>
      </c>
      <c r="G430" s="2"/>
      <c r="H430" s="2" t="s">
        <v>1273</v>
      </c>
      <c r="I430" s="2"/>
      <c r="J430" s="2" t="s">
        <v>1066</v>
      </c>
      <c r="K430" s="2" t="s">
        <v>1065</v>
      </c>
    </row>
    <row r="431" spans="1:11" s="4" customFormat="1" ht="18" customHeight="1">
      <c r="A431" s="2" t="s">
        <v>1068</v>
      </c>
      <c r="B431" s="3"/>
      <c r="C431" s="2"/>
      <c r="D431" s="3"/>
      <c r="E431" s="2"/>
      <c r="F431" s="2" t="s">
        <v>450</v>
      </c>
      <c r="G431" s="2"/>
      <c r="H431" s="2" t="s">
        <v>451</v>
      </c>
      <c r="I431" s="2"/>
      <c r="J431" s="2" t="s">
        <v>1061</v>
      </c>
      <c r="K431" s="2" t="s">
        <v>1068</v>
      </c>
    </row>
    <row r="432" spans="1:11" s="4" customFormat="1" ht="18" customHeight="1">
      <c r="A432" s="2" t="s">
        <v>1070</v>
      </c>
      <c r="B432" s="3"/>
      <c r="C432" s="2"/>
      <c r="D432" s="3"/>
      <c r="E432" s="2"/>
      <c r="F432" s="2" t="s">
        <v>2385</v>
      </c>
      <c r="G432" s="2"/>
      <c r="H432" s="2" t="s">
        <v>2385</v>
      </c>
      <c r="I432" s="2"/>
      <c r="J432" s="2" t="s">
        <v>1071</v>
      </c>
      <c r="K432" s="2" t="s">
        <v>1070</v>
      </c>
    </row>
    <row r="433" spans="1:11" s="4" customFormat="1" ht="18" customHeight="1">
      <c r="A433" s="2" t="s">
        <v>1072</v>
      </c>
      <c r="B433" s="3"/>
      <c r="C433" s="2"/>
      <c r="D433" s="3"/>
      <c r="E433" s="2"/>
      <c r="F433" s="2" t="s">
        <v>2385</v>
      </c>
      <c r="G433" s="2"/>
      <c r="H433" s="2" t="s">
        <v>342</v>
      </c>
      <c r="I433" s="2"/>
      <c r="J433" s="2" t="s">
        <v>1073</v>
      </c>
      <c r="K433" s="2" t="s">
        <v>1072</v>
      </c>
    </row>
    <row r="434" spans="1:11" s="4" customFormat="1" ht="18" customHeight="1">
      <c r="A434" s="2" t="s">
        <v>1074</v>
      </c>
      <c r="B434" s="3"/>
      <c r="C434" s="2"/>
      <c r="D434" s="3"/>
      <c r="E434" s="2"/>
      <c r="F434" s="2" t="s">
        <v>1715</v>
      </c>
      <c r="G434" s="2"/>
      <c r="H434" s="2" t="s">
        <v>1715</v>
      </c>
      <c r="I434" s="2"/>
      <c r="J434" s="2" t="s">
        <v>1076</v>
      </c>
      <c r="K434" s="2" t="s">
        <v>1074</v>
      </c>
    </row>
    <row r="435" spans="1:11" s="4" customFormat="1" ht="18" customHeight="1">
      <c r="A435" s="2" t="s">
        <v>1077</v>
      </c>
      <c r="B435" s="3"/>
      <c r="C435" s="2"/>
      <c r="D435" s="3"/>
      <c r="E435" s="2"/>
      <c r="F435" s="2" t="s">
        <v>1866</v>
      </c>
      <c r="G435" s="2"/>
      <c r="H435" s="2" t="s">
        <v>1866</v>
      </c>
      <c r="I435" s="2"/>
      <c r="J435" s="2" t="s">
        <v>1078</v>
      </c>
      <c r="K435" s="2" t="s">
        <v>1077</v>
      </c>
    </row>
    <row r="436" spans="1:11" s="4" customFormat="1" ht="18" customHeight="1">
      <c r="A436" s="2" t="s">
        <v>1079</v>
      </c>
      <c r="B436" s="3"/>
      <c r="C436" s="2"/>
      <c r="D436" s="3"/>
      <c r="E436" s="2"/>
      <c r="F436" s="2" t="s">
        <v>1346</v>
      </c>
      <c r="G436" s="2"/>
      <c r="H436" s="2" t="s">
        <v>1346</v>
      </c>
      <c r="I436" s="2"/>
      <c r="J436" s="2" t="s">
        <v>1080</v>
      </c>
      <c r="K436" s="2" t="s">
        <v>1079</v>
      </c>
    </row>
    <row r="437" spans="1:11" s="4" customFormat="1" ht="18" customHeight="1">
      <c r="A437" s="2" t="s">
        <v>1081</v>
      </c>
      <c r="B437" s="3"/>
      <c r="C437" s="2"/>
      <c r="D437" s="3"/>
      <c r="E437" s="2"/>
      <c r="F437" s="2" t="s">
        <v>1346</v>
      </c>
      <c r="G437" s="2"/>
      <c r="H437" s="2" t="s">
        <v>1346</v>
      </c>
      <c r="I437" s="2"/>
      <c r="J437" s="2" t="s">
        <v>1082</v>
      </c>
      <c r="K437" s="2" t="s">
        <v>1081</v>
      </c>
    </row>
    <row r="438" spans="1:11" s="4" customFormat="1" ht="18" customHeight="1">
      <c r="A438" s="2" t="s">
        <v>1084</v>
      </c>
      <c r="B438" s="3"/>
      <c r="C438" s="2"/>
      <c r="D438" s="3"/>
      <c r="E438" s="2"/>
      <c r="F438" s="2" t="s">
        <v>2094</v>
      </c>
      <c r="G438" s="2"/>
      <c r="H438" s="2" t="s">
        <v>2094</v>
      </c>
      <c r="I438" s="2"/>
      <c r="J438" s="2" t="s">
        <v>1085</v>
      </c>
      <c r="K438" s="2" t="s">
        <v>1084</v>
      </c>
    </row>
    <row r="439" spans="1:11" s="4" customFormat="1" ht="18" customHeight="1">
      <c r="A439" s="2" t="s">
        <v>1087</v>
      </c>
      <c r="B439" s="3"/>
      <c r="C439" s="2"/>
      <c r="D439" s="3"/>
      <c r="E439" s="2"/>
      <c r="F439" s="2" t="s">
        <v>1427</v>
      </c>
      <c r="G439" s="2"/>
      <c r="H439" s="2" t="s">
        <v>1427</v>
      </c>
      <c r="I439" s="2"/>
      <c r="J439" s="2" t="s">
        <v>1088</v>
      </c>
      <c r="K439" s="2" t="s">
        <v>1087</v>
      </c>
    </row>
    <row r="440" spans="1:11" s="4" customFormat="1" ht="18" customHeight="1">
      <c r="A440" s="2" t="s">
        <v>1089</v>
      </c>
      <c r="B440" s="3"/>
      <c r="C440" s="2"/>
      <c r="D440" s="3"/>
      <c r="E440" s="2"/>
      <c r="F440" s="2" t="s">
        <v>578</v>
      </c>
      <c r="G440" s="2"/>
      <c r="H440" s="2" t="s">
        <v>578</v>
      </c>
      <c r="I440" s="2"/>
      <c r="J440" s="2" t="s">
        <v>1090</v>
      </c>
      <c r="K440" s="2" t="s">
        <v>1089</v>
      </c>
    </row>
    <row r="441" spans="1:11" s="4" customFormat="1" ht="18" customHeight="1">
      <c r="A441" s="2" t="s">
        <v>1092</v>
      </c>
      <c r="B441" s="3"/>
      <c r="C441" s="2"/>
      <c r="D441" s="3"/>
      <c r="E441" s="2"/>
      <c r="F441" s="2" t="s">
        <v>1381</v>
      </c>
      <c r="G441" s="2"/>
      <c r="H441" s="2" t="s">
        <v>1382</v>
      </c>
      <c r="I441" s="2"/>
      <c r="J441" s="2" t="s">
        <v>1093</v>
      </c>
      <c r="K441" s="2" t="s">
        <v>1092</v>
      </c>
    </row>
    <row r="442" spans="1:11" s="4" customFormat="1" ht="18" customHeight="1">
      <c r="A442" s="2" t="s">
        <v>1094</v>
      </c>
      <c r="B442" s="3"/>
      <c r="C442" s="2"/>
      <c r="D442" s="3"/>
      <c r="E442" s="2"/>
      <c r="F442" s="2" t="s">
        <v>2613</v>
      </c>
      <c r="G442" s="2"/>
      <c r="H442" s="2" t="s">
        <v>2614</v>
      </c>
      <c r="I442" s="2"/>
      <c r="J442" s="2" t="s">
        <v>1095</v>
      </c>
      <c r="K442" s="2" t="s">
        <v>1094</v>
      </c>
    </row>
    <row r="443" spans="1:11" s="4" customFormat="1" ht="18" customHeight="1">
      <c r="A443" s="2" t="s">
        <v>1096</v>
      </c>
      <c r="B443" s="3"/>
      <c r="C443" s="2"/>
      <c r="D443" s="3"/>
      <c r="E443" s="2"/>
      <c r="F443" s="2" t="s">
        <v>1744</v>
      </c>
      <c r="G443" s="2"/>
      <c r="H443" s="2" t="s">
        <v>1744</v>
      </c>
      <c r="I443" s="2"/>
      <c r="J443" s="2" t="s">
        <v>1097</v>
      </c>
      <c r="K443" s="2" t="s">
        <v>1096</v>
      </c>
    </row>
    <row r="444" spans="1:11" s="4" customFormat="1" ht="18" customHeight="1">
      <c r="A444" s="2" t="s">
        <v>1098</v>
      </c>
      <c r="B444" s="3"/>
      <c r="C444" s="2"/>
      <c r="D444" s="3"/>
      <c r="E444" s="2"/>
      <c r="F444" s="2" t="s">
        <v>3662</v>
      </c>
      <c r="G444" s="2"/>
      <c r="H444" s="2" t="s">
        <v>3662</v>
      </c>
      <c r="I444" s="2"/>
      <c r="J444" s="2" t="s">
        <v>1099</v>
      </c>
      <c r="K444" s="2" t="s">
        <v>1098</v>
      </c>
    </row>
    <row r="445" spans="1:11" s="4" customFormat="1" ht="18" customHeight="1">
      <c r="A445" s="2" t="s">
        <v>1100</v>
      </c>
      <c r="B445" s="3"/>
      <c r="C445" s="2"/>
      <c r="D445" s="3"/>
      <c r="E445" s="2"/>
      <c r="F445" s="2" t="s">
        <v>1921</v>
      </c>
      <c r="G445" s="2"/>
      <c r="H445" s="2" t="s">
        <v>1921</v>
      </c>
      <c r="I445" s="2"/>
      <c r="J445" s="2" t="s">
        <v>1101</v>
      </c>
      <c r="K445" s="2" t="s">
        <v>1100</v>
      </c>
    </row>
    <row r="446" spans="1:11" s="4" customFormat="1" ht="18" customHeight="1">
      <c r="A446" s="2" t="s">
        <v>1103</v>
      </c>
      <c r="B446" s="3"/>
      <c r="C446" s="2"/>
      <c r="D446" s="3"/>
      <c r="E446" s="2"/>
      <c r="F446" s="2" t="s">
        <v>562</v>
      </c>
      <c r="G446" s="2"/>
      <c r="H446" s="2" t="s">
        <v>562</v>
      </c>
      <c r="I446" s="2"/>
      <c r="J446" s="2" t="s">
        <v>1104</v>
      </c>
      <c r="K446" s="2" t="s">
        <v>1103</v>
      </c>
    </row>
    <row r="447" spans="1:11" s="4" customFormat="1" ht="18" customHeight="1">
      <c r="A447" s="2" t="s">
        <v>1105</v>
      </c>
      <c r="B447" s="3"/>
      <c r="C447" s="2"/>
      <c r="D447" s="3"/>
      <c r="E447" s="2"/>
      <c r="F447" s="2" t="s">
        <v>244</v>
      </c>
      <c r="G447" s="2"/>
      <c r="H447" s="2" t="s">
        <v>245</v>
      </c>
      <c r="I447" s="2"/>
      <c r="J447" s="2" t="s">
        <v>1106</v>
      </c>
      <c r="K447" s="2" t="s">
        <v>1105</v>
      </c>
    </row>
    <row r="448" spans="1:11" s="4" customFormat="1" ht="18" customHeight="1">
      <c r="A448" s="2" t="s">
        <v>1107</v>
      </c>
      <c r="B448" s="3"/>
      <c r="C448" s="2"/>
      <c r="D448" s="3"/>
      <c r="E448" s="2"/>
      <c r="F448" s="2" t="s">
        <v>3715</v>
      </c>
      <c r="G448" s="2"/>
      <c r="H448" s="2" t="s">
        <v>3715</v>
      </c>
      <c r="I448" s="2"/>
      <c r="J448" s="2" t="s">
        <v>1108</v>
      </c>
      <c r="K448" s="2" t="s">
        <v>1107</v>
      </c>
    </row>
    <row r="449" spans="1:11" s="4" customFormat="1" ht="18" customHeight="1">
      <c r="A449" s="2" t="s">
        <v>1109</v>
      </c>
      <c r="B449" s="3"/>
      <c r="C449" s="2"/>
      <c r="D449" s="3"/>
      <c r="E449" s="2"/>
      <c r="F449" s="2" t="s">
        <v>3417</v>
      </c>
      <c r="G449" s="2"/>
      <c r="H449" s="2" t="s">
        <v>3417</v>
      </c>
      <c r="I449" s="2"/>
      <c r="J449" s="2" t="s">
        <v>705</v>
      </c>
      <c r="K449" s="2" t="s">
        <v>1109</v>
      </c>
    </row>
    <row r="450" spans="1:11" s="4" customFormat="1" ht="18" customHeight="1">
      <c r="A450" s="2" t="s">
        <v>1110</v>
      </c>
      <c r="B450" s="3"/>
      <c r="C450" s="2"/>
      <c r="D450" s="3"/>
      <c r="E450" s="2"/>
      <c r="F450" s="2" t="s">
        <v>3246</v>
      </c>
      <c r="G450" s="2"/>
      <c r="H450" s="2" t="s">
        <v>3246</v>
      </c>
      <c r="I450" s="2"/>
      <c r="J450" s="2" t="s">
        <v>553</v>
      </c>
      <c r="K450" s="2" t="s">
        <v>1110</v>
      </c>
    </row>
    <row r="451" spans="1:11" s="4" customFormat="1" ht="18" customHeight="1">
      <c r="A451" s="2" t="s">
        <v>1111</v>
      </c>
      <c r="B451" s="3"/>
      <c r="C451" s="2"/>
      <c r="D451" s="3"/>
      <c r="E451" s="2"/>
      <c r="F451" s="2" t="s">
        <v>1451</v>
      </c>
      <c r="G451" s="2"/>
      <c r="H451" s="2" t="s">
        <v>1451</v>
      </c>
      <c r="I451" s="2"/>
      <c r="J451" s="2" t="s">
        <v>1112</v>
      </c>
      <c r="K451" s="2" t="s">
        <v>1111</v>
      </c>
    </row>
    <row r="452" spans="1:11" s="4" customFormat="1" ht="18" customHeight="1">
      <c r="A452" s="2" t="s">
        <v>1113</v>
      </c>
      <c r="B452" s="3"/>
      <c r="C452" s="2"/>
      <c r="D452" s="3"/>
      <c r="E452" s="2"/>
      <c r="F452" s="2" t="s">
        <v>570</v>
      </c>
      <c r="G452" s="2"/>
      <c r="H452" s="2" t="s">
        <v>570</v>
      </c>
      <c r="I452" s="2"/>
      <c r="J452" s="2" t="s">
        <v>1114</v>
      </c>
      <c r="K452" s="2" t="s">
        <v>1113</v>
      </c>
    </row>
    <row r="453" spans="1:11" s="4" customFormat="1" ht="18" customHeight="1">
      <c r="A453" s="2" t="s">
        <v>1115</v>
      </c>
      <c r="B453" s="3"/>
      <c r="C453" s="2"/>
      <c r="D453" s="3"/>
      <c r="E453" s="2"/>
      <c r="F453" s="2" t="s">
        <v>188</v>
      </c>
      <c r="G453" s="2"/>
      <c r="H453" s="2" t="s">
        <v>188</v>
      </c>
      <c r="I453" s="2"/>
      <c r="J453" s="2" t="s">
        <v>1116</v>
      </c>
      <c r="K453" s="2" t="s">
        <v>1115</v>
      </c>
    </row>
    <row r="454" spans="1:11" s="4" customFormat="1" ht="18" customHeight="1">
      <c r="A454" s="2" t="s">
        <v>1118</v>
      </c>
      <c r="B454" s="3"/>
      <c r="C454" s="2"/>
      <c r="D454" s="3"/>
      <c r="E454" s="2"/>
      <c r="F454" s="2" t="s">
        <v>3769</v>
      </c>
      <c r="G454" s="2"/>
      <c r="H454" s="2" t="s">
        <v>3769</v>
      </c>
      <c r="I454" s="2"/>
      <c r="J454" s="2" t="s">
        <v>1119</v>
      </c>
      <c r="K454" s="2" t="s">
        <v>1118</v>
      </c>
    </row>
    <row r="455" spans="1:11" s="4" customFormat="1" ht="18" customHeight="1">
      <c r="A455" s="2" t="s">
        <v>1120</v>
      </c>
      <c r="B455" s="3"/>
      <c r="C455" s="2"/>
      <c r="D455" s="3"/>
      <c r="E455" s="2"/>
      <c r="F455" s="2" t="s">
        <v>1013</v>
      </c>
      <c r="G455" s="2"/>
      <c r="H455" s="2" t="s">
        <v>1013</v>
      </c>
      <c r="I455" s="2"/>
      <c r="J455" s="2" t="s">
        <v>1121</v>
      </c>
      <c r="K455" s="2" t="s">
        <v>1120</v>
      </c>
    </row>
    <row r="456" spans="1:11" s="4" customFormat="1" ht="18" customHeight="1">
      <c r="A456" s="2" t="s">
        <v>1123</v>
      </c>
      <c r="B456" s="3"/>
      <c r="C456" s="2"/>
      <c r="D456" s="3"/>
      <c r="E456" s="2"/>
      <c r="F456" s="2" t="s">
        <v>1013</v>
      </c>
      <c r="G456" s="2"/>
      <c r="H456" s="2" t="s">
        <v>1013</v>
      </c>
      <c r="I456" s="2"/>
      <c r="J456" s="2" t="s">
        <v>1124</v>
      </c>
      <c r="K456" s="2" t="s">
        <v>1123</v>
      </c>
    </row>
    <row r="457" spans="1:11" s="4" customFormat="1" ht="18" customHeight="1">
      <c r="A457" s="2" t="s">
        <v>1125</v>
      </c>
      <c r="B457" s="3"/>
      <c r="C457" s="2"/>
      <c r="D457" s="3"/>
      <c r="E457" s="2"/>
      <c r="F457" s="2" t="s">
        <v>1252</v>
      </c>
      <c r="G457" s="2"/>
      <c r="H457" s="2" t="s">
        <v>1252</v>
      </c>
      <c r="I457" s="2"/>
      <c r="J457" s="2" t="s">
        <v>1126</v>
      </c>
      <c r="K457" s="2" t="s">
        <v>1125</v>
      </c>
    </row>
    <row r="458" spans="1:11" s="4" customFormat="1" ht="18" customHeight="1">
      <c r="A458" s="2" t="s">
        <v>1127</v>
      </c>
      <c r="B458" s="3"/>
      <c r="C458" s="2"/>
      <c r="D458" s="3"/>
      <c r="E458" s="2"/>
      <c r="F458" s="2" t="s">
        <v>3625</v>
      </c>
      <c r="G458" s="2"/>
      <c r="H458" s="2" t="s">
        <v>3625</v>
      </c>
      <c r="I458" s="2"/>
      <c r="J458" s="2" t="s">
        <v>1128</v>
      </c>
      <c r="K458" s="2" t="s">
        <v>1127</v>
      </c>
    </row>
    <row r="459" spans="1:11" s="4" customFormat="1" ht="18" customHeight="1">
      <c r="A459" s="2" t="s">
        <v>1129</v>
      </c>
      <c r="B459" s="3"/>
      <c r="C459" s="2"/>
      <c r="D459" s="3"/>
      <c r="E459" s="2"/>
      <c r="F459" s="2" t="s">
        <v>1275</v>
      </c>
      <c r="G459" s="2"/>
      <c r="H459" s="2" t="s">
        <v>1275</v>
      </c>
      <c r="I459" s="2"/>
      <c r="J459" s="2" t="s">
        <v>1130</v>
      </c>
      <c r="K459" s="2" t="s">
        <v>1129</v>
      </c>
    </row>
    <row r="460" spans="1:11" s="4" customFormat="1" ht="18" customHeight="1">
      <c r="A460" s="2" t="s">
        <v>1132</v>
      </c>
      <c r="B460" s="3"/>
      <c r="C460" s="2"/>
      <c r="D460" s="3"/>
      <c r="E460" s="2"/>
      <c r="F460" s="2" t="s">
        <v>1988</v>
      </c>
      <c r="G460" s="2"/>
      <c r="H460" s="2" t="s">
        <v>1988</v>
      </c>
      <c r="I460" s="2"/>
      <c r="J460" s="2" t="s">
        <v>1133</v>
      </c>
      <c r="K460" s="2" t="s">
        <v>1132</v>
      </c>
    </row>
    <row r="461" spans="1:11" s="4" customFormat="1" ht="18" customHeight="1">
      <c r="A461" s="2" t="s">
        <v>1135</v>
      </c>
      <c r="B461" s="3"/>
      <c r="C461" s="2"/>
      <c r="D461" s="3"/>
      <c r="E461" s="2"/>
      <c r="F461" s="2" t="s">
        <v>356</v>
      </c>
      <c r="G461" s="2"/>
      <c r="H461" s="2" t="s">
        <v>356</v>
      </c>
      <c r="I461" s="2"/>
      <c r="J461" s="2" t="s">
        <v>1136</v>
      </c>
      <c r="K461" s="2" t="s">
        <v>1135</v>
      </c>
    </row>
    <row r="462" spans="1:11" s="4" customFormat="1" ht="18" customHeight="1">
      <c r="A462" s="2" t="s">
        <v>1137</v>
      </c>
      <c r="B462" s="3"/>
      <c r="C462" s="2"/>
      <c r="D462" s="3"/>
      <c r="E462" s="2"/>
      <c r="F462" s="2" t="s">
        <v>1256</v>
      </c>
      <c r="G462" s="2"/>
      <c r="H462" s="2" t="s">
        <v>1257</v>
      </c>
      <c r="I462" s="2"/>
      <c r="J462" s="2" t="s">
        <v>1138</v>
      </c>
      <c r="K462" s="2" t="s">
        <v>1137</v>
      </c>
    </row>
    <row r="463" spans="1:11" s="4" customFormat="1" ht="18" customHeight="1">
      <c r="A463" s="2" t="s">
        <v>1139</v>
      </c>
      <c r="B463" s="3"/>
      <c r="C463" s="2"/>
      <c r="D463" s="3"/>
      <c r="E463" s="2"/>
      <c r="F463" s="2" t="s">
        <v>3962</v>
      </c>
      <c r="G463" s="2"/>
      <c r="H463" s="2" t="s">
        <v>646</v>
      </c>
      <c r="I463" s="2"/>
      <c r="J463" s="2" t="s">
        <v>1140</v>
      </c>
      <c r="K463" s="2" t="s">
        <v>1139</v>
      </c>
    </row>
    <row r="464" spans="1:11" s="4" customFormat="1" ht="18" customHeight="1">
      <c r="A464" s="2" t="s">
        <v>1142</v>
      </c>
      <c r="B464" s="3"/>
      <c r="C464" s="2"/>
      <c r="D464" s="3"/>
      <c r="E464" s="2"/>
      <c r="F464" s="2" t="s">
        <v>455</v>
      </c>
      <c r="G464" s="2"/>
      <c r="H464" s="2" t="s">
        <v>455</v>
      </c>
      <c r="I464" s="2"/>
      <c r="J464" s="2" t="s">
        <v>1143</v>
      </c>
      <c r="K464" s="2" t="s">
        <v>1142</v>
      </c>
    </row>
    <row r="465" spans="1:11" s="4" customFormat="1" ht="18" customHeight="1">
      <c r="A465" s="2" t="s">
        <v>1144</v>
      </c>
      <c r="B465" s="3"/>
      <c r="C465" s="2"/>
      <c r="D465" s="3"/>
      <c r="E465" s="2"/>
      <c r="F465" s="2" t="s">
        <v>204</v>
      </c>
      <c r="G465" s="2"/>
      <c r="H465" s="2" t="s">
        <v>204</v>
      </c>
      <c r="I465" s="2"/>
      <c r="J465" s="2" t="s">
        <v>1145</v>
      </c>
      <c r="K465" s="2" t="s">
        <v>1144</v>
      </c>
    </row>
    <row r="466" spans="1:11" s="4" customFormat="1" ht="18" customHeight="1">
      <c r="A466" s="2" t="s">
        <v>1146</v>
      </c>
      <c r="B466" s="3"/>
      <c r="C466" s="2"/>
      <c r="D466" s="3"/>
      <c r="E466" s="2"/>
      <c r="F466" s="2" t="s">
        <v>4006</v>
      </c>
      <c r="G466" s="2"/>
      <c r="H466" s="2" t="s">
        <v>4007</v>
      </c>
      <c r="I466" s="2"/>
      <c r="J466" s="2" t="s">
        <v>1147</v>
      </c>
      <c r="K466" s="2" t="s">
        <v>1146</v>
      </c>
    </row>
    <row r="467" spans="1:11" s="4" customFormat="1" ht="18" customHeight="1">
      <c r="A467" s="2" t="s">
        <v>1148</v>
      </c>
      <c r="B467" s="3"/>
      <c r="C467" s="2"/>
      <c r="D467" s="3"/>
      <c r="E467" s="2"/>
      <c r="F467" s="2" t="s">
        <v>1391</v>
      </c>
      <c r="G467" s="2"/>
      <c r="H467" s="2" t="s">
        <v>1392</v>
      </c>
      <c r="I467" s="2"/>
      <c r="J467" s="2" t="s">
        <v>1150</v>
      </c>
      <c r="K467" s="2" t="s">
        <v>1148</v>
      </c>
    </row>
    <row r="468" spans="1:11" s="4" customFormat="1" ht="18" customHeight="1">
      <c r="A468" s="2" t="s">
        <v>1151</v>
      </c>
      <c r="B468" s="3"/>
      <c r="C468" s="2"/>
      <c r="D468" s="3"/>
      <c r="E468" s="2"/>
      <c r="F468" s="2" t="s">
        <v>1981</v>
      </c>
      <c r="G468" s="2"/>
      <c r="H468" s="2" t="s">
        <v>1982</v>
      </c>
      <c r="I468" s="2"/>
      <c r="J468" s="2" t="s">
        <v>1152</v>
      </c>
      <c r="K468" s="2" t="s">
        <v>1151</v>
      </c>
    </row>
    <row r="469" spans="1:11" s="4" customFormat="1" ht="18" customHeight="1">
      <c r="A469" s="2" t="s">
        <v>1153</v>
      </c>
      <c r="B469" s="3"/>
      <c r="C469" s="2"/>
      <c r="D469" s="3"/>
      <c r="E469" s="2"/>
      <c r="F469" s="2" t="s">
        <v>1361</v>
      </c>
      <c r="G469" s="2"/>
      <c r="H469" s="2" t="s">
        <v>1361</v>
      </c>
      <c r="I469" s="2"/>
      <c r="J469" s="2" t="s">
        <v>1154</v>
      </c>
      <c r="K469" s="2" t="s">
        <v>1153</v>
      </c>
    </row>
    <row r="470" spans="1:11" s="4" customFormat="1" ht="18" customHeight="1">
      <c r="A470" s="2" t="s">
        <v>1155</v>
      </c>
      <c r="B470" s="3"/>
      <c r="C470" s="2"/>
      <c r="D470" s="3"/>
      <c r="E470" s="2"/>
      <c r="F470" s="2" t="s">
        <v>794</v>
      </c>
      <c r="G470" s="2"/>
      <c r="H470" s="2" t="s">
        <v>794</v>
      </c>
      <c r="I470" s="2"/>
      <c r="J470" s="2" t="s">
        <v>1156</v>
      </c>
      <c r="K470" s="2" t="s">
        <v>1155</v>
      </c>
    </row>
    <row r="471" spans="1:11" s="4" customFormat="1" ht="18" customHeight="1">
      <c r="A471" s="2" t="s">
        <v>1157</v>
      </c>
      <c r="B471" s="3"/>
      <c r="C471" s="2"/>
      <c r="D471" s="3"/>
      <c r="E471" s="2"/>
      <c r="F471" s="2" t="s">
        <v>1076</v>
      </c>
      <c r="G471" s="2"/>
      <c r="H471" s="2" t="s">
        <v>1076</v>
      </c>
      <c r="I471" s="2"/>
      <c r="J471" s="2" t="s">
        <v>1158</v>
      </c>
      <c r="K471" s="2" t="s">
        <v>1157</v>
      </c>
    </row>
    <row r="472" spans="1:11" s="4" customFormat="1" ht="18" customHeight="1">
      <c r="A472" s="2" t="s">
        <v>1159</v>
      </c>
      <c r="B472" s="3"/>
      <c r="C472" s="2"/>
      <c r="D472" s="3"/>
      <c r="E472" s="2"/>
      <c r="F472" s="2" t="s">
        <v>606</v>
      </c>
      <c r="G472" s="2"/>
      <c r="H472" s="2" t="s">
        <v>606</v>
      </c>
      <c r="I472" s="2"/>
      <c r="J472" s="2" t="s">
        <v>1160</v>
      </c>
      <c r="K472" s="2" t="s">
        <v>1159</v>
      </c>
    </row>
    <row r="473" spans="1:11" s="4" customFormat="1" ht="18" customHeight="1">
      <c r="A473" s="2" t="s">
        <v>1162</v>
      </c>
      <c r="B473" s="3"/>
      <c r="C473" s="2"/>
      <c r="D473" s="3"/>
      <c r="E473" s="2"/>
      <c r="F473" s="2" t="s">
        <v>769</v>
      </c>
      <c r="G473" s="2"/>
      <c r="H473" s="2" t="s">
        <v>769</v>
      </c>
      <c r="I473" s="2"/>
      <c r="J473" s="2" t="s">
        <v>1163</v>
      </c>
      <c r="K473" s="2" t="s">
        <v>1162</v>
      </c>
    </row>
    <row r="474" spans="1:11" s="4" customFormat="1" ht="18" customHeight="1">
      <c r="A474" s="2" t="s">
        <v>1164</v>
      </c>
      <c r="B474" s="3"/>
      <c r="C474" s="2"/>
      <c r="D474" s="3"/>
      <c r="E474" s="2"/>
      <c r="F474" s="2" t="s">
        <v>2499</v>
      </c>
      <c r="G474" s="2"/>
      <c r="H474" s="2" t="s">
        <v>2499</v>
      </c>
      <c r="I474" s="2"/>
      <c r="J474" s="2" t="s">
        <v>1165</v>
      </c>
      <c r="K474" s="2" t="s">
        <v>1164</v>
      </c>
    </row>
    <row r="475" spans="1:11" s="4" customFormat="1" ht="18" customHeight="1">
      <c r="A475" s="2" t="s">
        <v>1167</v>
      </c>
      <c r="B475" s="3"/>
      <c r="C475" s="2"/>
      <c r="D475" s="3"/>
      <c r="E475" s="2"/>
      <c r="F475" s="2" t="s">
        <v>1677</v>
      </c>
      <c r="G475" s="2"/>
      <c r="H475" s="2" t="s">
        <v>1677</v>
      </c>
      <c r="I475" s="2"/>
      <c r="J475" s="2" t="s">
        <v>1168</v>
      </c>
      <c r="K475" s="2" t="s">
        <v>1167</v>
      </c>
    </row>
    <row r="476" spans="1:11" s="4" customFormat="1" ht="18" customHeight="1">
      <c r="A476" s="2" t="s">
        <v>1169</v>
      </c>
      <c r="B476" s="3"/>
      <c r="C476" s="2"/>
      <c r="D476" s="3"/>
      <c r="E476" s="2"/>
      <c r="F476" s="2" t="s">
        <v>798</v>
      </c>
      <c r="G476" s="2"/>
      <c r="H476" s="2" t="s">
        <v>798</v>
      </c>
      <c r="I476" s="2"/>
      <c r="J476" s="2" t="s">
        <v>1170</v>
      </c>
      <c r="K476" s="2" t="s">
        <v>1169</v>
      </c>
    </row>
    <row r="477" spans="1:11" s="4" customFormat="1" ht="18" customHeight="1">
      <c r="A477" s="2" t="s">
        <v>1172</v>
      </c>
      <c r="B477" s="3"/>
      <c r="C477" s="2"/>
      <c r="D477" s="3"/>
      <c r="E477" s="2"/>
      <c r="F477" s="2" t="s">
        <v>3549</v>
      </c>
      <c r="G477" s="2"/>
      <c r="H477" s="2" t="s">
        <v>3550</v>
      </c>
      <c r="I477" s="2"/>
      <c r="J477" s="2" t="s">
        <v>1173</v>
      </c>
      <c r="K477" s="2" t="s">
        <v>1172</v>
      </c>
    </row>
    <row r="478" spans="1:11" s="4" customFormat="1" ht="18" customHeight="1">
      <c r="A478" s="2" t="s">
        <v>1174</v>
      </c>
      <c r="B478" s="3"/>
      <c r="C478" s="2"/>
      <c r="D478" s="3"/>
      <c r="E478" s="2"/>
      <c r="F478" s="2" t="s">
        <v>3627</v>
      </c>
      <c r="G478" s="2"/>
      <c r="H478" s="2" t="s">
        <v>3627</v>
      </c>
      <c r="I478" s="2"/>
      <c r="J478" s="2" t="s">
        <v>1175</v>
      </c>
      <c r="K478" s="2" t="s">
        <v>1174</v>
      </c>
    </row>
    <row r="479" spans="1:11" s="4" customFormat="1" ht="18" customHeight="1">
      <c r="A479" s="2" t="s">
        <v>1176</v>
      </c>
      <c r="B479" s="3"/>
      <c r="C479" s="2"/>
      <c r="D479" s="3"/>
      <c r="E479" s="2"/>
      <c r="F479" s="2" t="s">
        <v>3321</v>
      </c>
      <c r="G479" s="2"/>
      <c r="H479" s="2" t="s">
        <v>3321</v>
      </c>
      <c r="I479" s="2"/>
      <c r="J479" s="2" t="s">
        <v>1177</v>
      </c>
      <c r="K479" s="2" t="s">
        <v>1176</v>
      </c>
    </row>
    <row r="480" spans="1:11" s="4" customFormat="1" ht="18" customHeight="1">
      <c r="A480" s="2" t="s">
        <v>1178</v>
      </c>
      <c r="B480" s="3"/>
      <c r="C480" s="2"/>
      <c r="D480" s="3"/>
      <c r="E480" s="2"/>
      <c r="F480" s="2" t="s">
        <v>1868</v>
      </c>
      <c r="G480" s="2"/>
      <c r="H480" s="2" t="s">
        <v>1868</v>
      </c>
      <c r="I480" s="2"/>
      <c r="J480" s="2" t="s">
        <v>1179</v>
      </c>
      <c r="K480" s="2" t="s">
        <v>1178</v>
      </c>
    </row>
    <row r="481" spans="1:11" s="4" customFormat="1" ht="18" customHeight="1">
      <c r="A481" s="2" t="s">
        <v>1181</v>
      </c>
      <c r="B481" s="3"/>
      <c r="C481" s="2"/>
      <c r="D481" s="3"/>
      <c r="E481" s="2"/>
      <c r="F481" s="2" t="s">
        <v>1868</v>
      </c>
      <c r="G481" s="2"/>
      <c r="H481" s="2" t="s">
        <v>2993</v>
      </c>
      <c r="I481" s="2"/>
      <c r="J481" s="2" t="s">
        <v>1182</v>
      </c>
      <c r="K481" s="2" t="s">
        <v>1181</v>
      </c>
    </row>
    <row r="482" spans="1:11" s="4" customFormat="1" ht="18" customHeight="1">
      <c r="A482" s="2" t="s">
        <v>1184</v>
      </c>
      <c r="B482" s="3"/>
      <c r="C482" s="2"/>
      <c r="D482" s="3"/>
      <c r="E482" s="2"/>
      <c r="F482" s="2" t="s">
        <v>206</v>
      </c>
      <c r="G482" s="2"/>
      <c r="H482" s="2" t="s">
        <v>206</v>
      </c>
      <c r="I482" s="2"/>
      <c r="J482" s="2" t="s">
        <v>1185</v>
      </c>
      <c r="K482" s="2" t="s">
        <v>1184</v>
      </c>
    </row>
    <row r="483" spans="1:11" s="4" customFormat="1" ht="18" customHeight="1">
      <c r="A483" s="2" t="s">
        <v>1186</v>
      </c>
      <c r="B483" s="3"/>
      <c r="C483" s="2"/>
      <c r="D483" s="3"/>
      <c r="E483" s="2"/>
      <c r="F483" s="2" t="s">
        <v>1476</v>
      </c>
      <c r="G483" s="2"/>
      <c r="H483" s="2" t="s">
        <v>1476</v>
      </c>
      <c r="I483" s="2"/>
      <c r="J483" s="2" t="s">
        <v>1188</v>
      </c>
      <c r="K483" s="2" t="s">
        <v>1186</v>
      </c>
    </row>
    <row r="484" spans="1:11" s="4" customFormat="1" ht="18" customHeight="1">
      <c r="A484" s="2" t="s">
        <v>1189</v>
      </c>
      <c r="B484" s="3"/>
      <c r="C484" s="2"/>
      <c r="D484" s="3"/>
      <c r="E484" s="2"/>
      <c r="F484" s="2" t="s">
        <v>505</v>
      </c>
      <c r="G484" s="2"/>
      <c r="H484" s="2" t="s">
        <v>506</v>
      </c>
      <c r="I484" s="2"/>
      <c r="J484" s="2" t="s">
        <v>1190</v>
      </c>
      <c r="K484" s="2" t="s">
        <v>1189</v>
      </c>
    </row>
    <row r="485" spans="1:11" s="4" customFormat="1" ht="18" customHeight="1">
      <c r="A485" s="2" t="s">
        <v>1192</v>
      </c>
      <c r="B485" s="3"/>
      <c r="C485" s="2"/>
      <c r="D485" s="3"/>
      <c r="E485" s="2"/>
      <c r="F485" s="2" t="s">
        <v>2340</v>
      </c>
      <c r="G485" s="2"/>
      <c r="H485" s="2" t="s">
        <v>2340</v>
      </c>
      <c r="I485" s="2"/>
      <c r="J485" s="2" t="s">
        <v>1193</v>
      </c>
      <c r="K485" s="2" t="s">
        <v>1192</v>
      </c>
    </row>
    <row r="486" spans="1:11" s="4" customFormat="1" ht="18" customHeight="1">
      <c r="A486" s="2" t="s">
        <v>1195</v>
      </c>
      <c r="B486" s="3"/>
      <c r="C486" s="2"/>
      <c r="D486" s="3"/>
      <c r="E486" s="2"/>
      <c r="F486" s="2" t="s">
        <v>318</v>
      </c>
      <c r="G486" s="2"/>
      <c r="H486" s="2" t="s">
        <v>318</v>
      </c>
      <c r="I486" s="2"/>
      <c r="J486" s="2" t="s">
        <v>1196</v>
      </c>
      <c r="K486" s="2" t="s">
        <v>1195</v>
      </c>
    </row>
    <row r="487" spans="1:11" s="4" customFormat="1" ht="18" customHeight="1">
      <c r="A487" s="2" t="s">
        <v>1197</v>
      </c>
      <c r="B487" s="3"/>
      <c r="C487" s="2"/>
      <c r="D487" s="3"/>
      <c r="E487" s="2"/>
      <c r="F487" s="2" t="s">
        <v>3837</v>
      </c>
      <c r="G487" s="2"/>
      <c r="H487" s="2" t="s">
        <v>3837</v>
      </c>
      <c r="I487" s="2"/>
      <c r="J487" s="2" t="s">
        <v>1198</v>
      </c>
      <c r="K487" s="2" t="s">
        <v>1197</v>
      </c>
    </row>
    <row r="488" spans="1:11" s="4" customFormat="1" ht="18" customHeight="1">
      <c r="A488" s="2" t="s">
        <v>1199</v>
      </c>
      <c r="B488" s="3"/>
      <c r="C488" s="2"/>
      <c r="D488" s="3"/>
      <c r="E488" s="2"/>
      <c r="F488" s="2" t="s">
        <v>3700</v>
      </c>
      <c r="G488" s="2"/>
      <c r="H488" s="2" t="s">
        <v>3700</v>
      </c>
      <c r="I488" s="2"/>
      <c r="J488" s="2" t="s">
        <v>1200</v>
      </c>
      <c r="K488" s="2" t="s">
        <v>1199</v>
      </c>
    </row>
    <row r="489" spans="1:11" s="4" customFormat="1" ht="18" customHeight="1">
      <c r="A489" s="2" t="s">
        <v>1201</v>
      </c>
      <c r="B489" s="3"/>
      <c r="C489" s="2"/>
      <c r="D489" s="3"/>
      <c r="E489" s="2"/>
      <c r="F489" s="2" t="s">
        <v>1455</v>
      </c>
      <c r="G489" s="2"/>
      <c r="H489" s="2" t="s">
        <v>1456</v>
      </c>
      <c r="I489" s="2"/>
      <c r="J489" s="2" t="s">
        <v>306</v>
      </c>
      <c r="K489" s="2" t="s">
        <v>1201</v>
      </c>
    </row>
    <row r="490" spans="1:11" s="4" customFormat="1" ht="18" customHeight="1">
      <c r="A490" s="2" t="s">
        <v>1202</v>
      </c>
      <c r="B490" s="3"/>
      <c r="C490" s="2"/>
      <c r="D490" s="3"/>
      <c r="E490" s="2"/>
      <c r="F490" s="2" t="s">
        <v>3424</v>
      </c>
      <c r="G490" s="2"/>
      <c r="H490" s="2" t="s">
        <v>3425</v>
      </c>
      <c r="I490" s="2"/>
      <c r="J490" s="2" t="s">
        <v>1203</v>
      </c>
      <c r="K490" s="2" t="s">
        <v>1202</v>
      </c>
    </row>
    <row r="491" spans="1:11" s="4" customFormat="1" ht="18" customHeight="1">
      <c r="A491" s="2" t="s">
        <v>1204</v>
      </c>
      <c r="B491" s="3"/>
      <c r="C491" s="2"/>
      <c r="D491" s="3"/>
      <c r="E491" s="2"/>
      <c r="F491" s="2" t="s">
        <v>688</v>
      </c>
      <c r="G491" s="2"/>
      <c r="H491" s="2" t="s">
        <v>688</v>
      </c>
      <c r="I491" s="2"/>
      <c r="J491" s="2" t="s">
        <v>1205</v>
      </c>
      <c r="K491" s="2" t="s">
        <v>1204</v>
      </c>
    </row>
    <row r="492" spans="1:11" s="4" customFormat="1" ht="18" customHeight="1">
      <c r="A492" s="2" t="s">
        <v>1207</v>
      </c>
      <c r="B492" s="3"/>
      <c r="C492" s="2"/>
      <c r="D492" s="3"/>
      <c r="E492" s="2"/>
      <c r="F492" s="2" t="s">
        <v>860</v>
      </c>
      <c r="G492" s="2"/>
      <c r="H492" s="2" t="s">
        <v>860</v>
      </c>
      <c r="I492" s="2"/>
      <c r="J492" s="2" t="s">
        <v>1208</v>
      </c>
      <c r="K492" s="2" t="s">
        <v>1207</v>
      </c>
    </row>
    <row r="493" spans="1:11" s="4" customFormat="1" ht="18" customHeight="1">
      <c r="A493" s="2" t="s">
        <v>1209</v>
      </c>
      <c r="B493" s="3"/>
      <c r="C493" s="2"/>
      <c r="D493" s="3"/>
      <c r="E493" s="2"/>
      <c r="F493" s="2" t="s">
        <v>2697</v>
      </c>
      <c r="G493" s="2"/>
      <c r="H493" s="2" t="s">
        <v>2697</v>
      </c>
      <c r="I493" s="2"/>
      <c r="J493" s="2" t="s">
        <v>1210</v>
      </c>
      <c r="K493" s="2" t="s">
        <v>1209</v>
      </c>
    </row>
    <row r="494" spans="1:11" s="4" customFormat="1" ht="18" customHeight="1">
      <c r="A494" s="2" t="s">
        <v>1211</v>
      </c>
      <c r="B494" s="3"/>
      <c r="C494" s="2"/>
      <c r="D494" s="3"/>
      <c r="E494" s="2"/>
      <c r="F494" s="2" t="s">
        <v>3974</v>
      </c>
      <c r="G494" s="2"/>
      <c r="H494" s="2" t="s">
        <v>3974</v>
      </c>
      <c r="I494" s="2"/>
      <c r="J494" s="2" t="s">
        <v>1213</v>
      </c>
      <c r="K494" s="2" t="s">
        <v>1211</v>
      </c>
    </row>
    <row r="495" spans="1:11" s="4" customFormat="1" ht="18" customHeight="1">
      <c r="A495" s="2" t="s">
        <v>1214</v>
      </c>
      <c r="B495" s="3"/>
      <c r="C495" s="2"/>
      <c r="D495" s="3"/>
      <c r="E495" s="2"/>
      <c r="F495" s="2" t="s">
        <v>2430</v>
      </c>
      <c r="G495" s="2"/>
      <c r="H495" s="2" t="s">
        <v>2431</v>
      </c>
      <c r="I495" s="2"/>
      <c r="J495" s="2" t="s">
        <v>1215</v>
      </c>
      <c r="K495" s="2" t="s">
        <v>1214</v>
      </c>
    </row>
    <row r="496" spans="1:11" s="4" customFormat="1" ht="18" customHeight="1">
      <c r="A496" s="2" t="s">
        <v>1216</v>
      </c>
      <c r="B496" s="3"/>
      <c r="C496" s="2"/>
      <c r="D496" s="3"/>
      <c r="E496" s="2"/>
      <c r="F496" s="2" t="s">
        <v>4068</v>
      </c>
      <c r="G496" s="2"/>
      <c r="H496" s="2" t="s">
        <v>4068</v>
      </c>
      <c r="I496" s="2"/>
      <c r="J496" s="2" t="s">
        <v>575</v>
      </c>
      <c r="K496" s="2" t="s">
        <v>1216</v>
      </c>
    </row>
    <row r="497" spans="1:11" s="4" customFormat="1" ht="18" customHeight="1">
      <c r="A497" s="2" t="s">
        <v>1217</v>
      </c>
      <c r="B497" s="3"/>
      <c r="C497" s="2"/>
      <c r="D497" s="3"/>
      <c r="E497" s="2"/>
      <c r="F497" s="2" t="s">
        <v>834</v>
      </c>
      <c r="G497" s="2"/>
      <c r="H497" s="2" t="s">
        <v>834</v>
      </c>
      <c r="I497" s="2"/>
      <c r="J497" s="2" t="s">
        <v>1218</v>
      </c>
      <c r="K497" s="2" t="s">
        <v>1217</v>
      </c>
    </row>
    <row r="498" spans="1:11" s="4" customFormat="1" ht="18" customHeight="1">
      <c r="A498" s="2" t="s">
        <v>1220</v>
      </c>
      <c r="B498" s="3"/>
      <c r="C498" s="2"/>
      <c r="D498" s="3"/>
      <c r="E498" s="2"/>
      <c r="F498" s="2" t="s">
        <v>460</v>
      </c>
      <c r="G498" s="2"/>
      <c r="H498" s="2" t="s">
        <v>460</v>
      </c>
      <c r="I498" s="2"/>
      <c r="J498" s="2" t="s">
        <v>1221</v>
      </c>
      <c r="K498" s="2" t="s">
        <v>1220</v>
      </c>
    </row>
    <row r="499" spans="1:11" s="4" customFormat="1" ht="18" customHeight="1">
      <c r="A499" s="2" t="s">
        <v>1222</v>
      </c>
      <c r="B499" s="3"/>
      <c r="C499" s="2"/>
      <c r="D499" s="3"/>
      <c r="E499" s="2"/>
      <c r="F499" s="2" t="s">
        <v>1629</v>
      </c>
      <c r="G499" s="2"/>
      <c r="H499" s="2" t="s">
        <v>1629</v>
      </c>
      <c r="I499" s="2"/>
      <c r="J499" s="2" t="s">
        <v>1223</v>
      </c>
      <c r="K499" s="2" t="s">
        <v>1222</v>
      </c>
    </row>
    <row r="500" spans="1:11" s="4" customFormat="1" ht="18" customHeight="1">
      <c r="A500" s="2" t="s">
        <v>1224</v>
      </c>
      <c r="B500" s="3"/>
      <c r="C500" s="2"/>
      <c r="D500" s="3"/>
      <c r="E500" s="2"/>
      <c r="F500" s="2" t="s">
        <v>1835</v>
      </c>
      <c r="G500" s="2"/>
      <c r="H500" s="2" t="s">
        <v>1835</v>
      </c>
      <c r="I500" s="2"/>
      <c r="J500" s="2" t="s">
        <v>1225</v>
      </c>
      <c r="K500" s="2" t="s">
        <v>1224</v>
      </c>
    </row>
    <row r="501" spans="1:11" s="4" customFormat="1" ht="18" customHeight="1">
      <c r="A501" s="2" t="s">
        <v>1226</v>
      </c>
      <c r="B501" s="3"/>
      <c r="C501" s="2"/>
      <c r="D501" s="3"/>
      <c r="E501" s="2"/>
      <c r="F501" s="2" t="s">
        <v>1470</v>
      </c>
      <c r="G501" s="2"/>
      <c r="H501" s="2" t="s">
        <v>1470</v>
      </c>
      <c r="I501" s="2"/>
      <c r="J501" s="2" t="s">
        <v>1227</v>
      </c>
      <c r="K501" s="2" t="s">
        <v>1226</v>
      </c>
    </row>
    <row r="502" spans="1:11" s="4" customFormat="1" ht="18" customHeight="1">
      <c r="A502" s="2" t="s">
        <v>1228</v>
      </c>
      <c r="B502" s="3"/>
      <c r="C502" s="2"/>
      <c r="D502" s="3"/>
      <c r="E502" s="2"/>
      <c r="F502" s="2" t="s">
        <v>3771</v>
      </c>
      <c r="G502" s="2"/>
      <c r="H502" s="2" t="s">
        <v>3772</v>
      </c>
      <c r="I502" s="2"/>
      <c r="J502" s="2" t="s">
        <v>1229</v>
      </c>
      <c r="K502" s="2" t="s">
        <v>1228</v>
      </c>
    </row>
    <row r="503" spans="1:11" s="4" customFormat="1" ht="18" customHeight="1">
      <c r="A503" s="2" t="s">
        <v>1231</v>
      </c>
      <c r="B503" s="3"/>
      <c r="C503" s="2"/>
      <c r="D503" s="3"/>
      <c r="E503" s="2"/>
      <c r="F503" s="2" t="s">
        <v>3745</v>
      </c>
      <c r="G503" s="2"/>
      <c r="H503" s="2" t="s">
        <v>3745</v>
      </c>
      <c r="I503" s="2"/>
      <c r="J503" s="2" t="s">
        <v>1232</v>
      </c>
      <c r="K503" s="2" t="s">
        <v>1231</v>
      </c>
    </row>
    <row r="504" spans="1:11" s="4" customFormat="1" ht="18" customHeight="1">
      <c r="A504" s="2" t="s">
        <v>1233</v>
      </c>
      <c r="B504" s="3"/>
      <c r="C504" s="2"/>
      <c r="D504" s="3"/>
      <c r="E504" s="2"/>
      <c r="F504" s="2" t="s">
        <v>2154</v>
      </c>
      <c r="G504" s="2"/>
      <c r="H504" s="2" t="s">
        <v>2154</v>
      </c>
      <c r="I504" s="2"/>
      <c r="J504" s="2" t="s">
        <v>1212</v>
      </c>
      <c r="K504" s="2" t="s">
        <v>1233</v>
      </c>
    </row>
    <row r="505" spans="1:11" s="4" customFormat="1" ht="18" customHeight="1">
      <c r="A505" s="2" t="s">
        <v>1234</v>
      </c>
      <c r="B505" s="3"/>
      <c r="C505" s="2"/>
      <c r="D505" s="3"/>
      <c r="E505" s="2"/>
      <c r="F505" s="2" t="s">
        <v>2026</v>
      </c>
      <c r="G505" s="2"/>
      <c r="H505" s="2" t="s">
        <v>933</v>
      </c>
      <c r="I505" s="2"/>
      <c r="J505" s="2" t="s">
        <v>1235</v>
      </c>
      <c r="K505" s="2" t="s">
        <v>1234</v>
      </c>
    </row>
    <row r="506" spans="1:11" s="4" customFormat="1" ht="18" customHeight="1">
      <c r="A506" s="2" t="s">
        <v>1236</v>
      </c>
      <c r="B506" s="3"/>
      <c r="C506" s="2"/>
      <c r="D506" s="3"/>
      <c r="E506" s="2"/>
      <c r="F506" s="2" t="s">
        <v>1066</v>
      </c>
      <c r="G506" s="2"/>
      <c r="H506" s="2" t="s">
        <v>1067</v>
      </c>
      <c r="I506" s="2"/>
      <c r="J506" s="2" t="s">
        <v>1237</v>
      </c>
      <c r="K506" s="2" t="s">
        <v>1236</v>
      </c>
    </row>
    <row r="507" spans="1:11" s="4" customFormat="1" ht="18" customHeight="1">
      <c r="A507" s="2" t="s">
        <v>1238</v>
      </c>
      <c r="B507" s="3"/>
      <c r="C507" s="2"/>
      <c r="D507" s="3"/>
      <c r="E507" s="2"/>
      <c r="F507" s="2" t="s">
        <v>3641</v>
      </c>
      <c r="G507" s="2"/>
      <c r="H507" s="2" t="s">
        <v>3641</v>
      </c>
      <c r="I507" s="2"/>
      <c r="J507" s="2" t="s">
        <v>1239</v>
      </c>
      <c r="K507" s="2" t="s">
        <v>1238</v>
      </c>
    </row>
    <row r="508" spans="1:11" s="4" customFormat="1" ht="18" customHeight="1">
      <c r="A508" s="2" t="s">
        <v>1240</v>
      </c>
      <c r="B508" s="3"/>
      <c r="C508" s="2"/>
      <c r="D508" s="3"/>
      <c r="E508" s="2"/>
      <c r="F508" s="2" t="s">
        <v>1764</v>
      </c>
      <c r="G508" s="2"/>
      <c r="H508" s="2" t="s">
        <v>1764</v>
      </c>
      <c r="I508" s="2"/>
      <c r="J508" s="2" t="s">
        <v>268</v>
      </c>
      <c r="K508" s="2" t="s">
        <v>1240</v>
      </c>
    </row>
    <row r="509" spans="1:11" s="4" customFormat="1" ht="18" customHeight="1">
      <c r="A509" s="2" t="s">
        <v>1241</v>
      </c>
      <c r="B509" s="3"/>
      <c r="C509" s="2"/>
      <c r="D509" s="3"/>
      <c r="E509" s="2"/>
      <c r="F509" s="2" t="s">
        <v>1546</v>
      </c>
      <c r="G509" s="2"/>
      <c r="H509" s="2" t="s">
        <v>1547</v>
      </c>
      <c r="I509" s="2"/>
      <c r="J509" s="2" t="s">
        <v>659</v>
      </c>
      <c r="K509" s="2" t="s">
        <v>1241</v>
      </c>
    </row>
    <row r="510" spans="1:11" s="4" customFormat="1" ht="18" customHeight="1">
      <c r="A510" s="2" t="s">
        <v>1242</v>
      </c>
      <c r="B510" s="3"/>
      <c r="C510" s="2"/>
      <c r="D510" s="3"/>
      <c r="E510" s="2"/>
      <c r="F510" s="2" t="s">
        <v>2829</v>
      </c>
      <c r="G510" s="2"/>
      <c r="H510" s="2" t="s">
        <v>2829</v>
      </c>
      <c r="I510" s="2"/>
      <c r="J510" s="2" t="s">
        <v>569</v>
      </c>
      <c r="K510" s="2" t="s">
        <v>1242</v>
      </c>
    </row>
    <row r="511" spans="1:11" s="4" customFormat="1" ht="18" customHeight="1">
      <c r="A511" s="2" t="s">
        <v>1243</v>
      </c>
      <c r="B511" s="3"/>
      <c r="C511" s="2"/>
      <c r="D511" s="3"/>
      <c r="E511" s="2"/>
      <c r="F511" s="2" t="s">
        <v>3354</v>
      </c>
      <c r="G511" s="2"/>
      <c r="H511" s="2" t="s">
        <v>3354</v>
      </c>
      <c r="I511" s="2"/>
      <c r="J511" s="2" t="s">
        <v>1244</v>
      </c>
      <c r="K511" s="2" t="s">
        <v>1243</v>
      </c>
    </row>
    <row r="512" spans="1:11" s="4" customFormat="1" ht="18" customHeight="1">
      <c r="A512" s="2" t="s">
        <v>1245</v>
      </c>
      <c r="B512" s="3"/>
      <c r="C512" s="2"/>
      <c r="D512" s="3"/>
      <c r="E512" s="2"/>
      <c r="F512" s="2" t="s">
        <v>3532</v>
      </c>
      <c r="G512" s="2"/>
      <c r="H512" s="2" t="s">
        <v>3532</v>
      </c>
      <c r="I512" s="2"/>
      <c r="J512" s="2" t="s">
        <v>1150</v>
      </c>
      <c r="K512" s="2" t="s">
        <v>1245</v>
      </c>
    </row>
    <row r="513" spans="1:11" s="4" customFormat="1" ht="18" customHeight="1">
      <c r="A513" s="2" t="s">
        <v>1246</v>
      </c>
      <c r="B513" s="3"/>
      <c r="C513" s="2"/>
      <c r="D513" s="3"/>
      <c r="E513" s="2"/>
      <c r="F513" s="2" t="s">
        <v>1966</v>
      </c>
      <c r="G513" s="2"/>
      <c r="H513" s="2" t="s">
        <v>1967</v>
      </c>
      <c r="I513" s="2"/>
      <c r="J513" s="2" t="s">
        <v>1247</v>
      </c>
      <c r="K513" s="2" t="s">
        <v>1246</v>
      </c>
    </row>
    <row r="514" spans="1:11" s="4" customFormat="1" ht="18" customHeight="1">
      <c r="A514" s="2" t="s">
        <v>1248</v>
      </c>
      <c r="B514" s="3"/>
      <c r="C514" s="2"/>
      <c r="D514" s="3"/>
      <c r="E514" s="2"/>
      <c r="F514" s="2" t="s">
        <v>1966</v>
      </c>
      <c r="G514" s="2"/>
      <c r="H514" s="2" t="s">
        <v>1966</v>
      </c>
      <c r="I514" s="2"/>
      <c r="J514" s="2" t="s">
        <v>1249</v>
      </c>
      <c r="K514" s="2" t="s">
        <v>1248</v>
      </c>
    </row>
    <row r="515" spans="1:11" s="4" customFormat="1" ht="18" customHeight="1">
      <c r="A515" s="2" t="s">
        <v>1250</v>
      </c>
      <c r="B515" s="3"/>
      <c r="C515" s="2"/>
      <c r="D515" s="3"/>
      <c r="E515" s="2"/>
      <c r="F515" s="2" t="s">
        <v>3462</v>
      </c>
      <c r="G515" s="2"/>
      <c r="H515" s="2" t="s">
        <v>3463</v>
      </c>
      <c r="I515" s="2"/>
      <c r="J515" s="2" t="s">
        <v>1252</v>
      </c>
      <c r="K515" s="2" t="s">
        <v>1250</v>
      </c>
    </row>
    <row r="516" spans="1:11" s="4" customFormat="1" ht="18" customHeight="1">
      <c r="A516" s="2" t="s">
        <v>1253</v>
      </c>
      <c r="B516" s="3"/>
      <c r="C516" s="2"/>
      <c r="D516" s="3"/>
      <c r="E516" s="2"/>
      <c r="F516" s="2" t="s">
        <v>229</v>
      </c>
      <c r="G516" s="2"/>
      <c r="H516" s="2" t="s">
        <v>230</v>
      </c>
      <c r="I516" s="2"/>
      <c r="J516" s="2" t="s">
        <v>1254</v>
      </c>
      <c r="K516" s="2" t="s">
        <v>1253</v>
      </c>
    </row>
    <row r="517" spans="1:11" s="4" customFormat="1" ht="18" customHeight="1">
      <c r="A517" s="2" t="s">
        <v>1255</v>
      </c>
      <c r="B517" s="3"/>
      <c r="C517" s="2"/>
      <c r="D517" s="3"/>
      <c r="E517" s="2"/>
      <c r="F517" s="2" t="s">
        <v>3819</v>
      </c>
      <c r="G517" s="2"/>
      <c r="H517" s="2" t="s">
        <v>3819</v>
      </c>
      <c r="I517" s="2"/>
      <c r="J517" s="2" t="s">
        <v>1256</v>
      </c>
      <c r="K517" s="2" t="s">
        <v>1255</v>
      </c>
    </row>
    <row r="518" spans="1:11" s="4" customFormat="1" ht="18" customHeight="1">
      <c r="A518" s="2" t="s">
        <v>1258</v>
      </c>
      <c r="B518" s="3"/>
      <c r="C518" s="2"/>
      <c r="D518" s="3"/>
      <c r="E518" s="2"/>
      <c r="F518" s="2" t="s">
        <v>2296</v>
      </c>
      <c r="G518" s="2"/>
      <c r="H518" s="2" t="s">
        <v>2296</v>
      </c>
      <c r="I518" s="2"/>
      <c r="J518" s="2" t="s">
        <v>1259</v>
      </c>
      <c r="K518" s="2" t="s">
        <v>1258</v>
      </c>
    </row>
    <row r="519" spans="1:11" s="4" customFormat="1" ht="18" customHeight="1">
      <c r="A519" s="2" t="s">
        <v>1260</v>
      </c>
      <c r="B519" s="3"/>
      <c r="C519" s="2"/>
      <c r="D519" s="3"/>
      <c r="E519" s="2"/>
      <c r="F519" s="2" t="s">
        <v>2433</v>
      </c>
      <c r="G519" s="2"/>
      <c r="H519" s="2" t="s">
        <v>2434</v>
      </c>
      <c r="I519" s="2"/>
      <c r="J519" s="2" t="s">
        <v>1261</v>
      </c>
      <c r="K519" s="2" t="s">
        <v>1260</v>
      </c>
    </row>
    <row r="520" spans="1:11" s="4" customFormat="1" ht="18" customHeight="1">
      <c r="A520" s="2" t="s">
        <v>1262</v>
      </c>
      <c r="B520" s="3"/>
      <c r="C520" s="2"/>
      <c r="D520" s="3"/>
      <c r="E520" s="2"/>
      <c r="F520" s="2" t="s">
        <v>320</v>
      </c>
      <c r="G520" s="2"/>
      <c r="H520" s="2" t="s">
        <v>320</v>
      </c>
      <c r="I520" s="2"/>
      <c r="J520" s="2" t="s">
        <v>1263</v>
      </c>
      <c r="K520" s="2" t="s">
        <v>1262</v>
      </c>
    </row>
    <row r="521" spans="1:11" s="4" customFormat="1" ht="18" customHeight="1">
      <c r="A521" s="2" t="s">
        <v>1265</v>
      </c>
      <c r="B521" s="3"/>
      <c r="C521" s="2"/>
      <c r="D521" s="3"/>
      <c r="E521" s="2"/>
      <c r="F521" s="2" t="s">
        <v>745</v>
      </c>
      <c r="G521" s="2"/>
      <c r="H521" s="2" t="s">
        <v>746</v>
      </c>
      <c r="I521" s="2"/>
      <c r="J521" s="2" t="s">
        <v>1266</v>
      </c>
      <c r="K521" s="2" t="s">
        <v>1265</v>
      </c>
    </row>
    <row r="522" spans="1:11" s="4" customFormat="1" ht="18" customHeight="1">
      <c r="A522" s="2" t="s">
        <v>1267</v>
      </c>
      <c r="B522" s="3"/>
      <c r="C522" s="2"/>
      <c r="D522" s="3"/>
      <c r="E522" s="2"/>
      <c r="F522" s="2" t="s">
        <v>190</v>
      </c>
      <c r="G522" s="2"/>
      <c r="H522" s="2" t="s">
        <v>190</v>
      </c>
      <c r="I522" s="2"/>
      <c r="J522" s="2" t="s">
        <v>1268</v>
      </c>
      <c r="K522" s="2" t="s">
        <v>1267</v>
      </c>
    </row>
    <row r="523" spans="1:11" s="4" customFormat="1" ht="18" customHeight="1">
      <c r="A523" s="2" t="s">
        <v>1269</v>
      </c>
      <c r="B523" s="3"/>
      <c r="C523" s="2"/>
      <c r="D523" s="3"/>
      <c r="E523" s="2"/>
      <c r="F523" s="2" t="s">
        <v>825</v>
      </c>
      <c r="G523" s="2"/>
      <c r="H523" s="2" t="s">
        <v>826</v>
      </c>
      <c r="I523" s="2"/>
      <c r="J523" s="2" t="s">
        <v>1271</v>
      </c>
      <c r="K523" s="2" t="s">
        <v>1269</v>
      </c>
    </row>
    <row r="524" spans="1:11" s="4" customFormat="1" ht="18" customHeight="1">
      <c r="A524" s="2" t="s">
        <v>1272</v>
      </c>
      <c r="B524" s="3"/>
      <c r="C524" s="2"/>
      <c r="D524" s="3"/>
      <c r="E524" s="2"/>
      <c r="F524" s="2" t="s">
        <v>825</v>
      </c>
      <c r="G524" s="2"/>
      <c r="H524" s="2" t="s">
        <v>825</v>
      </c>
      <c r="I524" s="2"/>
      <c r="J524" s="2" t="s">
        <v>1273</v>
      </c>
      <c r="K524" s="2" t="s">
        <v>1272</v>
      </c>
    </row>
    <row r="525" spans="1:11" s="4" customFormat="1" ht="18" customHeight="1">
      <c r="A525" s="2" t="s">
        <v>1274</v>
      </c>
      <c r="B525" s="3"/>
      <c r="C525" s="2"/>
      <c r="D525" s="3"/>
      <c r="E525" s="2"/>
      <c r="F525" s="2" t="s">
        <v>825</v>
      </c>
      <c r="G525" s="2"/>
      <c r="H525" s="2" t="s">
        <v>3914</v>
      </c>
      <c r="I525" s="2"/>
      <c r="J525" s="2" t="s">
        <v>1275</v>
      </c>
      <c r="K525" s="2" t="s">
        <v>1274</v>
      </c>
    </row>
    <row r="526" spans="1:11" s="4" customFormat="1" ht="18" customHeight="1">
      <c r="A526" s="2" t="s">
        <v>1276</v>
      </c>
      <c r="B526" s="3"/>
      <c r="C526" s="2"/>
      <c r="D526" s="3"/>
      <c r="E526" s="2"/>
      <c r="F526" s="2" t="s">
        <v>1568</v>
      </c>
      <c r="G526" s="2"/>
      <c r="H526" s="2" t="s">
        <v>1568</v>
      </c>
      <c r="I526" s="2"/>
      <c r="J526" s="2" t="s">
        <v>1277</v>
      </c>
      <c r="K526" s="2" t="s">
        <v>1276</v>
      </c>
    </row>
    <row r="527" spans="1:11" s="4" customFormat="1" ht="18" customHeight="1">
      <c r="A527" s="2" t="s">
        <v>1278</v>
      </c>
      <c r="B527" s="3"/>
      <c r="C527" s="2"/>
      <c r="D527" s="3"/>
      <c r="E527" s="2"/>
      <c r="F527" s="2" t="s">
        <v>3427</v>
      </c>
      <c r="G527" s="2"/>
      <c r="H527" s="2" t="s">
        <v>3428</v>
      </c>
      <c r="I527" s="2"/>
      <c r="J527" s="2" t="s">
        <v>1279</v>
      </c>
      <c r="K527" s="2" t="s">
        <v>1278</v>
      </c>
    </row>
    <row r="528" spans="1:11" s="4" customFormat="1" ht="18" customHeight="1">
      <c r="A528" s="2" t="s">
        <v>1280</v>
      </c>
      <c r="B528" s="3"/>
      <c r="C528" s="2"/>
      <c r="D528" s="3"/>
      <c r="E528" s="2"/>
      <c r="F528" s="2" t="s">
        <v>2342</v>
      </c>
      <c r="G528" s="2"/>
      <c r="H528" s="2" t="s">
        <v>2342</v>
      </c>
      <c r="I528" s="2"/>
      <c r="J528" s="2" t="s">
        <v>1281</v>
      </c>
      <c r="K528" s="2" t="s">
        <v>1280</v>
      </c>
    </row>
    <row r="529" spans="1:11" s="4" customFormat="1" ht="18" customHeight="1">
      <c r="A529" s="2" t="s">
        <v>1282</v>
      </c>
      <c r="B529" s="3"/>
      <c r="C529" s="2"/>
      <c r="D529" s="3"/>
      <c r="E529" s="2"/>
      <c r="F529" s="2" t="s">
        <v>539</v>
      </c>
      <c r="G529" s="2"/>
      <c r="H529" s="2" t="s">
        <v>540</v>
      </c>
      <c r="I529" s="2"/>
      <c r="J529" s="2" t="s">
        <v>1283</v>
      </c>
      <c r="K529" s="2" t="s">
        <v>1282</v>
      </c>
    </row>
    <row r="530" spans="1:11" s="4" customFormat="1" ht="18" customHeight="1">
      <c r="A530" s="2" t="s">
        <v>1284</v>
      </c>
      <c r="B530" s="3"/>
      <c r="C530" s="2"/>
      <c r="D530" s="3"/>
      <c r="E530" s="2"/>
      <c r="F530" s="2" t="s">
        <v>3886</v>
      </c>
      <c r="G530" s="2"/>
      <c r="H530" s="2" t="s">
        <v>3887</v>
      </c>
      <c r="I530" s="2"/>
      <c r="J530" s="2" t="s">
        <v>1285</v>
      </c>
      <c r="K530" s="2" t="s">
        <v>1284</v>
      </c>
    </row>
    <row r="531" spans="1:11" s="4" customFormat="1" ht="18" customHeight="1">
      <c r="A531" s="2" t="s">
        <v>1286</v>
      </c>
      <c r="B531" s="3"/>
      <c r="C531" s="2"/>
      <c r="D531" s="3"/>
      <c r="E531" s="2"/>
      <c r="F531" s="2" t="s">
        <v>3222</v>
      </c>
      <c r="G531" s="2"/>
      <c r="H531" s="2" t="s">
        <v>3223</v>
      </c>
      <c r="I531" s="2"/>
      <c r="J531" s="2" t="s">
        <v>1287</v>
      </c>
      <c r="K531" s="2" t="s">
        <v>1286</v>
      </c>
    </row>
    <row r="532" spans="1:11" s="4" customFormat="1" ht="18" customHeight="1">
      <c r="A532" s="2" t="s">
        <v>1288</v>
      </c>
      <c r="B532" s="3"/>
      <c r="C532" s="2"/>
      <c r="D532" s="3"/>
      <c r="E532" s="2"/>
      <c r="F532" s="2" t="s">
        <v>1363</v>
      </c>
      <c r="G532" s="2"/>
      <c r="H532" s="2" t="s">
        <v>1363</v>
      </c>
      <c r="I532" s="2"/>
      <c r="J532" s="2" t="s">
        <v>1289</v>
      </c>
      <c r="K532" s="2" t="s">
        <v>1288</v>
      </c>
    </row>
    <row r="533" spans="1:11" s="4" customFormat="1" ht="18" customHeight="1">
      <c r="A533" s="2" t="s">
        <v>1291</v>
      </c>
      <c r="B533" s="3"/>
      <c r="C533" s="2"/>
      <c r="D533" s="3"/>
      <c r="E533" s="2"/>
      <c r="F533" s="2" t="s">
        <v>1741</v>
      </c>
      <c r="G533" s="2"/>
      <c r="H533" s="2" t="s">
        <v>1742</v>
      </c>
      <c r="I533" s="2"/>
      <c r="J533" s="2" t="s">
        <v>1292</v>
      </c>
      <c r="K533" s="2" t="s">
        <v>1291</v>
      </c>
    </row>
    <row r="534" spans="1:11" s="4" customFormat="1" ht="18" customHeight="1">
      <c r="A534" s="2" t="s">
        <v>1293</v>
      </c>
      <c r="B534" s="3"/>
      <c r="C534" s="2"/>
      <c r="D534" s="3"/>
      <c r="E534" s="2"/>
      <c r="F534" s="2" t="s">
        <v>3992</v>
      </c>
      <c r="G534" s="2"/>
      <c r="H534" s="2" t="s">
        <v>3992</v>
      </c>
      <c r="I534" s="2"/>
      <c r="J534" s="2" t="s">
        <v>1294</v>
      </c>
      <c r="K534" s="2" t="s">
        <v>1293</v>
      </c>
    </row>
    <row r="535" spans="1:11" s="4" customFormat="1" ht="18" customHeight="1">
      <c r="A535" s="2" t="s">
        <v>1295</v>
      </c>
      <c r="B535" s="3"/>
      <c r="C535" s="2"/>
      <c r="D535" s="3"/>
      <c r="E535" s="2"/>
      <c r="F535" s="2" t="s">
        <v>3994</v>
      </c>
      <c r="G535" s="2"/>
      <c r="H535" s="2" t="s">
        <v>3994</v>
      </c>
      <c r="I535" s="2"/>
      <c r="J535" s="2" t="s">
        <v>1296</v>
      </c>
      <c r="K535" s="2" t="s">
        <v>1295</v>
      </c>
    </row>
    <row r="536" spans="1:11" s="4" customFormat="1" ht="18" customHeight="1">
      <c r="A536" s="2" t="s">
        <v>1297</v>
      </c>
      <c r="B536" s="3"/>
      <c r="C536" s="2"/>
      <c r="D536" s="3"/>
      <c r="E536" s="2"/>
      <c r="F536" s="2" t="s">
        <v>2741</v>
      </c>
      <c r="G536" s="2"/>
      <c r="H536" s="2" t="s">
        <v>2741</v>
      </c>
      <c r="I536" s="2"/>
      <c r="J536" s="2" t="s">
        <v>1298</v>
      </c>
      <c r="K536" s="2" t="s">
        <v>1297</v>
      </c>
    </row>
    <row r="537" spans="1:11" s="4" customFormat="1" ht="18" customHeight="1">
      <c r="A537" s="2" t="s">
        <v>1299</v>
      </c>
      <c r="B537" s="3"/>
      <c r="C537" s="2"/>
      <c r="D537" s="3"/>
      <c r="E537" s="2"/>
      <c r="F537" s="2" t="s">
        <v>2743</v>
      </c>
      <c r="G537" s="2"/>
      <c r="H537" s="2" t="s">
        <v>2743</v>
      </c>
      <c r="I537" s="2"/>
      <c r="J537" s="2" t="s">
        <v>1300</v>
      </c>
      <c r="K537" s="2" t="s">
        <v>1299</v>
      </c>
    </row>
    <row r="538" spans="1:11" s="4" customFormat="1" ht="18" customHeight="1">
      <c r="A538" s="2" t="s">
        <v>1301</v>
      </c>
      <c r="B538" s="3"/>
      <c r="C538" s="2"/>
      <c r="D538" s="3"/>
      <c r="E538" s="2"/>
      <c r="F538" s="2" t="s">
        <v>3158</v>
      </c>
      <c r="G538" s="2"/>
      <c r="H538" s="2" t="s">
        <v>3159</v>
      </c>
      <c r="I538" s="2"/>
      <c r="J538" s="2" t="s">
        <v>1302</v>
      </c>
      <c r="K538" s="2" t="s">
        <v>1301</v>
      </c>
    </row>
    <row r="539" spans="1:11" s="4" customFormat="1" ht="18" customHeight="1">
      <c r="A539" s="2" t="s">
        <v>1303</v>
      </c>
      <c r="B539" s="3"/>
      <c r="C539" s="2"/>
      <c r="D539" s="3"/>
      <c r="E539" s="2"/>
      <c r="F539" s="2" t="s">
        <v>2777</v>
      </c>
      <c r="G539" s="2"/>
      <c r="H539" s="2" t="s">
        <v>2777</v>
      </c>
      <c r="I539" s="2"/>
      <c r="J539" s="2" t="s">
        <v>1304</v>
      </c>
      <c r="K539" s="2" t="s">
        <v>1303</v>
      </c>
    </row>
    <row r="540" spans="1:11" s="4" customFormat="1" ht="18" customHeight="1">
      <c r="A540" s="2" t="s">
        <v>1305</v>
      </c>
      <c r="B540" s="3"/>
      <c r="C540" s="2"/>
      <c r="D540" s="3"/>
      <c r="E540" s="2"/>
      <c r="F540" s="2" t="s">
        <v>542</v>
      </c>
      <c r="G540" s="2"/>
      <c r="H540" s="2" t="s">
        <v>543</v>
      </c>
      <c r="I540" s="2"/>
      <c r="J540" s="2" t="s">
        <v>1306</v>
      </c>
      <c r="K540" s="2" t="s">
        <v>1305</v>
      </c>
    </row>
    <row r="541" spans="1:11" s="4" customFormat="1" ht="18" customHeight="1">
      <c r="A541" s="2" t="s">
        <v>1307</v>
      </c>
      <c r="B541" s="3"/>
      <c r="C541" s="2"/>
      <c r="D541" s="3"/>
      <c r="E541" s="2"/>
      <c r="F541" s="2" t="s">
        <v>3304</v>
      </c>
      <c r="G541" s="2"/>
      <c r="H541" s="2" t="s">
        <v>3305</v>
      </c>
      <c r="I541" s="2"/>
      <c r="J541" s="2" t="s">
        <v>1308</v>
      </c>
      <c r="K541" s="2" t="s">
        <v>1307</v>
      </c>
    </row>
    <row r="542" spans="1:11" s="4" customFormat="1" ht="18" customHeight="1">
      <c r="A542" s="2" t="s">
        <v>1309</v>
      </c>
      <c r="B542" s="3"/>
      <c r="C542" s="2"/>
      <c r="D542" s="3"/>
      <c r="E542" s="2"/>
      <c r="F542" s="2" t="s">
        <v>2577</v>
      </c>
      <c r="G542" s="2"/>
      <c r="H542" s="2" t="s">
        <v>2577</v>
      </c>
      <c r="I542" s="2"/>
      <c r="J542" s="2" t="s">
        <v>1310</v>
      </c>
      <c r="K542" s="2" t="s">
        <v>1309</v>
      </c>
    </row>
    <row r="543" spans="1:11" s="4" customFormat="1" ht="18" customHeight="1">
      <c r="A543" s="2" t="s">
        <v>1311</v>
      </c>
      <c r="B543" s="3"/>
      <c r="C543" s="2"/>
      <c r="D543" s="3"/>
      <c r="E543" s="2"/>
      <c r="F543" s="2" t="s">
        <v>208</v>
      </c>
      <c r="G543" s="2"/>
      <c r="H543" s="2" t="s">
        <v>209</v>
      </c>
      <c r="I543" s="2"/>
      <c r="J543" s="2" t="s">
        <v>1312</v>
      </c>
      <c r="K543" s="2" t="s">
        <v>1311</v>
      </c>
    </row>
    <row r="544" spans="1:11" s="4" customFormat="1" ht="18" customHeight="1">
      <c r="A544" s="2" t="s">
        <v>1313</v>
      </c>
      <c r="B544" s="3"/>
      <c r="C544" s="2"/>
      <c r="D544" s="3"/>
      <c r="E544" s="2"/>
      <c r="F544" s="2" t="s">
        <v>3442</v>
      </c>
      <c r="G544" s="2"/>
      <c r="H544" s="2" t="s">
        <v>3442</v>
      </c>
      <c r="I544" s="2"/>
      <c r="J544" s="2" t="s">
        <v>1315</v>
      </c>
      <c r="K544" s="2" t="s">
        <v>1313</v>
      </c>
    </row>
    <row r="545" spans="1:11" s="4" customFormat="1" ht="18" customHeight="1">
      <c r="A545" s="2" t="s">
        <v>1316</v>
      </c>
      <c r="B545" s="3"/>
      <c r="C545" s="2"/>
      <c r="D545" s="3"/>
      <c r="E545" s="2"/>
      <c r="F545" s="2" t="s">
        <v>836</v>
      </c>
      <c r="G545" s="2"/>
      <c r="H545" s="2" t="s">
        <v>837</v>
      </c>
      <c r="I545" s="2"/>
      <c r="J545" s="2" t="s">
        <v>1317</v>
      </c>
      <c r="K545" s="2" t="s">
        <v>1316</v>
      </c>
    </row>
    <row r="546" spans="1:11" s="4" customFormat="1" ht="18" customHeight="1">
      <c r="A546" s="2" t="s">
        <v>1318</v>
      </c>
      <c r="B546" s="3"/>
      <c r="C546" s="2"/>
      <c r="D546" s="3"/>
      <c r="E546" s="2"/>
      <c r="F546" s="2" t="s">
        <v>2906</v>
      </c>
      <c r="G546" s="2"/>
      <c r="H546" s="2" t="s">
        <v>2906</v>
      </c>
      <c r="I546" s="2"/>
      <c r="J546" s="2" t="s">
        <v>1319</v>
      </c>
      <c r="K546" s="2" t="s">
        <v>1318</v>
      </c>
    </row>
    <row r="547" spans="1:11" s="4" customFormat="1" ht="18" customHeight="1">
      <c r="A547" s="2" t="s">
        <v>1320</v>
      </c>
      <c r="B547" s="3"/>
      <c r="C547" s="2"/>
      <c r="D547" s="3"/>
      <c r="E547" s="2"/>
      <c r="F547" s="2" t="s">
        <v>3392</v>
      </c>
      <c r="G547" s="2"/>
      <c r="H547" s="2" t="s">
        <v>3392</v>
      </c>
      <c r="I547" s="2"/>
      <c r="J547" s="2" t="s">
        <v>1321</v>
      </c>
      <c r="K547" s="2" t="s">
        <v>1320</v>
      </c>
    </row>
    <row r="548" spans="1:11" s="4" customFormat="1" ht="18" customHeight="1">
      <c r="A548" s="2" t="s">
        <v>1322</v>
      </c>
      <c r="B548" s="3"/>
      <c r="C548" s="2"/>
      <c r="D548" s="3"/>
      <c r="E548" s="2"/>
      <c r="F548" s="2" t="s">
        <v>150</v>
      </c>
      <c r="G548" s="2"/>
      <c r="H548" s="2" t="s">
        <v>150</v>
      </c>
      <c r="I548" s="2"/>
      <c r="J548" s="2" t="s">
        <v>1323</v>
      </c>
      <c r="K548" s="2" t="s">
        <v>1322</v>
      </c>
    </row>
    <row r="549" spans="1:11" s="4" customFormat="1" ht="18" customHeight="1">
      <c r="A549" s="2" t="s">
        <v>1324</v>
      </c>
      <c r="B549" s="3"/>
      <c r="C549" s="2"/>
      <c r="D549" s="3"/>
      <c r="E549" s="2"/>
      <c r="F549" s="2" t="s">
        <v>1549</v>
      </c>
      <c r="G549" s="2"/>
      <c r="H549" s="2" t="s">
        <v>1550</v>
      </c>
      <c r="I549" s="2"/>
      <c r="J549" s="2" t="s">
        <v>1325</v>
      </c>
      <c r="K549" s="2" t="s">
        <v>1324</v>
      </c>
    </row>
    <row r="550" spans="1:11" s="4" customFormat="1" ht="18" customHeight="1">
      <c r="A550" s="2" t="s">
        <v>1326</v>
      </c>
      <c r="B550" s="3"/>
      <c r="C550" s="2"/>
      <c r="D550" s="3"/>
      <c r="E550" s="2"/>
      <c r="F550" s="2" t="s">
        <v>2281</v>
      </c>
      <c r="G550" s="2"/>
      <c r="H550" s="2" t="s">
        <v>569</v>
      </c>
      <c r="I550" s="2"/>
      <c r="J550" s="2" t="s">
        <v>1327</v>
      </c>
      <c r="K550" s="2" t="s">
        <v>1326</v>
      </c>
    </row>
    <row r="551" spans="1:11" s="4" customFormat="1" ht="18" customHeight="1">
      <c r="A551" s="2" t="s">
        <v>1328</v>
      </c>
      <c r="B551" s="3"/>
      <c r="C551" s="2"/>
      <c r="D551" s="3"/>
      <c r="E551" s="2"/>
      <c r="F551" s="2" t="s">
        <v>2257</v>
      </c>
      <c r="G551" s="2"/>
      <c r="H551" s="2" t="s">
        <v>2257</v>
      </c>
      <c r="I551" s="2"/>
      <c r="J551" s="2" t="s">
        <v>1329</v>
      </c>
      <c r="K551" s="2" t="s">
        <v>1328</v>
      </c>
    </row>
    <row r="552" spans="1:11" s="4" customFormat="1" ht="18" customHeight="1">
      <c r="A552" s="2" t="s">
        <v>1330</v>
      </c>
      <c r="B552" s="3"/>
      <c r="C552" s="2"/>
      <c r="D552" s="3"/>
      <c r="E552" s="2"/>
      <c r="F552" s="2" t="s">
        <v>2734</v>
      </c>
      <c r="G552" s="2"/>
      <c r="H552" s="2" t="s">
        <v>2734</v>
      </c>
      <c r="I552" s="2"/>
      <c r="J552" s="2" t="s">
        <v>1331</v>
      </c>
      <c r="K552" s="2" t="s">
        <v>1330</v>
      </c>
    </row>
    <row r="553" spans="1:11" s="4" customFormat="1" ht="18" customHeight="1">
      <c r="A553" s="2" t="s">
        <v>1332</v>
      </c>
      <c r="B553" s="3"/>
      <c r="C553" s="2"/>
      <c r="D553" s="3"/>
      <c r="E553" s="2"/>
      <c r="F553" s="2" t="s">
        <v>1458</v>
      </c>
      <c r="G553" s="2"/>
      <c r="H553" s="2" t="s">
        <v>1458</v>
      </c>
      <c r="I553" s="2"/>
      <c r="J553" s="2" t="s">
        <v>1333</v>
      </c>
      <c r="K553" s="2" t="s">
        <v>1332</v>
      </c>
    </row>
    <row r="554" spans="1:11" s="4" customFormat="1" ht="18" customHeight="1">
      <c r="A554" s="2" t="s">
        <v>1335</v>
      </c>
      <c r="B554" s="3"/>
      <c r="C554" s="2"/>
      <c r="D554" s="3"/>
      <c r="E554" s="2"/>
      <c r="F554" s="2" t="s">
        <v>3786</v>
      </c>
      <c r="G554" s="2"/>
      <c r="H554" s="2" t="s">
        <v>3786</v>
      </c>
      <c r="I554" s="2"/>
      <c r="J554" s="2" t="s">
        <v>1336</v>
      </c>
      <c r="K554" s="2" t="s">
        <v>1335</v>
      </c>
    </row>
    <row r="555" spans="1:11" s="4" customFormat="1" ht="18" customHeight="1">
      <c r="A555" s="2" t="s">
        <v>1337</v>
      </c>
      <c r="B555" s="3"/>
      <c r="C555" s="2"/>
      <c r="D555" s="3"/>
      <c r="E555" s="2"/>
      <c r="F555" s="2" t="s">
        <v>800</v>
      </c>
      <c r="G555" s="2"/>
      <c r="H555" s="2" t="s">
        <v>800</v>
      </c>
      <c r="I555" s="2"/>
      <c r="J555" s="2" t="s">
        <v>1338</v>
      </c>
      <c r="K555" s="2" t="s">
        <v>1337</v>
      </c>
    </row>
    <row r="556" spans="1:11" s="4" customFormat="1" ht="18" customHeight="1">
      <c r="A556" s="2" t="s">
        <v>1339</v>
      </c>
      <c r="B556" s="3"/>
      <c r="C556" s="2"/>
      <c r="D556" s="3"/>
      <c r="E556" s="2"/>
      <c r="F556" s="2" t="s">
        <v>2156</v>
      </c>
      <c r="G556" s="2"/>
      <c r="H556" s="2" t="s">
        <v>2156</v>
      </c>
      <c r="I556" s="2"/>
      <c r="J556" s="2" t="s">
        <v>1340</v>
      </c>
      <c r="K556" s="2" t="s">
        <v>1339</v>
      </c>
    </row>
    <row r="557" spans="1:11" s="4" customFormat="1" ht="18" customHeight="1">
      <c r="A557" s="2" t="s">
        <v>1341</v>
      </c>
      <c r="B557" s="3"/>
      <c r="C557" s="2"/>
      <c r="D557" s="3"/>
      <c r="E557" s="2"/>
      <c r="F557" s="2" t="s">
        <v>3989</v>
      </c>
      <c r="G557" s="2"/>
      <c r="H557" s="2" t="s">
        <v>3990</v>
      </c>
      <c r="I557" s="2"/>
      <c r="J557" s="2" t="s">
        <v>1342</v>
      </c>
      <c r="K557" s="2" t="s">
        <v>1341</v>
      </c>
    </row>
    <row r="558" spans="1:11" s="4" customFormat="1" ht="18" customHeight="1">
      <c r="A558" s="2" t="s">
        <v>1343</v>
      </c>
      <c r="B558" s="3"/>
      <c r="C558" s="2"/>
      <c r="D558" s="3"/>
      <c r="E558" s="2"/>
      <c r="F558" s="2" t="s">
        <v>2387</v>
      </c>
      <c r="G558" s="2"/>
      <c r="H558" s="2" t="s">
        <v>2388</v>
      </c>
      <c r="I558" s="2"/>
      <c r="J558" s="2" t="s">
        <v>1344</v>
      </c>
      <c r="K558" s="2" t="s">
        <v>1343</v>
      </c>
    </row>
    <row r="559" spans="1:11" s="4" customFormat="1" ht="18" customHeight="1">
      <c r="A559" s="2" t="s">
        <v>1345</v>
      </c>
      <c r="B559" s="3"/>
      <c r="C559" s="2"/>
      <c r="D559" s="3"/>
      <c r="E559" s="2"/>
      <c r="F559" s="2" t="s">
        <v>3108</v>
      </c>
      <c r="G559" s="2"/>
      <c r="H559" s="2" t="s">
        <v>3108</v>
      </c>
      <c r="I559" s="2"/>
      <c r="J559" s="2" t="s">
        <v>1346</v>
      </c>
      <c r="K559" s="2" t="s">
        <v>1345</v>
      </c>
    </row>
    <row r="560" spans="1:11" s="4" customFormat="1" ht="18" customHeight="1">
      <c r="A560" s="2" t="s">
        <v>1347</v>
      </c>
      <c r="B560" s="3"/>
      <c r="C560" s="2"/>
      <c r="D560" s="3"/>
      <c r="E560" s="2"/>
      <c r="F560" s="2" t="s">
        <v>2202</v>
      </c>
      <c r="G560" s="2"/>
      <c r="H560" s="2" t="s">
        <v>2202</v>
      </c>
      <c r="I560" s="2"/>
      <c r="J560" s="2" t="s">
        <v>1348</v>
      </c>
      <c r="K560" s="2" t="s">
        <v>1347</v>
      </c>
    </row>
    <row r="561" spans="1:11" s="4" customFormat="1" ht="18" customHeight="1">
      <c r="A561" s="2" t="s">
        <v>1349</v>
      </c>
      <c r="B561" s="3"/>
      <c r="C561" s="2"/>
      <c r="D561" s="3"/>
      <c r="E561" s="2"/>
      <c r="F561" s="2" t="s">
        <v>1513</v>
      </c>
      <c r="G561" s="2"/>
      <c r="H561" s="2" t="s">
        <v>1513</v>
      </c>
      <c r="I561" s="2"/>
      <c r="J561" s="2" t="s">
        <v>337</v>
      </c>
      <c r="K561" s="2" t="s">
        <v>1349</v>
      </c>
    </row>
    <row r="562" spans="1:11" s="4" customFormat="1" ht="18" customHeight="1">
      <c r="A562" s="2" t="s">
        <v>1351</v>
      </c>
      <c r="B562" s="3"/>
      <c r="C562" s="2"/>
      <c r="D562" s="3"/>
      <c r="E562" s="2"/>
      <c r="F562" s="2" t="s">
        <v>476</v>
      </c>
      <c r="G562" s="2"/>
      <c r="H562" s="2" t="s">
        <v>476</v>
      </c>
      <c r="I562" s="2"/>
      <c r="J562" s="2" t="s">
        <v>1352</v>
      </c>
      <c r="K562" s="2" t="s">
        <v>1351</v>
      </c>
    </row>
    <row r="563" spans="1:11" s="4" customFormat="1" ht="18" customHeight="1">
      <c r="A563" s="2" t="s">
        <v>1353</v>
      </c>
      <c r="B563" s="3"/>
      <c r="C563" s="2"/>
      <c r="D563" s="3"/>
      <c r="E563" s="2"/>
      <c r="F563" s="2" t="s">
        <v>1300</v>
      </c>
      <c r="G563" s="2"/>
      <c r="H563" s="2" t="s">
        <v>1300</v>
      </c>
      <c r="I563" s="2"/>
      <c r="J563" s="2" t="s">
        <v>1354</v>
      </c>
      <c r="K563" s="2" t="s">
        <v>1353</v>
      </c>
    </row>
    <row r="564" spans="1:11" s="4" customFormat="1" ht="18" customHeight="1">
      <c r="A564" s="2" t="s">
        <v>1355</v>
      </c>
      <c r="B564" s="3"/>
      <c r="C564" s="2"/>
      <c r="D564" s="3"/>
      <c r="E564" s="2"/>
      <c r="F564" s="2" t="s">
        <v>2096</v>
      </c>
      <c r="G564" s="2"/>
      <c r="H564" s="2" t="s">
        <v>2096</v>
      </c>
      <c r="I564" s="2"/>
      <c r="J564" s="2" t="s">
        <v>1356</v>
      </c>
      <c r="K564" s="2" t="s">
        <v>1355</v>
      </c>
    </row>
    <row r="565" spans="1:11" s="4" customFormat="1" ht="18" customHeight="1">
      <c r="A565" s="2" t="s">
        <v>1357</v>
      </c>
      <c r="B565" s="3"/>
      <c r="C565" s="2"/>
      <c r="D565" s="3"/>
      <c r="E565" s="2"/>
      <c r="F565" s="2" t="s">
        <v>580</v>
      </c>
      <c r="G565" s="2"/>
      <c r="H565" s="2" t="s">
        <v>580</v>
      </c>
      <c r="I565" s="2"/>
      <c r="J565" s="2" t="s">
        <v>140</v>
      </c>
      <c r="K565" s="2" t="s">
        <v>1357</v>
      </c>
    </row>
    <row r="566" spans="1:11" s="4" customFormat="1" ht="18" customHeight="1">
      <c r="A566" s="2" t="s">
        <v>1358</v>
      </c>
      <c r="B566" s="3"/>
      <c r="C566" s="2"/>
      <c r="D566" s="3"/>
      <c r="E566" s="2"/>
      <c r="F566" s="2" t="s">
        <v>2122</v>
      </c>
      <c r="G566" s="2"/>
      <c r="H566" s="2" t="s">
        <v>2122</v>
      </c>
      <c r="I566" s="2"/>
      <c r="J566" s="2" t="s">
        <v>1359</v>
      </c>
      <c r="K566" s="2" t="s">
        <v>1358</v>
      </c>
    </row>
    <row r="567" spans="1:11" s="4" customFormat="1" ht="18" customHeight="1">
      <c r="A567" s="2" t="s">
        <v>1360</v>
      </c>
      <c r="B567" s="3"/>
      <c r="C567" s="2"/>
      <c r="D567" s="3"/>
      <c r="E567" s="2"/>
      <c r="F567" s="2" t="s">
        <v>813</v>
      </c>
      <c r="G567" s="2"/>
      <c r="H567" s="2" t="s">
        <v>813</v>
      </c>
      <c r="I567" s="2"/>
      <c r="J567" s="2" t="s">
        <v>1361</v>
      </c>
      <c r="K567" s="2" t="s">
        <v>1360</v>
      </c>
    </row>
    <row r="568" spans="1:11" s="4" customFormat="1" ht="18" customHeight="1">
      <c r="A568" s="2" t="s">
        <v>1362</v>
      </c>
      <c r="B568" s="3"/>
      <c r="C568" s="2"/>
      <c r="D568" s="3"/>
      <c r="E568" s="2"/>
      <c r="F568" s="2" t="s">
        <v>478</v>
      </c>
      <c r="G568" s="2"/>
      <c r="H568" s="2" t="s">
        <v>478</v>
      </c>
      <c r="I568" s="2"/>
      <c r="J568" s="2" t="s">
        <v>1363</v>
      </c>
      <c r="K568" s="2" t="s">
        <v>1362</v>
      </c>
    </row>
    <row r="569" spans="1:11" s="4" customFormat="1" ht="18" customHeight="1">
      <c r="A569" s="2" t="s">
        <v>1364</v>
      </c>
      <c r="B569" s="3"/>
      <c r="C569" s="2"/>
      <c r="D569" s="3"/>
      <c r="E569" s="2"/>
      <c r="F569" s="2" t="s">
        <v>2560</v>
      </c>
      <c r="G569" s="2"/>
      <c r="H569" s="2" t="s">
        <v>2560</v>
      </c>
      <c r="I569" s="2"/>
      <c r="J569" s="2" t="s">
        <v>1365</v>
      </c>
      <c r="K569" s="2" t="s">
        <v>1364</v>
      </c>
    </row>
    <row r="570" spans="1:11" s="4" customFormat="1" ht="18" customHeight="1">
      <c r="A570" s="2" t="s">
        <v>1366</v>
      </c>
      <c r="B570" s="3"/>
      <c r="C570" s="2"/>
      <c r="D570" s="3"/>
      <c r="E570" s="2"/>
      <c r="F570" s="2" t="s">
        <v>480</v>
      </c>
      <c r="G570" s="2"/>
      <c r="H570" s="2" t="s">
        <v>480</v>
      </c>
      <c r="I570" s="2"/>
      <c r="J570" s="2" t="s">
        <v>1367</v>
      </c>
      <c r="K570" s="2" t="s">
        <v>1366</v>
      </c>
    </row>
    <row r="571" spans="1:11" s="4" customFormat="1" ht="18" customHeight="1">
      <c r="A571" s="2" t="s">
        <v>1368</v>
      </c>
      <c r="B571" s="3"/>
      <c r="C571" s="2"/>
      <c r="D571" s="3"/>
      <c r="E571" s="2"/>
      <c r="F571" s="2" t="s">
        <v>3050</v>
      </c>
      <c r="G571" s="2"/>
      <c r="H571" s="2" t="s">
        <v>3050</v>
      </c>
      <c r="I571" s="2"/>
      <c r="J571" s="2" t="s">
        <v>1369</v>
      </c>
      <c r="K571" s="2" t="s">
        <v>1368</v>
      </c>
    </row>
    <row r="572" spans="1:11" s="4" customFormat="1" ht="18" customHeight="1">
      <c r="A572" s="2" t="s">
        <v>1370</v>
      </c>
      <c r="B572" s="3"/>
      <c r="C572" s="2"/>
      <c r="D572" s="3"/>
      <c r="E572" s="2"/>
      <c r="F572" s="2" t="s">
        <v>1870</v>
      </c>
      <c r="G572" s="2"/>
      <c r="H572" s="2" t="s">
        <v>1870</v>
      </c>
      <c r="I572" s="2"/>
      <c r="J572" s="2" t="s">
        <v>160</v>
      </c>
      <c r="K572" s="2" t="s">
        <v>1370</v>
      </c>
    </row>
    <row r="573" spans="1:11" s="4" customFormat="1" ht="18" customHeight="1">
      <c r="A573" s="2" t="s">
        <v>1371</v>
      </c>
      <c r="B573" s="3"/>
      <c r="C573" s="2"/>
      <c r="D573" s="3"/>
      <c r="E573" s="2"/>
      <c r="F573" s="2" t="s">
        <v>1870</v>
      </c>
      <c r="G573" s="2"/>
      <c r="H573" s="2" t="s">
        <v>1870</v>
      </c>
      <c r="I573" s="2"/>
      <c r="J573" s="2" t="s">
        <v>1372</v>
      </c>
      <c r="K573" s="2" t="s">
        <v>1371</v>
      </c>
    </row>
    <row r="574" spans="1:11" s="4" customFormat="1" ht="18" customHeight="1">
      <c r="A574" s="2" t="s">
        <v>1373</v>
      </c>
      <c r="B574" s="3"/>
      <c r="C574" s="2"/>
      <c r="D574" s="3"/>
      <c r="E574" s="2"/>
      <c r="F574" s="2" t="s">
        <v>3362</v>
      </c>
      <c r="G574" s="2"/>
      <c r="H574" s="2" t="s">
        <v>3362</v>
      </c>
      <c r="I574" s="2"/>
      <c r="J574" s="2" t="s">
        <v>1374</v>
      </c>
      <c r="K574" s="2" t="s">
        <v>1373</v>
      </c>
    </row>
    <row r="575" spans="1:11" s="4" customFormat="1" ht="18" customHeight="1">
      <c r="A575" s="2" t="s">
        <v>1375</v>
      </c>
      <c r="B575" s="3"/>
      <c r="C575" s="2"/>
      <c r="D575" s="3"/>
      <c r="E575" s="2"/>
      <c r="F575" s="2" t="s">
        <v>1948</v>
      </c>
      <c r="G575" s="2"/>
      <c r="H575" s="2" t="s">
        <v>1948</v>
      </c>
      <c r="I575" s="2"/>
      <c r="J575" s="2" t="s">
        <v>659</v>
      </c>
      <c r="K575" s="2" t="s">
        <v>1375</v>
      </c>
    </row>
    <row r="576" spans="1:11" s="4" customFormat="1" ht="18" customHeight="1">
      <c r="A576" s="2" t="s">
        <v>1376</v>
      </c>
      <c r="B576" s="3"/>
      <c r="C576" s="2"/>
      <c r="D576" s="3"/>
      <c r="E576" s="2"/>
      <c r="F576" s="2" t="s">
        <v>1225</v>
      </c>
      <c r="G576" s="2"/>
      <c r="H576" s="2" t="s">
        <v>1225</v>
      </c>
      <c r="I576" s="2"/>
      <c r="J576" s="2" t="s">
        <v>1377</v>
      </c>
      <c r="K576" s="2" t="s">
        <v>1376</v>
      </c>
    </row>
    <row r="577" spans="1:11" s="4" customFormat="1" ht="18" customHeight="1">
      <c r="A577" s="2" t="s">
        <v>1378</v>
      </c>
      <c r="B577" s="3"/>
      <c r="C577" s="2"/>
      <c r="D577" s="3"/>
      <c r="E577" s="2"/>
      <c r="F577" s="2" t="s">
        <v>2995</v>
      </c>
      <c r="G577" s="2"/>
      <c r="H577" s="2" t="s">
        <v>2996</v>
      </c>
      <c r="I577" s="2"/>
      <c r="J577" s="2" t="s">
        <v>1379</v>
      </c>
      <c r="K577" s="2" t="s">
        <v>1378</v>
      </c>
    </row>
    <row r="578" spans="1:11" s="4" customFormat="1" ht="18" customHeight="1">
      <c r="A578" s="2" t="s">
        <v>1380</v>
      </c>
      <c r="B578" s="3"/>
      <c r="C578" s="2"/>
      <c r="D578" s="3"/>
      <c r="E578" s="2"/>
      <c r="F578" s="2" t="s">
        <v>358</v>
      </c>
      <c r="G578" s="2"/>
      <c r="H578" s="2" t="s">
        <v>358</v>
      </c>
      <c r="I578" s="2"/>
      <c r="J578" s="2" t="s">
        <v>1381</v>
      </c>
      <c r="K578" s="2" t="s">
        <v>1380</v>
      </c>
    </row>
    <row r="579" spans="1:11" s="4" customFormat="1" ht="18" customHeight="1">
      <c r="A579" s="2" t="s">
        <v>1383</v>
      </c>
      <c r="B579" s="3"/>
      <c r="C579" s="2"/>
      <c r="D579" s="3"/>
      <c r="E579" s="2"/>
      <c r="F579" s="2" t="s">
        <v>2177</v>
      </c>
      <c r="G579" s="2"/>
      <c r="H579" s="2" t="s">
        <v>2177</v>
      </c>
      <c r="I579" s="2"/>
      <c r="J579" s="2" t="s">
        <v>1384</v>
      </c>
      <c r="K579" s="2" t="s">
        <v>1383</v>
      </c>
    </row>
    <row r="580" spans="1:11" s="4" customFormat="1" ht="18" customHeight="1">
      <c r="A580" s="2" t="s">
        <v>1386</v>
      </c>
      <c r="B580" s="3"/>
      <c r="C580" s="2"/>
      <c r="D580" s="3"/>
      <c r="E580" s="2"/>
      <c r="F580" s="2" t="s">
        <v>2344</v>
      </c>
      <c r="G580" s="2"/>
      <c r="H580" s="2" t="s">
        <v>2344</v>
      </c>
      <c r="I580" s="2"/>
      <c r="J580" s="2" t="s">
        <v>1387</v>
      </c>
      <c r="K580" s="2" t="s">
        <v>1386</v>
      </c>
    </row>
    <row r="581" spans="1:11" s="4" customFormat="1" ht="18" customHeight="1">
      <c r="A581" s="2" t="s">
        <v>1388</v>
      </c>
      <c r="B581" s="3"/>
      <c r="C581" s="2"/>
      <c r="D581" s="3"/>
      <c r="E581" s="2"/>
      <c r="F581" s="2" t="s">
        <v>3643</v>
      </c>
      <c r="G581" s="2"/>
      <c r="H581" s="2" t="s">
        <v>3643</v>
      </c>
      <c r="I581" s="2"/>
      <c r="J581" s="2" t="s">
        <v>1389</v>
      </c>
      <c r="K581" s="2" t="s">
        <v>1388</v>
      </c>
    </row>
    <row r="582" spans="1:11" s="4" customFormat="1" ht="18" customHeight="1">
      <c r="A582" s="2" t="s">
        <v>1390</v>
      </c>
      <c r="B582" s="3"/>
      <c r="C582" s="2"/>
      <c r="D582" s="3"/>
      <c r="E582" s="2"/>
      <c r="F582" s="2" t="s">
        <v>1499</v>
      </c>
      <c r="G582" s="2"/>
      <c r="H582" s="2" t="s">
        <v>1499</v>
      </c>
      <c r="I582" s="2"/>
      <c r="J582" s="2" t="s">
        <v>1391</v>
      </c>
      <c r="K582" s="2" t="s">
        <v>1390</v>
      </c>
    </row>
    <row r="583" spans="1:11" s="4" customFormat="1" ht="18" customHeight="1">
      <c r="A583" s="2" t="s">
        <v>1393</v>
      </c>
      <c r="B583" s="3"/>
      <c r="C583" s="2"/>
      <c r="D583" s="3"/>
      <c r="E583" s="2"/>
      <c r="F583" s="2" t="s">
        <v>2346</v>
      </c>
      <c r="G583" s="2"/>
      <c r="H583" s="2" t="s">
        <v>2346</v>
      </c>
      <c r="I583" s="2"/>
      <c r="J583" s="2" t="s">
        <v>1394</v>
      </c>
      <c r="K583" s="2" t="s">
        <v>1393</v>
      </c>
    </row>
    <row r="584" spans="1:11" s="4" customFormat="1" ht="18" customHeight="1">
      <c r="A584" s="2" t="s">
        <v>1395</v>
      </c>
      <c r="B584" s="3"/>
      <c r="C584" s="2"/>
      <c r="D584" s="3"/>
      <c r="E584" s="2"/>
      <c r="F584" s="2" t="s">
        <v>1333</v>
      </c>
      <c r="G584" s="2"/>
      <c r="H584" s="2" t="s">
        <v>1334</v>
      </c>
      <c r="I584" s="2"/>
      <c r="J584" s="2" t="s">
        <v>1396</v>
      </c>
      <c r="K584" s="2" t="s">
        <v>1395</v>
      </c>
    </row>
    <row r="585" spans="1:11" s="4" customFormat="1" ht="18" customHeight="1">
      <c r="A585" s="2" t="s">
        <v>1398</v>
      </c>
      <c r="B585" s="3"/>
      <c r="C585" s="2"/>
      <c r="D585" s="3"/>
      <c r="E585" s="2"/>
      <c r="F585" s="2" t="s">
        <v>3801</v>
      </c>
      <c r="G585" s="2"/>
      <c r="H585" s="2" t="s">
        <v>3802</v>
      </c>
      <c r="I585" s="2"/>
      <c r="J585" s="2" t="s">
        <v>1399</v>
      </c>
      <c r="K585" s="2" t="s">
        <v>1398</v>
      </c>
    </row>
    <row r="586" spans="1:11" s="4" customFormat="1" ht="18" customHeight="1">
      <c r="A586" s="2" t="s">
        <v>1401</v>
      </c>
      <c r="B586" s="3"/>
      <c r="C586" s="2"/>
      <c r="D586" s="3"/>
      <c r="E586" s="2"/>
      <c r="F586" s="2" t="s">
        <v>398</v>
      </c>
      <c r="G586" s="2"/>
      <c r="H586" s="2" t="s">
        <v>398</v>
      </c>
      <c r="I586" s="2"/>
      <c r="J586" s="2" t="s">
        <v>1402</v>
      </c>
      <c r="K586" s="2" t="s">
        <v>1401</v>
      </c>
    </row>
    <row r="587" spans="1:11" s="4" customFormat="1" ht="18" customHeight="1">
      <c r="A587" s="2" t="s">
        <v>1404</v>
      </c>
      <c r="B587" s="3"/>
      <c r="C587" s="2"/>
      <c r="D587" s="3"/>
      <c r="E587" s="2"/>
      <c r="F587" s="2" t="s">
        <v>398</v>
      </c>
      <c r="G587" s="2"/>
      <c r="H587" s="2" t="s">
        <v>398</v>
      </c>
      <c r="I587" s="2"/>
      <c r="J587" s="2" t="s">
        <v>1405</v>
      </c>
      <c r="K587" s="2" t="s">
        <v>1404</v>
      </c>
    </row>
    <row r="588" spans="1:11" s="4" customFormat="1" ht="18" customHeight="1">
      <c r="A588" s="2" t="s">
        <v>1406</v>
      </c>
      <c r="B588" s="3"/>
      <c r="C588" s="2"/>
      <c r="D588" s="3"/>
      <c r="E588" s="2"/>
      <c r="F588" s="2" t="s">
        <v>3059</v>
      </c>
      <c r="G588" s="2"/>
      <c r="H588" s="2" t="s">
        <v>3059</v>
      </c>
      <c r="I588" s="2"/>
      <c r="J588" s="2" t="s">
        <v>1407</v>
      </c>
      <c r="K588" s="2" t="s">
        <v>1406</v>
      </c>
    </row>
    <row r="589" spans="1:11" s="4" customFormat="1" ht="18" customHeight="1">
      <c r="A589" s="2" t="s">
        <v>1408</v>
      </c>
      <c r="B589" s="3"/>
      <c r="C589" s="2"/>
      <c r="D589" s="3"/>
      <c r="E589" s="2"/>
      <c r="F589" s="2" t="s">
        <v>2690</v>
      </c>
      <c r="G589" s="2"/>
      <c r="H589" s="2" t="s">
        <v>2690</v>
      </c>
      <c r="I589" s="2"/>
      <c r="J589" s="2" t="s">
        <v>520</v>
      </c>
      <c r="K589" s="2" t="s">
        <v>1408</v>
      </c>
    </row>
    <row r="590" spans="1:11" s="4" customFormat="1" ht="18" customHeight="1">
      <c r="A590" s="2" t="s">
        <v>1409</v>
      </c>
      <c r="B590" s="3"/>
      <c r="C590" s="2"/>
      <c r="D590" s="3"/>
      <c r="E590" s="2"/>
      <c r="F590" s="2" t="s">
        <v>2436</v>
      </c>
      <c r="G590" s="2"/>
      <c r="H590" s="2" t="s">
        <v>2436</v>
      </c>
      <c r="I590" s="2"/>
      <c r="J590" s="2" t="s">
        <v>1410</v>
      </c>
      <c r="K590" s="2" t="s">
        <v>1409</v>
      </c>
    </row>
    <row r="591" spans="1:11" s="4" customFormat="1" ht="18" customHeight="1">
      <c r="A591" s="2" t="s">
        <v>1411</v>
      </c>
      <c r="B591" s="3"/>
      <c r="C591" s="2"/>
      <c r="D591" s="3"/>
      <c r="E591" s="2"/>
      <c r="F591" s="2" t="s">
        <v>2562</v>
      </c>
      <c r="G591" s="2"/>
      <c r="H591" s="2" t="s">
        <v>2562</v>
      </c>
      <c r="I591" s="2"/>
      <c r="J591" s="2" t="s">
        <v>1412</v>
      </c>
      <c r="K591" s="2" t="s">
        <v>1411</v>
      </c>
    </row>
    <row r="592" spans="1:11" s="4" customFormat="1" ht="18" customHeight="1">
      <c r="A592" s="2" t="s">
        <v>1413</v>
      </c>
      <c r="B592" s="3"/>
      <c r="C592" s="2"/>
      <c r="D592" s="3"/>
      <c r="E592" s="2"/>
      <c r="F592" s="2" t="s">
        <v>1163</v>
      </c>
      <c r="G592" s="2"/>
      <c r="H592" s="2" t="s">
        <v>1163</v>
      </c>
      <c r="I592" s="2"/>
      <c r="J592" s="2" t="s">
        <v>1414</v>
      </c>
      <c r="K592" s="2" t="s">
        <v>1413</v>
      </c>
    </row>
    <row r="593" spans="1:11" s="4" customFormat="1" ht="18" customHeight="1">
      <c r="A593" s="2" t="s">
        <v>1415</v>
      </c>
      <c r="B593" s="3"/>
      <c r="C593" s="2"/>
      <c r="D593" s="3"/>
      <c r="E593" s="2"/>
      <c r="F593" s="2" t="s">
        <v>1329</v>
      </c>
      <c r="G593" s="2"/>
      <c r="H593" s="2" t="s">
        <v>1329</v>
      </c>
      <c r="I593" s="2"/>
      <c r="J593" s="2" t="s">
        <v>1416</v>
      </c>
      <c r="K593" s="2" t="s">
        <v>1415</v>
      </c>
    </row>
    <row r="594" spans="1:11" s="4" customFormat="1" ht="18" customHeight="1">
      <c r="A594" s="2" t="s">
        <v>1417</v>
      </c>
      <c r="B594" s="3"/>
      <c r="C594" s="2"/>
      <c r="D594" s="3"/>
      <c r="E594" s="2"/>
      <c r="F594" s="2" t="s">
        <v>2916</v>
      </c>
      <c r="G594" s="2"/>
      <c r="H594" s="2" t="s">
        <v>2916</v>
      </c>
      <c r="I594" s="2"/>
      <c r="J594" s="2" t="s">
        <v>1418</v>
      </c>
      <c r="K594" s="2" t="s">
        <v>1417</v>
      </c>
    </row>
    <row r="595" spans="1:11" s="4" customFormat="1" ht="18" customHeight="1">
      <c r="A595" s="2" t="s">
        <v>1419</v>
      </c>
      <c r="B595" s="3"/>
      <c r="C595" s="2"/>
      <c r="D595" s="3"/>
      <c r="E595" s="2"/>
      <c r="F595" s="2" t="s">
        <v>1950</v>
      </c>
      <c r="G595" s="2"/>
      <c r="H595" s="2" t="s">
        <v>1950</v>
      </c>
      <c r="I595" s="2"/>
      <c r="J595" s="2" t="s">
        <v>1420</v>
      </c>
      <c r="K595" s="2" t="s">
        <v>1419</v>
      </c>
    </row>
    <row r="596" spans="1:11" s="4" customFormat="1" ht="18" customHeight="1">
      <c r="A596" s="2" t="s">
        <v>1421</v>
      </c>
      <c r="B596" s="3"/>
      <c r="C596" s="2"/>
      <c r="D596" s="3"/>
      <c r="E596" s="2"/>
      <c r="F596" s="2" t="s">
        <v>1348</v>
      </c>
      <c r="G596" s="2"/>
      <c r="H596" s="2" t="s">
        <v>1348</v>
      </c>
      <c r="I596" s="2"/>
      <c r="J596" s="2" t="s">
        <v>1422</v>
      </c>
      <c r="K596" s="2" t="s">
        <v>1421</v>
      </c>
    </row>
    <row r="597" spans="1:11" s="4" customFormat="1" ht="18" customHeight="1">
      <c r="A597" s="2" t="s">
        <v>1423</v>
      </c>
      <c r="B597" s="3"/>
      <c r="C597" s="2"/>
      <c r="D597" s="3"/>
      <c r="E597" s="2"/>
      <c r="F597" s="2" t="s">
        <v>294</v>
      </c>
      <c r="G597" s="2"/>
      <c r="H597" s="2" t="s">
        <v>294</v>
      </c>
      <c r="I597" s="2"/>
      <c r="J597" s="2" t="s">
        <v>1424</v>
      </c>
      <c r="K597" s="2" t="s">
        <v>1423</v>
      </c>
    </row>
    <row r="598" spans="1:11" s="4" customFormat="1" ht="18" customHeight="1">
      <c r="A598" s="2" t="s">
        <v>1425</v>
      </c>
      <c r="B598" s="3"/>
      <c r="C598" s="2"/>
      <c r="D598" s="3"/>
      <c r="E598" s="2"/>
      <c r="F598" s="2" t="s">
        <v>294</v>
      </c>
      <c r="G598" s="2"/>
      <c r="H598" s="2" t="s">
        <v>294</v>
      </c>
      <c r="I598" s="2"/>
      <c r="J598" s="2" t="s">
        <v>331</v>
      </c>
      <c r="K598" s="2" t="s">
        <v>1425</v>
      </c>
    </row>
    <row r="599" spans="1:11" s="4" customFormat="1" ht="18" customHeight="1">
      <c r="A599" s="2" t="s">
        <v>1426</v>
      </c>
      <c r="B599" s="3"/>
      <c r="C599" s="2"/>
      <c r="D599" s="3"/>
      <c r="E599" s="2"/>
      <c r="F599" s="2" t="s">
        <v>1429</v>
      </c>
      <c r="G599" s="2"/>
      <c r="H599" s="2" t="s">
        <v>1429</v>
      </c>
      <c r="I599" s="2"/>
      <c r="J599" s="2" t="s">
        <v>1427</v>
      </c>
      <c r="K599" s="2" t="s">
        <v>1426</v>
      </c>
    </row>
    <row r="600" spans="1:11" s="4" customFormat="1" ht="18" customHeight="1">
      <c r="A600" s="2" t="s">
        <v>1428</v>
      </c>
      <c r="B600" s="3"/>
      <c r="C600" s="2"/>
      <c r="D600" s="3"/>
      <c r="E600" s="2"/>
      <c r="F600" s="2" t="s">
        <v>3110</v>
      </c>
      <c r="G600" s="2"/>
      <c r="H600" s="2" t="s">
        <v>3110</v>
      </c>
      <c r="I600" s="2"/>
      <c r="J600" s="2" t="s">
        <v>1429</v>
      </c>
      <c r="K600" s="2" t="s">
        <v>1428</v>
      </c>
    </row>
    <row r="601" spans="1:11" s="4" customFormat="1" ht="18" customHeight="1">
      <c r="A601" s="2" t="s">
        <v>1430</v>
      </c>
      <c r="B601" s="3"/>
      <c r="C601" s="2"/>
      <c r="D601" s="3"/>
      <c r="E601" s="2"/>
      <c r="F601" s="2" t="s">
        <v>1016</v>
      </c>
      <c r="G601" s="2"/>
      <c r="H601" s="2" t="s">
        <v>1016</v>
      </c>
      <c r="I601" s="2"/>
      <c r="J601" s="2" t="s">
        <v>1431</v>
      </c>
      <c r="K601" s="2" t="s">
        <v>1430</v>
      </c>
    </row>
    <row r="602" spans="1:11" s="4" customFormat="1" ht="18" customHeight="1">
      <c r="A602" s="2" t="s">
        <v>1432</v>
      </c>
      <c r="B602" s="3"/>
      <c r="C602" s="2"/>
      <c r="D602" s="3"/>
      <c r="E602" s="2"/>
      <c r="F602" s="2" t="s">
        <v>741</v>
      </c>
      <c r="G602" s="2"/>
      <c r="H602" s="2" t="s">
        <v>741</v>
      </c>
      <c r="I602" s="2"/>
      <c r="J602" s="2" t="s">
        <v>545</v>
      </c>
      <c r="K602" s="2" t="s">
        <v>1432</v>
      </c>
    </row>
    <row r="603" spans="1:11" s="4" customFormat="1" ht="18" customHeight="1">
      <c r="A603" s="2" t="s">
        <v>1433</v>
      </c>
      <c r="B603" s="3"/>
      <c r="C603" s="2"/>
      <c r="D603" s="3"/>
      <c r="E603" s="2"/>
      <c r="F603" s="2" t="s">
        <v>741</v>
      </c>
      <c r="G603" s="2"/>
      <c r="H603" s="2" t="s">
        <v>741</v>
      </c>
      <c r="I603" s="2"/>
      <c r="J603" s="2" t="s">
        <v>1434</v>
      </c>
      <c r="K603" s="2" t="s">
        <v>1433</v>
      </c>
    </row>
    <row r="604" spans="1:11" s="4" customFormat="1" ht="18" customHeight="1">
      <c r="A604" s="2" t="s">
        <v>1435</v>
      </c>
      <c r="B604" s="3"/>
      <c r="C604" s="2"/>
      <c r="D604" s="3"/>
      <c r="E604" s="2"/>
      <c r="F604" s="2" t="s">
        <v>1923</v>
      </c>
      <c r="G604" s="2"/>
      <c r="H604" s="2" t="s">
        <v>1923</v>
      </c>
      <c r="I604" s="2"/>
      <c r="J604" s="2" t="s">
        <v>1436</v>
      </c>
      <c r="K604" s="2" t="s">
        <v>1435</v>
      </c>
    </row>
    <row r="605" spans="1:11" s="4" customFormat="1" ht="18" customHeight="1">
      <c r="A605" s="2" t="s">
        <v>1437</v>
      </c>
      <c r="B605" s="3"/>
      <c r="C605" s="2"/>
      <c r="D605" s="3"/>
      <c r="E605" s="2"/>
      <c r="F605" s="2" t="s">
        <v>2348</v>
      </c>
      <c r="G605" s="2"/>
      <c r="H605" s="2" t="s">
        <v>2348</v>
      </c>
      <c r="I605" s="2"/>
      <c r="J605" s="2" t="s">
        <v>1438</v>
      </c>
      <c r="K605" s="2" t="s">
        <v>1437</v>
      </c>
    </row>
    <row r="606" spans="1:11" s="4" customFormat="1" ht="18" customHeight="1">
      <c r="A606" s="2" t="s">
        <v>1439</v>
      </c>
      <c r="B606" s="3"/>
      <c r="C606" s="2"/>
      <c r="D606" s="3"/>
      <c r="E606" s="2"/>
      <c r="F606" s="2" t="s">
        <v>3664</v>
      </c>
      <c r="G606" s="2"/>
      <c r="H606" s="2" t="s">
        <v>3664</v>
      </c>
      <c r="I606" s="2"/>
      <c r="J606" s="2" t="s">
        <v>1440</v>
      </c>
      <c r="K606" s="2" t="s">
        <v>1439</v>
      </c>
    </row>
    <row r="607" spans="1:11" s="4" customFormat="1" ht="18" customHeight="1">
      <c r="A607" s="2" t="s">
        <v>1441</v>
      </c>
      <c r="B607" s="3"/>
      <c r="C607" s="2"/>
      <c r="D607" s="3"/>
      <c r="E607" s="2"/>
      <c r="F607" s="2" t="s">
        <v>2311</v>
      </c>
      <c r="G607" s="2"/>
      <c r="H607" s="2" t="s">
        <v>2311</v>
      </c>
      <c r="I607" s="2"/>
      <c r="J607" s="2" t="s">
        <v>1442</v>
      </c>
      <c r="K607" s="2" t="s">
        <v>1441</v>
      </c>
    </row>
    <row r="608" spans="1:11" s="4" customFormat="1" ht="18" customHeight="1">
      <c r="A608" s="2" t="s">
        <v>1444</v>
      </c>
      <c r="B608" s="3"/>
      <c r="C608" s="2"/>
      <c r="D608" s="3"/>
      <c r="E608" s="2"/>
      <c r="F608" s="2" t="s">
        <v>1315</v>
      </c>
      <c r="G608" s="2"/>
      <c r="H608" s="2" t="s">
        <v>1315</v>
      </c>
      <c r="I608" s="2"/>
      <c r="J608" s="2" t="s">
        <v>1445</v>
      </c>
      <c r="K608" s="2" t="s">
        <v>1444</v>
      </c>
    </row>
    <row r="609" spans="1:11" s="4" customFormat="1" ht="18" customHeight="1">
      <c r="A609" s="2" t="s">
        <v>1446</v>
      </c>
      <c r="B609" s="3"/>
      <c r="C609" s="2"/>
      <c r="D609" s="3"/>
      <c r="E609" s="2"/>
      <c r="F609" s="2" t="s">
        <v>2908</v>
      </c>
      <c r="G609" s="2"/>
      <c r="H609" s="2" t="s">
        <v>2908</v>
      </c>
      <c r="I609" s="2"/>
      <c r="J609" s="2" t="s">
        <v>1447</v>
      </c>
      <c r="K609" s="2" t="s">
        <v>1446</v>
      </c>
    </row>
    <row r="610" spans="1:11" s="4" customFormat="1" ht="18" customHeight="1">
      <c r="A610" s="2" t="s">
        <v>1448</v>
      </c>
      <c r="B610" s="3"/>
      <c r="C610" s="2"/>
      <c r="D610" s="3"/>
      <c r="E610" s="2"/>
      <c r="F610" s="2" t="s">
        <v>707</v>
      </c>
      <c r="G610" s="2"/>
      <c r="H610" s="2" t="s">
        <v>707</v>
      </c>
      <c r="I610" s="2"/>
      <c r="J610" s="2" t="s">
        <v>1449</v>
      </c>
      <c r="K610" s="2" t="s">
        <v>1448</v>
      </c>
    </row>
    <row r="611" spans="1:11" s="4" customFormat="1" ht="18" customHeight="1">
      <c r="A611" s="2" t="s">
        <v>1450</v>
      </c>
      <c r="B611" s="3"/>
      <c r="C611" s="2"/>
      <c r="D611" s="3"/>
      <c r="E611" s="2"/>
      <c r="F611" s="2" t="s">
        <v>1818</v>
      </c>
      <c r="G611" s="2"/>
      <c r="H611" s="2" t="s">
        <v>1818</v>
      </c>
      <c r="I611" s="2"/>
      <c r="J611" s="2" t="s">
        <v>1451</v>
      </c>
      <c r="K611" s="2" t="s">
        <v>1450</v>
      </c>
    </row>
    <row r="612" spans="1:11" s="4" customFormat="1" ht="18" customHeight="1">
      <c r="A612" s="2" t="s">
        <v>1452</v>
      </c>
      <c r="B612" s="3"/>
      <c r="C612" s="2"/>
      <c r="D612" s="3"/>
      <c r="E612" s="2"/>
      <c r="F612" s="2" t="s">
        <v>709</v>
      </c>
      <c r="G612" s="2"/>
      <c r="H612" s="2" t="s">
        <v>709</v>
      </c>
      <c r="I612" s="2"/>
      <c r="J612" s="2" t="s">
        <v>1453</v>
      </c>
      <c r="K612" s="2" t="s">
        <v>1452</v>
      </c>
    </row>
    <row r="613" spans="1:11" s="4" customFormat="1" ht="18" customHeight="1">
      <c r="A613" s="2" t="s">
        <v>1454</v>
      </c>
      <c r="B613" s="3"/>
      <c r="C613" s="2"/>
      <c r="D613" s="3"/>
      <c r="E613" s="2"/>
      <c r="F613" s="2" t="s">
        <v>1331</v>
      </c>
      <c r="G613" s="2"/>
      <c r="H613" s="2" t="s">
        <v>1331</v>
      </c>
      <c r="I613" s="2"/>
      <c r="J613" s="2" t="s">
        <v>1455</v>
      </c>
      <c r="K613" s="2" t="s">
        <v>1454</v>
      </c>
    </row>
    <row r="614" spans="1:11" s="4" customFormat="1" ht="18" customHeight="1">
      <c r="A614" s="2" t="s">
        <v>1457</v>
      </c>
      <c r="B614" s="3"/>
      <c r="C614" s="2"/>
      <c r="D614" s="3"/>
      <c r="E614" s="2"/>
      <c r="F614" s="2" t="s">
        <v>986</v>
      </c>
      <c r="G614" s="2"/>
      <c r="H614" s="2" t="s">
        <v>986</v>
      </c>
      <c r="I614" s="2"/>
      <c r="J614" s="2" t="s">
        <v>1458</v>
      </c>
      <c r="K614" s="2" t="s">
        <v>1457</v>
      </c>
    </row>
    <row r="615" spans="1:11" s="4" customFormat="1" ht="18" customHeight="1">
      <c r="A615" s="2" t="s">
        <v>1459</v>
      </c>
      <c r="B615" s="3"/>
      <c r="C615" s="2"/>
      <c r="D615" s="3"/>
      <c r="E615" s="2"/>
      <c r="F615" s="2" t="s">
        <v>152</v>
      </c>
      <c r="G615" s="2"/>
      <c r="H615" s="2" t="s">
        <v>152</v>
      </c>
      <c r="I615" s="2"/>
      <c r="J615" s="2" t="s">
        <v>1460</v>
      </c>
      <c r="K615" s="2" t="s">
        <v>1459</v>
      </c>
    </row>
    <row r="616" spans="1:11" s="4" customFormat="1" ht="18" customHeight="1">
      <c r="A616" s="2" t="s">
        <v>1461</v>
      </c>
      <c r="B616" s="3"/>
      <c r="C616" s="2"/>
      <c r="D616" s="3"/>
      <c r="E616" s="2"/>
      <c r="F616" s="2" t="s">
        <v>2669</v>
      </c>
      <c r="G616" s="2"/>
      <c r="H616" s="2" t="s">
        <v>2669</v>
      </c>
      <c r="I616" s="2"/>
      <c r="J616" s="2" t="s">
        <v>1462</v>
      </c>
      <c r="K616" s="2" t="s">
        <v>1461</v>
      </c>
    </row>
    <row r="617" spans="1:11" s="4" customFormat="1" ht="18" customHeight="1">
      <c r="A617" s="2" t="s">
        <v>1463</v>
      </c>
      <c r="B617" s="3"/>
      <c r="C617" s="2"/>
      <c r="D617" s="3"/>
      <c r="E617" s="2"/>
      <c r="F617" s="2" t="s">
        <v>1860</v>
      </c>
      <c r="G617" s="2"/>
      <c r="H617" s="2" t="s">
        <v>1860</v>
      </c>
      <c r="I617" s="2"/>
      <c r="J617" s="2" t="s">
        <v>1464</v>
      </c>
      <c r="K617" s="2" t="s">
        <v>1463</v>
      </c>
    </row>
    <row r="618" spans="1:11" s="4" customFormat="1" ht="18" customHeight="1">
      <c r="A618" s="2" t="s">
        <v>1466</v>
      </c>
      <c r="B618" s="3"/>
      <c r="C618" s="2"/>
      <c r="D618" s="3"/>
      <c r="E618" s="2"/>
      <c r="F618" s="2" t="s">
        <v>3112</v>
      </c>
      <c r="G618" s="2"/>
      <c r="H618" s="2" t="s">
        <v>3112</v>
      </c>
      <c r="I618" s="2"/>
      <c r="J618" s="2" t="s">
        <v>1467</v>
      </c>
      <c r="K618" s="2" t="s">
        <v>1466</v>
      </c>
    </row>
    <row r="619" spans="1:11" s="4" customFormat="1" ht="18" customHeight="1">
      <c r="A619" s="2" t="s">
        <v>1469</v>
      </c>
      <c r="B619" s="3"/>
      <c r="C619" s="2"/>
      <c r="D619" s="3"/>
      <c r="E619" s="2"/>
      <c r="F619" s="2" t="s">
        <v>2325</v>
      </c>
      <c r="G619" s="2"/>
      <c r="H619" s="2" t="s">
        <v>2325</v>
      </c>
      <c r="I619" s="2"/>
      <c r="J619" s="2" t="s">
        <v>1470</v>
      </c>
      <c r="K619" s="2" t="s">
        <v>1469</v>
      </c>
    </row>
    <row r="620" spans="1:11" s="4" customFormat="1" ht="18" customHeight="1">
      <c r="A620" s="2" t="s">
        <v>1471</v>
      </c>
      <c r="B620" s="3"/>
      <c r="C620" s="2"/>
      <c r="D620" s="3"/>
      <c r="E620" s="2"/>
      <c r="F620" s="2" t="s">
        <v>2579</v>
      </c>
      <c r="G620" s="2"/>
      <c r="H620" s="2" t="s">
        <v>2579</v>
      </c>
      <c r="I620" s="2"/>
      <c r="J620" s="2" t="s">
        <v>1472</v>
      </c>
      <c r="K620" s="2" t="s">
        <v>1471</v>
      </c>
    </row>
    <row r="621" spans="1:11" s="4" customFormat="1" ht="18" customHeight="1">
      <c r="A621" s="2" t="s">
        <v>1473</v>
      </c>
      <c r="B621" s="3"/>
      <c r="C621" s="2"/>
      <c r="D621" s="3"/>
      <c r="E621" s="2"/>
      <c r="F621" s="2" t="s">
        <v>335</v>
      </c>
      <c r="G621" s="2"/>
      <c r="H621" s="2" t="s">
        <v>335</v>
      </c>
      <c r="I621" s="2"/>
      <c r="J621" s="2" t="s">
        <v>1474</v>
      </c>
      <c r="K621" s="2" t="s">
        <v>1473</v>
      </c>
    </row>
    <row r="622" spans="1:11" s="4" customFormat="1" ht="18" customHeight="1">
      <c r="A622" s="2" t="s">
        <v>1475</v>
      </c>
      <c r="B622" s="3"/>
      <c r="C622" s="2"/>
      <c r="D622" s="3"/>
      <c r="E622" s="2"/>
      <c r="F622" s="2" t="s">
        <v>1896</v>
      </c>
      <c r="G622" s="2"/>
      <c r="H622" s="2" t="s">
        <v>1896</v>
      </c>
      <c r="I622" s="2"/>
      <c r="J622" s="2" t="s">
        <v>1476</v>
      </c>
      <c r="K622" s="2" t="s">
        <v>1475</v>
      </c>
    </row>
    <row r="623" spans="1:11" s="4" customFormat="1" ht="18" customHeight="1">
      <c r="A623" s="2" t="s">
        <v>1477</v>
      </c>
      <c r="B623" s="3"/>
      <c r="C623" s="2"/>
      <c r="D623" s="3"/>
      <c r="E623" s="2"/>
      <c r="F623" s="2" t="s">
        <v>582</v>
      </c>
      <c r="G623" s="2"/>
      <c r="H623" s="2" t="s">
        <v>582</v>
      </c>
      <c r="I623" s="2"/>
      <c r="J623" s="2" t="s">
        <v>1478</v>
      </c>
      <c r="K623" s="2" t="s">
        <v>1477</v>
      </c>
    </row>
    <row r="624" spans="1:11" s="4" customFormat="1" ht="18" customHeight="1">
      <c r="A624" s="2" t="s">
        <v>1479</v>
      </c>
      <c r="B624" s="3"/>
      <c r="C624" s="2"/>
      <c r="D624" s="3"/>
      <c r="E624" s="2"/>
      <c r="F624" s="2" t="s">
        <v>3114</v>
      </c>
      <c r="G624" s="2"/>
      <c r="H624" s="2" t="s">
        <v>3114</v>
      </c>
      <c r="I624" s="2"/>
      <c r="J624" s="2" t="s">
        <v>1480</v>
      </c>
      <c r="K624" s="2" t="s">
        <v>1479</v>
      </c>
    </row>
    <row r="625" spans="1:11" s="4" customFormat="1" ht="18" customHeight="1">
      <c r="A625" s="2" t="s">
        <v>1481</v>
      </c>
      <c r="B625" s="3"/>
      <c r="C625" s="2"/>
      <c r="D625" s="3"/>
      <c r="E625" s="2"/>
      <c r="F625" s="2" t="s">
        <v>690</v>
      </c>
      <c r="G625" s="2"/>
      <c r="H625" s="2" t="s">
        <v>690</v>
      </c>
      <c r="I625" s="2"/>
      <c r="J625" s="2" t="s">
        <v>1482</v>
      </c>
      <c r="K625" s="2" t="s">
        <v>1481</v>
      </c>
    </row>
    <row r="626" spans="1:11" s="4" customFormat="1" ht="18" customHeight="1">
      <c r="A626" s="2" t="s">
        <v>1483</v>
      </c>
      <c r="B626" s="3"/>
      <c r="C626" s="2"/>
      <c r="D626" s="3"/>
      <c r="E626" s="2"/>
      <c r="F626" s="2" t="s">
        <v>1800</v>
      </c>
      <c r="G626" s="2"/>
      <c r="H626" s="2" t="s">
        <v>1800</v>
      </c>
      <c r="I626" s="2"/>
      <c r="J626" s="2" t="s">
        <v>1484</v>
      </c>
      <c r="K626" s="2" t="s">
        <v>1483</v>
      </c>
    </row>
    <row r="627" spans="1:11" s="4" customFormat="1" ht="18" customHeight="1">
      <c r="A627" s="2" t="s">
        <v>1485</v>
      </c>
      <c r="B627" s="3"/>
      <c r="C627" s="2"/>
      <c r="D627" s="3"/>
      <c r="E627" s="2"/>
      <c r="F627" s="2" t="s">
        <v>1158</v>
      </c>
      <c r="G627" s="2"/>
      <c r="H627" s="2" t="s">
        <v>1158</v>
      </c>
      <c r="I627" s="2"/>
      <c r="J627" s="2" t="s">
        <v>1486</v>
      </c>
      <c r="K627" s="2" t="s">
        <v>1485</v>
      </c>
    </row>
    <row r="628" spans="1:11" s="4" customFormat="1" ht="18" customHeight="1">
      <c r="A628" s="2" t="s">
        <v>1487</v>
      </c>
      <c r="B628" s="3"/>
      <c r="C628" s="2"/>
      <c r="D628" s="3"/>
      <c r="E628" s="2"/>
      <c r="F628" s="2" t="s">
        <v>3116</v>
      </c>
      <c r="G628" s="2"/>
      <c r="H628" s="2" t="s">
        <v>3116</v>
      </c>
      <c r="I628" s="2"/>
      <c r="J628" s="2" t="s">
        <v>1488</v>
      </c>
      <c r="K628" s="2" t="s">
        <v>1487</v>
      </c>
    </row>
    <row r="629" spans="1:11" s="4" customFormat="1" ht="18" customHeight="1">
      <c r="A629" s="2" t="s">
        <v>1489</v>
      </c>
      <c r="B629" s="3"/>
      <c r="C629" s="2"/>
      <c r="D629" s="3"/>
      <c r="E629" s="2"/>
      <c r="F629" s="2" t="s">
        <v>482</v>
      </c>
      <c r="G629" s="2"/>
      <c r="H629" s="2" t="s">
        <v>482</v>
      </c>
      <c r="I629" s="2"/>
      <c r="J629" s="2" t="s">
        <v>527</v>
      </c>
      <c r="K629" s="2" t="s">
        <v>1489</v>
      </c>
    </row>
    <row r="630" spans="1:11" s="4" customFormat="1" ht="18" customHeight="1">
      <c r="A630" s="2" t="s">
        <v>1490</v>
      </c>
      <c r="B630" s="3"/>
      <c r="C630" s="2"/>
      <c r="D630" s="3"/>
      <c r="E630" s="2"/>
      <c r="F630" s="2" t="s">
        <v>3976</v>
      </c>
      <c r="G630" s="2"/>
      <c r="H630" s="2" t="s">
        <v>3976</v>
      </c>
      <c r="I630" s="2"/>
      <c r="J630" s="2" t="s">
        <v>1491</v>
      </c>
      <c r="K630" s="2" t="s">
        <v>1490</v>
      </c>
    </row>
    <row r="631" spans="1:11" s="4" customFormat="1" ht="18" customHeight="1">
      <c r="A631" s="2" t="s">
        <v>1492</v>
      </c>
      <c r="B631" s="3"/>
      <c r="C631" s="2"/>
      <c r="D631" s="3"/>
      <c r="E631" s="2"/>
      <c r="F631" s="2" t="s">
        <v>2058</v>
      </c>
      <c r="G631" s="2"/>
      <c r="H631" s="2" t="s">
        <v>2058</v>
      </c>
      <c r="I631" s="2"/>
      <c r="J631" s="2" t="s">
        <v>280</v>
      </c>
      <c r="K631" s="2" t="s">
        <v>1492</v>
      </c>
    </row>
    <row r="632" spans="1:11" s="4" customFormat="1" ht="18" customHeight="1">
      <c r="A632" s="2" t="s">
        <v>1493</v>
      </c>
      <c r="B632" s="3"/>
      <c r="C632" s="2"/>
      <c r="D632" s="3"/>
      <c r="E632" s="2"/>
      <c r="F632" s="2" t="s">
        <v>962</v>
      </c>
      <c r="G632" s="2"/>
      <c r="H632" s="2" t="s">
        <v>963</v>
      </c>
      <c r="I632" s="2"/>
      <c r="J632" s="2" t="s">
        <v>1494</v>
      </c>
      <c r="K632" s="2" t="s">
        <v>1493</v>
      </c>
    </row>
    <row r="633" spans="1:11" s="4" customFormat="1" ht="18" customHeight="1">
      <c r="A633" s="2" t="s">
        <v>1495</v>
      </c>
      <c r="B633" s="3"/>
      <c r="C633" s="2"/>
      <c r="D633" s="3"/>
      <c r="E633" s="2"/>
      <c r="F633" s="2" t="s">
        <v>2998</v>
      </c>
      <c r="G633" s="2"/>
      <c r="H633" s="2" t="s">
        <v>2998</v>
      </c>
      <c r="I633" s="2"/>
      <c r="J633" s="2" t="s">
        <v>1496</v>
      </c>
      <c r="K633" s="2" t="s">
        <v>1495</v>
      </c>
    </row>
    <row r="634" spans="1:11" s="4" customFormat="1" ht="18" customHeight="1">
      <c r="A634" s="2" t="s">
        <v>1498</v>
      </c>
      <c r="B634" s="3"/>
      <c r="C634" s="2"/>
      <c r="D634" s="3"/>
      <c r="E634" s="2"/>
      <c r="F634" s="2" t="s">
        <v>3118</v>
      </c>
      <c r="G634" s="2"/>
      <c r="H634" s="2" t="s">
        <v>3118</v>
      </c>
      <c r="I634" s="2"/>
      <c r="J634" s="2" t="s">
        <v>1500</v>
      </c>
      <c r="K634" s="2" t="s">
        <v>1498</v>
      </c>
    </row>
    <row r="635" spans="1:11" s="4" customFormat="1" ht="18" customHeight="1">
      <c r="A635" s="2" t="s">
        <v>1501</v>
      </c>
      <c r="B635" s="3"/>
      <c r="C635" s="2"/>
      <c r="D635" s="3"/>
      <c r="E635" s="2"/>
      <c r="F635" s="2" t="s">
        <v>748</v>
      </c>
      <c r="G635" s="2"/>
      <c r="H635" s="2" t="s">
        <v>748</v>
      </c>
      <c r="I635" s="2"/>
      <c r="J635" s="2" t="s">
        <v>1502</v>
      </c>
      <c r="K635" s="2" t="s">
        <v>1501</v>
      </c>
    </row>
    <row r="636" spans="1:11" s="4" customFormat="1" ht="18" customHeight="1">
      <c r="A636" s="2" t="s">
        <v>1503</v>
      </c>
      <c r="B636" s="3"/>
      <c r="C636" s="2"/>
      <c r="D636" s="3"/>
      <c r="E636" s="2"/>
      <c r="F636" s="2" t="s">
        <v>2956</v>
      </c>
      <c r="G636" s="2"/>
      <c r="H636" s="2" t="s">
        <v>2956</v>
      </c>
      <c r="I636" s="2"/>
      <c r="J636" s="2" t="s">
        <v>1499</v>
      </c>
      <c r="K636" s="2" t="s">
        <v>1503</v>
      </c>
    </row>
    <row r="637" spans="1:11" s="4" customFormat="1" ht="18" customHeight="1">
      <c r="A637" s="2" t="s">
        <v>1504</v>
      </c>
      <c r="B637" s="3"/>
      <c r="C637" s="2"/>
      <c r="D637" s="3"/>
      <c r="E637" s="2"/>
      <c r="F637" s="2" t="s">
        <v>2640</v>
      </c>
      <c r="G637" s="2"/>
      <c r="H637" s="2" t="s">
        <v>2640</v>
      </c>
      <c r="I637" s="2"/>
      <c r="J637" s="2" t="s">
        <v>1505</v>
      </c>
      <c r="K637" s="2" t="s">
        <v>1504</v>
      </c>
    </row>
    <row r="638" spans="1:11" s="4" customFormat="1" ht="18" customHeight="1">
      <c r="A638" s="2" t="s">
        <v>1506</v>
      </c>
      <c r="B638" s="3"/>
      <c r="C638" s="2"/>
      <c r="D638" s="3"/>
      <c r="E638" s="2"/>
      <c r="F638" s="2" t="s">
        <v>1532</v>
      </c>
      <c r="G638" s="2"/>
      <c r="H638" s="2" t="s">
        <v>1532</v>
      </c>
      <c r="I638" s="2"/>
      <c r="J638" s="2" t="s">
        <v>1507</v>
      </c>
      <c r="K638" s="2" t="s">
        <v>1506</v>
      </c>
    </row>
    <row r="639" spans="1:11" s="4" customFormat="1" ht="18" customHeight="1">
      <c r="A639" s="2" t="s">
        <v>1508</v>
      </c>
      <c r="B639" s="3"/>
      <c r="C639" s="2"/>
      <c r="D639" s="3"/>
      <c r="E639" s="2"/>
      <c r="F639" s="2" t="s">
        <v>329</v>
      </c>
      <c r="G639" s="2"/>
      <c r="H639" s="2" t="s">
        <v>329</v>
      </c>
      <c r="I639" s="2"/>
      <c r="J639" s="2" t="s">
        <v>1509</v>
      </c>
      <c r="K639" s="2" t="s">
        <v>1508</v>
      </c>
    </row>
    <row r="640" spans="1:11" s="4" customFormat="1" ht="18" customHeight="1">
      <c r="A640" s="2" t="s">
        <v>1510</v>
      </c>
      <c r="B640" s="3"/>
      <c r="C640" s="2"/>
      <c r="D640" s="3"/>
      <c r="E640" s="2"/>
      <c r="F640" s="2" t="s">
        <v>468</v>
      </c>
      <c r="G640" s="2"/>
      <c r="H640" s="2" t="s">
        <v>468</v>
      </c>
      <c r="I640" s="2"/>
      <c r="J640" s="2" t="s">
        <v>1511</v>
      </c>
      <c r="K640" s="2" t="s">
        <v>1510</v>
      </c>
    </row>
    <row r="641" spans="1:11" s="4" customFormat="1" ht="18" customHeight="1">
      <c r="A641" s="2" t="s">
        <v>1512</v>
      </c>
      <c r="B641" s="3"/>
      <c r="C641" s="2"/>
      <c r="D641" s="3"/>
      <c r="E641" s="2"/>
      <c r="F641" s="2" t="s">
        <v>3364</v>
      </c>
      <c r="G641" s="2"/>
      <c r="H641" s="2" t="s">
        <v>3364</v>
      </c>
      <c r="I641" s="2"/>
      <c r="J641" s="2" t="s">
        <v>1513</v>
      </c>
      <c r="K641" s="2" t="s">
        <v>1512</v>
      </c>
    </row>
    <row r="642" spans="1:11" s="4" customFormat="1" ht="18" customHeight="1">
      <c r="A642" s="2" t="s">
        <v>1514</v>
      </c>
      <c r="B642" s="3"/>
      <c r="C642" s="2"/>
      <c r="D642" s="3"/>
      <c r="E642" s="2"/>
      <c r="F642" s="2" t="s">
        <v>2029</v>
      </c>
      <c r="G642" s="2"/>
      <c r="H642" s="2" t="s">
        <v>2029</v>
      </c>
      <c r="I642" s="2"/>
      <c r="J642" s="2" t="s">
        <v>1515</v>
      </c>
      <c r="K642" s="2" t="s">
        <v>1514</v>
      </c>
    </row>
    <row r="643" spans="1:11" s="4" customFormat="1" ht="18" customHeight="1">
      <c r="A643" s="2" t="s">
        <v>1516</v>
      </c>
      <c r="B643" s="3"/>
      <c r="C643" s="2"/>
      <c r="D643" s="3"/>
      <c r="E643" s="2"/>
      <c r="F643" s="2" t="s">
        <v>2522</v>
      </c>
      <c r="G643" s="2"/>
      <c r="H643" s="2" t="s">
        <v>2522</v>
      </c>
      <c r="I643" s="2"/>
      <c r="J643" s="2" t="s">
        <v>1517</v>
      </c>
      <c r="K643" s="2" t="s">
        <v>1516</v>
      </c>
    </row>
    <row r="644" spans="1:11" s="4" customFormat="1" ht="18" customHeight="1">
      <c r="A644" s="2" t="s">
        <v>1518</v>
      </c>
      <c r="B644" s="3"/>
      <c r="C644" s="2"/>
      <c r="D644" s="3"/>
      <c r="E644" s="2"/>
      <c r="F644" s="2" t="s">
        <v>528</v>
      </c>
      <c r="G644" s="2"/>
      <c r="H644" s="2" t="s">
        <v>528</v>
      </c>
      <c r="I644" s="2"/>
      <c r="J644" s="2" t="s">
        <v>1519</v>
      </c>
      <c r="K644" s="2" t="s">
        <v>1518</v>
      </c>
    </row>
    <row r="645" spans="1:11" s="4" customFormat="1" ht="18" customHeight="1">
      <c r="A645" s="2" t="s">
        <v>1520</v>
      </c>
      <c r="B645" s="3"/>
      <c r="C645" s="2"/>
      <c r="D645" s="3"/>
      <c r="E645" s="2"/>
      <c r="F645" s="2" t="s">
        <v>3465</v>
      </c>
      <c r="G645" s="2"/>
      <c r="H645" s="2" t="s">
        <v>3465</v>
      </c>
      <c r="I645" s="2"/>
      <c r="J645" s="2" t="s">
        <v>1521</v>
      </c>
      <c r="K645" s="2" t="s">
        <v>1520</v>
      </c>
    </row>
    <row r="646" spans="1:11" s="4" customFormat="1" ht="18" customHeight="1">
      <c r="A646" s="2" t="s">
        <v>1522</v>
      </c>
      <c r="B646" s="3"/>
      <c r="C646" s="2"/>
      <c r="D646" s="3"/>
      <c r="E646" s="2"/>
      <c r="F646" s="2" t="s">
        <v>501</v>
      </c>
      <c r="G646" s="2"/>
      <c r="H646" s="2" t="s">
        <v>501</v>
      </c>
      <c r="I646" s="2"/>
      <c r="J646" s="2" t="s">
        <v>1523</v>
      </c>
      <c r="K646" s="2" t="s">
        <v>1522</v>
      </c>
    </row>
    <row r="647" spans="1:11" s="4" customFormat="1" ht="18" customHeight="1">
      <c r="A647" s="2" t="s">
        <v>1524</v>
      </c>
      <c r="B647" s="3"/>
      <c r="C647" s="2"/>
      <c r="D647" s="3"/>
      <c r="E647" s="2"/>
      <c r="F647" s="2" t="s">
        <v>1837</v>
      </c>
      <c r="G647" s="2"/>
      <c r="H647" s="2" t="s">
        <v>1837</v>
      </c>
      <c r="I647" s="2"/>
      <c r="J647" s="2" t="s">
        <v>1525</v>
      </c>
      <c r="K647" s="2" t="s">
        <v>1524</v>
      </c>
    </row>
    <row r="648" spans="1:11" s="4" customFormat="1" ht="18" customHeight="1">
      <c r="A648" s="2" t="s">
        <v>1526</v>
      </c>
      <c r="B648" s="3"/>
      <c r="C648" s="2"/>
      <c r="D648" s="3"/>
      <c r="E648" s="2"/>
      <c r="F648" s="2" t="s">
        <v>2982</v>
      </c>
      <c r="G648" s="2"/>
      <c r="H648" s="2" t="s">
        <v>2982</v>
      </c>
      <c r="I648" s="2"/>
      <c r="J648" s="2" t="s">
        <v>306</v>
      </c>
      <c r="K648" s="2" t="s">
        <v>1526</v>
      </c>
    </row>
    <row r="649" spans="1:11" s="4" customFormat="1" ht="18" customHeight="1">
      <c r="A649" s="2" t="s">
        <v>1527</v>
      </c>
      <c r="B649" s="3"/>
      <c r="C649" s="2"/>
      <c r="D649" s="3"/>
      <c r="E649" s="2"/>
      <c r="F649" s="2" t="s">
        <v>1665</v>
      </c>
      <c r="G649" s="2"/>
      <c r="H649" s="2" t="s">
        <v>1665</v>
      </c>
      <c r="I649" s="2"/>
      <c r="J649" s="2" t="s">
        <v>1528</v>
      </c>
      <c r="K649" s="2" t="s">
        <v>1527</v>
      </c>
    </row>
    <row r="650" spans="1:11" s="4" customFormat="1" ht="18" customHeight="1">
      <c r="A650" s="2" t="s">
        <v>1529</v>
      </c>
      <c r="B650" s="3"/>
      <c r="C650" s="2"/>
      <c r="D650" s="3"/>
      <c r="E650" s="2"/>
      <c r="F650" s="2" t="s">
        <v>2918</v>
      </c>
      <c r="G650" s="2"/>
      <c r="H650" s="2" t="s">
        <v>2918</v>
      </c>
      <c r="I650" s="2"/>
      <c r="J650" s="2" t="s">
        <v>1530</v>
      </c>
      <c r="K650" s="2" t="s">
        <v>1529</v>
      </c>
    </row>
    <row r="651" spans="1:11" s="4" customFormat="1" ht="18" customHeight="1">
      <c r="A651" s="2" t="s">
        <v>1531</v>
      </c>
      <c r="B651" s="3"/>
      <c r="C651" s="2"/>
      <c r="D651" s="3"/>
      <c r="E651" s="2"/>
      <c r="F651" s="2" t="s">
        <v>2524</v>
      </c>
      <c r="G651" s="2"/>
      <c r="H651" s="2" t="s">
        <v>2524</v>
      </c>
      <c r="I651" s="2"/>
      <c r="J651" s="2" t="s">
        <v>1532</v>
      </c>
      <c r="K651" s="2" t="s">
        <v>1531</v>
      </c>
    </row>
    <row r="652" spans="1:11" s="4" customFormat="1" ht="18" customHeight="1">
      <c r="A652" s="2" t="s">
        <v>1533</v>
      </c>
      <c r="B652" s="3"/>
      <c r="C652" s="2"/>
      <c r="D652" s="3"/>
      <c r="E652" s="2"/>
      <c r="F652" s="2" t="s">
        <v>2350</v>
      </c>
      <c r="G652" s="2"/>
      <c r="H652" s="2" t="s">
        <v>2350</v>
      </c>
      <c r="I652" s="2"/>
      <c r="J652" s="2" t="s">
        <v>1534</v>
      </c>
      <c r="K652" s="2" t="s">
        <v>1533</v>
      </c>
    </row>
    <row r="653" spans="1:11" s="4" customFormat="1" ht="18" customHeight="1">
      <c r="A653" s="2" t="s">
        <v>1535</v>
      </c>
      <c r="B653" s="3"/>
      <c r="C653" s="2"/>
      <c r="D653" s="3"/>
      <c r="E653" s="2"/>
      <c r="F653" s="2" t="s">
        <v>1394</v>
      </c>
      <c r="G653" s="2"/>
      <c r="H653" s="2" t="s">
        <v>1394</v>
      </c>
      <c r="I653" s="2"/>
      <c r="J653" s="2" t="s">
        <v>1536</v>
      </c>
      <c r="K653" s="2" t="s">
        <v>1535</v>
      </c>
    </row>
    <row r="654" spans="1:11" s="4" customFormat="1" ht="18" customHeight="1">
      <c r="A654" s="2" t="s">
        <v>1537</v>
      </c>
      <c r="B654" s="3"/>
      <c r="C654" s="2"/>
      <c r="D654" s="3"/>
      <c r="E654" s="2"/>
      <c r="F654" s="2" t="s">
        <v>2632</v>
      </c>
      <c r="G654" s="2"/>
      <c r="H654" s="2" t="s">
        <v>2632</v>
      </c>
      <c r="I654" s="2"/>
      <c r="J654" s="2" t="s">
        <v>1538</v>
      </c>
      <c r="K654" s="2" t="s">
        <v>1537</v>
      </c>
    </row>
    <row r="655" spans="1:11" s="4" customFormat="1" ht="18" customHeight="1">
      <c r="A655" s="2" t="s">
        <v>1539</v>
      </c>
      <c r="B655" s="3"/>
      <c r="C655" s="2"/>
      <c r="D655" s="3"/>
      <c r="E655" s="2"/>
      <c r="F655" s="2" t="s">
        <v>400</v>
      </c>
      <c r="G655" s="2"/>
      <c r="H655" s="2" t="s">
        <v>400</v>
      </c>
      <c r="I655" s="2"/>
      <c r="J655" s="2" t="s">
        <v>1540</v>
      </c>
      <c r="K655" s="2" t="s">
        <v>1539</v>
      </c>
    </row>
    <row r="656" spans="1:11" s="4" customFormat="1" ht="18" customHeight="1">
      <c r="A656" s="2" t="s">
        <v>1541</v>
      </c>
      <c r="B656" s="3"/>
      <c r="C656" s="2"/>
      <c r="D656" s="3"/>
      <c r="E656" s="2"/>
      <c r="F656" s="2" t="s">
        <v>516</v>
      </c>
      <c r="G656" s="2"/>
      <c r="H656" s="2" t="s">
        <v>516</v>
      </c>
      <c r="I656" s="2"/>
      <c r="J656" s="2" t="s">
        <v>1542</v>
      </c>
      <c r="K656" s="2" t="s">
        <v>1541</v>
      </c>
    </row>
    <row r="657" spans="1:11" s="4" customFormat="1" ht="18" customHeight="1">
      <c r="A657" s="2" t="s">
        <v>1543</v>
      </c>
      <c r="B657" s="3"/>
      <c r="C657" s="2"/>
      <c r="D657" s="3"/>
      <c r="E657" s="2"/>
      <c r="F657" s="2" t="s">
        <v>516</v>
      </c>
      <c r="G657" s="2"/>
      <c r="H657" s="2" t="s">
        <v>516</v>
      </c>
      <c r="I657" s="2"/>
      <c r="J657" s="2" t="s">
        <v>1544</v>
      </c>
      <c r="K657" s="2" t="s">
        <v>1543</v>
      </c>
    </row>
    <row r="658" spans="1:11" s="4" customFormat="1" ht="18" customHeight="1">
      <c r="A658" s="2" t="s">
        <v>1545</v>
      </c>
      <c r="B658" s="3"/>
      <c r="C658" s="2"/>
      <c r="D658" s="3"/>
      <c r="E658" s="2"/>
      <c r="F658" s="2" t="s">
        <v>3668</v>
      </c>
      <c r="G658" s="2"/>
      <c r="H658" s="2" t="s">
        <v>3668</v>
      </c>
      <c r="I658" s="2"/>
      <c r="J658" s="2" t="s">
        <v>1546</v>
      </c>
      <c r="K658" s="2" t="s">
        <v>1545</v>
      </c>
    </row>
    <row r="659" spans="1:11" s="4" customFormat="1" ht="18" customHeight="1">
      <c r="A659" s="2" t="s">
        <v>1548</v>
      </c>
      <c r="B659" s="3"/>
      <c r="C659" s="2"/>
      <c r="D659" s="3"/>
      <c r="E659" s="2"/>
      <c r="F659" s="2" t="s">
        <v>3049</v>
      </c>
      <c r="G659" s="2"/>
      <c r="H659" s="2" t="s">
        <v>3049</v>
      </c>
      <c r="I659" s="2"/>
      <c r="J659" s="2" t="s">
        <v>1549</v>
      </c>
      <c r="K659" s="2" t="s">
        <v>1548</v>
      </c>
    </row>
    <row r="660" spans="1:11" s="4" customFormat="1" ht="18" customHeight="1">
      <c r="A660" s="2" t="s">
        <v>1551</v>
      </c>
      <c r="B660" s="3"/>
      <c r="C660" s="2"/>
      <c r="D660" s="3"/>
      <c r="E660" s="2"/>
      <c r="F660" s="2" t="s">
        <v>1990</v>
      </c>
      <c r="G660" s="2"/>
      <c r="H660" s="2" t="s">
        <v>1990</v>
      </c>
      <c r="I660" s="2"/>
      <c r="J660" s="2" t="s">
        <v>1552</v>
      </c>
      <c r="K660" s="2" t="s">
        <v>1551</v>
      </c>
    </row>
    <row r="661" spans="1:11" s="4" customFormat="1" ht="18" customHeight="1">
      <c r="A661" s="2" t="s">
        <v>1553</v>
      </c>
      <c r="B661" s="3"/>
      <c r="C661" s="2"/>
      <c r="D661" s="3"/>
      <c r="E661" s="2"/>
      <c r="F661" s="2" t="s">
        <v>508</v>
      </c>
      <c r="G661" s="2"/>
      <c r="H661" s="2" t="s">
        <v>508</v>
      </c>
      <c r="I661" s="2"/>
      <c r="J661" s="2" t="s">
        <v>1554</v>
      </c>
      <c r="K661" s="2" t="s">
        <v>1553</v>
      </c>
    </row>
    <row r="662" spans="1:11" s="4" customFormat="1" ht="18" customHeight="1">
      <c r="A662" s="2" t="s">
        <v>1556</v>
      </c>
      <c r="B662" s="3"/>
      <c r="C662" s="2"/>
      <c r="D662" s="3"/>
      <c r="E662" s="2"/>
      <c r="F662" s="2" t="s">
        <v>711</v>
      </c>
      <c r="G662" s="2"/>
      <c r="H662" s="2" t="s">
        <v>711</v>
      </c>
      <c r="I662" s="2"/>
      <c r="J662" s="2" t="s">
        <v>1557</v>
      </c>
      <c r="K662" s="2" t="s">
        <v>1556</v>
      </c>
    </row>
    <row r="663" spans="1:11" s="4" customFormat="1" ht="18" customHeight="1">
      <c r="A663" s="2" t="s">
        <v>1559</v>
      </c>
      <c r="B663" s="3"/>
      <c r="C663" s="2"/>
      <c r="D663" s="3"/>
      <c r="E663" s="2"/>
      <c r="F663" s="2" t="s">
        <v>2539</v>
      </c>
      <c r="G663" s="2"/>
      <c r="H663" s="2" t="s">
        <v>2539</v>
      </c>
      <c r="I663" s="2"/>
      <c r="J663" s="2" t="s">
        <v>1188</v>
      </c>
      <c r="K663" s="2" t="s">
        <v>1559</v>
      </c>
    </row>
    <row r="664" spans="1:11" s="4" customFormat="1" ht="18" customHeight="1">
      <c r="A664" s="2" t="s">
        <v>1561</v>
      </c>
      <c r="B664" s="3"/>
      <c r="C664" s="2"/>
      <c r="D664" s="3"/>
      <c r="E664" s="2"/>
      <c r="F664" s="2" t="s">
        <v>512</v>
      </c>
      <c r="G664" s="2"/>
      <c r="H664" s="2" t="s">
        <v>512</v>
      </c>
      <c r="I664" s="2"/>
      <c r="J664" s="2" t="s">
        <v>1562</v>
      </c>
      <c r="K664" s="2" t="s">
        <v>1561</v>
      </c>
    </row>
    <row r="665" spans="1:11" s="4" customFormat="1" ht="18" customHeight="1">
      <c r="A665" s="2" t="s">
        <v>1563</v>
      </c>
      <c r="B665" s="3"/>
      <c r="C665" s="2"/>
      <c r="D665" s="3"/>
      <c r="E665" s="2"/>
      <c r="F665" s="2" t="s">
        <v>2671</v>
      </c>
      <c r="G665" s="2"/>
      <c r="H665" s="2" t="s">
        <v>2671</v>
      </c>
      <c r="I665" s="2"/>
      <c r="J665" s="2" t="s">
        <v>1564</v>
      </c>
      <c r="K665" s="2" t="s">
        <v>1563</v>
      </c>
    </row>
    <row r="666" spans="1:11" s="4" customFormat="1" ht="18" customHeight="1">
      <c r="A666" s="2" t="s">
        <v>1565</v>
      </c>
      <c r="B666" s="3"/>
      <c r="C666" s="2"/>
      <c r="D666" s="3"/>
      <c r="E666" s="2"/>
      <c r="F666" s="2" t="s">
        <v>653</v>
      </c>
      <c r="G666" s="2"/>
      <c r="H666" s="2" t="s">
        <v>653</v>
      </c>
      <c r="I666" s="2"/>
      <c r="J666" s="2" t="s">
        <v>1566</v>
      </c>
      <c r="K666" s="2" t="s">
        <v>1565</v>
      </c>
    </row>
    <row r="667" spans="1:11" s="4" customFormat="1" ht="18" customHeight="1">
      <c r="A667" s="2" t="s">
        <v>1567</v>
      </c>
      <c r="B667" s="3"/>
      <c r="C667" s="2"/>
      <c r="D667" s="3"/>
      <c r="E667" s="2"/>
      <c r="F667" s="2" t="s">
        <v>653</v>
      </c>
      <c r="G667" s="2"/>
      <c r="H667" s="2" t="s">
        <v>653</v>
      </c>
      <c r="I667" s="2"/>
      <c r="J667" s="2" t="s">
        <v>1568</v>
      </c>
      <c r="K667" s="2" t="s">
        <v>1567</v>
      </c>
    </row>
    <row r="668" spans="1:11" s="4" customFormat="1" ht="18" customHeight="1">
      <c r="A668" s="2" t="s">
        <v>1569</v>
      </c>
      <c r="B668" s="3"/>
      <c r="C668" s="2"/>
      <c r="D668" s="3"/>
      <c r="E668" s="2"/>
      <c r="F668" s="2" t="s">
        <v>402</v>
      </c>
      <c r="G668" s="2"/>
      <c r="H668" s="2" t="s">
        <v>402</v>
      </c>
      <c r="I668" s="2"/>
      <c r="J668" s="2" t="s">
        <v>1570</v>
      </c>
      <c r="K668" s="2" t="s">
        <v>1569</v>
      </c>
    </row>
    <row r="669" spans="1:11" s="4" customFormat="1" ht="18" customHeight="1">
      <c r="A669" s="2" t="s">
        <v>1571</v>
      </c>
      <c r="B669" s="3"/>
      <c r="C669" s="2"/>
      <c r="D669" s="3"/>
      <c r="E669" s="2"/>
      <c r="F669" s="2" t="s">
        <v>1872</v>
      </c>
      <c r="G669" s="2"/>
      <c r="H669" s="2" t="s">
        <v>1872</v>
      </c>
      <c r="I669" s="2"/>
      <c r="J669" s="2" t="s">
        <v>1572</v>
      </c>
      <c r="K669" s="2" t="s">
        <v>1571</v>
      </c>
    </row>
    <row r="670" spans="1:11" s="4" customFormat="1" ht="18" customHeight="1">
      <c r="A670" s="2" t="s">
        <v>1573</v>
      </c>
      <c r="B670" s="3"/>
      <c r="C670" s="2"/>
      <c r="D670" s="3"/>
      <c r="E670" s="2"/>
      <c r="F670" s="2" t="s">
        <v>596</v>
      </c>
      <c r="G670" s="2"/>
      <c r="H670" s="2" t="s">
        <v>596</v>
      </c>
      <c r="I670" s="2"/>
      <c r="J670" s="2" t="s">
        <v>1574</v>
      </c>
      <c r="K670" s="2" t="s">
        <v>1573</v>
      </c>
    </row>
    <row r="671" spans="1:11" s="4" customFormat="1" ht="18" customHeight="1">
      <c r="A671" s="2" t="s">
        <v>1575</v>
      </c>
      <c r="B671" s="3"/>
      <c r="C671" s="2"/>
      <c r="D671" s="3"/>
      <c r="E671" s="2"/>
      <c r="F671" s="2" t="s">
        <v>608</v>
      </c>
      <c r="G671" s="2"/>
      <c r="H671" s="2" t="s">
        <v>608</v>
      </c>
      <c r="I671" s="2"/>
      <c r="J671" s="2" t="s">
        <v>1576</v>
      </c>
      <c r="K671" s="2" t="s">
        <v>1575</v>
      </c>
    </row>
    <row r="672" spans="1:11" s="4" customFormat="1" ht="18" customHeight="1">
      <c r="A672" s="2" t="s">
        <v>1577</v>
      </c>
      <c r="B672" s="3"/>
      <c r="C672" s="2"/>
      <c r="D672" s="3"/>
      <c r="E672" s="2"/>
      <c r="F672" s="2" t="s">
        <v>839</v>
      </c>
      <c r="G672" s="2"/>
      <c r="H672" s="2" t="s">
        <v>839</v>
      </c>
      <c r="I672" s="2"/>
      <c r="J672" s="2" t="s">
        <v>937</v>
      </c>
      <c r="K672" s="2" t="s">
        <v>1577</v>
      </c>
    </row>
    <row r="673" spans="1:11" s="4" customFormat="1" ht="18" customHeight="1">
      <c r="A673" s="2" t="s">
        <v>1578</v>
      </c>
      <c r="B673" s="3"/>
      <c r="C673" s="2"/>
      <c r="D673" s="3"/>
      <c r="E673" s="2"/>
      <c r="F673" s="2" t="s">
        <v>3366</v>
      </c>
      <c r="G673" s="2"/>
      <c r="H673" s="2" t="s">
        <v>3366</v>
      </c>
      <c r="I673" s="2"/>
      <c r="J673" s="2" t="s">
        <v>1579</v>
      </c>
      <c r="K673" s="2" t="s">
        <v>1578</v>
      </c>
    </row>
    <row r="674" spans="1:11" s="4" customFormat="1" ht="18" customHeight="1">
      <c r="A674" s="2" t="s">
        <v>1580</v>
      </c>
      <c r="B674" s="3"/>
      <c r="C674" s="2"/>
      <c r="D674" s="3"/>
      <c r="E674" s="2"/>
      <c r="F674" s="2" t="s">
        <v>1925</v>
      </c>
      <c r="G674" s="2"/>
      <c r="H674" s="2" t="s">
        <v>1925</v>
      </c>
      <c r="I674" s="2"/>
      <c r="J674" s="2" t="s">
        <v>1581</v>
      </c>
      <c r="K674" s="2" t="s">
        <v>1580</v>
      </c>
    </row>
    <row r="675" spans="1:11" s="4" customFormat="1" ht="18" customHeight="1">
      <c r="A675" s="2" t="s">
        <v>1582</v>
      </c>
      <c r="B675" s="3"/>
      <c r="C675" s="2"/>
      <c r="D675" s="3"/>
      <c r="E675" s="2"/>
      <c r="F675" s="2" t="s">
        <v>1082</v>
      </c>
      <c r="G675" s="2"/>
      <c r="H675" s="2" t="s">
        <v>1083</v>
      </c>
      <c r="I675" s="2"/>
      <c r="J675" s="2" t="s">
        <v>1583</v>
      </c>
      <c r="K675" s="2" t="s">
        <v>1582</v>
      </c>
    </row>
    <row r="676" spans="1:11" s="4" customFormat="1" ht="18" customHeight="1">
      <c r="A676" s="2" t="s">
        <v>1585</v>
      </c>
      <c r="B676" s="3"/>
      <c r="C676" s="2"/>
      <c r="D676" s="3"/>
      <c r="E676" s="2"/>
      <c r="F676" s="2" t="s">
        <v>2673</v>
      </c>
      <c r="G676" s="2"/>
      <c r="H676" s="2" t="s">
        <v>2673</v>
      </c>
      <c r="I676" s="2"/>
      <c r="J676" s="2" t="s">
        <v>1586</v>
      </c>
      <c r="K676" s="2" t="s">
        <v>1585</v>
      </c>
    </row>
    <row r="677" spans="1:11" s="4" customFormat="1" ht="18" customHeight="1">
      <c r="A677" s="2" t="s">
        <v>1587</v>
      </c>
      <c r="B677" s="3"/>
      <c r="C677" s="2"/>
      <c r="D677" s="3"/>
      <c r="E677" s="2"/>
      <c r="F677" s="2" t="s">
        <v>1766</v>
      </c>
      <c r="G677" s="2"/>
      <c r="H677" s="2" t="s">
        <v>1767</v>
      </c>
      <c r="I677" s="2"/>
      <c r="J677" s="2" t="s">
        <v>1588</v>
      </c>
      <c r="K677" s="2" t="s">
        <v>1587</v>
      </c>
    </row>
    <row r="678" spans="1:11" s="4" customFormat="1" ht="18" customHeight="1">
      <c r="A678" s="2" t="s">
        <v>1589</v>
      </c>
      <c r="B678" s="3"/>
      <c r="C678" s="2"/>
      <c r="D678" s="3"/>
      <c r="E678" s="2"/>
      <c r="F678" s="2" t="s">
        <v>3717</v>
      </c>
      <c r="G678" s="2"/>
      <c r="H678" s="2" t="s">
        <v>3717</v>
      </c>
      <c r="I678" s="2"/>
      <c r="J678" s="2" t="s">
        <v>441</v>
      </c>
      <c r="K678" s="2" t="s">
        <v>1589</v>
      </c>
    </row>
    <row r="679" spans="1:11" s="4" customFormat="1" ht="18" customHeight="1">
      <c r="A679" s="2" t="s">
        <v>1591</v>
      </c>
      <c r="B679" s="3"/>
      <c r="C679" s="2"/>
      <c r="D679" s="3"/>
      <c r="E679" s="2"/>
      <c r="F679" s="2" t="s">
        <v>1984</v>
      </c>
      <c r="G679" s="2"/>
      <c r="H679" s="2" t="s">
        <v>1984</v>
      </c>
      <c r="I679" s="2"/>
      <c r="J679" s="2" t="s">
        <v>1592</v>
      </c>
      <c r="K679" s="2" t="s">
        <v>1591</v>
      </c>
    </row>
    <row r="680" spans="1:11" s="4" customFormat="1" ht="18" customHeight="1">
      <c r="A680" s="2" t="s">
        <v>1593</v>
      </c>
      <c r="B680" s="3"/>
      <c r="C680" s="2"/>
      <c r="D680" s="3"/>
      <c r="E680" s="2"/>
      <c r="F680" s="2" t="s">
        <v>2352</v>
      </c>
      <c r="G680" s="2"/>
      <c r="H680" s="2" t="s">
        <v>2352</v>
      </c>
      <c r="I680" s="2"/>
      <c r="J680" s="2" t="s">
        <v>527</v>
      </c>
      <c r="K680" s="2" t="s">
        <v>1593</v>
      </c>
    </row>
    <row r="681" spans="1:11" s="4" customFormat="1" ht="18" customHeight="1">
      <c r="A681" s="2" t="s">
        <v>1595</v>
      </c>
      <c r="B681" s="3"/>
      <c r="C681" s="2"/>
      <c r="D681" s="3"/>
      <c r="E681" s="2"/>
      <c r="F681" s="2" t="s">
        <v>3309</v>
      </c>
      <c r="G681" s="2"/>
      <c r="H681" s="2" t="s">
        <v>3309</v>
      </c>
      <c r="I681" s="2"/>
      <c r="J681" s="2" t="s">
        <v>1596</v>
      </c>
      <c r="K681" s="2" t="s">
        <v>1595</v>
      </c>
    </row>
    <row r="682" spans="1:11" s="4" customFormat="1" ht="18" customHeight="1">
      <c r="A682" s="2" t="s">
        <v>1597</v>
      </c>
      <c r="B682" s="3"/>
      <c r="C682" s="2"/>
      <c r="D682" s="3"/>
      <c r="E682" s="2"/>
      <c r="F682" s="2" t="s">
        <v>2439</v>
      </c>
      <c r="G682" s="2"/>
      <c r="H682" s="2" t="s">
        <v>2439</v>
      </c>
      <c r="I682" s="2"/>
      <c r="J682" s="2" t="s">
        <v>1598</v>
      </c>
      <c r="K682" s="2" t="s">
        <v>1597</v>
      </c>
    </row>
    <row r="683" spans="1:11" s="4" customFormat="1" ht="18" customHeight="1">
      <c r="A683" s="2" t="s">
        <v>1599</v>
      </c>
      <c r="B683" s="3"/>
      <c r="C683" s="2"/>
      <c r="D683" s="3"/>
      <c r="E683" s="2"/>
      <c r="F683" s="2" t="s">
        <v>3855</v>
      </c>
      <c r="G683" s="2"/>
      <c r="H683" s="2" t="s">
        <v>3855</v>
      </c>
      <c r="I683" s="2"/>
      <c r="J683" s="2" t="s">
        <v>1600</v>
      </c>
      <c r="K683" s="2" t="s">
        <v>1599</v>
      </c>
    </row>
    <row r="684" spans="1:11" s="4" customFormat="1" ht="18" customHeight="1">
      <c r="A684" s="2" t="s">
        <v>1601</v>
      </c>
      <c r="B684" s="3"/>
      <c r="C684" s="2"/>
      <c r="D684" s="3"/>
      <c r="E684" s="2"/>
      <c r="F684" s="2" t="s">
        <v>3916</v>
      </c>
      <c r="G684" s="2"/>
      <c r="H684" s="2" t="s">
        <v>3916</v>
      </c>
      <c r="I684" s="2"/>
      <c r="J684" s="2" t="s">
        <v>1602</v>
      </c>
      <c r="K684" s="2" t="s">
        <v>1601</v>
      </c>
    </row>
    <row r="685" spans="1:11" s="4" customFormat="1" ht="18" customHeight="1">
      <c r="A685" s="2" t="s">
        <v>1603</v>
      </c>
      <c r="B685" s="3"/>
      <c r="C685" s="2"/>
      <c r="D685" s="3"/>
      <c r="E685" s="2"/>
      <c r="F685" s="2" t="s">
        <v>2313</v>
      </c>
      <c r="G685" s="2"/>
      <c r="H685" s="2" t="s">
        <v>2313</v>
      </c>
      <c r="I685" s="2"/>
      <c r="J685" s="2" t="s">
        <v>1604</v>
      </c>
      <c r="K685" s="2" t="s">
        <v>1603</v>
      </c>
    </row>
    <row r="686" spans="1:11" s="4" customFormat="1" ht="18" customHeight="1">
      <c r="A686" s="2" t="s">
        <v>1605</v>
      </c>
      <c r="B686" s="3"/>
      <c r="C686" s="2"/>
      <c r="D686" s="3"/>
      <c r="E686" s="2"/>
      <c r="F686" s="2" t="s">
        <v>3238</v>
      </c>
      <c r="G686" s="2"/>
      <c r="H686" s="2" t="s">
        <v>3238</v>
      </c>
      <c r="I686" s="2"/>
      <c r="J686" s="2" t="s">
        <v>1606</v>
      </c>
      <c r="K686" s="2" t="s">
        <v>1605</v>
      </c>
    </row>
    <row r="687" spans="1:11" s="4" customFormat="1" ht="18" customHeight="1">
      <c r="A687" s="2" t="s">
        <v>1607</v>
      </c>
      <c r="B687" s="3"/>
      <c r="C687" s="2"/>
      <c r="D687" s="3"/>
      <c r="E687" s="2"/>
      <c r="F687" s="2" t="s">
        <v>2242</v>
      </c>
      <c r="G687" s="2"/>
      <c r="H687" s="2" t="s">
        <v>2242</v>
      </c>
      <c r="I687" s="2"/>
      <c r="J687" s="2" t="s">
        <v>1608</v>
      </c>
      <c r="K687" s="2" t="s">
        <v>1607</v>
      </c>
    </row>
    <row r="688" spans="1:11" s="4" customFormat="1" ht="18" customHeight="1">
      <c r="A688" s="2" t="s">
        <v>1609</v>
      </c>
      <c r="B688" s="3"/>
      <c r="C688" s="2"/>
      <c r="D688" s="3"/>
      <c r="E688" s="2"/>
      <c r="F688" s="2" t="s">
        <v>1552</v>
      </c>
      <c r="G688" s="2"/>
      <c r="H688" s="2" t="s">
        <v>1552</v>
      </c>
      <c r="I688" s="2"/>
      <c r="J688" s="2" t="s">
        <v>1610</v>
      </c>
      <c r="K688" s="2" t="s">
        <v>1609</v>
      </c>
    </row>
    <row r="689" spans="1:11" s="4" customFormat="1" ht="18" customHeight="1">
      <c r="A689" s="2" t="s">
        <v>1611</v>
      </c>
      <c r="B689" s="3"/>
      <c r="C689" s="2"/>
      <c r="D689" s="3"/>
      <c r="E689" s="2"/>
      <c r="F689" s="2" t="s">
        <v>3336</v>
      </c>
      <c r="G689" s="2"/>
      <c r="H689" s="2" t="s">
        <v>3336</v>
      </c>
      <c r="I689" s="2"/>
      <c r="J689" s="2" t="s">
        <v>1612</v>
      </c>
      <c r="K689" s="2" t="s">
        <v>1611</v>
      </c>
    </row>
    <row r="690" spans="1:11" s="4" customFormat="1" ht="18" customHeight="1">
      <c r="A690" s="2" t="s">
        <v>1613</v>
      </c>
      <c r="B690" s="3"/>
      <c r="C690" s="2"/>
      <c r="D690" s="3"/>
      <c r="E690" s="2"/>
      <c r="F690" s="2" t="s">
        <v>1018</v>
      </c>
      <c r="G690" s="2"/>
      <c r="H690" s="2" t="s">
        <v>1018</v>
      </c>
      <c r="I690" s="2"/>
      <c r="J690" s="2" t="s">
        <v>1614</v>
      </c>
      <c r="K690" s="2" t="s">
        <v>1613</v>
      </c>
    </row>
    <row r="691" spans="1:11" s="4" customFormat="1" ht="18" customHeight="1">
      <c r="A691" s="2" t="s">
        <v>1615</v>
      </c>
      <c r="B691" s="3"/>
      <c r="C691" s="2"/>
      <c r="D691" s="3"/>
      <c r="E691" s="2"/>
      <c r="F691" s="2" t="s">
        <v>3516</v>
      </c>
      <c r="G691" s="2"/>
      <c r="H691" s="2" t="s">
        <v>3517</v>
      </c>
      <c r="I691" s="2"/>
      <c r="J691" s="2" t="s">
        <v>1616</v>
      </c>
      <c r="K691" s="2" t="s">
        <v>1615</v>
      </c>
    </row>
    <row r="692" spans="1:11" s="4" customFormat="1" ht="18" customHeight="1">
      <c r="A692" s="2" t="s">
        <v>1617</v>
      </c>
      <c r="B692" s="3"/>
      <c r="C692" s="2"/>
      <c r="D692" s="3"/>
      <c r="E692" s="2"/>
      <c r="F692" s="2" t="s">
        <v>1165</v>
      </c>
      <c r="G692" s="2"/>
      <c r="H692" s="2" t="s">
        <v>1166</v>
      </c>
      <c r="I692" s="2"/>
      <c r="J692" s="2" t="s">
        <v>1507</v>
      </c>
      <c r="K692" s="2" t="s">
        <v>1617</v>
      </c>
    </row>
    <row r="693" spans="1:11" s="4" customFormat="1" ht="18" customHeight="1">
      <c r="A693" s="2" t="s">
        <v>1618</v>
      </c>
      <c r="B693" s="3"/>
      <c r="C693" s="2"/>
      <c r="D693" s="3"/>
      <c r="E693" s="2"/>
      <c r="F693" s="2" t="s">
        <v>2967</v>
      </c>
      <c r="G693" s="2"/>
      <c r="H693" s="2" t="s">
        <v>2967</v>
      </c>
      <c r="I693" s="2"/>
      <c r="J693" s="2" t="s">
        <v>1619</v>
      </c>
      <c r="K693" s="2" t="s">
        <v>1618</v>
      </c>
    </row>
    <row r="694" spans="1:11" s="4" customFormat="1" ht="18" customHeight="1">
      <c r="A694" s="2" t="s">
        <v>1620</v>
      </c>
      <c r="B694" s="3"/>
      <c r="C694" s="2"/>
      <c r="D694" s="3"/>
      <c r="E694" s="2"/>
      <c r="F694" s="2" t="s">
        <v>771</v>
      </c>
      <c r="G694" s="2"/>
      <c r="H694" s="2" t="s">
        <v>771</v>
      </c>
      <c r="I694" s="2"/>
      <c r="J694" s="2" t="s">
        <v>1621</v>
      </c>
      <c r="K694" s="2" t="s">
        <v>1620</v>
      </c>
    </row>
    <row r="695" spans="1:11" s="4" customFormat="1" ht="18" customHeight="1">
      <c r="A695" s="2" t="s">
        <v>1622</v>
      </c>
      <c r="B695" s="3"/>
      <c r="C695" s="2"/>
      <c r="D695" s="3"/>
      <c r="E695" s="2"/>
      <c r="F695" s="2" t="s">
        <v>3983</v>
      </c>
      <c r="G695" s="2"/>
      <c r="H695" s="2" t="s">
        <v>3983</v>
      </c>
      <c r="I695" s="2"/>
      <c r="J695" s="2" t="s">
        <v>1623</v>
      </c>
      <c r="K695" s="2" t="s">
        <v>1622</v>
      </c>
    </row>
    <row r="696" spans="1:11" s="4" customFormat="1" ht="18" customHeight="1">
      <c r="A696" s="2" t="s">
        <v>1624</v>
      </c>
      <c r="B696" s="3"/>
      <c r="C696" s="2"/>
      <c r="D696" s="3"/>
      <c r="E696" s="2"/>
      <c r="F696" s="2" t="s">
        <v>3654</v>
      </c>
      <c r="G696" s="2"/>
      <c r="H696" s="2" t="s">
        <v>3654</v>
      </c>
      <c r="I696" s="2"/>
      <c r="J696" s="2" t="s">
        <v>1625</v>
      </c>
      <c r="K696" s="2" t="s">
        <v>1624</v>
      </c>
    </row>
    <row r="697" spans="1:11" s="4" customFormat="1" ht="18" customHeight="1">
      <c r="A697" s="2" t="s">
        <v>1626</v>
      </c>
      <c r="B697" s="3"/>
      <c r="C697" s="2"/>
      <c r="D697" s="3"/>
      <c r="E697" s="2"/>
      <c r="F697" s="2" t="s">
        <v>2791</v>
      </c>
      <c r="G697" s="2"/>
      <c r="H697" s="2" t="s">
        <v>2791</v>
      </c>
      <c r="I697" s="2"/>
      <c r="J697" s="2" t="s">
        <v>1627</v>
      </c>
      <c r="K697" s="2" t="s">
        <v>1626</v>
      </c>
    </row>
    <row r="698" spans="1:11" s="4" customFormat="1" ht="18" customHeight="1">
      <c r="A698" s="2" t="s">
        <v>1628</v>
      </c>
      <c r="B698" s="3"/>
      <c r="C698" s="2"/>
      <c r="D698" s="3"/>
      <c r="E698" s="2"/>
      <c r="F698" s="2" t="s">
        <v>3352</v>
      </c>
      <c r="G698" s="2"/>
      <c r="H698" s="2" t="s">
        <v>3352</v>
      </c>
      <c r="I698" s="2"/>
      <c r="J698" s="2" t="s">
        <v>1629</v>
      </c>
      <c r="K698" s="2" t="s">
        <v>1628</v>
      </c>
    </row>
    <row r="699" spans="1:11" s="4" customFormat="1" ht="18" customHeight="1">
      <c r="A699" s="2" t="s">
        <v>1630</v>
      </c>
      <c r="B699" s="3"/>
      <c r="C699" s="2"/>
      <c r="D699" s="3"/>
      <c r="E699" s="2"/>
      <c r="F699" s="2" t="s">
        <v>192</v>
      </c>
      <c r="G699" s="2"/>
      <c r="H699" s="2" t="s">
        <v>193</v>
      </c>
      <c r="I699" s="2"/>
      <c r="J699" s="2" t="s">
        <v>1631</v>
      </c>
      <c r="K699" s="2" t="s">
        <v>1630</v>
      </c>
    </row>
    <row r="700" spans="1:11" s="4" customFormat="1" ht="18" customHeight="1">
      <c r="A700" s="2" t="s">
        <v>1632</v>
      </c>
      <c r="B700" s="3"/>
      <c r="C700" s="2"/>
      <c r="D700" s="3"/>
      <c r="E700" s="2"/>
      <c r="F700" s="2" t="s">
        <v>2938</v>
      </c>
      <c r="G700" s="2"/>
      <c r="H700" s="2" t="s">
        <v>2938</v>
      </c>
      <c r="I700" s="2"/>
      <c r="J700" s="2" t="s">
        <v>1633</v>
      </c>
      <c r="K700" s="2" t="s">
        <v>1632</v>
      </c>
    </row>
    <row r="701" spans="1:11" s="4" customFormat="1" ht="18" customHeight="1">
      <c r="A701" s="2" t="s">
        <v>1634</v>
      </c>
      <c r="B701" s="3"/>
      <c r="C701" s="2"/>
      <c r="D701" s="3"/>
      <c r="E701" s="2"/>
      <c r="F701" s="2" t="s">
        <v>3248</v>
      </c>
      <c r="G701" s="2"/>
      <c r="H701" s="2" t="s">
        <v>3248</v>
      </c>
      <c r="I701" s="2"/>
      <c r="J701" s="2" t="s">
        <v>273</v>
      </c>
      <c r="K701" s="2" t="s">
        <v>1634</v>
      </c>
    </row>
    <row r="702" spans="1:11" s="4" customFormat="1" ht="18" customHeight="1">
      <c r="A702" s="2" t="s">
        <v>1635</v>
      </c>
      <c r="B702" s="3"/>
      <c r="C702" s="2"/>
      <c r="D702" s="3"/>
      <c r="E702" s="2"/>
      <c r="F702" s="2" t="s">
        <v>3292</v>
      </c>
      <c r="G702" s="2"/>
      <c r="H702" s="2" t="s">
        <v>3293</v>
      </c>
      <c r="I702" s="2"/>
      <c r="J702" s="2" t="s">
        <v>1636</v>
      </c>
      <c r="K702" s="2" t="s">
        <v>1635</v>
      </c>
    </row>
    <row r="703" spans="1:11" s="4" customFormat="1" ht="18" customHeight="1">
      <c r="A703" s="2" t="s">
        <v>1637</v>
      </c>
      <c r="B703" s="3"/>
      <c r="C703" s="2"/>
      <c r="D703" s="3"/>
      <c r="E703" s="2"/>
      <c r="F703" s="2" t="s">
        <v>2781</v>
      </c>
      <c r="G703" s="2"/>
      <c r="H703" s="2" t="s">
        <v>2781</v>
      </c>
      <c r="I703" s="2"/>
      <c r="J703" s="2" t="s">
        <v>1638</v>
      </c>
      <c r="K703" s="2" t="s">
        <v>1637</v>
      </c>
    </row>
    <row r="704" spans="1:11" s="4" customFormat="1" ht="18" customHeight="1">
      <c r="A704" s="2" t="s">
        <v>1639</v>
      </c>
      <c r="B704" s="3"/>
      <c r="C704" s="2"/>
      <c r="D704" s="3"/>
      <c r="E704" s="2"/>
      <c r="F704" s="2" t="s">
        <v>3670</v>
      </c>
      <c r="G704" s="2"/>
      <c r="H704" s="2" t="s">
        <v>3670</v>
      </c>
      <c r="I704" s="2"/>
      <c r="J704" s="2" t="s">
        <v>1640</v>
      </c>
      <c r="K704" s="2" t="s">
        <v>1639</v>
      </c>
    </row>
    <row r="705" spans="1:11" s="4" customFormat="1" ht="18" customHeight="1">
      <c r="A705" s="2" t="s">
        <v>1641</v>
      </c>
      <c r="B705" s="3"/>
      <c r="C705" s="2"/>
      <c r="D705" s="3"/>
      <c r="E705" s="2"/>
      <c r="F705" s="2" t="s">
        <v>3951</v>
      </c>
      <c r="G705" s="2"/>
      <c r="H705" s="2" t="s">
        <v>3952</v>
      </c>
      <c r="I705" s="2"/>
      <c r="J705" s="2" t="s">
        <v>1642</v>
      </c>
      <c r="K705" s="2" t="s">
        <v>1641</v>
      </c>
    </row>
    <row r="706" spans="1:11" s="4" customFormat="1" ht="18" customHeight="1">
      <c r="A706" s="2" t="s">
        <v>1643</v>
      </c>
      <c r="B706" s="3"/>
      <c r="C706" s="2"/>
      <c r="D706" s="3"/>
      <c r="E706" s="2"/>
      <c r="F706" s="2" t="s">
        <v>337</v>
      </c>
      <c r="G706" s="2"/>
      <c r="H706" s="2" t="s">
        <v>338</v>
      </c>
      <c r="I706" s="2"/>
      <c r="J706" s="2" t="s">
        <v>1644</v>
      </c>
      <c r="K706" s="2" t="s">
        <v>1643</v>
      </c>
    </row>
    <row r="707" spans="1:11" s="4" customFormat="1" ht="18" customHeight="1">
      <c r="A707" s="2" t="s">
        <v>1645</v>
      </c>
      <c r="B707" s="3"/>
      <c r="C707" s="2"/>
      <c r="D707" s="3"/>
      <c r="E707" s="2"/>
      <c r="F707" s="2" t="s">
        <v>337</v>
      </c>
      <c r="G707" s="2"/>
      <c r="H707" s="2" t="s">
        <v>1350</v>
      </c>
      <c r="I707" s="2"/>
      <c r="J707" s="2" t="s">
        <v>1646</v>
      </c>
      <c r="K707" s="2" t="s">
        <v>1645</v>
      </c>
    </row>
    <row r="708" spans="1:11" s="4" customFormat="1" ht="18" customHeight="1">
      <c r="A708" s="2" t="s">
        <v>1647</v>
      </c>
      <c r="B708" s="3"/>
      <c r="C708" s="2"/>
      <c r="D708" s="3"/>
      <c r="E708" s="2"/>
      <c r="F708" s="2" t="s">
        <v>337</v>
      </c>
      <c r="G708" s="2"/>
      <c r="H708" s="2" t="s">
        <v>337</v>
      </c>
      <c r="I708" s="2"/>
      <c r="J708" s="2" t="s">
        <v>1648</v>
      </c>
      <c r="K708" s="2" t="s">
        <v>1647</v>
      </c>
    </row>
    <row r="709" spans="1:11" s="4" customFormat="1" ht="18" customHeight="1">
      <c r="A709" s="2" t="s">
        <v>1649</v>
      </c>
      <c r="B709" s="3"/>
      <c r="C709" s="2"/>
      <c r="D709" s="3"/>
      <c r="E709" s="2"/>
      <c r="F709" s="2" t="s">
        <v>337</v>
      </c>
      <c r="G709" s="2"/>
      <c r="H709" s="2" t="s">
        <v>337</v>
      </c>
      <c r="I709" s="2"/>
      <c r="J709" s="2" t="s">
        <v>1650</v>
      </c>
      <c r="K709" s="2" t="s">
        <v>1649</v>
      </c>
    </row>
    <row r="710" spans="1:11" s="4" customFormat="1" ht="18" customHeight="1">
      <c r="A710" s="2" t="s">
        <v>1651</v>
      </c>
      <c r="B710" s="3"/>
      <c r="C710" s="2"/>
      <c r="D710" s="3"/>
      <c r="E710" s="2"/>
      <c r="F710" s="2" t="s">
        <v>3161</v>
      </c>
      <c r="G710" s="2"/>
      <c r="H710" s="2" t="s">
        <v>3161</v>
      </c>
      <c r="I710" s="2"/>
      <c r="J710" s="2" t="s">
        <v>1652</v>
      </c>
      <c r="K710" s="2" t="s">
        <v>1651</v>
      </c>
    </row>
    <row r="711" spans="1:11" s="4" customFormat="1" ht="18" customHeight="1">
      <c r="A711" s="2" t="s">
        <v>1653</v>
      </c>
      <c r="B711" s="3"/>
      <c r="C711" s="2"/>
      <c r="D711" s="3"/>
      <c r="E711" s="2"/>
      <c r="F711" s="2" t="s">
        <v>2354</v>
      </c>
      <c r="G711" s="2"/>
      <c r="H711" s="2" t="s">
        <v>2354</v>
      </c>
      <c r="I711" s="2"/>
      <c r="J711" s="2" t="s">
        <v>1654</v>
      </c>
      <c r="K711" s="2" t="s">
        <v>1653</v>
      </c>
    </row>
    <row r="712" spans="1:11" s="4" customFormat="1" ht="18" customHeight="1">
      <c r="A712" s="2" t="s">
        <v>1655</v>
      </c>
      <c r="B712" s="3"/>
      <c r="C712" s="2"/>
      <c r="D712" s="3"/>
      <c r="E712" s="2"/>
      <c r="F712" s="2" t="s">
        <v>247</v>
      </c>
      <c r="G712" s="2"/>
      <c r="H712" s="2" t="s">
        <v>247</v>
      </c>
      <c r="I712" s="2"/>
      <c r="J712" s="2" t="s">
        <v>1656</v>
      </c>
      <c r="K712" s="2" t="s">
        <v>1655</v>
      </c>
    </row>
    <row r="713" spans="1:11" s="4" customFormat="1" ht="18" customHeight="1">
      <c r="A713" s="2" t="s">
        <v>1657</v>
      </c>
      <c r="B713" s="3"/>
      <c r="C713" s="2"/>
      <c r="D713" s="3"/>
      <c r="E713" s="2"/>
      <c r="F713" s="2" t="s">
        <v>1782</v>
      </c>
      <c r="G713" s="2"/>
      <c r="H713" s="2" t="s">
        <v>1783</v>
      </c>
      <c r="I713" s="2"/>
      <c r="J713" s="2" t="s">
        <v>422</v>
      </c>
      <c r="K713" s="2" t="s">
        <v>1657</v>
      </c>
    </row>
    <row r="714" spans="1:11" s="4" customFormat="1" ht="18" customHeight="1">
      <c r="A714" s="2" t="s">
        <v>1658</v>
      </c>
      <c r="B714" s="3"/>
      <c r="C714" s="2"/>
      <c r="D714" s="3"/>
      <c r="E714" s="2"/>
      <c r="F714" s="2" t="s">
        <v>3312</v>
      </c>
      <c r="G714" s="2"/>
      <c r="H714" s="2" t="s">
        <v>3312</v>
      </c>
      <c r="I714" s="2"/>
      <c r="J714" s="2" t="s">
        <v>1659</v>
      </c>
      <c r="K714" s="2" t="s">
        <v>1658</v>
      </c>
    </row>
    <row r="715" spans="1:11" s="4" customFormat="1" ht="18" customHeight="1">
      <c r="A715" s="2" t="s">
        <v>1660</v>
      </c>
      <c r="B715" s="3"/>
      <c r="C715" s="2"/>
      <c r="D715" s="3"/>
      <c r="E715" s="2"/>
      <c r="F715" s="2" t="s">
        <v>4041</v>
      </c>
      <c r="G715" s="2"/>
      <c r="H715" s="2" t="s">
        <v>4041</v>
      </c>
      <c r="I715" s="2"/>
      <c r="J715" s="2" t="s">
        <v>1661</v>
      </c>
      <c r="K715" s="2" t="s">
        <v>1660</v>
      </c>
    </row>
    <row r="716" spans="1:11" s="4" customFormat="1" ht="18" customHeight="1">
      <c r="A716" s="2" t="s">
        <v>1662</v>
      </c>
      <c r="B716" s="3"/>
      <c r="C716" s="2"/>
      <c r="D716" s="3"/>
      <c r="E716" s="2"/>
      <c r="F716" s="2" t="s">
        <v>3153</v>
      </c>
      <c r="G716" s="2"/>
      <c r="H716" s="2" t="s">
        <v>3153</v>
      </c>
      <c r="I716" s="2"/>
      <c r="J716" s="2" t="s">
        <v>1663</v>
      </c>
      <c r="K716" s="2" t="s">
        <v>1662</v>
      </c>
    </row>
    <row r="717" spans="1:11" s="4" customFormat="1" ht="18" customHeight="1">
      <c r="A717" s="2" t="s">
        <v>1664</v>
      </c>
      <c r="B717" s="3"/>
      <c r="C717" s="2"/>
      <c r="D717" s="3"/>
      <c r="E717" s="2"/>
      <c r="F717" s="2" t="s">
        <v>1052</v>
      </c>
      <c r="G717" s="2"/>
      <c r="H717" s="2" t="s">
        <v>1052</v>
      </c>
      <c r="I717" s="2"/>
      <c r="J717" s="2" t="s">
        <v>1665</v>
      </c>
      <c r="K717" s="2" t="s">
        <v>1664</v>
      </c>
    </row>
    <row r="718" spans="1:11" s="4" customFormat="1" ht="18" customHeight="1">
      <c r="A718" s="2" t="s">
        <v>1666</v>
      </c>
      <c r="B718" s="3"/>
      <c r="C718" s="2"/>
      <c r="D718" s="3"/>
      <c r="E718" s="2"/>
      <c r="F718" s="2" t="s">
        <v>4065</v>
      </c>
      <c r="G718" s="2"/>
      <c r="H718" s="2" t="s">
        <v>4066</v>
      </c>
      <c r="I718" s="2"/>
      <c r="J718" s="2" t="s">
        <v>1667</v>
      </c>
      <c r="K718" s="2" t="s">
        <v>1666</v>
      </c>
    </row>
    <row r="719" spans="1:11" s="4" customFormat="1" ht="18" customHeight="1">
      <c r="A719" s="2" t="s">
        <v>1668</v>
      </c>
      <c r="B719" s="3"/>
      <c r="C719" s="2"/>
      <c r="D719" s="3"/>
      <c r="E719" s="2"/>
      <c r="F719" s="2" t="s">
        <v>1061</v>
      </c>
      <c r="G719" s="2"/>
      <c r="H719" s="2" t="s">
        <v>1069</v>
      </c>
      <c r="I719" s="2"/>
      <c r="J719" s="2" t="s">
        <v>1669</v>
      </c>
      <c r="K719" s="2" t="s">
        <v>1668</v>
      </c>
    </row>
    <row r="720" spans="1:11" s="4" customFormat="1" ht="18" customHeight="1">
      <c r="A720" s="2" t="s">
        <v>1670</v>
      </c>
      <c r="B720" s="3"/>
      <c r="C720" s="2"/>
      <c r="D720" s="3"/>
      <c r="E720" s="2"/>
      <c r="F720" s="2" t="s">
        <v>3985</v>
      </c>
      <c r="G720" s="2"/>
      <c r="H720" s="2" t="s">
        <v>3985</v>
      </c>
      <c r="I720" s="2"/>
      <c r="J720" s="2" t="s">
        <v>1671</v>
      </c>
      <c r="K720" s="2" t="s">
        <v>1670</v>
      </c>
    </row>
    <row r="721" spans="1:11" s="4" customFormat="1" ht="18" customHeight="1">
      <c r="A721" s="2" t="s">
        <v>1672</v>
      </c>
      <c r="B721" s="3"/>
      <c r="C721" s="2"/>
      <c r="D721" s="3"/>
      <c r="E721" s="2"/>
      <c r="F721" s="2" t="s">
        <v>3629</v>
      </c>
      <c r="G721" s="2"/>
      <c r="H721" s="2" t="s">
        <v>3630</v>
      </c>
      <c r="I721" s="2"/>
      <c r="J721" s="2" t="s">
        <v>1673</v>
      </c>
      <c r="K721" s="2" t="s">
        <v>1672</v>
      </c>
    </row>
    <row r="722" spans="1:11" s="4" customFormat="1" ht="18" customHeight="1">
      <c r="A722" s="2" t="s">
        <v>1674</v>
      </c>
      <c r="B722" s="3"/>
      <c r="C722" s="2"/>
      <c r="D722" s="3"/>
      <c r="E722" s="2"/>
      <c r="F722" s="2" t="s">
        <v>1874</v>
      </c>
      <c r="G722" s="2"/>
      <c r="H722" s="2" t="s">
        <v>1874</v>
      </c>
      <c r="I722" s="2"/>
      <c r="J722" s="2" t="s">
        <v>1675</v>
      </c>
      <c r="K722" s="2" t="s">
        <v>1674</v>
      </c>
    </row>
    <row r="723" spans="1:11" s="4" customFormat="1" ht="18" customHeight="1">
      <c r="A723" s="2" t="s">
        <v>1676</v>
      </c>
      <c r="B723" s="3"/>
      <c r="C723" s="2"/>
      <c r="D723" s="3"/>
      <c r="E723" s="2"/>
      <c r="F723" s="2" t="s">
        <v>2234</v>
      </c>
      <c r="G723" s="2"/>
      <c r="H723" s="2" t="s">
        <v>2235</v>
      </c>
      <c r="I723" s="2"/>
      <c r="J723" s="2" t="s">
        <v>1677</v>
      </c>
      <c r="K723" s="2" t="s">
        <v>1676</v>
      </c>
    </row>
    <row r="724" spans="1:11" s="4" customFormat="1" ht="18" customHeight="1">
      <c r="A724" s="2" t="s">
        <v>1678</v>
      </c>
      <c r="B724" s="3"/>
      <c r="C724" s="2"/>
      <c r="D724" s="3"/>
      <c r="E724" s="2"/>
      <c r="F724" s="2" t="s">
        <v>2136</v>
      </c>
      <c r="G724" s="2"/>
      <c r="H724" s="2" t="s">
        <v>2136</v>
      </c>
      <c r="I724" s="2"/>
      <c r="J724" s="2" t="s">
        <v>1679</v>
      </c>
      <c r="K724" s="2" t="s">
        <v>1678</v>
      </c>
    </row>
    <row r="725" spans="1:11" s="4" customFormat="1" ht="18" customHeight="1">
      <c r="A725" s="2" t="s">
        <v>1680</v>
      </c>
      <c r="B725" s="3"/>
      <c r="C725" s="2"/>
      <c r="D725" s="3"/>
      <c r="E725" s="2"/>
      <c r="F725" s="2" t="s">
        <v>875</v>
      </c>
      <c r="G725" s="2"/>
      <c r="H725" s="2" t="s">
        <v>875</v>
      </c>
      <c r="I725" s="2"/>
      <c r="J725" s="2" t="s">
        <v>1681</v>
      </c>
      <c r="K725" s="2" t="s">
        <v>1680</v>
      </c>
    </row>
    <row r="726" spans="1:11" s="4" customFormat="1" ht="18" customHeight="1">
      <c r="A726" s="2" t="s">
        <v>1682</v>
      </c>
      <c r="B726" s="3"/>
      <c r="C726" s="2"/>
      <c r="D726" s="3"/>
      <c r="E726" s="2"/>
      <c r="F726" s="2" t="s">
        <v>1505</v>
      </c>
      <c r="G726" s="2"/>
      <c r="H726" s="2" t="s">
        <v>1505</v>
      </c>
      <c r="I726" s="2"/>
      <c r="J726" s="2" t="s">
        <v>1683</v>
      </c>
      <c r="K726" s="2" t="s">
        <v>1682</v>
      </c>
    </row>
    <row r="727" spans="1:11" s="4" customFormat="1" ht="18" customHeight="1">
      <c r="A727" s="2" t="s">
        <v>1684</v>
      </c>
      <c r="B727" s="3"/>
      <c r="C727" s="2"/>
      <c r="D727" s="3"/>
      <c r="E727" s="2"/>
      <c r="F727" s="2" t="s">
        <v>322</v>
      </c>
      <c r="G727" s="2"/>
      <c r="H727" s="2" t="s">
        <v>322</v>
      </c>
      <c r="I727" s="2"/>
      <c r="J727" s="2" t="s">
        <v>1685</v>
      </c>
      <c r="K727" s="2" t="s">
        <v>1684</v>
      </c>
    </row>
    <row r="728" spans="1:11" s="4" customFormat="1" ht="18" customHeight="1">
      <c r="A728" s="2" t="s">
        <v>1686</v>
      </c>
      <c r="B728" s="3"/>
      <c r="C728" s="2"/>
      <c r="D728" s="3"/>
      <c r="E728" s="2"/>
      <c r="F728" s="2" t="s">
        <v>340</v>
      </c>
      <c r="G728" s="2"/>
      <c r="H728" s="2" t="s">
        <v>340</v>
      </c>
      <c r="I728" s="2"/>
      <c r="J728" s="2" t="s">
        <v>1687</v>
      </c>
      <c r="K728" s="2" t="s">
        <v>1686</v>
      </c>
    </row>
    <row r="729" spans="1:11" s="4" customFormat="1" ht="18" customHeight="1">
      <c r="A729" s="2" t="s">
        <v>1688</v>
      </c>
      <c r="B729" s="3"/>
      <c r="C729" s="2"/>
      <c r="D729" s="3"/>
      <c r="E729" s="2"/>
      <c r="F729" s="2" t="s">
        <v>2441</v>
      </c>
      <c r="G729" s="2"/>
      <c r="H729" s="2" t="s">
        <v>2442</v>
      </c>
      <c r="I729" s="2"/>
      <c r="J729" s="2" t="s">
        <v>1689</v>
      </c>
      <c r="K729" s="2" t="s">
        <v>1688</v>
      </c>
    </row>
    <row r="730" spans="1:11" s="4" customFormat="1" ht="18" customHeight="1">
      <c r="A730" s="2" t="s">
        <v>1691</v>
      </c>
      <c r="B730" s="3"/>
      <c r="C730" s="2"/>
      <c r="D730" s="3"/>
      <c r="E730" s="2"/>
      <c r="F730" s="2" t="s">
        <v>965</v>
      </c>
      <c r="G730" s="2"/>
      <c r="H730" s="2" t="s">
        <v>965</v>
      </c>
      <c r="I730" s="2"/>
      <c r="J730" s="2" t="s">
        <v>1693</v>
      </c>
      <c r="K730" s="2" t="s">
        <v>1691</v>
      </c>
    </row>
    <row r="731" spans="1:11" s="4" customFormat="1" ht="18" customHeight="1">
      <c r="A731" s="2" t="s">
        <v>1694</v>
      </c>
      <c r="B731" s="3"/>
      <c r="C731" s="2"/>
      <c r="D731" s="3"/>
      <c r="E731" s="2"/>
      <c r="F731" s="2" t="s">
        <v>2420</v>
      </c>
      <c r="G731" s="2"/>
      <c r="H731" s="2" t="s">
        <v>2420</v>
      </c>
      <c r="I731" s="2"/>
      <c r="J731" s="2" t="s">
        <v>1695</v>
      </c>
      <c r="K731" s="2" t="s">
        <v>1694</v>
      </c>
    </row>
    <row r="732" spans="1:11" s="4" customFormat="1" ht="18" customHeight="1">
      <c r="A732" s="2" t="s">
        <v>1696</v>
      </c>
      <c r="B732" s="3"/>
      <c r="C732" s="2"/>
      <c r="D732" s="3"/>
      <c r="E732" s="2"/>
      <c r="F732" s="2" t="s">
        <v>2793</v>
      </c>
      <c r="G732" s="2"/>
      <c r="H732" s="2" t="s">
        <v>2793</v>
      </c>
      <c r="I732" s="2"/>
      <c r="J732" s="2" t="s">
        <v>1697</v>
      </c>
      <c r="K732" s="2" t="s">
        <v>1696</v>
      </c>
    </row>
    <row r="733" spans="1:11" s="4" customFormat="1" ht="18" customHeight="1">
      <c r="A733" s="2" t="s">
        <v>1699</v>
      </c>
      <c r="B733" s="3"/>
      <c r="C733" s="2"/>
      <c r="D733" s="3"/>
      <c r="E733" s="2"/>
      <c r="F733" s="2" t="s">
        <v>211</v>
      </c>
      <c r="G733" s="2"/>
      <c r="H733" s="2" t="s">
        <v>212</v>
      </c>
      <c r="I733" s="2"/>
      <c r="J733" s="2" t="s">
        <v>1700</v>
      </c>
      <c r="K733" s="2" t="s">
        <v>1699</v>
      </c>
    </row>
    <row r="734" spans="1:11" s="4" customFormat="1" ht="18" customHeight="1">
      <c r="A734" s="2" t="s">
        <v>1701</v>
      </c>
      <c r="B734" s="3"/>
      <c r="C734" s="2"/>
      <c r="D734" s="3"/>
      <c r="E734" s="2"/>
      <c r="F734" s="2" t="s">
        <v>3183</v>
      </c>
      <c r="G734" s="2"/>
      <c r="H734" s="2" t="s">
        <v>3183</v>
      </c>
      <c r="I734" s="2"/>
      <c r="J734" s="2" t="s">
        <v>1702</v>
      </c>
      <c r="K734" s="2" t="s">
        <v>1701</v>
      </c>
    </row>
    <row r="735" spans="1:11" s="4" customFormat="1" ht="18" customHeight="1">
      <c r="A735" s="2" t="s">
        <v>1703</v>
      </c>
      <c r="B735" s="3"/>
      <c r="C735" s="2"/>
      <c r="D735" s="3"/>
      <c r="E735" s="2"/>
      <c r="F735" s="2" t="s">
        <v>3240</v>
      </c>
      <c r="G735" s="2"/>
      <c r="H735" s="2" t="s">
        <v>3240</v>
      </c>
      <c r="I735" s="2"/>
      <c r="J735" s="2" t="s">
        <v>1085</v>
      </c>
      <c r="K735" s="2" t="s">
        <v>1703</v>
      </c>
    </row>
    <row r="736" spans="1:11" s="4" customFormat="1" ht="18" customHeight="1">
      <c r="A736" s="2" t="s">
        <v>1704</v>
      </c>
      <c r="B736" s="3"/>
      <c r="C736" s="2"/>
      <c r="D736" s="3"/>
      <c r="E736" s="2"/>
      <c r="F736" s="2" t="s">
        <v>3788</v>
      </c>
      <c r="G736" s="2"/>
      <c r="H736" s="2" t="s">
        <v>3788</v>
      </c>
      <c r="I736" s="2"/>
      <c r="J736" s="2" t="s">
        <v>1705</v>
      </c>
      <c r="K736" s="2" t="s">
        <v>1704</v>
      </c>
    </row>
    <row r="737" spans="1:11" s="4" customFormat="1" ht="18" customHeight="1">
      <c r="A737" s="2" t="s">
        <v>1706</v>
      </c>
      <c r="B737" s="3"/>
      <c r="C737" s="2"/>
      <c r="D737" s="3"/>
      <c r="E737" s="2"/>
      <c r="F737" s="2" t="s">
        <v>2658</v>
      </c>
      <c r="G737" s="2"/>
      <c r="H737" s="2" t="s">
        <v>2658</v>
      </c>
      <c r="I737" s="2"/>
      <c r="J737" s="2" t="s">
        <v>1707</v>
      </c>
      <c r="K737" s="2" t="s">
        <v>1706</v>
      </c>
    </row>
    <row r="738" spans="1:11" s="4" customFormat="1" ht="18" customHeight="1">
      <c r="A738" s="2" t="s">
        <v>1709</v>
      </c>
      <c r="B738" s="3"/>
      <c r="C738" s="2"/>
      <c r="D738" s="3"/>
      <c r="E738" s="2"/>
      <c r="F738" s="2" t="s">
        <v>1365</v>
      </c>
      <c r="G738" s="2"/>
      <c r="H738" s="2" t="s">
        <v>1365</v>
      </c>
      <c r="I738" s="2"/>
      <c r="J738" s="2" t="s">
        <v>1711</v>
      </c>
      <c r="K738" s="2" t="s">
        <v>1709</v>
      </c>
    </row>
    <row r="739" spans="1:11" s="4" customFormat="1" ht="18" customHeight="1">
      <c r="A739" s="2" t="s">
        <v>1712</v>
      </c>
      <c r="B739" s="3"/>
      <c r="C739" s="2"/>
      <c r="D739" s="3"/>
      <c r="E739" s="2"/>
      <c r="F739" s="2" t="s">
        <v>1365</v>
      </c>
      <c r="G739" s="2"/>
      <c r="H739" s="2" t="s">
        <v>1365</v>
      </c>
      <c r="I739" s="2"/>
      <c r="J739" s="2" t="s">
        <v>1713</v>
      </c>
      <c r="K739" s="2" t="s">
        <v>1712</v>
      </c>
    </row>
    <row r="740" spans="1:11" s="4" customFormat="1" ht="18" customHeight="1">
      <c r="A740" s="2" t="s">
        <v>1714</v>
      </c>
      <c r="B740" s="3"/>
      <c r="C740" s="2"/>
      <c r="D740" s="3"/>
      <c r="E740" s="2"/>
      <c r="F740" s="2" t="s">
        <v>2832</v>
      </c>
      <c r="G740" s="2"/>
      <c r="H740" s="2" t="s">
        <v>2832</v>
      </c>
      <c r="I740" s="2"/>
      <c r="J740" s="2" t="s">
        <v>1715</v>
      </c>
      <c r="K740" s="2" t="s">
        <v>1714</v>
      </c>
    </row>
    <row r="741" spans="1:11" s="4" customFormat="1" ht="18" customHeight="1">
      <c r="A741" s="2" t="s">
        <v>1716</v>
      </c>
      <c r="B741" s="3"/>
      <c r="C741" s="2"/>
      <c r="D741" s="3"/>
      <c r="E741" s="2"/>
      <c r="F741" s="2" t="s">
        <v>1130</v>
      </c>
      <c r="G741" s="2"/>
      <c r="H741" s="2" t="s">
        <v>1131</v>
      </c>
      <c r="I741" s="2"/>
      <c r="J741" s="2" t="s">
        <v>1717</v>
      </c>
      <c r="K741" s="2" t="s">
        <v>1716</v>
      </c>
    </row>
    <row r="742" spans="1:11" s="4" customFormat="1" ht="18" customHeight="1">
      <c r="A742" s="2" t="s">
        <v>1718</v>
      </c>
      <c r="B742" s="3"/>
      <c r="C742" s="2"/>
      <c r="D742" s="3"/>
      <c r="E742" s="2"/>
      <c r="F742" s="2" t="s">
        <v>3444</v>
      </c>
      <c r="G742" s="2"/>
      <c r="H742" s="2" t="s">
        <v>3444</v>
      </c>
      <c r="I742" s="2"/>
      <c r="J742" s="2" t="s">
        <v>1719</v>
      </c>
      <c r="K742" s="2" t="s">
        <v>1718</v>
      </c>
    </row>
    <row r="743" spans="1:11" s="4" customFormat="1" ht="18" customHeight="1">
      <c r="A743" s="2" t="s">
        <v>1720</v>
      </c>
      <c r="B743" s="3"/>
      <c r="C743" s="2"/>
      <c r="D743" s="3"/>
      <c r="E743" s="2"/>
      <c r="F743" s="2" t="s">
        <v>2138</v>
      </c>
      <c r="G743" s="2"/>
      <c r="H743" s="2" t="s">
        <v>2138</v>
      </c>
      <c r="I743" s="2"/>
      <c r="J743" s="2" t="s">
        <v>1586</v>
      </c>
      <c r="K743" s="2" t="s">
        <v>1720</v>
      </c>
    </row>
    <row r="744" spans="1:11" s="4" customFormat="1" ht="18" customHeight="1">
      <c r="A744" s="2" t="s">
        <v>1721</v>
      </c>
      <c r="B744" s="3"/>
      <c r="C744" s="2"/>
      <c r="D744" s="3"/>
      <c r="E744" s="2"/>
      <c r="F744" s="2" t="s">
        <v>2212</v>
      </c>
      <c r="G744" s="2"/>
      <c r="H744" s="2" t="s">
        <v>2212</v>
      </c>
      <c r="I744" s="2"/>
      <c r="J744" s="2" t="s">
        <v>569</v>
      </c>
      <c r="K744" s="2" t="s">
        <v>1721</v>
      </c>
    </row>
    <row r="745" spans="1:11" s="4" customFormat="1" ht="18" customHeight="1">
      <c r="A745" s="2" t="s">
        <v>1722</v>
      </c>
      <c r="B745" s="3"/>
      <c r="C745" s="2"/>
      <c r="D745" s="3"/>
      <c r="E745" s="2"/>
      <c r="F745" s="2" t="s">
        <v>1396</v>
      </c>
      <c r="G745" s="2"/>
      <c r="H745" s="2" t="s">
        <v>1397</v>
      </c>
      <c r="I745" s="2"/>
      <c r="J745" s="2" t="s">
        <v>1723</v>
      </c>
      <c r="K745" s="2" t="s">
        <v>1722</v>
      </c>
    </row>
    <row r="746" spans="1:11" s="4" customFormat="1" ht="18" customHeight="1">
      <c r="A746" s="2" t="s">
        <v>1724</v>
      </c>
      <c r="B746" s="3"/>
      <c r="C746" s="2"/>
      <c r="D746" s="3"/>
      <c r="E746" s="2"/>
      <c r="F746" s="2" t="s">
        <v>2158</v>
      </c>
      <c r="G746" s="2"/>
      <c r="H746" s="2" t="s">
        <v>2159</v>
      </c>
      <c r="I746" s="2"/>
      <c r="J746" s="2" t="s">
        <v>280</v>
      </c>
      <c r="K746" s="2" t="s">
        <v>1724</v>
      </c>
    </row>
    <row r="747" spans="1:11" s="4" customFormat="1" ht="18" customHeight="1">
      <c r="A747" s="2" t="s">
        <v>1726</v>
      </c>
      <c r="B747" s="3"/>
      <c r="C747" s="2"/>
      <c r="D747" s="3"/>
      <c r="E747" s="2"/>
      <c r="F747" s="2" t="s">
        <v>3598</v>
      </c>
      <c r="G747" s="2"/>
      <c r="H747" s="2" t="s">
        <v>3599</v>
      </c>
      <c r="I747" s="2"/>
      <c r="J747" s="2" t="s">
        <v>1727</v>
      </c>
      <c r="K747" s="2" t="s">
        <v>1726</v>
      </c>
    </row>
    <row r="748" spans="1:11" s="4" customFormat="1" ht="18" customHeight="1">
      <c r="A748" s="2" t="s">
        <v>1728</v>
      </c>
      <c r="B748" s="3"/>
      <c r="C748" s="2"/>
      <c r="D748" s="3"/>
      <c r="E748" s="2"/>
      <c r="F748" s="2" t="s">
        <v>1399</v>
      </c>
      <c r="G748" s="2"/>
      <c r="H748" s="2" t="s">
        <v>1400</v>
      </c>
      <c r="I748" s="2"/>
      <c r="J748" s="2" t="s">
        <v>1729</v>
      </c>
      <c r="K748" s="2" t="s">
        <v>1728</v>
      </c>
    </row>
    <row r="749" spans="1:11" s="4" customFormat="1" ht="18" customHeight="1">
      <c r="A749" s="2" t="s">
        <v>1730</v>
      </c>
      <c r="B749" s="3"/>
      <c r="C749" s="2"/>
      <c r="D749" s="3"/>
      <c r="E749" s="2"/>
      <c r="F749" s="2" t="s">
        <v>2745</v>
      </c>
      <c r="G749" s="2"/>
      <c r="H749" s="2" t="s">
        <v>2745</v>
      </c>
      <c r="I749" s="2"/>
      <c r="J749" s="2" t="s">
        <v>1731</v>
      </c>
      <c r="K749" s="2" t="s">
        <v>1730</v>
      </c>
    </row>
    <row r="750" spans="1:11" s="4" customFormat="1" ht="18" customHeight="1">
      <c r="A750" s="2" t="s">
        <v>1732</v>
      </c>
      <c r="B750" s="3"/>
      <c r="C750" s="2"/>
      <c r="D750" s="3"/>
      <c r="E750" s="2"/>
      <c r="F750" s="2" t="s">
        <v>922</v>
      </c>
      <c r="G750" s="2"/>
      <c r="H750" s="2" t="s">
        <v>923</v>
      </c>
      <c r="I750" s="2"/>
      <c r="J750" s="2" t="s">
        <v>1733</v>
      </c>
      <c r="K750" s="2" t="s">
        <v>1732</v>
      </c>
    </row>
    <row r="751" spans="1:11" s="4" customFormat="1" ht="18" customHeight="1">
      <c r="A751" s="2" t="s">
        <v>1734</v>
      </c>
      <c r="B751" s="3"/>
      <c r="C751" s="2"/>
      <c r="D751" s="3"/>
      <c r="E751" s="2"/>
      <c r="F751" s="2" t="s">
        <v>1554</v>
      </c>
      <c r="G751" s="2"/>
      <c r="H751" s="2" t="s">
        <v>1555</v>
      </c>
      <c r="I751" s="2"/>
      <c r="J751" s="2" t="s">
        <v>1735</v>
      </c>
      <c r="K751" s="2" t="s">
        <v>1734</v>
      </c>
    </row>
    <row r="752" spans="1:11" s="4" customFormat="1" ht="18" customHeight="1">
      <c r="A752" s="2" t="s">
        <v>1736</v>
      </c>
      <c r="B752" s="3"/>
      <c r="C752" s="2"/>
      <c r="D752" s="3"/>
      <c r="E752" s="2"/>
      <c r="F752" s="2" t="s">
        <v>740</v>
      </c>
      <c r="G752" s="2"/>
      <c r="H752" s="2" t="s">
        <v>741</v>
      </c>
      <c r="I752" s="2"/>
      <c r="J752" s="2" t="s">
        <v>1737</v>
      </c>
      <c r="K752" s="2" t="s">
        <v>1736</v>
      </c>
    </row>
    <row r="753" spans="1:11" s="4" customFormat="1" ht="18" customHeight="1">
      <c r="A753" s="2" t="s">
        <v>1738</v>
      </c>
      <c r="B753" s="3"/>
      <c r="C753" s="2"/>
      <c r="D753" s="3"/>
      <c r="E753" s="2"/>
      <c r="F753" s="2" t="s">
        <v>927</v>
      </c>
      <c r="G753" s="2"/>
      <c r="H753" s="2" t="s">
        <v>928</v>
      </c>
      <c r="I753" s="2"/>
      <c r="J753" s="2" t="s">
        <v>1739</v>
      </c>
      <c r="K753" s="2" t="s">
        <v>1738</v>
      </c>
    </row>
    <row r="754" spans="1:11" s="4" customFormat="1" ht="18" customHeight="1">
      <c r="A754" s="2" t="s">
        <v>1740</v>
      </c>
      <c r="B754" s="3"/>
      <c r="C754" s="2"/>
      <c r="D754" s="3"/>
      <c r="E754" s="2"/>
      <c r="F754" s="2" t="s">
        <v>1557</v>
      </c>
      <c r="G754" s="2"/>
      <c r="H754" s="2" t="s">
        <v>1558</v>
      </c>
      <c r="I754" s="2"/>
      <c r="J754" s="2" t="s">
        <v>1741</v>
      </c>
      <c r="K754" s="2" t="s">
        <v>1740</v>
      </c>
    </row>
    <row r="755" spans="1:11" s="4" customFormat="1" ht="18" customHeight="1">
      <c r="A755" s="2" t="s">
        <v>1743</v>
      </c>
      <c r="B755" s="3"/>
      <c r="C755" s="2"/>
      <c r="D755" s="3"/>
      <c r="E755" s="2"/>
      <c r="F755" s="2" t="s">
        <v>750</v>
      </c>
      <c r="G755" s="2"/>
      <c r="H755" s="2" t="s">
        <v>751</v>
      </c>
      <c r="I755" s="2"/>
      <c r="J755" s="2" t="s">
        <v>1744</v>
      </c>
      <c r="K755" s="2" t="s">
        <v>1743</v>
      </c>
    </row>
    <row r="756" spans="1:11" s="4" customFormat="1" ht="18" customHeight="1">
      <c r="A756" s="2" t="s">
        <v>1745</v>
      </c>
      <c r="B756" s="3"/>
      <c r="C756" s="2"/>
      <c r="D756" s="3"/>
      <c r="E756" s="2"/>
      <c r="F756" s="2" t="s">
        <v>3918</v>
      </c>
      <c r="G756" s="2"/>
      <c r="H756" s="2" t="s">
        <v>3918</v>
      </c>
      <c r="I756" s="2"/>
      <c r="J756" s="2" t="s">
        <v>1013</v>
      </c>
      <c r="K756" s="2" t="s">
        <v>1745</v>
      </c>
    </row>
    <row r="757" spans="1:11" s="4" customFormat="1" ht="18" customHeight="1">
      <c r="A757" s="2" t="s">
        <v>1746</v>
      </c>
      <c r="B757" s="3"/>
      <c r="C757" s="2"/>
      <c r="D757" s="3"/>
      <c r="E757" s="2"/>
      <c r="F757" s="2" t="s">
        <v>3851</v>
      </c>
      <c r="G757" s="2"/>
      <c r="H757" s="2" t="s">
        <v>3851</v>
      </c>
      <c r="I757" s="2"/>
      <c r="J757" s="2" t="s">
        <v>1747</v>
      </c>
      <c r="K757" s="2" t="s">
        <v>1746</v>
      </c>
    </row>
    <row r="758" spans="1:11" s="4" customFormat="1" ht="18" customHeight="1">
      <c r="A758" s="2" t="s">
        <v>1748</v>
      </c>
      <c r="B758" s="3"/>
      <c r="C758" s="2"/>
      <c r="D758" s="3"/>
      <c r="E758" s="2"/>
      <c r="F758" s="2" t="s">
        <v>1927</v>
      </c>
      <c r="G758" s="2"/>
      <c r="H758" s="2" t="s">
        <v>1927</v>
      </c>
      <c r="I758" s="2"/>
      <c r="J758" s="2" t="s">
        <v>1749</v>
      </c>
      <c r="K758" s="2" t="s">
        <v>1748</v>
      </c>
    </row>
    <row r="759" spans="1:11" s="4" customFormat="1" ht="18" customHeight="1">
      <c r="A759" s="2" t="s">
        <v>1751</v>
      </c>
      <c r="B759" s="3"/>
      <c r="C759" s="2"/>
      <c r="D759" s="3"/>
      <c r="E759" s="2"/>
      <c r="F759" s="2" t="s">
        <v>2444</v>
      </c>
      <c r="G759" s="2"/>
      <c r="H759" s="2" t="s">
        <v>2444</v>
      </c>
      <c r="I759" s="2"/>
      <c r="J759" s="2" t="s">
        <v>1752</v>
      </c>
      <c r="K759" s="2" t="s">
        <v>1751</v>
      </c>
    </row>
    <row r="760" spans="1:11" s="4" customFormat="1" ht="18" customHeight="1">
      <c r="A760" s="2" t="s">
        <v>1753</v>
      </c>
      <c r="B760" s="3"/>
      <c r="C760" s="2"/>
      <c r="D760" s="3"/>
      <c r="E760" s="2"/>
      <c r="F760" s="2" t="s">
        <v>2444</v>
      </c>
      <c r="G760" s="2"/>
      <c r="H760" s="2" t="s">
        <v>2444</v>
      </c>
      <c r="I760" s="2"/>
      <c r="J760" s="2" t="s">
        <v>1754</v>
      </c>
      <c r="K760" s="2" t="s">
        <v>1753</v>
      </c>
    </row>
    <row r="761" spans="1:11" s="4" customFormat="1" ht="18" customHeight="1">
      <c r="A761" s="2" t="s">
        <v>1756</v>
      </c>
      <c r="B761" s="3"/>
      <c r="C761" s="2"/>
      <c r="D761" s="3"/>
      <c r="E761" s="2"/>
      <c r="F761" s="2" t="s">
        <v>3639</v>
      </c>
      <c r="G761" s="2"/>
      <c r="H761" s="2" t="s">
        <v>3639</v>
      </c>
      <c r="I761" s="2"/>
      <c r="J761" s="2" t="s">
        <v>1757</v>
      </c>
      <c r="K761" s="2" t="s">
        <v>1756</v>
      </c>
    </row>
    <row r="762" spans="1:11" s="4" customFormat="1" ht="18" customHeight="1">
      <c r="A762" s="2" t="s">
        <v>1759</v>
      </c>
      <c r="B762" s="3"/>
      <c r="C762" s="2"/>
      <c r="D762" s="3"/>
      <c r="E762" s="2"/>
      <c r="F762" s="2" t="s">
        <v>3734</v>
      </c>
      <c r="G762" s="2"/>
      <c r="H762" s="2" t="s">
        <v>3734</v>
      </c>
      <c r="I762" s="2"/>
      <c r="J762" s="2" t="s">
        <v>1761</v>
      </c>
      <c r="K762" s="2" t="s">
        <v>1759</v>
      </c>
    </row>
    <row r="763" spans="1:11" s="4" customFormat="1" ht="18" customHeight="1">
      <c r="A763" s="2" t="s">
        <v>1763</v>
      </c>
      <c r="B763" s="3"/>
      <c r="C763" s="2"/>
      <c r="D763" s="3"/>
      <c r="E763" s="2"/>
      <c r="F763" s="2" t="s">
        <v>198</v>
      </c>
      <c r="G763" s="2"/>
      <c r="H763" s="2" t="s">
        <v>198</v>
      </c>
      <c r="I763" s="2"/>
      <c r="J763" s="2" t="s">
        <v>1764</v>
      </c>
      <c r="K763" s="2" t="s">
        <v>1763</v>
      </c>
    </row>
    <row r="764" spans="1:11" s="4" customFormat="1" ht="18" customHeight="1">
      <c r="A764" s="2" t="s">
        <v>1765</v>
      </c>
      <c r="B764" s="3"/>
      <c r="C764" s="2"/>
      <c r="D764" s="3"/>
      <c r="E764" s="2"/>
      <c r="F764" s="2" t="s">
        <v>2324</v>
      </c>
      <c r="G764" s="2"/>
      <c r="H764" s="2" t="s">
        <v>2324</v>
      </c>
      <c r="I764" s="2"/>
      <c r="J764" s="2" t="s">
        <v>1766</v>
      </c>
      <c r="K764" s="2" t="s">
        <v>1765</v>
      </c>
    </row>
    <row r="765" spans="1:11" s="4" customFormat="1" ht="18" customHeight="1">
      <c r="A765" s="2" t="s">
        <v>1768</v>
      </c>
      <c r="B765" s="3"/>
      <c r="C765" s="2"/>
      <c r="D765" s="3"/>
      <c r="E765" s="2"/>
      <c r="F765" s="2" t="s">
        <v>773</v>
      </c>
      <c r="G765" s="2"/>
      <c r="H765" s="2" t="s">
        <v>774</v>
      </c>
      <c r="I765" s="2"/>
      <c r="J765" s="2" t="s">
        <v>1769</v>
      </c>
      <c r="K765" s="2" t="s">
        <v>1768</v>
      </c>
    </row>
    <row r="766" spans="1:11" s="4" customFormat="1" ht="18" customHeight="1">
      <c r="A766" s="2" t="s">
        <v>1770</v>
      </c>
      <c r="B766" s="3"/>
      <c r="C766" s="2"/>
      <c r="D766" s="3"/>
      <c r="E766" s="2"/>
      <c r="F766" s="2" t="s">
        <v>738</v>
      </c>
      <c r="G766" s="2"/>
      <c r="H766" s="2" t="s">
        <v>738</v>
      </c>
      <c r="I766" s="2"/>
      <c r="J766" s="2" t="s">
        <v>815</v>
      </c>
      <c r="K766" s="2" t="s">
        <v>1770</v>
      </c>
    </row>
    <row r="767" spans="1:11" s="4" customFormat="1" ht="18" customHeight="1">
      <c r="A767" s="2" t="s">
        <v>1772</v>
      </c>
      <c r="B767" s="3"/>
      <c r="C767" s="2"/>
      <c r="D767" s="3"/>
      <c r="E767" s="2"/>
      <c r="F767" s="2" t="s">
        <v>3645</v>
      </c>
      <c r="G767" s="2"/>
      <c r="H767" s="2" t="s">
        <v>3645</v>
      </c>
      <c r="I767" s="2"/>
      <c r="J767" s="2" t="s">
        <v>1773</v>
      </c>
      <c r="K767" s="2" t="s">
        <v>1772</v>
      </c>
    </row>
    <row r="768" spans="1:11" s="4" customFormat="1" ht="18" customHeight="1">
      <c r="A768" s="2" t="s">
        <v>1774</v>
      </c>
      <c r="B768" s="3"/>
      <c r="C768" s="2"/>
      <c r="D768" s="3"/>
      <c r="E768" s="2"/>
      <c r="F768" s="2" t="s">
        <v>1775</v>
      </c>
      <c r="G768" s="2"/>
      <c r="H768" s="2" t="s">
        <v>1775</v>
      </c>
      <c r="I768" s="2"/>
      <c r="J768" s="2" t="s">
        <v>1775</v>
      </c>
      <c r="K768" s="2" t="s">
        <v>1774</v>
      </c>
    </row>
    <row r="769" spans="1:11" s="4" customFormat="1" ht="18" customHeight="1">
      <c r="A769" s="2" t="s">
        <v>1776</v>
      </c>
      <c r="B769" s="3"/>
      <c r="C769" s="2"/>
      <c r="D769" s="3"/>
      <c r="E769" s="2"/>
      <c r="F769" s="2" t="s">
        <v>713</v>
      </c>
      <c r="G769" s="2"/>
      <c r="H769" s="2" t="s">
        <v>713</v>
      </c>
      <c r="I769" s="2"/>
      <c r="J769" s="2" t="s">
        <v>1777</v>
      </c>
      <c r="K769" s="2" t="s">
        <v>1776</v>
      </c>
    </row>
    <row r="770" spans="1:11" s="4" customFormat="1" ht="18" customHeight="1">
      <c r="A770" s="2" t="s">
        <v>1778</v>
      </c>
      <c r="B770" s="3"/>
      <c r="C770" s="2"/>
      <c r="D770" s="3"/>
      <c r="E770" s="2"/>
      <c r="F770" s="2" t="s">
        <v>1820</v>
      </c>
      <c r="G770" s="2"/>
      <c r="H770" s="2" t="s">
        <v>1821</v>
      </c>
      <c r="I770" s="2"/>
      <c r="J770" s="2" t="s">
        <v>855</v>
      </c>
      <c r="K770" s="2" t="s">
        <v>1778</v>
      </c>
    </row>
    <row r="771" spans="1:11" s="4" customFormat="1" ht="18" customHeight="1">
      <c r="A771" s="2" t="s">
        <v>1779</v>
      </c>
      <c r="B771" s="3"/>
      <c r="C771" s="2"/>
      <c r="D771" s="3"/>
      <c r="E771" s="2"/>
      <c r="F771" s="2" t="s">
        <v>1697</v>
      </c>
      <c r="G771" s="2"/>
      <c r="H771" s="2" t="s">
        <v>1698</v>
      </c>
      <c r="I771" s="2"/>
      <c r="J771" s="2" t="s">
        <v>1780</v>
      </c>
      <c r="K771" s="2" t="s">
        <v>1779</v>
      </c>
    </row>
    <row r="772" spans="1:11" s="4" customFormat="1" ht="18" customHeight="1">
      <c r="A772" s="2" t="s">
        <v>1781</v>
      </c>
      <c r="B772" s="3"/>
      <c r="C772" s="2"/>
      <c r="D772" s="3"/>
      <c r="E772" s="2"/>
      <c r="F772" s="2" t="s">
        <v>3430</v>
      </c>
      <c r="G772" s="2"/>
      <c r="H772" s="2" t="s">
        <v>3430</v>
      </c>
      <c r="I772" s="2"/>
      <c r="J772" s="2" t="s">
        <v>1782</v>
      </c>
      <c r="K772" s="2" t="s">
        <v>1781</v>
      </c>
    </row>
    <row r="773" spans="1:11" s="4" customFormat="1" ht="18" customHeight="1">
      <c r="A773" s="2" t="s">
        <v>1784</v>
      </c>
      <c r="B773" s="3"/>
      <c r="C773" s="2"/>
      <c r="D773" s="3"/>
      <c r="E773" s="2"/>
      <c r="F773" s="2" t="s">
        <v>3920</v>
      </c>
      <c r="G773" s="2"/>
      <c r="H773" s="2" t="s">
        <v>3921</v>
      </c>
      <c r="I773" s="2"/>
      <c r="J773" s="2" t="s">
        <v>1785</v>
      </c>
      <c r="K773" s="2" t="s">
        <v>1784</v>
      </c>
    </row>
    <row r="774" spans="1:11" s="4" customFormat="1" ht="18" customHeight="1">
      <c r="A774" s="2" t="s">
        <v>1786</v>
      </c>
      <c r="B774" s="3"/>
      <c r="C774" s="2"/>
      <c r="D774" s="3"/>
      <c r="E774" s="2"/>
      <c r="F774" s="2" t="s">
        <v>3534</v>
      </c>
      <c r="G774" s="2"/>
      <c r="H774" s="2" t="s">
        <v>3535</v>
      </c>
      <c r="I774" s="2"/>
      <c r="J774" s="2" t="s">
        <v>1787</v>
      </c>
      <c r="K774" s="2" t="s">
        <v>1786</v>
      </c>
    </row>
    <row r="775" spans="1:11" s="4" customFormat="1" ht="18" customHeight="1">
      <c r="A775" s="2" t="s">
        <v>1788</v>
      </c>
      <c r="B775" s="3"/>
      <c r="C775" s="2"/>
      <c r="D775" s="3"/>
      <c r="E775" s="2"/>
      <c r="F775" s="2" t="s">
        <v>3338</v>
      </c>
      <c r="G775" s="2"/>
      <c r="H775" s="2" t="s">
        <v>3338</v>
      </c>
      <c r="I775" s="2"/>
      <c r="J775" s="2" t="s">
        <v>1789</v>
      </c>
      <c r="K775" s="2" t="s">
        <v>1788</v>
      </c>
    </row>
    <row r="776" spans="1:11" s="4" customFormat="1" ht="18" customHeight="1">
      <c r="A776" s="2" t="s">
        <v>1791</v>
      </c>
      <c r="B776" s="3"/>
      <c r="C776" s="2"/>
      <c r="D776" s="3"/>
      <c r="E776" s="2"/>
      <c r="F776" s="2" t="s">
        <v>1534</v>
      </c>
      <c r="G776" s="2"/>
      <c r="H776" s="2" t="s">
        <v>1534</v>
      </c>
      <c r="I776" s="2"/>
      <c r="J776" s="2" t="s">
        <v>1792</v>
      </c>
      <c r="K776" s="2" t="s">
        <v>1791</v>
      </c>
    </row>
    <row r="777" spans="1:11" s="4" customFormat="1" ht="18" customHeight="1">
      <c r="A777" s="2" t="s">
        <v>1793</v>
      </c>
      <c r="B777" s="3"/>
      <c r="C777" s="2"/>
      <c r="D777" s="3"/>
      <c r="E777" s="2"/>
      <c r="F777" s="2" t="s">
        <v>4009</v>
      </c>
      <c r="G777" s="2"/>
      <c r="H777" s="2" t="s">
        <v>4010</v>
      </c>
      <c r="I777" s="2"/>
      <c r="J777" s="2" t="s">
        <v>1794</v>
      </c>
      <c r="K777" s="2" t="s">
        <v>1793</v>
      </c>
    </row>
    <row r="778" spans="1:11" s="4" customFormat="1" ht="18" customHeight="1">
      <c r="A778" s="2" t="s">
        <v>1795</v>
      </c>
      <c r="B778" s="3"/>
      <c r="C778" s="2"/>
      <c r="D778" s="3"/>
      <c r="E778" s="2"/>
      <c r="F778" s="2" t="s">
        <v>2642</v>
      </c>
      <c r="G778" s="2"/>
      <c r="H778" s="2" t="s">
        <v>2642</v>
      </c>
      <c r="I778" s="2"/>
      <c r="J778" s="2" t="s">
        <v>1796</v>
      </c>
      <c r="K778" s="2" t="s">
        <v>1795</v>
      </c>
    </row>
    <row r="779" spans="1:11" s="4" customFormat="1" ht="18" customHeight="1">
      <c r="A779" s="2" t="s">
        <v>1797</v>
      </c>
      <c r="B779" s="3"/>
      <c r="C779" s="2"/>
      <c r="D779" s="3"/>
      <c r="E779" s="2"/>
      <c r="F779" s="2" t="s">
        <v>1602</v>
      </c>
      <c r="G779" s="2"/>
      <c r="H779" s="2" t="s">
        <v>1602</v>
      </c>
      <c r="I779" s="2"/>
      <c r="J779" s="2" t="s">
        <v>1798</v>
      </c>
      <c r="K779" s="2" t="s">
        <v>1797</v>
      </c>
    </row>
    <row r="780" spans="1:11" s="4" customFormat="1" ht="18" customHeight="1">
      <c r="A780" s="2" t="s">
        <v>1799</v>
      </c>
      <c r="B780" s="3"/>
      <c r="C780" s="2"/>
      <c r="D780" s="3"/>
      <c r="E780" s="2"/>
      <c r="F780" s="2" t="s">
        <v>1602</v>
      </c>
      <c r="G780" s="2"/>
      <c r="H780" s="2" t="s">
        <v>1602</v>
      </c>
      <c r="I780" s="2"/>
      <c r="J780" s="2" t="s">
        <v>1800</v>
      </c>
      <c r="K780" s="2" t="s">
        <v>1799</v>
      </c>
    </row>
    <row r="781" spans="1:11" s="4" customFormat="1" ht="18" customHeight="1">
      <c r="A781" s="2" t="s">
        <v>1801</v>
      </c>
      <c r="B781" s="3"/>
      <c r="C781" s="2"/>
      <c r="D781" s="3"/>
      <c r="E781" s="2"/>
      <c r="F781" s="2" t="s">
        <v>1570</v>
      </c>
      <c r="G781" s="2"/>
      <c r="H781" s="2" t="s">
        <v>1570</v>
      </c>
      <c r="I781" s="2"/>
      <c r="J781" s="2" t="s">
        <v>1802</v>
      </c>
      <c r="K781" s="2" t="s">
        <v>1801</v>
      </c>
    </row>
    <row r="782" spans="1:11" s="4" customFormat="1" ht="18" customHeight="1">
      <c r="A782" s="2" t="s">
        <v>1803</v>
      </c>
      <c r="B782" s="3"/>
      <c r="C782" s="2"/>
      <c r="D782" s="3"/>
      <c r="E782" s="2"/>
      <c r="F782" s="2" t="s">
        <v>3506</v>
      </c>
      <c r="G782" s="2"/>
      <c r="H782" s="2" t="s">
        <v>3506</v>
      </c>
      <c r="I782" s="2"/>
      <c r="J782" s="2" t="s">
        <v>1804</v>
      </c>
      <c r="K782" s="2" t="s">
        <v>1803</v>
      </c>
    </row>
    <row r="783" spans="1:11" s="4" customFormat="1" ht="18" customHeight="1">
      <c r="A783" s="2" t="s">
        <v>1805</v>
      </c>
      <c r="B783" s="3"/>
      <c r="C783" s="2"/>
      <c r="D783" s="3"/>
      <c r="E783" s="2"/>
      <c r="F783" s="2" t="s">
        <v>154</v>
      </c>
      <c r="G783" s="2"/>
      <c r="H783" s="2" t="s">
        <v>154</v>
      </c>
      <c r="I783" s="2"/>
      <c r="J783" s="2" t="s">
        <v>1806</v>
      </c>
      <c r="K783" s="2" t="s">
        <v>1805</v>
      </c>
    </row>
    <row r="784" spans="1:11" s="4" customFormat="1" ht="18" customHeight="1">
      <c r="A784" s="2" t="s">
        <v>1807</v>
      </c>
      <c r="B784" s="3"/>
      <c r="C784" s="2"/>
      <c r="D784" s="3"/>
      <c r="E784" s="2"/>
      <c r="F784" s="2" t="s">
        <v>877</v>
      </c>
      <c r="G784" s="2"/>
      <c r="H784" s="2" t="s">
        <v>877</v>
      </c>
      <c r="I784" s="2"/>
      <c r="J784" s="2" t="s">
        <v>1808</v>
      </c>
      <c r="K784" s="2" t="s">
        <v>1807</v>
      </c>
    </row>
    <row r="785" spans="1:11" s="4" customFormat="1" ht="18" customHeight="1">
      <c r="A785" s="2" t="s">
        <v>1809</v>
      </c>
      <c r="B785" s="3"/>
      <c r="C785" s="2"/>
      <c r="D785" s="3"/>
      <c r="E785" s="2"/>
      <c r="F785" s="2" t="s">
        <v>342</v>
      </c>
      <c r="G785" s="2"/>
      <c r="H785" s="2" t="s">
        <v>343</v>
      </c>
      <c r="I785" s="2"/>
      <c r="J785" s="2" t="s">
        <v>1810</v>
      </c>
      <c r="K785" s="2" t="s">
        <v>1809</v>
      </c>
    </row>
    <row r="786" spans="1:11" s="4" customFormat="1" ht="18" customHeight="1">
      <c r="A786" s="2" t="s">
        <v>1811</v>
      </c>
      <c r="B786" s="3"/>
      <c r="C786" s="2"/>
      <c r="D786" s="3"/>
      <c r="E786" s="2"/>
      <c r="F786" s="2" t="s">
        <v>1412</v>
      </c>
      <c r="G786" s="2"/>
      <c r="H786" s="2" t="s">
        <v>1412</v>
      </c>
      <c r="I786" s="2"/>
      <c r="J786" s="2" t="s">
        <v>1812</v>
      </c>
      <c r="K786" s="2" t="s">
        <v>1811</v>
      </c>
    </row>
    <row r="787" spans="1:11" s="4" customFormat="1" ht="18" customHeight="1">
      <c r="A787" s="2" t="s">
        <v>1813</v>
      </c>
      <c r="B787" s="3"/>
      <c r="C787" s="2"/>
      <c r="D787" s="3"/>
      <c r="E787" s="2"/>
      <c r="F787" s="2" t="s">
        <v>3482</v>
      </c>
      <c r="G787" s="2"/>
      <c r="H787" s="2" t="s">
        <v>3482</v>
      </c>
      <c r="I787" s="2"/>
      <c r="J787" s="2" t="s">
        <v>1814</v>
      </c>
      <c r="K787" s="2" t="s">
        <v>1813</v>
      </c>
    </row>
    <row r="788" spans="1:11" s="4" customFormat="1" ht="18" customHeight="1">
      <c r="A788" s="2" t="s">
        <v>1815</v>
      </c>
      <c r="B788" s="3"/>
      <c r="C788" s="2"/>
      <c r="D788" s="3"/>
      <c r="E788" s="2"/>
      <c r="F788" s="2" t="s">
        <v>360</v>
      </c>
      <c r="G788" s="2"/>
      <c r="H788" s="2" t="s">
        <v>360</v>
      </c>
      <c r="I788" s="2"/>
      <c r="J788" s="2" t="s">
        <v>1816</v>
      </c>
      <c r="K788" s="2" t="s">
        <v>1815</v>
      </c>
    </row>
    <row r="789" spans="1:11" s="4" customFormat="1" ht="18" customHeight="1">
      <c r="A789" s="2" t="s">
        <v>1817</v>
      </c>
      <c r="B789" s="3"/>
      <c r="C789" s="2"/>
      <c r="D789" s="3"/>
      <c r="E789" s="2"/>
      <c r="F789" s="2" t="s">
        <v>360</v>
      </c>
      <c r="G789" s="2"/>
      <c r="H789" s="2" t="s">
        <v>360</v>
      </c>
      <c r="I789" s="2"/>
      <c r="J789" s="2" t="s">
        <v>1818</v>
      </c>
      <c r="K789" s="2" t="s">
        <v>1817</v>
      </c>
    </row>
    <row r="790" spans="1:11" s="4" customFormat="1" ht="18" customHeight="1">
      <c r="A790" s="2" t="s">
        <v>1819</v>
      </c>
      <c r="B790" s="3"/>
      <c r="C790" s="2"/>
      <c r="D790" s="3"/>
      <c r="E790" s="2"/>
      <c r="F790" s="2" t="s">
        <v>2834</v>
      </c>
      <c r="G790" s="2"/>
      <c r="H790" s="2" t="s">
        <v>2834</v>
      </c>
      <c r="I790" s="2"/>
      <c r="J790" s="2" t="s">
        <v>1820</v>
      </c>
      <c r="K790" s="2" t="s">
        <v>1819</v>
      </c>
    </row>
    <row r="791" spans="1:11" s="4" customFormat="1" ht="18" customHeight="1">
      <c r="A791" s="2" t="s">
        <v>1822</v>
      </c>
      <c r="B791" s="3"/>
      <c r="C791" s="2"/>
      <c r="D791" s="3"/>
      <c r="E791" s="2"/>
      <c r="F791" s="2" t="s">
        <v>2184</v>
      </c>
      <c r="G791" s="2"/>
      <c r="H791" s="2" t="s">
        <v>2184</v>
      </c>
      <c r="I791" s="2"/>
      <c r="J791" s="2" t="s">
        <v>1824</v>
      </c>
      <c r="K791" s="2" t="s">
        <v>1822</v>
      </c>
    </row>
    <row r="792" spans="1:11" s="4" customFormat="1" ht="18" customHeight="1">
      <c r="A792" s="2" t="s">
        <v>1825</v>
      </c>
      <c r="B792" s="3"/>
      <c r="C792" s="2"/>
      <c r="D792" s="3"/>
      <c r="E792" s="2"/>
      <c r="F792" s="2" t="s">
        <v>2535</v>
      </c>
      <c r="G792" s="2"/>
      <c r="H792" s="2" t="s">
        <v>2535</v>
      </c>
      <c r="I792" s="2"/>
      <c r="J792" s="2" t="s">
        <v>1826</v>
      </c>
      <c r="K792" s="2" t="s">
        <v>1825</v>
      </c>
    </row>
    <row r="793" spans="1:11" s="4" customFormat="1" ht="18" customHeight="1">
      <c r="A793" s="2" t="s">
        <v>1827</v>
      </c>
      <c r="B793" s="3"/>
      <c r="C793" s="2"/>
      <c r="D793" s="3"/>
      <c r="E793" s="2"/>
      <c r="F793" s="2" t="s">
        <v>462</v>
      </c>
      <c r="G793" s="2"/>
      <c r="H793" s="2" t="s">
        <v>462</v>
      </c>
      <c r="I793" s="2"/>
      <c r="J793" s="2" t="s">
        <v>1828</v>
      </c>
      <c r="K793" s="2" t="s">
        <v>1827</v>
      </c>
    </row>
    <row r="794" spans="1:11" s="4" customFormat="1" ht="18" customHeight="1">
      <c r="A794" s="2" t="s">
        <v>1830</v>
      </c>
      <c r="B794" s="3"/>
      <c r="C794" s="2"/>
      <c r="D794" s="3"/>
      <c r="E794" s="2"/>
      <c r="F794" s="2" t="s">
        <v>195</v>
      </c>
      <c r="G794" s="2"/>
      <c r="H794" s="2" t="s">
        <v>195</v>
      </c>
      <c r="I794" s="2"/>
      <c r="J794" s="2" t="s">
        <v>1831</v>
      </c>
      <c r="K794" s="2" t="s">
        <v>1830</v>
      </c>
    </row>
    <row r="795" spans="1:11" s="4" customFormat="1" ht="18" customHeight="1">
      <c r="A795" s="2" t="s">
        <v>1832</v>
      </c>
      <c r="B795" s="3"/>
      <c r="C795" s="2"/>
      <c r="D795" s="3"/>
      <c r="E795" s="2"/>
      <c r="F795" s="2" t="s">
        <v>1621</v>
      </c>
      <c r="G795" s="2"/>
      <c r="H795" s="2" t="s">
        <v>1621</v>
      </c>
      <c r="I795" s="2"/>
      <c r="J795" s="2" t="s">
        <v>1833</v>
      </c>
      <c r="K795" s="2" t="s">
        <v>1832</v>
      </c>
    </row>
    <row r="796" spans="1:11" s="4" customFormat="1" ht="18" customHeight="1">
      <c r="A796" s="2" t="s">
        <v>1834</v>
      </c>
      <c r="B796" s="3"/>
      <c r="C796" s="2"/>
      <c r="D796" s="3"/>
      <c r="E796" s="2"/>
      <c r="F796" s="2" t="s">
        <v>404</v>
      </c>
      <c r="G796" s="2"/>
      <c r="H796" s="2" t="s">
        <v>405</v>
      </c>
      <c r="I796" s="2"/>
      <c r="J796" s="2" t="s">
        <v>1835</v>
      </c>
      <c r="K796" s="2" t="s">
        <v>1834</v>
      </c>
    </row>
    <row r="797" spans="1:11" s="4" customFormat="1" ht="18" customHeight="1">
      <c r="A797" s="2" t="s">
        <v>1836</v>
      </c>
      <c r="B797" s="3"/>
      <c r="C797" s="2"/>
      <c r="D797" s="3"/>
      <c r="E797" s="2"/>
      <c r="F797" s="2" t="s">
        <v>1623</v>
      </c>
      <c r="G797" s="2"/>
      <c r="H797" s="2" t="s">
        <v>1623</v>
      </c>
      <c r="I797" s="2"/>
      <c r="J797" s="2" t="s">
        <v>1837</v>
      </c>
      <c r="K797" s="2" t="s">
        <v>1836</v>
      </c>
    </row>
    <row r="798" spans="1:11" s="4" customFormat="1" ht="18" customHeight="1">
      <c r="A798" s="2" t="s">
        <v>1838</v>
      </c>
      <c r="B798" s="3"/>
      <c r="C798" s="2"/>
      <c r="D798" s="3"/>
      <c r="E798" s="2"/>
      <c r="F798" s="2" t="s">
        <v>1478</v>
      </c>
      <c r="G798" s="2"/>
      <c r="H798" s="2" t="s">
        <v>1478</v>
      </c>
      <c r="I798" s="2"/>
      <c r="J798" s="2" t="s">
        <v>776</v>
      </c>
      <c r="K798" s="2" t="s">
        <v>1838</v>
      </c>
    </row>
    <row r="799" spans="1:11" s="4" customFormat="1" ht="18" customHeight="1">
      <c r="A799" s="2" t="s">
        <v>1839</v>
      </c>
      <c r="B799" s="3"/>
      <c r="C799" s="2"/>
      <c r="D799" s="3"/>
      <c r="E799" s="2"/>
      <c r="F799" s="2" t="s">
        <v>2244</v>
      </c>
      <c r="G799" s="2"/>
      <c r="H799" s="2" t="s">
        <v>2244</v>
      </c>
      <c r="I799" s="2"/>
      <c r="J799" s="2" t="s">
        <v>1840</v>
      </c>
      <c r="K799" s="2" t="s">
        <v>1839</v>
      </c>
    </row>
    <row r="800" spans="1:11" s="4" customFormat="1" ht="18" customHeight="1">
      <c r="A800" s="2" t="s">
        <v>1841</v>
      </c>
      <c r="B800" s="3"/>
      <c r="C800" s="2"/>
      <c r="D800" s="3"/>
      <c r="E800" s="2"/>
      <c r="F800" s="2" t="s">
        <v>1075</v>
      </c>
      <c r="G800" s="2"/>
      <c r="H800" s="2" t="s">
        <v>1075</v>
      </c>
      <c r="I800" s="2"/>
      <c r="J800" s="2" t="s">
        <v>1842</v>
      </c>
      <c r="K800" s="2" t="s">
        <v>1841</v>
      </c>
    </row>
    <row r="801" spans="1:11" s="4" customFormat="1" ht="18" customHeight="1">
      <c r="A801" s="2" t="s">
        <v>1843</v>
      </c>
      <c r="B801" s="3"/>
      <c r="C801" s="2"/>
      <c r="D801" s="3"/>
      <c r="E801" s="2"/>
      <c r="F801" s="2" t="s">
        <v>1075</v>
      </c>
      <c r="G801" s="2"/>
      <c r="H801" s="2" t="s">
        <v>2526</v>
      </c>
      <c r="I801" s="2"/>
      <c r="J801" s="2" t="s">
        <v>753</v>
      </c>
      <c r="K801" s="2" t="s">
        <v>1843</v>
      </c>
    </row>
    <row r="802" spans="1:11" s="4" customFormat="1" ht="18" customHeight="1">
      <c r="A802" s="2" t="s">
        <v>1844</v>
      </c>
      <c r="B802" s="3"/>
      <c r="C802" s="2"/>
      <c r="D802" s="3"/>
      <c r="E802" s="2"/>
      <c r="F802" s="2" t="s">
        <v>1075</v>
      </c>
      <c r="G802" s="2"/>
      <c r="H802" s="2" t="s">
        <v>1075</v>
      </c>
      <c r="I802" s="2"/>
      <c r="J802" s="2" t="s">
        <v>1845</v>
      </c>
      <c r="K802" s="2" t="s">
        <v>1844</v>
      </c>
    </row>
    <row r="803" spans="1:11" s="4" customFormat="1" ht="18" customHeight="1">
      <c r="A803" s="2" t="s">
        <v>1846</v>
      </c>
      <c r="B803" s="3"/>
      <c r="C803" s="2"/>
      <c r="D803" s="3"/>
      <c r="E803" s="2"/>
      <c r="F803" s="2" t="s">
        <v>2747</v>
      </c>
      <c r="G803" s="2"/>
      <c r="H803" s="2" t="s">
        <v>2747</v>
      </c>
      <c r="I803" s="2"/>
      <c r="J803" s="2" t="s">
        <v>1847</v>
      </c>
      <c r="K803" s="2" t="s">
        <v>1846</v>
      </c>
    </row>
    <row r="804" spans="1:11" s="4" customFormat="1" ht="18" customHeight="1">
      <c r="A804" s="2" t="s">
        <v>1848</v>
      </c>
      <c r="B804" s="3"/>
      <c r="C804" s="2"/>
      <c r="D804" s="3"/>
      <c r="E804" s="2"/>
      <c r="F804" s="2" t="s">
        <v>2747</v>
      </c>
      <c r="G804" s="2"/>
      <c r="H804" s="2" t="s">
        <v>2747</v>
      </c>
      <c r="I804" s="2"/>
      <c r="J804" s="2" t="s">
        <v>1849</v>
      </c>
      <c r="K804" s="2" t="s">
        <v>1848</v>
      </c>
    </row>
    <row r="805" spans="1:11" s="4" customFormat="1" ht="18" customHeight="1">
      <c r="A805" s="2" t="s">
        <v>1850</v>
      </c>
      <c r="B805" s="3"/>
      <c r="C805" s="2"/>
      <c r="D805" s="3"/>
      <c r="E805" s="2"/>
      <c r="F805" s="2" t="s">
        <v>3964</v>
      </c>
      <c r="G805" s="2"/>
      <c r="H805" s="2" t="s">
        <v>3965</v>
      </c>
      <c r="I805" s="2"/>
      <c r="J805" s="2" t="s">
        <v>653</v>
      </c>
      <c r="K805" s="2" t="s">
        <v>1850</v>
      </c>
    </row>
    <row r="806" spans="1:11" s="4" customFormat="1" ht="18" customHeight="1">
      <c r="A806" s="2" t="s">
        <v>1851</v>
      </c>
      <c r="B806" s="3"/>
      <c r="C806" s="2"/>
      <c r="D806" s="3"/>
      <c r="E806" s="2"/>
      <c r="F806" s="2" t="s">
        <v>3298</v>
      </c>
      <c r="G806" s="2"/>
      <c r="H806" s="2" t="s">
        <v>3299</v>
      </c>
      <c r="I806" s="2"/>
      <c r="J806" s="2" t="s">
        <v>1852</v>
      </c>
      <c r="K806" s="2" t="s">
        <v>1851</v>
      </c>
    </row>
    <row r="807" spans="1:11" s="4" customFormat="1" ht="18" customHeight="1">
      <c r="A807" s="2" t="s">
        <v>1853</v>
      </c>
      <c r="B807" s="3"/>
      <c r="C807" s="2"/>
      <c r="D807" s="3"/>
      <c r="E807" s="2"/>
      <c r="F807" s="2" t="s">
        <v>584</v>
      </c>
      <c r="G807" s="2"/>
      <c r="H807" s="2" t="s">
        <v>584</v>
      </c>
      <c r="I807" s="2"/>
      <c r="J807" s="2" t="s">
        <v>1854</v>
      </c>
      <c r="K807" s="2" t="s">
        <v>1853</v>
      </c>
    </row>
    <row r="808" spans="1:11" s="4" customFormat="1" ht="18" customHeight="1">
      <c r="A808" s="2" t="s">
        <v>1855</v>
      </c>
      <c r="B808" s="3"/>
      <c r="C808" s="2"/>
      <c r="D808" s="3"/>
      <c r="E808" s="2"/>
      <c r="F808" s="2" t="s">
        <v>2920</v>
      </c>
      <c r="G808" s="2"/>
      <c r="H808" s="2" t="s">
        <v>2920</v>
      </c>
      <c r="I808" s="2"/>
      <c r="J808" s="2" t="s">
        <v>1856</v>
      </c>
      <c r="K808" s="2" t="s">
        <v>1855</v>
      </c>
    </row>
    <row r="809" spans="1:11" s="4" customFormat="1" ht="18" customHeight="1">
      <c r="A809" s="2" t="s">
        <v>1857</v>
      </c>
      <c r="B809" s="3"/>
      <c r="C809" s="2"/>
      <c r="D809" s="3"/>
      <c r="E809" s="2"/>
      <c r="F809" s="2" t="s">
        <v>2749</v>
      </c>
      <c r="G809" s="2"/>
      <c r="H809" s="2" t="s">
        <v>2750</v>
      </c>
      <c r="I809" s="2"/>
      <c r="J809" s="2" t="s">
        <v>1858</v>
      </c>
      <c r="K809" s="2" t="s">
        <v>1857</v>
      </c>
    </row>
    <row r="810" spans="1:11" s="4" customFormat="1" ht="18" customHeight="1">
      <c r="A810" s="2" t="s">
        <v>1859</v>
      </c>
      <c r="B810" s="3"/>
      <c r="C810" s="2"/>
      <c r="D810" s="3"/>
      <c r="E810" s="2"/>
      <c r="F810" s="2" t="s">
        <v>2749</v>
      </c>
      <c r="G810" s="2"/>
      <c r="H810" s="2" t="s">
        <v>2749</v>
      </c>
      <c r="I810" s="2"/>
      <c r="J810" s="2" t="s">
        <v>1860</v>
      </c>
      <c r="K810" s="2" t="s">
        <v>1859</v>
      </c>
    </row>
    <row r="811" spans="1:11" s="4" customFormat="1" ht="18" customHeight="1">
      <c r="A811" s="2" t="s">
        <v>1861</v>
      </c>
      <c r="B811" s="3"/>
      <c r="C811" s="2"/>
      <c r="D811" s="3"/>
      <c r="E811" s="2"/>
      <c r="F811" s="2" t="s">
        <v>2749</v>
      </c>
      <c r="G811" s="2"/>
      <c r="H811" s="2" t="s">
        <v>2749</v>
      </c>
      <c r="I811" s="2"/>
      <c r="J811" s="2" t="s">
        <v>1862</v>
      </c>
      <c r="K811" s="2" t="s">
        <v>1861</v>
      </c>
    </row>
    <row r="812" spans="1:11" s="4" customFormat="1" ht="18" customHeight="1">
      <c r="A812" s="2" t="s">
        <v>1863</v>
      </c>
      <c r="B812" s="3"/>
      <c r="C812" s="2"/>
      <c r="D812" s="3"/>
      <c r="E812" s="2"/>
      <c r="F812" s="2" t="s">
        <v>3001</v>
      </c>
      <c r="G812" s="2"/>
      <c r="H812" s="2" t="s">
        <v>3001</v>
      </c>
      <c r="I812" s="2"/>
      <c r="J812" s="2" t="s">
        <v>1864</v>
      </c>
      <c r="K812" s="2" t="s">
        <v>1863</v>
      </c>
    </row>
    <row r="813" spans="1:11" s="4" customFormat="1" ht="18" customHeight="1">
      <c r="A813" s="2" t="s">
        <v>1865</v>
      </c>
      <c r="B813" s="3"/>
      <c r="C813" s="2"/>
      <c r="D813" s="3"/>
      <c r="E813" s="2"/>
      <c r="F813" s="2" t="s">
        <v>1431</v>
      </c>
      <c r="G813" s="2"/>
      <c r="H813" s="2" t="s">
        <v>1431</v>
      </c>
      <c r="I813" s="2"/>
      <c r="J813" s="2" t="s">
        <v>1866</v>
      </c>
      <c r="K813" s="2" t="s">
        <v>1865</v>
      </c>
    </row>
    <row r="814" spans="1:11" s="4" customFormat="1" ht="18" customHeight="1">
      <c r="A814" s="2" t="s">
        <v>1867</v>
      </c>
      <c r="B814" s="3"/>
      <c r="C814" s="2"/>
      <c r="D814" s="3"/>
      <c r="E814" s="2"/>
      <c r="F814" s="2" t="s">
        <v>3467</v>
      </c>
      <c r="G814" s="2"/>
      <c r="H814" s="2" t="s">
        <v>3468</v>
      </c>
      <c r="I814" s="2"/>
      <c r="J814" s="2" t="s">
        <v>1868</v>
      </c>
      <c r="K814" s="2" t="s">
        <v>1867</v>
      </c>
    </row>
    <row r="815" spans="1:11" s="4" customFormat="1" ht="18" customHeight="1">
      <c r="A815" s="2" t="s">
        <v>1869</v>
      </c>
      <c r="B815" s="3"/>
      <c r="C815" s="2"/>
      <c r="D815" s="3"/>
      <c r="E815" s="2"/>
      <c r="F815" s="2" t="s">
        <v>3827</v>
      </c>
      <c r="G815" s="2"/>
      <c r="H815" s="2" t="s">
        <v>3827</v>
      </c>
      <c r="I815" s="2"/>
      <c r="J815" s="2" t="s">
        <v>1870</v>
      </c>
      <c r="K815" s="2" t="s">
        <v>1869</v>
      </c>
    </row>
    <row r="816" spans="1:11" s="4" customFormat="1" ht="18" customHeight="1">
      <c r="A816" s="2" t="s">
        <v>1871</v>
      </c>
      <c r="B816" s="3"/>
      <c r="C816" s="2"/>
      <c r="D816" s="3"/>
      <c r="E816" s="2"/>
      <c r="F816" s="2" t="s">
        <v>1679</v>
      </c>
      <c r="G816" s="2"/>
      <c r="H816" s="2" t="s">
        <v>1679</v>
      </c>
      <c r="I816" s="2"/>
      <c r="J816" s="2" t="s">
        <v>1872</v>
      </c>
      <c r="K816" s="2" t="s">
        <v>1871</v>
      </c>
    </row>
    <row r="817" spans="1:11" s="4" customFormat="1" ht="18" customHeight="1">
      <c r="A817" s="2" t="s">
        <v>1873</v>
      </c>
      <c r="B817" s="3"/>
      <c r="C817" s="2"/>
      <c r="D817" s="3"/>
      <c r="E817" s="2"/>
      <c r="F817" s="2" t="s">
        <v>2736</v>
      </c>
      <c r="G817" s="2"/>
      <c r="H817" s="2" t="s">
        <v>2736</v>
      </c>
      <c r="I817" s="2"/>
      <c r="J817" s="2" t="s">
        <v>1874</v>
      </c>
      <c r="K817" s="2" t="s">
        <v>1873</v>
      </c>
    </row>
    <row r="818" spans="1:11" s="4" customFormat="1" ht="18" customHeight="1">
      <c r="A818" s="2" t="s">
        <v>1875</v>
      </c>
      <c r="B818" s="3"/>
      <c r="C818" s="2"/>
      <c r="D818" s="3"/>
      <c r="E818" s="2"/>
      <c r="F818" s="2" t="s">
        <v>692</v>
      </c>
      <c r="G818" s="2"/>
      <c r="H818" s="2" t="s">
        <v>692</v>
      </c>
      <c r="I818" s="2"/>
      <c r="J818" s="2" t="s">
        <v>1876</v>
      </c>
      <c r="K818" s="2" t="s">
        <v>1875</v>
      </c>
    </row>
    <row r="819" spans="1:11" s="4" customFormat="1" ht="18" customHeight="1">
      <c r="A819" s="2" t="s">
        <v>1877</v>
      </c>
      <c r="B819" s="3"/>
      <c r="C819" s="2"/>
      <c r="D819" s="3"/>
      <c r="E819" s="2"/>
      <c r="F819" s="2" t="s">
        <v>1277</v>
      </c>
      <c r="G819" s="2"/>
      <c r="H819" s="2" t="s">
        <v>1277</v>
      </c>
      <c r="I819" s="2"/>
      <c r="J819" s="2" t="s">
        <v>1878</v>
      </c>
      <c r="K819" s="2" t="s">
        <v>1877</v>
      </c>
    </row>
    <row r="820" spans="1:11" s="4" customFormat="1" ht="18" customHeight="1">
      <c r="A820" s="2" t="s">
        <v>1879</v>
      </c>
      <c r="B820" s="3"/>
      <c r="C820" s="2"/>
      <c r="D820" s="3"/>
      <c r="E820" s="2"/>
      <c r="F820" s="2" t="s">
        <v>1277</v>
      </c>
      <c r="G820" s="2"/>
      <c r="H820" s="2" t="s">
        <v>1277</v>
      </c>
      <c r="I820" s="2"/>
      <c r="J820" s="2" t="s">
        <v>933</v>
      </c>
      <c r="K820" s="2" t="s">
        <v>1879</v>
      </c>
    </row>
    <row r="821" spans="1:11" s="4" customFormat="1" ht="18" customHeight="1">
      <c r="A821" s="2" t="s">
        <v>1880</v>
      </c>
      <c r="B821" s="3"/>
      <c r="C821" s="2"/>
      <c r="D821" s="3"/>
      <c r="E821" s="2"/>
      <c r="F821" s="2" t="s">
        <v>2969</v>
      </c>
      <c r="G821" s="2"/>
      <c r="H821" s="2" t="s">
        <v>2969</v>
      </c>
      <c r="I821" s="2"/>
      <c r="J821" s="2" t="s">
        <v>1881</v>
      </c>
      <c r="K821" s="2" t="s">
        <v>1880</v>
      </c>
    </row>
    <row r="822" spans="1:11" s="4" customFormat="1" ht="18" customHeight="1">
      <c r="A822" s="2" t="s">
        <v>1882</v>
      </c>
      <c r="B822" s="3"/>
      <c r="C822" s="2"/>
      <c r="D822" s="3"/>
      <c r="E822" s="2"/>
      <c r="F822" s="2" t="s">
        <v>236</v>
      </c>
      <c r="G822" s="2"/>
      <c r="H822" s="2" t="s">
        <v>236</v>
      </c>
      <c r="I822" s="2"/>
      <c r="J822" s="2" t="s">
        <v>1883</v>
      </c>
      <c r="K822" s="2" t="s">
        <v>1882</v>
      </c>
    </row>
    <row r="823" spans="1:11" s="4" customFormat="1" ht="18" customHeight="1">
      <c r="A823" s="2" t="s">
        <v>1885</v>
      </c>
      <c r="B823" s="3"/>
      <c r="C823" s="2"/>
      <c r="D823" s="3"/>
      <c r="E823" s="2"/>
      <c r="F823" s="2" t="s">
        <v>3519</v>
      </c>
      <c r="G823" s="2"/>
      <c r="H823" s="2" t="s">
        <v>3519</v>
      </c>
      <c r="I823" s="2"/>
      <c r="J823" s="2" t="s">
        <v>1886</v>
      </c>
      <c r="K823" s="2" t="s">
        <v>1885</v>
      </c>
    </row>
    <row r="824" spans="1:11" s="4" customFormat="1" ht="18" customHeight="1">
      <c r="A824" s="2" t="s">
        <v>1887</v>
      </c>
      <c r="B824" s="3"/>
      <c r="C824" s="2"/>
      <c r="D824" s="3"/>
      <c r="E824" s="2"/>
      <c r="F824" s="2" t="s">
        <v>3003</v>
      </c>
      <c r="G824" s="2"/>
      <c r="H824" s="2" t="s">
        <v>3003</v>
      </c>
      <c r="I824" s="2"/>
      <c r="J824" s="2" t="s">
        <v>1888</v>
      </c>
      <c r="K824" s="2" t="s">
        <v>1887</v>
      </c>
    </row>
    <row r="825" spans="1:11" s="4" customFormat="1" ht="18" customHeight="1">
      <c r="A825" s="2" t="s">
        <v>1889</v>
      </c>
      <c r="B825" s="3"/>
      <c r="C825" s="2"/>
      <c r="D825" s="3"/>
      <c r="E825" s="2"/>
      <c r="F825" s="2" t="s">
        <v>1700</v>
      </c>
      <c r="G825" s="2"/>
      <c r="H825" s="2" t="s">
        <v>1700</v>
      </c>
      <c r="I825" s="2"/>
      <c r="J825" s="2" t="s">
        <v>1890</v>
      </c>
      <c r="K825" s="2" t="s">
        <v>1889</v>
      </c>
    </row>
    <row r="826" spans="1:11" s="4" customFormat="1" ht="18" customHeight="1">
      <c r="A826" s="2" t="s">
        <v>1891</v>
      </c>
      <c r="B826" s="3"/>
      <c r="C826" s="2"/>
      <c r="D826" s="3"/>
      <c r="E826" s="2"/>
      <c r="F826" s="2" t="s">
        <v>1992</v>
      </c>
      <c r="G826" s="2"/>
      <c r="H826" s="2" t="s">
        <v>1992</v>
      </c>
      <c r="I826" s="2"/>
      <c r="J826" s="2" t="s">
        <v>1892</v>
      </c>
      <c r="K826" s="2" t="s">
        <v>1891</v>
      </c>
    </row>
    <row r="827" spans="1:11" s="4" customFormat="1" ht="18" customHeight="1">
      <c r="A827" s="2" t="s">
        <v>1893</v>
      </c>
      <c r="B827" s="3"/>
      <c r="C827" s="2"/>
      <c r="D827" s="3"/>
      <c r="E827" s="2"/>
      <c r="F827" s="2" t="s">
        <v>1227</v>
      </c>
      <c r="G827" s="2"/>
      <c r="H827" s="2" t="s">
        <v>1227</v>
      </c>
      <c r="I827" s="2"/>
      <c r="J827" s="2" t="s">
        <v>1894</v>
      </c>
      <c r="K827" s="2" t="s">
        <v>1893</v>
      </c>
    </row>
    <row r="828" spans="1:11" s="4" customFormat="1" ht="18" customHeight="1">
      <c r="A828" s="2" t="s">
        <v>1895</v>
      </c>
      <c r="B828" s="3"/>
      <c r="C828" s="2"/>
      <c r="D828" s="3"/>
      <c r="E828" s="2"/>
      <c r="F828" s="2" t="s">
        <v>3006</v>
      </c>
      <c r="G828" s="2"/>
      <c r="H828" s="2" t="s">
        <v>3006</v>
      </c>
      <c r="I828" s="2"/>
      <c r="J828" s="2" t="s">
        <v>1896</v>
      </c>
      <c r="K828" s="2" t="s">
        <v>1895</v>
      </c>
    </row>
    <row r="829" spans="1:11" s="4" customFormat="1" ht="18" customHeight="1">
      <c r="A829" s="2" t="s">
        <v>1897</v>
      </c>
      <c r="B829" s="3"/>
      <c r="C829" s="2"/>
      <c r="D829" s="3"/>
      <c r="E829" s="2"/>
      <c r="F829" s="2" t="s">
        <v>2582</v>
      </c>
      <c r="G829" s="2"/>
      <c r="H829" s="2" t="s">
        <v>2582</v>
      </c>
      <c r="I829" s="2"/>
      <c r="J829" s="2" t="s">
        <v>644</v>
      </c>
      <c r="K829" s="2" t="s">
        <v>1897</v>
      </c>
    </row>
    <row r="830" spans="1:11" s="4" customFormat="1" ht="18" customHeight="1">
      <c r="A830" s="2" t="s">
        <v>1898</v>
      </c>
      <c r="B830" s="3"/>
      <c r="C830" s="2"/>
      <c r="D830" s="3"/>
      <c r="E830" s="2"/>
      <c r="F830" s="2" t="s">
        <v>1681</v>
      </c>
      <c r="G830" s="2"/>
      <c r="H830" s="2" t="s">
        <v>1681</v>
      </c>
      <c r="I830" s="2"/>
      <c r="J830" s="2" t="s">
        <v>1596</v>
      </c>
      <c r="K830" s="2" t="s">
        <v>1898</v>
      </c>
    </row>
    <row r="831" spans="1:11" s="4" customFormat="1" ht="18" customHeight="1">
      <c r="A831" s="2" t="s">
        <v>1899</v>
      </c>
      <c r="B831" s="3"/>
      <c r="C831" s="2"/>
      <c r="D831" s="3"/>
      <c r="E831" s="2"/>
      <c r="F831" s="2" t="s">
        <v>1020</v>
      </c>
      <c r="G831" s="2"/>
      <c r="H831" s="2" t="s">
        <v>1020</v>
      </c>
      <c r="I831" s="2"/>
      <c r="J831" s="2" t="s">
        <v>422</v>
      </c>
      <c r="K831" s="2" t="s">
        <v>1899</v>
      </c>
    </row>
    <row r="832" spans="1:11" s="4" customFormat="1" ht="18" customHeight="1">
      <c r="A832" s="2" t="s">
        <v>1900</v>
      </c>
      <c r="B832" s="3"/>
      <c r="C832" s="2"/>
      <c r="D832" s="3"/>
      <c r="E832" s="2"/>
      <c r="F832" s="2" t="s">
        <v>1876</v>
      </c>
      <c r="G832" s="2"/>
      <c r="H832" s="2" t="s">
        <v>1876</v>
      </c>
      <c r="I832" s="2"/>
      <c r="J832" s="2" t="s">
        <v>1901</v>
      </c>
      <c r="K832" s="2" t="s">
        <v>1900</v>
      </c>
    </row>
    <row r="833" spans="1:11" s="4" customFormat="1" ht="18" customHeight="1">
      <c r="A833" s="2" t="s">
        <v>1902</v>
      </c>
      <c r="B833" s="3"/>
      <c r="C833" s="2"/>
      <c r="D833" s="3"/>
      <c r="E833" s="2"/>
      <c r="F833" s="2" t="s">
        <v>3163</v>
      </c>
      <c r="G833" s="2"/>
      <c r="H833" s="2" t="s">
        <v>3164</v>
      </c>
      <c r="I833" s="2"/>
      <c r="J833" s="2" t="s">
        <v>1903</v>
      </c>
      <c r="K833" s="2" t="s">
        <v>1902</v>
      </c>
    </row>
    <row r="834" spans="1:11" s="4" customFormat="1" ht="18" customHeight="1">
      <c r="A834" s="2" t="s">
        <v>1904</v>
      </c>
      <c r="B834" s="3"/>
      <c r="C834" s="2"/>
      <c r="D834" s="3"/>
      <c r="E834" s="2"/>
      <c r="F834" s="2" t="s">
        <v>3433</v>
      </c>
      <c r="G834" s="2"/>
      <c r="H834" s="2" t="s">
        <v>3433</v>
      </c>
      <c r="I834" s="2"/>
      <c r="J834" s="2" t="s">
        <v>1905</v>
      </c>
      <c r="K834" s="2" t="s">
        <v>1904</v>
      </c>
    </row>
    <row r="835" spans="1:11" s="4" customFormat="1" ht="18" customHeight="1">
      <c r="A835" s="2" t="s">
        <v>1906</v>
      </c>
      <c r="B835" s="3"/>
      <c r="C835" s="2"/>
      <c r="D835" s="3"/>
      <c r="E835" s="2"/>
      <c r="F835" s="2" t="s">
        <v>3295</v>
      </c>
      <c r="G835" s="2"/>
      <c r="H835" s="2" t="s">
        <v>3296</v>
      </c>
      <c r="I835" s="2"/>
      <c r="J835" s="2" t="s">
        <v>721</v>
      </c>
      <c r="K835" s="2" t="s">
        <v>1906</v>
      </c>
    </row>
    <row r="836" spans="1:11" s="4" customFormat="1" ht="18" customHeight="1">
      <c r="A836" s="2" t="s">
        <v>1907</v>
      </c>
      <c r="B836" s="3"/>
      <c r="C836" s="2"/>
      <c r="D836" s="3"/>
      <c r="E836" s="2"/>
      <c r="F836" s="2" t="s">
        <v>1515</v>
      </c>
      <c r="G836" s="2"/>
      <c r="H836" s="2" t="s">
        <v>1515</v>
      </c>
      <c r="I836" s="2"/>
      <c r="J836" s="2" t="s">
        <v>1908</v>
      </c>
      <c r="K836" s="2" t="s">
        <v>1907</v>
      </c>
    </row>
    <row r="837" spans="1:11" s="4" customFormat="1" ht="18" customHeight="1">
      <c r="A837" s="2" t="s">
        <v>1909</v>
      </c>
      <c r="B837" s="3"/>
      <c r="C837" s="2"/>
      <c r="D837" s="3"/>
      <c r="E837" s="2"/>
      <c r="F837" s="2" t="s">
        <v>1702</v>
      </c>
      <c r="G837" s="2"/>
      <c r="H837" s="2" t="s">
        <v>1702</v>
      </c>
      <c r="I837" s="2"/>
      <c r="J837" s="2" t="s">
        <v>1911</v>
      </c>
      <c r="K837" s="2" t="s">
        <v>1909</v>
      </c>
    </row>
    <row r="838" spans="1:11" s="4" customFormat="1" ht="18" customHeight="1">
      <c r="A838" s="2" t="s">
        <v>1912</v>
      </c>
      <c r="B838" s="3"/>
      <c r="C838" s="2"/>
      <c r="D838" s="3"/>
      <c r="E838" s="2"/>
      <c r="F838" s="2" t="s">
        <v>156</v>
      </c>
      <c r="G838" s="2"/>
      <c r="H838" s="2" t="s">
        <v>156</v>
      </c>
      <c r="I838" s="2"/>
      <c r="J838" s="2" t="s">
        <v>1913</v>
      </c>
      <c r="K838" s="2" t="s">
        <v>1912</v>
      </c>
    </row>
    <row r="839" spans="1:11" s="4" customFormat="1" ht="18" customHeight="1">
      <c r="A839" s="2" t="s">
        <v>1914</v>
      </c>
      <c r="B839" s="3"/>
      <c r="C839" s="2"/>
      <c r="D839" s="3"/>
      <c r="E839" s="2"/>
      <c r="F839" s="2" t="s">
        <v>1229</v>
      </c>
      <c r="G839" s="2"/>
      <c r="H839" s="2" t="s">
        <v>1230</v>
      </c>
      <c r="I839" s="2"/>
      <c r="J839" s="2" t="s">
        <v>1915</v>
      </c>
      <c r="K839" s="2" t="s">
        <v>1914</v>
      </c>
    </row>
    <row r="840" spans="1:11" s="4" customFormat="1" ht="18" customHeight="1">
      <c r="A840" s="2" t="s">
        <v>1916</v>
      </c>
      <c r="B840" s="3"/>
      <c r="C840" s="2"/>
      <c r="D840" s="3"/>
      <c r="E840" s="2"/>
      <c r="F840" s="2" t="s">
        <v>1229</v>
      </c>
      <c r="G840" s="2"/>
      <c r="H840" s="2" t="s">
        <v>527</v>
      </c>
      <c r="I840" s="2"/>
      <c r="J840" s="2" t="s">
        <v>1917</v>
      </c>
      <c r="K840" s="2" t="s">
        <v>1916</v>
      </c>
    </row>
    <row r="841" spans="1:11" s="4" customFormat="1" ht="18" customHeight="1">
      <c r="A841" s="2" t="s">
        <v>1918</v>
      </c>
      <c r="B841" s="3"/>
      <c r="C841" s="2"/>
      <c r="D841" s="3"/>
      <c r="E841" s="2"/>
      <c r="F841" s="2" t="s">
        <v>2446</v>
      </c>
      <c r="G841" s="2"/>
      <c r="H841" s="2" t="s">
        <v>2447</v>
      </c>
      <c r="I841" s="2"/>
      <c r="J841" s="2" t="s">
        <v>1919</v>
      </c>
      <c r="K841" s="2" t="s">
        <v>1918</v>
      </c>
    </row>
    <row r="842" spans="1:11" s="4" customFormat="1" ht="18" customHeight="1">
      <c r="A842" s="2" t="s">
        <v>1920</v>
      </c>
      <c r="B842" s="3"/>
      <c r="C842" s="2"/>
      <c r="D842" s="3"/>
      <c r="E842" s="2"/>
      <c r="F842" s="2" t="s">
        <v>158</v>
      </c>
      <c r="G842" s="2"/>
      <c r="H842" s="2" t="s">
        <v>158</v>
      </c>
      <c r="I842" s="2"/>
      <c r="J842" s="2" t="s">
        <v>1921</v>
      </c>
      <c r="K842" s="2" t="s">
        <v>1920</v>
      </c>
    </row>
    <row r="843" spans="1:11" s="4" customFormat="1" ht="18" customHeight="1">
      <c r="A843" s="2" t="s">
        <v>1922</v>
      </c>
      <c r="B843" s="3"/>
      <c r="C843" s="2"/>
      <c r="D843" s="3"/>
      <c r="E843" s="2"/>
      <c r="F843" s="2" t="s">
        <v>2809</v>
      </c>
      <c r="G843" s="2"/>
      <c r="H843" s="2" t="s">
        <v>2809</v>
      </c>
      <c r="I843" s="2"/>
      <c r="J843" s="2" t="s">
        <v>1923</v>
      </c>
      <c r="K843" s="2" t="s">
        <v>1922</v>
      </c>
    </row>
    <row r="844" spans="1:11" s="4" customFormat="1" ht="18" customHeight="1">
      <c r="A844" s="2" t="s">
        <v>1924</v>
      </c>
      <c r="B844" s="3"/>
      <c r="C844" s="2"/>
      <c r="D844" s="3"/>
      <c r="E844" s="2"/>
      <c r="F844" s="2" t="s">
        <v>296</v>
      </c>
      <c r="G844" s="2"/>
      <c r="H844" s="2" t="s">
        <v>296</v>
      </c>
      <c r="I844" s="2"/>
      <c r="J844" s="2" t="s">
        <v>1925</v>
      </c>
      <c r="K844" s="2" t="s">
        <v>1924</v>
      </c>
    </row>
    <row r="845" spans="1:11" s="4" customFormat="1" ht="18" customHeight="1">
      <c r="A845" s="2" t="s">
        <v>1926</v>
      </c>
      <c r="B845" s="3"/>
      <c r="C845" s="2"/>
      <c r="D845" s="3"/>
      <c r="E845" s="2"/>
      <c r="F845" s="2" t="s">
        <v>1667</v>
      </c>
      <c r="G845" s="2"/>
      <c r="H845" s="2" t="s">
        <v>1667</v>
      </c>
      <c r="I845" s="2"/>
      <c r="J845" s="2" t="s">
        <v>1927</v>
      </c>
      <c r="K845" s="2" t="s">
        <v>1926</v>
      </c>
    </row>
    <row r="846" spans="1:11" s="4" customFormat="1" ht="18" customHeight="1">
      <c r="A846" s="2" t="s">
        <v>1928</v>
      </c>
      <c r="B846" s="3"/>
      <c r="C846" s="2"/>
      <c r="D846" s="3"/>
      <c r="E846" s="2"/>
      <c r="F846" s="2" t="s">
        <v>3747</v>
      </c>
      <c r="G846" s="2"/>
      <c r="H846" s="2" t="s">
        <v>3747</v>
      </c>
      <c r="I846" s="2"/>
      <c r="J846" s="2" t="s">
        <v>1929</v>
      </c>
      <c r="K846" s="2" t="s">
        <v>1928</v>
      </c>
    </row>
    <row r="847" spans="1:11" s="4" customFormat="1" ht="18" customHeight="1">
      <c r="A847" s="2" t="s">
        <v>1931</v>
      </c>
      <c r="B847" s="3"/>
      <c r="C847" s="2"/>
      <c r="D847" s="3"/>
      <c r="E847" s="2"/>
      <c r="F847" s="2" t="s">
        <v>2837</v>
      </c>
      <c r="G847" s="2"/>
      <c r="H847" s="2" t="s">
        <v>2837</v>
      </c>
      <c r="I847" s="2"/>
      <c r="J847" s="2" t="s">
        <v>1932</v>
      </c>
      <c r="K847" s="2" t="s">
        <v>1931</v>
      </c>
    </row>
    <row r="848" spans="1:11" s="4" customFormat="1" ht="18" customHeight="1">
      <c r="A848" s="2" t="s">
        <v>1933</v>
      </c>
      <c r="B848" s="3"/>
      <c r="C848" s="2"/>
      <c r="D848" s="3"/>
      <c r="E848" s="2"/>
      <c r="F848" s="2" t="s">
        <v>3121</v>
      </c>
      <c r="G848" s="2"/>
      <c r="H848" s="2" t="s">
        <v>3121</v>
      </c>
      <c r="I848" s="2"/>
      <c r="J848" s="2" t="s">
        <v>1934</v>
      </c>
      <c r="K848" s="2" t="s">
        <v>1933</v>
      </c>
    </row>
    <row r="849" spans="1:11" s="4" customFormat="1" ht="18" customHeight="1">
      <c r="A849" s="2" t="s">
        <v>1935</v>
      </c>
      <c r="B849" s="3"/>
      <c r="C849" s="2"/>
      <c r="D849" s="3"/>
      <c r="E849" s="2"/>
      <c r="F849" s="2" t="s">
        <v>1911</v>
      </c>
      <c r="G849" s="2"/>
      <c r="H849" s="2" t="s">
        <v>1911</v>
      </c>
      <c r="I849" s="2"/>
      <c r="J849" s="2" t="s">
        <v>1936</v>
      </c>
      <c r="K849" s="2" t="s">
        <v>1935</v>
      </c>
    </row>
    <row r="850" spans="1:11" s="4" customFormat="1" ht="18" customHeight="1">
      <c r="A850" s="2" t="s">
        <v>1937</v>
      </c>
      <c r="B850" s="3"/>
      <c r="C850" s="2"/>
      <c r="D850" s="3"/>
      <c r="E850" s="2"/>
      <c r="F850" s="2" t="s">
        <v>1733</v>
      </c>
      <c r="G850" s="2"/>
      <c r="H850" s="2" t="s">
        <v>1733</v>
      </c>
      <c r="I850" s="2"/>
      <c r="J850" s="2" t="s">
        <v>1938</v>
      </c>
      <c r="K850" s="2" t="s">
        <v>1937</v>
      </c>
    </row>
    <row r="851" spans="1:11" s="4" customFormat="1" ht="18" customHeight="1">
      <c r="A851" s="2" t="s">
        <v>1939</v>
      </c>
      <c r="B851" s="3"/>
      <c r="C851" s="2"/>
      <c r="D851" s="3"/>
      <c r="E851" s="2"/>
      <c r="F851" s="2" t="s">
        <v>1367</v>
      </c>
      <c r="G851" s="2"/>
      <c r="H851" s="2" t="s">
        <v>1367</v>
      </c>
      <c r="I851" s="2"/>
      <c r="J851" s="2" t="s">
        <v>1940</v>
      </c>
      <c r="K851" s="2" t="s">
        <v>1939</v>
      </c>
    </row>
    <row r="852" spans="1:11" s="4" customFormat="1" ht="18" customHeight="1">
      <c r="A852" s="2" t="s">
        <v>1941</v>
      </c>
      <c r="B852" s="3"/>
      <c r="C852" s="2"/>
      <c r="D852" s="3"/>
      <c r="E852" s="2"/>
      <c r="F852" s="2" t="s">
        <v>610</v>
      </c>
      <c r="G852" s="2"/>
      <c r="H852" s="2" t="s">
        <v>610</v>
      </c>
      <c r="I852" s="2"/>
      <c r="J852" s="2" t="s">
        <v>1942</v>
      </c>
      <c r="K852" s="2" t="s">
        <v>1941</v>
      </c>
    </row>
    <row r="853" spans="1:11" s="4" customFormat="1" ht="18" customHeight="1">
      <c r="A853" s="2" t="s">
        <v>1943</v>
      </c>
      <c r="B853" s="3"/>
      <c r="C853" s="2"/>
      <c r="D853" s="3"/>
      <c r="E853" s="2"/>
      <c r="F853" s="2" t="s">
        <v>3702</v>
      </c>
      <c r="G853" s="2"/>
      <c r="H853" s="2" t="s">
        <v>3702</v>
      </c>
      <c r="I853" s="2"/>
      <c r="J853" s="2" t="s">
        <v>1944</v>
      </c>
      <c r="K853" s="2" t="s">
        <v>1943</v>
      </c>
    </row>
    <row r="854" spans="1:11" s="4" customFormat="1" ht="18" customHeight="1">
      <c r="A854" s="2" t="s">
        <v>1945</v>
      </c>
      <c r="B854" s="3"/>
      <c r="C854" s="2"/>
      <c r="D854" s="3"/>
      <c r="E854" s="2"/>
      <c r="F854" s="2" t="s">
        <v>545</v>
      </c>
      <c r="G854" s="2"/>
      <c r="H854" s="2" t="s">
        <v>545</v>
      </c>
      <c r="I854" s="2"/>
      <c r="J854" s="2" t="s">
        <v>1946</v>
      </c>
      <c r="K854" s="2" t="s">
        <v>1945</v>
      </c>
    </row>
    <row r="855" spans="1:11" s="4" customFormat="1" ht="18" customHeight="1">
      <c r="A855" s="2" t="s">
        <v>1947</v>
      </c>
      <c r="B855" s="3"/>
      <c r="C855" s="2"/>
      <c r="D855" s="3"/>
      <c r="E855" s="2"/>
      <c r="F855" s="2" t="s">
        <v>545</v>
      </c>
      <c r="G855" s="2"/>
      <c r="H855" s="2" t="s">
        <v>545</v>
      </c>
      <c r="I855" s="2"/>
      <c r="J855" s="2" t="s">
        <v>1948</v>
      </c>
      <c r="K855" s="2" t="s">
        <v>1947</v>
      </c>
    </row>
    <row r="856" spans="1:11" s="4" customFormat="1" ht="18" customHeight="1">
      <c r="A856" s="2" t="s">
        <v>1949</v>
      </c>
      <c r="B856" s="3"/>
      <c r="C856" s="2"/>
      <c r="D856" s="3"/>
      <c r="E856" s="2"/>
      <c r="F856" s="2" t="s">
        <v>365</v>
      </c>
      <c r="G856" s="2"/>
      <c r="H856" s="2" t="s">
        <v>365</v>
      </c>
      <c r="I856" s="2"/>
      <c r="J856" s="2" t="s">
        <v>1950</v>
      </c>
      <c r="K856" s="2" t="s">
        <v>1949</v>
      </c>
    </row>
    <row r="857" spans="1:11" s="4" customFormat="1" ht="18" customHeight="1">
      <c r="A857" s="2" t="s">
        <v>1951</v>
      </c>
      <c r="B857" s="3"/>
      <c r="C857" s="2"/>
      <c r="D857" s="3"/>
      <c r="E857" s="2"/>
      <c r="F857" s="2" t="s">
        <v>1572</v>
      </c>
      <c r="G857" s="2"/>
      <c r="H857" s="2" t="s">
        <v>1572</v>
      </c>
      <c r="I857" s="2"/>
      <c r="J857" s="2" t="s">
        <v>1952</v>
      </c>
      <c r="K857" s="2" t="s">
        <v>1951</v>
      </c>
    </row>
    <row r="858" spans="1:11" s="4" customFormat="1" ht="18" customHeight="1">
      <c r="A858" s="2" t="s">
        <v>1953</v>
      </c>
      <c r="B858" s="3"/>
      <c r="C858" s="2"/>
      <c r="D858" s="3"/>
      <c r="E858" s="2"/>
      <c r="F858" s="2" t="s">
        <v>586</v>
      </c>
      <c r="G858" s="2"/>
      <c r="H858" s="2" t="s">
        <v>586</v>
      </c>
      <c r="I858" s="2"/>
      <c r="J858" s="2" t="s">
        <v>659</v>
      </c>
      <c r="K858" s="2" t="s">
        <v>1953</v>
      </c>
    </row>
    <row r="859" spans="1:11" s="4" customFormat="1" ht="18" customHeight="1">
      <c r="A859" s="2" t="s">
        <v>1954</v>
      </c>
      <c r="B859" s="3"/>
      <c r="C859" s="2"/>
      <c r="D859" s="3"/>
      <c r="E859" s="2"/>
      <c r="F859" s="2" t="s">
        <v>2130</v>
      </c>
      <c r="G859" s="2"/>
      <c r="H859" s="2" t="s">
        <v>2130</v>
      </c>
      <c r="I859" s="2"/>
      <c r="J859" s="2" t="s">
        <v>1761</v>
      </c>
      <c r="K859" s="2" t="s">
        <v>1954</v>
      </c>
    </row>
    <row r="860" spans="1:11" s="4" customFormat="1" ht="18" customHeight="1">
      <c r="A860" s="2" t="s">
        <v>1955</v>
      </c>
      <c r="B860" s="3"/>
      <c r="C860" s="2"/>
      <c r="D860" s="3"/>
      <c r="E860" s="2"/>
      <c r="F860" s="2" t="s">
        <v>1232</v>
      </c>
      <c r="G860" s="2"/>
      <c r="H860" s="2" t="s">
        <v>1232</v>
      </c>
      <c r="I860" s="2"/>
      <c r="J860" s="2" t="s">
        <v>1956</v>
      </c>
      <c r="K860" s="2" t="s">
        <v>1955</v>
      </c>
    </row>
    <row r="861" spans="1:11" s="4" customFormat="1" ht="18" customHeight="1">
      <c r="A861" s="2" t="s">
        <v>1957</v>
      </c>
      <c r="B861" s="3"/>
      <c r="C861" s="2"/>
      <c r="D861" s="3"/>
      <c r="E861" s="2"/>
      <c r="F861" s="2" t="s">
        <v>2501</v>
      </c>
      <c r="G861" s="2"/>
      <c r="H861" s="2" t="s">
        <v>2501</v>
      </c>
      <c r="I861" s="2"/>
      <c r="J861" s="2" t="s">
        <v>1958</v>
      </c>
      <c r="K861" s="2" t="s">
        <v>1957</v>
      </c>
    </row>
    <row r="862" spans="1:11" s="4" customFormat="1" ht="18" customHeight="1">
      <c r="A862" s="2" t="s">
        <v>1959</v>
      </c>
      <c r="B862" s="3"/>
      <c r="C862" s="2"/>
      <c r="D862" s="3"/>
      <c r="E862" s="2"/>
      <c r="F862" s="2" t="s">
        <v>564</v>
      </c>
      <c r="G862" s="2"/>
      <c r="H862" s="2" t="s">
        <v>564</v>
      </c>
      <c r="I862" s="2"/>
      <c r="J862" s="2" t="s">
        <v>1960</v>
      </c>
      <c r="K862" s="2" t="s">
        <v>1959</v>
      </c>
    </row>
    <row r="863" spans="1:11" s="4" customFormat="1" ht="18" customHeight="1">
      <c r="A863" s="2" t="s">
        <v>1961</v>
      </c>
      <c r="B863" s="3"/>
      <c r="C863" s="2"/>
      <c r="D863" s="3"/>
      <c r="E863" s="2"/>
      <c r="F863" s="2" t="s">
        <v>2303</v>
      </c>
      <c r="G863" s="2"/>
      <c r="H863" s="2" t="s">
        <v>2303</v>
      </c>
      <c r="I863" s="2"/>
      <c r="J863" s="2" t="s">
        <v>1190</v>
      </c>
      <c r="K863" s="2" t="s">
        <v>1961</v>
      </c>
    </row>
    <row r="864" spans="1:11" s="4" customFormat="1" ht="18" customHeight="1">
      <c r="A864" s="2" t="s">
        <v>1963</v>
      </c>
      <c r="B864" s="3"/>
      <c r="C864" s="2"/>
      <c r="D864" s="3"/>
      <c r="E864" s="2"/>
      <c r="F864" s="2" t="s">
        <v>1175</v>
      </c>
      <c r="G864" s="2"/>
      <c r="H864" s="2" t="s">
        <v>1175</v>
      </c>
      <c r="I864" s="2"/>
      <c r="J864" s="2" t="s">
        <v>1964</v>
      </c>
      <c r="K864" s="2" t="s">
        <v>1963</v>
      </c>
    </row>
    <row r="865" spans="1:11" s="4" customFormat="1" ht="18" customHeight="1">
      <c r="A865" s="2" t="s">
        <v>1965</v>
      </c>
      <c r="B865" s="3"/>
      <c r="C865" s="2"/>
      <c r="D865" s="3"/>
      <c r="E865" s="2"/>
      <c r="F865" s="2" t="s">
        <v>2449</v>
      </c>
      <c r="G865" s="2"/>
      <c r="H865" s="2" t="s">
        <v>2449</v>
      </c>
      <c r="I865" s="2"/>
      <c r="J865" s="2" t="s">
        <v>1966</v>
      </c>
      <c r="K865" s="2" t="s">
        <v>1965</v>
      </c>
    </row>
    <row r="866" spans="1:11" s="4" customFormat="1" ht="18" customHeight="1">
      <c r="A866" s="2" t="s">
        <v>1968</v>
      </c>
      <c r="B866" s="3"/>
      <c r="C866" s="2"/>
      <c r="D866" s="3"/>
      <c r="E866" s="2"/>
      <c r="F866" s="2" t="s">
        <v>3340</v>
      </c>
      <c r="G866" s="2"/>
      <c r="H866" s="2" t="s">
        <v>3340</v>
      </c>
      <c r="I866" s="2"/>
      <c r="J866" s="2" t="s">
        <v>360</v>
      </c>
      <c r="K866" s="2" t="s">
        <v>1968</v>
      </c>
    </row>
    <row r="867" spans="1:11" s="4" customFormat="1" ht="18" customHeight="1">
      <c r="A867" s="2" t="s">
        <v>1969</v>
      </c>
      <c r="B867" s="3"/>
      <c r="C867" s="2"/>
      <c r="D867" s="3"/>
      <c r="E867" s="2"/>
      <c r="F867" s="2" t="s">
        <v>547</v>
      </c>
      <c r="G867" s="2"/>
      <c r="H867" s="2" t="s">
        <v>547</v>
      </c>
      <c r="I867" s="2"/>
      <c r="J867" s="2" t="s">
        <v>1970</v>
      </c>
      <c r="K867" s="2" t="s">
        <v>1969</v>
      </c>
    </row>
    <row r="868" spans="1:11" s="4" customFormat="1" ht="18" customHeight="1">
      <c r="A868" s="2" t="s">
        <v>1971</v>
      </c>
      <c r="B868" s="3"/>
      <c r="C868" s="2"/>
      <c r="D868" s="3"/>
      <c r="E868" s="2"/>
      <c r="F868" s="2" t="s">
        <v>1735</v>
      </c>
      <c r="G868" s="2"/>
      <c r="H868" s="2" t="s">
        <v>1735</v>
      </c>
      <c r="I868" s="2"/>
      <c r="J868" s="2" t="s">
        <v>1972</v>
      </c>
      <c r="K868" s="2" t="s">
        <v>1971</v>
      </c>
    </row>
    <row r="869" spans="1:11" s="4" customFormat="1" ht="18" customHeight="1">
      <c r="A869" s="2" t="s">
        <v>1973</v>
      </c>
      <c r="B869" s="3"/>
      <c r="C869" s="2"/>
      <c r="D869" s="3"/>
      <c r="E869" s="2"/>
      <c r="F869" s="2" t="s">
        <v>1022</v>
      </c>
      <c r="G869" s="2"/>
      <c r="H869" s="2" t="s">
        <v>1022</v>
      </c>
      <c r="I869" s="2"/>
      <c r="J869" s="2" t="s">
        <v>1974</v>
      </c>
      <c r="K869" s="2" t="s">
        <v>1973</v>
      </c>
    </row>
    <row r="870" spans="1:11" s="4" customFormat="1" ht="18" customHeight="1">
      <c r="A870" s="2" t="s">
        <v>1976</v>
      </c>
      <c r="B870" s="3"/>
      <c r="C870" s="2"/>
      <c r="D870" s="3"/>
      <c r="E870" s="2"/>
      <c r="F870" s="2" t="s">
        <v>3537</v>
      </c>
      <c r="G870" s="2"/>
      <c r="H870" s="2" t="s">
        <v>3537</v>
      </c>
      <c r="I870" s="2"/>
      <c r="J870" s="2" t="s">
        <v>1977</v>
      </c>
      <c r="K870" s="2" t="s">
        <v>1976</v>
      </c>
    </row>
    <row r="871" spans="1:11" s="4" customFormat="1" ht="18" customHeight="1">
      <c r="A871" s="2" t="s">
        <v>1978</v>
      </c>
      <c r="B871" s="3"/>
      <c r="C871" s="2"/>
      <c r="D871" s="3"/>
      <c r="E871" s="2"/>
      <c r="F871" s="2" t="s">
        <v>1970</v>
      </c>
      <c r="G871" s="2"/>
      <c r="H871" s="2" t="s">
        <v>1970</v>
      </c>
      <c r="I871" s="2"/>
      <c r="J871" s="2" t="s">
        <v>1979</v>
      </c>
      <c r="K871" s="2" t="s">
        <v>1978</v>
      </c>
    </row>
    <row r="872" spans="1:11" s="4" customFormat="1" ht="18" customHeight="1">
      <c r="A872" s="2" t="s">
        <v>1980</v>
      </c>
      <c r="B872" s="3"/>
      <c r="C872" s="2"/>
      <c r="D872" s="3"/>
      <c r="E872" s="2"/>
      <c r="F872" s="2" t="s">
        <v>3981</v>
      </c>
      <c r="G872" s="2"/>
      <c r="H872" s="2" t="s">
        <v>3981</v>
      </c>
      <c r="I872" s="2"/>
      <c r="J872" s="2" t="s">
        <v>1981</v>
      </c>
      <c r="K872" s="2" t="s">
        <v>1980</v>
      </c>
    </row>
    <row r="873" spans="1:11" s="4" customFormat="1" ht="18" customHeight="1">
      <c r="A873" s="2" t="s">
        <v>1983</v>
      </c>
      <c r="B873" s="3"/>
      <c r="C873" s="2"/>
      <c r="D873" s="3"/>
      <c r="E873" s="2"/>
      <c r="F873" s="2" t="s">
        <v>967</v>
      </c>
      <c r="G873" s="2"/>
      <c r="H873" s="2" t="s">
        <v>967</v>
      </c>
      <c r="I873" s="2"/>
      <c r="J873" s="2" t="s">
        <v>1984</v>
      </c>
      <c r="K873" s="2" t="s">
        <v>1983</v>
      </c>
    </row>
    <row r="874" spans="1:11" s="4" customFormat="1" ht="18" customHeight="1">
      <c r="A874" s="2" t="s">
        <v>1985</v>
      </c>
      <c r="B874" s="3"/>
      <c r="C874" s="2"/>
      <c r="D874" s="3"/>
      <c r="E874" s="2"/>
      <c r="F874" s="2" t="s">
        <v>298</v>
      </c>
      <c r="G874" s="2"/>
      <c r="H874" s="2" t="s">
        <v>298</v>
      </c>
      <c r="I874" s="2"/>
      <c r="J874" s="2" t="s">
        <v>1986</v>
      </c>
      <c r="K874" s="2" t="s">
        <v>1985</v>
      </c>
    </row>
    <row r="875" spans="1:11" s="4" customFormat="1" ht="18" customHeight="1">
      <c r="A875" s="2" t="s">
        <v>1987</v>
      </c>
      <c r="B875" s="3"/>
      <c r="C875" s="2"/>
      <c r="D875" s="3"/>
      <c r="E875" s="2"/>
      <c r="F875" s="2" t="s">
        <v>2616</v>
      </c>
      <c r="G875" s="2"/>
      <c r="H875" s="2" t="s">
        <v>2616</v>
      </c>
      <c r="I875" s="2"/>
      <c r="J875" s="2" t="s">
        <v>1988</v>
      </c>
      <c r="K875" s="2" t="s">
        <v>1987</v>
      </c>
    </row>
    <row r="876" spans="1:11" s="4" customFormat="1" ht="18" customHeight="1">
      <c r="A876" s="2" t="s">
        <v>1989</v>
      </c>
      <c r="B876" s="3"/>
      <c r="C876" s="2"/>
      <c r="D876" s="3"/>
      <c r="E876" s="2"/>
      <c r="F876" s="2" t="s">
        <v>249</v>
      </c>
      <c r="G876" s="2"/>
      <c r="H876" s="2" t="s">
        <v>249</v>
      </c>
      <c r="I876" s="2"/>
      <c r="J876" s="2" t="s">
        <v>1990</v>
      </c>
      <c r="K876" s="2" t="s">
        <v>1989</v>
      </c>
    </row>
    <row r="877" spans="1:11" s="4" customFormat="1" ht="18" customHeight="1">
      <c r="A877" s="2" t="s">
        <v>1991</v>
      </c>
      <c r="B877" s="3"/>
      <c r="C877" s="2"/>
      <c r="D877" s="3"/>
      <c r="E877" s="2"/>
      <c r="F877" s="2" t="s">
        <v>251</v>
      </c>
      <c r="G877" s="2"/>
      <c r="H877" s="2" t="s">
        <v>251</v>
      </c>
      <c r="I877" s="2"/>
      <c r="J877" s="2" t="s">
        <v>1992</v>
      </c>
      <c r="K877" s="2" t="s">
        <v>1991</v>
      </c>
    </row>
    <row r="878" spans="1:11" s="4" customFormat="1" ht="18" customHeight="1">
      <c r="A878" s="2" t="s">
        <v>1993</v>
      </c>
      <c r="B878" s="3"/>
      <c r="C878" s="2"/>
      <c r="D878" s="3"/>
      <c r="E878" s="2"/>
      <c r="F878" s="2" t="s">
        <v>324</v>
      </c>
      <c r="G878" s="2"/>
      <c r="H878" s="2" t="s">
        <v>324</v>
      </c>
      <c r="I878" s="2"/>
      <c r="J878" s="2" t="s">
        <v>1994</v>
      </c>
      <c r="K878" s="2" t="s">
        <v>1993</v>
      </c>
    </row>
    <row r="879" spans="1:11" s="4" customFormat="1" ht="18" customHeight="1">
      <c r="A879" s="2" t="s">
        <v>1995</v>
      </c>
      <c r="B879" s="3"/>
      <c r="C879" s="2"/>
      <c r="D879" s="3"/>
      <c r="E879" s="2"/>
      <c r="F879" s="2" t="s">
        <v>2246</v>
      </c>
      <c r="G879" s="2"/>
      <c r="H879" s="2" t="s">
        <v>2246</v>
      </c>
      <c r="I879" s="2"/>
      <c r="J879" s="2" t="s">
        <v>1996</v>
      </c>
      <c r="K879" s="2" t="s">
        <v>1995</v>
      </c>
    </row>
    <row r="880" spans="1:11" s="4" customFormat="1" ht="18" customHeight="1">
      <c r="A880" s="2" t="s">
        <v>1997</v>
      </c>
      <c r="B880" s="3"/>
      <c r="C880" s="2"/>
      <c r="D880" s="3"/>
      <c r="E880" s="2"/>
      <c r="F880" s="2" t="s">
        <v>1369</v>
      </c>
      <c r="G880" s="2"/>
      <c r="H880" s="2" t="s">
        <v>1369</v>
      </c>
      <c r="I880" s="2"/>
      <c r="J880" s="2" t="s">
        <v>1998</v>
      </c>
      <c r="K880" s="2" t="s">
        <v>1997</v>
      </c>
    </row>
    <row r="881" spans="1:11" s="4" customFormat="1" ht="18" customHeight="1">
      <c r="A881" s="2" t="s">
        <v>1999</v>
      </c>
      <c r="B881" s="3"/>
      <c r="C881" s="2"/>
      <c r="D881" s="3"/>
      <c r="E881" s="2"/>
      <c r="F881" s="2" t="s">
        <v>828</v>
      </c>
      <c r="G881" s="2"/>
      <c r="H881" s="2" t="s">
        <v>829</v>
      </c>
      <c r="I881" s="2"/>
      <c r="J881" s="2" t="s">
        <v>2000</v>
      </c>
      <c r="K881" s="2" t="s">
        <v>1999</v>
      </c>
    </row>
    <row r="882" spans="1:11" s="4" customFormat="1" ht="18" customHeight="1">
      <c r="A882" s="2" t="s">
        <v>2001</v>
      </c>
      <c r="B882" s="3"/>
      <c r="C882" s="2"/>
      <c r="D882" s="3"/>
      <c r="E882" s="2"/>
      <c r="F882" s="2" t="s">
        <v>1140</v>
      </c>
      <c r="G882" s="2"/>
      <c r="H882" s="2" t="s">
        <v>1141</v>
      </c>
      <c r="I882" s="2"/>
      <c r="J882" s="2" t="s">
        <v>2002</v>
      </c>
      <c r="K882" s="2" t="s">
        <v>2001</v>
      </c>
    </row>
    <row r="883" spans="1:11" s="4" customFormat="1" ht="18" customHeight="1">
      <c r="A883" s="2" t="s">
        <v>2004</v>
      </c>
      <c r="B883" s="3"/>
      <c r="C883" s="2"/>
      <c r="D883" s="3"/>
      <c r="E883" s="2"/>
      <c r="F883" s="2" t="s">
        <v>2839</v>
      </c>
      <c r="G883" s="2"/>
      <c r="H883" s="2" t="s">
        <v>2840</v>
      </c>
      <c r="I883" s="2"/>
      <c r="J883" s="2" t="s">
        <v>2005</v>
      </c>
      <c r="K883" s="2" t="s">
        <v>2004</v>
      </c>
    </row>
    <row r="884" spans="1:11" s="4" customFormat="1" ht="18" customHeight="1">
      <c r="A884" s="2" t="s">
        <v>2006</v>
      </c>
      <c r="B884" s="3"/>
      <c r="C884" s="2"/>
      <c r="D884" s="3"/>
      <c r="E884" s="2"/>
      <c r="F884" s="2" t="s">
        <v>3539</v>
      </c>
      <c r="G884" s="2"/>
      <c r="H884" s="2" t="s">
        <v>3539</v>
      </c>
      <c r="I884" s="2"/>
      <c r="J884" s="2" t="s">
        <v>2007</v>
      </c>
      <c r="K884" s="2" t="s">
        <v>2006</v>
      </c>
    </row>
    <row r="885" spans="1:11" s="4" customFormat="1" ht="18" customHeight="1">
      <c r="A885" s="2" t="s">
        <v>2009</v>
      </c>
      <c r="B885" s="3"/>
      <c r="C885" s="2"/>
      <c r="D885" s="3"/>
      <c r="E885" s="2"/>
      <c r="F885" s="2" t="s">
        <v>1212</v>
      </c>
      <c r="G885" s="2"/>
      <c r="H885" s="2" t="s">
        <v>1212</v>
      </c>
      <c r="I885" s="2"/>
      <c r="J885" s="2" t="s">
        <v>2010</v>
      </c>
      <c r="K885" s="2" t="s">
        <v>2009</v>
      </c>
    </row>
    <row r="886" spans="1:11" s="4" customFormat="1" ht="18" customHeight="1">
      <c r="A886" s="2" t="s">
        <v>2011</v>
      </c>
      <c r="B886" s="3"/>
      <c r="C886" s="2"/>
      <c r="D886" s="3"/>
      <c r="E886" s="2"/>
      <c r="F886" s="2" t="s">
        <v>549</v>
      </c>
      <c r="G886" s="2"/>
      <c r="H886" s="2" t="s">
        <v>549</v>
      </c>
      <c r="I886" s="2"/>
      <c r="J886" s="2" t="s">
        <v>2012</v>
      </c>
      <c r="K886" s="2" t="s">
        <v>2011</v>
      </c>
    </row>
    <row r="887" spans="1:11" s="4" customFormat="1" ht="18" customHeight="1">
      <c r="A887" s="2" t="s">
        <v>2013</v>
      </c>
      <c r="B887" s="3"/>
      <c r="C887" s="2"/>
      <c r="D887" s="3"/>
      <c r="E887" s="2"/>
      <c r="F887" s="2" t="s">
        <v>549</v>
      </c>
      <c r="G887" s="2"/>
      <c r="H887" s="2" t="s">
        <v>549</v>
      </c>
      <c r="I887" s="2"/>
      <c r="J887" s="2" t="s">
        <v>2014</v>
      </c>
      <c r="K887" s="2" t="s">
        <v>2013</v>
      </c>
    </row>
    <row r="888" spans="1:11" s="4" customFormat="1" ht="18" customHeight="1">
      <c r="A888" s="2" t="s">
        <v>2015</v>
      </c>
      <c r="B888" s="3"/>
      <c r="C888" s="2"/>
      <c r="D888" s="3"/>
      <c r="E888" s="2"/>
      <c r="F888" s="2" t="s">
        <v>776</v>
      </c>
      <c r="G888" s="2"/>
      <c r="H888" s="2" t="s">
        <v>776</v>
      </c>
      <c r="I888" s="2"/>
      <c r="J888" s="2" t="s">
        <v>1203</v>
      </c>
      <c r="K888" s="2" t="s">
        <v>2015</v>
      </c>
    </row>
    <row r="889" spans="1:11" s="4" customFormat="1" ht="18" customHeight="1">
      <c r="A889" s="2" t="s">
        <v>2016</v>
      </c>
      <c r="B889" s="3"/>
      <c r="C889" s="2"/>
      <c r="D889" s="3"/>
      <c r="E889" s="2"/>
      <c r="F889" s="2" t="s">
        <v>776</v>
      </c>
      <c r="G889" s="2"/>
      <c r="H889" s="2" t="s">
        <v>776</v>
      </c>
      <c r="I889" s="2"/>
      <c r="J889" s="2" t="s">
        <v>589</v>
      </c>
      <c r="K889" s="2" t="s">
        <v>2016</v>
      </c>
    </row>
    <row r="890" spans="1:11" s="4" customFormat="1" ht="18" customHeight="1">
      <c r="A890" s="2" t="s">
        <v>2018</v>
      </c>
      <c r="B890" s="3"/>
      <c r="C890" s="2"/>
      <c r="D890" s="3"/>
      <c r="E890" s="2"/>
      <c r="F890" s="2" t="s">
        <v>1200</v>
      </c>
      <c r="G890" s="2"/>
      <c r="H890" s="2" t="s">
        <v>589</v>
      </c>
      <c r="I890" s="2"/>
      <c r="J890" s="2" t="s">
        <v>2019</v>
      </c>
      <c r="K890" s="2" t="s">
        <v>2018</v>
      </c>
    </row>
    <row r="891" spans="1:11" s="4" customFormat="1" ht="18" customHeight="1">
      <c r="A891" s="2" t="s">
        <v>2020</v>
      </c>
      <c r="B891" s="3"/>
      <c r="C891" s="2"/>
      <c r="D891" s="3"/>
      <c r="E891" s="2"/>
      <c r="F891" s="2" t="s">
        <v>2940</v>
      </c>
      <c r="G891" s="2"/>
      <c r="H891" s="2" t="s">
        <v>2940</v>
      </c>
      <c r="I891" s="2"/>
      <c r="J891" s="2" t="s">
        <v>2021</v>
      </c>
      <c r="K891" s="2" t="s">
        <v>2020</v>
      </c>
    </row>
    <row r="892" spans="1:11" s="4" customFormat="1" ht="18" customHeight="1">
      <c r="A892" s="2" t="s">
        <v>2022</v>
      </c>
      <c r="B892" s="3"/>
      <c r="C892" s="2"/>
      <c r="D892" s="3"/>
      <c r="E892" s="2"/>
      <c r="F892" s="2" t="s">
        <v>1168</v>
      </c>
      <c r="G892" s="2"/>
      <c r="H892" s="2" t="s">
        <v>1168</v>
      </c>
      <c r="I892" s="2"/>
      <c r="J892" s="2" t="s">
        <v>2023</v>
      </c>
      <c r="K892" s="2" t="s">
        <v>2022</v>
      </c>
    </row>
    <row r="893" spans="1:11" s="4" customFormat="1" ht="18" customHeight="1">
      <c r="A893" s="2" t="s">
        <v>2024</v>
      </c>
      <c r="B893" s="3"/>
      <c r="C893" s="2"/>
      <c r="D893" s="3"/>
      <c r="E893" s="2"/>
      <c r="F893" s="2" t="s">
        <v>2842</v>
      </c>
      <c r="G893" s="2"/>
      <c r="H893" s="2" t="s">
        <v>2843</v>
      </c>
      <c r="I893" s="2"/>
      <c r="J893" s="2" t="s">
        <v>333</v>
      </c>
      <c r="K893" s="2" t="s">
        <v>2024</v>
      </c>
    </row>
    <row r="894" spans="1:11" s="4" customFormat="1" ht="18" customHeight="1">
      <c r="A894" s="2" t="s">
        <v>2025</v>
      </c>
      <c r="B894" s="3"/>
      <c r="C894" s="2"/>
      <c r="D894" s="3"/>
      <c r="E894" s="2"/>
      <c r="F894" s="2" t="s">
        <v>2845</v>
      </c>
      <c r="G894" s="2"/>
      <c r="H894" s="2" t="s">
        <v>2845</v>
      </c>
      <c r="I894" s="2"/>
      <c r="J894" s="2" t="s">
        <v>2026</v>
      </c>
      <c r="K894" s="2" t="s">
        <v>2025</v>
      </c>
    </row>
    <row r="895" spans="1:11" s="4" customFormat="1" ht="18" customHeight="1">
      <c r="A895" s="2" t="s">
        <v>2027</v>
      </c>
      <c r="B895" s="3"/>
      <c r="C895" s="2"/>
      <c r="D895" s="3"/>
      <c r="E895" s="2"/>
      <c r="F895" s="2" t="s">
        <v>235</v>
      </c>
      <c r="G895" s="2"/>
      <c r="H895" s="2" t="s">
        <v>235</v>
      </c>
      <c r="I895" s="2"/>
      <c r="J895" s="2" t="s">
        <v>1870</v>
      </c>
      <c r="K895" s="2" t="s">
        <v>2027</v>
      </c>
    </row>
    <row r="896" spans="1:11" s="4" customFormat="1" ht="18" customHeight="1">
      <c r="A896" s="2" t="s">
        <v>2028</v>
      </c>
      <c r="B896" s="3"/>
      <c r="C896" s="2"/>
      <c r="D896" s="3"/>
      <c r="E896" s="2"/>
      <c r="F896" s="2" t="s">
        <v>254</v>
      </c>
      <c r="G896" s="2"/>
      <c r="H896" s="2" t="s">
        <v>254</v>
      </c>
      <c r="I896" s="2"/>
      <c r="J896" s="2" t="s">
        <v>2029</v>
      </c>
      <c r="K896" s="2" t="s">
        <v>2028</v>
      </c>
    </row>
    <row r="897" spans="1:11" s="4" customFormat="1" ht="18" customHeight="1">
      <c r="A897" s="2" t="s">
        <v>2030</v>
      </c>
      <c r="B897" s="3"/>
      <c r="C897" s="2"/>
      <c r="D897" s="3"/>
      <c r="E897" s="2"/>
      <c r="F897" s="2" t="s">
        <v>2161</v>
      </c>
      <c r="G897" s="2"/>
      <c r="H897" s="2" t="s">
        <v>2162</v>
      </c>
      <c r="I897" s="2"/>
      <c r="J897" s="2" t="s">
        <v>2031</v>
      </c>
      <c r="K897" s="2" t="s">
        <v>2030</v>
      </c>
    </row>
    <row r="898" spans="1:11" s="4" customFormat="1" ht="18" customHeight="1">
      <c r="A898" s="2" t="s">
        <v>2032</v>
      </c>
      <c r="B898" s="3"/>
      <c r="C898" s="2"/>
      <c r="D898" s="3"/>
      <c r="E898" s="2"/>
      <c r="F898" s="2" t="s">
        <v>1024</v>
      </c>
      <c r="G898" s="2"/>
      <c r="H898" s="2" t="s">
        <v>1024</v>
      </c>
      <c r="I898" s="2"/>
      <c r="J898" s="2" t="s">
        <v>2033</v>
      </c>
      <c r="K898" s="2" t="s">
        <v>2032</v>
      </c>
    </row>
    <row r="899" spans="1:11" s="4" customFormat="1" ht="18" customHeight="1">
      <c r="A899" s="2" t="s">
        <v>2034</v>
      </c>
      <c r="B899" s="3"/>
      <c r="C899" s="2"/>
      <c r="D899" s="3"/>
      <c r="E899" s="2"/>
      <c r="F899" s="2" t="s">
        <v>3704</v>
      </c>
      <c r="G899" s="2"/>
      <c r="H899" s="2" t="s">
        <v>3704</v>
      </c>
      <c r="I899" s="2"/>
      <c r="J899" s="2" t="s">
        <v>2035</v>
      </c>
      <c r="K899" s="2" t="s">
        <v>2034</v>
      </c>
    </row>
    <row r="900" spans="1:11" s="4" customFormat="1" ht="18" customHeight="1">
      <c r="A900" s="2" t="s">
        <v>2036</v>
      </c>
      <c r="B900" s="3"/>
      <c r="C900" s="2"/>
      <c r="D900" s="3"/>
      <c r="E900" s="2"/>
      <c r="F900" s="2" t="s">
        <v>630</v>
      </c>
      <c r="G900" s="2"/>
      <c r="H900" s="2" t="s">
        <v>630</v>
      </c>
      <c r="I900" s="2"/>
      <c r="J900" s="2" t="s">
        <v>2037</v>
      </c>
      <c r="K900" s="2" t="s">
        <v>2036</v>
      </c>
    </row>
    <row r="901" spans="1:11" s="4" customFormat="1" ht="18" customHeight="1">
      <c r="A901" s="2" t="s">
        <v>2038</v>
      </c>
      <c r="B901" s="3"/>
      <c r="C901" s="2"/>
      <c r="D901" s="3"/>
      <c r="E901" s="2"/>
      <c r="F901" s="2" t="s">
        <v>988</v>
      </c>
      <c r="G901" s="2"/>
      <c r="H901" s="2" t="s">
        <v>988</v>
      </c>
      <c r="I901" s="2"/>
      <c r="J901" s="2" t="s">
        <v>2039</v>
      </c>
      <c r="K901" s="2" t="s">
        <v>2038</v>
      </c>
    </row>
    <row r="902" spans="1:11" s="4" customFormat="1" ht="18" customHeight="1">
      <c r="A902" s="2" t="s">
        <v>2040</v>
      </c>
      <c r="B902" s="3"/>
      <c r="C902" s="2"/>
      <c r="D902" s="3"/>
      <c r="E902" s="2"/>
      <c r="F902" s="2" t="s">
        <v>2644</v>
      </c>
      <c r="G902" s="2"/>
      <c r="H902" s="2" t="s">
        <v>2644</v>
      </c>
      <c r="I902" s="2"/>
      <c r="J902" s="2" t="s">
        <v>2041</v>
      </c>
      <c r="K902" s="2" t="s">
        <v>2040</v>
      </c>
    </row>
    <row r="903" spans="1:11" s="4" customFormat="1" ht="18" customHeight="1">
      <c r="A903" s="2" t="s">
        <v>2042</v>
      </c>
      <c r="B903" s="3"/>
      <c r="C903" s="2"/>
      <c r="D903" s="3"/>
      <c r="E903" s="2"/>
      <c r="F903" s="2" t="s">
        <v>1852</v>
      </c>
      <c r="G903" s="2"/>
      <c r="H903" s="2" t="s">
        <v>1852</v>
      </c>
      <c r="I903" s="2"/>
      <c r="J903" s="2" t="s">
        <v>2043</v>
      </c>
      <c r="K903" s="2" t="s">
        <v>2042</v>
      </c>
    </row>
    <row r="904" spans="1:11" s="4" customFormat="1" ht="18" customHeight="1">
      <c r="A904" s="2" t="s">
        <v>2044</v>
      </c>
      <c r="B904" s="3"/>
      <c r="C904" s="2"/>
      <c r="D904" s="3"/>
      <c r="E904" s="2"/>
      <c r="F904" s="2" t="s">
        <v>3617</v>
      </c>
      <c r="G904" s="2"/>
      <c r="H904" s="2" t="s">
        <v>3617</v>
      </c>
      <c r="I904" s="2"/>
      <c r="J904" s="2" t="s">
        <v>2045</v>
      </c>
      <c r="K904" s="2" t="s">
        <v>2044</v>
      </c>
    </row>
    <row r="905" spans="1:11" s="4" customFormat="1" ht="18" customHeight="1">
      <c r="A905" s="2" t="s">
        <v>2046</v>
      </c>
      <c r="B905" s="3"/>
      <c r="C905" s="2"/>
      <c r="D905" s="3"/>
      <c r="E905" s="2"/>
      <c r="F905" s="2" t="s">
        <v>3123</v>
      </c>
      <c r="G905" s="2"/>
      <c r="H905" s="2" t="s">
        <v>3123</v>
      </c>
      <c r="I905" s="2"/>
      <c r="J905" s="2" t="s">
        <v>2047</v>
      </c>
      <c r="K905" s="2" t="s">
        <v>2046</v>
      </c>
    </row>
    <row r="906" spans="1:11" s="4" customFormat="1" ht="18" customHeight="1">
      <c r="A906" s="2" t="s">
        <v>2048</v>
      </c>
      <c r="B906" s="3"/>
      <c r="C906" s="2"/>
      <c r="D906" s="3"/>
      <c r="E906" s="2"/>
      <c r="F906" s="2" t="s">
        <v>3288</v>
      </c>
      <c r="G906" s="2"/>
      <c r="H906" s="2" t="s">
        <v>3307</v>
      </c>
      <c r="I906" s="2"/>
      <c r="J906" s="2" t="s">
        <v>2049</v>
      </c>
      <c r="K906" s="2" t="s">
        <v>2048</v>
      </c>
    </row>
    <row r="907" spans="1:11" s="4" customFormat="1" ht="18" customHeight="1">
      <c r="A907" s="2" t="s">
        <v>2050</v>
      </c>
      <c r="B907" s="3"/>
      <c r="C907" s="2"/>
      <c r="D907" s="3"/>
      <c r="E907" s="2"/>
      <c r="F907" s="2" t="s">
        <v>1026</v>
      </c>
      <c r="G907" s="2"/>
      <c r="H907" s="2" t="s">
        <v>1026</v>
      </c>
      <c r="I907" s="2"/>
      <c r="J907" s="2" t="s">
        <v>2051</v>
      </c>
      <c r="K907" s="2" t="s">
        <v>2050</v>
      </c>
    </row>
    <row r="908" spans="1:11" s="4" customFormat="1" ht="18" customHeight="1">
      <c r="A908" s="2" t="s">
        <v>2053</v>
      </c>
      <c r="B908" s="3"/>
      <c r="C908" s="2"/>
      <c r="D908" s="3"/>
      <c r="E908" s="2"/>
      <c r="F908" s="2" t="s">
        <v>160</v>
      </c>
      <c r="G908" s="2"/>
      <c r="H908" s="2" t="s">
        <v>160</v>
      </c>
      <c r="I908" s="2"/>
      <c r="J908" s="2" t="s">
        <v>2054</v>
      </c>
      <c r="K908" s="2" t="s">
        <v>2053</v>
      </c>
    </row>
    <row r="909" spans="1:11" s="4" customFormat="1" ht="18" customHeight="1">
      <c r="A909" s="2" t="s">
        <v>2055</v>
      </c>
      <c r="B909" s="3"/>
      <c r="C909" s="2"/>
      <c r="D909" s="3"/>
      <c r="E909" s="2"/>
      <c r="F909" s="2" t="s">
        <v>160</v>
      </c>
      <c r="G909" s="2"/>
      <c r="H909" s="2" t="s">
        <v>160</v>
      </c>
      <c r="I909" s="2"/>
      <c r="J909" s="2" t="s">
        <v>2056</v>
      </c>
      <c r="K909" s="2" t="s">
        <v>2055</v>
      </c>
    </row>
    <row r="910" spans="1:11" s="4" customFormat="1" ht="18" customHeight="1">
      <c r="A910" s="2" t="s">
        <v>2057</v>
      </c>
      <c r="B910" s="3"/>
      <c r="C910" s="2"/>
      <c r="D910" s="3"/>
      <c r="E910" s="2"/>
      <c r="F910" s="2" t="s">
        <v>2600</v>
      </c>
      <c r="G910" s="2"/>
      <c r="H910" s="2" t="s">
        <v>2600</v>
      </c>
      <c r="I910" s="2"/>
      <c r="J910" s="2" t="s">
        <v>2058</v>
      </c>
      <c r="K910" s="2" t="s">
        <v>2057</v>
      </c>
    </row>
    <row r="911" spans="1:11" s="4" customFormat="1" ht="18" customHeight="1">
      <c r="A911" s="2" t="s">
        <v>2059</v>
      </c>
      <c r="B911" s="3"/>
      <c r="C911" s="2"/>
      <c r="D911" s="3"/>
      <c r="E911" s="2"/>
      <c r="F911" s="2" t="s">
        <v>2847</v>
      </c>
      <c r="G911" s="2"/>
      <c r="H911" s="2" t="s">
        <v>2847</v>
      </c>
      <c r="I911" s="2"/>
      <c r="J911" s="2" t="s">
        <v>2060</v>
      </c>
      <c r="K911" s="2" t="s">
        <v>2059</v>
      </c>
    </row>
    <row r="912" spans="1:11" s="4" customFormat="1" ht="18" customHeight="1">
      <c r="A912" s="2" t="s">
        <v>2061</v>
      </c>
      <c r="B912" s="3"/>
      <c r="C912" s="2"/>
      <c r="D912" s="3"/>
      <c r="E912" s="2"/>
      <c r="F912" s="2" t="s">
        <v>1041</v>
      </c>
      <c r="G912" s="2"/>
      <c r="H912" s="2" t="s">
        <v>1042</v>
      </c>
      <c r="I912" s="2"/>
      <c r="J912" s="2" t="s">
        <v>2062</v>
      </c>
      <c r="K912" s="2" t="s">
        <v>2061</v>
      </c>
    </row>
    <row r="913" spans="1:11" s="4" customFormat="1" ht="18" customHeight="1">
      <c r="A913" s="2" t="s">
        <v>2063</v>
      </c>
      <c r="B913" s="3"/>
      <c r="C913" s="2"/>
      <c r="D913" s="3"/>
      <c r="E913" s="2"/>
      <c r="F913" s="2" t="s">
        <v>2942</v>
      </c>
      <c r="G913" s="2"/>
      <c r="H913" s="2" t="s">
        <v>2942</v>
      </c>
      <c r="I913" s="2"/>
      <c r="J913" s="2" t="s">
        <v>2064</v>
      </c>
      <c r="K913" s="2" t="s">
        <v>2063</v>
      </c>
    </row>
    <row r="914" spans="1:11" s="4" customFormat="1" ht="18" customHeight="1">
      <c r="A914" s="2" t="s">
        <v>2065</v>
      </c>
      <c r="B914" s="3"/>
      <c r="C914" s="2"/>
      <c r="D914" s="3"/>
      <c r="E914" s="2"/>
      <c r="F914" s="2" t="s">
        <v>510</v>
      </c>
      <c r="G914" s="2"/>
      <c r="H914" s="2" t="s">
        <v>510</v>
      </c>
      <c r="I914" s="2"/>
      <c r="J914" s="2" t="s">
        <v>2066</v>
      </c>
      <c r="K914" s="2" t="s">
        <v>2065</v>
      </c>
    </row>
    <row r="915" spans="1:11" s="4" customFormat="1" ht="18" customHeight="1">
      <c r="A915" s="2" t="s">
        <v>2067</v>
      </c>
      <c r="B915" s="3"/>
      <c r="C915" s="2"/>
      <c r="D915" s="3"/>
      <c r="E915" s="2"/>
      <c r="F915" s="2" t="s">
        <v>841</v>
      </c>
      <c r="G915" s="2"/>
      <c r="H915" s="2" t="s">
        <v>841</v>
      </c>
      <c r="I915" s="2"/>
      <c r="J915" s="2" t="s">
        <v>2068</v>
      </c>
      <c r="K915" s="2" t="s">
        <v>2067</v>
      </c>
    </row>
    <row r="916" spans="1:11" s="4" customFormat="1" ht="18" customHeight="1">
      <c r="A916" s="2" t="s">
        <v>2070</v>
      </c>
      <c r="B916" s="3"/>
      <c r="C916" s="2"/>
      <c r="D916" s="3"/>
      <c r="E916" s="2"/>
      <c r="F916" s="2" t="s">
        <v>4050</v>
      </c>
      <c r="G916" s="2"/>
      <c r="H916" s="2" t="s">
        <v>3896</v>
      </c>
      <c r="I916" s="2"/>
      <c r="J916" s="2" t="s">
        <v>2071</v>
      </c>
      <c r="K916" s="2" t="s">
        <v>2070</v>
      </c>
    </row>
    <row r="917" spans="1:11" s="4" customFormat="1" ht="18" customHeight="1">
      <c r="A917" s="2" t="s">
        <v>2073</v>
      </c>
      <c r="B917" s="3"/>
      <c r="C917" s="2"/>
      <c r="D917" s="3"/>
      <c r="E917" s="2"/>
      <c r="F917" s="2" t="s">
        <v>2910</v>
      </c>
      <c r="G917" s="2"/>
      <c r="H917" s="2" t="s">
        <v>2910</v>
      </c>
      <c r="I917" s="2"/>
      <c r="J917" s="2" t="s">
        <v>2074</v>
      </c>
      <c r="K917" s="2" t="s">
        <v>2073</v>
      </c>
    </row>
    <row r="918" spans="1:11" s="4" customFormat="1" ht="18" customHeight="1">
      <c r="A918" s="2" t="s">
        <v>2076</v>
      </c>
      <c r="B918" s="3"/>
      <c r="C918" s="2"/>
      <c r="D918" s="3"/>
      <c r="E918" s="2"/>
      <c r="F918" s="2" t="s">
        <v>3541</v>
      </c>
      <c r="G918" s="2"/>
      <c r="H918" s="2" t="s">
        <v>3541</v>
      </c>
      <c r="I918" s="2"/>
      <c r="J918" s="2" t="s">
        <v>2077</v>
      </c>
      <c r="K918" s="2" t="s">
        <v>2076</v>
      </c>
    </row>
    <row r="919" spans="1:11" s="4" customFormat="1" ht="18" customHeight="1">
      <c r="A919" s="2" t="s">
        <v>2078</v>
      </c>
      <c r="B919" s="3"/>
      <c r="C919" s="2"/>
      <c r="D919" s="3"/>
      <c r="E919" s="2"/>
      <c r="F919" s="2" t="s">
        <v>669</v>
      </c>
      <c r="G919" s="2"/>
      <c r="H919" s="2" t="s">
        <v>669</v>
      </c>
      <c r="I919" s="2"/>
      <c r="J919" s="2" t="s">
        <v>2079</v>
      </c>
      <c r="K919" s="2" t="s">
        <v>2078</v>
      </c>
    </row>
    <row r="920" spans="1:11" s="4" customFormat="1" ht="18" customHeight="1">
      <c r="A920" s="2" t="s">
        <v>2080</v>
      </c>
      <c r="B920" s="3"/>
      <c r="C920" s="2"/>
      <c r="D920" s="3"/>
      <c r="E920" s="2"/>
      <c r="F920" s="2" t="s">
        <v>407</v>
      </c>
      <c r="G920" s="2"/>
      <c r="H920" s="2" t="s">
        <v>407</v>
      </c>
      <c r="I920" s="2"/>
      <c r="J920" s="2" t="s">
        <v>2081</v>
      </c>
      <c r="K920" s="2" t="s">
        <v>2080</v>
      </c>
    </row>
    <row r="921" spans="1:11" s="4" customFormat="1" ht="18" customHeight="1">
      <c r="A921" s="2" t="s">
        <v>2083</v>
      </c>
      <c r="B921" s="3"/>
      <c r="C921" s="2"/>
      <c r="D921" s="3"/>
      <c r="E921" s="2"/>
      <c r="F921" s="2" t="s">
        <v>3264</v>
      </c>
      <c r="G921" s="2"/>
      <c r="H921" s="2" t="s">
        <v>3265</v>
      </c>
      <c r="I921" s="2"/>
      <c r="J921" s="2" t="s">
        <v>2084</v>
      </c>
      <c r="K921" s="2" t="s">
        <v>2083</v>
      </c>
    </row>
    <row r="922" spans="1:11" s="4" customFormat="1" ht="18" customHeight="1">
      <c r="A922" s="2" t="s">
        <v>2085</v>
      </c>
      <c r="B922" s="3"/>
      <c r="C922" s="2"/>
      <c r="D922" s="3"/>
      <c r="E922" s="2"/>
      <c r="F922" s="2" t="s">
        <v>1878</v>
      </c>
      <c r="G922" s="2"/>
      <c r="H922" s="2" t="s">
        <v>1878</v>
      </c>
      <c r="I922" s="2"/>
      <c r="J922" s="2" t="s">
        <v>2086</v>
      </c>
      <c r="K922" s="2" t="s">
        <v>2085</v>
      </c>
    </row>
    <row r="923" spans="1:11" s="4" customFormat="1" ht="18" customHeight="1">
      <c r="A923" s="2" t="s">
        <v>2087</v>
      </c>
      <c r="B923" s="3"/>
      <c r="C923" s="2"/>
      <c r="D923" s="3"/>
      <c r="E923" s="2"/>
      <c r="F923" s="2" t="s">
        <v>3301</v>
      </c>
      <c r="G923" s="2"/>
      <c r="H923" s="2" t="s">
        <v>3302</v>
      </c>
      <c r="I923" s="2"/>
      <c r="J923" s="2" t="s">
        <v>2088</v>
      </c>
      <c r="K923" s="2" t="s">
        <v>2087</v>
      </c>
    </row>
    <row r="924" spans="1:11" s="4" customFormat="1" ht="18" customHeight="1">
      <c r="A924" s="2" t="s">
        <v>2089</v>
      </c>
      <c r="B924" s="3"/>
      <c r="C924" s="2"/>
      <c r="D924" s="3"/>
      <c r="E924" s="2"/>
      <c r="F924" s="2" t="s">
        <v>2783</v>
      </c>
      <c r="G924" s="2"/>
      <c r="H924" s="2" t="s">
        <v>2783</v>
      </c>
      <c r="I924" s="2"/>
      <c r="J924" s="2" t="s">
        <v>2090</v>
      </c>
      <c r="K924" s="2" t="s">
        <v>2089</v>
      </c>
    </row>
    <row r="925" spans="1:11" s="4" customFormat="1" ht="18" customHeight="1">
      <c r="A925" s="2" t="s">
        <v>2091</v>
      </c>
      <c r="B925" s="3"/>
      <c r="C925" s="2"/>
      <c r="D925" s="3"/>
      <c r="E925" s="2"/>
      <c r="F925" s="2" t="s">
        <v>2390</v>
      </c>
      <c r="G925" s="2"/>
      <c r="H925" s="2" t="s">
        <v>1188</v>
      </c>
      <c r="I925" s="2"/>
      <c r="J925" s="2" t="s">
        <v>2092</v>
      </c>
      <c r="K925" s="2" t="s">
        <v>2091</v>
      </c>
    </row>
    <row r="926" spans="1:11" s="4" customFormat="1" ht="18" customHeight="1">
      <c r="A926" s="2" t="s">
        <v>2093</v>
      </c>
      <c r="B926" s="3"/>
      <c r="C926" s="2"/>
      <c r="D926" s="3"/>
      <c r="E926" s="2"/>
      <c r="F926" s="2" t="s">
        <v>3572</v>
      </c>
      <c r="G926" s="2"/>
      <c r="H926" s="2" t="s">
        <v>3572</v>
      </c>
      <c r="I926" s="2"/>
      <c r="J926" s="2" t="s">
        <v>2094</v>
      </c>
      <c r="K926" s="2" t="s">
        <v>2093</v>
      </c>
    </row>
    <row r="927" spans="1:11" s="4" customFormat="1" ht="18" customHeight="1">
      <c r="A927" s="2" t="s">
        <v>2095</v>
      </c>
      <c r="B927" s="3"/>
      <c r="C927" s="2"/>
      <c r="D927" s="3"/>
      <c r="E927" s="2"/>
      <c r="F927" s="2" t="s">
        <v>3225</v>
      </c>
      <c r="G927" s="2"/>
      <c r="H927" s="2" t="s">
        <v>3226</v>
      </c>
      <c r="I927" s="2"/>
      <c r="J927" s="2" t="s">
        <v>2096</v>
      </c>
      <c r="K927" s="2" t="s">
        <v>2095</v>
      </c>
    </row>
    <row r="928" spans="1:11" s="4" customFormat="1" ht="18" customHeight="1">
      <c r="A928" s="2" t="s">
        <v>2097</v>
      </c>
      <c r="B928" s="3"/>
      <c r="C928" s="2"/>
      <c r="D928" s="3"/>
      <c r="E928" s="2"/>
      <c r="F928" s="2" t="s">
        <v>802</v>
      </c>
      <c r="G928" s="2"/>
      <c r="H928" s="2" t="s">
        <v>802</v>
      </c>
      <c r="I928" s="2"/>
      <c r="J928" s="2" t="s">
        <v>1194</v>
      </c>
      <c r="K928" s="2" t="s">
        <v>2097</v>
      </c>
    </row>
    <row r="929" spans="1:11" s="4" customFormat="1" ht="18" customHeight="1">
      <c r="A929" s="2" t="s">
        <v>2099</v>
      </c>
      <c r="B929" s="3"/>
      <c r="C929" s="2"/>
      <c r="D929" s="3"/>
      <c r="E929" s="2"/>
      <c r="F929" s="2" t="s">
        <v>1717</v>
      </c>
      <c r="G929" s="2"/>
      <c r="H929" s="2" t="s">
        <v>1717</v>
      </c>
      <c r="I929" s="2"/>
      <c r="J929" s="2" t="s">
        <v>2100</v>
      </c>
      <c r="K929" s="2" t="s">
        <v>2099</v>
      </c>
    </row>
    <row r="930" spans="1:11" s="4" customFormat="1" ht="18" customHeight="1">
      <c r="A930" s="2" t="s">
        <v>2101</v>
      </c>
      <c r="B930" s="3"/>
      <c r="C930" s="2"/>
      <c r="D930" s="3"/>
      <c r="E930" s="2"/>
      <c r="F930" s="2" t="s">
        <v>1769</v>
      </c>
      <c r="G930" s="2"/>
      <c r="H930" s="2" t="s">
        <v>1769</v>
      </c>
      <c r="I930" s="2"/>
      <c r="J930" s="2" t="s">
        <v>2102</v>
      </c>
      <c r="K930" s="2" t="s">
        <v>2101</v>
      </c>
    </row>
    <row r="931" spans="1:11" s="4" customFormat="1" ht="18" customHeight="1">
      <c r="A931" s="2" t="s">
        <v>2103</v>
      </c>
      <c r="B931" s="3"/>
      <c r="C931" s="2"/>
      <c r="D931" s="3"/>
      <c r="E931" s="2"/>
      <c r="F931" s="2" t="s">
        <v>1854</v>
      </c>
      <c r="G931" s="2"/>
      <c r="H931" s="2" t="s">
        <v>1854</v>
      </c>
      <c r="I931" s="2"/>
      <c r="J931" s="2" t="s">
        <v>1075</v>
      </c>
      <c r="K931" s="2" t="s">
        <v>2103</v>
      </c>
    </row>
    <row r="932" spans="1:11" s="4" customFormat="1" ht="18" customHeight="1">
      <c r="A932" s="2" t="s">
        <v>2105</v>
      </c>
      <c r="B932" s="3"/>
      <c r="C932" s="2"/>
      <c r="D932" s="3"/>
      <c r="E932" s="2"/>
      <c r="F932" s="2" t="s">
        <v>612</v>
      </c>
      <c r="G932" s="2"/>
      <c r="H932" s="2" t="s">
        <v>612</v>
      </c>
      <c r="I932" s="2"/>
      <c r="J932" s="2" t="s">
        <v>2106</v>
      </c>
      <c r="K932" s="2" t="s">
        <v>2105</v>
      </c>
    </row>
    <row r="933" spans="1:11" s="4" customFormat="1" ht="18" customHeight="1">
      <c r="A933" s="2" t="s">
        <v>2107</v>
      </c>
      <c r="B933" s="3"/>
      <c r="C933" s="2"/>
      <c r="D933" s="3"/>
      <c r="E933" s="2"/>
      <c r="F933" s="2" t="s">
        <v>2699</v>
      </c>
      <c r="G933" s="2"/>
      <c r="H933" s="2" t="s">
        <v>2699</v>
      </c>
      <c r="I933" s="2"/>
      <c r="J933" s="2" t="s">
        <v>2108</v>
      </c>
      <c r="K933" s="2" t="s">
        <v>2107</v>
      </c>
    </row>
    <row r="934" spans="1:11" s="4" customFormat="1" ht="18" customHeight="1">
      <c r="A934" s="2" t="s">
        <v>2109</v>
      </c>
      <c r="B934" s="3"/>
      <c r="C934" s="2"/>
      <c r="D934" s="3"/>
      <c r="E934" s="2"/>
      <c r="F934" s="2" t="s">
        <v>1279</v>
      </c>
      <c r="G934" s="2"/>
      <c r="H934" s="2" t="s">
        <v>1279</v>
      </c>
      <c r="I934" s="2"/>
      <c r="J934" s="2" t="s">
        <v>2110</v>
      </c>
      <c r="K934" s="2" t="s">
        <v>2109</v>
      </c>
    </row>
    <row r="935" spans="1:11" s="4" customFormat="1" ht="18" customHeight="1">
      <c r="A935" s="2" t="s">
        <v>2111</v>
      </c>
      <c r="B935" s="3"/>
      <c r="C935" s="2"/>
      <c r="D935" s="3"/>
      <c r="E935" s="2"/>
      <c r="F935" s="2" t="s">
        <v>1840</v>
      </c>
      <c r="G935" s="2"/>
      <c r="H935" s="2" t="s">
        <v>1840</v>
      </c>
      <c r="I935" s="2"/>
      <c r="J935" s="2" t="s">
        <v>2112</v>
      </c>
      <c r="K935" s="2" t="s">
        <v>2111</v>
      </c>
    </row>
    <row r="936" spans="1:11" s="4" customFormat="1" ht="18" customHeight="1">
      <c r="A936" s="2" t="s">
        <v>2113</v>
      </c>
      <c r="B936" s="3"/>
      <c r="C936" s="2"/>
      <c r="D936" s="3"/>
      <c r="E936" s="2"/>
      <c r="F936" s="2" t="s">
        <v>2541</v>
      </c>
      <c r="G936" s="2"/>
      <c r="H936" s="2" t="s">
        <v>2541</v>
      </c>
      <c r="I936" s="2"/>
      <c r="J936" s="2" t="s">
        <v>2114</v>
      </c>
      <c r="K936" s="2" t="s">
        <v>2113</v>
      </c>
    </row>
    <row r="937" spans="1:11" s="4" customFormat="1" ht="18" customHeight="1">
      <c r="A937" s="2" t="s">
        <v>2115</v>
      </c>
      <c r="B937" s="3"/>
      <c r="C937" s="2"/>
      <c r="D937" s="3"/>
      <c r="E937" s="2"/>
      <c r="F937" s="2" t="s">
        <v>427</v>
      </c>
      <c r="G937" s="2"/>
      <c r="H937" s="2" t="s">
        <v>427</v>
      </c>
      <c r="I937" s="2"/>
      <c r="J937" s="2" t="s">
        <v>2116</v>
      </c>
      <c r="K937" s="2" t="s">
        <v>2115</v>
      </c>
    </row>
    <row r="938" spans="1:11" s="4" customFormat="1" ht="18" customHeight="1">
      <c r="A938" s="2" t="s">
        <v>2117</v>
      </c>
      <c r="B938" s="3"/>
      <c r="C938" s="2"/>
      <c r="D938" s="3"/>
      <c r="E938" s="2"/>
      <c r="F938" s="2" t="s">
        <v>1903</v>
      </c>
      <c r="G938" s="2"/>
      <c r="H938" s="2" t="s">
        <v>1903</v>
      </c>
      <c r="I938" s="2"/>
      <c r="J938" s="2" t="s">
        <v>2118</v>
      </c>
      <c r="K938" s="2" t="s">
        <v>2117</v>
      </c>
    </row>
    <row r="939" spans="1:11" s="4" customFormat="1" ht="18" customHeight="1">
      <c r="A939" s="2" t="s">
        <v>2119</v>
      </c>
      <c r="B939" s="3"/>
      <c r="C939" s="2"/>
      <c r="D939" s="3"/>
      <c r="E939" s="2"/>
      <c r="F939" s="2" t="s">
        <v>3521</v>
      </c>
      <c r="G939" s="2"/>
      <c r="H939" s="2" t="s">
        <v>3521</v>
      </c>
      <c r="I939" s="2"/>
      <c r="J939" s="2" t="s">
        <v>2120</v>
      </c>
      <c r="K939" s="2" t="s">
        <v>2119</v>
      </c>
    </row>
    <row r="940" spans="1:11" s="4" customFormat="1" ht="18" customHeight="1">
      <c r="A940" s="2" t="s">
        <v>2121</v>
      </c>
      <c r="B940" s="3"/>
      <c r="C940" s="2"/>
      <c r="D940" s="3"/>
      <c r="E940" s="2"/>
      <c r="F940" s="2" t="s">
        <v>2451</v>
      </c>
      <c r="G940" s="2"/>
      <c r="H940" s="2" t="s">
        <v>2451</v>
      </c>
      <c r="I940" s="2"/>
      <c r="J940" s="2" t="s">
        <v>2122</v>
      </c>
      <c r="K940" s="2" t="s">
        <v>2121</v>
      </c>
    </row>
    <row r="941" spans="1:11" s="4" customFormat="1" ht="18" customHeight="1">
      <c r="A941" s="2" t="s">
        <v>2123</v>
      </c>
      <c r="B941" s="3"/>
      <c r="C941" s="2"/>
      <c r="D941" s="3"/>
      <c r="E941" s="2"/>
      <c r="F941" s="2" t="s">
        <v>2298</v>
      </c>
      <c r="G941" s="2"/>
      <c r="H941" s="2" t="s">
        <v>659</v>
      </c>
      <c r="I941" s="2"/>
      <c r="J941" s="2" t="s">
        <v>2124</v>
      </c>
      <c r="K941" s="2" t="s">
        <v>2123</v>
      </c>
    </row>
    <row r="942" spans="1:11" s="4" customFormat="1" ht="18" customHeight="1">
      <c r="A942" s="2" t="s">
        <v>2125</v>
      </c>
      <c r="B942" s="3"/>
      <c r="C942" s="2"/>
      <c r="D942" s="3"/>
      <c r="E942" s="2"/>
      <c r="F942" s="2" t="s">
        <v>2066</v>
      </c>
      <c r="G942" s="2"/>
      <c r="H942" s="2" t="s">
        <v>2066</v>
      </c>
      <c r="I942" s="2"/>
      <c r="J942" s="2" t="s">
        <v>331</v>
      </c>
      <c r="K942" s="2" t="s">
        <v>2125</v>
      </c>
    </row>
    <row r="943" spans="1:11" s="4" customFormat="1" ht="18" customHeight="1">
      <c r="A943" s="2" t="s">
        <v>2126</v>
      </c>
      <c r="B943" s="3"/>
      <c r="C943" s="2"/>
      <c r="D943" s="3"/>
      <c r="E943" s="2"/>
      <c r="F943" s="2" t="s">
        <v>256</v>
      </c>
      <c r="G943" s="2"/>
      <c r="H943" s="2" t="s">
        <v>256</v>
      </c>
      <c r="I943" s="2"/>
      <c r="J943" s="2" t="s">
        <v>2127</v>
      </c>
      <c r="K943" s="2" t="s">
        <v>2126</v>
      </c>
    </row>
    <row r="944" spans="1:11" s="4" customFormat="1" ht="18" customHeight="1">
      <c r="A944" s="2" t="s">
        <v>2128</v>
      </c>
      <c r="B944" s="3"/>
      <c r="C944" s="2"/>
      <c r="D944" s="3"/>
      <c r="E944" s="2"/>
      <c r="F944" s="2" t="s">
        <v>1143</v>
      </c>
      <c r="G944" s="2"/>
      <c r="H944" s="2" t="s">
        <v>594</v>
      </c>
      <c r="I944" s="2"/>
      <c r="J944" s="2" t="s">
        <v>2130</v>
      </c>
      <c r="K944" s="2" t="s">
        <v>2128</v>
      </c>
    </row>
    <row r="945" spans="1:11" s="4" customFormat="1" ht="18" customHeight="1">
      <c r="A945" s="2" t="s">
        <v>2131</v>
      </c>
      <c r="B945" s="3"/>
      <c r="C945" s="2"/>
      <c r="D945" s="3"/>
      <c r="E945" s="2"/>
      <c r="F945" s="2" t="s">
        <v>2164</v>
      </c>
      <c r="G945" s="2"/>
      <c r="H945" s="2" t="s">
        <v>2165</v>
      </c>
      <c r="I945" s="2"/>
      <c r="J945" s="2" t="s">
        <v>2132</v>
      </c>
      <c r="K945" s="2" t="s">
        <v>2131</v>
      </c>
    </row>
    <row r="946" spans="1:11" s="4" customFormat="1" ht="18" customHeight="1">
      <c r="A946" s="2" t="s">
        <v>2133</v>
      </c>
      <c r="B946" s="3"/>
      <c r="C946" s="2"/>
      <c r="D946" s="3"/>
      <c r="E946" s="2"/>
      <c r="F946" s="2" t="s">
        <v>879</v>
      </c>
      <c r="G946" s="2"/>
      <c r="H946" s="2" t="s">
        <v>879</v>
      </c>
      <c r="I946" s="2"/>
      <c r="J946" s="2" t="s">
        <v>2134</v>
      </c>
      <c r="K946" s="2" t="s">
        <v>2133</v>
      </c>
    </row>
    <row r="947" spans="1:11" s="4" customFormat="1" ht="18" customHeight="1">
      <c r="A947" s="2" t="s">
        <v>2135</v>
      </c>
      <c r="B947" s="3"/>
      <c r="C947" s="2"/>
      <c r="D947" s="3"/>
      <c r="E947" s="2"/>
      <c r="F947" s="2" t="s">
        <v>930</v>
      </c>
      <c r="G947" s="2"/>
      <c r="H947" s="2" t="s">
        <v>931</v>
      </c>
      <c r="I947" s="2"/>
      <c r="J947" s="2" t="s">
        <v>2136</v>
      </c>
      <c r="K947" s="2" t="s">
        <v>2135</v>
      </c>
    </row>
    <row r="948" spans="1:11" s="4" customFormat="1" ht="18" customHeight="1">
      <c r="A948" s="2" t="s">
        <v>2137</v>
      </c>
      <c r="B948" s="3"/>
      <c r="C948" s="2"/>
      <c r="D948" s="3"/>
      <c r="E948" s="2"/>
      <c r="F948" s="2" t="s">
        <v>2108</v>
      </c>
      <c r="G948" s="2"/>
      <c r="H948" s="2" t="s">
        <v>2108</v>
      </c>
      <c r="I948" s="2"/>
      <c r="J948" s="2" t="s">
        <v>2138</v>
      </c>
      <c r="K948" s="2" t="s">
        <v>2137</v>
      </c>
    </row>
    <row r="949" spans="1:11" s="4" customFormat="1" ht="18" customHeight="1">
      <c r="A949" s="2" t="s">
        <v>2139</v>
      </c>
      <c r="B949" s="3"/>
      <c r="C949" s="2"/>
      <c r="D949" s="3"/>
      <c r="E949" s="2"/>
      <c r="F949" s="2" t="s">
        <v>3008</v>
      </c>
      <c r="G949" s="2"/>
      <c r="H949" s="2" t="s">
        <v>3008</v>
      </c>
      <c r="I949" s="2"/>
      <c r="J949" s="2" t="s">
        <v>881</v>
      </c>
      <c r="K949" s="2" t="s">
        <v>2139</v>
      </c>
    </row>
    <row r="950" spans="1:11" s="4" customFormat="1" ht="18" customHeight="1">
      <c r="A950" s="2" t="s">
        <v>2140</v>
      </c>
      <c r="B950" s="3"/>
      <c r="C950" s="2"/>
      <c r="D950" s="3"/>
      <c r="E950" s="2"/>
      <c r="F950" s="2" t="s">
        <v>300</v>
      </c>
      <c r="G950" s="2"/>
      <c r="H950" s="2" t="s">
        <v>300</v>
      </c>
      <c r="I950" s="2"/>
      <c r="J950" s="2" t="s">
        <v>2141</v>
      </c>
      <c r="K950" s="2" t="s">
        <v>2140</v>
      </c>
    </row>
    <row r="951" spans="1:11" s="4" customFormat="1" ht="18" customHeight="1">
      <c r="A951" s="2" t="s">
        <v>2142</v>
      </c>
      <c r="B951" s="3"/>
      <c r="C951" s="2"/>
      <c r="D951" s="3"/>
      <c r="E951" s="2"/>
      <c r="F951" s="2" t="s">
        <v>933</v>
      </c>
      <c r="G951" s="2"/>
      <c r="H951" s="2" t="s">
        <v>934</v>
      </c>
      <c r="I951" s="2"/>
      <c r="J951" s="2" t="s">
        <v>2143</v>
      </c>
      <c r="K951" s="2" t="s">
        <v>2142</v>
      </c>
    </row>
    <row r="952" spans="1:11" s="4" customFormat="1" ht="18" customHeight="1">
      <c r="A952" s="2" t="s">
        <v>2144</v>
      </c>
      <c r="B952" s="3"/>
      <c r="C952" s="2"/>
      <c r="D952" s="3"/>
      <c r="E952" s="2"/>
      <c r="F952" s="2" t="s">
        <v>933</v>
      </c>
      <c r="G952" s="2"/>
      <c r="H952" s="2" t="s">
        <v>933</v>
      </c>
      <c r="I952" s="2"/>
      <c r="J952" s="2" t="s">
        <v>2145</v>
      </c>
      <c r="K952" s="2" t="s">
        <v>2144</v>
      </c>
    </row>
    <row r="953" spans="1:11" s="4" customFormat="1" ht="18" customHeight="1">
      <c r="A953" s="2" t="s">
        <v>2146</v>
      </c>
      <c r="B953" s="3"/>
      <c r="C953" s="2"/>
      <c r="D953" s="3"/>
      <c r="E953" s="2"/>
      <c r="F953" s="2" t="s">
        <v>162</v>
      </c>
      <c r="G953" s="2"/>
      <c r="H953" s="2" t="s">
        <v>163</v>
      </c>
      <c r="I953" s="2"/>
      <c r="J953" s="2" t="s">
        <v>2147</v>
      </c>
      <c r="K953" s="2" t="s">
        <v>2146</v>
      </c>
    </row>
    <row r="954" spans="1:11" s="4" customFormat="1" ht="18" customHeight="1">
      <c r="A954" s="2" t="s">
        <v>2148</v>
      </c>
      <c r="B954" s="3"/>
      <c r="C954" s="2"/>
      <c r="D954" s="3"/>
      <c r="E954" s="2"/>
      <c r="F954" s="2" t="s">
        <v>162</v>
      </c>
      <c r="G954" s="2"/>
      <c r="H954" s="2" t="s">
        <v>2392</v>
      </c>
      <c r="I954" s="2"/>
      <c r="J954" s="2" t="s">
        <v>2149</v>
      </c>
      <c r="K954" s="2" t="s">
        <v>2148</v>
      </c>
    </row>
    <row r="955" spans="1:11" s="4" customFormat="1" ht="18" customHeight="1">
      <c r="A955" s="2" t="s">
        <v>2150</v>
      </c>
      <c r="B955" s="3"/>
      <c r="C955" s="2"/>
      <c r="D955" s="3"/>
      <c r="E955" s="2"/>
      <c r="F955" s="2" t="s">
        <v>2725</v>
      </c>
      <c r="G955" s="2"/>
      <c r="H955" s="2" t="s">
        <v>2726</v>
      </c>
      <c r="I955" s="2"/>
      <c r="J955" s="2" t="s">
        <v>2151</v>
      </c>
      <c r="K955" s="2" t="s">
        <v>2150</v>
      </c>
    </row>
    <row r="956" spans="1:11" s="4" customFormat="1" ht="18" customHeight="1">
      <c r="A956" s="2" t="s">
        <v>2153</v>
      </c>
      <c r="B956" s="3"/>
      <c r="C956" s="2"/>
      <c r="D956" s="3"/>
      <c r="E956" s="2"/>
      <c r="F956" s="2" t="s">
        <v>484</v>
      </c>
      <c r="G956" s="2"/>
      <c r="H956" s="2" t="s">
        <v>484</v>
      </c>
      <c r="I956" s="2"/>
      <c r="J956" s="2" t="s">
        <v>2154</v>
      </c>
      <c r="K956" s="2" t="s">
        <v>2153</v>
      </c>
    </row>
    <row r="957" spans="1:11" s="4" customFormat="1" ht="18" customHeight="1">
      <c r="A957" s="2" t="s">
        <v>2155</v>
      </c>
      <c r="B957" s="3"/>
      <c r="C957" s="2"/>
      <c r="D957" s="3"/>
      <c r="E957" s="2"/>
      <c r="F957" s="2" t="s">
        <v>4043</v>
      </c>
      <c r="G957" s="2"/>
      <c r="H957" s="2" t="s">
        <v>4043</v>
      </c>
      <c r="I957" s="2"/>
      <c r="J957" s="2" t="s">
        <v>2156</v>
      </c>
      <c r="K957" s="2" t="s">
        <v>2155</v>
      </c>
    </row>
    <row r="958" spans="1:11" s="4" customFormat="1" ht="18" customHeight="1">
      <c r="A958" s="2" t="s">
        <v>2157</v>
      </c>
      <c r="B958" s="3"/>
      <c r="C958" s="2"/>
      <c r="D958" s="3"/>
      <c r="E958" s="2"/>
      <c r="F958" s="2" t="s">
        <v>2453</v>
      </c>
      <c r="G958" s="2"/>
      <c r="H958" s="2" t="s">
        <v>2453</v>
      </c>
      <c r="I958" s="2"/>
      <c r="J958" s="2" t="s">
        <v>2158</v>
      </c>
      <c r="K958" s="2" t="s">
        <v>2157</v>
      </c>
    </row>
    <row r="959" spans="1:11" s="4" customFormat="1" ht="18" customHeight="1">
      <c r="A959" s="2" t="s">
        <v>2160</v>
      </c>
      <c r="B959" s="3"/>
      <c r="C959" s="2"/>
      <c r="D959" s="3"/>
      <c r="E959" s="2"/>
      <c r="F959" s="2" t="s">
        <v>2455</v>
      </c>
      <c r="G959" s="2"/>
      <c r="H959" s="2" t="s">
        <v>2455</v>
      </c>
      <c r="I959" s="2"/>
      <c r="J959" s="2" t="s">
        <v>2161</v>
      </c>
      <c r="K959" s="2" t="s">
        <v>2160</v>
      </c>
    </row>
    <row r="960" spans="1:11" s="4" customFormat="1" ht="18" customHeight="1">
      <c r="A960" s="2" t="s">
        <v>2163</v>
      </c>
      <c r="B960" s="3"/>
      <c r="C960" s="2"/>
      <c r="D960" s="3"/>
      <c r="E960" s="2"/>
      <c r="F960" s="2" t="s">
        <v>671</v>
      </c>
      <c r="G960" s="2"/>
      <c r="H960" s="2" t="s">
        <v>671</v>
      </c>
      <c r="I960" s="2"/>
      <c r="J960" s="2" t="s">
        <v>2164</v>
      </c>
      <c r="K960" s="2" t="s">
        <v>2163</v>
      </c>
    </row>
    <row r="961" spans="1:11" s="4" customFormat="1" ht="18" customHeight="1">
      <c r="A961" s="2" t="s">
        <v>2166</v>
      </c>
      <c r="B961" s="3"/>
      <c r="C961" s="2"/>
      <c r="D961" s="3"/>
      <c r="E961" s="2"/>
      <c r="F961" s="2" t="s">
        <v>2394</v>
      </c>
      <c r="G961" s="2"/>
      <c r="H961" s="2" t="s">
        <v>2394</v>
      </c>
      <c r="I961" s="2"/>
      <c r="J961" s="2" t="s">
        <v>2167</v>
      </c>
      <c r="K961" s="2" t="s">
        <v>2166</v>
      </c>
    </row>
    <row r="962" spans="1:11" s="4" customFormat="1" ht="18" customHeight="1">
      <c r="A962" s="2" t="s">
        <v>2168</v>
      </c>
      <c r="B962" s="3"/>
      <c r="C962" s="2"/>
      <c r="D962" s="3"/>
      <c r="E962" s="2"/>
      <c r="F962" s="2" t="s">
        <v>3342</v>
      </c>
      <c r="G962" s="2"/>
      <c r="H962" s="2" t="s">
        <v>3342</v>
      </c>
      <c r="I962" s="2"/>
      <c r="J962" s="2" t="s">
        <v>2169</v>
      </c>
      <c r="K962" s="2" t="s">
        <v>2168</v>
      </c>
    </row>
    <row r="963" spans="1:11" s="4" customFormat="1" ht="18" customHeight="1">
      <c r="A963" s="2" t="s">
        <v>2170</v>
      </c>
      <c r="B963" s="3"/>
      <c r="C963" s="2"/>
      <c r="D963" s="3"/>
      <c r="E963" s="2"/>
      <c r="F963" s="2" t="s">
        <v>4030</v>
      </c>
      <c r="G963" s="2"/>
      <c r="H963" s="2" t="s">
        <v>4030</v>
      </c>
      <c r="I963" s="2"/>
      <c r="J963" s="2" t="s">
        <v>2171</v>
      </c>
      <c r="K963" s="2" t="s">
        <v>2170</v>
      </c>
    </row>
    <row r="964" spans="1:11" s="4" customFormat="1" ht="18" customHeight="1">
      <c r="A964" s="2" t="s">
        <v>2172</v>
      </c>
      <c r="B964" s="3"/>
      <c r="C964" s="2"/>
      <c r="D964" s="3"/>
      <c r="E964" s="2"/>
      <c r="F964" s="2" t="s">
        <v>1372</v>
      </c>
      <c r="G964" s="2"/>
      <c r="H964" s="2" t="s">
        <v>1372</v>
      </c>
      <c r="I964" s="2"/>
      <c r="J964" s="2" t="s">
        <v>2173</v>
      </c>
      <c r="K964" s="2" t="s">
        <v>2172</v>
      </c>
    </row>
    <row r="965" spans="1:11" s="4" customFormat="1" ht="18" customHeight="1">
      <c r="A965" s="2" t="s">
        <v>2175</v>
      </c>
      <c r="B965" s="3"/>
      <c r="C965" s="2"/>
      <c r="D965" s="3"/>
      <c r="E965" s="2"/>
      <c r="F965" s="2" t="s">
        <v>519</v>
      </c>
      <c r="G965" s="2"/>
      <c r="H965" s="2" t="s">
        <v>520</v>
      </c>
      <c r="I965" s="2"/>
      <c r="J965" s="2" t="s">
        <v>2177</v>
      </c>
      <c r="K965" s="2" t="s">
        <v>2175</v>
      </c>
    </row>
    <row r="966" spans="1:11" s="4" customFormat="1" ht="18" customHeight="1">
      <c r="A966" s="2" t="s">
        <v>2178</v>
      </c>
      <c r="B966" s="3"/>
      <c r="C966" s="2"/>
      <c r="D966" s="3"/>
      <c r="E966" s="2"/>
      <c r="F966" s="2" t="s">
        <v>2983</v>
      </c>
      <c r="G966" s="2"/>
      <c r="H966" s="2" t="s">
        <v>2983</v>
      </c>
      <c r="I966" s="2"/>
      <c r="J966" s="2" t="s">
        <v>2179</v>
      </c>
      <c r="K966" s="2" t="s">
        <v>2178</v>
      </c>
    </row>
    <row r="967" spans="1:11" s="4" customFormat="1" ht="18" customHeight="1">
      <c r="A967" s="2" t="s">
        <v>2181</v>
      </c>
      <c r="B967" s="3"/>
      <c r="C967" s="2"/>
      <c r="D967" s="3"/>
      <c r="E967" s="2"/>
      <c r="F967" s="2" t="s">
        <v>2503</v>
      </c>
      <c r="G967" s="2"/>
      <c r="H967" s="2" t="s">
        <v>2503</v>
      </c>
      <c r="I967" s="2"/>
      <c r="J967" s="2" t="s">
        <v>2182</v>
      </c>
      <c r="K967" s="2" t="s">
        <v>2181</v>
      </c>
    </row>
    <row r="968" spans="1:11" s="4" customFormat="1" ht="18" customHeight="1">
      <c r="A968" s="2" t="s">
        <v>2183</v>
      </c>
      <c r="B968" s="3"/>
      <c r="C968" s="2"/>
      <c r="D968" s="3"/>
      <c r="E968" s="2"/>
      <c r="F968" s="2" t="s">
        <v>3166</v>
      </c>
      <c r="G968" s="2"/>
      <c r="H968" s="2" t="s">
        <v>3166</v>
      </c>
      <c r="I968" s="2"/>
      <c r="J968" s="2" t="s">
        <v>2184</v>
      </c>
      <c r="K968" s="2" t="s">
        <v>2183</v>
      </c>
    </row>
    <row r="969" spans="1:11" s="4" customFormat="1" ht="18" customHeight="1">
      <c r="A969" s="2" t="s">
        <v>2185</v>
      </c>
      <c r="B969" s="3"/>
      <c r="C969" s="2"/>
      <c r="D969" s="3"/>
      <c r="E969" s="2"/>
      <c r="F969" s="2" t="s">
        <v>1789</v>
      </c>
      <c r="G969" s="2"/>
      <c r="H969" s="2" t="s">
        <v>1790</v>
      </c>
      <c r="I969" s="2"/>
      <c r="J969" s="2" t="s">
        <v>2186</v>
      </c>
      <c r="K969" s="2" t="s">
        <v>2185</v>
      </c>
    </row>
    <row r="970" spans="1:11" s="4" customFormat="1" ht="18" customHeight="1">
      <c r="A970" s="2" t="s">
        <v>2187</v>
      </c>
      <c r="B970" s="3"/>
      <c r="C970" s="2"/>
      <c r="D970" s="3"/>
      <c r="E970" s="2"/>
      <c r="F970" s="2" t="s">
        <v>1071</v>
      </c>
      <c r="G970" s="2"/>
      <c r="H970" s="2" t="s">
        <v>1071</v>
      </c>
      <c r="I970" s="2"/>
      <c r="J970" s="2" t="s">
        <v>2189</v>
      </c>
      <c r="K970" s="2" t="s">
        <v>2187</v>
      </c>
    </row>
    <row r="971" spans="1:11" s="4" customFormat="1" ht="18" customHeight="1">
      <c r="A971" s="2" t="s">
        <v>2190</v>
      </c>
      <c r="B971" s="3"/>
      <c r="C971" s="2"/>
      <c r="D971" s="3"/>
      <c r="E971" s="2"/>
      <c r="F971" s="2" t="s">
        <v>1627</v>
      </c>
      <c r="G971" s="2"/>
      <c r="H971" s="2" t="s">
        <v>1627</v>
      </c>
      <c r="I971" s="2"/>
      <c r="J971" s="2" t="s">
        <v>2191</v>
      </c>
      <c r="K971" s="2" t="s">
        <v>2190</v>
      </c>
    </row>
    <row r="972" spans="1:11" s="4" customFormat="1" ht="18" customHeight="1">
      <c r="A972" s="2" t="s">
        <v>2192</v>
      </c>
      <c r="B972" s="3"/>
      <c r="C972" s="2"/>
      <c r="D972" s="3"/>
      <c r="E972" s="2"/>
      <c r="F972" s="2" t="s">
        <v>843</v>
      </c>
      <c r="G972" s="2"/>
      <c r="H972" s="2" t="s">
        <v>844</v>
      </c>
      <c r="I972" s="2"/>
      <c r="J972" s="2" t="s">
        <v>2193</v>
      </c>
      <c r="K972" s="2" t="s">
        <v>2192</v>
      </c>
    </row>
    <row r="973" spans="1:11" s="4" customFormat="1" ht="18" customHeight="1">
      <c r="A973" s="2" t="s">
        <v>2194</v>
      </c>
      <c r="B973" s="3"/>
      <c r="C973" s="2"/>
      <c r="D973" s="3"/>
      <c r="E973" s="2"/>
      <c r="F973" s="2" t="s">
        <v>3523</v>
      </c>
      <c r="G973" s="2"/>
      <c r="H973" s="2" t="s">
        <v>3524</v>
      </c>
      <c r="I973" s="2"/>
      <c r="J973" s="2" t="s">
        <v>2195</v>
      </c>
      <c r="K973" s="2" t="s">
        <v>2194</v>
      </c>
    </row>
    <row r="974" spans="1:11" s="4" customFormat="1" ht="18" customHeight="1">
      <c r="A974" s="2" t="s">
        <v>2197</v>
      </c>
      <c r="B974" s="3"/>
      <c r="C974" s="2"/>
      <c r="D974" s="3"/>
      <c r="E974" s="2"/>
      <c r="F974" s="2" t="s">
        <v>1402</v>
      </c>
      <c r="G974" s="2"/>
      <c r="H974" s="2" t="s">
        <v>1403</v>
      </c>
      <c r="I974" s="2"/>
      <c r="J974" s="2" t="s">
        <v>2198</v>
      </c>
      <c r="K974" s="2" t="s">
        <v>2197</v>
      </c>
    </row>
    <row r="975" spans="1:11" s="4" customFormat="1" ht="18" customHeight="1">
      <c r="A975" s="2" t="s">
        <v>2199</v>
      </c>
      <c r="B975" s="3"/>
      <c r="C975" s="2"/>
      <c r="D975" s="3"/>
      <c r="E975" s="2"/>
      <c r="F975" s="2" t="s">
        <v>302</v>
      </c>
      <c r="G975" s="2"/>
      <c r="H975" s="2" t="s">
        <v>302</v>
      </c>
      <c r="I975" s="2"/>
      <c r="J975" s="2" t="s">
        <v>2200</v>
      </c>
      <c r="K975" s="2" t="s">
        <v>2199</v>
      </c>
    </row>
    <row r="976" spans="1:11" s="4" customFormat="1" ht="18" customHeight="1">
      <c r="A976" s="2" t="s">
        <v>2201</v>
      </c>
      <c r="B976" s="3"/>
      <c r="C976" s="2"/>
      <c r="D976" s="3"/>
      <c r="E976" s="2"/>
      <c r="F976" s="2" t="s">
        <v>1434</v>
      </c>
      <c r="G976" s="2"/>
      <c r="H976" s="2" t="s">
        <v>1434</v>
      </c>
      <c r="I976" s="2"/>
      <c r="J976" s="2" t="s">
        <v>2202</v>
      </c>
      <c r="K976" s="2" t="s">
        <v>2201</v>
      </c>
    </row>
    <row r="977" spans="1:11" s="4" customFormat="1" ht="18" customHeight="1">
      <c r="A977" s="2" t="s">
        <v>2203</v>
      </c>
      <c r="B977" s="3"/>
      <c r="C977" s="2"/>
      <c r="D977" s="3"/>
      <c r="E977" s="2"/>
      <c r="F977" s="2" t="s">
        <v>881</v>
      </c>
      <c r="G977" s="2"/>
      <c r="H977" s="2" t="s">
        <v>881</v>
      </c>
      <c r="I977" s="2"/>
      <c r="J977" s="2" t="s">
        <v>2204</v>
      </c>
      <c r="K977" s="2" t="s">
        <v>2203</v>
      </c>
    </row>
    <row r="978" spans="1:11" s="4" customFormat="1" ht="18" customHeight="1">
      <c r="A978" s="2" t="s">
        <v>2205</v>
      </c>
      <c r="B978" s="3"/>
      <c r="C978" s="2"/>
      <c r="D978" s="3"/>
      <c r="E978" s="2"/>
      <c r="F978" s="2" t="s">
        <v>881</v>
      </c>
      <c r="G978" s="2"/>
      <c r="H978" s="2" t="s">
        <v>881</v>
      </c>
      <c r="I978" s="2"/>
      <c r="J978" s="2" t="s">
        <v>2206</v>
      </c>
      <c r="K978" s="2" t="s">
        <v>2205</v>
      </c>
    </row>
    <row r="979" spans="1:11" s="4" customFormat="1" ht="18" customHeight="1">
      <c r="A979" s="2" t="s">
        <v>2207</v>
      </c>
      <c r="B979" s="3"/>
      <c r="C979" s="2"/>
      <c r="D979" s="3"/>
      <c r="E979" s="2"/>
      <c r="F979" s="2" t="s">
        <v>881</v>
      </c>
      <c r="G979" s="2"/>
      <c r="H979" s="2" t="s">
        <v>881</v>
      </c>
      <c r="I979" s="2"/>
      <c r="J979" s="2" t="s">
        <v>1365</v>
      </c>
      <c r="K979" s="2" t="s">
        <v>2207</v>
      </c>
    </row>
    <row r="980" spans="1:11" s="4" customFormat="1" ht="18" customHeight="1">
      <c r="A980" s="2" t="s">
        <v>2209</v>
      </c>
      <c r="B980" s="3"/>
      <c r="C980" s="2"/>
      <c r="D980" s="3"/>
      <c r="E980" s="2"/>
      <c r="F980" s="2" t="s">
        <v>881</v>
      </c>
      <c r="G980" s="2"/>
      <c r="H980" s="2" t="s">
        <v>881</v>
      </c>
      <c r="I980" s="2"/>
      <c r="J980" s="2" t="s">
        <v>2210</v>
      </c>
      <c r="K980" s="2" t="s">
        <v>2209</v>
      </c>
    </row>
    <row r="981" spans="1:11" s="4" customFormat="1" ht="18" customHeight="1">
      <c r="A981" s="2" t="s">
        <v>2211</v>
      </c>
      <c r="B981" s="3"/>
      <c r="C981" s="2"/>
      <c r="D981" s="3"/>
      <c r="E981" s="2"/>
      <c r="F981" s="2" t="s">
        <v>373</v>
      </c>
      <c r="G981" s="2"/>
      <c r="H981" s="2" t="s">
        <v>373</v>
      </c>
      <c r="I981" s="2"/>
      <c r="J981" s="2" t="s">
        <v>2212</v>
      </c>
      <c r="K981" s="2" t="s">
        <v>2211</v>
      </c>
    </row>
    <row r="982" spans="1:11" s="4" customFormat="1" ht="18" customHeight="1">
      <c r="A982" s="2" t="s">
        <v>2213</v>
      </c>
      <c r="B982" s="3"/>
      <c r="C982" s="2"/>
      <c r="D982" s="3"/>
      <c r="E982" s="2"/>
      <c r="F982" s="2" t="s">
        <v>2396</v>
      </c>
      <c r="G982" s="2"/>
      <c r="H982" s="2" t="s">
        <v>2396</v>
      </c>
      <c r="I982" s="2"/>
      <c r="J982" s="2" t="s">
        <v>2214</v>
      </c>
      <c r="K982" s="2" t="s">
        <v>2213</v>
      </c>
    </row>
    <row r="983" spans="1:11" s="4" customFormat="1" ht="18" customHeight="1">
      <c r="A983" s="2" t="s">
        <v>2215</v>
      </c>
      <c r="B983" s="3"/>
      <c r="C983" s="2"/>
      <c r="D983" s="3"/>
      <c r="E983" s="2"/>
      <c r="F983" s="2" t="s">
        <v>2584</v>
      </c>
      <c r="G983" s="2"/>
      <c r="H983" s="2" t="s">
        <v>2584</v>
      </c>
      <c r="I983" s="2"/>
      <c r="J983" s="2" t="s">
        <v>2216</v>
      </c>
      <c r="K983" s="2" t="s">
        <v>2215</v>
      </c>
    </row>
    <row r="984" spans="1:11" s="4" customFormat="1" ht="18" customHeight="1">
      <c r="A984" s="2" t="s">
        <v>2217</v>
      </c>
      <c r="B984" s="3"/>
      <c r="C984" s="2"/>
      <c r="D984" s="3"/>
      <c r="E984" s="2"/>
      <c r="F984" s="2" t="s">
        <v>2795</v>
      </c>
      <c r="G984" s="2"/>
      <c r="H984" s="2" t="s">
        <v>2795</v>
      </c>
      <c r="I984" s="2"/>
      <c r="J984" s="2" t="s">
        <v>2218</v>
      </c>
      <c r="K984" s="2" t="s">
        <v>2217</v>
      </c>
    </row>
    <row r="985" spans="1:11" s="4" customFormat="1" ht="18" customHeight="1">
      <c r="A985" s="2" t="s">
        <v>2220</v>
      </c>
      <c r="B985" s="3"/>
      <c r="C985" s="2"/>
      <c r="D985" s="3"/>
      <c r="E985" s="2"/>
      <c r="F985" s="2" t="s">
        <v>3713</v>
      </c>
      <c r="G985" s="2"/>
      <c r="H985" s="2" t="s">
        <v>3713</v>
      </c>
      <c r="I985" s="2"/>
      <c r="J985" s="2" t="s">
        <v>2221</v>
      </c>
      <c r="K985" s="2" t="s">
        <v>2220</v>
      </c>
    </row>
    <row r="986" spans="1:11" s="4" customFormat="1" ht="18" customHeight="1">
      <c r="A986" s="2" t="s">
        <v>2223</v>
      </c>
      <c r="B986" s="3"/>
      <c r="C986" s="2"/>
      <c r="D986" s="3"/>
      <c r="E986" s="2"/>
      <c r="F986" s="2" t="s">
        <v>2193</v>
      </c>
      <c r="G986" s="2"/>
      <c r="H986" s="2" t="s">
        <v>2193</v>
      </c>
      <c r="I986" s="2"/>
      <c r="J986" s="2" t="s">
        <v>2225</v>
      </c>
      <c r="K986" s="2" t="s">
        <v>2223</v>
      </c>
    </row>
    <row r="987" spans="1:11" s="4" customFormat="1" ht="18" customHeight="1">
      <c r="A987" s="2" t="s">
        <v>2226</v>
      </c>
      <c r="B987" s="3"/>
      <c r="C987" s="2"/>
      <c r="D987" s="3"/>
      <c r="E987" s="2"/>
      <c r="F987" s="2" t="s">
        <v>165</v>
      </c>
      <c r="G987" s="2"/>
      <c r="H987" s="2" t="s">
        <v>165</v>
      </c>
      <c r="I987" s="2"/>
      <c r="J987" s="2" t="s">
        <v>2227</v>
      </c>
      <c r="K987" s="2" t="s">
        <v>2226</v>
      </c>
    </row>
    <row r="988" spans="1:11" s="4" customFormat="1" ht="18" customHeight="1">
      <c r="A988" s="2" t="s">
        <v>2228</v>
      </c>
      <c r="B988" s="3"/>
      <c r="C988" s="2"/>
      <c r="D988" s="3"/>
      <c r="E988" s="2"/>
      <c r="F988" s="2" t="s">
        <v>2457</v>
      </c>
      <c r="G988" s="2"/>
      <c r="H988" s="2" t="s">
        <v>2457</v>
      </c>
      <c r="I988" s="2"/>
      <c r="J988" s="2" t="s">
        <v>2229</v>
      </c>
      <c r="K988" s="2" t="s">
        <v>2228</v>
      </c>
    </row>
    <row r="989" spans="1:11" s="4" customFormat="1" ht="18" customHeight="1">
      <c r="A989" s="2" t="s">
        <v>2230</v>
      </c>
      <c r="B989" s="3"/>
      <c r="C989" s="2"/>
      <c r="D989" s="3"/>
      <c r="E989" s="2"/>
      <c r="F989" s="2" t="s">
        <v>751</v>
      </c>
      <c r="G989" s="2"/>
      <c r="H989" s="2" t="s">
        <v>751</v>
      </c>
      <c r="I989" s="2"/>
      <c r="J989" s="2" t="s">
        <v>2231</v>
      </c>
      <c r="K989" s="2" t="s">
        <v>2230</v>
      </c>
    </row>
    <row r="990" spans="1:11" s="4" customFormat="1" ht="18" customHeight="1">
      <c r="A990" s="2" t="s">
        <v>2233</v>
      </c>
      <c r="B990" s="3"/>
      <c r="C990" s="2"/>
      <c r="D990" s="3"/>
      <c r="E990" s="2"/>
      <c r="F990" s="2" t="s">
        <v>883</v>
      </c>
      <c r="G990" s="2"/>
      <c r="H990" s="2" t="s">
        <v>883</v>
      </c>
      <c r="I990" s="2"/>
      <c r="J990" s="2" t="s">
        <v>2234</v>
      </c>
      <c r="K990" s="2" t="s">
        <v>2233</v>
      </c>
    </row>
    <row r="991" spans="1:11" s="4" customFormat="1" ht="18" customHeight="1">
      <c r="A991" s="2" t="s">
        <v>2236</v>
      </c>
      <c r="B991" s="3"/>
      <c r="C991" s="2"/>
      <c r="D991" s="3"/>
      <c r="E991" s="2"/>
      <c r="F991" s="2" t="s">
        <v>1062</v>
      </c>
      <c r="G991" s="2"/>
      <c r="H991" s="2" t="s">
        <v>1062</v>
      </c>
      <c r="I991" s="2"/>
      <c r="J991" s="2" t="s">
        <v>2237</v>
      </c>
      <c r="K991" s="2" t="s">
        <v>2236</v>
      </c>
    </row>
    <row r="992" spans="1:11" s="4" customFormat="1" ht="18" customHeight="1">
      <c r="A992" s="2" t="s">
        <v>2238</v>
      </c>
      <c r="B992" s="3"/>
      <c r="C992" s="2"/>
      <c r="D992" s="3"/>
      <c r="E992" s="2"/>
      <c r="F992" s="2" t="s">
        <v>1952</v>
      </c>
      <c r="G992" s="2"/>
      <c r="H992" s="2" t="s">
        <v>1952</v>
      </c>
      <c r="I992" s="2"/>
      <c r="J992" s="2" t="s">
        <v>1085</v>
      </c>
      <c r="K992" s="2" t="s">
        <v>2238</v>
      </c>
    </row>
    <row r="993" spans="1:11" s="4" customFormat="1" ht="18" customHeight="1">
      <c r="A993" s="2" t="s">
        <v>2239</v>
      </c>
      <c r="B993" s="3"/>
      <c r="C993" s="2"/>
      <c r="D993" s="3"/>
      <c r="E993" s="2"/>
      <c r="F993" s="2" t="s">
        <v>1669</v>
      </c>
      <c r="G993" s="2"/>
      <c r="H993" s="2" t="s">
        <v>1669</v>
      </c>
      <c r="I993" s="2"/>
      <c r="J993" s="2" t="s">
        <v>2240</v>
      </c>
      <c r="K993" s="2" t="s">
        <v>2239</v>
      </c>
    </row>
    <row r="994" spans="1:11" s="4" customFormat="1" ht="18" customHeight="1">
      <c r="A994" s="2" t="s">
        <v>2241</v>
      </c>
      <c r="B994" s="3"/>
      <c r="C994" s="2"/>
      <c r="D994" s="3"/>
      <c r="E994" s="2"/>
      <c r="F994" s="2" t="s">
        <v>1669</v>
      </c>
      <c r="G994" s="2"/>
      <c r="H994" s="2" t="s">
        <v>1669</v>
      </c>
      <c r="I994" s="2"/>
      <c r="J994" s="2" t="s">
        <v>2242</v>
      </c>
      <c r="K994" s="2" t="s">
        <v>2241</v>
      </c>
    </row>
    <row r="995" spans="1:11" s="4" customFormat="1" ht="18" customHeight="1">
      <c r="A995" s="2" t="s">
        <v>2243</v>
      </c>
      <c r="B995" s="3"/>
      <c r="C995" s="2"/>
      <c r="D995" s="3"/>
      <c r="E995" s="2"/>
      <c r="F995" s="2" t="s">
        <v>2459</v>
      </c>
      <c r="G995" s="2"/>
      <c r="H995" s="2" t="s">
        <v>2459</v>
      </c>
      <c r="I995" s="2"/>
      <c r="J995" s="2" t="s">
        <v>2244</v>
      </c>
      <c r="K995" s="2" t="s">
        <v>2243</v>
      </c>
    </row>
    <row r="996" spans="1:11" s="4" customFormat="1" ht="18" customHeight="1">
      <c r="A996" s="2" t="s">
        <v>2245</v>
      </c>
      <c r="B996" s="3"/>
      <c r="C996" s="2"/>
      <c r="D996" s="3"/>
      <c r="E996" s="2"/>
      <c r="F996" s="2" t="s">
        <v>2752</v>
      </c>
      <c r="G996" s="2"/>
      <c r="H996" s="2" t="s">
        <v>2752</v>
      </c>
      <c r="I996" s="2"/>
      <c r="J996" s="2" t="s">
        <v>2246</v>
      </c>
      <c r="K996" s="2" t="s">
        <v>2245</v>
      </c>
    </row>
    <row r="997" spans="1:11" s="4" customFormat="1" ht="18" customHeight="1">
      <c r="A997" s="2" t="s">
        <v>2247</v>
      </c>
      <c r="B997" s="3"/>
      <c r="C997" s="2"/>
      <c r="D997" s="3"/>
      <c r="E997" s="2"/>
      <c r="F997" s="2" t="s">
        <v>3447</v>
      </c>
      <c r="G997" s="2"/>
      <c r="H997" s="2" t="s">
        <v>3447</v>
      </c>
      <c r="I997" s="2"/>
      <c r="J997" s="2" t="s">
        <v>2248</v>
      </c>
      <c r="K997" s="2" t="s">
        <v>2247</v>
      </c>
    </row>
    <row r="998" spans="1:11" s="4" customFormat="1" ht="18" customHeight="1">
      <c r="A998" s="2" t="s">
        <v>2249</v>
      </c>
      <c r="B998" s="3"/>
      <c r="C998" s="2"/>
      <c r="D998" s="3"/>
      <c r="E998" s="2"/>
      <c r="F998" s="2" t="s">
        <v>167</v>
      </c>
      <c r="G998" s="2"/>
      <c r="H998" s="2" t="s">
        <v>167</v>
      </c>
      <c r="I998" s="2"/>
      <c r="J998" s="2" t="s">
        <v>2250</v>
      </c>
      <c r="K998" s="2" t="s">
        <v>2249</v>
      </c>
    </row>
    <row r="999" spans="1:11" s="4" customFormat="1" ht="18" customHeight="1">
      <c r="A999" s="2" t="s">
        <v>2252</v>
      </c>
      <c r="B999" s="3"/>
      <c r="C999" s="2"/>
      <c r="D999" s="3"/>
      <c r="E999" s="2"/>
      <c r="F999" s="2" t="s">
        <v>2141</v>
      </c>
      <c r="G999" s="2"/>
      <c r="H999" s="2" t="s">
        <v>2141</v>
      </c>
      <c r="I999" s="2"/>
      <c r="J999" s="2" t="s">
        <v>2253</v>
      </c>
      <c r="K999" s="2" t="s">
        <v>2252</v>
      </c>
    </row>
    <row r="1000" spans="1:11" s="4" customFormat="1" ht="18" customHeight="1">
      <c r="A1000" s="2" t="s">
        <v>2254</v>
      </c>
      <c r="B1000" s="3"/>
      <c r="C1000" s="2"/>
      <c r="D1000" s="3"/>
      <c r="E1000" s="2"/>
      <c r="F1000" s="2" t="s">
        <v>3316</v>
      </c>
      <c r="G1000" s="2"/>
      <c r="H1000" s="2" t="s">
        <v>3316</v>
      </c>
      <c r="I1000" s="2"/>
      <c r="J1000" s="2" t="s">
        <v>2171</v>
      </c>
      <c r="K1000" s="2" t="s">
        <v>2254</v>
      </c>
    </row>
    <row r="1001" spans="1:11" s="4" customFormat="1" ht="18" customHeight="1">
      <c r="A1001" s="2" t="s">
        <v>2255</v>
      </c>
      <c r="B1001" s="3"/>
      <c r="C1001" s="2"/>
      <c r="D1001" s="3"/>
      <c r="E1001" s="2"/>
      <c r="F1001" s="2" t="s">
        <v>3923</v>
      </c>
      <c r="G1001" s="2"/>
      <c r="H1001" s="2" t="s">
        <v>3923</v>
      </c>
      <c r="I1001" s="2"/>
      <c r="J1001" s="2" t="s">
        <v>2256</v>
      </c>
      <c r="K1001" s="2" t="s">
        <v>2255</v>
      </c>
    </row>
    <row r="1002" spans="1:11" s="4" customFormat="1" ht="18" customHeight="1">
      <c r="A1002" s="2" t="s">
        <v>2258</v>
      </c>
      <c r="B1002" s="3"/>
      <c r="C1002" s="2"/>
      <c r="D1002" s="3"/>
      <c r="E1002" s="2"/>
      <c r="F1002" s="2" t="s">
        <v>1302</v>
      </c>
      <c r="G1002" s="2"/>
      <c r="H1002" s="2" t="s">
        <v>1302</v>
      </c>
      <c r="I1002" s="2"/>
      <c r="J1002" s="2" t="s">
        <v>2259</v>
      </c>
      <c r="K1002" s="2" t="s">
        <v>2258</v>
      </c>
    </row>
    <row r="1003" spans="1:11" s="4" customFormat="1" ht="18" customHeight="1">
      <c r="A1003" s="2" t="s">
        <v>2260</v>
      </c>
      <c r="B1003" s="3"/>
      <c r="C1003" s="2"/>
      <c r="D1003" s="3"/>
      <c r="E1003" s="2"/>
      <c r="F1003" s="2" t="s">
        <v>632</v>
      </c>
      <c r="G1003" s="2"/>
      <c r="H1003" s="2" t="s">
        <v>632</v>
      </c>
      <c r="I1003" s="2"/>
      <c r="J1003" s="2" t="s">
        <v>1119</v>
      </c>
      <c r="K1003" s="2" t="s">
        <v>2260</v>
      </c>
    </row>
    <row r="1004" spans="1:11" s="4" customFormat="1" ht="18" customHeight="1">
      <c r="A1004" s="2" t="s">
        <v>2261</v>
      </c>
      <c r="B1004" s="3"/>
      <c r="C1004" s="2"/>
      <c r="D1004" s="3"/>
      <c r="E1004" s="2"/>
      <c r="F1004" s="2" t="s">
        <v>2543</v>
      </c>
      <c r="G1004" s="2"/>
      <c r="H1004" s="2" t="s">
        <v>2544</v>
      </c>
      <c r="I1004" s="2"/>
      <c r="J1004" s="2" t="s">
        <v>1638</v>
      </c>
      <c r="K1004" s="2" t="s">
        <v>2261</v>
      </c>
    </row>
    <row r="1005" spans="1:11" s="4" customFormat="1" ht="18" customHeight="1">
      <c r="A1005" s="2" t="s">
        <v>2262</v>
      </c>
      <c r="B1005" s="3"/>
      <c r="C1005" s="2"/>
      <c r="D1005" s="3"/>
      <c r="E1005" s="2"/>
      <c r="F1005" s="2" t="s">
        <v>3267</v>
      </c>
      <c r="G1005" s="2"/>
      <c r="H1005" s="2" t="s">
        <v>3268</v>
      </c>
      <c r="I1005" s="2"/>
      <c r="J1005" s="2" t="s">
        <v>2263</v>
      </c>
      <c r="K1005" s="2" t="s">
        <v>2262</v>
      </c>
    </row>
    <row r="1006" spans="1:11" s="4" customFormat="1" ht="18" customHeight="1">
      <c r="A1006" s="2" t="s">
        <v>2264</v>
      </c>
      <c r="B1006" s="3"/>
      <c r="C1006" s="2"/>
      <c r="D1006" s="3"/>
      <c r="E1006" s="2"/>
      <c r="F1006" s="2" t="s">
        <v>2797</v>
      </c>
      <c r="G1006" s="2"/>
      <c r="H1006" s="2" t="s">
        <v>2797</v>
      </c>
      <c r="I1006" s="2"/>
      <c r="J1006" s="2" t="s">
        <v>2265</v>
      </c>
      <c r="K1006" s="2" t="s">
        <v>2264</v>
      </c>
    </row>
    <row r="1007" spans="1:11" s="4" customFormat="1" ht="18" customHeight="1">
      <c r="A1007" s="2" t="s">
        <v>2267</v>
      </c>
      <c r="B1007" s="3"/>
      <c r="C1007" s="2"/>
      <c r="D1007" s="3"/>
      <c r="E1007" s="2"/>
      <c r="F1007" s="2" t="s">
        <v>3476</v>
      </c>
      <c r="G1007" s="2"/>
      <c r="H1007" s="2" t="s">
        <v>3476</v>
      </c>
      <c r="I1007" s="2"/>
      <c r="J1007" s="2" t="s">
        <v>2268</v>
      </c>
      <c r="K1007" s="2" t="s">
        <v>2267</v>
      </c>
    </row>
    <row r="1008" spans="1:11" s="4" customFormat="1" ht="18" customHeight="1">
      <c r="A1008" s="2" t="s">
        <v>2270</v>
      </c>
      <c r="B1008" s="3"/>
      <c r="C1008" s="2"/>
      <c r="D1008" s="3"/>
      <c r="E1008" s="2"/>
      <c r="F1008" s="2" t="s">
        <v>1650</v>
      </c>
      <c r="G1008" s="2"/>
      <c r="H1008" s="2" t="s">
        <v>1650</v>
      </c>
      <c r="I1008" s="2"/>
      <c r="J1008" s="2" t="s">
        <v>2272</v>
      </c>
      <c r="K1008" s="2" t="s">
        <v>2270</v>
      </c>
    </row>
    <row r="1009" spans="1:11" s="4" customFormat="1" ht="18" customHeight="1">
      <c r="A1009" s="2" t="s">
        <v>2273</v>
      </c>
      <c r="B1009" s="3"/>
      <c r="C1009" s="2"/>
      <c r="D1009" s="3"/>
      <c r="E1009" s="2"/>
      <c r="F1009" s="2" t="s">
        <v>2799</v>
      </c>
      <c r="G1009" s="2"/>
      <c r="H1009" s="2" t="s">
        <v>2799</v>
      </c>
      <c r="I1009" s="2"/>
      <c r="J1009" s="2" t="s">
        <v>2274</v>
      </c>
      <c r="K1009" s="2" t="s">
        <v>2273</v>
      </c>
    </row>
    <row r="1010" spans="1:11" s="4" customFormat="1" ht="18" customHeight="1">
      <c r="A1010" s="2" t="s">
        <v>2275</v>
      </c>
      <c r="B1010" s="3"/>
      <c r="C1010" s="2"/>
      <c r="D1010" s="3"/>
      <c r="E1010" s="2"/>
      <c r="F1010" s="2" t="s">
        <v>1881</v>
      </c>
      <c r="G1010" s="2"/>
      <c r="H1010" s="2" t="s">
        <v>1881</v>
      </c>
      <c r="I1010" s="2"/>
      <c r="J1010" s="2" t="s">
        <v>2276</v>
      </c>
      <c r="K1010" s="2" t="s">
        <v>2275</v>
      </c>
    </row>
    <row r="1011" spans="1:11" s="4" customFormat="1" ht="18" customHeight="1">
      <c r="A1011" s="2" t="s">
        <v>2277</v>
      </c>
      <c r="B1011" s="3"/>
      <c r="C1011" s="2"/>
      <c r="D1011" s="3"/>
      <c r="E1011" s="2"/>
      <c r="F1011" s="2" t="s">
        <v>3782</v>
      </c>
      <c r="G1011" s="2"/>
      <c r="H1011" s="2" t="s">
        <v>3782</v>
      </c>
      <c r="I1011" s="2"/>
      <c r="J1011" s="2" t="s">
        <v>2278</v>
      </c>
      <c r="K1011" s="2" t="s">
        <v>2277</v>
      </c>
    </row>
    <row r="1012" spans="1:11" s="4" customFormat="1" ht="18" customHeight="1">
      <c r="A1012" s="2" t="s">
        <v>2279</v>
      </c>
      <c r="B1012" s="3"/>
      <c r="C1012" s="2"/>
      <c r="D1012" s="3"/>
      <c r="E1012" s="2"/>
      <c r="F1012" s="2" t="s">
        <v>3601</v>
      </c>
      <c r="G1012" s="2"/>
      <c r="H1012" s="2" t="s">
        <v>3601</v>
      </c>
      <c r="I1012" s="2"/>
      <c r="J1012" s="2" t="s">
        <v>1966</v>
      </c>
      <c r="K1012" s="2" t="s">
        <v>2279</v>
      </c>
    </row>
    <row r="1013" spans="1:11" s="4" customFormat="1" ht="18" customHeight="1">
      <c r="A1013" s="2" t="s">
        <v>2280</v>
      </c>
      <c r="B1013" s="3"/>
      <c r="C1013" s="2"/>
      <c r="D1013" s="3"/>
      <c r="E1013" s="2"/>
      <c r="F1013" s="2" t="s">
        <v>2461</v>
      </c>
      <c r="G1013" s="2"/>
      <c r="H1013" s="2" t="s">
        <v>2461</v>
      </c>
      <c r="I1013" s="2"/>
      <c r="J1013" s="2" t="s">
        <v>2281</v>
      </c>
      <c r="K1013" s="2" t="s">
        <v>2280</v>
      </c>
    </row>
    <row r="1014" spans="1:11" s="4" customFormat="1" ht="18" customHeight="1">
      <c r="A1014" s="2" t="s">
        <v>2282</v>
      </c>
      <c r="B1014" s="3"/>
      <c r="C1014" s="2"/>
      <c r="D1014" s="3"/>
      <c r="E1014" s="2"/>
      <c r="F1014" s="2" t="s">
        <v>2463</v>
      </c>
      <c r="G1014" s="2"/>
      <c r="H1014" s="2" t="s">
        <v>2463</v>
      </c>
      <c r="I1014" s="2"/>
      <c r="J1014" s="2" t="s">
        <v>2171</v>
      </c>
      <c r="K1014" s="2" t="s">
        <v>2282</v>
      </c>
    </row>
    <row r="1015" spans="1:11" s="4" customFormat="1" ht="18" customHeight="1">
      <c r="A1015" s="2" t="s">
        <v>2283</v>
      </c>
      <c r="B1015" s="3"/>
      <c r="C1015" s="2"/>
      <c r="D1015" s="3"/>
      <c r="E1015" s="2"/>
      <c r="F1015" s="2" t="s">
        <v>551</v>
      </c>
      <c r="G1015" s="2"/>
      <c r="H1015" s="2" t="s">
        <v>551</v>
      </c>
      <c r="I1015" s="2"/>
      <c r="J1015" s="2" t="s">
        <v>2284</v>
      </c>
      <c r="K1015" s="2" t="s">
        <v>2283</v>
      </c>
    </row>
    <row r="1016" spans="1:11" s="4" customFormat="1" ht="18" customHeight="1">
      <c r="A1016" s="2" t="s">
        <v>2285</v>
      </c>
      <c r="B1016" s="3"/>
      <c r="C1016" s="2"/>
      <c r="D1016" s="3"/>
      <c r="E1016" s="2"/>
      <c r="F1016" s="2" t="s">
        <v>1536</v>
      </c>
      <c r="G1016" s="2"/>
      <c r="H1016" s="2" t="s">
        <v>1536</v>
      </c>
      <c r="I1016" s="2"/>
      <c r="J1016" s="2" t="s">
        <v>2286</v>
      </c>
      <c r="K1016" s="2" t="s">
        <v>2285</v>
      </c>
    </row>
    <row r="1017" spans="1:11" s="4" customFormat="1" ht="18" customHeight="1">
      <c r="A1017" s="2" t="s">
        <v>2287</v>
      </c>
      <c r="B1017" s="3"/>
      <c r="C1017" s="2"/>
      <c r="D1017" s="3"/>
      <c r="E1017" s="2"/>
      <c r="F1017" s="2" t="s">
        <v>1374</v>
      </c>
      <c r="G1017" s="2"/>
      <c r="H1017" s="2" t="s">
        <v>1374</v>
      </c>
      <c r="I1017" s="2"/>
      <c r="J1017" s="2" t="s">
        <v>2288</v>
      </c>
      <c r="K1017" s="2" t="s">
        <v>2287</v>
      </c>
    </row>
    <row r="1018" spans="1:11" s="4" customFormat="1" ht="18" customHeight="1">
      <c r="A1018" s="2" t="s">
        <v>2289</v>
      </c>
      <c r="B1018" s="3"/>
      <c r="C1018" s="2"/>
      <c r="D1018" s="3"/>
      <c r="E1018" s="2"/>
      <c r="F1018" s="2" t="s">
        <v>1574</v>
      </c>
      <c r="G1018" s="2"/>
      <c r="H1018" s="2" t="s">
        <v>1574</v>
      </c>
      <c r="I1018" s="2"/>
      <c r="J1018" s="2" t="s">
        <v>2290</v>
      </c>
      <c r="K1018" s="2" t="s">
        <v>2289</v>
      </c>
    </row>
    <row r="1019" spans="1:11" s="4" customFormat="1" ht="18" customHeight="1">
      <c r="A1019" s="2" t="s">
        <v>2291</v>
      </c>
      <c r="B1019" s="3"/>
      <c r="C1019" s="2"/>
      <c r="D1019" s="3"/>
      <c r="E1019" s="2"/>
      <c r="F1019" s="2" t="s">
        <v>3168</v>
      </c>
      <c r="G1019" s="2"/>
      <c r="H1019" s="2" t="s">
        <v>3169</v>
      </c>
      <c r="I1019" s="2"/>
      <c r="J1019" s="2" t="s">
        <v>2292</v>
      </c>
      <c r="K1019" s="2" t="s">
        <v>2291</v>
      </c>
    </row>
    <row r="1020" spans="1:11" s="4" customFormat="1" ht="18" customHeight="1">
      <c r="A1020" s="2" t="s">
        <v>2293</v>
      </c>
      <c r="B1020" s="3"/>
      <c r="C1020" s="2"/>
      <c r="D1020" s="3"/>
      <c r="E1020" s="2"/>
      <c r="F1020" s="2" t="s">
        <v>2292</v>
      </c>
      <c r="G1020" s="2"/>
      <c r="H1020" s="2" t="s">
        <v>2292</v>
      </c>
      <c r="I1020" s="2"/>
      <c r="J1020" s="2" t="s">
        <v>2294</v>
      </c>
      <c r="K1020" s="2" t="s">
        <v>2293</v>
      </c>
    </row>
    <row r="1021" spans="1:11" s="4" customFormat="1" ht="18" customHeight="1">
      <c r="A1021" s="2" t="s">
        <v>2295</v>
      </c>
      <c r="B1021" s="3"/>
      <c r="C1021" s="2"/>
      <c r="D1021" s="3"/>
      <c r="E1021" s="2"/>
      <c r="F1021" s="2" t="s">
        <v>3190</v>
      </c>
      <c r="G1021" s="2"/>
      <c r="H1021" s="2" t="s">
        <v>3190</v>
      </c>
      <c r="I1021" s="2"/>
      <c r="J1021" s="2" t="s">
        <v>2296</v>
      </c>
      <c r="K1021" s="2" t="s">
        <v>2295</v>
      </c>
    </row>
    <row r="1022" spans="1:11" s="4" customFormat="1" ht="18" customHeight="1">
      <c r="A1022" s="2" t="s">
        <v>2297</v>
      </c>
      <c r="B1022" s="3"/>
      <c r="C1022" s="2"/>
      <c r="D1022" s="3"/>
      <c r="E1022" s="2"/>
      <c r="F1022" s="2" t="s">
        <v>3083</v>
      </c>
      <c r="G1022" s="2"/>
      <c r="H1022" s="2" t="s">
        <v>3083</v>
      </c>
      <c r="I1022" s="2"/>
      <c r="J1022" s="2" t="s">
        <v>2298</v>
      </c>
      <c r="K1022" s="2" t="s">
        <v>2297</v>
      </c>
    </row>
    <row r="1023" spans="1:11" s="4" customFormat="1" ht="18" customHeight="1">
      <c r="A1023" s="2" t="s">
        <v>2299</v>
      </c>
      <c r="B1023" s="3"/>
      <c r="C1023" s="2"/>
      <c r="D1023" s="3"/>
      <c r="E1023" s="2"/>
      <c r="F1023" s="2" t="s">
        <v>634</v>
      </c>
      <c r="G1023" s="2"/>
      <c r="H1023" s="2" t="s">
        <v>634</v>
      </c>
      <c r="I1023" s="2"/>
      <c r="J1023" s="2" t="s">
        <v>311</v>
      </c>
      <c r="K1023" s="2" t="s">
        <v>2299</v>
      </c>
    </row>
    <row r="1024" spans="1:11" s="4" customFormat="1" ht="18" customHeight="1">
      <c r="A1024" s="2" t="s">
        <v>2300</v>
      </c>
      <c r="B1024" s="3"/>
      <c r="C1024" s="2"/>
      <c r="D1024" s="3"/>
      <c r="E1024" s="2"/>
      <c r="F1024" s="2" t="s">
        <v>4070</v>
      </c>
      <c r="G1024" s="2"/>
      <c r="H1024" s="2" t="s">
        <v>4071</v>
      </c>
      <c r="I1024" s="2"/>
      <c r="J1024" s="2" t="s">
        <v>2301</v>
      </c>
      <c r="K1024" s="2" t="s">
        <v>2300</v>
      </c>
    </row>
    <row r="1025" spans="1:11" s="4" customFormat="1" ht="18" customHeight="1">
      <c r="A1025" s="2" t="s">
        <v>2302</v>
      </c>
      <c r="B1025" s="3"/>
      <c r="C1025" s="2"/>
      <c r="D1025" s="3"/>
      <c r="E1025" s="2"/>
      <c r="F1025" s="2" t="s">
        <v>3685</v>
      </c>
      <c r="G1025" s="2"/>
      <c r="H1025" s="2" t="s">
        <v>3685</v>
      </c>
      <c r="I1025" s="2"/>
      <c r="J1025" s="2" t="s">
        <v>2303</v>
      </c>
      <c r="K1025" s="2" t="s">
        <v>2302</v>
      </c>
    </row>
    <row r="1026" spans="1:11" s="4" customFormat="1" ht="18" customHeight="1">
      <c r="A1026" s="2" t="s">
        <v>2304</v>
      </c>
      <c r="B1026" s="3"/>
      <c r="C1026" s="2"/>
      <c r="D1026" s="3"/>
      <c r="E1026" s="2"/>
      <c r="F1026" s="2" t="s">
        <v>936</v>
      </c>
      <c r="G1026" s="2"/>
      <c r="H1026" s="2" t="s">
        <v>937</v>
      </c>
      <c r="I1026" s="2"/>
      <c r="J1026" s="2" t="s">
        <v>1054</v>
      </c>
      <c r="K1026" s="2" t="s">
        <v>2304</v>
      </c>
    </row>
    <row r="1027" spans="1:11" s="4" customFormat="1" ht="18" customHeight="1">
      <c r="A1027" s="2" t="s">
        <v>2305</v>
      </c>
      <c r="B1027" s="3"/>
      <c r="C1027" s="2"/>
      <c r="D1027" s="3"/>
      <c r="E1027" s="2"/>
      <c r="F1027" s="2" t="s">
        <v>1576</v>
      </c>
      <c r="G1027" s="2"/>
      <c r="H1027" s="2" t="s">
        <v>1576</v>
      </c>
      <c r="I1027" s="2"/>
      <c r="J1027" s="2" t="s">
        <v>527</v>
      </c>
      <c r="K1027" s="2" t="s">
        <v>2305</v>
      </c>
    </row>
    <row r="1028" spans="1:11" s="4" customFormat="1" ht="18" customHeight="1">
      <c r="A1028" s="2" t="s">
        <v>2306</v>
      </c>
      <c r="B1028" s="3"/>
      <c r="C1028" s="2"/>
      <c r="D1028" s="3"/>
      <c r="E1028" s="2"/>
      <c r="F1028" s="2" t="s">
        <v>226</v>
      </c>
      <c r="G1028" s="2"/>
      <c r="H1028" s="2" t="s">
        <v>227</v>
      </c>
      <c r="I1028" s="2"/>
      <c r="J1028" s="2" t="s">
        <v>2307</v>
      </c>
      <c r="K1028" s="2" t="s">
        <v>2306</v>
      </c>
    </row>
    <row r="1029" spans="1:11" s="4" customFormat="1" ht="18" customHeight="1">
      <c r="A1029" s="2" t="s">
        <v>2308</v>
      </c>
      <c r="B1029" s="3"/>
      <c r="C1029" s="2"/>
      <c r="D1029" s="3"/>
      <c r="E1029" s="2"/>
      <c r="F1029" s="2" t="s">
        <v>1604</v>
      </c>
      <c r="G1029" s="2"/>
      <c r="H1029" s="2" t="s">
        <v>1604</v>
      </c>
      <c r="I1029" s="2"/>
      <c r="J1029" s="2" t="s">
        <v>2309</v>
      </c>
      <c r="K1029" s="2" t="s">
        <v>2308</v>
      </c>
    </row>
    <row r="1030" spans="1:11" s="4" customFormat="1" ht="18" customHeight="1">
      <c r="A1030" s="2" t="s">
        <v>2310</v>
      </c>
      <c r="B1030" s="3"/>
      <c r="C1030" s="2"/>
      <c r="D1030" s="3"/>
      <c r="E1030" s="2"/>
      <c r="F1030" s="2" t="s">
        <v>3368</v>
      </c>
      <c r="G1030" s="2"/>
      <c r="H1030" s="2" t="s">
        <v>3368</v>
      </c>
      <c r="I1030" s="2"/>
      <c r="J1030" s="2" t="s">
        <v>2311</v>
      </c>
      <c r="K1030" s="2" t="s">
        <v>2310</v>
      </c>
    </row>
    <row r="1031" spans="1:11" s="4" customFormat="1" ht="18" customHeight="1">
      <c r="A1031" s="2" t="s">
        <v>2312</v>
      </c>
      <c r="B1031" s="3"/>
      <c r="C1031" s="2"/>
      <c r="D1031" s="3"/>
      <c r="E1031" s="2"/>
      <c r="F1031" s="2" t="s">
        <v>2754</v>
      </c>
      <c r="G1031" s="2"/>
      <c r="H1031" s="2" t="s">
        <v>2754</v>
      </c>
      <c r="I1031" s="2"/>
      <c r="J1031" s="2" t="s">
        <v>2313</v>
      </c>
      <c r="K1031" s="2" t="s">
        <v>2312</v>
      </c>
    </row>
    <row r="1032" spans="1:11" s="4" customFormat="1" ht="18" customHeight="1">
      <c r="A1032" s="2" t="s">
        <v>2314</v>
      </c>
      <c r="B1032" s="3"/>
      <c r="C1032" s="2"/>
      <c r="D1032" s="3"/>
      <c r="E1032" s="2"/>
      <c r="F1032" s="2" t="s">
        <v>3889</v>
      </c>
      <c r="G1032" s="2"/>
      <c r="H1032" s="2" t="s">
        <v>3889</v>
      </c>
      <c r="I1032" s="2"/>
      <c r="J1032" s="2" t="s">
        <v>337</v>
      </c>
      <c r="K1032" s="2" t="s">
        <v>2314</v>
      </c>
    </row>
    <row r="1033" spans="1:11" s="4" customFormat="1" ht="18" customHeight="1">
      <c r="A1033" s="2" t="s">
        <v>2315</v>
      </c>
      <c r="B1033" s="3"/>
      <c r="C1033" s="2"/>
      <c r="D1033" s="3"/>
      <c r="E1033" s="2"/>
      <c r="F1033" s="2" t="s">
        <v>4048</v>
      </c>
      <c r="G1033" s="2"/>
      <c r="H1033" s="2" t="s">
        <v>4048</v>
      </c>
      <c r="I1033" s="2"/>
      <c r="J1033" s="2" t="s">
        <v>2316</v>
      </c>
      <c r="K1033" s="2" t="s">
        <v>2315</v>
      </c>
    </row>
    <row r="1034" spans="1:11" s="4" customFormat="1" ht="18" customHeight="1">
      <c r="A1034" s="2" t="s">
        <v>2317</v>
      </c>
      <c r="B1034" s="3"/>
      <c r="C1034" s="2"/>
      <c r="D1034" s="3"/>
      <c r="E1034" s="2"/>
      <c r="F1034" s="2" t="s">
        <v>2398</v>
      </c>
      <c r="G1034" s="2"/>
      <c r="H1034" s="2" t="s">
        <v>2399</v>
      </c>
      <c r="I1034" s="2"/>
      <c r="J1034" s="2" t="s">
        <v>2318</v>
      </c>
      <c r="K1034" s="2" t="s">
        <v>2317</v>
      </c>
    </row>
    <row r="1035" spans="1:11" s="4" customFormat="1" ht="18" customHeight="1">
      <c r="A1035" s="2" t="s">
        <v>2319</v>
      </c>
      <c r="B1035" s="3"/>
      <c r="C1035" s="2"/>
      <c r="D1035" s="3"/>
      <c r="E1035" s="2"/>
      <c r="F1035" s="2" t="s">
        <v>639</v>
      </c>
      <c r="G1035" s="2"/>
      <c r="H1035" s="2" t="s">
        <v>640</v>
      </c>
      <c r="I1035" s="2"/>
      <c r="J1035" s="2" t="s">
        <v>2320</v>
      </c>
      <c r="K1035" s="2" t="s">
        <v>2319</v>
      </c>
    </row>
    <row r="1036" spans="1:11" s="4" customFormat="1" ht="18" customHeight="1">
      <c r="A1036" s="2" t="s">
        <v>2321</v>
      </c>
      <c r="B1036" s="3"/>
      <c r="C1036" s="2"/>
      <c r="D1036" s="3"/>
      <c r="E1036" s="2"/>
      <c r="F1036" s="2" t="s">
        <v>2944</v>
      </c>
      <c r="G1036" s="2"/>
      <c r="H1036" s="2" t="s">
        <v>2944</v>
      </c>
      <c r="I1036" s="2"/>
      <c r="J1036" s="2" t="s">
        <v>2322</v>
      </c>
      <c r="K1036" s="2" t="s">
        <v>2321</v>
      </c>
    </row>
    <row r="1037" spans="1:11" s="4" customFormat="1" ht="18" customHeight="1">
      <c r="A1037" s="2" t="s">
        <v>2323</v>
      </c>
      <c r="B1037" s="3"/>
      <c r="C1037" s="2"/>
      <c r="D1037" s="3"/>
      <c r="E1037" s="2"/>
      <c r="F1037" s="2" t="s">
        <v>1883</v>
      </c>
      <c r="G1037" s="2"/>
      <c r="H1037" s="2" t="s">
        <v>1884</v>
      </c>
      <c r="I1037" s="2"/>
      <c r="J1037" s="2" t="s">
        <v>2325</v>
      </c>
      <c r="K1037" s="2" t="s">
        <v>2323</v>
      </c>
    </row>
    <row r="1038" spans="1:11" s="4" customFormat="1" ht="18" customHeight="1">
      <c r="A1038" s="2" t="s">
        <v>2326</v>
      </c>
      <c r="B1038" s="3"/>
      <c r="C1038" s="2"/>
      <c r="D1038" s="3"/>
      <c r="E1038" s="2"/>
      <c r="F1038" s="2" t="s">
        <v>3934</v>
      </c>
      <c r="G1038" s="2"/>
      <c r="H1038" s="2" t="s">
        <v>3934</v>
      </c>
      <c r="I1038" s="2"/>
      <c r="J1038" s="2" t="s">
        <v>2327</v>
      </c>
      <c r="K1038" s="2" t="s">
        <v>2326</v>
      </c>
    </row>
    <row r="1039" spans="1:11" s="4" customFormat="1" ht="18" customHeight="1">
      <c r="A1039" s="2" t="s">
        <v>2328</v>
      </c>
      <c r="B1039" s="3"/>
      <c r="C1039" s="2"/>
      <c r="D1039" s="3"/>
      <c r="E1039" s="2"/>
      <c r="F1039" s="2" t="s">
        <v>3706</v>
      </c>
      <c r="G1039" s="2"/>
      <c r="H1039" s="2" t="s">
        <v>3706</v>
      </c>
      <c r="I1039" s="2"/>
      <c r="J1039" s="2" t="s">
        <v>2329</v>
      </c>
      <c r="K1039" s="2" t="s">
        <v>2328</v>
      </c>
    </row>
    <row r="1040" spans="1:11" s="4" customFormat="1" ht="18" customHeight="1">
      <c r="A1040" s="2" t="s">
        <v>2330</v>
      </c>
      <c r="B1040" s="3"/>
      <c r="C1040" s="2"/>
      <c r="D1040" s="3"/>
      <c r="E1040" s="2"/>
      <c r="F1040" s="2" t="s">
        <v>2031</v>
      </c>
      <c r="G1040" s="2"/>
      <c r="H1040" s="2" t="s">
        <v>2031</v>
      </c>
      <c r="I1040" s="2"/>
      <c r="J1040" s="2" t="s">
        <v>2331</v>
      </c>
      <c r="K1040" s="2" t="s">
        <v>2330</v>
      </c>
    </row>
    <row r="1041" spans="1:11" s="4" customFormat="1" ht="18" customHeight="1">
      <c r="A1041" s="2" t="s">
        <v>2332</v>
      </c>
      <c r="B1041" s="3"/>
      <c r="C1041" s="2"/>
      <c r="D1041" s="3"/>
      <c r="E1041" s="2"/>
      <c r="F1041" s="2" t="s">
        <v>2237</v>
      </c>
      <c r="G1041" s="2"/>
      <c r="H1041" s="2" t="s">
        <v>2237</v>
      </c>
      <c r="I1041" s="2"/>
      <c r="J1041" s="2" t="s">
        <v>2333</v>
      </c>
      <c r="K1041" s="2" t="s">
        <v>2332</v>
      </c>
    </row>
    <row r="1042" spans="1:11" s="4" customFormat="1" ht="18" customHeight="1">
      <c r="A1042" s="2" t="s">
        <v>2334</v>
      </c>
      <c r="B1042" s="3"/>
      <c r="C1042" s="2"/>
      <c r="D1042" s="3"/>
      <c r="E1042" s="2"/>
      <c r="F1042" s="2" t="s">
        <v>258</v>
      </c>
      <c r="G1042" s="2"/>
      <c r="H1042" s="2" t="s">
        <v>258</v>
      </c>
      <c r="I1042" s="2"/>
      <c r="J1042" s="2" t="s">
        <v>2335</v>
      </c>
      <c r="K1042" s="2" t="s">
        <v>2334</v>
      </c>
    </row>
    <row r="1043" spans="1:11" s="4" customFormat="1" ht="18" customHeight="1">
      <c r="A1043" s="2" t="s">
        <v>2336</v>
      </c>
      <c r="B1043" s="3"/>
      <c r="C1043" s="2"/>
      <c r="D1043" s="3"/>
      <c r="E1043" s="2"/>
      <c r="F1043" s="2" t="s">
        <v>1235</v>
      </c>
      <c r="G1043" s="2"/>
      <c r="H1043" s="2" t="s">
        <v>1235</v>
      </c>
      <c r="I1043" s="2"/>
      <c r="J1043" s="2" t="s">
        <v>2337</v>
      </c>
      <c r="K1043" s="2" t="s">
        <v>2336</v>
      </c>
    </row>
    <row r="1044" spans="1:11" s="4" customFormat="1" ht="18" customHeight="1">
      <c r="A1044" s="2" t="s">
        <v>2338</v>
      </c>
      <c r="B1044" s="3"/>
      <c r="C1044" s="2"/>
      <c r="D1044" s="3"/>
      <c r="E1044" s="2"/>
      <c r="F1044" s="2" t="s">
        <v>815</v>
      </c>
      <c r="G1044" s="2"/>
      <c r="H1044" s="2" t="s">
        <v>815</v>
      </c>
      <c r="I1044" s="2"/>
      <c r="J1044" s="2" t="s">
        <v>1327</v>
      </c>
      <c r="K1044" s="2" t="s">
        <v>2338</v>
      </c>
    </row>
    <row r="1045" spans="1:11" s="4" customFormat="1" ht="18" customHeight="1">
      <c r="A1045" s="2" t="s">
        <v>2339</v>
      </c>
      <c r="B1045" s="3"/>
      <c r="C1045" s="2"/>
      <c r="D1045" s="3"/>
      <c r="E1045" s="2"/>
      <c r="F1045" s="2" t="s">
        <v>815</v>
      </c>
      <c r="G1045" s="2"/>
      <c r="H1045" s="2" t="s">
        <v>1771</v>
      </c>
      <c r="I1045" s="2"/>
      <c r="J1045" s="2" t="s">
        <v>2340</v>
      </c>
      <c r="K1045" s="2" t="s">
        <v>2339</v>
      </c>
    </row>
    <row r="1046" spans="1:11" s="4" customFormat="1" ht="18" customHeight="1">
      <c r="A1046" s="2" t="s">
        <v>2341</v>
      </c>
      <c r="B1046" s="3"/>
      <c r="C1046" s="2"/>
      <c r="D1046" s="3"/>
      <c r="E1046" s="2"/>
      <c r="F1046" s="2" t="s">
        <v>1842</v>
      </c>
      <c r="G1046" s="2"/>
      <c r="H1046" s="2" t="s">
        <v>1842</v>
      </c>
      <c r="I1046" s="2"/>
      <c r="J1046" s="2" t="s">
        <v>2342</v>
      </c>
      <c r="K1046" s="2" t="s">
        <v>2341</v>
      </c>
    </row>
    <row r="1047" spans="1:11" s="4" customFormat="1" ht="18" customHeight="1">
      <c r="A1047" s="2" t="s">
        <v>2343</v>
      </c>
      <c r="B1047" s="3"/>
      <c r="C1047" s="2"/>
      <c r="D1047" s="3"/>
      <c r="E1047" s="2"/>
      <c r="F1047" s="2" t="s">
        <v>939</v>
      </c>
      <c r="G1047" s="2"/>
      <c r="H1047" s="2" t="s">
        <v>939</v>
      </c>
      <c r="I1047" s="2"/>
      <c r="J1047" s="2" t="s">
        <v>2344</v>
      </c>
      <c r="K1047" s="2" t="s">
        <v>2343</v>
      </c>
    </row>
    <row r="1048" spans="1:11" s="4" customFormat="1" ht="18" customHeight="1">
      <c r="A1048" s="2" t="s">
        <v>2345</v>
      </c>
      <c r="B1048" s="3"/>
      <c r="C1048" s="2"/>
      <c r="D1048" s="3"/>
      <c r="E1048" s="2"/>
      <c r="F1048" s="2" t="s">
        <v>1747</v>
      </c>
      <c r="G1048" s="2"/>
      <c r="H1048" s="2" t="s">
        <v>1747</v>
      </c>
      <c r="I1048" s="2"/>
      <c r="J1048" s="2" t="s">
        <v>2346</v>
      </c>
      <c r="K1048" s="2" t="s">
        <v>2345</v>
      </c>
    </row>
    <row r="1049" spans="1:11" s="4" customFormat="1" ht="18" customHeight="1">
      <c r="A1049" s="2" t="s">
        <v>2347</v>
      </c>
      <c r="B1049" s="3"/>
      <c r="C1049" s="2"/>
      <c r="D1049" s="3"/>
      <c r="E1049" s="2"/>
      <c r="F1049" s="2" t="s">
        <v>1994</v>
      </c>
      <c r="G1049" s="2"/>
      <c r="H1049" s="2" t="s">
        <v>1994</v>
      </c>
      <c r="I1049" s="2"/>
      <c r="J1049" s="2" t="s">
        <v>2348</v>
      </c>
      <c r="K1049" s="2" t="s">
        <v>2347</v>
      </c>
    </row>
    <row r="1050" spans="1:11" s="4" customFormat="1" ht="18" customHeight="1">
      <c r="A1050" s="2" t="s">
        <v>2349</v>
      </c>
      <c r="B1050" s="3"/>
      <c r="C1050" s="2"/>
      <c r="D1050" s="3"/>
      <c r="E1050" s="2"/>
      <c r="F1050" s="2" t="s">
        <v>553</v>
      </c>
      <c r="G1050" s="2"/>
      <c r="H1050" s="2" t="s">
        <v>553</v>
      </c>
      <c r="I1050" s="2"/>
      <c r="J1050" s="2" t="s">
        <v>2350</v>
      </c>
      <c r="K1050" s="2" t="s">
        <v>2349</v>
      </c>
    </row>
    <row r="1051" spans="1:11" s="4" customFormat="1" ht="18" customHeight="1">
      <c r="A1051" s="2" t="s">
        <v>2351</v>
      </c>
      <c r="B1051" s="3"/>
      <c r="C1051" s="2"/>
      <c r="D1051" s="3"/>
      <c r="E1051" s="2"/>
      <c r="F1051" s="2" t="s">
        <v>553</v>
      </c>
      <c r="G1051" s="2"/>
      <c r="H1051" s="2" t="s">
        <v>553</v>
      </c>
      <c r="I1051" s="2"/>
      <c r="J1051" s="2" t="s">
        <v>2352</v>
      </c>
      <c r="K1051" s="2" t="s">
        <v>2351</v>
      </c>
    </row>
    <row r="1052" spans="1:11" s="4" customFormat="1" ht="18" customHeight="1">
      <c r="A1052" s="2" t="s">
        <v>2353</v>
      </c>
      <c r="B1052" s="3"/>
      <c r="C1052" s="2"/>
      <c r="D1052" s="3"/>
      <c r="E1052" s="2"/>
      <c r="F1052" s="2" t="s">
        <v>2248</v>
      </c>
      <c r="G1052" s="2"/>
      <c r="H1052" s="2" t="s">
        <v>2248</v>
      </c>
      <c r="I1052" s="2"/>
      <c r="J1052" s="2" t="s">
        <v>2354</v>
      </c>
      <c r="K1052" s="2" t="s">
        <v>2353</v>
      </c>
    </row>
    <row r="1053" spans="1:11" s="4" customFormat="1" ht="18" customHeight="1">
      <c r="A1053" s="2" t="s">
        <v>2355</v>
      </c>
      <c r="B1053" s="3"/>
      <c r="C1053" s="2"/>
      <c r="D1053" s="3"/>
      <c r="E1053" s="2"/>
      <c r="F1053" s="2" t="s">
        <v>260</v>
      </c>
      <c r="G1053" s="2"/>
      <c r="H1053" s="2" t="s">
        <v>261</v>
      </c>
      <c r="I1053" s="2"/>
      <c r="J1053" s="2" t="s">
        <v>429</v>
      </c>
      <c r="K1053" s="2" t="s">
        <v>2355</v>
      </c>
    </row>
    <row r="1054" spans="1:11" s="4" customFormat="1" ht="18" customHeight="1">
      <c r="A1054" s="2" t="s">
        <v>2357</v>
      </c>
      <c r="B1054" s="3"/>
      <c r="C1054" s="2"/>
      <c r="D1054" s="3"/>
      <c r="E1054" s="2"/>
      <c r="F1054" s="2" t="s">
        <v>3687</v>
      </c>
      <c r="G1054" s="2"/>
      <c r="H1054" s="2" t="s">
        <v>3687</v>
      </c>
      <c r="I1054" s="2"/>
      <c r="J1054" s="2" t="s">
        <v>2358</v>
      </c>
      <c r="K1054" s="2" t="s">
        <v>2357</v>
      </c>
    </row>
    <row r="1055" spans="1:11" s="4" customFormat="1" ht="18" customHeight="1">
      <c r="A1055" s="2" t="s">
        <v>2359</v>
      </c>
      <c r="B1055" s="3"/>
      <c r="C1055" s="2"/>
      <c r="D1055" s="3"/>
      <c r="E1055" s="2"/>
      <c r="F1055" s="2" t="s">
        <v>3632</v>
      </c>
      <c r="G1055" s="2"/>
      <c r="H1055" s="2" t="s">
        <v>3632</v>
      </c>
      <c r="I1055" s="2"/>
      <c r="J1055" s="2" t="s">
        <v>1519</v>
      </c>
      <c r="K1055" s="2" t="s">
        <v>2359</v>
      </c>
    </row>
    <row r="1056" spans="1:11" s="4" customFormat="1" ht="18" customHeight="1">
      <c r="A1056" s="2" t="s">
        <v>2360</v>
      </c>
      <c r="B1056" s="3"/>
      <c r="C1056" s="2"/>
      <c r="D1056" s="3"/>
      <c r="E1056" s="2"/>
      <c r="F1056" s="2" t="s">
        <v>1856</v>
      </c>
      <c r="G1056" s="2"/>
      <c r="H1056" s="2" t="s">
        <v>1856</v>
      </c>
      <c r="I1056" s="2"/>
      <c r="J1056" s="2" t="s">
        <v>2361</v>
      </c>
      <c r="K1056" s="2" t="s">
        <v>2360</v>
      </c>
    </row>
    <row r="1057" spans="1:11" s="4" customFormat="1" ht="18" customHeight="1">
      <c r="A1057" s="2" t="s">
        <v>2362</v>
      </c>
      <c r="B1057" s="3"/>
      <c r="C1057" s="2"/>
      <c r="D1057" s="3"/>
      <c r="E1057" s="2"/>
      <c r="F1057" s="2" t="s">
        <v>3774</v>
      </c>
      <c r="G1057" s="2"/>
      <c r="H1057" s="2" t="s">
        <v>3775</v>
      </c>
      <c r="I1057" s="2"/>
      <c r="J1057" s="2" t="s">
        <v>2363</v>
      </c>
      <c r="K1057" s="2" t="s">
        <v>2362</v>
      </c>
    </row>
    <row r="1058" spans="1:11" s="4" customFormat="1" ht="18" customHeight="1">
      <c r="A1058" s="2" t="s">
        <v>2364</v>
      </c>
      <c r="B1058" s="3"/>
      <c r="C1058" s="2"/>
      <c r="D1058" s="3"/>
      <c r="E1058" s="2"/>
      <c r="F1058" s="2" t="s">
        <v>169</v>
      </c>
      <c r="G1058" s="2"/>
      <c r="H1058" s="2" t="s">
        <v>169</v>
      </c>
      <c r="I1058" s="2"/>
      <c r="J1058" s="2" t="s">
        <v>2365</v>
      </c>
      <c r="K1058" s="2" t="s">
        <v>2364</v>
      </c>
    </row>
    <row r="1059" spans="1:11" s="4" customFormat="1" ht="18" customHeight="1">
      <c r="A1059" s="2" t="s">
        <v>2366</v>
      </c>
      <c r="B1059" s="3"/>
      <c r="C1059" s="2"/>
      <c r="D1059" s="3"/>
      <c r="E1059" s="2"/>
      <c r="F1059" s="2" t="s">
        <v>169</v>
      </c>
      <c r="G1059" s="2"/>
      <c r="H1059" s="2" t="s">
        <v>169</v>
      </c>
      <c r="I1059" s="2"/>
      <c r="J1059" s="2" t="s">
        <v>2367</v>
      </c>
      <c r="K1059" s="2" t="s">
        <v>2366</v>
      </c>
    </row>
    <row r="1060" spans="1:11" s="4" customFormat="1" ht="18" customHeight="1">
      <c r="A1060" s="2" t="s">
        <v>2368</v>
      </c>
      <c r="B1060" s="3"/>
      <c r="C1060" s="2"/>
      <c r="D1060" s="3"/>
      <c r="E1060" s="2"/>
      <c r="F1060" s="2" t="s">
        <v>2801</v>
      </c>
      <c r="G1060" s="2"/>
      <c r="H1060" s="2" t="s">
        <v>2801</v>
      </c>
      <c r="I1060" s="2"/>
      <c r="J1060" s="2" t="s">
        <v>2369</v>
      </c>
      <c r="K1060" s="2" t="s">
        <v>2368</v>
      </c>
    </row>
    <row r="1061" spans="1:11" s="4" customFormat="1" ht="18" customHeight="1">
      <c r="A1061" s="2" t="s">
        <v>2370</v>
      </c>
      <c r="B1061" s="3"/>
      <c r="C1061" s="2"/>
      <c r="D1061" s="3"/>
      <c r="E1061" s="2"/>
      <c r="F1061" s="2" t="s">
        <v>1802</v>
      </c>
      <c r="G1061" s="2"/>
      <c r="H1061" s="2" t="s">
        <v>1802</v>
      </c>
      <c r="I1061" s="2"/>
      <c r="J1061" s="2" t="s">
        <v>2371</v>
      </c>
      <c r="K1061" s="2" t="s">
        <v>2370</v>
      </c>
    </row>
    <row r="1062" spans="1:11" s="4" customFormat="1" ht="18" customHeight="1">
      <c r="A1062" s="2" t="s">
        <v>2372</v>
      </c>
      <c r="B1062" s="3"/>
      <c r="C1062" s="2"/>
      <c r="D1062" s="3"/>
      <c r="E1062" s="2"/>
      <c r="F1062" s="2" t="s">
        <v>3126</v>
      </c>
      <c r="G1062" s="2"/>
      <c r="H1062" s="2" t="s">
        <v>3126</v>
      </c>
      <c r="I1062" s="2"/>
      <c r="J1062" s="2" t="s">
        <v>2373</v>
      </c>
      <c r="K1062" s="2" t="s">
        <v>2372</v>
      </c>
    </row>
    <row r="1063" spans="1:11" s="4" customFormat="1" ht="18" customHeight="1">
      <c r="A1063" s="2" t="s">
        <v>2374</v>
      </c>
      <c r="B1063" s="3"/>
      <c r="C1063" s="2"/>
      <c r="D1063" s="3"/>
      <c r="E1063" s="2"/>
      <c r="F1063" s="2" t="s">
        <v>3330</v>
      </c>
      <c r="G1063" s="2"/>
      <c r="H1063" s="2" t="s">
        <v>3330</v>
      </c>
      <c r="I1063" s="2"/>
      <c r="J1063" s="2" t="s">
        <v>2375</v>
      </c>
      <c r="K1063" s="2" t="s">
        <v>2374</v>
      </c>
    </row>
    <row r="1064" spans="1:11" s="4" customFormat="1" ht="18" customHeight="1">
      <c r="A1064" s="2" t="s">
        <v>2376</v>
      </c>
      <c r="B1064" s="3"/>
      <c r="C1064" s="2"/>
      <c r="D1064" s="3"/>
      <c r="E1064" s="2"/>
      <c r="F1064" s="2" t="s">
        <v>304</v>
      </c>
      <c r="G1064" s="2"/>
      <c r="H1064" s="2" t="s">
        <v>304</v>
      </c>
      <c r="I1064" s="2"/>
      <c r="J1064" s="2" t="s">
        <v>2377</v>
      </c>
      <c r="K1064" s="2" t="s">
        <v>2376</v>
      </c>
    </row>
    <row r="1065" spans="1:11" s="4" customFormat="1" ht="18" customHeight="1">
      <c r="A1065" s="2" t="s">
        <v>2378</v>
      </c>
      <c r="B1065" s="3"/>
      <c r="C1065" s="2"/>
      <c r="D1065" s="3"/>
      <c r="E1065" s="2"/>
      <c r="F1065" s="2" t="s">
        <v>2493</v>
      </c>
      <c r="G1065" s="2"/>
      <c r="H1065" s="2" t="s">
        <v>2493</v>
      </c>
      <c r="I1065" s="2"/>
      <c r="J1065" s="2" t="s">
        <v>1346</v>
      </c>
      <c r="K1065" s="2" t="s">
        <v>2378</v>
      </c>
    </row>
    <row r="1066" spans="1:11" s="4" customFormat="1" ht="18" customHeight="1">
      <c r="A1066" s="2" t="s">
        <v>2379</v>
      </c>
      <c r="B1066" s="3"/>
      <c r="C1066" s="2"/>
      <c r="D1066" s="3"/>
      <c r="E1066" s="2"/>
      <c r="F1066" s="2" t="s">
        <v>2675</v>
      </c>
      <c r="G1066" s="2"/>
      <c r="H1066" s="2" t="s">
        <v>2675</v>
      </c>
      <c r="I1066" s="2"/>
      <c r="J1066" s="2" t="s">
        <v>432</v>
      </c>
      <c r="K1066" s="2" t="s">
        <v>2379</v>
      </c>
    </row>
    <row r="1067" spans="1:11" s="4" customFormat="1" ht="18" customHeight="1">
      <c r="A1067" s="2" t="s">
        <v>2380</v>
      </c>
      <c r="B1067" s="3"/>
      <c r="C1067" s="2"/>
      <c r="D1067" s="3"/>
      <c r="E1067" s="2"/>
      <c r="F1067" s="2" t="s">
        <v>817</v>
      </c>
      <c r="G1067" s="2"/>
      <c r="H1067" s="2" t="s">
        <v>817</v>
      </c>
      <c r="I1067" s="2"/>
      <c r="J1067" s="2" t="s">
        <v>1219</v>
      </c>
      <c r="K1067" s="2" t="s">
        <v>2380</v>
      </c>
    </row>
    <row r="1068" spans="1:11" s="4" customFormat="1" ht="18" customHeight="1">
      <c r="A1068" s="2" t="s">
        <v>2381</v>
      </c>
      <c r="B1068" s="3"/>
      <c r="C1068" s="2"/>
      <c r="D1068" s="3"/>
      <c r="E1068" s="2"/>
      <c r="F1068" s="2" t="s">
        <v>990</v>
      </c>
      <c r="G1068" s="2"/>
      <c r="H1068" s="2" t="s">
        <v>990</v>
      </c>
      <c r="I1068" s="2"/>
      <c r="J1068" s="2" t="s">
        <v>2382</v>
      </c>
      <c r="K1068" s="2" t="s">
        <v>2381</v>
      </c>
    </row>
    <row r="1069" spans="1:11" s="4" customFormat="1" ht="18" customHeight="1">
      <c r="A1069" s="2" t="s">
        <v>2383</v>
      </c>
      <c r="B1069" s="3"/>
      <c r="C1069" s="2"/>
      <c r="D1069" s="3"/>
      <c r="E1069" s="2"/>
      <c r="F1069" s="2" t="s">
        <v>2401</v>
      </c>
      <c r="G1069" s="2"/>
      <c r="H1069" s="2" t="s">
        <v>2401</v>
      </c>
      <c r="I1069" s="2"/>
      <c r="J1069" s="2" t="s">
        <v>560</v>
      </c>
      <c r="K1069" s="2" t="s">
        <v>2383</v>
      </c>
    </row>
    <row r="1070" spans="1:11" s="4" customFormat="1" ht="18" customHeight="1">
      <c r="A1070" s="2" t="s">
        <v>2384</v>
      </c>
      <c r="B1070" s="3"/>
      <c r="C1070" s="2"/>
      <c r="D1070" s="3"/>
      <c r="E1070" s="2"/>
      <c r="F1070" s="2" t="s">
        <v>1210</v>
      </c>
      <c r="G1070" s="2"/>
      <c r="H1070" s="2" t="s">
        <v>1210</v>
      </c>
      <c r="I1070" s="2"/>
      <c r="J1070" s="2" t="s">
        <v>2385</v>
      </c>
      <c r="K1070" s="2" t="s">
        <v>2384</v>
      </c>
    </row>
    <row r="1071" spans="1:11" s="4" customFormat="1" ht="18" customHeight="1">
      <c r="A1071" s="2" t="s">
        <v>2386</v>
      </c>
      <c r="B1071" s="3"/>
      <c r="C1071" s="2"/>
      <c r="D1071" s="3"/>
      <c r="E1071" s="2"/>
      <c r="F1071" s="2" t="s">
        <v>753</v>
      </c>
      <c r="G1071" s="2"/>
      <c r="H1071" s="2" t="s">
        <v>753</v>
      </c>
      <c r="I1071" s="2"/>
      <c r="J1071" s="2" t="s">
        <v>2387</v>
      </c>
      <c r="K1071" s="2" t="s">
        <v>2386</v>
      </c>
    </row>
    <row r="1072" spans="1:11" s="4" customFormat="1" ht="18" customHeight="1">
      <c r="A1072" s="2" t="s">
        <v>2389</v>
      </c>
      <c r="B1072" s="3"/>
      <c r="C1072" s="2"/>
      <c r="D1072" s="3"/>
      <c r="E1072" s="2"/>
      <c r="F1072" s="2" t="s">
        <v>753</v>
      </c>
      <c r="G1072" s="2"/>
      <c r="H1072" s="2" t="s">
        <v>753</v>
      </c>
      <c r="I1072" s="2"/>
      <c r="J1072" s="2" t="s">
        <v>2390</v>
      </c>
      <c r="K1072" s="2" t="s">
        <v>2389</v>
      </c>
    </row>
    <row r="1073" spans="1:11" s="4" customFormat="1" ht="18" customHeight="1">
      <c r="A1073" s="2" t="s">
        <v>2391</v>
      </c>
      <c r="B1073" s="3"/>
      <c r="C1073" s="2"/>
      <c r="D1073" s="3"/>
      <c r="E1073" s="2"/>
      <c r="F1073" s="2" t="s">
        <v>3708</v>
      </c>
      <c r="G1073" s="2"/>
      <c r="H1073" s="2" t="s">
        <v>3708</v>
      </c>
      <c r="I1073" s="2"/>
      <c r="J1073" s="2" t="s">
        <v>162</v>
      </c>
      <c r="K1073" s="2" t="s">
        <v>2391</v>
      </c>
    </row>
    <row r="1074" spans="1:11" s="4" customFormat="1" ht="18" customHeight="1">
      <c r="A1074" s="2" t="s">
        <v>2393</v>
      </c>
      <c r="B1074" s="3"/>
      <c r="C1074" s="2"/>
      <c r="D1074" s="3"/>
      <c r="E1074" s="2"/>
      <c r="F1074" s="2" t="s">
        <v>1237</v>
      </c>
      <c r="G1074" s="2"/>
      <c r="H1074" s="2" t="s">
        <v>1237</v>
      </c>
      <c r="I1074" s="2"/>
      <c r="J1074" s="2" t="s">
        <v>2394</v>
      </c>
      <c r="K1074" s="2" t="s">
        <v>2393</v>
      </c>
    </row>
    <row r="1075" spans="1:11" s="4" customFormat="1" ht="18" customHeight="1">
      <c r="A1075" s="2" t="s">
        <v>2395</v>
      </c>
      <c r="B1075" s="3"/>
      <c r="C1075" s="2"/>
      <c r="D1075" s="3"/>
      <c r="E1075" s="2"/>
      <c r="F1075" s="2" t="s">
        <v>2634</v>
      </c>
      <c r="G1075" s="2"/>
      <c r="H1075" s="2" t="s">
        <v>2634</v>
      </c>
      <c r="I1075" s="2"/>
      <c r="J1075" s="2" t="s">
        <v>2396</v>
      </c>
      <c r="K1075" s="2" t="s">
        <v>2395</v>
      </c>
    </row>
    <row r="1076" spans="1:11" s="4" customFormat="1" ht="18" customHeight="1">
      <c r="A1076" s="2" t="s">
        <v>2397</v>
      </c>
      <c r="B1076" s="3"/>
      <c r="C1076" s="2"/>
      <c r="D1076" s="3"/>
      <c r="E1076" s="2"/>
      <c r="F1076" s="2" t="s">
        <v>1405</v>
      </c>
      <c r="G1076" s="2"/>
      <c r="H1076" s="2" t="s">
        <v>1405</v>
      </c>
      <c r="I1076" s="2"/>
      <c r="J1076" s="2" t="s">
        <v>2398</v>
      </c>
      <c r="K1076" s="2" t="s">
        <v>2397</v>
      </c>
    </row>
    <row r="1077" spans="1:11" s="4" customFormat="1" ht="18" customHeight="1">
      <c r="A1077" s="2" t="s">
        <v>2400</v>
      </c>
      <c r="B1077" s="3"/>
      <c r="C1077" s="2"/>
      <c r="D1077" s="3"/>
      <c r="E1077" s="2"/>
      <c r="F1077" s="2" t="s">
        <v>3403</v>
      </c>
      <c r="G1077" s="2"/>
      <c r="H1077" s="2" t="s">
        <v>3403</v>
      </c>
      <c r="I1077" s="2"/>
      <c r="J1077" s="2" t="s">
        <v>2401</v>
      </c>
      <c r="K1077" s="2" t="s">
        <v>2400</v>
      </c>
    </row>
    <row r="1078" spans="1:11" s="4" customFormat="1" ht="18" customHeight="1">
      <c r="A1078" s="2" t="s">
        <v>2402</v>
      </c>
      <c r="B1078" s="3"/>
      <c r="C1078" s="2"/>
      <c r="D1078" s="3"/>
      <c r="E1078" s="2"/>
      <c r="F1078" s="2" t="s">
        <v>1281</v>
      </c>
      <c r="G1078" s="2"/>
      <c r="H1078" s="2" t="s">
        <v>1281</v>
      </c>
      <c r="I1078" s="2"/>
      <c r="J1078" s="2" t="s">
        <v>2403</v>
      </c>
      <c r="K1078" s="2" t="s">
        <v>2402</v>
      </c>
    </row>
    <row r="1079" spans="1:11" s="4" customFormat="1" ht="18" customHeight="1">
      <c r="A1079" s="2" t="s">
        <v>2404</v>
      </c>
      <c r="B1079" s="3"/>
      <c r="C1079" s="2"/>
      <c r="D1079" s="3"/>
      <c r="E1079" s="2"/>
      <c r="F1079" s="2" t="s">
        <v>3075</v>
      </c>
      <c r="G1079" s="2"/>
      <c r="H1079" s="2" t="s">
        <v>3075</v>
      </c>
      <c r="I1079" s="2"/>
      <c r="J1079" s="2" t="s">
        <v>2405</v>
      </c>
      <c r="K1079" s="2" t="s">
        <v>2404</v>
      </c>
    </row>
    <row r="1080" spans="1:11" s="4" customFormat="1" ht="18" customHeight="1">
      <c r="A1080" s="2" t="s">
        <v>2406</v>
      </c>
      <c r="B1080" s="3"/>
      <c r="C1080" s="2"/>
      <c r="D1080" s="3"/>
      <c r="E1080" s="2"/>
      <c r="F1080" s="2" t="s">
        <v>2756</v>
      </c>
      <c r="G1080" s="2"/>
      <c r="H1080" s="2" t="s">
        <v>2756</v>
      </c>
      <c r="I1080" s="2"/>
      <c r="J1080" s="2" t="s">
        <v>2407</v>
      </c>
      <c r="K1080" s="2" t="s">
        <v>2406</v>
      </c>
    </row>
    <row r="1081" spans="1:11" s="4" customFormat="1" ht="18" customHeight="1">
      <c r="A1081" s="2" t="s">
        <v>2408</v>
      </c>
      <c r="B1081" s="3"/>
      <c r="C1081" s="2"/>
      <c r="D1081" s="3"/>
      <c r="E1081" s="2"/>
      <c r="F1081" s="2" t="s">
        <v>2465</v>
      </c>
      <c r="G1081" s="2"/>
      <c r="H1081" s="2" t="s">
        <v>2465</v>
      </c>
      <c r="I1081" s="2"/>
      <c r="J1081" s="2" t="s">
        <v>2409</v>
      </c>
      <c r="K1081" s="2" t="s">
        <v>2408</v>
      </c>
    </row>
    <row r="1082" spans="1:11" s="4" customFormat="1" ht="18" customHeight="1">
      <c r="A1082" s="2" t="s">
        <v>2410</v>
      </c>
      <c r="B1082" s="3"/>
      <c r="C1082" s="2"/>
      <c r="D1082" s="3"/>
      <c r="E1082" s="2"/>
      <c r="F1082" s="2" t="s">
        <v>3449</v>
      </c>
      <c r="G1082" s="2"/>
      <c r="H1082" s="2" t="s">
        <v>3449</v>
      </c>
      <c r="I1082" s="2"/>
      <c r="J1082" s="2" t="s">
        <v>2411</v>
      </c>
      <c r="K1082" s="2" t="s">
        <v>2410</v>
      </c>
    </row>
    <row r="1083" spans="1:11" s="4" customFormat="1" ht="18" customHeight="1">
      <c r="A1083" s="2" t="s">
        <v>2413</v>
      </c>
      <c r="B1083" s="3"/>
      <c r="C1083" s="2"/>
      <c r="D1083" s="3"/>
      <c r="E1083" s="2"/>
      <c r="F1083" s="2" t="s">
        <v>2624</v>
      </c>
      <c r="G1083" s="2"/>
      <c r="H1083" s="2" t="s">
        <v>2624</v>
      </c>
      <c r="I1083" s="2"/>
      <c r="J1083" s="2" t="s">
        <v>2414</v>
      </c>
      <c r="K1083" s="2" t="s">
        <v>2413</v>
      </c>
    </row>
    <row r="1084" spans="1:11" s="4" customFormat="1" ht="18" customHeight="1">
      <c r="A1084" s="2" t="s">
        <v>2415</v>
      </c>
      <c r="B1084" s="3"/>
      <c r="C1084" s="2"/>
      <c r="D1084" s="3"/>
      <c r="E1084" s="2"/>
      <c r="F1084" s="2" t="s">
        <v>1259</v>
      </c>
      <c r="G1084" s="2"/>
      <c r="H1084" s="2" t="s">
        <v>1259</v>
      </c>
      <c r="I1084" s="2"/>
      <c r="J1084" s="2" t="s">
        <v>2416</v>
      </c>
      <c r="K1084" s="2" t="s">
        <v>2415</v>
      </c>
    </row>
    <row r="1085" spans="1:11" s="4" customFormat="1" ht="18" customHeight="1">
      <c r="A1085" s="2" t="s">
        <v>2417</v>
      </c>
      <c r="B1085" s="3"/>
      <c r="C1085" s="2"/>
      <c r="D1085" s="3"/>
      <c r="E1085" s="2"/>
      <c r="F1085" s="2" t="s">
        <v>2946</v>
      </c>
      <c r="G1085" s="2"/>
      <c r="H1085" s="2" t="s">
        <v>2946</v>
      </c>
      <c r="I1085" s="2"/>
      <c r="J1085" s="2" t="s">
        <v>2418</v>
      </c>
      <c r="K1085" s="2" t="s">
        <v>2417</v>
      </c>
    </row>
    <row r="1086" spans="1:11" s="4" customFormat="1" ht="18" customHeight="1">
      <c r="A1086" s="2" t="s">
        <v>2419</v>
      </c>
      <c r="B1086" s="3"/>
      <c r="C1086" s="2"/>
      <c r="D1086" s="3"/>
      <c r="E1086" s="2"/>
      <c r="F1086" s="2" t="s">
        <v>2971</v>
      </c>
      <c r="G1086" s="2"/>
      <c r="H1086" s="2" t="s">
        <v>2971</v>
      </c>
      <c r="I1086" s="2"/>
      <c r="J1086" s="2" t="s">
        <v>2420</v>
      </c>
      <c r="K1086" s="2" t="s">
        <v>2419</v>
      </c>
    </row>
    <row r="1087" spans="1:11" s="4" customFormat="1" ht="18" customHeight="1">
      <c r="A1087" s="2" t="s">
        <v>2421</v>
      </c>
      <c r="B1087" s="3"/>
      <c r="C1087" s="2"/>
      <c r="D1087" s="3"/>
      <c r="E1087" s="2"/>
      <c r="F1087" s="2" t="s">
        <v>2654</v>
      </c>
      <c r="G1087" s="2"/>
      <c r="H1087" s="2" t="s">
        <v>2654</v>
      </c>
      <c r="I1087" s="2"/>
      <c r="J1087" s="2" t="s">
        <v>2422</v>
      </c>
      <c r="K1087" s="2" t="s">
        <v>2421</v>
      </c>
    </row>
    <row r="1088" spans="1:11" s="4" customFormat="1" ht="18" customHeight="1">
      <c r="A1088" s="2" t="s">
        <v>2423</v>
      </c>
      <c r="B1088" s="3"/>
      <c r="C1088" s="2"/>
      <c r="D1088" s="3"/>
      <c r="E1088" s="2"/>
      <c r="F1088" s="2" t="s">
        <v>1112</v>
      </c>
      <c r="G1088" s="2"/>
      <c r="H1088" s="2" t="s">
        <v>1112</v>
      </c>
      <c r="I1088" s="2"/>
      <c r="J1088" s="2" t="s">
        <v>2424</v>
      </c>
      <c r="K1088" s="2" t="s">
        <v>2423</v>
      </c>
    </row>
    <row r="1089" spans="1:11" s="4" customFormat="1" ht="18" customHeight="1">
      <c r="A1089" s="2" t="s">
        <v>2425</v>
      </c>
      <c r="B1089" s="3"/>
      <c r="C1089" s="2"/>
      <c r="D1089" s="3"/>
      <c r="E1089" s="2"/>
      <c r="F1089" s="2" t="s">
        <v>1804</v>
      </c>
      <c r="G1089" s="2"/>
      <c r="H1089" s="2" t="s">
        <v>1804</v>
      </c>
      <c r="I1089" s="2"/>
      <c r="J1089" s="2" t="s">
        <v>2426</v>
      </c>
      <c r="K1089" s="2" t="s">
        <v>2425</v>
      </c>
    </row>
    <row r="1090" spans="1:11" s="4" customFormat="1" ht="18" customHeight="1">
      <c r="A1090" s="2" t="s">
        <v>2427</v>
      </c>
      <c r="B1090" s="3"/>
      <c r="C1090" s="2"/>
      <c r="D1090" s="3"/>
      <c r="E1090" s="2"/>
      <c r="F1090" s="2" t="s">
        <v>1436</v>
      </c>
      <c r="G1090" s="2"/>
      <c r="H1090" s="2" t="s">
        <v>1436</v>
      </c>
      <c r="I1090" s="2"/>
      <c r="J1090" s="2" t="s">
        <v>2428</v>
      </c>
      <c r="K1090" s="2" t="s">
        <v>2427</v>
      </c>
    </row>
    <row r="1091" spans="1:11" s="4" customFormat="1" ht="18" customHeight="1">
      <c r="A1091" s="2" t="s">
        <v>2429</v>
      </c>
      <c r="B1091" s="3"/>
      <c r="C1091" s="2"/>
      <c r="D1091" s="3"/>
      <c r="E1091" s="2"/>
      <c r="F1091" s="2" t="s">
        <v>1436</v>
      </c>
      <c r="G1091" s="2"/>
      <c r="H1091" s="2" t="s">
        <v>1436</v>
      </c>
      <c r="I1091" s="2"/>
      <c r="J1091" s="2" t="s">
        <v>2430</v>
      </c>
      <c r="K1091" s="2" t="s">
        <v>2429</v>
      </c>
    </row>
    <row r="1092" spans="1:11" s="4" customFormat="1" ht="18" customHeight="1">
      <c r="A1092" s="2" t="s">
        <v>2432</v>
      </c>
      <c r="B1092" s="3"/>
      <c r="C1092" s="2"/>
      <c r="D1092" s="3"/>
      <c r="E1092" s="2"/>
      <c r="F1092" s="2" t="s">
        <v>1436</v>
      </c>
      <c r="G1092" s="2"/>
      <c r="H1092" s="2" t="s">
        <v>1436</v>
      </c>
      <c r="I1092" s="2"/>
      <c r="J1092" s="2" t="s">
        <v>2433</v>
      </c>
      <c r="K1092" s="2" t="s">
        <v>2432</v>
      </c>
    </row>
    <row r="1093" spans="1:11" s="4" customFormat="1" ht="18" customHeight="1">
      <c r="A1093" s="2" t="s">
        <v>2435</v>
      </c>
      <c r="B1093" s="3"/>
      <c r="C1093" s="2"/>
      <c r="D1093" s="3"/>
      <c r="E1093" s="2"/>
      <c r="F1093" s="2" t="s">
        <v>3063</v>
      </c>
      <c r="G1093" s="2"/>
      <c r="H1093" s="2" t="s">
        <v>3063</v>
      </c>
      <c r="I1093" s="2"/>
      <c r="J1093" s="2" t="s">
        <v>2436</v>
      </c>
      <c r="K1093" s="2" t="s">
        <v>2435</v>
      </c>
    </row>
    <row r="1094" spans="1:11" s="4" customFormat="1" ht="18" customHeight="1">
      <c r="A1094" s="2" t="s">
        <v>2437</v>
      </c>
      <c r="B1094" s="3"/>
      <c r="C1094" s="2"/>
      <c r="D1094" s="3"/>
      <c r="E1094" s="2"/>
      <c r="F1094" s="2" t="s">
        <v>2851</v>
      </c>
      <c r="G1094" s="2"/>
      <c r="H1094" s="2" t="s">
        <v>2851</v>
      </c>
      <c r="I1094" s="2"/>
      <c r="J1094" s="2" t="s">
        <v>528</v>
      </c>
      <c r="K1094" s="2" t="s">
        <v>2437</v>
      </c>
    </row>
    <row r="1095" spans="1:11" s="4" customFormat="1" ht="18" customHeight="1">
      <c r="A1095" s="2" t="s">
        <v>2438</v>
      </c>
      <c r="B1095" s="3"/>
      <c r="C1095" s="2"/>
      <c r="D1095" s="3"/>
      <c r="E1095" s="2"/>
      <c r="F1095" s="2" t="s">
        <v>755</v>
      </c>
      <c r="G1095" s="2"/>
      <c r="H1095" s="2" t="s">
        <v>755</v>
      </c>
      <c r="I1095" s="2"/>
      <c r="J1095" s="2" t="s">
        <v>2439</v>
      </c>
      <c r="K1095" s="2" t="s">
        <v>2438</v>
      </c>
    </row>
    <row r="1096" spans="1:11" s="4" customFormat="1" ht="18" customHeight="1">
      <c r="A1096" s="2" t="s">
        <v>2440</v>
      </c>
      <c r="B1096" s="3"/>
      <c r="C1096" s="2"/>
      <c r="D1096" s="3"/>
      <c r="E1096" s="2"/>
      <c r="F1096" s="2" t="s">
        <v>2250</v>
      </c>
      <c r="G1096" s="2"/>
      <c r="H1096" s="2" t="s">
        <v>2251</v>
      </c>
      <c r="I1096" s="2"/>
      <c r="J1096" s="2" t="s">
        <v>2441</v>
      </c>
      <c r="K1096" s="2" t="s">
        <v>2440</v>
      </c>
    </row>
    <row r="1097" spans="1:11" s="4" customFormat="1" ht="18" customHeight="1">
      <c r="A1097" s="2" t="s">
        <v>2443</v>
      </c>
      <c r="B1097" s="3"/>
      <c r="C1097" s="2"/>
      <c r="D1097" s="3"/>
      <c r="E1097" s="2"/>
      <c r="F1097" s="2" t="s">
        <v>1979</v>
      </c>
      <c r="G1097" s="2"/>
      <c r="H1097" s="2" t="s">
        <v>1979</v>
      </c>
      <c r="I1097" s="2"/>
      <c r="J1097" s="2" t="s">
        <v>2444</v>
      </c>
      <c r="K1097" s="2" t="s">
        <v>2443</v>
      </c>
    </row>
    <row r="1098" spans="1:11" s="4" customFormat="1" ht="18" customHeight="1">
      <c r="A1098" s="2" t="s">
        <v>2445</v>
      </c>
      <c r="B1098" s="3"/>
      <c r="C1098" s="2"/>
      <c r="D1098" s="3"/>
      <c r="E1098" s="2"/>
      <c r="F1098" s="2" t="s">
        <v>3085</v>
      </c>
      <c r="G1098" s="2"/>
      <c r="H1098" s="2" t="s">
        <v>3086</v>
      </c>
      <c r="I1098" s="2"/>
      <c r="J1098" s="2" t="s">
        <v>2446</v>
      </c>
      <c r="K1098" s="2" t="s">
        <v>2445</v>
      </c>
    </row>
    <row r="1099" spans="1:11" s="4" customFormat="1" ht="18" customHeight="1">
      <c r="A1099" s="2" t="s">
        <v>2448</v>
      </c>
      <c r="B1099" s="3"/>
      <c r="C1099" s="2"/>
      <c r="D1099" s="3"/>
      <c r="E1099" s="2"/>
      <c r="F1099" s="2" t="s">
        <v>2110</v>
      </c>
      <c r="G1099" s="2"/>
      <c r="H1099" s="2" t="s">
        <v>2110</v>
      </c>
      <c r="I1099" s="2"/>
      <c r="J1099" s="2" t="s">
        <v>2449</v>
      </c>
      <c r="K1099" s="2" t="s">
        <v>2448</v>
      </c>
    </row>
    <row r="1100" spans="1:11" s="4" customFormat="1" ht="18" customHeight="1">
      <c r="A1100" s="2" t="s">
        <v>2450</v>
      </c>
      <c r="B1100" s="3"/>
      <c r="C1100" s="2"/>
      <c r="D1100" s="3"/>
      <c r="E1100" s="2"/>
      <c r="F1100" s="2" t="s">
        <v>3954</v>
      </c>
      <c r="G1100" s="2"/>
      <c r="H1100" s="2" t="s">
        <v>3954</v>
      </c>
      <c r="I1100" s="2"/>
      <c r="J1100" s="2" t="s">
        <v>2451</v>
      </c>
      <c r="K1100" s="2" t="s">
        <v>2450</v>
      </c>
    </row>
    <row r="1101" spans="1:11" s="4" customFormat="1" ht="18" customHeight="1">
      <c r="A1101" s="2" t="s">
        <v>2452</v>
      </c>
      <c r="B1101" s="3"/>
      <c r="C1101" s="2"/>
      <c r="D1101" s="3"/>
      <c r="E1101" s="2"/>
      <c r="F1101" s="2" t="s">
        <v>3857</v>
      </c>
      <c r="G1101" s="2"/>
      <c r="H1101" s="2" t="s">
        <v>3857</v>
      </c>
      <c r="I1101" s="2"/>
      <c r="J1101" s="2" t="s">
        <v>2453</v>
      </c>
      <c r="K1101" s="2" t="s">
        <v>2452</v>
      </c>
    </row>
    <row r="1102" spans="1:11" s="4" customFormat="1" ht="18" customHeight="1">
      <c r="A1102" s="2" t="s">
        <v>2454</v>
      </c>
      <c r="B1102" s="3"/>
      <c r="C1102" s="2"/>
      <c r="D1102" s="3"/>
      <c r="E1102" s="2"/>
      <c r="F1102" s="2" t="s">
        <v>409</v>
      </c>
      <c r="G1102" s="2"/>
      <c r="H1102" s="2" t="s">
        <v>409</v>
      </c>
      <c r="I1102" s="2"/>
      <c r="J1102" s="2" t="s">
        <v>2455</v>
      </c>
      <c r="K1102" s="2" t="s">
        <v>2454</v>
      </c>
    </row>
    <row r="1103" spans="1:11" s="4" customFormat="1" ht="18" customHeight="1">
      <c r="A1103" s="2" t="s">
        <v>2456</v>
      </c>
      <c r="B1103" s="3"/>
      <c r="C1103" s="2"/>
      <c r="D1103" s="3"/>
      <c r="E1103" s="2"/>
      <c r="F1103" s="2" t="s">
        <v>715</v>
      </c>
      <c r="G1103" s="2"/>
      <c r="H1103" s="2" t="s">
        <v>715</v>
      </c>
      <c r="I1103" s="2"/>
      <c r="J1103" s="2" t="s">
        <v>2457</v>
      </c>
      <c r="K1103" s="2" t="s">
        <v>2456</v>
      </c>
    </row>
    <row r="1104" spans="1:11" s="4" customFormat="1" ht="18" customHeight="1">
      <c r="A1104" s="2" t="s">
        <v>2458</v>
      </c>
      <c r="B1104" s="3"/>
      <c r="C1104" s="2"/>
      <c r="D1104" s="3"/>
      <c r="E1104" s="2"/>
      <c r="F1104" s="2" t="s">
        <v>3356</v>
      </c>
      <c r="G1104" s="2"/>
      <c r="H1104" s="2" t="s">
        <v>2171</v>
      </c>
      <c r="I1104" s="2"/>
      <c r="J1104" s="2" t="s">
        <v>2459</v>
      </c>
      <c r="K1104" s="2" t="s">
        <v>2458</v>
      </c>
    </row>
    <row r="1105" spans="1:11" s="4" customFormat="1" ht="18" customHeight="1">
      <c r="A1105" s="2" t="s">
        <v>2460</v>
      </c>
      <c r="B1105" s="3"/>
      <c r="C1105" s="2"/>
      <c r="D1105" s="3"/>
      <c r="E1105" s="2"/>
      <c r="F1105" s="2" t="s">
        <v>2803</v>
      </c>
      <c r="G1105" s="2"/>
      <c r="H1105" s="2" t="s">
        <v>2803</v>
      </c>
      <c r="I1105" s="2"/>
      <c r="J1105" s="2" t="s">
        <v>2461</v>
      </c>
      <c r="K1105" s="2" t="s">
        <v>2460</v>
      </c>
    </row>
    <row r="1106" spans="1:11" s="4" customFormat="1" ht="18" customHeight="1">
      <c r="A1106" s="2" t="s">
        <v>2462</v>
      </c>
      <c r="B1106" s="3"/>
      <c r="C1106" s="2"/>
      <c r="D1106" s="3"/>
      <c r="E1106" s="2"/>
      <c r="F1106" s="2" t="s">
        <v>717</v>
      </c>
      <c r="G1106" s="2"/>
      <c r="H1106" s="2" t="s">
        <v>717</v>
      </c>
      <c r="I1106" s="2"/>
      <c r="J1106" s="2" t="s">
        <v>2463</v>
      </c>
      <c r="K1106" s="2" t="s">
        <v>2462</v>
      </c>
    </row>
    <row r="1107" spans="1:11" s="4" customFormat="1" ht="18" customHeight="1">
      <c r="A1107" s="2" t="s">
        <v>2464</v>
      </c>
      <c r="B1107" s="3"/>
      <c r="C1107" s="2"/>
      <c r="D1107" s="3"/>
      <c r="E1107" s="2"/>
      <c r="F1107" s="2" t="s">
        <v>4062</v>
      </c>
      <c r="G1107" s="2"/>
      <c r="H1107" s="2" t="s">
        <v>4063</v>
      </c>
      <c r="I1107" s="2"/>
      <c r="J1107" s="2" t="s">
        <v>2465</v>
      </c>
      <c r="K1107" s="2" t="s">
        <v>2464</v>
      </c>
    </row>
    <row r="1108" spans="1:11" s="4" customFormat="1" ht="18" customHeight="1">
      <c r="A1108" s="2" t="s">
        <v>2466</v>
      </c>
      <c r="B1108" s="3"/>
      <c r="C1108" s="2"/>
      <c r="D1108" s="3"/>
      <c r="E1108" s="2"/>
      <c r="F1108" s="2" t="s">
        <v>3250</v>
      </c>
      <c r="G1108" s="2"/>
      <c r="H1108" s="2" t="s">
        <v>3251</v>
      </c>
      <c r="I1108" s="2"/>
      <c r="J1108" s="2" t="s">
        <v>1436</v>
      </c>
      <c r="K1108" s="2" t="s">
        <v>2466</v>
      </c>
    </row>
    <row r="1109" spans="1:11" s="4" customFormat="1" ht="18" customHeight="1">
      <c r="A1109" s="2" t="s">
        <v>2467</v>
      </c>
      <c r="B1109" s="3"/>
      <c r="C1109" s="2"/>
      <c r="D1109" s="3"/>
      <c r="E1109" s="2"/>
      <c r="F1109" s="2" t="s">
        <v>1304</v>
      </c>
      <c r="G1109" s="2"/>
      <c r="H1109" s="2" t="s">
        <v>1304</v>
      </c>
      <c r="I1109" s="2"/>
      <c r="J1109" s="2" t="s">
        <v>2468</v>
      </c>
      <c r="K1109" s="2" t="s">
        <v>2467</v>
      </c>
    </row>
    <row r="1110" spans="1:11" s="4" customFormat="1" ht="18" customHeight="1">
      <c r="A1110" s="2" t="s">
        <v>2469</v>
      </c>
      <c r="B1110" s="3"/>
      <c r="C1110" s="2"/>
      <c r="D1110" s="3"/>
      <c r="E1110" s="2"/>
      <c r="F1110" s="2" t="s">
        <v>2602</v>
      </c>
      <c r="G1110" s="2"/>
      <c r="H1110" s="2" t="s">
        <v>2602</v>
      </c>
      <c r="I1110" s="2"/>
      <c r="J1110" s="2" t="s">
        <v>2470</v>
      </c>
      <c r="K1110" s="2" t="s">
        <v>2469</v>
      </c>
    </row>
    <row r="1111" spans="1:11" s="4" customFormat="1" ht="18" customHeight="1">
      <c r="A1111" s="2" t="s">
        <v>2471</v>
      </c>
      <c r="B1111" s="3"/>
      <c r="C1111" s="2"/>
      <c r="D1111" s="3"/>
      <c r="E1111" s="2"/>
      <c r="F1111" s="2" t="s">
        <v>3451</v>
      </c>
      <c r="G1111" s="2"/>
      <c r="H1111" s="2" t="s">
        <v>3451</v>
      </c>
      <c r="I1111" s="2"/>
      <c r="J1111" s="2" t="s">
        <v>2472</v>
      </c>
      <c r="K1111" s="2" t="s">
        <v>2471</v>
      </c>
    </row>
    <row r="1112" spans="1:11" s="4" customFormat="1" ht="18" customHeight="1">
      <c r="A1112" s="2" t="s">
        <v>2473</v>
      </c>
      <c r="B1112" s="3"/>
      <c r="C1112" s="2"/>
      <c r="D1112" s="3"/>
      <c r="E1112" s="2"/>
      <c r="F1112" s="2" t="s">
        <v>3497</v>
      </c>
      <c r="G1112" s="2"/>
      <c r="H1112" s="2" t="s">
        <v>3497</v>
      </c>
      <c r="I1112" s="2"/>
      <c r="J1112" s="2" t="s">
        <v>2474</v>
      </c>
      <c r="K1112" s="2" t="s">
        <v>2473</v>
      </c>
    </row>
    <row r="1113" spans="1:11" s="4" customFormat="1" ht="18" customHeight="1">
      <c r="A1113" s="2" t="s">
        <v>2475</v>
      </c>
      <c r="B1113" s="3"/>
      <c r="C1113" s="2"/>
      <c r="D1113" s="3"/>
      <c r="E1113" s="2"/>
      <c r="F1113" s="2" t="s">
        <v>3859</v>
      </c>
      <c r="G1113" s="2"/>
      <c r="H1113" s="2" t="s">
        <v>3859</v>
      </c>
      <c r="I1113" s="2"/>
      <c r="J1113" s="2" t="s">
        <v>2476</v>
      </c>
      <c r="K1113" s="2" t="s">
        <v>2475</v>
      </c>
    </row>
    <row r="1114" spans="1:11" s="4" customFormat="1" ht="18" customHeight="1">
      <c r="A1114" s="2" t="s">
        <v>2477</v>
      </c>
      <c r="B1114" s="3"/>
      <c r="C1114" s="2"/>
      <c r="D1114" s="3"/>
      <c r="E1114" s="2"/>
      <c r="F1114" s="2" t="s">
        <v>1886</v>
      </c>
      <c r="G1114" s="2"/>
      <c r="H1114" s="2" t="s">
        <v>1886</v>
      </c>
      <c r="I1114" s="2"/>
      <c r="J1114" s="2" t="s">
        <v>2478</v>
      </c>
      <c r="K1114" s="2" t="s">
        <v>2477</v>
      </c>
    </row>
    <row r="1115" spans="1:11" s="4" customFormat="1" ht="18" customHeight="1">
      <c r="A1115" s="2" t="s">
        <v>2479</v>
      </c>
      <c r="B1115" s="3"/>
      <c r="C1115" s="2"/>
      <c r="D1115" s="3"/>
      <c r="E1115" s="2"/>
      <c r="F1115" s="2" t="s">
        <v>1886</v>
      </c>
      <c r="G1115" s="2"/>
      <c r="H1115" s="2" t="s">
        <v>1886</v>
      </c>
      <c r="I1115" s="2"/>
      <c r="J1115" s="2" t="s">
        <v>2480</v>
      </c>
      <c r="K1115" s="2" t="s">
        <v>2479</v>
      </c>
    </row>
    <row r="1116" spans="1:11" s="4" customFormat="1" ht="18" customHeight="1">
      <c r="A1116" s="2" t="s">
        <v>2481</v>
      </c>
      <c r="B1116" s="3"/>
      <c r="C1116" s="2"/>
      <c r="D1116" s="3"/>
      <c r="E1116" s="2"/>
      <c r="F1116" s="2" t="s">
        <v>1886</v>
      </c>
      <c r="G1116" s="2"/>
      <c r="H1116" s="2" t="s">
        <v>1886</v>
      </c>
      <c r="I1116" s="2"/>
      <c r="J1116" s="2" t="s">
        <v>2482</v>
      </c>
      <c r="K1116" s="2" t="s">
        <v>2481</v>
      </c>
    </row>
    <row r="1117" spans="1:11" s="4" customFormat="1" ht="18" customHeight="1">
      <c r="A1117" s="2" t="s">
        <v>2483</v>
      </c>
      <c r="B1117" s="3"/>
      <c r="C1117" s="2"/>
      <c r="D1117" s="3"/>
      <c r="E1117" s="2"/>
      <c r="F1117" s="2" t="s">
        <v>1886</v>
      </c>
      <c r="G1117" s="2"/>
      <c r="H1117" s="2" t="s">
        <v>1886</v>
      </c>
      <c r="I1117" s="2"/>
      <c r="J1117" s="2" t="s">
        <v>2484</v>
      </c>
      <c r="K1117" s="2" t="s">
        <v>2483</v>
      </c>
    </row>
    <row r="1118" spans="1:11" s="4" customFormat="1" ht="18" customHeight="1">
      <c r="A1118" s="2" t="s">
        <v>2486</v>
      </c>
      <c r="B1118" s="3"/>
      <c r="C1118" s="2"/>
      <c r="D1118" s="3"/>
      <c r="E1118" s="2"/>
      <c r="F1118" s="2" t="s">
        <v>2529</v>
      </c>
      <c r="G1118" s="2"/>
      <c r="H1118" s="2" t="s">
        <v>2529</v>
      </c>
      <c r="I1118" s="2"/>
      <c r="J1118" s="2" t="s">
        <v>1892</v>
      </c>
      <c r="K1118" s="2" t="s">
        <v>2486</v>
      </c>
    </row>
    <row r="1119" spans="1:11" s="4" customFormat="1" ht="18" customHeight="1">
      <c r="A1119" s="2" t="s">
        <v>2487</v>
      </c>
      <c r="B1119" s="3"/>
      <c r="C1119" s="2"/>
      <c r="D1119" s="3"/>
      <c r="E1119" s="2"/>
      <c r="F1119" s="2" t="s">
        <v>3408</v>
      </c>
      <c r="G1119" s="2"/>
      <c r="H1119" s="2" t="s">
        <v>3409</v>
      </c>
      <c r="I1119" s="2"/>
      <c r="J1119" s="2" t="s">
        <v>2488</v>
      </c>
      <c r="K1119" s="2" t="s">
        <v>2487</v>
      </c>
    </row>
    <row r="1120" spans="1:11" s="4" customFormat="1" ht="18" customHeight="1">
      <c r="A1120" s="2" t="s">
        <v>2489</v>
      </c>
      <c r="B1120" s="3"/>
      <c r="C1120" s="2"/>
      <c r="D1120" s="3"/>
      <c r="E1120" s="2"/>
      <c r="F1120" s="2" t="s">
        <v>3370</v>
      </c>
      <c r="G1120" s="2"/>
      <c r="H1120" s="2" t="s">
        <v>3370</v>
      </c>
      <c r="I1120" s="2"/>
      <c r="J1120" s="2" t="s">
        <v>2324</v>
      </c>
      <c r="K1120" s="2" t="s">
        <v>2489</v>
      </c>
    </row>
    <row r="1121" spans="1:11" s="4" customFormat="1" ht="18" customHeight="1">
      <c r="A1121" s="2" t="s">
        <v>2490</v>
      </c>
      <c r="B1121" s="3"/>
      <c r="C1121" s="2"/>
      <c r="D1121" s="3"/>
      <c r="E1121" s="2"/>
      <c r="F1121" s="2" t="s">
        <v>574</v>
      </c>
      <c r="G1121" s="2"/>
      <c r="H1121" s="2" t="s">
        <v>574</v>
      </c>
      <c r="I1121" s="2"/>
      <c r="J1121" s="2" t="s">
        <v>2491</v>
      </c>
      <c r="K1121" s="2" t="s">
        <v>2490</v>
      </c>
    </row>
    <row r="1122" spans="1:11" s="4" customFormat="1" ht="18" customHeight="1">
      <c r="A1122" s="2" t="s">
        <v>2492</v>
      </c>
      <c r="B1122" s="3"/>
      <c r="C1122" s="2"/>
      <c r="D1122" s="3"/>
      <c r="E1122" s="2"/>
      <c r="F1122" s="2" t="s">
        <v>1749</v>
      </c>
      <c r="G1122" s="2"/>
      <c r="H1122" s="2" t="s">
        <v>1750</v>
      </c>
      <c r="I1122" s="2"/>
      <c r="J1122" s="2" t="s">
        <v>2493</v>
      </c>
      <c r="K1122" s="2" t="s">
        <v>2492</v>
      </c>
    </row>
    <row r="1123" spans="1:11" s="4" customFormat="1" ht="18" customHeight="1">
      <c r="A1123" s="2" t="s">
        <v>2494</v>
      </c>
      <c r="B1123" s="3"/>
      <c r="C1123" s="2"/>
      <c r="D1123" s="3"/>
      <c r="E1123" s="2"/>
      <c r="F1123" s="2" t="s">
        <v>2301</v>
      </c>
      <c r="G1123" s="2"/>
      <c r="H1123" s="2" t="s">
        <v>2301</v>
      </c>
      <c r="I1123" s="2"/>
      <c r="J1123" s="2" t="s">
        <v>2495</v>
      </c>
      <c r="K1123" s="2" t="s">
        <v>2494</v>
      </c>
    </row>
    <row r="1124" spans="1:11" s="4" customFormat="1" ht="18" customHeight="1">
      <c r="A1124" s="2" t="s">
        <v>2496</v>
      </c>
      <c r="B1124" s="3"/>
      <c r="C1124" s="2"/>
      <c r="D1124" s="3"/>
      <c r="E1124" s="2"/>
      <c r="F1124" s="2" t="s">
        <v>2505</v>
      </c>
      <c r="G1124" s="2"/>
      <c r="H1124" s="2" t="s">
        <v>2506</v>
      </c>
      <c r="I1124" s="2"/>
      <c r="J1124" s="2" t="s">
        <v>2497</v>
      </c>
      <c r="K1124" s="2" t="s">
        <v>2496</v>
      </c>
    </row>
    <row r="1125" spans="1:11" s="4" customFormat="1" ht="18" customHeight="1">
      <c r="A1125" s="2" t="s">
        <v>2498</v>
      </c>
      <c r="B1125" s="3"/>
      <c r="C1125" s="2"/>
      <c r="D1125" s="3"/>
      <c r="E1125" s="2"/>
      <c r="F1125" s="2" t="s">
        <v>2505</v>
      </c>
      <c r="G1125" s="2"/>
      <c r="H1125" s="2" t="s">
        <v>2505</v>
      </c>
      <c r="I1125" s="2"/>
      <c r="J1125" s="2" t="s">
        <v>2499</v>
      </c>
      <c r="K1125" s="2" t="s">
        <v>2498</v>
      </c>
    </row>
    <row r="1126" spans="1:11" s="4" customFormat="1" ht="18" customHeight="1">
      <c r="A1126" s="2" t="s">
        <v>2500</v>
      </c>
      <c r="B1126" s="3"/>
      <c r="C1126" s="2"/>
      <c r="D1126" s="3"/>
      <c r="E1126" s="2"/>
      <c r="F1126" s="2" t="s">
        <v>719</v>
      </c>
      <c r="G1126" s="2"/>
      <c r="H1126" s="2" t="s">
        <v>719</v>
      </c>
      <c r="I1126" s="2"/>
      <c r="J1126" s="2" t="s">
        <v>2501</v>
      </c>
      <c r="K1126" s="2" t="s">
        <v>2500</v>
      </c>
    </row>
    <row r="1127" spans="1:11" s="4" customFormat="1" ht="18" customHeight="1">
      <c r="A1127" s="2" t="s">
        <v>2502</v>
      </c>
      <c r="B1127" s="3"/>
      <c r="C1127" s="2"/>
      <c r="D1127" s="3"/>
      <c r="E1127" s="2"/>
      <c r="F1127" s="2" t="s">
        <v>992</v>
      </c>
      <c r="G1127" s="2"/>
      <c r="H1127" s="2" t="s">
        <v>992</v>
      </c>
      <c r="I1127" s="2"/>
      <c r="J1127" s="2" t="s">
        <v>2503</v>
      </c>
      <c r="K1127" s="2" t="s">
        <v>2502</v>
      </c>
    </row>
    <row r="1128" spans="1:11" s="4" customFormat="1" ht="18" customHeight="1">
      <c r="A1128" s="2" t="s">
        <v>2504</v>
      </c>
      <c r="B1128" s="3"/>
      <c r="C1128" s="2"/>
      <c r="D1128" s="3"/>
      <c r="E1128" s="2"/>
      <c r="F1128" s="2" t="s">
        <v>1085</v>
      </c>
      <c r="G1128" s="2"/>
      <c r="H1128" s="2" t="s">
        <v>1086</v>
      </c>
      <c r="I1128" s="2"/>
      <c r="J1128" s="2" t="s">
        <v>2505</v>
      </c>
      <c r="K1128" s="2" t="s">
        <v>2504</v>
      </c>
    </row>
    <row r="1129" spans="1:11" s="4" customFormat="1" ht="18" customHeight="1">
      <c r="A1129" s="2" t="s">
        <v>2507</v>
      </c>
      <c r="B1129" s="3"/>
      <c r="C1129" s="2"/>
      <c r="D1129" s="3"/>
      <c r="E1129" s="2"/>
      <c r="F1129" s="2" t="s">
        <v>1085</v>
      </c>
      <c r="G1129" s="2"/>
      <c r="H1129" s="2" t="s">
        <v>1085</v>
      </c>
      <c r="I1129" s="2"/>
      <c r="J1129" s="2" t="s">
        <v>2508</v>
      </c>
      <c r="K1129" s="2" t="s">
        <v>2507</v>
      </c>
    </row>
    <row r="1130" spans="1:11" s="4" customFormat="1" ht="18" customHeight="1">
      <c r="A1130" s="2" t="s">
        <v>2510</v>
      </c>
      <c r="B1130" s="3"/>
      <c r="C1130" s="2"/>
      <c r="D1130" s="3"/>
      <c r="E1130" s="2"/>
      <c r="F1130" s="2" t="s">
        <v>1085</v>
      </c>
      <c r="G1130" s="2"/>
      <c r="H1130" s="2" t="s">
        <v>1085</v>
      </c>
      <c r="I1130" s="2"/>
      <c r="J1130" s="2" t="s">
        <v>2511</v>
      </c>
      <c r="K1130" s="2" t="s">
        <v>2510</v>
      </c>
    </row>
    <row r="1131" spans="1:11" s="4" customFormat="1" ht="18" customHeight="1">
      <c r="A1131" s="2" t="s">
        <v>2512</v>
      </c>
      <c r="B1131" s="3"/>
      <c r="C1131" s="2"/>
      <c r="D1131" s="3"/>
      <c r="E1131" s="2"/>
      <c r="F1131" s="2" t="s">
        <v>522</v>
      </c>
      <c r="G1131" s="2"/>
      <c r="H1131" s="2" t="s">
        <v>522</v>
      </c>
      <c r="I1131" s="2"/>
      <c r="J1131" s="2" t="s">
        <v>2513</v>
      </c>
      <c r="K1131" s="2" t="s">
        <v>2512</v>
      </c>
    </row>
    <row r="1132" spans="1:11" s="4" customFormat="1" ht="18" customHeight="1">
      <c r="A1132" s="2" t="s">
        <v>2515</v>
      </c>
      <c r="B1132" s="3"/>
      <c r="C1132" s="2"/>
      <c r="D1132" s="3"/>
      <c r="E1132" s="2"/>
      <c r="F1132" s="2" t="s">
        <v>589</v>
      </c>
      <c r="G1132" s="2"/>
      <c r="H1132" s="2" t="s">
        <v>589</v>
      </c>
      <c r="I1132" s="2"/>
      <c r="J1132" s="2" t="s">
        <v>2516</v>
      </c>
      <c r="K1132" s="2" t="s">
        <v>2515</v>
      </c>
    </row>
    <row r="1133" spans="1:11" s="4" customFormat="1" ht="18" customHeight="1">
      <c r="A1133" s="2" t="s">
        <v>2518</v>
      </c>
      <c r="B1133" s="3"/>
      <c r="C1133" s="2"/>
      <c r="D1133" s="3"/>
      <c r="E1133" s="2"/>
      <c r="F1133" s="2" t="s">
        <v>589</v>
      </c>
      <c r="G1133" s="2"/>
      <c r="H1133" s="2" t="s">
        <v>589</v>
      </c>
      <c r="I1133" s="2"/>
      <c r="J1133" s="2" t="s">
        <v>2519</v>
      </c>
      <c r="K1133" s="2" t="s">
        <v>2518</v>
      </c>
    </row>
    <row r="1134" spans="1:11" s="4" customFormat="1" ht="18" customHeight="1">
      <c r="A1134" s="2" t="s">
        <v>2520</v>
      </c>
      <c r="B1134" s="3"/>
      <c r="C1134" s="2"/>
      <c r="D1134" s="3"/>
      <c r="E1134" s="2"/>
      <c r="F1134" s="2" t="s">
        <v>614</v>
      </c>
      <c r="G1134" s="2"/>
      <c r="H1134" s="2" t="s">
        <v>614</v>
      </c>
      <c r="I1134" s="2"/>
      <c r="J1134" s="2" t="s">
        <v>644</v>
      </c>
      <c r="K1134" s="2" t="s">
        <v>2520</v>
      </c>
    </row>
    <row r="1135" spans="1:11" s="4" customFormat="1" ht="18" customHeight="1">
      <c r="A1135" s="2" t="s">
        <v>2521</v>
      </c>
      <c r="B1135" s="3"/>
      <c r="C1135" s="2"/>
      <c r="D1135" s="3"/>
      <c r="E1135" s="2"/>
      <c r="F1135" s="2" t="s">
        <v>4012</v>
      </c>
      <c r="G1135" s="2"/>
      <c r="H1135" s="2" t="s">
        <v>4012</v>
      </c>
      <c r="I1135" s="2"/>
      <c r="J1135" s="2" t="s">
        <v>2522</v>
      </c>
      <c r="K1135" s="2" t="s">
        <v>2521</v>
      </c>
    </row>
    <row r="1136" spans="1:11" s="4" customFormat="1" ht="18" customHeight="1">
      <c r="A1136" s="2" t="s">
        <v>2523</v>
      </c>
      <c r="B1136" s="3"/>
      <c r="C1136" s="2"/>
      <c r="D1136" s="3"/>
      <c r="E1136" s="2"/>
      <c r="F1136" s="2" t="s">
        <v>346</v>
      </c>
      <c r="G1136" s="2"/>
      <c r="H1136" s="2" t="s">
        <v>346</v>
      </c>
      <c r="I1136" s="2"/>
      <c r="J1136" s="2" t="s">
        <v>2524</v>
      </c>
      <c r="K1136" s="2" t="s">
        <v>2523</v>
      </c>
    </row>
    <row r="1137" spans="1:11" s="4" customFormat="1" ht="18" customHeight="1">
      <c r="A1137" s="2" t="s">
        <v>2525</v>
      </c>
      <c r="B1137" s="3"/>
      <c r="C1137" s="2"/>
      <c r="D1137" s="3"/>
      <c r="E1137" s="2"/>
      <c r="F1137" s="2" t="s">
        <v>2189</v>
      </c>
      <c r="G1137" s="2"/>
      <c r="H1137" s="2" t="s">
        <v>2189</v>
      </c>
      <c r="I1137" s="2"/>
      <c r="J1137" s="2" t="s">
        <v>1075</v>
      </c>
      <c r="K1137" s="2" t="s">
        <v>2525</v>
      </c>
    </row>
    <row r="1138" spans="1:11" s="4" customFormat="1" ht="18" customHeight="1">
      <c r="A1138" s="2" t="s">
        <v>2527</v>
      </c>
      <c r="B1138" s="3"/>
      <c r="C1138" s="2"/>
      <c r="D1138" s="3"/>
      <c r="E1138" s="2"/>
      <c r="F1138" s="2" t="s">
        <v>2468</v>
      </c>
      <c r="G1138" s="2"/>
      <c r="H1138" s="2" t="s">
        <v>2468</v>
      </c>
      <c r="I1138" s="2"/>
      <c r="J1138" s="2" t="s">
        <v>1886</v>
      </c>
      <c r="K1138" s="2" t="s">
        <v>2527</v>
      </c>
    </row>
    <row r="1139" spans="1:11" s="4" customFormat="1" ht="18" customHeight="1">
      <c r="A1139" s="2" t="s">
        <v>2528</v>
      </c>
      <c r="B1139" s="3"/>
      <c r="C1139" s="2"/>
      <c r="D1139" s="3"/>
      <c r="E1139" s="2"/>
      <c r="F1139" s="2" t="s">
        <v>2508</v>
      </c>
      <c r="G1139" s="2"/>
      <c r="H1139" s="2" t="s">
        <v>2509</v>
      </c>
      <c r="I1139" s="2"/>
      <c r="J1139" s="2" t="s">
        <v>2529</v>
      </c>
      <c r="K1139" s="2" t="s">
        <v>2528</v>
      </c>
    </row>
    <row r="1140" spans="1:11" s="4" customFormat="1" ht="18" customHeight="1">
      <c r="A1140" s="2" t="s">
        <v>2530</v>
      </c>
      <c r="B1140" s="3"/>
      <c r="C1140" s="2"/>
      <c r="D1140" s="3"/>
      <c r="E1140" s="2"/>
      <c r="F1140" s="2" t="s">
        <v>3925</v>
      </c>
      <c r="G1140" s="2"/>
      <c r="H1140" s="2" t="s">
        <v>3925</v>
      </c>
      <c r="I1140" s="2"/>
      <c r="J1140" s="2" t="s">
        <v>2531</v>
      </c>
      <c r="K1140" s="2" t="s">
        <v>2530</v>
      </c>
    </row>
    <row r="1141" spans="1:11" s="4" customFormat="1" ht="18" customHeight="1">
      <c r="A1141" s="2" t="s">
        <v>2532</v>
      </c>
      <c r="B1141" s="3"/>
      <c r="C1141" s="2"/>
      <c r="D1141" s="3"/>
      <c r="E1141" s="2"/>
      <c r="F1141" s="2" t="s">
        <v>4032</v>
      </c>
      <c r="G1141" s="2"/>
      <c r="H1141" s="2" t="s">
        <v>4032</v>
      </c>
      <c r="I1141" s="2"/>
      <c r="J1141" s="2" t="s">
        <v>2533</v>
      </c>
      <c r="K1141" s="2" t="s">
        <v>2532</v>
      </c>
    </row>
    <row r="1142" spans="1:11" s="4" customFormat="1" ht="18" customHeight="1">
      <c r="A1142" s="2" t="s">
        <v>2534</v>
      </c>
      <c r="B1142" s="3"/>
      <c r="C1142" s="2"/>
      <c r="D1142" s="3"/>
      <c r="E1142" s="2"/>
      <c r="F1142" s="2" t="s">
        <v>2316</v>
      </c>
      <c r="G1142" s="2"/>
      <c r="H1142" s="2" t="s">
        <v>2316</v>
      </c>
      <c r="I1142" s="2"/>
      <c r="J1142" s="2" t="s">
        <v>2535</v>
      </c>
      <c r="K1142" s="2" t="s">
        <v>2534</v>
      </c>
    </row>
    <row r="1143" spans="1:11" s="4" customFormat="1" ht="18" customHeight="1">
      <c r="A1143" s="2" t="s">
        <v>2536</v>
      </c>
      <c r="B1143" s="3"/>
      <c r="C1143" s="2"/>
      <c r="D1143" s="3"/>
      <c r="E1143" s="2"/>
      <c r="F1143" s="2" t="s">
        <v>2895</v>
      </c>
      <c r="G1143" s="2"/>
      <c r="H1143" s="2" t="s">
        <v>2895</v>
      </c>
      <c r="I1143" s="2"/>
      <c r="J1143" s="2" t="s">
        <v>2537</v>
      </c>
      <c r="K1143" s="2" t="s">
        <v>2536</v>
      </c>
    </row>
    <row r="1144" spans="1:11" s="4" customFormat="1" ht="18" customHeight="1">
      <c r="A1144" s="2" t="s">
        <v>2538</v>
      </c>
      <c r="B1144" s="3"/>
      <c r="C1144" s="2"/>
      <c r="D1144" s="3"/>
      <c r="E1144" s="2"/>
      <c r="F1144" s="2" t="s">
        <v>2646</v>
      </c>
      <c r="G1144" s="2"/>
      <c r="H1144" s="2" t="s">
        <v>2646</v>
      </c>
      <c r="I1144" s="2"/>
      <c r="J1144" s="2" t="s">
        <v>2539</v>
      </c>
      <c r="K1144" s="2" t="s">
        <v>2538</v>
      </c>
    </row>
    <row r="1145" spans="1:11" s="4" customFormat="1" ht="18" customHeight="1">
      <c r="A1145" s="2" t="s">
        <v>2540</v>
      </c>
      <c r="B1145" s="3"/>
      <c r="C1145" s="2"/>
      <c r="D1145" s="3"/>
      <c r="E1145" s="2"/>
      <c r="F1145" s="2" t="s">
        <v>1283</v>
      </c>
      <c r="G1145" s="2"/>
      <c r="H1145" s="2" t="s">
        <v>1283</v>
      </c>
      <c r="I1145" s="2"/>
      <c r="J1145" s="2" t="s">
        <v>2541</v>
      </c>
      <c r="K1145" s="2" t="s">
        <v>2540</v>
      </c>
    </row>
    <row r="1146" spans="1:11" s="4" customFormat="1" ht="18" customHeight="1">
      <c r="A1146" s="2" t="s">
        <v>2542</v>
      </c>
      <c r="B1146" s="3"/>
      <c r="C1146" s="2"/>
      <c r="D1146" s="3"/>
      <c r="E1146" s="2"/>
      <c r="F1146" s="2" t="s">
        <v>616</v>
      </c>
      <c r="G1146" s="2"/>
      <c r="H1146" s="2" t="s">
        <v>616</v>
      </c>
      <c r="I1146" s="2"/>
      <c r="J1146" s="2" t="s">
        <v>2543</v>
      </c>
      <c r="K1146" s="2" t="s">
        <v>2542</v>
      </c>
    </row>
    <row r="1147" spans="1:11" s="4" customFormat="1" ht="18" customHeight="1">
      <c r="A1147" s="2" t="s">
        <v>2545</v>
      </c>
      <c r="B1147" s="3"/>
      <c r="C1147" s="2"/>
      <c r="D1147" s="3"/>
      <c r="E1147" s="2"/>
      <c r="F1147" s="2" t="s">
        <v>1145</v>
      </c>
      <c r="G1147" s="2"/>
      <c r="H1147" s="2" t="s">
        <v>1145</v>
      </c>
      <c r="I1147" s="2"/>
      <c r="J1147" s="2" t="s">
        <v>1436</v>
      </c>
      <c r="K1147" s="2" t="s">
        <v>2545</v>
      </c>
    </row>
    <row r="1148" spans="1:11" s="4" customFormat="1" ht="18" customHeight="1">
      <c r="A1148" s="2" t="s">
        <v>2546</v>
      </c>
      <c r="B1148" s="3"/>
      <c r="C1148" s="2"/>
      <c r="D1148" s="3"/>
      <c r="E1148" s="2"/>
      <c r="F1148" s="2" t="s">
        <v>3690</v>
      </c>
      <c r="G1148" s="2"/>
      <c r="H1148" s="2" t="s">
        <v>3690</v>
      </c>
      <c r="I1148" s="2"/>
      <c r="J1148" s="2" t="s">
        <v>2547</v>
      </c>
      <c r="K1148" s="2" t="s">
        <v>2546</v>
      </c>
    </row>
    <row r="1149" spans="1:11" s="4" customFormat="1" ht="18" customHeight="1">
      <c r="A1149" s="2" t="s">
        <v>2548</v>
      </c>
      <c r="B1149" s="3"/>
      <c r="C1149" s="2"/>
      <c r="D1149" s="3"/>
      <c r="E1149" s="2"/>
      <c r="F1149" s="2" t="s">
        <v>2470</v>
      </c>
      <c r="G1149" s="2"/>
      <c r="H1149" s="2" t="s">
        <v>2470</v>
      </c>
      <c r="I1149" s="2"/>
      <c r="J1149" s="2" t="s">
        <v>2549</v>
      </c>
      <c r="K1149" s="2" t="s">
        <v>2548</v>
      </c>
    </row>
    <row r="1150" spans="1:11" s="4" customFormat="1" ht="18" customHeight="1">
      <c r="A1150" s="2" t="s">
        <v>2550</v>
      </c>
      <c r="B1150" s="3"/>
      <c r="C1150" s="2"/>
      <c r="D1150" s="3"/>
      <c r="E1150" s="2"/>
      <c r="F1150" s="2" t="s">
        <v>2253</v>
      </c>
      <c r="G1150" s="2"/>
      <c r="H1150" s="2" t="s">
        <v>2253</v>
      </c>
      <c r="I1150" s="2"/>
      <c r="J1150" s="2" t="s">
        <v>2551</v>
      </c>
      <c r="K1150" s="2" t="s">
        <v>2550</v>
      </c>
    </row>
    <row r="1151" spans="1:11" s="4" customFormat="1" ht="18" customHeight="1">
      <c r="A1151" s="2" t="s">
        <v>2552</v>
      </c>
      <c r="B1151" s="3"/>
      <c r="C1151" s="2"/>
      <c r="D1151" s="3"/>
      <c r="E1151" s="2"/>
      <c r="F1151" s="2" t="s">
        <v>2677</v>
      </c>
      <c r="G1151" s="2"/>
      <c r="H1151" s="2" t="s">
        <v>2677</v>
      </c>
      <c r="I1151" s="2"/>
      <c r="J1151" s="2" t="s">
        <v>1892</v>
      </c>
      <c r="K1151" s="2" t="s">
        <v>2552</v>
      </c>
    </row>
    <row r="1152" spans="1:11" s="4" customFormat="1" ht="18" customHeight="1">
      <c r="A1152" s="2" t="s">
        <v>2553</v>
      </c>
      <c r="B1152" s="3"/>
      <c r="C1152" s="2"/>
      <c r="D1152" s="3"/>
      <c r="E1152" s="2"/>
      <c r="F1152" s="2" t="s">
        <v>3891</v>
      </c>
      <c r="G1152" s="2"/>
      <c r="H1152" s="2" t="s">
        <v>3892</v>
      </c>
      <c r="I1152" s="2"/>
      <c r="J1152" s="2" t="s">
        <v>2554</v>
      </c>
      <c r="K1152" s="2" t="s">
        <v>2553</v>
      </c>
    </row>
    <row r="1153" spans="1:11" s="4" customFormat="1" ht="18" customHeight="1">
      <c r="A1153" s="2" t="s">
        <v>2555</v>
      </c>
      <c r="B1153" s="3"/>
      <c r="C1153" s="2"/>
      <c r="D1153" s="3"/>
      <c r="E1153" s="2"/>
      <c r="F1153" s="2" t="s">
        <v>348</v>
      </c>
      <c r="G1153" s="2"/>
      <c r="H1153" s="2" t="s">
        <v>348</v>
      </c>
      <c r="I1153" s="2"/>
      <c r="J1153" s="2" t="s">
        <v>2556</v>
      </c>
      <c r="K1153" s="2" t="s">
        <v>2555</v>
      </c>
    </row>
    <row r="1154" spans="1:11" s="4" customFormat="1" ht="18" customHeight="1">
      <c r="A1154" s="2" t="s">
        <v>2557</v>
      </c>
      <c r="B1154" s="3"/>
      <c r="C1154" s="2"/>
      <c r="D1154" s="3"/>
      <c r="E1154" s="2"/>
      <c r="F1154" s="2" t="s">
        <v>429</v>
      </c>
      <c r="G1154" s="2"/>
      <c r="H1154" s="2" t="s">
        <v>429</v>
      </c>
      <c r="I1154" s="2"/>
      <c r="J1154" s="2" t="s">
        <v>2558</v>
      </c>
      <c r="K1154" s="2" t="s">
        <v>2557</v>
      </c>
    </row>
    <row r="1155" spans="1:11" s="4" customFormat="1" ht="18" customHeight="1">
      <c r="A1155" s="2" t="s">
        <v>2559</v>
      </c>
      <c r="B1155" s="3"/>
      <c r="C1155" s="2"/>
      <c r="D1155" s="3"/>
      <c r="E1155" s="2"/>
      <c r="F1155" s="2" t="s">
        <v>429</v>
      </c>
      <c r="G1155" s="2"/>
      <c r="H1155" s="2" t="s">
        <v>2356</v>
      </c>
      <c r="I1155" s="2"/>
      <c r="J1155" s="2" t="s">
        <v>2560</v>
      </c>
      <c r="K1155" s="2" t="s">
        <v>2559</v>
      </c>
    </row>
    <row r="1156" spans="1:11" s="4" customFormat="1" ht="18" customHeight="1">
      <c r="A1156" s="2" t="s">
        <v>2561</v>
      </c>
      <c r="B1156" s="3"/>
      <c r="C1156" s="2"/>
      <c r="D1156" s="3"/>
      <c r="E1156" s="2"/>
      <c r="F1156" s="2" t="s">
        <v>3192</v>
      </c>
      <c r="G1156" s="2"/>
      <c r="H1156" s="2" t="s">
        <v>3192</v>
      </c>
      <c r="I1156" s="2"/>
      <c r="J1156" s="2" t="s">
        <v>2562</v>
      </c>
      <c r="K1156" s="2" t="s">
        <v>2561</v>
      </c>
    </row>
    <row r="1157" spans="1:11" s="4" customFormat="1" ht="18" customHeight="1">
      <c r="A1157" s="2" t="s">
        <v>2563</v>
      </c>
      <c r="B1157" s="3"/>
      <c r="C1157" s="2"/>
      <c r="D1157" s="3"/>
      <c r="E1157" s="2"/>
      <c r="F1157" s="2" t="s">
        <v>3530</v>
      </c>
      <c r="G1157" s="2"/>
      <c r="H1157" s="2" t="s">
        <v>3529</v>
      </c>
      <c r="I1157" s="2"/>
      <c r="J1157" s="2" t="s">
        <v>2564</v>
      </c>
      <c r="K1157" s="2" t="s">
        <v>2563</v>
      </c>
    </row>
    <row r="1158" spans="1:11" s="4" customFormat="1" ht="18" customHeight="1">
      <c r="A1158" s="2" t="s">
        <v>2566</v>
      </c>
      <c r="B1158" s="3"/>
      <c r="C1158" s="2"/>
      <c r="D1158" s="3"/>
      <c r="E1158" s="2"/>
      <c r="F1158" s="2" t="s">
        <v>598</v>
      </c>
      <c r="G1158" s="2"/>
      <c r="H1158" s="2" t="s">
        <v>598</v>
      </c>
      <c r="I1158" s="2"/>
      <c r="J1158" s="2" t="s">
        <v>2567</v>
      </c>
      <c r="K1158" s="2" t="s">
        <v>2566</v>
      </c>
    </row>
    <row r="1159" spans="1:11" s="4" customFormat="1" ht="18" customHeight="1">
      <c r="A1159" s="2" t="s">
        <v>2569</v>
      </c>
      <c r="B1159" s="3"/>
      <c r="C1159" s="2"/>
      <c r="D1159" s="3"/>
      <c r="E1159" s="2"/>
      <c r="F1159" s="2" t="s">
        <v>1792</v>
      </c>
      <c r="G1159" s="2"/>
      <c r="H1159" s="2" t="s">
        <v>1792</v>
      </c>
      <c r="I1159" s="2"/>
      <c r="J1159" s="2" t="s">
        <v>2570</v>
      </c>
      <c r="K1159" s="2" t="s">
        <v>2569</v>
      </c>
    </row>
    <row r="1160" spans="1:11" s="4" customFormat="1" ht="18" customHeight="1">
      <c r="A1160" s="2" t="s">
        <v>2571</v>
      </c>
      <c r="B1160" s="3"/>
      <c r="C1160" s="2"/>
      <c r="D1160" s="3"/>
      <c r="E1160" s="2"/>
      <c r="F1160" s="2" t="s">
        <v>3270</v>
      </c>
      <c r="G1160" s="2"/>
      <c r="H1160" s="2" t="s">
        <v>3271</v>
      </c>
      <c r="I1160" s="2"/>
      <c r="J1160" s="2" t="s">
        <v>2572</v>
      </c>
      <c r="K1160" s="2" t="s">
        <v>2571</v>
      </c>
    </row>
    <row r="1161" spans="1:11" s="4" customFormat="1" ht="18" customHeight="1">
      <c r="A1161" s="2" t="s">
        <v>2573</v>
      </c>
      <c r="B1161" s="3"/>
      <c r="C1161" s="2"/>
      <c r="D1161" s="3"/>
      <c r="E1161" s="2"/>
      <c r="F1161" s="2" t="s">
        <v>3749</v>
      </c>
      <c r="G1161" s="2"/>
      <c r="H1161" s="2" t="s">
        <v>3749</v>
      </c>
      <c r="I1161" s="2"/>
      <c r="J1161" s="2" t="s">
        <v>2574</v>
      </c>
      <c r="K1161" s="2" t="s">
        <v>2573</v>
      </c>
    </row>
    <row r="1162" spans="1:11" s="4" customFormat="1" ht="18" customHeight="1">
      <c r="A1162" s="2" t="s">
        <v>2575</v>
      </c>
      <c r="B1162" s="3"/>
      <c r="C1162" s="2"/>
      <c r="D1162" s="3"/>
      <c r="E1162" s="2"/>
      <c r="F1162" s="2" t="s">
        <v>2769</v>
      </c>
      <c r="G1162" s="2"/>
      <c r="H1162" s="2" t="s">
        <v>2769</v>
      </c>
      <c r="I1162" s="2"/>
      <c r="J1162" s="2" t="s">
        <v>825</v>
      </c>
      <c r="K1162" s="2" t="s">
        <v>2575</v>
      </c>
    </row>
    <row r="1163" spans="1:11" s="4" customFormat="1" ht="18" customHeight="1">
      <c r="A1163" s="2" t="s">
        <v>2576</v>
      </c>
      <c r="B1163" s="3"/>
      <c r="C1163" s="2"/>
      <c r="D1163" s="3"/>
      <c r="E1163" s="2"/>
      <c r="F1163" s="2" t="s">
        <v>846</v>
      </c>
      <c r="G1163" s="2"/>
      <c r="H1163" s="2" t="s">
        <v>846</v>
      </c>
      <c r="I1163" s="2"/>
      <c r="J1163" s="2" t="s">
        <v>2577</v>
      </c>
      <c r="K1163" s="2" t="s">
        <v>2576</v>
      </c>
    </row>
    <row r="1164" spans="1:11" s="4" customFormat="1" ht="18" customHeight="1">
      <c r="A1164" s="2" t="s">
        <v>2578</v>
      </c>
      <c r="B1164" s="3"/>
      <c r="C1164" s="2"/>
      <c r="D1164" s="3"/>
      <c r="E1164" s="2"/>
      <c r="F1164" s="2" t="s">
        <v>2662</v>
      </c>
      <c r="G1164" s="2"/>
      <c r="H1164" s="2" t="s">
        <v>2662</v>
      </c>
      <c r="I1164" s="2"/>
      <c r="J1164" s="2" t="s">
        <v>2579</v>
      </c>
      <c r="K1164" s="2" t="s">
        <v>2578</v>
      </c>
    </row>
    <row r="1165" spans="1:11" s="4" customFormat="1" ht="18" customHeight="1">
      <c r="A1165" s="2" t="s">
        <v>2580</v>
      </c>
      <c r="B1165" s="3"/>
      <c r="C1165" s="2"/>
      <c r="D1165" s="3"/>
      <c r="E1165" s="2"/>
      <c r="F1165" s="2" t="s">
        <v>2897</v>
      </c>
      <c r="G1165" s="2"/>
      <c r="H1165" s="2" t="s">
        <v>2897</v>
      </c>
      <c r="I1165" s="2"/>
      <c r="J1165" s="2" t="s">
        <v>1602</v>
      </c>
      <c r="K1165" s="2" t="s">
        <v>2580</v>
      </c>
    </row>
    <row r="1166" spans="1:11" s="4" customFormat="1" ht="18" customHeight="1">
      <c r="A1166" s="2" t="s">
        <v>2581</v>
      </c>
      <c r="B1166" s="3"/>
      <c r="C1166" s="2"/>
      <c r="D1166" s="3"/>
      <c r="E1166" s="2"/>
      <c r="F1166" s="2" t="s">
        <v>3394</v>
      </c>
      <c r="G1166" s="2"/>
      <c r="H1166" s="2" t="s">
        <v>3394</v>
      </c>
      <c r="I1166" s="2"/>
      <c r="J1166" s="2" t="s">
        <v>2582</v>
      </c>
      <c r="K1166" s="2" t="s">
        <v>2581</v>
      </c>
    </row>
    <row r="1167" spans="1:11" s="4" customFormat="1" ht="18" customHeight="1">
      <c r="A1167" s="2" t="s">
        <v>2583</v>
      </c>
      <c r="B1167" s="3"/>
      <c r="C1167" s="2"/>
      <c r="D1167" s="3"/>
      <c r="E1167" s="2"/>
      <c r="F1167" s="2" t="s">
        <v>1905</v>
      </c>
      <c r="G1167" s="2"/>
      <c r="H1167" s="2" t="s">
        <v>1905</v>
      </c>
      <c r="I1167" s="2"/>
      <c r="J1167" s="2" t="s">
        <v>2584</v>
      </c>
      <c r="K1167" s="2" t="s">
        <v>2583</v>
      </c>
    </row>
    <row r="1168" spans="1:11" s="4" customFormat="1" ht="18" customHeight="1">
      <c r="A1168" s="2" t="s">
        <v>2585</v>
      </c>
      <c r="B1168" s="3"/>
      <c r="C1168" s="2"/>
      <c r="D1168" s="3"/>
      <c r="E1168" s="2"/>
      <c r="F1168" s="2" t="s">
        <v>1972</v>
      </c>
      <c r="G1168" s="2"/>
      <c r="H1168" s="2" t="s">
        <v>1972</v>
      </c>
      <c r="I1168" s="2"/>
      <c r="J1168" s="2" t="s">
        <v>2586</v>
      </c>
      <c r="K1168" s="2" t="s">
        <v>2585</v>
      </c>
    </row>
    <row r="1169" spans="1:11" s="4" customFormat="1" ht="18" customHeight="1">
      <c r="A1169" s="2" t="s">
        <v>2587</v>
      </c>
      <c r="B1169" s="3"/>
      <c r="C1169" s="2"/>
      <c r="D1169" s="3"/>
      <c r="E1169" s="2"/>
      <c r="F1169" s="2" t="s">
        <v>3574</v>
      </c>
      <c r="G1169" s="2"/>
      <c r="H1169" s="2" t="s">
        <v>3574</v>
      </c>
      <c r="I1169" s="2"/>
      <c r="J1169" s="2" t="s">
        <v>2588</v>
      </c>
      <c r="K1169" s="2" t="s">
        <v>2587</v>
      </c>
    </row>
    <row r="1170" spans="1:11" s="4" customFormat="1" ht="18" customHeight="1">
      <c r="A1170" s="2" t="s">
        <v>2589</v>
      </c>
      <c r="B1170" s="3"/>
      <c r="C1170" s="2"/>
      <c r="D1170" s="3"/>
      <c r="E1170" s="2"/>
      <c r="F1170" s="2" t="s">
        <v>885</v>
      </c>
      <c r="G1170" s="2"/>
      <c r="H1170" s="2" t="s">
        <v>885</v>
      </c>
      <c r="I1170" s="2"/>
      <c r="J1170" s="2" t="s">
        <v>2590</v>
      </c>
      <c r="K1170" s="2" t="s">
        <v>2589</v>
      </c>
    </row>
    <row r="1171" spans="1:11" s="4" customFormat="1" ht="18" customHeight="1">
      <c r="A1171" s="2" t="s">
        <v>2591</v>
      </c>
      <c r="B1171" s="3"/>
      <c r="C1171" s="2"/>
      <c r="D1171" s="3"/>
      <c r="E1171" s="2"/>
      <c r="F1171" s="2" t="s">
        <v>1810</v>
      </c>
      <c r="G1171" s="2"/>
      <c r="H1171" s="2" t="s">
        <v>1810</v>
      </c>
      <c r="I1171" s="2"/>
      <c r="J1171" s="2" t="s">
        <v>2592</v>
      </c>
      <c r="K1171" s="2" t="s">
        <v>2591</v>
      </c>
    </row>
    <row r="1172" spans="1:11" s="4" customFormat="1" ht="18" customHeight="1">
      <c r="A1172" s="2" t="s">
        <v>2593</v>
      </c>
      <c r="B1172" s="3"/>
      <c r="C1172" s="2"/>
      <c r="D1172" s="3"/>
      <c r="E1172" s="2"/>
      <c r="F1172" s="2" t="s">
        <v>1810</v>
      </c>
      <c r="G1172" s="2"/>
      <c r="H1172" s="2" t="s">
        <v>1810</v>
      </c>
      <c r="I1172" s="2"/>
      <c r="J1172" s="2" t="s">
        <v>2594</v>
      </c>
      <c r="K1172" s="2" t="s">
        <v>2593</v>
      </c>
    </row>
    <row r="1173" spans="1:11" s="4" customFormat="1" ht="18" customHeight="1">
      <c r="A1173" s="2" t="s">
        <v>2595</v>
      </c>
      <c r="B1173" s="3"/>
      <c r="C1173" s="2"/>
      <c r="D1173" s="3"/>
      <c r="E1173" s="2"/>
      <c r="F1173" s="2" t="s">
        <v>486</v>
      </c>
      <c r="G1173" s="2"/>
      <c r="H1173" s="2" t="s">
        <v>486</v>
      </c>
      <c r="I1173" s="2"/>
      <c r="J1173" s="2" t="s">
        <v>2596</v>
      </c>
      <c r="K1173" s="2" t="s">
        <v>2595</v>
      </c>
    </row>
    <row r="1174" spans="1:11" s="4" customFormat="1" ht="18" customHeight="1">
      <c r="A1174" s="2" t="s">
        <v>2597</v>
      </c>
      <c r="B1174" s="3"/>
      <c r="C1174" s="2"/>
      <c r="D1174" s="3"/>
      <c r="E1174" s="2"/>
      <c r="F1174" s="2" t="s">
        <v>1271</v>
      </c>
      <c r="G1174" s="2"/>
      <c r="H1174" s="2" t="s">
        <v>1271</v>
      </c>
      <c r="I1174" s="2"/>
      <c r="J1174" s="2" t="s">
        <v>2598</v>
      </c>
      <c r="K1174" s="2" t="s">
        <v>2597</v>
      </c>
    </row>
    <row r="1175" spans="1:11" s="4" customFormat="1" ht="18" customHeight="1">
      <c r="A1175" s="2" t="s">
        <v>2599</v>
      </c>
      <c r="B1175" s="3"/>
      <c r="C1175" s="2"/>
      <c r="D1175" s="3"/>
      <c r="E1175" s="2"/>
      <c r="F1175" s="2" t="s">
        <v>2033</v>
      </c>
      <c r="G1175" s="2"/>
      <c r="H1175" s="2" t="s">
        <v>2033</v>
      </c>
      <c r="I1175" s="2"/>
      <c r="J1175" s="2" t="s">
        <v>2600</v>
      </c>
      <c r="K1175" s="2" t="s">
        <v>2599</v>
      </c>
    </row>
    <row r="1176" spans="1:11" s="4" customFormat="1" ht="18" customHeight="1">
      <c r="A1176" s="2" t="s">
        <v>2601</v>
      </c>
      <c r="B1176" s="3"/>
      <c r="C1176" s="2"/>
      <c r="D1176" s="3"/>
      <c r="E1176" s="2"/>
      <c r="F1176" s="2" t="s">
        <v>3207</v>
      </c>
      <c r="G1176" s="2"/>
      <c r="H1176" s="2" t="s">
        <v>3207</v>
      </c>
      <c r="I1176" s="2"/>
      <c r="J1176" s="2" t="s">
        <v>2602</v>
      </c>
      <c r="K1176" s="2" t="s">
        <v>2601</v>
      </c>
    </row>
    <row r="1177" spans="1:11" s="4" customFormat="1" ht="18" customHeight="1">
      <c r="A1177" s="2" t="s">
        <v>2603</v>
      </c>
      <c r="B1177" s="3"/>
      <c r="C1177" s="2"/>
      <c r="D1177" s="3"/>
      <c r="E1177" s="2"/>
      <c r="F1177" s="2" t="s">
        <v>1542</v>
      </c>
      <c r="G1177" s="2"/>
      <c r="H1177" s="2" t="s">
        <v>494</v>
      </c>
      <c r="I1177" s="2"/>
      <c r="J1177" s="2" t="s">
        <v>2604</v>
      </c>
      <c r="K1177" s="2" t="s">
        <v>2603</v>
      </c>
    </row>
    <row r="1178" spans="1:11" s="4" customFormat="1" ht="18" customHeight="1">
      <c r="A1178" s="2" t="s">
        <v>2606</v>
      </c>
      <c r="B1178" s="3"/>
      <c r="C1178" s="2"/>
      <c r="D1178" s="3"/>
      <c r="E1178" s="2"/>
      <c r="F1178" s="2" t="s">
        <v>3726</v>
      </c>
      <c r="G1178" s="2"/>
      <c r="H1178" s="2" t="s">
        <v>3727</v>
      </c>
      <c r="I1178" s="2"/>
      <c r="J1178" s="2" t="s">
        <v>2607</v>
      </c>
      <c r="K1178" s="2" t="s">
        <v>2606</v>
      </c>
    </row>
    <row r="1179" spans="1:11" s="4" customFormat="1" ht="18" customHeight="1">
      <c r="A1179" s="2" t="s">
        <v>2608</v>
      </c>
      <c r="B1179" s="3"/>
      <c r="C1179" s="2"/>
      <c r="D1179" s="3"/>
      <c r="E1179" s="2"/>
      <c r="F1179" s="2" t="s">
        <v>2409</v>
      </c>
      <c r="G1179" s="2"/>
      <c r="H1179" s="2" t="s">
        <v>2409</v>
      </c>
      <c r="I1179" s="2"/>
      <c r="J1179" s="2" t="s">
        <v>2609</v>
      </c>
      <c r="K1179" s="2" t="s">
        <v>2608</v>
      </c>
    </row>
    <row r="1180" spans="1:11" s="4" customFormat="1" ht="18" customHeight="1">
      <c r="A1180" s="2" t="s">
        <v>2610</v>
      </c>
      <c r="B1180" s="3"/>
      <c r="C1180" s="2"/>
      <c r="D1180" s="3"/>
      <c r="E1180" s="2"/>
      <c r="F1180" s="2" t="s">
        <v>3751</v>
      </c>
      <c r="G1180" s="2"/>
      <c r="H1180" s="2" t="s">
        <v>3751</v>
      </c>
      <c r="I1180" s="2"/>
      <c r="J1180" s="2" t="s">
        <v>1562</v>
      </c>
      <c r="K1180" s="2" t="s">
        <v>2610</v>
      </c>
    </row>
    <row r="1181" spans="1:11" s="4" customFormat="1" ht="18" customHeight="1">
      <c r="A1181" s="2" t="s">
        <v>2611</v>
      </c>
      <c r="B1181" s="3"/>
      <c r="C1181" s="2"/>
      <c r="D1181" s="3"/>
      <c r="E1181" s="2"/>
      <c r="F1181" s="2" t="s">
        <v>2680</v>
      </c>
      <c r="G1181" s="2"/>
      <c r="H1181" s="2" t="s">
        <v>2680</v>
      </c>
      <c r="I1181" s="2"/>
      <c r="J1181" s="2" t="s">
        <v>1500</v>
      </c>
      <c r="K1181" s="2" t="s">
        <v>2611</v>
      </c>
    </row>
    <row r="1182" spans="1:11" s="4" customFormat="1" ht="18" customHeight="1">
      <c r="A1182" s="2" t="s">
        <v>2612</v>
      </c>
      <c r="B1182" s="3"/>
      <c r="C1182" s="2"/>
      <c r="D1182" s="3"/>
      <c r="E1182" s="2"/>
      <c r="F1182" s="2" t="s">
        <v>3576</v>
      </c>
      <c r="G1182" s="2"/>
      <c r="H1182" s="2" t="s">
        <v>3577</v>
      </c>
      <c r="I1182" s="2"/>
      <c r="J1182" s="2" t="s">
        <v>2613</v>
      </c>
      <c r="K1182" s="2" t="s">
        <v>2612</v>
      </c>
    </row>
    <row r="1183" spans="1:11" s="4" customFormat="1" ht="18" customHeight="1">
      <c r="A1183" s="2" t="s">
        <v>2615</v>
      </c>
      <c r="B1183" s="3"/>
      <c r="C1183" s="2"/>
      <c r="D1183" s="3"/>
      <c r="E1183" s="2"/>
      <c r="F1183" s="2" t="s">
        <v>2411</v>
      </c>
      <c r="G1183" s="2"/>
      <c r="H1183" s="2" t="s">
        <v>2412</v>
      </c>
      <c r="I1183" s="2"/>
      <c r="J1183" s="2" t="s">
        <v>2616</v>
      </c>
      <c r="K1183" s="2" t="s">
        <v>2615</v>
      </c>
    </row>
    <row r="1184" spans="1:11" s="4" customFormat="1" ht="18" customHeight="1">
      <c r="A1184" s="2" t="s">
        <v>2617</v>
      </c>
      <c r="B1184" s="3"/>
      <c r="C1184" s="2"/>
      <c r="D1184" s="3"/>
      <c r="E1184" s="2"/>
      <c r="F1184" s="2" t="s">
        <v>1780</v>
      </c>
      <c r="G1184" s="2"/>
      <c r="H1184" s="2" t="s">
        <v>1780</v>
      </c>
      <c r="I1184" s="2"/>
      <c r="J1184" s="2" t="s">
        <v>2618</v>
      </c>
      <c r="K1184" s="2" t="s">
        <v>2617</v>
      </c>
    </row>
    <row r="1185" spans="1:11" s="4" customFormat="1" ht="18" customHeight="1">
      <c r="A1185" s="2" t="s">
        <v>2619</v>
      </c>
      <c r="B1185" s="3"/>
      <c r="C1185" s="2"/>
      <c r="D1185" s="3"/>
      <c r="E1185" s="2"/>
      <c r="F1185" s="2" t="s">
        <v>1752</v>
      </c>
      <c r="G1185" s="2"/>
      <c r="H1185" s="2" t="s">
        <v>1752</v>
      </c>
      <c r="I1185" s="2"/>
      <c r="J1185" s="2" t="s">
        <v>2620</v>
      </c>
      <c r="K1185" s="2" t="s">
        <v>2619</v>
      </c>
    </row>
    <row r="1186" spans="1:11" s="4" customFormat="1" ht="18" customHeight="1">
      <c r="A1186" s="2" t="s">
        <v>2621</v>
      </c>
      <c r="B1186" s="3"/>
      <c r="C1186" s="2"/>
      <c r="D1186" s="3"/>
      <c r="E1186" s="2"/>
      <c r="F1186" s="2" t="s">
        <v>694</v>
      </c>
      <c r="G1186" s="2"/>
      <c r="H1186" s="2" t="s">
        <v>694</v>
      </c>
      <c r="I1186" s="2"/>
      <c r="J1186" s="2" t="s">
        <v>2622</v>
      </c>
      <c r="K1186" s="2" t="s">
        <v>2621</v>
      </c>
    </row>
    <row r="1187" spans="1:11" s="4" customFormat="1" ht="18" customHeight="1">
      <c r="A1187" s="2" t="s">
        <v>2623</v>
      </c>
      <c r="B1187" s="3"/>
      <c r="C1187" s="2"/>
      <c r="D1187" s="3"/>
      <c r="E1187" s="2"/>
      <c r="F1187" s="2" t="s">
        <v>2054</v>
      </c>
      <c r="G1187" s="2"/>
      <c r="H1187" s="2" t="s">
        <v>2054</v>
      </c>
      <c r="I1187" s="2"/>
      <c r="J1187" s="2" t="s">
        <v>2624</v>
      </c>
      <c r="K1187" s="2" t="s">
        <v>2623</v>
      </c>
    </row>
    <row r="1188" spans="1:11" s="4" customFormat="1" ht="18" customHeight="1">
      <c r="A1188" s="2" t="s">
        <v>2625</v>
      </c>
      <c r="B1188" s="3"/>
      <c r="C1188" s="2"/>
      <c r="D1188" s="3"/>
      <c r="E1188" s="2"/>
      <c r="F1188" s="2" t="s">
        <v>3861</v>
      </c>
      <c r="G1188" s="2"/>
      <c r="H1188" s="2" t="s">
        <v>3861</v>
      </c>
      <c r="I1188" s="2"/>
      <c r="J1188" s="2" t="s">
        <v>2171</v>
      </c>
      <c r="K1188" s="2" t="s">
        <v>2625</v>
      </c>
    </row>
    <row r="1189" spans="1:11" s="4" customFormat="1" ht="18" customHeight="1">
      <c r="A1189" s="2" t="s">
        <v>2626</v>
      </c>
      <c r="B1189" s="3"/>
      <c r="C1189" s="2"/>
      <c r="D1189" s="3"/>
      <c r="E1189" s="2"/>
      <c r="F1189" s="2" t="s">
        <v>2758</v>
      </c>
      <c r="G1189" s="2"/>
      <c r="H1189" s="2" t="s">
        <v>2758</v>
      </c>
      <c r="I1189" s="2"/>
      <c r="J1189" s="2" t="s">
        <v>2444</v>
      </c>
      <c r="K1189" s="2" t="s">
        <v>2626</v>
      </c>
    </row>
    <row r="1190" spans="1:11" s="4" customFormat="1" ht="18" customHeight="1">
      <c r="A1190" s="2" t="s">
        <v>2627</v>
      </c>
      <c r="B1190" s="3"/>
      <c r="C1190" s="2"/>
      <c r="D1190" s="3"/>
      <c r="E1190" s="2"/>
      <c r="F1190" s="2" t="s">
        <v>1888</v>
      </c>
      <c r="G1190" s="2"/>
      <c r="H1190" s="2" t="s">
        <v>1888</v>
      </c>
      <c r="I1190" s="2"/>
      <c r="J1190" s="2" t="s">
        <v>2628</v>
      </c>
      <c r="K1190" s="2" t="s">
        <v>2627</v>
      </c>
    </row>
    <row r="1191" spans="1:11" s="4" customFormat="1" ht="18" customHeight="1">
      <c r="A1191" s="2" t="s">
        <v>2629</v>
      </c>
      <c r="B1191" s="3"/>
      <c r="C1191" s="2"/>
      <c r="D1191" s="3"/>
      <c r="E1191" s="2"/>
      <c r="F1191" s="2" t="s">
        <v>2358</v>
      </c>
      <c r="G1191" s="2"/>
      <c r="H1191" s="2" t="s">
        <v>2358</v>
      </c>
      <c r="I1191" s="2"/>
      <c r="J1191" s="2" t="s">
        <v>2630</v>
      </c>
      <c r="K1191" s="2" t="s">
        <v>2629</v>
      </c>
    </row>
    <row r="1192" spans="1:11" s="4" customFormat="1" ht="18" customHeight="1">
      <c r="A1192" s="2" t="s">
        <v>2631</v>
      </c>
      <c r="B1192" s="3"/>
      <c r="C1192" s="2"/>
      <c r="D1192" s="3"/>
      <c r="E1192" s="2"/>
      <c r="F1192" s="2" t="s">
        <v>3658</v>
      </c>
      <c r="G1192" s="2"/>
      <c r="H1192" s="2" t="s">
        <v>3658</v>
      </c>
      <c r="I1192" s="2"/>
      <c r="J1192" s="2" t="s">
        <v>2632</v>
      </c>
      <c r="K1192" s="2" t="s">
        <v>2631</v>
      </c>
    </row>
    <row r="1193" spans="1:11" s="4" customFormat="1" ht="18" customHeight="1">
      <c r="A1193" s="2" t="s">
        <v>2633</v>
      </c>
      <c r="B1193" s="3"/>
      <c r="C1193" s="2"/>
      <c r="D1193" s="3"/>
      <c r="E1193" s="2"/>
      <c r="F1193" s="2" t="s">
        <v>2081</v>
      </c>
      <c r="G1193" s="2"/>
      <c r="H1193" s="2" t="s">
        <v>2082</v>
      </c>
      <c r="I1193" s="2"/>
      <c r="J1193" s="2" t="s">
        <v>2634</v>
      </c>
      <c r="K1193" s="2" t="s">
        <v>2633</v>
      </c>
    </row>
    <row r="1194" spans="1:11" s="4" customFormat="1" ht="18" customHeight="1">
      <c r="A1194" s="2" t="s">
        <v>2635</v>
      </c>
      <c r="B1194" s="3"/>
      <c r="C1194" s="2"/>
      <c r="D1194" s="3"/>
      <c r="E1194" s="2"/>
      <c r="F1194" s="2" t="s">
        <v>1806</v>
      </c>
      <c r="G1194" s="2"/>
      <c r="H1194" s="2" t="s">
        <v>1806</v>
      </c>
      <c r="I1194" s="2"/>
      <c r="J1194" s="2" t="s">
        <v>2636</v>
      </c>
      <c r="K1194" s="2" t="s">
        <v>2635</v>
      </c>
    </row>
    <row r="1195" spans="1:11" s="4" customFormat="1" ht="18" customHeight="1">
      <c r="A1195" s="2" t="s">
        <v>2637</v>
      </c>
      <c r="B1195" s="3"/>
      <c r="C1195" s="2"/>
      <c r="D1195" s="3"/>
      <c r="E1195" s="2"/>
      <c r="F1195" s="2" t="s">
        <v>3866</v>
      </c>
      <c r="G1195" s="2"/>
      <c r="H1195" s="2" t="s">
        <v>3866</v>
      </c>
      <c r="I1195" s="2"/>
      <c r="J1195" s="2" t="s">
        <v>2638</v>
      </c>
      <c r="K1195" s="2" t="s">
        <v>2637</v>
      </c>
    </row>
    <row r="1196" spans="1:11" s="4" customFormat="1" ht="18" customHeight="1">
      <c r="A1196" s="2" t="s">
        <v>2639</v>
      </c>
      <c r="B1196" s="3"/>
      <c r="C1196" s="2"/>
      <c r="D1196" s="3"/>
      <c r="E1196" s="2"/>
      <c r="F1196" s="2" t="s">
        <v>1996</v>
      </c>
      <c r="G1196" s="2"/>
      <c r="H1196" s="2" t="s">
        <v>1996</v>
      </c>
      <c r="I1196" s="2"/>
      <c r="J1196" s="2" t="s">
        <v>2640</v>
      </c>
      <c r="K1196" s="2" t="s">
        <v>2639</v>
      </c>
    </row>
    <row r="1197" spans="1:11" s="4" customFormat="1" ht="18" customHeight="1">
      <c r="A1197" s="2" t="s">
        <v>2641</v>
      </c>
      <c r="B1197" s="3"/>
      <c r="C1197" s="2"/>
      <c r="D1197" s="3"/>
      <c r="E1197" s="2"/>
      <c r="F1197" s="2" t="s">
        <v>2760</v>
      </c>
      <c r="G1197" s="2"/>
      <c r="H1197" s="2" t="s">
        <v>2760</v>
      </c>
      <c r="I1197" s="2"/>
      <c r="J1197" s="2" t="s">
        <v>2642</v>
      </c>
      <c r="K1197" s="2" t="s">
        <v>2641</v>
      </c>
    </row>
    <row r="1198" spans="1:11" s="4" customFormat="1" ht="18" customHeight="1">
      <c r="A1198" s="2" t="s">
        <v>2643</v>
      </c>
      <c r="B1198" s="3"/>
      <c r="C1198" s="2"/>
      <c r="D1198" s="3"/>
      <c r="E1198" s="2"/>
      <c r="F1198" s="2" t="s">
        <v>1480</v>
      </c>
      <c r="G1198" s="2"/>
      <c r="H1198" s="2" t="s">
        <v>1480</v>
      </c>
      <c r="I1198" s="2"/>
      <c r="J1198" s="2" t="s">
        <v>2644</v>
      </c>
      <c r="K1198" s="2" t="s">
        <v>2643</v>
      </c>
    </row>
    <row r="1199" spans="1:11" s="4" customFormat="1" ht="18" customHeight="1">
      <c r="A1199" s="2" t="s">
        <v>2645</v>
      </c>
      <c r="B1199" s="3"/>
      <c r="C1199" s="2"/>
      <c r="D1199" s="3"/>
      <c r="E1199" s="2"/>
      <c r="F1199" s="2" t="s">
        <v>2127</v>
      </c>
      <c r="G1199" s="2"/>
      <c r="H1199" s="2" t="s">
        <v>2127</v>
      </c>
      <c r="I1199" s="2"/>
      <c r="J1199" s="2" t="s">
        <v>2646</v>
      </c>
      <c r="K1199" s="2" t="s">
        <v>2645</v>
      </c>
    </row>
    <row r="1200" spans="1:11" s="4" customFormat="1" ht="18" customHeight="1">
      <c r="A1200" s="2" t="s">
        <v>2647</v>
      </c>
      <c r="B1200" s="3"/>
      <c r="C1200" s="2"/>
      <c r="D1200" s="3"/>
      <c r="E1200" s="2"/>
      <c r="F1200" s="2" t="s">
        <v>3839</v>
      </c>
      <c r="G1200" s="2"/>
      <c r="H1200" s="2" t="s">
        <v>3839</v>
      </c>
      <c r="I1200" s="2"/>
      <c r="J1200" s="2" t="s">
        <v>2648</v>
      </c>
      <c r="K1200" s="2" t="s">
        <v>2647</v>
      </c>
    </row>
    <row r="1201" spans="1:11" s="4" customFormat="1" ht="18" customHeight="1">
      <c r="A1201" s="2" t="s">
        <v>2649</v>
      </c>
      <c r="B1201" s="3"/>
      <c r="C1201" s="2"/>
      <c r="D1201" s="3"/>
      <c r="E1201" s="2"/>
      <c r="F1201" s="2" t="s">
        <v>1438</v>
      </c>
      <c r="G1201" s="2"/>
      <c r="H1201" s="2" t="s">
        <v>1438</v>
      </c>
      <c r="I1201" s="2"/>
      <c r="J1201" s="2" t="s">
        <v>2650</v>
      </c>
      <c r="K1201" s="2" t="s">
        <v>2649</v>
      </c>
    </row>
    <row r="1202" spans="1:11" s="4" customFormat="1" ht="18" customHeight="1">
      <c r="A1202" s="2" t="s">
        <v>2651</v>
      </c>
      <c r="B1202" s="3"/>
      <c r="C1202" s="2"/>
      <c r="D1202" s="3"/>
      <c r="E1202" s="2"/>
      <c r="F1202" s="2" t="s">
        <v>350</v>
      </c>
      <c r="G1202" s="2"/>
      <c r="H1202" s="2" t="s">
        <v>350</v>
      </c>
      <c r="I1202" s="2"/>
      <c r="J1202" s="2" t="s">
        <v>2652</v>
      </c>
      <c r="K1202" s="2" t="s">
        <v>2651</v>
      </c>
    </row>
    <row r="1203" spans="1:11" s="4" customFormat="1" ht="18" customHeight="1">
      <c r="A1203" s="2" t="s">
        <v>2653</v>
      </c>
      <c r="B1203" s="3"/>
      <c r="C1203" s="2"/>
      <c r="D1203" s="3"/>
      <c r="E1203" s="2"/>
      <c r="F1203" s="2" t="s">
        <v>1683</v>
      </c>
      <c r="G1203" s="2"/>
      <c r="H1203" s="2" t="s">
        <v>1683</v>
      </c>
      <c r="I1203" s="2"/>
      <c r="J1203" s="2" t="s">
        <v>2655</v>
      </c>
      <c r="K1203" s="2" t="s">
        <v>2653</v>
      </c>
    </row>
    <row r="1204" spans="1:11" s="4" customFormat="1" ht="18" customHeight="1">
      <c r="A1204" s="2" t="s">
        <v>2656</v>
      </c>
      <c r="B1204" s="3"/>
      <c r="C1204" s="2"/>
      <c r="D1204" s="3"/>
      <c r="E1204" s="2"/>
      <c r="F1204" s="2" t="s">
        <v>3647</v>
      </c>
      <c r="G1204" s="2"/>
      <c r="H1204" s="2" t="s">
        <v>3647</v>
      </c>
      <c r="I1204" s="2"/>
      <c r="J1204" s="2" t="s">
        <v>2257</v>
      </c>
      <c r="K1204" s="2" t="s">
        <v>2656</v>
      </c>
    </row>
    <row r="1205" spans="1:11" s="4" customFormat="1" ht="18" customHeight="1">
      <c r="A1205" s="2" t="s">
        <v>2657</v>
      </c>
      <c r="B1205" s="3"/>
      <c r="C1205" s="2"/>
      <c r="D1205" s="3"/>
      <c r="E1205" s="2"/>
      <c r="F1205" s="2" t="s">
        <v>2309</v>
      </c>
      <c r="G1205" s="2"/>
      <c r="H1205" s="2" t="s">
        <v>2309</v>
      </c>
      <c r="I1205" s="2"/>
      <c r="J1205" s="2" t="s">
        <v>2658</v>
      </c>
      <c r="K1205" s="2" t="s">
        <v>2657</v>
      </c>
    </row>
    <row r="1206" spans="1:11" s="4" customFormat="1" ht="18" customHeight="1">
      <c r="A1206" s="2" t="s">
        <v>2659</v>
      </c>
      <c r="B1206" s="3"/>
      <c r="C1206" s="2"/>
      <c r="D1206" s="3"/>
      <c r="E1206" s="2"/>
      <c r="F1206" s="2" t="s">
        <v>535</v>
      </c>
      <c r="G1206" s="2"/>
      <c r="H1206" s="2" t="s">
        <v>535</v>
      </c>
      <c r="I1206" s="2"/>
      <c r="J1206" s="2" t="s">
        <v>2654</v>
      </c>
      <c r="K1206" s="2" t="s">
        <v>2659</v>
      </c>
    </row>
    <row r="1207" spans="1:11" s="4" customFormat="1" ht="18" customHeight="1">
      <c r="A1207" s="2" t="s">
        <v>2660</v>
      </c>
      <c r="B1207" s="3"/>
      <c r="C1207" s="2"/>
      <c r="D1207" s="3"/>
      <c r="E1207" s="2"/>
      <c r="F1207" s="2" t="s">
        <v>3821</v>
      </c>
      <c r="G1207" s="2"/>
      <c r="H1207" s="2" t="s">
        <v>3821</v>
      </c>
      <c r="I1207" s="2"/>
      <c r="J1207" s="2" t="s">
        <v>934</v>
      </c>
      <c r="K1207" s="2" t="s">
        <v>2660</v>
      </c>
    </row>
    <row r="1208" spans="1:11" s="4" customFormat="1" ht="18" customHeight="1">
      <c r="A1208" s="2" t="s">
        <v>2661</v>
      </c>
      <c r="B1208" s="3"/>
      <c r="C1208" s="2"/>
      <c r="D1208" s="3"/>
      <c r="E1208" s="2"/>
      <c r="F1208" s="2" t="s">
        <v>263</v>
      </c>
      <c r="G1208" s="2"/>
      <c r="H1208" s="2" t="s">
        <v>264</v>
      </c>
      <c r="I1208" s="2"/>
      <c r="J1208" s="2" t="s">
        <v>2663</v>
      </c>
      <c r="K1208" s="2" t="s">
        <v>2661</v>
      </c>
    </row>
    <row r="1209" spans="1:11" s="4" customFormat="1" ht="18" customHeight="1">
      <c r="A1209" s="2" t="s">
        <v>2664</v>
      </c>
      <c r="B1209" s="3"/>
      <c r="C1209" s="2"/>
      <c r="D1209" s="3"/>
      <c r="E1209" s="2"/>
      <c r="F1209" s="2" t="s">
        <v>2785</v>
      </c>
      <c r="G1209" s="2"/>
      <c r="H1209" s="2" t="s">
        <v>2785</v>
      </c>
      <c r="I1209" s="2"/>
      <c r="J1209" s="2" t="s">
        <v>2665</v>
      </c>
      <c r="K1209" s="2" t="s">
        <v>2664</v>
      </c>
    </row>
    <row r="1210" spans="1:11" s="4" customFormat="1" ht="18" customHeight="1">
      <c r="A1210" s="2" t="s">
        <v>2666</v>
      </c>
      <c r="B1210" s="3"/>
      <c r="C1210" s="2"/>
      <c r="D1210" s="3"/>
      <c r="E1210" s="2"/>
      <c r="F1210" s="2" t="s">
        <v>1719</v>
      </c>
      <c r="G1210" s="2"/>
      <c r="H1210" s="2" t="s">
        <v>1719</v>
      </c>
      <c r="I1210" s="2"/>
      <c r="J1210" s="2" t="s">
        <v>2667</v>
      </c>
      <c r="K1210" s="2" t="s">
        <v>2666</v>
      </c>
    </row>
    <row r="1211" spans="1:11" s="4" customFormat="1" ht="18" customHeight="1">
      <c r="A1211" s="2" t="s">
        <v>2668</v>
      </c>
      <c r="B1211" s="3"/>
      <c r="C1211" s="2"/>
      <c r="D1211" s="3"/>
      <c r="E1211" s="2"/>
      <c r="F1211" s="2" t="s">
        <v>3419</v>
      </c>
      <c r="G1211" s="2"/>
      <c r="H1211" s="2" t="s">
        <v>3419</v>
      </c>
      <c r="I1211" s="2"/>
      <c r="J1211" s="2" t="s">
        <v>2669</v>
      </c>
      <c r="K1211" s="2" t="s">
        <v>2668</v>
      </c>
    </row>
    <row r="1212" spans="1:11" s="4" customFormat="1" ht="18" customHeight="1">
      <c r="A1212" s="2" t="s">
        <v>2670</v>
      </c>
      <c r="B1212" s="3"/>
      <c r="C1212" s="2"/>
      <c r="D1212" s="3"/>
      <c r="E1212" s="2"/>
      <c r="F1212" s="2" t="s">
        <v>3579</v>
      </c>
      <c r="G1212" s="2"/>
      <c r="H1212" s="2" t="s">
        <v>3579</v>
      </c>
      <c r="I1212" s="2"/>
      <c r="J1212" s="2" t="s">
        <v>2671</v>
      </c>
      <c r="K1212" s="2" t="s">
        <v>2670</v>
      </c>
    </row>
    <row r="1213" spans="1:11" s="4" customFormat="1" ht="18" customHeight="1">
      <c r="A1213" s="2" t="s">
        <v>2672</v>
      </c>
      <c r="B1213" s="3"/>
      <c r="C1213" s="2"/>
      <c r="D1213" s="3"/>
      <c r="E1213" s="2"/>
      <c r="F1213" s="2" t="s">
        <v>778</v>
      </c>
      <c r="G1213" s="2"/>
      <c r="H1213" s="2" t="s">
        <v>778</v>
      </c>
      <c r="I1213" s="2"/>
      <c r="J1213" s="2" t="s">
        <v>2673</v>
      </c>
      <c r="K1213" s="2" t="s">
        <v>2672</v>
      </c>
    </row>
    <row r="1214" spans="1:11" s="4" customFormat="1" ht="18" customHeight="1">
      <c r="A1214" s="2" t="s">
        <v>2674</v>
      </c>
      <c r="B1214" s="3"/>
      <c r="C1214" s="2"/>
      <c r="D1214" s="3"/>
      <c r="E1214" s="2"/>
      <c r="F1214" s="2" t="s">
        <v>3957</v>
      </c>
      <c r="G1214" s="2"/>
      <c r="H1214" s="2" t="s">
        <v>3957</v>
      </c>
      <c r="I1214" s="2"/>
      <c r="J1214" s="2" t="s">
        <v>2675</v>
      </c>
      <c r="K1214" s="2" t="s">
        <v>2674</v>
      </c>
    </row>
    <row r="1215" spans="1:11" s="4" customFormat="1" ht="18" customHeight="1">
      <c r="A1215" s="2" t="s">
        <v>2676</v>
      </c>
      <c r="B1215" s="3"/>
      <c r="C1215" s="2"/>
      <c r="D1215" s="3"/>
      <c r="E1215" s="2"/>
      <c r="F1215" s="2" t="s">
        <v>887</v>
      </c>
      <c r="G1215" s="2"/>
      <c r="H1215" s="2" t="s">
        <v>887</v>
      </c>
      <c r="I1215" s="2"/>
      <c r="J1215" s="2" t="s">
        <v>2677</v>
      </c>
      <c r="K1215" s="2" t="s">
        <v>2676</v>
      </c>
    </row>
    <row r="1216" spans="1:11" s="4" customFormat="1" ht="18" customHeight="1">
      <c r="A1216" s="2" t="s">
        <v>2678</v>
      </c>
      <c r="B1216" s="3"/>
      <c r="C1216" s="2"/>
      <c r="D1216" s="3"/>
      <c r="E1216" s="2"/>
      <c r="F1216" s="2" t="s">
        <v>889</v>
      </c>
      <c r="G1216" s="2"/>
      <c r="H1216" s="2" t="s">
        <v>890</v>
      </c>
      <c r="I1216" s="2"/>
      <c r="J1216" s="2" t="s">
        <v>2662</v>
      </c>
      <c r="K1216" s="2" t="s">
        <v>2678</v>
      </c>
    </row>
    <row r="1217" spans="1:11" s="4" customFormat="1" ht="18" customHeight="1">
      <c r="A1217" s="2" t="s">
        <v>2679</v>
      </c>
      <c r="B1217" s="3"/>
      <c r="C1217" s="2"/>
      <c r="D1217" s="3"/>
      <c r="E1217" s="2"/>
      <c r="F1217" s="2" t="s">
        <v>3936</v>
      </c>
      <c r="G1217" s="2"/>
      <c r="H1217" s="2" t="s">
        <v>3936</v>
      </c>
      <c r="I1217" s="2"/>
      <c r="J1217" s="2" t="s">
        <v>2680</v>
      </c>
      <c r="K1217" s="2" t="s">
        <v>2679</v>
      </c>
    </row>
    <row r="1218" spans="1:11" s="4" customFormat="1" ht="18" customHeight="1">
      <c r="A1218" s="2" t="s">
        <v>2681</v>
      </c>
      <c r="B1218" s="3"/>
      <c r="C1218" s="2"/>
      <c r="D1218" s="3"/>
      <c r="E1218" s="2"/>
      <c r="F1218" s="2" t="s">
        <v>594</v>
      </c>
      <c r="G1218" s="2"/>
      <c r="H1218" s="2" t="s">
        <v>594</v>
      </c>
      <c r="I1218" s="2"/>
      <c r="J1218" s="2" t="s">
        <v>2682</v>
      </c>
      <c r="K1218" s="2" t="s">
        <v>2681</v>
      </c>
    </row>
    <row r="1219" spans="1:11" s="4" customFormat="1" ht="18" customHeight="1">
      <c r="A1219" s="2" t="s">
        <v>2684</v>
      </c>
      <c r="B1219" s="3"/>
      <c r="C1219" s="2"/>
      <c r="D1219" s="3"/>
      <c r="E1219" s="2"/>
      <c r="F1219" s="2" t="s">
        <v>2472</v>
      </c>
      <c r="G1219" s="2"/>
      <c r="H1219" s="2" t="s">
        <v>2472</v>
      </c>
      <c r="I1219" s="2"/>
      <c r="J1219" s="2" t="s">
        <v>2685</v>
      </c>
      <c r="K1219" s="2" t="s">
        <v>2684</v>
      </c>
    </row>
    <row r="1220" spans="1:11" s="4" customFormat="1" ht="18" customHeight="1">
      <c r="A1220" s="2" t="s">
        <v>2686</v>
      </c>
      <c r="B1220" s="3"/>
      <c r="C1220" s="2"/>
      <c r="D1220" s="3"/>
      <c r="E1220" s="2"/>
      <c r="F1220" s="2" t="s">
        <v>1652</v>
      </c>
      <c r="G1220" s="2"/>
      <c r="H1220" s="2" t="s">
        <v>1652</v>
      </c>
      <c r="I1220" s="2"/>
      <c r="J1220" s="2" t="s">
        <v>2687</v>
      </c>
      <c r="K1220" s="2" t="s">
        <v>2686</v>
      </c>
    </row>
    <row r="1221" spans="1:11" s="4" customFormat="1" ht="18" customHeight="1">
      <c r="A1221" s="2" t="s">
        <v>2688</v>
      </c>
      <c r="B1221" s="3"/>
      <c r="C1221" s="2"/>
      <c r="D1221" s="3"/>
      <c r="E1221" s="2"/>
      <c r="F1221" s="2" t="s">
        <v>721</v>
      </c>
      <c r="G1221" s="2"/>
      <c r="H1221" s="2" t="s">
        <v>721</v>
      </c>
      <c r="I1221" s="2"/>
      <c r="J1221" s="2" t="s">
        <v>2690</v>
      </c>
      <c r="K1221" s="2" t="s">
        <v>2688</v>
      </c>
    </row>
    <row r="1222" spans="1:11" s="4" customFormat="1" ht="18" customHeight="1">
      <c r="A1222" s="2" t="s">
        <v>2691</v>
      </c>
      <c r="B1222" s="3"/>
      <c r="C1222" s="2"/>
      <c r="D1222" s="3"/>
      <c r="E1222" s="2"/>
      <c r="F1222" s="2" t="s">
        <v>721</v>
      </c>
      <c r="G1222" s="2"/>
      <c r="H1222" s="2" t="s">
        <v>721</v>
      </c>
      <c r="I1222" s="2"/>
      <c r="J1222" s="2" t="s">
        <v>2692</v>
      </c>
      <c r="K1222" s="2" t="s">
        <v>2691</v>
      </c>
    </row>
    <row r="1223" spans="1:11" s="4" customFormat="1" ht="18" customHeight="1">
      <c r="A1223" s="2" t="s">
        <v>2693</v>
      </c>
      <c r="B1223" s="3"/>
      <c r="C1223" s="2"/>
      <c r="D1223" s="3"/>
      <c r="E1223" s="2"/>
      <c r="F1223" s="2" t="s">
        <v>1517</v>
      </c>
      <c r="G1223" s="2"/>
      <c r="H1223" s="2" t="s">
        <v>1517</v>
      </c>
      <c r="I1223" s="2"/>
      <c r="J1223" s="2" t="s">
        <v>2694</v>
      </c>
      <c r="K1223" s="2" t="s">
        <v>2693</v>
      </c>
    </row>
    <row r="1224" spans="1:11" s="4" customFormat="1" ht="18" customHeight="1">
      <c r="A1224" s="2" t="s">
        <v>2696</v>
      </c>
      <c r="B1224" s="3"/>
      <c r="C1224" s="2"/>
      <c r="D1224" s="3"/>
      <c r="E1224" s="2"/>
      <c r="F1224" s="2" t="s">
        <v>2771</v>
      </c>
      <c r="G1224" s="2"/>
      <c r="H1224" s="2" t="s">
        <v>2771</v>
      </c>
      <c r="I1224" s="2"/>
      <c r="J1224" s="2" t="s">
        <v>2697</v>
      </c>
      <c r="K1224" s="2" t="s">
        <v>2696</v>
      </c>
    </row>
    <row r="1225" spans="1:11" s="4" customFormat="1" ht="18" customHeight="1">
      <c r="A1225" s="2" t="s">
        <v>2698</v>
      </c>
      <c r="B1225" s="3"/>
      <c r="C1225" s="2"/>
      <c r="D1225" s="3"/>
      <c r="E1225" s="2"/>
      <c r="F1225" s="2" t="s">
        <v>3649</v>
      </c>
      <c r="G1225" s="2"/>
      <c r="H1225" s="2" t="s">
        <v>3649</v>
      </c>
      <c r="I1225" s="2"/>
      <c r="J1225" s="2" t="s">
        <v>2699</v>
      </c>
      <c r="K1225" s="2" t="s">
        <v>2698</v>
      </c>
    </row>
    <row r="1226" spans="1:11" s="4" customFormat="1" ht="18" customHeight="1">
      <c r="A1226" s="2" t="s">
        <v>2700</v>
      </c>
      <c r="B1226" s="3"/>
      <c r="C1226" s="2"/>
      <c r="D1226" s="3"/>
      <c r="E1226" s="2"/>
      <c r="F1226" s="2" t="s">
        <v>488</v>
      </c>
      <c r="G1226" s="2"/>
      <c r="H1226" s="2" t="s">
        <v>488</v>
      </c>
      <c r="I1226" s="2"/>
      <c r="J1226" s="2" t="s">
        <v>2701</v>
      </c>
      <c r="K1226" s="2" t="s">
        <v>2700</v>
      </c>
    </row>
    <row r="1227" spans="1:11" s="4" customFormat="1" ht="18" customHeight="1">
      <c r="A1227" s="2" t="s">
        <v>2702</v>
      </c>
      <c r="B1227" s="3"/>
      <c r="C1227" s="2"/>
      <c r="D1227" s="3"/>
      <c r="E1227" s="2"/>
      <c r="F1227" s="2" t="s">
        <v>2586</v>
      </c>
      <c r="G1227" s="2"/>
      <c r="H1227" s="2" t="s">
        <v>2586</v>
      </c>
      <c r="I1227" s="2"/>
      <c r="J1227" s="2" t="s">
        <v>2703</v>
      </c>
      <c r="K1227" s="2" t="s">
        <v>2702</v>
      </c>
    </row>
    <row r="1228" spans="1:11" s="4" customFormat="1" ht="18" customHeight="1">
      <c r="A1228" s="2" t="s">
        <v>2704</v>
      </c>
      <c r="B1228" s="3"/>
      <c r="C1228" s="2"/>
      <c r="D1228" s="3"/>
      <c r="E1228" s="2"/>
      <c r="F1228" s="2" t="s">
        <v>1633</v>
      </c>
      <c r="G1228" s="2"/>
      <c r="H1228" s="2" t="s">
        <v>1633</v>
      </c>
      <c r="I1228" s="2"/>
      <c r="J1228" s="2" t="s">
        <v>2705</v>
      </c>
      <c r="K1228" s="2" t="s">
        <v>2704</v>
      </c>
    </row>
    <row r="1229" spans="1:11" s="4" customFormat="1" ht="18" customHeight="1">
      <c r="A1229" s="2" t="s">
        <v>2706</v>
      </c>
      <c r="B1229" s="3"/>
      <c r="C1229" s="2"/>
      <c r="D1229" s="3"/>
      <c r="E1229" s="2"/>
      <c r="F1229" s="2" t="s">
        <v>3894</v>
      </c>
      <c r="G1229" s="2"/>
      <c r="H1229" s="2" t="s">
        <v>3894</v>
      </c>
      <c r="I1229" s="2"/>
      <c r="J1229" s="2" t="s">
        <v>2707</v>
      </c>
      <c r="K1229" s="2" t="s">
        <v>2706</v>
      </c>
    </row>
    <row r="1230" spans="1:11" s="4" customFormat="1" ht="18" customHeight="1">
      <c r="A1230" s="2" t="s">
        <v>2708</v>
      </c>
      <c r="B1230" s="3"/>
      <c r="C1230" s="2"/>
      <c r="D1230" s="3"/>
      <c r="E1230" s="2"/>
      <c r="F1230" s="2" t="s">
        <v>3603</v>
      </c>
      <c r="G1230" s="2"/>
      <c r="H1230" s="2" t="s">
        <v>3603</v>
      </c>
      <c r="I1230" s="2"/>
      <c r="J1230" s="2" t="s">
        <v>2709</v>
      </c>
      <c r="K1230" s="2" t="s">
        <v>2708</v>
      </c>
    </row>
    <row r="1231" spans="1:11" s="4" customFormat="1" ht="18" customHeight="1">
      <c r="A1231" s="2" t="s">
        <v>2710</v>
      </c>
      <c r="B1231" s="3"/>
      <c r="C1231" s="2"/>
      <c r="D1231" s="3"/>
      <c r="E1231" s="2"/>
      <c r="F1231" s="2" t="s">
        <v>3411</v>
      </c>
      <c r="G1231" s="2"/>
      <c r="H1231" s="2" t="s">
        <v>3411</v>
      </c>
      <c r="I1231" s="2"/>
      <c r="J1231" s="2" t="s">
        <v>2711</v>
      </c>
      <c r="K1231" s="2" t="s">
        <v>2710</v>
      </c>
    </row>
    <row r="1232" spans="1:11" s="4" customFormat="1" ht="18" customHeight="1">
      <c r="A1232" s="2" t="s">
        <v>2712</v>
      </c>
      <c r="B1232" s="3"/>
      <c r="C1232" s="2"/>
      <c r="D1232" s="3"/>
      <c r="E1232" s="2"/>
      <c r="F1232" s="2" t="s">
        <v>848</v>
      </c>
      <c r="G1232" s="2"/>
      <c r="H1232" s="2" t="s">
        <v>848</v>
      </c>
      <c r="I1232" s="2"/>
      <c r="J1232" s="2" t="s">
        <v>751</v>
      </c>
      <c r="K1232" s="2" t="s">
        <v>2712</v>
      </c>
    </row>
    <row r="1233" spans="1:11" s="4" customFormat="1" ht="18" customHeight="1">
      <c r="A1233" s="2" t="s">
        <v>2713</v>
      </c>
      <c r="B1233" s="3"/>
      <c r="C1233" s="2"/>
      <c r="D1233" s="3"/>
      <c r="E1233" s="2"/>
      <c r="F1233" s="2" t="s">
        <v>266</v>
      </c>
      <c r="G1233" s="2"/>
      <c r="H1233" s="2" t="s">
        <v>266</v>
      </c>
      <c r="I1233" s="2"/>
      <c r="J1233" s="2" t="s">
        <v>1669</v>
      </c>
      <c r="K1233" s="2" t="s">
        <v>2713</v>
      </c>
    </row>
    <row r="1234" spans="1:11" s="4" customFormat="1" ht="18" customHeight="1">
      <c r="A1234" s="2" t="s">
        <v>2714</v>
      </c>
      <c r="B1234" s="3"/>
      <c r="C1234" s="2"/>
      <c r="D1234" s="3"/>
      <c r="E1234" s="2"/>
      <c r="F1234" s="2" t="s">
        <v>3868</v>
      </c>
      <c r="G1234" s="2"/>
      <c r="H1234" s="2" t="s">
        <v>3868</v>
      </c>
      <c r="I1234" s="2"/>
      <c r="J1234" s="2" t="s">
        <v>2715</v>
      </c>
      <c r="K1234" s="2" t="s">
        <v>2714</v>
      </c>
    </row>
    <row r="1235" spans="1:11" s="4" customFormat="1" ht="18" customHeight="1">
      <c r="A1235" s="2" t="s">
        <v>2716</v>
      </c>
      <c r="B1235" s="3"/>
      <c r="C1235" s="2"/>
      <c r="D1235" s="3"/>
      <c r="E1235" s="2"/>
      <c r="F1235" s="2" t="s">
        <v>1182</v>
      </c>
      <c r="G1235" s="2"/>
      <c r="H1235" s="2" t="s">
        <v>1183</v>
      </c>
      <c r="I1235" s="2"/>
      <c r="J1235" s="2" t="s">
        <v>2717</v>
      </c>
      <c r="K1235" s="2" t="s">
        <v>2716</v>
      </c>
    </row>
    <row r="1236" spans="1:11" s="4" customFormat="1" ht="18" customHeight="1">
      <c r="A1236" s="2" t="s">
        <v>2718</v>
      </c>
      <c r="B1236" s="3"/>
      <c r="C1236" s="2"/>
      <c r="D1236" s="3"/>
      <c r="E1236" s="2"/>
      <c r="F1236" s="2" t="s">
        <v>2773</v>
      </c>
      <c r="G1236" s="2"/>
      <c r="H1236" s="2" t="s">
        <v>2773</v>
      </c>
      <c r="I1236" s="2"/>
      <c r="J1236" s="2" t="s">
        <v>2719</v>
      </c>
      <c r="K1236" s="2" t="s">
        <v>2718</v>
      </c>
    </row>
    <row r="1237" spans="1:11" s="4" customFormat="1" ht="18" customHeight="1">
      <c r="A1237" s="2" t="s">
        <v>2720</v>
      </c>
      <c r="B1237" s="3"/>
      <c r="C1237" s="2"/>
      <c r="D1237" s="3"/>
      <c r="E1237" s="2"/>
      <c r="F1237" s="2" t="s">
        <v>1519</v>
      </c>
      <c r="G1237" s="2"/>
      <c r="H1237" s="2" t="s">
        <v>1519</v>
      </c>
      <c r="I1237" s="2"/>
      <c r="J1237" s="2" t="s">
        <v>2722</v>
      </c>
      <c r="K1237" s="2" t="s">
        <v>2720</v>
      </c>
    </row>
    <row r="1238" spans="1:11" s="4" customFormat="1" ht="18" customHeight="1">
      <c r="A1238" s="2" t="s">
        <v>2723</v>
      </c>
      <c r="B1238" s="3"/>
      <c r="C1238" s="2"/>
      <c r="D1238" s="3"/>
      <c r="E1238" s="2"/>
      <c r="F1238" s="2" t="s">
        <v>1519</v>
      </c>
      <c r="G1238" s="2"/>
      <c r="H1238" s="2" t="s">
        <v>1519</v>
      </c>
      <c r="I1238" s="2"/>
      <c r="J1238" s="2" t="s">
        <v>549</v>
      </c>
      <c r="K1238" s="2" t="s">
        <v>2723</v>
      </c>
    </row>
    <row r="1239" spans="1:11" s="4" customFormat="1" ht="18" customHeight="1">
      <c r="A1239" s="2" t="s">
        <v>2724</v>
      </c>
      <c r="B1239" s="3"/>
      <c r="C1239" s="2"/>
      <c r="D1239" s="3"/>
      <c r="E1239" s="2"/>
      <c r="F1239" s="2" t="s">
        <v>1519</v>
      </c>
      <c r="G1239" s="2"/>
      <c r="H1239" s="2" t="s">
        <v>1519</v>
      </c>
      <c r="I1239" s="2"/>
      <c r="J1239" s="2" t="s">
        <v>2725</v>
      </c>
      <c r="K1239" s="2" t="s">
        <v>2724</v>
      </c>
    </row>
    <row r="1240" spans="1:11" s="4" customFormat="1" ht="18" customHeight="1">
      <c r="A1240" s="2" t="s">
        <v>2727</v>
      </c>
      <c r="B1240" s="3"/>
      <c r="C1240" s="2"/>
      <c r="D1240" s="3"/>
      <c r="E1240" s="2"/>
      <c r="F1240" s="2" t="s">
        <v>2167</v>
      </c>
      <c r="G1240" s="2"/>
      <c r="H1240" s="2" t="s">
        <v>2167</v>
      </c>
      <c r="I1240" s="2"/>
      <c r="J1240" s="2" t="s">
        <v>2728</v>
      </c>
      <c r="K1240" s="2" t="s">
        <v>2727</v>
      </c>
    </row>
    <row r="1241" spans="1:11" s="4" customFormat="1" ht="18" customHeight="1">
      <c r="A1241" s="2" t="s">
        <v>2729</v>
      </c>
      <c r="B1241" s="3"/>
      <c r="C1241" s="2"/>
      <c r="D1241" s="3"/>
      <c r="E1241" s="2"/>
      <c r="F1241" s="2" t="s">
        <v>2853</v>
      </c>
      <c r="G1241" s="2"/>
      <c r="H1241" s="2" t="s">
        <v>2853</v>
      </c>
      <c r="I1241" s="2"/>
      <c r="J1241" s="2" t="s">
        <v>2730</v>
      </c>
      <c r="K1241" s="2" t="s">
        <v>2729</v>
      </c>
    </row>
    <row r="1242" spans="1:11" s="4" customFormat="1" ht="18" customHeight="1">
      <c r="A1242" s="2" t="s">
        <v>2731</v>
      </c>
      <c r="B1242" s="3"/>
      <c r="C1242" s="2"/>
      <c r="D1242" s="3"/>
      <c r="E1242" s="2"/>
      <c r="F1242" s="2" t="s">
        <v>1671</v>
      </c>
      <c r="G1242" s="2"/>
      <c r="H1242" s="2" t="s">
        <v>1671</v>
      </c>
      <c r="I1242" s="2"/>
      <c r="J1242" s="2" t="s">
        <v>2732</v>
      </c>
      <c r="K1242" s="2" t="s">
        <v>2731</v>
      </c>
    </row>
    <row r="1243" spans="1:11" s="4" customFormat="1" ht="18" customHeight="1">
      <c r="A1243" s="2" t="s">
        <v>2733</v>
      </c>
      <c r="B1243" s="3"/>
      <c r="C1243" s="2"/>
      <c r="D1243" s="3"/>
      <c r="E1243" s="2"/>
      <c r="F1243" s="2" t="s">
        <v>524</v>
      </c>
      <c r="G1243" s="2"/>
      <c r="H1243" s="2" t="s">
        <v>525</v>
      </c>
      <c r="I1243" s="2"/>
      <c r="J1243" s="2" t="s">
        <v>2734</v>
      </c>
      <c r="K1243" s="2" t="s">
        <v>2733</v>
      </c>
    </row>
    <row r="1244" spans="1:11" s="4" customFormat="1" ht="18" customHeight="1">
      <c r="A1244" s="2" t="s">
        <v>2735</v>
      </c>
      <c r="B1244" s="3"/>
      <c r="C1244" s="2"/>
      <c r="D1244" s="3"/>
      <c r="E1244" s="2"/>
      <c r="F1244" s="2" t="s">
        <v>524</v>
      </c>
      <c r="G1244" s="2"/>
      <c r="H1244" s="2" t="s">
        <v>524</v>
      </c>
      <c r="I1244" s="2"/>
      <c r="J1244" s="2" t="s">
        <v>2737</v>
      </c>
      <c r="K1244" s="2" t="s">
        <v>2735</v>
      </c>
    </row>
    <row r="1245" spans="1:11" s="4" customFormat="1" ht="18" customHeight="1">
      <c r="A1245" s="2" t="s">
        <v>2738</v>
      </c>
      <c r="B1245" s="3"/>
      <c r="C1245" s="2"/>
      <c r="D1245" s="3"/>
      <c r="E1245" s="2"/>
      <c r="F1245" s="2" t="s">
        <v>2171</v>
      </c>
      <c r="G1245" s="2"/>
      <c r="H1245" s="2" t="s">
        <v>2171</v>
      </c>
      <c r="I1245" s="2"/>
      <c r="J1245" s="2" t="s">
        <v>2739</v>
      </c>
      <c r="K1245" s="2" t="s">
        <v>2738</v>
      </c>
    </row>
    <row r="1246" spans="1:11" s="4" customFormat="1" ht="18" customHeight="1">
      <c r="A1246" s="2" t="s">
        <v>2740</v>
      </c>
      <c r="B1246" s="3"/>
      <c r="C1246" s="2"/>
      <c r="D1246" s="3"/>
      <c r="E1246" s="2"/>
      <c r="F1246" s="2" t="s">
        <v>2171</v>
      </c>
      <c r="G1246" s="2"/>
      <c r="H1246" s="2" t="s">
        <v>2171</v>
      </c>
      <c r="I1246" s="2"/>
      <c r="J1246" s="2" t="s">
        <v>2741</v>
      </c>
      <c r="K1246" s="2" t="s">
        <v>2740</v>
      </c>
    </row>
    <row r="1247" spans="1:11" s="4" customFormat="1" ht="18" customHeight="1">
      <c r="A1247" s="2" t="s">
        <v>2742</v>
      </c>
      <c r="B1247" s="3"/>
      <c r="C1247" s="2"/>
      <c r="D1247" s="3"/>
      <c r="E1247" s="2"/>
      <c r="F1247" s="2" t="s">
        <v>2171</v>
      </c>
      <c r="G1247" s="2"/>
      <c r="H1247" s="2" t="s">
        <v>2171</v>
      </c>
      <c r="I1247" s="2"/>
      <c r="J1247" s="2" t="s">
        <v>2743</v>
      </c>
      <c r="K1247" s="2" t="s">
        <v>2742</v>
      </c>
    </row>
    <row r="1248" spans="1:11" s="4" customFormat="1" ht="18" customHeight="1">
      <c r="A1248" s="2" t="s">
        <v>2744</v>
      </c>
      <c r="B1248" s="3"/>
      <c r="C1248" s="2"/>
      <c r="D1248" s="3"/>
      <c r="E1248" s="2"/>
      <c r="F1248" s="2" t="s">
        <v>2171</v>
      </c>
      <c r="G1248" s="2"/>
      <c r="H1248" s="2" t="s">
        <v>2171</v>
      </c>
      <c r="I1248" s="2"/>
      <c r="J1248" s="2" t="s">
        <v>2745</v>
      </c>
      <c r="K1248" s="2" t="s">
        <v>2744</v>
      </c>
    </row>
    <row r="1249" spans="1:11" s="4" customFormat="1" ht="18" customHeight="1">
      <c r="A1249" s="2" t="s">
        <v>2746</v>
      </c>
      <c r="B1249" s="3"/>
      <c r="C1249" s="2"/>
      <c r="D1249" s="3"/>
      <c r="E1249" s="2"/>
      <c r="F1249" s="2" t="s">
        <v>2171</v>
      </c>
      <c r="G1249" s="2"/>
      <c r="H1249" s="2" t="s">
        <v>2171</v>
      </c>
      <c r="I1249" s="2"/>
      <c r="J1249" s="2" t="s">
        <v>2747</v>
      </c>
      <c r="K1249" s="2" t="s">
        <v>2746</v>
      </c>
    </row>
    <row r="1250" spans="1:11" s="4" customFormat="1" ht="18" customHeight="1">
      <c r="A1250" s="2" t="s">
        <v>2748</v>
      </c>
      <c r="B1250" s="3"/>
      <c r="C1250" s="2"/>
      <c r="D1250" s="3"/>
      <c r="E1250" s="2"/>
      <c r="F1250" s="2" t="s">
        <v>2855</v>
      </c>
      <c r="G1250" s="2"/>
      <c r="H1250" s="2" t="s">
        <v>2855</v>
      </c>
      <c r="I1250" s="2"/>
      <c r="J1250" s="2" t="s">
        <v>2749</v>
      </c>
      <c r="K1250" s="2" t="s">
        <v>2748</v>
      </c>
    </row>
    <row r="1251" spans="1:11" s="4" customFormat="1" ht="18" customHeight="1">
      <c r="A1251" s="2" t="s">
        <v>2751</v>
      </c>
      <c r="B1251" s="3"/>
      <c r="C1251" s="2"/>
      <c r="D1251" s="3"/>
      <c r="E1251" s="2"/>
      <c r="F1251" s="2" t="s">
        <v>3413</v>
      </c>
      <c r="G1251" s="2"/>
      <c r="H1251" s="2" t="s">
        <v>3413</v>
      </c>
      <c r="I1251" s="2"/>
      <c r="J1251" s="2" t="s">
        <v>2752</v>
      </c>
      <c r="K1251" s="2" t="s">
        <v>2751</v>
      </c>
    </row>
    <row r="1252" spans="1:11" s="4" customFormat="1" ht="18" customHeight="1">
      <c r="A1252" s="2" t="s">
        <v>2753</v>
      </c>
      <c r="B1252" s="3"/>
      <c r="C1252" s="2"/>
      <c r="D1252" s="3"/>
      <c r="E1252" s="2"/>
      <c r="F1252" s="2" t="s">
        <v>2198</v>
      </c>
      <c r="G1252" s="2"/>
      <c r="H1252" s="2" t="s">
        <v>2198</v>
      </c>
      <c r="I1252" s="2"/>
      <c r="J1252" s="2" t="s">
        <v>2754</v>
      </c>
      <c r="K1252" s="2" t="s">
        <v>2753</v>
      </c>
    </row>
    <row r="1253" spans="1:11" s="4" customFormat="1" ht="18" customHeight="1">
      <c r="A1253" s="2" t="s">
        <v>2755</v>
      </c>
      <c r="B1253" s="3"/>
      <c r="C1253" s="2"/>
      <c r="D1253" s="3"/>
      <c r="E1253" s="2"/>
      <c r="F1253" s="2" t="s">
        <v>3228</v>
      </c>
      <c r="G1253" s="2"/>
      <c r="H1253" s="2" t="s">
        <v>3229</v>
      </c>
      <c r="I1253" s="2"/>
      <c r="J1253" s="2" t="s">
        <v>2756</v>
      </c>
      <c r="K1253" s="2" t="s">
        <v>2755</v>
      </c>
    </row>
    <row r="1254" spans="1:11" s="4" customFormat="1" ht="18" customHeight="1">
      <c r="A1254" s="2" t="s">
        <v>2757</v>
      </c>
      <c r="B1254" s="3"/>
      <c r="C1254" s="2"/>
      <c r="D1254" s="3"/>
      <c r="E1254" s="2"/>
      <c r="F1254" s="2" t="s">
        <v>1606</v>
      </c>
      <c r="G1254" s="2"/>
      <c r="H1254" s="2" t="s">
        <v>1606</v>
      </c>
      <c r="I1254" s="2"/>
      <c r="J1254" s="2" t="s">
        <v>2758</v>
      </c>
      <c r="K1254" s="2" t="s">
        <v>2757</v>
      </c>
    </row>
    <row r="1255" spans="1:11" s="4" customFormat="1" ht="18" customHeight="1">
      <c r="A1255" s="2" t="s">
        <v>2759</v>
      </c>
      <c r="B1255" s="3"/>
      <c r="C1255" s="2"/>
      <c r="D1255" s="3"/>
      <c r="E1255" s="2"/>
      <c r="F1255" s="2" t="s">
        <v>1261</v>
      </c>
      <c r="G1255" s="2"/>
      <c r="H1255" s="2" t="s">
        <v>1261</v>
      </c>
      <c r="I1255" s="2"/>
      <c r="J1255" s="2" t="s">
        <v>2760</v>
      </c>
      <c r="K1255" s="2" t="s">
        <v>2759</v>
      </c>
    </row>
    <row r="1256" spans="1:11" s="4" customFormat="1" ht="18" customHeight="1">
      <c r="A1256" s="2" t="s">
        <v>2761</v>
      </c>
      <c r="B1256" s="3"/>
      <c r="C1256" s="2"/>
      <c r="D1256" s="3"/>
      <c r="E1256" s="2"/>
      <c r="F1256" s="2" t="s">
        <v>3171</v>
      </c>
      <c r="G1256" s="2"/>
      <c r="H1256" s="2" t="s">
        <v>3171</v>
      </c>
      <c r="I1256" s="2"/>
      <c r="J1256" s="2" t="s">
        <v>2762</v>
      </c>
      <c r="K1256" s="2" t="s">
        <v>2761</v>
      </c>
    </row>
    <row r="1257" spans="1:11" s="4" customFormat="1" ht="18" customHeight="1">
      <c r="A1257" s="2" t="s">
        <v>2763</v>
      </c>
      <c r="B1257" s="3"/>
      <c r="C1257" s="2"/>
      <c r="D1257" s="3"/>
      <c r="E1257" s="2"/>
      <c r="F1257" s="2" t="s">
        <v>2143</v>
      </c>
      <c r="G1257" s="2"/>
      <c r="H1257" s="2" t="s">
        <v>2143</v>
      </c>
      <c r="I1257" s="2"/>
      <c r="J1257" s="2" t="s">
        <v>306</v>
      </c>
      <c r="K1257" s="2" t="s">
        <v>2763</v>
      </c>
    </row>
    <row r="1258" spans="1:11" s="4" customFormat="1" ht="18" customHeight="1">
      <c r="A1258" s="2" t="s">
        <v>2764</v>
      </c>
      <c r="B1258" s="3"/>
      <c r="C1258" s="2"/>
      <c r="D1258" s="3"/>
      <c r="E1258" s="2"/>
      <c r="F1258" s="2" t="s">
        <v>3557</v>
      </c>
      <c r="G1258" s="2"/>
      <c r="H1258" s="2" t="s">
        <v>3557</v>
      </c>
      <c r="I1258" s="2"/>
      <c r="J1258" s="2" t="s">
        <v>2765</v>
      </c>
      <c r="K1258" s="2" t="s">
        <v>2764</v>
      </c>
    </row>
    <row r="1259" spans="1:11" s="4" customFormat="1" ht="18" customHeight="1">
      <c r="A1259" s="2" t="s">
        <v>2766</v>
      </c>
      <c r="B1259" s="3"/>
      <c r="C1259" s="2"/>
      <c r="D1259" s="3"/>
      <c r="E1259" s="2"/>
      <c r="F1259" s="2" t="s">
        <v>1073</v>
      </c>
      <c r="G1259" s="2"/>
      <c r="H1259" s="2" t="s">
        <v>1073</v>
      </c>
      <c r="I1259" s="2"/>
      <c r="J1259" s="2" t="s">
        <v>2767</v>
      </c>
      <c r="K1259" s="2" t="s">
        <v>2766</v>
      </c>
    </row>
    <row r="1260" spans="1:11" s="4" customFormat="1" ht="18" customHeight="1">
      <c r="A1260" s="2" t="s">
        <v>2768</v>
      </c>
      <c r="B1260" s="3"/>
      <c r="C1260" s="2"/>
      <c r="D1260" s="3"/>
      <c r="E1260" s="2"/>
      <c r="F1260" s="2" t="s">
        <v>2857</v>
      </c>
      <c r="G1260" s="2"/>
      <c r="H1260" s="2" t="s">
        <v>2857</v>
      </c>
      <c r="I1260" s="2"/>
      <c r="J1260" s="2" t="s">
        <v>2769</v>
      </c>
      <c r="K1260" s="2" t="s">
        <v>2768</v>
      </c>
    </row>
    <row r="1261" spans="1:11" s="4" customFormat="1" ht="18" customHeight="1">
      <c r="A1261" s="2" t="s">
        <v>2770</v>
      </c>
      <c r="B1261" s="3"/>
      <c r="C1261" s="2"/>
      <c r="D1261" s="3"/>
      <c r="E1261" s="2"/>
      <c r="F1261" s="2" t="s">
        <v>2859</v>
      </c>
      <c r="G1261" s="2"/>
      <c r="H1261" s="2" t="s">
        <v>2859</v>
      </c>
      <c r="I1261" s="2"/>
      <c r="J1261" s="2" t="s">
        <v>2771</v>
      </c>
      <c r="K1261" s="2" t="s">
        <v>2770</v>
      </c>
    </row>
    <row r="1262" spans="1:11" s="4" customFormat="1" ht="18" customHeight="1">
      <c r="A1262" s="2" t="s">
        <v>2772</v>
      </c>
      <c r="B1262" s="3"/>
      <c r="C1262" s="2"/>
      <c r="D1262" s="3"/>
      <c r="E1262" s="2"/>
      <c r="F1262" s="2" t="s">
        <v>2145</v>
      </c>
      <c r="G1262" s="2"/>
      <c r="H1262" s="2" t="s">
        <v>2145</v>
      </c>
      <c r="I1262" s="2"/>
      <c r="J1262" s="2" t="s">
        <v>2773</v>
      </c>
      <c r="K1262" s="2" t="s">
        <v>2772</v>
      </c>
    </row>
    <row r="1263" spans="1:11" s="4" customFormat="1" ht="18" customHeight="1">
      <c r="A1263" s="2" t="s">
        <v>2774</v>
      </c>
      <c r="B1263" s="3"/>
      <c r="C1263" s="2"/>
      <c r="D1263" s="3"/>
      <c r="E1263" s="2"/>
      <c r="F1263" s="2" t="s">
        <v>3344</v>
      </c>
      <c r="G1263" s="2"/>
      <c r="H1263" s="2" t="s">
        <v>3344</v>
      </c>
      <c r="I1263" s="2"/>
      <c r="J1263" s="2" t="s">
        <v>2775</v>
      </c>
      <c r="K1263" s="2" t="s">
        <v>2774</v>
      </c>
    </row>
    <row r="1264" spans="1:11" s="4" customFormat="1" ht="18" customHeight="1">
      <c r="A1264" s="2" t="s">
        <v>2776</v>
      </c>
      <c r="B1264" s="3"/>
      <c r="C1264" s="2"/>
      <c r="D1264" s="3"/>
      <c r="E1264" s="2"/>
      <c r="F1264" s="2" t="s">
        <v>1213</v>
      </c>
      <c r="G1264" s="2"/>
      <c r="H1264" s="2" t="s">
        <v>1213</v>
      </c>
      <c r="I1264" s="2"/>
      <c r="J1264" s="2" t="s">
        <v>2777</v>
      </c>
      <c r="K1264" s="2" t="s">
        <v>2776</v>
      </c>
    </row>
    <row r="1265" spans="1:11" s="4" customFormat="1" ht="18" customHeight="1">
      <c r="A1265" s="2" t="s">
        <v>2778</v>
      </c>
      <c r="B1265" s="3"/>
      <c r="C1265" s="2"/>
      <c r="D1265" s="3"/>
      <c r="E1265" s="2"/>
      <c r="F1265" s="2" t="s">
        <v>4075</v>
      </c>
      <c r="G1265" s="2"/>
      <c r="H1265" s="2" t="s">
        <v>4076</v>
      </c>
      <c r="I1265" s="2"/>
      <c r="J1265" s="2" t="s">
        <v>2779</v>
      </c>
      <c r="K1265" s="2" t="s">
        <v>2778</v>
      </c>
    </row>
    <row r="1266" spans="1:11" s="4" customFormat="1" ht="18" customHeight="1">
      <c r="A1266" s="2" t="s">
        <v>2780</v>
      </c>
      <c r="B1266" s="3"/>
      <c r="C1266" s="2"/>
      <c r="D1266" s="3"/>
      <c r="E1266" s="2"/>
      <c r="F1266" s="2" t="s">
        <v>3672</v>
      </c>
      <c r="G1266" s="2"/>
      <c r="H1266" s="2" t="s">
        <v>3672</v>
      </c>
      <c r="I1266" s="2"/>
      <c r="J1266" s="2" t="s">
        <v>2781</v>
      </c>
      <c r="K1266" s="2" t="s">
        <v>2780</v>
      </c>
    </row>
    <row r="1267" spans="1:11" s="4" customFormat="1" ht="18" customHeight="1">
      <c r="A1267" s="2" t="s">
        <v>2782</v>
      </c>
      <c r="B1267" s="3"/>
      <c r="C1267" s="2"/>
      <c r="D1267" s="3"/>
      <c r="E1267" s="2"/>
      <c r="F1267" s="2" t="s">
        <v>3722</v>
      </c>
      <c r="G1267" s="2"/>
      <c r="H1267" s="2" t="s">
        <v>3722</v>
      </c>
      <c r="I1267" s="2"/>
      <c r="J1267" s="2" t="s">
        <v>2783</v>
      </c>
      <c r="K1267" s="2" t="s">
        <v>2782</v>
      </c>
    </row>
    <row r="1268" spans="1:11" s="4" customFormat="1" ht="18" customHeight="1">
      <c r="A1268" s="2" t="s">
        <v>2784</v>
      </c>
      <c r="B1268" s="3"/>
      <c r="C1268" s="2"/>
      <c r="D1268" s="3"/>
      <c r="E1268" s="2"/>
      <c r="F1268" s="2" t="s">
        <v>3128</v>
      </c>
      <c r="G1268" s="2"/>
      <c r="H1268" s="2" t="s">
        <v>3129</v>
      </c>
      <c r="I1268" s="2"/>
      <c r="J1268" s="2" t="s">
        <v>2785</v>
      </c>
      <c r="K1268" s="2" t="s">
        <v>2784</v>
      </c>
    </row>
    <row r="1269" spans="1:11" s="4" customFormat="1" ht="18" customHeight="1">
      <c r="A1269" s="2" t="s">
        <v>2786</v>
      </c>
      <c r="B1269" s="3"/>
      <c r="C1269" s="2"/>
      <c r="D1269" s="3"/>
      <c r="E1269" s="2"/>
      <c r="F1269" s="2" t="s">
        <v>3276</v>
      </c>
      <c r="G1269" s="2"/>
      <c r="H1269" s="2" t="s">
        <v>3277</v>
      </c>
      <c r="I1269" s="2"/>
      <c r="J1269" s="2" t="s">
        <v>2171</v>
      </c>
      <c r="K1269" s="2" t="s">
        <v>2786</v>
      </c>
    </row>
    <row r="1270" spans="1:11" s="4" customFormat="1" ht="18" customHeight="1">
      <c r="A1270" s="2" t="s">
        <v>2787</v>
      </c>
      <c r="B1270" s="3"/>
      <c r="C1270" s="2"/>
      <c r="D1270" s="3"/>
      <c r="E1270" s="2"/>
      <c r="F1270" s="2" t="s">
        <v>1088</v>
      </c>
      <c r="G1270" s="2"/>
      <c r="H1270" s="2" t="s">
        <v>1088</v>
      </c>
      <c r="I1270" s="2"/>
      <c r="J1270" s="2" t="s">
        <v>2736</v>
      </c>
      <c r="K1270" s="2" t="s">
        <v>2787</v>
      </c>
    </row>
    <row r="1271" spans="1:11" s="4" customFormat="1" ht="18" customHeight="1">
      <c r="A1271" s="2" t="s">
        <v>2788</v>
      </c>
      <c r="B1271" s="3"/>
      <c r="C1271" s="2"/>
      <c r="D1271" s="3"/>
      <c r="E1271" s="2"/>
      <c r="F1271" s="2" t="s">
        <v>1263</v>
      </c>
      <c r="G1271" s="2"/>
      <c r="H1271" s="2" t="s">
        <v>1264</v>
      </c>
      <c r="I1271" s="2"/>
      <c r="J1271" s="2" t="s">
        <v>2789</v>
      </c>
      <c r="K1271" s="2" t="s">
        <v>2788</v>
      </c>
    </row>
    <row r="1272" spans="1:11" s="4" customFormat="1" ht="18" customHeight="1">
      <c r="A1272" s="2" t="s">
        <v>2790</v>
      </c>
      <c r="B1272" s="3"/>
      <c r="C1272" s="2"/>
      <c r="D1272" s="3"/>
      <c r="E1272" s="2"/>
      <c r="F1272" s="2" t="s">
        <v>1090</v>
      </c>
      <c r="G1272" s="2"/>
      <c r="H1272" s="2" t="s">
        <v>1091</v>
      </c>
      <c r="I1272" s="2"/>
      <c r="J1272" s="2" t="s">
        <v>2791</v>
      </c>
      <c r="K1272" s="2" t="s">
        <v>2790</v>
      </c>
    </row>
    <row r="1273" spans="1:11" s="4" customFormat="1" ht="18" customHeight="1">
      <c r="A1273" s="2" t="s">
        <v>2792</v>
      </c>
      <c r="B1273" s="3"/>
      <c r="C1273" s="2"/>
      <c r="D1273" s="3"/>
      <c r="E1273" s="2"/>
      <c r="F1273" s="2" t="s">
        <v>1705</v>
      </c>
      <c r="G1273" s="2"/>
      <c r="H1273" s="2" t="s">
        <v>1705</v>
      </c>
      <c r="I1273" s="2"/>
      <c r="J1273" s="2" t="s">
        <v>2793</v>
      </c>
      <c r="K1273" s="2" t="s">
        <v>2792</v>
      </c>
    </row>
    <row r="1274" spans="1:11" s="4" customFormat="1" ht="18" customHeight="1">
      <c r="A1274" s="2" t="s">
        <v>2794</v>
      </c>
      <c r="B1274" s="3"/>
      <c r="C1274" s="2"/>
      <c r="D1274" s="3"/>
      <c r="E1274" s="2"/>
      <c r="F1274" s="2" t="s">
        <v>1773</v>
      </c>
      <c r="G1274" s="2"/>
      <c r="H1274" s="2" t="s">
        <v>1773</v>
      </c>
      <c r="I1274" s="2"/>
      <c r="J1274" s="2" t="s">
        <v>2795</v>
      </c>
      <c r="K1274" s="2" t="s">
        <v>2794</v>
      </c>
    </row>
    <row r="1275" spans="1:11" s="4" customFormat="1" ht="18" customHeight="1">
      <c r="A1275" s="2" t="s">
        <v>2796</v>
      </c>
      <c r="B1275" s="3"/>
      <c r="C1275" s="2"/>
      <c r="D1275" s="3"/>
      <c r="E1275" s="2"/>
      <c r="F1275" s="2" t="s">
        <v>892</v>
      </c>
      <c r="G1275" s="2"/>
      <c r="H1275" s="2" t="s">
        <v>892</v>
      </c>
      <c r="I1275" s="2"/>
      <c r="J1275" s="2" t="s">
        <v>2797</v>
      </c>
      <c r="K1275" s="2" t="s">
        <v>2796</v>
      </c>
    </row>
    <row r="1276" spans="1:11" s="4" customFormat="1" ht="18" customHeight="1">
      <c r="A1276" s="2" t="s">
        <v>2798</v>
      </c>
      <c r="B1276" s="3"/>
      <c r="C1276" s="2"/>
      <c r="D1276" s="3"/>
      <c r="E1276" s="2"/>
      <c r="F1276" s="2" t="s">
        <v>1998</v>
      </c>
      <c r="G1276" s="2"/>
      <c r="H1276" s="2" t="s">
        <v>1998</v>
      </c>
      <c r="I1276" s="2"/>
      <c r="J1276" s="2" t="s">
        <v>2799</v>
      </c>
      <c r="K1276" s="2" t="s">
        <v>2798</v>
      </c>
    </row>
    <row r="1277" spans="1:11" s="4" customFormat="1" ht="18" customHeight="1">
      <c r="A1277" s="2" t="s">
        <v>2800</v>
      </c>
      <c r="B1277" s="3"/>
      <c r="C1277" s="2"/>
      <c r="D1277" s="3"/>
      <c r="E1277" s="2"/>
      <c r="F1277" s="2" t="s">
        <v>3526</v>
      </c>
      <c r="G1277" s="2"/>
      <c r="H1277" s="2" t="s">
        <v>3526</v>
      </c>
      <c r="I1277" s="2"/>
      <c r="J1277" s="2" t="s">
        <v>2801</v>
      </c>
      <c r="K1277" s="2" t="s">
        <v>2800</v>
      </c>
    </row>
    <row r="1278" spans="1:11" s="4" customFormat="1" ht="18" customHeight="1">
      <c r="A1278" s="2" t="s">
        <v>2802</v>
      </c>
      <c r="B1278" s="3"/>
      <c r="C1278" s="2"/>
      <c r="D1278" s="3"/>
      <c r="E1278" s="2"/>
      <c r="F1278" s="2" t="s">
        <v>1292</v>
      </c>
      <c r="G1278" s="2"/>
      <c r="H1278" s="2" t="s">
        <v>1292</v>
      </c>
      <c r="I1278" s="2"/>
      <c r="J1278" s="2" t="s">
        <v>2803</v>
      </c>
      <c r="K1278" s="2" t="s">
        <v>2802</v>
      </c>
    </row>
    <row r="1279" spans="1:11" s="4" customFormat="1" ht="18" customHeight="1">
      <c r="A1279" s="2" t="s">
        <v>2804</v>
      </c>
      <c r="B1279" s="3"/>
      <c r="C1279" s="2"/>
      <c r="D1279" s="3"/>
      <c r="E1279" s="2"/>
      <c r="F1279" s="2" t="s">
        <v>1482</v>
      </c>
      <c r="G1279" s="2"/>
      <c r="H1279" s="2" t="s">
        <v>1482</v>
      </c>
      <c r="I1279" s="2"/>
      <c r="J1279" s="2" t="s">
        <v>2256</v>
      </c>
      <c r="K1279" s="2" t="s">
        <v>2804</v>
      </c>
    </row>
    <row r="1280" spans="1:11" s="4" customFormat="1" ht="18" customHeight="1">
      <c r="A1280" s="2" t="s">
        <v>2805</v>
      </c>
      <c r="B1280" s="3"/>
      <c r="C1280" s="2"/>
      <c r="D1280" s="3"/>
      <c r="E1280" s="2"/>
      <c r="F1280" s="2" t="s">
        <v>1440</v>
      </c>
      <c r="G1280" s="2"/>
      <c r="H1280" s="2" t="s">
        <v>1440</v>
      </c>
      <c r="I1280" s="2"/>
      <c r="J1280" s="2" t="s">
        <v>934</v>
      </c>
      <c r="K1280" s="2" t="s">
        <v>2805</v>
      </c>
    </row>
    <row r="1281" spans="1:11" s="4" customFormat="1" ht="18" customHeight="1">
      <c r="A1281" s="2" t="s">
        <v>2806</v>
      </c>
      <c r="B1281" s="3"/>
      <c r="C1281" s="2"/>
      <c r="D1281" s="3"/>
      <c r="E1281" s="2"/>
      <c r="F1281" s="2" t="s">
        <v>2214</v>
      </c>
      <c r="G1281" s="2"/>
      <c r="H1281" s="2" t="s">
        <v>2214</v>
      </c>
      <c r="I1281" s="2"/>
      <c r="J1281" s="2" t="s">
        <v>2807</v>
      </c>
      <c r="K1281" s="2" t="s">
        <v>2806</v>
      </c>
    </row>
    <row r="1282" spans="1:11" s="4" customFormat="1" ht="18" customHeight="1">
      <c r="A1282" s="2" t="s">
        <v>2808</v>
      </c>
      <c r="B1282" s="3"/>
      <c r="C1282" s="2"/>
      <c r="D1282" s="3"/>
      <c r="E1282" s="2"/>
      <c r="F1282" s="2" t="s">
        <v>3753</v>
      </c>
      <c r="G1282" s="2"/>
      <c r="H1282" s="2" t="s">
        <v>3753</v>
      </c>
      <c r="I1282" s="2"/>
      <c r="J1282" s="2" t="s">
        <v>2809</v>
      </c>
      <c r="K1282" s="2" t="s">
        <v>2808</v>
      </c>
    </row>
    <row r="1283" spans="1:11" s="4" customFormat="1" ht="18" customHeight="1">
      <c r="A1283" s="2" t="s">
        <v>2810</v>
      </c>
      <c r="B1283" s="3"/>
      <c r="C1283" s="2"/>
      <c r="D1283" s="3"/>
      <c r="E1283" s="2"/>
      <c r="F1283" s="2" t="s">
        <v>969</v>
      </c>
      <c r="G1283" s="2"/>
      <c r="H1283" s="2" t="s">
        <v>969</v>
      </c>
      <c r="I1283" s="2"/>
      <c r="J1283" s="2" t="s">
        <v>2811</v>
      </c>
      <c r="K1283" s="2" t="s">
        <v>2810</v>
      </c>
    </row>
    <row r="1284" spans="1:11" s="4" customFormat="1" ht="18" customHeight="1">
      <c r="A1284" s="2" t="s">
        <v>2812</v>
      </c>
      <c r="B1284" s="3"/>
      <c r="C1284" s="2"/>
      <c r="D1284" s="3"/>
      <c r="E1284" s="2"/>
      <c r="F1284" s="2" t="s">
        <v>655</v>
      </c>
      <c r="G1284" s="2"/>
      <c r="H1284" s="2" t="s">
        <v>655</v>
      </c>
      <c r="I1284" s="2"/>
      <c r="J1284" s="2" t="s">
        <v>2813</v>
      </c>
      <c r="K1284" s="2" t="s">
        <v>2812</v>
      </c>
    </row>
    <row r="1285" spans="1:11" s="4" customFormat="1" ht="18" customHeight="1">
      <c r="A1285" s="2" t="s">
        <v>2815</v>
      </c>
      <c r="B1285" s="3"/>
      <c r="C1285" s="2"/>
      <c r="D1285" s="3"/>
      <c r="E1285" s="2"/>
      <c r="F1285" s="2" t="s">
        <v>2047</v>
      </c>
      <c r="G1285" s="2"/>
      <c r="H1285" s="2" t="s">
        <v>2047</v>
      </c>
      <c r="I1285" s="2"/>
      <c r="J1285" s="2" t="s">
        <v>2816</v>
      </c>
      <c r="K1285" s="2" t="s">
        <v>2815</v>
      </c>
    </row>
    <row r="1286" spans="1:11" s="4" customFormat="1" ht="18" customHeight="1">
      <c r="A1286" s="2" t="s">
        <v>2817</v>
      </c>
      <c r="B1286" s="3"/>
      <c r="C1286" s="2"/>
      <c r="D1286" s="3"/>
      <c r="E1286" s="2"/>
      <c r="F1286" s="2" t="s">
        <v>2361</v>
      </c>
      <c r="G1286" s="2"/>
      <c r="H1286" s="2" t="s">
        <v>2361</v>
      </c>
      <c r="I1286" s="2"/>
      <c r="J1286" s="2" t="s">
        <v>2818</v>
      </c>
      <c r="K1286" s="2" t="s">
        <v>2817</v>
      </c>
    </row>
    <row r="1287" spans="1:11" s="4" customFormat="1" ht="18" customHeight="1">
      <c r="A1287" s="2" t="s">
        <v>2819</v>
      </c>
      <c r="B1287" s="3"/>
      <c r="C1287" s="2"/>
      <c r="D1287" s="3"/>
      <c r="E1287" s="2"/>
      <c r="F1287" s="2" t="s">
        <v>3978</v>
      </c>
      <c r="G1287" s="2"/>
      <c r="H1287" s="2" t="s">
        <v>3978</v>
      </c>
      <c r="I1287" s="2"/>
      <c r="J1287" s="2" t="s">
        <v>2820</v>
      </c>
      <c r="K1287" s="2" t="s">
        <v>2819</v>
      </c>
    </row>
    <row r="1288" spans="1:11" s="4" customFormat="1" ht="18" customHeight="1">
      <c r="A1288" s="2" t="s">
        <v>2821</v>
      </c>
      <c r="B1288" s="3"/>
      <c r="C1288" s="2"/>
      <c r="D1288" s="3"/>
      <c r="E1288" s="2"/>
      <c r="F1288" s="2" t="s">
        <v>941</v>
      </c>
      <c r="G1288" s="2"/>
      <c r="H1288" s="2" t="s">
        <v>941</v>
      </c>
      <c r="I1288" s="2"/>
      <c r="J1288" s="2" t="s">
        <v>2822</v>
      </c>
      <c r="K1288" s="2" t="s">
        <v>2821</v>
      </c>
    </row>
    <row r="1289" spans="1:11" s="4" customFormat="1" ht="18" customHeight="1">
      <c r="A1289" s="2" t="s">
        <v>2823</v>
      </c>
      <c r="B1289" s="3"/>
      <c r="C1289" s="2"/>
      <c r="D1289" s="3"/>
      <c r="E1289" s="2"/>
      <c r="F1289" s="2" t="s">
        <v>3729</v>
      </c>
      <c r="G1289" s="2"/>
      <c r="H1289" s="2" t="s">
        <v>3729</v>
      </c>
      <c r="I1289" s="2"/>
      <c r="J1289" s="2" t="s">
        <v>2824</v>
      </c>
      <c r="K1289" s="2" t="s">
        <v>2823</v>
      </c>
    </row>
    <row r="1290" spans="1:11" s="4" customFormat="1" ht="18" customHeight="1">
      <c r="A1290" s="2" t="s">
        <v>2825</v>
      </c>
      <c r="B1290" s="3"/>
      <c r="C1290" s="2"/>
      <c r="D1290" s="3"/>
      <c r="E1290" s="2"/>
      <c r="F1290" s="2" t="s">
        <v>2363</v>
      </c>
      <c r="G1290" s="2"/>
      <c r="H1290" s="2" t="s">
        <v>2363</v>
      </c>
      <c r="I1290" s="2"/>
      <c r="J1290" s="2" t="s">
        <v>2826</v>
      </c>
      <c r="K1290" s="2" t="s">
        <v>2825</v>
      </c>
    </row>
    <row r="1291" spans="1:11" s="4" customFormat="1" ht="18" customHeight="1">
      <c r="A1291" s="2" t="s">
        <v>2827</v>
      </c>
      <c r="B1291" s="3"/>
      <c r="C1291" s="2"/>
      <c r="D1291" s="3"/>
      <c r="E1291" s="2"/>
      <c r="F1291" s="2" t="s">
        <v>673</v>
      </c>
      <c r="G1291" s="2"/>
      <c r="H1291" s="2" t="s">
        <v>673</v>
      </c>
      <c r="I1291" s="2"/>
      <c r="J1291" s="2" t="s">
        <v>2385</v>
      </c>
      <c r="K1291" s="2" t="s">
        <v>2827</v>
      </c>
    </row>
    <row r="1292" spans="1:11" s="4" customFormat="1" ht="18" customHeight="1">
      <c r="A1292" s="2" t="s">
        <v>2828</v>
      </c>
      <c r="B1292" s="3"/>
      <c r="C1292" s="2"/>
      <c r="D1292" s="3"/>
      <c r="E1292" s="2"/>
      <c r="F1292" s="2" t="s">
        <v>2948</v>
      </c>
      <c r="G1292" s="2"/>
      <c r="H1292" s="2" t="s">
        <v>2948</v>
      </c>
      <c r="I1292" s="2"/>
      <c r="J1292" s="2" t="s">
        <v>2829</v>
      </c>
      <c r="K1292" s="2" t="s">
        <v>2828</v>
      </c>
    </row>
    <row r="1293" spans="1:11" s="4" customFormat="1" ht="18" customHeight="1">
      <c r="A1293" s="2" t="s">
        <v>2830</v>
      </c>
      <c r="B1293" s="3"/>
      <c r="C1293" s="2"/>
      <c r="D1293" s="3"/>
      <c r="E1293" s="2"/>
      <c r="F1293" s="2" t="s">
        <v>3131</v>
      </c>
      <c r="G1293" s="2"/>
      <c r="H1293" s="2" t="s">
        <v>3131</v>
      </c>
      <c r="I1293" s="2"/>
      <c r="J1293" s="2" t="s">
        <v>337</v>
      </c>
      <c r="K1293" s="2" t="s">
        <v>2830</v>
      </c>
    </row>
    <row r="1294" spans="1:11" s="4" customFormat="1" ht="18" customHeight="1">
      <c r="A1294" s="2" t="s">
        <v>2831</v>
      </c>
      <c r="B1294" s="3"/>
      <c r="C1294" s="2"/>
      <c r="D1294" s="3"/>
      <c r="E1294" s="2"/>
      <c r="F1294" s="2" t="s">
        <v>3346</v>
      </c>
      <c r="G1294" s="2"/>
      <c r="H1294" s="2" t="s">
        <v>3346</v>
      </c>
      <c r="I1294" s="2"/>
      <c r="J1294" s="2" t="s">
        <v>2832</v>
      </c>
      <c r="K1294" s="2" t="s">
        <v>2831</v>
      </c>
    </row>
    <row r="1295" spans="1:11" s="4" customFormat="1" ht="18" customHeight="1">
      <c r="A1295" s="2" t="s">
        <v>2833</v>
      </c>
      <c r="B1295" s="3"/>
      <c r="C1295" s="2"/>
      <c r="D1295" s="3"/>
      <c r="E1295" s="2"/>
      <c r="F1295" s="2" t="s">
        <v>171</v>
      </c>
      <c r="G1295" s="2"/>
      <c r="H1295" s="2" t="s">
        <v>171</v>
      </c>
      <c r="I1295" s="2"/>
      <c r="J1295" s="2" t="s">
        <v>2834</v>
      </c>
      <c r="K1295" s="2" t="s">
        <v>2833</v>
      </c>
    </row>
    <row r="1296" spans="1:11" s="4" customFormat="1" ht="18" customHeight="1">
      <c r="A1296" s="2" t="s">
        <v>2835</v>
      </c>
      <c r="B1296" s="3"/>
      <c r="C1296" s="2"/>
      <c r="D1296" s="3"/>
      <c r="E1296" s="2"/>
      <c r="F1296" s="2" t="s">
        <v>3133</v>
      </c>
      <c r="G1296" s="2"/>
      <c r="H1296" s="2" t="s">
        <v>3133</v>
      </c>
      <c r="I1296" s="2"/>
      <c r="J1296" s="2" t="s">
        <v>2747</v>
      </c>
      <c r="K1296" s="2" t="s">
        <v>2835</v>
      </c>
    </row>
    <row r="1297" spans="1:11" s="4" customFormat="1" ht="18" customHeight="1">
      <c r="A1297" s="2" t="s">
        <v>2836</v>
      </c>
      <c r="B1297" s="3"/>
      <c r="C1297" s="2"/>
      <c r="D1297" s="3"/>
      <c r="E1297" s="2"/>
      <c r="F1297" s="2" t="s">
        <v>1114</v>
      </c>
      <c r="G1297" s="2"/>
      <c r="H1297" s="2" t="s">
        <v>1114</v>
      </c>
      <c r="I1297" s="2"/>
      <c r="J1297" s="2" t="s">
        <v>2837</v>
      </c>
      <c r="K1297" s="2" t="s">
        <v>2836</v>
      </c>
    </row>
    <row r="1298" spans="1:11" s="4" customFormat="1" ht="18" customHeight="1">
      <c r="A1298" s="2" t="s">
        <v>2838</v>
      </c>
      <c r="B1298" s="3"/>
      <c r="C1298" s="2"/>
      <c r="D1298" s="3"/>
      <c r="E1298" s="2"/>
      <c r="F1298" s="2" t="s">
        <v>600</v>
      </c>
      <c r="G1298" s="2"/>
      <c r="H1298" s="2" t="s">
        <v>600</v>
      </c>
      <c r="I1298" s="2"/>
      <c r="J1298" s="2" t="s">
        <v>2839</v>
      </c>
      <c r="K1298" s="2" t="s">
        <v>2838</v>
      </c>
    </row>
    <row r="1299" spans="1:11" s="4" customFormat="1" ht="18" customHeight="1">
      <c r="A1299" s="2" t="s">
        <v>2841</v>
      </c>
      <c r="B1299" s="3"/>
      <c r="C1299" s="2"/>
      <c r="D1299" s="3"/>
      <c r="E1299" s="2"/>
      <c r="F1299" s="2" t="s">
        <v>1737</v>
      </c>
      <c r="G1299" s="2"/>
      <c r="H1299" s="2" t="s">
        <v>1737</v>
      </c>
      <c r="I1299" s="2"/>
      <c r="J1299" s="2" t="s">
        <v>2842</v>
      </c>
      <c r="K1299" s="2" t="s">
        <v>2841</v>
      </c>
    </row>
    <row r="1300" spans="1:11" s="4" customFormat="1" ht="18" customHeight="1">
      <c r="A1300" s="2" t="s">
        <v>2844</v>
      </c>
      <c r="B1300" s="3"/>
      <c r="C1300" s="2"/>
      <c r="D1300" s="3"/>
      <c r="E1300" s="2"/>
      <c r="F1300" s="2" t="s">
        <v>1845</v>
      </c>
      <c r="G1300" s="2"/>
      <c r="H1300" s="2" t="s">
        <v>1845</v>
      </c>
      <c r="I1300" s="2"/>
      <c r="J1300" s="2" t="s">
        <v>2845</v>
      </c>
      <c r="K1300" s="2" t="s">
        <v>2844</v>
      </c>
    </row>
    <row r="1301" spans="1:11" s="4" customFormat="1" ht="18" customHeight="1">
      <c r="A1301" s="2" t="s">
        <v>2846</v>
      </c>
      <c r="B1301" s="3"/>
      <c r="C1301" s="2"/>
      <c r="D1301" s="3"/>
      <c r="E1301" s="2"/>
      <c r="F1301" s="2" t="s">
        <v>2715</v>
      </c>
      <c r="G1301" s="2"/>
      <c r="H1301" s="2" t="s">
        <v>2715</v>
      </c>
      <c r="I1301" s="2"/>
      <c r="J1301" s="2" t="s">
        <v>2847</v>
      </c>
      <c r="K1301" s="2" t="s">
        <v>2846</v>
      </c>
    </row>
    <row r="1302" spans="1:11" s="4" customFormat="1" ht="18" customHeight="1">
      <c r="A1302" s="2" t="s">
        <v>2848</v>
      </c>
      <c r="B1302" s="3"/>
      <c r="C1302" s="2"/>
      <c r="D1302" s="3"/>
      <c r="E1302" s="2"/>
      <c r="F1302" s="2" t="s">
        <v>2035</v>
      </c>
      <c r="G1302" s="2"/>
      <c r="H1302" s="2" t="s">
        <v>2035</v>
      </c>
      <c r="I1302" s="2"/>
      <c r="J1302" s="2" t="s">
        <v>524</v>
      </c>
      <c r="K1302" s="2" t="s">
        <v>2848</v>
      </c>
    </row>
    <row r="1303" spans="1:11" s="4" customFormat="1" ht="18" customHeight="1">
      <c r="A1303" s="2" t="s">
        <v>2849</v>
      </c>
      <c r="B1303" s="3"/>
      <c r="C1303" s="2"/>
      <c r="D1303" s="3"/>
      <c r="E1303" s="2"/>
      <c r="F1303" s="2" t="s">
        <v>2068</v>
      </c>
      <c r="G1303" s="2"/>
      <c r="H1303" s="2" t="s">
        <v>2069</v>
      </c>
      <c r="I1303" s="2"/>
      <c r="J1303" s="2" t="s">
        <v>881</v>
      </c>
      <c r="K1303" s="2" t="s">
        <v>2849</v>
      </c>
    </row>
    <row r="1304" spans="1:11" s="4" customFormat="1" ht="18" customHeight="1">
      <c r="A1304" s="2" t="s">
        <v>2850</v>
      </c>
      <c r="B1304" s="3"/>
      <c r="C1304" s="2"/>
      <c r="D1304" s="3"/>
      <c r="E1304" s="2"/>
      <c r="F1304" s="2" t="s">
        <v>2000</v>
      </c>
      <c r="G1304" s="2"/>
      <c r="H1304" s="2" t="s">
        <v>2000</v>
      </c>
      <c r="I1304" s="2"/>
      <c r="J1304" s="2" t="s">
        <v>2851</v>
      </c>
      <c r="K1304" s="2" t="s">
        <v>2850</v>
      </c>
    </row>
    <row r="1305" spans="1:11" s="4" customFormat="1" ht="18" customHeight="1">
      <c r="A1305" s="2" t="s">
        <v>2852</v>
      </c>
      <c r="B1305" s="3"/>
      <c r="C1305" s="2"/>
      <c r="D1305" s="3"/>
      <c r="E1305" s="2"/>
      <c r="F1305" s="2" t="s">
        <v>2112</v>
      </c>
      <c r="G1305" s="2"/>
      <c r="H1305" s="2" t="s">
        <v>2112</v>
      </c>
      <c r="I1305" s="2"/>
      <c r="J1305" s="2" t="s">
        <v>2853</v>
      </c>
      <c r="K1305" s="2" t="s">
        <v>2852</v>
      </c>
    </row>
    <row r="1306" spans="1:11" s="4" customFormat="1" ht="18" customHeight="1">
      <c r="A1306" s="2" t="s">
        <v>2854</v>
      </c>
      <c r="B1306" s="3"/>
      <c r="C1306" s="2"/>
      <c r="D1306" s="3"/>
      <c r="E1306" s="2"/>
      <c r="F1306" s="2" t="s">
        <v>657</v>
      </c>
      <c r="G1306" s="2"/>
      <c r="H1306" s="2" t="s">
        <v>657</v>
      </c>
      <c r="I1306" s="2"/>
      <c r="J1306" s="2" t="s">
        <v>2855</v>
      </c>
      <c r="K1306" s="2" t="s">
        <v>2854</v>
      </c>
    </row>
    <row r="1307" spans="1:11" s="4" customFormat="1" ht="18" customHeight="1">
      <c r="A1307" s="2" t="s">
        <v>2856</v>
      </c>
      <c r="B1307" s="3"/>
      <c r="C1307" s="2"/>
      <c r="D1307" s="3"/>
      <c r="E1307" s="2"/>
      <c r="F1307" s="2" t="s">
        <v>490</v>
      </c>
      <c r="G1307" s="2"/>
      <c r="H1307" s="2" t="s">
        <v>490</v>
      </c>
      <c r="I1307" s="2"/>
      <c r="J1307" s="2" t="s">
        <v>2857</v>
      </c>
      <c r="K1307" s="2" t="s">
        <v>2856</v>
      </c>
    </row>
    <row r="1308" spans="1:11" s="4" customFormat="1" ht="18" customHeight="1">
      <c r="A1308" s="2" t="s">
        <v>2858</v>
      </c>
      <c r="B1308" s="3"/>
      <c r="C1308" s="2"/>
      <c r="D1308" s="3"/>
      <c r="E1308" s="2"/>
      <c r="F1308" s="2" t="s">
        <v>3204</v>
      </c>
      <c r="G1308" s="2"/>
      <c r="H1308" s="2" t="s">
        <v>3205</v>
      </c>
      <c r="I1308" s="2"/>
      <c r="J1308" s="2" t="s">
        <v>2859</v>
      </c>
      <c r="K1308" s="2" t="s">
        <v>2858</v>
      </c>
    </row>
    <row r="1309" spans="1:11" s="4" customFormat="1" ht="18" customHeight="1">
      <c r="A1309" s="2" t="s">
        <v>2860</v>
      </c>
      <c r="B1309" s="3"/>
      <c r="C1309" s="2"/>
      <c r="D1309" s="3"/>
      <c r="E1309" s="2"/>
      <c r="F1309" s="2" t="s">
        <v>821</v>
      </c>
      <c r="G1309" s="2"/>
      <c r="H1309" s="2" t="s">
        <v>821</v>
      </c>
      <c r="I1309" s="2"/>
      <c r="J1309" s="2" t="s">
        <v>2861</v>
      </c>
      <c r="K1309" s="2" t="s">
        <v>2860</v>
      </c>
    </row>
    <row r="1310" spans="1:11" s="4" customFormat="1" ht="18" customHeight="1">
      <c r="A1310" s="2" t="s">
        <v>2862</v>
      </c>
      <c r="B1310" s="3"/>
      <c r="C1310" s="2"/>
      <c r="D1310" s="3"/>
      <c r="E1310" s="2"/>
      <c r="F1310" s="2" t="s">
        <v>675</v>
      </c>
      <c r="G1310" s="2"/>
      <c r="H1310" s="2" t="s">
        <v>675</v>
      </c>
      <c r="I1310" s="2"/>
      <c r="J1310" s="2" t="s">
        <v>2863</v>
      </c>
      <c r="K1310" s="2" t="s">
        <v>2862</v>
      </c>
    </row>
    <row r="1311" spans="1:11" s="4" customFormat="1" ht="18" customHeight="1">
      <c r="A1311" s="2" t="s">
        <v>2864</v>
      </c>
      <c r="B1311" s="3"/>
      <c r="C1311" s="2"/>
      <c r="D1311" s="3"/>
      <c r="E1311" s="2"/>
      <c r="F1311" s="2" t="s">
        <v>492</v>
      </c>
      <c r="G1311" s="2"/>
      <c r="H1311" s="2" t="s">
        <v>492</v>
      </c>
      <c r="I1311" s="2"/>
      <c r="J1311" s="2" t="s">
        <v>2865</v>
      </c>
      <c r="K1311" s="2" t="s">
        <v>2864</v>
      </c>
    </row>
    <row r="1312" spans="1:11" s="4" customFormat="1" ht="18" customHeight="1">
      <c r="A1312" s="2" t="s">
        <v>2867</v>
      </c>
      <c r="B1312" s="3"/>
      <c r="C1312" s="2"/>
      <c r="D1312" s="3"/>
      <c r="E1312" s="2"/>
      <c r="F1312" s="2" t="s">
        <v>4053</v>
      </c>
      <c r="G1312" s="2"/>
      <c r="H1312" s="2" t="s">
        <v>4052</v>
      </c>
      <c r="I1312" s="2"/>
      <c r="J1312" s="2" t="s">
        <v>2007</v>
      </c>
      <c r="K1312" s="2" t="s">
        <v>2867</v>
      </c>
    </row>
    <row r="1313" spans="1:11" s="4" customFormat="1" ht="18" customHeight="1">
      <c r="A1313" s="2" t="s">
        <v>2868</v>
      </c>
      <c r="B1313" s="3"/>
      <c r="C1313" s="2"/>
      <c r="D1313" s="3"/>
      <c r="E1313" s="2"/>
      <c r="F1313" s="2" t="s">
        <v>2604</v>
      </c>
      <c r="G1313" s="2"/>
      <c r="H1313" s="2" t="s">
        <v>2605</v>
      </c>
      <c r="I1313" s="2"/>
      <c r="J1313" s="2" t="s">
        <v>2869</v>
      </c>
      <c r="K1313" s="2" t="s">
        <v>2868</v>
      </c>
    </row>
    <row r="1314" spans="1:11" s="4" customFormat="1" ht="18" customHeight="1">
      <c r="A1314" s="2" t="s">
        <v>2870</v>
      </c>
      <c r="B1314" s="3"/>
      <c r="C1314" s="2"/>
      <c r="D1314" s="3"/>
      <c r="E1314" s="2"/>
      <c r="F1314" s="2" t="s">
        <v>214</v>
      </c>
      <c r="G1314" s="2"/>
      <c r="H1314" s="2" t="s">
        <v>214</v>
      </c>
      <c r="I1314" s="2"/>
      <c r="J1314" s="2" t="s">
        <v>2871</v>
      </c>
      <c r="K1314" s="2" t="s">
        <v>2870</v>
      </c>
    </row>
    <row r="1315" spans="1:11" s="4" customFormat="1" ht="18" customHeight="1">
      <c r="A1315" s="2" t="s">
        <v>2873</v>
      </c>
      <c r="B1315" s="3"/>
      <c r="C1315" s="2"/>
      <c r="D1315" s="3"/>
      <c r="E1315" s="2"/>
      <c r="F1315" s="2" t="s">
        <v>602</v>
      </c>
      <c r="G1315" s="2"/>
      <c r="H1315" s="2" t="s">
        <v>602</v>
      </c>
      <c r="I1315" s="2"/>
      <c r="J1315" s="2" t="s">
        <v>441</v>
      </c>
      <c r="K1315" s="2" t="s">
        <v>2873</v>
      </c>
    </row>
    <row r="1316" spans="1:11" s="4" customFormat="1" ht="18" customHeight="1">
      <c r="A1316" s="2" t="s">
        <v>2874</v>
      </c>
      <c r="B1316" s="3"/>
      <c r="C1316" s="2"/>
      <c r="D1316" s="3"/>
      <c r="E1316" s="2"/>
      <c r="F1316" s="2" t="s">
        <v>2762</v>
      </c>
      <c r="G1316" s="2"/>
      <c r="H1316" s="2" t="s">
        <v>2762</v>
      </c>
      <c r="I1316" s="2"/>
      <c r="J1316" s="2" t="s">
        <v>2875</v>
      </c>
      <c r="K1316" s="2" t="s">
        <v>2874</v>
      </c>
    </row>
    <row r="1317" spans="1:11" s="4" customFormat="1" ht="18" customHeight="1">
      <c r="A1317" s="2" t="s">
        <v>2877</v>
      </c>
      <c r="B1317" s="3"/>
      <c r="C1317" s="2"/>
      <c r="D1317" s="3"/>
      <c r="E1317" s="2"/>
      <c r="F1317" s="2" t="s">
        <v>3214</v>
      </c>
      <c r="G1317" s="2"/>
      <c r="H1317" s="2" t="s">
        <v>3214</v>
      </c>
      <c r="I1317" s="2"/>
      <c r="J1317" s="2" t="s">
        <v>1188</v>
      </c>
      <c r="K1317" s="2" t="s">
        <v>2877</v>
      </c>
    </row>
    <row r="1318" spans="1:11" s="4" customFormat="1" ht="18" customHeight="1">
      <c r="A1318" s="2" t="s">
        <v>2878</v>
      </c>
      <c r="B1318" s="3"/>
      <c r="C1318" s="2"/>
      <c r="D1318" s="3"/>
      <c r="E1318" s="2"/>
      <c r="F1318" s="2" t="s">
        <v>3010</v>
      </c>
      <c r="G1318" s="2"/>
      <c r="H1318" s="2" t="s">
        <v>3010</v>
      </c>
      <c r="I1318" s="2"/>
      <c r="J1318" s="2" t="s">
        <v>2879</v>
      </c>
      <c r="K1318" s="2" t="s">
        <v>2878</v>
      </c>
    </row>
    <row r="1319" spans="1:11" s="4" customFormat="1" ht="18" customHeight="1">
      <c r="A1319" s="2" t="s">
        <v>2881</v>
      </c>
      <c r="B1319" s="3"/>
      <c r="C1319" s="2"/>
      <c r="D1319" s="3"/>
      <c r="E1319" s="2"/>
      <c r="F1319" s="2" t="s">
        <v>2474</v>
      </c>
      <c r="G1319" s="2"/>
      <c r="H1319" s="2" t="s">
        <v>2474</v>
      </c>
      <c r="I1319" s="2"/>
      <c r="J1319" s="2" t="s">
        <v>2882</v>
      </c>
      <c r="K1319" s="2" t="s">
        <v>2881</v>
      </c>
    </row>
    <row r="1320" spans="1:11" s="4" customFormat="1" ht="18" customHeight="1">
      <c r="A1320" s="2" t="s">
        <v>2883</v>
      </c>
      <c r="B1320" s="3"/>
      <c r="C1320" s="2"/>
      <c r="D1320" s="3"/>
      <c r="E1320" s="2"/>
      <c r="F1320" s="2" t="s">
        <v>2861</v>
      </c>
      <c r="G1320" s="2"/>
      <c r="H1320" s="2" t="s">
        <v>2861</v>
      </c>
      <c r="I1320" s="2"/>
      <c r="J1320" s="2" t="s">
        <v>306</v>
      </c>
      <c r="K1320" s="2" t="s">
        <v>2883</v>
      </c>
    </row>
    <row r="1321" spans="1:11" s="4" customFormat="1" ht="18" customHeight="1">
      <c r="A1321" s="2" t="s">
        <v>2884</v>
      </c>
      <c r="B1321" s="3"/>
      <c r="C1321" s="2"/>
      <c r="D1321" s="3"/>
      <c r="E1321" s="2"/>
      <c r="F1321" s="2" t="s">
        <v>3554</v>
      </c>
      <c r="G1321" s="2"/>
      <c r="H1321" s="2" t="s">
        <v>3555</v>
      </c>
      <c r="I1321" s="2"/>
      <c r="J1321" s="2" t="s">
        <v>2885</v>
      </c>
      <c r="K1321" s="2" t="s">
        <v>2884</v>
      </c>
    </row>
    <row r="1322" spans="1:11" s="4" customFormat="1" ht="18" customHeight="1">
      <c r="A1322" s="2" t="s">
        <v>2886</v>
      </c>
      <c r="B1322" s="3"/>
      <c r="C1322" s="2"/>
      <c r="D1322" s="3"/>
      <c r="E1322" s="2"/>
      <c r="F1322" s="2" t="s">
        <v>1054</v>
      </c>
      <c r="G1322" s="2"/>
      <c r="H1322" s="2" t="s">
        <v>1055</v>
      </c>
      <c r="I1322" s="2"/>
      <c r="J1322" s="2" t="s">
        <v>2887</v>
      </c>
      <c r="K1322" s="2" t="s">
        <v>2886</v>
      </c>
    </row>
    <row r="1323" spans="1:11" s="4" customFormat="1" ht="18" customHeight="1">
      <c r="A1323" s="2" t="s">
        <v>2888</v>
      </c>
      <c r="B1323" s="3"/>
      <c r="C1323" s="2"/>
      <c r="D1323" s="3"/>
      <c r="E1323" s="2"/>
      <c r="F1323" s="2" t="s">
        <v>1054</v>
      </c>
      <c r="G1323" s="2"/>
      <c r="H1323" s="2" t="s">
        <v>1054</v>
      </c>
      <c r="I1323" s="2"/>
      <c r="J1323" s="2" t="s">
        <v>2889</v>
      </c>
      <c r="K1323" s="2" t="s">
        <v>2888</v>
      </c>
    </row>
    <row r="1324" spans="1:11" s="4" customFormat="1" ht="18" customHeight="1">
      <c r="A1324" s="2" t="s">
        <v>2890</v>
      </c>
      <c r="B1324" s="3"/>
      <c r="C1324" s="2"/>
      <c r="D1324" s="3"/>
      <c r="E1324" s="2"/>
      <c r="F1324" s="2" t="s">
        <v>2511</v>
      </c>
      <c r="G1324" s="2"/>
      <c r="H1324" s="2" t="s">
        <v>2511</v>
      </c>
      <c r="I1324" s="2"/>
      <c r="J1324" s="2" t="s">
        <v>2891</v>
      </c>
      <c r="K1324" s="2" t="s">
        <v>2890</v>
      </c>
    </row>
    <row r="1325" spans="1:11" s="4" customFormat="1" ht="18" customHeight="1">
      <c r="A1325" s="2" t="s">
        <v>2892</v>
      </c>
      <c r="B1325" s="3"/>
      <c r="C1325" s="2"/>
      <c r="D1325" s="3"/>
      <c r="E1325" s="2"/>
      <c r="F1325" s="2" t="s">
        <v>232</v>
      </c>
      <c r="G1325" s="2"/>
      <c r="H1325" s="2" t="s">
        <v>233</v>
      </c>
      <c r="I1325" s="2"/>
      <c r="J1325" s="2" t="s">
        <v>2893</v>
      </c>
      <c r="K1325" s="2" t="s">
        <v>2892</v>
      </c>
    </row>
    <row r="1326" spans="1:11" s="4" customFormat="1" ht="18" customHeight="1">
      <c r="A1326" s="2" t="s">
        <v>2894</v>
      </c>
      <c r="B1326" s="3"/>
      <c r="C1326" s="2"/>
      <c r="D1326" s="3"/>
      <c r="E1326" s="2"/>
      <c r="F1326" s="2" t="s">
        <v>2513</v>
      </c>
      <c r="G1326" s="2"/>
      <c r="H1326" s="2" t="s">
        <v>2514</v>
      </c>
      <c r="I1326" s="2"/>
      <c r="J1326" s="2" t="s">
        <v>2895</v>
      </c>
      <c r="K1326" s="2" t="s">
        <v>2894</v>
      </c>
    </row>
    <row r="1327" spans="1:11" s="4" customFormat="1" ht="18" customHeight="1">
      <c r="A1327" s="2" t="s">
        <v>2896</v>
      </c>
      <c r="B1327" s="3"/>
      <c r="C1327" s="2"/>
      <c r="D1327" s="3"/>
      <c r="E1327" s="2"/>
      <c r="F1327" s="2" t="s">
        <v>3881</v>
      </c>
      <c r="G1327" s="2"/>
      <c r="H1327" s="2" t="s">
        <v>3881</v>
      </c>
      <c r="I1327" s="2"/>
      <c r="J1327" s="2" t="s">
        <v>2897</v>
      </c>
      <c r="K1327" s="2" t="s">
        <v>2896</v>
      </c>
    </row>
    <row r="1328" spans="1:11" s="4" customFormat="1" ht="18" customHeight="1">
      <c r="A1328" s="2" t="s">
        <v>2898</v>
      </c>
      <c r="B1328" s="3"/>
      <c r="C1328" s="2"/>
      <c r="D1328" s="3"/>
      <c r="E1328" s="2"/>
      <c r="F1328" s="2" t="s">
        <v>2114</v>
      </c>
      <c r="G1328" s="2"/>
      <c r="H1328" s="2" t="s">
        <v>2114</v>
      </c>
      <c r="I1328" s="2"/>
      <c r="J1328" s="2" t="s">
        <v>2899</v>
      </c>
      <c r="K1328" s="2" t="s">
        <v>2898</v>
      </c>
    </row>
    <row r="1329" spans="1:11" s="4" customFormat="1" ht="18" customHeight="1">
      <c r="A1329" s="2" t="s">
        <v>2900</v>
      </c>
      <c r="B1329" s="3"/>
      <c r="C1329" s="2"/>
      <c r="D1329" s="3"/>
      <c r="E1329" s="2"/>
      <c r="F1329" s="2" t="s">
        <v>2051</v>
      </c>
      <c r="G1329" s="2"/>
      <c r="H1329" s="2" t="s">
        <v>2052</v>
      </c>
      <c r="I1329" s="2"/>
      <c r="J1329" s="2" t="s">
        <v>2901</v>
      </c>
      <c r="K1329" s="2" t="s">
        <v>2900</v>
      </c>
    </row>
    <row r="1330" spans="1:11" s="4" customFormat="1" ht="18" customHeight="1">
      <c r="A1330" s="2" t="s">
        <v>2902</v>
      </c>
      <c r="B1330" s="3"/>
      <c r="C1330" s="2"/>
      <c r="D1330" s="3"/>
      <c r="E1330" s="2"/>
      <c r="F1330" s="2" t="s">
        <v>823</v>
      </c>
      <c r="G1330" s="2"/>
      <c r="H1330" s="2" t="s">
        <v>823</v>
      </c>
      <c r="I1330" s="2"/>
      <c r="J1330" s="2" t="s">
        <v>2903</v>
      </c>
      <c r="K1330" s="2" t="s">
        <v>2902</v>
      </c>
    </row>
    <row r="1331" spans="1:11" s="4" customFormat="1" ht="18" customHeight="1">
      <c r="A1331" s="2" t="s">
        <v>2904</v>
      </c>
      <c r="B1331" s="3"/>
      <c r="C1331" s="2"/>
      <c r="D1331" s="3"/>
      <c r="E1331" s="2"/>
      <c r="F1331" s="2" t="s">
        <v>1654</v>
      </c>
      <c r="G1331" s="2"/>
      <c r="H1331" s="2" t="s">
        <v>1654</v>
      </c>
      <c r="I1331" s="2"/>
      <c r="J1331" s="2" t="s">
        <v>570</v>
      </c>
      <c r="K1331" s="2" t="s">
        <v>2904</v>
      </c>
    </row>
    <row r="1332" spans="1:11" s="4" customFormat="1" ht="18" customHeight="1">
      <c r="A1332" s="2" t="s">
        <v>2905</v>
      </c>
      <c r="B1332" s="3"/>
      <c r="C1332" s="2"/>
      <c r="D1332" s="3"/>
      <c r="E1332" s="2"/>
      <c r="F1332" s="2" t="s">
        <v>2216</v>
      </c>
      <c r="G1332" s="2"/>
      <c r="H1332" s="2" t="s">
        <v>2216</v>
      </c>
      <c r="I1332" s="2"/>
      <c r="J1332" s="2" t="s">
        <v>2906</v>
      </c>
      <c r="K1332" s="2" t="s">
        <v>2905</v>
      </c>
    </row>
    <row r="1333" spans="1:11" s="4" customFormat="1" ht="18" customHeight="1">
      <c r="A1333" s="2" t="s">
        <v>2907</v>
      </c>
      <c r="B1333" s="3"/>
      <c r="C1333" s="2"/>
      <c r="D1333" s="3"/>
      <c r="E1333" s="2"/>
      <c r="F1333" s="2" t="s">
        <v>3279</v>
      </c>
      <c r="G1333" s="2"/>
      <c r="H1333" s="2" t="s">
        <v>3280</v>
      </c>
      <c r="I1333" s="2"/>
      <c r="J1333" s="2" t="s">
        <v>2908</v>
      </c>
      <c r="K1333" s="2" t="s">
        <v>2907</v>
      </c>
    </row>
    <row r="1334" spans="1:11" s="4" customFormat="1" ht="18" customHeight="1">
      <c r="A1334" s="2" t="s">
        <v>2909</v>
      </c>
      <c r="B1334" s="3"/>
      <c r="C1334" s="2"/>
      <c r="D1334" s="3"/>
      <c r="E1334" s="2"/>
      <c r="F1334" s="2" t="s">
        <v>1908</v>
      </c>
      <c r="G1334" s="2"/>
      <c r="H1334" s="2" t="s">
        <v>1908</v>
      </c>
      <c r="I1334" s="2"/>
      <c r="J1334" s="2" t="s">
        <v>2910</v>
      </c>
      <c r="K1334" s="2" t="s">
        <v>2909</v>
      </c>
    </row>
    <row r="1335" spans="1:11" s="4" customFormat="1" ht="18" customHeight="1">
      <c r="A1335" s="2" t="s">
        <v>2911</v>
      </c>
      <c r="B1335" s="3"/>
      <c r="C1335" s="2"/>
      <c r="D1335" s="3"/>
      <c r="E1335" s="2"/>
      <c r="F1335" s="2" t="s">
        <v>3674</v>
      </c>
      <c r="G1335" s="2"/>
      <c r="H1335" s="2" t="s">
        <v>3674</v>
      </c>
      <c r="I1335" s="2"/>
      <c r="J1335" s="2" t="s">
        <v>2912</v>
      </c>
      <c r="K1335" s="2" t="s">
        <v>2911</v>
      </c>
    </row>
    <row r="1336" spans="1:11" s="4" customFormat="1" ht="18" customHeight="1">
      <c r="A1336" s="2" t="s">
        <v>2913</v>
      </c>
      <c r="B1336" s="3"/>
      <c r="C1336" s="2"/>
      <c r="D1336" s="3"/>
      <c r="E1336" s="2"/>
      <c r="F1336" s="2" t="s">
        <v>3841</v>
      </c>
      <c r="G1336" s="2"/>
      <c r="H1336" s="2" t="s">
        <v>3841</v>
      </c>
      <c r="I1336" s="2"/>
      <c r="J1336" s="2" t="s">
        <v>2914</v>
      </c>
      <c r="K1336" s="2" t="s">
        <v>2913</v>
      </c>
    </row>
    <row r="1337" spans="1:11" s="4" customFormat="1" ht="18" customHeight="1">
      <c r="A1337" s="2" t="s">
        <v>2915</v>
      </c>
      <c r="B1337" s="3"/>
      <c r="C1337" s="2"/>
      <c r="D1337" s="3"/>
      <c r="E1337" s="2"/>
      <c r="F1337" s="2" t="s">
        <v>2151</v>
      </c>
      <c r="G1337" s="2"/>
      <c r="H1337" s="2" t="s">
        <v>2152</v>
      </c>
      <c r="I1337" s="2"/>
      <c r="J1337" s="2" t="s">
        <v>2916</v>
      </c>
      <c r="K1337" s="2" t="s">
        <v>2915</v>
      </c>
    </row>
    <row r="1338" spans="1:11" s="4" customFormat="1" ht="18" customHeight="1">
      <c r="A1338" s="2" t="s">
        <v>2917</v>
      </c>
      <c r="B1338" s="3"/>
      <c r="C1338" s="2"/>
      <c r="D1338" s="3"/>
      <c r="E1338" s="2"/>
      <c r="F1338" s="2" t="s">
        <v>757</v>
      </c>
      <c r="G1338" s="2"/>
      <c r="H1338" s="2" t="s">
        <v>757</v>
      </c>
      <c r="I1338" s="2"/>
      <c r="J1338" s="2" t="s">
        <v>2918</v>
      </c>
      <c r="K1338" s="2" t="s">
        <v>2917</v>
      </c>
    </row>
    <row r="1339" spans="1:11" s="4" customFormat="1" ht="18" customHeight="1">
      <c r="A1339" s="2" t="s">
        <v>2919</v>
      </c>
      <c r="B1339" s="3"/>
      <c r="C1339" s="2"/>
      <c r="D1339" s="3"/>
      <c r="E1339" s="2"/>
      <c r="F1339" s="2" t="s">
        <v>894</v>
      </c>
      <c r="G1339" s="2"/>
      <c r="H1339" s="2" t="s">
        <v>894</v>
      </c>
      <c r="I1339" s="2"/>
      <c r="J1339" s="2" t="s">
        <v>2920</v>
      </c>
      <c r="K1339" s="2" t="s">
        <v>2919</v>
      </c>
    </row>
    <row r="1340" spans="1:11" s="4" customFormat="1" ht="18" customHeight="1">
      <c r="A1340" s="2" t="s">
        <v>2921</v>
      </c>
      <c r="B1340" s="3"/>
      <c r="C1340" s="2"/>
      <c r="D1340" s="3"/>
      <c r="E1340" s="2"/>
      <c r="F1340" s="2" t="s">
        <v>3823</v>
      </c>
      <c r="G1340" s="2"/>
      <c r="H1340" s="2" t="s">
        <v>3823</v>
      </c>
      <c r="I1340" s="2"/>
      <c r="J1340" s="2" t="s">
        <v>2182</v>
      </c>
      <c r="K1340" s="2" t="s">
        <v>2921</v>
      </c>
    </row>
    <row r="1341" spans="1:11" s="4" customFormat="1" ht="18" customHeight="1">
      <c r="A1341" s="2" t="s">
        <v>2922</v>
      </c>
      <c r="B1341" s="3"/>
      <c r="C1341" s="2"/>
      <c r="D1341" s="3"/>
      <c r="E1341" s="2"/>
      <c r="F1341" s="2" t="s">
        <v>896</v>
      </c>
      <c r="G1341" s="2"/>
      <c r="H1341" s="2" t="s">
        <v>896</v>
      </c>
      <c r="I1341" s="2"/>
      <c r="J1341" s="2" t="s">
        <v>2923</v>
      </c>
      <c r="K1341" s="2" t="s">
        <v>2922</v>
      </c>
    </row>
    <row r="1342" spans="1:11" s="4" customFormat="1" ht="18" customHeight="1">
      <c r="A1342" s="2" t="s">
        <v>2925</v>
      </c>
      <c r="B1342" s="3"/>
      <c r="C1342" s="2"/>
      <c r="D1342" s="3"/>
      <c r="E1342" s="2"/>
      <c r="F1342" s="2" t="s">
        <v>1154</v>
      </c>
      <c r="G1342" s="2"/>
      <c r="H1342" s="2" t="s">
        <v>1154</v>
      </c>
      <c r="I1342" s="2"/>
      <c r="J1342" s="2" t="s">
        <v>2927</v>
      </c>
      <c r="K1342" s="2" t="s">
        <v>2925</v>
      </c>
    </row>
    <row r="1343" spans="1:11" s="4" customFormat="1" ht="18" customHeight="1">
      <c r="A1343" s="2" t="s">
        <v>2928</v>
      </c>
      <c r="B1343" s="3"/>
      <c r="C1343" s="2"/>
      <c r="D1343" s="3"/>
      <c r="E1343" s="2"/>
      <c r="F1343" s="2" t="s">
        <v>1239</v>
      </c>
      <c r="G1343" s="2"/>
      <c r="H1343" s="2" t="s">
        <v>1239</v>
      </c>
      <c r="I1343" s="2"/>
      <c r="J1343" s="2" t="s">
        <v>2929</v>
      </c>
      <c r="K1343" s="2" t="s">
        <v>2928</v>
      </c>
    </row>
    <row r="1344" spans="1:11" s="4" customFormat="1" ht="18" customHeight="1">
      <c r="A1344" s="2" t="s">
        <v>2930</v>
      </c>
      <c r="B1344" s="3"/>
      <c r="C1344" s="2"/>
      <c r="D1344" s="3"/>
      <c r="E1344" s="2"/>
      <c r="F1344" s="2" t="s">
        <v>1057</v>
      </c>
      <c r="G1344" s="2"/>
      <c r="H1344" s="2" t="s">
        <v>1057</v>
      </c>
      <c r="I1344" s="2"/>
      <c r="J1344" s="2" t="s">
        <v>2931</v>
      </c>
      <c r="K1344" s="2" t="s">
        <v>2930</v>
      </c>
    </row>
    <row r="1345" spans="1:11" s="4" customFormat="1" ht="18" customHeight="1">
      <c r="A1345" s="2" t="s">
        <v>2932</v>
      </c>
      <c r="B1345" s="3"/>
      <c r="C1345" s="2"/>
      <c r="D1345" s="3"/>
      <c r="E1345" s="2"/>
      <c r="F1345" s="2" t="s">
        <v>2256</v>
      </c>
      <c r="G1345" s="2"/>
      <c r="H1345" s="2" t="s">
        <v>2257</v>
      </c>
      <c r="I1345" s="2"/>
      <c r="J1345" s="2" t="s">
        <v>2933</v>
      </c>
      <c r="K1345" s="2" t="s">
        <v>2932</v>
      </c>
    </row>
    <row r="1346" spans="1:11" s="4" customFormat="1" ht="18" customHeight="1">
      <c r="A1346" s="2" t="s">
        <v>2934</v>
      </c>
      <c r="B1346" s="3"/>
      <c r="C1346" s="2"/>
      <c r="D1346" s="3"/>
      <c r="E1346" s="2"/>
      <c r="F1346" s="2" t="s">
        <v>2256</v>
      </c>
      <c r="G1346" s="2"/>
      <c r="H1346" s="2" t="s">
        <v>2256</v>
      </c>
      <c r="I1346" s="2"/>
      <c r="J1346" s="2" t="s">
        <v>2333</v>
      </c>
      <c r="K1346" s="2" t="s">
        <v>2934</v>
      </c>
    </row>
    <row r="1347" spans="1:11" s="4" customFormat="1" ht="18" customHeight="1">
      <c r="A1347" s="2" t="s">
        <v>2935</v>
      </c>
      <c r="B1347" s="3"/>
      <c r="C1347" s="2"/>
      <c r="D1347" s="3"/>
      <c r="E1347" s="2"/>
      <c r="F1347" s="2" t="s">
        <v>2588</v>
      </c>
      <c r="G1347" s="2"/>
      <c r="H1347" s="2" t="s">
        <v>2588</v>
      </c>
      <c r="I1347" s="2"/>
      <c r="J1347" s="2" t="s">
        <v>2936</v>
      </c>
      <c r="K1347" s="2" t="s">
        <v>2935</v>
      </c>
    </row>
    <row r="1348" spans="1:11" s="4" customFormat="1" ht="18" customHeight="1">
      <c r="A1348" s="2" t="s">
        <v>2937</v>
      </c>
      <c r="B1348" s="3"/>
      <c r="C1348" s="2"/>
      <c r="D1348" s="3"/>
      <c r="E1348" s="2"/>
      <c r="F1348" s="2" t="s">
        <v>2037</v>
      </c>
      <c r="G1348" s="2"/>
      <c r="H1348" s="2" t="s">
        <v>2037</v>
      </c>
      <c r="I1348" s="2"/>
      <c r="J1348" s="2" t="s">
        <v>2938</v>
      </c>
      <c r="K1348" s="2" t="s">
        <v>2937</v>
      </c>
    </row>
    <row r="1349" spans="1:11" s="4" customFormat="1" ht="18" customHeight="1">
      <c r="A1349" s="2" t="s">
        <v>2939</v>
      </c>
      <c r="B1349" s="3"/>
      <c r="C1349" s="2"/>
      <c r="D1349" s="3"/>
      <c r="E1349" s="2"/>
      <c r="F1349" s="2" t="s">
        <v>2039</v>
      </c>
      <c r="G1349" s="2"/>
      <c r="H1349" s="2" t="s">
        <v>2039</v>
      </c>
      <c r="I1349" s="2"/>
      <c r="J1349" s="2" t="s">
        <v>2940</v>
      </c>
      <c r="K1349" s="2" t="s">
        <v>2939</v>
      </c>
    </row>
    <row r="1350" spans="1:11" s="4" customFormat="1" ht="18" customHeight="1">
      <c r="A1350" s="2" t="s">
        <v>2941</v>
      </c>
      <c r="B1350" s="3"/>
      <c r="C1350" s="2"/>
      <c r="D1350" s="3"/>
      <c r="E1350" s="2"/>
      <c r="F1350" s="2" t="s">
        <v>3485</v>
      </c>
      <c r="G1350" s="2"/>
      <c r="H1350" s="2" t="s">
        <v>3485</v>
      </c>
      <c r="I1350" s="2"/>
      <c r="J1350" s="2" t="s">
        <v>2942</v>
      </c>
      <c r="K1350" s="2" t="s">
        <v>2941</v>
      </c>
    </row>
    <row r="1351" spans="1:11" s="4" customFormat="1" ht="18" customHeight="1">
      <c r="A1351" s="2" t="s">
        <v>2943</v>
      </c>
      <c r="B1351" s="3"/>
      <c r="C1351" s="2"/>
      <c r="D1351" s="3"/>
      <c r="E1351" s="2"/>
      <c r="F1351" s="2" t="s">
        <v>3485</v>
      </c>
      <c r="G1351" s="2"/>
      <c r="H1351" s="2" t="s">
        <v>3485</v>
      </c>
      <c r="I1351" s="2"/>
      <c r="J1351" s="2" t="s">
        <v>2944</v>
      </c>
      <c r="K1351" s="2" t="s">
        <v>2943</v>
      </c>
    </row>
    <row r="1352" spans="1:11" s="4" customFormat="1" ht="18" customHeight="1">
      <c r="A1352" s="2" t="s">
        <v>2945</v>
      </c>
      <c r="B1352" s="3"/>
      <c r="C1352" s="2"/>
      <c r="D1352" s="3"/>
      <c r="E1352" s="2"/>
      <c r="F1352" s="2" t="s">
        <v>1521</v>
      </c>
      <c r="G1352" s="2"/>
      <c r="H1352" s="2" t="s">
        <v>1521</v>
      </c>
      <c r="I1352" s="2"/>
      <c r="J1352" s="2" t="s">
        <v>2946</v>
      </c>
      <c r="K1352" s="2" t="s">
        <v>2945</v>
      </c>
    </row>
    <row r="1353" spans="1:11" s="4" customFormat="1" ht="18" customHeight="1">
      <c r="A1353" s="2" t="s">
        <v>2947</v>
      </c>
      <c r="B1353" s="3"/>
      <c r="C1353" s="2"/>
      <c r="D1353" s="3"/>
      <c r="E1353" s="2"/>
      <c r="F1353" s="2" t="s">
        <v>2648</v>
      </c>
      <c r="G1353" s="2"/>
      <c r="H1353" s="2" t="s">
        <v>2648</v>
      </c>
      <c r="I1353" s="2"/>
      <c r="J1353" s="2" t="s">
        <v>2948</v>
      </c>
      <c r="K1353" s="2" t="s">
        <v>2947</v>
      </c>
    </row>
    <row r="1354" spans="1:11" s="4" customFormat="1" ht="18" customHeight="1">
      <c r="A1354" s="2" t="s">
        <v>2949</v>
      </c>
      <c r="B1354" s="3"/>
      <c r="C1354" s="2"/>
      <c r="D1354" s="3"/>
      <c r="E1354" s="2"/>
      <c r="F1354" s="2" t="s">
        <v>3959</v>
      </c>
      <c r="G1354" s="2"/>
      <c r="H1354" s="2" t="s">
        <v>3960</v>
      </c>
      <c r="I1354" s="2"/>
      <c r="J1354" s="2" t="s">
        <v>850</v>
      </c>
      <c r="K1354" s="2" t="s">
        <v>2949</v>
      </c>
    </row>
    <row r="1355" spans="1:11" s="4" customFormat="1" ht="18" customHeight="1">
      <c r="A1355" s="2" t="s">
        <v>2950</v>
      </c>
      <c r="B1355" s="3"/>
      <c r="C1355" s="2"/>
      <c r="D1355" s="3"/>
      <c r="E1355" s="2"/>
      <c r="F1355" s="2" t="s">
        <v>3605</v>
      </c>
      <c r="G1355" s="2"/>
      <c r="H1355" s="2" t="s">
        <v>3605</v>
      </c>
      <c r="I1355" s="2"/>
      <c r="J1355" s="2" t="s">
        <v>441</v>
      </c>
      <c r="K1355" s="2" t="s">
        <v>2950</v>
      </c>
    </row>
    <row r="1356" spans="1:11" s="4" customFormat="1" ht="18" customHeight="1">
      <c r="A1356" s="2" t="s">
        <v>2951</v>
      </c>
      <c r="B1356" s="3"/>
      <c r="C1356" s="2"/>
      <c r="D1356" s="3"/>
      <c r="E1356" s="2"/>
      <c r="F1356" s="2" t="s">
        <v>636</v>
      </c>
      <c r="G1356" s="2"/>
      <c r="H1356" s="2" t="s">
        <v>636</v>
      </c>
      <c r="I1356" s="2"/>
      <c r="J1356" s="2" t="s">
        <v>2952</v>
      </c>
      <c r="K1356" s="2" t="s">
        <v>2951</v>
      </c>
    </row>
    <row r="1357" spans="1:11" s="4" customFormat="1" ht="18" customHeight="1">
      <c r="A1357" s="2" t="s">
        <v>2953</v>
      </c>
      <c r="B1357" s="3"/>
      <c r="C1357" s="2"/>
      <c r="D1357" s="3"/>
      <c r="E1357" s="2"/>
      <c r="F1357" s="2" t="s">
        <v>3323</v>
      </c>
      <c r="G1357" s="2"/>
      <c r="H1357" s="2" t="s">
        <v>3323</v>
      </c>
      <c r="I1357" s="2"/>
      <c r="J1357" s="2" t="s">
        <v>2954</v>
      </c>
      <c r="K1357" s="2" t="s">
        <v>2953</v>
      </c>
    </row>
    <row r="1358" spans="1:11" s="4" customFormat="1" ht="18" customHeight="1">
      <c r="A1358" s="2" t="s">
        <v>2955</v>
      </c>
      <c r="B1358" s="3"/>
      <c r="C1358" s="2"/>
      <c r="D1358" s="3"/>
      <c r="E1358" s="2"/>
      <c r="F1358" s="2" t="s">
        <v>943</v>
      </c>
      <c r="G1358" s="2"/>
      <c r="H1358" s="2" t="s">
        <v>462</v>
      </c>
      <c r="I1358" s="2"/>
      <c r="J1358" s="2" t="s">
        <v>2956</v>
      </c>
      <c r="K1358" s="2" t="s">
        <v>2955</v>
      </c>
    </row>
    <row r="1359" spans="1:11" s="4" customFormat="1" ht="18" customHeight="1">
      <c r="A1359" s="2" t="s">
        <v>2957</v>
      </c>
      <c r="B1359" s="3"/>
      <c r="C1359" s="2"/>
      <c r="D1359" s="3"/>
      <c r="E1359" s="2"/>
      <c r="F1359" s="2" t="s">
        <v>1205</v>
      </c>
      <c r="G1359" s="2"/>
      <c r="H1359" s="2" t="s">
        <v>1206</v>
      </c>
      <c r="I1359" s="2"/>
      <c r="J1359" s="2" t="s">
        <v>2958</v>
      </c>
      <c r="K1359" s="2" t="s">
        <v>2957</v>
      </c>
    </row>
    <row r="1360" spans="1:11" s="4" customFormat="1" ht="18" customHeight="1">
      <c r="A1360" s="2" t="s">
        <v>2960</v>
      </c>
      <c r="B1360" s="3"/>
      <c r="C1360" s="2"/>
      <c r="D1360" s="3"/>
      <c r="E1360" s="2"/>
      <c r="F1360" s="2" t="s">
        <v>2365</v>
      </c>
      <c r="G1360" s="2"/>
      <c r="H1360" s="2" t="s">
        <v>2365</v>
      </c>
      <c r="I1360" s="2"/>
      <c r="J1360" s="2" t="s">
        <v>2961</v>
      </c>
      <c r="K1360" s="2" t="s">
        <v>2960</v>
      </c>
    </row>
    <row r="1361" spans="1:11" s="4" customFormat="1" ht="18" customHeight="1">
      <c r="A1361" s="2" t="s">
        <v>2963</v>
      </c>
      <c r="B1361" s="3"/>
      <c r="C1361" s="2"/>
      <c r="D1361" s="3"/>
      <c r="E1361" s="2"/>
      <c r="F1361" s="2" t="s">
        <v>2318</v>
      </c>
      <c r="G1361" s="2"/>
      <c r="H1361" s="2" t="s">
        <v>2318</v>
      </c>
      <c r="I1361" s="2"/>
      <c r="J1361" s="2" t="s">
        <v>2964</v>
      </c>
      <c r="K1361" s="2" t="s">
        <v>2963</v>
      </c>
    </row>
    <row r="1362" spans="1:11" s="4" customFormat="1" ht="18" customHeight="1">
      <c r="A1362" s="2" t="s">
        <v>2965</v>
      </c>
      <c r="B1362" s="3"/>
      <c r="C1362" s="2"/>
      <c r="D1362" s="3"/>
      <c r="E1362" s="2"/>
      <c r="F1362" s="2" t="s">
        <v>1484</v>
      </c>
      <c r="G1362" s="2"/>
      <c r="H1362" s="2" t="s">
        <v>1484</v>
      </c>
      <c r="I1362" s="2"/>
      <c r="J1362" s="2" t="s">
        <v>1544</v>
      </c>
      <c r="K1362" s="2" t="s">
        <v>2965</v>
      </c>
    </row>
    <row r="1363" spans="1:11" s="4" customFormat="1" ht="18" customHeight="1">
      <c r="A1363" s="2" t="s">
        <v>2966</v>
      </c>
      <c r="B1363" s="3"/>
      <c r="C1363" s="2"/>
      <c r="D1363" s="3"/>
      <c r="E1363" s="2"/>
      <c r="F1363" s="2" t="s">
        <v>3012</v>
      </c>
      <c r="G1363" s="2"/>
      <c r="H1363" s="2" t="s">
        <v>3012</v>
      </c>
      <c r="I1363" s="2"/>
      <c r="J1363" s="2" t="s">
        <v>2967</v>
      </c>
      <c r="K1363" s="2" t="s">
        <v>2966</v>
      </c>
    </row>
    <row r="1364" spans="1:11" s="4" customFormat="1" ht="18" customHeight="1">
      <c r="A1364" s="2" t="s">
        <v>2968</v>
      </c>
      <c r="B1364" s="3"/>
      <c r="C1364" s="2"/>
      <c r="D1364" s="3"/>
      <c r="E1364" s="2"/>
      <c r="F1364" s="2" t="s">
        <v>3607</v>
      </c>
      <c r="G1364" s="2"/>
      <c r="H1364" s="2" t="s">
        <v>3607</v>
      </c>
      <c r="I1364" s="2"/>
      <c r="J1364" s="2" t="s">
        <v>2969</v>
      </c>
      <c r="K1364" s="2" t="s">
        <v>2968</v>
      </c>
    </row>
    <row r="1365" spans="1:11" s="4" customFormat="1" ht="18" customHeight="1">
      <c r="A1365" s="2" t="s">
        <v>2970</v>
      </c>
      <c r="B1365" s="3"/>
      <c r="C1365" s="2"/>
      <c r="D1365" s="3"/>
      <c r="E1365" s="2"/>
      <c r="F1365" s="2" t="s">
        <v>850</v>
      </c>
      <c r="G1365" s="2"/>
      <c r="H1365" s="2" t="s">
        <v>850</v>
      </c>
      <c r="I1365" s="2"/>
      <c r="J1365" s="2" t="s">
        <v>2971</v>
      </c>
      <c r="K1365" s="2" t="s">
        <v>2970</v>
      </c>
    </row>
    <row r="1366" spans="1:11" s="4" customFormat="1" ht="18" customHeight="1">
      <c r="A1366" s="2" t="s">
        <v>2972</v>
      </c>
      <c r="B1366" s="3"/>
      <c r="C1366" s="2"/>
      <c r="D1366" s="3"/>
      <c r="E1366" s="2"/>
      <c r="F1366" s="2" t="s">
        <v>850</v>
      </c>
      <c r="G1366" s="2"/>
      <c r="H1366" s="2" t="s">
        <v>850</v>
      </c>
      <c r="I1366" s="2"/>
      <c r="J1366" s="2" t="s">
        <v>2973</v>
      </c>
      <c r="K1366" s="2" t="s">
        <v>2972</v>
      </c>
    </row>
    <row r="1367" spans="1:11" s="4" customFormat="1" ht="18" customHeight="1">
      <c r="A1367" s="2" t="s">
        <v>2974</v>
      </c>
      <c r="B1367" s="3"/>
      <c r="C1367" s="2"/>
      <c r="D1367" s="3"/>
      <c r="E1367" s="2"/>
      <c r="F1367" s="2" t="s">
        <v>850</v>
      </c>
      <c r="G1367" s="2"/>
      <c r="H1367" s="2" t="s">
        <v>3014</v>
      </c>
      <c r="I1367" s="2"/>
      <c r="J1367" s="2" t="s">
        <v>2975</v>
      </c>
      <c r="K1367" s="2" t="s">
        <v>2974</v>
      </c>
    </row>
    <row r="1368" spans="1:11" s="4" customFormat="1" ht="18" customHeight="1">
      <c r="A1368" s="2" t="s">
        <v>2976</v>
      </c>
      <c r="B1368" s="3"/>
      <c r="C1368" s="2"/>
      <c r="D1368" s="3"/>
      <c r="E1368" s="2"/>
      <c r="F1368" s="2" t="s">
        <v>850</v>
      </c>
      <c r="G1368" s="2"/>
      <c r="H1368" s="2" t="s">
        <v>3581</v>
      </c>
      <c r="I1368" s="2"/>
      <c r="J1368" s="2" t="s">
        <v>2977</v>
      </c>
      <c r="K1368" s="2" t="s">
        <v>2976</v>
      </c>
    </row>
    <row r="1369" spans="1:11" s="4" customFormat="1" ht="18" customHeight="1">
      <c r="A1369" s="2" t="s">
        <v>2978</v>
      </c>
      <c r="B1369" s="3"/>
      <c r="C1369" s="2"/>
      <c r="D1369" s="3"/>
      <c r="E1369" s="2"/>
      <c r="F1369" s="2" t="s">
        <v>850</v>
      </c>
      <c r="G1369" s="2"/>
      <c r="H1369" s="2" t="s">
        <v>850</v>
      </c>
      <c r="I1369" s="2"/>
      <c r="J1369" s="2" t="s">
        <v>2979</v>
      </c>
      <c r="K1369" s="2" t="s">
        <v>2978</v>
      </c>
    </row>
    <row r="1370" spans="1:11" s="4" customFormat="1" ht="18" customHeight="1">
      <c r="A1370" s="2" t="s">
        <v>2981</v>
      </c>
      <c r="B1370" s="3"/>
      <c r="C1370" s="2"/>
      <c r="D1370" s="3"/>
      <c r="E1370" s="2"/>
      <c r="F1370" s="2" t="s">
        <v>1929</v>
      </c>
      <c r="G1370" s="2"/>
      <c r="H1370" s="2" t="s">
        <v>1930</v>
      </c>
      <c r="I1370" s="2"/>
      <c r="J1370" s="2" t="s">
        <v>2983</v>
      </c>
      <c r="K1370" s="2" t="s">
        <v>2981</v>
      </c>
    </row>
    <row r="1371" spans="1:11" s="4" customFormat="1" ht="18" customHeight="1">
      <c r="A1371" s="2" t="s">
        <v>2984</v>
      </c>
      <c r="B1371" s="3"/>
      <c r="C1371" s="2"/>
      <c r="D1371" s="3"/>
      <c r="E1371" s="2"/>
      <c r="F1371" s="2" t="s">
        <v>723</v>
      </c>
      <c r="G1371" s="2"/>
      <c r="H1371" s="2" t="s">
        <v>723</v>
      </c>
      <c r="I1371" s="2"/>
      <c r="J1371" s="2" t="s">
        <v>2985</v>
      </c>
      <c r="K1371" s="2" t="s">
        <v>2984</v>
      </c>
    </row>
    <row r="1372" spans="1:11" s="4" customFormat="1" ht="18" customHeight="1">
      <c r="A1372" s="2" t="s">
        <v>2986</v>
      </c>
      <c r="B1372" s="3"/>
      <c r="C1372" s="2"/>
      <c r="D1372" s="3"/>
      <c r="E1372" s="2"/>
      <c r="F1372" s="2" t="s">
        <v>1028</v>
      </c>
      <c r="G1372" s="2"/>
      <c r="H1372" s="2" t="s">
        <v>1029</v>
      </c>
      <c r="I1372" s="2"/>
      <c r="J1372" s="2" t="s">
        <v>2987</v>
      </c>
      <c r="K1372" s="2" t="s">
        <v>2986</v>
      </c>
    </row>
    <row r="1373" spans="1:11" s="4" customFormat="1" ht="18" customHeight="1">
      <c r="A1373" s="2" t="s">
        <v>2988</v>
      </c>
      <c r="B1373" s="3"/>
      <c r="C1373" s="2"/>
      <c r="D1373" s="3"/>
      <c r="E1373" s="2"/>
      <c r="F1373" s="2" t="s">
        <v>2002</v>
      </c>
      <c r="G1373" s="2"/>
      <c r="H1373" s="2" t="s">
        <v>2003</v>
      </c>
      <c r="I1373" s="2"/>
      <c r="J1373" s="2" t="s">
        <v>2989</v>
      </c>
      <c r="K1373" s="2" t="s">
        <v>2988</v>
      </c>
    </row>
    <row r="1374" spans="1:11" s="4" customFormat="1" ht="18" customHeight="1">
      <c r="A1374" s="2" t="s">
        <v>2990</v>
      </c>
      <c r="B1374" s="3"/>
      <c r="C1374" s="2"/>
      <c r="D1374" s="3"/>
      <c r="E1374" s="2"/>
      <c r="F1374" s="2" t="s">
        <v>2863</v>
      </c>
      <c r="G1374" s="2"/>
      <c r="H1374" s="2" t="s">
        <v>2863</v>
      </c>
      <c r="I1374" s="2"/>
      <c r="J1374" s="2" t="s">
        <v>2991</v>
      </c>
      <c r="K1374" s="2" t="s">
        <v>2990</v>
      </c>
    </row>
    <row r="1375" spans="1:11" s="4" customFormat="1" ht="18" customHeight="1">
      <c r="A1375" s="2" t="s">
        <v>2992</v>
      </c>
      <c r="B1375" s="3"/>
      <c r="C1375" s="2"/>
      <c r="D1375" s="3"/>
      <c r="E1375" s="2"/>
      <c r="F1375" s="2" t="s">
        <v>3016</v>
      </c>
      <c r="G1375" s="2"/>
      <c r="H1375" s="2" t="s">
        <v>3016</v>
      </c>
      <c r="I1375" s="2"/>
      <c r="J1375" s="2" t="s">
        <v>1868</v>
      </c>
      <c r="K1375" s="2" t="s">
        <v>2992</v>
      </c>
    </row>
    <row r="1376" spans="1:11" s="4" customFormat="1" ht="18" customHeight="1">
      <c r="A1376" s="2" t="s">
        <v>2994</v>
      </c>
      <c r="B1376" s="3"/>
      <c r="C1376" s="2"/>
      <c r="D1376" s="3"/>
      <c r="E1376" s="2"/>
      <c r="F1376" s="2" t="s">
        <v>1460</v>
      </c>
      <c r="G1376" s="2"/>
      <c r="H1376" s="2" t="s">
        <v>1460</v>
      </c>
      <c r="I1376" s="2"/>
      <c r="J1376" s="2" t="s">
        <v>2995</v>
      </c>
      <c r="K1376" s="2" t="s">
        <v>2994</v>
      </c>
    </row>
    <row r="1377" spans="1:11" s="4" customFormat="1" ht="18" customHeight="1">
      <c r="A1377" s="2" t="s">
        <v>2997</v>
      </c>
      <c r="B1377" s="3"/>
      <c r="C1377" s="2"/>
      <c r="D1377" s="3"/>
      <c r="E1377" s="2"/>
      <c r="F1377" s="2" t="s">
        <v>1588</v>
      </c>
      <c r="G1377" s="2"/>
      <c r="H1377" s="2" t="s">
        <v>1588</v>
      </c>
      <c r="I1377" s="2"/>
      <c r="J1377" s="2" t="s">
        <v>2998</v>
      </c>
      <c r="K1377" s="2" t="s">
        <v>2997</v>
      </c>
    </row>
    <row r="1378" spans="1:11" s="4" customFormat="1" ht="18" customHeight="1">
      <c r="A1378" s="2" t="s">
        <v>2999</v>
      </c>
      <c r="B1378" s="3"/>
      <c r="C1378" s="2"/>
      <c r="D1378" s="3"/>
      <c r="E1378" s="2"/>
      <c r="F1378" s="2" t="s">
        <v>2865</v>
      </c>
      <c r="G1378" s="2"/>
      <c r="H1378" s="2" t="s">
        <v>2866</v>
      </c>
      <c r="I1378" s="2"/>
      <c r="J1378" s="2" t="s">
        <v>2982</v>
      </c>
      <c r="K1378" s="2" t="s">
        <v>2999</v>
      </c>
    </row>
    <row r="1379" spans="1:11" s="4" customFormat="1" ht="18" customHeight="1">
      <c r="A1379" s="2" t="s">
        <v>3000</v>
      </c>
      <c r="B1379" s="3"/>
      <c r="C1379" s="2"/>
      <c r="D1379" s="3"/>
      <c r="E1379" s="2"/>
      <c r="F1379" s="2" t="s">
        <v>2182</v>
      </c>
      <c r="G1379" s="2"/>
      <c r="H1379" s="2" t="s">
        <v>2182</v>
      </c>
      <c r="I1379" s="2"/>
      <c r="J1379" s="2" t="s">
        <v>3001</v>
      </c>
      <c r="K1379" s="2" t="s">
        <v>3000</v>
      </c>
    </row>
    <row r="1380" spans="1:11" s="4" customFormat="1" ht="18" customHeight="1">
      <c r="A1380" s="2" t="s">
        <v>3002</v>
      </c>
      <c r="B1380" s="3"/>
      <c r="C1380" s="2"/>
      <c r="D1380" s="3"/>
      <c r="E1380" s="2"/>
      <c r="F1380" s="2" t="s">
        <v>2182</v>
      </c>
      <c r="G1380" s="2"/>
      <c r="H1380" s="2" t="s">
        <v>2182</v>
      </c>
      <c r="I1380" s="2"/>
      <c r="J1380" s="2" t="s">
        <v>3003</v>
      </c>
      <c r="K1380" s="2" t="s">
        <v>3002</v>
      </c>
    </row>
    <row r="1381" spans="1:11" s="4" customFormat="1" ht="18" customHeight="1">
      <c r="A1381" s="2" t="s">
        <v>3004</v>
      </c>
      <c r="B1381" s="3"/>
      <c r="C1381" s="2"/>
      <c r="D1381" s="3"/>
      <c r="E1381" s="2"/>
      <c r="F1381" s="2" t="s">
        <v>216</v>
      </c>
      <c r="G1381" s="2"/>
      <c r="H1381" s="2" t="s">
        <v>216</v>
      </c>
      <c r="I1381" s="2"/>
      <c r="J1381" s="2" t="s">
        <v>3005</v>
      </c>
      <c r="K1381" s="2" t="s">
        <v>3004</v>
      </c>
    </row>
    <row r="1382" spans="1:11" s="4" customFormat="1" ht="18" customHeight="1">
      <c r="A1382" s="2" t="s">
        <v>3007</v>
      </c>
      <c r="B1382" s="3"/>
      <c r="C1382" s="2"/>
      <c r="D1382" s="3"/>
      <c r="E1382" s="2"/>
      <c r="F1382" s="2" t="s">
        <v>2320</v>
      </c>
      <c r="G1382" s="2"/>
      <c r="H1382" s="2" t="s">
        <v>2320</v>
      </c>
      <c r="I1382" s="2"/>
      <c r="J1382" s="2" t="s">
        <v>3008</v>
      </c>
      <c r="K1382" s="2" t="s">
        <v>3007</v>
      </c>
    </row>
    <row r="1383" spans="1:11" s="4" customFormat="1" ht="18" customHeight="1">
      <c r="A1383" s="2" t="s">
        <v>3009</v>
      </c>
      <c r="B1383" s="3"/>
      <c r="C1383" s="2"/>
      <c r="D1383" s="3"/>
      <c r="E1383" s="2"/>
      <c r="F1383" s="2" t="s">
        <v>268</v>
      </c>
      <c r="G1383" s="2"/>
      <c r="H1383" s="2" t="s">
        <v>269</v>
      </c>
      <c r="I1383" s="2"/>
      <c r="J1383" s="2" t="s">
        <v>3010</v>
      </c>
      <c r="K1383" s="2" t="s">
        <v>3009</v>
      </c>
    </row>
    <row r="1384" spans="1:11" s="4" customFormat="1" ht="18" customHeight="1">
      <c r="A1384" s="2" t="s">
        <v>3011</v>
      </c>
      <c r="B1384" s="3"/>
      <c r="C1384" s="2"/>
      <c r="D1384" s="3"/>
      <c r="E1384" s="2"/>
      <c r="F1384" s="2" t="s">
        <v>268</v>
      </c>
      <c r="G1384" s="2"/>
      <c r="H1384" s="2" t="s">
        <v>268</v>
      </c>
      <c r="I1384" s="2"/>
      <c r="J1384" s="2" t="s">
        <v>3012</v>
      </c>
      <c r="K1384" s="2" t="s">
        <v>3011</v>
      </c>
    </row>
    <row r="1385" spans="1:11" s="4" customFormat="1" ht="18" customHeight="1">
      <c r="A1385" s="2" t="s">
        <v>3013</v>
      </c>
      <c r="B1385" s="3"/>
      <c r="C1385" s="2"/>
      <c r="D1385" s="3"/>
      <c r="E1385" s="2"/>
      <c r="F1385" s="2" t="s">
        <v>268</v>
      </c>
      <c r="G1385" s="2"/>
      <c r="H1385" s="2" t="s">
        <v>3325</v>
      </c>
      <c r="I1385" s="2"/>
      <c r="J1385" s="2" t="s">
        <v>850</v>
      </c>
      <c r="K1385" s="2" t="s">
        <v>3013</v>
      </c>
    </row>
    <row r="1386" spans="1:11" s="4" customFormat="1" ht="18" customHeight="1">
      <c r="A1386" s="2" t="s">
        <v>3015</v>
      </c>
      <c r="B1386" s="3"/>
      <c r="C1386" s="2"/>
      <c r="D1386" s="3"/>
      <c r="E1386" s="2"/>
      <c r="F1386" s="2" t="s">
        <v>268</v>
      </c>
      <c r="G1386" s="2"/>
      <c r="H1386" s="2" t="s">
        <v>3870</v>
      </c>
      <c r="I1386" s="2"/>
      <c r="J1386" s="2" t="s">
        <v>3016</v>
      </c>
      <c r="K1386" s="2" t="s">
        <v>3015</v>
      </c>
    </row>
    <row r="1387" spans="1:11" s="4" customFormat="1" ht="18" customHeight="1">
      <c r="A1387" s="2" t="s">
        <v>3017</v>
      </c>
      <c r="B1387" s="3"/>
      <c r="C1387" s="2"/>
      <c r="D1387" s="3"/>
      <c r="E1387" s="2"/>
      <c r="F1387" s="2" t="s">
        <v>566</v>
      </c>
      <c r="G1387" s="2"/>
      <c r="H1387" s="2" t="s">
        <v>567</v>
      </c>
      <c r="I1387" s="2"/>
      <c r="J1387" s="2" t="s">
        <v>3018</v>
      </c>
      <c r="K1387" s="2" t="s">
        <v>3017</v>
      </c>
    </row>
    <row r="1388" spans="1:11" s="4" customFormat="1" ht="18" customHeight="1">
      <c r="A1388" s="2" t="s">
        <v>3019</v>
      </c>
      <c r="B1388" s="3"/>
      <c r="C1388" s="2"/>
      <c r="D1388" s="3"/>
      <c r="E1388" s="2"/>
      <c r="F1388" s="2" t="s">
        <v>3018</v>
      </c>
      <c r="G1388" s="2"/>
      <c r="H1388" s="2" t="s">
        <v>3018</v>
      </c>
      <c r="I1388" s="2"/>
      <c r="J1388" s="2" t="s">
        <v>3020</v>
      </c>
      <c r="K1388" s="2" t="s">
        <v>3019</v>
      </c>
    </row>
    <row r="1389" spans="1:11" s="4" customFormat="1" ht="18" customHeight="1">
      <c r="A1389" s="2" t="s">
        <v>3021</v>
      </c>
      <c r="B1389" s="3"/>
      <c r="C1389" s="2"/>
      <c r="D1389" s="3"/>
      <c r="E1389" s="2"/>
      <c r="F1389" s="2" t="s">
        <v>1523</v>
      </c>
      <c r="G1389" s="2"/>
      <c r="H1389" s="2" t="s">
        <v>1523</v>
      </c>
      <c r="I1389" s="2"/>
      <c r="J1389" s="2" t="s">
        <v>3022</v>
      </c>
      <c r="K1389" s="2" t="s">
        <v>3021</v>
      </c>
    </row>
    <row r="1390" spans="1:11" s="4" customFormat="1" ht="18" customHeight="1">
      <c r="A1390" s="2" t="s">
        <v>3023</v>
      </c>
      <c r="B1390" s="3"/>
      <c r="C1390" s="2"/>
      <c r="D1390" s="3"/>
      <c r="E1390" s="2"/>
      <c r="F1390" s="2" t="s">
        <v>3896</v>
      </c>
      <c r="G1390" s="2"/>
      <c r="H1390" s="2" t="s">
        <v>3896</v>
      </c>
      <c r="I1390" s="2"/>
      <c r="J1390" s="2" t="s">
        <v>3024</v>
      </c>
      <c r="K1390" s="2" t="s">
        <v>3023</v>
      </c>
    </row>
    <row r="1391" spans="1:11" s="4" customFormat="1" ht="18" customHeight="1">
      <c r="A1391" s="2" t="s">
        <v>3025</v>
      </c>
      <c r="B1391" s="3"/>
      <c r="C1391" s="2"/>
      <c r="D1391" s="3"/>
      <c r="E1391" s="2"/>
      <c r="F1391" s="2" t="s">
        <v>1194</v>
      </c>
      <c r="G1391" s="2"/>
      <c r="H1391" s="2" t="s">
        <v>2098</v>
      </c>
      <c r="I1391" s="2"/>
      <c r="J1391" s="2" t="s">
        <v>3026</v>
      </c>
      <c r="K1391" s="2" t="s">
        <v>3025</v>
      </c>
    </row>
    <row r="1392" spans="1:11" s="4" customFormat="1" ht="18" customHeight="1">
      <c r="A1392" s="2" t="s">
        <v>3027</v>
      </c>
      <c r="B1392" s="3"/>
      <c r="C1392" s="2"/>
      <c r="D1392" s="3"/>
      <c r="E1392" s="2"/>
      <c r="F1392" s="2" t="s">
        <v>2218</v>
      </c>
      <c r="G1392" s="2"/>
      <c r="H1392" s="2" t="s">
        <v>2219</v>
      </c>
      <c r="I1392" s="2"/>
      <c r="J1392" s="2" t="s">
        <v>3028</v>
      </c>
      <c r="K1392" s="2" t="s">
        <v>3027</v>
      </c>
    </row>
    <row r="1393" spans="1:11" s="4" customFormat="1" ht="18" customHeight="1">
      <c r="A1393" s="2" t="s">
        <v>3030</v>
      </c>
      <c r="B1393" s="3"/>
      <c r="C1393" s="2"/>
      <c r="D1393" s="3"/>
      <c r="E1393" s="2"/>
      <c r="F1393" s="2" t="s">
        <v>3373</v>
      </c>
      <c r="G1393" s="2"/>
      <c r="H1393" s="2" t="s">
        <v>3374</v>
      </c>
      <c r="I1393" s="2"/>
      <c r="J1393" s="2" t="s">
        <v>3031</v>
      </c>
      <c r="K1393" s="2" t="s">
        <v>3030</v>
      </c>
    </row>
    <row r="1394" spans="1:11" s="4" customFormat="1" ht="18" customHeight="1">
      <c r="A1394" s="2" t="s">
        <v>3032</v>
      </c>
      <c r="B1394" s="3"/>
      <c r="C1394" s="2"/>
      <c r="D1394" s="3"/>
      <c r="E1394" s="2"/>
      <c r="F1394" s="2" t="s">
        <v>2071</v>
      </c>
      <c r="G1394" s="2"/>
      <c r="H1394" s="2" t="s">
        <v>2072</v>
      </c>
      <c r="I1394" s="2"/>
      <c r="J1394" s="2" t="s">
        <v>3033</v>
      </c>
      <c r="K1394" s="2" t="s">
        <v>3032</v>
      </c>
    </row>
    <row r="1395" spans="1:11" s="4" customFormat="1" ht="18" customHeight="1">
      <c r="A1395" s="2" t="s">
        <v>3034</v>
      </c>
      <c r="B1395" s="3"/>
      <c r="C1395" s="2"/>
      <c r="D1395" s="3"/>
      <c r="E1395" s="2"/>
      <c r="F1395" s="2" t="s">
        <v>173</v>
      </c>
      <c r="G1395" s="2"/>
      <c r="H1395" s="2" t="s">
        <v>174</v>
      </c>
      <c r="I1395" s="2"/>
      <c r="J1395" s="2" t="s">
        <v>3035</v>
      </c>
      <c r="K1395" s="2" t="s">
        <v>3034</v>
      </c>
    </row>
    <row r="1396" spans="1:11" s="4" customFormat="1" ht="18" customHeight="1">
      <c r="A1396" s="2" t="s">
        <v>3036</v>
      </c>
      <c r="B1396" s="3"/>
      <c r="C1396" s="2"/>
      <c r="D1396" s="3"/>
      <c r="E1396" s="2"/>
      <c r="F1396" s="2" t="s">
        <v>1266</v>
      </c>
      <c r="G1396" s="2"/>
      <c r="H1396" s="2" t="s">
        <v>1266</v>
      </c>
      <c r="I1396" s="2"/>
      <c r="J1396" s="2" t="s">
        <v>3037</v>
      </c>
      <c r="K1396" s="2" t="s">
        <v>3036</v>
      </c>
    </row>
    <row r="1397" spans="1:11" s="4" customFormat="1" ht="18" customHeight="1">
      <c r="A1397" s="2" t="s">
        <v>3038</v>
      </c>
      <c r="B1397" s="3"/>
      <c r="C1397" s="2"/>
      <c r="D1397" s="3"/>
      <c r="E1397" s="2"/>
      <c r="F1397" s="2" t="s">
        <v>2005</v>
      </c>
      <c r="G1397" s="2"/>
      <c r="H1397" s="2" t="s">
        <v>2005</v>
      </c>
      <c r="I1397" s="2"/>
      <c r="J1397" s="2" t="s">
        <v>3039</v>
      </c>
      <c r="K1397" s="2" t="s">
        <v>3038</v>
      </c>
    </row>
    <row r="1398" spans="1:11" s="4" customFormat="1" ht="18" customHeight="1">
      <c r="A1398" s="2" t="s">
        <v>3040</v>
      </c>
      <c r="B1398" s="3"/>
      <c r="C1398" s="2"/>
      <c r="D1398" s="3"/>
      <c r="E1398" s="2"/>
      <c r="F1398" s="2" t="s">
        <v>271</v>
      </c>
      <c r="G1398" s="2"/>
      <c r="H1398" s="2" t="s">
        <v>271</v>
      </c>
      <c r="I1398" s="2"/>
      <c r="J1398" s="2" t="s">
        <v>3041</v>
      </c>
      <c r="K1398" s="2" t="s">
        <v>3040</v>
      </c>
    </row>
    <row r="1399" spans="1:11" s="4" customFormat="1" ht="18" customHeight="1">
      <c r="A1399" s="2" t="s">
        <v>3042</v>
      </c>
      <c r="B1399" s="3"/>
      <c r="C1399" s="2"/>
      <c r="D1399" s="3"/>
      <c r="E1399" s="2"/>
      <c r="F1399" s="2" t="s">
        <v>3634</v>
      </c>
      <c r="G1399" s="2"/>
      <c r="H1399" s="2" t="s">
        <v>3635</v>
      </c>
      <c r="I1399" s="2"/>
      <c r="J1399" s="2" t="s">
        <v>3043</v>
      </c>
      <c r="K1399" s="2" t="s">
        <v>3042</v>
      </c>
    </row>
    <row r="1400" spans="1:11" s="4" customFormat="1" ht="18" customHeight="1">
      <c r="A1400" s="2" t="s">
        <v>3044</v>
      </c>
      <c r="B1400" s="3"/>
      <c r="C1400" s="2"/>
      <c r="D1400" s="3"/>
      <c r="E1400" s="2"/>
      <c r="F1400" s="2" t="s">
        <v>937</v>
      </c>
      <c r="G1400" s="2"/>
      <c r="H1400" s="2" t="s">
        <v>937</v>
      </c>
      <c r="I1400" s="2"/>
      <c r="J1400" s="2" t="s">
        <v>3045</v>
      </c>
      <c r="K1400" s="2" t="s">
        <v>3044</v>
      </c>
    </row>
    <row r="1401" spans="1:11" s="4" customFormat="1" ht="18" customHeight="1">
      <c r="A1401" s="2" t="s">
        <v>3046</v>
      </c>
      <c r="B1401" s="3"/>
      <c r="C1401" s="2"/>
      <c r="D1401" s="3"/>
      <c r="E1401" s="2"/>
      <c r="F1401" s="2" t="s">
        <v>3872</v>
      </c>
      <c r="G1401" s="2"/>
      <c r="H1401" s="2" t="s">
        <v>3873</v>
      </c>
      <c r="I1401" s="2"/>
      <c r="J1401" s="2" t="s">
        <v>3047</v>
      </c>
      <c r="K1401" s="2" t="s">
        <v>3046</v>
      </c>
    </row>
    <row r="1402" spans="1:11" s="4" customFormat="1" ht="18" customHeight="1">
      <c r="A1402" s="2" t="s">
        <v>3048</v>
      </c>
      <c r="B1402" s="3"/>
      <c r="C1402" s="2"/>
      <c r="D1402" s="3"/>
      <c r="E1402" s="2"/>
      <c r="F1402" s="2" t="s">
        <v>1528</v>
      </c>
      <c r="G1402" s="2"/>
      <c r="H1402" s="2" t="s">
        <v>1528</v>
      </c>
      <c r="I1402" s="2"/>
      <c r="J1402" s="2" t="s">
        <v>3050</v>
      </c>
      <c r="K1402" s="2" t="s">
        <v>3048</v>
      </c>
    </row>
    <row r="1403" spans="1:11" s="4" customFormat="1" ht="18" customHeight="1">
      <c r="A1403" s="2" t="s">
        <v>3051</v>
      </c>
      <c r="B1403" s="3"/>
      <c r="C1403" s="2"/>
      <c r="D1403" s="3"/>
      <c r="E1403" s="2"/>
      <c r="F1403" s="2" t="s">
        <v>2007</v>
      </c>
      <c r="G1403" s="2"/>
      <c r="H1403" s="2" t="s">
        <v>2008</v>
      </c>
      <c r="I1403" s="2"/>
      <c r="J1403" s="2" t="s">
        <v>3052</v>
      </c>
      <c r="K1403" s="2" t="s">
        <v>3051</v>
      </c>
    </row>
    <row r="1404" spans="1:11" s="4" customFormat="1" ht="18" customHeight="1">
      <c r="A1404" s="2" t="s">
        <v>3053</v>
      </c>
      <c r="B1404" s="3"/>
      <c r="C1404" s="2"/>
      <c r="D1404" s="3"/>
      <c r="E1404" s="2"/>
      <c r="F1404" s="2" t="s">
        <v>2007</v>
      </c>
      <c r="G1404" s="2"/>
      <c r="H1404" s="2" t="s">
        <v>2007</v>
      </c>
      <c r="I1404" s="2"/>
      <c r="J1404" s="2" t="s">
        <v>3054</v>
      </c>
      <c r="K1404" s="2" t="s">
        <v>3053</v>
      </c>
    </row>
    <row r="1405" spans="1:11" s="4" customFormat="1" ht="18" customHeight="1">
      <c r="A1405" s="2" t="s">
        <v>3055</v>
      </c>
      <c r="B1405" s="3"/>
      <c r="C1405" s="2"/>
      <c r="D1405" s="3"/>
      <c r="E1405" s="2"/>
      <c r="F1405" s="2" t="s">
        <v>176</v>
      </c>
      <c r="G1405" s="2"/>
      <c r="H1405" s="2" t="s">
        <v>177</v>
      </c>
      <c r="I1405" s="2"/>
      <c r="J1405" s="2" t="s">
        <v>3056</v>
      </c>
      <c r="K1405" s="2" t="s">
        <v>3055</v>
      </c>
    </row>
    <row r="1406" spans="1:11" s="4" customFormat="1" ht="18" customHeight="1">
      <c r="A1406" s="2" t="s">
        <v>3058</v>
      </c>
      <c r="B1406" s="3"/>
      <c r="C1406" s="2"/>
      <c r="D1406" s="3"/>
      <c r="E1406" s="2"/>
      <c r="F1406" s="2" t="s">
        <v>3517</v>
      </c>
      <c r="G1406" s="2"/>
      <c r="H1406" s="2" t="s">
        <v>3517</v>
      </c>
      <c r="I1406" s="2"/>
      <c r="J1406" s="2" t="s">
        <v>3059</v>
      </c>
      <c r="K1406" s="2" t="s">
        <v>3058</v>
      </c>
    </row>
    <row r="1407" spans="1:11" s="4" customFormat="1" ht="18" customHeight="1">
      <c r="A1407" s="2" t="s">
        <v>3060</v>
      </c>
      <c r="B1407" s="3"/>
      <c r="C1407" s="2"/>
      <c r="D1407" s="3"/>
      <c r="E1407" s="2"/>
      <c r="F1407" s="2" t="s">
        <v>1285</v>
      </c>
      <c r="G1407" s="2"/>
      <c r="H1407" s="2" t="s">
        <v>1285</v>
      </c>
      <c r="I1407" s="2"/>
      <c r="J1407" s="2" t="s">
        <v>3049</v>
      </c>
      <c r="K1407" s="2" t="s">
        <v>3060</v>
      </c>
    </row>
    <row r="1408" spans="1:11" s="4" customFormat="1" ht="18" customHeight="1">
      <c r="A1408" s="2" t="s">
        <v>3061</v>
      </c>
      <c r="B1408" s="3"/>
      <c r="C1408" s="2"/>
      <c r="D1408" s="3"/>
      <c r="E1408" s="2"/>
      <c r="F1408" s="2" t="s">
        <v>273</v>
      </c>
      <c r="G1408" s="2"/>
      <c r="H1408" s="2" t="s">
        <v>274</v>
      </c>
      <c r="I1408" s="2"/>
      <c r="J1408" s="2" t="s">
        <v>1229</v>
      </c>
      <c r="K1408" s="2" t="s">
        <v>3061</v>
      </c>
    </row>
    <row r="1409" spans="1:11" s="4" customFormat="1" ht="18" customHeight="1">
      <c r="A1409" s="2" t="s">
        <v>3062</v>
      </c>
      <c r="B1409" s="3"/>
      <c r="C1409" s="2"/>
      <c r="D1409" s="3"/>
      <c r="E1409" s="2"/>
      <c r="F1409" s="2" t="s">
        <v>273</v>
      </c>
      <c r="G1409" s="2"/>
      <c r="H1409" s="2" t="s">
        <v>273</v>
      </c>
      <c r="I1409" s="2"/>
      <c r="J1409" s="2" t="s">
        <v>3063</v>
      </c>
      <c r="K1409" s="2" t="s">
        <v>3062</v>
      </c>
    </row>
    <row r="1410" spans="1:11" s="4" customFormat="1" ht="18" customHeight="1">
      <c r="A1410" s="2" t="s">
        <v>3064</v>
      </c>
      <c r="B1410" s="3"/>
      <c r="C1410" s="2"/>
      <c r="D1410" s="3"/>
      <c r="E1410" s="2"/>
      <c r="F1410" s="2" t="s">
        <v>273</v>
      </c>
      <c r="G1410" s="2"/>
      <c r="H1410" s="2" t="s">
        <v>273</v>
      </c>
      <c r="I1410" s="2"/>
      <c r="J1410" s="2" t="s">
        <v>3065</v>
      </c>
      <c r="K1410" s="2" t="s">
        <v>3064</v>
      </c>
    </row>
    <row r="1411" spans="1:11" s="4" customFormat="1" ht="18" customHeight="1">
      <c r="A1411" s="2" t="s">
        <v>3067</v>
      </c>
      <c r="B1411" s="3"/>
      <c r="C1411" s="2"/>
      <c r="D1411" s="3"/>
      <c r="E1411" s="2"/>
      <c r="F1411" s="2" t="s">
        <v>2367</v>
      </c>
      <c r="G1411" s="2"/>
      <c r="H1411" s="2" t="s">
        <v>2367</v>
      </c>
      <c r="I1411" s="2"/>
      <c r="J1411" s="2" t="s">
        <v>3068</v>
      </c>
      <c r="K1411" s="2" t="s">
        <v>3067</v>
      </c>
    </row>
    <row r="1412" spans="1:11" s="4" customFormat="1" ht="18" customHeight="1">
      <c r="A1412" s="2" t="s">
        <v>3070</v>
      </c>
      <c r="B1412" s="3"/>
      <c r="C1412" s="2"/>
      <c r="D1412" s="3"/>
      <c r="E1412" s="2"/>
      <c r="F1412" s="2" t="s">
        <v>3135</v>
      </c>
      <c r="G1412" s="2"/>
      <c r="H1412" s="2" t="s">
        <v>3135</v>
      </c>
      <c r="I1412" s="2"/>
      <c r="J1412" s="2" t="s">
        <v>3071</v>
      </c>
      <c r="K1412" s="2" t="s">
        <v>3070</v>
      </c>
    </row>
    <row r="1413" spans="1:11" s="4" customFormat="1" ht="18" customHeight="1">
      <c r="A1413" s="2" t="s">
        <v>3072</v>
      </c>
      <c r="B1413" s="3"/>
      <c r="C1413" s="2"/>
      <c r="D1413" s="3"/>
      <c r="E1413" s="2"/>
      <c r="F1413" s="2" t="s">
        <v>934</v>
      </c>
      <c r="G1413" s="2"/>
      <c r="H1413" s="2" t="s">
        <v>934</v>
      </c>
      <c r="I1413" s="2"/>
      <c r="J1413" s="2" t="s">
        <v>3073</v>
      </c>
      <c r="K1413" s="2" t="s">
        <v>3072</v>
      </c>
    </row>
    <row r="1414" spans="1:11" s="4" customFormat="1" ht="18" customHeight="1">
      <c r="A1414" s="2" t="s">
        <v>3074</v>
      </c>
      <c r="B1414" s="3"/>
      <c r="C1414" s="2"/>
      <c r="D1414" s="3"/>
      <c r="E1414" s="2"/>
      <c r="F1414" s="2" t="s">
        <v>934</v>
      </c>
      <c r="G1414" s="2"/>
      <c r="H1414" s="2" t="s">
        <v>934</v>
      </c>
      <c r="I1414" s="2"/>
      <c r="J1414" s="2" t="s">
        <v>3075</v>
      </c>
      <c r="K1414" s="2" t="s">
        <v>3074</v>
      </c>
    </row>
    <row r="1415" spans="1:11" s="4" customFormat="1" ht="18" customHeight="1">
      <c r="A1415" s="2" t="s">
        <v>3076</v>
      </c>
      <c r="B1415" s="3"/>
      <c r="C1415" s="2"/>
      <c r="D1415" s="3"/>
      <c r="E1415" s="2"/>
      <c r="F1415" s="2" t="s">
        <v>934</v>
      </c>
      <c r="G1415" s="2"/>
      <c r="H1415" s="2" t="s">
        <v>934</v>
      </c>
      <c r="I1415" s="2"/>
      <c r="J1415" s="2" t="s">
        <v>3077</v>
      </c>
      <c r="K1415" s="2" t="s">
        <v>3076</v>
      </c>
    </row>
    <row r="1416" spans="1:11" s="4" customFormat="1" ht="18" customHeight="1">
      <c r="A1416" s="2" t="s">
        <v>3078</v>
      </c>
      <c r="B1416" s="3"/>
      <c r="C1416" s="2"/>
      <c r="D1416" s="3"/>
      <c r="E1416" s="2"/>
      <c r="F1416" s="2" t="s">
        <v>2259</v>
      </c>
      <c r="G1416" s="2"/>
      <c r="H1416" s="2" t="s">
        <v>2259</v>
      </c>
      <c r="I1416" s="2"/>
      <c r="J1416" s="2" t="s">
        <v>3079</v>
      </c>
      <c r="K1416" s="2" t="s">
        <v>3078</v>
      </c>
    </row>
    <row r="1417" spans="1:11" s="4" customFormat="1" ht="18" customHeight="1">
      <c r="A1417" s="2" t="s">
        <v>3080</v>
      </c>
      <c r="B1417" s="3"/>
      <c r="C1417" s="2"/>
      <c r="D1417" s="3"/>
      <c r="E1417" s="2"/>
      <c r="F1417" s="2" t="s">
        <v>1538</v>
      </c>
      <c r="G1417" s="2"/>
      <c r="H1417" s="2" t="s">
        <v>1538</v>
      </c>
      <c r="I1417" s="2"/>
      <c r="J1417" s="2" t="s">
        <v>3081</v>
      </c>
      <c r="K1417" s="2" t="s">
        <v>3080</v>
      </c>
    </row>
    <row r="1418" spans="1:11" s="4" customFormat="1" ht="18" customHeight="1">
      <c r="A1418" s="2" t="s">
        <v>3082</v>
      </c>
      <c r="B1418" s="3"/>
      <c r="C1418" s="2"/>
      <c r="D1418" s="3"/>
      <c r="E1418" s="2"/>
      <c r="F1418" s="2" t="s">
        <v>2403</v>
      </c>
      <c r="G1418" s="2"/>
      <c r="H1418" s="2" t="s">
        <v>2403</v>
      </c>
      <c r="I1418" s="2"/>
      <c r="J1418" s="2" t="s">
        <v>3083</v>
      </c>
      <c r="K1418" s="2" t="s">
        <v>3082</v>
      </c>
    </row>
    <row r="1419" spans="1:11" s="4" customFormat="1" ht="18" customHeight="1">
      <c r="A1419" s="2" t="s">
        <v>3084</v>
      </c>
      <c r="B1419" s="3"/>
      <c r="C1419" s="2"/>
      <c r="D1419" s="3"/>
      <c r="E1419" s="2"/>
      <c r="F1419" s="2" t="s">
        <v>3807</v>
      </c>
      <c r="G1419" s="2"/>
      <c r="H1419" s="2" t="s">
        <v>3807</v>
      </c>
      <c r="I1419" s="2"/>
      <c r="J1419" s="2" t="s">
        <v>3085</v>
      </c>
      <c r="K1419" s="2" t="s">
        <v>3084</v>
      </c>
    </row>
    <row r="1420" spans="1:11" s="4" customFormat="1" ht="18" customHeight="1">
      <c r="A1420" s="2" t="s">
        <v>3087</v>
      </c>
      <c r="B1420" s="3"/>
      <c r="C1420" s="2"/>
      <c r="D1420" s="3"/>
      <c r="E1420" s="2"/>
      <c r="F1420" s="2" t="s">
        <v>1116</v>
      </c>
      <c r="G1420" s="2"/>
      <c r="H1420" s="2" t="s">
        <v>1117</v>
      </c>
      <c r="I1420" s="2"/>
      <c r="J1420" s="2" t="s">
        <v>2488</v>
      </c>
      <c r="K1420" s="2" t="s">
        <v>3087</v>
      </c>
    </row>
    <row r="1421" spans="1:11" s="4" customFormat="1" ht="18" customHeight="1">
      <c r="A1421" s="2" t="s">
        <v>3088</v>
      </c>
      <c r="B1421" s="3"/>
      <c r="C1421" s="2"/>
      <c r="D1421" s="3"/>
      <c r="E1421" s="2"/>
      <c r="F1421" s="2" t="s">
        <v>1287</v>
      </c>
      <c r="G1421" s="2"/>
      <c r="H1421" s="2" t="s">
        <v>1287</v>
      </c>
      <c r="I1421" s="2"/>
      <c r="J1421" s="2" t="s">
        <v>3089</v>
      </c>
      <c r="K1421" s="2" t="s">
        <v>3088</v>
      </c>
    </row>
    <row r="1422" spans="1:11" s="4" customFormat="1" ht="18" customHeight="1">
      <c r="A1422" s="2" t="s">
        <v>3090</v>
      </c>
      <c r="B1422" s="3"/>
      <c r="C1422" s="2"/>
      <c r="D1422" s="3"/>
      <c r="E1422" s="2"/>
      <c r="F1422" s="2" t="s">
        <v>1525</v>
      </c>
      <c r="G1422" s="2"/>
      <c r="H1422" s="2" t="s">
        <v>1525</v>
      </c>
      <c r="I1422" s="2"/>
      <c r="J1422" s="2" t="s">
        <v>3091</v>
      </c>
      <c r="K1422" s="2" t="s">
        <v>3090</v>
      </c>
    </row>
    <row r="1423" spans="1:11" s="4" customFormat="1" ht="18" customHeight="1">
      <c r="A1423" s="2" t="s">
        <v>3092</v>
      </c>
      <c r="B1423" s="3"/>
      <c r="C1423" s="2"/>
      <c r="D1423" s="3"/>
      <c r="E1423" s="2"/>
      <c r="F1423" s="2" t="s">
        <v>659</v>
      </c>
      <c r="G1423" s="2"/>
      <c r="H1423" s="2" t="s">
        <v>660</v>
      </c>
      <c r="I1423" s="2"/>
      <c r="J1423" s="2" t="s">
        <v>3093</v>
      </c>
      <c r="K1423" s="2" t="s">
        <v>3092</v>
      </c>
    </row>
    <row r="1424" spans="1:11" s="4" customFormat="1" ht="18" customHeight="1">
      <c r="A1424" s="2" t="s">
        <v>3094</v>
      </c>
      <c r="B1424" s="3"/>
      <c r="C1424" s="2"/>
      <c r="D1424" s="3"/>
      <c r="E1424" s="2"/>
      <c r="F1424" s="2" t="s">
        <v>659</v>
      </c>
      <c r="G1424" s="2"/>
      <c r="H1424" s="2" t="s">
        <v>659</v>
      </c>
      <c r="I1424" s="2"/>
      <c r="J1424" s="2" t="s">
        <v>3095</v>
      </c>
      <c r="K1424" s="2" t="s">
        <v>3094</v>
      </c>
    </row>
    <row r="1425" spans="1:11" s="4" customFormat="1" ht="18" customHeight="1">
      <c r="A1425" s="2" t="s">
        <v>3096</v>
      </c>
      <c r="B1425" s="3"/>
      <c r="C1425" s="2"/>
      <c r="D1425" s="3"/>
      <c r="E1425" s="2"/>
      <c r="F1425" s="2" t="s">
        <v>659</v>
      </c>
      <c r="G1425" s="2"/>
      <c r="H1425" s="2" t="s">
        <v>659</v>
      </c>
      <c r="I1425" s="2"/>
      <c r="J1425" s="2" t="s">
        <v>3097</v>
      </c>
      <c r="K1425" s="2" t="s">
        <v>3096</v>
      </c>
    </row>
    <row r="1426" spans="1:11" s="4" customFormat="1" ht="18" customHeight="1">
      <c r="A1426" s="2" t="s">
        <v>3098</v>
      </c>
      <c r="B1426" s="3"/>
      <c r="C1426" s="2"/>
      <c r="D1426" s="3"/>
      <c r="E1426" s="2"/>
      <c r="F1426" s="2" t="s">
        <v>659</v>
      </c>
      <c r="G1426" s="2"/>
      <c r="H1426" s="2" t="s">
        <v>659</v>
      </c>
      <c r="I1426" s="2"/>
      <c r="J1426" s="2" t="s">
        <v>3099</v>
      </c>
      <c r="K1426" s="2" t="s">
        <v>3098</v>
      </c>
    </row>
    <row r="1427" spans="1:11" s="4" customFormat="1" ht="18" customHeight="1">
      <c r="A1427" s="2" t="s">
        <v>3100</v>
      </c>
      <c r="B1427" s="3"/>
      <c r="C1427" s="2"/>
      <c r="D1427" s="3"/>
      <c r="E1427" s="2"/>
      <c r="F1427" s="2" t="s">
        <v>1119</v>
      </c>
      <c r="G1427" s="2"/>
      <c r="H1427" s="2" t="s">
        <v>1119</v>
      </c>
      <c r="I1427" s="2"/>
      <c r="J1427" s="2" t="s">
        <v>3101</v>
      </c>
      <c r="K1427" s="2" t="s">
        <v>3100</v>
      </c>
    </row>
    <row r="1428" spans="1:11" s="4" customFormat="1" ht="18" customHeight="1">
      <c r="A1428" s="2" t="s">
        <v>3102</v>
      </c>
      <c r="B1428" s="3"/>
      <c r="C1428" s="2"/>
      <c r="D1428" s="3"/>
      <c r="E1428" s="2"/>
      <c r="F1428" s="2" t="s">
        <v>1119</v>
      </c>
      <c r="G1428" s="2"/>
      <c r="H1428" s="2" t="s">
        <v>1119</v>
      </c>
      <c r="I1428" s="2"/>
      <c r="J1428" s="2" t="s">
        <v>3103</v>
      </c>
      <c r="K1428" s="2" t="s">
        <v>3102</v>
      </c>
    </row>
    <row r="1429" spans="1:11" s="4" customFormat="1" ht="18" customHeight="1">
      <c r="A1429" s="2" t="s">
        <v>3104</v>
      </c>
      <c r="B1429" s="3"/>
      <c r="C1429" s="2"/>
      <c r="D1429" s="3"/>
      <c r="E1429" s="2"/>
      <c r="F1429" s="2" t="s">
        <v>1119</v>
      </c>
      <c r="G1429" s="2"/>
      <c r="H1429" s="2" t="s">
        <v>659</v>
      </c>
      <c r="I1429" s="2"/>
      <c r="J1429" s="2" t="s">
        <v>560</v>
      </c>
      <c r="K1429" s="2" t="s">
        <v>3104</v>
      </c>
    </row>
    <row r="1430" spans="1:11" s="4" customFormat="1" ht="18" customHeight="1">
      <c r="A1430" s="2" t="s">
        <v>3105</v>
      </c>
      <c r="B1430" s="3"/>
      <c r="C1430" s="2"/>
      <c r="D1430" s="3"/>
      <c r="E1430" s="2"/>
      <c r="F1430" s="2" t="s">
        <v>3487</v>
      </c>
      <c r="G1430" s="2"/>
      <c r="H1430" s="2" t="s">
        <v>3488</v>
      </c>
      <c r="I1430" s="2"/>
      <c r="J1430" s="2" t="s">
        <v>3106</v>
      </c>
      <c r="K1430" s="2" t="s">
        <v>3105</v>
      </c>
    </row>
    <row r="1431" spans="1:11" s="4" customFormat="1" ht="18" customHeight="1">
      <c r="A1431" s="2" t="s">
        <v>3107</v>
      </c>
      <c r="B1431" s="3"/>
      <c r="C1431" s="2"/>
      <c r="D1431" s="3"/>
      <c r="E1431" s="2"/>
      <c r="F1431" s="2" t="s">
        <v>780</v>
      </c>
      <c r="G1431" s="2"/>
      <c r="H1431" s="2" t="s">
        <v>780</v>
      </c>
      <c r="I1431" s="2"/>
      <c r="J1431" s="2" t="s">
        <v>3108</v>
      </c>
      <c r="K1431" s="2" t="s">
        <v>3107</v>
      </c>
    </row>
    <row r="1432" spans="1:11" s="4" customFormat="1" ht="18" customHeight="1">
      <c r="A1432" s="2" t="s">
        <v>3109</v>
      </c>
      <c r="B1432" s="3"/>
      <c r="C1432" s="2"/>
      <c r="D1432" s="3"/>
      <c r="E1432" s="2"/>
      <c r="F1432" s="2" t="s">
        <v>1486</v>
      </c>
      <c r="G1432" s="2"/>
      <c r="H1432" s="2" t="s">
        <v>1486</v>
      </c>
      <c r="I1432" s="2"/>
      <c r="J1432" s="2" t="s">
        <v>3110</v>
      </c>
      <c r="K1432" s="2" t="s">
        <v>3109</v>
      </c>
    </row>
    <row r="1433" spans="1:11" s="4" customFormat="1" ht="18" customHeight="1">
      <c r="A1433" s="2" t="s">
        <v>3111</v>
      </c>
      <c r="B1433" s="3"/>
      <c r="C1433" s="2"/>
      <c r="D1433" s="3"/>
      <c r="E1433" s="2"/>
      <c r="F1433" s="2" t="s">
        <v>3020</v>
      </c>
      <c r="G1433" s="2"/>
      <c r="H1433" s="2" t="s">
        <v>3020</v>
      </c>
      <c r="I1433" s="2"/>
      <c r="J1433" s="2" t="s">
        <v>3112</v>
      </c>
      <c r="K1433" s="2" t="s">
        <v>3111</v>
      </c>
    </row>
    <row r="1434" spans="1:11" s="4" customFormat="1" ht="18" customHeight="1">
      <c r="A1434" s="2" t="s">
        <v>3113</v>
      </c>
      <c r="B1434" s="3"/>
      <c r="C1434" s="2"/>
      <c r="D1434" s="3"/>
      <c r="E1434" s="2"/>
      <c r="F1434" s="2" t="s">
        <v>2564</v>
      </c>
      <c r="G1434" s="2"/>
      <c r="H1434" s="2" t="s">
        <v>2565</v>
      </c>
      <c r="I1434" s="2"/>
      <c r="J1434" s="2" t="s">
        <v>3114</v>
      </c>
      <c r="K1434" s="2" t="s">
        <v>3113</v>
      </c>
    </row>
    <row r="1435" spans="1:11" s="4" customFormat="1" ht="18" customHeight="1">
      <c r="A1435" s="2" t="s">
        <v>3115</v>
      </c>
      <c r="B1435" s="3"/>
      <c r="C1435" s="2"/>
      <c r="D1435" s="3"/>
      <c r="E1435" s="2"/>
      <c r="F1435" s="2" t="s">
        <v>2567</v>
      </c>
      <c r="G1435" s="2"/>
      <c r="H1435" s="2" t="s">
        <v>2568</v>
      </c>
      <c r="I1435" s="2"/>
      <c r="J1435" s="2" t="s">
        <v>3116</v>
      </c>
      <c r="K1435" s="2" t="s">
        <v>3115</v>
      </c>
    </row>
    <row r="1436" spans="1:11" s="4" customFormat="1" ht="18" customHeight="1">
      <c r="A1436" s="2" t="s">
        <v>3117</v>
      </c>
      <c r="B1436" s="3"/>
      <c r="C1436" s="2"/>
      <c r="D1436" s="3"/>
      <c r="E1436" s="2"/>
      <c r="F1436" s="2" t="s">
        <v>4015</v>
      </c>
      <c r="G1436" s="2"/>
      <c r="H1436" s="2" t="s">
        <v>4015</v>
      </c>
      <c r="I1436" s="2"/>
      <c r="J1436" s="2" t="s">
        <v>3118</v>
      </c>
      <c r="K1436" s="2" t="s">
        <v>3117</v>
      </c>
    </row>
    <row r="1437" spans="1:11" s="4" customFormat="1" ht="18" customHeight="1">
      <c r="A1437" s="2" t="s">
        <v>3119</v>
      </c>
      <c r="B1437" s="3"/>
      <c r="C1437" s="2"/>
      <c r="D1437" s="3"/>
      <c r="E1437" s="2"/>
      <c r="F1437" s="2" t="s">
        <v>1442</v>
      </c>
      <c r="G1437" s="2"/>
      <c r="H1437" s="2" t="s">
        <v>1443</v>
      </c>
      <c r="I1437" s="2"/>
      <c r="J1437" s="2" t="s">
        <v>3006</v>
      </c>
      <c r="K1437" s="2" t="s">
        <v>3119</v>
      </c>
    </row>
    <row r="1438" spans="1:11" s="4" customFormat="1" ht="18" customHeight="1">
      <c r="A1438" s="2" t="s">
        <v>3120</v>
      </c>
      <c r="B1438" s="3"/>
      <c r="C1438" s="2"/>
      <c r="D1438" s="3"/>
      <c r="E1438" s="2"/>
      <c r="F1438" s="2" t="s">
        <v>276</v>
      </c>
      <c r="G1438" s="2"/>
      <c r="H1438" s="2" t="s">
        <v>276</v>
      </c>
      <c r="I1438" s="2"/>
      <c r="J1438" s="2" t="s">
        <v>3121</v>
      </c>
      <c r="K1438" s="2" t="s">
        <v>3120</v>
      </c>
    </row>
    <row r="1439" spans="1:11" s="4" customFormat="1" ht="18" customHeight="1">
      <c r="A1439" s="2" t="s">
        <v>3122</v>
      </c>
      <c r="B1439" s="3"/>
      <c r="C1439" s="2"/>
      <c r="D1439" s="3"/>
      <c r="E1439" s="2"/>
      <c r="F1439" s="2" t="s">
        <v>2869</v>
      </c>
      <c r="G1439" s="2"/>
      <c r="H1439" s="2" t="s">
        <v>2869</v>
      </c>
      <c r="I1439" s="2"/>
      <c r="J1439" s="2" t="s">
        <v>3123</v>
      </c>
      <c r="K1439" s="2" t="s">
        <v>3122</v>
      </c>
    </row>
    <row r="1440" spans="1:11" s="4" customFormat="1" ht="18" customHeight="1">
      <c r="A1440" s="2" t="s">
        <v>3124</v>
      </c>
      <c r="B1440" s="3"/>
      <c r="C1440" s="2"/>
      <c r="D1440" s="3"/>
      <c r="E1440" s="2"/>
      <c r="F1440" s="2" t="s">
        <v>2871</v>
      </c>
      <c r="G1440" s="2"/>
      <c r="H1440" s="2" t="s">
        <v>2872</v>
      </c>
      <c r="I1440" s="2"/>
      <c r="J1440" s="2" t="s">
        <v>881</v>
      </c>
      <c r="K1440" s="2" t="s">
        <v>3124</v>
      </c>
    </row>
    <row r="1441" spans="1:11" s="4" customFormat="1" ht="18" customHeight="1">
      <c r="A1441" s="2" t="s">
        <v>3125</v>
      </c>
      <c r="B1441" s="3"/>
      <c r="C1441" s="2"/>
      <c r="D1441" s="3"/>
      <c r="E1441" s="2"/>
      <c r="F1441" s="2" t="s">
        <v>375</v>
      </c>
      <c r="G1441" s="2"/>
      <c r="H1441" s="2" t="s">
        <v>375</v>
      </c>
      <c r="I1441" s="2"/>
      <c r="J1441" s="2" t="s">
        <v>3126</v>
      </c>
      <c r="K1441" s="2" t="s">
        <v>3125</v>
      </c>
    </row>
    <row r="1442" spans="1:11" s="4" customFormat="1" ht="18" customHeight="1">
      <c r="A1442" s="2" t="s">
        <v>3127</v>
      </c>
      <c r="B1442" s="3"/>
      <c r="C1442" s="2"/>
      <c r="D1442" s="3"/>
      <c r="E1442" s="2"/>
      <c r="F1442" s="2" t="s">
        <v>3610</v>
      </c>
      <c r="G1442" s="2"/>
      <c r="H1442" s="2" t="s">
        <v>3610</v>
      </c>
      <c r="I1442" s="2"/>
      <c r="J1442" s="2" t="s">
        <v>3128</v>
      </c>
      <c r="K1442" s="2" t="s">
        <v>3127</v>
      </c>
    </row>
    <row r="1443" spans="1:11" s="4" customFormat="1" ht="18" customHeight="1">
      <c r="A1443" s="2" t="s">
        <v>3130</v>
      </c>
      <c r="B1443" s="3"/>
      <c r="C1443" s="2"/>
      <c r="D1443" s="3"/>
      <c r="E1443" s="2"/>
      <c r="F1443" s="2" t="s">
        <v>898</v>
      </c>
      <c r="G1443" s="2"/>
      <c r="H1443" s="2" t="s">
        <v>899</v>
      </c>
      <c r="I1443" s="2"/>
      <c r="J1443" s="2" t="s">
        <v>3131</v>
      </c>
      <c r="K1443" s="2" t="s">
        <v>3130</v>
      </c>
    </row>
    <row r="1444" spans="1:11" s="4" customFormat="1" ht="18" customHeight="1">
      <c r="A1444" s="2" t="s">
        <v>3132</v>
      </c>
      <c r="B1444" s="3"/>
      <c r="C1444" s="2"/>
      <c r="D1444" s="3"/>
      <c r="E1444" s="2"/>
      <c r="F1444" s="2" t="s">
        <v>3022</v>
      </c>
      <c r="G1444" s="2"/>
      <c r="H1444" s="2" t="s">
        <v>3022</v>
      </c>
      <c r="I1444" s="2"/>
      <c r="J1444" s="2" t="s">
        <v>3133</v>
      </c>
      <c r="K1444" s="2" t="s">
        <v>3132</v>
      </c>
    </row>
    <row r="1445" spans="1:11" s="4" customFormat="1" ht="18" customHeight="1">
      <c r="A1445" s="2" t="s">
        <v>3134</v>
      </c>
      <c r="B1445" s="3"/>
      <c r="C1445" s="2"/>
      <c r="D1445" s="3"/>
      <c r="E1445" s="2"/>
      <c r="F1445" s="2" t="s">
        <v>901</v>
      </c>
      <c r="G1445" s="2"/>
      <c r="H1445" s="2" t="s">
        <v>902</v>
      </c>
      <c r="I1445" s="2"/>
      <c r="J1445" s="2" t="s">
        <v>3135</v>
      </c>
      <c r="K1445" s="2" t="s">
        <v>3134</v>
      </c>
    </row>
    <row r="1446" spans="1:11" s="4" customFormat="1" ht="18" customHeight="1">
      <c r="A1446" s="2" t="s">
        <v>3136</v>
      </c>
      <c r="B1446" s="3"/>
      <c r="C1446" s="2"/>
      <c r="D1446" s="3"/>
      <c r="E1446" s="2"/>
      <c r="F1446" s="2" t="s">
        <v>2284</v>
      </c>
      <c r="G1446" s="2"/>
      <c r="H1446" s="2" t="s">
        <v>2284</v>
      </c>
      <c r="I1446" s="2"/>
      <c r="J1446" s="2" t="s">
        <v>3137</v>
      </c>
      <c r="K1446" s="2" t="s">
        <v>3136</v>
      </c>
    </row>
    <row r="1447" spans="1:11" s="4" customFormat="1" ht="18" customHeight="1">
      <c r="A1447" s="2" t="s">
        <v>3138</v>
      </c>
      <c r="B1447" s="3"/>
      <c r="C1447" s="2"/>
      <c r="D1447" s="3"/>
      <c r="E1447" s="2"/>
      <c r="F1447" s="2" t="s">
        <v>3755</v>
      </c>
      <c r="G1447" s="2"/>
      <c r="H1447" s="2" t="s">
        <v>3755</v>
      </c>
      <c r="I1447" s="2"/>
      <c r="J1447" s="2" t="s">
        <v>3139</v>
      </c>
      <c r="K1447" s="2" t="s">
        <v>3138</v>
      </c>
    </row>
    <row r="1448" spans="1:11" s="4" customFormat="1" ht="18" customHeight="1">
      <c r="A1448" s="2" t="s">
        <v>3140</v>
      </c>
      <c r="B1448" s="3"/>
      <c r="C1448" s="2"/>
      <c r="D1448" s="3"/>
      <c r="E1448" s="2"/>
      <c r="F1448" s="2" t="s">
        <v>2476</v>
      </c>
      <c r="G1448" s="2"/>
      <c r="H1448" s="2" t="s">
        <v>2476</v>
      </c>
      <c r="I1448" s="2"/>
      <c r="J1448" s="2" t="s">
        <v>3141</v>
      </c>
      <c r="K1448" s="2" t="s">
        <v>3140</v>
      </c>
    </row>
    <row r="1449" spans="1:11" s="4" customFormat="1" ht="18" customHeight="1">
      <c r="A1449" s="2" t="s">
        <v>3142</v>
      </c>
      <c r="B1449" s="3"/>
      <c r="C1449" s="2"/>
      <c r="D1449" s="3"/>
      <c r="E1449" s="2"/>
      <c r="F1449" s="2" t="s">
        <v>3024</v>
      </c>
      <c r="G1449" s="2"/>
      <c r="H1449" s="2" t="s">
        <v>3024</v>
      </c>
      <c r="I1449" s="2"/>
      <c r="J1449" s="2" t="s">
        <v>3143</v>
      </c>
      <c r="K1449" s="2" t="s">
        <v>3142</v>
      </c>
    </row>
    <row r="1450" spans="1:11" s="4" customFormat="1" ht="18" customHeight="1">
      <c r="A1450" s="2" t="s">
        <v>3144</v>
      </c>
      <c r="B1450" s="3"/>
      <c r="C1450" s="2"/>
      <c r="D1450" s="3"/>
      <c r="E1450" s="2"/>
      <c r="F1450" s="2" t="s">
        <v>441</v>
      </c>
      <c r="G1450" s="2"/>
      <c r="H1450" s="2" t="s">
        <v>441</v>
      </c>
      <c r="I1450" s="2"/>
      <c r="J1450" s="2" t="s">
        <v>3145</v>
      </c>
      <c r="K1450" s="2" t="s">
        <v>3144</v>
      </c>
    </row>
    <row r="1451" spans="1:11" s="4" customFormat="1" ht="18" customHeight="1">
      <c r="A1451" s="2" t="s">
        <v>3146</v>
      </c>
      <c r="B1451" s="3"/>
      <c r="C1451" s="2"/>
      <c r="D1451" s="3"/>
      <c r="E1451" s="2"/>
      <c r="F1451" s="2" t="s">
        <v>441</v>
      </c>
      <c r="G1451" s="2"/>
      <c r="H1451" s="2" t="s">
        <v>1590</v>
      </c>
      <c r="I1451" s="2"/>
      <c r="J1451" s="2" t="s">
        <v>3147</v>
      </c>
      <c r="K1451" s="2" t="s">
        <v>3146</v>
      </c>
    </row>
    <row r="1452" spans="1:11" s="4" customFormat="1" ht="18" customHeight="1">
      <c r="A1452" s="2" t="s">
        <v>3148</v>
      </c>
      <c r="B1452" s="3"/>
      <c r="C1452" s="2"/>
      <c r="D1452" s="3"/>
      <c r="E1452" s="2"/>
      <c r="F1452" s="2" t="s">
        <v>441</v>
      </c>
      <c r="G1452" s="2"/>
      <c r="H1452" s="2" t="s">
        <v>441</v>
      </c>
      <c r="I1452" s="2"/>
      <c r="J1452" s="2" t="s">
        <v>3149</v>
      </c>
      <c r="K1452" s="2" t="s">
        <v>3148</v>
      </c>
    </row>
    <row r="1453" spans="1:11" s="4" customFormat="1" ht="18" customHeight="1">
      <c r="A1453" s="2" t="s">
        <v>3150</v>
      </c>
      <c r="B1453" s="3"/>
      <c r="C1453" s="2"/>
      <c r="D1453" s="3"/>
      <c r="E1453" s="2"/>
      <c r="F1453" s="2" t="s">
        <v>441</v>
      </c>
      <c r="G1453" s="2"/>
      <c r="H1453" s="2" t="s">
        <v>441</v>
      </c>
      <c r="I1453" s="2"/>
      <c r="J1453" s="2" t="s">
        <v>3153</v>
      </c>
      <c r="K1453" s="2" t="s">
        <v>3150</v>
      </c>
    </row>
    <row r="1454" spans="1:11" s="4" customFormat="1" ht="18" customHeight="1">
      <c r="A1454" s="2" t="s">
        <v>3154</v>
      </c>
      <c r="B1454" s="3"/>
      <c r="C1454" s="2"/>
      <c r="D1454" s="3"/>
      <c r="E1454" s="2"/>
      <c r="F1454" s="2" t="s">
        <v>1488</v>
      </c>
      <c r="G1454" s="2"/>
      <c r="H1454" s="2" t="s">
        <v>1488</v>
      </c>
      <c r="I1454" s="2"/>
      <c r="J1454" s="2" t="s">
        <v>3155</v>
      </c>
      <c r="K1454" s="2" t="s">
        <v>3154</v>
      </c>
    </row>
    <row r="1455" spans="1:11" s="4" customFormat="1" ht="18" customHeight="1">
      <c r="A1455" s="2" t="s">
        <v>3157</v>
      </c>
      <c r="B1455" s="3"/>
      <c r="C1455" s="2"/>
      <c r="D1455" s="3"/>
      <c r="E1455" s="2"/>
      <c r="F1455" s="2" t="s">
        <v>2414</v>
      </c>
      <c r="G1455" s="2"/>
      <c r="H1455" s="2" t="s">
        <v>2414</v>
      </c>
      <c r="I1455" s="2"/>
      <c r="J1455" s="2" t="s">
        <v>3158</v>
      </c>
      <c r="K1455" s="2" t="s">
        <v>3157</v>
      </c>
    </row>
    <row r="1456" spans="1:11" s="4" customFormat="1" ht="18" customHeight="1">
      <c r="A1456" s="2" t="s">
        <v>3160</v>
      </c>
      <c r="B1456" s="3"/>
      <c r="C1456" s="2"/>
      <c r="D1456" s="3"/>
      <c r="E1456" s="2"/>
      <c r="F1456" s="2" t="s">
        <v>494</v>
      </c>
      <c r="G1456" s="2"/>
      <c r="H1456" s="2" t="s">
        <v>494</v>
      </c>
      <c r="I1456" s="2"/>
      <c r="J1456" s="2" t="s">
        <v>3161</v>
      </c>
      <c r="K1456" s="2" t="s">
        <v>3160</v>
      </c>
    </row>
    <row r="1457" spans="1:11" s="4" customFormat="1" ht="18" customHeight="1">
      <c r="A1457" s="2" t="s">
        <v>3162</v>
      </c>
      <c r="B1457" s="3"/>
      <c r="C1457" s="2"/>
      <c r="D1457" s="3"/>
      <c r="E1457" s="2"/>
      <c r="F1457" s="2" t="s">
        <v>2041</v>
      </c>
      <c r="G1457" s="2"/>
      <c r="H1457" s="2" t="s">
        <v>2041</v>
      </c>
      <c r="I1457" s="2"/>
      <c r="J1457" s="2" t="s">
        <v>3163</v>
      </c>
      <c r="K1457" s="2" t="s">
        <v>3162</v>
      </c>
    </row>
    <row r="1458" spans="1:11" s="4" customFormat="1" ht="18" customHeight="1">
      <c r="A1458" s="2" t="s">
        <v>3165</v>
      </c>
      <c r="B1458" s="3"/>
      <c r="C1458" s="2"/>
      <c r="D1458" s="3"/>
      <c r="E1458" s="2"/>
      <c r="F1458" s="2" t="s">
        <v>3438</v>
      </c>
      <c r="G1458" s="2"/>
      <c r="H1458" s="2" t="s">
        <v>3438</v>
      </c>
      <c r="I1458" s="2"/>
      <c r="J1458" s="2" t="s">
        <v>3166</v>
      </c>
      <c r="K1458" s="2" t="s">
        <v>3165</v>
      </c>
    </row>
    <row r="1459" spans="1:11" s="4" customFormat="1" ht="18" customHeight="1">
      <c r="A1459" s="2" t="s">
        <v>3167</v>
      </c>
      <c r="B1459" s="3"/>
      <c r="C1459" s="2"/>
      <c r="D1459" s="3"/>
      <c r="E1459" s="2"/>
      <c r="F1459" s="2" t="s">
        <v>2875</v>
      </c>
      <c r="G1459" s="2"/>
      <c r="H1459" s="2" t="s">
        <v>2876</v>
      </c>
      <c r="I1459" s="2"/>
      <c r="J1459" s="2" t="s">
        <v>3168</v>
      </c>
      <c r="K1459" s="2" t="s">
        <v>3167</v>
      </c>
    </row>
    <row r="1460" spans="1:11" s="4" customFormat="1" ht="18" customHeight="1">
      <c r="A1460" s="2" t="s">
        <v>3170</v>
      </c>
      <c r="B1460" s="3"/>
      <c r="C1460" s="2"/>
      <c r="D1460" s="3"/>
      <c r="E1460" s="2"/>
      <c r="F1460" s="2" t="s">
        <v>3026</v>
      </c>
      <c r="G1460" s="2"/>
      <c r="H1460" s="2" t="s">
        <v>3026</v>
      </c>
      <c r="I1460" s="2"/>
      <c r="J1460" s="2" t="s">
        <v>3171</v>
      </c>
      <c r="K1460" s="2" t="s">
        <v>3170</v>
      </c>
    </row>
    <row r="1461" spans="1:11" s="4" customFormat="1" ht="18" customHeight="1">
      <c r="A1461" s="2" t="s">
        <v>3172</v>
      </c>
      <c r="B1461" s="3"/>
      <c r="C1461" s="2"/>
      <c r="D1461" s="3"/>
      <c r="E1461" s="2"/>
      <c r="F1461" s="2" t="s">
        <v>3028</v>
      </c>
      <c r="G1461" s="2"/>
      <c r="H1461" s="2" t="s">
        <v>3029</v>
      </c>
      <c r="I1461" s="2"/>
      <c r="J1461" s="2" t="s">
        <v>3173</v>
      </c>
      <c r="K1461" s="2" t="s">
        <v>3172</v>
      </c>
    </row>
    <row r="1462" spans="1:11" s="4" customFormat="1" ht="18" customHeight="1">
      <c r="A1462" s="2" t="s">
        <v>3175</v>
      </c>
      <c r="B1462" s="3"/>
      <c r="C1462" s="2"/>
      <c r="D1462" s="3"/>
      <c r="E1462" s="2"/>
      <c r="F1462" s="2" t="s">
        <v>1188</v>
      </c>
      <c r="G1462" s="2"/>
      <c r="H1462" s="2" t="s">
        <v>1188</v>
      </c>
      <c r="I1462" s="2"/>
      <c r="J1462" s="2" t="s">
        <v>1294</v>
      </c>
      <c r="K1462" s="2" t="s">
        <v>3175</v>
      </c>
    </row>
    <row r="1463" spans="1:11" s="4" customFormat="1" ht="18" customHeight="1">
      <c r="A1463" s="2" t="s">
        <v>3176</v>
      </c>
      <c r="B1463" s="3"/>
      <c r="C1463" s="2"/>
      <c r="D1463" s="3"/>
      <c r="E1463" s="2"/>
      <c r="F1463" s="2" t="s">
        <v>1188</v>
      </c>
      <c r="G1463" s="2"/>
      <c r="H1463" s="2" t="s">
        <v>1560</v>
      </c>
      <c r="I1463" s="2"/>
      <c r="J1463" s="2" t="s">
        <v>1119</v>
      </c>
      <c r="K1463" s="2" t="s">
        <v>3176</v>
      </c>
    </row>
    <row r="1464" spans="1:11" s="4" customFormat="1" ht="18" customHeight="1">
      <c r="A1464" s="2" t="s">
        <v>3177</v>
      </c>
      <c r="B1464" s="3"/>
      <c r="C1464" s="2"/>
      <c r="D1464" s="3"/>
      <c r="E1464" s="2"/>
      <c r="F1464" s="2" t="s">
        <v>1188</v>
      </c>
      <c r="G1464" s="2"/>
      <c r="H1464" s="2" t="s">
        <v>1188</v>
      </c>
      <c r="I1464" s="2"/>
      <c r="J1464" s="2" t="s">
        <v>3179</v>
      </c>
      <c r="K1464" s="2" t="s">
        <v>3177</v>
      </c>
    </row>
    <row r="1465" spans="1:11" s="4" customFormat="1" ht="18" customHeight="1">
      <c r="A1465" s="2" t="s">
        <v>3180</v>
      </c>
      <c r="B1465" s="3"/>
      <c r="C1465" s="2"/>
      <c r="D1465" s="3"/>
      <c r="E1465" s="2"/>
      <c r="F1465" s="2" t="s">
        <v>1188</v>
      </c>
      <c r="G1465" s="2"/>
      <c r="H1465" s="2" t="s">
        <v>1188</v>
      </c>
      <c r="I1465" s="2"/>
      <c r="J1465" s="2" t="s">
        <v>3181</v>
      </c>
      <c r="K1465" s="2" t="s">
        <v>3180</v>
      </c>
    </row>
    <row r="1466" spans="1:11" s="4" customFormat="1" ht="18" customHeight="1">
      <c r="A1466" s="2" t="s">
        <v>3182</v>
      </c>
      <c r="B1466" s="3"/>
      <c r="C1466" s="2"/>
      <c r="D1466" s="3"/>
      <c r="E1466" s="2"/>
      <c r="F1466" s="2" t="s">
        <v>431</v>
      </c>
      <c r="G1466" s="2"/>
      <c r="H1466" s="2" t="s">
        <v>432</v>
      </c>
      <c r="I1466" s="2"/>
      <c r="J1466" s="2" t="s">
        <v>3183</v>
      </c>
      <c r="K1466" s="2" t="s">
        <v>3182</v>
      </c>
    </row>
    <row r="1467" spans="1:11" s="4" customFormat="1" ht="18" customHeight="1">
      <c r="A1467" s="2" t="s">
        <v>3184</v>
      </c>
      <c r="B1467" s="3"/>
      <c r="C1467" s="2"/>
      <c r="D1467" s="3"/>
      <c r="E1467" s="2"/>
      <c r="F1467" s="2" t="s">
        <v>2973</v>
      </c>
      <c r="G1467" s="2"/>
      <c r="H1467" s="2" t="s">
        <v>1648</v>
      </c>
      <c r="I1467" s="2"/>
      <c r="J1467" s="2" t="s">
        <v>2749</v>
      </c>
      <c r="K1467" s="2" t="s">
        <v>3184</v>
      </c>
    </row>
    <row r="1468" spans="1:11" s="4" customFormat="1" ht="18" customHeight="1">
      <c r="A1468" s="2" t="s">
        <v>3185</v>
      </c>
      <c r="B1468" s="3"/>
      <c r="C1468" s="2"/>
      <c r="D1468" s="3"/>
      <c r="E1468" s="2"/>
      <c r="F1468" s="2" t="s">
        <v>2221</v>
      </c>
      <c r="G1468" s="2"/>
      <c r="H1468" s="2" t="s">
        <v>2222</v>
      </c>
      <c r="I1468" s="2"/>
      <c r="J1468" s="2" t="s">
        <v>527</v>
      </c>
      <c r="K1468" s="2" t="s">
        <v>3185</v>
      </c>
    </row>
    <row r="1469" spans="1:11" s="4" customFormat="1" ht="18" customHeight="1">
      <c r="A1469" s="2" t="s">
        <v>3186</v>
      </c>
      <c r="B1469" s="3"/>
      <c r="C1469" s="2"/>
      <c r="D1469" s="3"/>
      <c r="E1469" s="2"/>
      <c r="F1469" s="2" t="s">
        <v>726</v>
      </c>
      <c r="G1469" s="2"/>
      <c r="H1469" s="2" t="s">
        <v>727</v>
      </c>
      <c r="I1469" s="2"/>
      <c r="J1469" s="2" t="s">
        <v>3187</v>
      </c>
      <c r="K1469" s="2" t="s">
        <v>3186</v>
      </c>
    </row>
    <row r="1470" spans="1:11" s="4" customFormat="1" ht="18" customHeight="1">
      <c r="A1470" s="2" t="s">
        <v>3189</v>
      </c>
      <c r="B1470" s="3"/>
      <c r="C1470" s="2"/>
      <c r="D1470" s="3"/>
      <c r="E1470" s="2"/>
      <c r="F1470" s="2" t="s">
        <v>411</v>
      </c>
      <c r="G1470" s="2"/>
      <c r="H1470" s="2" t="s">
        <v>412</v>
      </c>
      <c r="I1470" s="2"/>
      <c r="J1470" s="2" t="s">
        <v>3190</v>
      </c>
      <c r="K1470" s="2" t="s">
        <v>3189</v>
      </c>
    </row>
    <row r="1471" spans="1:11" s="4" customFormat="1" ht="18" customHeight="1">
      <c r="A1471" s="2" t="s">
        <v>3191</v>
      </c>
      <c r="B1471" s="3"/>
      <c r="C1471" s="2"/>
      <c r="D1471" s="3"/>
      <c r="E1471" s="2"/>
      <c r="F1471" s="2" t="s">
        <v>3470</v>
      </c>
      <c r="G1471" s="2"/>
      <c r="H1471" s="2" t="s">
        <v>3470</v>
      </c>
      <c r="I1471" s="2"/>
      <c r="J1471" s="2" t="s">
        <v>3192</v>
      </c>
      <c r="K1471" s="2" t="s">
        <v>3191</v>
      </c>
    </row>
    <row r="1472" spans="1:11" s="4" customFormat="1" ht="18" customHeight="1">
      <c r="A1472" s="2" t="s">
        <v>3193</v>
      </c>
      <c r="B1472" s="3"/>
      <c r="C1472" s="2"/>
      <c r="D1472" s="3"/>
      <c r="E1472" s="2"/>
      <c r="F1472" s="2" t="s">
        <v>1974</v>
      </c>
      <c r="G1472" s="2"/>
      <c r="H1472" s="2" t="s">
        <v>1975</v>
      </c>
      <c r="I1472" s="2"/>
      <c r="J1472" s="2" t="s">
        <v>3194</v>
      </c>
      <c r="K1472" s="2" t="s">
        <v>3193</v>
      </c>
    </row>
    <row r="1473" spans="1:11" s="4" customFormat="1" ht="18" customHeight="1">
      <c r="A1473" s="2" t="s">
        <v>3196</v>
      </c>
      <c r="B1473" s="3"/>
      <c r="C1473" s="2"/>
      <c r="D1473" s="3"/>
      <c r="E1473" s="2"/>
      <c r="F1473" s="2" t="s">
        <v>287</v>
      </c>
      <c r="G1473" s="2"/>
      <c r="H1473" s="2" t="s">
        <v>288</v>
      </c>
      <c r="I1473" s="2"/>
      <c r="J1473" s="2" t="s">
        <v>3197</v>
      </c>
      <c r="K1473" s="2" t="s">
        <v>3196</v>
      </c>
    </row>
    <row r="1474" spans="1:11" s="4" customFormat="1" ht="18" customHeight="1">
      <c r="A1474" s="2" t="s">
        <v>3199</v>
      </c>
      <c r="B1474" s="3"/>
      <c r="C1474" s="2"/>
      <c r="D1474" s="3"/>
      <c r="E1474" s="2"/>
      <c r="F1474" s="2" t="s">
        <v>287</v>
      </c>
      <c r="G1474" s="2"/>
      <c r="H1474" s="2" t="s">
        <v>287</v>
      </c>
      <c r="I1474" s="2"/>
      <c r="J1474" s="2" t="s">
        <v>3200</v>
      </c>
      <c r="K1474" s="2" t="s">
        <v>3199</v>
      </c>
    </row>
    <row r="1475" spans="1:11" s="4" customFormat="1" ht="18" customHeight="1">
      <c r="A1475" s="2" t="s">
        <v>3202</v>
      </c>
      <c r="B1475" s="3"/>
      <c r="C1475" s="2"/>
      <c r="D1475" s="3"/>
      <c r="E1475" s="2"/>
      <c r="F1475" s="2" t="s">
        <v>1586</v>
      </c>
      <c r="G1475" s="2"/>
      <c r="H1475" s="2" t="s">
        <v>1586</v>
      </c>
      <c r="I1475" s="2"/>
      <c r="J1475" s="2" t="s">
        <v>3204</v>
      </c>
      <c r="K1475" s="2" t="s">
        <v>3202</v>
      </c>
    </row>
    <row r="1476" spans="1:11" s="4" customFormat="1" ht="18" customHeight="1">
      <c r="A1476" s="2" t="s">
        <v>3206</v>
      </c>
      <c r="B1476" s="3"/>
      <c r="C1476" s="2"/>
      <c r="D1476" s="3"/>
      <c r="E1476" s="2"/>
      <c r="F1476" s="2" t="s">
        <v>1586</v>
      </c>
      <c r="G1476" s="2"/>
      <c r="H1476" s="2" t="s">
        <v>1586</v>
      </c>
      <c r="I1476" s="2"/>
      <c r="J1476" s="2" t="s">
        <v>3207</v>
      </c>
      <c r="K1476" s="2" t="s">
        <v>3206</v>
      </c>
    </row>
    <row r="1477" spans="1:11" s="4" customFormat="1" ht="18" customHeight="1">
      <c r="A1477" s="2" t="s">
        <v>3208</v>
      </c>
      <c r="B1477" s="3"/>
      <c r="C1477" s="2"/>
      <c r="D1477" s="3"/>
      <c r="E1477" s="2"/>
      <c r="F1477" s="2" t="s">
        <v>1586</v>
      </c>
      <c r="G1477" s="2"/>
      <c r="H1477" s="2" t="s">
        <v>3212</v>
      </c>
      <c r="I1477" s="2"/>
      <c r="J1477" s="2" t="s">
        <v>3209</v>
      </c>
      <c r="K1477" s="2" t="s">
        <v>3208</v>
      </c>
    </row>
    <row r="1478" spans="1:11" s="4" customFormat="1" ht="18" customHeight="1">
      <c r="A1478" s="2" t="s">
        <v>3211</v>
      </c>
      <c r="B1478" s="3"/>
      <c r="C1478" s="2"/>
      <c r="D1478" s="3"/>
      <c r="E1478" s="2"/>
      <c r="F1478" s="2" t="s">
        <v>1586</v>
      </c>
      <c r="G1478" s="2"/>
      <c r="H1478" s="2" t="s">
        <v>1586</v>
      </c>
      <c r="I1478" s="2"/>
      <c r="J1478" s="2" t="s">
        <v>1586</v>
      </c>
      <c r="K1478" s="2" t="s">
        <v>3211</v>
      </c>
    </row>
    <row r="1479" spans="1:11" s="4" customFormat="1" ht="18" customHeight="1">
      <c r="A1479" s="2" t="s">
        <v>3213</v>
      </c>
      <c r="B1479" s="3"/>
      <c r="C1479" s="2"/>
      <c r="D1479" s="3"/>
      <c r="E1479" s="2"/>
      <c r="F1479" s="2" t="s">
        <v>2086</v>
      </c>
      <c r="G1479" s="2"/>
      <c r="H1479" s="2" t="s">
        <v>2086</v>
      </c>
      <c r="I1479" s="2"/>
      <c r="J1479" s="2" t="s">
        <v>3214</v>
      </c>
      <c r="K1479" s="2" t="s">
        <v>3213</v>
      </c>
    </row>
    <row r="1480" spans="1:11" s="4" customFormat="1" ht="18" customHeight="1">
      <c r="A1480" s="2" t="s">
        <v>3215</v>
      </c>
      <c r="B1480" s="3"/>
      <c r="C1480" s="2"/>
      <c r="D1480" s="3"/>
      <c r="E1480" s="2"/>
      <c r="F1480" s="2" t="s">
        <v>569</v>
      </c>
      <c r="G1480" s="2"/>
      <c r="H1480" s="2" t="s">
        <v>570</v>
      </c>
      <c r="I1480" s="2"/>
      <c r="J1480" s="2" t="s">
        <v>3216</v>
      </c>
      <c r="K1480" s="2" t="s">
        <v>3215</v>
      </c>
    </row>
    <row r="1481" spans="1:11" s="4" customFormat="1" ht="18" customHeight="1">
      <c r="A1481" s="2" t="s">
        <v>3218</v>
      </c>
      <c r="B1481" s="3"/>
      <c r="C1481" s="2"/>
      <c r="D1481" s="3"/>
      <c r="E1481" s="2"/>
      <c r="F1481" s="2" t="s">
        <v>569</v>
      </c>
      <c r="G1481" s="2"/>
      <c r="H1481" s="2" t="s">
        <v>569</v>
      </c>
      <c r="I1481" s="2"/>
      <c r="J1481" s="2" t="s">
        <v>3219</v>
      </c>
      <c r="K1481" s="2" t="s">
        <v>3218</v>
      </c>
    </row>
    <row r="1482" spans="1:11" s="4" customFormat="1" ht="18" customHeight="1">
      <c r="A1482" s="2" t="s">
        <v>3221</v>
      </c>
      <c r="B1482" s="3"/>
      <c r="C1482" s="2"/>
      <c r="D1482" s="3"/>
      <c r="E1482" s="2"/>
      <c r="F1482" s="2" t="s">
        <v>569</v>
      </c>
      <c r="G1482" s="2"/>
      <c r="H1482" s="2" t="s">
        <v>569</v>
      </c>
      <c r="I1482" s="2"/>
      <c r="J1482" s="2" t="s">
        <v>3222</v>
      </c>
      <c r="K1482" s="2" t="s">
        <v>3221</v>
      </c>
    </row>
    <row r="1483" spans="1:11" s="4" customFormat="1" ht="18" customHeight="1">
      <c r="A1483" s="2" t="s">
        <v>3224</v>
      </c>
      <c r="B1483" s="3"/>
      <c r="C1483" s="2"/>
      <c r="D1483" s="3"/>
      <c r="E1483" s="2"/>
      <c r="F1483" s="2" t="s">
        <v>696</v>
      </c>
      <c r="G1483" s="2"/>
      <c r="H1483" s="2" t="s">
        <v>697</v>
      </c>
      <c r="I1483" s="2"/>
      <c r="J1483" s="2" t="s">
        <v>3225</v>
      </c>
      <c r="K1483" s="2" t="s">
        <v>3224</v>
      </c>
    </row>
    <row r="1484" spans="1:11" s="4" customFormat="1" ht="18" customHeight="1">
      <c r="A1484" s="2" t="s">
        <v>3227</v>
      </c>
      <c r="B1484" s="3"/>
      <c r="C1484" s="2"/>
      <c r="D1484" s="3"/>
      <c r="E1484" s="2"/>
      <c r="F1484" s="2" t="s">
        <v>2531</v>
      </c>
      <c r="G1484" s="2"/>
      <c r="H1484" s="2" t="s">
        <v>2531</v>
      </c>
      <c r="I1484" s="2"/>
      <c r="J1484" s="2" t="s">
        <v>3228</v>
      </c>
      <c r="K1484" s="2" t="s">
        <v>3227</v>
      </c>
    </row>
    <row r="1485" spans="1:11" s="4" customFormat="1" ht="18" customHeight="1">
      <c r="A1485" s="2" t="s">
        <v>3230</v>
      </c>
      <c r="B1485" s="3"/>
      <c r="C1485" s="2"/>
      <c r="D1485" s="3"/>
      <c r="E1485" s="2"/>
      <c r="F1485" s="2" t="s">
        <v>3031</v>
      </c>
      <c r="G1485" s="2"/>
      <c r="H1485" s="2" t="s">
        <v>3031</v>
      </c>
      <c r="I1485" s="2"/>
      <c r="J1485" s="2" t="s">
        <v>3231</v>
      </c>
      <c r="K1485" s="2" t="s">
        <v>3230</v>
      </c>
    </row>
    <row r="1486" spans="1:11" s="4" customFormat="1" ht="18" customHeight="1">
      <c r="A1486" s="2" t="s">
        <v>3233</v>
      </c>
      <c r="B1486" s="3"/>
      <c r="C1486" s="2"/>
      <c r="D1486" s="3"/>
      <c r="E1486" s="2"/>
      <c r="F1486" s="2" t="s">
        <v>496</v>
      </c>
      <c r="G1486" s="2"/>
      <c r="H1486" s="2" t="s">
        <v>497</v>
      </c>
      <c r="I1486" s="2"/>
      <c r="J1486" s="2" t="s">
        <v>3234</v>
      </c>
      <c r="K1486" s="2" t="s">
        <v>3233</v>
      </c>
    </row>
    <row r="1487" spans="1:11" s="4" customFormat="1" ht="18" customHeight="1">
      <c r="A1487" s="2" t="s">
        <v>3236</v>
      </c>
      <c r="B1487" s="3"/>
      <c r="C1487" s="2"/>
      <c r="D1487" s="3"/>
      <c r="E1487" s="2"/>
      <c r="F1487" s="2" t="s">
        <v>2074</v>
      </c>
      <c r="G1487" s="2"/>
      <c r="H1487" s="2" t="s">
        <v>2075</v>
      </c>
      <c r="I1487" s="2"/>
      <c r="J1487" s="2" t="s">
        <v>3237</v>
      </c>
      <c r="K1487" s="2" t="s">
        <v>3236</v>
      </c>
    </row>
    <row r="1488" spans="1:11" s="4" customFormat="1" ht="18" customHeight="1">
      <c r="A1488" s="2" t="s">
        <v>3239</v>
      </c>
      <c r="B1488" s="3"/>
      <c r="C1488" s="2"/>
      <c r="D1488" s="3"/>
      <c r="E1488" s="2"/>
      <c r="F1488" s="2" t="s">
        <v>2478</v>
      </c>
      <c r="G1488" s="2"/>
      <c r="H1488" s="2" t="s">
        <v>2478</v>
      </c>
      <c r="I1488" s="2"/>
      <c r="J1488" s="2" t="s">
        <v>3240</v>
      </c>
      <c r="K1488" s="2" t="s">
        <v>3239</v>
      </c>
    </row>
    <row r="1489" spans="1:11" s="4" customFormat="1" ht="18" customHeight="1">
      <c r="A1489" s="2" t="s">
        <v>3241</v>
      </c>
      <c r="B1489" s="3"/>
      <c r="C1489" s="2"/>
      <c r="D1489" s="3"/>
      <c r="E1489" s="2"/>
      <c r="F1489" s="2" t="s">
        <v>1977</v>
      </c>
      <c r="G1489" s="2"/>
      <c r="H1489" s="2" t="s">
        <v>1977</v>
      </c>
      <c r="I1489" s="2"/>
      <c r="J1489" s="2" t="s">
        <v>3242</v>
      </c>
      <c r="K1489" s="2" t="s">
        <v>3241</v>
      </c>
    </row>
    <row r="1490" spans="1:11" s="4" customFormat="1" ht="18" customHeight="1">
      <c r="A1490" s="2" t="s">
        <v>3244</v>
      </c>
      <c r="B1490" s="3"/>
      <c r="C1490" s="2"/>
      <c r="D1490" s="3"/>
      <c r="E1490" s="2"/>
      <c r="F1490" s="2" t="s">
        <v>2286</v>
      </c>
      <c r="G1490" s="2"/>
      <c r="H1490" s="2" t="s">
        <v>2286</v>
      </c>
      <c r="I1490" s="2"/>
      <c r="J1490" s="2" t="s">
        <v>3246</v>
      </c>
      <c r="K1490" s="2" t="s">
        <v>3244</v>
      </c>
    </row>
    <row r="1491" spans="1:11" s="4" customFormat="1" ht="18" customHeight="1">
      <c r="A1491" s="2" t="s">
        <v>3247</v>
      </c>
      <c r="B1491" s="3"/>
      <c r="C1491" s="2"/>
      <c r="D1491" s="3"/>
      <c r="E1491" s="2"/>
      <c r="F1491" s="2" t="s">
        <v>3033</v>
      </c>
      <c r="G1491" s="2"/>
      <c r="H1491" s="2" t="s">
        <v>569</v>
      </c>
      <c r="I1491" s="2"/>
      <c r="J1491" s="2" t="s">
        <v>3248</v>
      </c>
      <c r="K1491" s="2" t="s">
        <v>3247</v>
      </c>
    </row>
    <row r="1492" spans="1:11" s="4" customFormat="1" ht="18" customHeight="1">
      <c r="A1492" s="2" t="s">
        <v>3249</v>
      </c>
      <c r="B1492" s="3"/>
      <c r="C1492" s="2"/>
      <c r="D1492" s="3"/>
      <c r="E1492" s="2"/>
      <c r="F1492" s="2" t="s">
        <v>3005</v>
      </c>
      <c r="G1492" s="2"/>
      <c r="H1492" s="2" t="s">
        <v>3006</v>
      </c>
      <c r="I1492" s="2"/>
      <c r="J1492" s="2" t="s">
        <v>3250</v>
      </c>
      <c r="K1492" s="2" t="s">
        <v>3249</v>
      </c>
    </row>
    <row r="1493" spans="1:11" s="4" customFormat="1" ht="18" customHeight="1">
      <c r="A1493" s="2" t="s">
        <v>3252</v>
      </c>
      <c r="B1493" s="3"/>
      <c r="C1493" s="2"/>
      <c r="D1493" s="3"/>
      <c r="E1493" s="2"/>
      <c r="F1493" s="2" t="s">
        <v>1306</v>
      </c>
      <c r="G1493" s="2"/>
      <c r="H1493" s="2" t="s">
        <v>1306</v>
      </c>
      <c r="I1493" s="2"/>
      <c r="J1493" s="2" t="s">
        <v>2505</v>
      </c>
      <c r="K1493" s="2" t="s">
        <v>3252</v>
      </c>
    </row>
    <row r="1494" spans="1:11" s="4" customFormat="1" ht="18" customHeight="1">
      <c r="A1494" s="2" t="s">
        <v>3253</v>
      </c>
      <c r="B1494" s="3"/>
      <c r="C1494" s="2"/>
      <c r="D1494" s="3"/>
      <c r="E1494" s="2"/>
      <c r="F1494" s="2" t="s">
        <v>2655</v>
      </c>
      <c r="G1494" s="2"/>
      <c r="H1494" s="2" t="s">
        <v>2655</v>
      </c>
      <c r="I1494" s="2"/>
      <c r="J1494" s="2" t="s">
        <v>3254</v>
      </c>
      <c r="K1494" s="2" t="s">
        <v>3253</v>
      </c>
    </row>
    <row r="1495" spans="1:11" s="4" customFormat="1" ht="18" customHeight="1">
      <c r="A1495" s="2" t="s">
        <v>3255</v>
      </c>
      <c r="B1495" s="3"/>
      <c r="C1495" s="2"/>
      <c r="D1495" s="3"/>
      <c r="E1495" s="2"/>
      <c r="F1495" s="2" t="s">
        <v>1244</v>
      </c>
      <c r="G1495" s="2"/>
      <c r="H1495" s="2" t="s">
        <v>1244</v>
      </c>
      <c r="I1495" s="2"/>
      <c r="J1495" s="2" t="s">
        <v>3256</v>
      </c>
      <c r="K1495" s="2" t="s">
        <v>3255</v>
      </c>
    </row>
    <row r="1496" spans="1:11" s="4" customFormat="1" ht="18" customHeight="1">
      <c r="A1496" s="2" t="s">
        <v>3258</v>
      </c>
      <c r="B1496" s="3"/>
      <c r="C1496" s="2"/>
      <c r="D1496" s="3"/>
      <c r="E1496" s="2"/>
      <c r="F1496" s="2" t="s">
        <v>3137</v>
      </c>
      <c r="G1496" s="2"/>
      <c r="H1496" s="2" t="s">
        <v>3137</v>
      </c>
      <c r="I1496" s="2"/>
      <c r="J1496" s="2" t="s">
        <v>2893</v>
      </c>
      <c r="K1496" s="2" t="s">
        <v>3258</v>
      </c>
    </row>
    <row r="1497" spans="1:11" s="4" customFormat="1" ht="18" customHeight="1">
      <c r="A1497" s="2" t="s">
        <v>3260</v>
      </c>
      <c r="B1497" s="3"/>
      <c r="C1497" s="2"/>
      <c r="D1497" s="3"/>
      <c r="E1497" s="2"/>
      <c r="F1497" s="2" t="s">
        <v>3396</v>
      </c>
      <c r="G1497" s="2"/>
      <c r="H1497" s="2" t="s">
        <v>3396</v>
      </c>
      <c r="I1497" s="2"/>
      <c r="J1497" s="2" t="s">
        <v>3261</v>
      </c>
      <c r="K1497" s="2" t="s">
        <v>3260</v>
      </c>
    </row>
    <row r="1498" spans="1:11" s="4" customFormat="1" ht="18" customHeight="1">
      <c r="A1498" s="2" t="s">
        <v>3263</v>
      </c>
      <c r="B1498" s="3"/>
      <c r="C1498" s="2"/>
      <c r="D1498" s="3"/>
      <c r="E1498" s="2"/>
      <c r="F1498" s="2" t="s">
        <v>3762</v>
      </c>
      <c r="G1498" s="2"/>
      <c r="H1498" s="2" t="s">
        <v>3763</v>
      </c>
      <c r="I1498" s="2"/>
      <c r="J1498" s="2" t="s">
        <v>3264</v>
      </c>
      <c r="K1498" s="2" t="s">
        <v>3263</v>
      </c>
    </row>
    <row r="1499" spans="1:11" s="4" customFormat="1" ht="18" customHeight="1">
      <c r="A1499" s="2" t="s">
        <v>3266</v>
      </c>
      <c r="B1499" s="3"/>
      <c r="C1499" s="2"/>
      <c r="D1499" s="3"/>
      <c r="E1499" s="2"/>
      <c r="F1499" s="2" t="s">
        <v>2100</v>
      </c>
      <c r="G1499" s="2"/>
      <c r="H1499" s="2" t="s">
        <v>2100</v>
      </c>
      <c r="I1499" s="2"/>
      <c r="J1499" s="2" t="s">
        <v>3267</v>
      </c>
      <c r="K1499" s="2" t="s">
        <v>3266</v>
      </c>
    </row>
    <row r="1500" spans="1:11" s="4" customFormat="1" ht="18" customHeight="1">
      <c r="A1500" s="2" t="s">
        <v>3269</v>
      </c>
      <c r="B1500" s="3"/>
      <c r="C1500" s="2"/>
      <c r="D1500" s="3"/>
      <c r="E1500" s="2"/>
      <c r="F1500" s="2" t="s">
        <v>2100</v>
      </c>
      <c r="G1500" s="2"/>
      <c r="H1500" s="2" t="s">
        <v>2100</v>
      </c>
      <c r="I1500" s="2"/>
      <c r="J1500" s="2" t="s">
        <v>3270</v>
      </c>
      <c r="K1500" s="2" t="s">
        <v>3269</v>
      </c>
    </row>
    <row r="1501" spans="1:11" s="4" customFormat="1" ht="18" customHeight="1">
      <c r="A1501" s="2" t="s">
        <v>3272</v>
      </c>
      <c r="B1501" s="3"/>
      <c r="C1501" s="2"/>
      <c r="D1501" s="3"/>
      <c r="E1501" s="2"/>
      <c r="F1501" s="2" t="s">
        <v>2416</v>
      </c>
      <c r="G1501" s="2"/>
      <c r="H1501" s="2" t="s">
        <v>2416</v>
      </c>
      <c r="I1501" s="2"/>
      <c r="J1501" s="2" t="s">
        <v>3273</v>
      </c>
      <c r="K1501" s="2" t="s">
        <v>3272</v>
      </c>
    </row>
    <row r="1502" spans="1:11" s="4" customFormat="1" ht="18" customHeight="1">
      <c r="A1502" s="2" t="s">
        <v>3275</v>
      </c>
      <c r="B1502" s="3"/>
      <c r="C1502" s="2"/>
      <c r="D1502" s="3"/>
      <c r="E1502" s="2"/>
      <c r="F1502" s="2" t="s">
        <v>3843</v>
      </c>
      <c r="G1502" s="2"/>
      <c r="H1502" s="2" t="s">
        <v>3843</v>
      </c>
      <c r="I1502" s="2"/>
      <c r="J1502" s="2" t="s">
        <v>3276</v>
      </c>
      <c r="K1502" s="2" t="s">
        <v>3275</v>
      </c>
    </row>
    <row r="1503" spans="1:11" s="4" customFormat="1" ht="18" customHeight="1">
      <c r="A1503" s="2" t="s">
        <v>3278</v>
      </c>
      <c r="B1503" s="3"/>
      <c r="C1503" s="2"/>
      <c r="D1503" s="3"/>
      <c r="E1503" s="2"/>
      <c r="F1503" s="2" t="s">
        <v>1685</v>
      </c>
      <c r="G1503" s="2"/>
      <c r="H1503" s="2" t="s">
        <v>1685</v>
      </c>
      <c r="I1503" s="2"/>
      <c r="J1503" s="2" t="s">
        <v>3279</v>
      </c>
      <c r="K1503" s="2" t="s">
        <v>3278</v>
      </c>
    </row>
    <row r="1504" spans="1:11" s="4" customFormat="1" ht="18" customHeight="1">
      <c r="A1504" s="2" t="s">
        <v>3281</v>
      </c>
      <c r="B1504" s="3"/>
      <c r="C1504" s="2"/>
      <c r="D1504" s="3"/>
      <c r="E1504" s="2"/>
      <c r="F1504" s="2" t="s">
        <v>1308</v>
      </c>
      <c r="G1504" s="2"/>
      <c r="H1504" s="2" t="s">
        <v>1308</v>
      </c>
      <c r="I1504" s="2"/>
      <c r="J1504" s="2" t="s">
        <v>3282</v>
      </c>
      <c r="K1504" s="2" t="s">
        <v>3281</v>
      </c>
    </row>
    <row r="1505" spans="1:11" s="4" customFormat="1" ht="18" customHeight="1">
      <c r="A1505" s="2" t="s">
        <v>3284</v>
      </c>
      <c r="B1505" s="3"/>
      <c r="C1505" s="2"/>
      <c r="D1505" s="3"/>
      <c r="E1505" s="2"/>
      <c r="F1505" s="2" t="s">
        <v>1636</v>
      </c>
      <c r="G1505" s="2"/>
      <c r="H1505" s="2" t="s">
        <v>1636</v>
      </c>
      <c r="I1505" s="2"/>
      <c r="J1505" s="2" t="s">
        <v>3285</v>
      </c>
      <c r="K1505" s="2" t="s">
        <v>3284</v>
      </c>
    </row>
    <row r="1506" spans="1:11" s="4" customFormat="1" ht="18" customHeight="1">
      <c r="A1506" s="2" t="s">
        <v>3287</v>
      </c>
      <c r="B1506" s="3"/>
      <c r="C1506" s="2"/>
      <c r="D1506" s="3"/>
      <c r="E1506" s="2"/>
      <c r="F1506" s="2" t="s">
        <v>1579</v>
      </c>
      <c r="G1506" s="2"/>
      <c r="H1506" s="2" t="s">
        <v>1579</v>
      </c>
      <c r="I1506" s="2"/>
      <c r="J1506" s="2" t="s">
        <v>3289</v>
      </c>
      <c r="K1506" s="2" t="s">
        <v>3287</v>
      </c>
    </row>
    <row r="1507" spans="1:11" s="4" customFormat="1" ht="18" customHeight="1">
      <c r="A1507" s="2" t="s">
        <v>3291</v>
      </c>
      <c r="B1507" s="3"/>
      <c r="C1507" s="2"/>
      <c r="D1507" s="3"/>
      <c r="E1507" s="2"/>
      <c r="F1507" s="2" t="s">
        <v>2927</v>
      </c>
      <c r="G1507" s="2"/>
      <c r="H1507" s="2" t="s">
        <v>2927</v>
      </c>
      <c r="I1507" s="2"/>
      <c r="J1507" s="2" t="s">
        <v>3292</v>
      </c>
      <c r="K1507" s="2" t="s">
        <v>3291</v>
      </c>
    </row>
    <row r="1508" spans="1:11" s="4" customFormat="1" ht="18" customHeight="1">
      <c r="A1508" s="2" t="s">
        <v>3294</v>
      </c>
      <c r="B1508" s="3"/>
      <c r="C1508" s="2"/>
      <c r="D1508" s="3"/>
      <c r="E1508" s="2"/>
      <c r="F1508" s="2" t="s">
        <v>2701</v>
      </c>
      <c r="G1508" s="2"/>
      <c r="H1508" s="2" t="s">
        <v>2701</v>
      </c>
      <c r="I1508" s="2"/>
      <c r="J1508" s="2" t="s">
        <v>3295</v>
      </c>
      <c r="K1508" s="2" t="s">
        <v>3294</v>
      </c>
    </row>
    <row r="1509" spans="1:11" s="4" customFormat="1" ht="18" customHeight="1">
      <c r="A1509" s="2" t="s">
        <v>3297</v>
      </c>
      <c r="B1509" s="3"/>
      <c r="C1509" s="2"/>
      <c r="D1509" s="3"/>
      <c r="E1509" s="2"/>
      <c r="F1509" s="2" t="s">
        <v>1150</v>
      </c>
      <c r="G1509" s="2"/>
      <c r="H1509" s="2" t="s">
        <v>1149</v>
      </c>
      <c r="I1509" s="2"/>
      <c r="J1509" s="2" t="s">
        <v>3298</v>
      </c>
      <c r="K1509" s="2" t="s">
        <v>3297</v>
      </c>
    </row>
    <row r="1510" spans="1:11" s="4" customFormat="1" ht="18" customHeight="1">
      <c r="A1510" s="2" t="s">
        <v>3300</v>
      </c>
      <c r="B1510" s="3"/>
      <c r="C1510" s="2"/>
      <c r="D1510" s="3"/>
      <c r="E1510" s="2"/>
      <c r="F1510" s="2" t="s">
        <v>1150</v>
      </c>
      <c r="G1510" s="2"/>
      <c r="H1510" s="2" t="s">
        <v>1150</v>
      </c>
      <c r="I1510" s="2"/>
      <c r="J1510" s="2" t="s">
        <v>3301</v>
      </c>
      <c r="K1510" s="2" t="s">
        <v>3300</v>
      </c>
    </row>
    <row r="1511" spans="1:11" s="4" customFormat="1" ht="18" customHeight="1">
      <c r="A1511" s="2" t="s">
        <v>3303</v>
      </c>
      <c r="B1511" s="3"/>
      <c r="C1511" s="2"/>
      <c r="D1511" s="3"/>
      <c r="E1511" s="2"/>
      <c r="F1511" s="2" t="s">
        <v>3743</v>
      </c>
      <c r="G1511" s="2"/>
      <c r="H1511" s="2" t="s">
        <v>3743</v>
      </c>
      <c r="I1511" s="2"/>
      <c r="J1511" s="2" t="s">
        <v>3304</v>
      </c>
      <c r="K1511" s="2" t="s">
        <v>3303</v>
      </c>
    </row>
    <row r="1512" spans="1:11" s="4" customFormat="1" ht="18" customHeight="1">
      <c r="A1512" s="2" t="s">
        <v>3306</v>
      </c>
      <c r="B1512" s="3"/>
      <c r="C1512" s="2"/>
      <c r="D1512" s="3"/>
      <c r="E1512" s="2"/>
      <c r="F1512" s="2" t="s">
        <v>3035</v>
      </c>
      <c r="G1512" s="2"/>
      <c r="H1512" s="2" t="s">
        <v>3035</v>
      </c>
      <c r="I1512" s="2"/>
      <c r="J1512" s="2" t="s">
        <v>3288</v>
      </c>
      <c r="K1512" s="2" t="s">
        <v>3306</v>
      </c>
    </row>
    <row r="1513" spans="1:11" s="4" customFormat="1" ht="18" customHeight="1">
      <c r="A1513" s="2" t="s">
        <v>3308</v>
      </c>
      <c r="B1513" s="3"/>
      <c r="C1513" s="2"/>
      <c r="D1513" s="3"/>
      <c r="E1513" s="2"/>
      <c r="F1513" s="2" t="s">
        <v>1656</v>
      </c>
      <c r="G1513" s="2"/>
      <c r="H1513" s="2" t="s">
        <v>1656</v>
      </c>
      <c r="I1513" s="2"/>
      <c r="J1513" s="2" t="s">
        <v>3309</v>
      </c>
      <c r="K1513" s="2" t="s">
        <v>3308</v>
      </c>
    </row>
    <row r="1514" spans="1:11" s="4" customFormat="1" ht="18" customHeight="1">
      <c r="A1514" s="2" t="s">
        <v>3310</v>
      </c>
      <c r="B1514" s="3"/>
      <c r="C1514" s="2"/>
      <c r="D1514" s="3"/>
      <c r="E1514" s="2"/>
      <c r="F1514" s="2" t="s">
        <v>622</v>
      </c>
      <c r="G1514" s="2"/>
      <c r="H1514" s="2" t="s">
        <v>622</v>
      </c>
      <c r="I1514" s="2"/>
      <c r="J1514" s="2" t="s">
        <v>3312</v>
      </c>
      <c r="K1514" s="2" t="s">
        <v>3310</v>
      </c>
    </row>
    <row r="1515" spans="1:11" s="4" customFormat="1" ht="18" customHeight="1">
      <c r="A1515" s="2" t="s">
        <v>3313</v>
      </c>
      <c r="B1515" s="3"/>
      <c r="C1515" s="2"/>
      <c r="D1515" s="3"/>
      <c r="E1515" s="2"/>
      <c r="F1515" s="2" t="s">
        <v>1761</v>
      </c>
      <c r="G1515" s="2"/>
      <c r="H1515" s="2" t="s">
        <v>1762</v>
      </c>
      <c r="I1515" s="2"/>
      <c r="J1515" s="2" t="s">
        <v>3238</v>
      </c>
      <c r="K1515" s="2" t="s">
        <v>3313</v>
      </c>
    </row>
    <row r="1516" spans="1:11" s="4" customFormat="1" ht="18" customHeight="1">
      <c r="A1516" s="2" t="s">
        <v>3314</v>
      </c>
      <c r="B1516" s="3"/>
      <c r="C1516" s="2"/>
      <c r="D1516" s="3"/>
      <c r="E1516" s="2"/>
      <c r="F1516" s="2" t="s">
        <v>1761</v>
      </c>
      <c r="G1516" s="2"/>
      <c r="H1516" s="2" t="s">
        <v>1761</v>
      </c>
      <c r="I1516" s="2"/>
      <c r="J1516" s="2" t="s">
        <v>3311</v>
      </c>
      <c r="K1516" s="2" t="s">
        <v>3314</v>
      </c>
    </row>
    <row r="1517" spans="1:11" s="4" customFormat="1" ht="18" customHeight="1">
      <c r="A1517" s="2" t="s">
        <v>3315</v>
      </c>
      <c r="B1517" s="3"/>
      <c r="C1517" s="2"/>
      <c r="D1517" s="3"/>
      <c r="E1517" s="2"/>
      <c r="F1517" s="2" t="s">
        <v>1247</v>
      </c>
      <c r="G1517" s="2"/>
      <c r="H1517" s="2" t="s">
        <v>1247</v>
      </c>
      <c r="I1517" s="2"/>
      <c r="J1517" s="2" t="s">
        <v>3316</v>
      </c>
      <c r="K1517" s="2" t="s">
        <v>3315</v>
      </c>
    </row>
    <row r="1518" spans="1:11" s="4" customFormat="1" ht="18" customHeight="1">
      <c r="A1518" s="2" t="s">
        <v>3318</v>
      </c>
      <c r="B1518" s="3"/>
      <c r="C1518" s="2"/>
      <c r="D1518" s="3"/>
      <c r="E1518" s="2"/>
      <c r="F1518" s="2" t="s">
        <v>3398</v>
      </c>
      <c r="G1518" s="2"/>
      <c r="H1518" s="2" t="s">
        <v>3398</v>
      </c>
      <c r="I1518" s="2"/>
      <c r="J1518" s="2" t="s">
        <v>3319</v>
      </c>
      <c r="K1518" s="2" t="s">
        <v>3318</v>
      </c>
    </row>
    <row r="1519" spans="1:11" s="4" customFormat="1" ht="18" customHeight="1">
      <c r="A1519" s="2" t="s">
        <v>3320</v>
      </c>
      <c r="B1519" s="3"/>
      <c r="C1519" s="2"/>
      <c r="D1519" s="3"/>
      <c r="E1519" s="2"/>
      <c r="F1519" s="2" t="s">
        <v>2879</v>
      </c>
      <c r="G1519" s="2"/>
      <c r="H1519" s="2" t="s">
        <v>2880</v>
      </c>
      <c r="I1519" s="2"/>
      <c r="J1519" s="2" t="s">
        <v>3321</v>
      </c>
      <c r="K1519" s="2" t="s">
        <v>3320</v>
      </c>
    </row>
    <row r="1520" spans="1:11" s="4" customFormat="1" ht="18" customHeight="1">
      <c r="A1520" s="2" t="s">
        <v>3322</v>
      </c>
      <c r="B1520" s="3"/>
      <c r="C1520" s="2"/>
      <c r="D1520" s="3"/>
      <c r="E1520" s="2"/>
      <c r="F1520" s="2" t="s">
        <v>2547</v>
      </c>
      <c r="G1520" s="2"/>
      <c r="H1520" s="2" t="s">
        <v>2547</v>
      </c>
      <c r="I1520" s="2"/>
      <c r="J1520" s="2" t="s">
        <v>3323</v>
      </c>
      <c r="K1520" s="2" t="s">
        <v>3322</v>
      </c>
    </row>
    <row r="1521" spans="1:11" s="4" customFormat="1" ht="18" customHeight="1">
      <c r="A1521" s="2" t="s">
        <v>3324</v>
      </c>
      <c r="B1521" s="3"/>
      <c r="C1521" s="2"/>
      <c r="D1521" s="3"/>
      <c r="E1521" s="2"/>
      <c r="F1521" s="2" t="s">
        <v>278</v>
      </c>
      <c r="G1521" s="2"/>
      <c r="H1521" s="2" t="s">
        <v>278</v>
      </c>
      <c r="I1521" s="2"/>
      <c r="J1521" s="2" t="s">
        <v>268</v>
      </c>
      <c r="K1521" s="2" t="s">
        <v>3324</v>
      </c>
    </row>
    <row r="1522" spans="1:11" s="4" customFormat="1" ht="18" customHeight="1">
      <c r="A1522" s="2" t="s">
        <v>3326</v>
      </c>
      <c r="B1522" s="3"/>
      <c r="C1522" s="2"/>
      <c r="D1522" s="3"/>
      <c r="E1522" s="2"/>
      <c r="F1522" s="2" t="s">
        <v>3490</v>
      </c>
      <c r="G1522" s="2"/>
      <c r="H1522" s="2" t="s">
        <v>3491</v>
      </c>
      <c r="I1522" s="2"/>
      <c r="J1522" s="2" t="s">
        <v>3327</v>
      </c>
      <c r="K1522" s="2" t="s">
        <v>3326</v>
      </c>
    </row>
    <row r="1523" spans="1:11" s="4" customFormat="1" ht="18" customHeight="1">
      <c r="A1523" s="2" t="s">
        <v>3328</v>
      </c>
      <c r="B1523" s="3"/>
      <c r="C1523" s="2"/>
      <c r="D1523" s="3"/>
      <c r="E1523" s="2"/>
      <c r="F1523" s="2" t="s">
        <v>527</v>
      </c>
      <c r="G1523" s="2"/>
      <c r="H1523" s="2" t="s">
        <v>528</v>
      </c>
      <c r="I1523" s="2"/>
      <c r="J1523" s="2" t="s">
        <v>3330</v>
      </c>
      <c r="K1523" s="2" t="s">
        <v>3328</v>
      </c>
    </row>
    <row r="1524" spans="1:11" s="4" customFormat="1" ht="18" customHeight="1">
      <c r="A1524" s="2" t="s">
        <v>3331</v>
      </c>
      <c r="B1524" s="3"/>
      <c r="C1524" s="2"/>
      <c r="D1524" s="3"/>
      <c r="E1524" s="2"/>
      <c r="F1524" s="2" t="s">
        <v>527</v>
      </c>
      <c r="G1524" s="2"/>
      <c r="H1524" s="2" t="s">
        <v>527</v>
      </c>
      <c r="I1524" s="2"/>
      <c r="J1524" s="2" t="s">
        <v>3332</v>
      </c>
      <c r="K1524" s="2" t="s">
        <v>3331</v>
      </c>
    </row>
    <row r="1525" spans="1:11" s="4" customFormat="1" ht="18" customHeight="1">
      <c r="A1525" s="2" t="s">
        <v>3333</v>
      </c>
      <c r="B1525" s="3"/>
      <c r="C1525" s="2"/>
      <c r="D1525" s="3"/>
      <c r="E1525" s="2"/>
      <c r="F1525" s="2" t="s">
        <v>527</v>
      </c>
      <c r="G1525" s="2"/>
      <c r="H1525" s="2" t="s">
        <v>1594</v>
      </c>
      <c r="I1525" s="2"/>
      <c r="J1525" s="2" t="s">
        <v>3334</v>
      </c>
      <c r="K1525" s="2" t="s">
        <v>3333</v>
      </c>
    </row>
    <row r="1526" spans="1:11" s="4" customFormat="1" ht="18" customHeight="1">
      <c r="A1526" s="2" t="s">
        <v>3335</v>
      </c>
      <c r="B1526" s="3"/>
      <c r="C1526" s="2"/>
      <c r="D1526" s="3"/>
      <c r="E1526" s="2"/>
      <c r="F1526" s="2" t="s">
        <v>527</v>
      </c>
      <c r="G1526" s="2"/>
      <c r="H1526" s="2" t="s">
        <v>527</v>
      </c>
      <c r="I1526" s="2"/>
      <c r="J1526" s="2" t="s">
        <v>3336</v>
      </c>
      <c r="K1526" s="2" t="s">
        <v>3335</v>
      </c>
    </row>
    <row r="1527" spans="1:11" s="4" customFormat="1" ht="18" customHeight="1">
      <c r="A1527" s="2" t="s">
        <v>3337</v>
      </c>
      <c r="B1527" s="3"/>
      <c r="C1527" s="2"/>
      <c r="D1527" s="3"/>
      <c r="E1527" s="2"/>
      <c r="F1527" s="2" t="s">
        <v>527</v>
      </c>
      <c r="G1527" s="2"/>
      <c r="H1527" s="2" t="s">
        <v>527</v>
      </c>
      <c r="I1527" s="2"/>
      <c r="J1527" s="2" t="s">
        <v>3338</v>
      </c>
      <c r="K1527" s="2" t="s">
        <v>3337</v>
      </c>
    </row>
    <row r="1528" spans="1:11" s="4" customFormat="1" ht="18" customHeight="1">
      <c r="A1528" s="2" t="s">
        <v>3339</v>
      </c>
      <c r="B1528" s="3"/>
      <c r="C1528" s="2"/>
      <c r="D1528" s="3"/>
      <c r="E1528" s="2"/>
      <c r="F1528" s="2" t="s">
        <v>2975</v>
      </c>
      <c r="G1528" s="2"/>
      <c r="H1528" s="2" t="s">
        <v>2975</v>
      </c>
      <c r="I1528" s="2"/>
      <c r="J1528" s="2" t="s">
        <v>3340</v>
      </c>
      <c r="K1528" s="2" t="s">
        <v>3339</v>
      </c>
    </row>
    <row r="1529" spans="1:11" s="4" customFormat="1" ht="18" customHeight="1">
      <c r="A1529" s="2" t="s">
        <v>3341</v>
      </c>
      <c r="B1529" s="3"/>
      <c r="C1529" s="2"/>
      <c r="D1529" s="3"/>
      <c r="E1529" s="2"/>
      <c r="F1529" s="2" t="s">
        <v>2717</v>
      </c>
      <c r="G1529" s="2"/>
      <c r="H1529" s="2" t="s">
        <v>2717</v>
      </c>
      <c r="I1529" s="2"/>
      <c r="J1529" s="2" t="s">
        <v>3342</v>
      </c>
      <c r="K1529" s="2" t="s">
        <v>3341</v>
      </c>
    </row>
    <row r="1530" spans="1:11" s="4" customFormat="1" ht="18" customHeight="1">
      <c r="A1530" s="2" t="s">
        <v>3343</v>
      </c>
      <c r="B1530" s="3"/>
      <c r="C1530" s="2"/>
      <c r="D1530" s="3"/>
      <c r="E1530" s="2"/>
      <c r="F1530" s="2" t="s">
        <v>3037</v>
      </c>
      <c r="G1530" s="2"/>
      <c r="H1530" s="2" t="s">
        <v>1064</v>
      </c>
      <c r="I1530" s="2"/>
      <c r="J1530" s="2" t="s">
        <v>3344</v>
      </c>
      <c r="K1530" s="2" t="s">
        <v>3343</v>
      </c>
    </row>
    <row r="1531" spans="1:11" s="4" customFormat="1" ht="18" customHeight="1">
      <c r="A1531" s="2" t="s">
        <v>3345</v>
      </c>
      <c r="B1531" s="3"/>
      <c r="C1531" s="2"/>
      <c r="D1531" s="3"/>
      <c r="E1531" s="2"/>
      <c r="F1531" s="2" t="s">
        <v>2952</v>
      </c>
      <c r="G1531" s="2"/>
      <c r="H1531" s="2" t="s">
        <v>2952</v>
      </c>
      <c r="I1531" s="2"/>
      <c r="J1531" s="2" t="s">
        <v>3346</v>
      </c>
      <c r="K1531" s="2" t="s">
        <v>3345</v>
      </c>
    </row>
    <row r="1532" spans="1:11" s="4" customFormat="1" ht="18" customHeight="1">
      <c r="A1532" s="2" t="s">
        <v>3347</v>
      </c>
      <c r="B1532" s="3"/>
      <c r="C1532" s="2"/>
      <c r="D1532" s="3"/>
      <c r="E1532" s="2"/>
      <c r="F1532" s="2" t="s">
        <v>1462</v>
      </c>
      <c r="G1532" s="2"/>
      <c r="H1532" s="2" t="s">
        <v>1462</v>
      </c>
      <c r="I1532" s="2"/>
      <c r="J1532" s="2" t="s">
        <v>3348</v>
      </c>
      <c r="K1532" s="2" t="s">
        <v>3347</v>
      </c>
    </row>
    <row r="1533" spans="1:11" s="4" customFormat="1" ht="18" customHeight="1">
      <c r="A1533" s="2" t="s">
        <v>3349</v>
      </c>
      <c r="B1533" s="3"/>
      <c r="C1533" s="2"/>
      <c r="D1533" s="3"/>
      <c r="E1533" s="2"/>
      <c r="F1533" s="2" t="s">
        <v>3039</v>
      </c>
      <c r="G1533" s="2"/>
      <c r="H1533" s="2" t="s">
        <v>3039</v>
      </c>
      <c r="I1533" s="2"/>
      <c r="J1533" s="2" t="s">
        <v>3350</v>
      </c>
      <c r="K1533" s="2" t="s">
        <v>3349</v>
      </c>
    </row>
    <row r="1534" spans="1:11" s="4" customFormat="1" ht="18" customHeight="1">
      <c r="A1534" s="2" t="s">
        <v>3351</v>
      </c>
      <c r="B1534" s="3"/>
      <c r="C1534" s="2"/>
      <c r="D1534" s="3"/>
      <c r="E1534" s="2"/>
      <c r="F1534" s="2" t="s">
        <v>904</v>
      </c>
      <c r="G1534" s="2"/>
      <c r="H1534" s="2" t="s">
        <v>904</v>
      </c>
      <c r="I1534" s="2"/>
      <c r="J1534" s="2" t="s">
        <v>3352</v>
      </c>
      <c r="K1534" s="2" t="s">
        <v>3351</v>
      </c>
    </row>
    <row r="1535" spans="1:11" s="4" customFormat="1" ht="18" customHeight="1">
      <c r="A1535" s="2" t="s">
        <v>3353</v>
      </c>
      <c r="B1535" s="3"/>
      <c r="C1535" s="2"/>
      <c r="D1535" s="3"/>
      <c r="E1535" s="2"/>
      <c r="F1535" s="2" t="s">
        <v>3065</v>
      </c>
      <c r="G1535" s="2"/>
      <c r="H1535" s="2" t="s">
        <v>3066</v>
      </c>
      <c r="I1535" s="2"/>
      <c r="J1535" s="2" t="s">
        <v>3354</v>
      </c>
      <c r="K1535" s="2" t="s">
        <v>3353</v>
      </c>
    </row>
    <row r="1536" spans="1:11" s="4" customFormat="1" ht="18" customHeight="1">
      <c r="A1536" s="2" t="s">
        <v>3355</v>
      </c>
      <c r="B1536" s="3"/>
      <c r="C1536" s="2"/>
      <c r="D1536" s="3"/>
      <c r="E1536" s="2"/>
      <c r="F1536" s="2" t="s">
        <v>1249</v>
      </c>
      <c r="G1536" s="2"/>
      <c r="H1536" s="2" t="s">
        <v>1249</v>
      </c>
      <c r="I1536" s="2"/>
      <c r="J1536" s="2" t="s">
        <v>3356</v>
      </c>
      <c r="K1536" s="2" t="s">
        <v>3355</v>
      </c>
    </row>
    <row r="1537" spans="1:11" s="4" customFormat="1" ht="18" customHeight="1">
      <c r="A1537" s="2" t="s">
        <v>3357</v>
      </c>
      <c r="B1537" s="3"/>
      <c r="C1537" s="2"/>
      <c r="D1537" s="3"/>
      <c r="E1537" s="2"/>
      <c r="F1537" s="2" t="s">
        <v>1249</v>
      </c>
      <c r="G1537" s="2"/>
      <c r="H1537" s="2" t="s">
        <v>1249</v>
      </c>
      <c r="I1537" s="2"/>
      <c r="J1537" s="2" t="s">
        <v>3359</v>
      </c>
      <c r="K1537" s="2" t="s">
        <v>3357</v>
      </c>
    </row>
    <row r="1538" spans="1:11" s="4" customFormat="1" ht="18" customHeight="1">
      <c r="A1538" s="2" t="s">
        <v>3361</v>
      </c>
      <c r="B1538" s="3"/>
      <c r="C1538" s="2"/>
      <c r="D1538" s="3"/>
      <c r="E1538" s="2"/>
      <c r="F1538" s="2" t="s">
        <v>3068</v>
      </c>
      <c r="G1538" s="2"/>
      <c r="H1538" s="2" t="s">
        <v>3069</v>
      </c>
      <c r="I1538" s="2"/>
      <c r="J1538" s="2" t="s">
        <v>3362</v>
      </c>
      <c r="K1538" s="2" t="s">
        <v>3361</v>
      </c>
    </row>
    <row r="1539" spans="1:11" s="4" customFormat="1" ht="18" customHeight="1">
      <c r="A1539" s="2" t="s">
        <v>3363</v>
      </c>
      <c r="B1539" s="3"/>
      <c r="C1539" s="2"/>
      <c r="D1539" s="3"/>
      <c r="E1539" s="2"/>
      <c r="F1539" s="2" t="s">
        <v>729</v>
      </c>
      <c r="G1539" s="2"/>
      <c r="H1539" s="2" t="s">
        <v>729</v>
      </c>
      <c r="I1539" s="2"/>
      <c r="J1539" s="2" t="s">
        <v>3364</v>
      </c>
      <c r="K1539" s="2" t="s">
        <v>3363</v>
      </c>
    </row>
    <row r="1540" spans="1:11" s="4" customFormat="1" ht="18" customHeight="1">
      <c r="A1540" s="2" t="s">
        <v>3365</v>
      </c>
      <c r="B1540" s="3"/>
      <c r="C1540" s="2"/>
      <c r="D1540" s="3"/>
      <c r="E1540" s="2"/>
      <c r="F1540" s="2" t="s">
        <v>2882</v>
      </c>
      <c r="G1540" s="2"/>
      <c r="H1540" s="2" t="s">
        <v>2882</v>
      </c>
      <c r="I1540" s="2"/>
      <c r="J1540" s="2" t="s">
        <v>3366</v>
      </c>
      <c r="K1540" s="2" t="s">
        <v>3365</v>
      </c>
    </row>
    <row r="1541" spans="1:11" s="4" customFormat="1" ht="18" customHeight="1">
      <c r="A1541" s="2" t="s">
        <v>3367</v>
      </c>
      <c r="B1541" s="3"/>
      <c r="C1541" s="2"/>
      <c r="D1541" s="3"/>
      <c r="E1541" s="2"/>
      <c r="F1541" s="2" t="s">
        <v>2077</v>
      </c>
      <c r="G1541" s="2"/>
      <c r="H1541" s="2" t="s">
        <v>2077</v>
      </c>
      <c r="I1541" s="2"/>
      <c r="J1541" s="2" t="s">
        <v>3368</v>
      </c>
      <c r="K1541" s="2" t="s">
        <v>3367</v>
      </c>
    </row>
    <row r="1542" spans="1:11" s="4" customFormat="1" ht="18" customHeight="1">
      <c r="A1542" s="2" t="s">
        <v>3369</v>
      </c>
      <c r="B1542" s="3"/>
      <c r="C1542" s="2"/>
      <c r="D1542" s="3"/>
      <c r="E1542" s="2"/>
      <c r="F1542" s="2" t="s">
        <v>906</v>
      </c>
      <c r="G1542" s="2"/>
      <c r="H1542" s="2" t="s">
        <v>906</v>
      </c>
      <c r="I1542" s="2"/>
      <c r="J1542" s="2" t="s">
        <v>3370</v>
      </c>
      <c r="K1542" s="2" t="s">
        <v>3369</v>
      </c>
    </row>
    <row r="1543" spans="1:11" s="4" customFormat="1" ht="18" customHeight="1">
      <c r="A1543" s="2" t="s">
        <v>3371</v>
      </c>
      <c r="B1543" s="3"/>
      <c r="C1543" s="2"/>
      <c r="D1543" s="3"/>
      <c r="E1543" s="2"/>
      <c r="F1543" s="2" t="s">
        <v>306</v>
      </c>
      <c r="G1543" s="2"/>
      <c r="H1543" s="2" t="s">
        <v>307</v>
      </c>
      <c r="I1543" s="2"/>
      <c r="J1543" s="2" t="s">
        <v>1810</v>
      </c>
      <c r="K1543" s="2" t="s">
        <v>3371</v>
      </c>
    </row>
    <row r="1544" spans="1:11" s="4" customFormat="1" ht="18" customHeight="1">
      <c r="A1544" s="2" t="s">
        <v>3372</v>
      </c>
      <c r="B1544" s="3"/>
      <c r="C1544" s="2"/>
      <c r="D1544" s="3"/>
      <c r="E1544" s="2"/>
      <c r="F1544" s="2" t="s">
        <v>306</v>
      </c>
      <c r="G1544" s="2"/>
      <c r="H1544" s="2" t="s">
        <v>306</v>
      </c>
      <c r="I1544" s="2"/>
      <c r="J1544" s="2" t="s">
        <v>3373</v>
      </c>
      <c r="K1544" s="2" t="s">
        <v>3372</v>
      </c>
    </row>
    <row r="1545" spans="1:11" s="4" customFormat="1" ht="18" customHeight="1">
      <c r="A1545" s="2" t="s">
        <v>3375</v>
      </c>
      <c r="B1545" s="3"/>
      <c r="C1545" s="2"/>
      <c r="D1545" s="3"/>
      <c r="E1545" s="2"/>
      <c r="F1545" s="2" t="s">
        <v>306</v>
      </c>
      <c r="G1545" s="2"/>
      <c r="H1545" s="2" t="s">
        <v>306</v>
      </c>
      <c r="I1545" s="2"/>
      <c r="J1545" s="2" t="s">
        <v>3376</v>
      </c>
      <c r="K1545" s="2" t="s">
        <v>3375</v>
      </c>
    </row>
    <row r="1546" spans="1:11" s="4" customFormat="1" ht="18" customHeight="1">
      <c r="A1546" s="2" t="s">
        <v>3378</v>
      </c>
      <c r="B1546" s="3"/>
      <c r="C1546" s="2"/>
      <c r="D1546" s="3"/>
      <c r="E1546" s="2"/>
      <c r="F1546" s="2" t="s">
        <v>306</v>
      </c>
      <c r="G1546" s="2"/>
      <c r="H1546" s="2" t="s">
        <v>306</v>
      </c>
      <c r="I1546" s="2"/>
      <c r="J1546" s="2" t="s">
        <v>3379</v>
      </c>
      <c r="K1546" s="2" t="s">
        <v>3378</v>
      </c>
    </row>
    <row r="1547" spans="1:11" s="4" customFormat="1" ht="18" customHeight="1">
      <c r="A1547" s="2" t="s">
        <v>3380</v>
      </c>
      <c r="B1547" s="3"/>
      <c r="C1547" s="2"/>
      <c r="D1547" s="3"/>
      <c r="E1547" s="2"/>
      <c r="F1547" s="2" t="s">
        <v>306</v>
      </c>
      <c r="G1547" s="2"/>
      <c r="H1547" s="2" t="s">
        <v>306</v>
      </c>
      <c r="I1547" s="2"/>
      <c r="J1547" s="2" t="s">
        <v>3381</v>
      </c>
      <c r="K1547" s="2" t="s">
        <v>3380</v>
      </c>
    </row>
    <row r="1548" spans="1:11" s="4" customFormat="1" ht="18" customHeight="1">
      <c r="A1548" s="2" t="s">
        <v>3383</v>
      </c>
      <c r="B1548" s="3"/>
      <c r="C1548" s="2"/>
      <c r="D1548" s="3"/>
      <c r="E1548" s="2"/>
      <c r="F1548" s="2" t="s">
        <v>306</v>
      </c>
      <c r="G1548" s="2"/>
      <c r="H1548" s="2" t="s">
        <v>306</v>
      </c>
      <c r="I1548" s="2"/>
      <c r="J1548" s="2" t="s">
        <v>3384</v>
      </c>
      <c r="K1548" s="2" t="s">
        <v>3383</v>
      </c>
    </row>
    <row r="1549" spans="1:11" s="4" customFormat="1" ht="18" customHeight="1">
      <c r="A1549" s="2" t="s">
        <v>3385</v>
      </c>
      <c r="B1549" s="3"/>
      <c r="C1549" s="2"/>
      <c r="D1549" s="3"/>
      <c r="E1549" s="2"/>
      <c r="F1549" s="2" t="s">
        <v>306</v>
      </c>
      <c r="G1549" s="2"/>
      <c r="H1549" s="2" t="s">
        <v>306</v>
      </c>
      <c r="I1549" s="2"/>
      <c r="J1549" s="2" t="s">
        <v>2572</v>
      </c>
      <c r="K1549" s="2" t="s">
        <v>3385</v>
      </c>
    </row>
    <row r="1550" spans="1:11" s="4" customFormat="1" ht="18" customHeight="1">
      <c r="A1550" s="2" t="s">
        <v>3386</v>
      </c>
      <c r="B1550" s="3"/>
      <c r="C1550" s="2"/>
      <c r="D1550" s="3"/>
      <c r="E1550" s="2"/>
      <c r="F1550" s="2" t="s">
        <v>306</v>
      </c>
      <c r="G1550" s="2"/>
      <c r="H1550" s="2" t="s">
        <v>3660</v>
      </c>
      <c r="I1550" s="2"/>
      <c r="J1550" s="2" t="s">
        <v>3388</v>
      </c>
      <c r="K1550" s="2" t="s">
        <v>3386</v>
      </c>
    </row>
    <row r="1551" spans="1:11" s="4" customFormat="1" ht="18" customHeight="1">
      <c r="A1551" s="2" t="s">
        <v>3389</v>
      </c>
      <c r="B1551" s="3"/>
      <c r="C1551" s="2"/>
      <c r="D1551" s="3"/>
      <c r="E1551" s="2"/>
      <c r="F1551" s="2" t="s">
        <v>306</v>
      </c>
      <c r="G1551" s="2"/>
      <c r="H1551" s="2" t="s">
        <v>306</v>
      </c>
      <c r="I1551" s="2"/>
      <c r="J1551" s="2" t="s">
        <v>3390</v>
      </c>
      <c r="K1551" s="2" t="s">
        <v>3389</v>
      </c>
    </row>
    <row r="1552" spans="1:11" s="4" customFormat="1" ht="18" customHeight="1">
      <c r="A1552" s="2" t="s">
        <v>3391</v>
      </c>
      <c r="B1552" s="3"/>
      <c r="C1552" s="2"/>
      <c r="D1552" s="3"/>
      <c r="E1552" s="2"/>
      <c r="F1552" s="2" t="s">
        <v>306</v>
      </c>
      <c r="G1552" s="2"/>
      <c r="H1552" s="2" t="s">
        <v>306</v>
      </c>
      <c r="I1552" s="2"/>
      <c r="J1552" s="2" t="s">
        <v>3392</v>
      </c>
      <c r="K1552" s="2" t="s">
        <v>3391</v>
      </c>
    </row>
    <row r="1553" spans="1:11" s="4" customFormat="1" ht="18" customHeight="1">
      <c r="A1553" s="2" t="s">
        <v>3393</v>
      </c>
      <c r="B1553" s="3"/>
      <c r="C1553" s="2"/>
      <c r="D1553" s="3"/>
      <c r="E1553" s="2"/>
      <c r="F1553" s="2" t="s">
        <v>2186</v>
      </c>
      <c r="G1553" s="2"/>
      <c r="H1553" s="2" t="s">
        <v>2186</v>
      </c>
      <c r="I1553" s="2"/>
      <c r="J1553" s="2" t="s">
        <v>3394</v>
      </c>
      <c r="K1553" s="2" t="s">
        <v>3393</v>
      </c>
    </row>
    <row r="1554" spans="1:11" s="4" customFormat="1" ht="18" customHeight="1">
      <c r="A1554" s="2" t="s">
        <v>3395</v>
      </c>
      <c r="B1554" s="3"/>
      <c r="C1554" s="2"/>
      <c r="D1554" s="3"/>
      <c r="E1554" s="2"/>
      <c r="F1554" s="2" t="s">
        <v>2405</v>
      </c>
      <c r="G1554" s="2"/>
      <c r="H1554" s="2" t="s">
        <v>306</v>
      </c>
      <c r="I1554" s="2"/>
      <c r="J1554" s="2" t="s">
        <v>3396</v>
      </c>
      <c r="K1554" s="2" t="s">
        <v>3395</v>
      </c>
    </row>
    <row r="1555" spans="1:11" s="4" customFormat="1" ht="18" customHeight="1">
      <c r="A1555" s="2" t="s">
        <v>3397</v>
      </c>
      <c r="B1555" s="3"/>
      <c r="C1555" s="2"/>
      <c r="D1555" s="3"/>
      <c r="E1555" s="2"/>
      <c r="F1555" s="2" t="s">
        <v>2923</v>
      </c>
      <c r="G1555" s="2"/>
      <c r="H1555" s="2" t="s">
        <v>2924</v>
      </c>
      <c r="I1555" s="2"/>
      <c r="J1555" s="2" t="s">
        <v>3398</v>
      </c>
      <c r="K1555" s="2" t="s">
        <v>3397</v>
      </c>
    </row>
    <row r="1556" spans="1:11" s="4" customFormat="1" ht="18" customHeight="1">
      <c r="A1556" s="2" t="s">
        <v>3399</v>
      </c>
      <c r="B1556" s="3"/>
      <c r="C1556" s="2"/>
      <c r="D1556" s="3"/>
      <c r="E1556" s="2"/>
      <c r="F1556" s="2" t="s">
        <v>2549</v>
      </c>
      <c r="G1556" s="2"/>
      <c r="H1556" s="2" t="s">
        <v>2549</v>
      </c>
      <c r="I1556" s="2"/>
      <c r="J1556" s="2" t="s">
        <v>3400</v>
      </c>
      <c r="K1556" s="2" t="s">
        <v>3399</v>
      </c>
    </row>
    <row r="1557" spans="1:11" s="4" customFormat="1" ht="18" customHeight="1">
      <c r="A1557" s="2" t="s">
        <v>3401</v>
      </c>
      <c r="B1557" s="3"/>
      <c r="C1557" s="2"/>
      <c r="D1557" s="3"/>
      <c r="E1557" s="2"/>
      <c r="F1557" s="2" t="s">
        <v>1777</v>
      </c>
      <c r="G1557" s="2"/>
      <c r="H1557" s="2" t="s">
        <v>1777</v>
      </c>
      <c r="I1557" s="2"/>
      <c r="J1557" s="2" t="s">
        <v>855</v>
      </c>
      <c r="K1557" s="2" t="s">
        <v>3401</v>
      </c>
    </row>
    <row r="1558" spans="1:11" s="4" customFormat="1" ht="18" customHeight="1">
      <c r="A1558" s="2" t="s">
        <v>3402</v>
      </c>
      <c r="B1558" s="3"/>
      <c r="C1558" s="2"/>
      <c r="D1558" s="3"/>
      <c r="E1558" s="2"/>
      <c r="F1558" s="2" t="s">
        <v>1638</v>
      </c>
      <c r="G1558" s="2"/>
      <c r="H1558" s="2" t="s">
        <v>1638</v>
      </c>
      <c r="I1558" s="2"/>
      <c r="J1558" s="2" t="s">
        <v>3403</v>
      </c>
      <c r="K1558" s="2" t="s">
        <v>3402</v>
      </c>
    </row>
    <row r="1559" spans="1:11" s="4" customFormat="1" ht="18" customHeight="1">
      <c r="A1559" s="2" t="s">
        <v>3404</v>
      </c>
      <c r="B1559" s="3"/>
      <c r="C1559" s="2"/>
      <c r="D1559" s="3"/>
      <c r="E1559" s="2"/>
      <c r="F1559" s="2" t="s">
        <v>1638</v>
      </c>
      <c r="G1559" s="2"/>
      <c r="H1559" s="2" t="s">
        <v>1638</v>
      </c>
      <c r="I1559" s="2"/>
      <c r="J1559" s="2" t="s">
        <v>3405</v>
      </c>
      <c r="K1559" s="2" t="s">
        <v>3404</v>
      </c>
    </row>
    <row r="1560" spans="1:11" s="4" customFormat="1" ht="18" customHeight="1">
      <c r="A1560" s="2" t="s">
        <v>3406</v>
      </c>
      <c r="B1560" s="3"/>
      <c r="C1560" s="2"/>
      <c r="D1560" s="3"/>
      <c r="E1560" s="2"/>
      <c r="F1560" s="2" t="s">
        <v>3041</v>
      </c>
      <c r="G1560" s="2"/>
      <c r="H1560" s="2" t="s">
        <v>3041</v>
      </c>
      <c r="I1560" s="2"/>
      <c r="J1560" s="2" t="s">
        <v>741</v>
      </c>
      <c r="K1560" s="2" t="s">
        <v>3406</v>
      </c>
    </row>
    <row r="1561" spans="1:11" s="4" customFormat="1" ht="18" customHeight="1">
      <c r="A1561" s="2" t="s">
        <v>3407</v>
      </c>
      <c r="B1561" s="3"/>
      <c r="C1561" s="2"/>
      <c r="D1561" s="3"/>
      <c r="E1561" s="2"/>
      <c r="F1561" s="2" t="s">
        <v>2607</v>
      </c>
      <c r="G1561" s="2"/>
      <c r="H1561" s="2" t="s">
        <v>2607</v>
      </c>
      <c r="I1561" s="2"/>
      <c r="J1561" s="2" t="s">
        <v>3408</v>
      </c>
      <c r="K1561" s="2" t="s">
        <v>3407</v>
      </c>
    </row>
    <row r="1562" spans="1:11" s="4" customFormat="1" ht="18" customHeight="1">
      <c r="A1562" s="2" t="s">
        <v>3410</v>
      </c>
      <c r="B1562" s="3"/>
      <c r="C1562" s="2"/>
      <c r="D1562" s="3"/>
      <c r="E1562" s="2"/>
      <c r="F1562" s="2" t="s">
        <v>2682</v>
      </c>
      <c r="G1562" s="2"/>
      <c r="H1562" s="2" t="s">
        <v>2683</v>
      </c>
      <c r="I1562" s="2"/>
      <c r="J1562" s="2" t="s">
        <v>3411</v>
      </c>
      <c r="K1562" s="2" t="s">
        <v>3410</v>
      </c>
    </row>
    <row r="1563" spans="1:11" s="4" customFormat="1" ht="18" customHeight="1">
      <c r="A1563" s="2" t="s">
        <v>3412</v>
      </c>
      <c r="B1563" s="3"/>
      <c r="C1563" s="2"/>
      <c r="D1563" s="3"/>
      <c r="E1563" s="2"/>
      <c r="F1563" s="2" t="s">
        <v>572</v>
      </c>
      <c r="G1563" s="2"/>
      <c r="H1563" s="2" t="s">
        <v>572</v>
      </c>
      <c r="I1563" s="2"/>
      <c r="J1563" s="2" t="s">
        <v>3413</v>
      </c>
      <c r="K1563" s="2" t="s">
        <v>3412</v>
      </c>
    </row>
    <row r="1564" spans="1:11" s="4" customFormat="1" ht="18" customHeight="1">
      <c r="A1564" s="2" t="s">
        <v>3414</v>
      </c>
      <c r="B1564" s="3"/>
      <c r="C1564" s="2"/>
      <c r="D1564" s="3"/>
      <c r="E1564" s="2"/>
      <c r="F1564" s="2" t="s">
        <v>2010</v>
      </c>
      <c r="G1564" s="2"/>
      <c r="H1564" s="2" t="s">
        <v>2010</v>
      </c>
      <c r="I1564" s="2"/>
      <c r="J1564" s="2" t="s">
        <v>3415</v>
      </c>
      <c r="K1564" s="2" t="s">
        <v>3414</v>
      </c>
    </row>
    <row r="1565" spans="1:11" s="4" customFormat="1" ht="18" customHeight="1">
      <c r="A1565" s="2" t="s">
        <v>3416</v>
      </c>
      <c r="B1565" s="3"/>
      <c r="C1565" s="2"/>
      <c r="D1565" s="3"/>
      <c r="E1565" s="2"/>
      <c r="F1565" s="2" t="s">
        <v>2707</v>
      </c>
      <c r="G1565" s="2"/>
      <c r="H1565" s="2" t="s">
        <v>2707</v>
      </c>
      <c r="I1565" s="2"/>
      <c r="J1565" s="2" t="s">
        <v>3417</v>
      </c>
      <c r="K1565" s="2" t="s">
        <v>3416</v>
      </c>
    </row>
    <row r="1566" spans="1:11" s="4" customFormat="1" ht="18" customHeight="1">
      <c r="A1566" s="2" t="s">
        <v>3418</v>
      </c>
      <c r="B1566" s="3"/>
      <c r="C1566" s="2"/>
      <c r="D1566" s="3"/>
      <c r="E1566" s="2"/>
      <c r="F1566" s="2" t="s">
        <v>1156</v>
      </c>
      <c r="G1566" s="2"/>
      <c r="H1566" s="2" t="s">
        <v>1156</v>
      </c>
      <c r="I1566" s="2"/>
      <c r="J1566" s="2" t="s">
        <v>3419</v>
      </c>
      <c r="K1566" s="2" t="s">
        <v>3418</v>
      </c>
    </row>
    <row r="1567" spans="1:11" s="4" customFormat="1" ht="18" customHeight="1">
      <c r="A1567" s="2" t="s">
        <v>3420</v>
      </c>
      <c r="B1567" s="3"/>
      <c r="C1567" s="2"/>
      <c r="D1567" s="3"/>
      <c r="E1567" s="2"/>
      <c r="F1567" s="2" t="s">
        <v>1310</v>
      </c>
      <c r="G1567" s="2"/>
      <c r="H1567" s="2" t="s">
        <v>1310</v>
      </c>
      <c r="I1567" s="2"/>
      <c r="J1567" s="2" t="s">
        <v>973</v>
      </c>
      <c r="K1567" s="2" t="s">
        <v>3420</v>
      </c>
    </row>
    <row r="1568" spans="1:11" s="4" customFormat="1" ht="18" customHeight="1">
      <c r="A1568" s="2" t="s">
        <v>3421</v>
      </c>
      <c r="B1568" s="3"/>
      <c r="C1568" s="2"/>
      <c r="D1568" s="3"/>
      <c r="E1568" s="2"/>
      <c r="F1568" s="2" t="s">
        <v>1121</v>
      </c>
      <c r="G1568" s="2"/>
      <c r="H1568" s="2" t="s">
        <v>1122</v>
      </c>
      <c r="I1568" s="2"/>
      <c r="J1568" s="2" t="s">
        <v>3422</v>
      </c>
      <c r="K1568" s="2" t="s">
        <v>3421</v>
      </c>
    </row>
    <row r="1569" spans="1:11" s="4" customFormat="1" ht="18" customHeight="1">
      <c r="A1569" s="2" t="s">
        <v>3423</v>
      </c>
      <c r="B1569" s="3"/>
      <c r="C1569" s="2"/>
      <c r="D1569" s="3"/>
      <c r="E1569" s="2"/>
      <c r="F1569" s="2" t="s">
        <v>3612</v>
      </c>
      <c r="G1569" s="2"/>
      <c r="H1569" s="2" t="s">
        <v>3612</v>
      </c>
      <c r="I1569" s="2"/>
      <c r="J1569" s="2" t="s">
        <v>3424</v>
      </c>
      <c r="K1569" s="2" t="s">
        <v>3423</v>
      </c>
    </row>
    <row r="1570" spans="1:11" s="4" customFormat="1" ht="18" customHeight="1">
      <c r="A1570" s="2" t="s">
        <v>3426</v>
      </c>
      <c r="B1570" s="3"/>
      <c r="C1570" s="2"/>
      <c r="D1570" s="3"/>
      <c r="E1570" s="2"/>
      <c r="F1570" s="2" t="s">
        <v>2012</v>
      </c>
      <c r="G1570" s="2"/>
      <c r="H1570" s="2" t="s">
        <v>2012</v>
      </c>
      <c r="I1570" s="2"/>
      <c r="J1570" s="2" t="s">
        <v>3427</v>
      </c>
      <c r="K1570" s="2" t="s">
        <v>3426</v>
      </c>
    </row>
    <row r="1571" spans="1:11" s="4" customFormat="1" ht="18" customHeight="1">
      <c r="A1571" s="2" t="s">
        <v>3429</v>
      </c>
      <c r="B1571" s="3"/>
      <c r="C1571" s="2"/>
      <c r="D1571" s="3"/>
      <c r="E1571" s="2"/>
      <c r="F1571" s="2" t="s">
        <v>2885</v>
      </c>
      <c r="G1571" s="2"/>
      <c r="H1571" s="2" t="s">
        <v>2885</v>
      </c>
      <c r="I1571" s="2"/>
      <c r="J1571" s="2" t="s">
        <v>3430</v>
      </c>
      <c r="K1571" s="2" t="s">
        <v>3429</v>
      </c>
    </row>
    <row r="1572" spans="1:11" s="4" customFormat="1" ht="18" customHeight="1">
      <c r="A1572" s="2" t="s">
        <v>3431</v>
      </c>
      <c r="B1572" s="3"/>
      <c r="C1572" s="2"/>
      <c r="D1572" s="3"/>
      <c r="E1572" s="2"/>
      <c r="F1572" s="2" t="s">
        <v>2056</v>
      </c>
      <c r="G1572" s="2"/>
      <c r="H1572" s="2" t="s">
        <v>2056</v>
      </c>
      <c r="I1572" s="2"/>
      <c r="J1572" s="2" t="s">
        <v>1075</v>
      </c>
      <c r="K1572" s="2" t="s">
        <v>3431</v>
      </c>
    </row>
    <row r="1573" spans="1:11" s="4" customFormat="1" ht="18" customHeight="1">
      <c r="A1573" s="2" t="s">
        <v>3432</v>
      </c>
      <c r="B1573" s="3"/>
      <c r="C1573" s="2"/>
      <c r="D1573" s="3"/>
      <c r="E1573" s="2"/>
      <c r="F1573" s="2" t="s">
        <v>3043</v>
      </c>
      <c r="G1573" s="2"/>
      <c r="H1573" s="2" t="s">
        <v>3043</v>
      </c>
      <c r="I1573" s="2"/>
      <c r="J1573" s="2" t="s">
        <v>3433</v>
      </c>
      <c r="K1573" s="2" t="s">
        <v>3432</v>
      </c>
    </row>
    <row r="1574" spans="1:11" s="4" customFormat="1" ht="18" customHeight="1">
      <c r="A1574" s="2" t="s">
        <v>3434</v>
      </c>
      <c r="B1574" s="3"/>
      <c r="C1574" s="2"/>
      <c r="D1574" s="3"/>
      <c r="E1574" s="2"/>
      <c r="F1574" s="2" t="s">
        <v>1170</v>
      </c>
      <c r="G1574" s="2"/>
      <c r="H1574" s="2" t="s">
        <v>1171</v>
      </c>
      <c r="I1574" s="2"/>
      <c r="J1574" s="2" t="s">
        <v>3435</v>
      </c>
      <c r="K1574" s="2" t="s">
        <v>3434</v>
      </c>
    </row>
    <row r="1575" spans="1:11" s="4" customFormat="1" ht="18" customHeight="1">
      <c r="A1575" s="2" t="s">
        <v>3436</v>
      </c>
      <c r="B1575" s="3"/>
      <c r="C1575" s="2"/>
      <c r="D1575" s="3"/>
      <c r="E1575" s="2"/>
      <c r="F1575" s="2" t="s">
        <v>3493</v>
      </c>
      <c r="G1575" s="2"/>
      <c r="H1575" s="2" t="s">
        <v>3493</v>
      </c>
      <c r="I1575" s="2"/>
      <c r="J1575" s="2" t="s">
        <v>3437</v>
      </c>
      <c r="K1575" s="2" t="s">
        <v>3436</v>
      </c>
    </row>
    <row r="1576" spans="1:11" s="4" customFormat="1" ht="18" customHeight="1">
      <c r="A1576" s="2" t="s">
        <v>3439</v>
      </c>
      <c r="B1576" s="3"/>
      <c r="C1576" s="2"/>
      <c r="D1576" s="3"/>
      <c r="E1576" s="2"/>
      <c r="F1576" s="2" t="s">
        <v>2375</v>
      </c>
      <c r="G1576" s="2"/>
      <c r="H1576" s="2" t="s">
        <v>2375</v>
      </c>
      <c r="I1576" s="2"/>
      <c r="J1576" s="2" t="s">
        <v>3440</v>
      </c>
      <c r="K1576" s="2" t="s">
        <v>3439</v>
      </c>
    </row>
    <row r="1577" spans="1:11" s="4" customFormat="1" ht="18" customHeight="1">
      <c r="A1577" s="2" t="s">
        <v>3441</v>
      </c>
      <c r="B1577" s="3"/>
      <c r="C1577" s="2"/>
      <c r="D1577" s="3"/>
      <c r="E1577" s="2"/>
      <c r="F1577" s="2" t="s">
        <v>2173</v>
      </c>
      <c r="G1577" s="2"/>
      <c r="H1577" s="2" t="s">
        <v>2174</v>
      </c>
      <c r="I1577" s="2"/>
      <c r="J1577" s="2" t="s">
        <v>3442</v>
      </c>
      <c r="K1577" s="2" t="s">
        <v>3441</v>
      </c>
    </row>
    <row r="1578" spans="1:11" s="4" customFormat="1" ht="18" customHeight="1">
      <c r="A1578" s="2" t="s">
        <v>3443</v>
      </c>
      <c r="B1578" s="3"/>
      <c r="C1578" s="2"/>
      <c r="D1578" s="3"/>
      <c r="E1578" s="2"/>
      <c r="F1578" s="2" t="s">
        <v>2014</v>
      </c>
      <c r="G1578" s="2"/>
      <c r="H1578" s="2" t="s">
        <v>2014</v>
      </c>
      <c r="I1578" s="2"/>
      <c r="J1578" s="2" t="s">
        <v>3444</v>
      </c>
      <c r="K1578" s="2" t="s">
        <v>3443</v>
      </c>
    </row>
    <row r="1579" spans="1:11" s="4" customFormat="1" ht="18" customHeight="1">
      <c r="A1579" s="2" t="s">
        <v>3445</v>
      </c>
      <c r="B1579" s="3"/>
      <c r="C1579" s="2"/>
      <c r="D1579" s="3"/>
      <c r="E1579" s="2"/>
      <c r="F1579" s="2" t="s">
        <v>1491</v>
      </c>
      <c r="G1579" s="2"/>
      <c r="H1579" s="2" t="s">
        <v>1491</v>
      </c>
      <c r="I1579" s="2"/>
      <c r="J1579" s="2" t="s">
        <v>2749</v>
      </c>
      <c r="K1579" s="2" t="s">
        <v>3445</v>
      </c>
    </row>
    <row r="1580" spans="1:11" s="4" customFormat="1" ht="18" customHeight="1">
      <c r="A1580" s="2" t="s">
        <v>3446</v>
      </c>
      <c r="B1580" s="3"/>
      <c r="C1580" s="2"/>
      <c r="D1580" s="3"/>
      <c r="E1580" s="2"/>
      <c r="F1580" s="2" t="s">
        <v>3045</v>
      </c>
      <c r="G1580" s="2"/>
      <c r="H1580" s="2" t="s">
        <v>3045</v>
      </c>
      <c r="I1580" s="2"/>
      <c r="J1580" s="2" t="s">
        <v>3447</v>
      </c>
      <c r="K1580" s="2" t="s">
        <v>3446</v>
      </c>
    </row>
    <row r="1581" spans="1:11" s="4" customFormat="1" ht="18" customHeight="1">
      <c r="A1581" s="2" t="s">
        <v>3448</v>
      </c>
      <c r="B1581" s="3"/>
      <c r="C1581" s="2"/>
      <c r="D1581" s="3"/>
      <c r="E1581" s="2"/>
      <c r="F1581" s="2" t="s">
        <v>280</v>
      </c>
      <c r="G1581" s="2"/>
      <c r="H1581" s="2" t="s">
        <v>280</v>
      </c>
      <c r="I1581" s="2"/>
      <c r="J1581" s="2" t="s">
        <v>3449</v>
      </c>
      <c r="K1581" s="2" t="s">
        <v>3448</v>
      </c>
    </row>
    <row r="1582" spans="1:11" s="4" customFormat="1" ht="18" customHeight="1">
      <c r="A1582" s="2" t="s">
        <v>3450</v>
      </c>
      <c r="B1582" s="3"/>
      <c r="C1582" s="2"/>
      <c r="D1582" s="3"/>
      <c r="E1582" s="2"/>
      <c r="F1582" s="2" t="s">
        <v>280</v>
      </c>
      <c r="G1582" s="2"/>
      <c r="H1582" s="2" t="s">
        <v>280</v>
      </c>
      <c r="I1582" s="2"/>
      <c r="J1582" s="2" t="s">
        <v>3451</v>
      </c>
      <c r="K1582" s="2" t="s">
        <v>3450</v>
      </c>
    </row>
    <row r="1583" spans="1:11" s="4" customFormat="1" ht="18" customHeight="1">
      <c r="A1583" s="2" t="s">
        <v>3452</v>
      </c>
      <c r="B1583" s="3"/>
      <c r="C1583" s="2"/>
      <c r="D1583" s="3"/>
      <c r="E1583" s="2"/>
      <c r="F1583" s="2" t="s">
        <v>280</v>
      </c>
      <c r="G1583" s="2"/>
      <c r="H1583" s="2" t="s">
        <v>280</v>
      </c>
      <c r="I1583" s="2"/>
      <c r="J1583" s="2" t="s">
        <v>3453</v>
      </c>
      <c r="K1583" s="2" t="s">
        <v>3452</v>
      </c>
    </row>
    <row r="1584" spans="1:11" s="4" customFormat="1" ht="18" customHeight="1">
      <c r="A1584" s="2" t="s">
        <v>3454</v>
      </c>
      <c r="B1584" s="3"/>
      <c r="C1584" s="2"/>
      <c r="D1584" s="3"/>
      <c r="E1584" s="2"/>
      <c r="F1584" s="2" t="s">
        <v>1932</v>
      </c>
      <c r="G1584" s="2"/>
      <c r="H1584" s="2" t="s">
        <v>1932</v>
      </c>
      <c r="I1584" s="2"/>
      <c r="J1584" s="2" t="s">
        <v>3455</v>
      </c>
      <c r="K1584" s="2" t="s">
        <v>3454</v>
      </c>
    </row>
    <row r="1585" spans="1:11" s="4" customFormat="1" ht="18" customHeight="1">
      <c r="A1585" s="2" t="s">
        <v>3456</v>
      </c>
      <c r="B1585" s="3"/>
      <c r="C1585" s="2"/>
      <c r="D1585" s="3"/>
      <c r="E1585" s="2"/>
      <c r="F1585" s="2" t="s">
        <v>530</v>
      </c>
      <c r="G1585" s="2"/>
      <c r="H1585" s="2" t="s">
        <v>530</v>
      </c>
      <c r="I1585" s="2"/>
      <c r="J1585" s="2" t="s">
        <v>3457</v>
      </c>
      <c r="K1585" s="2" t="s">
        <v>3456</v>
      </c>
    </row>
    <row r="1586" spans="1:11" s="4" customFormat="1" ht="18" customHeight="1">
      <c r="A1586" s="2" t="s">
        <v>3458</v>
      </c>
      <c r="B1586" s="3"/>
      <c r="C1586" s="2"/>
      <c r="D1586" s="3"/>
      <c r="E1586" s="2"/>
      <c r="F1586" s="2" t="s">
        <v>2765</v>
      </c>
      <c r="G1586" s="2"/>
      <c r="H1586" s="2" t="s">
        <v>2765</v>
      </c>
      <c r="I1586" s="2"/>
      <c r="J1586" s="2" t="s">
        <v>741</v>
      </c>
      <c r="K1586" s="2" t="s">
        <v>3458</v>
      </c>
    </row>
    <row r="1587" spans="1:11" s="4" customFormat="1" ht="18" customHeight="1">
      <c r="A1587" s="2" t="s">
        <v>3459</v>
      </c>
      <c r="B1587" s="3"/>
      <c r="C1587" s="2"/>
      <c r="D1587" s="3"/>
      <c r="E1587" s="2"/>
      <c r="F1587" s="2" t="s">
        <v>782</v>
      </c>
      <c r="G1587" s="2"/>
      <c r="H1587" s="2" t="s">
        <v>782</v>
      </c>
      <c r="I1587" s="2"/>
      <c r="J1587" s="2" t="s">
        <v>3460</v>
      </c>
      <c r="K1587" s="2" t="s">
        <v>3459</v>
      </c>
    </row>
    <row r="1588" spans="1:11" s="4" customFormat="1" ht="18" customHeight="1">
      <c r="A1588" s="2" t="s">
        <v>3461</v>
      </c>
      <c r="B1588" s="3"/>
      <c r="C1588" s="2"/>
      <c r="D1588" s="3"/>
      <c r="E1588" s="2"/>
      <c r="F1588" s="2" t="s">
        <v>2369</v>
      </c>
      <c r="G1588" s="2"/>
      <c r="H1588" s="2" t="s">
        <v>2369</v>
      </c>
      <c r="I1588" s="2"/>
      <c r="J1588" s="2" t="s">
        <v>3462</v>
      </c>
      <c r="K1588" s="2" t="s">
        <v>3461</v>
      </c>
    </row>
    <row r="1589" spans="1:11" s="4" customFormat="1" ht="18" customHeight="1">
      <c r="A1589" s="2" t="s">
        <v>3464</v>
      </c>
      <c r="B1589" s="3"/>
      <c r="C1589" s="2"/>
      <c r="D1589" s="3"/>
      <c r="E1589" s="2"/>
      <c r="F1589" s="2" t="s">
        <v>2371</v>
      </c>
      <c r="G1589" s="2"/>
      <c r="H1589" s="2" t="s">
        <v>2371</v>
      </c>
      <c r="I1589" s="2"/>
      <c r="J1589" s="2" t="s">
        <v>3465</v>
      </c>
      <c r="K1589" s="2" t="s">
        <v>3464</v>
      </c>
    </row>
    <row r="1590" spans="1:11" s="4" customFormat="1" ht="18" customHeight="1">
      <c r="A1590" s="2" t="s">
        <v>3466</v>
      </c>
      <c r="B1590" s="3"/>
      <c r="C1590" s="2"/>
      <c r="D1590" s="3"/>
      <c r="E1590" s="2"/>
      <c r="F1590" s="2" t="s">
        <v>3453</v>
      </c>
      <c r="G1590" s="2"/>
      <c r="H1590" s="2" t="s">
        <v>3453</v>
      </c>
      <c r="I1590" s="2"/>
      <c r="J1590" s="2" t="s">
        <v>3467</v>
      </c>
      <c r="K1590" s="2" t="s">
        <v>3466</v>
      </c>
    </row>
    <row r="1591" spans="1:11" s="4" customFormat="1" ht="18" customHeight="1">
      <c r="A1591" s="2" t="s">
        <v>3469</v>
      </c>
      <c r="B1591" s="3"/>
      <c r="C1591" s="2"/>
      <c r="D1591" s="3"/>
      <c r="E1591" s="2"/>
      <c r="F1591" s="2" t="s">
        <v>3814</v>
      </c>
      <c r="G1591" s="2"/>
      <c r="H1591" s="2" t="s">
        <v>3814</v>
      </c>
      <c r="I1591" s="2"/>
      <c r="J1591" s="2" t="s">
        <v>3470</v>
      </c>
      <c r="K1591" s="2" t="s">
        <v>3469</v>
      </c>
    </row>
    <row r="1592" spans="1:11" s="4" customFormat="1" ht="18" customHeight="1">
      <c r="A1592" s="2" t="s">
        <v>3471</v>
      </c>
      <c r="B1592" s="3"/>
      <c r="C1592" s="2"/>
      <c r="D1592" s="3"/>
      <c r="E1592" s="2"/>
      <c r="F1592" s="2" t="s">
        <v>3231</v>
      </c>
      <c r="G1592" s="2"/>
      <c r="H1592" s="2" t="s">
        <v>3232</v>
      </c>
      <c r="I1592" s="2"/>
      <c r="J1592" s="2" t="s">
        <v>3472</v>
      </c>
      <c r="K1592" s="2" t="s">
        <v>3471</v>
      </c>
    </row>
    <row r="1593" spans="1:11" s="4" customFormat="1" ht="18" customHeight="1">
      <c r="A1593" s="2" t="s">
        <v>3473</v>
      </c>
      <c r="B1593" s="3"/>
      <c r="C1593" s="2"/>
      <c r="D1593" s="3"/>
      <c r="E1593" s="2"/>
      <c r="F1593" s="2" t="s">
        <v>1289</v>
      </c>
      <c r="G1593" s="2"/>
      <c r="H1593" s="2" t="s">
        <v>1290</v>
      </c>
      <c r="I1593" s="2"/>
      <c r="J1593" s="2" t="s">
        <v>3474</v>
      </c>
      <c r="K1593" s="2" t="s">
        <v>3473</v>
      </c>
    </row>
    <row r="1594" spans="1:11" s="4" customFormat="1" ht="18" customHeight="1">
      <c r="A1594" s="2" t="s">
        <v>3475</v>
      </c>
      <c r="B1594" s="3"/>
      <c r="C1594" s="2"/>
      <c r="D1594" s="3"/>
      <c r="E1594" s="2"/>
      <c r="F1594" s="2" t="s">
        <v>3254</v>
      </c>
      <c r="G1594" s="2"/>
      <c r="H1594" s="2" t="s">
        <v>2104</v>
      </c>
      <c r="I1594" s="2"/>
      <c r="J1594" s="2" t="s">
        <v>3477</v>
      </c>
      <c r="K1594" s="2" t="s">
        <v>3475</v>
      </c>
    </row>
    <row r="1595" spans="1:11" s="4" customFormat="1" ht="18" customHeight="1">
      <c r="A1595" s="2" t="s">
        <v>3478</v>
      </c>
      <c r="B1595" s="3"/>
      <c r="C1595" s="2"/>
      <c r="D1595" s="3"/>
      <c r="E1595" s="2"/>
      <c r="F1595" s="2" t="s">
        <v>1336</v>
      </c>
      <c r="G1595" s="2"/>
      <c r="H1595" s="2" t="s">
        <v>1336</v>
      </c>
      <c r="I1595" s="2"/>
      <c r="J1595" s="2" t="s">
        <v>640</v>
      </c>
      <c r="K1595" s="2" t="s">
        <v>3478</v>
      </c>
    </row>
    <row r="1596" spans="1:11" s="4" customFormat="1" ht="18" customHeight="1">
      <c r="A1596" s="2" t="s">
        <v>3479</v>
      </c>
      <c r="B1596" s="3"/>
      <c r="C1596" s="2"/>
      <c r="D1596" s="3"/>
      <c r="E1596" s="2"/>
      <c r="F1596" s="2" t="s">
        <v>2703</v>
      </c>
      <c r="G1596" s="2"/>
      <c r="H1596" s="2" t="s">
        <v>2703</v>
      </c>
      <c r="I1596" s="2"/>
      <c r="J1596" s="2" t="s">
        <v>3480</v>
      </c>
      <c r="K1596" s="2" t="s">
        <v>3479</v>
      </c>
    </row>
    <row r="1597" spans="1:11" s="4" customFormat="1" ht="18" customHeight="1">
      <c r="A1597" s="2" t="s">
        <v>3481</v>
      </c>
      <c r="B1597" s="3"/>
      <c r="C1597" s="2"/>
      <c r="D1597" s="3"/>
      <c r="E1597" s="2"/>
      <c r="F1597" s="2" t="s">
        <v>2705</v>
      </c>
      <c r="G1597" s="2"/>
      <c r="H1597" s="2" t="s">
        <v>2705</v>
      </c>
      <c r="I1597" s="2"/>
      <c r="J1597" s="2" t="s">
        <v>3482</v>
      </c>
      <c r="K1597" s="2" t="s">
        <v>3481</v>
      </c>
    </row>
    <row r="1598" spans="1:11" s="4" customFormat="1" ht="18" customHeight="1">
      <c r="A1598" s="2" t="s">
        <v>3483</v>
      </c>
      <c r="B1598" s="3"/>
      <c r="C1598" s="2"/>
      <c r="D1598" s="3"/>
      <c r="E1598" s="2"/>
      <c r="F1598" s="2" t="s">
        <v>2497</v>
      </c>
      <c r="G1598" s="2"/>
      <c r="H1598" s="2" t="s">
        <v>2497</v>
      </c>
      <c r="I1598" s="2"/>
      <c r="J1598" s="2" t="s">
        <v>3476</v>
      </c>
      <c r="K1598" s="2" t="s">
        <v>3483</v>
      </c>
    </row>
    <row r="1599" spans="1:11" s="4" customFormat="1" ht="18" customHeight="1">
      <c r="A1599" s="2" t="s">
        <v>3484</v>
      </c>
      <c r="B1599" s="3"/>
      <c r="C1599" s="2"/>
      <c r="D1599" s="3"/>
      <c r="E1599" s="2"/>
      <c r="F1599" s="2" t="s">
        <v>3928</v>
      </c>
      <c r="G1599" s="2"/>
      <c r="H1599" s="2" t="s">
        <v>3928</v>
      </c>
      <c r="I1599" s="2"/>
      <c r="J1599" s="2" t="s">
        <v>3485</v>
      </c>
      <c r="K1599" s="2" t="s">
        <v>3484</v>
      </c>
    </row>
    <row r="1600" spans="1:11" s="4" customFormat="1" ht="18" customHeight="1">
      <c r="A1600" s="2" t="s">
        <v>3486</v>
      </c>
      <c r="B1600" s="3"/>
      <c r="C1600" s="2"/>
      <c r="D1600" s="3"/>
      <c r="E1600" s="2"/>
      <c r="F1600" s="2" t="s">
        <v>1608</v>
      </c>
      <c r="G1600" s="2"/>
      <c r="H1600" s="2" t="s">
        <v>1608</v>
      </c>
      <c r="I1600" s="2"/>
      <c r="J1600" s="2" t="s">
        <v>3487</v>
      </c>
      <c r="K1600" s="2" t="s">
        <v>3486</v>
      </c>
    </row>
    <row r="1601" spans="1:11" s="4" customFormat="1" ht="18" customHeight="1">
      <c r="A1601" s="2" t="s">
        <v>3489</v>
      </c>
      <c r="B1601" s="3"/>
      <c r="C1601" s="2"/>
      <c r="D1601" s="3"/>
      <c r="E1601" s="2"/>
      <c r="F1601" s="2" t="s">
        <v>1352</v>
      </c>
      <c r="G1601" s="2"/>
      <c r="H1601" s="2" t="s">
        <v>1352</v>
      </c>
      <c r="I1601" s="2"/>
      <c r="J1601" s="2" t="s">
        <v>3490</v>
      </c>
      <c r="K1601" s="2" t="s">
        <v>3489</v>
      </c>
    </row>
    <row r="1602" spans="1:11" s="4" customFormat="1" ht="18" customHeight="1">
      <c r="A1602" s="2" t="s">
        <v>3492</v>
      </c>
      <c r="B1602" s="3"/>
      <c r="C1602" s="2"/>
      <c r="D1602" s="3"/>
      <c r="E1602" s="2"/>
      <c r="F1602" s="2" t="s">
        <v>2480</v>
      </c>
      <c r="G1602" s="2"/>
      <c r="H1602" s="2" t="s">
        <v>2480</v>
      </c>
      <c r="I1602" s="2"/>
      <c r="J1602" s="2" t="s">
        <v>3493</v>
      </c>
      <c r="K1602" s="2" t="s">
        <v>3492</v>
      </c>
    </row>
    <row r="1603" spans="1:11" s="4" customFormat="1" ht="18" customHeight="1">
      <c r="A1603" s="2" t="s">
        <v>3494</v>
      </c>
      <c r="B1603" s="3"/>
      <c r="C1603" s="2"/>
      <c r="D1603" s="3"/>
      <c r="E1603" s="2"/>
      <c r="F1603" s="2" t="s">
        <v>3071</v>
      </c>
      <c r="G1603" s="2"/>
      <c r="H1603" s="2" t="s">
        <v>3071</v>
      </c>
      <c r="I1603" s="2"/>
      <c r="J1603" s="2" t="s">
        <v>3495</v>
      </c>
      <c r="K1603" s="2" t="s">
        <v>3494</v>
      </c>
    </row>
    <row r="1604" spans="1:11" s="4" customFormat="1" ht="18" customHeight="1">
      <c r="A1604" s="2" t="s">
        <v>3496</v>
      </c>
      <c r="B1604" s="3"/>
      <c r="C1604" s="2"/>
      <c r="D1604" s="3"/>
      <c r="E1604" s="2"/>
      <c r="F1604" s="2" t="s">
        <v>2728</v>
      </c>
      <c r="G1604" s="2"/>
      <c r="H1604" s="2" t="s">
        <v>2728</v>
      </c>
      <c r="I1604" s="2"/>
      <c r="J1604" s="2" t="s">
        <v>3497</v>
      </c>
      <c r="K1604" s="2" t="s">
        <v>3496</v>
      </c>
    </row>
    <row r="1605" spans="1:11" s="4" customFormat="1" ht="18" customHeight="1">
      <c r="A1605" s="2" t="s">
        <v>3498</v>
      </c>
      <c r="B1605" s="3"/>
      <c r="C1605" s="2"/>
      <c r="D1605" s="3"/>
      <c r="E1605" s="2"/>
      <c r="F1605" s="2" t="s">
        <v>1093</v>
      </c>
      <c r="G1605" s="2"/>
      <c r="H1605" s="2" t="s">
        <v>1093</v>
      </c>
      <c r="I1605" s="2"/>
      <c r="J1605" s="2" t="s">
        <v>3499</v>
      </c>
      <c r="K1605" s="2" t="s">
        <v>3498</v>
      </c>
    </row>
    <row r="1606" spans="1:11" s="4" customFormat="1" ht="18" customHeight="1">
      <c r="A1606" s="2" t="s">
        <v>3500</v>
      </c>
      <c r="B1606" s="3"/>
      <c r="C1606" s="2"/>
      <c r="D1606" s="3"/>
      <c r="E1606" s="2"/>
      <c r="F1606" s="2" t="s">
        <v>1640</v>
      </c>
      <c r="G1606" s="2"/>
      <c r="H1606" s="2" t="s">
        <v>1640</v>
      </c>
      <c r="I1606" s="2"/>
      <c r="J1606" s="2" t="s">
        <v>3501</v>
      </c>
      <c r="K1606" s="2" t="s">
        <v>3500</v>
      </c>
    </row>
    <row r="1607" spans="1:11" s="4" customFormat="1" ht="18" customHeight="1">
      <c r="A1607" s="2" t="s">
        <v>3502</v>
      </c>
      <c r="B1607" s="3"/>
      <c r="C1607" s="2"/>
      <c r="D1607" s="3"/>
      <c r="E1607" s="2"/>
      <c r="F1607" s="2" t="s">
        <v>1934</v>
      </c>
      <c r="G1607" s="2"/>
      <c r="H1607" s="2" t="s">
        <v>1934</v>
      </c>
      <c r="I1607" s="2"/>
      <c r="J1607" s="2" t="s">
        <v>3503</v>
      </c>
      <c r="K1607" s="2" t="s">
        <v>3502</v>
      </c>
    </row>
    <row r="1608" spans="1:11" s="4" customFormat="1" ht="18" customHeight="1">
      <c r="A1608" s="2" t="s">
        <v>3505</v>
      </c>
      <c r="B1608" s="3"/>
      <c r="C1608" s="2"/>
      <c r="D1608" s="3"/>
      <c r="E1608" s="2"/>
      <c r="F1608" s="2" t="s">
        <v>3543</v>
      </c>
      <c r="G1608" s="2"/>
      <c r="H1608" s="2" t="s">
        <v>3543</v>
      </c>
      <c r="I1608" s="2"/>
      <c r="J1608" s="2" t="s">
        <v>3506</v>
      </c>
      <c r="K1608" s="2" t="s">
        <v>3505</v>
      </c>
    </row>
    <row r="1609" spans="1:11" s="4" customFormat="1" ht="18" customHeight="1">
      <c r="A1609" s="2" t="s">
        <v>3507</v>
      </c>
      <c r="B1609" s="3"/>
      <c r="C1609" s="2"/>
      <c r="D1609" s="3"/>
      <c r="E1609" s="2"/>
      <c r="F1609" s="2" t="s">
        <v>4055</v>
      </c>
      <c r="G1609" s="2"/>
      <c r="H1609" s="2" t="s">
        <v>4055</v>
      </c>
      <c r="I1609" s="2"/>
      <c r="J1609" s="2" t="s">
        <v>3508</v>
      </c>
      <c r="K1609" s="2" t="s">
        <v>3507</v>
      </c>
    </row>
    <row r="1610" spans="1:11" s="4" customFormat="1" ht="18" customHeight="1">
      <c r="A1610" s="2" t="s">
        <v>3509</v>
      </c>
      <c r="B1610" s="3"/>
      <c r="C1610" s="2"/>
      <c r="D1610" s="3"/>
      <c r="E1610" s="2"/>
      <c r="F1610" s="2" t="s">
        <v>1610</v>
      </c>
      <c r="G1610" s="2"/>
      <c r="H1610" s="2" t="s">
        <v>1610</v>
      </c>
      <c r="I1610" s="2"/>
      <c r="J1610" s="2" t="s">
        <v>3510</v>
      </c>
      <c r="K1610" s="2" t="s">
        <v>3509</v>
      </c>
    </row>
    <row r="1611" spans="1:11" s="4" customFormat="1" ht="18" customHeight="1">
      <c r="A1611" s="2" t="s">
        <v>3512</v>
      </c>
      <c r="B1611" s="3"/>
      <c r="C1611" s="2"/>
      <c r="D1611" s="3"/>
      <c r="E1611" s="2"/>
      <c r="F1611" s="2" t="s">
        <v>3875</v>
      </c>
      <c r="G1611" s="2"/>
      <c r="H1611" s="2" t="s">
        <v>3875</v>
      </c>
      <c r="I1611" s="2"/>
      <c r="J1611" s="2" t="s">
        <v>3513</v>
      </c>
      <c r="K1611" s="2" t="s">
        <v>3512</v>
      </c>
    </row>
    <row r="1612" spans="1:11" s="4" customFormat="1" ht="18" customHeight="1">
      <c r="A1612" s="2" t="s">
        <v>3514</v>
      </c>
      <c r="B1612" s="3"/>
      <c r="C1612" s="2"/>
      <c r="D1612" s="3"/>
      <c r="E1612" s="2"/>
      <c r="F1612" s="2" t="s">
        <v>3845</v>
      </c>
      <c r="G1612" s="2"/>
      <c r="H1612" s="2" t="s">
        <v>3845</v>
      </c>
      <c r="I1612" s="2"/>
      <c r="J1612" s="2" t="s">
        <v>1507</v>
      </c>
      <c r="K1612" s="2" t="s">
        <v>3514</v>
      </c>
    </row>
    <row r="1613" spans="1:11" s="4" customFormat="1" ht="18" customHeight="1">
      <c r="A1613" s="2" t="s">
        <v>3515</v>
      </c>
      <c r="B1613" s="3"/>
      <c r="C1613" s="2"/>
      <c r="D1613" s="3"/>
      <c r="E1613" s="2"/>
      <c r="F1613" s="2" t="s">
        <v>3930</v>
      </c>
      <c r="G1613" s="2"/>
      <c r="H1613" s="2" t="s">
        <v>3930</v>
      </c>
      <c r="I1613" s="2"/>
      <c r="J1613" s="2" t="s">
        <v>3516</v>
      </c>
      <c r="K1613" s="2" t="s">
        <v>3515</v>
      </c>
    </row>
    <row r="1614" spans="1:11" s="4" customFormat="1" ht="18" customHeight="1">
      <c r="A1614" s="2" t="s">
        <v>3518</v>
      </c>
      <c r="B1614" s="3"/>
      <c r="C1614" s="2"/>
      <c r="D1614" s="3"/>
      <c r="E1614" s="2"/>
      <c r="F1614" s="2" t="s">
        <v>3812</v>
      </c>
      <c r="G1614" s="2"/>
      <c r="H1614" s="2" t="s">
        <v>3812</v>
      </c>
      <c r="I1614" s="2"/>
      <c r="J1614" s="2" t="s">
        <v>3519</v>
      </c>
      <c r="K1614" s="2" t="s">
        <v>3518</v>
      </c>
    </row>
    <row r="1615" spans="1:11" s="4" customFormat="1" ht="18" customHeight="1">
      <c r="A1615" s="2" t="s">
        <v>3520</v>
      </c>
      <c r="B1615" s="3"/>
      <c r="C1615" s="2"/>
      <c r="D1615" s="3"/>
      <c r="E1615" s="2"/>
      <c r="F1615" s="2" t="s">
        <v>434</v>
      </c>
      <c r="G1615" s="2"/>
      <c r="H1615" s="2" t="s">
        <v>434</v>
      </c>
      <c r="I1615" s="2"/>
      <c r="J1615" s="2" t="s">
        <v>3521</v>
      </c>
      <c r="K1615" s="2" t="s">
        <v>3520</v>
      </c>
    </row>
    <row r="1616" spans="1:11" s="4" customFormat="1" ht="18" customHeight="1">
      <c r="A1616" s="2" t="s">
        <v>3522</v>
      </c>
      <c r="B1616" s="3"/>
      <c r="C1616" s="2"/>
      <c r="D1616" s="3"/>
      <c r="E1616" s="2"/>
      <c r="F1616" s="2" t="s">
        <v>218</v>
      </c>
      <c r="G1616" s="2"/>
      <c r="H1616" s="2" t="s">
        <v>218</v>
      </c>
      <c r="I1616" s="2"/>
      <c r="J1616" s="2" t="s">
        <v>3523</v>
      </c>
      <c r="K1616" s="2" t="s">
        <v>3522</v>
      </c>
    </row>
    <row r="1617" spans="1:11" s="4" customFormat="1" ht="18" customHeight="1">
      <c r="A1617" s="2" t="s">
        <v>3525</v>
      </c>
      <c r="B1617" s="3"/>
      <c r="C1617" s="2"/>
      <c r="D1617" s="3"/>
      <c r="E1617" s="2"/>
      <c r="F1617" s="2" t="s">
        <v>2116</v>
      </c>
      <c r="G1617" s="2"/>
      <c r="H1617" s="2" t="s">
        <v>2116</v>
      </c>
      <c r="I1617" s="2"/>
      <c r="J1617" s="2" t="s">
        <v>3526</v>
      </c>
      <c r="K1617" s="2" t="s">
        <v>3525</v>
      </c>
    </row>
    <row r="1618" spans="1:11" s="4" customFormat="1" ht="18" customHeight="1">
      <c r="A1618" s="2" t="s">
        <v>3527</v>
      </c>
      <c r="B1618" s="3"/>
      <c r="C1618" s="2"/>
      <c r="D1618" s="3"/>
      <c r="E1618" s="2"/>
      <c r="F1618" s="2" t="s">
        <v>3938</v>
      </c>
      <c r="G1618" s="2"/>
      <c r="H1618" s="2" t="s">
        <v>3939</v>
      </c>
      <c r="I1618" s="2"/>
      <c r="J1618" s="2" t="s">
        <v>3485</v>
      </c>
      <c r="K1618" s="2" t="s">
        <v>3527</v>
      </c>
    </row>
    <row r="1619" spans="1:11" s="4" customFormat="1" ht="18" customHeight="1">
      <c r="A1619" s="2" t="s">
        <v>3528</v>
      </c>
      <c r="B1619" s="3"/>
      <c r="C1619" s="2"/>
      <c r="D1619" s="3"/>
      <c r="E1619" s="2"/>
      <c r="F1619" s="2" t="s">
        <v>677</v>
      </c>
      <c r="G1619" s="2"/>
      <c r="H1619" s="2" t="s">
        <v>677</v>
      </c>
      <c r="I1619" s="2"/>
      <c r="J1619" s="2" t="s">
        <v>3530</v>
      </c>
      <c r="K1619" s="2" t="s">
        <v>3528</v>
      </c>
    </row>
    <row r="1620" spans="1:11" s="4" customFormat="1" ht="18" customHeight="1">
      <c r="A1620" s="2" t="s">
        <v>3531</v>
      </c>
      <c r="B1620" s="3"/>
      <c r="C1620" s="2"/>
      <c r="D1620" s="3"/>
      <c r="E1620" s="2"/>
      <c r="F1620" s="2" t="s">
        <v>1031</v>
      </c>
      <c r="G1620" s="2"/>
      <c r="H1620" s="2" t="s">
        <v>1031</v>
      </c>
      <c r="I1620" s="2"/>
      <c r="J1620" s="2" t="s">
        <v>3532</v>
      </c>
      <c r="K1620" s="2" t="s">
        <v>3531</v>
      </c>
    </row>
    <row r="1621" spans="1:11" s="4" customFormat="1" ht="18" customHeight="1">
      <c r="A1621" s="2" t="s">
        <v>3533</v>
      </c>
      <c r="B1621" s="3"/>
      <c r="C1621" s="2"/>
      <c r="D1621" s="3"/>
      <c r="E1621" s="2"/>
      <c r="F1621" s="2" t="s">
        <v>2373</v>
      </c>
      <c r="G1621" s="2"/>
      <c r="H1621" s="2" t="s">
        <v>2373</v>
      </c>
      <c r="I1621" s="2"/>
      <c r="J1621" s="2" t="s">
        <v>3534</v>
      </c>
      <c r="K1621" s="2" t="s">
        <v>3533</v>
      </c>
    </row>
    <row r="1622" spans="1:11" s="4" customFormat="1" ht="18" customHeight="1">
      <c r="A1622" s="2" t="s">
        <v>3536</v>
      </c>
      <c r="B1622" s="3"/>
      <c r="C1622" s="2"/>
      <c r="D1622" s="3"/>
      <c r="E1622" s="2"/>
      <c r="F1622" s="2" t="s">
        <v>3455</v>
      </c>
      <c r="G1622" s="2"/>
      <c r="H1622" s="2" t="s">
        <v>3455</v>
      </c>
      <c r="I1622" s="2"/>
      <c r="J1622" s="2" t="s">
        <v>3537</v>
      </c>
      <c r="K1622" s="2" t="s">
        <v>3536</v>
      </c>
    </row>
    <row r="1623" spans="1:11" s="4" customFormat="1" ht="18" customHeight="1">
      <c r="A1623" s="2" t="s">
        <v>3538</v>
      </c>
      <c r="B1623" s="3"/>
      <c r="C1623" s="2"/>
      <c r="D1623" s="3"/>
      <c r="E1623" s="2"/>
      <c r="F1623" s="2" t="s">
        <v>662</v>
      </c>
      <c r="G1623" s="2"/>
      <c r="H1623" s="2" t="s">
        <v>663</v>
      </c>
      <c r="I1623" s="2"/>
      <c r="J1623" s="2" t="s">
        <v>3539</v>
      </c>
      <c r="K1623" s="2" t="s">
        <v>3538</v>
      </c>
    </row>
    <row r="1624" spans="1:11" s="4" customFormat="1" ht="18" customHeight="1">
      <c r="A1624" s="2" t="s">
        <v>3540</v>
      </c>
      <c r="B1624" s="3"/>
      <c r="C1624" s="2"/>
      <c r="D1624" s="3"/>
      <c r="E1624" s="2"/>
      <c r="F1624" s="2" t="s">
        <v>1711</v>
      </c>
      <c r="G1624" s="2"/>
      <c r="H1624" s="2" t="s">
        <v>1711</v>
      </c>
      <c r="I1624" s="2"/>
      <c r="J1624" s="2" t="s">
        <v>3541</v>
      </c>
      <c r="K1624" s="2" t="s">
        <v>3540</v>
      </c>
    </row>
    <row r="1625" spans="1:11" s="4" customFormat="1" ht="18" customHeight="1">
      <c r="A1625" s="2" t="s">
        <v>3542</v>
      </c>
      <c r="B1625" s="3"/>
      <c r="C1625" s="2"/>
      <c r="D1625" s="3"/>
      <c r="E1625" s="2"/>
      <c r="F1625" s="2" t="s">
        <v>642</v>
      </c>
      <c r="G1625" s="2"/>
      <c r="H1625" s="2" t="s">
        <v>642</v>
      </c>
      <c r="I1625" s="2"/>
      <c r="J1625" s="2" t="s">
        <v>3543</v>
      </c>
      <c r="K1625" s="2" t="s">
        <v>3542</v>
      </c>
    </row>
    <row r="1626" spans="1:11" s="4" customFormat="1" ht="18" customHeight="1">
      <c r="A1626" s="2" t="s">
        <v>3544</v>
      </c>
      <c r="B1626" s="3"/>
      <c r="C1626" s="2"/>
      <c r="D1626" s="3"/>
      <c r="E1626" s="2"/>
      <c r="F1626" s="2" t="s">
        <v>2118</v>
      </c>
      <c r="G1626" s="2"/>
      <c r="H1626" s="2" t="s">
        <v>2118</v>
      </c>
      <c r="I1626" s="2"/>
      <c r="J1626" s="2" t="s">
        <v>3545</v>
      </c>
      <c r="K1626" s="2" t="s">
        <v>3544</v>
      </c>
    </row>
    <row r="1627" spans="1:11" s="4" customFormat="1" ht="18" customHeight="1">
      <c r="A1627" s="2" t="s">
        <v>3546</v>
      </c>
      <c r="B1627" s="3"/>
      <c r="C1627" s="2"/>
      <c r="D1627" s="3"/>
      <c r="E1627" s="2"/>
      <c r="F1627" s="2" t="s">
        <v>2590</v>
      </c>
      <c r="G1627" s="2"/>
      <c r="H1627" s="2" t="s">
        <v>2590</v>
      </c>
      <c r="I1627" s="2"/>
      <c r="J1627" s="2" t="s">
        <v>3547</v>
      </c>
      <c r="K1627" s="2" t="s">
        <v>3546</v>
      </c>
    </row>
    <row r="1628" spans="1:11" s="4" customFormat="1" ht="18" customHeight="1">
      <c r="A1628" s="2" t="s">
        <v>3548</v>
      </c>
      <c r="B1628" s="3"/>
      <c r="C1628" s="2"/>
      <c r="D1628" s="3"/>
      <c r="E1628" s="2"/>
      <c r="F1628" s="2" t="s">
        <v>3376</v>
      </c>
      <c r="G1628" s="2"/>
      <c r="H1628" s="2" t="s">
        <v>3377</v>
      </c>
      <c r="I1628" s="2"/>
      <c r="J1628" s="2" t="s">
        <v>3549</v>
      </c>
      <c r="K1628" s="2" t="s">
        <v>3548</v>
      </c>
    </row>
    <row r="1629" spans="1:11" s="4" customFormat="1" ht="18" customHeight="1">
      <c r="A1629" s="2" t="s">
        <v>3551</v>
      </c>
      <c r="B1629" s="3"/>
      <c r="C1629" s="2"/>
      <c r="D1629" s="3"/>
      <c r="E1629" s="2"/>
      <c r="F1629" s="2" t="s">
        <v>3731</v>
      </c>
      <c r="G1629" s="2"/>
      <c r="H1629" s="2" t="s">
        <v>3731</v>
      </c>
      <c r="I1629" s="2"/>
      <c r="J1629" s="2" t="s">
        <v>3552</v>
      </c>
      <c r="K1629" s="2" t="s">
        <v>3551</v>
      </c>
    </row>
    <row r="1630" spans="1:11" s="4" customFormat="1" ht="18" customHeight="1">
      <c r="A1630" s="2" t="s">
        <v>3553</v>
      </c>
      <c r="B1630" s="3"/>
      <c r="C1630" s="2"/>
      <c r="D1630" s="3"/>
      <c r="E1630" s="2"/>
      <c r="F1630" s="2" t="s">
        <v>2482</v>
      </c>
      <c r="G1630" s="2"/>
      <c r="H1630" s="2" t="s">
        <v>2482</v>
      </c>
      <c r="I1630" s="2"/>
      <c r="J1630" s="2" t="s">
        <v>3554</v>
      </c>
      <c r="K1630" s="2" t="s">
        <v>3553</v>
      </c>
    </row>
    <row r="1631" spans="1:11" s="4" customFormat="1" ht="18" customHeight="1">
      <c r="A1631" s="2" t="s">
        <v>3556</v>
      </c>
      <c r="B1631" s="3"/>
      <c r="C1631" s="2"/>
      <c r="D1631" s="3"/>
      <c r="E1631" s="2"/>
      <c r="F1631" s="2" t="s">
        <v>2147</v>
      </c>
      <c r="G1631" s="2"/>
      <c r="H1631" s="2" t="s">
        <v>2147</v>
      </c>
      <c r="I1631" s="2"/>
      <c r="J1631" s="2" t="s">
        <v>3557</v>
      </c>
      <c r="K1631" s="2" t="s">
        <v>3556</v>
      </c>
    </row>
    <row r="1632" spans="1:11" s="4" customFormat="1" ht="18" customHeight="1">
      <c r="A1632" s="2" t="s">
        <v>3558</v>
      </c>
      <c r="B1632" s="3"/>
      <c r="C1632" s="2"/>
      <c r="D1632" s="3"/>
      <c r="E1632" s="2"/>
      <c r="F1632" s="2" t="s">
        <v>2650</v>
      </c>
      <c r="G1632" s="2"/>
      <c r="H1632" s="2" t="s">
        <v>2650</v>
      </c>
      <c r="I1632" s="2"/>
      <c r="J1632" s="2" t="s">
        <v>3559</v>
      </c>
      <c r="K1632" s="2" t="s">
        <v>3558</v>
      </c>
    </row>
    <row r="1633" spans="1:11" s="4" customFormat="1" ht="18" customHeight="1">
      <c r="A1633" s="2" t="s">
        <v>3560</v>
      </c>
      <c r="B1633" s="3"/>
      <c r="C1633" s="2"/>
      <c r="D1633" s="3"/>
      <c r="E1633" s="2"/>
      <c r="F1633" s="2" t="s">
        <v>2719</v>
      </c>
      <c r="G1633" s="2"/>
      <c r="H1633" s="2" t="s">
        <v>2719</v>
      </c>
      <c r="I1633" s="2"/>
      <c r="J1633" s="2" t="s">
        <v>3561</v>
      </c>
      <c r="K1633" s="2" t="s">
        <v>3560</v>
      </c>
    </row>
    <row r="1634" spans="1:11" s="4" customFormat="1" ht="18" customHeight="1">
      <c r="A1634" s="2" t="s">
        <v>3562</v>
      </c>
      <c r="B1634" s="3"/>
      <c r="C1634" s="2"/>
      <c r="D1634" s="3"/>
      <c r="E1634" s="2"/>
      <c r="F1634" s="2" t="s">
        <v>1384</v>
      </c>
      <c r="G1634" s="2"/>
      <c r="H1634" s="2" t="s">
        <v>1385</v>
      </c>
      <c r="I1634" s="2"/>
      <c r="J1634" s="2" t="s">
        <v>3563</v>
      </c>
      <c r="K1634" s="2" t="s">
        <v>3562</v>
      </c>
    </row>
    <row r="1635" spans="1:11" s="4" customFormat="1" ht="18" customHeight="1">
      <c r="A1635" s="2" t="s">
        <v>3564</v>
      </c>
      <c r="B1635" s="3"/>
      <c r="C1635" s="2"/>
      <c r="D1635" s="3"/>
      <c r="E1635" s="2"/>
      <c r="F1635" s="2" t="s">
        <v>3996</v>
      </c>
      <c r="G1635" s="2"/>
      <c r="H1635" s="2" t="s">
        <v>3996</v>
      </c>
      <c r="I1635" s="2"/>
      <c r="J1635" s="2" t="s">
        <v>3565</v>
      </c>
      <c r="K1635" s="2" t="s">
        <v>3564</v>
      </c>
    </row>
    <row r="1636" spans="1:11" s="4" customFormat="1" ht="18" customHeight="1">
      <c r="A1636" s="2" t="s">
        <v>3566</v>
      </c>
      <c r="B1636" s="3"/>
      <c r="C1636" s="2"/>
      <c r="D1636" s="3"/>
      <c r="E1636" s="2"/>
      <c r="F1636" s="2" t="s">
        <v>1173</v>
      </c>
      <c r="G1636" s="2"/>
      <c r="H1636" s="2" t="s">
        <v>1173</v>
      </c>
      <c r="I1636" s="2"/>
      <c r="J1636" s="2" t="s">
        <v>3567</v>
      </c>
      <c r="K1636" s="2" t="s">
        <v>3566</v>
      </c>
    </row>
    <row r="1637" spans="1:11" s="4" customFormat="1" ht="18" customHeight="1">
      <c r="A1637" s="2" t="s">
        <v>3568</v>
      </c>
      <c r="B1637" s="3"/>
      <c r="C1637" s="2"/>
      <c r="D1637" s="3"/>
      <c r="E1637" s="2"/>
      <c r="F1637" s="2" t="s">
        <v>908</v>
      </c>
      <c r="G1637" s="2"/>
      <c r="H1637" s="2" t="s">
        <v>908</v>
      </c>
      <c r="I1637" s="2"/>
      <c r="J1637" s="2" t="s">
        <v>3569</v>
      </c>
      <c r="K1637" s="2" t="s">
        <v>3568</v>
      </c>
    </row>
    <row r="1638" spans="1:11" s="4" customFormat="1" ht="18" customHeight="1">
      <c r="A1638" s="2" t="s">
        <v>3570</v>
      </c>
      <c r="B1638" s="3"/>
      <c r="C1638" s="2"/>
      <c r="D1638" s="3"/>
      <c r="E1638" s="2"/>
      <c r="F1638" s="2" t="s">
        <v>1124</v>
      </c>
      <c r="G1638" s="2"/>
      <c r="H1638" s="2" t="s">
        <v>1124</v>
      </c>
      <c r="I1638" s="2"/>
      <c r="J1638" s="2" t="s">
        <v>516</v>
      </c>
      <c r="K1638" s="2" t="s">
        <v>3570</v>
      </c>
    </row>
    <row r="1639" spans="1:11" s="4" customFormat="1" ht="18" customHeight="1">
      <c r="A1639" s="2" t="s">
        <v>3571</v>
      </c>
      <c r="B1639" s="3"/>
      <c r="C1639" s="2"/>
      <c r="D1639" s="3"/>
      <c r="E1639" s="2"/>
      <c r="F1639" s="2" t="s">
        <v>1494</v>
      </c>
      <c r="G1639" s="2"/>
      <c r="H1639" s="2" t="s">
        <v>1494</v>
      </c>
      <c r="I1639" s="2"/>
      <c r="J1639" s="2" t="s">
        <v>3572</v>
      </c>
      <c r="K1639" s="2" t="s">
        <v>3571</v>
      </c>
    </row>
    <row r="1640" spans="1:11" s="4" customFormat="1" ht="18" customHeight="1">
      <c r="A1640" s="2" t="s">
        <v>3573</v>
      </c>
      <c r="B1640" s="3"/>
      <c r="C1640" s="2"/>
      <c r="D1640" s="3"/>
      <c r="E1640" s="2"/>
      <c r="F1640" s="2" t="s">
        <v>179</v>
      </c>
      <c r="G1640" s="2"/>
      <c r="H1640" s="2" t="s">
        <v>179</v>
      </c>
      <c r="I1640" s="2"/>
      <c r="J1640" s="2" t="s">
        <v>3574</v>
      </c>
      <c r="K1640" s="2" t="s">
        <v>3573</v>
      </c>
    </row>
    <row r="1641" spans="1:11" s="4" customFormat="1" ht="18" customHeight="1">
      <c r="A1641" s="2" t="s">
        <v>3575</v>
      </c>
      <c r="B1641" s="3"/>
      <c r="C1641" s="2"/>
      <c r="D1641" s="3"/>
      <c r="E1641" s="2"/>
      <c r="F1641" s="2" t="s">
        <v>181</v>
      </c>
      <c r="G1641" s="2"/>
      <c r="H1641" s="2" t="s">
        <v>182</v>
      </c>
      <c r="I1641" s="2"/>
      <c r="J1641" s="2" t="s">
        <v>3576</v>
      </c>
      <c r="K1641" s="2" t="s">
        <v>3575</v>
      </c>
    </row>
    <row r="1642" spans="1:11" s="4" customFormat="1" ht="18" customHeight="1">
      <c r="A1642" s="2" t="s">
        <v>3578</v>
      </c>
      <c r="B1642" s="3"/>
      <c r="C1642" s="2"/>
      <c r="D1642" s="3"/>
      <c r="E1642" s="2"/>
      <c r="F1642" s="2" t="s">
        <v>3472</v>
      </c>
      <c r="G1642" s="2"/>
      <c r="H1642" s="2" t="s">
        <v>3472</v>
      </c>
      <c r="I1642" s="2"/>
      <c r="J1642" s="2" t="s">
        <v>3579</v>
      </c>
      <c r="K1642" s="2" t="s">
        <v>3578</v>
      </c>
    </row>
    <row r="1643" spans="1:11" s="4" customFormat="1" ht="18" customHeight="1">
      <c r="A1643" s="2" t="s">
        <v>3580</v>
      </c>
      <c r="B1643" s="3"/>
      <c r="C1643" s="2"/>
      <c r="D1643" s="3"/>
      <c r="E1643" s="2"/>
      <c r="F1643" s="2" t="s">
        <v>3474</v>
      </c>
      <c r="G1643" s="2"/>
      <c r="H1643" s="2" t="s">
        <v>3474</v>
      </c>
      <c r="I1643" s="2"/>
      <c r="J1643" s="2" t="s">
        <v>850</v>
      </c>
      <c r="K1643" s="2" t="s">
        <v>3580</v>
      </c>
    </row>
    <row r="1644" spans="1:11" s="4" customFormat="1" ht="18" customHeight="1">
      <c r="A1644" s="2" t="s">
        <v>3582</v>
      </c>
      <c r="B1644" s="3"/>
      <c r="C1644" s="2"/>
      <c r="D1644" s="3"/>
      <c r="E1644" s="2"/>
      <c r="F1644" s="2" t="s">
        <v>3234</v>
      </c>
      <c r="G1644" s="2"/>
      <c r="H1644" s="2" t="s">
        <v>3235</v>
      </c>
      <c r="I1644" s="2"/>
      <c r="J1644" s="2" t="s">
        <v>3583</v>
      </c>
      <c r="K1644" s="2" t="s">
        <v>3582</v>
      </c>
    </row>
    <row r="1645" spans="1:11" s="4" customFormat="1" ht="18" customHeight="1">
      <c r="A1645" s="2" t="s">
        <v>3584</v>
      </c>
      <c r="B1645" s="3"/>
      <c r="C1645" s="2"/>
      <c r="D1645" s="3"/>
      <c r="E1645" s="2"/>
      <c r="F1645" s="2" t="s">
        <v>1312</v>
      </c>
      <c r="G1645" s="2"/>
      <c r="H1645" s="2" t="s">
        <v>1312</v>
      </c>
      <c r="I1645" s="2"/>
      <c r="J1645" s="2" t="s">
        <v>3585</v>
      </c>
      <c r="K1645" s="2" t="s">
        <v>3584</v>
      </c>
    </row>
    <row r="1646" spans="1:11" s="4" customFormat="1" ht="18" customHeight="1">
      <c r="A1646" s="2" t="s">
        <v>3586</v>
      </c>
      <c r="B1646" s="3"/>
      <c r="C1646" s="2"/>
      <c r="D1646" s="3"/>
      <c r="E1646" s="2"/>
      <c r="F1646" s="2" t="s">
        <v>784</v>
      </c>
      <c r="G1646" s="2"/>
      <c r="H1646" s="2" t="s">
        <v>784</v>
      </c>
      <c r="I1646" s="2"/>
      <c r="J1646" s="2" t="s">
        <v>3095</v>
      </c>
      <c r="K1646" s="2" t="s">
        <v>3586</v>
      </c>
    </row>
    <row r="1647" spans="1:11" s="4" customFormat="1" ht="18" customHeight="1">
      <c r="A1647" s="2" t="s">
        <v>3587</v>
      </c>
      <c r="B1647" s="3"/>
      <c r="C1647" s="2"/>
      <c r="D1647" s="3"/>
      <c r="E1647" s="2"/>
      <c r="F1647" s="2" t="s">
        <v>3790</v>
      </c>
      <c r="G1647" s="2"/>
      <c r="H1647" s="2" t="s">
        <v>3790</v>
      </c>
      <c r="I1647" s="2"/>
      <c r="J1647" s="2" t="s">
        <v>3588</v>
      </c>
      <c r="K1647" s="2" t="s">
        <v>3587</v>
      </c>
    </row>
    <row r="1648" spans="1:11" s="4" customFormat="1" ht="18" customHeight="1">
      <c r="A1648" s="2" t="s">
        <v>3589</v>
      </c>
      <c r="B1648" s="3"/>
      <c r="C1648" s="2"/>
      <c r="D1648" s="3"/>
      <c r="E1648" s="2"/>
      <c r="F1648" s="2" t="s">
        <v>1407</v>
      </c>
      <c r="G1648" s="2"/>
      <c r="H1648" s="2" t="s">
        <v>1407</v>
      </c>
      <c r="I1648" s="2"/>
      <c r="J1648" s="2" t="s">
        <v>3590</v>
      </c>
      <c r="K1648" s="2" t="s">
        <v>3589</v>
      </c>
    </row>
    <row r="1649" spans="1:11" s="4" customFormat="1" ht="18" customHeight="1">
      <c r="A1649" s="2" t="s">
        <v>3591</v>
      </c>
      <c r="B1649" s="3"/>
      <c r="C1649" s="2"/>
      <c r="D1649" s="3"/>
      <c r="E1649" s="2"/>
      <c r="F1649" s="2" t="s">
        <v>2263</v>
      </c>
      <c r="G1649" s="2"/>
      <c r="H1649" s="2" t="s">
        <v>2263</v>
      </c>
      <c r="I1649" s="2"/>
      <c r="J1649" s="2" t="s">
        <v>3592</v>
      </c>
      <c r="K1649" s="2" t="s">
        <v>3591</v>
      </c>
    </row>
    <row r="1650" spans="1:11" s="4" customFormat="1" ht="18" customHeight="1">
      <c r="A1650" s="2" t="s">
        <v>3593</v>
      </c>
      <c r="B1650" s="3"/>
      <c r="C1650" s="2"/>
      <c r="D1650" s="3"/>
      <c r="E1650" s="2"/>
      <c r="F1650" s="2" t="s">
        <v>362</v>
      </c>
      <c r="G1650" s="2"/>
      <c r="H1650" s="2" t="s">
        <v>362</v>
      </c>
      <c r="I1650" s="2"/>
      <c r="J1650" s="2" t="s">
        <v>3594</v>
      </c>
      <c r="K1650" s="2" t="s">
        <v>3593</v>
      </c>
    </row>
    <row r="1651" spans="1:11" s="4" customFormat="1" ht="18" customHeight="1">
      <c r="A1651" s="2" t="s">
        <v>3595</v>
      </c>
      <c r="B1651" s="3"/>
      <c r="C1651" s="2"/>
      <c r="D1651" s="3"/>
      <c r="E1651" s="2"/>
      <c r="F1651" s="2" t="s">
        <v>520</v>
      </c>
      <c r="G1651" s="2"/>
      <c r="H1651" s="2" t="s">
        <v>520</v>
      </c>
      <c r="I1651" s="2"/>
      <c r="J1651" s="2" t="s">
        <v>3596</v>
      </c>
      <c r="K1651" s="2" t="s">
        <v>3595</v>
      </c>
    </row>
    <row r="1652" spans="1:11" s="4" customFormat="1" ht="18" customHeight="1">
      <c r="A1652" s="2" t="s">
        <v>3597</v>
      </c>
      <c r="B1652" s="3"/>
      <c r="C1652" s="2"/>
      <c r="D1652" s="3"/>
      <c r="E1652" s="2"/>
      <c r="F1652" s="2" t="s">
        <v>2551</v>
      </c>
      <c r="G1652" s="2"/>
      <c r="H1652" s="2" t="s">
        <v>2551</v>
      </c>
      <c r="I1652" s="2"/>
      <c r="J1652" s="2" t="s">
        <v>3598</v>
      </c>
      <c r="K1652" s="2" t="s">
        <v>3597</v>
      </c>
    </row>
    <row r="1653" spans="1:11" s="4" customFormat="1" ht="18" customHeight="1">
      <c r="A1653" s="2" t="s">
        <v>3600</v>
      </c>
      <c r="B1653" s="3"/>
      <c r="C1653" s="2"/>
      <c r="D1653" s="3"/>
      <c r="E1653" s="2"/>
      <c r="F1653" s="2" t="s">
        <v>3513</v>
      </c>
      <c r="G1653" s="2"/>
      <c r="H1653" s="2" t="s">
        <v>3513</v>
      </c>
      <c r="I1653" s="2"/>
      <c r="J1653" s="2" t="s">
        <v>3601</v>
      </c>
      <c r="K1653" s="2" t="s">
        <v>3600</v>
      </c>
    </row>
    <row r="1654" spans="1:11" s="4" customFormat="1" ht="18" customHeight="1">
      <c r="A1654" s="2" t="s">
        <v>3602</v>
      </c>
      <c r="B1654" s="3"/>
      <c r="C1654" s="2"/>
      <c r="D1654" s="3"/>
      <c r="E1654" s="2"/>
      <c r="F1654" s="2" t="s">
        <v>2977</v>
      </c>
      <c r="G1654" s="2"/>
      <c r="H1654" s="2" t="s">
        <v>2977</v>
      </c>
      <c r="I1654" s="2"/>
      <c r="J1654" s="2" t="s">
        <v>3603</v>
      </c>
      <c r="K1654" s="2" t="s">
        <v>3602</v>
      </c>
    </row>
    <row r="1655" spans="1:11" s="4" customFormat="1" ht="18" customHeight="1">
      <c r="A1655" s="2" t="s">
        <v>3604</v>
      </c>
      <c r="B1655" s="3"/>
      <c r="C1655" s="2"/>
      <c r="D1655" s="3"/>
      <c r="E1655" s="2"/>
      <c r="F1655" s="2" t="s">
        <v>2288</v>
      </c>
      <c r="G1655" s="2"/>
      <c r="H1655" s="2" t="s">
        <v>2288</v>
      </c>
      <c r="I1655" s="2"/>
      <c r="J1655" s="2" t="s">
        <v>3605</v>
      </c>
      <c r="K1655" s="2" t="s">
        <v>3604</v>
      </c>
    </row>
    <row r="1656" spans="1:11" s="4" customFormat="1" ht="18" customHeight="1">
      <c r="A1656" s="2" t="s">
        <v>3606</v>
      </c>
      <c r="B1656" s="3"/>
      <c r="C1656" s="2"/>
      <c r="D1656" s="3"/>
      <c r="E1656" s="2"/>
      <c r="F1656" s="2" t="s">
        <v>2899</v>
      </c>
      <c r="G1656" s="2"/>
      <c r="H1656" s="2" t="s">
        <v>2899</v>
      </c>
      <c r="I1656" s="2"/>
      <c r="J1656" s="2" t="s">
        <v>3607</v>
      </c>
      <c r="K1656" s="2" t="s">
        <v>3606</v>
      </c>
    </row>
    <row r="1657" spans="1:11" s="4" customFormat="1" ht="18" customHeight="1">
      <c r="A1657" s="2" t="s">
        <v>3608</v>
      </c>
      <c r="B1657" s="3"/>
      <c r="C1657" s="2"/>
      <c r="D1657" s="3"/>
      <c r="E1657" s="2"/>
      <c r="F1657" s="2" t="s">
        <v>2901</v>
      </c>
      <c r="G1657" s="2"/>
      <c r="H1657" s="2" t="s">
        <v>2901</v>
      </c>
      <c r="I1657" s="2"/>
      <c r="J1657" s="2" t="s">
        <v>934</v>
      </c>
      <c r="K1657" s="2" t="s">
        <v>3608</v>
      </c>
    </row>
    <row r="1658" spans="1:11" s="4" customFormat="1" ht="18" customHeight="1">
      <c r="A1658" s="2" t="s">
        <v>3609</v>
      </c>
      <c r="B1658" s="3"/>
      <c r="C1658" s="2"/>
      <c r="D1658" s="3"/>
      <c r="E1658" s="2"/>
      <c r="F1658" s="2" t="s">
        <v>3047</v>
      </c>
      <c r="G1658" s="2"/>
      <c r="H1658" s="2" t="s">
        <v>3047</v>
      </c>
      <c r="I1658" s="2"/>
      <c r="J1658" s="2" t="s">
        <v>3610</v>
      </c>
      <c r="K1658" s="2" t="s">
        <v>3609</v>
      </c>
    </row>
    <row r="1659" spans="1:11" s="4" customFormat="1" ht="18" customHeight="1">
      <c r="A1659" s="2" t="s">
        <v>3611</v>
      </c>
      <c r="B1659" s="3"/>
      <c r="C1659" s="2"/>
      <c r="D1659" s="3"/>
      <c r="E1659" s="2"/>
      <c r="F1659" s="2" t="s">
        <v>2043</v>
      </c>
      <c r="G1659" s="2"/>
      <c r="H1659" s="2" t="s">
        <v>2043</v>
      </c>
      <c r="I1659" s="2"/>
      <c r="J1659" s="2" t="s">
        <v>3612</v>
      </c>
      <c r="K1659" s="2" t="s">
        <v>3611</v>
      </c>
    </row>
    <row r="1660" spans="1:11" s="4" customFormat="1" ht="18" customHeight="1">
      <c r="A1660" s="2" t="s">
        <v>3613</v>
      </c>
      <c r="B1660" s="3"/>
      <c r="C1660" s="2"/>
      <c r="D1660" s="3"/>
      <c r="E1660" s="2"/>
      <c r="F1660" s="2" t="s">
        <v>2887</v>
      </c>
      <c r="G1660" s="2"/>
      <c r="H1660" s="2" t="s">
        <v>2887</v>
      </c>
      <c r="I1660" s="2"/>
      <c r="J1660" s="2" t="s">
        <v>3614</v>
      </c>
      <c r="K1660" s="2" t="s">
        <v>3613</v>
      </c>
    </row>
    <row r="1661" spans="1:11" s="4" customFormat="1" ht="18" customHeight="1">
      <c r="A1661" s="2" t="s">
        <v>3615</v>
      </c>
      <c r="B1661" s="3"/>
      <c r="C1661" s="2"/>
      <c r="D1661" s="3"/>
      <c r="E1661" s="2"/>
      <c r="F1661" s="2" t="s">
        <v>3998</v>
      </c>
      <c r="G1661" s="2"/>
      <c r="H1661" s="2" t="s">
        <v>3998</v>
      </c>
      <c r="I1661" s="2"/>
      <c r="J1661" s="2" t="s">
        <v>3617</v>
      </c>
      <c r="K1661" s="2" t="s">
        <v>3615</v>
      </c>
    </row>
    <row r="1662" spans="1:11" s="4" customFormat="1" ht="18" customHeight="1">
      <c r="A1662" s="2" t="s">
        <v>3618</v>
      </c>
      <c r="B1662" s="3"/>
      <c r="C1662" s="2"/>
      <c r="D1662" s="3"/>
      <c r="E1662" s="2"/>
      <c r="F1662" s="2" t="s">
        <v>1754</v>
      </c>
      <c r="G1662" s="2"/>
      <c r="H1662" s="2" t="s">
        <v>1755</v>
      </c>
      <c r="I1662" s="2"/>
      <c r="J1662" s="2" t="s">
        <v>3619</v>
      </c>
      <c r="K1662" s="2" t="s">
        <v>3618</v>
      </c>
    </row>
    <row r="1663" spans="1:11" s="4" customFormat="1" ht="18" customHeight="1">
      <c r="A1663" s="2" t="s">
        <v>3620</v>
      </c>
      <c r="B1663" s="3"/>
      <c r="C1663" s="2"/>
      <c r="D1663" s="3"/>
      <c r="E1663" s="2"/>
      <c r="F1663" s="2" t="s">
        <v>3457</v>
      </c>
      <c r="G1663" s="2"/>
      <c r="H1663" s="2" t="s">
        <v>3457</v>
      </c>
      <c r="I1663" s="2"/>
      <c r="J1663" s="2" t="s">
        <v>3621</v>
      </c>
      <c r="K1663" s="2" t="s">
        <v>3620</v>
      </c>
    </row>
    <row r="1664" spans="1:11" s="4" customFormat="1" ht="18" customHeight="1">
      <c r="A1664" s="2" t="s">
        <v>3622</v>
      </c>
      <c r="B1664" s="3"/>
      <c r="C1664" s="2"/>
      <c r="D1664" s="3"/>
      <c r="E1664" s="2"/>
      <c r="F1664" s="2" t="s">
        <v>1540</v>
      </c>
      <c r="G1664" s="2"/>
      <c r="H1664" s="2" t="s">
        <v>1540</v>
      </c>
      <c r="I1664" s="2"/>
      <c r="J1664" s="2" t="s">
        <v>3623</v>
      </c>
      <c r="K1664" s="2" t="s">
        <v>3622</v>
      </c>
    </row>
    <row r="1665" spans="1:11" s="4" customFormat="1" ht="18" customHeight="1">
      <c r="A1665" s="2" t="s">
        <v>3624</v>
      </c>
      <c r="B1665" s="3"/>
      <c r="C1665" s="2"/>
      <c r="D1665" s="3"/>
      <c r="E1665" s="2"/>
      <c r="F1665" s="2" t="s">
        <v>3847</v>
      </c>
      <c r="G1665" s="2"/>
      <c r="H1665" s="2" t="s">
        <v>3847</v>
      </c>
      <c r="I1665" s="2"/>
      <c r="J1665" s="2" t="s">
        <v>3625</v>
      </c>
      <c r="K1665" s="2" t="s">
        <v>3624</v>
      </c>
    </row>
    <row r="1666" spans="1:11" s="4" customFormat="1" ht="18" customHeight="1">
      <c r="A1666" s="2" t="s">
        <v>3626</v>
      </c>
      <c r="B1666" s="3"/>
      <c r="C1666" s="2"/>
      <c r="D1666" s="3"/>
      <c r="E1666" s="2"/>
      <c r="F1666" s="2" t="s">
        <v>1445</v>
      </c>
      <c r="G1666" s="2"/>
      <c r="H1666" s="2" t="s">
        <v>1445</v>
      </c>
      <c r="I1666" s="2"/>
      <c r="J1666" s="2" t="s">
        <v>3627</v>
      </c>
      <c r="K1666" s="2" t="s">
        <v>3626</v>
      </c>
    </row>
    <row r="1667" spans="1:11" s="4" customFormat="1" ht="18" customHeight="1">
      <c r="A1667" s="2" t="s">
        <v>3628</v>
      </c>
      <c r="B1667" s="3"/>
      <c r="C1667" s="2"/>
      <c r="D1667" s="3"/>
      <c r="E1667" s="2"/>
      <c r="F1667" s="2" t="s">
        <v>3943</v>
      </c>
      <c r="G1667" s="2"/>
      <c r="H1667" s="2" t="s">
        <v>3943</v>
      </c>
      <c r="I1667" s="2"/>
      <c r="J1667" s="2" t="s">
        <v>3629</v>
      </c>
      <c r="K1667" s="2" t="s">
        <v>3628</v>
      </c>
    </row>
    <row r="1668" spans="1:11" s="4" customFormat="1" ht="18" customHeight="1">
      <c r="A1668" s="2" t="s">
        <v>3631</v>
      </c>
      <c r="B1668" s="3"/>
      <c r="C1668" s="2"/>
      <c r="D1668" s="3"/>
      <c r="E1668" s="2"/>
      <c r="F1668" s="2" t="s">
        <v>3311</v>
      </c>
      <c r="G1668" s="2"/>
      <c r="H1668" s="2" t="s">
        <v>2476</v>
      </c>
      <c r="I1668" s="2"/>
      <c r="J1668" s="2" t="s">
        <v>3632</v>
      </c>
      <c r="K1668" s="2" t="s">
        <v>3631</v>
      </c>
    </row>
    <row r="1669" spans="1:11" s="4" customFormat="1" ht="18" customHeight="1">
      <c r="A1669" s="2" t="s">
        <v>3633</v>
      </c>
      <c r="B1669" s="3"/>
      <c r="C1669" s="2"/>
      <c r="D1669" s="3"/>
      <c r="E1669" s="2"/>
      <c r="F1669" s="2" t="s">
        <v>4057</v>
      </c>
      <c r="G1669" s="2"/>
      <c r="H1669" s="2" t="s">
        <v>381</v>
      </c>
      <c r="I1669" s="2"/>
      <c r="J1669" s="2" t="s">
        <v>3634</v>
      </c>
      <c r="K1669" s="2" t="s">
        <v>3633</v>
      </c>
    </row>
    <row r="1670" spans="1:11" s="4" customFormat="1" ht="18" customHeight="1">
      <c r="A1670" s="2" t="s">
        <v>3636</v>
      </c>
      <c r="B1670" s="3"/>
      <c r="C1670" s="2"/>
      <c r="D1670" s="3"/>
      <c r="E1670" s="2"/>
      <c r="F1670" s="2" t="s">
        <v>731</v>
      </c>
      <c r="G1670" s="2"/>
      <c r="H1670" s="2" t="s">
        <v>731</v>
      </c>
      <c r="I1670" s="2"/>
      <c r="J1670" s="2" t="s">
        <v>3637</v>
      </c>
      <c r="K1670" s="2" t="s">
        <v>3636</v>
      </c>
    </row>
    <row r="1671" spans="1:11" s="4" customFormat="1" ht="18" customHeight="1">
      <c r="A1671" s="2" t="s">
        <v>3638</v>
      </c>
      <c r="B1671" s="3"/>
      <c r="C1671" s="2"/>
      <c r="D1671" s="3"/>
      <c r="E1671" s="2"/>
      <c r="F1671" s="2" t="s">
        <v>3508</v>
      </c>
      <c r="G1671" s="2"/>
      <c r="H1671" s="2" t="s">
        <v>3508</v>
      </c>
      <c r="I1671" s="2"/>
      <c r="J1671" s="2" t="s">
        <v>3639</v>
      </c>
      <c r="K1671" s="2" t="s">
        <v>3638</v>
      </c>
    </row>
    <row r="1672" spans="1:11" s="4" customFormat="1" ht="18" customHeight="1">
      <c r="A1672" s="2" t="s">
        <v>3640</v>
      </c>
      <c r="B1672" s="3"/>
      <c r="C1672" s="2"/>
      <c r="D1672" s="3"/>
      <c r="E1672" s="2"/>
      <c r="F1672" s="2" t="s">
        <v>1126</v>
      </c>
      <c r="G1672" s="2"/>
      <c r="H1672" s="2" t="s">
        <v>1126</v>
      </c>
      <c r="I1672" s="2"/>
      <c r="J1672" s="2" t="s">
        <v>3641</v>
      </c>
      <c r="K1672" s="2" t="s">
        <v>3640</v>
      </c>
    </row>
    <row r="1673" spans="1:11" s="4" customFormat="1" ht="18" customHeight="1">
      <c r="A1673" s="2" t="s">
        <v>3642</v>
      </c>
      <c r="B1673" s="3"/>
      <c r="C1673" s="2"/>
      <c r="D1673" s="3"/>
      <c r="E1673" s="2"/>
      <c r="F1673" s="2" t="s">
        <v>1203</v>
      </c>
      <c r="G1673" s="2"/>
      <c r="H1673" s="2" t="s">
        <v>1203</v>
      </c>
      <c r="I1673" s="2"/>
      <c r="J1673" s="2" t="s">
        <v>3643</v>
      </c>
      <c r="K1673" s="2" t="s">
        <v>3642</v>
      </c>
    </row>
    <row r="1674" spans="1:11" s="4" customFormat="1" ht="18" customHeight="1">
      <c r="A1674" s="2" t="s">
        <v>3644</v>
      </c>
      <c r="B1674" s="3"/>
      <c r="C1674" s="2"/>
      <c r="D1674" s="3"/>
      <c r="E1674" s="2"/>
      <c r="F1674" s="2" t="s">
        <v>1203</v>
      </c>
      <c r="G1674" s="2"/>
      <c r="H1674" s="2" t="s">
        <v>1203</v>
      </c>
      <c r="I1674" s="2"/>
      <c r="J1674" s="2" t="s">
        <v>3645</v>
      </c>
      <c r="K1674" s="2" t="s">
        <v>3644</v>
      </c>
    </row>
    <row r="1675" spans="1:11" s="4" customFormat="1" ht="18" customHeight="1">
      <c r="A1675" s="2" t="s">
        <v>3646</v>
      </c>
      <c r="B1675" s="3"/>
      <c r="C1675" s="2"/>
      <c r="D1675" s="3"/>
      <c r="E1675" s="2"/>
      <c r="F1675" s="2" t="s">
        <v>2290</v>
      </c>
      <c r="G1675" s="2"/>
      <c r="H1675" s="2" t="s">
        <v>2290</v>
      </c>
      <c r="I1675" s="2"/>
      <c r="J1675" s="2" t="s">
        <v>3647</v>
      </c>
      <c r="K1675" s="2" t="s">
        <v>3646</v>
      </c>
    </row>
    <row r="1676" spans="1:11" s="4" customFormat="1" ht="18" customHeight="1">
      <c r="A1676" s="2" t="s">
        <v>3648</v>
      </c>
      <c r="B1676" s="3"/>
      <c r="C1676" s="2"/>
      <c r="D1676" s="3"/>
      <c r="E1676" s="2"/>
      <c r="F1676" s="2" t="s">
        <v>3435</v>
      </c>
      <c r="G1676" s="2"/>
      <c r="H1676" s="2" t="s">
        <v>3435</v>
      </c>
      <c r="I1676" s="2"/>
      <c r="J1676" s="2" t="s">
        <v>3649</v>
      </c>
      <c r="K1676" s="2" t="s">
        <v>3648</v>
      </c>
    </row>
    <row r="1677" spans="1:11" s="4" customFormat="1" ht="18" customHeight="1">
      <c r="A1677" s="2" t="s">
        <v>3650</v>
      </c>
      <c r="B1677" s="3"/>
      <c r="C1677" s="2"/>
      <c r="D1677" s="3"/>
      <c r="E1677" s="2"/>
      <c r="F1677" s="2" t="s">
        <v>795</v>
      </c>
      <c r="G1677" s="2"/>
      <c r="H1677" s="2" t="s">
        <v>795</v>
      </c>
      <c r="I1677" s="2"/>
      <c r="J1677" s="2" t="s">
        <v>3651</v>
      </c>
      <c r="K1677" s="2" t="s">
        <v>3650</v>
      </c>
    </row>
    <row r="1678" spans="1:11" s="4" customFormat="1" ht="18" customHeight="1">
      <c r="A1678" s="2" t="s">
        <v>3652</v>
      </c>
      <c r="B1678" s="3"/>
      <c r="C1678" s="2"/>
      <c r="D1678" s="3"/>
      <c r="E1678" s="2"/>
      <c r="F1678" s="2" t="s">
        <v>3289</v>
      </c>
      <c r="G1678" s="2"/>
      <c r="H1678" s="2" t="s">
        <v>3290</v>
      </c>
      <c r="I1678" s="2"/>
      <c r="J1678" s="2" t="s">
        <v>3654</v>
      </c>
      <c r="K1678" s="2" t="s">
        <v>3652</v>
      </c>
    </row>
    <row r="1679" spans="1:11" s="4" customFormat="1" ht="18" customHeight="1">
      <c r="A1679" s="2" t="s">
        <v>3655</v>
      </c>
      <c r="B1679" s="3"/>
      <c r="C1679" s="2"/>
      <c r="D1679" s="3"/>
      <c r="E1679" s="2"/>
      <c r="F1679" s="2" t="s">
        <v>699</v>
      </c>
      <c r="G1679" s="2"/>
      <c r="H1679" s="2" t="s">
        <v>699</v>
      </c>
      <c r="I1679" s="2"/>
      <c r="J1679" s="2" t="s">
        <v>3656</v>
      </c>
      <c r="K1679" s="2" t="s">
        <v>3655</v>
      </c>
    </row>
    <row r="1680" spans="1:11" s="4" customFormat="1" ht="18" customHeight="1">
      <c r="A1680" s="2" t="s">
        <v>3657</v>
      </c>
      <c r="B1680" s="3"/>
      <c r="C1680" s="2"/>
      <c r="D1680" s="3"/>
      <c r="E1680" s="2"/>
      <c r="F1680" s="2" t="s">
        <v>3139</v>
      </c>
      <c r="G1680" s="2"/>
      <c r="H1680" s="2" t="s">
        <v>3139</v>
      </c>
      <c r="I1680" s="2"/>
      <c r="J1680" s="2" t="s">
        <v>3658</v>
      </c>
      <c r="K1680" s="2" t="s">
        <v>3657</v>
      </c>
    </row>
    <row r="1681" spans="1:11" s="4" customFormat="1" ht="18" customHeight="1">
      <c r="A1681" s="2" t="s">
        <v>3659</v>
      </c>
      <c r="B1681" s="3"/>
      <c r="C1681" s="2"/>
      <c r="D1681" s="3"/>
      <c r="E1681" s="2"/>
      <c r="F1681" s="2" t="s">
        <v>2149</v>
      </c>
      <c r="G1681" s="2"/>
      <c r="H1681" s="2" t="s">
        <v>2149</v>
      </c>
      <c r="I1681" s="2"/>
      <c r="J1681" s="2" t="s">
        <v>306</v>
      </c>
      <c r="K1681" s="2" t="s">
        <v>3659</v>
      </c>
    </row>
    <row r="1682" spans="1:11" s="4" customFormat="1" ht="18" customHeight="1">
      <c r="A1682" s="2" t="s">
        <v>3661</v>
      </c>
      <c r="B1682" s="3"/>
      <c r="C1682" s="2"/>
      <c r="D1682" s="3"/>
      <c r="E1682" s="2"/>
      <c r="F1682" s="2" t="s">
        <v>1956</v>
      </c>
      <c r="G1682" s="2"/>
      <c r="H1682" s="2" t="s">
        <v>1956</v>
      </c>
      <c r="I1682" s="2"/>
      <c r="J1682" s="2" t="s">
        <v>3662</v>
      </c>
      <c r="K1682" s="2" t="s">
        <v>3661</v>
      </c>
    </row>
    <row r="1683" spans="1:11" s="4" customFormat="1" ht="18" customHeight="1">
      <c r="A1683" s="2" t="s">
        <v>3663</v>
      </c>
      <c r="B1683" s="3"/>
      <c r="C1683" s="2"/>
      <c r="D1683" s="3"/>
      <c r="E1683" s="2"/>
      <c r="F1683" s="2" t="s">
        <v>1464</v>
      </c>
      <c r="G1683" s="2"/>
      <c r="H1683" s="2" t="s">
        <v>1465</v>
      </c>
      <c r="I1683" s="2"/>
      <c r="J1683" s="2" t="s">
        <v>3664</v>
      </c>
      <c r="K1683" s="2" t="s">
        <v>3663</v>
      </c>
    </row>
    <row r="1684" spans="1:11" s="4" customFormat="1" ht="18" customHeight="1">
      <c r="A1684" s="2" t="s">
        <v>3665</v>
      </c>
      <c r="B1684" s="3"/>
      <c r="C1684" s="2"/>
      <c r="D1684" s="3"/>
      <c r="E1684" s="2"/>
      <c r="F1684" s="2" t="s">
        <v>618</v>
      </c>
      <c r="G1684" s="2"/>
      <c r="H1684" s="2" t="s">
        <v>618</v>
      </c>
      <c r="I1684" s="2"/>
      <c r="J1684" s="2" t="s">
        <v>3666</v>
      </c>
      <c r="K1684" s="2" t="s">
        <v>3665</v>
      </c>
    </row>
    <row r="1685" spans="1:11" s="4" customFormat="1" ht="18" customHeight="1">
      <c r="A1685" s="2" t="s">
        <v>3667</v>
      </c>
      <c r="B1685" s="3"/>
      <c r="C1685" s="2"/>
      <c r="D1685" s="3"/>
      <c r="E1685" s="2"/>
      <c r="F1685" s="2" t="s">
        <v>786</v>
      </c>
      <c r="G1685" s="2"/>
      <c r="H1685" s="2" t="s">
        <v>786</v>
      </c>
      <c r="I1685" s="2"/>
      <c r="J1685" s="2" t="s">
        <v>3668</v>
      </c>
      <c r="K1685" s="2" t="s">
        <v>3667</v>
      </c>
    </row>
    <row r="1686" spans="1:11" s="4" customFormat="1" ht="18" customHeight="1">
      <c r="A1686" s="2" t="s">
        <v>3669</v>
      </c>
      <c r="B1686" s="3"/>
      <c r="C1686" s="2"/>
      <c r="D1686" s="3"/>
      <c r="E1686" s="2"/>
      <c r="F1686" s="2" t="s">
        <v>1033</v>
      </c>
      <c r="G1686" s="2"/>
      <c r="H1686" s="2" t="s">
        <v>1033</v>
      </c>
      <c r="I1686" s="2"/>
      <c r="J1686" s="2" t="s">
        <v>3670</v>
      </c>
      <c r="K1686" s="2" t="s">
        <v>3669</v>
      </c>
    </row>
    <row r="1687" spans="1:11" s="4" customFormat="1" ht="18" customHeight="1">
      <c r="A1687" s="2" t="s">
        <v>3671</v>
      </c>
      <c r="B1687" s="3"/>
      <c r="C1687" s="2"/>
      <c r="D1687" s="3"/>
      <c r="E1687" s="2"/>
      <c r="F1687" s="2" t="s">
        <v>3237</v>
      </c>
      <c r="G1687" s="2"/>
      <c r="H1687" s="2" t="s">
        <v>3238</v>
      </c>
      <c r="I1687" s="2"/>
      <c r="J1687" s="2" t="s">
        <v>3672</v>
      </c>
      <c r="K1687" s="2" t="s">
        <v>3671</v>
      </c>
    </row>
    <row r="1688" spans="1:11" s="4" customFormat="1" ht="18" customHeight="1">
      <c r="A1688" s="2" t="s">
        <v>3673</v>
      </c>
      <c r="B1688" s="3"/>
      <c r="C1688" s="2"/>
      <c r="D1688" s="3"/>
      <c r="E1688" s="2"/>
      <c r="F1688" s="2" t="s">
        <v>2533</v>
      </c>
      <c r="G1688" s="2"/>
      <c r="H1688" s="2" t="s">
        <v>2533</v>
      </c>
      <c r="I1688" s="2"/>
      <c r="J1688" s="2" t="s">
        <v>3674</v>
      </c>
      <c r="K1688" s="2" t="s">
        <v>3673</v>
      </c>
    </row>
    <row r="1689" spans="1:11" s="4" customFormat="1" ht="18" customHeight="1">
      <c r="A1689" s="2" t="s">
        <v>3675</v>
      </c>
      <c r="B1689" s="3"/>
      <c r="C1689" s="2"/>
      <c r="D1689" s="3"/>
      <c r="E1689" s="2"/>
      <c r="F1689" s="2" t="s">
        <v>3400</v>
      </c>
      <c r="G1689" s="2"/>
      <c r="H1689" s="2" t="s">
        <v>3400</v>
      </c>
      <c r="I1689" s="2"/>
      <c r="J1689" s="2" t="s">
        <v>3676</v>
      </c>
      <c r="K1689" s="2" t="s">
        <v>3675</v>
      </c>
    </row>
    <row r="1690" spans="1:11" s="4" customFormat="1" ht="18" customHeight="1">
      <c r="A1690" s="2" t="s">
        <v>3677</v>
      </c>
      <c r="B1690" s="3"/>
      <c r="C1690" s="2"/>
      <c r="D1690" s="3"/>
      <c r="E1690" s="2"/>
      <c r="F1690" s="2" t="s">
        <v>3676</v>
      </c>
      <c r="G1690" s="2"/>
      <c r="H1690" s="2" t="s">
        <v>3676</v>
      </c>
      <c r="I1690" s="2"/>
      <c r="J1690" s="2" t="s">
        <v>3678</v>
      </c>
      <c r="K1690" s="2" t="s">
        <v>3677</v>
      </c>
    </row>
    <row r="1691" spans="1:11" s="4" customFormat="1" ht="18" customHeight="1">
      <c r="A1691" s="2" t="s">
        <v>3679</v>
      </c>
      <c r="B1691" s="3"/>
      <c r="C1691" s="2"/>
      <c r="D1691" s="3"/>
      <c r="E1691" s="2"/>
      <c r="F1691" s="2" t="s">
        <v>3902</v>
      </c>
      <c r="G1691" s="2"/>
      <c r="H1691" s="2" t="s">
        <v>3902</v>
      </c>
      <c r="I1691" s="2"/>
      <c r="J1691" s="2" t="s">
        <v>1277</v>
      </c>
      <c r="K1691" s="2" t="s">
        <v>3679</v>
      </c>
    </row>
    <row r="1692" spans="1:11" s="4" customFormat="1" ht="18" customHeight="1">
      <c r="A1692" s="2" t="s">
        <v>3680</v>
      </c>
      <c r="B1692" s="3"/>
      <c r="C1692" s="2"/>
      <c r="D1692" s="3"/>
      <c r="E1692" s="2"/>
      <c r="F1692" s="2" t="s">
        <v>3987</v>
      </c>
      <c r="G1692" s="2"/>
      <c r="H1692" s="2" t="s">
        <v>3987</v>
      </c>
      <c r="I1692" s="2"/>
      <c r="J1692" s="2" t="s">
        <v>3681</v>
      </c>
      <c r="K1692" s="2" t="s">
        <v>3680</v>
      </c>
    </row>
    <row r="1693" spans="1:11" s="4" customFormat="1" ht="18" customHeight="1">
      <c r="A1693" s="2" t="s">
        <v>3682</v>
      </c>
      <c r="B1693" s="3"/>
      <c r="C1693" s="2"/>
      <c r="D1693" s="3"/>
      <c r="E1693" s="2"/>
      <c r="F1693" s="2" t="s">
        <v>1687</v>
      </c>
      <c r="G1693" s="2"/>
      <c r="H1693" s="2" t="s">
        <v>1687</v>
      </c>
      <c r="I1693" s="2"/>
      <c r="J1693" s="2" t="s">
        <v>3683</v>
      </c>
      <c r="K1693" s="2" t="s">
        <v>3682</v>
      </c>
    </row>
    <row r="1694" spans="1:11" s="4" customFormat="1" ht="18" customHeight="1">
      <c r="A1694" s="2" t="s">
        <v>3684</v>
      </c>
      <c r="B1694" s="3"/>
      <c r="C1694" s="2"/>
      <c r="D1694" s="3"/>
      <c r="E1694" s="2"/>
      <c r="F1694" s="2" t="s">
        <v>352</v>
      </c>
      <c r="G1694" s="2"/>
      <c r="H1694" s="2" t="s">
        <v>352</v>
      </c>
      <c r="I1694" s="2"/>
      <c r="J1694" s="2" t="s">
        <v>3685</v>
      </c>
      <c r="K1694" s="2" t="s">
        <v>3684</v>
      </c>
    </row>
    <row r="1695" spans="1:11" s="4" customFormat="1" ht="18" customHeight="1">
      <c r="A1695" s="2" t="s">
        <v>3686</v>
      </c>
      <c r="B1695" s="3"/>
      <c r="C1695" s="2"/>
      <c r="D1695" s="3"/>
      <c r="E1695" s="2"/>
      <c r="F1695" s="2" t="s">
        <v>2519</v>
      </c>
      <c r="G1695" s="2"/>
      <c r="H1695" s="2" t="s">
        <v>2519</v>
      </c>
      <c r="I1695" s="2"/>
      <c r="J1695" s="2" t="s">
        <v>3687</v>
      </c>
      <c r="K1695" s="2" t="s">
        <v>3686</v>
      </c>
    </row>
    <row r="1696" spans="1:11" s="4" customFormat="1" ht="18" customHeight="1">
      <c r="A1696" s="2" t="s">
        <v>3688</v>
      </c>
      <c r="B1696" s="3"/>
      <c r="C1696" s="2"/>
      <c r="D1696" s="3"/>
      <c r="E1696" s="2"/>
      <c r="F1696" s="2" t="s">
        <v>4000</v>
      </c>
      <c r="G1696" s="2"/>
      <c r="H1696" s="2" t="s">
        <v>4000</v>
      </c>
      <c r="I1696" s="2"/>
      <c r="J1696" s="2" t="s">
        <v>1886</v>
      </c>
      <c r="K1696" s="2" t="s">
        <v>3688</v>
      </c>
    </row>
    <row r="1697" spans="1:11" s="4" customFormat="1" ht="18" customHeight="1">
      <c r="A1697" s="2" t="s">
        <v>3689</v>
      </c>
      <c r="B1697" s="3"/>
      <c r="C1697" s="2"/>
      <c r="D1697" s="3"/>
      <c r="E1697" s="2"/>
      <c r="F1697" s="2" t="s">
        <v>2265</v>
      </c>
      <c r="G1697" s="2"/>
      <c r="H1697" s="2" t="s">
        <v>2266</v>
      </c>
      <c r="I1697" s="2"/>
      <c r="J1697" s="2" t="s">
        <v>3690</v>
      </c>
      <c r="K1697" s="2" t="s">
        <v>3689</v>
      </c>
    </row>
    <row r="1698" spans="1:11" s="4" customFormat="1" ht="18" customHeight="1">
      <c r="A1698" s="2" t="s">
        <v>3691</v>
      </c>
      <c r="B1698" s="3"/>
      <c r="C1698" s="2"/>
      <c r="D1698" s="3"/>
      <c r="E1698" s="2"/>
      <c r="F1698" s="2" t="s">
        <v>592</v>
      </c>
      <c r="G1698" s="2"/>
      <c r="H1698" s="2" t="s">
        <v>592</v>
      </c>
      <c r="I1698" s="2"/>
      <c r="J1698" s="2" t="s">
        <v>1519</v>
      </c>
      <c r="K1698" s="2" t="s">
        <v>3691</v>
      </c>
    </row>
    <row r="1699" spans="1:11" s="4" customFormat="1" ht="18" customHeight="1">
      <c r="A1699" s="2" t="s">
        <v>3692</v>
      </c>
      <c r="B1699" s="3"/>
      <c r="C1699" s="2"/>
      <c r="D1699" s="3"/>
      <c r="E1699" s="2"/>
      <c r="F1699" s="2" t="s">
        <v>1095</v>
      </c>
      <c r="G1699" s="2"/>
      <c r="H1699" s="2" t="s">
        <v>1095</v>
      </c>
      <c r="I1699" s="2"/>
      <c r="J1699" s="2" t="s">
        <v>1249</v>
      </c>
      <c r="K1699" s="2" t="s">
        <v>3692</v>
      </c>
    </row>
    <row r="1700" spans="1:11" s="4" customFormat="1" ht="18" customHeight="1">
      <c r="A1700" s="2" t="s">
        <v>3693</v>
      </c>
      <c r="B1700" s="3"/>
      <c r="C1700" s="2"/>
      <c r="D1700" s="3"/>
      <c r="E1700" s="2"/>
      <c r="F1700" s="2" t="s">
        <v>2685</v>
      </c>
      <c r="G1700" s="2"/>
      <c r="H1700" s="2" t="s">
        <v>2685</v>
      </c>
      <c r="I1700" s="2"/>
      <c r="J1700" s="2" t="s">
        <v>3694</v>
      </c>
      <c r="K1700" s="2" t="s">
        <v>3693</v>
      </c>
    </row>
    <row r="1701" spans="1:11" s="4" customFormat="1" ht="18" customHeight="1">
      <c r="A1701" s="2" t="s">
        <v>3695</v>
      </c>
      <c r="B1701" s="3"/>
      <c r="C1701" s="2"/>
      <c r="D1701" s="3"/>
      <c r="E1701" s="2"/>
      <c r="F1701" s="2" t="s">
        <v>3141</v>
      </c>
      <c r="G1701" s="2"/>
      <c r="H1701" s="2" t="s">
        <v>3141</v>
      </c>
      <c r="I1701" s="2"/>
      <c r="J1701" s="2" t="s">
        <v>3093</v>
      </c>
      <c r="K1701" s="2" t="s">
        <v>3695</v>
      </c>
    </row>
    <row r="1702" spans="1:11" s="4" customFormat="1" ht="18" customHeight="1">
      <c r="A1702" s="2" t="s">
        <v>3697</v>
      </c>
      <c r="B1702" s="3"/>
      <c r="C1702" s="2"/>
      <c r="D1702" s="3"/>
      <c r="E1702" s="2"/>
      <c r="F1702" s="2" t="s">
        <v>2663</v>
      </c>
      <c r="G1702" s="2"/>
      <c r="H1702" s="2" t="s">
        <v>2663</v>
      </c>
      <c r="I1702" s="2"/>
      <c r="J1702" s="2" t="s">
        <v>3698</v>
      </c>
      <c r="K1702" s="2" t="s">
        <v>3697</v>
      </c>
    </row>
    <row r="1703" spans="1:11" s="4" customFormat="1" ht="18" customHeight="1">
      <c r="A1703" s="2" t="s">
        <v>3699</v>
      </c>
      <c r="B1703" s="3"/>
      <c r="C1703" s="2"/>
      <c r="D1703" s="3"/>
      <c r="E1703" s="2"/>
      <c r="F1703" s="2" t="s">
        <v>3187</v>
      </c>
      <c r="G1703" s="2"/>
      <c r="H1703" s="2" t="s">
        <v>3188</v>
      </c>
      <c r="I1703" s="2"/>
      <c r="J1703" s="2" t="s">
        <v>3700</v>
      </c>
      <c r="K1703" s="2" t="s">
        <v>3699</v>
      </c>
    </row>
    <row r="1704" spans="1:11" s="4" customFormat="1" ht="18" customHeight="1">
      <c r="A1704" s="2" t="s">
        <v>3701</v>
      </c>
      <c r="B1704" s="3"/>
      <c r="C1704" s="2"/>
      <c r="D1704" s="3"/>
      <c r="E1704" s="2"/>
      <c r="F1704" s="2" t="s">
        <v>3282</v>
      </c>
      <c r="G1704" s="2"/>
      <c r="H1704" s="2" t="s">
        <v>3283</v>
      </c>
      <c r="I1704" s="2"/>
      <c r="J1704" s="2" t="s">
        <v>3702</v>
      </c>
      <c r="K1704" s="2" t="s">
        <v>3701</v>
      </c>
    </row>
    <row r="1705" spans="1:11" s="4" customFormat="1" ht="18" customHeight="1">
      <c r="A1705" s="2" t="s">
        <v>3703</v>
      </c>
      <c r="B1705" s="3"/>
      <c r="C1705" s="2"/>
      <c r="D1705" s="3"/>
      <c r="E1705" s="2"/>
      <c r="F1705" s="2" t="s">
        <v>910</v>
      </c>
      <c r="G1705" s="2"/>
      <c r="H1705" s="2" t="s">
        <v>910</v>
      </c>
      <c r="I1705" s="2"/>
      <c r="J1705" s="2" t="s">
        <v>3704</v>
      </c>
      <c r="K1705" s="2" t="s">
        <v>3703</v>
      </c>
    </row>
    <row r="1706" spans="1:11" s="4" customFormat="1" ht="18" customHeight="1">
      <c r="A1706" s="2" t="s">
        <v>3705</v>
      </c>
      <c r="B1706" s="3"/>
      <c r="C1706" s="2"/>
      <c r="D1706" s="3"/>
      <c r="E1706" s="2"/>
      <c r="F1706" s="2" t="s">
        <v>2307</v>
      </c>
      <c r="G1706" s="2"/>
      <c r="H1706" s="2" t="s">
        <v>2307</v>
      </c>
      <c r="I1706" s="2"/>
      <c r="J1706" s="2" t="s">
        <v>3706</v>
      </c>
      <c r="K1706" s="2" t="s">
        <v>3705</v>
      </c>
    </row>
    <row r="1707" spans="1:11" s="4" customFormat="1" ht="18" customHeight="1">
      <c r="A1707" s="2" t="s">
        <v>3707</v>
      </c>
      <c r="B1707" s="3"/>
      <c r="C1707" s="2"/>
      <c r="D1707" s="3"/>
      <c r="E1707" s="2"/>
      <c r="F1707" s="2" t="s">
        <v>4002</v>
      </c>
      <c r="G1707" s="2"/>
      <c r="H1707" s="2" t="s">
        <v>4002</v>
      </c>
      <c r="I1707" s="2"/>
      <c r="J1707" s="2" t="s">
        <v>3708</v>
      </c>
      <c r="K1707" s="2" t="s">
        <v>3707</v>
      </c>
    </row>
    <row r="1708" spans="1:11" s="4" customFormat="1" ht="18" customHeight="1">
      <c r="A1708" s="2" t="s">
        <v>3709</v>
      </c>
      <c r="B1708" s="3"/>
      <c r="C1708" s="2"/>
      <c r="D1708" s="3"/>
      <c r="E1708" s="2"/>
      <c r="F1708" s="2" t="s">
        <v>620</v>
      </c>
      <c r="G1708" s="2"/>
      <c r="H1708" s="2" t="s">
        <v>620</v>
      </c>
      <c r="I1708" s="2"/>
      <c r="J1708" s="2" t="s">
        <v>306</v>
      </c>
      <c r="K1708" s="2" t="s">
        <v>3709</v>
      </c>
    </row>
    <row r="1709" spans="1:11" s="4" customFormat="1" ht="18" customHeight="1">
      <c r="A1709" s="2" t="s">
        <v>3710</v>
      </c>
      <c r="B1709" s="3"/>
      <c r="C1709" s="2"/>
      <c r="D1709" s="3"/>
      <c r="E1709" s="2"/>
      <c r="F1709" s="2" t="s">
        <v>3379</v>
      </c>
      <c r="G1709" s="2"/>
      <c r="H1709" s="2" t="s">
        <v>3379</v>
      </c>
      <c r="I1709" s="2"/>
      <c r="J1709" s="2" t="s">
        <v>3711</v>
      </c>
      <c r="K1709" s="2" t="s">
        <v>3710</v>
      </c>
    </row>
    <row r="1710" spans="1:11" s="4" customFormat="1" ht="18" customHeight="1">
      <c r="A1710" s="2" t="s">
        <v>3712</v>
      </c>
      <c r="B1710" s="3"/>
      <c r="C1710" s="2"/>
      <c r="D1710" s="3"/>
      <c r="E1710" s="2"/>
      <c r="F1710" s="2" t="s">
        <v>414</v>
      </c>
      <c r="G1710" s="2"/>
      <c r="H1710" s="2" t="s">
        <v>414</v>
      </c>
      <c r="I1710" s="2"/>
      <c r="J1710" s="2" t="s">
        <v>3713</v>
      </c>
      <c r="K1710" s="2" t="s">
        <v>3712</v>
      </c>
    </row>
    <row r="1711" spans="1:11" s="4" customFormat="1" ht="18" customHeight="1">
      <c r="A1711" s="2" t="s">
        <v>3714</v>
      </c>
      <c r="B1711" s="3"/>
      <c r="C1711" s="2"/>
      <c r="D1711" s="3"/>
      <c r="E1711" s="2"/>
      <c r="F1711" s="2" t="s">
        <v>1958</v>
      </c>
      <c r="G1711" s="2"/>
      <c r="H1711" s="2" t="s">
        <v>1958</v>
      </c>
      <c r="I1711" s="2"/>
      <c r="J1711" s="2" t="s">
        <v>3715</v>
      </c>
      <c r="K1711" s="2" t="s">
        <v>3714</v>
      </c>
    </row>
    <row r="1712" spans="1:11" s="4" customFormat="1" ht="18" customHeight="1">
      <c r="A1712" s="2" t="s">
        <v>3716</v>
      </c>
      <c r="B1712" s="3"/>
      <c r="C1712" s="2"/>
      <c r="D1712" s="3"/>
      <c r="E1712" s="2"/>
      <c r="F1712" s="2" t="s">
        <v>3194</v>
      </c>
      <c r="G1712" s="2"/>
      <c r="H1712" s="2" t="s">
        <v>3195</v>
      </c>
      <c r="I1712" s="2"/>
      <c r="J1712" s="2" t="s">
        <v>3717</v>
      </c>
      <c r="K1712" s="2" t="s">
        <v>3716</v>
      </c>
    </row>
    <row r="1713" spans="1:11" s="4" customFormat="1" ht="18" customHeight="1">
      <c r="A1713" s="2" t="s">
        <v>3718</v>
      </c>
      <c r="B1713" s="3"/>
      <c r="C1713" s="2"/>
      <c r="D1713" s="3"/>
      <c r="E1713" s="2"/>
      <c r="F1713" s="2" t="s">
        <v>3719</v>
      </c>
      <c r="G1713" s="2"/>
      <c r="H1713" s="2" t="s">
        <v>3719</v>
      </c>
      <c r="I1713" s="2"/>
      <c r="J1713" s="2" t="s">
        <v>3719</v>
      </c>
      <c r="K1713" s="2" t="s">
        <v>3718</v>
      </c>
    </row>
    <row r="1714" spans="1:11" s="4" customFormat="1" ht="18" customHeight="1">
      <c r="A1714" s="2" t="s">
        <v>3720</v>
      </c>
      <c r="B1714" s="3"/>
      <c r="C1714" s="2"/>
      <c r="D1714" s="3"/>
      <c r="E1714" s="2"/>
      <c r="F1714" s="2" t="s">
        <v>436</v>
      </c>
      <c r="G1714" s="2"/>
      <c r="H1714" s="2" t="s">
        <v>436</v>
      </c>
      <c r="I1714" s="2"/>
      <c r="J1714" s="2" t="s">
        <v>3722</v>
      </c>
      <c r="K1714" s="2" t="s">
        <v>3720</v>
      </c>
    </row>
    <row r="1715" spans="1:11" s="4" customFormat="1" ht="18" customHeight="1">
      <c r="A1715" s="2" t="s">
        <v>3723</v>
      </c>
      <c r="B1715" s="3"/>
      <c r="C1715" s="2"/>
      <c r="D1715" s="3"/>
      <c r="E1715" s="2"/>
      <c r="F1715" s="2" t="s">
        <v>282</v>
      </c>
      <c r="G1715" s="2"/>
      <c r="H1715" s="2" t="s">
        <v>282</v>
      </c>
      <c r="I1715" s="2"/>
      <c r="J1715" s="2" t="s">
        <v>3724</v>
      </c>
      <c r="K1715" s="2" t="s">
        <v>3723</v>
      </c>
    </row>
    <row r="1716" spans="1:11" s="4" customFormat="1" ht="18" customHeight="1">
      <c r="A1716" s="2" t="s">
        <v>3725</v>
      </c>
      <c r="B1716" s="3"/>
      <c r="C1716" s="2"/>
      <c r="D1716" s="3"/>
      <c r="E1716" s="2"/>
      <c r="F1716" s="2" t="s">
        <v>3877</v>
      </c>
      <c r="G1716" s="2"/>
      <c r="H1716" s="2" t="s">
        <v>3877</v>
      </c>
      <c r="I1716" s="2"/>
      <c r="J1716" s="2" t="s">
        <v>3726</v>
      </c>
      <c r="K1716" s="2" t="s">
        <v>3725</v>
      </c>
    </row>
    <row r="1717" spans="1:11" s="4" customFormat="1" ht="18" customHeight="1">
      <c r="A1717" s="2" t="s">
        <v>3728</v>
      </c>
      <c r="B1717" s="3"/>
      <c r="C1717" s="2"/>
      <c r="D1717" s="3"/>
      <c r="E1717" s="2"/>
      <c r="F1717" s="2" t="s">
        <v>3825</v>
      </c>
      <c r="G1717" s="2"/>
      <c r="H1717" s="2" t="s">
        <v>3825</v>
      </c>
      <c r="I1717" s="2"/>
      <c r="J1717" s="2" t="s">
        <v>3729</v>
      </c>
      <c r="K1717" s="2" t="s">
        <v>3728</v>
      </c>
    </row>
    <row r="1718" spans="1:11" s="4" customFormat="1" ht="18" customHeight="1">
      <c r="A1718" s="2" t="s">
        <v>3730</v>
      </c>
      <c r="B1718" s="3"/>
      <c r="C1718" s="2"/>
      <c r="D1718" s="3"/>
      <c r="E1718" s="2"/>
      <c r="F1718" s="2" t="s">
        <v>3777</v>
      </c>
      <c r="G1718" s="2"/>
      <c r="H1718" s="2" t="s">
        <v>3777</v>
      </c>
      <c r="I1718" s="2"/>
      <c r="J1718" s="2" t="s">
        <v>3731</v>
      </c>
      <c r="K1718" s="2" t="s">
        <v>3730</v>
      </c>
    </row>
    <row r="1719" spans="1:11" s="4" customFormat="1" ht="18" customHeight="1">
      <c r="A1719" s="2" t="s">
        <v>3732</v>
      </c>
      <c r="B1719" s="3"/>
      <c r="C1719" s="2"/>
      <c r="D1719" s="3"/>
      <c r="E1719" s="2"/>
      <c r="F1719" s="2" t="s">
        <v>1723</v>
      </c>
      <c r="G1719" s="2"/>
      <c r="H1719" s="2" t="s">
        <v>1723</v>
      </c>
      <c r="I1719" s="2"/>
      <c r="J1719" s="2" t="s">
        <v>3734</v>
      </c>
      <c r="K1719" s="2" t="s">
        <v>3732</v>
      </c>
    </row>
    <row r="1720" spans="1:11" s="4" customFormat="1" ht="18" customHeight="1">
      <c r="A1720" s="2" t="s">
        <v>3735</v>
      </c>
      <c r="B1720" s="3"/>
      <c r="C1720" s="2"/>
      <c r="D1720" s="3"/>
      <c r="E1720" s="2"/>
      <c r="F1720" s="2" t="s">
        <v>788</v>
      </c>
      <c r="G1720" s="2"/>
      <c r="H1720" s="2" t="s">
        <v>788</v>
      </c>
      <c r="I1720" s="2"/>
      <c r="J1720" s="2" t="s">
        <v>575</v>
      </c>
      <c r="K1720" s="2" t="s">
        <v>3735</v>
      </c>
    </row>
    <row r="1721" spans="1:11" s="4" customFormat="1" ht="18" customHeight="1">
      <c r="A1721" s="2" t="s">
        <v>3736</v>
      </c>
      <c r="B1721" s="3"/>
      <c r="C1721" s="2"/>
      <c r="D1721" s="3"/>
      <c r="E1721" s="2"/>
      <c r="F1721" s="2" t="s">
        <v>2045</v>
      </c>
      <c r="G1721" s="2"/>
      <c r="H1721" s="2" t="s">
        <v>788</v>
      </c>
      <c r="I1721" s="2"/>
      <c r="J1721" s="2" t="s">
        <v>3737</v>
      </c>
      <c r="K1721" s="2" t="s">
        <v>3736</v>
      </c>
    </row>
    <row r="1722" spans="1:11" s="4" customFormat="1" ht="18" customHeight="1">
      <c r="A1722" s="2" t="s">
        <v>3739</v>
      </c>
      <c r="B1722" s="3"/>
      <c r="C1722" s="2"/>
      <c r="D1722" s="3"/>
      <c r="E1722" s="2"/>
      <c r="F1722" s="2" t="s">
        <v>3381</v>
      </c>
      <c r="G1722" s="2"/>
      <c r="H1722" s="2" t="s">
        <v>3382</v>
      </c>
      <c r="I1722" s="2"/>
      <c r="J1722" s="2" t="s">
        <v>3740</v>
      </c>
      <c r="K1722" s="2" t="s">
        <v>3739</v>
      </c>
    </row>
    <row r="1723" spans="1:11" s="4" customFormat="1" ht="18" customHeight="1">
      <c r="A1723" s="2" t="s">
        <v>3741</v>
      </c>
      <c r="B1723" s="3"/>
      <c r="C1723" s="2"/>
      <c r="D1723" s="3"/>
      <c r="E1723" s="2"/>
      <c r="F1723" s="2" t="s">
        <v>994</v>
      </c>
      <c r="G1723" s="2"/>
      <c r="H1723" s="2" t="s">
        <v>994</v>
      </c>
      <c r="I1723" s="2"/>
      <c r="J1723" s="2" t="s">
        <v>1188</v>
      </c>
      <c r="K1723" s="2" t="s">
        <v>3741</v>
      </c>
    </row>
    <row r="1724" spans="1:11" s="4" customFormat="1" ht="18" customHeight="1">
      <c r="A1724" s="2" t="s">
        <v>3742</v>
      </c>
      <c r="B1724" s="3"/>
      <c r="C1724" s="2"/>
      <c r="D1724" s="3"/>
      <c r="E1724" s="2"/>
      <c r="F1724" s="2" t="s">
        <v>3583</v>
      </c>
      <c r="G1724" s="2"/>
      <c r="H1724" s="2" t="s">
        <v>3583</v>
      </c>
      <c r="I1724" s="2"/>
      <c r="J1724" s="2" t="s">
        <v>3743</v>
      </c>
      <c r="K1724" s="2" t="s">
        <v>3742</v>
      </c>
    </row>
    <row r="1725" spans="1:11" s="4" customFormat="1" ht="18" customHeight="1">
      <c r="A1725" s="2" t="s">
        <v>3744</v>
      </c>
      <c r="B1725" s="3"/>
      <c r="C1725" s="2"/>
      <c r="D1725" s="3"/>
      <c r="E1725" s="2"/>
      <c r="F1725" s="2" t="s">
        <v>3614</v>
      </c>
      <c r="G1725" s="2"/>
      <c r="H1725" s="2" t="s">
        <v>3614</v>
      </c>
      <c r="I1725" s="2"/>
      <c r="J1725" s="2" t="s">
        <v>3745</v>
      </c>
      <c r="K1725" s="2" t="s">
        <v>3744</v>
      </c>
    </row>
    <row r="1726" spans="1:11" s="4" customFormat="1" ht="18" customHeight="1">
      <c r="A1726" s="2" t="s">
        <v>3746</v>
      </c>
      <c r="B1726" s="3"/>
      <c r="C1726" s="2"/>
      <c r="D1726" s="3"/>
      <c r="E1726" s="2"/>
      <c r="F1726" s="2" t="s">
        <v>1035</v>
      </c>
      <c r="G1726" s="2"/>
      <c r="H1726" s="2" t="s">
        <v>1035</v>
      </c>
      <c r="I1726" s="2"/>
      <c r="J1726" s="2" t="s">
        <v>3747</v>
      </c>
      <c r="K1726" s="2" t="s">
        <v>3746</v>
      </c>
    </row>
    <row r="1727" spans="1:11" s="4" customFormat="1" ht="18" customHeight="1">
      <c r="A1727" s="2" t="s">
        <v>3748</v>
      </c>
      <c r="B1727" s="3"/>
      <c r="C1727" s="2"/>
      <c r="D1727" s="3"/>
      <c r="E1727" s="2"/>
      <c r="F1727" s="2" t="s">
        <v>3932</v>
      </c>
      <c r="G1727" s="2"/>
      <c r="H1727" s="2" t="s">
        <v>3932</v>
      </c>
      <c r="I1727" s="2"/>
      <c r="J1727" s="2" t="s">
        <v>3749</v>
      </c>
      <c r="K1727" s="2" t="s">
        <v>3748</v>
      </c>
    </row>
    <row r="1728" spans="1:11" s="4" customFormat="1" ht="18" customHeight="1">
      <c r="A1728" s="2" t="s">
        <v>3750</v>
      </c>
      <c r="B1728" s="3"/>
      <c r="C1728" s="2"/>
      <c r="D1728" s="3"/>
      <c r="E1728" s="2"/>
      <c r="F1728" s="2" t="s">
        <v>1447</v>
      </c>
      <c r="G1728" s="2"/>
      <c r="H1728" s="2" t="s">
        <v>1447</v>
      </c>
      <c r="I1728" s="2"/>
      <c r="J1728" s="2" t="s">
        <v>3751</v>
      </c>
      <c r="K1728" s="2" t="s">
        <v>3750</v>
      </c>
    </row>
    <row r="1729" spans="1:11" s="4" customFormat="1" ht="18" customHeight="1">
      <c r="A1729" s="2" t="s">
        <v>3752</v>
      </c>
      <c r="B1729" s="3"/>
      <c r="C1729" s="2"/>
      <c r="D1729" s="3"/>
      <c r="E1729" s="2"/>
      <c r="F1729" s="2" t="s">
        <v>3143</v>
      </c>
      <c r="G1729" s="2"/>
      <c r="H1729" s="2" t="s">
        <v>3143</v>
      </c>
      <c r="I1729" s="2"/>
      <c r="J1729" s="2" t="s">
        <v>3753</v>
      </c>
      <c r="K1729" s="2" t="s">
        <v>3752</v>
      </c>
    </row>
    <row r="1730" spans="1:11" s="4" customFormat="1" ht="18" customHeight="1">
      <c r="A1730" s="2" t="s">
        <v>3754</v>
      </c>
      <c r="B1730" s="3"/>
      <c r="C1730" s="2"/>
      <c r="D1730" s="3"/>
      <c r="E1730" s="2"/>
      <c r="F1730" s="2" t="s">
        <v>2102</v>
      </c>
      <c r="G1730" s="2"/>
      <c r="H1730" s="2" t="s">
        <v>2102</v>
      </c>
      <c r="I1730" s="2"/>
      <c r="J1730" s="2" t="s">
        <v>3755</v>
      </c>
      <c r="K1730" s="2" t="s">
        <v>3754</v>
      </c>
    </row>
    <row r="1731" spans="1:11" s="4" customFormat="1" ht="18" customHeight="1">
      <c r="A1731" s="2" t="s">
        <v>3756</v>
      </c>
      <c r="B1731" s="3"/>
      <c r="C1731" s="2"/>
      <c r="D1731" s="3"/>
      <c r="E1731" s="2"/>
      <c r="F1731" s="2" t="s">
        <v>1097</v>
      </c>
      <c r="G1731" s="2"/>
      <c r="H1731" s="2" t="s">
        <v>1097</v>
      </c>
      <c r="I1731" s="2"/>
      <c r="J1731" s="2" t="s">
        <v>3757</v>
      </c>
      <c r="K1731" s="2" t="s">
        <v>3756</v>
      </c>
    </row>
    <row r="1732" spans="1:11" s="4" customFormat="1" ht="18" customHeight="1">
      <c r="A1732" s="2" t="s">
        <v>3758</v>
      </c>
      <c r="B1732" s="3"/>
      <c r="C1732" s="2"/>
      <c r="D1732" s="3"/>
      <c r="E1732" s="2"/>
      <c r="F1732" s="2" t="s">
        <v>1581</v>
      </c>
      <c r="G1732" s="2"/>
      <c r="H1732" s="2" t="s">
        <v>1581</v>
      </c>
      <c r="I1732" s="2"/>
      <c r="J1732" s="2" t="s">
        <v>3759</v>
      </c>
      <c r="K1732" s="2" t="s">
        <v>3758</v>
      </c>
    </row>
    <row r="1733" spans="1:11" s="4" customFormat="1" ht="18" customHeight="1">
      <c r="A1733" s="2" t="s">
        <v>3761</v>
      </c>
      <c r="B1733" s="3"/>
      <c r="C1733" s="2"/>
      <c r="D1733" s="3"/>
      <c r="E1733" s="2"/>
      <c r="F1733" s="2" t="s">
        <v>3327</v>
      </c>
      <c r="G1733" s="2"/>
      <c r="H1733" s="2" t="s">
        <v>3327</v>
      </c>
      <c r="I1733" s="2"/>
      <c r="J1733" s="2" t="s">
        <v>3762</v>
      </c>
      <c r="K1733" s="2" t="s">
        <v>3761</v>
      </c>
    </row>
    <row r="1734" spans="1:11" s="4" customFormat="1" ht="18" customHeight="1">
      <c r="A1734" s="2" t="s">
        <v>3764</v>
      </c>
      <c r="B1734" s="3"/>
      <c r="C1734" s="2"/>
      <c r="D1734" s="3"/>
      <c r="E1734" s="2"/>
      <c r="F1734" s="2" t="s">
        <v>790</v>
      </c>
      <c r="G1734" s="2"/>
      <c r="H1734" s="2" t="s">
        <v>790</v>
      </c>
      <c r="I1734" s="2"/>
      <c r="J1734" s="2" t="s">
        <v>3765</v>
      </c>
      <c r="K1734" s="2" t="s">
        <v>3764</v>
      </c>
    </row>
    <row r="1735" spans="1:11" s="4" customFormat="1" ht="18" customHeight="1">
      <c r="A1735" s="2" t="s">
        <v>3766</v>
      </c>
      <c r="B1735" s="3"/>
      <c r="C1735" s="2"/>
      <c r="D1735" s="3"/>
      <c r="E1735" s="2"/>
      <c r="F1735" s="2" t="s">
        <v>1496</v>
      </c>
      <c r="G1735" s="2"/>
      <c r="H1735" s="2" t="s">
        <v>1497</v>
      </c>
      <c r="I1735" s="2"/>
      <c r="J1735" s="2" t="s">
        <v>3767</v>
      </c>
      <c r="K1735" s="2" t="s">
        <v>3766</v>
      </c>
    </row>
    <row r="1736" spans="1:11" s="4" customFormat="1" ht="18" customHeight="1">
      <c r="A1736" s="2" t="s">
        <v>3768</v>
      </c>
      <c r="B1736" s="3"/>
      <c r="C1736" s="2"/>
      <c r="D1736" s="3"/>
      <c r="E1736" s="2"/>
      <c r="F1736" s="2" t="s">
        <v>1099</v>
      </c>
      <c r="G1736" s="2"/>
      <c r="H1736" s="2" t="s">
        <v>1099</v>
      </c>
      <c r="I1736" s="2"/>
      <c r="J1736" s="2" t="s">
        <v>3769</v>
      </c>
      <c r="K1736" s="2" t="s">
        <v>3768</v>
      </c>
    </row>
    <row r="1737" spans="1:11" s="4" customFormat="1" ht="18" customHeight="1">
      <c r="A1737" s="2" t="s">
        <v>3770</v>
      </c>
      <c r="B1737" s="3"/>
      <c r="C1737" s="2"/>
      <c r="D1737" s="3"/>
      <c r="E1737" s="2"/>
      <c r="F1737" s="2" t="s">
        <v>3173</v>
      </c>
      <c r="G1737" s="2"/>
      <c r="H1737" s="2" t="s">
        <v>3174</v>
      </c>
      <c r="I1737" s="2"/>
      <c r="J1737" s="2" t="s">
        <v>3771</v>
      </c>
      <c r="K1737" s="2" t="s">
        <v>3770</v>
      </c>
    </row>
    <row r="1738" spans="1:11" s="4" customFormat="1" ht="18" customHeight="1">
      <c r="A1738" s="2" t="s">
        <v>3773</v>
      </c>
      <c r="B1738" s="3"/>
      <c r="C1738" s="2"/>
      <c r="D1738" s="3"/>
      <c r="E1738" s="2"/>
      <c r="F1738" s="2" t="s">
        <v>309</v>
      </c>
      <c r="G1738" s="2"/>
      <c r="H1738" s="2" t="s">
        <v>309</v>
      </c>
      <c r="I1738" s="2"/>
      <c r="J1738" s="2" t="s">
        <v>3774</v>
      </c>
      <c r="K1738" s="2" t="s">
        <v>3773</v>
      </c>
    </row>
    <row r="1739" spans="1:11" s="4" customFormat="1" ht="18" customHeight="1">
      <c r="A1739" s="2" t="s">
        <v>3776</v>
      </c>
      <c r="B1739" s="3"/>
      <c r="C1739" s="2"/>
      <c r="D1739" s="3"/>
      <c r="E1739" s="2"/>
      <c r="F1739" s="2" t="s">
        <v>1147</v>
      </c>
      <c r="G1739" s="2"/>
      <c r="H1739" s="2" t="s">
        <v>1147</v>
      </c>
      <c r="I1739" s="2"/>
      <c r="J1739" s="2" t="s">
        <v>3777</v>
      </c>
      <c r="K1739" s="2" t="s">
        <v>3776</v>
      </c>
    </row>
    <row r="1740" spans="1:11" s="4" customFormat="1" ht="18" customHeight="1">
      <c r="A1740" s="2" t="s">
        <v>3778</v>
      </c>
      <c r="B1740" s="3"/>
      <c r="C1740" s="2"/>
      <c r="D1740" s="3"/>
      <c r="E1740" s="2"/>
      <c r="F1740" s="2" t="s">
        <v>2204</v>
      </c>
      <c r="G1740" s="2"/>
      <c r="H1740" s="2" t="s">
        <v>2204</v>
      </c>
      <c r="I1740" s="2"/>
      <c r="J1740" s="2" t="s">
        <v>3779</v>
      </c>
      <c r="K1740" s="2" t="s">
        <v>3778</v>
      </c>
    </row>
    <row r="1741" spans="1:11" s="4" customFormat="1" ht="18" customHeight="1">
      <c r="A1741" s="2" t="s">
        <v>3781</v>
      </c>
      <c r="B1741" s="3"/>
      <c r="C1741" s="2"/>
      <c r="D1741" s="3"/>
      <c r="E1741" s="2"/>
      <c r="F1741" s="2" t="s">
        <v>2570</v>
      </c>
      <c r="G1741" s="2"/>
      <c r="H1741" s="2" t="s">
        <v>2570</v>
      </c>
      <c r="I1741" s="2"/>
      <c r="J1741" s="2" t="s">
        <v>3782</v>
      </c>
      <c r="K1741" s="2" t="s">
        <v>3781</v>
      </c>
    </row>
    <row r="1742" spans="1:11" s="4" customFormat="1" ht="18" customHeight="1">
      <c r="A1742" s="2" t="s">
        <v>3783</v>
      </c>
      <c r="B1742" s="3"/>
      <c r="C1742" s="2"/>
      <c r="D1742" s="3"/>
      <c r="E1742" s="2"/>
      <c r="F1742" s="2" t="s">
        <v>3879</v>
      </c>
      <c r="G1742" s="2"/>
      <c r="H1742" s="2" t="s">
        <v>3879</v>
      </c>
      <c r="I1742" s="2"/>
      <c r="J1742" s="2" t="s">
        <v>3784</v>
      </c>
      <c r="K1742" s="2" t="s">
        <v>3783</v>
      </c>
    </row>
    <row r="1743" spans="1:11" s="4" customFormat="1" ht="18" customHeight="1">
      <c r="A1743" s="2" t="s">
        <v>3785</v>
      </c>
      <c r="B1743" s="3"/>
      <c r="C1743" s="2"/>
      <c r="D1743" s="3"/>
      <c r="E1743" s="2"/>
      <c r="F1743" s="2" t="s">
        <v>284</v>
      </c>
      <c r="G1743" s="2"/>
      <c r="H1743" s="2" t="s">
        <v>284</v>
      </c>
      <c r="I1743" s="2"/>
      <c r="J1743" s="2" t="s">
        <v>3786</v>
      </c>
      <c r="K1743" s="2" t="s">
        <v>3785</v>
      </c>
    </row>
    <row r="1744" spans="1:11" s="4" customFormat="1" ht="18" customHeight="1">
      <c r="A1744" s="2" t="s">
        <v>3787</v>
      </c>
      <c r="B1744" s="3"/>
      <c r="C1744" s="2"/>
      <c r="D1744" s="3"/>
      <c r="E1744" s="2"/>
      <c r="F1744" s="2" t="s">
        <v>3197</v>
      </c>
      <c r="G1744" s="2"/>
      <c r="H1744" s="2" t="s">
        <v>3198</v>
      </c>
      <c r="I1744" s="2"/>
      <c r="J1744" s="2" t="s">
        <v>3788</v>
      </c>
      <c r="K1744" s="2" t="s">
        <v>3787</v>
      </c>
    </row>
    <row r="1745" spans="1:11" s="4" customFormat="1" ht="18" customHeight="1">
      <c r="A1745" s="2" t="s">
        <v>3789</v>
      </c>
      <c r="B1745" s="3"/>
      <c r="C1745" s="2"/>
      <c r="D1745" s="3"/>
      <c r="E1745" s="2"/>
      <c r="F1745" s="2" t="s">
        <v>2574</v>
      </c>
      <c r="G1745" s="2"/>
      <c r="H1745" s="2" t="s">
        <v>2574</v>
      </c>
      <c r="I1745" s="2"/>
      <c r="J1745" s="2" t="s">
        <v>3790</v>
      </c>
      <c r="K1745" s="2" t="s">
        <v>3789</v>
      </c>
    </row>
    <row r="1746" spans="1:11" s="4" customFormat="1" ht="18" customHeight="1">
      <c r="A1746" s="2" t="s">
        <v>3791</v>
      </c>
      <c r="B1746" s="3"/>
      <c r="C1746" s="2"/>
      <c r="D1746" s="3"/>
      <c r="E1746" s="2"/>
      <c r="F1746" s="2" t="s">
        <v>2807</v>
      </c>
      <c r="G1746" s="2"/>
      <c r="H1746" s="2" t="s">
        <v>2807</v>
      </c>
      <c r="I1746" s="2"/>
      <c r="J1746" s="2" t="s">
        <v>3792</v>
      </c>
      <c r="K1746" s="2" t="s">
        <v>3791</v>
      </c>
    </row>
    <row r="1747" spans="1:11" s="4" customFormat="1" ht="18" customHeight="1">
      <c r="A1747" s="2" t="s">
        <v>3793</v>
      </c>
      <c r="B1747" s="3"/>
      <c r="C1747" s="2"/>
      <c r="D1747" s="3"/>
      <c r="E1747" s="2"/>
      <c r="F1747" s="2" t="s">
        <v>2775</v>
      </c>
      <c r="G1747" s="2"/>
      <c r="H1747" s="2" t="s">
        <v>2775</v>
      </c>
      <c r="I1747" s="2"/>
      <c r="J1747" s="2" t="s">
        <v>1507</v>
      </c>
      <c r="K1747" s="2" t="s">
        <v>3793</v>
      </c>
    </row>
    <row r="1748" spans="1:11" s="4" customFormat="1" ht="18" customHeight="1">
      <c r="A1748" s="2" t="s">
        <v>3794</v>
      </c>
      <c r="B1748" s="3"/>
      <c r="C1748" s="2"/>
      <c r="D1748" s="3"/>
      <c r="E1748" s="2"/>
      <c r="F1748" s="2" t="s">
        <v>733</v>
      </c>
      <c r="G1748" s="2"/>
      <c r="H1748" s="2" t="s">
        <v>734</v>
      </c>
      <c r="I1748" s="2"/>
      <c r="J1748" s="2" t="s">
        <v>3795</v>
      </c>
      <c r="K1748" s="2" t="s">
        <v>3794</v>
      </c>
    </row>
    <row r="1749" spans="1:11" s="4" customFormat="1" ht="18" customHeight="1">
      <c r="A1749" s="2" t="s">
        <v>3797</v>
      </c>
      <c r="B1749" s="3"/>
      <c r="C1749" s="2"/>
      <c r="D1749" s="3"/>
      <c r="E1749" s="2"/>
      <c r="F1749" s="2" t="s">
        <v>1592</v>
      </c>
      <c r="G1749" s="2"/>
      <c r="H1749" s="2" t="s">
        <v>1592</v>
      </c>
      <c r="I1749" s="2"/>
      <c r="J1749" s="2" t="s">
        <v>3798</v>
      </c>
      <c r="K1749" s="2" t="s">
        <v>3797</v>
      </c>
    </row>
    <row r="1750" spans="1:11" s="4" customFormat="1" ht="18" customHeight="1">
      <c r="A1750" s="2" t="s">
        <v>3800</v>
      </c>
      <c r="B1750" s="3"/>
      <c r="C1750" s="2"/>
      <c r="D1750" s="3"/>
      <c r="E1750" s="2"/>
      <c r="F1750" s="2" t="s">
        <v>4004</v>
      </c>
      <c r="G1750" s="2"/>
      <c r="H1750" s="2" t="s">
        <v>4004</v>
      </c>
      <c r="I1750" s="2"/>
      <c r="J1750" s="2" t="s">
        <v>3801</v>
      </c>
      <c r="K1750" s="2" t="s">
        <v>3800</v>
      </c>
    </row>
    <row r="1751" spans="1:11" s="4" customFormat="1" ht="18" customHeight="1">
      <c r="A1751" s="2" t="s">
        <v>3803</v>
      </c>
      <c r="B1751" s="3"/>
      <c r="C1751" s="2"/>
      <c r="D1751" s="3"/>
      <c r="E1751" s="2"/>
      <c r="F1751" s="2" t="s">
        <v>2484</v>
      </c>
      <c r="G1751" s="2"/>
      <c r="H1751" s="2" t="s">
        <v>2485</v>
      </c>
      <c r="I1751" s="2"/>
      <c r="J1751" s="2" t="s">
        <v>1586</v>
      </c>
      <c r="K1751" s="2" t="s">
        <v>3803</v>
      </c>
    </row>
    <row r="1752" spans="1:11" s="4" customFormat="1" ht="18" customHeight="1">
      <c r="A1752" s="2" t="s">
        <v>3804</v>
      </c>
      <c r="B1752" s="3"/>
      <c r="C1752" s="2"/>
      <c r="D1752" s="3"/>
      <c r="E1752" s="2"/>
      <c r="F1752" s="2" t="s">
        <v>1707</v>
      </c>
      <c r="G1752" s="2"/>
      <c r="H1752" s="2" t="s">
        <v>1708</v>
      </c>
      <c r="I1752" s="2"/>
      <c r="J1752" s="2" t="s">
        <v>2100</v>
      </c>
      <c r="K1752" s="2" t="s">
        <v>3804</v>
      </c>
    </row>
    <row r="1753" spans="1:11" s="4" customFormat="1" ht="18" customHeight="1">
      <c r="A1753" s="2" t="s">
        <v>3805</v>
      </c>
      <c r="B1753" s="3"/>
      <c r="C1753" s="2"/>
      <c r="D1753" s="3"/>
      <c r="E1753" s="2"/>
      <c r="F1753" s="2" t="s">
        <v>2322</v>
      </c>
      <c r="G1753" s="2"/>
      <c r="H1753" s="2" t="s">
        <v>1707</v>
      </c>
      <c r="I1753" s="2"/>
      <c r="J1753" s="2" t="s">
        <v>3807</v>
      </c>
      <c r="K1753" s="2" t="s">
        <v>3805</v>
      </c>
    </row>
    <row r="1754" spans="1:11" s="4" customFormat="1" ht="18" customHeight="1">
      <c r="A1754" s="2" t="s">
        <v>3808</v>
      </c>
      <c r="B1754" s="3"/>
      <c r="C1754" s="2"/>
      <c r="D1754" s="3"/>
      <c r="E1754" s="2"/>
      <c r="F1754" s="2" t="s">
        <v>3145</v>
      </c>
      <c r="G1754" s="2"/>
      <c r="H1754" s="2" t="s">
        <v>3145</v>
      </c>
      <c r="I1754" s="2"/>
      <c r="J1754" s="2" t="s">
        <v>1584</v>
      </c>
      <c r="K1754" s="2" t="s">
        <v>3808</v>
      </c>
    </row>
    <row r="1755" spans="1:11" s="4" customFormat="1" ht="18" customHeight="1">
      <c r="A1755" s="2" t="s">
        <v>3809</v>
      </c>
      <c r="B1755" s="3"/>
      <c r="C1755" s="2"/>
      <c r="D1755" s="3"/>
      <c r="E1755" s="2"/>
      <c r="F1755" s="2" t="s">
        <v>853</v>
      </c>
      <c r="G1755" s="2"/>
      <c r="H1755" s="2" t="s">
        <v>853</v>
      </c>
      <c r="I1755" s="2"/>
      <c r="J1755" s="2" t="s">
        <v>3438</v>
      </c>
      <c r="K1755" s="2" t="s">
        <v>3809</v>
      </c>
    </row>
    <row r="1756" spans="1:11" s="4" customFormat="1" ht="18" customHeight="1">
      <c r="A1756" s="2" t="s">
        <v>3810</v>
      </c>
      <c r="B1756" s="3"/>
      <c r="C1756" s="2"/>
      <c r="D1756" s="3"/>
      <c r="E1756" s="2"/>
      <c r="F1756" s="2" t="s">
        <v>736</v>
      </c>
      <c r="G1756" s="2"/>
      <c r="H1756" s="2" t="s">
        <v>736</v>
      </c>
      <c r="I1756" s="2"/>
      <c r="J1756" s="2" t="s">
        <v>306</v>
      </c>
      <c r="K1756" s="2" t="s">
        <v>3810</v>
      </c>
    </row>
    <row r="1757" spans="1:11" s="4" customFormat="1" ht="18" customHeight="1">
      <c r="A1757" s="2" t="s">
        <v>3811</v>
      </c>
      <c r="B1757" s="3"/>
      <c r="C1757" s="2"/>
      <c r="D1757" s="3"/>
      <c r="E1757" s="2"/>
      <c r="F1757" s="2" t="s">
        <v>1037</v>
      </c>
      <c r="G1757" s="2"/>
      <c r="H1757" s="2" t="s">
        <v>1037</v>
      </c>
      <c r="I1757" s="2"/>
      <c r="J1757" s="2" t="s">
        <v>3812</v>
      </c>
      <c r="K1757" s="2" t="s">
        <v>3811</v>
      </c>
    </row>
    <row r="1758" spans="1:11" s="4" customFormat="1" ht="18" customHeight="1">
      <c r="A1758" s="2" t="s">
        <v>3813</v>
      </c>
      <c r="B1758" s="3"/>
      <c r="C1758" s="2"/>
      <c r="D1758" s="3"/>
      <c r="E1758" s="2"/>
      <c r="F1758" s="2" t="s">
        <v>3348</v>
      </c>
      <c r="G1758" s="2"/>
      <c r="H1758" s="2" t="s">
        <v>3348</v>
      </c>
      <c r="I1758" s="2"/>
      <c r="J1758" s="2" t="s">
        <v>3814</v>
      </c>
      <c r="K1758" s="2" t="s">
        <v>3813</v>
      </c>
    </row>
    <row r="1759" spans="1:11" s="4" customFormat="1" ht="18" customHeight="1">
      <c r="A1759" s="2" t="s">
        <v>3815</v>
      </c>
      <c r="B1759" s="3"/>
      <c r="C1759" s="2"/>
      <c r="D1759" s="3"/>
      <c r="E1759" s="2"/>
      <c r="F1759" s="2" t="s">
        <v>3941</v>
      </c>
      <c r="G1759" s="2"/>
      <c r="H1759" s="2" t="s">
        <v>3941</v>
      </c>
      <c r="I1759" s="2"/>
      <c r="J1759" s="2" t="s">
        <v>3816</v>
      </c>
      <c r="K1759" s="2" t="s">
        <v>3815</v>
      </c>
    </row>
    <row r="1760" spans="1:11" s="4" customFormat="1" ht="18" customHeight="1">
      <c r="A1760" s="2" t="s">
        <v>3818</v>
      </c>
      <c r="B1760" s="3"/>
      <c r="C1760" s="2"/>
      <c r="D1760" s="3"/>
      <c r="E1760" s="2"/>
      <c r="F1760" s="2" t="s">
        <v>2618</v>
      </c>
      <c r="G1760" s="2"/>
      <c r="H1760" s="2" t="s">
        <v>2618</v>
      </c>
      <c r="I1760" s="2"/>
      <c r="J1760" s="2" t="s">
        <v>3819</v>
      </c>
      <c r="K1760" s="2" t="s">
        <v>3818</v>
      </c>
    </row>
    <row r="1761" spans="1:11" s="4" customFormat="1" ht="18" customHeight="1">
      <c r="A1761" s="2" t="s">
        <v>3820</v>
      </c>
      <c r="B1761" s="3"/>
      <c r="C1761" s="2"/>
      <c r="D1761" s="3"/>
      <c r="E1761" s="2"/>
      <c r="F1761" s="2" t="s">
        <v>912</v>
      </c>
      <c r="G1761" s="2"/>
      <c r="H1761" s="2" t="s">
        <v>912</v>
      </c>
      <c r="I1761" s="2"/>
      <c r="J1761" s="2" t="s">
        <v>3821</v>
      </c>
      <c r="K1761" s="2" t="s">
        <v>3820</v>
      </c>
    </row>
    <row r="1762" spans="1:11" s="4" customFormat="1" ht="18" customHeight="1">
      <c r="A1762" s="2" t="s">
        <v>3822</v>
      </c>
      <c r="B1762" s="3"/>
      <c r="C1762" s="2"/>
      <c r="D1762" s="3"/>
      <c r="E1762" s="2"/>
      <c r="F1762" s="2" t="s">
        <v>1179</v>
      </c>
      <c r="G1762" s="2"/>
      <c r="H1762" s="2" t="s">
        <v>1180</v>
      </c>
      <c r="I1762" s="2"/>
      <c r="J1762" s="2" t="s">
        <v>3823</v>
      </c>
      <c r="K1762" s="2" t="s">
        <v>3822</v>
      </c>
    </row>
    <row r="1763" spans="1:11" s="4" customFormat="1" ht="18" customHeight="1">
      <c r="A1763" s="2" t="s">
        <v>3824</v>
      </c>
      <c r="B1763" s="3"/>
      <c r="C1763" s="2"/>
      <c r="D1763" s="3"/>
      <c r="E1763" s="2"/>
      <c r="F1763" s="2" t="s">
        <v>499</v>
      </c>
      <c r="G1763" s="2"/>
      <c r="H1763" s="2" t="s">
        <v>499</v>
      </c>
      <c r="I1763" s="2"/>
      <c r="J1763" s="2" t="s">
        <v>3825</v>
      </c>
      <c r="K1763" s="2" t="s">
        <v>3824</v>
      </c>
    </row>
    <row r="1764" spans="1:11" s="4" customFormat="1" ht="18" customHeight="1">
      <c r="A1764" s="2" t="s">
        <v>3826</v>
      </c>
      <c r="B1764" s="3"/>
      <c r="C1764" s="2"/>
      <c r="D1764" s="3"/>
      <c r="E1764" s="2"/>
      <c r="F1764" s="2" t="s">
        <v>2620</v>
      </c>
      <c r="G1764" s="2"/>
      <c r="H1764" s="2" t="s">
        <v>2620</v>
      </c>
      <c r="I1764" s="2"/>
      <c r="J1764" s="2" t="s">
        <v>3827</v>
      </c>
      <c r="K1764" s="2" t="s">
        <v>3826</v>
      </c>
    </row>
    <row r="1765" spans="1:11" s="4" customFormat="1" ht="18" customHeight="1">
      <c r="A1765" s="2" t="s">
        <v>3828</v>
      </c>
      <c r="B1765" s="3"/>
      <c r="C1765" s="2"/>
      <c r="D1765" s="3"/>
      <c r="E1765" s="2"/>
      <c r="F1765" s="2" t="s">
        <v>2495</v>
      </c>
      <c r="G1765" s="2"/>
      <c r="H1765" s="2" t="s">
        <v>2495</v>
      </c>
      <c r="I1765" s="2"/>
      <c r="J1765" s="2" t="s">
        <v>3829</v>
      </c>
      <c r="K1765" s="2" t="s">
        <v>3828</v>
      </c>
    </row>
    <row r="1766" spans="1:11" s="4" customFormat="1" ht="18" customHeight="1">
      <c r="A1766" s="2" t="s">
        <v>3831</v>
      </c>
      <c r="B1766" s="3"/>
      <c r="C1766" s="2"/>
      <c r="D1766" s="3"/>
      <c r="E1766" s="2"/>
      <c r="F1766" s="2" t="s">
        <v>3711</v>
      </c>
      <c r="G1766" s="2"/>
      <c r="H1766" s="2" t="s">
        <v>3711</v>
      </c>
      <c r="I1766" s="2"/>
      <c r="J1766" s="2" t="s">
        <v>3832</v>
      </c>
      <c r="K1766" s="2" t="s">
        <v>3831</v>
      </c>
    </row>
    <row r="1767" spans="1:11" s="4" customFormat="1" ht="18" customHeight="1">
      <c r="A1767" s="2" t="s">
        <v>3833</v>
      </c>
      <c r="B1767" s="3"/>
      <c r="C1767" s="2"/>
      <c r="D1767" s="3"/>
      <c r="E1767" s="2"/>
      <c r="F1767" s="2" t="s">
        <v>2195</v>
      </c>
      <c r="G1767" s="2"/>
      <c r="H1767" s="2" t="s">
        <v>2196</v>
      </c>
      <c r="I1767" s="2"/>
      <c r="J1767" s="2" t="s">
        <v>3834</v>
      </c>
      <c r="K1767" s="2" t="s">
        <v>3833</v>
      </c>
    </row>
    <row r="1768" spans="1:11" s="4" customFormat="1" ht="18" customHeight="1">
      <c r="A1768" s="2" t="s">
        <v>3836</v>
      </c>
      <c r="B1768" s="3"/>
      <c r="C1768" s="2"/>
      <c r="D1768" s="3"/>
      <c r="E1768" s="2"/>
      <c r="F1768" s="2" t="s">
        <v>3779</v>
      </c>
      <c r="G1768" s="2"/>
      <c r="H1768" s="2" t="s">
        <v>3780</v>
      </c>
      <c r="I1768" s="2"/>
      <c r="J1768" s="2" t="s">
        <v>3837</v>
      </c>
      <c r="K1768" s="2" t="s">
        <v>3836</v>
      </c>
    </row>
    <row r="1769" spans="1:11" s="4" customFormat="1" ht="18" customHeight="1">
      <c r="A1769" s="2" t="s">
        <v>3838</v>
      </c>
      <c r="B1769" s="3"/>
      <c r="C1769" s="2"/>
      <c r="D1769" s="3"/>
      <c r="E1769" s="2"/>
      <c r="F1769" s="2" t="s">
        <v>1583</v>
      </c>
      <c r="G1769" s="2"/>
      <c r="H1769" s="2" t="s">
        <v>1584</v>
      </c>
      <c r="I1769" s="2"/>
      <c r="J1769" s="2" t="s">
        <v>3839</v>
      </c>
      <c r="K1769" s="2" t="s">
        <v>3838</v>
      </c>
    </row>
    <row r="1770" spans="1:11" s="4" customFormat="1" ht="18" customHeight="1">
      <c r="A1770" s="2" t="s">
        <v>3840</v>
      </c>
      <c r="B1770" s="3"/>
      <c r="C1770" s="2"/>
      <c r="D1770" s="3"/>
      <c r="E1770" s="2"/>
      <c r="F1770" s="2" t="s">
        <v>996</v>
      </c>
      <c r="G1770" s="2"/>
      <c r="H1770" s="2" t="s">
        <v>996</v>
      </c>
      <c r="I1770" s="2"/>
      <c r="J1770" s="2" t="s">
        <v>3841</v>
      </c>
      <c r="K1770" s="2" t="s">
        <v>3840</v>
      </c>
    </row>
    <row r="1771" spans="1:11" s="4" customFormat="1" ht="18" customHeight="1">
      <c r="A1771" s="2" t="s">
        <v>3842</v>
      </c>
      <c r="B1771" s="3"/>
      <c r="C1771" s="2"/>
      <c r="D1771" s="3"/>
      <c r="E1771" s="2"/>
      <c r="F1771" s="2" t="s">
        <v>1268</v>
      </c>
      <c r="G1771" s="2"/>
      <c r="H1771" s="2" t="s">
        <v>1268</v>
      </c>
      <c r="I1771" s="2"/>
      <c r="J1771" s="2" t="s">
        <v>3843</v>
      </c>
      <c r="K1771" s="2" t="s">
        <v>3842</v>
      </c>
    </row>
    <row r="1772" spans="1:11" s="4" customFormat="1" ht="18" customHeight="1">
      <c r="A1772" s="2" t="s">
        <v>3844</v>
      </c>
      <c r="B1772" s="3"/>
      <c r="C1772" s="2"/>
      <c r="D1772" s="3"/>
      <c r="E1772" s="2"/>
      <c r="F1772" s="2" t="s">
        <v>998</v>
      </c>
      <c r="G1772" s="2"/>
      <c r="H1772" s="2" t="s">
        <v>999</v>
      </c>
      <c r="I1772" s="2"/>
      <c r="J1772" s="2" t="s">
        <v>3845</v>
      </c>
      <c r="K1772" s="2" t="s">
        <v>3844</v>
      </c>
    </row>
    <row r="1773" spans="1:11" s="4" customFormat="1" ht="18" customHeight="1">
      <c r="A1773" s="2" t="s">
        <v>3846</v>
      </c>
      <c r="B1773" s="3"/>
      <c r="C1773" s="2"/>
      <c r="D1773" s="3"/>
      <c r="E1773" s="2"/>
      <c r="F1773" s="2" t="s">
        <v>819</v>
      </c>
      <c r="G1773" s="2"/>
      <c r="H1773" s="2" t="s">
        <v>819</v>
      </c>
      <c r="I1773" s="2"/>
      <c r="J1773" s="2" t="s">
        <v>3847</v>
      </c>
      <c r="K1773" s="2" t="s">
        <v>3846</v>
      </c>
    </row>
    <row r="1774" spans="1:11" s="4" customFormat="1" ht="18" customHeight="1">
      <c r="A1774" s="2" t="s">
        <v>3848</v>
      </c>
      <c r="B1774" s="3"/>
      <c r="C1774" s="2"/>
      <c r="D1774" s="3"/>
      <c r="E1774" s="2"/>
      <c r="F1774" s="2" t="s">
        <v>3200</v>
      </c>
      <c r="G1774" s="2"/>
      <c r="H1774" s="2" t="s">
        <v>3201</v>
      </c>
      <c r="I1774" s="2"/>
      <c r="J1774" s="2" t="s">
        <v>3849</v>
      </c>
      <c r="K1774" s="2" t="s">
        <v>3848</v>
      </c>
    </row>
    <row r="1775" spans="1:11" s="4" customFormat="1" ht="18" customHeight="1">
      <c r="A1775" s="2" t="s">
        <v>3850</v>
      </c>
      <c r="B1775" s="3"/>
      <c r="C1775" s="2"/>
      <c r="D1775" s="3"/>
      <c r="E1775" s="2"/>
      <c r="F1775" s="2" t="s">
        <v>1824</v>
      </c>
      <c r="G1775" s="2"/>
      <c r="H1775" s="2" t="s">
        <v>1824</v>
      </c>
      <c r="I1775" s="2"/>
      <c r="J1775" s="2" t="s">
        <v>3851</v>
      </c>
      <c r="K1775" s="2" t="s">
        <v>3850</v>
      </c>
    </row>
    <row r="1776" spans="1:11" s="4" customFormat="1" ht="18" customHeight="1">
      <c r="A1776" s="2" t="s">
        <v>3852</v>
      </c>
      <c r="B1776" s="3"/>
      <c r="C1776" s="2"/>
      <c r="D1776" s="3"/>
      <c r="E1776" s="2"/>
      <c r="F1776" s="2" t="s">
        <v>2687</v>
      </c>
      <c r="G1776" s="2"/>
      <c r="H1776" s="2" t="s">
        <v>2687</v>
      </c>
      <c r="I1776" s="2"/>
      <c r="J1776" s="2" t="s">
        <v>3853</v>
      </c>
      <c r="K1776" s="2" t="s">
        <v>3852</v>
      </c>
    </row>
    <row r="1777" spans="1:11" s="4" customFormat="1" ht="18" customHeight="1">
      <c r="A1777" s="2" t="s">
        <v>3854</v>
      </c>
      <c r="B1777" s="3"/>
      <c r="C1777" s="2"/>
      <c r="D1777" s="3"/>
      <c r="E1777" s="2"/>
      <c r="F1777" s="2" t="s">
        <v>1847</v>
      </c>
      <c r="G1777" s="2"/>
      <c r="H1777" s="2" t="s">
        <v>1847</v>
      </c>
      <c r="I1777" s="2"/>
      <c r="J1777" s="2" t="s">
        <v>3855</v>
      </c>
      <c r="K1777" s="2" t="s">
        <v>3854</v>
      </c>
    </row>
    <row r="1778" spans="1:11" s="4" customFormat="1" ht="18" customHeight="1">
      <c r="A1778" s="2" t="s">
        <v>3856</v>
      </c>
      <c r="B1778" s="3"/>
      <c r="C1778" s="2"/>
      <c r="D1778" s="3"/>
      <c r="E1778" s="2"/>
      <c r="F1778" s="2" t="s">
        <v>3637</v>
      </c>
      <c r="G1778" s="2"/>
      <c r="H1778" s="2" t="s">
        <v>3637</v>
      </c>
      <c r="I1778" s="2"/>
      <c r="J1778" s="2" t="s">
        <v>3857</v>
      </c>
      <c r="K1778" s="2" t="s">
        <v>3856</v>
      </c>
    </row>
    <row r="1779" spans="1:11" s="4" customFormat="1" ht="18" customHeight="1">
      <c r="A1779" s="2" t="s">
        <v>3858</v>
      </c>
      <c r="B1779" s="3"/>
      <c r="C1779" s="2"/>
      <c r="D1779" s="3"/>
      <c r="E1779" s="2"/>
      <c r="F1779" s="2" t="s">
        <v>2652</v>
      </c>
      <c r="G1779" s="2"/>
      <c r="H1779" s="2" t="s">
        <v>2652</v>
      </c>
      <c r="I1779" s="2"/>
      <c r="J1779" s="2" t="s">
        <v>3859</v>
      </c>
      <c r="K1779" s="2" t="s">
        <v>3858</v>
      </c>
    </row>
    <row r="1780" spans="1:11" s="4" customFormat="1" ht="18" customHeight="1">
      <c r="A1780" s="2" t="s">
        <v>3860</v>
      </c>
      <c r="B1780" s="3"/>
      <c r="C1780" s="2"/>
      <c r="D1780" s="3"/>
      <c r="E1780" s="2"/>
      <c r="F1780" s="2" t="s">
        <v>1410</v>
      </c>
      <c r="G1780" s="2"/>
      <c r="H1780" s="2" t="s">
        <v>1410</v>
      </c>
      <c r="I1780" s="2"/>
      <c r="J1780" s="2" t="s">
        <v>3861</v>
      </c>
      <c r="K1780" s="2" t="s">
        <v>3860</v>
      </c>
    </row>
    <row r="1781" spans="1:11" s="4" customFormat="1" ht="18" customHeight="1">
      <c r="A1781" s="2" t="s">
        <v>3862</v>
      </c>
      <c r="B1781" s="3"/>
      <c r="C1781" s="2"/>
      <c r="D1781" s="3"/>
      <c r="E1781" s="2"/>
      <c r="F1781" s="2" t="s">
        <v>1612</v>
      </c>
      <c r="G1781" s="2"/>
      <c r="H1781" s="2" t="s">
        <v>1612</v>
      </c>
      <c r="I1781" s="2"/>
      <c r="J1781" s="2" t="s">
        <v>640</v>
      </c>
      <c r="K1781" s="2" t="s">
        <v>3862</v>
      </c>
    </row>
    <row r="1782" spans="1:11" s="4" customFormat="1" ht="18" customHeight="1">
      <c r="A1782" s="2" t="s">
        <v>3863</v>
      </c>
      <c r="B1782" s="3"/>
      <c r="C1782" s="2"/>
      <c r="D1782" s="3"/>
      <c r="E1782" s="2"/>
      <c r="F1782" s="2" t="s">
        <v>220</v>
      </c>
      <c r="G1782" s="2"/>
      <c r="H1782" s="2" t="s">
        <v>221</v>
      </c>
      <c r="I1782" s="2"/>
      <c r="J1782" s="2" t="s">
        <v>3864</v>
      </c>
      <c r="K1782" s="2" t="s">
        <v>3863</v>
      </c>
    </row>
    <row r="1783" spans="1:11" s="4" customFormat="1" ht="18" customHeight="1">
      <c r="A1783" s="2" t="s">
        <v>3865</v>
      </c>
      <c r="B1783" s="3"/>
      <c r="C1783" s="2"/>
      <c r="D1783" s="3"/>
      <c r="E1783" s="2"/>
      <c r="F1783" s="2" t="s">
        <v>3256</v>
      </c>
      <c r="G1783" s="2"/>
      <c r="H1783" s="2" t="s">
        <v>3257</v>
      </c>
      <c r="I1783" s="2"/>
      <c r="J1783" s="2" t="s">
        <v>3866</v>
      </c>
      <c r="K1783" s="2" t="s">
        <v>3865</v>
      </c>
    </row>
    <row r="1784" spans="1:11" s="4" customFormat="1" ht="18" customHeight="1">
      <c r="A1784" s="2" t="s">
        <v>3867</v>
      </c>
      <c r="B1784" s="3"/>
      <c r="C1784" s="2"/>
      <c r="D1784" s="3"/>
      <c r="E1784" s="2"/>
      <c r="F1784" s="2" t="s">
        <v>3073</v>
      </c>
      <c r="G1784" s="2"/>
      <c r="H1784" s="2" t="s">
        <v>3073</v>
      </c>
      <c r="I1784" s="2"/>
      <c r="J1784" s="2" t="s">
        <v>3868</v>
      </c>
      <c r="K1784" s="2" t="s">
        <v>3867</v>
      </c>
    </row>
    <row r="1785" spans="1:11" s="4" customFormat="1" ht="18" customHeight="1">
      <c r="A1785" s="2" t="s">
        <v>3869</v>
      </c>
      <c r="B1785" s="3"/>
      <c r="C1785" s="2"/>
      <c r="D1785" s="3"/>
      <c r="E1785" s="2"/>
      <c r="F1785" s="2" t="s">
        <v>3437</v>
      </c>
      <c r="G1785" s="2"/>
      <c r="H1785" s="2" t="s">
        <v>3438</v>
      </c>
      <c r="I1785" s="2"/>
      <c r="J1785" s="2" t="s">
        <v>268</v>
      </c>
      <c r="K1785" s="2" t="s">
        <v>3869</v>
      </c>
    </row>
    <row r="1786" spans="1:11" s="4" customFormat="1" ht="18" customHeight="1">
      <c r="A1786" s="2" t="s">
        <v>3871</v>
      </c>
      <c r="B1786" s="3"/>
      <c r="C1786" s="2"/>
      <c r="D1786" s="3"/>
      <c r="E1786" s="2"/>
      <c r="F1786" s="2" t="s">
        <v>2979</v>
      </c>
      <c r="G1786" s="2"/>
      <c r="H1786" s="2" t="s">
        <v>2980</v>
      </c>
      <c r="I1786" s="2"/>
      <c r="J1786" s="2" t="s">
        <v>3872</v>
      </c>
      <c r="K1786" s="2" t="s">
        <v>3871</v>
      </c>
    </row>
    <row r="1787" spans="1:11" s="4" customFormat="1" ht="18" customHeight="1">
      <c r="A1787" s="2" t="s">
        <v>3874</v>
      </c>
      <c r="B1787" s="3"/>
      <c r="C1787" s="2"/>
      <c r="D1787" s="3"/>
      <c r="E1787" s="2"/>
      <c r="F1787" s="2" t="s">
        <v>1739</v>
      </c>
      <c r="G1787" s="2"/>
      <c r="H1787" s="2" t="s">
        <v>1739</v>
      </c>
      <c r="I1787" s="2"/>
      <c r="J1787" s="2" t="s">
        <v>3875</v>
      </c>
      <c r="K1787" s="2" t="s">
        <v>3874</v>
      </c>
    </row>
    <row r="1788" spans="1:11" s="4" customFormat="1" ht="18" customHeight="1">
      <c r="A1788" s="2" t="s">
        <v>3876</v>
      </c>
      <c r="B1788" s="3"/>
      <c r="C1788" s="2"/>
      <c r="D1788" s="3"/>
      <c r="E1788" s="2"/>
      <c r="F1788" s="2" t="s">
        <v>1625</v>
      </c>
      <c r="G1788" s="2"/>
      <c r="H1788" s="2" t="s">
        <v>1625</v>
      </c>
      <c r="I1788" s="2"/>
      <c r="J1788" s="2" t="s">
        <v>3877</v>
      </c>
      <c r="K1788" s="2" t="s">
        <v>3876</v>
      </c>
    </row>
    <row r="1789" spans="1:11" s="4" customFormat="1" ht="18" customHeight="1">
      <c r="A1789" s="2" t="s">
        <v>3878</v>
      </c>
      <c r="B1789" s="3"/>
      <c r="C1789" s="2"/>
      <c r="D1789" s="3"/>
      <c r="E1789" s="2"/>
      <c r="F1789" s="2" t="s">
        <v>3384</v>
      </c>
      <c r="G1789" s="2"/>
      <c r="H1789" s="2" t="s">
        <v>3384</v>
      </c>
      <c r="I1789" s="2"/>
      <c r="J1789" s="2" t="s">
        <v>3879</v>
      </c>
      <c r="K1789" s="2" t="s">
        <v>3878</v>
      </c>
    </row>
    <row r="1790" spans="1:11" s="4" customFormat="1" ht="18" customHeight="1">
      <c r="A1790" s="2" t="s">
        <v>3880</v>
      </c>
      <c r="B1790" s="3"/>
      <c r="C1790" s="2"/>
      <c r="D1790" s="3"/>
      <c r="E1790" s="2"/>
      <c r="F1790" s="2" t="s">
        <v>3552</v>
      </c>
      <c r="G1790" s="2"/>
      <c r="H1790" s="2" t="s">
        <v>3552</v>
      </c>
      <c r="I1790" s="2"/>
      <c r="J1790" s="2" t="s">
        <v>3881</v>
      </c>
      <c r="K1790" s="2" t="s">
        <v>3880</v>
      </c>
    </row>
    <row r="1791" spans="1:11" s="4" customFormat="1" ht="18" customHeight="1">
      <c r="A1791" s="2" t="s">
        <v>3882</v>
      </c>
      <c r="B1791" s="3"/>
      <c r="C1791" s="2"/>
      <c r="D1791" s="3"/>
      <c r="E1791" s="2"/>
      <c r="F1791" s="2" t="s">
        <v>3510</v>
      </c>
      <c r="G1791" s="2"/>
      <c r="H1791" s="2" t="s">
        <v>3511</v>
      </c>
      <c r="I1791" s="2"/>
      <c r="J1791" s="2" t="s">
        <v>3883</v>
      </c>
      <c r="K1791" s="2" t="s">
        <v>3882</v>
      </c>
    </row>
    <row r="1792" spans="1:11" s="4" customFormat="1" ht="18" customHeight="1">
      <c r="A1792" s="2" t="s">
        <v>3885</v>
      </c>
      <c r="B1792" s="3"/>
      <c r="C1792" s="2"/>
      <c r="D1792" s="3"/>
      <c r="E1792" s="2"/>
      <c r="F1792" s="2" t="s">
        <v>2592</v>
      </c>
      <c r="G1792" s="2"/>
      <c r="H1792" s="2" t="s">
        <v>640</v>
      </c>
      <c r="I1792" s="2"/>
      <c r="J1792" s="2" t="s">
        <v>3886</v>
      </c>
      <c r="K1792" s="2" t="s">
        <v>3885</v>
      </c>
    </row>
    <row r="1793" spans="1:11" s="4" customFormat="1" ht="18" customHeight="1">
      <c r="A1793" s="2" t="s">
        <v>3888</v>
      </c>
      <c r="B1793" s="3"/>
      <c r="C1793" s="2"/>
      <c r="D1793" s="3"/>
      <c r="E1793" s="2"/>
      <c r="F1793" s="2" t="s">
        <v>3694</v>
      </c>
      <c r="G1793" s="2"/>
      <c r="H1793" s="2" t="s">
        <v>3694</v>
      </c>
      <c r="I1793" s="2"/>
      <c r="J1793" s="2" t="s">
        <v>3889</v>
      </c>
      <c r="K1793" s="2" t="s">
        <v>3888</v>
      </c>
    </row>
    <row r="1794" spans="1:11" s="4" customFormat="1" ht="18" customHeight="1">
      <c r="A1794" s="2" t="s">
        <v>3890</v>
      </c>
      <c r="B1794" s="3"/>
      <c r="C1794" s="2"/>
      <c r="D1794" s="3"/>
      <c r="E1794" s="2"/>
      <c r="F1794" s="2" t="s">
        <v>1890</v>
      </c>
      <c r="G1794" s="2"/>
      <c r="H1794" s="2" t="s">
        <v>1890</v>
      </c>
      <c r="I1794" s="2"/>
      <c r="J1794" s="2" t="s">
        <v>3891</v>
      </c>
      <c r="K1794" s="2" t="s">
        <v>3890</v>
      </c>
    </row>
    <row r="1795" spans="1:11" s="4" customFormat="1" ht="18" customHeight="1">
      <c r="A1795" s="2" t="s">
        <v>3893</v>
      </c>
      <c r="B1795" s="3"/>
      <c r="C1795" s="2"/>
      <c r="D1795" s="3"/>
      <c r="E1795" s="2"/>
      <c r="F1795" s="2" t="s">
        <v>855</v>
      </c>
      <c r="G1795" s="2"/>
      <c r="H1795" s="2" t="s">
        <v>855</v>
      </c>
      <c r="I1795" s="2"/>
      <c r="J1795" s="2" t="s">
        <v>3894</v>
      </c>
      <c r="K1795" s="2" t="s">
        <v>3893</v>
      </c>
    </row>
    <row r="1796" spans="1:11" s="4" customFormat="1" ht="18" customHeight="1">
      <c r="A1796" s="2" t="s">
        <v>3895</v>
      </c>
      <c r="B1796" s="3"/>
      <c r="C1796" s="2"/>
      <c r="D1796" s="3"/>
      <c r="E1796" s="2"/>
      <c r="F1796" s="2" t="s">
        <v>855</v>
      </c>
      <c r="G1796" s="2"/>
      <c r="H1796" s="2" t="s">
        <v>549</v>
      </c>
      <c r="I1796" s="2"/>
      <c r="J1796" s="2" t="s">
        <v>3896</v>
      </c>
      <c r="K1796" s="2" t="s">
        <v>3895</v>
      </c>
    </row>
    <row r="1797" spans="1:11" s="4" customFormat="1" ht="18" customHeight="1">
      <c r="A1797" s="2" t="s">
        <v>3897</v>
      </c>
      <c r="B1797" s="3"/>
      <c r="C1797" s="2"/>
      <c r="D1797" s="3"/>
      <c r="E1797" s="2"/>
      <c r="F1797" s="2" t="s">
        <v>855</v>
      </c>
      <c r="G1797" s="2"/>
      <c r="H1797" s="2" t="s">
        <v>855</v>
      </c>
      <c r="I1797" s="2"/>
      <c r="J1797" s="2" t="s">
        <v>3898</v>
      </c>
      <c r="K1797" s="2" t="s">
        <v>3897</v>
      </c>
    </row>
    <row r="1798" spans="1:11" s="4" customFormat="1" ht="18" customHeight="1">
      <c r="A1798" s="2" t="s">
        <v>3899</v>
      </c>
      <c r="B1798" s="3"/>
      <c r="C1798" s="2"/>
      <c r="D1798" s="3"/>
      <c r="E1798" s="2"/>
      <c r="F1798" s="2" t="s">
        <v>1338</v>
      </c>
      <c r="G1798" s="2"/>
      <c r="H1798" s="2" t="s">
        <v>1338</v>
      </c>
      <c r="I1798" s="2"/>
      <c r="J1798" s="2" t="s">
        <v>3900</v>
      </c>
      <c r="K1798" s="2" t="s">
        <v>3899</v>
      </c>
    </row>
    <row r="1799" spans="1:11" s="4" customFormat="1" ht="18" customHeight="1">
      <c r="A1799" s="2" t="s">
        <v>3901</v>
      </c>
      <c r="B1799" s="3"/>
      <c r="C1799" s="2"/>
      <c r="D1799" s="3"/>
      <c r="E1799" s="2"/>
      <c r="F1799" s="2" t="s">
        <v>1340</v>
      </c>
      <c r="G1799" s="2"/>
      <c r="H1799" s="2" t="s">
        <v>1340</v>
      </c>
      <c r="I1799" s="2"/>
      <c r="J1799" s="2" t="s">
        <v>3902</v>
      </c>
      <c r="K1799" s="2" t="s">
        <v>3901</v>
      </c>
    </row>
    <row r="1800" spans="1:11" s="4" customFormat="1" ht="18" customHeight="1">
      <c r="A1800" s="2" t="s">
        <v>3903</v>
      </c>
      <c r="B1800" s="3"/>
      <c r="C1800" s="2"/>
      <c r="D1800" s="3"/>
      <c r="E1800" s="2"/>
      <c r="F1800" s="2" t="s">
        <v>2889</v>
      </c>
      <c r="G1800" s="2"/>
      <c r="H1800" s="2" t="s">
        <v>2889</v>
      </c>
      <c r="I1800" s="2"/>
      <c r="J1800" s="2" t="s">
        <v>3904</v>
      </c>
      <c r="K1800" s="2" t="s">
        <v>3903</v>
      </c>
    </row>
    <row r="1801" spans="1:11" s="4" customFormat="1" ht="18" customHeight="1">
      <c r="A1801" s="2" t="s">
        <v>3906</v>
      </c>
      <c r="B1801" s="3"/>
      <c r="C1801" s="2"/>
      <c r="D1801" s="3"/>
      <c r="E1801" s="2"/>
      <c r="F1801" s="2" t="s">
        <v>1787</v>
      </c>
      <c r="G1801" s="2"/>
      <c r="H1801" s="2" t="s">
        <v>1787</v>
      </c>
      <c r="I1801" s="2"/>
      <c r="J1801" s="2" t="s">
        <v>3907</v>
      </c>
      <c r="K1801" s="2" t="s">
        <v>3906</v>
      </c>
    </row>
    <row r="1802" spans="1:11" s="4" customFormat="1" ht="18" customHeight="1">
      <c r="A1802" s="2" t="s">
        <v>3908</v>
      </c>
      <c r="B1802" s="3"/>
      <c r="C1802" s="2"/>
      <c r="D1802" s="3"/>
      <c r="E1802" s="2"/>
      <c r="F1802" s="2" t="s">
        <v>2891</v>
      </c>
      <c r="G1802" s="2"/>
      <c r="H1802" s="2" t="s">
        <v>2891</v>
      </c>
      <c r="I1802" s="2"/>
      <c r="J1802" s="2" t="s">
        <v>3909</v>
      </c>
      <c r="K1802" s="2" t="s">
        <v>3908</v>
      </c>
    </row>
    <row r="1803" spans="1:11" s="4" customFormat="1" ht="18" customHeight="1">
      <c r="A1803" s="2" t="s">
        <v>3910</v>
      </c>
      <c r="B1803" s="3"/>
      <c r="C1803" s="2"/>
      <c r="D1803" s="3"/>
      <c r="E1803" s="2"/>
      <c r="F1803" s="2" t="s">
        <v>3415</v>
      </c>
      <c r="G1803" s="2"/>
      <c r="H1803" s="2" t="s">
        <v>3415</v>
      </c>
      <c r="I1803" s="2"/>
      <c r="J1803" s="2" t="s">
        <v>3911</v>
      </c>
      <c r="K1803" s="2" t="s">
        <v>3910</v>
      </c>
    </row>
    <row r="1804" spans="1:11" s="4" customFormat="1" ht="18" customHeight="1">
      <c r="A1804" s="2" t="s">
        <v>3913</v>
      </c>
      <c r="B1804" s="3"/>
      <c r="C1804" s="2"/>
      <c r="D1804" s="3"/>
      <c r="E1804" s="2"/>
      <c r="F1804" s="2" t="s">
        <v>1785</v>
      </c>
      <c r="G1804" s="2"/>
      <c r="H1804" s="2" t="s">
        <v>1785</v>
      </c>
      <c r="I1804" s="2"/>
      <c r="J1804" s="2" t="s">
        <v>825</v>
      </c>
      <c r="K1804" s="2" t="s">
        <v>3913</v>
      </c>
    </row>
    <row r="1805" spans="1:11" s="4" customFormat="1" ht="18" customHeight="1">
      <c r="A1805" s="2" t="s">
        <v>3915</v>
      </c>
      <c r="B1805" s="3"/>
      <c r="C1805" s="2"/>
      <c r="D1805" s="3"/>
      <c r="E1805" s="2"/>
      <c r="F1805" s="2" t="s">
        <v>3585</v>
      </c>
      <c r="G1805" s="2"/>
      <c r="H1805" s="2" t="s">
        <v>3585</v>
      </c>
      <c r="I1805" s="2"/>
      <c r="J1805" s="2" t="s">
        <v>3916</v>
      </c>
      <c r="K1805" s="2" t="s">
        <v>3915</v>
      </c>
    </row>
    <row r="1806" spans="1:11" s="4" customFormat="1" ht="18" customHeight="1">
      <c r="A1806" s="2" t="s">
        <v>3917</v>
      </c>
      <c r="B1806" s="3"/>
      <c r="C1806" s="2"/>
      <c r="D1806" s="3"/>
      <c r="E1806" s="2"/>
      <c r="F1806" s="2" t="s">
        <v>3678</v>
      </c>
      <c r="G1806" s="2"/>
      <c r="H1806" s="2" t="s">
        <v>3678</v>
      </c>
      <c r="I1806" s="2"/>
      <c r="J1806" s="2" t="s">
        <v>3918</v>
      </c>
      <c r="K1806" s="2" t="s">
        <v>3917</v>
      </c>
    </row>
    <row r="1807" spans="1:11" s="4" customFormat="1" ht="18" customHeight="1">
      <c r="A1807" s="2" t="s">
        <v>3919</v>
      </c>
      <c r="B1807" s="3"/>
      <c r="C1807" s="2"/>
      <c r="D1807" s="3"/>
      <c r="E1807" s="2"/>
      <c r="F1807" s="2" t="s">
        <v>1128</v>
      </c>
      <c r="G1807" s="2"/>
      <c r="H1807" s="2" t="s">
        <v>1128</v>
      </c>
      <c r="I1807" s="2"/>
      <c r="J1807" s="2" t="s">
        <v>3920</v>
      </c>
      <c r="K1807" s="2" t="s">
        <v>3919</v>
      </c>
    </row>
    <row r="1808" spans="1:11" s="4" customFormat="1" ht="18" customHeight="1">
      <c r="A1808" s="2" t="s">
        <v>3922</v>
      </c>
      <c r="B1808" s="3"/>
      <c r="C1808" s="2"/>
      <c r="D1808" s="3"/>
      <c r="E1808" s="2"/>
      <c r="F1808" s="2" t="s">
        <v>3147</v>
      </c>
      <c r="G1808" s="2"/>
      <c r="H1808" s="2" t="s">
        <v>3147</v>
      </c>
      <c r="I1808" s="2"/>
      <c r="J1808" s="2" t="s">
        <v>3923</v>
      </c>
      <c r="K1808" s="2" t="s">
        <v>3922</v>
      </c>
    </row>
    <row r="1809" spans="1:11" s="4" customFormat="1" ht="18" customHeight="1">
      <c r="A1809" s="2" t="s">
        <v>3924</v>
      </c>
      <c r="B1809" s="3"/>
      <c r="C1809" s="2"/>
      <c r="D1809" s="3"/>
      <c r="E1809" s="2"/>
      <c r="F1809" s="2" t="s">
        <v>2377</v>
      </c>
      <c r="G1809" s="2"/>
      <c r="H1809" s="2" t="s">
        <v>2377</v>
      </c>
      <c r="I1809" s="2"/>
      <c r="J1809" s="2" t="s">
        <v>3925</v>
      </c>
      <c r="K1809" s="2" t="s">
        <v>3924</v>
      </c>
    </row>
    <row r="1810" spans="1:11" s="4" customFormat="1" ht="18" customHeight="1">
      <c r="A1810" s="2" t="s">
        <v>3926</v>
      </c>
      <c r="B1810" s="3"/>
      <c r="C1810" s="2"/>
      <c r="D1810" s="3"/>
      <c r="E1810" s="2"/>
      <c r="F1810" s="2" t="s">
        <v>1001</v>
      </c>
      <c r="G1810" s="2"/>
      <c r="H1810" s="2" t="s">
        <v>1001</v>
      </c>
      <c r="I1810" s="2"/>
      <c r="J1810" s="2" t="s">
        <v>850</v>
      </c>
      <c r="K1810" s="2" t="s">
        <v>3926</v>
      </c>
    </row>
    <row r="1811" spans="1:11" s="4" customFormat="1" ht="18" customHeight="1">
      <c r="A1811" s="2" t="s">
        <v>3927</v>
      </c>
      <c r="B1811" s="3"/>
      <c r="C1811" s="2"/>
      <c r="D1811" s="3"/>
      <c r="E1811" s="2"/>
      <c r="F1811" s="2" t="s">
        <v>2730</v>
      </c>
      <c r="G1811" s="2"/>
      <c r="H1811" s="2" t="s">
        <v>2730</v>
      </c>
      <c r="I1811" s="2"/>
      <c r="J1811" s="2" t="s">
        <v>3928</v>
      </c>
      <c r="K1811" s="2" t="s">
        <v>3927</v>
      </c>
    </row>
    <row r="1812" spans="1:11" s="4" customFormat="1" ht="18" customHeight="1">
      <c r="A1812" s="2" t="s">
        <v>3929</v>
      </c>
      <c r="B1812" s="3"/>
      <c r="C1812" s="2"/>
      <c r="D1812" s="3"/>
      <c r="E1812" s="2"/>
      <c r="F1812" s="2" t="s">
        <v>857</v>
      </c>
      <c r="G1812" s="2"/>
      <c r="H1812" s="2" t="s">
        <v>858</v>
      </c>
      <c r="I1812" s="2"/>
      <c r="J1812" s="2" t="s">
        <v>3930</v>
      </c>
      <c r="K1812" s="2" t="s">
        <v>3929</v>
      </c>
    </row>
    <row r="1813" spans="1:11" s="4" customFormat="1" ht="18" customHeight="1">
      <c r="A1813" s="2" t="s">
        <v>3931</v>
      </c>
      <c r="B1813" s="3"/>
      <c r="C1813" s="2"/>
      <c r="D1813" s="3"/>
      <c r="E1813" s="2"/>
      <c r="F1813" s="2" t="s">
        <v>1354</v>
      </c>
      <c r="G1813" s="2"/>
      <c r="H1813" s="2" t="s">
        <v>1354</v>
      </c>
      <c r="I1813" s="2"/>
      <c r="J1813" s="2" t="s">
        <v>3932</v>
      </c>
      <c r="K1813" s="2" t="s">
        <v>3931</v>
      </c>
    </row>
    <row r="1814" spans="1:11" s="4" customFormat="1" ht="18" customHeight="1">
      <c r="A1814" s="2" t="s">
        <v>3933</v>
      </c>
      <c r="B1814" s="3"/>
      <c r="C1814" s="2"/>
      <c r="D1814" s="3"/>
      <c r="E1814" s="2"/>
      <c r="F1814" s="2" t="s">
        <v>311</v>
      </c>
      <c r="G1814" s="2"/>
      <c r="H1814" s="2" t="s">
        <v>311</v>
      </c>
      <c r="I1814" s="2"/>
      <c r="J1814" s="2" t="s">
        <v>3934</v>
      </c>
      <c r="K1814" s="2" t="s">
        <v>3933</v>
      </c>
    </row>
    <row r="1815" spans="1:11" s="4" customFormat="1" ht="18" customHeight="1">
      <c r="A1815" s="2" t="s">
        <v>3935</v>
      </c>
      <c r="B1815" s="3"/>
      <c r="C1815" s="2"/>
      <c r="D1815" s="3"/>
      <c r="E1815" s="2"/>
      <c r="F1815" s="2" t="s">
        <v>311</v>
      </c>
      <c r="G1815" s="2"/>
      <c r="H1815" s="2" t="s">
        <v>311</v>
      </c>
      <c r="I1815" s="2"/>
      <c r="J1815" s="2" t="s">
        <v>3936</v>
      </c>
      <c r="K1815" s="2" t="s">
        <v>3935</v>
      </c>
    </row>
    <row r="1816" spans="1:11" s="4" customFormat="1" ht="18" customHeight="1">
      <c r="A1816" s="2" t="s">
        <v>3937</v>
      </c>
      <c r="B1816" s="3"/>
      <c r="C1816" s="2"/>
      <c r="D1816" s="3"/>
      <c r="E1816" s="2"/>
      <c r="F1816" s="2" t="s">
        <v>3149</v>
      </c>
      <c r="G1816" s="2"/>
      <c r="H1816" s="2" t="s">
        <v>3149</v>
      </c>
      <c r="I1816" s="2"/>
      <c r="J1816" s="2" t="s">
        <v>3938</v>
      </c>
      <c r="K1816" s="2" t="s">
        <v>3937</v>
      </c>
    </row>
    <row r="1817" spans="1:11" s="4" customFormat="1" ht="18" customHeight="1">
      <c r="A1817" s="2" t="s">
        <v>3940</v>
      </c>
      <c r="B1817" s="3"/>
      <c r="C1817" s="2"/>
      <c r="D1817" s="3"/>
      <c r="E1817" s="2"/>
      <c r="F1817" s="2" t="s">
        <v>2418</v>
      </c>
      <c r="G1817" s="2"/>
      <c r="H1817" s="2" t="s">
        <v>1519</v>
      </c>
      <c r="I1817" s="2"/>
      <c r="J1817" s="2" t="s">
        <v>3941</v>
      </c>
      <c r="K1817" s="2" t="s">
        <v>3940</v>
      </c>
    </row>
    <row r="1818" spans="1:11" s="4" customFormat="1" ht="18" customHeight="1">
      <c r="A1818" s="2" t="s">
        <v>3942</v>
      </c>
      <c r="B1818" s="3"/>
      <c r="C1818" s="2"/>
      <c r="D1818" s="3"/>
      <c r="E1818" s="2"/>
      <c r="F1818" s="2" t="s">
        <v>914</v>
      </c>
      <c r="G1818" s="2"/>
      <c r="H1818" s="2" t="s">
        <v>914</v>
      </c>
      <c r="I1818" s="2"/>
      <c r="J1818" s="2" t="s">
        <v>3943</v>
      </c>
      <c r="K1818" s="2" t="s">
        <v>3942</v>
      </c>
    </row>
    <row r="1819" spans="1:11" s="4" customFormat="1" ht="18" customHeight="1">
      <c r="A1819" s="2" t="s">
        <v>3944</v>
      </c>
      <c r="B1819" s="3"/>
      <c r="C1819" s="2"/>
      <c r="D1819" s="3"/>
      <c r="E1819" s="2"/>
      <c r="F1819" s="2" t="s">
        <v>2516</v>
      </c>
      <c r="G1819" s="2"/>
      <c r="H1819" s="2" t="s">
        <v>2517</v>
      </c>
      <c r="I1819" s="2"/>
      <c r="J1819" s="2" t="s">
        <v>3945</v>
      </c>
      <c r="K1819" s="2" t="s">
        <v>3944</v>
      </c>
    </row>
    <row r="1820" spans="1:11" s="4" customFormat="1" ht="18" customHeight="1">
      <c r="A1820" s="2" t="s">
        <v>3946</v>
      </c>
      <c r="B1820" s="3"/>
      <c r="C1820" s="2"/>
      <c r="D1820" s="3"/>
      <c r="E1820" s="2"/>
      <c r="F1820" s="2" t="s">
        <v>1642</v>
      </c>
      <c r="G1820" s="2"/>
      <c r="H1820" s="2" t="s">
        <v>1642</v>
      </c>
      <c r="I1820" s="2"/>
      <c r="J1820" s="2" t="s">
        <v>3947</v>
      </c>
      <c r="K1820" s="2" t="s">
        <v>3946</v>
      </c>
    </row>
    <row r="1821" spans="1:11" s="4" customFormat="1" ht="18" customHeight="1">
      <c r="A1821" s="2" t="s">
        <v>3948</v>
      </c>
      <c r="B1821" s="3"/>
      <c r="C1821" s="2"/>
      <c r="D1821" s="3"/>
      <c r="E1821" s="2"/>
      <c r="F1821" s="2" t="s">
        <v>2084</v>
      </c>
      <c r="G1821" s="2"/>
      <c r="H1821" s="2" t="s">
        <v>2084</v>
      </c>
      <c r="I1821" s="2"/>
      <c r="J1821" s="2" t="s">
        <v>3949</v>
      </c>
      <c r="K1821" s="2" t="s">
        <v>3948</v>
      </c>
    </row>
    <row r="1822" spans="1:11" s="4" customFormat="1" ht="18" customHeight="1">
      <c r="A1822" s="2" t="s">
        <v>3950</v>
      </c>
      <c r="B1822" s="3"/>
      <c r="C1822" s="2"/>
      <c r="D1822" s="3"/>
      <c r="E1822" s="2"/>
      <c r="F1822" s="2" t="s">
        <v>3285</v>
      </c>
      <c r="G1822" s="2"/>
      <c r="H1822" s="2" t="s">
        <v>3286</v>
      </c>
      <c r="I1822" s="2"/>
      <c r="J1822" s="2" t="s">
        <v>3951</v>
      </c>
      <c r="K1822" s="2" t="s">
        <v>3950</v>
      </c>
    </row>
    <row r="1823" spans="1:11" s="4" customFormat="1" ht="18" customHeight="1">
      <c r="A1823" s="2" t="s">
        <v>3953</v>
      </c>
      <c r="B1823" s="3"/>
      <c r="C1823" s="2"/>
      <c r="D1823" s="3"/>
      <c r="E1823" s="2"/>
      <c r="F1823" s="2" t="s">
        <v>3495</v>
      </c>
      <c r="G1823" s="2"/>
      <c r="H1823" s="2" t="s">
        <v>3495</v>
      </c>
      <c r="I1823" s="2"/>
      <c r="J1823" s="2" t="s">
        <v>3954</v>
      </c>
      <c r="K1823" s="2" t="s">
        <v>3953</v>
      </c>
    </row>
    <row r="1824" spans="1:11" s="4" customFormat="1" ht="18" customHeight="1">
      <c r="A1824" s="2" t="s">
        <v>3955</v>
      </c>
      <c r="B1824" s="3"/>
      <c r="C1824" s="2"/>
      <c r="D1824" s="3"/>
      <c r="E1824" s="2"/>
      <c r="F1824" s="2" t="s">
        <v>223</v>
      </c>
      <c r="G1824" s="2"/>
      <c r="H1824" s="2" t="s">
        <v>223</v>
      </c>
      <c r="I1824" s="2"/>
      <c r="J1824" s="2" t="s">
        <v>1886</v>
      </c>
      <c r="K1824" s="2" t="s">
        <v>3955</v>
      </c>
    </row>
    <row r="1825" spans="1:11" s="4" customFormat="1" ht="18" customHeight="1">
      <c r="A1825" s="2" t="s">
        <v>3956</v>
      </c>
      <c r="B1825" s="3"/>
      <c r="C1825" s="2"/>
      <c r="D1825" s="3"/>
      <c r="E1825" s="2"/>
      <c r="F1825" s="2" t="s">
        <v>326</v>
      </c>
      <c r="G1825" s="2"/>
      <c r="H1825" s="2" t="s">
        <v>326</v>
      </c>
      <c r="I1825" s="2"/>
      <c r="J1825" s="2" t="s">
        <v>3957</v>
      </c>
      <c r="K1825" s="2" t="s">
        <v>3956</v>
      </c>
    </row>
    <row r="1826" spans="1:11" s="4" customFormat="1" ht="18" customHeight="1">
      <c r="A1826" s="2" t="s">
        <v>3958</v>
      </c>
      <c r="B1826" s="3"/>
      <c r="C1826" s="2"/>
      <c r="D1826" s="3"/>
      <c r="E1826" s="2"/>
      <c r="F1826" s="2" t="s">
        <v>464</v>
      </c>
      <c r="G1826" s="2"/>
      <c r="H1826" s="2" t="s">
        <v>464</v>
      </c>
      <c r="I1826" s="2"/>
      <c r="J1826" s="2" t="s">
        <v>3959</v>
      </c>
      <c r="K1826" s="2" t="s">
        <v>3958</v>
      </c>
    </row>
    <row r="1827" spans="1:11" s="4" customFormat="1" ht="18" customHeight="1">
      <c r="A1827" s="2" t="s">
        <v>3961</v>
      </c>
      <c r="B1827" s="3"/>
      <c r="C1827" s="2"/>
      <c r="D1827" s="3"/>
      <c r="E1827" s="2"/>
      <c r="F1827" s="2" t="s">
        <v>792</v>
      </c>
      <c r="G1827" s="2"/>
      <c r="H1827" s="2" t="s">
        <v>792</v>
      </c>
      <c r="I1827" s="2"/>
      <c r="J1827" s="2" t="s">
        <v>3962</v>
      </c>
      <c r="K1827" s="2" t="s">
        <v>3961</v>
      </c>
    </row>
    <row r="1828" spans="1:11" s="4" customFormat="1" ht="18" customHeight="1">
      <c r="A1828" s="2" t="s">
        <v>3963</v>
      </c>
      <c r="B1828" s="3"/>
      <c r="C1828" s="2"/>
      <c r="D1828" s="3"/>
      <c r="E1828" s="2"/>
      <c r="F1828" s="2" t="s">
        <v>2572</v>
      </c>
      <c r="G1828" s="2"/>
      <c r="H1828" s="2" t="s">
        <v>2572</v>
      </c>
      <c r="I1828" s="2"/>
      <c r="J1828" s="2" t="s">
        <v>3964</v>
      </c>
      <c r="K1828" s="2" t="s">
        <v>3963</v>
      </c>
    </row>
    <row r="1829" spans="1:11" s="4" customFormat="1" ht="18" customHeight="1">
      <c r="A1829" s="2" t="s">
        <v>3966</v>
      </c>
      <c r="B1829" s="3"/>
      <c r="C1829" s="2"/>
      <c r="D1829" s="3"/>
      <c r="E1829" s="2"/>
      <c r="F1829" s="2" t="s">
        <v>2572</v>
      </c>
      <c r="G1829" s="2"/>
      <c r="H1829" s="2" t="s">
        <v>2572</v>
      </c>
      <c r="I1829" s="2"/>
      <c r="J1829" s="2" t="s">
        <v>3967</v>
      </c>
      <c r="K1829" s="2" t="s">
        <v>3966</v>
      </c>
    </row>
    <row r="1830" spans="1:11" s="4" customFormat="1" ht="18" customHeight="1">
      <c r="A1830" s="2" t="s">
        <v>3968</v>
      </c>
      <c r="B1830" s="3"/>
      <c r="C1830" s="2"/>
      <c r="D1830" s="3"/>
      <c r="E1830" s="2"/>
      <c r="F1830" s="2" t="s">
        <v>3388</v>
      </c>
      <c r="G1830" s="2"/>
      <c r="H1830" s="2" t="s">
        <v>3388</v>
      </c>
      <c r="I1830" s="2"/>
      <c r="J1830" s="2" t="s">
        <v>3969</v>
      </c>
      <c r="K1830" s="2" t="s">
        <v>3968</v>
      </c>
    </row>
    <row r="1831" spans="1:11" s="4" customFormat="1" ht="18" customHeight="1">
      <c r="A1831" s="2" t="s">
        <v>3970</v>
      </c>
      <c r="B1831" s="3"/>
      <c r="C1831" s="2"/>
      <c r="D1831" s="3"/>
      <c r="E1831" s="2"/>
      <c r="F1831" s="2" t="s">
        <v>916</v>
      </c>
      <c r="G1831" s="2"/>
      <c r="H1831" s="2" t="s">
        <v>916</v>
      </c>
      <c r="I1831" s="2"/>
      <c r="J1831" s="2" t="s">
        <v>3971</v>
      </c>
      <c r="K1831" s="2" t="s">
        <v>3970</v>
      </c>
    </row>
    <row r="1832" spans="1:11" s="4" customFormat="1" ht="18" customHeight="1">
      <c r="A1832" s="2" t="s">
        <v>3973</v>
      </c>
      <c r="B1832" s="3"/>
      <c r="C1832" s="2"/>
      <c r="D1832" s="3"/>
      <c r="E1832" s="2"/>
      <c r="F1832" s="2" t="s">
        <v>3757</v>
      </c>
      <c r="G1832" s="2"/>
      <c r="H1832" s="2" t="s">
        <v>3757</v>
      </c>
      <c r="I1832" s="2"/>
      <c r="J1832" s="2" t="s">
        <v>3974</v>
      </c>
      <c r="K1832" s="2" t="s">
        <v>3973</v>
      </c>
    </row>
    <row r="1833" spans="1:11" s="4" customFormat="1" ht="18" customHeight="1">
      <c r="A1833" s="2" t="s">
        <v>3975</v>
      </c>
      <c r="B1833" s="3"/>
      <c r="C1833" s="2"/>
      <c r="D1833" s="3"/>
      <c r="E1833" s="2"/>
      <c r="F1833" s="2" t="s">
        <v>679</v>
      </c>
      <c r="G1833" s="2"/>
      <c r="H1833" s="2" t="s">
        <v>679</v>
      </c>
      <c r="I1833" s="2"/>
      <c r="J1833" s="2" t="s">
        <v>3976</v>
      </c>
      <c r="K1833" s="2" t="s">
        <v>3975</v>
      </c>
    </row>
    <row r="1834" spans="1:11" s="4" customFormat="1" ht="18" customHeight="1">
      <c r="A1834" s="2" t="s">
        <v>3977</v>
      </c>
      <c r="B1834" s="3"/>
      <c r="C1834" s="2"/>
      <c r="D1834" s="3"/>
      <c r="E1834" s="2"/>
      <c r="F1834" s="2" t="s">
        <v>1693</v>
      </c>
      <c r="G1834" s="2"/>
      <c r="H1834" s="2" t="s">
        <v>1693</v>
      </c>
      <c r="I1834" s="2"/>
      <c r="J1834" s="2" t="s">
        <v>3978</v>
      </c>
      <c r="K1834" s="2" t="s">
        <v>3977</v>
      </c>
    </row>
    <row r="1835" spans="1:11" s="4" customFormat="1" ht="18" customHeight="1">
      <c r="A1835" s="2" t="s">
        <v>3979</v>
      </c>
      <c r="B1835" s="3"/>
      <c r="C1835" s="2"/>
      <c r="D1835" s="3"/>
      <c r="E1835" s="2"/>
      <c r="F1835" s="2" t="s">
        <v>1059</v>
      </c>
      <c r="G1835" s="2"/>
      <c r="H1835" s="2" t="s">
        <v>1059</v>
      </c>
      <c r="I1835" s="2"/>
      <c r="J1835" s="2" t="s">
        <v>3981</v>
      </c>
      <c r="K1835" s="2" t="s">
        <v>3979</v>
      </c>
    </row>
    <row r="1836" spans="1:11" s="4" customFormat="1" ht="18" customHeight="1">
      <c r="A1836" s="2" t="s">
        <v>3982</v>
      </c>
      <c r="B1836" s="3"/>
      <c r="C1836" s="2"/>
      <c r="D1836" s="3"/>
      <c r="E1836" s="2"/>
      <c r="F1836" s="2" t="s">
        <v>2120</v>
      </c>
      <c r="G1836" s="2"/>
      <c r="H1836" s="2" t="s">
        <v>2120</v>
      </c>
      <c r="I1836" s="2"/>
      <c r="J1836" s="2" t="s">
        <v>3983</v>
      </c>
      <c r="K1836" s="2" t="s">
        <v>3982</v>
      </c>
    </row>
    <row r="1837" spans="1:11" s="4" customFormat="1" ht="18" customHeight="1">
      <c r="A1837" s="2" t="s">
        <v>3984</v>
      </c>
      <c r="B1837" s="3"/>
      <c r="C1837" s="2"/>
      <c r="D1837" s="3"/>
      <c r="E1837" s="2"/>
      <c r="F1837" s="2" t="s">
        <v>1689</v>
      </c>
      <c r="G1837" s="2"/>
      <c r="H1837" s="2" t="s">
        <v>1690</v>
      </c>
      <c r="I1837" s="2"/>
      <c r="J1837" s="2" t="s">
        <v>3985</v>
      </c>
      <c r="K1837" s="2" t="s">
        <v>3984</v>
      </c>
    </row>
    <row r="1838" spans="1:11" s="4" customFormat="1" ht="18" customHeight="1">
      <c r="A1838" s="2" t="s">
        <v>3986</v>
      </c>
      <c r="B1838" s="3"/>
      <c r="C1838" s="2"/>
      <c r="D1838" s="3"/>
      <c r="E1838" s="2"/>
      <c r="F1838" s="2" t="s">
        <v>1039</v>
      </c>
      <c r="G1838" s="2"/>
      <c r="H1838" s="2" t="s">
        <v>1039</v>
      </c>
      <c r="I1838" s="2"/>
      <c r="J1838" s="2" t="s">
        <v>3987</v>
      </c>
      <c r="K1838" s="2" t="s">
        <v>3986</v>
      </c>
    </row>
    <row r="1839" spans="1:11" s="4" customFormat="1" ht="18" customHeight="1">
      <c r="A1839" s="2" t="s">
        <v>3988</v>
      </c>
      <c r="B1839" s="3"/>
      <c r="C1839" s="2"/>
      <c r="D1839" s="3"/>
      <c r="E1839" s="2"/>
      <c r="F1839" s="2" t="s">
        <v>3792</v>
      </c>
      <c r="G1839" s="2"/>
      <c r="H1839" s="2" t="s">
        <v>3792</v>
      </c>
      <c r="I1839" s="2"/>
      <c r="J1839" s="2" t="s">
        <v>3989</v>
      </c>
      <c r="K1839" s="2" t="s">
        <v>3988</v>
      </c>
    </row>
    <row r="1840" spans="1:11" s="4" customFormat="1" ht="18" customHeight="1">
      <c r="A1840" s="2" t="s">
        <v>3991</v>
      </c>
      <c r="B1840" s="3"/>
      <c r="C1840" s="2"/>
      <c r="D1840" s="3"/>
      <c r="E1840" s="2"/>
      <c r="F1840" s="2" t="s">
        <v>3242</v>
      </c>
      <c r="G1840" s="2"/>
      <c r="H1840" s="2" t="s">
        <v>3243</v>
      </c>
      <c r="I1840" s="2"/>
      <c r="J1840" s="2" t="s">
        <v>3992</v>
      </c>
      <c r="K1840" s="2" t="s">
        <v>3991</v>
      </c>
    </row>
    <row r="1841" spans="1:11" s="4" customFormat="1" ht="18" customHeight="1">
      <c r="A1841" s="2" t="s">
        <v>3993</v>
      </c>
      <c r="B1841" s="3"/>
      <c r="C1841" s="2"/>
      <c r="D1841" s="3"/>
      <c r="E1841" s="2"/>
      <c r="F1841" s="2" t="s">
        <v>918</v>
      </c>
      <c r="G1841" s="2"/>
      <c r="H1841" s="2" t="s">
        <v>918</v>
      </c>
      <c r="I1841" s="2"/>
      <c r="J1841" s="2" t="s">
        <v>3994</v>
      </c>
      <c r="K1841" s="2" t="s">
        <v>3993</v>
      </c>
    </row>
    <row r="1842" spans="1:11" s="4" customFormat="1" ht="18" customHeight="1">
      <c r="A1842" s="2" t="s">
        <v>3995</v>
      </c>
      <c r="B1842" s="3"/>
      <c r="C1842" s="2"/>
      <c r="D1842" s="3"/>
      <c r="E1842" s="2"/>
      <c r="F1842" s="2" t="s">
        <v>4045</v>
      </c>
      <c r="G1842" s="2"/>
      <c r="H1842" s="2" t="s">
        <v>4046</v>
      </c>
      <c r="I1842" s="2"/>
      <c r="J1842" s="2" t="s">
        <v>3996</v>
      </c>
      <c r="K1842" s="2" t="s">
        <v>3995</v>
      </c>
    </row>
    <row r="1843" spans="1:11" s="4" customFormat="1" ht="18" customHeight="1">
      <c r="A1843" s="2" t="s">
        <v>3997</v>
      </c>
      <c r="B1843" s="3"/>
      <c r="C1843" s="2"/>
      <c r="D1843" s="3"/>
      <c r="E1843" s="2"/>
      <c r="F1843" s="2" t="s">
        <v>2079</v>
      </c>
      <c r="G1843" s="2"/>
      <c r="H1843" s="2" t="s">
        <v>2079</v>
      </c>
      <c r="I1843" s="2"/>
      <c r="J1843" s="2" t="s">
        <v>3998</v>
      </c>
      <c r="K1843" s="2" t="s">
        <v>3997</v>
      </c>
    </row>
    <row r="1844" spans="1:11" s="4" customFormat="1" ht="18" customHeight="1">
      <c r="A1844" s="2" t="s">
        <v>3999</v>
      </c>
      <c r="B1844" s="3"/>
      <c r="C1844" s="2"/>
      <c r="D1844" s="3"/>
      <c r="E1844" s="2"/>
      <c r="F1844" s="2" t="s">
        <v>971</v>
      </c>
      <c r="G1844" s="2"/>
      <c r="H1844" s="2" t="s">
        <v>971</v>
      </c>
      <c r="I1844" s="2"/>
      <c r="J1844" s="2" t="s">
        <v>4000</v>
      </c>
      <c r="K1844" s="2" t="s">
        <v>3999</v>
      </c>
    </row>
    <row r="1845" spans="1:11" s="4" customFormat="1" ht="18" customHeight="1">
      <c r="A1845" s="2" t="s">
        <v>4001</v>
      </c>
      <c r="B1845" s="3"/>
      <c r="C1845" s="2"/>
      <c r="D1845" s="3"/>
      <c r="E1845" s="2"/>
      <c r="F1845" s="2" t="s">
        <v>2268</v>
      </c>
      <c r="G1845" s="2"/>
      <c r="H1845" s="2" t="s">
        <v>2269</v>
      </c>
      <c r="I1845" s="2"/>
      <c r="J1845" s="2" t="s">
        <v>4002</v>
      </c>
      <c r="K1845" s="2" t="s">
        <v>4001</v>
      </c>
    </row>
    <row r="1846" spans="1:11" s="4" customFormat="1" ht="18" customHeight="1">
      <c r="A1846" s="2" t="s">
        <v>4003</v>
      </c>
      <c r="B1846" s="3"/>
      <c r="C1846" s="2"/>
      <c r="D1846" s="3"/>
      <c r="E1846" s="2"/>
      <c r="F1846" s="2" t="s">
        <v>1892</v>
      </c>
      <c r="G1846" s="2"/>
      <c r="H1846" s="2" t="s">
        <v>1892</v>
      </c>
      <c r="I1846" s="2"/>
      <c r="J1846" s="2" t="s">
        <v>4004</v>
      </c>
      <c r="K1846" s="2" t="s">
        <v>4003</v>
      </c>
    </row>
    <row r="1847" spans="1:11" s="4" customFormat="1" ht="18" customHeight="1">
      <c r="A1847" s="2" t="s">
        <v>4005</v>
      </c>
      <c r="B1847" s="3"/>
      <c r="C1847" s="2"/>
      <c r="D1847" s="3"/>
      <c r="E1847" s="2"/>
      <c r="F1847" s="2" t="s">
        <v>1892</v>
      </c>
      <c r="G1847" s="2"/>
      <c r="H1847" s="2" t="s">
        <v>1892</v>
      </c>
      <c r="I1847" s="2"/>
      <c r="J1847" s="2" t="s">
        <v>4006</v>
      </c>
      <c r="K1847" s="2" t="s">
        <v>4005</v>
      </c>
    </row>
    <row r="1848" spans="1:11" s="4" customFormat="1" ht="18" customHeight="1">
      <c r="A1848" s="2" t="s">
        <v>4008</v>
      </c>
      <c r="B1848" s="3"/>
      <c r="C1848" s="2"/>
      <c r="D1848" s="3"/>
      <c r="E1848" s="2"/>
      <c r="F1848" s="2" t="s">
        <v>1892</v>
      </c>
      <c r="G1848" s="2"/>
      <c r="H1848" s="2" t="s">
        <v>1892</v>
      </c>
      <c r="I1848" s="2"/>
      <c r="J1848" s="2" t="s">
        <v>4009</v>
      </c>
      <c r="K1848" s="2" t="s">
        <v>4008</v>
      </c>
    </row>
    <row r="1849" spans="1:11" s="4" customFormat="1" ht="18" customHeight="1">
      <c r="A1849" s="2" t="s">
        <v>4011</v>
      </c>
      <c r="B1849" s="3"/>
      <c r="C1849" s="2"/>
      <c r="D1849" s="3"/>
      <c r="E1849" s="2"/>
      <c r="F1849" s="2" t="s">
        <v>1808</v>
      </c>
      <c r="G1849" s="2"/>
      <c r="H1849" s="2" t="s">
        <v>1808</v>
      </c>
      <c r="I1849" s="2"/>
      <c r="J1849" s="2" t="s">
        <v>4012</v>
      </c>
      <c r="K1849" s="2" t="s">
        <v>4011</v>
      </c>
    </row>
    <row r="1850" spans="1:11" s="4" customFormat="1" ht="18" customHeight="1">
      <c r="A1850" s="2" t="s">
        <v>4013</v>
      </c>
      <c r="B1850" s="3"/>
      <c r="C1850" s="2"/>
      <c r="D1850" s="3"/>
      <c r="E1850" s="2"/>
      <c r="F1850" s="2" t="s">
        <v>453</v>
      </c>
      <c r="G1850" s="2"/>
      <c r="H1850" s="2" t="s">
        <v>453</v>
      </c>
      <c r="I1850" s="2"/>
      <c r="J1850" s="2" t="s">
        <v>3517</v>
      </c>
      <c r="K1850" s="2" t="s">
        <v>4013</v>
      </c>
    </row>
    <row r="1851" spans="1:11" s="4" customFormat="1" ht="18" customHeight="1">
      <c r="A1851" s="2" t="s">
        <v>4014</v>
      </c>
      <c r="B1851" s="3"/>
      <c r="C1851" s="2"/>
      <c r="D1851" s="3"/>
      <c r="E1851" s="2"/>
      <c r="F1851" s="2" t="s">
        <v>444</v>
      </c>
      <c r="G1851" s="2"/>
      <c r="H1851" s="2" t="s">
        <v>444</v>
      </c>
      <c r="I1851" s="2"/>
      <c r="J1851" s="2" t="s">
        <v>4015</v>
      </c>
      <c r="K1851" s="2" t="s">
        <v>4014</v>
      </c>
    </row>
    <row r="1852" spans="1:11" s="4" customFormat="1" ht="18" customHeight="1">
      <c r="A1852" s="2" t="s">
        <v>4016</v>
      </c>
      <c r="B1852" s="3"/>
      <c r="C1852" s="2"/>
      <c r="D1852" s="3"/>
      <c r="E1852" s="2"/>
      <c r="F1852" s="2" t="s">
        <v>2488</v>
      </c>
      <c r="G1852" s="2"/>
      <c r="H1852" s="2" t="s">
        <v>2488</v>
      </c>
      <c r="I1852" s="2"/>
      <c r="J1852" s="2" t="s">
        <v>4018</v>
      </c>
      <c r="K1852" s="2" t="s">
        <v>4016</v>
      </c>
    </row>
    <row r="1853" spans="1:11" s="4" customFormat="1" ht="18" customHeight="1">
      <c r="A1853" s="2" t="s">
        <v>4019</v>
      </c>
      <c r="B1853" s="3"/>
      <c r="C1853" s="2"/>
      <c r="D1853" s="3"/>
      <c r="E1853" s="2"/>
      <c r="F1853" s="2" t="s">
        <v>2488</v>
      </c>
      <c r="G1853" s="2"/>
      <c r="H1853" s="2" t="s">
        <v>2488</v>
      </c>
      <c r="I1853" s="2"/>
      <c r="J1853" s="2" t="s">
        <v>4020</v>
      </c>
      <c r="K1853" s="2" t="s">
        <v>4019</v>
      </c>
    </row>
    <row r="1854" spans="1:11" s="4" customFormat="1" ht="18" customHeight="1">
      <c r="A1854" s="2" t="s">
        <v>4022</v>
      </c>
      <c r="B1854" s="3"/>
      <c r="C1854" s="2"/>
      <c r="D1854" s="3"/>
      <c r="E1854" s="2"/>
      <c r="F1854" s="2" t="s">
        <v>1614</v>
      </c>
      <c r="G1854" s="2"/>
      <c r="H1854" s="2" t="s">
        <v>1614</v>
      </c>
      <c r="I1854" s="2"/>
      <c r="J1854" s="2" t="s">
        <v>4023</v>
      </c>
      <c r="K1854" s="2" t="s">
        <v>4022</v>
      </c>
    </row>
    <row r="1855" spans="1:11" s="4" customFormat="1" ht="18" customHeight="1">
      <c r="A1855" s="2" t="s">
        <v>4025</v>
      </c>
      <c r="B1855" s="3"/>
      <c r="C1855" s="2"/>
      <c r="D1855" s="3"/>
      <c r="E1855" s="2"/>
      <c r="F1855" s="2" t="s">
        <v>3209</v>
      </c>
      <c r="G1855" s="2"/>
      <c r="H1855" s="2" t="s">
        <v>3210</v>
      </c>
      <c r="I1855" s="2"/>
      <c r="J1855" s="2" t="s">
        <v>4026</v>
      </c>
      <c r="K1855" s="2" t="s">
        <v>4025</v>
      </c>
    </row>
    <row r="1856" spans="1:11" s="4" customFormat="1" ht="18" customHeight="1">
      <c r="A1856" s="2" t="s">
        <v>4027</v>
      </c>
      <c r="B1856" s="3"/>
      <c r="C1856" s="2"/>
      <c r="D1856" s="3"/>
      <c r="E1856" s="2"/>
      <c r="F1856" s="2" t="s">
        <v>1467</v>
      </c>
      <c r="G1856" s="2"/>
      <c r="H1856" s="2" t="s">
        <v>1468</v>
      </c>
      <c r="I1856" s="2"/>
      <c r="J1856" s="2" t="s">
        <v>4028</v>
      </c>
      <c r="K1856" s="2" t="s">
        <v>4027</v>
      </c>
    </row>
    <row r="1857" spans="1:11" s="4" customFormat="1" ht="18" customHeight="1">
      <c r="A1857" s="2" t="s">
        <v>4029</v>
      </c>
      <c r="B1857" s="3"/>
      <c r="C1857" s="2"/>
      <c r="D1857" s="3"/>
      <c r="E1857" s="2"/>
      <c r="F1857" s="2" t="s">
        <v>3898</v>
      </c>
      <c r="G1857" s="2"/>
      <c r="H1857" s="2" t="s">
        <v>3898</v>
      </c>
      <c r="I1857" s="2"/>
      <c r="J1857" s="2" t="s">
        <v>4030</v>
      </c>
      <c r="K1857" s="2" t="s">
        <v>4029</v>
      </c>
    </row>
    <row r="1858" spans="1:11" s="4" customFormat="1" ht="18" customHeight="1">
      <c r="A1858" s="2" t="s">
        <v>4031</v>
      </c>
      <c r="B1858" s="3"/>
      <c r="C1858" s="2"/>
      <c r="D1858" s="3"/>
      <c r="E1858" s="2"/>
      <c r="F1858" s="2" t="s">
        <v>1858</v>
      </c>
      <c r="G1858" s="2"/>
      <c r="H1858" s="2" t="s">
        <v>1858</v>
      </c>
      <c r="I1858" s="2"/>
      <c r="J1858" s="2" t="s">
        <v>4032</v>
      </c>
      <c r="K1858" s="2" t="s">
        <v>4031</v>
      </c>
    </row>
    <row r="1859" spans="1:11" s="4" customFormat="1" ht="18" customHeight="1">
      <c r="A1859" s="2" t="s">
        <v>4033</v>
      </c>
      <c r="B1859" s="3"/>
      <c r="C1859" s="2"/>
      <c r="D1859" s="3"/>
      <c r="E1859" s="2"/>
      <c r="F1859" s="2" t="s">
        <v>3350</v>
      </c>
      <c r="G1859" s="2"/>
      <c r="H1859" s="2" t="s">
        <v>3350</v>
      </c>
      <c r="I1859" s="2"/>
      <c r="J1859" s="2" t="s">
        <v>4035</v>
      </c>
      <c r="K1859" s="2" t="s">
        <v>4033</v>
      </c>
    </row>
    <row r="1860" spans="1:11" s="4" customFormat="1" ht="18" customHeight="1">
      <c r="A1860" s="2" t="s">
        <v>4037</v>
      </c>
      <c r="B1860" s="3"/>
      <c r="C1860" s="2"/>
      <c r="D1860" s="3"/>
      <c r="E1860" s="2"/>
      <c r="F1860" s="2" t="s">
        <v>438</v>
      </c>
      <c r="G1860" s="2"/>
      <c r="H1860" s="2" t="s">
        <v>438</v>
      </c>
      <c r="I1860" s="2"/>
      <c r="J1860" s="2" t="s">
        <v>4038</v>
      </c>
      <c r="K1860" s="2" t="s">
        <v>4037</v>
      </c>
    </row>
    <row r="1861" spans="1:11" s="4" customFormat="1" ht="18" customHeight="1">
      <c r="A1861" s="2" t="s">
        <v>4040</v>
      </c>
      <c r="B1861" s="3"/>
      <c r="C1861" s="2"/>
      <c r="D1861" s="3"/>
      <c r="E1861" s="2"/>
      <c r="F1861" s="2" t="s">
        <v>665</v>
      </c>
      <c r="G1861" s="2"/>
      <c r="H1861" s="2" t="s">
        <v>665</v>
      </c>
      <c r="I1861" s="2"/>
      <c r="J1861" s="2" t="s">
        <v>4041</v>
      </c>
      <c r="K1861" s="2" t="s">
        <v>4040</v>
      </c>
    </row>
    <row r="1862" spans="1:11" s="4" customFormat="1" ht="18" customHeight="1">
      <c r="A1862" s="2" t="s">
        <v>4042</v>
      </c>
      <c r="B1862" s="3"/>
      <c r="C1862" s="2"/>
      <c r="D1862" s="3"/>
      <c r="E1862" s="2"/>
      <c r="F1862" s="2" t="s">
        <v>3765</v>
      </c>
      <c r="G1862" s="2"/>
      <c r="H1862" s="2" t="s">
        <v>3765</v>
      </c>
      <c r="I1862" s="2"/>
      <c r="J1862" s="2" t="s">
        <v>4043</v>
      </c>
      <c r="K1862" s="2" t="s">
        <v>4042</v>
      </c>
    </row>
    <row r="1863" spans="1:11" s="4" customFormat="1" ht="18" customHeight="1">
      <c r="A1863" s="2" t="s">
        <v>4044</v>
      </c>
      <c r="B1863" s="3"/>
      <c r="C1863" s="2"/>
      <c r="D1863" s="3"/>
      <c r="E1863" s="2"/>
      <c r="F1863" s="2" t="s">
        <v>466</v>
      </c>
      <c r="G1863" s="2"/>
      <c r="H1863" s="2" t="s">
        <v>466</v>
      </c>
      <c r="I1863" s="2"/>
      <c r="J1863" s="2" t="s">
        <v>4045</v>
      </c>
      <c r="K1863" s="2" t="s">
        <v>4044</v>
      </c>
    </row>
    <row r="1864" spans="1:11" s="4" customFormat="1" ht="18" customHeight="1">
      <c r="A1864" s="2" t="s">
        <v>4047</v>
      </c>
      <c r="B1864" s="3"/>
      <c r="C1864" s="2"/>
      <c r="D1864" s="3"/>
      <c r="E1864" s="2"/>
      <c r="F1864" s="2" t="s">
        <v>920</v>
      </c>
      <c r="G1864" s="2"/>
      <c r="H1864" s="2" t="s">
        <v>920</v>
      </c>
      <c r="I1864" s="2"/>
      <c r="J1864" s="2" t="s">
        <v>4048</v>
      </c>
      <c r="K1864" s="2" t="s">
        <v>4047</v>
      </c>
    </row>
    <row r="1865" spans="1:11" s="4" customFormat="1" ht="18" customHeight="1">
      <c r="A1865" s="2" t="s">
        <v>4049</v>
      </c>
      <c r="B1865" s="3"/>
      <c r="C1865" s="2"/>
      <c r="D1865" s="3"/>
      <c r="E1865" s="2"/>
      <c r="F1865" s="2" t="s">
        <v>532</v>
      </c>
      <c r="G1865" s="2"/>
      <c r="H1865" s="2" t="s">
        <v>532</v>
      </c>
      <c r="I1865" s="2"/>
      <c r="J1865" s="2" t="s">
        <v>4050</v>
      </c>
      <c r="K1865" s="2" t="s">
        <v>4049</v>
      </c>
    </row>
    <row r="1866" spans="1:11" s="4" customFormat="1" ht="18" customHeight="1">
      <c r="A1866" s="2" t="s">
        <v>4051</v>
      </c>
      <c r="B1866" s="3"/>
      <c r="C1866" s="2"/>
      <c r="D1866" s="3"/>
      <c r="E1866" s="2"/>
      <c r="F1866" s="2" t="s">
        <v>3900</v>
      </c>
      <c r="G1866" s="2"/>
      <c r="H1866" s="2" t="s">
        <v>3900</v>
      </c>
      <c r="I1866" s="2"/>
      <c r="J1866" s="2" t="s">
        <v>4053</v>
      </c>
      <c r="K1866" s="2" t="s">
        <v>4051</v>
      </c>
    </row>
    <row r="1867" spans="1:11" s="4" customFormat="1" ht="18" customHeight="1">
      <c r="A1867" s="2" t="s">
        <v>4054</v>
      </c>
      <c r="B1867" s="3"/>
      <c r="C1867" s="2"/>
      <c r="D1867" s="3"/>
      <c r="E1867" s="2"/>
      <c r="F1867" s="2" t="s">
        <v>3179</v>
      </c>
      <c r="G1867" s="2"/>
      <c r="H1867" s="2" t="s">
        <v>3179</v>
      </c>
      <c r="I1867" s="2"/>
      <c r="J1867" s="2" t="s">
        <v>4055</v>
      </c>
      <c r="K1867" s="2" t="s">
        <v>4054</v>
      </c>
    </row>
    <row r="1868" spans="1:11" s="4" customFormat="1" ht="18" customHeight="1">
      <c r="A1868" s="2" t="s">
        <v>4056</v>
      </c>
      <c r="B1868" s="3"/>
      <c r="C1868" s="2"/>
      <c r="D1868" s="3"/>
      <c r="E1868" s="2"/>
      <c r="F1868" s="2" t="s">
        <v>4059</v>
      </c>
      <c r="G1868" s="2"/>
      <c r="H1868" s="2" t="s">
        <v>4060</v>
      </c>
      <c r="I1868" s="2"/>
      <c r="J1868" s="2" t="s">
        <v>4057</v>
      </c>
      <c r="K1868" s="2" t="s">
        <v>4056</v>
      </c>
    </row>
    <row r="1869" spans="1:11" s="4" customFormat="1" ht="18" customHeight="1">
      <c r="A1869" s="2" t="s">
        <v>4058</v>
      </c>
      <c r="B1869" s="3"/>
      <c r="C1869" s="2"/>
      <c r="D1869" s="3"/>
      <c r="E1869" s="2"/>
      <c r="F1869" s="2" t="s">
        <v>2206</v>
      </c>
      <c r="G1869" s="2"/>
      <c r="H1869" s="2" t="s">
        <v>2206</v>
      </c>
      <c r="I1869" s="2"/>
      <c r="J1869" s="2" t="s">
        <v>4059</v>
      </c>
      <c r="K1869" s="2" t="s">
        <v>4058</v>
      </c>
    </row>
    <row r="1870" spans="1:11" s="4" customFormat="1" ht="18" customHeight="1">
      <c r="A1870" s="2" t="s">
        <v>4061</v>
      </c>
      <c r="B1870" s="3"/>
      <c r="C1870" s="2"/>
      <c r="D1870" s="3"/>
      <c r="E1870" s="2"/>
      <c r="F1870" s="2" t="s">
        <v>3849</v>
      </c>
      <c r="G1870" s="2"/>
      <c r="H1870" s="2" t="s">
        <v>3849</v>
      </c>
      <c r="I1870" s="2"/>
      <c r="J1870" s="2" t="s">
        <v>4062</v>
      </c>
      <c r="K1870" s="2" t="s">
        <v>4061</v>
      </c>
    </row>
    <row r="1871" spans="1:11" s="4" customFormat="1" ht="18" customHeight="1">
      <c r="A1871" s="2" t="s">
        <v>4064</v>
      </c>
      <c r="B1871" s="3"/>
      <c r="C1871" s="2"/>
      <c r="D1871" s="3"/>
      <c r="E1871" s="2"/>
      <c r="F1871" s="2" t="s">
        <v>4026</v>
      </c>
      <c r="G1871" s="2"/>
      <c r="H1871" s="2" t="s">
        <v>4026</v>
      </c>
      <c r="I1871" s="2"/>
      <c r="J1871" s="2" t="s">
        <v>4065</v>
      </c>
      <c r="K1871" s="2" t="s">
        <v>4064</v>
      </c>
    </row>
    <row r="1872" spans="1:11" s="4" customFormat="1" ht="18" customHeight="1">
      <c r="A1872" s="2" t="s">
        <v>4067</v>
      </c>
      <c r="B1872" s="3"/>
      <c r="C1872" s="2"/>
      <c r="D1872" s="3"/>
      <c r="E1872" s="2"/>
      <c r="F1872" s="2" t="s">
        <v>3651</v>
      </c>
      <c r="G1872" s="2"/>
      <c r="H1872" s="2" t="s">
        <v>3651</v>
      </c>
      <c r="I1872" s="2"/>
      <c r="J1872" s="2" t="s">
        <v>4068</v>
      </c>
      <c r="K1872" s="2" t="s">
        <v>4067</v>
      </c>
    </row>
    <row r="1873" spans="1:11" s="4" customFormat="1" ht="18" customHeight="1">
      <c r="A1873" s="2" t="s">
        <v>4069</v>
      </c>
      <c r="B1873" s="3"/>
      <c r="C1873" s="2"/>
      <c r="D1873" s="3"/>
      <c r="E1873" s="2"/>
      <c r="F1873" s="2" t="s">
        <v>4018</v>
      </c>
      <c r="G1873" s="2"/>
      <c r="H1873" s="2" t="s">
        <v>4018</v>
      </c>
      <c r="I1873" s="2"/>
      <c r="J1873" s="2" t="s">
        <v>4070</v>
      </c>
      <c r="K1873" s="2" t="s">
        <v>4069</v>
      </c>
    </row>
    <row r="1874" spans="1:11" s="4" customFormat="1" ht="18" customHeight="1">
      <c r="A1874" s="2" t="s">
        <v>4072</v>
      </c>
      <c r="B1874" s="3"/>
      <c r="C1874" s="2"/>
      <c r="D1874" s="3"/>
      <c r="E1874" s="2"/>
      <c r="F1874" s="2" t="s">
        <v>2954</v>
      </c>
      <c r="G1874" s="2"/>
      <c r="H1874" s="2" t="s">
        <v>2954</v>
      </c>
      <c r="I1874" s="2"/>
      <c r="J1874" s="2" t="s">
        <v>4073</v>
      </c>
      <c r="K1874" s="2" t="s">
        <v>4072</v>
      </c>
    </row>
    <row r="1875" spans="1:11" s="4" customFormat="1" ht="18" customHeight="1">
      <c r="A1875" s="2" t="s">
        <v>4074</v>
      </c>
      <c r="B1875" s="3"/>
      <c r="C1875" s="2"/>
      <c r="D1875" s="3"/>
      <c r="E1875" s="2"/>
      <c r="F1875" s="2" t="s">
        <v>1673</v>
      </c>
      <c r="G1875" s="2"/>
      <c r="H1875" s="2" t="s">
        <v>1673</v>
      </c>
      <c r="I1875" s="2"/>
      <c r="J1875" s="2" t="s">
        <v>4075</v>
      </c>
      <c r="K1875" s="2" t="s">
        <v>4074</v>
      </c>
    </row>
  </sheetData>
  <autoFilter ref="A1:K1875" xr:uid="{00000000-0009-0000-0000-000005000000}"/>
  <sortState xmlns:xlrd2="http://schemas.microsoft.com/office/spreadsheetml/2017/richdata2" ref="F2:F1875">
    <sortCondition ref="F1"/>
  </sortState>
  <pageMargins left="0.7" right="0.7" top="0.75" bottom="0.75" header="0.3" footer="0.3"/>
  <pageSetup paperSize="9" orientation="portrait" horizont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875"/>
  <sheetViews>
    <sheetView workbookViewId="0"/>
  </sheetViews>
  <sheetFormatPr baseColWidth="10" defaultRowHeight="15"/>
  <cols>
    <col min="1" max="1" width="16.42578125" bestFit="1" customWidth="1"/>
    <col min="2" max="2" width="28.5703125" bestFit="1" customWidth="1"/>
    <col min="3" max="3" width="41" bestFit="1" customWidth="1"/>
  </cols>
  <sheetData>
    <row r="1" spans="1:3">
      <c r="A1" t="s">
        <v>132</v>
      </c>
      <c r="B1" t="s">
        <v>133</v>
      </c>
      <c r="C1" t="s">
        <v>134</v>
      </c>
    </row>
    <row r="2" spans="1:3">
      <c r="A2" s="5" t="s">
        <v>137</v>
      </c>
      <c r="B2" s="5" t="s">
        <v>184</v>
      </c>
      <c r="C2" s="5" t="s">
        <v>186</v>
      </c>
    </row>
    <row r="3" spans="1:3">
      <c r="A3" s="8" t="s">
        <v>328</v>
      </c>
      <c r="B3" s="5" t="s">
        <v>197</v>
      </c>
      <c r="C3" s="5" t="s">
        <v>184</v>
      </c>
    </row>
    <row r="4" spans="1:3">
      <c r="A4" s="10" t="s">
        <v>681</v>
      </c>
      <c r="B4" s="5" t="s">
        <v>138</v>
      </c>
      <c r="C4" s="5" t="s">
        <v>188</v>
      </c>
    </row>
    <row r="5" spans="1:3">
      <c r="A5" s="11" t="s">
        <v>862</v>
      </c>
      <c r="B5" s="5" t="s">
        <v>225</v>
      </c>
      <c r="C5" s="5" t="s">
        <v>190</v>
      </c>
    </row>
    <row r="6" spans="1:3">
      <c r="A6" s="12" t="s">
        <v>1101</v>
      </c>
      <c r="B6" s="5" t="s">
        <v>235</v>
      </c>
      <c r="C6" s="5" t="s">
        <v>192</v>
      </c>
    </row>
    <row r="7" spans="1:3">
      <c r="A7" s="9" t="s">
        <v>1356</v>
      </c>
      <c r="B7" s="5" t="s">
        <v>4077</v>
      </c>
      <c r="C7" s="5" t="s">
        <v>195</v>
      </c>
    </row>
    <row r="8" spans="1:3">
      <c r="A8" s="7" t="s">
        <v>1616</v>
      </c>
      <c r="B8" s="5" t="s">
        <v>313</v>
      </c>
      <c r="C8" s="5" t="s">
        <v>200</v>
      </c>
    </row>
    <row r="9" spans="1:3">
      <c r="A9" s="13" t="s">
        <v>1629</v>
      </c>
      <c r="B9" s="8" t="s">
        <v>354</v>
      </c>
      <c r="C9" s="5" t="s">
        <v>202</v>
      </c>
    </row>
    <row r="10" spans="1:3">
      <c r="A10" s="14" t="s">
        <v>1860</v>
      </c>
      <c r="B10" s="8" t="s">
        <v>4078</v>
      </c>
      <c r="C10" s="5" t="s">
        <v>204</v>
      </c>
    </row>
    <row r="11" spans="1:3">
      <c r="A11" s="15" t="s">
        <v>2058</v>
      </c>
      <c r="B11" s="8" t="s">
        <v>140</v>
      </c>
      <c r="C11" s="5" t="s">
        <v>206</v>
      </c>
    </row>
    <row r="12" spans="1:3">
      <c r="A12" s="16" t="s">
        <v>2242</v>
      </c>
      <c r="B12" s="8" t="s">
        <v>381</v>
      </c>
      <c r="C12" s="5" t="s">
        <v>208</v>
      </c>
    </row>
    <row r="13" spans="1:3">
      <c r="A13" s="17" t="s">
        <v>2324</v>
      </c>
      <c r="B13" s="8" t="s">
        <v>416</v>
      </c>
      <c r="C13" s="5" t="s">
        <v>211</v>
      </c>
    </row>
    <row r="14" spans="1:3">
      <c r="A14" s="6" t="s">
        <v>4116</v>
      </c>
      <c r="B14" s="8" t="s">
        <v>4079</v>
      </c>
      <c r="C14" s="5" t="s">
        <v>198</v>
      </c>
    </row>
    <row r="15" spans="1:3">
      <c r="A15" s="18" t="s">
        <v>2736</v>
      </c>
      <c r="B15" s="8" t="s">
        <v>446</v>
      </c>
      <c r="C15" s="5" t="s">
        <v>214</v>
      </c>
    </row>
    <row r="16" spans="1:3">
      <c r="A16" s="19" t="s">
        <v>2809</v>
      </c>
      <c r="B16" s="8" t="s">
        <v>455</v>
      </c>
      <c r="C16" s="5" t="s">
        <v>216</v>
      </c>
    </row>
    <row r="17" spans="1:3">
      <c r="A17" s="20" t="s">
        <v>3151</v>
      </c>
      <c r="B17" s="8" t="s">
        <v>329</v>
      </c>
      <c r="C17" s="5" t="s">
        <v>218</v>
      </c>
    </row>
    <row r="18" spans="1:3">
      <c r="A18" s="21" t="s">
        <v>4117</v>
      </c>
      <c r="B18" s="8" t="s">
        <v>468</v>
      </c>
      <c r="C18" s="5" t="s">
        <v>220</v>
      </c>
    </row>
    <row r="19" spans="1:3">
      <c r="A19" s="22" t="s">
        <v>3316</v>
      </c>
      <c r="B19" s="8" t="s">
        <v>501</v>
      </c>
      <c r="C19" s="5" t="s">
        <v>223</v>
      </c>
    </row>
    <row r="20" spans="1:3">
      <c r="A20" s="23" t="s">
        <v>3358</v>
      </c>
      <c r="B20" s="8" t="s">
        <v>512</v>
      </c>
      <c r="C20" s="5" t="s">
        <v>140</v>
      </c>
    </row>
    <row r="21" spans="1:3">
      <c r="A21" s="24" t="s">
        <v>3419</v>
      </c>
      <c r="B21" s="8" t="s">
        <v>4080</v>
      </c>
      <c r="C21" s="5" t="s">
        <v>142</v>
      </c>
    </row>
    <row r="22" spans="1:3">
      <c r="A22" s="25" t="s">
        <v>3557</v>
      </c>
      <c r="B22" s="8" t="s">
        <v>553</v>
      </c>
      <c r="C22" s="5" t="s">
        <v>138</v>
      </c>
    </row>
    <row r="23" spans="1:3">
      <c r="A23" s="26" t="s">
        <v>4110</v>
      </c>
      <c r="B23" s="8" t="s">
        <v>574</v>
      </c>
      <c r="C23" s="5" t="s">
        <v>144</v>
      </c>
    </row>
    <row r="24" spans="1:3">
      <c r="A24" s="27" t="s">
        <v>3943</v>
      </c>
      <c r="B24" s="8" t="s">
        <v>594</v>
      </c>
      <c r="C24" s="5" t="s">
        <v>146</v>
      </c>
    </row>
    <row r="25" spans="1:3">
      <c r="A25" s="28" t="s">
        <v>4004</v>
      </c>
      <c r="B25" s="8" t="s">
        <v>602</v>
      </c>
      <c r="C25" s="5" t="s">
        <v>148</v>
      </c>
    </row>
    <row r="26" spans="1:3">
      <c r="A26" s="29" t="s">
        <v>3245</v>
      </c>
      <c r="B26" s="8" t="s">
        <v>622</v>
      </c>
      <c r="C26" s="5" t="s">
        <v>150</v>
      </c>
    </row>
    <row r="27" spans="1:3">
      <c r="B27" s="8" t="s">
        <v>642</v>
      </c>
      <c r="C27" s="5" t="s">
        <v>152</v>
      </c>
    </row>
    <row r="28" spans="1:3">
      <c r="B28" s="8" t="s">
        <v>665</v>
      </c>
      <c r="C28" s="5" t="s">
        <v>154</v>
      </c>
    </row>
    <row r="29" spans="1:3">
      <c r="B29" s="10" t="s">
        <v>682</v>
      </c>
      <c r="C29" s="5" t="s">
        <v>156</v>
      </c>
    </row>
    <row r="30" spans="1:3">
      <c r="B30" s="10" t="s">
        <v>701</v>
      </c>
      <c r="C30" s="5" t="s">
        <v>158</v>
      </c>
    </row>
    <row r="31" spans="1:3">
      <c r="B31" s="10" t="s">
        <v>743</v>
      </c>
      <c r="C31" s="5" t="s">
        <v>160</v>
      </c>
    </row>
    <row r="32" spans="1:3">
      <c r="B32" s="10" t="s">
        <v>759</v>
      </c>
      <c r="C32" s="5" t="s">
        <v>162</v>
      </c>
    </row>
    <row r="33" spans="2:3">
      <c r="B33" s="10" t="s">
        <v>806</v>
      </c>
      <c r="C33" s="5" t="s">
        <v>165</v>
      </c>
    </row>
    <row r="34" spans="2:3">
      <c r="B34" s="10" t="s">
        <v>794</v>
      </c>
      <c r="C34" s="5" t="s">
        <v>167</v>
      </c>
    </row>
    <row r="35" spans="2:3">
      <c r="B35" s="10" t="s">
        <v>831</v>
      </c>
      <c r="C35" s="5" t="s">
        <v>169</v>
      </c>
    </row>
    <row r="36" spans="2:3">
      <c r="B36" s="11" t="s">
        <v>4115</v>
      </c>
      <c r="C36" s="5" t="s">
        <v>171</v>
      </c>
    </row>
    <row r="37" spans="2:3">
      <c r="B37" s="11" t="s">
        <v>925</v>
      </c>
      <c r="C37" s="5" t="s">
        <v>173</v>
      </c>
    </row>
    <row r="38" spans="2:3">
      <c r="B38" s="11" t="s">
        <v>945</v>
      </c>
      <c r="C38" s="5" t="s">
        <v>176</v>
      </c>
    </row>
    <row r="39" spans="2:3">
      <c r="B39" s="11" t="s">
        <v>973</v>
      </c>
      <c r="C39" s="5" t="s">
        <v>179</v>
      </c>
    </row>
    <row r="40" spans="2:3">
      <c r="B40" s="11" t="s">
        <v>1003</v>
      </c>
      <c r="C40" s="5" t="s">
        <v>181</v>
      </c>
    </row>
    <row r="41" spans="2:3">
      <c r="B41" s="11" t="s">
        <v>1044</v>
      </c>
      <c r="C41" s="5" t="s">
        <v>229</v>
      </c>
    </row>
    <row r="42" spans="2:3">
      <c r="B42" s="11" t="s">
        <v>1061</v>
      </c>
      <c r="C42" s="5" t="s">
        <v>226</v>
      </c>
    </row>
    <row r="43" spans="2:3">
      <c r="B43" s="11" t="s">
        <v>4081</v>
      </c>
      <c r="C43" s="5" t="s">
        <v>232</v>
      </c>
    </row>
    <row r="44" spans="2:3">
      <c r="B44" s="12" t="s">
        <v>1136</v>
      </c>
      <c r="C44" s="5" t="s">
        <v>238</v>
      </c>
    </row>
    <row r="45" spans="2:3">
      <c r="B45" s="12" t="s">
        <v>1102</v>
      </c>
      <c r="C45" s="5" t="s">
        <v>240</v>
      </c>
    </row>
    <row r="46" spans="2:3">
      <c r="B46" s="12" t="s">
        <v>4082</v>
      </c>
      <c r="C46" s="5" t="s">
        <v>242</v>
      </c>
    </row>
    <row r="47" spans="2:3">
      <c r="B47" s="12" t="s">
        <v>1158</v>
      </c>
      <c r="C47" s="5" t="s">
        <v>244</v>
      </c>
    </row>
    <row r="48" spans="2:3">
      <c r="B48" s="12" t="s">
        <v>4083</v>
      </c>
      <c r="C48" s="5" t="s">
        <v>247</v>
      </c>
    </row>
    <row r="49" spans="2:3">
      <c r="B49" s="12" t="s">
        <v>1212</v>
      </c>
      <c r="C49" s="5" t="s">
        <v>236</v>
      </c>
    </row>
    <row r="50" spans="2:3">
      <c r="B50" s="12" t="s">
        <v>1251</v>
      </c>
      <c r="C50" s="5" t="s">
        <v>249</v>
      </c>
    </row>
    <row r="51" spans="2:3">
      <c r="B51" s="12" t="s">
        <v>4084</v>
      </c>
      <c r="C51" s="5" t="s">
        <v>251</v>
      </c>
    </row>
    <row r="52" spans="2:3">
      <c r="B52" s="12" t="s">
        <v>520</v>
      </c>
      <c r="C52" s="5" t="s">
        <v>235</v>
      </c>
    </row>
    <row r="53" spans="2:3">
      <c r="B53" s="12" t="s">
        <v>4085</v>
      </c>
      <c r="C53" s="5" t="s">
        <v>254</v>
      </c>
    </row>
    <row r="54" spans="2:3">
      <c r="B54" s="12" t="s">
        <v>4086</v>
      </c>
      <c r="C54" s="5" t="s">
        <v>256</v>
      </c>
    </row>
    <row r="55" spans="2:3">
      <c r="B55" s="9" t="s">
        <v>1377</v>
      </c>
      <c r="C55" s="5" t="s">
        <v>258</v>
      </c>
    </row>
    <row r="56" spans="2:3">
      <c r="B56" s="9" t="s">
        <v>4121</v>
      </c>
      <c r="C56" s="5" t="s">
        <v>260</v>
      </c>
    </row>
    <row r="57" spans="2:3">
      <c r="B57" s="9" t="s">
        <v>1387</v>
      </c>
      <c r="C57" s="5" t="s">
        <v>263</v>
      </c>
    </row>
    <row r="58" spans="2:3">
      <c r="B58" s="9" t="s">
        <v>1414</v>
      </c>
      <c r="C58" s="5" t="s">
        <v>266</v>
      </c>
    </row>
    <row r="59" spans="2:3">
      <c r="B59" s="9" t="s">
        <v>1451</v>
      </c>
      <c r="C59" s="5" t="s">
        <v>268</v>
      </c>
    </row>
    <row r="60" spans="2:3">
      <c r="B60" s="9" t="s">
        <v>1470</v>
      </c>
      <c r="C60" s="5" t="s">
        <v>271</v>
      </c>
    </row>
    <row r="61" spans="2:3">
      <c r="B61" s="9" t="s">
        <v>1499</v>
      </c>
      <c r="C61" s="5" t="s">
        <v>273</v>
      </c>
    </row>
    <row r="62" spans="2:3">
      <c r="B62" s="9" t="s">
        <v>1505</v>
      </c>
      <c r="C62" s="5" t="s">
        <v>276</v>
      </c>
    </row>
    <row r="63" spans="2:3">
      <c r="B63" s="9" t="s">
        <v>4087</v>
      </c>
      <c r="C63" s="5" t="s">
        <v>278</v>
      </c>
    </row>
    <row r="64" spans="2:3">
      <c r="B64" s="9" t="s">
        <v>4088</v>
      </c>
      <c r="C64" s="5" t="s">
        <v>280</v>
      </c>
    </row>
    <row r="65" spans="2:3">
      <c r="B65" s="9" t="s">
        <v>4089</v>
      </c>
      <c r="C65" s="5" t="s">
        <v>282</v>
      </c>
    </row>
    <row r="66" spans="2:3">
      <c r="B66" s="9" t="s">
        <v>4090</v>
      </c>
      <c r="C66" s="5" t="s">
        <v>284</v>
      </c>
    </row>
    <row r="67" spans="2:3">
      <c r="B67" s="9" t="s">
        <v>4091</v>
      </c>
      <c r="C67" s="5" t="s">
        <v>290</v>
      </c>
    </row>
    <row r="68" spans="2:3">
      <c r="B68" s="7" t="s">
        <v>4120</v>
      </c>
      <c r="C68" s="5" t="s">
        <v>292</v>
      </c>
    </row>
    <row r="69" spans="2:3">
      <c r="B69" s="13" t="s">
        <v>1644</v>
      </c>
      <c r="C69" s="5" t="s">
        <v>294</v>
      </c>
    </row>
    <row r="70" spans="2:3">
      <c r="B70" s="13" t="s">
        <v>422</v>
      </c>
      <c r="C70" s="5" t="s">
        <v>296</v>
      </c>
    </row>
    <row r="71" spans="2:3">
      <c r="B71" s="13" t="s">
        <v>1675</v>
      </c>
      <c r="C71" s="5" t="s">
        <v>298</v>
      </c>
    </row>
    <row r="72" spans="2:3">
      <c r="B72" s="13" t="s">
        <v>1692</v>
      </c>
      <c r="C72" s="5" t="s">
        <v>300</v>
      </c>
    </row>
    <row r="73" spans="2:3">
      <c r="B73" s="13" t="s">
        <v>1710</v>
      </c>
      <c r="C73" s="5" t="s">
        <v>302</v>
      </c>
    </row>
    <row r="74" spans="2:3">
      <c r="B74" s="13" t="s">
        <v>1725</v>
      </c>
      <c r="C74" s="5" t="s">
        <v>304</v>
      </c>
    </row>
    <row r="75" spans="2:3">
      <c r="B75" s="13" t="s">
        <v>4122</v>
      </c>
      <c r="C75" s="5" t="s">
        <v>287</v>
      </c>
    </row>
    <row r="76" spans="2:3">
      <c r="B76" s="13" t="s">
        <v>1741</v>
      </c>
      <c r="C76" s="5" t="s">
        <v>306</v>
      </c>
    </row>
    <row r="77" spans="2:3">
      <c r="B77" s="13" t="s">
        <v>4092</v>
      </c>
      <c r="C77" s="5" t="s">
        <v>309</v>
      </c>
    </row>
    <row r="78" spans="2:3">
      <c r="B78" s="13" t="s">
        <v>1792</v>
      </c>
      <c r="C78" s="5" t="s">
        <v>311</v>
      </c>
    </row>
    <row r="79" spans="2:3">
      <c r="B79" s="13" t="s">
        <v>1810</v>
      </c>
      <c r="C79" s="5" t="s">
        <v>314</v>
      </c>
    </row>
    <row r="80" spans="2:3">
      <c r="B80" s="13" t="s">
        <v>1823</v>
      </c>
      <c r="C80" s="5" t="s">
        <v>316</v>
      </c>
    </row>
    <row r="81" spans="2:3">
      <c r="B81" s="13" t="s">
        <v>1847</v>
      </c>
      <c r="C81" s="5" t="s">
        <v>318</v>
      </c>
    </row>
    <row r="82" spans="2:3">
      <c r="B82" s="14" t="s">
        <v>644</v>
      </c>
      <c r="C82" s="5" t="s">
        <v>320</v>
      </c>
    </row>
    <row r="83" spans="2:3">
      <c r="B83" s="14" t="s">
        <v>1910</v>
      </c>
      <c r="C83" s="5" t="s">
        <v>322</v>
      </c>
    </row>
    <row r="84" spans="2:3">
      <c r="B84" s="14" t="s">
        <v>1936</v>
      </c>
      <c r="C84" s="5" t="s">
        <v>324</v>
      </c>
    </row>
    <row r="85" spans="2:3">
      <c r="B85" s="14" t="s">
        <v>1960</v>
      </c>
      <c r="C85" s="5" t="s">
        <v>326</v>
      </c>
    </row>
    <row r="86" spans="2:3">
      <c r="B86" s="14" t="s">
        <v>4123</v>
      </c>
      <c r="C86" s="8" t="s">
        <v>354</v>
      </c>
    </row>
    <row r="87" spans="2:3">
      <c r="B87" s="14" t="s">
        <v>1984</v>
      </c>
      <c r="C87" s="8" t="s">
        <v>356</v>
      </c>
    </row>
    <row r="88" spans="2:3">
      <c r="B88" s="14" t="s">
        <v>2017</v>
      </c>
      <c r="C88" s="8" t="s">
        <v>358</v>
      </c>
    </row>
    <row r="89" spans="2:3">
      <c r="B89" s="15" t="s">
        <v>2088</v>
      </c>
      <c r="C89" s="8" t="s">
        <v>360</v>
      </c>
    </row>
    <row r="90" spans="2:3">
      <c r="B90" s="15" t="s">
        <v>4093</v>
      </c>
      <c r="C90" s="8" t="s">
        <v>362</v>
      </c>
    </row>
    <row r="91" spans="2:3">
      <c r="B91" s="15" t="s">
        <v>2122</v>
      </c>
      <c r="C91" s="8" t="s">
        <v>367</v>
      </c>
    </row>
    <row r="92" spans="2:3">
      <c r="B92" s="15" t="s">
        <v>2129</v>
      </c>
      <c r="C92" s="8" t="s">
        <v>369</v>
      </c>
    </row>
    <row r="93" spans="2:3">
      <c r="B93" s="15" t="s">
        <v>4124</v>
      </c>
      <c r="C93" s="8" t="s">
        <v>371</v>
      </c>
    </row>
    <row r="94" spans="2:3">
      <c r="B94" s="15" t="s">
        <v>2208</v>
      </c>
      <c r="C94" s="8" t="s">
        <v>365</v>
      </c>
    </row>
    <row r="95" spans="2:3">
      <c r="B95" s="15" t="s">
        <v>4094</v>
      </c>
      <c r="C95" s="8" t="s">
        <v>373</v>
      </c>
    </row>
    <row r="96" spans="2:3">
      <c r="B96" s="15" t="s">
        <v>2176</v>
      </c>
      <c r="C96" s="8" t="s">
        <v>375</v>
      </c>
    </row>
    <row r="97" spans="2:3">
      <c r="B97" s="15" t="s">
        <v>2188</v>
      </c>
      <c r="C97" s="8" t="s">
        <v>379</v>
      </c>
    </row>
    <row r="98" spans="2:3">
      <c r="B98" s="15" t="s">
        <v>4095</v>
      </c>
      <c r="C98" s="8" t="s">
        <v>377</v>
      </c>
    </row>
    <row r="99" spans="2:3">
      <c r="B99" s="15" t="s">
        <v>2224</v>
      </c>
      <c r="C99" s="8" t="s">
        <v>384</v>
      </c>
    </row>
    <row r="100" spans="2:3">
      <c r="B100" s="16" t="s">
        <v>2271</v>
      </c>
      <c r="C100" s="8" t="s">
        <v>364</v>
      </c>
    </row>
    <row r="101" spans="2:3">
      <c r="B101" s="16" t="s">
        <v>4358</v>
      </c>
      <c r="C101" s="8" t="s">
        <v>389</v>
      </c>
    </row>
    <row r="102" spans="2:3">
      <c r="B102" s="16" t="s">
        <v>2292</v>
      </c>
      <c r="C102" s="8" t="s">
        <v>391</v>
      </c>
    </row>
    <row r="103" spans="2:3">
      <c r="B103" s="16" t="s">
        <v>2301</v>
      </c>
      <c r="C103" s="8" t="s">
        <v>393</v>
      </c>
    </row>
    <row r="104" spans="2:3">
      <c r="B104" s="16" t="s">
        <v>2309</v>
      </c>
      <c r="C104" s="8" t="s">
        <v>382</v>
      </c>
    </row>
    <row r="105" spans="2:3">
      <c r="B105" s="17" t="s">
        <v>2407</v>
      </c>
      <c r="C105" s="8" t="s">
        <v>395</v>
      </c>
    </row>
    <row r="106" spans="2:3">
      <c r="B106" s="17" t="s">
        <v>2554</v>
      </c>
      <c r="C106" s="8" t="s">
        <v>398</v>
      </c>
    </row>
    <row r="107" spans="2:3">
      <c r="B107" s="17" t="s">
        <v>1346</v>
      </c>
      <c r="C107" s="8" t="s">
        <v>400</v>
      </c>
    </row>
    <row r="108" spans="2:3">
      <c r="B108" s="17" t="s">
        <v>2325</v>
      </c>
      <c r="C108" s="8" t="s">
        <v>402</v>
      </c>
    </row>
    <row r="109" spans="2:3">
      <c r="B109" s="17" t="s">
        <v>2420</v>
      </c>
      <c r="C109" s="8" t="s">
        <v>404</v>
      </c>
    </row>
    <row r="110" spans="2:3">
      <c r="B110" s="17" t="s">
        <v>2324</v>
      </c>
      <c r="C110" s="8" t="s">
        <v>407</v>
      </c>
    </row>
    <row r="111" spans="2:3">
      <c r="B111" s="17" t="s">
        <v>2497</v>
      </c>
      <c r="C111" s="8" t="s">
        <v>409</v>
      </c>
    </row>
    <row r="112" spans="2:3">
      <c r="B112" s="17" t="s">
        <v>2519</v>
      </c>
      <c r="C112" s="8" t="s">
        <v>411</v>
      </c>
    </row>
    <row r="113" spans="2:3">
      <c r="B113" s="17" t="s">
        <v>1892</v>
      </c>
      <c r="C113" s="8" t="s">
        <v>414</v>
      </c>
    </row>
    <row r="114" spans="2:3">
      <c r="B114" s="6" t="s">
        <v>2594</v>
      </c>
      <c r="C114" s="8" t="s">
        <v>418</v>
      </c>
    </row>
    <row r="115" spans="2:3">
      <c r="B115" s="6" t="s">
        <v>1562</v>
      </c>
      <c r="C115" s="8" t="s">
        <v>420</v>
      </c>
    </row>
    <row r="116" spans="2:3">
      <c r="B116" s="6" t="s">
        <v>2622</v>
      </c>
      <c r="C116" s="8" t="s">
        <v>422</v>
      </c>
    </row>
    <row r="117" spans="2:3">
      <c r="B117" s="6" t="s">
        <v>4096</v>
      </c>
      <c r="C117" s="8" t="s">
        <v>424</v>
      </c>
    </row>
    <row r="118" spans="2:3">
      <c r="B118" s="6" t="s">
        <v>2444</v>
      </c>
      <c r="C118" s="8" t="s">
        <v>416</v>
      </c>
    </row>
    <row r="119" spans="2:3">
      <c r="B119" s="6" t="s">
        <v>2634</v>
      </c>
      <c r="C119" s="8" t="s">
        <v>427</v>
      </c>
    </row>
    <row r="120" spans="2:3">
      <c r="B120" s="6" t="s">
        <v>2654</v>
      </c>
      <c r="C120" s="8" t="s">
        <v>429</v>
      </c>
    </row>
    <row r="121" spans="2:3">
      <c r="B121" s="6" t="s">
        <v>2662</v>
      </c>
      <c r="C121" s="8" t="s">
        <v>431</v>
      </c>
    </row>
    <row r="122" spans="2:3">
      <c r="B122" s="6" t="s">
        <v>4097</v>
      </c>
      <c r="C122" s="8" t="s">
        <v>434</v>
      </c>
    </row>
    <row r="123" spans="2:3">
      <c r="B123" s="6" t="s">
        <v>4098</v>
      </c>
      <c r="C123" s="8" t="s">
        <v>436</v>
      </c>
    </row>
    <row r="124" spans="2:3">
      <c r="B124" s="6" t="s">
        <v>2574</v>
      </c>
      <c r="C124" s="8" t="s">
        <v>438</v>
      </c>
    </row>
    <row r="125" spans="2:3">
      <c r="B125" s="6" t="s">
        <v>2730</v>
      </c>
      <c r="C125" s="8" t="s">
        <v>441</v>
      </c>
    </row>
    <row r="126" spans="2:3">
      <c r="B126" s="18" t="s">
        <v>2737</v>
      </c>
      <c r="C126" s="8" t="s">
        <v>287</v>
      </c>
    </row>
    <row r="127" spans="2:3">
      <c r="B127" s="18" t="s">
        <v>2777</v>
      </c>
      <c r="C127" s="8" t="s">
        <v>444</v>
      </c>
    </row>
    <row r="128" spans="2:3">
      <c r="B128" s="18" t="s">
        <v>4125</v>
      </c>
      <c r="C128" s="8" t="s">
        <v>448</v>
      </c>
    </row>
    <row r="129" spans="2:3">
      <c r="B129" s="19" t="s">
        <v>2893</v>
      </c>
      <c r="C129" s="8" t="s">
        <v>446</v>
      </c>
    </row>
    <row r="130" spans="2:3">
      <c r="B130" s="19" t="s">
        <v>2903</v>
      </c>
      <c r="C130" s="8" t="s">
        <v>450</v>
      </c>
    </row>
    <row r="131" spans="2:3">
      <c r="B131" s="19" t="s">
        <v>2912</v>
      </c>
      <c r="C131" s="8" t="s">
        <v>453</v>
      </c>
    </row>
    <row r="132" spans="2:3">
      <c r="B132" s="19" t="s">
        <v>2926</v>
      </c>
      <c r="C132" s="8" t="s">
        <v>432</v>
      </c>
    </row>
    <row r="133" spans="2:3">
      <c r="B133" s="19" t="s">
        <v>2956</v>
      </c>
      <c r="C133" s="8" t="s">
        <v>458</v>
      </c>
    </row>
    <row r="134" spans="2:3">
      <c r="B134" s="19" t="s">
        <v>2982</v>
      </c>
      <c r="C134" s="8" t="s">
        <v>455</v>
      </c>
    </row>
    <row r="135" spans="2:3">
      <c r="B135" s="19" t="s">
        <v>3049</v>
      </c>
      <c r="C135" s="8" t="s">
        <v>460</v>
      </c>
    </row>
    <row r="136" spans="2:3">
      <c r="B136" s="19" t="s">
        <v>4118</v>
      </c>
      <c r="C136" s="8" t="s">
        <v>462</v>
      </c>
    </row>
    <row r="137" spans="2:3">
      <c r="B137" s="19" t="s">
        <v>3075</v>
      </c>
      <c r="C137" s="8" t="s">
        <v>464</v>
      </c>
    </row>
    <row r="138" spans="2:3">
      <c r="B138" s="19" t="s">
        <v>2488</v>
      </c>
      <c r="C138" s="8" t="s">
        <v>466</v>
      </c>
    </row>
    <row r="139" spans="2:3">
      <c r="B139" s="20" t="s">
        <v>4099</v>
      </c>
      <c r="C139" s="8" t="s">
        <v>331</v>
      </c>
    </row>
    <row r="140" spans="2:3">
      <c r="B140" s="20" t="s">
        <v>4100</v>
      </c>
      <c r="C140" s="8" t="s">
        <v>333</v>
      </c>
    </row>
    <row r="141" spans="2:3">
      <c r="B141" s="20" t="s">
        <v>4126</v>
      </c>
      <c r="C141" s="8" t="s">
        <v>335</v>
      </c>
    </row>
    <row r="142" spans="2:3">
      <c r="B142" s="20" t="s">
        <v>4101</v>
      </c>
      <c r="C142" s="8" t="s">
        <v>329</v>
      </c>
    </row>
    <row r="143" spans="2:3">
      <c r="B143" s="20" t="s">
        <v>3152</v>
      </c>
      <c r="C143" s="8" t="s">
        <v>337</v>
      </c>
    </row>
    <row r="144" spans="2:3">
      <c r="B144" s="20" t="s">
        <v>3276</v>
      </c>
      <c r="C144" s="8" t="s">
        <v>340</v>
      </c>
    </row>
    <row r="145" spans="2:3">
      <c r="B145" s="20" t="s">
        <v>3214</v>
      </c>
      <c r="C145" s="8" t="s">
        <v>342</v>
      </c>
    </row>
    <row r="146" spans="2:3">
      <c r="B146" s="20" t="s">
        <v>3245</v>
      </c>
      <c r="C146" s="8" t="s">
        <v>169</v>
      </c>
    </row>
    <row r="147" spans="2:3">
      <c r="B147" s="21" t="s">
        <v>3301</v>
      </c>
      <c r="C147" s="8" t="s">
        <v>346</v>
      </c>
    </row>
    <row r="148" spans="2:3">
      <c r="B148" s="21" t="s">
        <v>3311</v>
      </c>
      <c r="C148" s="8" t="s">
        <v>348</v>
      </c>
    </row>
    <row r="149" spans="2:3">
      <c r="B149" s="21" t="s">
        <v>3289</v>
      </c>
      <c r="C149" s="8" t="s">
        <v>350</v>
      </c>
    </row>
    <row r="150" spans="2:3">
      <c r="B150" s="22" t="s">
        <v>4102</v>
      </c>
      <c r="C150" s="8" t="s">
        <v>352</v>
      </c>
    </row>
    <row r="151" spans="2:3">
      <c r="B151" s="22" t="s">
        <v>3352</v>
      </c>
      <c r="C151" s="8" t="s">
        <v>470</v>
      </c>
    </row>
    <row r="152" spans="2:3">
      <c r="B152" s="22" t="s">
        <v>4103</v>
      </c>
      <c r="C152" s="8" t="s">
        <v>472</v>
      </c>
    </row>
    <row r="153" spans="2:3">
      <c r="B153" s="23" t="s">
        <v>4104</v>
      </c>
      <c r="C153" s="8" t="s">
        <v>474</v>
      </c>
    </row>
    <row r="154" spans="2:3">
      <c r="B154" s="23" t="s">
        <v>3403</v>
      </c>
      <c r="C154" s="8" t="s">
        <v>476</v>
      </c>
    </row>
    <row r="155" spans="2:3">
      <c r="B155" s="23" t="s">
        <v>4128</v>
      </c>
      <c r="C155" s="8" t="s">
        <v>478</v>
      </c>
    </row>
    <row r="156" spans="2:3">
      <c r="B156" s="24" t="s">
        <v>3440</v>
      </c>
      <c r="C156" s="8" t="s">
        <v>480</v>
      </c>
    </row>
    <row r="157" spans="2:3">
      <c r="B157" s="24" t="s">
        <v>741</v>
      </c>
      <c r="C157" s="8" t="s">
        <v>482</v>
      </c>
    </row>
    <row r="158" spans="2:3">
      <c r="B158" s="24" t="s">
        <v>3476</v>
      </c>
      <c r="C158" s="8" t="s">
        <v>468</v>
      </c>
    </row>
    <row r="159" spans="2:3">
      <c r="B159" s="24" t="s">
        <v>3497</v>
      </c>
      <c r="C159" s="8" t="s">
        <v>484</v>
      </c>
    </row>
    <row r="160" spans="2:3">
      <c r="B160" s="24" t="s">
        <v>4129</v>
      </c>
      <c r="C160" s="8" t="s">
        <v>486</v>
      </c>
    </row>
    <row r="161" spans="2:3">
      <c r="B161" s="24" t="s">
        <v>3543</v>
      </c>
      <c r="C161" s="8" t="s">
        <v>488</v>
      </c>
    </row>
    <row r="162" spans="2:3">
      <c r="B162" s="24" t="s">
        <v>3513</v>
      </c>
      <c r="C162" s="8" t="s">
        <v>490</v>
      </c>
    </row>
    <row r="163" spans="2:3">
      <c r="B163" s="24" t="s">
        <v>3529</v>
      </c>
      <c r="C163" s="8" t="s">
        <v>492</v>
      </c>
    </row>
    <row r="164" spans="2:3">
      <c r="B164" s="25" t="s">
        <v>3095</v>
      </c>
      <c r="C164" s="8" t="s">
        <v>494</v>
      </c>
    </row>
    <row r="165" spans="2:3">
      <c r="B165" s="25" t="s">
        <v>3616</v>
      </c>
      <c r="C165" s="8" t="s">
        <v>496</v>
      </c>
    </row>
    <row r="166" spans="2:3">
      <c r="B166" s="25" t="s">
        <v>3567</v>
      </c>
      <c r="C166" s="8" t="s">
        <v>499</v>
      </c>
    </row>
    <row r="167" spans="2:3">
      <c r="B167" s="25" t="s">
        <v>4105</v>
      </c>
      <c r="C167" s="8" t="s">
        <v>503</v>
      </c>
    </row>
    <row r="168" spans="2:3">
      <c r="B168" s="25" t="s">
        <v>3664</v>
      </c>
      <c r="C168" s="8" t="s">
        <v>505</v>
      </c>
    </row>
    <row r="169" spans="2:3">
      <c r="B169" s="25" t="s">
        <v>1277</v>
      </c>
      <c r="C169" s="8" t="s">
        <v>501</v>
      </c>
    </row>
    <row r="170" spans="2:3">
      <c r="B170" s="25" t="s">
        <v>3696</v>
      </c>
      <c r="C170" s="8" t="s">
        <v>508</v>
      </c>
    </row>
    <row r="171" spans="2:3">
      <c r="B171" s="25" t="s">
        <v>3713</v>
      </c>
      <c r="C171" s="8" t="s">
        <v>510</v>
      </c>
    </row>
    <row r="172" spans="2:3">
      <c r="B172" s="25" t="s">
        <v>4127</v>
      </c>
      <c r="C172" s="8" t="s">
        <v>513</v>
      </c>
    </row>
    <row r="173" spans="2:3">
      <c r="B173" s="25" t="s">
        <v>4106</v>
      </c>
      <c r="C173" s="8" t="s">
        <v>398</v>
      </c>
    </row>
    <row r="174" spans="2:3">
      <c r="B174" s="25" t="s">
        <v>4107</v>
      </c>
      <c r="C174" s="8" t="s">
        <v>516</v>
      </c>
    </row>
    <row r="175" spans="2:3">
      <c r="B175" s="25" t="s">
        <v>3743</v>
      </c>
      <c r="C175" s="8" t="s">
        <v>512</v>
      </c>
    </row>
    <row r="176" spans="2:3">
      <c r="B176" s="25" t="s">
        <v>3765</v>
      </c>
      <c r="C176" s="8" t="s">
        <v>519</v>
      </c>
    </row>
    <row r="177" spans="2:3">
      <c r="B177" s="26" t="s">
        <v>1507</v>
      </c>
      <c r="C177" s="8" t="s">
        <v>522</v>
      </c>
    </row>
    <row r="178" spans="2:3">
      <c r="B178" s="26" t="s">
        <v>4108</v>
      </c>
      <c r="C178" s="8" t="s">
        <v>524</v>
      </c>
    </row>
    <row r="179" spans="2:3">
      <c r="B179" s="26" t="s">
        <v>3801</v>
      </c>
      <c r="C179" s="8" t="s">
        <v>527</v>
      </c>
    </row>
    <row r="180" spans="2:3">
      <c r="B180" s="26" t="s">
        <v>3827</v>
      </c>
      <c r="C180" s="8" t="s">
        <v>530</v>
      </c>
    </row>
    <row r="181" spans="2:3">
      <c r="B181" s="26" t="s">
        <v>4109</v>
      </c>
      <c r="C181" s="8" t="s">
        <v>532</v>
      </c>
    </row>
    <row r="182" spans="2:3">
      <c r="B182" s="26" t="s">
        <v>3782</v>
      </c>
      <c r="C182" s="8" t="s">
        <v>537</v>
      </c>
    </row>
    <row r="183" spans="2:3">
      <c r="B183" s="26" t="s">
        <v>3861</v>
      </c>
      <c r="C183" s="8" t="s">
        <v>539</v>
      </c>
    </row>
    <row r="184" spans="2:3">
      <c r="B184" s="26" t="s">
        <v>3881</v>
      </c>
      <c r="C184" s="8" t="s">
        <v>542</v>
      </c>
    </row>
    <row r="185" spans="2:3">
      <c r="B185" s="26" t="s">
        <v>4130</v>
      </c>
      <c r="C185" s="8" t="s">
        <v>545</v>
      </c>
    </row>
    <row r="186" spans="2:3">
      <c r="B186" s="26" t="s">
        <v>3932</v>
      </c>
      <c r="C186" s="8" t="s">
        <v>547</v>
      </c>
    </row>
    <row r="187" spans="2:3">
      <c r="B187" s="27" t="s">
        <v>3967</v>
      </c>
      <c r="C187" s="8" t="s">
        <v>549</v>
      </c>
    </row>
    <row r="188" spans="2:3">
      <c r="B188" s="27" t="s">
        <v>4111</v>
      </c>
      <c r="C188" s="8" t="s">
        <v>551</v>
      </c>
    </row>
    <row r="189" spans="2:3">
      <c r="B189" s="27" t="s">
        <v>4119</v>
      </c>
      <c r="C189" s="8" t="s">
        <v>535</v>
      </c>
    </row>
    <row r="190" spans="2:3">
      <c r="B190" s="27" t="s">
        <v>3987</v>
      </c>
      <c r="C190" s="8" t="s">
        <v>555</v>
      </c>
    </row>
    <row r="191" spans="2:3">
      <c r="B191" s="28" t="s">
        <v>4112</v>
      </c>
      <c r="C191" s="8" t="s">
        <v>343</v>
      </c>
    </row>
    <row r="192" spans="2:3">
      <c r="B192" s="28" t="s">
        <v>4131</v>
      </c>
      <c r="C192" s="8" t="s">
        <v>558</v>
      </c>
    </row>
    <row r="193" spans="2:3">
      <c r="B193" s="28" t="s">
        <v>4026</v>
      </c>
      <c r="C193" s="8" t="s">
        <v>560</v>
      </c>
    </row>
    <row r="194" spans="2:3">
      <c r="B194" s="29" t="s">
        <v>4052</v>
      </c>
      <c r="C194" s="8" t="s">
        <v>562</v>
      </c>
    </row>
    <row r="195" spans="2:3">
      <c r="B195" s="29" t="s">
        <v>4113</v>
      </c>
      <c r="C195" s="8" t="s">
        <v>564</v>
      </c>
    </row>
    <row r="196" spans="2:3">
      <c r="B196" s="29" t="s">
        <v>4114</v>
      </c>
      <c r="C196" s="8" t="s">
        <v>553</v>
      </c>
    </row>
    <row r="197" spans="2:3">
      <c r="B197" s="29" t="s">
        <v>4075</v>
      </c>
      <c r="C197" s="8" t="s">
        <v>566</v>
      </c>
    </row>
    <row r="198" spans="2:3">
      <c r="C198" s="8" t="s">
        <v>569</v>
      </c>
    </row>
    <row r="199" spans="2:3">
      <c r="C199" s="8" t="s">
        <v>572</v>
      </c>
    </row>
    <row r="200" spans="2:3">
      <c r="C200" s="8" t="s">
        <v>381</v>
      </c>
    </row>
    <row r="201" spans="2:3">
      <c r="C201" s="8" t="s">
        <v>575</v>
      </c>
    </row>
    <row r="202" spans="2:3">
      <c r="C202" s="8" t="s">
        <v>578</v>
      </c>
    </row>
    <row r="203" spans="2:3">
      <c r="C203" s="8" t="s">
        <v>580</v>
      </c>
    </row>
    <row r="204" spans="2:3">
      <c r="C204" s="8" t="s">
        <v>582</v>
      </c>
    </row>
    <row r="205" spans="2:3">
      <c r="C205" s="8" t="s">
        <v>584</v>
      </c>
    </row>
    <row r="206" spans="2:3">
      <c r="C206" s="8" t="s">
        <v>586</v>
      </c>
    </row>
    <row r="207" spans="2:3">
      <c r="C207" s="8" t="s">
        <v>574</v>
      </c>
    </row>
    <row r="208" spans="2:3">
      <c r="C208" s="8" t="s">
        <v>589</v>
      </c>
    </row>
    <row r="209" spans="3:3">
      <c r="C209" s="8" t="s">
        <v>306</v>
      </c>
    </row>
    <row r="210" spans="3:3">
      <c r="C210" s="8" t="s">
        <v>592</v>
      </c>
    </row>
    <row r="211" spans="3:3">
      <c r="C211" s="8" t="s">
        <v>596</v>
      </c>
    </row>
    <row r="212" spans="3:3">
      <c r="C212" s="8" t="s">
        <v>598</v>
      </c>
    </row>
    <row r="213" spans="3:3">
      <c r="C213" s="8" t="s">
        <v>594</v>
      </c>
    </row>
    <row r="214" spans="3:3">
      <c r="C214" s="8" t="s">
        <v>600</v>
      </c>
    </row>
    <row r="215" spans="3:3">
      <c r="C215" s="8" t="s">
        <v>604</v>
      </c>
    </row>
    <row r="216" spans="3:3">
      <c r="C216" s="8" t="s">
        <v>606</v>
      </c>
    </row>
    <row r="217" spans="3:3">
      <c r="C217" s="8" t="s">
        <v>608</v>
      </c>
    </row>
    <row r="218" spans="3:3">
      <c r="C218" s="8" t="s">
        <v>610</v>
      </c>
    </row>
    <row r="219" spans="3:3">
      <c r="C219" s="8" t="s">
        <v>612</v>
      </c>
    </row>
    <row r="220" spans="3:3">
      <c r="C220" s="8" t="s">
        <v>614</v>
      </c>
    </row>
    <row r="221" spans="3:3">
      <c r="C221" s="8" t="s">
        <v>616</v>
      </c>
    </row>
    <row r="222" spans="3:3">
      <c r="C222" s="8" t="s">
        <v>602</v>
      </c>
    </row>
    <row r="223" spans="3:3">
      <c r="C223" s="8" t="s">
        <v>618</v>
      </c>
    </row>
    <row r="224" spans="3:3">
      <c r="C224" s="8" t="s">
        <v>620</v>
      </c>
    </row>
    <row r="225" spans="3:3">
      <c r="C225" s="8" t="s">
        <v>625</v>
      </c>
    </row>
    <row r="226" spans="3:3">
      <c r="C226" s="8" t="s">
        <v>623</v>
      </c>
    </row>
    <row r="227" spans="3:3">
      <c r="C227" s="8" t="s">
        <v>628</v>
      </c>
    </row>
    <row r="228" spans="3:3">
      <c r="C228" s="8" t="s">
        <v>630</v>
      </c>
    </row>
    <row r="229" spans="3:3">
      <c r="C229" s="8" t="s">
        <v>632</v>
      </c>
    </row>
    <row r="230" spans="3:3">
      <c r="C230" s="8" t="s">
        <v>634</v>
      </c>
    </row>
    <row r="231" spans="3:3">
      <c r="C231" s="8" t="s">
        <v>639</v>
      </c>
    </row>
    <row r="232" spans="3:3">
      <c r="C232" s="8" t="s">
        <v>636</v>
      </c>
    </row>
    <row r="233" spans="3:3">
      <c r="C233" s="8" t="s">
        <v>622</v>
      </c>
    </row>
    <row r="234" spans="3:3">
      <c r="C234" s="8" t="s">
        <v>644</v>
      </c>
    </row>
    <row r="235" spans="3:3">
      <c r="C235" s="8" t="s">
        <v>646</v>
      </c>
    </row>
    <row r="236" spans="3:3">
      <c r="C236" s="8" t="s">
        <v>649</v>
      </c>
    </row>
    <row r="237" spans="3:3">
      <c r="C237" s="8" t="s">
        <v>651</v>
      </c>
    </row>
    <row r="238" spans="3:3">
      <c r="C238" s="8" t="s">
        <v>653</v>
      </c>
    </row>
    <row r="239" spans="3:3">
      <c r="C239" s="8" t="s">
        <v>655</v>
      </c>
    </row>
    <row r="240" spans="3:3">
      <c r="C240" s="8" t="s">
        <v>657</v>
      </c>
    </row>
    <row r="241" spans="3:3">
      <c r="C241" s="8" t="s">
        <v>659</v>
      </c>
    </row>
    <row r="242" spans="3:3">
      <c r="C242" s="8" t="s">
        <v>662</v>
      </c>
    </row>
    <row r="243" spans="3:3">
      <c r="C243" s="8" t="s">
        <v>642</v>
      </c>
    </row>
    <row r="244" spans="3:3">
      <c r="C244" s="8" t="s">
        <v>667</v>
      </c>
    </row>
    <row r="245" spans="3:3">
      <c r="C245" s="8" t="s">
        <v>669</v>
      </c>
    </row>
    <row r="246" spans="3:3">
      <c r="C246" s="8" t="s">
        <v>671</v>
      </c>
    </row>
    <row r="247" spans="3:3">
      <c r="C247" s="8" t="s">
        <v>673</v>
      </c>
    </row>
    <row r="248" spans="3:3">
      <c r="C248" s="8" t="s">
        <v>675</v>
      </c>
    </row>
    <row r="249" spans="3:3">
      <c r="C249" s="8" t="s">
        <v>677</v>
      </c>
    </row>
    <row r="250" spans="3:3">
      <c r="C250" s="8" t="s">
        <v>679</v>
      </c>
    </row>
    <row r="251" spans="3:3">
      <c r="C251" s="8" t="s">
        <v>665</v>
      </c>
    </row>
    <row r="252" spans="3:3">
      <c r="C252" s="10" t="s">
        <v>682</v>
      </c>
    </row>
    <row r="253" spans="3:3">
      <c r="C253" s="10" t="s">
        <v>684</v>
      </c>
    </row>
    <row r="254" spans="3:3">
      <c r="C254" s="10" t="s">
        <v>686</v>
      </c>
    </row>
    <row r="255" spans="3:3">
      <c r="C255" s="10" t="s">
        <v>688</v>
      </c>
    </row>
    <row r="256" spans="3:3">
      <c r="C256" s="10" t="s">
        <v>690</v>
      </c>
    </row>
    <row r="257" spans="3:3">
      <c r="C257" s="10" t="s">
        <v>692</v>
      </c>
    </row>
    <row r="258" spans="3:3">
      <c r="C258" s="10" t="s">
        <v>694</v>
      </c>
    </row>
    <row r="259" spans="3:3">
      <c r="C259" s="10" t="s">
        <v>696</v>
      </c>
    </row>
    <row r="260" spans="3:3">
      <c r="C260" s="10" t="s">
        <v>699</v>
      </c>
    </row>
    <row r="261" spans="3:3">
      <c r="C261" s="10" t="s">
        <v>701</v>
      </c>
    </row>
    <row r="262" spans="3:3">
      <c r="C262" s="10" t="s">
        <v>703</v>
      </c>
    </row>
    <row r="263" spans="3:3">
      <c r="C263" s="10" t="s">
        <v>705</v>
      </c>
    </row>
    <row r="264" spans="3:3">
      <c r="C264" s="10" t="s">
        <v>707</v>
      </c>
    </row>
    <row r="265" spans="3:3">
      <c r="C265" s="10" t="s">
        <v>709</v>
      </c>
    </row>
    <row r="266" spans="3:3">
      <c r="C266" s="10" t="s">
        <v>711</v>
      </c>
    </row>
    <row r="267" spans="3:3">
      <c r="C267" s="10" t="s">
        <v>740</v>
      </c>
    </row>
    <row r="268" spans="3:3">
      <c r="C268" s="10" t="s">
        <v>738</v>
      </c>
    </row>
    <row r="269" spans="3:3">
      <c r="C269" s="10" t="s">
        <v>713</v>
      </c>
    </row>
    <row r="270" spans="3:3">
      <c r="C270" s="10" t="s">
        <v>715</v>
      </c>
    </row>
    <row r="271" spans="3:3">
      <c r="C271" s="10" t="s">
        <v>717</v>
      </c>
    </row>
    <row r="272" spans="3:3">
      <c r="C272" s="10" t="s">
        <v>719</v>
      </c>
    </row>
    <row r="273" spans="3:3">
      <c r="C273" s="10" t="s">
        <v>721</v>
      </c>
    </row>
    <row r="274" spans="3:3">
      <c r="C274" s="10" t="s">
        <v>723</v>
      </c>
    </row>
    <row r="275" spans="3:3">
      <c r="C275" s="10" t="s">
        <v>273</v>
      </c>
    </row>
    <row r="276" spans="3:3">
      <c r="C276" s="10" t="s">
        <v>726</v>
      </c>
    </row>
    <row r="277" spans="3:3">
      <c r="C277" s="10" t="s">
        <v>729</v>
      </c>
    </row>
    <row r="278" spans="3:3">
      <c r="C278" s="10" t="s">
        <v>731</v>
      </c>
    </row>
    <row r="279" spans="3:3">
      <c r="C279" s="10" t="s">
        <v>733</v>
      </c>
    </row>
    <row r="280" spans="3:3">
      <c r="C280" s="10" t="s">
        <v>736</v>
      </c>
    </row>
    <row r="281" spans="3:3">
      <c r="C281" s="10" t="s">
        <v>743</v>
      </c>
    </row>
    <row r="282" spans="3:3">
      <c r="C282" s="10" t="s">
        <v>745</v>
      </c>
    </row>
    <row r="283" spans="3:3">
      <c r="C283" s="10" t="s">
        <v>748</v>
      </c>
    </row>
    <row r="284" spans="3:3">
      <c r="C284" s="10" t="s">
        <v>750</v>
      </c>
    </row>
    <row r="285" spans="3:3">
      <c r="C285" s="10" t="s">
        <v>753</v>
      </c>
    </row>
    <row r="286" spans="3:3">
      <c r="C286" s="10" t="s">
        <v>755</v>
      </c>
    </row>
    <row r="287" spans="3:3">
      <c r="C287" s="10" t="s">
        <v>757</v>
      </c>
    </row>
    <row r="288" spans="3:3">
      <c r="C288" s="10" t="s">
        <v>762</v>
      </c>
    </row>
    <row r="289" spans="3:3">
      <c r="C289" s="10" t="s">
        <v>764</v>
      </c>
    </row>
    <row r="290" spans="3:3">
      <c r="C290" s="10" t="s">
        <v>760</v>
      </c>
    </row>
    <row r="291" spans="3:3">
      <c r="C291" s="10" t="s">
        <v>766</v>
      </c>
    </row>
    <row r="292" spans="3:3">
      <c r="C292" s="10" t="s">
        <v>333</v>
      </c>
    </row>
    <row r="293" spans="3:3">
      <c r="C293" s="10" t="s">
        <v>769</v>
      </c>
    </row>
    <row r="294" spans="3:3">
      <c r="C294" s="10" t="s">
        <v>771</v>
      </c>
    </row>
    <row r="295" spans="3:3">
      <c r="C295" s="10" t="s">
        <v>773</v>
      </c>
    </row>
    <row r="296" spans="3:3">
      <c r="C296" s="10" t="s">
        <v>776</v>
      </c>
    </row>
    <row r="297" spans="3:3">
      <c r="C297" s="10" t="s">
        <v>778</v>
      </c>
    </row>
    <row r="298" spans="3:3">
      <c r="C298" s="10" t="s">
        <v>780</v>
      </c>
    </row>
    <row r="299" spans="3:3">
      <c r="C299" s="10" t="s">
        <v>782</v>
      </c>
    </row>
    <row r="300" spans="3:3">
      <c r="C300" s="10" t="s">
        <v>784</v>
      </c>
    </row>
    <row r="301" spans="3:3">
      <c r="C301" s="10" t="s">
        <v>786</v>
      </c>
    </row>
    <row r="302" spans="3:3">
      <c r="C302" s="10" t="s">
        <v>788</v>
      </c>
    </row>
    <row r="303" spans="3:3">
      <c r="C303" s="10" t="s">
        <v>790</v>
      </c>
    </row>
    <row r="304" spans="3:3">
      <c r="C304" s="10" t="s">
        <v>792</v>
      </c>
    </row>
    <row r="305" spans="3:3">
      <c r="C305" s="10" t="s">
        <v>808</v>
      </c>
    </row>
    <row r="306" spans="3:3">
      <c r="C306" s="10" t="s">
        <v>806</v>
      </c>
    </row>
    <row r="307" spans="3:3">
      <c r="C307" s="10" t="s">
        <v>811</v>
      </c>
    </row>
    <row r="308" spans="3:3">
      <c r="C308" s="10" t="s">
        <v>825</v>
      </c>
    </row>
    <row r="309" spans="3:3">
      <c r="C309" s="10" t="s">
        <v>813</v>
      </c>
    </row>
    <row r="310" spans="3:3">
      <c r="C310" s="10" t="s">
        <v>828</v>
      </c>
    </row>
    <row r="311" spans="3:3">
      <c r="C311" s="10" t="s">
        <v>815</v>
      </c>
    </row>
    <row r="312" spans="3:3">
      <c r="C312" s="10" t="s">
        <v>817</v>
      </c>
    </row>
    <row r="313" spans="3:3">
      <c r="C313" s="10" t="s">
        <v>821</v>
      </c>
    </row>
    <row r="314" spans="3:3">
      <c r="C314" s="10" t="s">
        <v>823</v>
      </c>
    </row>
    <row r="315" spans="3:3">
      <c r="C315" s="10" t="s">
        <v>819</v>
      </c>
    </row>
    <row r="316" spans="3:3">
      <c r="C316" s="10" t="s">
        <v>804</v>
      </c>
    </row>
    <row r="317" spans="3:3">
      <c r="C317" s="10" t="s">
        <v>794</v>
      </c>
    </row>
    <row r="318" spans="3:3">
      <c r="C318" s="10" t="s">
        <v>798</v>
      </c>
    </row>
    <row r="319" spans="3:3">
      <c r="C319" s="10" t="s">
        <v>800</v>
      </c>
    </row>
    <row r="320" spans="3:3">
      <c r="C320" s="10" t="s">
        <v>802</v>
      </c>
    </row>
    <row r="321" spans="3:3">
      <c r="C321" s="10" t="s">
        <v>795</v>
      </c>
    </row>
    <row r="322" spans="3:3">
      <c r="C322" s="10" t="s">
        <v>832</v>
      </c>
    </row>
    <row r="323" spans="3:3">
      <c r="C323" s="10" t="s">
        <v>860</v>
      </c>
    </row>
    <row r="324" spans="3:3">
      <c r="C324" s="10" t="s">
        <v>834</v>
      </c>
    </row>
    <row r="325" spans="3:3">
      <c r="C325" s="10" t="s">
        <v>836</v>
      </c>
    </row>
    <row r="326" spans="3:3">
      <c r="C326" s="10" t="s">
        <v>839</v>
      </c>
    </row>
    <row r="327" spans="3:3">
      <c r="C327" s="10" t="s">
        <v>841</v>
      </c>
    </row>
    <row r="328" spans="3:3">
      <c r="C328" s="10" t="s">
        <v>843</v>
      </c>
    </row>
    <row r="329" spans="3:3">
      <c r="C329" s="10" t="s">
        <v>846</v>
      </c>
    </row>
    <row r="330" spans="3:3">
      <c r="C330" s="10" t="s">
        <v>848</v>
      </c>
    </row>
    <row r="331" spans="3:3">
      <c r="C331" s="10" t="s">
        <v>850</v>
      </c>
    </row>
    <row r="332" spans="3:3">
      <c r="C332" s="10" t="s">
        <v>306</v>
      </c>
    </row>
    <row r="333" spans="3:3">
      <c r="C333" s="10" t="s">
        <v>853</v>
      </c>
    </row>
    <row r="334" spans="3:3">
      <c r="C334" s="10" t="s">
        <v>855</v>
      </c>
    </row>
    <row r="335" spans="3:3">
      <c r="C335" s="10" t="s">
        <v>857</v>
      </c>
    </row>
    <row r="336" spans="3:3">
      <c r="C336" s="11" t="s">
        <v>864</v>
      </c>
    </row>
    <row r="337" spans="3:3">
      <c r="C337" s="11" t="s">
        <v>862</v>
      </c>
    </row>
    <row r="338" spans="3:3">
      <c r="C338" s="11" t="s">
        <v>867</v>
      </c>
    </row>
    <row r="339" spans="3:3">
      <c r="C339" s="11" t="s">
        <v>869</v>
      </c>
    </row>
    <row r="340" spans="3:3">
      <c r="C340" s="11" t="s">
        <v>871</v>
      </c>
    </row>
    <row r="341" spans="3:3">
      <c r="C341" s="11" t="s">
        <v>873</v>
      </c>
    </row>
    <row r="342" spans="3:3">
      <c r="C342" s="11" t="s">
        <v>875</v>
      </c>
    </row>
    <row r="343" spans="3:3">
      <c r="C343" s="11" t="s">
        <v>922</v>
      </c>
    </row>
    <row r="344" spans="3:3">
      <c r="C344" s="11" t="s">
        <v>877</v>
      </c>
    </row>
    <row r="345" spans="3:3">
      <c r="C345" s="11" t="s">
        <v>879</v>
      </c>
    </row>
    <row r="346" spans="3:3">
      <c r="C346" s="11" t="s">
        <v>881</v>
      </c>
    </row>
    <row r="347" spans="3:3">
      <c r="C347" s="11" t="s">
        <v>883</v>
      </c>
    </row>
    <row r="348" spans="3:3">
      <c r="C348" s="11" t="s">
        <v>885</v>
      </c>
    </row>
    <row r="349" spans="3:3">
      <c r="C349" s="11" t="s">
        <v>887</v>
      </c>
    </row>
    <row r="350" spans="3:3">
      <c r="C350" s="11" t="s">
        <v>889</v>
      </c>
    </row>
    <row r="351" spans="3:3">
      <c r="C351" s="11" t="s">
        <v>892</v>
      </c>
    </row>
    <row r="352" spans="3:3">
      <c r="C352" s="11" t="s">
        <v>894</v>
      </c>
    </row>
    <row r="353" spans="3:3">
      <c r="C353" s="11" t="s">
        <v>896</v>
      </c>
    </row>
    <row r="354" spans="3:3">
      <c r="C354" s="11" t="s">
        <v>898</v>
      </c>
    </row>
    <row r="355" spans="3:3">
      <c r="C355" s="11" t="s">
        <v>901</v>
      </c>
    </row>
    <row r="356" spans="3:3">
      <c r="C356" s="11" t="s">
        <v>904</v>
      </c>
    </row>
    <row r="357" spans="3:3">
      <c r="C357" s="11" t="s">
        <v>906</v>
      </c>
    </row>
    <row r="358" spans="3:3">
      <c r="C358" s="11" t="s">
        <v>908</v>
      </c>
    </row>
    <row r="359" spans="3:3">
      <c r="C359" s="11" t="s">
        <v>910</v>
      </c>
    </row>
    <row r="360" spans="3:3">
      <c r="C360" s="11" t="s">
        <v>912</v>
      </c>
    </row>
    <row r="361" spans="3:3">
      <c r="C361" s="11" t="s">
        <v>914</v>
      </c>
    </row>
    <row r="362" spans="3:3">
      <c r="C362" s="11" t="s">
        <v>916</v>
      </c>
    </row>
    <row r="363" spans="3:3">
      <c r="C363" s="11" t="s">
        <v>918</v>
      </c>
    </row>
    <row r="364" spans="3:3">
      <c r="C364" s="11" t="s">
        <v>920</v>
      </c>
    </row>
    <row r="365" spans="3:3">
      <c r="C365" s="11" t="s">
        <v>925</v>
      </c>
    </row>
    <row r="366" spans="3:3">
      <c r="C366" s="11" t="s">
        <v>927</v>
      </c>
    </row>
    <row r="367" spans="3:3">
      <c r="C367" s="11" t="s">
        <v>930</v>
      </c>
    </row>
    <row r="368" spans="3:3">
      <c r="C368" s="11" t="s">
        <v>933</v>
      </c>
    </row>
    <row r="369" spans="3:3">
      <c r="C369" s="11" t="s">
        <v>936</v>
      </c>
    </row>
    <row r="370" spans="3:3">
      <c r="C370" s="11" t="s">
        <v>939</v>
      </c>
    </row>
    <row r="371" spans="3:3">
      <c r="C371" s="11" t="s">
        <v>941</v>
      </c>
    </row>
    <row r="372" spans="3:3">
      <c r="C372" s="11" t="s">
        <v>943</v>
      </c>
    </row>
    <row r="373" spans="3:3">
      <c r="C373" s="11" t="s">
        <v>947</v>
      </c>
    </row>
    <row r="374" spans="3:3">
      <c r="C374" s="11" t="s">
        <v>949</v>
      </c>
    </row>
    <row r="375" spans="3:3">
      <c r="C375" s="11" t="s">
        <v>951</v>
      </c>
    </row>
    <row r="376" spans="3:3">
      <c r="C376" s="11" t="s">
        <v>953</v>
      </c>
    </row>
    <row r="377" spans="3:3">
      <c r="C377" s="11" t="s">
        <v>955</v>
      </c>
    </row>
    <row r="378" spans="3:3">
      <c r="C378" s="11" t="s">
        <v>945</v>
      </c>
    </row>
    <row r="379" spans="3:3">
      <c r="C379" s="11" t="s">
        <v>957</v>
      </c>
    </row>
    <row r="380" spans="3:3">
      <c r="C380" s="11" t="s">
        <v>959</v>
      </c>
    </row>
    <row r="381" spans="3:3">
      <c r="C381" s="11" t="s">
        <v>962</v>
      </c>
    </row>
    <row r="382" spans="3:3">
      <c r="C382" s="11" t="s">
        <v>965</v>
      </c>
    </row>
    <row r="383" spans="3:3">
      <c r="C383" s="11" t="s">
        <v>967</v>
      </c>
    </row>
    <row r="384" spans="3:3">
      <c r="C384" s="11" t="s">
        <v>969</v>
      </c>
    </row>
    <row r="385" spans="3:3">
      <c r="C385" s="11" t="s">
        <v>971</v>
      </c>
    </row>
    <row r="386" spans="3:3">
      <c r="C386" s="11" t="s">
        <v>976</v>
      </c>
    </row>
    <row r="387" spans="3:3">
      <c r="C387" s="11" t="s">
        <v>974</v>
      </c>
    </row>
    <row r="388" spans="3:3">
      <c r="C388" s="11" t="s">
        <v>978</v>
      </c>
    </row>
    <row r="389" spans="3:3">
      <c r="C389" s="11" t="s">
        <v>980</v>
      </c>
    </row>
    <row r="390" spans="3:3">
      <c r="C390" s="11" t="s">
        <v>982</v>
      </c>
    </row>
    <row r="391" spans="3:3">
      <c r="C391" s="11" t="s">
        <v>984</v>
      </c>
    </row>
    <row r="392" spans="3:3">
      <c r="C392" s="11" t="s">
        <v>986</v>
      </c>
    </row>
    <row r="393" spans="3:3">
      <c r="C393" s="11" t="s">
        <v>988</v>
      </c>
    </row>
    <row r="394" spans="3:3">
      <c r="C394" s="11" t="s">
        <v>990</v>
      </c>
    </row>
    <row r="395" spans="3:3">
      <c r="C395" s="11" t="s">
        <v>992</v>
      </c>
    </row>
    <row r="396" spans="3:3">
      <c r="C396" s="11" t="s">
        <v>994</v>
      </c>
    </row>
    <row r="397" spans="3:3">
      <c r="C397" s="11" t="s">
        <v>996</v>
      </c>
    </row>
    <row r="398" spans="3:3">
      <c r="C398" s="11" t="s">
        <v>998</v>
      </c>
    </row>
    <row r="399" spans="3:3">
      <c r="C399" s="11" t="s">
        <v>1001</v>
      </c>
    </row>
    <row r="400" spans="3:3">
      <c r="C400" s="11" t="s">
        <v>1006</v>
      </c>
    </row>
    <row r="401" spans="3:3">
      <c r="C401" s="11" t="s">
        <v>1008</v>
      </c>
    </row>
    <row r="402" spans="3:3">
      <c r="C402" s="11" t="s">
        <v>1010</v>
      </c>
    </row>
    <row r="403" spans="3:3">
      <c r="C403" s="11" t="s">
        <v>1003</v>
      </c>
    </row>
    <row r="404" spans="3:3">
      <c r="C404" s="11" t="s">
        <v>1004</v>
      </c>
    </row>
    <row r="405" spans="3:3">
      <c r="C405" s="11" t="s">
        <v>1013</v>
      </c>
    </row>
    <row r="406" spans="3:3">
      <c r="C406" s="11" t="s">
        <v>294</v>
      </c>
    </row>
    <row r="407" spans="3:3">
      <c r="C407" s="11" t="s">
        <v>1016</v>
      </c>
    </row>
    <row r="408" spans="3:3">
      <c r="C408" s="11" t="s">
        <v>1018</v>
      </c>
    </row>
    <row r="409" spans="3:3">
      <c r="C409" s="11" t="s">
        <v>1020</v>
      </c>
    </row>
    <row r="410" spans="3:3">
      <c r="C410" s="11" t="s">
        <v>1022</v>
      </c>
    </row>
    <row r="411" spans="3:3">
      <c r="C411" s="11" t="s">
        <v>1024</v>
      </c>
    </row>
    <row r="412" spans="3:3">
      <c r="C412" s="11" t="s">
        <v>1026</v>
      </c>
    </row>
    <row r="413" spans="3:3">
      <c r="C413" s="11" t="s">
        <v>1041</v>
      </c>
    </row>
    <row r="414" spans="3:3">
      <c r="C414" s="11" t="s">
        <v>1028</v>
      </c>
    </row>
    <row r="415" spans="3:3">
      <c r="C415" s="11" t="s">
        <v>1031</v>
      </c>
    </row>
    <row r="416" spans="3:3">
      <c r="C416" s="11" t="s">
        <v>1033</v>
      </c>
    </row>
    <row r="417" spans="3:3">
      <c r="C417" s="11" t="s">
        <v>1035</v>
      </c>
    </row>
    <row r="418" spans="3:3">
      <c r="C418" s="11" t="s">
        <v>1037</v>
      </c>
    </row>
    <row r="419" spans="3:3">
      <c r="C419" s="11" t="s">
        <v>1039</v>
      </c>
    </row>
    <row r="420" spans="3:3">
      <c r="C420" s="11" t="s">
        <v>1046</v>
      </c>
    </row>
    <row r="421" spans="3:3">
      <c r="C421" s="11" t="s">
        <v>1048</v>
      </c>
    </row>
    <row r="422" spans="3:3">
      <c r="C422" s="11" t="s">
        <v>1050</v>
      </c>
    </row>
    <row r="423" spans="3:3">
      <c r="C423" s="11" t="s">
        <v>148</v>
      </c>
    </row>
    <row r="424" spans="3:3">
      <c r="C424" s="11" t="s">
        <v>1052</v>
      </c>
    </row>
    <row r="425" spans="3:3">
      <c r="C425" s="11" t="s">
        <v>1054</v>
      </c>
    </row>
    <row r="426" spans="3:3">
      <c r="C426" s="11" t="s">
        <v>1057</v>
      </c>
    </row>
    <row r="427" spans="3:3">
      <c r="C427" s="11" t="s">
        <v>1059</v>
      </c>
    </row>
    <row r="428" spans="3:3">
      <c r="C428" s="11" t="s">
        <v>1064</v>
      </c>
    </row>
    <row r="429" spans="3:3">
      <c r="C429" s="11" t="s">
        <v>1066</v>
      </c>
    </row>
    <row r="430" spans="3:3">
      <c r="C430" s="11" t="s">
        <v>1061</v>
      </c>
    </row>
    <row r="431" spans="3:3">
      <c r="C431" s="11" t="s">
        <v>1071</v>
      </c>
    </row>
    <row r="432" spans="3:3">
      <c r="C432" s="11" t="s">
        <v>1062</v>
      </c>
    </row>
    <row r="433" spans="3:3">
      <c r="C433" s="11" t="s">
        <v>1073</v>
      </c>
    </row>
    <row r="434" spans="3:3">
      <c r="C434" s="11" t="s">
        <v>1078</v>
      </c>
    </row>
    <row r="435" spans="3:3">
      <c r="C435" s="11" t="s">
        <v>1080</v>
      </c>
    </row>
    <row r="436" spans="3:3">
      <c r="C436" s="11" t="s">
        <v>1076</v>
      </c>
    </row>
    <row r="437" spans="3:3">
      <c r="C437" s="11" t="s">
        <v>1082</v>
      </c>
    </row>
    <row r="438" spans="3:3">
      <c r="C438" s="11" t="s">
        <v>1085</v>
      </c>
    </row>
    <row r="439" spans="3:3">
      <c r="C439" s="11" t="s">
        <v>1088</v>
      </c>
    </row>
    <row r="440" spans="3:3">
      <c r="C440" s="11" t="s">
        <v>1090</v>
      </c>
    </row>
    <row r="441" spans="3:3">
      <c r="C441" s="11" t="s">
        <v>1093</v>
      </c>
    </row>
    <row r="442" spans="3:3">
      <c r="C442" s="11" t="s">
        <v>1095</v>
      </c>
    </row>
    <row r="443" spans="3:3">
      <c r="C443" s="11" t="s">
        <v>1097</v>
      </c>
    </row>
    <row r="444" spans="3:3">
      <c r="C444" s="11" t="s">
        <v>1099</v>
      </c>
    </row>
    <row r="445" spans="3:3">
      <c r="C445" s="12" t="s">
        <v>1136</v>
      </c>
    </row>
    <row r="446" spans="3:3">
      <c r="C446" s="12" t="s">
        <v>1138</v>
      </c>
    </row>
    <row r="447" spans="3:3">
      <c r="C447" s="12" t="s">
        <v>1140</v>
      </c>
    </row>
    <row r="448" spans="3:3">
      <c r="C448" s="12" t="s">
        <v>1143</v>
      </c>
    </row>
    <row r="449" spans="3:3">
      <c r="C449" s="12" t="s">
        <v>1145</v>
      </c>
    </row>
    <row r="450" spans="3:3">
      <c r="C450" s="12" t="s">
        <v>1147</v>
      </c>
    </row>
    <row r="451" spans="3:3">
      <c r="C451" s="12" t="s">
        <v>1104</v>
      </c>
    </row>
    <row r="452" spans="3:3">
      <c r="C452" s="12" t="s">
        <v>1106</v>
      </c>
    </row>
    <row r="453" spans="3:3">
      <c r="C453" s="12" t="s">
        <v>1133</v>
      </c>
    </row>
    <row r="454" spans="3:3">
      <c r="C454" s="12" t="s">
        <v>1101</v>
      </c>
    </row>
    <row r="455" spans="3:3">
      <c r="C455" s="12" t="s">
        <v>1108</v>
      </c>
    </row>
    <row r="456" spans="3:3">
      <c r="C456" s="12" t="s">
        <v>705</v>
      </c>
    </row>
    <row r="457" spans="3:3">
      <c r="C457" s="12" t="s">
        <v>1130</v>
      </c>
    </row>
    <row r="458" spans="3:3">
      <c r="C458" s="12" t="s">
        <v>553</v>
      </c>
    </row>
    <row r="459" spans="3:3">
      <c r="C459" s="12" t="s">
        <v>1112</v>
      </c>
    </row>
    <row r="460" spans="3:3">
      <c r="C460" s="12" t="s">
        <v>1114</v>
      </c>
    </row>
    <row r="461" spans="3:3">
      <c r="C461" s="12" t="s">
        <v>1116</v>
      </c>
    </row>
    <row r="462" spans="3:3">
      <c r="C462" s="12" t="s">
        <v>1119</v>
      </c>
    </row>
    <row r="463" spans="3:3">
      <c r="C463" s="12" t="s">
        <v>1121</v>
      </c>
    </row>
    <row r="464" spans="3:3">
      <c r="C464" s="12" t="s">
        <v>1124</v>
      </c>
    </row>
    <row r="465" spans="3:3">
      <c r="C465" s="12" t="s">
        <v>1126</v>
      </c>
    </row>
    <row r="466" spans="3:3">
      <c r="C466" s="12" t="s">
        <v>1128</v>
      </c>
    </row>
    <row r="467" spans="3:3">
      <c r="C467" s="12" t="s">
        <v>1152</v>
      </c>
    </row>
    <row r="468" spans="3:3">
      <c r="C468" s="12" t="s">
        <v>1154</v>
      </c>
    </row>
    <row r="469" spans="3:3">
      <c r="C469" s="12" t="s">
        <v>1150</v>
      </c>
    </row>
    <row r="470" spans="3:3">
      <c r="C470" s="12" t="s">
        <v>1156</v>
      </c>
    </row>
    <row r="471" spans="3:3">
      <c r="C471" s="12" t="s">
        <v>1160</v>
      </c>
    </row>
    <row r="472" spans="3:3">
      <c r="C472" s="12" t="s">
        <v>1177</v>
      </c>
    </row>
    <row r="473" spans="3:3">
      <c r="C473" s="12" t="s">
        <v>1185</v>
      </c>
    </row>
    <row r="474" spans="3:3">
      <c r="C474" s="12" t="s">
        <v>1163</v>
      </c>
    </row>
    <row r="475" spans="3:3">
      <c r="C475" s="12" t="s">
        <v>1158</v>
      </c>
    </row>
    <row r="476" spans="3:3">
      <c r="C476" s="12" t="s">
        <v>1165</v>
      </c>
    </row>
    <row r="477" spans="3:3">
      <c r="C477" s="12" t="s">
        <v>1175</v>
      </c>
    </row>
    <row r="478" spans="3:3">
      <c r="C478" s="12" t="s">
        <v>1168</v>
      </c>
    </row>
    <row r="479" spans="3:3">
      <c r="C479" s="12" t="s">
        <v>1182</v>
      </c>
    </row>
    <row r="480" spans="3:3">
      <c r="C480" s="12" t="s">
        <v>1170</v>
      </c>
    </row>
    <row r="481" spans="3:3">
      <c r="C481" s="12" t="s">
        <v>1173</v>
      </c>
    </row>
    <row r="482" spans="3:3">
      <c r="C482" s="12" t="s">
        <v>1179</v>
      </c>
    </row>
    <row r="483" spans="3:3">
      <c r="C483" s="12" t="s">
        <v>1208</v>
      </c>
    </row>
    <row r="484" spans="3:3">
      <c r="C484" s="12" t="s">
        <v>1190</v>
      </c>
    </row>
    <row r="485" spans="3:3">
      <c r="C485" s="12" t="s">
        <v>1193</v>
      </c>
    </row>
    <row r="486" spans="3:3">
      <c r="C486" s="12" t="s">
        <v>1196</v>
      </c>
    </row>
    <row r="487" spans="3:3">
      <c r="C487" s="12" t="s">
        <v>1198</v>
      </c>
    </row>
    <row r="488" spans="3:3">
      <c r="C488" s="12" t="s">
        <v>1200</v>
      </c>
    </row>
    <row r="489" spans="3:3">
      <c r="C489" s="12" t="s">
        <v>1210</v>
      </c>
    </row>
    <row r="490" spans="3:3">
      <c r="C490" s="12" t="s">
        <v>1205</v>
      </c>
    </row>
    <row r="491" spans="3:3">
      <c r="C491" s="12" t="s">
        <v>1188</v>
      </c>
    </row>
    <row r="492" spans="3:3">
      <c r="C492" s="12" t="s">
        <v>306</v>
      </c>
    </row>
    <row r="493" spans="3:3">
      <c r="C493" s="12" t="s">
        <v>1203</v>
      </c>
    </row>
    <row r="494" spans="3:3">
      <c r="C494" s="12" t="s">
        <v>1215</v>
      </c>
    </row>
    <row r="495" spans="3:3">
      <c r="C495" s="12" t="s">
        <v>575</v>
      </c>
    </row>
    <row r="496" spans="3:3">
      <c r="C496" s="12" t="s">
        <v>1218</v>
      </c>
    </row>
    <row r="497" spans="3:3">
      <c r="C497" s="12" t="s">
        <v>1221</v>
      </c>
    </row>
    <row r="498" spans="3:3">
      <c r="C498" s="12" t="s">
        <v>1223</v>
      </c>
    </row>
    <row r="499" spans="3:3">
      <c r="C499" s="12" t="s">
        <v>1225</v>
      </c>
    </row>
    <row r="500" spans="3:3">
      <c r="C500" s="12" t="s">
        <v>1227</v>
      </c>
    </row>
    <row r="501" spans="3:3">
      <c r="C501" s="12" t="s">
        <v>1229</v>
      </c>
    </row>
    <row r="502" spans="3:3">
      <c r="C502" s="12" t="s">
        <v>1232</v>
      </c>
    </row>
    <row r="503" spans="3:3">
      <c r="C503" s="12" t="s">
        <v>1212</v>
      </c>
    </row>
    <row r="504" spans="3:3">
      <c r="C504" s="12" t="s">
        <v>1235</v>
      </c>
    </row>
    <row r="505" spans="3:3">
      <c r="C505" s="12" t="s">
        <v>1237</v>
      </c>
    </row>
    <row r="506" spans="3:3">
      <c r="C506" s="12" t="s">
        <v>1213</v>
      </c>
    </row>
    <row r="507" spans="3:3">
      <c r="C507" s="12" t="s">
        <v>1239</v>
      </c>
    </row>
    <row r="508" spans="3:3">
      <c r="C508" s="12" t="s">
        <v>268</v>
      </c>
    </row>
    <row r="509" spans="3:3">
      <c r="C509" s="12" t="s">
        <v>659</v>
      </c>
    </row>
    <row r="510" spans="3:3">
      <c r="C510" s="12" t="s">
        <v>569</v>
      </c>
    </row>
    <row r="511" spans="3:3">
      <c r="C511" s="12" t="s">
        <v>1244</v>
      </c>
    </row>
    <row r="512" spans="3:3">
      <c r="C512" s="12" t="s">
        <v>1150</v>
      </c>
    </row>
    <row r="513" spans="3:3">
      <c r="C513" s="12" t="s">
        <v>1247</v>
      </c>
    </row>
    <row r="514" spans="3:3">
      <c r="C514" s="12" t="s">
        <v>1249</v>
      </c>
    </row>
    <row r="515" spans="3:3">
      <c r="C515" s="12" t="s">
        <v>1254</v>
      </c>
    </row>
    <row r="516" spans="3:3">
      <c r="C516" s="12" t="s">
        <v>1252</v>
      </c>
    </row>
    <row r="517" spans="3:3">
      <c r="C517" s="12" t="s">
        <v>1256</v>
      </c>
    </row>
    <row r="518" spans="3:3">
      <c r="C518" s="12" t="s">
        <v>1259</v>
      </c>
    </row>
    <row r="519" spans="3:3">
      <c r="C519" s="12" t="s">
        <v>1261</v>
      </c>
    </row>
    <row r="520" spans="3:3">
      <c r="C520" s="12" t="s">
        <v>1263</v>
      </c>
    </row>
    <row r="521" spans="3:3">
      <c r="C521" s="12" t="s">
        <v>1266</v>
      </c>
    </row>
    <row r="522" spans="3:3">
      <c r="C522" s="12" t="s">
        <v>1268</v>
      </c>
    </row>
    <row r="523" spans="3:3">
      <c r="C523" s="12" t="s">
        <v>1273</v>
      </c>
    </row>
    <row r="524" spans="3:3">
      <c r="C524" s="12" t="s">
        <v>1275</v>
      </c>
    </row>
    <row r="525" spans="3:3">
      <c r="C525" s="12" t="s">
        <v>1277</v>
      </c>
    </row>
    <row r="526" spans="3:3">
      <c r="C526" s="12" t="s">
        <v>1279</v>
      </c>
    </row>
    <row r="527" spans="3:3">
      <c r="C527" s="12" t="s">
        <v>1281</v>
      </c>
    </row>
    <row r="528" spans="3:3">
      <c r="C528" s="12" t="s">
        <v>1283</v>
      </c>
    </row>
    <row r="529" spans="3:3">
      <c r="C529" s="12" t="s">
        <v>1271</v>
      </c>
    </row>
    <row r="530" spans="3:3">
      <c r="C530" s="12" t="s">
        <v>1285</v>
      </c>
    </row>
    <row r="531" spans="3:3">
      <c r="C531" s="12" t="s">
        <v>1287</v>
      </c>
    </row>
    <row r="532" spans="3:3">
      <c r="C532" s="12" t="s">
        <v>1289</v>
      </c>
    </row>
    <row r="533" spans="3:3">
      <c r="C533" s="12" t="s">
        <v>1294</v>
      </c>
    </row>
    <row r="534" spans="3:3">
      <c r="C534" s="12" t="s">
        <v>1296</v>
      </c>
    </row>
    <row r="535" spans="3:3">
      <c r="C535" s="12" t="s">
        <v>1298</v>
      </c>
    </row>
    <row r="536" spans="3:3">
      <c r="C536" s="12" t="s">
        <v>1300</v>
      </c>
    </row>
    <row r="537" spans="3:3">
      <c r="C537" s="12" t="s">
        <v>1302</v>
      </c>
    </row>
    <row r="538" spans="3:3">
      <c r="C538" s="12" t="s">
        <v>1304</v>
      </c>
    </row>
    <row r="539" spans="3:3">
      <c r="C539" s="12" t="s">
        <v>1292</v>
      </c>
    </row>
    <row r="540" spans="3:3">
      <c r="C540" s="12" t="s">
        <v>1306</v>
      </c>
    </row>
    <row r="541" spans="3:3">
      <c r="C541" s="12" t="s">
        <v>1308</v>
      </c>
    </row>
    <row r="542" spans="3:3">
      <c r="C542" s="12" t="s">
        <v>1310</v>
      </c>
    </row>
    <row r="543" spans="3:3">
      <c r="C543" s="12" t="s">
        <v>1312</v>
      </c>
    </row>
    <row r="544" spans="3:3">
      <c r="C544" s="12" t="s">
        <v>1317</v>
      </c>
    </row>
    <row r="545" spans="3:3">
      <c r="C545" s="12" t="s">
        <v>1319</v>
      </c>
    </row>
    <row r="546" spans="3:3">
      <c r="C546" s="12" t="s">
        <v>1321</v>
      </c>
    </row>
    <row r="547" spans="3:3">
      <c r="C547" s="12" t="s">
        <v>1323</v>
      </c>
    </row>
    <row r="548" spans="3:3">
      <c r="C548" s="12" t="s">
        <v>1325</v>
      </c>
    </row>
    <row r="549" spans="3:3">
      <c r="C549" s="12" t="s">
        <v>1327</v>
      </c>
    </row>
    <row r="550" spans="3:3">
      <c r="C550" s="12" t="s">
        <v>1333</v>
      </c>
    </row>
    <row r="551" spans="3:3">
      <c r="C551" s="12" t="s">
        <v>1329</v>
      </c>
    </row>
    <row r="552" spans="3:3">
      <c r="C552" s="12" t="s">
        <v>1315</v>
      </c>
    </row>
    <row r="553" spans="3:3">
      <c r="C553" s="12" t="s">
        <v>1331</v>
      </c>
    </row>
    <row r="554" spans="3:3">
      <c r="C554" s="12" t="s">
        <v>1336</v>
      </c>
    </row>
    <row r="555" spans="3:3">
      <c r="C555" s="12" t="s">
        <v>1338</v>
      </c>
    </row>
    <row r="556" spans="3:3">
      <c r="C556" s="12" t="s">
        <v>1342</v>
      </c>
    </row>
    <row r="557" spans="3:3">
      <c r="C557" s="12" t="s">
        <v>1344</v>
      </c>
    </row>
    <row r="558" spans="3:3">
      <c r="C558" s="12" t="s">
        <v>1346</v>
      </c>
    </row>
    <row r="559" spans="3:3">
      <c r="C559" s="12" t="s">
        <v>1348</v>
      </c>
    </row>
    <row r="560" spans="3:3">
      <c r="C560" s="12" t="s">
        <v>337</v>
      </c>
    </row>
    <row r="561" spans="3:3">
      <c r="C561" s="12" t="s">
        <v>1352</v>
      </c>
    </row>
    <row r="562" spans="3:3">
      <c r="C562" s="12" t="s">
        <v>1340</v>
      </c>
    </row>
    <row r="563" spans="3:3">
      <c r="C563" s="12" t="s">
        <v>1354</v>
      </c>
    </row>
    <row r="564" spans="3:3">
      <c r="C564" s="9" t="s">
        <v>1379</v>
      </c>
    </row>
    <row r="565" spans="3:3">
      <c r="C565" s="9" t="s">
        <v>1377</v>
      </c>
    </row>
    <row r="566" spans="3:3">
      <c r="C566" s="9" t="s">
        <v>1381</v>
      </c>
    </row>
    <row r="567" spans="3:3">
      <c r="C567" s="9" t="s">
        <v>1384</v>
      </c>
    </row>
    <row r="568" spans="3:3">
      <c r="C568" s="9" t="s">
        <v>140</v>
      </c>
    </row>
    <row r="569" spans="3:3">
      <c r="C569" s="9" t="s">
        <v>1356</v>
      </c>
    </row>
    <row r="570" spans="3:3">
      <c r="C570" s="9" t="s">
        <v>1359</v>
      </c>
    </row>
    <row r="571" spans="3:3">
      <c r="C571" s="9" t="s">
        <v>1361</v>
      </c>
    </row>
    <row r="572" spans="3:3">
      <c r="C572" s="9" t="s">
        <v>1363</v>
      </c>
    </row>
    <row r="573" spans="3:3">
      <c r="C573" s="9" t="s">
        <v>1365</v>
      </c>
    </row>
    <row r="574" spans="3:3">
      <c r="C574" s="9" t="s">
        <v>1367</v>
      </c>
    </row>
    <row r="575" spans="3:3">
      <c r="C575" s="9" t="s">
        <v>1369</v>
      </c>
    </row>
    <row r="576" spans="3:3">
      <c r="C576" s="9" t="s">
        <v>160</v>
      </c>
    </row>
    <row r="577" spans="3:3">
      <c r="C577" s="9" t="s">
        <v>1372</v>
      </c>
    </row>
    <row r="578" spans="3:3">
      <c r="C578" s="9" t="s">
        <v>1374</v>
      </c>
    </row>
    <row r="579" spans="3:3">
      <c r="C579" s="9" t="s">
        <v>659</v>
      </c>
    </row>
    <row r="580" spans="3:3">
      <c r="C580" s="9" t="s">
        <v>1387</v>
      </c>
    </row>
    <row r="581" spans="3:3">
      <c r="C581" s="9" t="s">
        <v>1389</v>
      </c>
    </row>
    <row r="582" spans="3:3">
      <c r="C582" s="9" t="s">
        <v>1391</v>
      </c>
    </row>
    <row r="583" spans="3:3">
      <c r="C583" s="9" t="s">
        <v>1394</v>
      </c>
    </row>
    <row r="584" spans="3:3">
      <c r="C584" s="9" t="s">
        <v>1396</v>
      </c>
    </row>
    <row r="585" spans="3:3">
      <c r="C585" s="9" t="s">
        <v>1399</v>
      </c>
    </row>
    <row r="586" spans="3:3">
      <c r="C586" s="9" t="s">
        <v>1412</v>
      </c>
    </row>
    <row r="587" spans="3:3">
      <c r="C587" s="9" t="s">
        <v>1402</v>
      </c>
    </row>
    <row r="588" spans="3:3">
      <c r="C588" s="9" t="s">
        <v>1405</v>
      </c>
    </row>
    <row r="589" spans="3:3">
      <c r="C589" s="9" t="s">
        <v>1407</v>
      </c>
    </row>
    <row r="590" spans="3:3">
      <c r="C590" s="9" t="s">
        <v>520</v>
      </c>
    </row>
    <row r="591" spans="3:3">
      <c r="C591" s="9" t="s">
        <v>1410</v>
      </c>
    </row>
    <row r="592" spans="3:3">
      <c r="C592" s="9" t="s">
        <v>1416</v>
      </c>
    </row>
    <row r="593" spans="3:3">
      <c r="C593" s="9" t="s">
        <v>1418</v>
      </c>
    </row>
    <row r="594" spans="3:3">
      <c r="C594" s="9" t="s">
        <v>1449</v>
      </c>
    </row>
    <row r="595" spans="3:3">
      <c r="C595" s="9" t="s">
        <v>1420</v>
      </c>
    </row>
    <row r="596" spans="3:3">
      <c r="C596" s="9" t="s">
        <v>1422</v>
      </c>
    </row>
    <row r="597" spans="3:3">
      <c r="C597" s="9" t="s">
        <v>1424</v>
      </c>
    </row>
    <row r="598" spans="3:3">
      <c r="C598" s="9" t="s">
        <v>1414</v>
      </c>
    </row>
    <row r="599" spans="3:3">
      <c r="C599" s="9" t="s">
        <v>331</v>
      </c>
    </row>
    <row r="600" spans="3:3">
      <c r="C600" s="9" t="s">
        <v>1427</v>
      </c>
    </row>
    <row r="601" spans="3:3">
      <c r="C601" s="9" t="s">
        <v>1429</v>
      </c>
    </row>
    <row r="602" spans="3:3">
      <c r="C602" s="9" t="s">
        <v>1431</v>
      </c>
    </row>
    <row r="603" spans="3:3">
      <c r="C603" s="9" t="s">
        <v>545</v>
      </c>
    </row>
    <row r="604" spans="3:3">
      <c r="C604" s="9" t="s">
        <v>1434</v>
      </c>
    </row>
    <row r="605" spans="3:3">
      <c r="C605" s="9" t="s">
        <v>1436</v>
      </c>
    </row>
    <row r="606" spans="3:3">
      <c r="C606" s="9" t="s">
        <v>1438</v>
      </c>
    </row>
    <row r="607" spans="3:3">
      <c r="C607" s="9" t="s">
        <v>1440</v>
      </c>
    </row>
    <row r="608" spans="3:3">
      <c r="C608" s="9" t="s">
        <v>1442</v>
      </c>
    </row>
    <row r="609" spans="3:3">
      <c r="C609" s="9" t="s">
        <v>1445</v>
      </c>
    </row>
    <row r="610" spans="3:3">
      <c r="C610" s="9" t="s">
        <v>1447</v>
      </c>
    </row>
    <row r="611" spans="3:3">
      <c r="C611" s="9" t="s">
        <v>1453</v>
      </c>
    </row>
    <row r="612" spans="3:3">
      <c r="C612" s="9" t="s">
        <v>1451</v>
      </c>
    </row>
    <row r="613" spans="3:3">
      <c r="C613" s="9" t="s">
        <v>1455</v>
      </c>
    </row>
    <row r="614" spans="3:3">
      <c r="C614" s="9" t="s">
        <v>1458</v>
      </c>
    </row>
    <row r="615" spans="3:3">
      <c r="C615" s="9" t="s">
        <v>1460</v>
      </c>
    </row>
    <row r="616" spans="3:3">
      <c r="C616" s="9" t="s">
        <v>1462</v>
      </c>
    </row>
    <row r="617" spans="3:3">
      <c r="C617" s="9" t="s">
        <v>1464</v>
      </c>
    </row>
    <row r="618" spans="3:3">
      <c r="C618" s="9" t="s">
        <v>1467</v>
      </c>
    </row>
    <row r="619" spans="3:3">
      <c r="C619" s="9" t="s">
        <v>1472</v>
      </c>
    </row>
    <row r="620" spans="3:3">
      <c r="C620" s="9" t="s">
        <v>1474</v>
      </c>
    </row>
    <row r="621" spans="3:3">
      <c r="C621" s="9" t="s">
        <v>1476</v>
      </c>
    </row>
    <row r="622" spans="3:3">
      <c r="C622" s="9" t="s">
        <v>1470</v>
      </c>
    </row>
    <row r="623" spans="3:3">
      <c r="C623" s="9" t="s">
        <v>1478</v>
      </c>
    </row>
    <row r="624" spans="3:3">
      <c r="C624" s="9" t="s">
        <v>1480</v>
      </c>
    </row>
    <row r="625" spans="3:3">
      <c r="C625" s="9" t="s">
        <v>1482</v>
      </c>
    </row>
    <row r="626" spans="3:3">
      <c r="C626" s="9" t="s">
        <v>1484</v>
      </c>
    </row>
    <row r="627" spans="3:3">
      <c r="C627" s="9" t="s">
        <v>1486</v>
      </c>
    </row>
    <row r="628" spans="3:3">
      <c r="C628" s="9" t="s">
        <v>1488</v>
      </c>
    </row>
    <row r="629" spans="3:3">
      <c r="C629" s="9" t="s">
        <v>527</v>
      </c>
    </row>
    <row r="630" spans="3:3">
      <c r="C630" s="9" t="s">
        <v>1491</v>
      </c>
    </row>
    <row r="631" spans="3:3">
      <c r="C631" s="9" t="s">
        <v>280</v>
      </c>
    </row>
    <row r="632" spans="3:3">
      <c r="C632" s="9" t="s">
        <v>1494</v>
      </c>
    </row>
    <row r="633" spans="3:3">
      <c r="C633" s="9" t="s">
        <v>1496</v>
      </c>
    </row>
    <row r="634" spans="3:3">
      <c r="C634" s="9" t="s">
        <v>1500</v>
      </c>
    </row>
    <row r="635" spans="3:3">
      <c r="C635" s="9" t="s">
        <v>1502</v>
      </c>
    </row>
    <row r="636" spans="3:3">
      <c r="C636" s="9" t="s">
        <v>1499</v>
      </c>
    </row>
    <row r="637" spans="3:3">
      <c r="C637" s="9" t="s">
        <v>1507</v>
      </c>
    </row>
    <row r="638" spans="3:3">
      <c r="C638" s="9" t="s">
        <v>1509</v>
      </c>
    </row>
    <row r="639" spans="3:3">
      <c r="C639" s="9" t="s">
        <v>1511</v>
      </c>
    </row>
    <row r="640" spans="3:3">
      <c r="C640" s="9" t="s">
        <v>1513</v>
      </c>
    </row>
    <row r="641" spans="3:3">
      <c r="C641" s="9" t="s">
        <v>1505</v>
      </c>
    </row>
    <row r="642" spans="3:3">
      <c r="C642" s="9" t="s">
        <v>1515</v>
      </c>
    </row>
    <row r="643" spans="3:3">
      <c r="C643" s="9" t="s">
        <v>1517</v>
      </c>
    </row>
    <row r="644" spans="3:3">
      <c r="C644" s="9" t="s">
        <v>1519</v>
      </c>
    </row>
    <row r="645" spans="3:3">
      <c r="C645" s="9" t="s">
        <v>1521</v>
      </c>
    </row>
    <row r="646" spans="3:3">
      <c r="C646" s="9" t="s">
        <v>1523</v>
      </c>
    </row>
    <row r="647" spans="3:3">
      <c r="C647" s="9" t="s">
        <v>1525</v>
      </c>
    </row>
    <row r="648" spans="3:3">
      <c r="C648" s="9" t="s">
        <v>306</v>
      </c>
    </row>
    <row r="649" spans="3:3">
      <c r="C649" s="9" t="s">
        <v>1530</v>
      </c>
    </row>
    <row r="650" spans="3:3">
      <c r="C650" s="9" t="s">
        <v>1532</v>
      </c>
    </row>
    <row r="651" spans="3:3">
      <c r="C651" s="9" t="s">
        <v>1534</v>
      </c>
    </row>
    <row r="652" spans="3:3">
      <c r="C652" s="9" t="s">
        <v>1536</v>
      </c>
    </row>
    <row r="653" spans="3:3">
      <c r="C653" s="9" t="s">
        <v>1528</v>
      </c>
    </row>
    <row r="654" spans="3:3">
      <c r="C654" s="9" t="s">
        <v>1538</v>
      </c>
    </row>
    <row r="655" spans="3:3">
      <c r="C655" s="9" t="s">
        <v>1540</v>
      </c>
    </row>
    <row r="656" spans="3:3">
      <c r="C656" s="9" t="s">
        <v>1544</v>
      </c>
    </row>
    <row r="657" spans="3:3">
      <c r="C657" s="9" t="s">
        <v>1546</v>
      </c>
    </row>
    <row r="658" spans="3:3">
      <c r="C658" s="9" t="s">
        <v>1549</v>
      </c>
    </row>
    <row r="659" spans="3:3">
      <c r="C659" s="9" t="s">
        <v>1552</v>
      </c>
    </row>
    <row r="660" spans="3:3">
      <c r="C660" s="9" t="s">
        <v>1554</v>
      </c>
    </row>
    <row r="661" spans="3:3">
      <c r="C661" s="9" t="s">
        <v>1557</v>
      </c>
    </row>
    <row r="662" spans="3:3">
      <c r="C662" s="9" t="s">
        <v>1542</v>
      </c>
    </row>
    <row r="663" spans="3:3">
      <c r="C663" s="9" t="s">
        <v>1562</v>
      </c>
    </row>
    <row r="664" spans="3:3">
      <c r="C664" s="9" t="s">
        <v>1564</v>
      </c>
    </row>
    <row r="665" spans="3:3">
      <c r="C665" s="9" t="s">
        <v>1566</v>
      </c>
    </row>
    <row r="666" spans="3:3">
      <c r="C666" s="9" t="s">
        <v>1568</v>
      </c>
    </row>
    <row r="667" spans="3:3">
      <c r="C667" s="9" t="s">
        <v>1570</v>
      </c>
    </row>
    <row r="668" spans="3:3">
      <c r="C668" s="9" t="s">
        <v>1572</v>
      </c>
    </row>
    <row r="669" spans="3:3">
      <c r="C669" s="9" t="s">
        <v>1574</v>
      </c>
    </row>
    <row r="670" spans="3:3">
      <c r="C670" s="9" t="s">
        <v>1576</v>
      </c>
    </row>
    <row r="671" spans="3:3">
      <c r="C671" s="9" t="s">
        <v>937</v>
      </c>
    </row>
    <row r="672" spans="3:3">
      <c r="C672" s="9" t="s">
        <v>1188</v>
      </c>
    </row>
    <row r="673" spans="3:3">
      <c r="C673" s="9" t="s">
        <v>1579</v>
      </c>
    </row>
    <row r="674" spans="3:3">
      <c r="C674" s="9" t="s">
        <v>1581</v>
      </c>
    </row>
    <row r="675" spans="3:3">
      <c r="C675" s="9" t="s">
        <v>1583</v>
      </c>
    </row>
    <row r="676" spans="3:3">
      <c r="C676" s="9" t="s">
        <v>1588</v>
      </c>
    </row>
    <row r="677" spans="3:3">
      <c r="C677" s="9" t="s">
        <v>441</v>
      </c>
    </row>
    <row r="678" spans="3:3">
      <c r="C678" s="9" t="s">
        <v>1586</v>
      </c>
    </row>
    <row r="679" spans="3:3">
      <c r="C679" s="9" t="s">
        <v>1592</v>
      </c>
    </row>
    <row r="680" spans="3:3">
      <c r="C680" s="9" t="s">
        <v>1596</v>
      </c>
    </row>
    <row r="681" spans="3:3">
      <c r="C681" s="9" t="s">
        <v>1598</v>
      </c>
    </row>
    <row r="682" spans="3:3">
      <c r="C682" s="9" t="s">
        <v>1600</v>
      </c>
    </row>
    <row r="683" spans="3:3">
      <c r="C683" s="9" t="s">
        <v>1602</v>
      </c>
    </row>
    <row r="684" spans="3:3">
      <c r="C684" s="9" t="s">
        <v>1604</v>
      </c>
    </row>
    <row r="685" spans="3:3">
      <c r="C685" s="9" t="s">
        <v>1606</v>
      </c>
    </row>
    <row r="686" spans="3:3">
      <c r="C686" s="9" t="s">
        <v>527</v>
      </c>
    </row>
    <row r="687" spans="3:3">
      <c r="C687" s="9" t="s">
        <v>1608</v>
      </c>
    </row>
    <row r="688" spans="3:3">
      <c r="C688" s="9" t="s">
        <v>1610</v>
      </c>
    </row>
    <row r="689" spans="3:3">
      <c r="C689" s="9" t="s">
        <v>1612</v>
      </c>
    </row>
    <row r="690" spans="3:3">
      <c r="C690" s="9" t="s">
        <v>1614</v>
      </c>
    </row>
    <row r="691" spans="3:3">
      <c r="C691" s="7" t="s">
        <v>1507</v>
      </c>
    </row>
    <row r="692" spans="3:3">
      <c r="C692" s="7" t="s">
        <v>1616</v>
      </c>
    </row>
    <row r="693" spans="3:3">
      <c r="C693" s="7" t="s">
        <v>1619</v>
      </c>
    </row>
    <row r="694" spans="3:3">
      <c r="C694" s="7" t="s">
        <v>1621</v>
      </c>
    </row>
    <row r="695" spans="3:3">
      <c r="C695" s="7" t="s">
        <v>1623</v>
      </c>
    </row>
    <row r="696" spans="3:3">
      <c r="C696" s="7" t="s">
        <v>1627</v>
      </c>
    </row>
    <row r="697" spans="3:3">
      <c r="C697" s="7" t="s">
        <v>1625</v>
      </c>
    </row>
    <row r="698" spans="3:3">
      <c r="C698" s="13" t="s">
        <v>1644</v>
      </c>
    </row>
    <row r="699" spans="3:3">
      <c r="C699" s="13" t="s">
        <v>1646</v>
      </c>
    </row>
    <row r="700" spans="3:3">
      <c r="C700" s="13" t="s">
        <v>1648</v>
      </c>
    </row>
    <row r="701" spans="3:3">
      <c r="C701" s="13" t="s">
        <v>1650</v>
      </c>
    </row>
    <row r="702" spans="3:3">
      <c r="C702" s="13" t="s">
        <v>1652</v>
      </c>
    </row>
    <row r="703" spans="3:3">
      <c r="C703" s="13" t="s">
        <v>1654</v>
      </c>
    </row>
    <row r="704" spans="3:3">
      <c r="C704" s="13" t="s">
        <v>1656</v>
      </c>
    </row>
    <row r="705" spans="3:3">
      <c r="C705" s="13" t="s">
        <v>1659</v>
      </c>
    </row>
    <row r="706" spans="3:3">
      <c r="C706" s="13" t="s">
        <v>422</v>
      </c>
    </row>
    <row r="707" spans="3:3">
      <c r="C707" s="13" t="s">
        <v>1661</v>
      </c>
    </row>
    <row r="708" spans="3:3">
      <c r="C708" s="13" t="s">
        <v>1663</v>
      </c>
    </row>
    <row r="709" spans="3:3">
      <c r="C709" s="13" t="s">
        <v>1665</v>
      </c>
    </row>
    <row r="710" spans="3:3">
      <c r="C710" s="13" t="s">
        <v>1667</v>
      </c>
    </row>
    <row r="711" spans="3:3">
      <c r="C711" s="13" t="s">
        <v>1669</v>
      </c>
    </row>
    <row r="712" spans="3:3">
      <c r="C712" s="13" t="s">
        <v>1671</v>
      </c>
    </row>
    <row r="713" spans="3:3">
      <c r="C713" s="13" t="s">
        <v>1673</v>
      </c>
    </row>
    <row r="714" spans="3:3">
      <c r="C714" s="13" t="s">
        <v>1675</v>
      </c>
    </row>
    <row r="715" spans="3:3">
      <c r="C715" s="13" t="s">
        <v>1677</v>
      </c>
    </row>
    <row r="716" spans="3:3">
      <c r="C716" s="13" t="s">
        <v>1679</v>
      </c>
    </row>
    <row r="717" spans="3:3">
      <c r="C717" s="13" t="s">
        <v>1681</v>
      </c>
    </row>
    <row r="718" spans="3:3">
      <c r="C718" s="13" t="s">
        <v>1683</v>
      </c>
    </row>
    <row r="719" spans="3:3">
      <c r="C719" s="13" t="s">
        <v>1685</v>
      </c>
    </row>
    <row r="720" spans="3:3">
      <c r="C720" s="13" t="s">
        <v>1687</v>
      </c>
    </row>
    <row r="721" spans="3:3">
      <c r="C721" s="13" t="s">
        <v>1689</v>
      </c>
    </row>
    <row r="722" spans="3:3">
      <c r="C722" s="13" t="s">
        <v>1695</v>
      </c>
    </row>
    <row r="723" spans="3:3">
      <c r="C723" s="13" t="s">
        <v>1697</v>
      </c>
    </row>
    <row r="724" spans="3:3">
      <c r="C724" s="13" t="s">
        <v>1700</v>
      </c>
    </row>
    <row r="725" spans="3:3">
      <c r="C725" s="13" t="s">
        <v>1702</v>
      </c>
    </row>
    <row r="726" spans="3:3">
      <c r="C726" s="13" t="s">
        <v>1085</v>
      </c>
    </row>
    <row r="727" spans="3:3">
      <c r="C727" s="13" t="s">
        <v>1705</v>
      </c>
    </row>
    <row r="728" spans="3:3">
      <c r="C728" s="13" t="s">
        <v>1707</v>
      </c>
    </row>
    <row r="729" spans="3:3">
      <c r="C729" s="13" t="s">
        <v>1693</v>
      </c>
    </row>
    <row r="730" spans="3:3">
      <c r="C730" s="13" t="s">
        <v>1713</v>
      </c>
    </row>
    <row r="731" spans="3:3">
      <c r="C731" s="13" t="s">
        <v>1715</v>
      </c>
    </row>
    <row r="732" spans="3:3">
      <c r="C732" s="13" t="s">
        <v>1717</v>
      </c>
    </row>
    <row r="733" spans="3:3">
      <c r="C733" s="13" t="s">
        <v>1719</v>
      </c>
    </row>
    <row r="734" spans="3:3">
      <c r="C734" s="13" t="s">
        <v>1586</v>
      </c>
    </row>
    <row r="735" spans="3:3">
      <c r="C735" s="13" t="s">
        <v>569</v>
      </c>
    </row>
    <row r="736" spans="3:3">
      <c r="C736" s="13" t="s">
        <v>1711</v>
      </c>
    </row>
    <row r="737" spans="3:3">
      <c r="C737" s="13" t="s">
        <v>1723</v>
      </c>
    </row>
    <row r="738" spans="3:3">
      <c r="C738" s="13" t="s">
        <v>1727</v>
      </c>
    </row>
    <row r="739" spans="3:3">
      <c r="C739" s="13" t="s">
        <v>1729</v>
      </c>
    </row>
    <row r="740" spans="3:3">
      <c r="C740" s="13" t="s">
        <v>1731</v>
      </c>
    </row>
    <row r="741" spans="3:3">
      <c r="C741" s="13" t="s">
        <v>1733</v>
      </c>
    </row>
    <row r="742" spans="3:3">
      <c r="C742" s="13" t="s">
        <v>1735</v>
      </c>
    </row>
    <row r="743" spans="3:3">
      <c r="C743" s="13" t="s">
        <v>1737</v>
      </c>
    </row>
    <row r="744" spans="3:3">
      <c r="C744" s="13" t="s">
        <v>280</v>
      </c>
    </row>
    <row r="745" spans="3:3">
      <c r="C745" s="13" t="s">
        <v>1739</v>
      </c>
    </row>
    <row r="746" spans="3:3">
      <c r="C746" s="13" t="s">
        <v>1631</v>
      </c>
    </row>
    <row r="747" spans="3:3">
      <c r="C747" s="13" t="s">
        <v>1629</v>
      </c>
    </row>
    <row r="748" spans="3:3">
      <c r="C748" s="13" t="s">
        <v>1633</v>
      </c>
    </row>
    <row r="749" spans="3:3">
      <c r="C749" s="13" t="s">
        <v>273</v>
      </c>
    </row>
    <row r="750" spans="3:3">
      <c r="C750" s="13" t="s">
        <v>1636</v>
      </c>
    </row>
    <row r="751" spans="3:3">
      <c r="C751" s="13" t="s">
        <v>1638</v>
      </c>
    </row>
    <row r="752" spans="3:3">
      <c r="C752" s="13" t="s">
        <v>1640</v>
      </c>
    </row>
    <row r="753" spans="3:3">
      <c r="C753" s="13" t="s">
        <v>1642</v>
      </c>
    </row>
    <row r="754" spans="3:3">
      <c r="C754" s="13" t="s">
        <v>1757</v>
      </c>
    </row>
    <row r="755" spans="3:3">
      <c r="C755" s="13" t="s">
        <v>1744</v>
      </c>
    </row>
    <row r="756" spans="3:3">
      <c r="C756" s="13" t="s">
        <v>1013</v>
      </c>
    </row>
    <row r="757" spans="3:3">
      <c r="C757" s="13" t="s">
        <v>1741</v>
      </c>
    </row>
    <row r="758" spans="3:3">
      <c r="C758" s="13" t="s">
        <v>1747</v>
      </c>
    </row>
    <row r="759" spans="3:3">
      <c r="C759" s="13" t="s">
        <v>1749</v>
      </c>
    </row>
    <row r="760" spans="3:3">
      <c r="C760" s="13" t="s">
        <v>1752</v>
      </c>
    </row>
    <row r="761" spans="3:3">
      <c r="C761" s="13" t="s">
        <v>1754</v>
      </c>
    </row>
    <row r="762" spans="3:3">
      <c r="C762" s="13" t="s">
        <v>1764</v>
      </c>
    </row>
    <row r="763" spans="3:3">
      <c r="C763" s="13" t="s">
        <v>1766</v>
      </c>
    </row>
    <row r="764" spans="3:3">
      <c r="C764" s="13" t="s">
        <v>1782</v>
      </c>
    </row>
    <row r="765" spans="3:3">
      <c r="C765" s="13" t="s">
        <v>1775</v>
      </c>
    </row>
    <row r="766" spans="3:3">
      <c r="C766" s="13" t="s">
        <v>1769</v>
      </c>
    </row>
    <row r="767" spans="3:3">
      <c r="C767" s="13" t="s">
        <v>1789</v>
      </c>
    </row>
    <row r="768" spans="3:3">
      <c r="C768" s="13" t="s">
        <v>815</v>
      </c>
    </row>
    <row r="769" spans="3:3">
      <c r="C769" s="13" t="s">
        <v>1780</v>
      </c>
    </row>
    <row r="770" spans="3:3">
      <c r="C770" s="13" t="s">
        <v>1773</v>
      </c>
    </row>
    <row r="771" spans="3:3">
      <c r="C771" s="13" t="s">
        <v>1761</v>
      </c>
    </row>
    <row r="772" spans="3:3">
      <c r="C772" s="13" t="s">
        <v>1777</v>
      </c>
    </row>
    <row r="773" spans="3:3">
      <c r="C773" s="13" t="s">
        <v>855</v>
      </c>
    </row>
    <row r="774" spans="3:3">
      <c r="C774" s="13" t="s">
        <v>1787</v>
      </c>
    </row>
    <row r="775" spans="3:3">
      <c r="C775" s="13" t="s">
        <v>1785</v>
      </c>
    </row>
    <row r="776" spans="3:3">
      <c r="C776" s="13" t="s">
        <v>1794</v>
      </c>
    </row>
    <row r="777" spans="3:3">
      <c r="C777" s="13" t="s">
        <v>1796</v>
      </c>
    </row>
    <row r="778" spans="3:3">
      <c r="C778" s="13" t="s">
        <v>1798</v>
      </c>
    </row>
    <row r="779" spans="3:3">
      <c r="C779" s="13" t="s">
        <v>1800</v>
      </c>
    </row>
    <row r="780" spans="3:3">
      <c r="C780" s="13" t="s">
        <v>1802</v>
      </c>
    </row>
    <row r="781" spans="3:3">
      <c r="C781" s="13" t="s">
        <v>1804</v>
      </c>
    </row>
    <row r="782" spans="3:3">
      <c r="C782" s="13" t="s">
        <v>1792</v>
      </c>
    </row>
    <row r="783" spans="3:3">
      <c r="C783" s="13" t="s">
        <v>1806</v>
      </c>
    </row>
    <row r="784" spans="3:3">
      <c r="C784" s="13" t="s">
        <v>1808</v>
      </c>
    </row>
    <row r="785" spans="3:3">
      <c r="C785" s="13" t="s">
        <v>1812</v>
      </c>
    </row>
    <row r="786" spans="3:3">
      <c r="C786" s="13" t="s">
        <v>1814</v>
      </c>
    </row>
    <row r="787" spans="3:3">
      <c r="C787" s="13" t="s">
        <v>1816</v>
      </c>
    </row>
    <row r="788" spans="3:3">
      <c r="C788" s="13" t="s">
        <v>1818</v>
      </c>
    </row>
    <row r="789" spans="3:3">
      <c r="C789" s="13" t="s">
        <v>1820</v>
      </c>
    </row>
    <row r="790" spans="3:3">
      <c r="C790" s="13" t="s">
        <v>1810</v>
      </c>
    </row>
    <row r="791" spans="3:3">
      <c r="C791" s="13" t="s">
        <v>1826</v>
      </c>
    </row>
    <row r="792" spans="3:3">
      <c r="C792" s="13" t="s">
        <v>1828</v>
      </c>
    </row>
    <row r="793" spans="3:3">
      <c r="C793" s="13" t="s">
        <v>1831</v>
      </c>
    </row>
    <row r="794" spans="3:3">
      <c r="C794" s="13" t="s">
        <v>1833</v>
      </c>
    </row>
    <row r="795" spans="3:3">
      <c r="C795" s="13" t="s">
        <v>1835</v>
      </c>
    </row>
    <row r="796" spans="3:3">
      <c r="C796" s="13" t="s">
        <v>1837</v>
      </c>
    </row>
    <row r="797" spans="3:3">
      <c r="C797" s="13" t="s">
        <v>776</v>
      </c>
    </row>
    <row r="798" spans="3:3">
      <c r="C798" s="13" t="s">
        <v>1840</v>
      </c>
    </row>
    <row r="799" spans="3:3">
      <c r="C799" s="13" t="s">
        <v>1842</v>
      </c>
    </row>
    <row r="800" spans="3:3">
      <c r="C800" s="13" t="s">
        <v>753</v>
      </c>
    </row>
    <row r="801" spans="3:3">
      <c r="C801" s="13" t="s">
        <v>1845</v>
      </c>
    </row>
    <row r="802" spans="3:3">
      <c r="C802" s="13" t="s">
        <v>1824</v>
      </c>
    </row>
    <row r="803" spans="3:3">
      <c r="C803" s="13" t="s">
        <v>1849</v>
      </c>
    </row>
    <row r="804" spans="3:3">
      <c r="C804" s="13" t="s">
        <v>653</v>
      </c>
    </row>
    <row r="805" spans="3:3">
      <c r="C805" s="13" t="s">
        <v>1852</v>
      </c>
    </row>
    <row r="806" spans="3:3">
      <c r="C806" s="13" t="s">
        <v>1854</v>
      </c>
    </row>
    <row r="807" spans="3:3">
      <c r="C807" s="13" t="s">
        <v>1856</v>
      </c>
    </row>
    <row r="808" spans="3:3">
      <c r="C808" s="13" t="s">
        <v>1847</v>
      </c>
    </row>
    <row r="809" spans="3:3">
      <c r="C809" s="13" t="s">
        <v>1858</v>
      </c>
    </row>
    <row r="810" spans="3:3">
      <c r="C810" s="14" t="s">
        <v>644</v>
      </c>
    </row>
    <row r="811" spans="3:3">
      <c r="C811" s="14" t="s">
        <v>1596</v>
      </c>
    </row>
    <row r="812" spans="3:3">
      <c r="C812" s="14" t="s">
        <v>422</v>
      </c>
    </row>
    <row r="813" spans="3:3">
      <c r="C813" s="14" t="s">
        <v>1901</v>
      </c>
    </row>
    <row r="814" spans="3:3">
      <c r="C814" s="14" t="s">
        <v>1903</v>
      </c>
    </row>
    <row r="815" spans="3:3">
      <c r="C815" s="14" t="s">
        <v>1905</v>
      </c>
    </row>
    <row r="816" spans="3:3">
      <c r="C816" s="14" t="s">
        <v>721</v>
      </c>
    </row>
    <row r="817" spans="3:3">
      <c r="C817" s="14" t="s">
        <v>1908</v>
      </c>
    </row>
    <row r="818" spans="3:3">
      <c r="C818" s="14" t="s">
        <v>1913</v>
      </c>
    </row>
    <row r="819" spans="3:3">
      <c r="C819" s="14" t="s">
        <v>1915</v>
      </c>
    </row>
    <row r="820" spans="3:3">
      <c r="C820" s="14" t="s">
        <v>1917</v>
      </c>
    </row>
    <row r="821" spans="3:3">
      <c r="C821" s="14" t="s">
        <v>1919</v>
      </c>
    </row>
    <row r="822" spans="3:3">
      <c r="C822" s="14" t="s">
        <v>1921</v>
      </c>
    </row>
    <row r="823" spans="3:3">
      <c r="C823" s="14" t="s">
        <v>1923</v>
      </c>
    </row>
    <row r="824" spans="3:3">
      <c r="C824" s="14" t="s">
        <v>1925</v>
      </c>
    </row>
    <row r="825" spans="3:3">
      <c r="C825" s="14" t="s">
        <v>1927</v>
      </c>
    </row>
    <row r="826" spans="3:3">
      <c r="C826" s="14" t="s">
        <v>1911</v>
      </c>
    </row>
    <row r="827" spans="3:3">
      <c r="C827" s="14" t="s">
        <v>1929</v>
      </c>
    </row>
    <row r="828" spans="3:3">
      <c r="C828" s="14" t="s">
        <v>1932</v>
      </c>
    </row>
    <row r="829" spans="3:3">
      <c r="C829" s="14" t="s">
        <v>1934</v>
      </c>
    </row>
    <row r="830" spans="3:3">
      <c r="C830" s="14" t="s">
        <v>1938</v>
      </c>
    </row>
    <row r="831" spans="3:3">
      <c r="C831" s="14" t="s">
        <v>1940</v>
      </c>
    </row>
    <row r="832" spans="3:3">
      <c r="C832" s="14" t="s">
        <v>1942</v>
      </c>
    </row>
    <row r="833" spans="3:3">
      <c r="C833" s="14" t="s">
        <v>1936</v>
      </c>
    </row>
    <row r="834" spans="3:3">
      <c r="C834" s="14" t="s">
        <v>1944</v>
      </c>
    </row>
    <row r="835" spans="3:3">
      <c r="C835" s="14" t="s">
        <v>1946</v>
      </c>
    </row>
    <row r="836" spans="3:3">
      <c r="C836" s="14" t="s">
        <v>1948</v>
      </c>
    </row>
    <row r="837" spans="3:3">
      <c r="C837" s="14" t="s">
        <v>1950</v>
      </c>
    </row>
    <row r="838" spans="3:3">
      <c r="C838" s="14" t="s">
        <v>1952</v>
      </c>
    </row>
    <row r="839" spans="3:3">
      <c r="C839" s="14" t="s">
        <v>659</v>
      </c>
    </row>
    <row r="840" spans="3:3">
      <c r="C840" s="14" t="s">
        <v>1761</v>
      </c>
    </row>
    <row r="841" spans="3:3">
      <c r="C841" s="14" t="s">
        <v>1956</v>
      </c>
    </row>
    <row r="842" spans="3:3">
      <c r="C842" s="14" t="s">
        <v>1958</v>
      </c>
    </row>
    <row r="843" spans="3:3">
      <c r="C843" s="14" t="s">
        <v>1190</v>
      </c>
    </row>
    <row r="844" spans="3:3">
      <c r="C844" s="14" t="s">
        <v>1964</v>
      </c>
    </row>
    <row r="845" spans="3:3">
      <c r="C845" s="14" t="s">
        <v>1960</v>
      </c>
    </row>
    <row r="846" spans="3:3">
      <c r="C846" s="14" t="s">
        <v>1981</v>
      </c>
    </row>
    <row r="847" spans="3:3">
      <c r="C847" s="14" t="s">
        <v>1966</v>
      </c>
    </row>
    <row r="848" spans="3:3">
      <c r="C848" s="14" t="s">
        <v>360</v>
      </c>
    </row>
    <row r="849" spans="3:3">
      <c r="C849" s="14" t="s">
        <v>1970</v>
      </c>
    </row>
    <row r="850" spans="3:3">
      <c r="C850" s="14" t="s">
        <v>1979</v>
      </c>
    </row>
    <row r="851" spans="3:3">
      <c r="C851" s="14" t="s">
        <v>1972</v>
      </c>
    </row>
    <row r="852" spans="3:3">
      <c r="C852" s="14" t="s">
        <v>1974</v>
      </c>
    </row>
    <row r="853" spans="3:3">
      <c r="C853" s="14" t="s">
        <v>1977</v>
      </c>
    </row>
    <row r="854" spans="3:3">
      <c r="C854" s="14" t="s">
        <v>1862</v>
      </c>
    </row>
    <row r="855" spans="3:3">
      <c r="C855" s="14" t="s">
        <v>1864</v>
      </c>
    </row>
    <row r="856" spans="3:3">
      <c r="C856" s="14" t="s">
        <v>1894</v>
      </c>
    </row>
    <row r="857" spans="3:3">
      <c r="C857" s="14" t="s">
        <v>1866</v>
      </c>
    </row>
    <row r="858" spans="3:3">
      <c r="C858" s="14" t="s">
        <v>1868</v>
      </c>
    </row>
    <row r="859" spans="3:3">
      <c r="C859" s="14" t="s">
        <v>1870</v>
      </c>
    </row>
    <row r="860" spans="3:3">
      <c r="C860" s="14" t="s">
        <v>1860</v>
      </c>
    </row>
    <row r="861" spans="3:3">
      <c r="C861" s="14" t="s">
        <v>1896</v>
      </c>
    </row>
    <row r="862" spans="3:3">
      <c r="C862" s="14" t="s">
        <v>1872</v>
      </c>
    </row>
    <row r="863" spans="3:3">
      <c r="C863" s="14" t="s">
        <v>1874</v>
      </c>
    </row>
    <row r="864" spans="3:3">
      <c r="C864" s="14" t="s">
        <v>1876</v>
      </c>
    </row>
    <row r="865" spans="3:3">
      <c r="C865" s="14" t="s">
        <v>1878</v>
      </c>
    </row>
    <row r="866" spans="3:3">
      <c r="C866" s="14" t="s">
        <v>933</v>
      </c>
    </row>
    <row r="867" spans="3:3">
      <c r="C867" s="14" t="s">
        <v>1881</v>
      </c>
    </row>
    <row r="868" spans="3:3">
      <c r="C868" s="14" t="s">
        <v>1883</v>
      </c>
    </row>
    <row r="869" spans="3:3">
      <c r="C869" s="14" t="s">
        <v>1886</v>
      </c>
    </row>
    <row r="870" spans="3:3">
      <c r="C870" s="14" t="s">
        <v>1888</v>
      </c>
    </row>
    <row r="871" spans="3:3">
      <c r="C871" s="14" t="s">
        <v>1890</v>
      </c>
    </row>
    <row r="872" spans="3:3">
      <c r="C872" s="14" t="s">
        <v>1892</v>
      </c>
    </row>
    <row r="873" spans="3:3">
      <c r="C873" s="14" t="s">
        <v>1986</v>
      </c>
    </row>
    <row r="874" spans="3:3">
      <c r="C874" s="14" t="s">
        <v>1988</v>
      </c>
    </row>
    <row r="875" spans="3:3">
      <c r="C875" s="14" t="s">
        <v>1990</v>
      </c>
    </row>
    <row r="876" spans="3:3">
      <c r="C876" s="14" t="s">
        <v>1984</v>
      </c>
    </row>
    <row r="877" spans="3:3">
      <c r="C877" s="14" t="s">
        <v>1992</v>
      </c>
    </row>
    <row r="878" spans="3:3">
      <c r="C878" s="14" t="s">
        <v>1994</v>
      </c>
    </row>
    <row r="879" spans="3:3">
      <c r="C879" s="14" t="s">
        <v>1996</v>
      </c>
    </row>
    <row r="880" spans="3:3">
      <c r="C880" s="14" t="s">
        <v>1998</v>
      </c>
    </row>
    <row r="881" spans="3:3">
      <c r="C881" s="14" t="s">
        <v>2000</v>
      </c>
    </row>
    <row r="882" spans="3:3">
      <c r="C882" s="14" t="s">
        <v>2002</v>
      </c>
    </row>
    <row r="883" spans="3:3">
      <c r="C883" s="14" t="s">
        <v>2005</v>
      </c>
    </row>
    <row r="884" spans="3:3">
      <c r="C884" s="14" t="s">
        <v>2007</v>
      </c>
    </row>
    <row r="885" spans="3:3">
      <c r="C885" s="14" t="s">
        <v>2010</v>
      </c>
    </row>
    <row r="886" spans="3:3">
      <c r="C886" s="14" t="s">
        <v>2012</v>
      </c>
    </row>
    <row r="887" spans="3:3">
      <c r="C887" s="14" t="s">
        <v>2014</v>
      </c>
    </row>
    <row r="888" spans="3:3">
      <c r="C888" s="14" t="s">
        <v>1203</v>
      </c>
    </row>
    <row r="889" spans="3:3">
      <c r="C889" s="14" t="s">
        <v>2019</v>
      </c>
    </row>
    <row r="890" spans="3:3">
      <c r="C890" s="14" t="s">
        <v>2021</v>
      </c>
    </row>
    <row r="891" spans="3:3">
      <c r="C891" s="14" t="s">
        <v>2023</v>
      </c>
    </row>
    <row r="892" spans="3:3">
      <c r="C892" s="14" t="s">
        <v>2049</v>
      </c>
    </row>
    <row r="893" spans="3:3">
      <c r="C893" s="14" t="s">
        <v>333</v>
      </c>
    </row>
    <row r="894" spans="3:3">
      <c r="C894" s="14" t="s">
        <v>2026</v>
      </c>
    </row>
    <row r="895" spans="3:3">
      <c r="C895" s="14" t="s">
        <v>1870</v>
      </c>
    </row>
    <row r="896" spans="3:3">
      <c r="C896" s="14" t="s">
        <v>2029</v>
      </c>
    </row>
    <row r="897" spans="3:3">
      <c r="C897" s="14" t="s">
        <v>2031</v>
      </c>
    </row>
    <row r="898" spans="3:3">
      <c r="C898" s="14" t="s">
        <v>589</v>
      </c>
    </row>
    <row r="899" spans="3:3">
      <c r="C899" s="14" t="s">
        <v>2033</v>
      </c>
    </row>
    <row r="900" spans="3:3">
      <c r="C900" s="14" t="s">
        <v>2054</v>
      </c>
    </row>
    <row r="901" spans="3:3">
      <c r="C901" s="14" t="s">
        <v>2047</v>
      </c>
    </row>
    <row r="902" spans="3:3">
      <c r="C902" s="14" t="s">
        <v>2035</v>
      </c>
    </row>
    <row r="903" spans="3:3">
      <c r="C903" s="14" t="s">
        <v>2051</v>
      </c>
    </row>
    <row r="904" spans="3:3">
      <c r="C904" s="14" t="s">
        <v>2037</v>
      </c>
    </row>
    <row r="905" spans="3:3">
      <c r="C905" s="14" t="s">
        <v>2039</v>
      </c>
    </row>
    <row r="906" spans="3:3">
      <c r="C906" s="14" t="s">
        <v>2041</v>
      </c>
    </row>
    <row r="907" spans="3:3">
      <c r="C907" s="14" t="s">
        <v>2056</v>
      </c>
    </row>
    <row r="908" spans="3:3">
      <c r="C908" s="14" t="s">
        <v>2043</v>
      </c>
    </row>
    <row r="909" spans="3:3">
      <c r="C909" s="14" t="s">
        <v>2045</v>
      </c>
    </row>
    <row r="910" spans="3:3">
      <c r="C910" s="15" t="s">
        <v>2088</v>
      </c>
    </row>
    <row r="911" spans="3:3">
      <c r="C911" s="15" t="s">
        <v>2090</v>
      </c>
    </row>
    <row r="912" spans="3:3">
      <c r="C912" s="15" t="s">
        <v>2092</v>
      </c>
    </row>
    <row r="913" spans="3:3">
      <c r="C913" s="15" t="s">
        <v>2094</v>
      </c>
    </row>
    <row r="914" spans="3:3">
      <c r="C914" s="15" t="s">
        <v>2096</v>
      </c>
    </row>
    <row r="915" spans="3:3">
      <c r="C915" s="15" t="s">
        <v>1194</v>
      </c>
    </row>
    <row r="916" spans="3:3">
      <c r="C916" s="15" t="s">
        <v>2100</v>
      </c>
    </row>
    <row r="917" spans="3:3">
      <c r="C917" s="15" t="s">
        <v>2102</v>
      </c>
    </row>
    <row r="918" spans="3:3">
      <c r="C918" s="15" t="s">
        <v>2106</v>
      </c>
    </row>
    <row r="919" spans="3:3">
      <c r="C919" s="15" t="s">
        <v>1075</v>
      </c>
    </row>
    <row r="920" spans="3:3">
      <c r="C920" s="15" t="s">
        <v>2108</v>
      </c>
    </row>
    <row r="921" spans="3:3">
      <c r="C921" s="15" t="s">
        <v>2110</v>
      </c>
    </row>
    <row r="922" spans="3:3">
      <c r="C922" s="15" t="s">
        <v>2112</v>
      </c>
    </row>
    <row r="923" spans="3:3">
      <c r="C923" s="15" t="s">
        <v>2114</v>
      </c>
    </row>
    <row r="924" spans="3:3">
      <c r="C924" s="15" t="s">
        <v>2116</v>
      </c>
    </row>
    <row r="925" spans="3:3">
      <c r="C925" s="15" t="s">
        <v>2118</v>
      </c>
    </row>
    <row r="926" spans="3:3">
      <c r="C926" s="15" t="s">
        <v>2120</v>
      </c>
    </row>
    <row r="927" spans="3:3">
      <c r="C927" s="15" t="s">
        <v>2124</v>
      </c>
    </row>
    <row r="928" spans="3:3">
      <c r="C928" s="15" t="s">
        <v>331</v>
      </c>
    </row>
    <row r="929" spans="3:3">
      <c r="C929" s="15" t="s">
        <v>2122</v>
      </c>
    </row>
    <row r="930" spans="3:3">
      <c r="C930" s="15" t="s">
        <v>2127</v>
      </c>
    </row>
    <row r="931" spans="3:3">
      <c r="C931" s="15" t="s">
        <v>2132</v>
      </c>
    </row>
    <row r="932" spans="3:3">
      <c r="C932" s="15" t="s">
        <v>2134</v>
      </c>
    </row>
    <row r="933" spans="3:3">
      <c r="C933" s="15" t="s">
        <v>2136</v>
      </c>
    </row>
    <row r="934" spans="3:3">
      <c r="C934" s="15" t="s">
        <v>2138</v>
      </c>
    </row>
    <row r="935" spans="3:3">
      <c r="C935" s="15" t="s">
        <v>2130</v>
      </c>
    </row>
    <row r="936" spans="3:3">
      <c r="C936" s="15" t="s">
        <v>881</v>
      </c>
    </row>
    <row r="937" spans="3:3">
      <c r="C937" s="15" t="s">
        <v>2141</v>
      </c>
    </row>
    <row r="938" spans="3:3">
      <c r="C938" s="15" t="s">
        <v>2143</v>
      </c>
    </row>
    <row r="939" spans="3:3">
      <c r="C939" s="15" t="s">
        <v>2145</v>
      </c>
    </row>
    <row r="940" spans="3:3">
      <c r="C940" s="15" t="s">
        <v>2147</v>
      </c>
    </row>
    <row r="941" spans="3:3">
      <c r="C941" s="15" t="s">
        <v>2149</v>
      </c>
    </row>
    <row r="942" spans="3:3">
      <c r="C942" s="15" t="s">
        <v>2060</v>
      </c>
    </row>
    <row r="943" spans="3:3">
      <c r="C943" s="15" t="s">
        <v>2062</v>
      </c>
    </row>
    <row r="944" spans="3:3">
      <c r="C944" s="15" t="s">
        <v>2064</v>
      </c>
    </row>
    <row r="945" spans="3:3">
      <c r="C945" s="15" t="s">
        <v>2058</v>
      </c>
    </row>
    <row r="946" spans="3:3">
      <c r="C946" s="15" t="s">
        <v>2066</v>
      </c>
    </row>
    <row r="947" spans="3:3">
      <c r="C947" s="15" t="s">
        <v>2081</v>
      </c>
    </row>
    <row r="948" spans="3:3">
      <c r="C948" s="15" t="s">
        <v>2068</v>
      </c>
    </row>
    <row r="949" spans="3:3">
      <c r="C949" s="15" t="s">
        <v>2071</v>
      </c>
    </row>
    <row r="950" spans="3:3">
      <c r="C950" s="15" t="s">
        <v>2086</v>
      </c>
    </row>
    <row r="951" spans="3:3">
      <c r="C951" s="15" t="s">
        <v>2074</v>
      </c>
    </row>
    <row r="952" spans="3:3">
      <c r="C952" s="15" t="s">
        <v>2077</v>
      </c>
    </row>
    <row r="953" spans="3:3">
      <c r="C953" s="15" t="s">
        <v>2084</v>
      </c>
    </row>
    <row r="954" spans="3:3">
      <c r="C954" s="15" t="s">
        <v>2079</v>
      </c>
    </row>
    <row r="955" spans="3:3">
      <c r="C955" s="15" t="s">
        <v>2210</v>
      </c>
    </row>
    <row r="956" spans="3:3">
      <c r="C956" s="15" t="s">
        <v>1365</v>
      </c>
    </row>
    <row r="957" spans="3:3">
      <c r="C957" s="15" t="s">
        <v>2212</v>
      </c>
    </row>
    <row r="958" spans="3:3">
      <c r="C958" s="15" t="s">
        <v>2214</v>
      </c>
    </row>
    <row r="959" spans="3:3">
      <c r="C959" s="15" t="s">
        <v>2216</v>
      </c>
    </row>
    <row r="960" spans="3:3">
      <c r="C960" s="15" t="s">
        <v>2218</v>
      </c>
    </row>
    <row r="961" spans="3:3">
      <c r="C961" s="15" t="s">
        <v>2221</v>
      </c>
    </row>
    <row r="962" spans="3:3">
      <c r="C962" s="15" t="s">
        <v>2169</v>
      </c>
    </row>
    <row r="963" spans="3:3">
      <c r="C963" s="15" t="s">
        <v>2154</v>
      </c>
    </row>
    <row r="964" spans="3:3">
      <c r="C964" s="15" t="s">
        <v>2156</v>
      </c>
    </row>
    <row r="965" spans="3:3">
      <c r="C965" s="15" t="s">
        <v>2158</v>
      </c>
    </row>
    <row r="966" spans="3:3">
      <c r="C966" s="15" t="s">
        <v>2161</v>
      </c>
    </row>
    <row r="967" spans="3:3">
      <c r="C967" s="15" t="s">
        <v>2164</v>
      </c>
    </row>
    <row r="968" spans="3:3">
      <c r="C968" s="15" t="s">
        <v>2167</v>
      </c>
    </row>
    <row r="969" spans="3:3">
      <c r="C969" s="15" t="s">
        <v>2171</v>
      </c>
    </row>
    <row r="970" spans="3:3">
      <c r="C970" s="15" t="s">
        <v>2151</v>
      </c>
    </row>
    <row r="971" spans="3:3">
      <c r="C971" s="15" t="s">
        <v>2173</v>
      </c>
    </row>
    <row r="972" spans="3:3">
      <c r="C972" s="15" t="s">
        <v>2179</v>
      </c>
    </row>
    <row r="973" spans="3:3">
      <c r="C973" s="15" t="s">
        <v>2177</v>
      </c>
    </row>
    <row r="974" spans="3:3">
      <c r="C974" s="15" t="s">
        <v>2184</v>
      </c>
    </row>
    <row r="975" spans="3:3">
      <c r="C975" s="15" t="s">
        <v>2182</v>
      </c>
    </row>
    <row r="976" spans="3:3">
      <c r="C976" s="15" t="s">
        <v>2186</v>
      </c>
    </row>
    <row r="977" spans="3:3">
      <c r="C977" s="15" t="s">
        <v>2191</v>
      </c>
    </row>
    <row r="978" spans="3:3">
      <c r="C978" s="15" t="s">
        <v>2193</v>
      </c>
    </row>
    <row r="979" spans="3:3">
      <c r="C979" s="15" t="s">
        <v>2189</v>
      </c>
    </row>
    <row r="980" spans="3:3">
      <c r="C980" s="15" t="s">
        <v>2195</v>
      </c>
    </row>
    <row r="981" spans="3:3">
      <c r="C981" s="15" t="s">
        <v>2200</v>
      </c>
    </row>
    <row r="982" spans="3:3">
      <c r="C982" s="15" t="s">
        <v>2202</v>
      </c>
    </row>
    <row r="983" spans="3:3">
      <c r="C983" s="15" t="s">
        <v>2198</v>
      </c>
    </row>
    <row r="984" spans="3:3">
      <c r="C984" s="15" t="s">
        <v>2204</v>
      </c>
    </row>
    <row r="985" spans="3:3">
      <c r="C985" s="15" t="s">
        <v>2206</v>
      </c>
    </row>
    <row r="986" spans="3:3">
      <c r="C986" s="15" t="s">
        <v>2231</v>
      </c>
    </row>
    <row r="987" spans="3:3">
      <c r="C987" s="15" t="s">
        <v>2227</v>
      </c>
    </row>
    <row r="988" spans="3:3">
      <c r="C988" s="15" t="s">
        <v>2229</v>
      </c>
    </row>
    <row r="989" spans="3:3">
      <c r="C989" s="15" t="s">
        <v>2225</v>
      </c>
    </row>
    <row r="990" spans="3:3">
      <c r="C990" s="15" t="s">
        <v>2240</v>
      </c>
    </row>
    <row r="991" spans="3:3">
      <c r="C991" s="15" t="s">
        <v>2234</v>
      </c>
    </row>
    <row r="992" spans="3:3">
      <c r="C992" s="15" t="s">
        <v>2237</v>
      </c>
    </row>
    <row r="993" spans="3:3">
      <c r="C993" s="15" t="s">
        <v>1085</v>
      </c>
    </row>
    <row r="994" spans="3:3">
      <c r="C994" s="16" t="s">
        <v>2274</v>
      </c>
    </row>
    <row r="995" spans="3:3">
      <c r="C995" s="16" t="s">
        <v>2276</v>
      </c>
    </row>
    <row r="996" spans="3:3">
      <c r="C996" s="16" t="s">
        <v>2272</v>
      </c>
    </row>
    <row r="997" spans="3:3">
      <c r="C997" s="16" t="s">
        <v>2278</v>
      </c>
    </row>
    <row r="998" spans="3:3">
      <c r="C998" s="16" t="s">
        <v>1966</v>
      </c>
    </row>
    <row r="999" spans="3:3">
      <c r="C999" s="16" t="s">
        <v>2281</v>
      </c>
    </row>
    <row r="1000" spans="3:3">
      <c r="C1000" s="16" t="s">
        <v>2171</v>
      </c>
    </row>
    <row r="1001" spans="3:3">
      <c r="C1001" s="16" t="s">
        <v>2284</v>
      </c>
    </row>
    <row r="1002" spans="3:3">
      <c r="C1002" s="16" t="s">
        <v>2286</v>
      </c>
    </row>
    <row r="1003" spans="3:3">
      <c r="C1003" s="16" t="s">
        <v>2288</v>
      </c>
    </row>
    <row r="1004" spans="3:3">
      <c r="C1004" s="16" t="s">
        <v>2290</v>
      </c>
    </row>
    <row r="1005" spans="3:3">
      <c r="C1005" s="16" t="s">
        <v>2242</v>
      </c>
    </row>
    <row r="1006" spans="3:3">
      <c r="C1006" s="16" t="s">
        <v>2244</v>
      </c>
    </row>
    <row r="1007" spans="3:3">
      <c r="C1007" s="16" t="s">
        <v>2246</v>
      </c>
    </row>
    <row r="1008" spans="3:3">
      <c r="C1008" s="16" t="s">
        <v>2248</v>
      </c>
    </row>
    <row r="1009" spans="3:3">
      <c r="C1009" s="16" t="s">
        <v>2250</v>
      </c>
    </row>
    <row r="1010" spans="3:3">
      <c r="C1010" s="16" t="s">
        <v>2253</v>
      </c>
    </row>
    <row r="1011" spans="3:3">
      <c r="C1011" s="16" t="s">
        <v>2171</v>
      </c>
    </row>
    <row r="1012" spans="3:3">
      <c r="C1012" s="16" t="s">
        <v>2256</v>
      </c>
    </row>
    <row r="1013" spans="3:3">
      <c r="C1013" s="16" t="s">
        <v>2259</v>
      </c>
    </row>
    <row r="1014" spans="3:3">
      <c r="C1014" s="16" t="s">
        <v>1119</v>
      </c>
    </row>
    <row r="1015" spans="3:3">
      <c r="C1015" s="16" t="s">
        <v>1638</v>
      </c>
    </row>
    <row r="1016" spans="3:3">
      <c r="C1016" s="16" t="s">
        <v>2263</v>
      </c>
    </row>
    <row r="1017" spans="3:3">
      <c r="C1017" s="16" t="s">
        <v>2265</v>
      </c>
    </row>
    <row r="1018" spans="3:3">
      <c r="C1018" s="16" t="s">
        <v>2268</v>
      </c>
    </row>
    <row r="1019" spans="3:3">
      <c r="C1019" s="16" t="s">
        <v>2294</v>
      </c>
    </row>
    <row r="1020" spans="3:3">
      <c r="C1020" s="16" t="s">
        <v>2296</v>
      </c>
    </row>
    <row r="1021" spans="3:3">
      <c r="C1021" s="16" t="s">
        <v>2298</v>
      </c>
    </row>
    <row r="1022" spans="3:3">
      <c r="C1022" s="16" t="s">
        <v>2292</v>
      </c>
    </row>
    <row r="1023" spans="3:3">
      <c r="C1023" s="16" t="s">
        <v>311</v>
      </c>
    </row>
    <row r="1024" spans="3:3">
      <c r="C1024" s="16" t="s">
        <v>2303</v>
      </c>
    </row>
    <row r="1025" spans="3:3">
      <c r="C1025" s="16" t="s">
        <v>2301</v>
      </c>
    </row>
    <row r="1026" spans="3:3">
      <c r="C1026" s="16" t="s">
        <v>1054</v>
      </c>
    </row>
    <row r="1027" spans="3:3">
      <c r="C1027" s="16" t="s">
        <v>527</v>
      </c>
    </row>
    <row r="1028" spans="3:3">
      <c r="C1028" s="16" t="s">
        <v>2307</v>
      </c>
    </row>
    <row r="1029" spans="3:3">
      <c r="C1029" s="16" t="s">
        <v>2311</v>
      </c>
    </row>
    <row r="1030" spans="3:3">
      <c r="C1030" s="16" t="s">
        <v>2313</v>
      </c>
    </row>
    <row r="1031" spans="3:3">
      <c r="C1031" s="16" t="s">
        <v>337</v>
      </c>
    </row>
    <row r="1032" spans="3:3">
      <c r="C1032" s="16" t="s">
        <v>2316</v>
      </c>
    </row>
    <row r="1033" spans="3:3">
      <c r="C1033" s="16" t="s">
        <v>2309</v>
      </c>
    </row>
    <row r="1034" spans="3:3">
      <c r="C1034" s="16" t="s">
        <v>2318</v>
      </c>
    </row>
    <row r="1035" spans="3:3">
      <c r="C1035" s="16" t="s">
        <v>2320</v>
      </c>
    </row>
    <row r="1036" spans="3:3">
      <c r="C1036" s="16" t="s">
        <v>2322</v>
      </c>
    </row>
    <row r="1037" spans="3:3">
      <c r="C1037" s="17" t="s">
        <v>2407</v>
      </c>
    </row>
    <row r="1038" spans="3:3">
      <c r="C1038" s="17" t="s">
        <v>2409</v>
      </c>
    </row>
    <row r="1039" spans="3:3">
      <c r="C1039" s="17" t="s">
        <v>2411</v>
      </c>
    </row>
    <row r="1040" spans="3:3">
      <c r="C1040" s="17" t="s">
        <v>2414</v>
      </c>
    </row>
    <row r="1041" spans="3:3">
      <c r="C1041" s="17" t="s">
        <v>2416</v>
      </c>
    </row>
    <row r="1042" spans="3:3">
      <c r="C1042" s="17" t="s">
        <v>2418</v>
      </c>
    </row>
    <row r="1043" spans="3:3">
      <c r="C1043" s="17" t="s">
        <v>2556</v>
      </c>
    </row>
    <row r="1044" spans="3:3">
      <c r="C1044" s="17" t="s">
        <v>2558</v>
      </c>
    </row>
    <row r="1045" spans="3:3">
      <c r="C1045" s="17" t="s">
        <v>2554</v>
      </c>
    </row>
    <row r="1046" spans="3:3">
      <c r="C1046" s="17" t="s">
        <v>2560</v>
      </c>
    </row>
    <row r="1047" spans="3:3">
      <c r="C1047" s="17" t="s">
        <v>2562</v>
      </c>
    </row>
    <row r="1048" spans="3:3">
      <c r="C1048" s="17" t="s">
        <v>2564</v>
      </c>
    </row>
    <row r="1049" spans="3:3">
      <c r="C1049" s="17" t="s">
        <v>2567</v>
      </c>
    </row>
    <row r="1050" spans="3:3">
      <c r="C1050" s="17" t="s">
        <v>2570</v>
      </c>
    </row>
    <row r="1051" spans="3:3">
      <c r="C1051" s="17" t="s">
        <v>2572</v>
      </c>
    </row>
    <row r="1052" spans="3:3">
      <c r="C1052" s="17" t="s">
        <v>432</v>
      </c>
    </row>
    <row r="1053" spans="3:3">
      <c r="C1053" s="17" t="s">
        <v>1219</v>
      </c>
    </row>
    <row r="1054" spans="3:3">
      <c r="C1054" s="17" t="s">
        <v>2382</v>
      </c>
    </row>
    <row r="1055" spans="3:3">
      <c r="C1055" s="17" t="s">
        <v>560</v>
      </c>
    </row>
    <row r="1056" spans="3:3">
      <c r="C1056" s="17" t="s">
        <v>2385</v>
      </c>
    </row>
    <row r="1057" spans="3:3">
      <c r="C1057" s="17" t="s">
        <v>1346</v>
      </c>
    </row>
    <row r="1058" spans="3:3">
      <c r="C1058" s="17" t="s">
        <v>2387</v>
      </c>
    </row>
    <row r="1059" spans="3:3">
      <c r="C1059" s="17" t="s">
        <v>2390</v>
      </c>
    </row>
    <row r="1060" spans="3:3">
      <c r="C1060" s="17" t="s">
        <v>162</v>
      </c>
    </row>
    <row r="1061" spans="3:3">
      <c r="C1061" s="17" t="s">
        <v>2394</v>
      </c>
    </row>
    <row r="1062" spans="3:3">
      <c r="C1062" s="17" t="s">
        <v>2396</v>
      </c>
    </row>
    <row r="1063" spans="3:3">
      <c r="C1063" s="17" t="s">
        <v>2398</v>
      </c>
    </row>
    <row r="1064" spans="3:3">
      <c r="C1064" s="17" t="s">
        <v>2401</v>
      </c>
    </row>
    <row r="1065" spans="3:3">
      <c r="C1065" s="17" t="s">
        <v>2403</v>
      </c>
    </row>
    <row r="1066" spans="3:3">
      <c r="C1066" s="17" t="s">
        <v>2405</v>
      </c>
    </row>
    <row r="1067" spans="3:3">
      <c r="C1067" s="17" t="s">
        <v>2327</v>
      </c>
    </row>
    <row r="1068" spans="3:3">
      <c r="C1068" s="17" t="s">
        <v>2329</v>
      </c>
    </row>
    <row r="1069" spans="3:3">
      <c r="C1069" s="17" t="s">
        <v>2331</v>
      </c>
    </row>
    <row r="1070" spans="3:3">
      <c r="C1070" s="17" t="s">
        <v>2333</v>
      </c>
    </row>
    <row r="1071" spans="3:3">
      <c r="C1071" s="17" t="s">
        <v>2335</v>
      </c>
    </row>
    <row r="1072" spans="3:3">
      <c r="C1072" s="17" t="s">
        <v>2337</v>
      </c>
    </row>
    <row r="1073" spans="3:3">
      <c r="C1073" s="17" t="s">
        <v>1327</v>
      </c>
    </row>
    <row r="1074" spans="3:3">
      <c r="C1074" s="17" t="s">
        <v>2340</v>
      </c>
    </row>
    <row r="1075" spans="3:3">
      <c r="C1075" s="17" t="s">
        <v>2342</v>
      </c>
    </row>
    <row r="1076" spans="3:3">
      <c r="C1076" s="17" t="s">
        <v>2344</v>
      </c>
    </row>
    <row r="1077" spans="3:3">
      <c r="C1077" s="17" t="s">
        <v>2346</v>
      </c>
    </row>
    <row r="1078" spans="3:3">
      <c r="C1078" s="17" t="s">
        <v>2348</v>
      </c>
    </row>
    <row r="1079" spans="3:3">
      <c r="C1079" s="17" t="s">
        <v>2325</v>
      </c>
    </row>
    <row r="1080" spans="3:3">
      <c r="C1080" s="17" t="s">
        <v>2350</v>
      </c>
    </row>
    <row r="1081" spans="3:3">
      <c r="C1081" s="17" t="s">
        <v>2352</v>
      </c>
    </row>
    <row r="1082" spans="3:3">
      <c r="C1082" s="17" t="s">
        <v>2354</v>
      </c>
    </row>
    <row r="1083" spans="3:3">
      <c r="C1083" s="17" t="s">
        <v>429</v>
      </c>
    </row>
    <row r="1084" spans="3:3">
      <c r="C1084" s="17" t="s">
        <v>2358</v>
      </c>
    </row>
    <row r="1085" spans="3:3">
      <c r="C1085" s="17" t="s">
        <v>1519</v>
      </c>
    </row>
    <row r="1086" spans="3:3">
      <c r="C1086" s="17" t="s">
        <v>2361</v>
      </c>
    </row>
    <row r="1087" spans="3:3">
      <c r="C1087" s="17" t="s">
        <v>2363</v>
      </c>
    </row>
    <row r="1088" spans="3:3">
      <c r="C1088" s="17" t="s">
        <v>2365</v>
      </c>
    </row>
    <row r="1089" spans="3:3">
      <c r="C1089" s="17" t="s">
        <v>2367</v>
      </c>
    </row>
    <row r="1090" spans="3:3">
      <c r="C1090" s="17" t="s">
        <v>2375</v>
      </c>
    </row>
    <row r="1091" spans="3:3">
      <c r="C1091" s="17" t="s">
        <v>2369</v>
      </c>
    </row>
    <row r="1092" spans="3:3">
      <c r="C1092" s="17" t="s">
        <v>2371</v>
      </c>
    </row>
    <row r="1093" spans="3:3">
      <c r="C1093" s="17" t="s">
        <v>2373</v>
      </c>
    </row>
    <row r="1094" spans="3:3">
      <c r="C1094" s="17" t="s">
        <v>2377</v>
      </c>
    </row>
    <row r="1095" spans="3:3">
      <c r="C1095" s="17" t="s">
        <v>2422</v>
      </c>
    </row>
    <row r="1096" spans="3:3">
      <c r="C1096" s="17" t="s">
        <v>2424</v>
      </c>
    </row>
    <row r="1097" spans="3:3">
      <c r="C1097" s="17" t="s">
        <v>2426</v>
      </c>
    </row>
    <row r="1098" spans="3:3">
      <c r="C1098" s="17" t="s">
        <v>2428</v>
      </c>
    </row>
    <row r="1099" spans="3:3">
      <c r="C1099" s="17" t="s">
        <v>2430</v>
      </c>
    </row>
    <row r="1100" spans="3:3">
      <c r="C1100" s="17" t="s">
        <v>2433</v>
      </c>
    </row>
    <row r="1101" spans="3:3">
      <c r="C1101" s="17" t="s">
        <v>2436</v>
      </c>
    </row>
    <row r="1102" spans="3:3">
      <c r="C1102" s="17" t="s">
        <v>528</v>
      </c>
    </row>
    <row r="1103" spans="3:3">
      <c r="C1103" s="17" t="s">
        <v>2439</v>
      </c>
    </row>
    <row r="1104" spans="3:3">
      <c r="C1104" s="17" t="s">
        <v>2441</v>
      </c>
    </row>
    <row r="1105" spans="3:3">
      <c r="C1105" s="17" t="s">
        <v>2420</v>
      </c>
    </row>
    <row r="1106" spans="3:3">
      <c r="C1106" s="17" t="s">
        <v>2444</v>
      </c>
    </row>
    <row r="1107" spans="3:3">
      <c r="C1107" s="17" t="s">
        <v>2446</v>
      </c>
    </row>
    <row r="1108" spans="3:3">
      <c r="C1108" s="17" t="s">
        <v>2449</v>
      </c>
    </row>
    <row r="1109" spans="3:3">
      <c r="C1109" s="17" t="s">
        <v>2451</v>
      </c>
    </row>
    <row r="1110" spans="3:3">
      <c r="C1110" s="17" t="s">
        <v>2453</v>
      </c>
    </row>
    <row r="1111" spans="3:3">
      <c r="C1111" s="17" t="s">
        <v>2455</v>
      </c>
    </row>
    <row r="1112" spans="3:3">
      <c r="C1112" s="17" t="s">
        <v>2457</v>
      </c>
    </row>
    <row r="1113" spans="3:3">
      <c r="C1113" s="17" t="s">
        <v>2459</v>
      </c>
    </row>
    <row r="1114" spans="3:3">
      <c r="C1114" s="17" t="s">
        <v>2461</v>
      </c>
    </row>
    <row r="1115" spans="3:3">
      <c r="C1115" s="17" t="s">
        <v>2463</v>
      </c>
    </row>
    <row r="1116" spans="3:3">
      <c r="C1116" s="17" t="s">
        <v>2465</v>
      </c>
    </row>
    <row r="1117" spans="3:3">
      <c r="C1117" s="17" t="s">
        <v>1436</v>
      </c>
    </row>
    <row r="1118" spans="3:3">
      <c r="C1118" s="17" t="s">
        <v>2468</v>
      </c>
    </row>
    <row r="1119" spans="3:3">
      <c r="C1119" s="17" t="s">
        <v>2470</v>
      </c>
    </row>
    <row r="1120" spans="3:3">
      <c r="C1120" s="17" t="s">
        <v>2472</v>
      </c>
    </row>
    <row r="1121" spans="3:3">
      <c r="C1121" s="17" t="s">
        <v>2474</v>
      </c>
    </row>
    <row r="1122" spans="3:3">
      <c r="C1122" s="17" t="s">
        <v>2476</v>
      </c>
    </row>
    <row r="1123" spans="3:3">
      <c r="C1123" s="17" t="s">
        <v>2478</v>
      </c>
    </row>
    <row r="1124" spans="3:3">
      <c r="C1124" s="17" t="s">
        <v>2480</v>
      </c>
    </row>
    <row r="1125" spans="3:3">
      <c r="C1125" s="17" t="s">
        <v>2482</v>
      </c>
    </row>
    <row r="1126" spans="3:3">
      <c r="C1126" s="17" t="s">
        <v>2484</v>
      </c>
    </row>
    <row r="1127" spans="3:3">
      <c r="C1127" s="17" t="s">
        <v>1892</v>
      </c>
    </row>
    <row r="1128" spans="3:3">
      <c r="C1128" s="17" t="s">
        <v>2488</v>
      </c>
    </row>
    <row r="1129" spans="3:3">
      <c r="C1129" s="17" t="s">
        <v>2491</v>
      </c>
    </row>
    <row r="1130" spans="3:3">
      <c r="C1130" s="17" t="s">
        <v>2324</v>
      </c>
    </row>
    <row r="1131" spans="3:3">
      <c r="C1131" s="17" t="s">
        <v>2493</v>
      </c>
    </row>
    <row r="1132" spans="3:3">
      <c r="C1132" s="17" t="s">
        <v>2495</v>
      </c>
    </row>
    <row r="1133" spans="3:3">
      <c r="C1133" s="17" t="s">
        <v>2499</v>
      </c>
    </row>
    <row r="1134" spans="3:3">
      <c r="C1134" s="17" t="s">
        <v>2501</v>
      </c>
    </row>
    <row r="1135" spans="3:3">
      <c r="C1135" s="17" t="s">
        <v>2503</v>
      </c>
    </row>
    <row r="1136" spans="3:3">
      <c r="C1136" s="17" t="s">
        <v>2505</v>
      </c>
    </row>
    <row r="1137" spans="3:3">
      <c r="C1137" s="17" t="s">
        <v>2508</v>
      </c>
    </row>
    <row r="1138" spans="3:3">
      <c r="C1138" s="17" t="s">
        <v>2511</v>
      </c>
    </row>
    <row r="1139" spans="3:3">
      <c r="C1139" s="17" t="s">
        <v>2513</v>
      </c>
    </row>
    <row r="1140" spans="3:3">
      <c r="C1140" s="17" t="s">
        <v>2497</v>
      </c>
    </row>
    <row r="1141" spans="3:3">
      <c r="C1141" s="17" t="s">
        <v>2516</v>
      </c>
    </row>
    <row r="1142" spans="3:3">
      <c r="C1142" s="17" t="s">
        <v>644</v>
      </c>
    </row>
    <row r="1143" spans="3:3">
      <c r="C1143" s="17" t="s">
        <v>2522</v>
      </c>
    </row>
    <row r="1144" spans="3:3">
      <c r="C1144" s="17" t="s">
        <v>2524</v>
      </c>
    </row>
    <row r="1145" spans="3:3">
      <c r="C1145" s="17" t="s">
        <v>1075</v>
      </c>
    </row>
    <row r="1146" spans="3:3">
      <c r="C1146" s="17" t="s">
        <v>1886</v>
      </c>
    </row>
    <row r="1147" spans="3:3">
      <c r="C1147" s="17" t="s">
        <v>2529</v>
      </c>
    </row>
    <row r="1148" spans="3:3">
      <c r="C1148" s="17" t="s">
        <v>2531</v>
      </c>
    </row>
    <row r="1149" spans="3:3">
      <c r="C1149" s="17" t="s">
        <v>2533</v>
      </c>
    </row>
    <row r="1150" spans="3:3">
      <c r="C1150" s="17" t="s">
        <v>2519</v>
      </c>
    </row>
    <row r="1151" spans="3:3">
      <c r="C1151" s="17" t="s">
        <v>2537</v>
      </c>
    </row>
    <row r="1152" spans="3:3">
      <c r="C1152" s="17" t="s">
        <v>2539</v>
      </c>
    </row>
    <row r="1153" spans="3:3">
      <c r="C1153" s="17" t="s">
        <v>2535</v>
      </c>
    </row>
    <row r="1154" spans="3:3">
      <c r="C1154" s="17" t="s">
        <v>2541</v>
      </c>
    </row>
    <row r="1155" spans="3:3">
      <c r="C1155" s="17" t="s">
        <v>2543</v>
      </c>
    </row>
    <row r="1156" spans="3:3">
      <c r="C1156" s="17" t="s">
        <v>1436</v>
      </c>
    </row>
    <row r="1157" spans="3:3">
      <c r="C1157" s="17" t="s">
        <v>2547</v>
      </c>
    </row>
    <row r="1158" spans="3:3">
      <c r="C1158" s="17" t="s">
        <v>2549</v>
      </c>
    </row>
    <row r="1159" spans="3:3">
      <c r="C1159" s="17" t="s">
        <v>2551</v>
      </c>
    </row>
    <row r="1160" spans="3:3">
      <c r="C1160" s="17" t="s">
        <v>1892</v>
      </c>
    </row>
    <row r="1161" spans="3:3">
      <c r="C1161" s="6" t="s">
        <v>2594</v>
      </c>
    </row>
    <row r="1162" spans="3:3">
      <c r="C1162" s="6" t="s">
        <v>2609</v>
      </c>
    </row>
    <row r="1163" spans="3:3">
      <c r="C1163" s="6" t="s">
        <v>2596</v>
      </c>
    </row>
    <row r="1164" spans="3:3">
      <c r="C1164" s="6" t="s">
        <v>2598</v>
      </c>
    </row>
    <row r="1165" spans="3:3">
      <c r="C1165" s="6" t="s">
        <v>2600</v>
      </c>
    </row>
    <row r="1166" spans="3:3">
      <c r="C1166" s="6" t="s">
        <v>2602</v>
      </c>
    </row>
    <row r="1167" spans="3:3">
      <c r="C1167" s="6" t="s">
        <v>2604</v>
      </c>
    </row>
    <row r="1168" spans="3:3">
      <c r="C1168" s="6" t="s">
        <v>2607</v>
      </c>
    </row>
    <row r="1169" spans="3:3">
      <c r="C1169" s="6" t="s">
        <v>1500</v>
      </c>
    </row>
    <row r="1170" spans="3:3">
      <c r="C1170" s="6" t="s">
        <v>1562</v>
      </c>
    </row>
    <row r="1171" spans="3:3">
      <c r="C1171" s="6" t="s">
        <v>2613</v>
      </c>
    </row>
    <row r="1172" spans="3:3">
      <c r="C1172" s="6" t="s">
        <v>2616</v>
      </c>
    </row>
    <row r="1173" spans="3:3">
      <c r="C1173" s="6" t="s">
        <v>2618</v>
      </c>
    </row>
    <row r="1174" spans="3:3">
      <c r="C1174" s="6" t="s">
        <v>2620</v>
      </c>
    </row>
    <row r="1175" spans="3:3">
      <c r="C1175" s="6" t="s">
        <v>2622</v>
      </c>
    </row>
    <row r="1176" spans="3:3">
      <c r="C1176" s="6" t="s">
        <v>2624</v>
      </c>
    </row>
    <row r="1177" spans="3:3">
      <c r="C1177" s="6" t="s">
        <v>2171</v>
      </c>
    </row>
    <row r="1178" spans="3:3">
      <c r="C1178" s="6" t="s">
        <v>2722</v>
      </c>
    </row>
    <row r="1179" spans="3:3">
      <c r="C1179" s="6" t="s">
        <v>549</v>
      </c>
    </row>
    <row r="1180" spans="3:3">
      <c r="C1180" s="6" t="s">
        <v>2725</v>
      </c>
    </row>
    <row r="1181" spans="3:3">
      <c r="C1181" s="6" t="s">
        <v>2728</v>
      </c>
    </row>
    <row r="1182" spans="3:3">
      <c r="C1182" s="6" t="s">
        <v>2628</v>
      </c>
    </row>
    <row r="1183" spans="3:3">
      <c r="C1183" s="6" t="s">
        <v>2630</v>
      </c>
    </row>
    <row r="1184" spans="3:3">
      <c r="C1184" s="6" t="s">
        <v>2632</v>
      </c>
    </row>
    <row r="1185" spans="3:3">
      <c r="C1185" s="6" t="s">
        <v>2444</v>
      </c>
    </row>
    <row r="1186" spans="3:3">
      <c r="C1186" s="6" t="s">
        <v>2636</v>
      </c>
    </row>
    <row r="1187" spans="3:3">
      <c r="C1187" s="6" t="s">
        <v>2638</v>
      </c>
    </row>
    <row r="1188" spans="3:3">
      <c r="C1188" s="6" t="s">
        <v>2640</v>
      </c>
    </row>
    <row r="1189" spans="3:3">
      <c r="C1189" s="6" t="s">
        <v>2642</v>
      </c>
    </row>
    <row r="1190" spans="3:3">
      <c r="C1190" s="6" t="s">
        <v>2644</v>
      </c>
    </row>
    <row r="1191" spans="3:3">
      <c r="C1191" s="6" t="s">
        <v>2634</v>
      </c>
    </row>
    <row r="1192" spans="3:3">
      <c r="C1192" s="6" t="s">
        <v>2646</v>
      </c>
    </row>
    <row r="1193" spans="3:3">
      <c r="C1193" s="6" t="s">
        <v>2648</v>
      </c>
    </row>
    <row r="1194" spans="3:3">
      <c r="C1194" s="6" t="s">
        <v>2650</v>
      </c>
    </row>
    <row r="1195" spans="3:3">
      <c r="C1195" s="6" t="s">
        <v>2652</v>
      </c>
    </row>
    <row r="1196" spans="3:3">
      <c r="C1196" s="6" t="s">
        <v>2257</v>
      </c>
    </row>
    <row r="1197" spans="3:3">
      <c r="C1197" s="6" t="s">
        <v>2658</v>
      </c>
    </row>
    <row r="1198" spans="3:3">
      <c r="C1198" s="6" t="s">
        <v>2654</v>
      </c>
    </row>
    <row r="1199" spans="3:3">
      <c r="C1199" s="6" t="s">
        <v>934</v>
      </c>
    </row>
    <row r="1200" spans="3:3">
      <c r="C1200" s="6" t="s">
        <v>2655</v>
      </c>
    </row>
    <row r="1201" spans="3:3">
      <c r="C1201" s="6" t="s">
        <v>2665</v>
      </c>
    </row>
    <row r="1202" spans="3:3">
      <c r="C1202" s="6" t="s">
        <v>2667</v>
      </c>
    </row>
    <row r="1203" spans="3:3">
      <c r="C1203" s="6" t="s">
        <v>2669</v>
      </c>
    </row>
    <row r="1204" spans="3:3">
      <c r="C1204" s="6" t="s">
        <v>2671</v>
      </c>
    </row>
    <row r="1205" spans="3:3">
      <c r="C1205" s="6" t="s">
        <v>2673</v>
      </c>
    </row>
    <row r="1206" spans="3:3">
      <c r="C1206" s="6" t="s">
        <v>2675</v>
      </c>
    </row>
    <row r="1207" spans="3:3">
      <c r="C1207" s="6" t="s">
        <v>2677</v>
      </c>
    </row>
    <row r="1208" spans="3:3">
      <c r="C1208" s="6" t="s">
        <v>2662</v>
      </c>
    </row>
    <row r="1209" spans="3:3">
      <c r="C1209" s="6" t="s">
        <v>2680</v>
      </c>
    </row>
    <row r="1210" spans="3:3">
      <c r="C1210" s="6" t="s">
        <v>2682</v>
      </c>
    </row>
    <row r="1211" spans="3:3">
      <c r="C1211" s="6" t="s">
        <v>2685</v>
      </c>
    </row>
    <row r="1212" spans="3:3">
      <c r="C1212" s="6" t="s">
        <v>2663</v>
      </c>
    </row>
    <row r="1213" spans="3:3">
      <c r="C1213" s="6" t="s">
        <v>2687</v>
      </c>
    </row>
    <row r="1214" spans="3:3">
      <c r="C1214" s="6" t="s">
        <v>2692</v>
      </c>
    </row>
    <row r="1215" spans="3:3">
      <c r="C1215" s="6" t="s">
        <v>2694</v>
      </c>
    </row>
    <row r="1216" spans="3:3">
      <c r="C1216" s="6" t="s">
        <v>2697</v>
      </c>
    </row>
    <row r="1217" spans="3:3">
      <c r="C1217" s="6" t="s">
        <v>2690</v>
      </c>
    </row>
    <row r="1218" spans="3:3">
      <c r="C1218" s="6" t="s">
        <v>2699</v>
      </c>
    </row>
    <row r="1219" spans="3:3">
      <c r="C1219" s="6" t="s">
        <v>2701</v>
      </c>
    </row>
    <row r="1220" spans="3:3">
      <c r="C1220" s="6" t="s">
        <v>2703</v>
      </c>
    </row>
    <row r="1221" spans="3:3">
      <c r="C1221" s="6" t="s">
        <v>2705</v>
      </c>
    </row>
    <row r="1222" spans="3:3">
      <c r="C1222" s="6" t="s">
        <v>2709</v>
      </c>
    </row>
    <row r="1223" spans="3:3">
      <c r="C1223" s="6" t="s">
        <v>2711</v>
      </c>
    </row>
    <row r="1224" spans="3:3">
      <c r="C1224" s="6" t="s">
        <v>751</v>
      </c>
    </row>
    <row r="1225" spans="3:3">
      <c r="C1225" s="6" t="s">
        <v>1669</v>
      </c>
    </row>
    <row r="1226" spans="3:3">
      <c r="C1226" s="6" t="s">
        <v>2715</v>
      </c>
    </row>
    <row r="1227" spans="3:3">
      <c r="C1227" s="6" t="s">
        <v>2717</v>
      </c>
    </row>
    <row r="1228" spans="3:3">
      <c r="C1228" s="6" t="s">
        <v>2707</v>
      </c>
    </row>
    <row r="1229" spans="3:3">
      <c r="C1229" s="6" t="s">
        <v>2719</v>
      </c>
    </row>
    <row r="1230" spans="3:3">
      <c r="C1230" s="6" t="s">
        <v>825</v>
      </c>
    </row>
    <row r="1231" spans="3:3">
      <c r="C1231" s="6" t="s">
        <v>2577</v>
      </c>
    </row>
    <row r="1232" spans="3:3">
      <c r="C1232" s="6" t="s">
        <v>2579</v>
      </c>
    </row>
    <row r="1233" spans="3:3">
      <c r="C1233" s="6" t="s">
        <v>1602</v>
      </c>
    </row>
    <row r="1234" spans="3:3">
      <c r="C1234" s="6" t="s">
        <v>2582</v>
      </c>
    </row>
    <row r="1235" spans="3:3">
      <c r="C1235" s="6" t="s">
        <v>2584</v>
      </c>
    </row>
    <row r="1236" spans="3:3">
      <c r="C1236" s="6" t="s">
        <v>2586</v>
      </c>
    </row>
    <row r="1237" spans="3:3">
      <c r="C1237" s="6" t="s">
        <v>2588</v>
      </c>
    </row>
    <row r="1238" spans="3:3">
      <c r="C1238" s="6" t="s">
        <v>2590</v>
      </c>
    </row>
    <row r="1239" spans="3:3">
      <c r="C1239" s="6" t="s">
        <v>2574</v>
      </c>
    </row>
    <row r="1240" spans="3:3">
      <c r="C1240" s="6" t="s">
        <v>2592</v>
      </c>
    </row>
    <row r="1241" spans="3:3">
      <c r="C1241" s="6" t="s">
        <v>2732</v>
      </c>
    </row>
    <row r="1242" spans="3:3">
      <c r="C1242" s="6" t="s">
        <v>2734</v>
      </c>
    </row>
    <row r="1243" spans="3:3">
      <c r="C1243" s="6" t="s">
        <v>2730</v>
      </c>
    </row>
    <row r="1244" spans="3:3">
      <c r="C1244" s="18" t="s">
        <v>2767</v>
      </c>
    </row>
    <row r="1245" spans="3:3">
      <c r="C1245" s="18" t="s">
        <v>2737</v>
      </c>
    </row>
    <row r="1246" spans="3:3">
      <c r="C1246" s="18" t="s">
        <v>2739</v>
      </c>
    </row>
    <row r="1247" spans="3:3">
      <c r="C1247" s="18" t="s">
        <v>2741</v>
      </c>
    </row>
    <row r="1248" spans="3:3">
      <c r="C1248" s="18" t="s">
        <v>2743</v>
      </c>
    </row>
    <row r="1249" spans="3:3">
      <c r="C1249" s="18" t="s">
        <v>2745</v>
      </c>
    </row>
    <row r="1250" spans="3:3">
      <c r="C1250" s="18" t="s">
        <v>2747</v>
      </c>
    </row>
    <row r="1251" spans="3:3">
      <c r="C1251" s="18" t="s">
        <v>2749</v>
      </c>
    </row>
    <row r="1252" spans="3:3">
      <c r="C1252" s="18" t="s">
        <v>2752</v>
      </c>
    </row>
    <row r="1253" spans="3:3">
      <c r="C1253" s="18" t="s">
        <v>2754</v>
      </c>
    </row>
    <row r="1254" spans="3:3">
      <c r="C1254" s="18" t="s">
        <v>2756</v>
      </c>
    </row>
    <row r="1255" spans="3:3">
      <c r="C1255" s="18" t="s">
        <v>2769</v>
      </c>
    </row>
    <row r="1256" spans="3:3">
      <c r="C1256" s="18" t="s">
        <v>2758</v>
      </c>
    </row>
    <row r="1257" spans="3:3">
      <c r="C1257" s="18" t="s">
        <v>2760</v>
      </c>
    </row>
    <row r="1258" spans="3:3">
      <c r="C1258" s="18" t="s">
        <v>2771</v>
      </c>
    </row>
    <row r="1259" spans="3:3">
      <c r="C1259" s="18" t="s">
        <v>2773</v>
      </c>
    </row>
    <row r="1260" spans="3:3">
      <c r="C1260" s="18" t="s">
        <v>2762</v>
      </c>
    </row>
    <row r="1261" spans="3:3">
      <c r="C1261" s="18" t="s">
        <v>306</v>
      </c>
    </row>
    <row r="1262" spans="3:3">
      <c r="C1262" s="18" t="s">
        <v>2765</v>
      </c>
    </row>
    <row r="1263" spans="3:3">
      <c r="C1263" s="18" t="s">
        <v>2775</v>
      </c>
    </row>
    <row r="1264" spans="3:3">
      <c r="C1264" s="18" t="s">
        <v>2779</v>
      </c>
    </row>
    <row r="1265" spans="3:3">
      <c r="C1265" s="18" t="s">
        <v>2777</v>
      </c>
    </row>
    <row r="1266" spans="3:3">
      <c r="C1266" s="18" t="s">
        <v>2781</v>
      </c>
    </row>
    <row r="1267" spans="3:3">
      <c r="C1267" s="18" t="s">
        <v>2783</v>
      </c>
    </row>
    <row r="1268" spans="3:3">
      <c r="C1268" s="18" t="s">
        <v>2785</v>
      </c>
    </row>
    <row r="1269" spans="3:3">
      <c r="C1269" s="18" t="s">
        <v>2171</v>
      </c>
    </row>
    <row r="1270" spans="3:3">
      <c r="C1270" s="18" t="s">
        <v>2789</v>
      </c>
    </row>
    <row r="1271" spans="3:3">
      <c r="C1271" s="18" t="s">
        <v>2791</v>
      </c>
    </row>
    <row r="1272" spans="3:3">
      <c r="C1272" s="18" t="s">
        <v>2793</v>
      </c>
    </row>
    <row r="1273" spans="3:3">
      <c r="C1273" s="18" t="s">
        <v>2736</v>
      </c>
    </row>
    <row r="1274" spans="3:3">
      <c r="C1274" s="18" t="s">
        <v>2795</v>
      </c>
    </row>
    <row r="1275" spans="3:3">
      <c r="C1275" s="18" t="s">
        <v>2797</v>
      </c>
    </row>
    <row r="1276" spans="3:3">
      <c r="C1276" s="18" t="s">
        <v>2799</v>
      </c>
    </row>
    <row r="1277" spans="3:3">
      <c r="C1277" s="18" t="s">
        <v>2801</v>
      </c>
    </row>
    <row r="1278" spans="3:3">
      <c r="C1278" s="18" t="s">
        <v>2803</v>
      </c>
    </row>
    <row r="1279" spans="3:3">
      <c r="C1279" s="18" t="s">
        <v>2256</v>
      </c>
    </row>
    <row r="1280" spans="3:3">
      <c r="C1280" s="18" t="s">
        <v>934</v>
      </c>
    </row>
    <row r="1281" spans="3:3">
      <c r="C1281" s="18" t="s">
        <v>2807</v>
      </c>
    </row>
    <row r="1282" spans="3:3">
      <c r="C1282" s="19" t="s">
        <v>2893</v>
      </c>
    </row>
    <row r="1283" spans="3:3">
      <c r="C1283" s="19" t="s">
        <v>2895</v>
      </c>
    </row>
    <row r="1284" spans="3:3">
      <c r="C1284" s="19" t="s">
        <v>2897</v>
      </c>
    </row>
    <row r="1285" spans="3:3">
      <c r="C1285" s="19" t="s">
        <v>2899</v>
      </c>
    </row>
    <row r="1286" spans="3:3">
      <c r="C1286" s="19" t="s">
        <v>2901</v>
      </c>
    </row>
    <row r="1287" spans="3:3">
      <c r="C1287" s="19" t="s">
        <v>2903</v>
      </c>
    </row>
    <row r="1288" spans="3:3">
      <c r="C1288" s="19" t="s">
        <v>570</v>
      </c>
    </row>
    <row r="1289" spans="3:3">
      <c r="C1289" s="19" t="s">
        <v>2906</v>
      </c>
    </row>
    <row r="1290" spans="3:3">
      <c r="C1290" s="19" t="s">
        <v>2908</v>
      </c>
    </row>
    <row r="1291" spans="3:3">
      <c r="C1291" s="19" t="s">
        <v>2910</v>
      </c>
    </row>
    <row r="1292" spans="3:3">
      <c r="C1292" s="19" t="s">
        <v>2914</v>
      </c>
    </row>
    <row r="1293" spans="3:3">
      <c r="C1293" s="19" t="s">
        <v>2912</v>
      </c>
    </row>
    <row r="1294" spans="3:3">
      <c r="C1294" s="19" t="s">
        <v>2916</v>
      </c>
    </row>
    <row r="1295" spans="3:3">
      <c r="C1295" s="19" t="s">
        <v>2918</v>
      </c>
    </row>
    <row r="1296" spans="3:3">
      <c r="C1296" s="19" t="s">
        <v>2920</v>
      </c>
    </row>
    <row r="1297" spans="3:3">
      <c r="C1297" s="19" t="s">
        <v>2182</v>
      </c>
    </row>
    <row r="1298" spans="3:3">
      <c r="C1298" s="19" t="s">
        <v>2923</v>
      </c>
    </row>
    <row r="1299" spans="3:3">
      <c r="C1299" s="19" t="s">
        <v>2929</v>
      </c>
    </row>
    <row r="1300" spans="3:3">
      <c r="C1300" s="19" t="s">
        <v>2931</v>
      </c>
    </row>
    <row r="1301" spans="3:3">
      <c r="C1301" s="19" t="s">
        <v>2933</v>
      </c>
    </row>
    <row r="1302" spans="3:3">
      <c r="C1302" s="19" t="s">
        <v>2333</v>
      </c>
    </row>
    <row r="1303" spans="3:3">
      <c r="C1303" s="19" t="s">
        <v>2936</v>
      </c>
    </row>
    <row r="1304" spans="3:3">
      <c r="C1304" s="19" t="s">
        <v>2938</v>
      </c>
    </row>
    <row r="1305" spans="3:3">
      <c r="C1305" s="19" t="s">
        <v>2940</v>
      </c>
    </row>
    <row r="1306" spans="3:3">
      <c r="C1306" s="19" t="s">
        <v>2942</v>
      </c>
    </row>
    <row r="1307" spans="3:3">
      <c r="C1307" s="19" t="s">
        <v>2944</v>
      </c>
    </row>
    <row r="1308" spans="3:3">
      <c r="C1308" s="19" t="s">
        <v>2946</v>
      </c>
    </row>
    <row r="1309" spans="3:3">
      <c r="C1309" s="19" t="s">
        <v>2948</v>
      </c>
    </row>
    <row r="1310" spans="3:3">
      <c r="C1310" s="19" t="s">
        <v>850</v>
      </c>
    </row>
    <row r="1311" spans="3:3">
      <c r="C1311" s="19" t="s">
        <v>441</v>
      </c>
    </row>
    <row r="1312" spans="3:3">
      <c r="C1312" s="19" t="s">
        <v>2927</v>
      </c>
    </row>
    <row r="1313" spans="3:3">
      <c r="C1313" s="19" t="s">
        <v>2952</v>
      </c>
    </row>
    <row r="1314" spans="3:3">
      <c r="C1314" s="19" t="s">
        <v>2954</v>
      </c>
    </row>
    <row r="1315" spans="3:3">
      <c r="C1315" s="19" t="s">
        <v>2958</v>
      </c>
    </row>
    <row r="1316" spans="3:3">
      <c r="C1316" s="19" t="s">
        <v>2961</v>
      </c>
    </row>
    <row r="1317" spans="3:3">
      <c r="C1317" s="19" t="s">
        <v>2964</v>
      </c>
    </row>
    <row r="1318" spans="3:3">
      <c r="C1318" s="19" t="s">
        <v>1544</v>
      </c>
    </row>
    <row r="1319" spans="3:3">
      <c r="C1319" s="19" t="s">
        <v>2956</v>
      </c>
    </row>
    <row r="1320" spans="3:3">
      <c r="C1320" s="19" t="s">
        <v>2967</v>
      </c>
    </row>
    <row r="1321" spans="3:3">
      <c r="C1321" s="19" t="s">
        <v>2969</v>
      </c>
    </row>
    <row r="1322" spans="3:3">
      <c r="C1322" s="19" t="s">
        <v>2971</v>
      </c>
    </row>
    <row r="1323" spans="3:3">
      <c r="C1323" s="19" t="s">
        <v>2973</v>
      </c>
    </row>
    <row r="1324" spans="3:3">
      <c r="C1324" s="19" t="s">
        <v>2975</v>
      </c>
    </row>
    <row r="1325" spans="3:3">
      <c r="C1325" s="19" t="s">
        <v>2977</v>
      </c>
    </row>
    <row r="1326" spans="3:3">
      <c r="C1326" s="19" t="s">
        <v>2979</v>
      </c>
    </row>
    <row r="1327" spans="3:3">
      <c r="C1327" s="19" t="s">
        <v>2985</v>
      </c>
    </row>
    <row r="1328" spans="3:3">
      <c r="C1328" s="19" t="s">
        <v>2987</v>
      </c>
    </row>
    <row r="1329" spans="3:3">
      <c r="C1329" s="19" t="s">
        <v>2989</v>
      </c>
    </row>
    <row r="1330" spans="3:3">
      <c r="C1330" s="19" t="s">
        <v>2991</v>
      </c>
    </row>
    <row r="1331" spans="3:3">
      <c r="C1331" s="19" t="s">
        <v>1868</v>
      </c>
    </row>
    <row r="1332" spans="3:3">
      <c r="C1332" s="19" t="s">
        <v>2995</v>
      </c>
    </row>
    <row r="1333" spans="3:3">
      <c r="C1333" s="19" t="s">
        <v>2998</v>
      </c>
    </row>
    <row r="1334" spans="3:3">
      <c r="C1334" s="19" t="s">
        <v>2982</v>
      </c>
    </row>
    <row r="1335" spans="3:3">
      <c r="C1335" s="19" t="s">
        <v>3001</v>
      </c>
    </row>
    <row r="1336" spans="3:3">
      <c r="C1336" s="19" t="s">
        <v>3003</v>
      </c>
    </row>
    <row r="1337" spans="3:3">
      <c r="C1337" s="19" t="s">
        <v>3008</v>
      </c>
    </row>
    <row r="1338" spans="3:3">
      <c r="C1338" s="19" t="s">
        <v>2983</v>
      </c>
    </row>
    <row r="1339" spans="3:3">
      <c r="C1339" s="19" t="s">
        <v>3010</v>
      </c>
    </row>
    <row r="1340" spans="3:3">
      <c r="C1340" s="19" t="s">
        <v>3012</v>
      </c>
    </row>
    <row r="1341" spans="3:3">
      <c r="C1341" s="19" t="s">
        <v>850</v>
      </c>
    </row>
    <row r="1342" spans="3:3">
      <c r="C1342" s="19" t="s">
        <v>3016</v>
      </c>
    </row>
    <row r="1343" spans="3:3">
      <c r="C1343" s="19" t="s">
        <v>3018</v>
      </c>
    </row>
    <row r="1344" spans="3:3">
      <c r="C1344" s="19" t="s">
        <v>3020</v>
      </c>
    </row>
    <row r="1345" spans="3:3">
      <c r="C1345" s="19" t="s">
        <v>3022</v>
      </c>
    </row>
    <row r="1346" spans="3:3">
      <c r="C1346" s="19" t="s">
        <v>3024</v>
      </c>
    </row>
    <row r="1347" spans="3:3">
      <c r="C1347" s="19" t="s">
        <v>3026</v>
      </c>
    </row>
    <row r="1348" spans="3:3">
      <c r="C1348" s="19" t="s">
        <v>3028</v>
      </c>
    </row>
    <row r="1349" spans="3:3">
      <c r="C1349" s="19" t="s">
        <v>3031</v>
      </c>
    </row>
    <row r="1350" spans="3:3">
      <c r="C1350" s="19" t="s">
        <v>3033</v>
      </c>
    </row>
    <row r="1351" spans="3:3">
      <c r="C1351" s="19" t="s">
        <v>3005</v>
      </c>
    </row>
    <row r="1352" spans="3:3">
      <c r="C1352" s="19" t="s">
        <v>3035</v>
      </c>
    </row>
    <row r="1353" spans="3:3">
      <c r="C1353" s="19" t="s">
        <v>3037</v>
      </c>
    </row>
    <row r="1354" spans="3:3">
      <c r="C1354" s="19" t="s">
        <v>3039</v>
      </c>
    </row>
    <row r="1355" spans="3:3">
      <c r="C1355" s="19" t="s">
        <v>3041</v>
      </c>
    </row>
    <row r="1356" spans="3:3">
      <c r="C1356" s="19" t="s">
        <v>3043</v>
      </c>
    </row>
    <row r="1357" spans="3:3">
      <c r="C1357" s="19" t="s">
        <v>3045</v>
      </c>
    </row>
    <row r="1358" spans="3:3">
      <c r="C1358" s="19" t="s">
        <v>3047</v>
      </c>
    </row>
    <row r="1359" spans="3:3">
      <c r="C1359" s="19" t="s">
        <v>3052</v>
      </c>
    </row>
    <row r="1360" spans="3:3">
      <c r="C1360" s="19" t="s">
        <v>3054</v>
      </c>
    </row>
    <row r="1361" spans="3:3">
      <c r="C1361" s="19" t="s">
        <v>3056</v>
      </c>
    </row>
    <row r="1362" spans="3:3">
      <c r="C1362" s="19" t="s">
        <v>3050</v>
      </c>
    </row>
    <row r="1363" spans="3:3">
      <c r="C1363" s="19" t="s">
        <v>3059</v>
      </c>
    </row>
    <row r="1364" spans="3:3">
      <c r="C1364" s="19" t="s">
        <v>3049</v>
      </c>
    </row>
    <row r="1365" spans="3:3">
      <c r="C1365" s="19" t="s">
        <v>1229</v>
      </c>
    </row>
    <row r="1366" spans="3:3">
      <c r="C1366" s="19" t="s">
        <v>3063</v>
      </c>
    </row>
    <row r="1367" spans="3:3">
      <c r="C1367" s="19" t="s">
        <v>3065</v>
      </c>
    </row>
    <row r="1368" spans="3:3">
      <c r="C1368" s="19" t="s">
        <v>3068</v>
      </c>
    </row>
    <row r="1369" spans="3:3">
      <c r="C1369" s="19" t="s">
        <v>3071</v>
      </c>
    </row>
    <row r="1370" spans="3:3">
      <c r="C1370" s="19" t="s">
        <v>3073</v>
      </c>
    </row>
    <row r="1371" spans="3:3">
      <c r="C1371" s="19" t="s">
        <v>2811</v>
      </c>
    </row>
    <row r="1372" spans="3:3">
      <c r="C1372" s="19" t="s">
        <v>2813</v>
      </c>
    </row>
    <row r="1373" spans="3:3">
      <c r="C1373" s="19" t="s">
        <v>2816</v>
      </c>
    </row>
    <row r="1374" spans="3:3">
      <c r="C1374" s="19" t="s">
        <v>2818</v>
      </c>
    </row>
    <row r="1375" spans="3:3">
      <c r="C1375" s="19" t="s">
        <v>2820</v>
      </c>
    </row>
    <row r="1376" spans="3:3">
      <c r="C1376" s="19" t="s">
        <v>2822</v>
      </c>
    </row>
    <row r="1377" spans="3:3">
      <c r="C1377" s="19" t="s">
        <v>2824</v>
      </c>
    </row>
    <row r="1378" spans="3:3">
      <c r="C1378" s="19" t="s">
        <v>2826</v>
      </c>
    </row>
    <row r="1379" spans="3:3">
      <c r="C1379" s="19" t="s">
        <v>2385</v>
      </c>
    </row>
    <row r="1380" spans="3:3">
      <c r="C1380" s="19" t="s">
        <v>2829</v>
      </c>
    </row>
    <row r="1381" spans="3:3">
      <c r="C1381" s="19" t="s">
        <v>337</v>
      </c>
    </row>
    <row r="1382" spans="3:3">
      <c r="C1382" s="19" t="s">
        <v>2832</v>
      </c>
    </row>
    <row r="1383" spans="3:3">
      <c r="C1383" s="19" t="s">
        <v>2834</v>
      </c>
    </row>
    <row r="1384" spans="3:3">
      <c r="C1384" s="19" t="s">
        <v>2747</v>
      </c>
    </row>
    <row r="1385" spans="3:3">
      <c r="C1385" s="19" t="s">
        <v>2809</v>
      </c>
    </row>
    <row r="1386" spans="3:3">
      <c r="C1386" s="19" t="s">
        <v>2837</v>
      </c>
    </row>
    <row r="1387" spans="3:3">
      <c r="C1387" s="19" t="s">
        <v>2839</v>
      </c>
    </row>
    <row r="1388" spans="3:3">
      <c r="C1388" s="19" t="s">
        <v>2842</v>
      </c>
    </row>
    <row r="1389" spans="3:3">
      <c r="C1389" s="19" t="s">
        <v>2845</v>
      </c>
    </row>
    <row r="1390" spans="3:3">
      <c r="C1390" s="19" t="s">
        <v>2847</v>
      </c>
    </row>
    <row r="1391" spans="3:3">
      <c r="C1391" s="19" t="s">
        <v>881</v>
      </c>
    </row>
    <row r="1392" spans="3:3">
      <c r="C1392" s="19" t="s">
        <v>2851</v>
      </c>
    </row>
    <row r="1393" spans="3:3">
      <c r="C1393" s="19" t="s">
        <v>2853</v>
      </c>
    </row>
    <row r="1394" spans="3:3">
      <c r="C1394" s="19" t="s">
        <v>524</v>
      </c>
    </row>
    <row r="1395" spans="3:3">
      <c r="C1395" s="19" t="s">
        <v>2855</v>
      </c>
    </row>
    <row r="1396" spans="3:3">
      <c r="C1396" s="19" t="s">
        <v>2857</v>
      </c>
    </row>
    <row r="1397" spans="3:3">
      <c r="C1397" s="19" t="s">
        <v>2859</v>
      </c>
    </row>
    <row r="1398" spans="3:3">
      <c r="C1398" s="19" t="s">
        <v>2861</v>
      </c>
    </row>
    <row r="1399" spans="3:3">
      <c r="C1399" s="19" t="s">
        <v>2863</v>
      </c>
    </row>
    <row r="1400" spans="3:3">
      <c r="C1400" s="19" t="s">
        <v>2865</v>
      </c>
    </row>
    <row r="1401" spans="3:3">
      <c r="C1401" s="19" t="s">
        <v>2007</v>
      </c>
    </row>
    <row r="1402" spans="3:3">
      <c r="C1402" s="19" t="s">
        <v>2869</v>
      </c>
    </row>
    <row r="1403" spans="3:3">
      <c r="C1403" s="19" t="s">
        <v>2871</v>
      </c>
    </row>
    <row r="1404" spans="3:3">
      <c r="C1404" s="19" t="s">
        <v>441</v>
      </c>
    </row>
    <row r="1405" spans="3:3">
      <c r="C1405" s="19" t="s">
        <v>2875</v>
      </c>
    </row>
    <row r="1406" spans="3:3">
      <c r="C1406" s="19" t="s">
        <v>1188</v>
      </c>
    </row>
    <row r="1407" spans="3:3">
      <c r="C1407" s="19" t="s">
        <v>2879</v>
      </c>
    </row>
    <row r="1408" spans="3:3">
      <c r="C1408" s="19" t="s">
        <v>2882</v>
      </c>
    </row>
    <row r="1409" spans="3:3">
      <c r="C1409" s="19" t="s">
        <v>306</v>
      </c>
    </row>
    <row r="1410" spans="3:3">
      <c r="C1410" s="19" t="s">
        <v>2885</v>
      </c>
    </row>
    <row r="1411" spans="3:3">
      <c r="C1411" s="19" t="s">
        <v>2887</v>
      </c>
    </row>
    <row r="1412" spans="3:3">
      <c r="C1412" s="19" t="s">
        <v>2889</v>
      </c>
    </row>
    <row r="1413" spans="3:3">
      <c r="C1413" s="19" t="s">
        <v>2891</v>
      </c>
    </row>
    <row r="1414" spans="3:3">
      <c r="C1414" s="19" t="s">
        <v>3077</v>
      </c>
    </row>
    <row r="1415" spans="3:3">
      <c r="C1415" s="19" t="s">
        <v>3079</v>
      </c>
    </row>
    <row r="1416" spans="3:3">
      <c r="C1416" s="19" t="s">
        <v>3081</v>
      </c>
    </row>
    <row r="1417" spans="3:3">
      <c r="C1417" s="19" t="s">
        <v>3083</v>
      </c>
    </row>
    <row r="1418" spans="3:3">
      <c r="C1418" s="19" t="s">
        <v>3075</v>
      </c>
    </row>
    <row r="1419" spans="3:3">
      <c r="C1419" s="19" t="s">
        <v>3085</v>
      </c>
    </row>
    <row r="1420" spans="3:3">
      <c r="C1420" s="19" t="s">
        <v>3089</v>
      </c>
    </row>
    <row r="1421" spans="3:3">
      <c r="C1421" s="19" t="s">
        <v>3091</v>
      </c>
    </row>
    <row r="1422" spans="3:3">
      <c r="C1422" s="19" t="s">
        <v>3093</v>
      </c>
    </row>
    <row r="1423" spans="3:3">
      <c r="C1423" s="19" t="s">
        <v>3095</v>
      </c>
    </row>
    <row r="1424" spans="3:3">
      <c r="C1424" s="19" t="s">
        <v>3097</v>
      </c>
    </row>
    <row r="1425" spans="3:3">
      <c r="C1425" s="19" t="s">
        <v>3099</v>
      </c>
    </row>
    <row r="1426" spans="3:3">
      <c r="C1426" s="19" t="s">
        <v>3101</v>
      </c>
    </row>
    <row r="1427" spans="3:3">
      <c r="C1427" s="19" t="s">
        <v>3103</v>
      </c>
    </row>
    <row r="1428" spans="3:3">
      <c r="C1428" s="19" t="s">
        <v>560</v>
      </c>
    </row>
    <row r="1429" spans="3:3">
      <c r="C1429" s="19" t="s">
        <v>3106</v>
      </c>
    </row>
    <row r="1430" spans="3:3">
      <c r="C1430" s="19" t="s">
        <v>3108</v>
      </c>
    </row>
    <row r="1431" spans="3:3">
      <c r="C1431" s="19" t="s">
        <v>3110</v>
      </c>
    </row>
    <row r="1432" spans="3:3">
      <c r="C1432" s="19" t="s">
        <v>3112</v>
      </c>
    </row>
    <row r="1433" spans="3:3">
      <c r="C1433" s="19" t="s">
        <v>3114</v>
      </c>
    </row>
    <row r="1434" spans="3:3">
      <c r="C1434" s="19" t="s">
        <v>3116</v>
      </c>
    </row>
    <row r="1435" spans="3:3">
      <c r="C1435" s="19" t="s">
        <v>3118</v>
      </c>
    </row>
    <row r="1436" spans="3:3">
      <c r="C1436" s="19" t="s">
        <v>3006</v>
      </c>
    </row>
    <row r="1437" spans="3:3">
      <c r="C1437" s="19" t="s">
        <v>3121</v>
      </c>
    </row>
    <row r="1438" spans="3:3">
      <c r="C1438" s="19" t="s">
        <v>3123</v>
      </c>
    </row>
    <row r="1439" spans="3:3">
      <c r="C1439" s="19" t="s">
        <v>881</v>
      </c>
    </row>
    <row r="1440" spans="3:3">
      <c r="C1440" s="19" t="s">
        <v>3126</v>
      </c>
    </row>
    <row r="1441" spans="3:3">
      <c r="C1441" s="19" t="s">
        <v>3128</v>
      </c>
    </row>
    <row r="1442" spans="3:3">
      <c r="C1442" s="19" t="s">
        <v>3131</v>
      </c>
    </row>
    <row r="1443" spans="3:3">
      <c r="C1443" s="19" t="s">
        <v>3133</v>
      </c>
    </row>
    <row r="1444" spans="3:3">
      <c r="C1444" s="19" t="s">
        <v>3135</v>
      </c>
    </row>
    <row r="1445" spans="3:3">
      <c r="C1445" s="19" t="s">
        <v>3137</v>
      </c>
    </row>
    <row r="1446" spans="3:3">
      <c r="C1446" s="19" t="s">
        <v>3139</v>
      </c>
    </row>
    <row r="1447" spans="3:3">
      <c r="C1447" s="19" t="s">
        <v>3141</v>
      </c>
    </row>
    <row r="1448" spans="3:3">
      <c r="C1448" s="19" t="s">
        <v>3143</v>
      </c>
    </row>
    <row r="1449" spans="3:3">
      <c r="C1449" s="19" t="s">
        <v>3145</v>
      </c>
    </row>
    <row r="1450" spans="3:3">
      <c r="C1450" s="19" t="s">
        <v>3147</v>
      </c>
    </row>
    <row r="1451" spans="3:3">
      <c r="C1451" s="19" t="s">
        <v>3149</v>
      </c>
    </row>
    <row r="1452" spans="3:3">
      <c r="C1452" s="19" t="s">
        <v>2488</v>
      </c>
    </row>
    <row r="1453" spans="3:3">
      <c r="C1453" s="20" t="s">
        <v>3181</v>
      </c>
    </row>
    <row r="1454" spans="3:3">
      <c r="C1454" s="20" t="s">
        <v>3183</v>
      </c>
    </row>
    <row r="1455" spans="3:3">
      <c r="C1455" s="20" t="s">
        <v>2749</v>
      </c>
    </row>
    <row r="1456" spans="3:3">
      <c r="C1456" s="20" t="s">
        <v>527</v>
      </c>
    </row>
    <row r="1457" spans="3:3">
      <c r="C1457" s="20" t="s">
        <v>3187</v>
      </c>
    </row>
    <row r="1458" spans="3:3">
      <c r="C1458" s="20" t="s">
        <v>3179</v>
      </c>
    </row>
    <row r="1459" spans="3:3">
      <c r="C1459" s="20" t="s">
        <v>3273</v>
      </c>
    </row>
    <row r="1460" spans="3:3">
      <c r="C1460" s="20" t="s">
        <v>2893</v>
      </c>
    </row>
    <row r="1461" spans="3:3">
      <c r="C1461" s="20" t="s">
        <v>3261</v>
      </c>
    </row>
    <row r="1462" spans="3:3">
      <c r="C1462" s="20" t="s">
        <v>3264</v>
      </c>
    </row>
    <row r="1463" spans="3:3">
      <c r="C1463" s="20" t="s">
        <v>3267</v>
      </c>
    </row>
    <row r="1464" spans="3:3">
      <c r="C1464" s="20" t="s">
        <v>3270</v>
      </c>
    </row>
    <row r="1465" spans="3:3">
      <c r="C1465" s="20" t="s">
        <v>3190</v>
      </c>
    </row>
    <row r="1466" spans="3:3">
      <c r="C1466" s="20" t="s">
        <v>3192</v>
      </c>
    </row>
    <row r="1467" spans="3:3">
      <c r="C1467" s="20" t="s">
        <v>3194</v>
      </c>
    </row>
    <row r="1468" spans="3:3">
      <c r="C1468" s="20" t="s">
        <v>3197</v>
      </c>
    </row>
    <row r="1469" spans="3:3">
      <c r="C1469" s="20" t="s">
        <v>3200</v>
      </c>
    </row>
    <row r="1470" spans="3:3">
      <c r="C1470" s="20" t="s">
        <v>3207</v>
      </c>
    </row>
    <row r="1471" spans="3:3">
      <c r="C1471" s="20" t="s">
        <v>3204</v>
      </c>
    </row>
    <row r="1472" spans="3:3">
      <c r="C1472" s="20" t="s">
        <v>1586</v>
      </c>
    </row>
    <row r="1473" spans="3:3">
      <c r="C1473" s="20" t="s">
        <v>3209</v>
      </c>
    </row>
    <row r="1474" spans="3:3">
      <c r="C1474" s="20" t="s">
        <v>3155</v>
      </c>
    </row>
    <row r="1475" spans="3:3">
      <c r="C1475" s="20" t="s">
        <v>1294</v>
      </c>
    </row>
    <row r="1476" spans="3:3">
      <c r="C1476" s="20" t="s">
        <v>3158</v>
      </c>
    </row>
    <row r="1477" spans="3:3">
      <c r="C1477" s="20" t="s">
        <v>3161</v>
      </c>
    </row>
    <row r="1478" spans="3:3">
      <c r="C1478" s="20" t="s">
        <v>3153</v>
      </c>
    </row>
    <row r="1479" spans="3:3">
      <c r="C1479" s="20" t="s">
        <v>3163</v>
      </c>
    </row>
    <row r="1480" spans="3:3">
      <c r="C1480" s="20" t="s">
        <v>3166</v>
      </c>
    </row>
    <row r="1481" spans="3:3">
      <c r="C1481" s="20" t="s">
        <v>3168</v>
      </c>
    </row>
    <row r="1482" spans="3:3">
      <c r="C1482" s="20" t="s">
        <v>3171</v>
      </c>
    </row>
    <row r="1483" spans="3:3">
      <c r="C1483" s="20" t="s">
        <v>1119</v>
      </c>
    </row>
    <row r="1484" spans="3:3">
      <c r="C1484" s="20" t="s">
        <v>3173</v>
      </c>
    </row>
    <row r="1485" spans="3:3">
      <c r="C1485" s="20" t="s">
        <v>3276</v>
      </c>
    </row>
    <row r="1486" spans="3:3">
      <c r="C1486" s="20" t="s">
        <v>3279</v>
      </c>
    </row>
    <row r="1487" spans="3:3">
      <c r="C1487" s="20" t="s">
        <v>3282</v>
      </c>
    </row>
    <row r="1488" spans="3:3">
      <c r="C1488" s="20" t="s">
        <v>3285</v>
      </c>
    </row>
    <row r="1489" spans="3:3">
      <c r="C1489" s="20" t="s">
        <v>3216</v>
      </c>
    </row>
    <row r="1490" spans="3:3">
      <c r="C1490" s="20" t="s">
        <v>3219</v>
      </c>
    </row>
    <row r="1491" spans="3:3">
      <c r="C1491" s="20" t="s">
        <v>3222</v>
      </c>
    </row>
    <row r="1492" spans="3:3">
      <c r="C1492" s="20" t="s">
        <v>3240</v>
      </c>
    </row>
    <row r="1493" spans="3:3">
      <c r="C1493" s="20" t="s">
        <v>3225</v>
      </c>
    </row>
    <row r="1494" spans="3:3">
      <c r="C1494" s="20" t="s">
        <v>3228</v>
      </c>
    </row>
    <row r="1495" spans="3:3">
      <c r="C1495" s="20" t="s">
        <v>3214</v>
      </c>
    </row>
    <row r="1496" spans="3:3">
      <c r="C1496" s="20" t="s">
        <v>3231</v>
      </c>
    </row>
    <row r="1497" spans="3:3">
      <c r="C1497" s="20" t="s">
        <v>3234</v>
      </c>
    </row>
    <row r="1498" spans="3:3">
      <c r="C1498" s="20" t="s">
        <v>3237</v>
      </c>
    </row>
    <row r="1499" spans="3:3">
      <c r="C1499" s="20" t="s">
        <v>3242</v>
      </c>
    </row>
    <row r="1500" spans="3:3">
      <c r="C1500" s="20" t="s">
        <v>3246</v>
      </c>
    </row>
    <row r="1501" spans="3:3">
      <c r="C1501" s="20" t="s">
        <v>3248</v>
      </c>
    </row>
    <row r="1502" spans="3:3">
      <c r="C1502" s="20" t="s">
        <v>3250</v>
      </c>
    </row>
    <row r="1503" spans="3:3">
      <c r="C1503" s="20" t="s">
        <v>2505</v>
      </c>
    </row>
    <row r="1504" spans="3:3">
      <c r="C1504" s="20" t="s">
        <v>3254</v>
      </c>
    </row>
    <row r="1505" spans="3:3">
      <c r="C1505" s="20" t="s">
        <v>3256</v>
      </c>
    </row>
    <row r="1506" spans="3:3">
      <c r="C1506" s="21" t="s">
        <v>3304</v>
      </c>
    </row>
    <row r="1507" spans="3:3">
      <c r="C1507" s="21" t="s">
        <v>3309</v>
      </c>
    </row>
    <row r="1508" spans="3:3">
      <c r="C1508" s="21" t="s">
        <v>3288</v>
      </c>
    </row>
    <row r="1509" spans="3:3">
      <c r="C1509" s="21" t="s">
        <v>3301</v>
      </c>
    </row>
    <row r="1510" spans="3:3">
      <c r="C1510" s="21" t="s">
        <v>3238</v>
      </c>
    </row>
    <row r="1511" spans="3:3">
      <c r="C1511" s="21" t="s">
        <v>3312</v>
      </c>
    </row>
    <row r="1512" spans="3:3">
      <c r="C1512" s="21" t="s">
        <v>3311</v>
      </c>
    </row>
    <row r="1513" spans="3:3">
      <c r="C1513" s="21" t="s">
        <v>3292</v>
      </c>
    </row>
    <row r="1514" spans="3:3">
      <c r="C1514" s="21" t="s">
        <v>3298</v>
      </c>
    </row>
    <row r="1515" spans="3:3">
      <c r="C1515" s="21" t="s">
        <v>3295</v>
      </c>
    </row>
    <row r="1516" spans="3:3">
      <c r="C1516" s="21" t="s">
        <v>3289</v>
      </c>
    </row>
    <row r="1517" spans="3:3">
      <c r="C1517" s="22" t="s">
        <v>3332</v>
      </c>
    </row>
    <row r="1518" spans="3:3">
      <c r="C1518" s="22" t="s">
        <v>3334</v>
      </c>
    </row>
    <row r="1519" spans="3:3">
      <c r="C1519" s="22" t="s">
        <v>3336</v>
      </c>
    </row>
    <row r="1520" spans="3:3">
      <c r="C1520" s="22" t="s">
        <v>3338</v>
      </c>
    </row>
    <row r="1521" spans="3:3">
      <c r="C1521" s="22" t="s">
        <v>3340</v>
      </c>
    </row>
    <row r="1522" spans="3:3">
      <c r="C1522" s="22" t="s">
        <v>3342</v>
      </c>
    </row>
    <row r="1523" spans="3:3">
      <c r="C1523" s="22" t="s">
        <v>3330</v>
      </c>
    </row>
    <row r="1524" spans="3:3">
      <c r="C1524" s="22" t="s">
        <v>3344</v>
      </c>
    </row>
    <row r="1525" spans="3:3">
      <c r="C1525" s="22" t="s">
        <v>3346</v>
      </c>
    </row>
    <row r="1526" spans="3:3">
      <c r="C1526" s="22" t="s">
        <v>3348</v>
      </c>
    </row>
    <row r="1527" spans="3:3">
      <c r="C1527" s="22" t="s">
        <v>3350</v>
      </c>
    </row>
    <row r="1528" spans="3:3">
      <c r="C1528" s="22" t="s">
        <v>3354</v>
      </c>
    </row>
    <row r="1529" spans="3:3">
      <c r="C1529" s="22" t="s">
        <v>3352</v>
      </c>
    </row>
    <row r="1530" spans="3:3">
      <c r="C1530" s="22" t="s">
        <v>3356</v>
      </c>
    </row>
    <row r="1531" spans="3:3">
      <c r="C1531" s="22" t="s">
        <v>3319</v>
      </c>
    </row>
    <row r="1532" spans="3:3">
      <c r="C1532" s="22" t="s">
        <v>3321</v>
      </c>
    </row>
    <row r="1533" spans="3:3">
      <c r="C1533" s="22" t="s">
        <v>3316</v>
      </c>
    </row>
    <row r="1534" spans="3:3">
      <c r="C1534" s="22" t="s">
        <v>3323</v>
      </c>
    </row>
    <row r="1535" spans="3:3">
      <c r="C1535" s="22" t="s">
        <v>268</v>
      </c>
    </row>
    <row r="1536" spans="3:3">
      <c r="C1536" s="22" t="s">
        <v>3327</v>
      </c>
    </row>
    <row r="1537" spans="3:3">
      <c r="C1537" s="23" t="s">
        <v>3390</v>
      </c>
    </row>
    <row r="1538" spans="3:3">
      <c r="C1538" s="23" t="s">
        <v>3392</v>
      </c>
    </row>
    <row r="1539" spans="3:3">
      <c r="C1539" s="23" t="s">
        <v>3394</v>
      </c>
    </row>
    <row r="1540" spans="3:3">
      <c r="C1540" s="23" t="s">
        <v>3396</v>
      </c>
    </row>
    <row r="1541" spans="3:3">
      <c r="C1541" s="23" t="s">
        <v>3398</v>
      </c>
    </row>
    <row r="1542" spans="3:3">
      <c r="C1542" s="23" t="s">
        <v>3400</v>
      </c>
    </row>
    <row r="1543" spans="3:3">
      <c r="C1543" s="23" t="s">
        <v>855</v>
      </c>
    </row>
    <row r="1544" spans="3:3">
      <c r="C1544" s="23" t="s">
        <v>3388</v>
      </c>
    </row>
    <row r="1545" spans="3:3">
      <c r="C1545" s="23" t="s">
        <v>3405</v>
      </c>
    </row>
    <row r="1546" spans="3:3">
      <c r="C1546" s="23" t="s">
        <v>3417</v>
      </c>
    </row>
    <row r="1547" spans="3:3">
      <c r="C1547" s="23" t="s">
        <v>741</v>
      </c>
    </row>
    <row r="1548" spans="3:3">
      <c r="C1548" s="23" t="s">
        <v>3403</v>
      </c>
    </row>
    <row r="1549" spans="3:3">
      <c r="C1549" s="23" t="s">
        <v>3408</v>
      </c>
    </row>
    <row r="1550" spans="3:3">
      <c r="C1550" s="23" t="s">
        <v>3411</v>
      </c>
    </row>
    <row r="1551" spans="3:3">
      <c r="C1551" s="23" t="s">
        <v>3413</v>
      </c>
    </row>
    <row r="1552" spans="3:3">
      <c r="C1552" s="23" t="s">
        <v>3415</v>
      </c>
    </row>
    <row r="1553" spans="3:3">
      <c r="C1553" s="23" t="s">
        <v>3359</v>
      </c>
    </row>
    <row r="1554" spans="3:3">
      <c r="C1554" s="23" t="s">
        <v>3362</v>
      </c>
    </row>
    <row r="1555" spans="3:3">
      <c r="C1555" s="23" t="s">
        <v>3364</v>
      </c>
    </row>
    <row r="1556" spans="3:3">
      <c r="C1556" s="23" t="s">
        <v>3366</v>
      </c>
    </row>
    <row r="1557" spans="3:3">
      <c r="C1557" s="23" t="s">
        <v>3368</v>
      </c>
    </row>
    <row r="1558" spans="3:3">
      <c r="C1558" s="23" t="s">
        <v>3370</v>
      </c>
    </row>
    <row r="1559" spans="3:3">
      <c r="C1559" s="23" t="s">
        <v>1810</v>
      </c>
    </row>
    <row r="1560" spans="3:3">
      <c r="C1560" s="23" t="s">
        <v>3373</v>
      </c>
    </row>
    <row r="1561" spans="3:3">
      <c r="C1561" s="23" t="s">
        <v>3376</v>
      </c>
    </row>
    <row r="1562" spans="3:3">
      <c r="C1562" s="23" t="s">
        <v>3379</v>
      </c>
    </row>
    <row r="1563" spans="3:3">
      <c r="C1563" s="23" t="s">
        <v>3381</v>
      </c>
    </row>
    <row r="1564" spans="3:3">
      <c r="C1564" s="23" t="s">
        <v>3384</v>
      </c>
    </row>
    <row r="1565" spans="3:3">
      <c r="C1565" s="23" t="s">
        <v>2572</v>
      </c>
    </row>
    <row r="1566" spans="3:3">
      <c r="C1566" s="24" t="s">
        <v>3440</v>
      </c>
    </row>
    <row r="1567" spans="3:3">
      <c r="C1567" s="24" t="s">
        <v>3442</v>
      </c>
    </row>
    <row r="1568" spans="3:3">
      <c r="C1568" s="24" t="s">
        <v>3444</v>
      </c>
    </row>
    <row r="1569" spans="3:3">
      <c r="C1569" s="24" t="s">
        <v>2749</v>
      </c>
    </row>
    <row r="1570" spans="3:3">
      <c r="C1570" s="24" t="s">
        <v>3447</v>
      </c>
    </row>
    <row r="1571" spans="3:3">
      <c r="C1571" s="24" t="s">
        <v>3449</v>
      </c>
    </row>
    <row r="1572" spans="3:3">
      <c r="C1572" s="24" t="s">
        <v>3451</v>
      </c>
    </row>
    <row r="1573" spans="3:3">
      <c r="C1573" s="24" t="s">
        <v>3453</v>
      </c>
    </row>
    <row r="1574" spans="3:3">
      <c r="C1574" s="24" t="s">
        <v>3455</v>
      </c>
    </row>
    <row r="1575" spans="3:3">
      <c r="C1575" s="24" t="s">
        <v>3457</v>
      </c>
    </row>
    <row r="1576" spans="3:3">
      <c r="C1576" s="24" t="s">
        <v>3460</v>
      </c>
    </row>
    <row r="1577" spans="3:3">
      <c r="C1577" s="24" t="s">
        <v>3462</v>
      </c>
    </row>
    <row r="1578" spans="3:3">
      <c r="C1578" s="24" t="s">
        <v>741</v>
      </c>
    </row>
    <row r="1579" spans="3:3">
      <c r="C1579" s="24" t="s">
        <v>3465</v>
      </c>
    </row>
    <row r="1580" spans="3:3">
      <c r="C1580" s="24" t="s">
        <v>3467</v>
      </c>
    </row>
    <row r="1581" spans="3:3">
      <c r="C1581" s="24" t="s">
        <v>3470</v>
      </c>
    </row>
    <row r="1582" spans="3:3">
      <c r="C1582" s="24" t="s">
        <v>3472</v>
      </c>
    </row>
    <row r="1583" spans="3:3">
      <c r="C1583" s="24" t="s">
        <v>3474</v>
      </c>
    </row>
    <row r="1584" spans="3:3">
      <c r="C1584" s="24" t="s">
        <v>640</v>
      </c>
    </row>
    <row r="1585" spans="3:3">
      <c r="C1585" s="24" t="s">
        <v>3480</v>
      </c>
    </row>
    <row r="1586" spans="3:3">
      <c r="C1586" s="24" t="s">
        <v>3477</v>
      </c>
    </row>
    <row r="1587" spans="3:3">
      <c r="C1587" s="24" t="s">
        <v>3482</v>
      </c>
    </row>
    <row r="1588" spans="3:3">
      <c r="C1588" s="24" t="s">
        <v>3476</v>
      </c>
    </row>
    <row r="1589" spans="3:3">
      <c r="C1589" s="24" t="s">
        <v>3485</v>
      </c>
    </row>
    <row r="1590" spans="3:3">
      <c r="C1590" s="24" t="s">
        <v>3487</v>
      </c>
    </row>
    <row r="1591" spans="3:3">
      <c r="C1591" s="24" t="s">
        <v>3490</v>
      </c>
    </row>
    <row r="1592" spans="3:3">
      <c r="C1592" s="24" t="s">
        <v>3493</v>
      </c>
    </row>
    <row r="1593" spans="3:3">
      <c r="C1593" s="24" t="s">
        <v>3495</v>
      </c>
    </row>
    <row r="1594" spans="3:3">
      <c r="C1594" s="24" t="s">
        <v>3499</v>
      </c>
    </row>
    <row r="1595" spans="3:3">
      <c r="C1595" s="24" t="s">
        <v>3501</v>
      </c>
    </row>
    <row r="1596" spans="3:3">
      <c r="C1596" s="24" t="s">
        <v>3503</v>
      </c>
    </row>
    <row r="1597" spans="3:3">
      <c r="C1597" s="24" t="s">
        <v>3506</v>
      </c>
    </row>
    <row r="1598" spans="3:3">
      <c r="C1598" s="24" t="s">
        <v>3497</v>
      </c>
    </row>
    <row r="1599" spans="3:3">
      <c r="C1599" s="24" t="s">
        <v>3508</v>
      </c>
    </row>
    <row r="1600" spans="3:3">
      <c r="C1600" s="24" t="s">
        <v>3510</v>
      </c>
    </row>
    <row r="1601" spans="3:3">
      <c r="C1601" s="24" t="s">
        <v>973</v>
      </c>
    </row>
    <row r="1602" spans="3:3">
      <c r="C1602" s="24" t="s">
        <v>3422</v>
      </c>
    </row>
    <row r="1603" spans="3:3">
      <c r="C1603" s="24" t="s">
        <v>3424</v>
      </c>
    </row>
    <row r="1604" spans="3:3">
      <c r="C1604" s="24" t="s">
        <v>3427</v>
      </c>
    </row>
    <row r="1605" spans="3:3">
      <c r="C1605" s="24" t="s">
        <v>3430</v>
      </c>
    </row>
    <row r="1606" spans="3:3">
      <c r="C1606" s="24" t="s">
        <v>1075</v>
      </c>
    </row>
    <row r="1607" spans="3:3">
      <c r="C1607" s="24" t="s">
        <v>3433</v>
      </c>
    </row>
    <row r="1608" spans="3:3">
      <c r="C1608" s="24" t="s">
        <v>3419</v>
      </c>
    </row>
    <row r="1609" spans="3:3">
      <c r="C1609" s="24" t="s">
        <v>3435</v>
      </c>
    </row>
    <row r="1610" spans="3:3">
      <c r="C1610" s="24" t="s">
        <v>3437</v>
      </c>
    </row>
    <row r="1611" spans="3:3">
      <c r="C1611" s="24" t="s">
        <v>3545</v>
      </c>
    </row>
    <row r="1612" spans="3:3">
      <c r="C1612" s="24" t="s">
        <v>3547</v>
      </c>
    </row>
    <row r="1613" spans="3:3">
      <c r="C1613" s="24" t="s">
        <v>3549</v>
      </c>
    </row>
    <row r="1614" spans="3:3">
      <c r="C1614" s="24" t="s">
        <v>3554</v>
      </c>
    </row>
    <row r="1615" spans="3:3">
      <c r="C1615" s="24" t="s">
        <v>3543</v>
      </c>
    </row>
    <row r="1616" spans="3:3">
      <c r="C1616" s="24" t="s">
        <v>3552</v>
      </c>
    </row>
    <row r="1617" spans="3:3">
      <c r="C1617" s="24" t="s">
        <v>1507</v>
      </c>
    </row>
    <row r="1618" spans="3:3">
      <c r="C1618" s="24" t="s">
        <v>3516</v>
      </c>
    </row>
    <row r="1619" spans="3:3">
      <c r="C1619" s="24" t="s">
        <v>3519</v>
      </c>
    </row>
    <row r="1620" spans="3:3">
      <c r="C1620" s="24" t="s">
        <v>3521</v>
      </c>
    </row>
    <row r="1621" spans="3:3">
      <c r="C1621" s="24" t="s">
        <v>3523</v>
      </c>
    </row>
    <row r="1622" spans="3:3">
      <c r="C1622" s="24" t="s">
        <v>3526</v>
      </c>
    </row>
    <row r="1623" spans="3:3">
      <c r="C1623" s="24" t="s">
        <v>3485</v>
      </c>
    </row>
    <row r="1624" spans="3:3">
      <c r="C1624" s="24" t="s">
        <v>3513</v>
      </c>
    </row>
    <row r="1625" spans="3:3">
      <c r="C1625" s="24" t="s">
        <v>3532</v>
      </c>
    </row>
    <row r="1626" spans="3:3">
      <c r="C1626" s="24" t="s">
        <v>3534</v>
      </c>
    </row>
    <row r="1627" spans="3:3">
      <c r="C1627" s="24" t="s">
        <v>3537</v>
      </c>
    </row>
    <row r="1628" spans="3:3">
      <c r="C1628" s="24" t="s">
        <v>3539</v>
      </c>
    </row>
    <row r="1629" spans="3:3">
      <c r="C1629" s="24" t="s">
        <v>3541</v>
      </c>
    </row>
    <row r="1630" spans="3:3">
      <c r="C1630" s="24" t="s">
        <v>3530</v>
      </c>
    </row>
    <row r="1631" spans="3:3">
      <c r="C1631" s="25" t="s">
        <v>3588</v>
      </c>
    </row>
    <row r="1632" spans="3:3">
      <c r="C1632" s="25" t="s">
        <v>3590</v>
      </c>
    </row>
    <row r="1633" spans="3:3">
      <c r="C1633" s="25" t="s">
        <v>3592</v>
      </c>
    </row>
    <row r="1634" spans="3:3">
      <c r="C1634" s="25" t="s">
        <v>3095</v>
      </c>
    </row>
    <row r="1635" spans="3:3">
      <c r="C1635" s="25" t="s">
        <v>3594</v>
      </c>
    </row>
    <row r="1636" spans="3:3">
      <c r="C1636" s="25" t="s">
        <v>3596</v>
      </c>
    </row>
    <row r="1637" spans="3:3">
      <c r="C1637" s="25" t="s">
        <v>3598</v>
      </c>
    </row>
    <row r="1638" spans="3:3">
      <c r="C1638" s="25" t="s">
        <v>3601</v>
      </c>
    </row>
    <row r="1639" spans="3:3">
      <c r="C1639" s="25" t="s">
        <v>3603</v>
      </c>
    </row>
    <row r="1640" spans="3:3">
      <c r="C1640" s="25" t="s">
        <v>3605</v>
      </c>
    </row>
    <row r="1641" spans="3:3">
      <c r="C1641" s="25" t="s">
        <v>3607</v>
      </c>
    </row>
    <row r="1642" spans="3:3">
      <c r="C1642" s="25" t="s">
        <v>934</v>
      </c>
    </row>
    <row r="1643" spans="3:3">
      <c r="C1643" s="25" t="s">
        <v>3610</v>
      </c>
    </row>
    <row r="1644" spans="3:3">
      <c r="C1644" s="25" t="s">
        <v>3612</v>
      </c>
    </row>
    <row r="1645" spans="3:3">
      <c r="C1645" s="25" t="s">
        <v>3614</v>
      </c>
    </row>
    <row r="1646" spans="3:3">
      <c r="C1646" s="25" t="s">
        <v>3619</v>
      </c>
    </row>
    <row r="1647" spans="3:3">
      <c r="C1647" s="25" t="s">
        <v>3621</v>
      </c>
    </row>
    <row r="1648" spans="3:3">
      <c r="C1648" s="25" t="s">
        <v>3623</v>
      </c>
    </row>
    <row r="1649" spans="3:3">
      <c r="C1649" s="25" t="s">
        <v>3625</v>
      </c>
    </row>
    <row r="1650" spans="3:3">
      <c r="C1650" s="25" t="s">
        <v>3627</v>
      </c>
    </row>
    <row r="1651" spans="3:3">
      <c r="C1651" s="25" t="s">
        <v>3629</v>
      </c>
    </row>
    <row r="1652" spans="3:3">
      <c r="C1652" s="25" t="s">
        <v>3617</v>
      </c>
    </row>
    <row r="1653" spans="3:3">
      <c r="C1653" s="25" t="s">
        <v>3632</v>
      </c>
    </row>
    <row r="1654" spans="3:3">
      <c r="C1654" s="25" t="s">
        <v>3634</v>
      </c>
    </row>
    <row r="1655" spans="3:3">
      <c r="C1655" s="25" t="s">
        <v>3637</v>
      </c>
    </row>
    <row r="1656" spans="3:3">
      <c r="C1656" s="25" t="s">
        <v>3641</v>
      </c>
    </row>
    <row r="1657" spans="3:3">
      <c r="C1657" s="25" t="s">
        <v>3643</v>
      </c>
    </row>
    <row r="1658" spans="3:3">
      <c r="C1658" s="25" t="s">
        <v>3639</v>
      </c>
    </row>
    <row r="1659" spans="3:3">
      <c r="C1659" s="25" t="s">
        <v>3645</v>
      </c>
    </row>
    <row r="1660" spans="3:3">
      <c r="C1660" s="25" t="s">
        <v>3647</v>
      </c>
    </row>
    <row r="1661" spans="3:3">
      <c r="C1661" s="25" t="s">
        <v>3649</v>
      </c>
    </row>
    <row r="1662" spans="3:3">
      <c r="C1662" s="25" t="s">
        <v>3651</v>
      </c>
    </row>
    <row r="1663" spans="3:3">
      <c r="C1663" s="25" t="s">
        <v>3656</v>
      </c>
    </row>
    <row r="1664" spans="3:3">
      <c r="C1664" s="25" t="s">
        <v>3662</v>
      </c>
    </row>
    <row r="1665" spans="3:3">
      <c r="C1665" s="25" t="s">
        <v>3654</v>
      </c>
    </row>
    <row r="1666" spans="3:3">
      <c r="C1666" s="25" t="s">
        <v>3658</v>
      </c>
    </row>
    <row r="1667" spans="3:3">
      <c r="C1667" s="25" t="s">
        <v>306</v>
      </c>
    </row>
    <row r="1668" spans="3:3">
      <c r="C1668" s="25" t="s">
        <v>3666</v>
      </c>
    </row>
    <row r="1669" spans="3:3">
      <c r="C1669" s="25" t="s">
        <v>3664</v>
      </c>
    </row>
    <row r="1670" spans="3:3">
      <c r="C1670" s="25" t="s">
        <v>3668</v>
      </c>
    </row>
    <row r="1671" spans="3:3">
      <c r="C1671" s="25" t="s">
        <v>3670</v>
      </c>
    </row>
    <row r="1672" spans="3:3">
      <c r="C1672" s="25" t="s">
        <v>3672</v>
      </c>
    </row>
    <row r="1673" spans="3:3">
      <c r="C1673" s="25" t="s">
        <v>3674</v>
      </c>
    </row>
    <row r="1674" spans="3:3">
      <c r="C1674" s="25" t="s">
        <v>3676</v>
      </c>
    </row>
    <row r="1675" spans="3:3">
      <c r="C1675" s="25" t="s">
        <v>3678</v>
      </c>
    </row>
    <row r="1676" spans="3:3">
      <c r="C1676" s="25" t="s">
        <v>3681</v>
      </c>
    </row>
    <row r="1677" spans="3:3">
      <c r="C1677" s="25" t="s">
        <v>3683</v>
      </c>
    </row>
    <row r="1678" spans="3:3">
      <c r="C1678" s="25" t="s">
        <v>1277</v>
      </c>
    </row>
    <row r="1679" spans="3:3">
      <c r="C1679" s="25" t="s">
        <v>3685</v>
      </c>
    </row>
    <row r="1680" spans="3:3">
      <c r="C1680" s="25" t="s">
        <v>3687</v>
      </c>
    </row>
    <row r="1681" spans="3:3">
      <c r="C1681" s="25" t="s">
        <v>1886</v>
      </c>
    </row>
    <row r="1682" spans="3:3">
      <c r="C1682" s="25" t="s">
        <v>3690</v>
      </c>
    </row>
    <row r="1683" spans="3:3">
      <c r="C1683" s="25" t="s">
        <v>1519</v>
      </c>
    </row>
    <row r="1684" spans="3:3">
      <c r="C1684" s="25" t="s">
        <v>1249</v>
      </c>
    </row>
    <row r="1685" spans="3:3">
      <c r="C1685" s="25" t="s">
        <v>3694</v>
      </c>
    </row>
    <row r="1686" spans="3:3">
      <c r="C1686" s="25" t="s">
        <v>3698</v>
      </c>
    </row>
    <row r="1687" spans="3:3">
      <c r="C1687" s="25" t="s">
        <v>3093</v>
      </c>
    </row>
    <row r="1688" spans="3:3">
      <c r="C1688" s="25" t="s">
        <v>3700</v>
      </c>
    </row>
    <row r="1689" spans="3:3">
      <c r="C1689" s="25" t="s">
        <v>3702</v>
      </c>
    </row>
    <row r="1690" spans="3:3">
      <c r="C1690" s="25" t="s">
        <v>3704</v>
      </c>
    </row>
    <row r="1691" spans="3:3">
      <c r="C1691" s="25" t="s">
        <v>3706</v>
      </c>
    </row>
    <row r="1692" spans="3:3">
      <c r="C1692" s="25" t="s">
        <v>3708</v>
      </c>
    </row>
    <row r="1693" spans="3:3">
      <c r="C1693" s="25" t="s">
        <v>306</v>
      </c>
    </row>
    <row r="1694" spans="3:3">
      <c r="C1694" s="25" t="s">
        <v>3711</v>
      </c>
    </row>
    <row r="1695" spans="3:3">
      <c r="C1695" s="25" t="s">
        <v>3715</v>
      </c>
    </row>
    <row r="1696" spans="3:3">
      <c r="C1696" s="25" t="s">
        <v>3717</v>
      </c>
    </row>
    <row r="1697" spans="3:3">
      <c r="C1697" s="25" t="s">
        <v>3713</v>
      </c>
    </row>
    <row r="1698" spans="3:3">
      <c r="C1698" s="25" t="s">
        <v>3719</v>
      </c>
    </row>
    <row r="1699" spans="3:3">
      <c r="C1699" s="25" t="s">
        <v>3559</v>
      </c>
    </row>
    <row r="1700" spans="3:3">
      <c r="C1700" s="25" t="s">
        <v>3561</v>
      </c>
    </row>
    <row r="1701" spans="3:3">
      <c r="C1701" s="25" t="s">
        <v>3563</v>
      </c>
    </row>
    <row r="1702" spans="3:3">
      <c r="C1702" s="25" t="s">
        <v>3565</v>
      </c>
    </row>
    <row r="1703" spans="3:3">
      <c r="C1703" s="25" t="s">
        <v>3567</v>
      </c>
    </row>
    <row r="1704" spans="3:3">
      <c r="C1704" s="25" t="s">
        <v>3569</v>
      </c>
    </row>
    <row r="1705" spans="3:3">
      <c r="C1705" s="25" t="s">
        <v>516</v>
      </c>
    </row>
    <row r="1706" spans="3:3">
      <c r="C1706" s="25" t="s">
        <v>3572</v>
      </c>
    </row>
    <row r="1707" spans="3:3">
      <c r="C1707" s="25" t="s">
        <v>3574</v>
      </c>
    </row>
    <row r="1708" spans="3:3">
      <c r="C1708" s="25" t="s">
        <v>3576</v>
      </c>
    </row>
    <row r="1709" spans="3:3">
      <c r="C1709" s="25" t="s">
        <v>3579</v>
      </c>
    </row>
    <row r="1710" spans="3:3">
      <c r="C1710" s="25" t="s">
        <v>3557</v>
      </c>
    </row>
    <row r="1711" spans="3:3">
      <c r="C1711" s="25" t="s">
        <v>850</v>
      </c>
    </row>
    <row r="1712" spans="3:3">
      <c r="C1712" s="25" t="s">
        <v>3583</v>
      </c>
    </row>
    <row r="1713" spans="3:3">
      <c r="C1713" s="25" t="s">
        <v>3585</v>
      </c>
    </row>
    <row r="1714" spans="3:3">
      <c r="C1714" s="25" t="s">
        <v>3724</v>
      </c>
    </row>
    <row r="1715" spans="3:3">
      <c r="C1715" s="25" t="s">
        <v>3726</v>
      </c>
    </row>
    <row r="1716" spans="3:3">
      <c r="C1716" s="25" t="s">
        <v>3722</v>
      </c>
    </row>
    <row r="1717" spans="3:3">
      <c r="C1717" s="25" t="s">
        <v>3729</v>
      </c>
    </row>
    <row r="1718" spans="3:3">
      <c r="C1718" s="25" t="s">
        <v>3731</v>
      </c>
    </row>
    <row r="1719" spans="3:3">
      <c r="C1719" s="25" t="s">
        <v>575</v>
      </c>
    </row>
    <row r="1720" spans="3:3">
      <c r="C1720" s="25" t="s">
        <v>3737</v>
      </c>
    </row>
    <row r="1721" spans="3:3">
      <c r="C1721" s="25" t="s">
        <v>3740</v>
      </c>
    </row>
    <row r="1722" spans="3:3">
      <c r="C1722" s="25" t="s">
        <v>3734</v>
      </c>
    </row>
    <row r="1723" spans="3:3">
      <c r="C1723" s="25" t="s">
        <v>1188</v>
      </c>
    </row>
    <row r="1724" spans="3:3">
      <c r="C1724" s="25" t="s">
        <v>3759</v>
      </c>
    </row>
    <row r="1725" spans="3:3">
      <c r="C1725" s="25" t="s">
        <v>3745</v>
      </c>
    </row>
    <row r="1726" spans="3:3">
      <c r="C1726" s="25" t="s">
        <v>3747</v>
      </c>
    </row>
    <row r="1727" spans="3:3">
      <c r="C1727" s="25" t="s">
        <v>3749</v>
      </c>
    </row>
    <row r="1728" spans="3:3">
      <c r="C1728" s="25" t="s">
        <v>3751</v>
      </c>
    </row>
    <row r="1729" spans="3:3">
      <c r="C1729" s="25" t="s">
        <v>3753</v>
      </c>
    </row>
    <row r="1730" spans="3:3">
      <c r="C1730" s="25" t="s">
        <v>3755</v>
      </c>
    </row>
    <row r="1731" spans="3:3">
      <c r="C1731" s="25" t="s">
        <v>3762</v>
      </c>
    </row>
    <row r="1732" spans="3:3">
      <c r="C1732" s="25" t="s">
        <v>3743</v>
      </c>
    </row>
    <row r="1733" spans="3:3">
      <c r="C1733" s="25" t="s">
        <v>3757</v>
      </c>
    </row>
    <row r="1734" spans="3:3">
      <c r="C1734" s="25" t="s">
        <v>3767</v>
      </c>
    </row>
    <row r="1735" spans="3:3">
      <c r="C1735" s="25" t="s">
        <v>3769</v>
      </c>
    </row>
    <row r="1736" spans="3:3">
      <c r="C1736" s="25" t="s">
        <v>3771</v>
      </c>
    </row>
    <row r="1737" spans="3:3">
      <c r="C1737" s="25" t="s">
        <v>3774</v>
      </c>
    </row>
    <row r="1738" spans="3:3">
      <c r="C1738" s="25" t="s">
        <v>3777</v>
      </c>
    </row>
    <row r="1739" spans="3:3">
      <c r="C1739" s="25" t="s">
        <v>3779</v>
      </c>
    </row>
    <row r="1740" spans="3:3">
      <c r="C1740" s="25" t="s">
        <v>3765</v>
      </c>
    </row>
    <row r="1741" spans="3:3">
      <c r="C1741" s="26" t="s">
        <v>3795</v>
      </c>
    </row>
    <row r="1742" spans="3:3">
      <c r="C1742" s="26" t="s">
        <v>3798</v>
      </c>
    </row>
    <row r="1743" spans="3:3">
      <c r="C1743" s="26" t="s">
        <v>1507</v>
      </c>
    </row>
    <row r="1744" spans="3:3">
      <c r="C1744" s="26" t="s">
        <v>3801</v>
      </c>
    </row>
    <row r="1745" spans="3:3">
      <c r="C1745" s="26" t="s">
        <v>1586</v>
      </c>
    </row>
    <row r="1746" spans="3:3">
      <c r="C1746" s="26" t="s">
        <v>2100</v>
      </c>
    </row>
    <row r="1747" spans="3:3">
      <c r="C1747" s="26" t="s">
        <v>1584</v>
      </c>
    </row>
    <row r="1748" spans="3:3">
      <c r="C1748" s="26" t="s">
        <v>3807</v>
      </c>
    </row>
    <row r="1749" spans="3:3">
      <c r="C1749" s="26" t="s">
        <v>3438</v>
      </c>
    </row>
    <row r="1750" spans="3:3">
      <c r="C1750" s="26" t="s">
        <v>306</v>
      </c>
    </row>
    <row r="1751" spans="3:3">
      <c r="C1751" s="26" t="s">
        <v>3812</v>
      </c>
    </row>
    <row r="1752" spans="3:3">
      <c r="C1752" s="26" t="s">
        <v>3816</v>
      </c>
    </row>
    <row r="1753" spans="3:3">
      <c r="C1753" s="26" t="s">
        <v>3819</v>
      </c>
    </row>
    <row r="1754" spans="3:3">
      <c r="C1754" s="26" t="s">
        <v>3821</v>
      </c>
    </row>
    <row r="1755" spans="3:3">
      <c r="C1755" s="26" t="s">
        <v>3823</v>
      </c>
    </row>
    <row r="1756" spans="3:3">
      <c r="C1756" s="26" t="s">
        <v>3814</v>
      </c>
    </row>
    <row r="1757" spans="3:3">
      <c r="C1757" s="26" t="s">
        <v>3825</v>
      </c>
    </row>
    <row r="1758" spans="3:3">
      <c r="C1758" s="26" t="s">
        <v>3829</v>
      </c>
    </row>
    <row r="1759" spans="3:3">
      <c r="C1759" s="26" t="s">
        <v>3832</v>
      </c>
    </row>
    <row r="1760" spans="3:3">
      <c r="C1760" s="26" t="s">
        <v>3834</v>
      </c>
    </row>
    <row r="1761" spans="3:3">
      <c r="C1761" s="26" t="s">
        <v>3837</v>
      </c>
    </row>
    <row r="1762" spans="3:3">
      <c r="C1762" s="26" t="s">
        <v>3827</v>
      </c>
    </row>
    <row r="1763" spans="3:3">
      <c r="C1763" s="26" t="s">
        <v>3839</v>
      </c>
    </row>
    <row r="1764" spans="3:3">
      <c r="C1764" s="26" t="s">
        <v>3841</v>
      </c>
    </row>
    <row r="1765" spans="3:3">
      <c r="C1765" s="26" t="s">
        <v>3843</v>
      </c>
    </row>
    <row r="1766" spans="3:3">
      <c r="C1766" s="26" t="s">
        <v>3845</v>
      </c>
    </row>
    <row r="1767" spans="3:3">
      <c r="C1767" s="26" t="s">
        <v>3847</v>
      </c>
    </row>
    <row r="1768" spans="3:3">
      <c r="C1768" s="26" t="s">
        <v>3849</v>
      </c>
    </row>
    <row r="1769" spans="3:3">
      <c r="C1769" s="26" t="s">
        <v>3853</v>
      </c>
    </row>
    <row r="1770" spans="3:3">
      <c r="C1770" s="26" t="s">
        <v>3855</v>
      </c>
    </row>
    <row r="1771" spans="3:3">
      <c r="C1771" s="26" t="s">
        <v>3851</v>
      </c>
    </row>
    <row r="1772" spans="3:3">
      <c r="C1772" s="26" t="s">
        <v>3857</v>
      </c>
    </row>
    <row r="1773" spans="3:3">
      <c r="C1773" s="26" t="s">
        <v>3859</v>
      </c>
    </row>
    <row r="1774" spans="3:3">
      <c r="C1774" s="26" t="s">
        <v>3784</v>
      </c>
    </row>
    <row r="1775" spans="3:3">
      <c r="C1775" s="26" t="s">
        <v>3786</v>
      </c>
    </row>
    <row r="1776" spans="3:3">
      <c r="C1776" s="26" t="s">
        <v>3788</v>
      </c>
    </row>
    <row r="1777" spans="3:3">
      <c r="C1777" s="26" t="s">
        <v>3782</v>
      </c>
    </row>
    <row r="1778" spans="3:3">
      <c r="C1778" s="26" t="s">
        <v>3790</v>
      </c>
    </row>
    <row r="1779" spans="3:3">
      <c r="C1779" s="26" t="s">
        <v>3792</v>
      </c>
    </row>
    <row r="1780" spans="3:3">
      <c r="C1780" s="26" t="s">
        <v>640</v>
      </c>
    </row>
    <row r="1781" spans="3:3">
      <c r="C1781" s="26" t="s">
        <v>3864</v>
      </c>
    </row>
    <row r="1782" spans="3:3">
      <c r="C1782" s="26" t="s">
        <v>3861</v>
      </c>
    </row>
    <row r="1783" spans="3:3">
      <c r="C1783" s="26" t="s">
        <v>3866</v>
      </c>
    </row>
    <row r="1784" spans="3:3">
      <c r="C1784" s="26" t="s">
        <v>3868</v>
      </c>
    </row>
    <row r="1785" spans="3:3">
      <c r="C1785" s="26" t="s">
        <v>268</v>
      </c>
    </row>
    <row r="1786" spans="3:3">
      <c r="C1786" s="26" t="s">
        <v>3872</v>
      </c>
    </row>
    <row r="1787" spans="3:3">
      <c r="C1787" s="26" t="s">
        <v>3875</v>
      </c>
    </row>
    <row r="1788" spans="3:3">
      <c r="C1788" s="26" t="s">
        <v>3877</v>
      </c>
    </row>
    <row r="1789" spans="3:3">
      <c r="C1789" s="26" t="s">
        <v>3879</v>
      </c>
    </row>
    <row r="1790" spans="3:3">
      <c r="C1790" s="26" t="s">
        <v>3883</v>
      </c>
    </row>
    <row r="1791" spans="3:3">
      <c r="C1791" s="26" t="s">
        <v>3886</v>
      </c>
    </row>
    <row r="1792" spans="3:3">
      <c r="C1792" s="26" t="s">
        <v>3889</v>
      </c>
    </row>
    <row r="1793" spans="3:3">
      <c r="C1793" s="26" t="s">
        <v>3891</v>
      </c>
    </row>
    <row r="1794" spans="3:3">
      <c r="C1794" s="26" t="s">
        <v>3894</v>
      </c>
    </row>
    <row r="1795" spans="3:3">
      <c r="C1795" s="26" t="s">
        <v>3881</v>
      </c>
    </row>
    <row r="1796" spans="3:3">
      <c r="C1796" s="26" t="s">
        <v>3896</v>
      </c>
    </row>
    <row r="1797" spans="3:3">
      <c r="C1797" s="26" t="s">
        <v>3898</v>
      </c>
    </row>
    <row r="1798" spans="3:3">
      <c r="C1798" s="26" t="s">
        <v>3900</v>
      </c>
    </row>
    <row r="1799" spans="3:3">
      <c r="C1799" s="26" t="s">
        <v>3904</v>
      </c>
    </row>
    <row r="1800" spans="3:3">
      <c r="C1800" s="26" t="s">
        <v>3907</v>
      </c>
    </row>
    <row r="1801" spans="3:3">
      <c r="C1801" s="26" t="s">
        <v>3909</v>
      </c>
    </row>
    <row r="1802" spans="3:3">
      <c r="C1802" s="26" t="s">
        <v>3911</v>
      </c>
    </row>
    <row r="1803" spans="3:3">
      <c r="C1803" s="26" t="s">
        <v>825</v>
      </c>
    </row>
    <row r="1804" spans="3:3">
      <c r="C1804" s="26" t="s">
        <v>3916</v>
      </c>
    </row>
    <row r="1805" spans="3:3">
      <c r="C1805" s="26" t="s">
        <v>3918</v>
      </c>
    </row>
    <row r="1806" spans="3:3">
      <c r="C1806" s="26" t="s">
        <v>3920</v>
      </c>
    </row>
    <row r="1807" spans="3:3">
      <c r="C1807" s="26" t="s">
        <v>3923</v>
      </c>
    </row>
    <row r="1808" spans="3:3">
      <c r="C1808" s="26" t="s">
        <v>3925</v>
      </c>
    </row>
    <row r="1809" spans="3:3">
      <c r="C1809" s="26" t="s">
        <v>850</v>
      </c>
    </row>
    <row r="1810" spans="3:3">
      <c r="C1810" s="26" t="s">
        <v>3928</v>
      </c>
    </row>
    <row r="1811" spans="3:3">
      <c r="C1811" s="26" t="s">
        <v>3930</v>
      </c>
    </row>
    <row r="1812" spans="3:3">
      <c r="C1812" s="26" t="s">
        <v>3902</v>
      </c>
    </row>
    <row r="1813" spans="3:3">
      <c r="C1813" s="26" t="s">
        <v>3934</v>
      </c>
    </row>
    <row r="1814" spans="3:3">
      <c r="C1814" s="26" t="s">
        <v>3936</v>
      </c>
    </row>
    <row r="1815" spans="3:3">
      <c r="C1815" s="26" t="s">
        <v>3938</v>
      </c>
    </row>
    <row r="1816" spans="3:3">
      <c r="C1816" s="26" t="s">
        <v>3932</v>
      </c>
    </row>
    <row r="1817" spans="3:3">
      <c r="C1817" s="26" t="s">
        <v>3941</v>
      </c>
    </row>
    <row r="1818" spans="3:3">
      <c r="C1818" s="27" t="s">
        <v>3969</v>
      </c>
    </row>
    <row r="1819" spans="3:3">
      <c r="C1819" s="27" t="s">
        <v>3971</v>
      </c>
    </row>
    <row r="1820" spans="3:3">
      <c r="C1820" s="27" t="s">
        <v>3967</v>
      </c>
    </row>
    <row r="1821" spans="3:3">
      <c r="C1821" s="27" t="s">
        <v>3974</v>
      </c>
    </row>
    <row r="1822" spans="3:3">
      <c r="C1822" s="27" t="s">
        <v>3976</v>
      </c>
    </row>
    <row r="1823" spans="3:3">
      <c r="C1823" s="27" t="s">
        <v>3978</v>
      </c>
    </row>
    <row r="1824" spans="3:3">
      <c r="C1824" s="27" t="s">
        <v>3983</v>
      </c>
    </row>
    <row r="1825" spans="3:3">
      <c r="C1825" s="27" t="s">
        <v>3985</v>
      </c>
    </row>
    <row r="1826" spans="3:3">
      <c r="C1826" s="27" t="s">
        <v>3981</v>
      </c>
    </row>
    <row r="1827" spans="3:3">
      <c r="C1827" s="27" t="s">
        <v>3945</v>
      </c>
    </row>
    <row r="1828" spans="3:3">
      <c r="C1828" s="27" t="s">
        <v>3947</v>
      </c>
    </row>
    <row r="1829" spans="3:3">
      <c r="C1829" s="27" t="s">
        <v>3949</v>
      </c>
    </row>
    <row r="1830" spans="3:3">
      <c r="C1830" s="27" t="s">
        <v>3962</v>
      </c>
    </row>
    <row r="1831" spans="3:3">
      <c r="C1831" s="27" t="s">
        <v>3951</v>
      </c>
    </row>
    <row r="1832" spans="3:3">
      <c r="C1832" s="27" t="s">
        <v>3964</v>
      </c>
    </row>
    <row r="1833" spans="3:3">
      <c r="C1833" s="27" t="s">
        <v>3954</v>
      </c>
    </row>
    <row r="1834" spans="3:3">
      <c r="C1834" s="27" t="s">
        <v>1886</v>
      </c>
    </row>
    <row r="1835" spans="3:3">
      <c r="C1835" s="27" t="s">
        <v>3957</v>
      </c>
    </row>
    <row r="1836" spans="3:3">
      <c r="C1836" s="27" t="s">
        <v>3959</v>
      </c>
    </row>
    <row r="1837" spans="3:3">
      <c r="C1837" s="27" t="s">
        <v>3943</v>
      </c>
    </row>
    <row r="1838" spans="3:3">
      <c r="C1838" s="27" t="s">
        <v>3992</v>
      </c>
    </row>
    <row r="1839" spans="3:3">
      <c r="C1839" s="27" t="s">
        <v>3994</v>
      </c>
    </row>
    <row r="1840" spans="3:3">
      <c r="C1840" s="27" t="s">
        <v>3989</v>
      </c>
    </row>
    <row r="1841" spans="3:3">
      <c r="C1841" s="27" t="s">
        <v>3996</v>
      </c>
    </row>
    <row r="1842" spans="3:3">
      <c r="C1842" s="27" t="s">
        <v>3998</v>
      </c>
    </row>
    <row r="1843" spans="3:3">
      <c r="C1843" s="27" t="s">
        <v>3987</v>
      </c>
    </row>
    <row r="1844" spans="3:3">
      <c r="C1844" s="27" t="s">
        <v>4000</v>
      </c>
    </row>
    <row r="1845" spans="3:3">
      <c r="C1845" s="27" t="s">
        <v>4002</v>
      </c>
    </row>
    <row r="1846" spans="3:3">
      <c r="C1846" s="28" t="s">
        <v>4023</v>
      </c>
    </row>
    <row r="1847" spans="3:3">
      <c r="C1847" s="28" t="s">
        <v>4020</v>
      </c>
    </row>
    <row r="1848" spans="3:3">
      <c r="C1848" s="28" t="s">
        <v>4018</v>
      </c>
    </row>
    <row r="1849" spans="3:3">
      <c r="C1849" s="28" t="s">
        <v>4006</v>
      </c>
    </row>
    <row r="1850" spans="3:3">
      <c r="C1850" s="28" t="s">
        <v>4009</v>
      </c>
    </row>
    <row r="1851" spans="3:3">
      <c r="C1851" s="28" t="s">
        <v>4012</v>
      </c>
    </row>
    <row r="1852" spans="3:3">
      <c r="C1852" s="28" t="s">
        <v>3517</v>
      </c>
    </row>
    <row r="1853" spans="3:3">
      <c r="C1853" s="28" t="s">
        <v>4015</v>
      </c>
    </row>
    <row r="1854" spans="3:3">
      <c r="C1854" s="28" t="s">
        <v>4004</v>
      </c>
    </row>
    <row r="1855" spans="3:3">
      <c r="C1855" s="28" t="s">
        <v>4028</v>
      </c>
    </row>
    <row r="1856" spans="3:3">
      <c r="C1856" s="28" t="s">
        <v>4030</v>
      </c>
    </row>
    <row r="1857" spans="3:3">
      <c r="C1857" s="28" t="s">
        <v>4032</v>
      </c>
    </row>
    <row r="1858" spans="3:3">
      <c r="C1858" s="28" t="s">
        <v>4026</v>
      </c>
    </row>
    <row r="1859" spans="3:3">
      <c r="C1859" s="29" t="s">
        <v>4053</v>
      </c>
    </row>
    <row r="1860" spans="3:3">
      <c r="C1860" s="29" t="s">
        <v>4055</v>
      </c>
    </row>
    <row r="1861" spans="3:3">
      <c r="C1861" s="29" t="s">
        <v>4057</v>
      </c>
    </row>
    <row r="1862" spans="3:3">
      <c r="C1862" s="29" t="s">
        <v>4059</v>
      </c>
    </row>
    <row r="1863" spans="3:3">
      <c r="C1863" s="29" t="s">
        <v>4035</v>
      </c>
    </row>
    <row r="1864" spans="3:3">
      <c r="C1864" s="29" t="s">
        <v>4038</v>
      </c>
    </row>
    <row r="1865" spans="3:3">
      <c r="C1865" s="29" t="s">
        <v>4041</v>
      </c>
    </row>
    <row r="1866" spans="3:3">
      <c r="C1866" s="29" t="s">
        <v>4050</v>
      </c>
    </row>
    <row r="1867" spans="3:3">
      <c r="C1867" s="29" t="s">
        <v>4043</v>
      </c>
    </row>
    <row r="1868" spans="3:3">
      <c r="C1868" s="29" t="s">
        <v>4048</v>
      </c>
    </row>
    <row r="1869" spans="3:3">
      <c r="C1869" s="29" t="s">
        <v>4045</v>
      </c>
    </row>
    <row r="1870" spans="3:3">
      <c r="C1870" s="29" t="s">
        <v>4073</v>
      </c>
    </row>
    <row r="1871" spans="3:3">
      <c r="C1871" s="29" t="s">
        <v>4068</v>
      </c>
    </row>
    <row r="1872" spans="3:3">
      <c r="C1872" s="29" t="s">
        <v>4065</v>
      </c>
    </row>
    <row r="1873" spans="3:3">
      <c r="C1873" s="29" t="s">
        <v>4070</v>
      </c>
    </row>
    <row r="1874" spans="3:3">
      <c r="C1874" s="29" t="s">
        <v>4062</v>
      </c>
    </row>
    <row r="1875" spans="3:3">
      <c r="C1875" s="29" t="s">
        <v>4075</v>
      </c>
    </row>
  </sheetData>
  <sheetProtection algorithmName="SHA-512" hashValue="duApVP6FXstwXXcGlQVaS6FxzBve+5xjtocwWAOwIG2h+IBHOIfhoqjHTVnUlNeWbnsK+lkTs17fhCxveBcPSA==" saltValue="xAOZanU/33aogyQIoycDvg==" spinCount="100000" sheet="1" objects="1" scenarios="1"/>
  <pageMargins left="0.7" right="0.7" top="0.75" bottom="0.75" header="0.3" footer="0.3"/>
  <pageSetup paperSize="9" orientation="portrait" horizontalDpi="0" verticalDpi="0" r:id="rId1"/>
</worksheet>
</file>

<file path=docMetadata/LabelInfo.xml><?xml version="1.0" encoding="utf-8"?>
<clbl:labelList xmlns:clbl="http://schemas.microsoft.com/office/2020/mipLabelMetadata">
  <clbl:label id="{8ff33436-4701-4dad-b7d3-3462e99c6889}" enabled="0" method="" siteId="{8ff33436-4701-4dad-b7d3-3462e99c688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235</vt:i4>
      </vt:variant>
    </vt:vector>
  </HeadingPairs>
  <TitlesOfParts>
    <vt:vector size="245" baseType="lpstr">
      <vt:lpstr>MEMORIA Y VAL</vt:lpstr>
      <vt:lpstr>FOTO</vt:lpstr>
      <vt:lpstr>SUSTENTO DE UBICACION</vt:lpstr>
      <vt:lpstr>Anexo 1</vt:lpstr>
      <vt:lpstr>Anexo 2</vt:lpstr>
      <vt:lpstr>Anexo 3 </vt:lpstr>
      <vt:lpstr>DECLARACIÓN JURADA</vt:lpstr>
      <vt:lpstr>HR</vt:lpstr>
      <vt:lpstr>Limites2015</vt:lpstr>
      <vt:lpstr>DPTOS</vt:lpstr>
      <vt:lpstr>ABANCAY</vt:lpstr>
      <vt:lpstr>ACOBAMBA</vt:lpstr>
      <vt:lpstr>ACOMAYO</vt:lpstr>
      <vt:lpstr>AIJA</vt:lpstr>
      <vt:lpstr>ALTO_AMAZONAS</vt:lpstr>
      <vt:lpstr>AMAZONAS</vt:lpstr>
      <vt:lpstr>AMBO</vt:lpstr>
      <vt:lpstr>ANCASH</vt:lpstr>
      <vt:lpstr>ANDAHUAYLAS</vt:lpstr>
      <vt:lpstr>ANGARES</vt:lpstr>
      <vt:lpstr>ANTA</vt:lpstr>
      <vt:lpstr>ANTABAMBA</vt:lpstr>
      <vt:lpstr>ANTONIO_RAYMONDI</vt:lpstr>
      <vt:lpstr>APURIMAC</vt:lpstr>
      <vt:lpstr>'Anexo 1'!Área_de_impresión</vt:lpstr>
      <vt:lpstr>'Anexo 2'!Área_de_impresión</vt:lpstr>
      <vt:lpstr>'Anexo 3 '!Área_de_impresión</vt:lpstr>
      <vt:lpstr>'DECLARACIÓN JURADA'!Área_de_impresión</vt:lpstr>
      <vt:lpstr>HR!Área_de_impresión</vt:lpstr>
      <vt:lpstr>'MEMORIA Y VAL'!Área_de_impresión</vt:lpstr>
      <vt:lpstr>AREQUIPA</vt:lpstr>
      <vt:lpstr>AREQUIPA.</vt:lpstr>
      <vt:lpstr>ASCOPE</vt:lpstr>
      <vt:lpstr>ASUNCION</vt:lpstr>
      <vt:lpstr>ATALAYA</vt:lpstr>
      <vt:lpstr>AYABACA</vt:lpstr>
      <vt:lpstr>AYACUCHO</vt:lpstr>
      <vt:lpstr>AYMARAES</vt:lpstr>
      <vt:lpstr>AZANGARO</vt:lpstr>
      <vt:lpstr>BAGUA</vt:lpstr>
      <vt:lpstr>BARRANCA</vt:lpstr>
      <vt:lpstr>BaseDeDatos</vt:lpstr>
      <vt:lpstr>BELLAVISTA</vt:lpstr>
      <vt:lpstr>BOLIVAR</vt:lpstr>
      <vt:lpstr>BOLOGNESI</vt:lpstr>
      <vt:lpstr>BONGARA</vt:lpstr>
      <vt:lpstr>CAJAMARCA</vt:lpstr>
      <vt:lpstr>CAJAMARCA.</vt:lpstr>
      <vt:lpstr>CAJATAMBO</vt:lpstr>
      <vt:lpstr>CALCA</vt:lpstr>
      <vt:lpstr>CALLAO</vt:lpstr>
      <vt:lpstr>CALLAO.</vt:lpstr>
      <vt:lpstr>CAMANA</vt:lpstr>
      <vt:lpstr>CANAS</vt:lpstr>
      <vt:lpstr>CANCHIS</vt:lpstr>
      <vt:lpstr>CANDARAVE</vt:lpstr>
      <vt:lpstr>CANGALLO</vt:lpstr>
      <vt:lpstr>CANTA</vt:lpstr>
      <vt:lpstr>CAÑETE</vt:lpstr>
      <vt:lpstr>CARABAYA</vt:lpstr>
      <vt:lpstr>CARAVELI</vt:lpstr>
      <vt:lpstr>CARHUAZ</vt:lpstr>
      <vt:lpstr>CARLOS_FERMIN_FITZCARRALD</vt:lpstr>
      <vt:lpstr>CASMA</vt:lpstr>
      <vt:lpstr>CASTILLA</vt:lpstr>
      <vt:lpstr>CASTROVIRREYNA</vt:lpstr>
      <vt:lpstr>CAYLLOMA</vt:lpstr>
      <vt:lpstr>CELEDIN</vt:lpstr>
      <vt:lpstr>CHACHAPOYAS</vt:lpstr>
      <vt:lpstr>CHANCHAMAYO</vt:lpstr>
      <vt:lpstr>CHEPEN</vt:lpstr>
      <vt:lpstr>CHICLAYO</vt:lpstr>
      <vt:lpstr>CHINCHA</vt:lpstr>
      <vt:lpstr>CHINCHEROS</vt:lpstr>
      <vt:lpstr>CHOTA</vt:lpstr>
      <vt:lpstr>CHUCUITO</vt:lpstr>
      <vt:lpstr>CHUMBIVILCAS</vt:lpstr>
      <vt:lpstr>CHUPACA</vt:lpstr>
      <vt:lpstr>CHURCAMPA</vt:lpstr>
      <vt:lpstr>CONCEPCION</vt:lpstr>
      <vt:lpstr>CONDESUYOS</vt:lpstr>
      <vt:lpstr>CONDORCANQUI</vt:lpstr>
      <vt:lpstr>CONTRALMIRANTE_VILLAR</vt:lpstr>
      <vt:lpstr>CONTUMAZA</vt:lpstr>
      <vt:lpstr>CORONEL_PORTILLO</vt:lpstr>
      <vt:lpstr>CORONGO</vt:lpstr>
      <vt:lpstr>COTABAMBAS</vt:lpstr>
      <vt:lpstr>CUSCO</vt:lpstr>
      <vt:lpstr>CUSCO.</vt:lpstr>
      <vt:lpstr>CUTERVO</vt:lpstr>
      <vt:lpstr>DANIEL_ALCIDES_CARRION</vt:lpstr>
      <vt:lpstr>DATEM_DEL_MARAÑON</vt:lpstr>
      <vt:lpstr>departamento</vt:lpstr>
      <vt:lpstr>distrito</vt:lpstr>
      <vt:lpstr>DOS_DE_MAYO</vt:lpstr>
      <vt:lpstr>EL_COLLAO</vt:lpstr>
      <vt:lpstr>EL_DORADO</vt:lpstr>
      <vt:lpstr>ESPINAR</vt:lpstr>
      <vt:lpstr>FERREÑAFE</vt:lpstr>
      <vt:lpstr>GENERAL_SANCHEZ_CERRO</vt:lpstr>
      <vt:lpstr>GRAN_CHIMU</vt:lpstr>
      <vt:lpstr>GRAU</vt:lpstr>
      <vt:lpstr>HUACAYBAMBA</vt:lpstr>
      <vt:lpstr>HUALGAYOC</vt:lpstr>
      <vt:lpstr>HUALLAGA</vt:lpstr>
      <vt:lpstr>HUAMALIES</vt:lpstr>
      <vt:lpstr>HUAMANGA</vt:lpstr>
      <vt:lpstr>HUANCA_SANCOS</vt:lpstr>
      <vt:lpstr>HUANCABAMBA</vt:lpstr>
      <vt:lpstr>HUANCANE</vt:lpstr>
      <vt:lpstr>HUANCAVELICA</vt:lpstr>
      <vt:lpstr>HUANCAVELICA.</vt:lpstr>
      <vt:lpstr>HUANCAYO</vt:lpstr>
      <vt:lpstr>HUANTA</vt:lpstr>
      <vt:lpstr>HUANUCO</vt:lpstr>
      <vt:lpstr>HUANUCO.</vt:lpstr>
      <vt:lpstr>HUARAL</vt:lpstr>
      <vt:lpstr>HUARAZ</vt:lpstr>
      <vt:lpstr>HUARI</vt:lpstr>
      <vt:lpstr>HUARMEY</vt:lpstr>
      <vt:lpstr>HUAROCHIRI</vt:lpstr>
      <vt:lpstr>HUAURA</vt:lpstr>
      <vt:lpstr>HUAYLAS</vt:lpstr>
      <vt:lpstr>HUAYTARA</vt:lpstr>
      <vt:lpstr>ICA</vt:lpstr>
      <vt:lpstr>ICA.</vt:lpstr>
      <vt:lpstr>ILO</vt:lpstr>
      <vt:lpstr>ISLAY</vt:lpstr>
      <vt:lpstr>JAEN</vt:lpstr>
      <vt:lpstr>JAUJA</vt:lpstr>
      <vt:lpstr>JORGE_BASADRE</vt:lpstr>
      <vt:lpstr>JULCAN</vt:lpstr>
      <vt:lpstr>JUNIN</vt:lpstr>
      <vt:lpstr>JUNIN.</vt:lpstr>
      <vt:lpstr>LA_CONVENCION</vt:lpstr>
      <vt:lpstr>LA_LIBERTAD</vt:lpstr>
      <vt:lpstr>LA_MAR</vt:lpstr>
      <vt:lpstr>LA_UNION</vt:lpstr>
      <vt:lpstr>LAMAS</vt:lpstr>
      <vt:lpstr>LAMBAYEQUE</vt:lpstr>
      <vt:lpstr>LAMBAYEQUE.</vt:lpstr>
      <vt:lpstr>LAMPA</vt:lpstr>
      <vt:lpstr>LAURICOCHA</vt:lpstr>
      <vt:lpstr>LEONCIO_PRADO</vt:lpstr>
      <vt:lpstr>LIMA</vt:lpstr>
      <vt:lpstr>LIMA.</vt:lpstr>
      <vt:lpstr>LORETO</vt:lpstr>
      <vt:lpstr>LORETO.</vt:lpstr>
      <vt:lpstr>LUCANAS</vt:lpstr>
      <vt:lpstr>LUYA</vt:lpstr>
      <vt:lpstr>MADRE_DE_DIOS</vt:lpstr>
      <vt:lpstr>MANU</vt:lpstr>
      <vt:lpstr>MARAÑON</vt:lpstr>
      <vt:lpstr>MARISCAL_CACERES</vt:lpstr>
      <vt:lpstr>MARISCAL_LUZURIAGA</vt:lpstr>
      <vt:lpstr>MARISCAL_NIETO</vt:lpstr>
      <vt:lpstr>MARISCAL_RAMON_CASTILLA</vt:lpstr>
      <vt:lpstr>MAYNAS</vt:lpstr>
      <vt:lpstr>MELGAR</vt:lpstr>
      <vt:lpstr>MOHO</vt:lpstr>
      <vt:lpstr>MOQUEGUA</vt:lpstr>
      <vt:lpstr>MORROPON</vt:lpstr>
      <vt:lpstr>MOYOBAMBA</vt:lpstr>
      <vt:lpstr>NASCA</vt:lpstr>
      <vt:lpstr>OBI</vt:lpstr>
      <vt:lpstr>OCROS</vt:lpstr>
      <vt:lpstr>OTUZCO</vt:lpstr>
      <vt:lpstr>OXAPAMPA</vt:lpstr>
      <vt:lpstr>OYON</vt:lpstr>
      <vt:lpstr>PACASMAYO</vt:lpstr>
      <vt:lpstr>PACHITEA</vt:lpstr>
      <vt:lpstr>PADRE_ABAD</vt:lpstr>
      <vt:lpstr>PAITA</vt:lpstr>
      <vt:lpstr>PALCA</vt:lpstr>
      <vt:lpstr>PALLASCA</vt:lpstr>
      <vt:lpstr>PARINACOCHAS</vt:lpstr>
      <vt:lpstr>PARURO</vt:lpstr>
      <vt:lpstr>PASCO</vt:lpstr>
      <vt:lpstr>PASCO.</vt:lpstr>
      <vt:lpstr>PATAZ</vt:lpstr>
      <vt:lpstr>PAUCAR_DEL_SARA_SARA</vt:lpstr>
      <vt:lpstr>PAUCARTAMBO</vt:lpstr>
      <vt:lpstr>PICOTA</vt:lpstr>
      <vt:lpstr>PISCO</vt:lpstr>
      <vt:lpstr>PIURA</vt:lpstr>
      <vt:lpstr>PIURA.</vt:lpstr>
      <vt:lpstr>POMABAMBA</vt:lpstr>
      <vt:lpstr>provincia</vt:lpstr>
      <vt:lpstr>PUERTO_INCA</vt:lpstr>
      <vt:lpstr>PUNO</vt:lpstr>
      <vt:lpstr>PUNO.</vt:lpstr>
      <vt:lpstr>PURUS</vt:lpstr>
      <vt:lpstr>PUTUMAYO</vt:lpstr>
      <vt:lpstr>QUISPICANCHI</vt:lpstr>
      <vt:lpstr>RECUAY</vt:lpstr>
      <vt:lpstr>REQUENA</vt:lpstr>
      <vt:lpstr>RIOJA</vt:lpstr>
      <vt:lpstr>RODRIGUEZ_DE_MENDOZA</vt:lpstr>
      <vt:lpstr>SAN_ANTONIO_DE_PUTINA</vt:lpstr>
      <vt:lpstr>SAN_IGNACIO</vt:lpstr>
      <vt:lpstr>SAN_MARCOS</vt:lpstr>
      <vt:lpstr>SAN_MARTIN</vt:lpstr>
      <vt:lpstr>SAN_MARTIN.</vt:lpstr>
      <vt:lpstr>SAN_MIGUEL</vt:lpstr>
      <vt:lpstr>SAN_PABLO</vt:lpstr>
      <vt:lpstr>SAN_ROMAN</vt:lpstr>
      <vt:lpstr>SANCHEZ_CARRION</vt:lpstr>
      <vt:lpstr>SANDIA</vt:lpstr>
      <vt:lpstr>SANTA</vt:lpstr>
      <vt:lpstr>SANTA_CRUZ</vt:lpstr>
      <vt:lpstr>SANTIAGO_DE_CHUCO</vt:lpstr>
      <vt:lpstr>SATIPO</vt:lpstr>
      <vt:lpstr>SECHURA</vt:lpstr>
      <vt:lpstr>SIHUAS</vt:lpstr>
      <vt:lpstr>SUCRE</vt:lpstr>
      <vt:lpstr>SULLANA</vt:lpstr>
      <vt:lpstr>TACNA</vt:lpstr>
      <vt:lpstr>TACNA.</vt:lpstr>
      <vt:lpstr>TAHUAMANU</vt:lpstr>
      <vt:lpstr>TALARA</vt:lpstr>
      <vt:lpstr>TAMBOPATA</vt:lpstr>
      <vt:lpstr>TARATA</vt:lpstr>
      <vt:lpstr>TARMA</vt:lpstr>
      <vt:lpstr>TAYACAJA</vt:lpstr>
      <vt:lpstr>'Anexo 3 '!Títulos_a_imprimir</vt:lpstr>
      <vt:lpstr>'MEMORIA Y VAL'!Títulos_a_imprimir</vt:lpstr>
      <vt:lpstr>TOCACHE</vt:lpstr>
      <vt:lpstr>TRUJILLO</vt:lpstr>
      <vt:lpstr>TUMBES</vt:lpstr>
      <vt:lpstr>TUMBES.</vt:lpstr>
      <vt:lpstr>ubi</vt:lpstr>
      <vt:lpstr>ubigeo</vt:lpstr>
      <vt:lpstr>UCAYALI</vt:lpstr>
      <vt:lpstr>UCAYALI.</vt:lpstr>
      <vt:lpstr>URUBAMBA</vt:lpstr>
      <vt:lpstr>UTCUBAMBA</vt:lpstr>
      <vt:lpstr>VICTOR_FAJARDO</vt:lpstr>
      <vt:lpstr>VILCAS_HUAMAN</vt:lpstr>
      <vt:lpstr>VIRU</vt:lpstr>
      <vt:lpstr>YAROWILCA</vt:lpstr>
      <vt:lpstr>YAULI</vt:lpstr>
      <vt:lpstr>YAUYOS</vt:lpstr>
      <vt:lpstr>YUNGAY</vt:lpstr>
      <vt:lpstr>YUNGUYO</vt:lpstr>
      <vt:lpstr>ZARUMILLA</vt:lpstr>
    </vt:vector>
  </TitlesOfParts>
  <Company>SCOTIABANK PERU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s3235371</dc:creator>
  <cp:lastModifiedBy>LISSETH RAMIREZ</cp:lastModifiedBy>
  <cp:lastPrinted>2026-08-10T21:06:57Z</cp:lastPrinted>
  <dcterms:created xsi:type="dcterms:W3CDTF">2017-09-12T21:34:30Z</dcterms:created>
  <dcterms:modified xsi:type="dcterms:W3CDTF">2026-08-10T21:09:04Z</dcterms:modified>
</cp:coreProperties>
</file>