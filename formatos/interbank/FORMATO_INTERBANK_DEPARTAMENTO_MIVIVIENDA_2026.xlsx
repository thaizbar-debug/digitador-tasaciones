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Users\NEVHA CORILLA\Desktop\FORMATOS XL 2026\"/>
    </mc:Choice>
  </mc:AlternateContent>
  <xr:revisionPtr revIDLastSave="0" documentId="13_ncr:1_{C23CABE1-F400-4387-A3F3-FAA34A6962A6}" xr6:coauthVersionLast="47" xr6:coauthVersionMax="47" xr10:uidLastSave="{00000000-0000-0000-0000-000000000000}"/>
  <bookViews>
    <workbookView xWindow="-120" yWindow="-120" windowWidth="29040" windowHeight="15840" activeTab="2" xr2:uid="{00000000-000D-0000-FFFF-FFFF00000000}"/>
  </bookViews>
  <sheets>
    <sheet name="Formato (HR)" sheetId="1" r:id="rId1"/>
    <sheet name="MEMORIA" sheetId="6" r:id="rId2"/>
    <sheet name="C2" sheetId="7" r:id="rId3"/>
    <sheet name="FOTO" sheetId="8" r:id="rId4"/>
    <sheet name="SUSTENTO DE UBICACION" sheetId="9" r:id="rId5"/>
    <sheet name="Lista desplegable" sheetId="2" state="hidden" r:id="rId6"/>
    <sheet name="Criterio y peso estado inmueble" sheetId="5" state="hidden" r:id="rId7"/>
    <sheet name="Hoja3" sheetId="3" state="hidden" r:id="rId8"/>
  </sheets>
  <externalReferences>
    <externalReference r:id="rId9"/>
    <externalReference r:id="rId10"/>
    <externalReference r:id="rId11"/>
    <externalReference r:id="rId12"/>
    <externalReference r:id="rId13"/>
    <externalReference r:id="rId14"/>
  </externalReferences>
  <definedNames>
    <definedName name="ABANCAY">#REF!</definedName>
    <definedName name="ACOBAMBA">#REF!</definedName>
    <definedName name="ACOMAYO">#REF!</definedName>
    <definedName name="AIJA">#REF!</definedName>
    <definedName name="ALTO_AMAZONAS">#REF!</definedName>
    <definedName name="AMAZONAS">#REF!</definedName>
    <definedName name="AMBO">#REF!</definedName>
    <definedName name="ANCASH">#REF!</definedName>
    <definedName name="ANDAHUAYLAS">#REF!</definedName>
    <definedName name="ANGARAES">#REF!</definedName>
    <definedName name="ANTA">#REF!</definedName>
    <definedName name="ANTABAMBA">#REF!</definedName>
    <definedName name="ANTONIO_RAIMONDI">#REF!</definedName>
    <definedName name="APURIMAC">#REF!</definedName>
    <definedName name="_xlnm.Print_Area" localSheetId="2">'C2'!$A$1:$AR$124</definedName>
    <definedName name="_xlnm.Print_Area" localSheetId="0">'Formato (HR)'!$A$1:$E$57</definedName>
    <definedName name="_xlnm.Print_Area" localSheetId="3">FOTO!$A$1:$AB$67</definedName>
    <definedName name="_xlnm.Print_Area" localSheetId="1">MEMORIA!$A$1:$AV$471</definedName>
    <definedName name="ÁreaTechada">'[1]MD Áreas'!$K$43</definedName>
    <definedName name="ÁreaTerreno">'[1]MD Áreas'!$S$33</definedName>
    <definedName name="AREQUIPA">#REF!</definedName>
    <definedName name="ASCOPE">#REF!</definedName>
    <definedName name="ASUNCION">#REF!</definedName>
    <definedName name="ATALAYA">#REF!</definedName>
    <definedName name="AYABACA">#REF!</definedName>
    <definedName name="AYACUCHO">#REF!</definedName>
    <definedName name="AYMARAES">#REF!</definedName>
    <definedName name="AZANGARO">#REF!</definedName>
    <definedName name="BAGUA">#REF!</definedName>
    <definedName name="BARRANCA">#REF!</definedName>
    <definedName name="BELLAVISTA">#REF!</definedName>
    <definedName name="BOLIVAR">#REF!</definedName>
    <definedName name="BOLOGNESI">#REF!</definedName>
    <definedName name="BONGARA">#REF!</definedName>
    <definedName name="CAJABAMBA">#REF!</definedName>
    <definedName name="CAJAMARCA">#REF!</definedName>
    <definedName name="CAJATAMBO">#REF!</definedName>
    <definedName name="CALCA">#REF!</definedName>
    <definedName name="CALLAO">#REF!</definedName>
    <definedName name="CAMANA">#REF!</definedName>
    <definedName name="CANAS">#REF!</definedName>
    <definedName name="CANCHIS">#REF!</definedName>
    <definedName name="CANDARAVE">#REF!</definedName>
    <definedName name="CANGALLO">#REF!</definedName>
    <definedName name="CANTA">#REF!</definedName>
    <definedName name="CAÑETE">#REF!</definedName>
    <definedName name="CARABAYA">#REF!</definedName>
    <definedName name="CARAVELI">#REF!</definedName>
    <definedName name="CARHUAZ">#REF!</definedName>
    <definedName name="CARLOS_FERMIN_FITZCARRALD">#REF!</definedName>
    <definedName name="CASMA">#REF!</definedName>
    <definedName name="CASTILLA">#REF!</definedName>
    <definedName name="CASTROVIRREYNA">#REF!</definedName>
    <definedName name="CAYLLOMA">#REF!</definedName>
    <definedName name="CELENDIN">#REF!</definedName>
    <definedName name="CHACHAPOYAS">#REF!</definedName>
    <definedName name="CHANCHAMAYO">#REF!</definedName>
    <definedName name="CHEPEN">#REF!</definedName>
    <definedName name="CHICLAYO">#REF!</definedName>
    <definedName name="CHINCHA">#REF!</definedName>
    <definedName name="CHINCHEROS">#REF!</definedName>
    <definedName name="CHOTA">#REF!</definedName>
    <definedName name="CHUCUITO">#REF!</definedName>
    <definedName name="CHUMBIVILCAS">#REF!</definedName>
    <definedName name="CHUPACA">#REF!</definedName>
    <definedName name="CHURCAMPA">#REF!</definedName>
    <definedName name="CONCEPCION">#REF!</definedName>
    <definedName name="CONDESUYOS">#REF!</definedName>
    <definedName name="CONDORCANQUI">#REF!</definedName>
    <definedName name="CONTRALMIRANTE_VILLAR">#REF!</definedName>
    <definedName name="CONTUMAZA">#REF!</definedName>
    <definedName name="CORONEL_PORTILLO">#REF!</definedName>
    <definedName name="CORONGO">#REF!</definedName>
    <definedName name="COTABAMBAS">#REF!</definedName>
    <definedName name="CUSCO">#REF!</definedName>
    <definedName name="CUTERVO">#REF!</definedName>
    <definedName name="DANIEL_ALCIDES_CARRION">#REF!</definedName>
    <definedName name="DATEM_DEL_MARAÑON">#REF!</definedName>
    <definedName name="DEPARTAMENTOS" localSheetId="2">'[2]HR Informe de Perito'!$U$6:$U$31</definedName>
    <definedName name="DEPARTAMENTOS">#REF!</definedName>
    <definedName name="DirecInSitu">'[1]MD Datos'!$J$53</definedName>
    <definedName name="DirecPU">'[1]MD Datos'!$J$51</definedName>
    <definedName name="DirecRegistral">'[1]MD Datos'!$J$49</definedName>
    <definedName name="DOS_DE_MAYO">#REF!</definedName>
    <definedName name="el_bien" localSheetId="2">#REF!</definedName>
    <definedName name="el_bien" localSheetId="3">#N/A</definedName>
    <definedName name="el_bien">#REF!</definedName>
    <definedName name="EL_COLLAO">#REF!</definedName>
    <definedName name="EL_DORADO">#REF!</definedName>
    <definedName name="ESPINAR">#REF!</definedName>
    <definedName name="Expedición">'[1]MD Datos'!$Z$14</definedName>
    <definedName name="FERREÑAFE">#REF!</definedName>
    <definedName name="GENERAL_SANCHEZ_CERRO">#REF!</definedName>
    <definedName name="GRAN_CHIMU">#REF!</definedName>
    <definedName name="GRAU">#REF!</definedName>
    <definedName name="HUACAYBAMBA">#REF!</definedName>
    <definedName name="HUALGAYOC">#REF!</definedName>
    <definedName name="HUALLAGA">#REF!</definedName>
    <definedName name="HUAMALIES">#REF!</definedName>
    <definedName name="HUAMANGA">#REF!</definedName>
    <definedName name="HUANCA_SANCOS">#REF!</definedName>
    <definedName name="HUANCABAMBA">#REF!</definedName>
    <definedName name="HUANCANE">#REF!</definedName>
    <definedName name="HUANCAVELICA">#REF!</definedName>
    <definedName name="HUANCAYO">#REF!</definedName>
    <definedName name="HUANTA">#REF!</definedName>
    <definedName name="HUANUCO">#REF!</definedName>
    <definedName name="HUARAL">#REF!</definedName>
    <definedName name="HUARAZ">#REF!</definedName>
    <definedName name="HUARI">#REF!</definedName>
    <definedName name="HUARMEY">#REF!</definedName>
    <definedName name="HUAROCHIRI">#REF!</definedName>
    <definedName name="HUAURA">#REF!</definedName>
    <definedName name="HUAYLAS">#REF!</definedName>
    <definedName name="HUAYTARA">#REF!</definedName>
    <definedName name="ICA">#REF!</definedName>
    <definedName name="ILO">#REF!</definedName>
    <definedName name="ISLAY">#REF!</definedName>
    <definedName name="JAEN">#REF!</definedName>
    <definedName name="JAUJA">#REF!</definedName>
    <definedName name="JKLKL">#REF!</definedName>
    <definedName name="JORGE_BASADRE">#REF!</definedName>
    <definedName name="JULCAN">#REF!</definedName>
    <definedName name="JUNIN">#REF!</definedName>
    <definedName name="LA_CONVENCION">#REF!</definedName>
    <definedName name="LA_LIBERTAD">#REF!</definedName>
    <definedName name="LA_MAR">#REF!</definedName>
    <definedName name="LA_UNION">#REF!</definedName>
    <definedName name="LAMAS">#REF!</definedName>
    <definedName name="LAMBAYEQUE">#REF!</definedName>
    <definedName name="LAMPA">#REF!</definedName>
    <definedName name="LAURICOCHA">#REF!</definedName>
    <definedName name="LEONCIO_PRADO">#REF!</definedName>
    <definedName name="LIMA">#REF!</definedName>
    <definedName name="LORETO">#REF!</definedName>
    <definedName name="LUCANAS">#REF!</definedName>
    <definedName name="LUYA">#REF!</definedName>
    <definedName name="MADRE_DE_DIOS">#REF!</definedName>
    <definedName name="MANU">#REF!</definedName>
    <definedName name="MARAÑON">#REF!</definedName>
    <definedName name="MARISCAL_CACERES">#REF!</definedName>
    <definedName name="MARISCAL_LUZURIAGA">#REF!</definedName>
    <definedName name="MARISCAL_NIETO">#REF!</definedName>
    <definedName name="MARISCAL_RAMON_CASTILLA">#REF!</definedName>
    <definedName name="MAYNAS">#REF!</definedName>
    <definedName name="MELGAR">#REF!</definedName>
    <definedName name="MOHO">#REF!</definedName>
    <definedName name="MOQUEGUA">#REF!</definedName>
    <definedName name="MORROPON">#REF!</definedName>
    <definedName name="MOYOBAMBA">#REF!</definedName>
    <definedName name="NAZCA">#REF!</definedName>
    <definedName name="OCROS">#REF!</definedName>
    <definedName name="OTUZCO">#REF!</definedName>
    <definedName name="OXAPAMPA">#REF!</definedName>
    <definedName name="OYON">#REF!</definedName>
    <definedName name="PACASMAYO">#REF!</definedName>
    <definedName name="PACHITEA">#REF!</definedName>
    <definedName name="PADRE_ABAD">#REF!</definedName>
    <definedName name="PAITA">#REF!</definedName>
    <definedName name="PALLASCA">#REF!</definedName>
    <definedName name="PALPA">#REF!</definedName>
    <definedName name="PARINACOCHAS">#REF!</definedName>
    <definedName name="PARURO">#REF!</definedName>
    <definedName name="PASCO">#REF!</definedName>
    <definedName name="PATAZ">#REF!</definedName>
    <definedName name="PAUCAR_DEL_SARA_SARA">#REF!</definedName>
    <definedName name="PAUCARTAMBO">#REF!</definedName>
    <definedName name="PICOTA">#REF!</definedName>
    <definedName name="PISCO">#REF!</definedName>
    <definedName name="PIURA">#REF!</definedName>
    <definedName name="POMABAMBA">#REF!</definedName>
    <definedName name="Porcentajededucciones">'[1]RESUL VC'!$R$59</definedName>
    <definedName name="Producto1">OFFSET([1]Listas!$A$3,0,0,COUNTA([1]Listas!$A:$A)-2)</definedName>
    <definedName name="PROV.AREQUIPA">#REF!</definedName>
    <definedName name="PROV.CAJAMARCA">#REF!</definedName>
    <definedName name="PROV.CALLAO">#REF!</definedName>
    <definedName name="PROV.CUSCO">#REF!</definedName>
    <definedName name="PROV.HUANCAVELICA">#REF!</definedName>
    <definedName name="PROV.HUANUCO">#REF!</definedName>
    <definedName name="PROV.ICA">#REF!</definedName>
    <definedName name="PROV.LAMBAYEQUE">#REF!</definedName>
    <definedName name="PROV.LIMA">#REF!</definedName>
    <definedName name="PROV.PASCO">#REF!</definedName>
    <definedName name="PROV.PIURA">#REF!</definedName>
    <definedName name="PROV.PUNO">#REF!</definedName>
    <definedName name="PROV.SAN_MARTIN">#REF!</definedName>
    <definedName name="PROV.TUMBES">#REF!</definedName>
    <definedName name="PROV.UCAYALI">#REF!</definedName>
    <definedName name="PUERTO_INCA">#REF!</definedName>
    <definedName name="PUNO">#REF!</definedName>
    <definedName name="PURUS">#REF!</definedName>
    <definedName name="QUISPICANCHI">#REF!</definedName>
    <definedName name="RECUAY">#REF!</definedName>
    <definedName name="REQUENA">#REF!</definedName>
    <definedName name="RIOJA">#REF!</definedName>
    <definedName name="RODRIGUEZ_DE_MENDOZA">#REF!</definedName>
    <definedName name="SAN_ANTONIO_DE_PUTINA">#REF!</definedName>
    <definedName name="SAN_IGNACIO">#REF!</definedName>
    <definedName name="SAN_MARCOS">#REF!</definedName>
    <definedName name="SAN_MARTIN">#REF!</definedName>
    <definedName name="SAN_MIGUEL">#REF!</definedName>
    <definedName name="SAN_PABLO">#REF!</definedName>
    <definedName name="SAN_ROMAN">#REF!</definedName>
    <definedName name="SANCHEZ_CARRION">#REF!</definedName>
    <definedName name="SANDIA">#REF!</definedName>
    <definedName name="SANTA">#REF!</definedName>
    <definedName name="SANTA_CRUZ">#REF!</definedName>
    <definedName name="SANTIAGO_DE_CHUCO">#REF!</definedName>
    <definedName name="SATIPO">#REF!</definedName>
    <definedName name="SECHURA">#REF!</definedName>
    <definedName name="SIHUAS">#REF!</definedName>
    <definedName name="SUCRE">#REF!</definedName>
    <definedName name="SULLANA">#REF!</definedName>
    <definedName name="TACNA">#REF!</definedName>
    <definedName name="TAHUAMANU">#REF!</definedName>
    <definedName name="TALARA">#REF!</definedName>
    <definedName name="TAMBOPATA">#REF!</definedName>
    <definedName name="TARATA">#REF!</definedName>
    <definedName name="TARMA">#REF!</definedName>
    <definedName name="TAYACAJA">#REF!</definedName>
    <definedName name="tipobienv2" localSheetId="3">'[3]HR Informe de Perito'!$O$6:$O$17</definedName>
    <definedName name="tipobienv2">#REF!</definedName>
    <definedName name="TipoTasación">OFFSET([1]Listas!$C$3,0,0,COUNTA([1]Listas!$C:$C)-1)</definedName>
    <definedName name="tipov0" localSheetId="2">#REF!</definedName>
    <definedName name="tipov0" localSheetId="3">#N/A</definedName>
    <definedName name="tipov0">#REF!</definedName>
    <definedName name="tipov1" localSheetId="2">#REF!</definedName>
    <definedName name="tipov1" localSheetId="3">#N/A</definedName>
    <definedName name="tipov1">#REF!</definedName>
    <definedName name="_xlnm.Print_Titles" localSheetId="1">MEMORIA!$1:$9</definedName>
    <definedName name="TOCACHE">#REF!</definedName>
    <definedName name="TRUJILLO">#REF!</definedName>
    <definedName name="TUMBES">#REF!</definedName>
    <definedName name="UCAYALI">#REF!</definedName>
    <definedName name="URUBAMBA">#REF!</definedName>
    <definedName name="UTCUBAMBA">#REF!</definedName>
    <definedName name="VC">'[1]RESUL VC'!$X$45</definedName>
    <definedName name="VICTOR_FAJARDO">#REF!</definedName>
    <definedName name="VILCAS_HUAMAN">#REF!</definedName>
    <definedName name="VIRU">#REF!</definedName>
    <definedName name="VT">'[1]AM Costos'!$X$28</definedName>
    <definedName name="YAROWILCA">#REF!</definedName>
    <definedName name="YAULI">#REF!</definedName>
    <definedName name="YAUYOS">#REF!</definedName>
    <definedName name="YUNGAY">#REF!</definedName>
    <definedName name="YUNGUYO">#REF!</definedName>
    <definedName name="ZARUMILLA">#REF!</definedName>
  </definedNames>
  <calcPr calcId="181029"/>
</workbook>
</file>

<file path=xl/calcChain.xml><?xml version="1.0" encoding="utf-8"?>
<calcChain xmlns="http://schemas.openxmlformats.org/spreadsheetml/2006/main">
  <c r="B21" i="1" l="1"/>
  <c r="S24" i="7"/>
  <c r="AL42" i="7"/>
  <c r="AS214" i="6"/>
  <c r="Y40" i="6"/>
  <c r="M53" i="6"/>
  <c r="C2" i="9"/>
  <c r="Q2" i="9"/>
  <c r="P34" i="8"/>
  <c r="W34" i="8"/>
  <c r="P51" i="8" s="1"/>
  <c r="W51" i="8" s="1"/>
  <c r="P67" i="8" s="1"/>
  <c r="W67" i="8" s="1"/>
  <c r="W18" i="8"/>
  <c r="B50" i="1"/>
  <c r="D30" i="1"/>
  <c r="B33" i="1"/>
  <c r="B25" i="1"/>
  <c r="E17" i="1"/>
  <c r="B17" i="1"/>
  <c r="B15" i="1"/>
  <c r="R2" i="8"/>
  <c r="A2" i="8"/>
  <c r="P2" i="8" s="1"/>
  <c r="U93" i="7"/>
  <c r="P93" i="7"/>
  <c r="B93" i="7"/>
  <c r="B92" i="7"/>
  <c r="U91" i="7"/>
  <c r="P91" i="7"/>
  <c r="B91" i="7"/>
  <c r="U90" i="7"/>
  <c r="P90" i="7"/>
  <c r="B90" i="7"/>
  <c r="U89" i="7"/>
  <c r="P89" i="7"/>
  <c r="B89" i="7"/>
  <c r="U88" i="7"/>
  <c r="P88" i="7"/>
  <c r="B88" i="7"/>
  <c r="B87" i="7"/>
  <c r="U86" i="7"/>
  <c r="P86" i="7"/>
  <c r="B86" i="7"/>
  <c r="U85" i="7"/>
  <c r="P85" i="7"/>
  <c r="B85" i="7"/>
  <c r="U84" i="7"/>
  <c r="P84" i="7"/>
  <c r="B84" i="7"/>
  <c r="U83" i="7"/>
  <c r="P83" i="7"/>
  <c r="B83" i="7"/>
  <c r="G20" i="7"/>
  <c r="A428" i="6"/>
  <c r="A443" i="6" s="1"/>
  <c r="T415" i="6"/>
  <c r="AG402" i="6"/>
  <c r="AG462" i="6" s="1"/>
  <c r="AG401" i="6"/>
  <c r="AG461" i="6" s="1"/>
  <c r="AG400" i="6"/>
  <c r="AG460" i="6" s="1"/>
  <c r="Z388" i="6"/>
  <c r="Z448" i="6" s="1"/>
  <c r="X388" i="6"/>
  <c r="X448" i="6" s="1"/>
  <c r="T388" i="6"/>
  <c r="C388" i="6"/>
  <c r="C448" i="6" s="1"/>
  <c r="Z387" i="6"/>
  <c r="Z447" i="6" s="1"/>
  <c r="X387" i="6"/>
  <c r="X447" i="6" s="1"/>
  <c r="T387" i="6"/>
  <c r="C387" i="6"/>
  <c r="C447" i="6" s="1"/>
  <c r="Z386" i="6"/>
  <c r="X386" i="6"/>
  <c r="X446" i="6" s="1"/>
  <c r="T386" i="6"/>
  <c r="T446" i="6" s="1"/>
  <c r="C386" i="6"/>
  <c r="C446" i="6" s="1"/>
  <c r="T380" i="6"/>
  <c r="C380" i="6"/>
  <c r="T379" i="6"/>
  <c r="T378" i="6"/>
  <c r="C378" i="6"/>
  <c r="T377" i="6"/>
  <c r="T376" i="6"/>
  <c r="C376" i="6"/>
  <c r="AG361" i="6"/>
  <c r="L361" i="6"/>
  <c r="AG360" i="6"/>
  <c r="AG359" i="6"/>
  <c r="Z347" i="6"/>
  <c r="X347" i="6"/>
  <c r="T347" i="6"/>
  <c r="AE347" i="6" s="1"/>
  <c r="C347" i="6"/>
  <c r="Z346" i="6"/>
  <c r="X346" i="6"/>
  <c r="T346" i="6"/>
  <c r="C346" i="6"/>
  <c r="AE345" i="6"/>
  <c r="Z345" i="6"/>
  <c r="X345" i="6"/>
  <c r="T345" i="6"/>
  <c r="C345" i="6"/>
  <c r="AI338" i="6"/>
  <c r="T338" i="6"/>
  <c r="T439" i="6" s="1"/>
  <c r="Y439" i="6" s="1"/>
  <c r="AD439" i="6" s="1"/>
  <c r="C338" i="6"/>
  <c r="C439" i="6" s="1"/>
  <c r="AI337" i="6"/>
  <c r="T337" i="6"/>
  <c r="T438" i="6" s="1"/>
  <c r="AI336" i="6"/>
  <c r="T336" i="6"/>
  <c r="T437" i="6" s="1"/>
  <c r="Y437" i="6" s="1"/>
  <c r="AD437" i="6" s="1"/>
  <c r="C336" i="6"/>
  <c r="C437" i="6" s="1"/>
  <c r="AI335" i="6"/>
  <c r="T335" i="6"/>
  <c r="T436" i="6" s="1"/>
  <c r="AI334" i="6"/>
  <c r="T334" i="6"/>
  <c r="T435" i="6" s="1"/>
  <c r="Y435" i="6" s="1"/>
  <c r="AD435" i="6" s="1"/>
  <c r="C334" i="6"/>
  <c r="C435" i="6" s="1"/>
  <c r="A327" i="6"/>
  <c r="S310" i="6"/>
  <c r="S409" i="6" s="1"/>
  <c r="S410" i="6" s="1"/>
  <c r="S411" i="6" s="1"/>
  <c r="V297" i="6"/>
  <c r="AS281" i="6"/>
  <c r="Z93" i="7" s="1"/>
  <c r="AS279" i="6"/>
  <c r="Z91" i="7" s="1"/>
  <c r="AS278" i="6"/>
  <c r="Z90" i="7" s="1"/>
  <c r="AS277" i="6"/>
  <c r="Z89" i="7" s="1"/>
  <c r="Z266" i="6"/>
  <c r="Z394" i="6" s="1"/>
  <c r="Z454" i="6" s="1"/>
  <c r="Z265" i="6"/>
  <c r="Z393" i="6" s="1"/>
  <c r="Z453" i="6" s="1"/>
  <c r="Z264" i="6"/>
  <c r="Z392" i="6" s="1"/>
  <c r="Z452" i="6" s="1"/>
  <c r="AE260" i="6"/>
  <c r="AE259" i="6"/>
  <c r="AE258" i="6"/>
  <c r="P252" i="6"/>
  <c r="Y252" i="6" s="1"/>
  <c r="AD252" i="6" s="1"/>
  <c r="AN251" i="6"/>
  <c r="L251" i="6"/>
  <c r="P250" i="6"/>
  <c r="P378" i="6" s="1"/>
  <c r="AN249" i="6"/>
  <c r="L249" i="6"/>
  <c r="AN247" i="6"/>
  <c r="A244" i="6"/>
  <c r="A255" i="6" s="1"/>
  <c r="A298" i="6" s="1"/>
  <c r="A307" i="6" s="1"/>
  <c r="R242" i="6"/>
  <c r="R370" i="6" s="1"/>
  <c r="L242" i="6"/>
  <c r="L370" i="6" s="1"/>
  <c r="L426" i="6" s="1"/>
  <c r="R241" i="6"/>
  <c r="R369" i="6" s="1"/>
  <c r="R425" i="6" s="1"/>
  <c r="L241" i="6"/>
  <c r="L324" i="6" s="1"/>
  <c r="R240" i="6"/>
  <c r="R323" i="6" s="1"/>
  <c r="L240" i="6"/>
  <c r="C240" i="6"/>
  <c r="C323" i="6" s="1"/>
  <c r="AN219" i="6"/>
  <c r="AS219" i="6" s="1"/>
  <c r="Z88" i="7" s="1"/>
  <c r="AS217" i="6"/>
  <c r="Z86" i="7" s="1"/>
  <c r="AN217" i="6"/>
  <c r="AN216" i="6"/>
  <c r="AS216" i="6" s="1"/>
  <c r="Z85" i="7" s="1"/>
  <c r="AN215" i="6"/>
  <c r="AS215" i="6" s="1"/>
  <c r="Z84" i="7" s="1"/>
  <c r="AN214" i="6"/>
  <c r="Z83" i="7" s="1"/>
  <c r="AB207" i="6"/>
  <c r="AB269" i="6" s="1"/>
  <c r="AB319" i="6" s="1"/>
  <c r="AB420" i="6" s="1"/>
  <c r="S207" i="6"/>
  <c r="S269" i="6" s="1"/>
  <c r="Y183" i="6"/>
  <c r="C166" i="6"/>
  <c r="AR162" i="6"/>
  <c r="T333" i="6" s="1"/>
  <c r="T434" i="6" s="1"/>
  <c r="AM162" i="6"/>
  <c r="T339" i="6" s="1"/>
  <c r="T440" i="6" s="1"/>
  <c r="Z144" i="6"/>
  <c r="D144" i="6"/>
  <c r="C242" i="6" s="1"/>
  <c r="Z143" i="6"/>
  <c r="D143" i="6"/>
  <c r="C249" i="6" s="1"/>
  <c r="AB142" i="6"/>
  <c r="U142" i="6"/>
  <c r="L247" i="6" s="1"/>
  <c r="K333" i="6" s="1"/>
  <c r="D141" i="6"/>
  <c r="Y107" i="6"/>
  <c r="R107" i="6"/>
  <c r="AO99" i="6"/>
  <c r="C90" i="6"/>
  <c r="AO89" i="6"/>
  <c r="C80" i="6"/>
  <c r="A77" i="6"/>
  <c r="A79" i="6" s="1"/>
  <c r="A101" i="6" s="1"/>
  <c r="A109" i="6" s="1"/>
  <c r="A118" i="6" s="1"/>
  <c r="A120" i="6" s="1"/>
  <c r="A135" i="6" s="1"/>
  <c r="A138" i="6" s="1"/>
  <c r="A145" i="6" s="1"/>
  <c r="A163" i="6" s="1"/>
  <c r="A167" i="6" s="1"/>
  <c r="A170" i="6" s="1"/>
  <c r="A175" i="6" s="1"/>
  <c r="A177" i="6" s="1"/>
  <c r="A187" i="6" s="1"/>
  <c r="A189" i="6" s="1"/>
  <c r="M56" i="6"/>
  <c r="M52" i="6"/>
  <c r="V46" i="6"/>
  <c r="R46" i="6"/>
  <c r="V42" i="6"/>
  <c r="V49" i="6" s="1"/>
  <c r="R42" i="6"/>
  <c r="I42" i="6"/>
  <c r="I49" i="6" s="1"/>
  <c r="V41" i="6"/>
  <c r="V48" i="6" s="1"/>
  <c r="R41" i="6"/>
  <c r="R48" i="6" s="1"/>
  <c r="I41" i="6"/>
  <c r="I48" i="6" s="1"/>
  <c r="V40" i="6"/>
  <c r="V47" i="6" s="1"/>
  <c r="R40" i="6"/>
  <c r="AL39" i="7" s="1"/>
  <c r="I40" i="6"/>
  <c r="I47" i="6" s="1"/>
  <c r="P18" i="6"/>
  <c r="G18" i="6"/>
  <c r="P17" i="6"/>
  <c r="G17" i="6"/>
  <c r="P16" i="6"/>
  <c r="G16" i="6"/>
  <c r="P15" i="6"/>
  <c r="AA18" i="7" s="1"/>
  <c r="P12" i="6"/>
  <c r="A11" i="6"/>
  <c r="AB10" i="6"/>
  <c r="R10" i="6"/>
  <c r="S319" i="6" s="1"/>
  <c r="S420" i="6" s="1"/>
  <c r="C315" i="6"/>
  <c r="C306" i="6"/>
  <c r="P336" i="6" l="1"/>
  <c r="Y336" i="6" s="1"/>
  <c r="AD336" i="6" s="1"/>
  <c r="P248" i="6"/>
  <c r="P376" i="6" s="1"/>
  <c r="R43" i="6"/>
  <c r="E40" i="1" s="1"/>
  <c r="Y241" i="6"/>
  <c r="AF241" i="6" s="1"/>
  <c r="L41" i="6" s="1"/>
  <c r="R324" i="6"/>
  <c r="Y324" i="6" s="1"/>
  <c r="AF324" i="6" s="1"/>
  <c r="A2" i="9"/>
  <c r="O2" i="9" s="1"/>
  <c r="T247" i="6"/>
  <c r="T375" i="6" s="1"/>
  <c r="AE261" i="6"/>
  <c r="T264" i="6" s="1"/>
  <c r="AE264" i="6" s="1"/>
  <c r="S311" i="6"/>
  <c r="S312" i="6" s="1"/>
  <c r="L325" i="6"/>
  <c r="P334" i="6"/>
  <c r="AE346" i="6"/>
  <c r="AE348" i="6" s="1"/>
  <c r="Z353" i="6"/>
  <c r="A456" i="6"/>
  <c r="E44" i="1"/>
  <c r="Y250" i="6"/>
  <c r="AD250" i="6" s="1"/>
  <c r="R368" i="6"/>
  <c r="B6" i="1"/>
  <c r="AE387" i="6"/>
  <c r="Y378" i="6"/>
  <c r="AD378" i="6" s="1"/>
  <c r="Y376" i="6"/>
  <c r="AD376" i="6" s="1"/>
  <c r="C377" i="6"/>
  <c r="C335" i="6"/>
  <c r="C436" i="6" s="1"/>
  <c r="C265" i="6"/>
  <c r="T265" i="6"/>
  <c r="AE265" i="6" s="1"/>
  <c r="AI249" i="6" s="1"/>
  <c r="C370" i="6"/>
  <c r="C426" i="6" s="1"/>
  <c r="C462" i="6" s="1"/>
  <c r="C325" i="6"/>
  <c r="AN375" i="6"/>
  <c r="AN333" i="6"/>
  <c r="AN248" i="6"/>
  <c r="K335" i="6"/>
  <c r="L377" i="6"/>
  <c r="Y377" i="6" s="1"/>
  <c r="AD377" i="6" s="1"/>
  <c r="Y249" i="6"/>
  <c r="AD249" i="6" s="1"/>
  <c r="K434" i="6"/>
  <c r="Y434" i="6" s="1"/>
  <c r="AD434" i="6" s="1"/>
  <c r="Y333" i="6"/>
  <c r="AD333" i="6" s="1"/>
  <c r="R424" i="6"/>
  <c r="AE388" i="6"/>
  <c r="T448" i="6"/>
  <c r="AE448" i="6" s="1"/>
  <c r="P437" i="6"/>
  <c r="V50" i="6"/>
  <c r="Y242" i="6"/>
  <c r="AF242" i="6" s="1"/>
  <c r="AN337" i="6"/>
  <c r="AN438" i="6" s="1"/>
  <c r="AN379" i="6"/>
  <c r="AN252" i="6"/>
  <c r="AQ252" i="6" s="1"/>
  <c r="V43" i="6"/>
  <c r="R49" i="6"/>
  <c r="C241" i="6"/>
  <c r="I50" i="6"/>
  <c r="Y370" i="6"/>
  <c r="AF370" i="6" s="1"/>
  <c r="R426" i="6"/>
  <c r="Y426" i="6" s="1"/>
  <c r="AF426" i="6" s="1"/>
  <c r="L462" i="6" s="1"/>
  <c r="Y334" i="6"/>
  <c r="AD334" i="6" s="1"/>
  <c r="P435" i="6"/>
  <c r="L375" i="6"/>
  <c r="Y247" i="6"/>
  <c r="AD247" i="6" s="1"/>
  <c r="Y248" i="6"/>
  <c r="AD248" i="6" s="1"/>
  <c r="AQ248" i="6" s="1"/>
  <c r="L253" i="6"/>
  <c r="K339" i="6"/>
  <c r="C368" i="6"/>
  <c r="A40" i="6"/>
  <c r="AN377" i="6"/>
  <c r="AN335" i="6"/>
  <c r="AN436" i="6" s="1"/>
  <c r="AN250" i="6"/>
  <c r="C251" i="6"/>
  <c r="R39" i="7"/>
  <c r="I43" i="6"/>
  <c r="B40" i="1" s="1"/>
  <c r="A42" i="6"/>
  <c r="C247" i="6"/>
  <c r="C136" i="6"/>
  <c r="L368" i="6"/>
  <c r="L243" i="6"/>
  <c r="Y240" i="6"/>
  <c r="L323" i="6"/>
  <c r="L326" i="6" s="1"/>
  <c r="L379" i="6"/>
  <c r="Y379" i="6" s="1"/>
  <c r="AD379" i="6" s="1"/>
  <c r="K337" i="6"/>
  <c r="Y251" i="6"/>
  <c r="AD251" i="6" s="1"/>
  <c r="R325" i="6"/>
  <c r="Y325" i="6" s="1"/>
  <c r="AF325" i="6" s="1"/>
  <c r="Z351" i="6"/>
  <c r="L369" i="6"/>
  <c r="L425" i="6" s="1"/>
  <c r="Y425" i="6" s="1"/>
  <c r="AF425" i="6" s="1"/>
  <c r="L461" i="6" s="1"/>
  <c r="Z446" i="6"/>
  <c r="AE446" i="6" s="1"/>
  <c r="AE386" i="6"/>
  <c r="R47" i="6"/>
  <c r="Y369" i="6"/>
  <c r="AF369" i="6" s="1"/>
  <c r="P380" i="6"/>
  <c r="Y380" i="6" s="1"/>
  <c r="AD380" i="6" s="1"/>
  <c r="P338" i="6"/>
  <c r="A355" i="6"/>
  <c r="A342" i="6"/>
  <c r="Z352" i="6"/>
  <c r="T447" i="6"/>
  <c r="AE447" i="6" s="1"/>
  <c r="T266" i="6" l="1"/>
  <c r="AE266" i="6" s="1"/>
  <c r="AI251" i="6" s="1"/>
  <c r="AQ250" i="6"/>
  <c r="L302" i="6"/>
  <c r="R50" i="6"/>
  <c r="T352" i="6"/>
  <c r="AE352" i="6" s="1"/>
  <c r="T351" i="6"/>
  <c r="T353" i="6"/>
  <c r="AE353" i="6" s="1"/>
  <c r="A47" i="6"/>
  <c r="A6" i="1"/>
  <c r="A49" i="6"/>
  <c r="A8" i="1"/>
  <c r="Y323" i="6"/>
  <c r="AF323" i="6" s="1"/>
  <c r="AE389" i="6"/>
  <c r="T394" i="6" s="1"/>
  <c r="AE394" i="6" s="1"/>
  <c r="AI379" i="6" s="1"/>
  <c r="AQ379" i="6" s="1"/>
  <c r="Y243" i="6"/>
  <c r="AF240" i="6"/>
  <c r="L402" i="6"/>
  <c r="L49" i="6"/>
  <c r="C369" i="6"/>
  <c r="C425" i="6" s="1"/>
  <c r="C461" i="6" s="1"/>
  <c r="C324" i="6"/>
  <c r="A41" i="6"/>
  <c r="AI247" i="6"/>
  <c r="AE267" i="6"/>
  <c r="L424" i="6"/>
  <c r="L427" i="6" s="1"/>
  <c r="L371" i="6"/>
  <c r="Y339" i="6"/>
  <c r="AD339" i="6" s="1"/>
  <c r="K440" i="6"/>
  <c r="Y440" i="6" s="1"/>
  <c r="AD440" i="6" s="1"/>
  <c r="AD253" i="6"/>
  <c r="L42" i="6"/>
  <c r="L303" i="6"/>
  <c r="Y335" i="6"/>
  <c r="AD335" i="6" s="1"/>
  <c r="AQ335" i="6" s="1"/>
  <c r="K436" i="6"/>
  <c r="Y436" i="6" s="1"/>
  <c r="AD436" i="6" s="1"/>
  <c r="AQ249" i="6"/>
  <c r="S302" i="6" s="1"/>
  <c r="Y41" i="6" s="1"/>
  <c r="K438" i="6"/>
  <c r="Y438" i="6" s="1"/>
  <c r="AD438" i="6" s="1"/>
  <c r="Y337" i="6"/>
  <c r="AD337" i="6" s="1"/>
  <c r="AQ337" i="6" s="1"/>
  <c r="C333" i="6"/>
  <c r="C434" i="6" s="1"/>
  <c r="C264" i="6"/>
  <c r="C379" i="6"/>
  <c r="C337" i="6"/>
  <c r="C438" i="6" s="1"/>
  <c r="C266" i="6"/>
  <c r="AN434" i="6"/>
  <c r="AN339" i="6"/>
  <c r="AN440" i="6" s="1"/>
  <c r="P439" i="6"/>
  <c r="Y338" i="6"/>
  <c r="AD338" i="6" s="1"/>
  <c r="AE449" i="6"/>
  <c r="AN336" i="6"/>
  <c r="AN378" i="6"/>
  <c r="AQ378" i="6" s="1"/>
  <c r="C424" i="6"/>
  <c r="C460" i="6" s="1"/>
  <c r="C375" i="6"/>
  <c r="L401" i="6"/>
  <c r="L48" i="6"/>
  <c r="Y375" i="6"/>
  <c r="AD375" i="6" s="1"/>
  <c r="AD381" i="6" s="1"/>
  <c r="L381" i="6"/>
  <c r="AE351" i="6"/>
  <c r="AE354" i="6" s="1"/>
  <c r="AI333" i="6" s="1"/>
  <c r="AN380" i="6"/>
  <c r="AQ380" i="6" s="1"/>
  <c r="AN338" i="6"/>
  <c r="AN439" i="6" s="1"/>
  <c r="AQ439" i="6" s="1"/>
  <c r="Y368" i="6"/>
  <c r="AN376" i="6"/>
  <c r="AQ376" i="6" s="1"/>
  <c r="AN334" i="6"/>
  <c r="AN435" i="6" s="1"/>
  <c r="AQ435" i="6" s="1"/>
  <c r="AQ251" i="6"/>
  <c r="S303" i="6" s="1"/>
  <c r="Y42" i="6" s="1"/>
  <c r="C352" i="6"/>
  <c r="C360" i="6" s="1"/>
  <c r="C393" i="6"/>
  <c r="C453" i="6" s="1"/>
  <c r="C302" i="6"/>
  <c r="A48" i="6" l="1"/>
  <c r="A7" i="1"/>
  <c r="Y326" i="6"/>
  <c r="T392" i="6"/>
  <c r="AE392" i="6" s="1"/>
  <c r="AD441" i="6"/>
  <c r="T393" i="6"/>
  <c r="AE393" i="6" s="1"/>
  <c r="AI377" i="6" s="1"/>
  <c r="AQ377" i="6" s="1"/>
  <c r="S401" i="6" s="1"/>
  <c r="Y48" i="6" s="1"/>
  <c r="C353" i="6"/>
  <c r="C361" i="6" s="1"/>
  <c r="C394" i="6"/>
  <c r="C454" i="6" s="1"/>
  <c r="C303" i="6"/>
  <c r="L301" i="6"/>
  <c r="AF243" i="6"/>
  <c r="L40" i="6"/>
  <c r="L43" i="6" s="1"/>
  <c r="B42" i="1" s="1"/>
  <c r="Y371" i="6"/>
  <c r="AF368" i="6"/>
  <c r="C311" i="6"/>
  <c r="C401" i="6"/>
  <c r="C410" i="6" s="1"/>
  <c r="T454" i="6"/>
  <c r="AE454" i="6" s="1"/>
  <c r="AI438" i="6" s="1"/>
  <c r="AQ438" i="6" s="1"/>
  <c r="S462" i="6" s="1"/>
  <c r="Z462" i="6" s="1"/>
  <c r="AL462" i="6" s="1"/>
  <c r="T453" i="6"/>
  <c r="AE453" i="6" s="1"/>
  <c r="AI436" i="6" s="1"/>
  <c r="AQ436" i="6" s="1"/>
  <c r="T452" i="6"/>
  <c r="AE452" i="6" s="1"/>
  <c r="AD340" i="6"/>
  <c r="AQ440" i="6"/>
  <c r="L359" i="6"/>
  <c r="AF326" i="6"/>
  <c r="L360" i="6" s="1"/>
  <c r="AQ334" i="6"/>
  <c r="AI340" i="6"/>
  <c r="AQ333" i="6"/>
  <c r="S402" i="6"/>
  <c r="Y49" i="6" s="1"/>
  <c r="AN437" i="6"/>
  <c r="AQ437" i="6" s="1"/>
  <c r="AQ336" i="6"/>
  <c r="S360" i="6" s="1"/>
  <c r="S361" i="6"/>
  <c r="Z361" i="6" s="1"/>
  <c r="AL361" i="6" s="1"/>
  <c r="AI253" i="6"/>
  <c r="AQ247" i="6"/>
  <c r="AQ338" i="6"/>
  <c r="Y424" i="6"/>
  <c r="C351" i="6"/>
  <c r="C359" i="6" s="1"/>
  <c r="C392" i="6"/>
  <c r="C452" i="6" s="1"/>
  <c r="C301" i="6"/>
  <c r="Z303" i="6"/>
  <c r="AL303" i="6" s="1"/>
  <c r="AQ339" i="6"/>
  <c r="Z302" i="6"/>
  <c r="AL302" i="6" s="1"/>
  <c r="AE395" i="6" l="1"/>
  <c r="B44" i="1"/>
  <c r="AI375" i="6"/>
  <c r="AI381" i="6" s="1"/>
  <c r="Z402" i="6"/>
  <c r="AL402" i="6" s="1"/>
  <c r="L411" i="6" s="1"/>
  <c r="Z411" i="6" s="1"/>
  <c r="AQ49" i="6" s="1"/>
  <c r="L312" i="6"/>
  <c r="Z312" i="6" s="1"/>
  <c r="AQ42" i="6" s="1"/>
  <c r="AE42" i="6"/>
  <c r="AK42" i="6"/>
  <c r="Y427" i="6"/>
  <c r="AF424" i="6"/>
  <c r="Z360" i="6"/>
  <c r="AL360" i="6" s="1"/>
  <c r="C400" i="6"/>
  <c r="C409" i="6" s="1"/>
  <c r="C310" i="6"/>
  <c r="L311" i="6"/>
  <c r="Z311" i="6" s="1"/>
  <c r="AQ41" i="6" s="1"/>
  <c r="AK41" i="6"/>
  <c r="E46" i="1" s="1"/>
  <c r="AE41" i="6"/>
  <c r="AE455" i="6"/>
  <c r="AI434" i="6"/>
  <c r="L400" i="6"/>
  <c r="AF371" i="6"/>
  <c r="L50" i="6" s="1"/>
  <c r="L47" i="6"/>
  <c r="N97" i="7" s="1"/>
  <c r="L304" i="6"/>
  <c r="S359" i="6"/>
  <c r="S362" i="6" s="1"/>
  <c r="AQ340" i="6"/>
  <c r="Z359" i="6"/>
  <c r="L362" i="6"/>
  <c r="C402" i="6"/>
  <c r="C411" i="6" s="1"/>
  <c r="C312" i="6"/>
  <c r="AQ253" i="6"/>
  <c r="S301" i="6"/>
  <c r="Z401" i="6"/>
  <c r="AL401" i="6" s="1"/>
  <c r="S461" i="6"/>
  <c r="Z461" i="6" s="1"/>
  <c r="AL461" i="6" s="1"/>
  <c r="AQ375" i="6" l="1"/>
  <c r="AQ381" i="6" s="1"/>
  <c r="Y50" i="6" s="1"/>
  <c r="AK49" i="6"/>
  <c r="N103" i="7" s="1"/>
  <c r="AE49" i="6"/>
  <c r="L410" i="6"/>
  <c r="Z410" i="6" s="1"/>
  <c r="AQ48" i="6" s="1"/>
  <c r="AE48" i="6"/>
  <c r="AK48" i="6"/>
  <c r="N101" i="7" s="1"/>
  <c r="AL359" i="6"/>
  <c r="AL362" i="6" s="1"/>
  <c r="Z362" i="6"/>
  <c r="S304" i="6"/>
  <c r="Y43" i="6"/>
  <c r="E42" i="1" s="1"/>
  <c r="Z301" i="6"/>
  <c r="L403" i="6"/>
  <c r="AQ434" i="6"/>
  <c r="AI441" i="6"/>
  <c r="L460" i="6"/>
  <c r="AF427" i="6"/>
  <c r="S400" i="6" l="1"/>
  <c r="Z400" i="6" s="1"/>
  <c r="AL400" i="6" s="1"/>
  <c r="L463" i="6"/>
  <c r="Z304" i="6"/>
  <c r="AL301" i="6"/>
  <c r="S460" i="6"/>
  <c r="S463" i="6" s="1"/>
  <c r="AQ441" i="6"/>
  <c r="N99" i="7"/>
  <c r="Y47" i="6" l="1"/>
  <c r="S403" i="6"/>
  <c r="Z403" i="6"/>
  <c r="AL403" i="6"/>
  <c r="AK50" i="6" s="1"/>
  <c r="N105" i="7" s="1"/>
  <c r="L409" i="6"/>
  <c r="AK47" i="6"/>
  <c r="AE47" i="6"/>
  <c r="AE50" i="6" s="1"/>
  <c r="L310" i="6"/>
  <c r="AK40" i="6"/>
  <c r="AK43" i="6" s="1"/>
  <c r="B46" i="1" s="1"/>
  <c r="AL304" i="6"/>
  <c r="AE40" i="6"/>
  <c r="AE43" i="6" s="1"/>
  <c r="E48" i="1" s="1"/>
  <c r="Z460" i="6"/>
  <c r="Z409" i="6" l="1"/>
  <c r="L412" i="6"/>
  <c r="AL460" i="6"/>
  <c r="AL463" i="6" s="1"/>
  <c r="Z463" i="6"/>
  <c r="L313" i="6"/>
  <c r="Z310" i="6"/>
  <c r="Z313" i="6" l="1"/>
  <c r="AQ40" i="6"/>
  <c r="AQ43" i="6" s="1"/>
  <c r="B48" i="1" s="1"/>
  <c r="E50" i="1" s="1"/>
  <c r="Z412" i="6"/>
  <c r="AQ50" i="6" s="1"/>
  <c r="N107" i="7" s="1"/>
  <c r="AQ4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Granda Sanchez, Diana Iris</author>
  </authors>
  <commentList>
    <comment ref="B6" authorId="0" shapeId="0" xr:uid="{FEDF82FA-986C-4760-ACAD-36E6531320FC}">
      <text>
        <r>
          <rPr>
            <b/>
            <sz val="9"/>
            <rFont val="Tahoma"/>
            <family val="2"/>
          </rPr>
          <t>Granda Sanchez, Diana Iris:</t>
        </r>
        <r>
          <rPr>
            <sz val="9"/>
            <rFont val="Tahoma"/>
            <family val="2"/>
          </rPr>
          <t xml:space="preserve">
Alfa númérico  (máximo 250 caracteres) - (mayúsculas, minúsculas y tildes)</t>
        </r>
      </text>
    </comment>
    <comment ref="D6" authorId="0" shapeId="0" xr:uid="{FAAC573A-0FA9-4A89-9A7C-337174DAA723}">
      <text>
        <r>
          <rPr>
            <b/>
            <sz val="9"/>
            <rFont val="Tahoma"/>
            <family val="2"/>
          </rPr>
          <t>Granda Sanchez, Diana Iris:</t>
        </r>
        <r>
          <rPr>
            <sz val="9"/>
            <rFont val="Tahoma"/>
            <family val="2"/>
          </rPr>
          <t xml:space="preserve">
Alfa Númérico (sin decimales), máximo 30 caracteres</t>
        </r>
      </text>
    </comment>
    <comment ref="B7" authorId="0" shapeId="0" xr:uid="{7C0D0C95-7A3C-48BD-B8DC-9180F1245031}">
      <text>
        <r>
          <rPr>
            <b/>
            <sz val="9"/>
            <rFont val="Tahoma"/>
            <family val="2"/>
          </rPr>
          <t>Granda Sanchez, Diana Iris:</t>
        </r>
        <r>
          <rPr>
            <sz val="9"/>
            <rFont val="Tahoma"/>
            <family val="2"/>
          </rPr>
          <t xml:space="preserve">
Alfa númérico  (máximo 250 caracteres) (mayúsculas, minúsculas y tildes)
</t>
        </r>
      </text>
    </comment>
    <comment ref="D7" authorId="0" shapeId="0" xr:uid="{A27C1C78-ECB0-414B-972D-7034F3ED148D}">
      <text>
        <r>
          <rPr>
            <b/>
            <sz val="9"/>
            <rFont val="Tahoma"/>
            <family val="2"/>
          </rPr>
          <t>Granda Sanchez, Diana Iris:</t>
        </r>
        <r>
          <rPr>
            <sz val="9"/>
            <rFont val="Tahoma"/>
            <family val="2"/>
          </rPr>
          <t xml:space="preserve">
Alfa Númérico (sin decimales), máximo 30 caracteres</t>
        </r>
      </text>
    </comment>
    <comment ref="B17" authorId="0" shapeId="0" xr:uid="{00000000-0006-0000-0000-000005000000}">
      <text>
        <r>
          <rPr>
            <b/>
            <sz val="9"/>
            <rFont val="Tahoma"/>
            <family val="2"/>
          </rPr>
          <t>Granda Sanchez, Diana Iris:</t>
        </r>
        <r>
          <rPr>
            <sz val="9"/>
            <rFont val="Tahoma"/>
            <family val="2"/>
          </rPr>
          <t xml:space="preserve">
(día/mes/año) - ejemplo 22/06/2022 
</t>
        </r>
      </text>
    </comment>
    <comment ref="E17" authorId="0" shapeId="0" xr:uid="{00000000-0006-0000-0000-000006000000}">
      <text>
        <r>
          <rPr>
            <b/>
            <sz val="9"/>
            <rFont val="Tahoma"/>
            <family val="2"/>
          </rPr>
          <t>Granda Sanchez, Diana Iris:</t>
        </r>
        <r>
          <rPr>
            <sz val="9"/>
            <rFont val="Tahoma"/>
            <family val="2"/>
          </rPr>
          <t xml:space="preserve">
</t>
        </r>
      </text>
    </comment>
    <comment ref="B21" authorId="0" shapeId="0" xr:uid="{00000000-0006-0000-0000-000008000000}">
      <text>
        <r>
          <rPr>
            <b/>
            <sz val="9"/>
            <rFont val="Tahoma"/>
            <family val="2"/>
          </rPr>
          <t>Granda Sanchez, Diana Iris:</t>
        </r>
        <r>
          <rPr>
            <sz val="9"/>
            <rFont val="Tahoma"/>
            <family val="2"/>
          </rPr>
          <t xml:space="preserve">
numércio, máximo 4 dígitos
</t>
        </r>
      </text>
    </comment>
    <comment ref="D30" authorId="0" shapeId="0" xr:uid="{00000000-0006-0000-0000-00000B000000}">
      <text>
        <r>
          <rPr>
            <b/>
            <sz val="9"/>
            <rFont val="Tahoma"/>
            <family val="2"/>
          </rPr>
          <t>Granda Sanchez, Diana Iris:</t>
        </r>
        <r>
          <rPr>
            <sz val="9"/>
            <rFont val="Tahoma"/>
            <family val="2"/>
          </rPr>
          <t xml:space="preserve">
Alfa númérico  (máximo 250 caracteres) - (mayúsculas, minúsculas y tildes)</t>
        </r>
      </text>
    </comment>
    <comment ref="B31" authorId="0" shapeId="0" xr:uid="{00000000-0006-0000-0000-00000C000000}">
      <text>
        <r>
          <rPr>
            <b/>
            <sz val="9"/>
            <rFont val="Tahoma"/>
            <family val="2"/>
          </rPr>
          <t>Granda Sanchez, Diana Iris:</t>
        </r>
        <r>
          <rPr>
            <sz val="9"/>
            <rFont val="Tahoma"/>
            <family val="2"/>
          </rPr>
          <t xml:space="preserve">
numérico, máximo 3 dígitos
</t>
        </r>
      </text>
    </comment>
    <comment ref="B33" authorId="0" shapeId="0" xr:uid="{00000000-0006-0000-0000-00000D000000}">
      <text>
        <r>
          <rPr>
            <b/>
            <sz val="9"/>
            <rFont val="Tahoma"/>
            <family val="2"/>
          </rPr>
          <t>Granda Sanchez, Diana Iris:</t>
        </r>
        <r>
          <rPr>
            <sz val="9"/>
            <rFont val="Tahoma"/>
            <family val="2"/>
          </rPr>
          <t xml:space="preserve">
Letras (mayúsculas, minúsculas y tildes) - Máximo 20 caracteres</t>
        </r>
      </text>
    </comment>
    <comment ref="E40" authorId="0" shapeId="0" xr:uid="{00000000-0006-0000-0000-00000F000000}">
      <text>
        <r>
          <rPr>
            <b/>
            <sz val="9"/>
            <rFont val="Tahoma"/>
            <family val="2"/>
          </rPr>
          <t>Granda Sanchez, Diana Iris:</t>
        </r>
        <r>
          <rPr>
            <sz val="9"/>
            <rFont val="Tahoma"/>
            <family val="2"/>
          </rPr>
          <t xml:space="preserve">
Alfa numérico (máximo 20 caracteres)</t>
        </r>
      </text>
    </comment>
    <comment ref="B42" authorId="0" shapeId="0" xr:uid="{00000000-0006-0000-0000-000010000000}">
      <text>
        <r>
          <rPr>
            <b/>
            <sz val="9"/>
            <rFont val="Tahoma"/>
            <family val="2"/>
          </rPr>
          <t>Granda Sanchez, Diana Iris:</t>
        </r>
        <r>
          <rPr>
            <sz val="9"/>
            <rFont val="Tahoma"/>
            <family val="2"/>
          </rPr>
          <t xml:space="preserve">
Alfa numérico (máximo 20 caracteres)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ELENA LABAJOS</author>
  </authors>
  <commentList>
    <comment ref="M57" authorId="0" shapeId="0" xr:uid="{26100094-A365-4C45-A203-0212462B409D}">
      <text>
        <r>
          <rPr>
            <b/>
            <sz val="9"/>
            <color indexed="81"/>
            <rFont val="Tahoma"/>
            <family val="2"/>
          </rPr>
          <t>NUMERO DE PISOS:
ACA SI PONER, EJEMP:
3 PISOS Y AZOTEA</t>
        </r>
        <r>
          <rPr>
            <sz val="9"/>
            <color indexed="81"/>
            <rFont val="Tahoma"/>
            <family val="2"/>
          </rPr>
          <t xml:space="preserve">
</t>
        </r>
      </text>
    </comment>
  </commentList>
</comments>
</file>

<file path=xl/sharedStrings.xml><?xml version="1.0" encoding="utf-8"?>
<sst xmlns="http://schemas.openxmlformats.org/spreadsheetml/2006/main" count="767" uniqueCount="511">
  <si>
    <t>Fecha de Inspección</t>
  </si>
  <si>
    <t>Tipo de Tasación</t>
  </si>
  <si>
    <t>Año de Construcción</t>
  </si>
  <si>
    <t>Tipo de Edificación</t>
  </si>
  <si>
    <t>Depreciación</t>
  </si>
  <si>
    <t>Estado Inmueble</t>
  </si>
  <si>
    <t>Nro. de Pisos</t>
  </si>
  <si>
    <t>Nro. de Sótanos</t>
  </si>
  <si>
    <t>Ubigeo</t>
  </si>
  <si>
    <t>Ubicación</t>
  </si>
  <si>
    <t>Uso</t>
  </si>
  <si>
    <t>Material de Construcción</t>
  </si>
  <si>
    <t>Moneda</t>
  </si>
  <si>
    <t>Fecha de Tasación</t>
  </si>
  <si>
    <t>Área de Terreno</t>
  </si>
  <si>
    <t>Área de Construcción</t>
  </si>
  <si>
    <t>Valor del Terreno</t>
  </si>
  <si>
    <t>Valor de Construcción</t>
  </si>
  <si>
    <t>Valor Casco Habitable</t>
  </si>
  <si>
    <t>Valor Comercial</t>
  </si>
  <si>
    <t>Valor de Construcción/m2</t>
  </si>
  <si>
    <t>Valor del Estacionamiento</t>
  </si>
  <si>
    <t>Valor de Realización</t>
  </si>
  <si>
    <t xml:space="preserve"> Importe Asegurable </t>
  </si>
  <si>
    <t>Propietario</t>
  </si>
  <si>
    <t>Hipotecario</t>
  </si>
  <si>
    <t>Mivivienda</t>
  </si>
  <si>
    <t>Material de construccion</t>
  </si>
  <si>
    <t>Adobe</t>
  </si>
  <si>
    <t>Concreto Armado</t>
  </si>
  <si>
    <t>Drywall</t>
  </si>
  <si>
    <t>Madera</t>
  </si>
  <si>
    <t>Quincha</t>
  </si>
  <si>
    <t>Tipo de Edificacion</t>
  </si>
  <si>
    <t>CASA HABITACION</t>
  </si>
  <si>
    <t>CASA HABITACION/COME</t>
  </si>
  <si>
    <t>COMERCIAL</t>
  </si>
  <si>
    <t>COMERCIAL/INDUSTRIAL</t>
  </si>
  <si>
    <t>EDIFICIO</t>
  </si>
  <si>
    <t>ESTACIONAMIENTO</t>
  </si>
  <si>
    <t>INDUSTRIAL</t>
  </si>
  <si>
    <t>OTROS</t>
  </si>
  <si>
    <t>TIENDA DEPOSITO</t>
  </si>
  <si>
    <t>Dólares USA-US$</t>
  </si>
  <si>
    <t>CASA HABITACION/INDU</t>
  </si>
  <si>
    <t>Zona Residencial</t>
  </si>
  <si>
    <t>Zona Comercial</t>
  </si>
  <si>
    <t>Zona Mixta</t>
  </si>
  <si>
    <t>Estado de inmueble</t>
  </si>
  <si>
    <t>Bueno</t>
  </si>
  <si>
    <t>Malo</t>
  </si>
  <si>
    <t>Muy Bueno</t>
  </si>
  <si>
    <t>Muy Malo</t>
  </si>
  <si>
    <t>Regular</t>
  </si>
  <si>
    <t>Areas y Valores</t>
  </si>
  <si>
    <t>Datos del Informe</t>
  </si>
  <si>
    <t>Tipo de Unidad</t>
  </si>
  <si>
    <t>Direccion Registral</t>
  </si>
  <si>
    <t># de Partida</t>
  </si>
  <si>
    <t>Departamento</t>
  </si>
  <si>
    <t>Estacionamiento</t>
  </si>
  <si>
    <t>Deposito</t>
  </si>
  <si>
    <t>Aires</t>
  </si>
  <si>
    <t>Casa Habitacion</t>
  </si>
  <si>
    <t>Duplex</t>
  </si>
  <si>
    <t>Local Comercial</t>
  </si>
  <si>
    <t>Oficina</t>
  </si>
  <si>
    <t>Palco</t>
  </si>
  <si>
    <t>Terreno</t>
  </si>
  <si>
    <t>Cuenta con Fabrica</t>
  </si>
  <si>
    <t>Fabrica</t>
  </si>
  <si>
    <t>Si</t>
  </si>
  <si>
    <t>No</t>
  </si>
  <si>
    <t>Parcial</t>
  </si>
  <si>
    <t>Comentarios</t>
  </si>
  <si>
    <t>% casa habitacion</t>
  </si>
  <si>
    <t>% de uso Casa Habitacion</t>
  </si>
  <si>
    <t>Valor del Terreno/m2</t>
  </si>
  <si>
    <t>Monto de Tasación Proyectada</t>
  </si>
  <si>
    <t>Tipo de Vivienda</t>
  </si>
  <si>
    <t>Ladrillo y Cemento</t>
  </si>
  <si>
    <t>Planchas colaborantes</t>
  </si>
  <si>
    <t>Estructura de Acero/Metálica</t>
  </si>
  <si>
    <t>Estructura metálica con planchas industriales</t>
  </si>
  <si>
    <t>MiVivienda</t>
  </si>
  <si>
    <t>Soles-S/</t>
  </si>
  <si>
    <t>Inquilinos</t>
  </si>
  <si>
    <t>Sí</t>
  </si>
  <si>
    <t>Ver criterios y pesos</t>
  </si>
  <si>
    <t>Si se encuentra un inmueble en mal estado, por favor, especificar en el comentario la recomendación de considerar solo el valor del terreno.</t>
  </si>
  <si>
    <t>Criterio</t>
  </si>
  <si>
    <t>Porcentajes</t>
  </si>
  <si>
    <t>Explicación</t>
  </si>
  <si>
    <t xml:space="preserve">Ejemplo </t>
  </si>
  <si>
    <t>Estructuras</t>
  </si>
  <si>
    <t>Lo que concierne a muros y columnas. Es decir, si el inmueble tiene fisuras graves (estructurales) o leves (que se solucionan con un tarrajeo). El número de fisuras está en función a cada inmueble.</t>
  </si>
  <si>
    <t>Fisuras graves lo que concierne a la estructura del predio en sí, ponen en riesgo al inmueble.</t>
  </si>
  <si>
    <t>Techos</t>
  </si>
  <si>
    <t>Lo que concierto al estado de los techos. Por ejemplo, grietas, etc.</t>
  </si>
  <si>
    <t xml:space="preserve">Si un inmueble aún no tiene techo o el techo se encuentra en ´malas condiciones. </t>
  </si>
  <si>
    <t>Revestimiento</t>
  </si>
  <si>
    <t>Lo que concierne al revestimiento del inmueble, como pintura, etc.</t>
  </si>
  <si>
    <t>Si un inmueble aún se encuentra en ladrillo, quedando pendiente el tarrajeo y pintura.</t>
  </si>
  <si>
    <t>Instalaciones</t>
  </si>
  <si>
    <t>Lo que concierne a las instalaciones de agua, luz, saneamiento.</t>
  </si>
  <si>
    <t>Contar con acceso a agua y luz ya instaladas en el predio-</t>
  </si>
  <si>
    <t>Puertas &amp; Ventanas</t>
  </si>
  <si>
    <t>Lo que concierne a su correcta implementación y mantenimiento de las mismas.</t>
  </si>
  <si>
    <t>Contar con ventanas/puertas y en buen estado (no rotas, quiñadas).</t>
  </si>
  <si>
    <t>Baños</t>
  </si>
  <si>
    <t>Lo que concierne a instalación de inodoros, lavamanos, duchas.</t>
  </si>
  <si>
    <t xml:space="preserve">Contar con baños y en óptimas condiciones para su funcionamiento. </t>
  </si>
  <si>
    <t>Pisos</t>
  </si>
  <si>
    <t xml:space="preserve">Lo que concierne a pisos planos e instalados, sin huecos, etc. </t>
  </si>
  <si>
    <t xml:space="preserve">Contar con pisos en optimas condiciones para su funcionamiento. </t>
  </si>
  <si>
    <t>¿Giro de Negocio Excluyente?</t>
  </si>
  <si>
    <t>Giro de Negocio Excluyente</t>
  </si>
  <si>
    <t>Alquiler inscrito en RP</t>
  </si>
  <si>
    <t>TERRENO USO RESIDENCIAL</t>
  </si>
  <si>
    <t>Departamento Triplex</t>
  </si>
  <si>
    <t>TERRENO</t>
  </si>
  <si>
    <t>Estacionamiento doble</t>
  </si>
  <si>
    <t>Estacionamiento triple</t>
  </si>
  <si>
    <t>Departamento Duplex</t>
  </si>
  <si>
    <t>Estacionamiento con deposito</t>
  </si>
  <si>
    <t>Estacionamiento bicicleta</t>
  </si>
  <si>
    <t>Closet</t>
  </si>
  <si>
    <t>REFERENCIA</t>
  </si>
  <si>
    <t>:</t>
  </si>
  <si>
    <t>CLIENTE</t>
  </si>
  <si>
    <t>SOLICITANTE</t>
  </si>
  <si>
    <t>BANCO INTERNACIONAL DEL PERU - INTERBANK - Centro hipotecario</t>
  </si>
  <si>
    <t>PROPIETARIO</t>
  </si>
  <si>
    <t>FECHA DE INSPECCIÓN</t>
  </si>
  <si>
    <t>UBIGEO:</t>
  </si>
  <si>
    <t>1501….</t>
  </si>
  <si>
    <t>PLANO</t>
  </si>
  <si>
    <t>FACHADA</t>
  </si>
  <si>
    <r>
      <t xml:space="preserve">COORDENADAS </t>
    </r>
    <r>
      <rPr>
        <b/>
        <sz val="8"/>
        <rFont val="Arial"/>
        <family val="2"/>
      </rPr>
      <t>(Según Google Maps)</t>
    </r>
  </si>
  <si>
    <t>Latitud</t>
  </si>
  <si>
    <t>Longitud</t>
  </si>
  <si>
    <t>VALORES EN DÓLARES AMERICANOS</t>
  </si>
  <si>
    <t>DESCRIPCIÓN</t>
  </si>
  <si>
    <t>Área 
Terr.
(m²)</t>
  </si>
  <si>
    <t>Valor
Terreno
US$</t>
  </si>
  <si>
    <t>Área 
Const.
(m²)</t>
  </si>
  <si>
    <t>Área 
Ocup.
(m²)</t>
  </si>
  <si>
    <t>Valor
Edificación
US$</t>
  </si>
  <si>
    <t>Importe
Asegurable
US$</t>
  </si>
  <si>
    <t>Valor
Comercial
US$</t>
  </si>
  <si>
    <t>Valor
Realización
US$</t>
  </si>
  <si>
    <t>TOTALES</t>
  </si>
  <si>
    <t>VALORES EN NUEVOS SOLES</t>
  </si>
  <si>
    <t>Valor
Terreno
S/.</t>
  </si>
  <si>
    <t>Valor
Edificación
S/.</t>
  </si>
  <si>
    <t>Importe
Asegurable
S/.</t>
  </si>
  <si>
    <t>Valor
Comercial
S/.</t>
  </si>
  <si>
    <t>Valor
Realización
S/.</t>
  </si>
  <si>
    <t>Tipo de Cambio</t>
  </si>
  <si>
    <t>/Dólar</t>
  </si>
  <si>
    <t>Observaciones</t>
  </si>
  <si>
    <t>Año de construcción</t>
  </si>
  <si>
    <t>Material de construcción</t>
  </si>
  <si>
    <t>Tipo</t>
  </si>
  <si>
    <t>Ocupación y Usos</t>
  </si>
  <si>
    <t>Número de pisos</t>
  </si>
  <si>
    <t>Número de sótanos</t>
  </si>
  <si>
    <t>Perito Responsable</t>
  </si>
  <si>
    <t>VANET SAC  - REPEV SBS Nº 561-2001</t>
  </si>
  <si>
    <t>Funcionario</t>
  </si>
  <si>
    <t>Fecha Informe</t>
  </si>
  <si>
    <t>Lima ,</t>
  </si>
  <si>
    <t>Control Interno</t>
  </si>
  <si>
    <t>"VALUACIÓN COMERCIAL DE INMUEBLE - MIVIVIENDA"</t>
  </si>
  <si>
    <t>1.-</t>
  </si>
  <si>
    <t>CLASE DE BIEN</t>
  </si>
  <si>
    <t>DEPARTAMENTO, ESTACIONAMIENTO Y DEPÓSITO EN EDIFICIO MULTIFAMILIAR.</t>
  </si>
  <si>
    <t>UBICACIÓN</t>
  </si>
  <si>
    <t>Dirección Registral:</t>
  </si>
  <si>
    <t>Dirección Autoavalúo:</t>
  </si>
  <si>
    <t>Dirección In-Situ:</t>
  </si>
  <si>
    <t>USO DEL PREDIO</t>
  </si>
  <si>
    <t>LINDEROS Y MEDIDAS PERIMETRICAS</t>
  </si>
  <si>
    <t>Frente</t>
  </si>
  <si>
    <t>ml.</t>
  </si>
  <si>
    <t>Derecha</t>
  </si>
  <si>
    <t>Izquierda</t>
  </si>
  <si>
    <t>Fondo</t>
  </si>
  <si>
    <t>Total Perímetro</t>
  </si>
  <si>
    <t>ÁREA DE TERRENO</t>
  </si>
  <si>
    <t>(Según Partida Registral y Autoavalúo)</t>
  </si>
  <si>
    <t>Descripción</t>
  </si>
  <si>
    <t>% zonas 
comunes</t>
  </si>
  <si>
    <t xml:space="preserve"> Área de 
 terreno</t>
  </si>
  <si>
    <t xml:space="preserve">Departamento N° </t>
  </si>
  <si>
    <t>m2</t>
  </si>
  <si>
    <t xml:space="preserve">Estacionamiento N° </t>
  </si>
  <si>
    <t xml:space="preserve">Depósito N° </t>
  </si>
  <si>
    <t>Área total</t>
  </si>
  <si>
    <t>Vista interior</t>
  </si>
  <si>
    <t>Vista exterior</t>
  </si>
  <si>
    <t>Estacionamiento (s):</t>
  </si>
  <si>
    <t>Tipo:</t>
  </si>
  <si>
    <t>Simple</t>
  </si>
  <si>
    <t>Doble lineal</t>
  </si>
  <si>
    <t>Doble paralelo</t>
  </si>
  <si>
    <t>Depósito(s):</t>
  </si>
  <si>
    <t>ENTORNO URBANO E INFRAESTRUCTURA DE SERVICIOS</t>
  </si>
  <si>
    <t>ZONIFICACIÓN</t>
  </si>
  <si>
    <t>(Referencial / No oficial)</t>
  </si>
  <si>
    <r>
      <t xml:space="preserve">
</t>
    </r>
    <r>
      <rPr>
        <b/>
        <u/>
        <sz val="10"/>
        <rFont val="Arial"/>
        <family val="2"/>
      </rPr>
      <t>Nota.-</t>
    </r>
    <r>
      <rPr>
        <sz val="10"/>
        <rFont val="Arial"/>
        <family val="2"/>
      </rPr>
      <t xml:space="preserve"> Se recomienda solicitar Certificado de Parámetros.</t>
    </r>
  </si>
  <si>
    <t>MAPA</t>
  </si>
  <si>
    <t>LEYENDA</t>
  </si>
  <si>
    <t>DISTRIBUCIÓN</t>
  </si>
  <si>
    <t>ÁREAS CONSTRUIDAS</t>
  </si>
  <si>
    <t xml:space="preserve">Detalle </t>
  </si>
  <si>
    <t>Área techada (m2)</t>
  </si>
  <si>
    <t>Área ocupada 
(m2)</t>
  </si>
  <si>
    <t>Según</t>
  </si>
  <si>
    <t>a.</t>
  </si>
  <si>
    <t>Partida Registral y Autoavalúo</t>
  </si>
  <si>
    <t xml:space="preserve">TOTAL </t>
  </si>
  <si>
    <t>b.</t>
  </si>
  <si>
    <t>c.</t>
  </si>
  <si>
    <t xml:space="preserve">EDIFICACIÓN </t>
  </si>
  <si>
    <t>Valor Unitario -US$ /m2</t>
  </si>
  <si>
    <t>Casco Habitable Según Reglamento Mivivienda
US$ /m2</t>
  </si>
  <si>
    <t>Muros, cimentación, elementos estructurales y columnas:</t>
  </si>
  <si>
    <t>Techos:</t>
  </si>
  <si>
    <t>Pisos:</t>
  </si>
  <si>
    <t>Puertas y Ventanas:</t>
  </si>
  <si>
    <t>Revestimiento:</t>
  </si>
  <si>
    <t>Baños:</t>
  </si>
  <si>
    <t>Instalaciones:</t>
  </si>
  <si>
    <t>TOTAL VALOR UNITARIO DE EDIFICACIÓN</t>
  </si>
  <si>
    <t>ANTIGÜEDAD, ESTADO Y DEPRECIACIÓN</t>
  </si>
  <si>
    <t>EDIFICACIÓN</t>
  </si>
  <si>
    <t>ANTIGÜEDAD</t>
  </si>
  <si>
    <t>ESTADO</t>
  </si>
  <si>
    <t>DEPRECIACIÓN</t>
  </si>
  <si>
    <t>años</t>
  </si>
  <si>
    <t>INSCRIPCIÓN</t>
  </si>
  <si>
    <t>El inmueble corre inscrito según Partida Registral Nº ….......... de la Oficina Registral de la Propiedad Inmueble de Lima.</t>
  </si>
  <si>
    <t>Los inmuebles corre inscrito según las Partidas Registrales Nº ….......... (Departamento N° ), N° …............. (Estacionamiento N° ), N° …... (Depósito N° ) de la Oficina Registral de la Propiedad Inmueble de Lima.</t>
  </si>
  <si>
    <t>DOCUMENTACION</t>
  </si>
  <si>
    <t>Para la elaboración del presente informe fueron proporcionados los siguientes documentos:</t>
  </si>
  <si>
    <t>- Copia de la Partida Registral.</t>
  </si>
  <si>
    <t>- Copia del PU.</t>
  </si>
  <si>
    <t>- Copia de la Minuta de Compra y Venta.</t>
  </si>
  <si>
    <t>METODOLOGÍA</t>
  </si>
  <si>
    <t>En concordancia con el Reglamento  Nacional  de  Tasaciones  del  Perú  -  R.M.  Nº 172-2016-VIVIENDA.</t>
  </si>
  <si>
    <t>DEDUCCIONES A CONSIDERAR PARA EL VALOR DE REALIZACIÓN</t>
  </si>
  <si>
    <t>Deducciones a considerar</t>
  </si>
  <si>
    <t>Mantenimiento</t>
  </si>
  <si>
    <t>Pre-Realización y valuación</t>
  </si>
  <si>
    <t>Gastos, publicidad y ventas</t>
  </si>
  <si>
    <t>Reajuste por realización en 60 días</t>
  </si>
  <si>
    <t>TOTAL DE DEDUCCIONES</t>
  </si>
  <si>
    <r>
      <rPr>
        <b/>
        <u/>
        <sz val="10"/>
        <rFont val="Arial"/>
        <family val="2"/>
      </rPr>
      <t>Nota.-</t>
    </r>
    <r>
      <rPr>
        <sz val="10"/>
        <rFont val="Arial"/>
        <family val="2"/>
      </rPr>
      <t xml:space="preserve"> No incluye las consideraciones que la entidad crea conveniente para llegar al valor de realización optimo.</t>
    </r>
  </si>
  <si>
    <t>OBSERVACIONES</t>
  </si>
  <si>
    <t>NOTAS FINALES</t>
  </si>
  <si>
    <t>F</t>
  </si>
  <si>
    <t>El informe ha sido elaborado en base al numeral 7 del oficio circular Nº 6731-97 de fecha 24 de Octubre de 1997 y a la Modificación de la Resolución N° 992-98 de fecha 23 de Septiembre de 1998 emitida por la SBS. (sin inspección ocular interior).</t>
  </si>
  <si>
    <t>Es recomendable practicar una valuación en el momento de la adjudicación del bien.</t>
  </si>
  <si>
    <t>A solicitud del Banco, el presente Informe de Actualización se realiza en base a la valuación anterior indicada en los "Antecedentes", no responsabilizándonos de la información contenida en dicho informe.</t>
  </si>
  <si>
    <t>El presente informe no considera los vicios ocultos que tenga el inmueble que no han podido ser identificados en el momento de la inspección o que pudiese tener el inmueble a futuro.</t>
  </si>
  <si>
    <t>La presente valuación no incluye estudio de títulos de propiedad.</t>
  </si>
  <si>
    <t>El nombre del propietario se consigna según la documentación presentada.</t>
  </si>
  <si>
    <t>VANET S.A.C. sólo se responsabiliza por los valores vertidos en el presente informe, los cuales son determinados en base a la documentación presentada e inspección ocular realizada.</t>
  </si>
  <si>
    <t>-&amp;&amp;&amp;&amp;&amp;&amp;&amp;&amp;-</t>
  </si>
  <si>
    <t>C.-</t>
  </si>
  <si>
    <t>DESARROLLO DE LA VALUACIÓN COMERCIAL</t>
  </si>
  <si>
    <t>VALOR DEL</t>
  </si>
  <si>
    <r>
      <t xml:space="preserve">Para determinar el valor de mercado del </t>
    </r>
    <r>
      <rPr>
        <b/>
        <sz val="8"/>
        <rFont val="Arial"/>
        <family val="2"/>
      </rPr>
      <t>TERRENO</t>
    </r>
    <r>
      <rPr>
        <sz val="10"/>
        <rFont val="Arial"/>
        <family val="2"/>
      </rPr>
      <t xml:space="preserve"> se han tomado en consideración las últimas operaciones de compra venta de los inmuebles adyacentes al que es materia de valuación por ser de características similares; así mismo, se ha considerado la oferta y demanda existente para inmuebles de condiciones semejantes.</t>
    </r>
  </si>
  <si>
    <t>CUADRO COMPARATIVO</t>
  </si>
  <si>
    <t>Zonificación</t>
  </si>
  <si>
    <t>Antigüedad</t>
  </si>
  <si>
    <t>Área de terreno  m2</t>
  </si>
  <si>
    <t>Área construida  m2</t>
  </si>
  <si>
    <t>V. Tot. Inm. US$</t>
  </si>
  <si>
    <t>V. Const.
US$</t>
  </si>
  <si>
    <t>Valor de
Terr.US$</t>
  </si>
  <si>
    <t>V. U.
US$/m2</t>
  </si>
  <si>
    <t>"OFERTA EN EL MERCADO"</t>
  </si>
  <si>
    <t>"INMUEBLES VENDIDOS - VENTAS CERRADAS"
Tomado del aplicativo Vanetmap</t>
  </si>
  <si>
    <t xml:space="preserve">                                                                                                                                                                                                                                                                                                                                                                                                                                                                                                                                                                                                                                                                                                                                                                                                                                                                                                                                                                                                                                                                                                                                                                                                                                                                                                                                                                                                                                                                                                                                                                                                                                                                                                                                                                                                                                                                                                                                                                                                                                                                                                                                                                                                                                                                                                                                                                                                                                                                                                                                                                                                                                                                                                                                                                                                                                                                                                                                                                                                                                                                                                                                                                                                                                                                                                                                                                                                                                                                                                                                                                                                                                                                                                                                                                                                                                                                                                                                                                                                                                                                                                                                                                                                                                    </t>
  </si>
  <si>
    <t>/ m2</t>
  </si>
  <si>
    <t>VALOR DEL TERRENO: VT</t>
  </si>
  <si>
    <t>Área de Terreno (m2)</t>
  </si>
  <si>
    <t>Valor por m2
US$</t>
  </si>
  <si>
    <t>VT
US$</t>
  </si>
  <si>
    <t>VT Redondeado
US$</t>
  </si>
  <si>
    <t>VALOR DE LA EDIFICACIÓN: VE</t>
  </si>
  <si>
    <t>Área Techada</t>
  </si>
  <si>
    <t>Área sin techar</t>
  </si>
  <si>
    <t>Valor por m2
(US$)</t>
  </si>
  <si>
    <t>Valor parcial
(US$)</t>
  </si>
  <si>
    <t>Áreas Comunes
US$</t>
  </si>
  <si>
    <t>Obras Complen.
US$</t>
  </si>
  <si>
    <t>Depre.
%</t>
  </si>
  <si>
    <t>V.E Redondeado
US$</t>
  </si>
  <si>
    <t xml:space="preserve"> - Área sin techar</t>
  </si>
  <si>
    <t xml:space="preserve"> </t>
  </si>
  <si>
    <t>VALOR DE LAS OBRAS COMPLEMENTARIAS: VOC</t>
  </si>
  <si>
    <t>Obra complementaria</t>
  </si>
  <si>
    <t>Medidas</t>
  </si>
  <si>
    <t>Unitario
$/med.</t>
  </si>
  <si>
    <t>Total 
(US$)</t>
  </si>
  <si>
    <t>Und</t>
  </si>
  <si>
    <t>m3</t>
  </si>
  <si>
    <t xml:space="preserve">Total </t>
  </si>
  <si>
    <t>Porcent.
%</t>
  </si>
  <si>
    <t>V.O.C 
(US$)</t>
  </si>
  <si>
    <t>Total Obras Complementarias Comunes</t>
  </si>
  <si>
    <t>VALOR DE</t>
  </si>
  <si>
    <t>ÁREA ÚTIL VENDIBLE</t>
  </si>
  <si>
    <t>Para determinar el valor de área útil vendible (valor por metro cuadrado), se ha procedido a elaborar el siguiente estudio de mercado.</t>
  </si>
  <si>
    <t>V.U.A. U.V.
US$/m2</t>
  </si>
  <si>
    <t>Bajo este esquema, al valor de reposición se le aplica un factor de:</t>
  </si>
  <si>
    <t xml:space="preserve">VALOR COMERCIAL: VC = VT + VE </t>
  </si>
  <si>
    <t>V.T
(US$)</t>
  </si>
  <si>
    <t>V.E
(US$)</t>
  </si>
  <si>
    <t>Valor de Reposición
(US$)</t>
  </si>
  <si>
    <t>Factor de reajuste comercial</t>
  </si>
  <si>
    <t>V.C
(US$)</t>
  </si>
  <si>
    <t>VALOR DE REALIZACIÓN INMEDIATA: VRI</t>
  </si>
  <si>
    <t>Factor 
%</t>
  </si>
  <si>
    <t>V.R.I (US$)</t>
  </si>
  <si>
    <t>MIVIVIENDA</t>
  </si>
  <si>
    <t>VALOR COMERCIAL UNITARIO DE EDIFICACIÓN: VCUE</t>
  </si>
  <si>
    <t xml:space="preserve">De acuerdo a los materiales predominantes detallados en el ítem 10 del presente informe, se determina el valor promedio por metro cuadrado de área techada en US $: </t>
  </si>
  <si>
    <t>Incluye factores de comercialización:</t>
  </si>
  <si>
    <t>Obras Cumplen.
US$</t>
  </si>
  <si>
    <t>Casco Habitable</t>
  </si>
  <si>
    <t>Acabados</t>
  </si>
  <si>
    <t>VALORES EN NUEVOS SOLES (S/.)</t>
  </si>
  <si>
    <t>Valor por m2
S/.</t>
  </si>
  <si>
    <t>VT
S/.</t>
  </si>
  <si>
    <t>VT Redondeado
S/.</t>
  </si>
  <si>
    <t>2.-</t>
  </si>
  <si>
    <t>Valor por m2
(S/.)</t>
  </si>
  <si>
    <t>Valor parcial
(S/.)</t>
  </si>
  <si>
    <t>Áreas Comunes
(S/.)</t>
  </si>
  <si>
    <t>Obras Cumplen.
(S/.)</t>
  </si>
  <si>
    <t>V.E Redondeado
(S/.)</t>
  </si>
  <si>
    <t>3.-</t>
  </si>
  <si>
    <t>Unitario
(S/.) / med.</t>
  </si>
  <si>
    <t>Total 
(S/.)</t>
  </si>
  <si>
    <t>V.O.C 
(S/.)</t>
  </si>
  <si>
    <t>4.-</t>
  </si>
  <si>
    <t>V.T
(S/.)</t>
  </si>
  <si>
    <t>V.E
(S/.)</t>
  </si>
  <si>
    <t>Valor de Reposición
(S/.)</t>
  </si>
  <si>
    <t>V.C
(S/.)</t>
  </si>
  <si>
    <t>5.-</t>
  </si>
  <si>
    <t>V.R.I (S/.)</t>
  </si>
  <si>
    <t xml:space="preserve">TIPO DE CAMBIO REFERENCIAL S/. </t>
  </si>
  <si>
    <t>/ dólar</t>
  </si>
  <si>
    <r>
      <rPr>
        <b/>
        <sz val="9"/>
        <rFont val="Arial"/>
        <family val="2"/>
      </rPr>
      <t xml:space="preserve">Nota: </t>
    </r>
    <r>
      <rPr>
        <sz val="9"/>
        <rFont val="Arial"/>
        <family val="2"/>
      </rPr>
      <t>Se adjunta vistas fotográficas referenciales y plano de localización</t>
    </r>
  </si>
  <si>
    <t>Áreas Comunes
S/.</t>
  </si>
  <si>
    <t>Obras Cumplen.
S/.</t>
  </si>
  <si>
    <t>V.E Redondeado
S/.</t>
  </si>
  <si>
    <t>Unitario
S/./med.</t>
  </si>
  <si>
    <t>HOJA RESUMEN TASACIÓN DE INMUEBLES - FONDO MIVIVIENDA S.A. - C.02</t>
  </si>
  <si>
    <t>FECHA DE VALUACIÓN</t>
  </si>
  <si>
    <t>DE</t>
  </si>
  <si>
    <t>ENTIDAD FINANCIERA</t>
  </si>
  <si>
    <t>BANCO INTERNACIONAL DEL PERU - INTERBANK</t>
  </si>
  <si>
    <t>BENEFICIARIO</t>
  </si>
  <si>
    <t>DNI / LE / CIP / CE</t>
  </si>
  <si>
    <t>PERITO TASADOR</t>
  </si>
  <si>
    <t>VANET S.A.C.</t>
  </si>
  <si>
    <t>REPEV. SBS</t>
  </si>
  <si>
    <t>561 2001</t>
  </si>
  <si>
    <t>UBICACIÓN DEL INMUEBLE</t>
  </si>
  <si>
    <t>Carrt.</t>
  </si>
  <si>
    <t>Av.</t>
  </si>
  <si>
    <t xml:space="preserve"> Jr.</t>
  </si>
  <si>
    <t>Calle</t>
  </si>
  <si>
    <t>Psje</t>
  </si>
  <si>
    <t>N° / Mza./Lt</t>
  </si>
  <si>
    <t>Dpto./Int.</t>
  </si>
  <si>
    <t>Urb./Loc</t>
  </si>
  <si>
    <t>Provincia</t>
  </si>
  <si>
    <t>Distrito</t>
  </si>
  <si>
    <t>CLASIFICACIÓN</t>
  </si>
  <si>
    <t>BIEN FUTURO</t>
  </si>
  <si>
    <t>a) En Proyecto</t>
  </si>
  <si>
    <t>b) En Construcción</t>
  </si>
  <si>
    <t>c) En acabados</t>
  </si>
  <si>
    <t>d) Culminado</t>
  </si>
  <si>
    <t>*Bien futuro: inmueble en proyecto, en construcción o en acabados sin declaratoria de fábrica inscrita en RR.PP.</t>
  </si>
  <si>
    <t>BIEN TERMINADO</t>
  </si>
  <si>
    <t>Registro:            RPI</t>
  </si>
  <si>
    <t>RPU</t>
  </si>
  <si>
    <t>Zona</t>
  </si>
  <si>
    <t>Ficha</t>
  </si>
  <si>
    <t>Partida</t>
  </si>
  <si>
    <t>N°</t>
  </si>
  <si>
    <t>*Bien terminado: Inmueble con construcción terminada, con declaratoria de fábrica y de ser el caso independización inscritas en los RR.PP.</t>
  </si>
  <si>
    <t>DESCRIPCIÓN DEL INMUEBLE</t>
  </si>
  <si>
    <t>TIPO DE INMUEBLE</t>
  </si>
  <si>
    <t>CASA</t>
  </si>
  <si>
    <t>DEPARTAMENTO</t>
  </si>
  <si>
    <t>Si vive en un departamento, indicar el piso</t>
  </si>
  <si>
    <t>AREAS</t>
  </si>
  <si>
    <t>AREA DEL TERRENO</t>
  </si>
  <si>
    <r>
      <t>M</t>
    </r>
    <r>
      <rPr>
        <vertAlign val="superscript"/>
        <sz val="8"/>
        <rFont val="Arial"/>
        <family val="2"/>
      </rPr>
      <t>2</t>
    </r>
  </si>
  <si>
    <t>AREA CONSTRUIDA</t>
  </si>
  <si>
    <t>ESTADO DE CONSERVACIÓN</t>
  </si>
  <si>
    <t>ANTIGÜEDAD CONSTRUCCIÓN</t>
  </si>
  <si>
    <t>Sala-Comedor</t>
  </si>
  <si>
    <t>SI</t>
  </si>
  <si>
    <t>NO</t>
  </si>
  <si>
    <t>Dormitorios (Cantidad)</t>
  </si>
  <si>
    <t>Cochera (Cantidad)</t>
  </si>
  <si>
    <t>Cocina</t>
  </si>
  <si>
    <t>Dormitorio de Servicio</t>
  </si>
  <si>
    <t>Jardín</t>
  </si>
  <si>
    <t>Baños (Cantidad)</t>
  </si>
  <si>
    <t>Cuarto de Estudio</t>
  </si>
  <si>
    <t>Terraza</t>
  </si>
  <si>
    <t>Baño de Servicio</t>
  </si>
  <si>
    <t>Lavandería</t>
  </si>
  <si>
    <t>Parque de uso común</t>
  </si>
  <si>
    <t>Instalaciones de gas natural</t>
  </si>
  <si>
    <t>Sala común</t>
  </si>
  <si>
    <t>Canchas/Gimnasios</t>
  </si>
  <si>
    <t>Piscina común</t>
  </si>
  <si>
    <t>ESPECIFICACIONES TECNICAS</t>
  </si>
  <si>
    <t>ESTRUCTURAS</t>
  </si>
  <si>
    <t>CIMENTACIÓN</t>
  </si>
  <si>
    <t>COLUMNAS</t>
  </si>
  <si>
    <t>VIGAS</t>
  </si>
  <si>
    <t>TECHOS</t>
  </si>
  <si>
    <t>MUROS</t>
  </si>
  <si>
    <t>Platea de cimentación</t>
  </si>
  <si>
    <t>a) Concreto</t>
  </si>
  <si>
    <t>Aligerado</t>
  </si>
  <si>
    <t>Concreto</t>
  </si>
  <si>
    <t>Tipos de albañilería</t>
  </si>
  <si>
    <t>Cimientos corridos</t>
  </si>
  <si>
    <t>b) Acero</t>
  </si>
  <si>
    <t>Maciso</t>
  </si>
  <si>
    <t>Albañilería</t>
  </si>
  <si>
    <t>Arcilla</t>
  </si>
  <si>
    <t>Viga de cimentación</t>
  </si>
  <si>
    <t>a) y b)</t>
  </si>
  <si>
    <t>Calcáreo</t>
  </si>
  <si>
    <t>ACABADOS</t>
  </si>
  <si>
    <t>PUERTAS</t>
  </si>
  <si>
    <t>TIPO</t>
  </si>
  <si>
    <t>a) Apanelada</t>
  </si>
  <si>
    <t>b) Maciza</t>
  </si>
  <si>
    <t>c) Contraplacada</t>
  </si>
  <si>
    <t>VENTANAS</t>
  </si>
  <si>
    <t>Aluminio</t>
  </si>
  <si>
    <t>MATERIAL</t>
  </si>
  <si>
    <t>a) Fierro</t>
  </si>
  <si>
    <t>b) Madera</t>
  </si>
  <si>
    <t>X</t>
  </si>
  <si>
    <t>c) Otros</t>
  </si>
  <si>
    <t>Fierro</t>
  </si>
  <si>
    <t>Otros</t>
  </si>
  <si>
    <t>MUEBLES DE COCINA</t>
  </si>
  <si>
    <t>APARATOS SANITARIOS</t>
  </si>
  <si>
    <t>AMOBLADA</t>
  </si>
  <si>
    <t>NO AMOBLADA</t>
  </si>
  <si>
    <t>BLANCO</t>
  </si>
  <si>
    <t>COLOR</t>
  </si>
  <si>
    <t>PISOS</t>
  </si>
  <si>
    <t>AMBIENTE</t>
  </si>
  <si>
    <t>Vinílico</t>
  </si>
  <si>
    <t>Parquet</t>
  </si>
  <si>
    <t>Machimbrado</t>
  </si>
  <si>
    <t>Cemento</t>
  </si>
  <si>
    <t>Cerámica</t>
  </si>
  <si>
    <t>Otro</t>
  </si>
  <si>
    <t>Dormitorios</t>
  </si>
  <si>
    <t>PRECIOS REFERENCIALES</t>
  </si>
  <si>
    <r>
      <t>AT (m</t>
    </r>
    <r>
      <rPr>
        <vertAlign val="superscript"/>
        <sz val="8"/>
        <rFont val="Arial"/>
        <family val="2"/>
      </rPr>
      <t>2</t>
    </r>
    <r>
      <rPr>
        <sz val="8"/>
        <rFont val="Arial"/>
        <family val="2"/>
      </rPr>
      <t>)</t>
    </r>
  </si>
  <si>
    <r>
      <t>AC (m</t>
    </r>
    <r>
      <rPr>
        <vertAlign val="superscript"/>
        <sz val="8"/>
        <rFont val="Arial"/>
        <family val="2"/>
      </rPr>
      <t>2</t>
    </r>
    <r>
      <rPr>
        <sz val="8"/>
        <rFont val="Arial"/>
        <family val="2"/>
      </rPr>
      <t>)</t>
    </r>
  </si>
  <si>
    <t>PRECIO (US$)</t>
  </si>
  <si>
    <t>FUENTE</t>
  </si>
  <si>
    <t>VALORIZACIONES</t>
  </si>
  <si>
    <t>VALOR DEL TERRENO (En S/.)</t>
  </si>
  <si>
    <t>(*) SEGÚN LA RESOLUCIÓN SBS N° 808-2003 EL VALOR DE REALIZACIÓN SE ENTIENDE COMO EL VALOR NETO QUE LA EMPRESA ESPERA RECUPERAR COMO CONSECUENCIA DE LA EVENTUAL VENTA O EJECUCIÓN DEL BIEN, EN LA SITUACIÓN COMO Y DONDE ESTÉ.  POR TANTO, ESTE VALOR DEBE CONSIDERAR LOS CASTIGOS Y CARGOS POR CONCEPTO DE IMPUESTOS EN LAS VENTAS, COMISIONES, FLETES, MERMAS, ETC.</t>
  </si>
  <si>
    <t>VALOR DEL CASCO HABITABLE (En S/.)</t>
  </si>
  <si>
    <t>VALOR DEL ESTACIONAMIENTO (En S/.)</t>
  </si>
  <si>
    <t>VALOR DEL DEPOSITO (En S/.)</t>
  </si>
  <si>
    <t>VALOR COMERCIAL DEL INMUEBLE (En S/.)</t>
  </si>
  <si>
    <t>VALOR DE REALIZACIÓN (*) (En S/.)</t>
  </si>
  <si>
    <t>COMENTARIOS / OBSERVACIONES</t>
  </si>
  <si>
    <t>FIRMA DEL PERITO VALUADOR</t>
  </si>
  <si>
    <t>1. En caso los datos de la valorización se hayan obtenido en nuevos soles, se deberá utilizar el tipo</t>
  </si>
  <si>
    <t>de cambio promedio compra SBS, al cierre del día hábil anterior, a la fecha de realizada la tasación</t>
  </si>
  <si>
    <t>2. En caso de Bien Futuro, firmará preliminarmente, el ingeniero supervisor de la EF que financie el</t>
  </si>
  <si>
    <t>proyecto inmobiliario.</t>
  </si>
  <si>
    <t>NOMBRES Y APELLIDOS</t>
  </si>
  <si>
    <t>REPEV S.B.S</t>
  </si>
  <si>
    <t>C.I.P.</t>
  </si>
  <si>
    <t>/ …</t>
  </si>
  <si>
    <t>REGISTRO DE TASACIÓN - JANUS v1.0</t>
  </si>
  <si>
    <t>PLANO BGR</t>
  </si>
  <si>
    <t xml:space="preserve"> PLANO DE VISOR GEOLLACTA</t>
  </si>
  <si>
    <t xml:space="preserve">GOOGLE EARTH CON MEDICION </t>
  </si>
  <si>
    <t>PLANO ÁREA DE TERRENO</t>
  </si>
  <si>
    <t>Hora de Inspección</t>
  </si>
  <si>
    <t>Este informe incluye un código QR en la parte superior derecha de la hoja frontal, el cual permite verificar su autenticidad. Al escanearlo, debe redirigir al sitio oficial www.vanetperu.com, donde podrá consultarse la versión original emitida por la empresa.</t>
  </si>
  <si>
    <t xml:space="preserve">  INFORME N° 26</t>
  </si>
  <si>
    <t xml:space="preserve"> /  / 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</si>
</sst>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1" formatCode="_-* #,##0_-;\-* #,##0_-;_-* &quot;-&quot;_-;_-@_-"/>
    <numFmt numFmtId="164" formatCode="_-[$$-409]* #,##0.00_ ;_-[$$-409]* \-#,##0.00\ ;_-[$$-409]* &quot;-&quot;??_ ;_-@_ "/>
    <numFmt numFmtId="165" formatCode="\-\ \ 0###"/>
    <numFmt numFmtId="166" formatCode="\-\ 000#"/>
    <numFmt numFmtId="167" formatCode="mmmm\ dd\,\ yyyy"/>
    <numFmt numFmtId="168" formatCode="[$-C0A]d\-mmm\-yy;@"/>
    <numFmt numFmtId="169" formatCode="0.000000"/>
    <numFmt numFmtId="170" formatCode="_-[$S/.-280A]\ * #,##0.00_ ;_-[$S/.-280A]\ * \-#,##0.00\ ;_-[$S/.-280A]\ * &quot;-&quot;??_ ;_-@_ "/>
    <numFmt numFmtId="171" formatCode="mmmm\ d\,\ yyyy"/>
    <numFmt numFmtId="172" formatCode="\-\ 0###"/>
    <numFmt numFmtId="173" formatCode="#.\-"/>
    <numFmt numFmtId="174" formatCode="0.000%"/>
    <numFmt numFmtId="175" formatCode="_-* #,##0.00\ _P_t_s_-;\-* #,##0.00\ _P_t_s_-;_-* &quot;-&quot;??\ _P_t_s_-;_-@_-"/>
    <numFmt numFmtId="176" formatCode="_(* #,##0_);_(* \(#,##0\);_(* &quot;-&quot;_);_(@_)"/>
    <numFmt numFmtId="177" formatCode="_(&quot;$&quot;* #,##0.00_);_(&quot;$&quot;* \(#,##0.00\);_(&quot;$&quot;* &quot;-&quot;??_);_(@_)"/>
    <numFmt numFmtId="178" formatCode="_-[$$-540A]* #,##0.00_ ;_-[$$-540A]* \-#,##0.00\ ;_-[$$-540A]* &quot;-&quot;??_ ;_-@_ "/>
    <numFmt numFmtId="179" formatCode="_(* #,##0.00_);_(* \(#,##0.00\);_(* &quot;-&quot;_);_(@_)"/>
    <numFmt numFmtId="180" formatCode="_-[$S/-280A]* #,##0.00_-;\-[$S/-280A]* #,##0.00_-;_-[$S/-280A]* &quot;-&quot;??_-;_-@_-"/>
    <numFmt numFmtId="181" formatCode="&quot;S/.&quot;\ #,##0.00_);[Red]\(&quot;S/.&quot;\ #,##0.00\)"/>
    <numFmt numFmtId="182" formatCode="_-&quot;S/&quot;* #,##0.00_-;\-&quot;S/&quot;* #,##0.00_-;_-&quot;S/&quot;* &quot;-&quot;_-;_-@_-"/>
    <numFmt numFmtId="183" formatCode="_-&quot;S/.&quot;* #,##0.00_-;\-&quot;S/.&quot;* #,##0.00_-;_-&quot;S/.&quot;* &quot;-&quot;??_-;_-@_-"/>
    <numFmt numFmtId="184" formatCode="_-&quot;S/&quot;* #,##0.00_-;\-&quot;S/&quot;* #,##0.00_-;_-&quot;S/&quot;* &quot;-&quot;??_-;_-@_-"/>
    <numFmt numFmtId="185" formatCode="_-&quot;S/&quot;* #,##0_-;\-&quot;S/&quot;* #,##0_-;_-&quot;S/&quot;* &quot;-&quot;_-;_-@_-"/>
    <numFmt numFmtId="186" formatCode="000#"/>
    <numFmt numFmtId="187" formatCode="\F\o\t\o\ \N\r\o\ 0#"/>
  </numFmts>
  <fonts count="68">
    <font>
      <sz val="11"/>
      <color theme="1"/>
      <name val="Calibri"/>
      <family val="2"/>
      <scheme val="minor"/>
    </font>
    <font>
      <sz val="7"/>
      <color rgb="FF000000"/>
      <name val="Verdana"/>
      <family val="2"/>
    </font>
    <font>
      <b/>
      <sz val="10"/>
      <name val="Calibri"/>
      <family val="2"/>
      <scheme val="minor"/>
    </font>
    <font>
      <b/>
      <sz val="12"/>
      <color rgb="FFFFFFFF"/>
      <name val="Arial"/>
      <family val="2"/>
    </font>
    <font>
      <sz val="14"/>
      <color theme="1"/>
      <name val="Calibri"/>
      <family val="2"/>
      <scheme val="minor"/>
    </font>
    <font>
      <u/>
      <sz val="11"/>
      <color theme="10"/>
      <name val="Calibri"/>
      <family val="2"/>
      <scheme val="minor"/>
    </font>
    <font>
      <b/>
      <sz val="12"/>
      <color rgb="FF000000"/>
      <name val="Calibri"/>
      <family val="2"/>
      <scheme val="minor"/>
    </font>
    <font>
      <sz val="12"/>
      <color rgb="FF000000"/>
      <name val="Calibri"/>
      <family val="2"/>
      <scheme val="minor"/>
    </font>
    <font>
      <sz val="9"/>
      <name val="Tahoma"/>
      <family val="2"/>
    </font>
    <font>
      <b/>
      <sz val="9"/>
      <name val="Tahoma"/>
      <family val="2"/>
    </font>
    <font>
      <sz val="11"/>
      <color theme="1"/>
      <name val="Calibri"/>
      <family val="2"/>
      <scheme val="minor"/>
    </font>
    <font>
      <sz val="10"/>
      <name val="Arial"/>
      <family val="2"/>
    </font>
    <font>
      <sz val="9"/>
      <name val="Arial"/>
      <family val="2"/>
    </font>
    <font>
      <b/>
      <u val="double"/>
      <sz val="9"/>
      <name val="Arial"/>
      <family val="2"/>
    </font>
    <font>
      <b/>
      <sz val="9"/>
      <name val="Arial"/>
      <family val="2"/>
    </font>
    <font>
      <b/>
      <u/>
      <sz val="10"/>
      <name val="Arial"/>
      <family val="2"/>
    </font>
    <font>
      <b/>
      <sz val="10"/>
      <name val="Arial"/>
      <family val="2"/>
    </font>
    <font>
      <b/>
      <sz val="8"/>
      <name val="Arial"/>
      <family val="2"/>
    </font>
    <font>
      <sz val="10"/>
      <name val="Arial Narrow"/>
      <family val="2"/>
    </font>
    <font>
      <sz val="12"/>
      <color theme="1"/>
      <name val="Arial Narrow"/>
      <family val="2"/>
    </font>
    <font>
      <b/>
      <u/>
      <sz val="10"/>
      <name val="Arial Narrow"/>
      <family val="2"/>
    </font>
    <font>
      <b/>
      <sz val="10"/>
      <name val="Arial Narrow"/>
      <family val="2"/>
    </font>
    <font>
      <sz val="9"/>
      <name val="Arial Narrow"/>
      <family val="2"/>
    </font>
    <font>
      <sz val="10"/>
      <color rgb="FF212121"/>
      <name val="Arial Narrow"/>
      <family val="2"/>
    </font>
    <font>
      <b/>
      <sz val="10"/>
      <color rgb="FF212121"/>
      <name val="Arial Narrow"/>
      <family val="2"/>
    </font>
    <font>
      <b/>
      <sz val="9"/>
      <color rgb="FF212121"/>
      <name val="Arial Narrow"/>
      <family val="2"/>
    </font>
    <font>
      <b/>
      <sz val="9"/>
      <color rgb="FF212121"/>
      <name val="Arial"/>
      <family val="2"/>
    </font>
    <font>
      <b/>
      <sz val="10"/>
      <color rgb="FF212121"/>
      <name val="Arial"/>
      <family val="2"/>
    </font>
    <font>
      <b/>
      <u/>
      <sz val="10.5"/>
      <name val="Arial"/>
      <family val="2"/>
    </font>
    <font>
      <b/>
      <i/>
      <sz val="10"/>
      <name val="Arial"/>
      <family val="2"/>
    </font>
    <font>
      <sz val="10"/>
      <color rgb="FF212121"/>
      <name val="Arial"/>
      <family val="2"/>
    </font>
    <font>
      <b/>
      <u/>
      <sz val="9"/>
      <name val="Arial"/>
      <family val="2"/>
    </font>
    <font>
      <u/>
      <sz val="10"/>
      <name val="Arial"/>
      <family val="2"/>
    </font>
    <font>
      <b/>
      <sz val="10.5"/>
      <name val="Arial Narrow"/>
      <family val="2"/>
    </font>
    <font>
      <b/>
      <sz val="9"/>
      <name val="Arial Narrow"/>
      <family val="2"/>
    </font>
    <font>
      <sz val="9.5"/>
      <name val="Arial"/>
      <family val="2"/>
    </font>
    <font>
      <sz val="8"/>
      <name val="Arial"/>
      <family val="2"/>
    </font>
    <font>
      <b/>
      <sz val="10.5"/>
      <name val="Arial"/>
      <family val="2"/>
    </font>
    <font>
      <b/>
      <i/>
      <u/>
      <sz val="10"/>
      <name val="Arial"/>
      <family val="2"/>
    </font>
    <font>
      <sz val="10.5"/>
      <name val="Arial Narrow"/>
      <family val="2"/>
    </font>
    <font>
      <b/>
      <sz val="10"/>
      <name val="Arial "/>
    </font>
    <font>
      <b/>
      <sz val="9.5"/>
      <name val="Arial"/>
      <family val="2"/>
    </font>
    <font>
      <sz val="10"/>
      <name val="Wingdings"/>
      <charset val="2"/>
    </font>
    <font>
      <sz val="10"/>
      <color indexed="31"/>
      <name val="Arial"/>
      <family val="2"/>
    </font>
    <font>
      <b/>
      <sz val="8"/>
      <name val="Arial Narrow"/>
      <family val="2"/>
    </font>
    <font>
      <sz val="9"/>
      <color theme="1"/>
      <name val="Arial Narrow"/>
      <family val="2"/>
    </font>
    <font>
      <b/>
      <i/>
      <sz val="10"/>
      <name val="Arial Narrow"/>
      <family val="2"/>
    </font>
    <font>
      <i/>
      <sz val="10"/>
      <name val="Arial"/>
      <family val="2"/>
    </font>
    <font>
      <sz val="8"/>
      <name val="Arial Narrow"/>
      <family val="2"/>
    </font>
    <font>
      <b/>
      <u/>
      <sz val="11"/>
      <name val="Arial"/>
      <family val="2"/>
    </font>
    <font>
      <sz val="8.5"/>
      <name val="Arial"/>
      <family val="2"/>
    </font>
    <font>
      <b/>
      <i/>
      <sz val="8.5"/>
      <name val="Arial"/>
      <family val="2"/>
    </font>
    <font>
      <b/>
      <sz val="12"/>
      <name val="Arial"/>
      <family val="2"/>
    </font>
    <font>
      <sz val="6"/>
      <name val="Arial"/>
      <family val="2"/>
    </font>
    <font>
      <sz val="8"/>
      <color indexed="60"/>
      <name val="Arial"/>
      <family val="2"/>
    </font>
    <font>
      <sz val="7"/>
      <color indexed="60"/>
      <name val="Arial Narrow"/>
      <family val="2"/>
    </font>
    <font>
      <sz val="7"/>
      <name val="Arial"/>
      <family val="2"/>
    </font>
    <font>
      <b/>
      <sz val="8"/>
      <color indexed="60"/>
      <name val="Arial"/>
      <family val="2"/>
    </font>
    <font>
      <sz val="8"/>
      <color indexed="9"/>
      <name val="Arial"/>
      <family val="2"/>
    </font>
    <font>
      <vertAlign val="superscript"/>
      <sz val="8"/>
      <name val="Arial"/>
      <family val="2"/>
    </font>
    <font>
      <u/>
      <sz val="10"/>
      <color indexed="12"/>
      <name val="Arial"/>
      <family val="2"/>
    </font>
    <font>
      <sz val="6.3"/>
      <name val="Arial"/>
      <family val="2"/>
    </font>
    <font>
      <sz val="8"/>
      <name val="Comic Sans MS"/>
      <family val="4"/>
    </font>
    <font>
      <sz val="9"/>
      <name val="Comic Sans MS"/>
      <family val="4"/>
    </font>
    <font>
      <sz val="10"/>
      <name val="Comic Sans MS"/>
      <family val="4"/>
    </font>
    <font>
      <sz val="9"/>
      <color indexed="81"/>
      <name val="Tahoma"/>
      <family val="2"/>
    </font>
    <font>
      <b/>
      <sz val="9"/>
      <color indexed="81"/>
      <name val="Tahoma"/>
      <family val="2"/>
    </font>
    <font>
      <b/>
      <sz val="8"/>
      <name val="Comic Sans MS"/>
      <family val="4"/>
    </font>
  </fonts>
  <fills count="13">
    <fill>
      <patternFill patternType="none"/>
    </fill>
    <fill>
      <patternFill patternType="gray125"/>
    </fill>
    <fill>
      <patternFill patternType="solid">
        <fgColor theme="0" tint="-4.9958800012207406E-2"/>
        <bgColor indexed="64"/>
      </patternFill>
    </fill>
    <fill>
      <patternFill patternType="solid">
        <fgColor theme="0"/>
        <bgColor indexed="64"/>
      </patternFill>
    </fill>
    <fill>
      <patternFill patternType="solid">
        <fgColor rgb="FFFBFDFF"/>
        <bgColor indexed="64"/>
      </patternFill>
    </fill>
    <fill>
      <patternFill patternType="solid">
        <fgColor rgb="FFFFFF00"/>
        <bgColor indexed="64"/>
      </patternFill>
    </fill>
    <fill>
      <patternFill patternType="solid">
        <fgColor theme="8" tint="0.79995117038483843"/>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0" tint="-4.9989318521683403E-2"/>
        <bgColor indexed="8"/>
      </patternFill>
    </fill>
    <fill>
      <patternFill patternType="solid">
        <fgColor rgb="FFFFCCFF"/>
        <bgColor indexed="64"/>
      </patternFill>
    </fill>
    <fill>
      <patternFill patternType="gray0625">
        <bgColor theme="0" tint="-4.9989318521683403E-2"/>
      </patternFill>
    </fill>
    <fill>
      <patternFill patternType="solid">
        <fgColor theme="0" tint="-0.499984740745262"/>
        <bgColor indexed="64"/>
      </patternFill>
    </fill>
  </fills>
  <borders count="119">
    <border>
      <left/>
      <right/>
      <top/>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top style="thin">
        <color theme="4" tint="0.59996337778862885"/>
      </top>
      <bottom/>
      <diagonal/>
    </border>
    <border>
      <left/>
      <right style="thin">
        <color theme="4" tint="0.59996337778862885"/>
      </right>
      <top style="thin">
        <color theme="4" tint="0.59996337778862885"/>
      </top>
      <bottom/>
      <diagonal/>
    </border>
    <border>
      <left style="thin">
        <color theme="4" tint="0.59996337778862885"/>
      </left>
      <right/>
      <top/>
      <bottom/>
      <diagonal/>
    </border>
    <border>
      <left/>
      <right style="thin">
        <color theme="4" tint="0.59996337778862885"/>
      </right>
      <top/>
      <bottom/>
      <diagonal/>
    </border>
    <border>
      <left style="thin">
        <color theme="4" tint="0.59996337778862885"/>
      </left>
      <right/>
      <top/>
      <bottom style="thin">
        <color theme="4" tint="0.59996337778862885"/>
      </bottom>
      <diagonal/>
    </border>
    <border>
      <left/>
      <right style="thin">
        <color theme="4" tint="0.59996337778862885"/>
      </right>
      <top/>
      <bottom style="thin">
        <color theme="4" tint="0.59996337778862885"/>
      </bottom>
      <diagonal/>
    </border>
    <border>
      <left style="thin">
        <color theme="4" tint="0.59996337778862885"/>
      </left>
      <right/>
      <top style="thin">
        <color theme="4" tint="0.59996337778862885"/>
      </top>
      <bottom style="thin">
        <color theme="4" tint="0.59996337778862885"/>
      </bottom>
      <diagonal/>
    </border>
    <border>
      <left/>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right/>
      <top/>
      <bottom style="hair">
        <color indexed="32"/>
      </bottom>
      <diagonal/>
    </border>
    <border>
      <left style="hair">
        <color indexed="32"/>
      </left>
      <right/>
      <top style="hair">
        <color indexed="32"/>
      </top>
      <bottom/>
      <diagonal/>
    </border>
    <border>
      <left/>
      <right/>
      <top style="hair">
        <color indexed="32"/>
      </top>
      <bottom/>
      <diagonal/>
    </border>
    <border>
      <left/>
      <right style="hair">
        <color indexed="32"/>
      </right>
      <top style="hair">
        <color indexed="32"/>
      </top>
      <bottom/>
      <diagonal/>
    </border>
    <border>
      <left/>
      <right style="double">
        <color indexed="32"/>
      </right>
      <top style="hair">
        <color indexed="32"/>
      </top>
      <bottom/>
      <diagonal/>
    </border>
    <border>
      <left style="hair">
        <color indexed="32"/>
      </left>
      <right/>
      <top/>
      <bottom/>
      <diagonal/>
    </border>
    <border>
      <left/>
      <right style="hair">
        <color indexed="32"/>
      </right>
      <top/>
      <bottom/>
      <diagonal/>
    </border>
    <border>
      <left/>
      <right style="double">
        <color indexed="32"/>
      </right>
      <top/>
      <bottom/>
      <diagonal/>
    </border>
    <border>
      <left style="hair">
        <color indexed="32"/>
      </left>
      <right/>
      <top/>
      <bottom style="thick">
        <color indexed="32"/>
      </bottom>
      <diagonal/>
    </border>
    <border>
      <left/>
      <right/>
      <top/>
      <bottom style="thick">
        <color indexed="32"/>
      </bottom>
      <diagonal/>
    </border>
    <border>
      <left/>
      <right style="hair">
        <color indexed="32"/>
      </right>
      <top/>
      <bottom style="thick">
        <color indexed="32"/>
      </bottom>
      <diagonal/>
    </border>
    <border>
      <left/>
      <right style="double">
        <color indexed="32"/>
      </right>
      <top/>
      <bottom style="thick">
        <color indexed="32"/>
      </bottom>
      <diagonal/>
    </border>
    <border>
      <left/>
      <right/>
      <top style="thick">
        <color indexed="32"/>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bottom style="thin">
        <color indexed="32"/>
      </bottom>
      <diagonal/>
    </border>
    <border>
      <left/>
      <right/>
      <top style="thin">
        <color indexed="32"/>
      </top>
      <bottom/>
      <diagonal/>
    </border>
    <border>
      <left/>
      <right/>
      <top/>
      <bottom style="dashed">
        <color indexed="32"/>
      </bottom>
      <diagonal/>
    </border>
    <border>
      <left/>
      <right/>
      <top style="dashed">
        <color indexed="32"/>
      </top>
      <bottom style="double">
        <color indexed="3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double">
        <color indexed="64"/>
      </right>
      <top style="hair">
        <color indexed="64"/>
      </top>
      <bottom style="hair">
        <color indexed="64"/>
      </bottom>
      <diagonal/>
    </border>
    <border>
      <left/>
      <right style="double">
        <color indexed="64"/>
      </right>
      <top style="hair">
        <color indexed="64"/>
      </top>
      <bottom style="medium">
        <color indexed="64"/>
      </bottom>
      <diagonal/>
    </border>
    <border>
      <left style="hair">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top style="hair">
        <color indexed="64"/>
      </top>
      <bottom/>
      <diagonal/>
    </border>
    <border>
      <left/>
      <right/>
      <top style="hair">
        <color indexed="64"/>
      </top>
      <bottom/>
      <diagonal/>
    </border>
    <border>
      <left/>
      <right style="double">
        <color indexed="64"/>
      </right>
      <top style="hair">
        <color indexed="64"/>
      </top>
      <bottom/>
      <diagonal/>
    </border>
    <border>
      <left style="hair">
        <color indexed="32"/>
      </left>
      <right/>
      <top style="hair">
        <color indexed="32"/>
      </top>
      <bottom style="hair">
        <color indexed="32"/>
      </bottom>
      <diagonal/>
    </border>
    <border>
      <left/>
      <right/>
      <top style="hair">
        <color indexed="32"/>
      </top>
      <bottom style="hair">
        <color indexed="32"/>
      </bottom>
      <diagonal/>
    </border>
    <border>
      <left/>
      <right style="hair">
        <color indexed="32"/>
      </right>
      <top style="hair">
        <color indexed="32"/>
      </top>
      <bottom style="hair">
        <color indexed="32"/>
      </bottom>
      <diagonal/>
    </border>
    <border>
      <left style="hair">
        <color indexed="32"/>
      </left>
      <right/>
      <top style="hair">
        <color indexed="64"/>
      </top>
      <bottom style="hair">
        <color indexed="32"/>
      </bottom>
      <diagonal/>
    </border>
    <border>
      <left/>
      <right/>
      <top style="hair">
        <color indexed="64"/>
      </top>
      <bottom style="hair">
        <color indexed="32"/>
      </bottom>
      <diagonal/>
    </border>
    <border>
      <left/>
      <right style="hair">
        <color indexed="32"/>
      </right>
      <top style="hair">
        <color indexed="64"/>
      </top>
      <bottom style="hair">
        <color indexed="32"/>
      </bottom>
      <diagonal/>
    </border>
    <border>
      <left/>
      <right style="double">
        <color indexed="64"/>
      </right>
      <top style="hair">
        <color indexed="64"/>
      </top>
      <bottom style="hair">
        <color indexed="32"/>
      </bottom>
      <diagonal/>
    </border>
    <border>
      <left style="hair">
        <color indexed="32"/>
      </left>
      <right style="hair">
        <color indexed="32"/>
      </right>
      <top style="hair">
        <color indexed="32"/>
      </top>
      <bottom/>
      <diagonal/>
    </border>
    <border>
      <left style="hair">
        <color indexed="32"/>
      </left>
      <right style="double">
        <color indexed="32"/>
      </right>
      <top style="hair">
        <color indexed="32"/>
      </top>
      <bottom/>
      <diagonal/>
    </border>
    <border>
      <left style="hair">
        <color indexed="32"/>
      </left>
      <right/>
      <top/>
      <bottom style="hair">
        <color indexed="32"/>
      </bottom>
      <diagonal/>
    </border>
    <border>
      <left/>
      <right style="hair">
        <color indexed="32"/>
      </right>
      <top/>
      <bottom style="hair">
        <color indexed="32"/>
      </bottom>
      <diagonal/>
    </border>
    <border>
      <left style="hair">
        <color indexed="32"/>
      </left>
      <right style="hair">
        <color indexed="32"/>
      </right>
      <top/>
      <bottom style="hair">
        <color indexed="32"/>
      </bottom>
      <diagonal/>
    </border>
    <border>
      <left style="hair">
        <color indexed="32"/>
      </left>
      <right style="double">
        <color indexed="32"/>
      </right>
      <top/>
      <bottom style="hair">
        <color indexed="32"/>
      </bottom>
      <diagonal/>
    </border>
    <border>
      <left style="hair">
        <color indexed="32"/>
      </left>
      <right style="hair">
        <color indexed="32"/>
      </right>
      <top style="hair">
        <color indexed="32"/>
      </top>
      <bottom style="hair">
        <color indexed="32"/>
      </bottom>
      <diagonal/>
    </border>
    <border>
      <left style="hair">
        <color indexed="32"/>
      </left>
      <right style="double">
        <color indexed="32"/>
      </right>
      <top style="hair">
        <color indexed="32"/>
      </top>
      <bottom style="hair">
        <color indexed="32"/>
      </bottom>
      <diagonal/>
    </border>
    <border>
      <left style="hair">
        <color indexed="32"/>
      </left>
      <right style="hair">
        <color indexed="32"/>
      </right>
      <top style="hair">
        <color indexed="32"/>
      </top>
      <bottom style="double">
        <color indexed="32"/>
      </bottom>
      <diagonal/>
    </border>
    <border>
      <left style="double">
        <color indexed="32"/>
      </left>
      <right/>
      <top style="double">
        <color indexed="32"/>
      </top>
      <bottom/>
      <diagonal/>
    </border>
    <border>
      <left/>
      <right/>
      <top style="double">
        <color indexed="32"/>
      </top>
      <bottom/>
      <diagonal/>
    </border>
    <border>
      <left/>
      <right style="double">
        <color indexed="32"/>
      </right>
      <top style="double">
        <color indexed="32"/>
      </top>
      <bottom/>
      <diagonal/>
    </border>
    <border>
      <left style="double">
        <color indexed="32"/>
      </left>
      <right/>
      <top/>
      <bottom/>
      <diagonal/>
    </border>
    <border>
      <left style="double">
        <color indexed="32"/>
      </left>
      <right/>
      <top/>
      <bottom style="double">
        <color indexed="32"/>
      </bottom>
      <diagonal/>
    </border>
    <border>
      <left/>
      <right/>
      <top/>
      <bottom style="double">
        <color indexed="32"/>
      </bottom>
      <diagonal/>
    </border>
    <border>
      <left/>
      <right style="double">
        <color indexed="32"/>
      </right>
      <top/>
      <bottom style="double">
        <color indexed="32"/>
      </bottom>
      <diagonal/>
    </border>
    <border>
      <left/>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9" fontId="10" fillId="0" borderId="0" applyFont="0" applyFill="0" applyBorder="0" applyAlignment="0" applyProtection="0"/>
    <xf numFmtId="0" fontId="5" fillId="0" borderId="0" applyNumberFormat="0" applyFill="0" applyBorder="0" applyAlignment="0" applyProtection="0"/>
    <xf numFmtId="0" fontId="11" fillId="0" borderId="0"/>
    <xf numFmtId="9" fontId="11" fillId="0" borderId="0" applyFont="0" applyFill="0" applyBorder="0" applyAlignment="0" applyProtection="0"/>
    <xf numFmtId="0" fontId="11" fillId="0" borderId="0"/>
    <xf numFmtId="175" fontId="11" fillId="0" borderId="0" applyFont="0" applyFill="0" applyBorder="0" applyAlignment="0" applyProtection="0"/>
    <xf numFmtId="0" fontId="60" fillId="0" borderId="0" applyNumberFormat="0" applyFill="0" applyBorder="0" applyAlignment="0" applyProtection="0">
      <alignment vertical="top"/>
      <protection locked="0"/>
    </xf>
  </cellStyleXfs>
  <cellXfs count="910">
    <xf numFmtId="0" fontId="0" fillId="0" borderId="0" xfId="0"/>
    <xf numFmtId="0" fontId="1" fillId="0" borderId="0" xfId="0" applyFont="1"/>
    <xf numFmtId="0" fontId="2" fillId="2" borderId="0" xfId="0" applyFont="1" applyFill="1" applyAlignment="1" applyProtection="1">
      <alignment vertical="center"/>
      <protection hidden="1"/>
    </xf>
    <xf numFmtId="0" fontId="0" fillId="3" borderId="0" xfId="0" applyFill="1"/>
    <xf numFmtId="0" fontId="2" fillId="3" borderId="0" xfId="0" applyFont="1" applyFill="1" applyAlignment="1" applyProtection="1">
      <alignment vertical="center"/>
      <protection hidden="1"/>
    </xf>
    <xf numFmtId="0" fontId="0" fillId="4" borderId="1" xfId="0" applyFill="1" applyBorder="1" applyAlignment="1" applyProtection="1">
      <alignment horizontal="center" vertical="center"/>
      <protection locked="0"/>
    </xf>
    <xf numFmtId="14" fontId="0" fillId="4" borderId="1" xfId="0" applyNumberFormat="1" applyFill="1" applyBorder="1" applyAlignment="1" applyProtection="1">
      <alignment horizontal="center" vertical="center"/>
      <protection locked="0"/>
    </xf>
    <xf numFmtId="9" fontId="0" fillId="0" borderId="0" xfId="1" applyFont="1"/>
    <xf numFmtId="9" fontId="0" fillId="4" borderId="1" xfId="1" applyFont="1" applyFill="1" applyBorder="1" applyAlignment="1" applyProtection="1">
      <alignment horizontal="center" vertical="center"/>
      <protection locked="0"/>
    </xf>
    <xf numFmtId="2" fontId="0" fillId="4" borderId="1" xfId="0" applyNumberFormat="1" applyFill="1" applyBorder="1" applyAlignment="1" applyProtection="1">
      <alignment horizontal="center" vertical="center"/>
      <protection locked="0"/>
    </xf>
    <xf numFmtId="2" fontId="0" fillId="0" borderId="0" xfId="0" applyNumberFormat="1"/>
    <xf numFmtId="0" fontId="4" fillId="3" borderId="0" xfId="0" applyFont="1" applyFill="1"/>
    <xf numFmtId="0" fontId="7" fillId="3" borderId="0" xfId="0" applyFont="1" applyFill="1" applyAlignment="1">
      <alignment horizontal="left" vertical="center" wrapText="1" indent="1" readingOrder="1"/>
    </xf>
    <xf numFmtId="9" fontId="7" fillId="3" borderId="0" xfId="0" applyNumberFormat="1" applyFont="1" applyFill="1" applyAlignment="1">
      <alignment horizontal="center" vertical="center" wrapText="1" readingOrder="1"/>
    </xf>
    <xf numFmtId="0" fontId="7" fillId="3" borderId="0" xfId="0" applyFont="1" applyFill="1" applyAlignment="1">
      <alignment horizontal="center" vertical="center" wrapText="1" readingOrder="1"/>
    </xf>
    <xf numFmtId="0" fontId="6" fillId="6" borderId="0" xfId="0" applyFont="1" applyFill="1" applyAlignment="1">
      <alignment horizontal="center" vertical="center" wrapText="1" readingOrder="1"/>
    </xf>
    <xf numFmtId="0" fontId="2" fillId="2" borderId="0" xfId="0" applyFont="1" applyFill="1" applyAlignment="1" applyProtection="1">
      <alignment horizontal="center" vertical="center"/>
      <protection hidden="1"/>
    </xf>
    <xf numFmtId="0" fontId="0" fillId="4" borderId="0" xfId="0" applyFill="1" applyAlignment="1" applyProtection="1">
      <alignment horizontal="center" vertical="center"/>
      <protection locked="0"/>
    </xf>
    <xf numFmtId="14" fontId="0" fillId="4" borderId="0" xfId="0" applyNumberFormat="1" applyFill="1" applyAlignment="1" applyProtection="1">
      <alignment horizontal="center" vertical="center"/>
      <protection locked="0"/>
    </xf>
    <xf numFmtId="20" fontId="0" fillId="4" borderId="1" xfId="0" applyNumberFormat="1" applyFill="1" applyBorder="1" applyAlignment="1" applyProtection="1">
      <alignment horizontal="center" vertical="center"/>
      <protection locked="0"/>
    </xf>
    <xf numFmtId="164" fontId="11" fillId="4" borderId="11" xfId="3" applyNumberFormat="1" applyFill="1" applyBorder="1" applyAlignment="1" applyProtection="1">
      <alignment horizontal="center" vertical="center"/>
      <protection locked="0"/>
    </xf>
    <xf numFmtId="0" fontId="11" fillId="0" borderId="0" xfId="3"/>
    <xf numFmtId="0" fontId="12" fillId="0" borderId="0" xfId="3" applyFont="1"/>
    <xf numFmtId="0" fontId="13" fillId="0" borderId="0" xfId="3" applyFont="1" applyAlignment="1">
      <alignment horizontal="centerContinuous"/>
    </xf>
    <xf numFmtId="0" fontId="12" fillId="0" borderId="0" xfId="3" applyFont="1" applyAlignment="1">
      <alignment horizontal="centerContinuous"/>
    </xf>
    <xf numFmtId="165" fontId="14" fillId="0" borderId="0" xfId="3" applyNumberFormat="1" applyFont="1" applyAlignment="1">
      <alignment horizontal="left" indent="1"/>
    </xf>
    <xf numFmtId="0" fontId="14" fillId="0" borderId="0" xfId="3" applyFont="1" applyAlignment="1">
      <alignment horizontal="left"/>
    </xf>
    <xf numFmtId="0" fontId="14" fillId="0" borderId="0" xfId="3" applyFont="1" applyAlignment="1">
      <alignment horizontal="left" vertical="center"/>
    </xf>
    <xf numFmtId="0" fontId="12" fillId="0" borderId="0" xfId="3" applyFont="1" applyAlignment="1">
      <alignment horizontal="left" vertical="center"/>
    </xf>
    <xf numFmtId="0" fontId="12" fillId="0" borderId="0" xfId="3" applyFont="1" applyAlignment="1">
      <alignment vertical="center"/>
    </xf>
    <xf numFmtId="0" fontId="14" fillId="0" borderId="0" xfId="3" applyFont="1" applyAlignment="1">
      <alignment vertical="center"/>
    </xf>
    <xf numFmtId="0" fontId="11" fillId="0" borderId="0" xfId="3" applyAlignment="1">
      <alignment vertical="center"/>
    </xf>
    <xf numFmtId="0" fontId="15" fillId="0" borderId="0" xfId="3" applyFont="1" applyAlignment="1">
      <alignment horizontal="left" vertical="center"/>
    </xf>
    <xf numFmtId="0" fontId="16" fillId="0" borderId="0" xfId="3" applyFont="1" applyAlignment="1">
      <alignment horizontal="center" vertical="center"/>
    </xf>
    <xf numFmtId="0" fontId="14" fillId="5" borderId="0" xfId="3" applyFont="1" applyFill="1" applyAlignment="1">
      <alignment horizontal="left" vertical="center"/>
    </xf>
    <xf numFmtId="0" fontId="14" fillId="5" borderId="0" xfId="3" applyFont="1" applyFill="1" applyAlignment="1">
      <alignment horizontal="center" vertical="center"/>
    </xf>
    <xf numFmtId="0" fontId="12" fillId="5" borderId="0" xfId="3" applyFont="1" applyFill="1" applyAlignment="1">
      <alignment vertical="top"/>
    </xf>
    <xf numFmtId="0" fontId="12" fillId="5" borderId="0" xfId="3" applyFont="1" applyFill="1" applyAlignment="1">
      <alignment vertical="center"/>
    </xf>
    <xf numFmtId="0" fontId="12" fillId="5" borderId="0" xfId="3" applyFont="1" applyFill="1" applyAlignment="1">
      <alignment horizontal="justify" vertical="center"/>
    </xf>
    <xf numFmtId="0" fontId="14" fillId="5" borderId="0" xfId="3" applyFont="1" applyFill="1" applyAlignment="1">
      <alignment horizontal="justify" vertical="center"/>
    </xf>
    <xf numFmtId="167" fontId="18" fillId="5" borderId="0" xfId="3" applyNumberFormat="1" applyFont="1" applyFill="1" applyAlignment="1">
      <alignment vertical="center" wrapText="1"/>
    </xf>
    <xf numFmtId="168" fontId="14" fillId="5" borderId="0" xfId="3" applyNumberFormat="1" applyFont="1" applyFill="1" applyAlignment="1">
      <alignment vertical="center"/>
    </xf>
    <xf numFmtId="168" fontId="12" fillId="5" borderId="0" xfId="3" applyNumberFormat="1" applyFont="1" applyFill="1" applyAlignment="1">
      <alignment vertical="center"/>
    </xf>
    <xf numFmtId="1" fontId="14" fillId="5" borderId="0" xfId="3" applyNumberFormat="1" applyFont="1" applyFill="1" applyAlignment="1">
      <alignment vertical="center"/>
    </xf>
    <xf numFmtId="167" fontId="18" fillId="5" borderId="12" xfId="3" applyNumberFormat="1" applyFont="1" applyFill="1" applyBorder="1" applyAlignment="1">
      <alignment horizontal="left" vertical="center" wrapText="1"/>
    </xf>
    <xf numFmtId="167" fontId="18" fillId="5" borderId="0" xfId="3" applyNumberFormat="1" applyFont="1" applyFill="1" applyAlignment="1">
      <alignment horizontal="left" vertical="center" wrapText="1"/>
    </xf>
    <xf numFmtId="1" fontId="14" fillId="5" borderId="12" xfId="3" applyNumberFormat="1" applyFont="1" applyFill="1" applyBorder="1" applyAlignment="1">
      <alignment vertical="center"/>
    </xf>
    <xf numFmtId="0" fontId="14" fillId="0" borderId="0" xfId="3" applyFont="1" applyAlignment="1">
      <alignment horizontal="justify" vertical="center"/>
    </xf>
    <xf numFmtId="167" fontId="11" fillId="0" borderId="0" xfId="3" applyNumberFormat="1" applyAlignment="1">
      <alignment horizontal="left" vertical="center"/>
    </xf>
    <xf numFmtId="167" fontId="18" fillId="0" borderId="0" xfId="3" applyNumberFormat="1" applyFont="1" applyAlignment="1">
      <alignment vertical="center" wrapText="1"/>
    </xf>
    <xf numFmtId="169" fontId="19" fillId="0" borderId="0" xfId="3" applyNumberFormat="1" applyFont="1" applyAlignment="1" applyProtection="1">
      <alignment vertical="center"/>
      <protection locked="0"/>
    </xf>
    <xf numFmtId="168" fontId="14" fillId="0" borderId="0" xfId="3" applyNumberFormat="1" applyFont="1" applyAlignment="1">
      <alignment vertical="center"/>
    </xf>
    <xf numFmtId="168" fontId="12" fillId="0" borderId="0" xfId="3" applyNumberFormat="1" applyFont="1" applyAlignment="1">
      <alignment vertical="center"/>
    </xf>
    <xf numFmtId="1" fontId="14" fillId="0" borderId="0" xfId="3" applyNumberFormat="1" applyFont="1" applyAlignment="1">
      <alignment vertical="center"/>
    </xf>
    <xf numFmtId="0" fontId="20" fillId="0" borderId="0" xfId="3" applyFont="1"/>
    <xf numFmtId="0" fontId="18" fillId="0" borderId="0" xfId="3" applyFont="1"/>
    <xf numFmtId="0" fontId="16" fillId="0" borderId="0" xfId="3" applyFont="1"/>
    <xf numFmtId="0" fontId="18" fillId="0" borderId="37" xfId="3" applyFont="1" applyBorder="1"/>
    <xf numFmtId="0" fontId="18" fillId="0" borderId="38" xfId="3" applyFont="1" applyBorder="1"/>
    <xf numFmtId="0" fontId="23" fillId="0" borderId="0" xfId="3" applyFont="1" applyAlignment="1">
      <alignment vertical="center"/>
    </xf>
    <xf numFmtId="0" fontId="24" fillId="0" borderId="0" xfId="3" applyFont="1" applyAlignment="1">
      <alignment horizontal="center"/>
    </xf>
    <xf numFmtId="4" fontId="25" fillId="0" borderId="0" xfId="3" applyNumberFormat="1" applyFont="1"/>
    <xf numFmtId="0" fontId="24" fillId="0" borderId="0" xfId="3" applyFont="1" applyAlignment="1">
      <alignment horizontal="center" vertical="center"/>
    </xf>
    <xf numFmtId="4" fontId="26" fillId="0" borderId="0" xfId="3" applyNumberFormat="1" applyFont="1"/>
    <xf numFmtId="0" fontId="23" fillId="0" borderId="0" xfId="3" quotePrefix="1" applyFont="1" applyAlignment="1">
      <alignment vertical="center"/>
    </xf>
    <xf numFmtId="4" fontId="25" fillId="0" borderId="0" xfId="3" applyNumberFormat="1" applyFont="1" applyAlignment="1">
      <alignment horizontal="right"/>
    </xf>
    <xf numFmtId="0" fontId="26" fillId="0" borderId="0" xfId="3" applyFont="1" applyAlignment="1">
      <alignment horizontal="right"/>
    </xf>
    <xf numFmtId="4" fontId="26" fillId="0" borderId="0" xfId="3" applyNumberFormat="1" applyFont="1" applyAlignment="1">
      <alignment horizontal="right"/>
    </xf>
    <xf numFmtId="4" fontId="27" fillId="0" borderId="0" xfId="3" applyNumberFormat="1" applyFont="1"/>
    <xf numFmtId="4" fontId="24" fillId="0" borderId="0" xfId="3" applyNumberFormat="1" applyFont="1"/>
    <xf numFmtId="0" fontId="27" fillId="0" borderId="0" xfId="3" applyFont="1"/>
    <xf numFmtId="0" fontId="18" fillId="0" borderId="0" xfId="3" applyFont="1" applyAlignment="1">
      <alignment vertical="center"/>
    </xf>
    <xf numFmtId="0" fontId="21" fillId="0" borderId="0" xfId="3" applyFont="1" applyAlignment="1">
      <alignment horizontal="center" vertical="center"/>
    </xf>
    <xf numFmtId="0" fontId="18" fillId="0" borderId="0" xfId="3" applyFont="1" applyAlignment="1">
      <alignment vertical="top"/>
    </xf>
    <xf numFmtId="0" fontId="21" fillId="0" borderId="0" xfId="3" applyFont="1" applyAlignment="1">
      <alignment vertical="top"/>
    </xf>
    <xf numFmtId="0" fontId="21" fillId="0" borderId="0" xfId="3" applyFont="1" applyAlignment="1">
      <alignment horizontal="center" vertical="top"/>
    </xf>
    <xf numFmtId="0" fontId="21" fillId="5" borderId="0" xfId="3" applyFont="1" applyFill="1" applyAlignment="1">
      <alignment vertical="top"/>
    </xf>
    <xf numFmtId="0" fontId="18" fillId="5" borderId="0" xfId="3" applyFont="1" applyFill="1" applyAlignment="1">
      <alignment vertical="top"/>
    </xf>
    <xf numFmtId="171" fontId="18" fillId="0" borderId="0" xfId="3" applyNumberFormat="1" applyFont="1" applyAlignment="1">
      <alignment vertical="top"/>
    </xf>
    <xf numFmtId="171" fontId="18" fillId="0" borderId="0" xfId="3" applyNumberFormat="1" applyFont="1" applyAlignment="1">
      <alignment horizontal="left" vertical="top"/>
    </xf>
    <xf numFmtId="49" fontId="18" fillId="5" borderId="0" xfId="3" applyNumberFormat="1" applyFont="1" applyFill="1" applyAlignment="1">
      <alignment vertical="top"/>
    </xf>
    <xf numFmtId="171" fontId="18" fillId="5" borderId="0" xfId="3" quotePrefix="1" applyNumberFormat="1" applyFont="1" applyFill="1" applyAlignment="1">
      <alignment horizontal="left" vertical="top"/>
    </xf>
    <xf numFmtId="171" fontId="18" fillId="5" borderId="0" xfId="3" applyNumberFormat="1" applyFont="1" applyFill="1" applyAlignment="1">
      <alignment horizontal="left" vertical="top"/>
    </xf>
    <xf numFmtId="171" fontId="18" fillId="0" borderId="0" xfId="3" applyNumberFormat="1" applyFont="1" applyAlignment="1">
      <alignment horizontal="center" vertical="top"/>
    </xf>
    <xf numFmtId="49" fontId="18" fillId="0" borderId="0" xfId="3" applyNumberFormat="1" applyFont="1" applyAlignment="1">
      <alignment horizontal="right" vertical="top"/>
    </xf>
    <xf numFmtId="171" fontId="18" fillId="0" borderId="0" xfId="3" quotePrefix="1" applyNumberFormat="1" applyFont="1" applyAlignment="1">
      <alignment horizontal="left" vertical="top"/>
    </xf>
    <xf numFmtId="172" fontId="16" fillId="0" borderId="0" xfId="3" applyNumberFormat="1" applyFont="1" applyAlignment="1">
      <alignment horizontal="left"/>
    </xf>
    <xf numFmtId="172" fontId="11" fillId="0" borderId="0" xfId="3" applyNumberFormat="1" applyAlignment="1">
      <alignment horizontal="left"/>
    </xf>
    <xf numFmtId="0" fontId="16" fillId="0" borderId="43" xfId="3" applyFont="1" applyBorder="1"/>
    <xf numFmtId="0" fontId="11" fillId="0" borderId="43" xfId="3" applyBorder="1"/>
    <xf numFmtId="0" fontId="16" fillId="0" borderId="43" xfId="3" applyFont="1" applyBorder="1" applyAlignment="1">
      <alignment horizontal="center"/>
    </xf>
    <xf numFmtId="0" fontId="15" fillId="0" borderId="0" xfId="3" applyFont="1"/>
    <xf numFmtId="0" fontId="16" fillId="0" borderId="0" xfId="3" applyFont="1" applyAlignment="1">
      <alignment horizontal="center"/>
    </xf>
    <xf numFmtId="0" fontId="28" fillId="0" borderId="0" xfId="3" applyFont="1"/>
    <xf numFmtId="173" fontId="16" fillId="0" borderId="0" xfId="3" applyNumberFormat="1" applyFont="1" applyAlignment="1">
      <alignment horizontal="left"/>
    </xf>
    <xf numFmtId="0" fontId="11" fillId="0" borderId="0" xfId="3" applyAlignment="1">
      <alignment horizontal="left"/>
    </xf>
    <xf numFmtId="0" fontId="29" fillId="0" borderId="0" xfId="3" applyFont="1"/>
    <xf numFmtId="0" fontId="11" fillId="0" borderId="0" xfId="3" applyAlignment="1">
      <alignment horizontal="center"/>
    </xf>
    <xf numFmtId="4" fontId="31" fillId="0" borderId="0" xfId="3" applyNumberFormat="1" applyFont="1" applyAlignment="1">
      <alignment horizontal="left"/>
    </xf>
    <xf numFmtId="4" fontId="32" fillId="0" borderId="0" xfId="3" applyNumberFormat="1" applyFont="1" applyAlignment="1">
      <alignment horizontal="left"/>
    </xf>
    <xf numFmtId="4" fontId="11" fillId="0" borderId="0" xfId="3" applyNumberFormat="1"/>
    <xf numFmtId="4" fontId="16" fillId="0" borderId="0" xfId="3" applyNumberFormat="1" applyFont="1"/>
    <xf numFmtId="4" fontId="11" fillId="0" borderId="0" xfId="3" applyNumberFormat="1" applyAlignment="1">
      <alignment horizontal="justify"/>
    </xf>
    <xf numFmtId="0" fontId="11" fillId="0" borderId="0" xfId="3" applyAlignment="1">
      <alignment horizontal="justify"/>
    </xf>
    <xf numFmtId="4" fontId="11" fillId="0" borderId="0" xfId="3" applyNumberFormat="1" applyAlignment="1">
      <alignment horizontal="left"/>
    </xf>
    <xf numFmtId="4" fontId="16" fillId="0" borderId="46" xfId="3" applyNumberFormat="1" applyFont="1" applyBorder="1"/>
    <xf numFmtId="4" fontId="11" fillId="0" borderId="46" xfId="3" applyNumberFormat="1" applyBorder="1"/>
    <xf numFmtId="4" fontId="11" fillId="0" borderId="46" xfId="3" applyNumberFormat="1" applyBorder="1" applyAlignment="1">
      <alignment horizontal="center"/>
    </xf>
    <xf numFmtId="4" fontId="11" fillId="0" borderId="0" xfId="3" applyNumberFormat="1" applyAlignment="1">
      <alignment horizontal="center"/>
    </xf>
    <xf numFmtId="4" fontId="16" fillId="0" borderId="0" xfId="3" applyNumberFormat="1" applyFont="1" applyAlignment="1">
      <alignment horizontal="right"/>
    </xf>
    <xf numFmtId="0" fontId="28" fillId="0" borderId="0" xfId="3" applyFont="1" applyAlignment="1">
      <alignment horizontal="center"/>
    </xf>
    <xf numFmtId="0" fontId="11" fillId="0" borderId="0" xfId="3" applyAlignment="1">
      <alignment horizontal="justify" vertical="center" wrapText="1"/>
    </xf>
    <xf numFmtId="0" fontId="11" fillId="0" borderId="0" xfId="3" applyAlignment="1">
      <alignment horizontal="justify" vertical="center"/>
    </xf>
    <xf numFmtId="0" fontId="11" fillId="0" borderId="0" xfId="3" applyAlignment="1">
      <alignment horizontal="center" vertical="center" wrapText="1"/>
    </xf>
    <xf numFmtId="0" fontId="35" fillId="0" borderId="0" xfId="3" applyFont="1"/>
    <xf numFmtId="0" fontId="11" fillId="0" borderId="0" xfId="3" applyAlignment="1">
      <alignment vertical="center" wrapText="1"/>
    </xf>
    <xf numFmtId="0" fontId="15" fillId="0" borderId="0" xfId="3" applyFont="1" applyAlignment="1">
      <alignment horizontal="justify" wrapText="1"/>
    </xf>
    <xf numFmtId="0" fontId="32" fillId="0" borderId="0" xfId="3" applyFont="1"/>
    <xf numFmtId="0" fontId="12" fillId="0" borderId="58" xfId="3" applyFont="1" applyBorder="1" applyAlignment="1">
      <alignment vertical="center"/>
    </xf>
    <xf numFmtId="2" fontId="11" fillId="0" borderId="0" xfId="3" applyNumberFormat="1" applyAlignment="1">
      <alignment horizontal="left"/>
    </xf>
    <xf numFmtId="2" fontId="11" fillId="0" borderId="59" xfId="3" applyNumberFormat="1" applyBorder="1" applyAlignment="1">
      <alignment horizontal="left"/>
    </xf>
    <xf numFmtId="0" fontId="11" fillId="0" borderId="60" xfId="3" applyBorder="1"/>
    <xf numFmtId="0" fontId="16" fillId="8" borderId="40" xfId="3" applyFont="1" applyFill="1" applyBorder="1" applyAlignment="1">
      <alignment vertical="center"/>
    </xf>
    <xf numFmtId="0" fontId="16" fillId="8" borderId="38" xfId="3" applyFont="1" applyFill="1" applyBorder="1" applyAlignment="1">
      <alignment vertical="center"/>
    </xf>
    <xf numFmtId="0" fontId="16" fillId="8" borderId="39" xfId="3" applyFont="1" applyFill="1" applyBorder="1" applyAlignment="1">
      <alignment vertical="center"/>
    </xf>
    <xf numFmtId="0" fontId="16" fillId="8" borderId="41" xfId="3" applyFont="1" applyFill="1" applyBorder="1" applyAlignment="1">
      <alignment vertical="center"/>
    </xf>
    <xf numFmtId="0" fontId="16" fillId="8" borderId="62" xfId="3" applyFont="1" applyFill="1" applyBorder="1" applyAlignment="1">
      <alignment vertical="center"/>
    </xf>
    <xf numFmtId="0" fontId="12" fillId="0" borderId="63" xfId="3" applyFont="1" applyBorder="1"/>
    <xf numFmtId="2" fontId="11" fillId="0" borderId="64" xfId="3" applyNumberFormat="1" applyBorder="1" applyAlignment="1">
      <alignment horizontal="left"/>
    </xf>
    <xf numFmtId="0" fontId="11" fillId="0" borderId="64" xfId="3" applyBorder="1"/>
    <xf numFmtId="2" fontId="11" fillId="0" borderId="65" xfId="3" applyNumberFormat="1" applyBorder="1" applyAlignment="1">
      <alignment horizontal="left"/>
    </xf>
    <xf numFmtId="0" fontId="11" fillId="0" borderId="66" xfId="3" applyBorder="1"/>
    <xf numFmtId="0" fontId="12" fillId="0" borderId="34" xfId="3" applyFont="1" applyBorder="1"/>
    <xf numFmtId="2" fontId="11" fillId="0" borderId="32" xfId="3" applyNumberFormat="1" applyBorder="1" applyAlignment="1">
      <alignment horizontal="left"/>
    </xf>
    <xf numFmtId="0" fontId="11" fillId="0" borderId="32" xfId="3" applyBorder="1"/>
    <xf numFmtId="2" fontId="11" fillId="0" borderId="33" xfId="3" applyNumberFormat="1" applyBorder="1" applyAlignment="1">
      <alignment horizontal="left"/>
    </xf>
    <xf numFmtId="0" fontId="11" fillId="0" borderId="35" xfId="3" applyBorder="1"/>
    <xf numFmtId="0" fontId="38" fillId="0" borderId="13" xfId="3" applyFont="1" applyBorder="1"/>
    <xf numFmtId="0" fontId="11" fillId="0" borderId="14" xfId="3" applyBorder="1"/>
    <xf numFmtId="0" fontId="33" fillId="8" borderId="70" xfId="3" applyFont="1" applyFill="1" applyBorder="1" applyAlignment="1">
      <alignment vertical="center"/>
    </xf>
    <xf numFmtId="0" fontId="33" fillId="8" borderId="71" xfId="3" applyFont="1" applyFill="1" applyBorder="1" applyAlignment="1">
      <alignment vertical="center"/>
    </xf>
    <xf numFmtId="0" fontId="39" fillId="8" borderId="71" xfId="3" applyFont="1" applyFill="1" applyBorder="1" applyAlignment="1">
      <alignment vertical="center"/>
    </xf>
    <xf numFmtId="0" fontId="15" fillId="0" borderId="0" xfId="3" applyFont="1" applyAlignment="1">
      <alignment horizontal="left"/>
    </xf>
    <xf numFmtId="0" fontId="11" fillId="0" borderId="0" xfId="3" applyAlignment="1">
      <alignment horizontal="center" vertical="center"/>
    </xf>
    <xf numFmtId="9" fontId="11" fillId="0" borderId="0" xfId="4" applyFont="1" applyAlignment="1">
      <alignment horizontal="center" vertical="center"/>
    </xf>
    <xf numFmtId="0" fontId="43" fillId="0" borderId="0" xfId="3" applyFont="1"/>
    <xf numFmtId="0" fontId="28" fillId="0" borderId="0" xfId="3" applyFont="1" applyAlignment="1">
      <alignment horizontal="justify"/>
    </xf>
    <xf numFmtId="0" fontId="42" fillId="0" borderId="0" xfId="3" applyFont="1" applyAlignment="1">
      <alignment vertical="top"/>
    </xf>
    <xf numFmtId="0" fontId="11" fillId="0" borderId="0" xfId="3" applyAlignment="1">
      <alignment horizontal="justify" vertical="top" wrapText="1"/>
    </xf>
    <xf numFmtId="0" fontId="11" fillId="0" borderId="0" xfId="3" applyAlignment="1">
      <alignment horizontal="justify" wrapText="1"/>
    </xf>
    <xf numFmtId="0" fontId="11" fillId="0" borderId="0" xfId="3" applyAlignment="1">
      <alignment vertical="top"/>
    </xf>
    <xf numFmtId="0" fontId="11" fillId="0" borderId="0" xfId="3" applyAlignment="1">
      <alignment horizontal="justify" vertical="top"/>
    </xf>
    <xf numFmtId="0" fontId="11" fillId="0" borderId="0" xfId="3" quotePrefix="1" applyAlignment="1">
      <alignment horizontal="justify" vertical="top"/>
    </xf>
    <xf numFmtId="0" fontId="37" fillId="0" borderId="43" xfId="3" applyFont="1" applyBorder="1"/>
    <xf numFmtId="0" fontId="37" fillId="0" borderId="43" xfId="3" applyFont="1" applyBorder="1" applyAlignment="1">
      <alignment horizontal="left"/>
    </xf>
    <xf numFmtId="1" fontId="34" fillId="0" borderId="0" xfId="3" applyNumberFormat="1" applyFont="1" applyAlignment="1">
      <alignment horizontal="right" vertical="center"/>
    </xf>
    <xf numFmtId="1" fontId="44" fillId="0" borderId="0" xfId="3" applyNumberFormat="1" applyFont="1" applyAlignment="1">
      <alignment horizontal="right" vertical="center"/>
    </xf>
    <xf numFmtId="1" fontId="22" fillId="0" borderId="0" xfId="3" applyNumberFormat="1" applyFont="1" applyAlignment="1">
      <alignment horizontal="right" vertical="center"/>
    </xf>
    <xf numFmtId="0" fontId="36" fillId="0" borderId="0" xfId="3" applyFont="1"/>
    <xf numFmtId="0" fontId="11" fillId="0" borderId="19" xfId="3" applyBorder="1"/>
    <xf numFmtId="166" fontId="16" fillId="0" borderId="0" xfId="3" applyNumberFormat="1" applyFont="1" applyAlignment="1">
      <alignment horizontal="left"/>
    </xf>
    <xf numFmtId="166" fontId="11" fillId="0" borderId="0" xfId="3" applyNumberFormat="1"/>
    <xf numFmtId="173" fontId="16" fillId="0" borderId="0" xfId="3" applyNumberFormat="1" applyFont="1" applyAlignment="1">
      <alignment horizontal="left" vertical="center"/>
    </xf>
    <xf numFmtId="173" fontId="11" fillId="0" borderId="0" xfId="3" applyNumberFormat="1" applyAlignment="1">
      <alignment horizontal="left" vertical="center"/>
    </xf>
    <xf numFmtId="0" fontId="11" fillId="0" borderId="0" xfId="3" applyAlignment="1">
      <alignment horizontal="right"/>
    </xf>
    <xf numFmtId="0" fontId="11" fillId="0" borderId="0" xfId="3" applyAlignment="1">
      <alignment horizontal="left" vertical="center"/>
    </xf>
    <xf numFmtId="0" fontId="21" fillId="0" borderId="0" xfId="3" applyFont="1" applyAlignment="1">
      <alignment vertical="center"/>
    </xf>
    <xf numFmtId="0" fontId="21" fillId="8" borderId="70" xfId="3" applyFont="1" applyFill="1" applyBorder="1" applyAlignment="1">
      <alignment horizontal="left" vertical="center"/>
    </xf>
    <xf numFmtId="0" fontId="21" fillId="8" borderId="71" xfId="3" applyFont="1" applyFill="1" applyBorder="1" applyAlignment="1">
      <alignment horizontal="left" vertical="center"/>
    </xf>
    <xf numFmtId="0" fontId="21" fillId="8" borderId="71" xfId="3" applyFont="1" applyFill="1" applyBorder="1" applyAlignment="1">
      <alignment vertical="center"/>
    </xf>
    <xf numFmtId="0" fontId="21" fillId="0" borderId="0" xfId="3" applyFont="1" applyAlignment="1">
      <alignment horizontal="left" vertical="center"/>
    </xf>
    <xf numFmtId="2" fontId="16" fillId="0" borderId="0" xfId="3" applyNumberFormat="1" applyFont="1" applyAlignment="1">
      <alignment vertical="center"/>
    </xf>
    <xf numFmtId="2" fontId="16" fillId="0" borderId="0" xfId="3" applyNumberFormat="1" applyFont="1" applyAlignment="1">
      <alignment horizontal="left" vertical="center"/>
    </xf>
    <xf numFmtId="177" fontId="11" fillId="0" borderId="0" xfId="3" applyNumberFormat="1" applyAlignment="1">
      <alignment horizontal="right" vertical="center"/>
    </xf>
    <xf numFmtId="0" fontId="11" fillId="0" borderId="0" xfId="3" applyAlignment="1">
      <alignment horizontal="right" vertical="center"/>
    </xf>
    <xf numFmtId="0" fontId="11" fillId="0" borderId="0" xfId="3" quotePrefix="1" applyAlignment="1">
      <alignment horizontal="left" vertical="center"/>
    </xf>
    <xf numFmtId="0" fontId="46" fillId="0" borderId="0" xfId="3" applyFont="1" applyAlignment="1">
      <alignment horizontal="left" vertical="center"/>
    </xf>
    <xf numFmtId="0" fontId="47" fillId="0" borderId="0" xfId="3" applyFont="1" applyAlignment="1">
      <alignment horizontal="left" vertical="center"/>
    </xf>
    <xf numFmtId="0" fontId="29" fillId="0" borderId="0" xfId="3" applyFont="1" applyAlignment="1">
      <alignment horizontal="left" vertical="center"/>
    </xf>
    <xf numFmtId="0" fontId="29" fillId="0" borderId="0" xfId="3" applyFont="1" applyAlignment="1">
      <alignment horizontal="center" vertical="center"/>
    </xf>
    <xf numFmtId="177" fontId="21" fillId="0" borderId="0" xfId="3" applyNumberFormat="1" applyFont="1" applyAlignment="1">
      <alignment vertical="center"/>
    </xf>
    <xf numFmtId="177" fontId="16" fillId="0" borderId="0" xfId="3" applyNumberFormat="1" applyFont="1" applyAlignment="1">
      <alignment horizontal="center" vertical="center"/>
    </xf>
    <xf numFmtId="0" fontId="37" fillId="0" borderId="55" xfId="3" applyFont="1" applyBorder="1" applyAlignment="1">
      <alignment horizontal="left"/>
    </xf>
    <xf numFmtId="0" fontId="11" fillId="0" borderId="55" xfId="3" applyBorder="1"/>
    <xf numFmtId="0" fontId="11" fillId="0" borderId="71" xfId="3" applyBorder="1"/>
    <xf numFmtId="0" fontId="44" fillId="0" borderId="0" xfId="3" applyFont="1" applyAlignment="1">
      <alignment vertical="center" wrapText="1"/>
    </xf>
    <xf numFmtId="4" fontId="22" fillId="0" borderId="0" xfId="3" applyNumberFormat="1" applyFont="1" applyAlignment="1">
      <alignment vertical="center" wrapText="1"/>
    </xf>
    <xf numFmtId="0" fontId="48" fillId="0" borderId="0" xfId="3" applyFont="1" applyAlignment="1">
      <alignment vertical="center" wrapText="1"/>
    </xf>
    <xf numFmtId="4" fontId="34" fillId="8" borderId="40" xfId="3" applyNumberFormat="1" applyFont="1" applyFill="1" applyBorder="1" applyAlignment="1">
      <alignment vertical="center"/>
    </xf>
    <xf numFmtId="4" fontId="34" fillId="8" borderId="38" xfId="3" applyNumberFormat="1" applyFont="1" applyFill="1" applyBorder="1" applyAlignment="1">
      <alignment vertical="center"/>
    </xf>
    <xf numFmtId="4" fontId="21" fillId="8" borderId="38" xfId="3" applyNumberFormat="1" applyFont="1" applyFill="1" applyBorder="1" applyAlignment="1">
      <alignment vertical="center"/>
    </xf>
    <xf numFmtId="0" fontId="21" fillId="8" borderId="38" xfId="3" applyFont="1" applyFill="1" applyBorder="1" applyAlignment="1">
      <alignment vertical="center"/>
    </xf>
    <xf numFmtId="164" fontId="21" fillId="8" borderId="71" xfId="3" applyNumberFormat="1" applyFont="1" applyFill="1" applyBorder="1" applyAlignment="1">
      <alignment vertical="center"/>
    </xf>
    <xf numFmtId="2" fontId="12" fillId="0" borderId="0" xfId="3" applyNumberFormat="1" applyFont="1" applyAlignment="1">
      <alignment vertical="center"/>
    </xf>
    <xf numFmtId="2" fontId="50" fillId="0" borderId="0" xfId="3" applyNumberFormat="1" applyFont="1" applyAlignment="1">
      <alignment vertical="center"/>
    </xf>
    <xf numFmtId="0" fontId="50" fillId="0" borderId="0" xfId="3" quotePrefix="1" applyFont="1" applyAlignment="1">
      <alignment horizontal="left" vertical="center"/>
    </xf>
    <xf numFmtId="0" fontId="51" fillId="0" borderId="0" xfId="3" applyFont="1" applyAlignment="1">
      <alignment horizontal="left" vertical="center"/>
    </xf>
    <xf numFmtId="0" fontId="11" fillId="0" borderId="0" xfId="3" quotePrefix="1" applyAlignment="1">
      <alignment vertical="center" wrapText="1"/>
    </xf>
    <xf numFmtId="171" fontId="12" fillId="0" borderId="0" xfId="3" applyNumberFormat="1" applyFont="1" applyAlignment="1">
      <alignment horizontal="left"/>
    </xf>
    <xf numFmtId="0" fontId="12" fillId="0" borderId="0" xfId="3" applyFont="1" applyAlignment="1">
      <alignment horizontal="left"/>
    </xf>
    <xf numFmtId="0" fontId="34" fillId="8" borderId="38" xfId="3" applyFont="1" applyFill="1" applyBorder="1" applyAlignment="1">
      <alignment vertical="center"/>
    </xf>
    <xf numFmtId="0" fontId="34" fillId="8" borderId="39" xfId="3" applyFont="1" applyFill="1" applyBorder="1" applyAlignment="1">
      <alignment vertical="center"/>
    </xf>
    <xf numFmtId="164" fontId="21" fillId="0" borderId="0" xfId="3" applyNumberFormat="1" applyFont="1" applyAlignment="1">
      <alignment horizontal="center" vertical="center"/>
    </xf>
    <xf numFmtId="0" fontId="36" fillId="0" borderId="0" xfId="3" applyFont="1" applyAlignment="1">
      <alignment vertical="center"/>
    </xf>
    <xf numFmtId="0" fontId="36" fillId="5" borderId="0" xfId="3" applyFont="1" applyFill="1" applyAlignment="1">
      <alignment vertical="center"/>
    </xf>
    <xf numFmtId="0" fontId="36" fillId="5" borderId="55" xfId="3" applyFont="1" applyFill="1" applyBorder="1" applyAlignment="1">
      <alignment vertical="center"/>
    </xf>
    <xf numFmtId="0" fontId="11" fillId="5" borderId="0" xfId="3" applyFill="1"/>
    <xf numFmtId="0" fontId="36" fillId="0" borderId="0" xfId="3" applyFont="1" applyAlignment="1">
      <alignment horizontal="right" vertical="center"/>
    </xf>
    <xf numFmtId="0" fontId="53" fillId="5" borderId="0" xfId="3" applyFont="1" applyFill="1" applyAlignment="1">
      <alignment vertical="center"/>
    </xf>
    <xf numFmtId="0" fontId="53" fillId="5" borderId="0" xfId="3" applyFont="1" applyFill="1" applyAlignment="1">
      <alignment horizontal="left" vertical="center"/>
    </xf>
    <xf numFmtId="0" fontId="53" fillId="0" borderId="0" xfId="3" applyFont="1" applyAlignment="1">
      <alignment vertical="center"/>
    </xf>
    <xf numFmtId="0" fontId="36" fillId="5" borderId="102" xfId="3" applyFont="1" applyFill="1" applyBorder="1" applyAlignment="1">
      <alignment vertical="center"/>
    </xf>
    <xf numFmtId="0" fontId="56" fillId="0" borderId="0" xfId="3" applyFont="1" applyAlignment="1">
      <alignment vertical="center"/>
    </xf>
    <xf numFmtId="0" fontId="36" fillId="5" borderId="102" xfId="3" applyFont="1" applyFill="1" applyBorder="1" applyAlignment="1">
      <alignment horizontal="center" vertical="center"/>
    </xf>
    <xf numFmtId="0" fontId="36" fillId="5" borderId="101" xfId="3" applyFont="1" applyFill="1" applyBorder="1" applyAlignment="1">
      <alignment horizontal="right" vertical="center"/>
    </xf>
    <xf numFmtId="0" fontId="58" fillId="0" borderId="0" xfId="3" applyFont="1" applyAlignment="1">
      <alignment horizontal="center" vertical="center"/>
    </xf>
    <xf numFmtId="0" fontId="17" fillId="0" borderId="0" xfId="3" applyFont="1" applyAlignment="1">
      <alignment vertical="center"/>
    </xf>
    <xf numFmtId="0" fontId="36" fillId="5" borderId="0" xfId="3" applyFont="1" applyFill="1" applyAlignment="1">
      <alignment horizontal="center" vertical="center"/>
    </xf>
    <xf numFmtId="4" fontId="36" fillId="5" borderId="0" xfId="3" applyNumberFormat="1" applyFont="1" applyFill="1" applyAlignment="1">
      <alignment vertical="center"/>
    </xf>
    <xf numFmtId="0" fontId="36" fillId="5" borderId="0" xfId="3" applyFont="1" applyFill="1" applyAlignment="1">
      <alignment horizontal="right" vertical="center"/>
    </xf>
    <xf numFmtId="2" fontId="36" fillId="5" borderId="0" xfId="3" applyNumberFormat="1" applyFont="1" applyFill="1" applyAlignment="1">
      <alignment vertical="center"/>
    </xf>
    <xf numFmtId="0" fontId="36" fillId="0" borderId="0" xfId="3" applyFont="1" applyAlignment="1">
      <alignment horizontal="left" vertical="center"/>
    </xf>
    <xf numFmtId="4" fontId="36" fillId="0" borderId="0" xfId="3" applyNumberFormat="1" applyFont="1" applyAlignment="1">
      <alignment vertical="center"/>
    </xf>
    <xf numFmtId="0" fontId="36" fillId="5" borderId="0" xfId="3" applyFont="1" applyFill="1" applyAlignment="1">
      <alignment horizontal="left" vertical="center"/>
    </xf>
    <xf numFmtId="0" fontId="36" fillId="0" borderId="49" xfId="3" applyFont="1" applyBorder="1" applyAlignment="1">
      <alignment vertical="center"/>
    </xf>
    <xf numFmtId="0" fontId="36" fillId="0" borderId="50" xfId="3" applyFont="1" applyBorder="1" applyAlignment="1">
      <alignment vertical="center"/>
    </xf>
    <xf numFmtId="0" fontId="36" fillId="0" borderId="51" xfId="3" applyFont="1" applyBorder="1" applyAlignment="1">
      <alignment vertical="center"/>
    </xf>
    <xf numFmtId="0" fontId="36" fillId="0" borderId="52" xfId="3" applyFont="1" applyBorder="1" applyAlignment="1">
      <alignment vertical="center"/>
    </xf>
    <xf numFmtId="0" fontId="36" fillId="5" borderId="108" xfId="3" applyFont="1" applyFill="1" applyBorder="1" applyAlignment="1">
      <alignment vertical="center"/>
    </xf>
    <xf numFmtId="0" fontId="36" fillId="0" borderId="54" xfId="3" applyFont="1" applyBorder="1" applyAlignment="1">
      <alignment vertical="center"/>
    </xf>
    <xf numFmtId="0" fontId="36" fillId="0" borderId="55" xfId="3" applyFont="1" applyBorder="1" applyAlignment="1">
      <alignment vertical="center"/>
    </xf>
    <xf numFmtId="0" fontId="36" fillId="0" borderId="56" xfId="3" applyFont="1" applyBorder="1" applyAlignment="1">
      <alignment vertical="center"/>
    </xf>
    <xf numFmtId="0" fontId="36" fillId="5" borderId="106" xfId="3" applyFont="1" applyFill="1" applyBorder="1" applyAlignment="1">
      <alignment horizontal="center" vertical="center"/>
    </xf>
    <xf numFmtId="0" fontId="36" fillId="5" borderId="106" xfId="3" applyFont="1" applyFill="1" applyBorder="1" applyAlignment="1">
      <alignment vertical="center"/>
    </xf>
    <xf numFmtId="0" fontId="11" fillId="3" borderId="0" xfId="3" applyFill="1"/>
    <xf numFmtId="0" fontId="36" fillId="5" borderId="109" xfId="3" applyFont="1" applyFill="1" applyBorder="1" applyAlignment="1">
      <alignment vertical="center"/>
    </xf>
    <xf numFmtId="0" fontId="57" fillId="5" borderId="0" xfId="3" applyFont="1" applyFill="1" applyAlignment="1">
      <alignment vertical="center"/>
    </xf>
    <xf numFmtId="0" fontId="36" fillId="5" borderId="50" xfId="3" applyFont="1" applyFill="1" applyBorder="1" applyAlignment="1">
      <alignment vertical="center"/>
    </xf>
    <xf numFmtId="0" fontId="36" fillId="5" borderId="50" xfId="3" applyFont="1" applyFill="1" applyBorder="1" applyAlignment="1">
      <alignment horizontal="center" vertical="center"/>
    </xf>
    <xf numFmtId="0" fontId="36" fillId="5" borderId="110" xfId="3" applyFont="1" applyFill="1" applyBorder="1" applyAlignment="1">
      <alignment vertical="center"/>
    </xf>
    <xf numFmtId="0" fontId="17" fillId="3" borderId="0" xfId="3" applyFont="1" applyFill="1" applyAlignment="1">
      <alignment vertical="center"/>
    </xf>
    <xf numFmtId="0" fontId="36" fillId="3" borderId="0" xfId="3" applyFont="1" applyFill="1" applyAlignment="1">
      <alignment vertical="center"/>
    </xf>
    <xf numFmtId="0" fontId="36" fillId="5" borderId="49" xfId="3" applyFont="1" applyFill="1" applyBorder="1" applyAlignment="1">
      <alignment vertical="center"/>
    </xf>
    <xf numFmtId="0" fontId="36" fillId="5" borderId="51" xfId="3" applyFont="1" applyFill="1" applyBorder="1" applyAlignment="1">
      <alignment vertical="center"/>
    </xf>
    <xf numFmtId="0" fontId="36" fillId="5" borderId="52" xfId="3" applyFont="1" applyFill="1" applyBorder="1" applyAlignment="1">
      <alignment vertical="center"/>
    </xf>
    <xf numFmtId="0" fontId="36" fillId="5" borderId="53" xfId="3" applyFont="1" applyFill="1" applyBorder="1" applyAlignment="1">
      <alignment vertical="center"/>
    </xf>
    <xf numFmtId="0" fontId="36" fillId="5" borderId="54" xfId="3" applyFont="1" applyFill="1" applyBorder="1" applyAlignment="1">
      <alignment vertical="center"/>
    </xf>
    <xf numFmtId="0" fontId="36" fillId="5" borderId="55" xfId="3" applyFont="1" applyFill="1" applyBorder="1" applyAlignment="1">
      <alignment horizontal="center" vertical="center"/>
    </xf>
    <xf numFmtId="0" fontId="17" fillId="5" borderId="0" xfId="3" applyFont="1" applyFill="1" applyAlignment="1">
      <alignment vertical="center"/>
    </xf>
    <xf numFmtId="0" fontId="17" fillId="5" borderId="50" xfId="3" applyFont="1" applyFill="1" applyBorder="1" applyAlignment="1">
      <alignment vertical="center"/>
    </xf>
    <xf numFmtId="0" fontId="17" fillId="5" borderId="49" xfId="3" applyFont="1" applyFill="1" applyBorder="1" applyAlignment="1">
      <alignment vertical="center"/>
    </xf>
    <xf numFmtId="0" fontId="36" fillId="5" borderId="56" xfId="3" applyFont="1" applyFill="1" applyBorder="1" applyAlignment="1">
      <alignment vertical="center"/>
    </xf>
    <xf numFmtId="0" fontId="36" fillId="5" borderId="55" xfId="3" applyFont="1" applyFill="1" applyBorder="1" applyAlignment="1">
      <alignment horizontal="right" vertical="center"/>
    </xf>
    <xf numFmtId="0" fontId="17" fillId="5" borderId="52" xfId="3" applyFont="1" applyFill="1" applyBorder="1" applyAlignment="1">
      <alignment vertical="center"/>
    </xf>
    <xf numFmtId="0" fontId="36" fillId="0" borderId="111" xfId="3" applyFont="1" applyBorder="1" applyAlignment="1">
      <alignment horizontal="center" vertical="center"/>
    </xf>
    <xf numFmtId="0" fontId="36" fillId="0" borderId="105" xfId="3" applyFont="1" applyBorder="1" applyAlignment="1">
      <alignment vertical="center"/>
    </xf>
    <xf numFmtId="0" fontId="62" fillId="0" borderId="93" xfId="3" applyFont="1" applyBorder="1" applyAlignment="1">
      <alignment horizontal="left" indent="1"/>
    </xf>
    <xf numFmtId="0" fontId="63" fillId="0" borderId="93" xfId="3" applyFont="1" applyBorder="1"/>
    <xf numFmtId="0" fontId="11" fillId="0" borderId="93" xfId="3" applyBorder="1"/>
    <xf numFmtId="186" fontId="62" fillId="0" borderId="0" xfId="3" quotePrefix="1" applyNumberFormat="1" applyFont="1"/>
    <xf numFmtId="186" fontId="62" fillId="0" borderId="0" xfId="3" applyNumberFormat="1" applyFont="1" applyAlignment="1">
      <alignment horizontal="left" indent="1"/>
    </xf>
    <xf numFmtId="186" fontId="62" fillId="0" borderId="0" xfId="3" applyNumberFormat="1" applyFont="1"/>
    <xf numFmtId="0" fontId="62" fillId="0" borderId="0" xfId="3" applyFont="1" applyAlignment="1">
      <alignment horizontal="left" indent="1"/>
    </xf>
    <xf numFmtId="0" fontId="56" fillId="0" borderId="0" xfId="3" applyFont="1"/>
    <xf numFmtId="187" fontId="62" fillId="0" borderId="0" xfId="3" applyNumberFormat="1" applyFont="1"/>
    <xf numFmtId="0" fontId="62" fillId="0" borderId="0" xfId="3" applyFont="1"/>
    <xf numFmtId="0" fontId="62" fillId="0" borderId="34" xfId="3" applyFont="1" applyBorder="1" applyAlignment="1">
      <alignment horizontal="left" indent="1"/>
    </xf>
    <xf numFmtId="0" fontId="62" fillId="0" borderId="0" xfId="3" applyFont="1" applyAlignment="1">
      <alignment horizontal="center"/>
    </xf>
    <xf numFmtId="187" fontId="62" fillId="0" borderId="0" xfId="3" applyNumberFormat="1" applyFont="1" applyAlignment="1">
      <alignment vertical="top"/>
    </xf>
    <xf numFmtId="187" fontId="62" fillId="0" borderId="0" xfId="3" applyNumberFormat="1" applyFont="1" applyAlignment="1">
      <alignment vertical="top" wrapText="1"/>
    </xf>
    <xf numFmtId="187" fontId="62" fillId="0" borderId="0" xfId="3" applyNumberFormat="1" applyFont="1" applyAlignment="1">
      <alignment horizontal="left" indent="1"/>
    </xf>
    <xf numFmtId="0" fontId="64" fillId="0" borderId="0" xfId="3" applyFont="1" applyAlignment="1">
      <alignment vertical="top"/>
    </xf>
    <xf numFmtId="1" fontId="0" fillId="4" borderId="1" xfId="0" applyNumberFormat="1" applyFill="1" applyBorder="1" applyAlignment="1" applyProtection="1">
      <alignment horizontal="center" vertical="center"/>
      <protection locked="0"/>
    </xf>
    <xf numFmtId="0" fontId="5" fillId="0" borderId="0" xfId="2" applyFill="1" applyAlignment="1">
      <alignment horizontal="left" indent="1"/>
    </xf>
    <xf numFmtId="0" fontId="2" fillId="2" borderId="0" xfId="0" applyFont="1" applyFill="1" applyAlignment="1" applyProtection="1">
      <alignment vertical="center"/>
      <protection locked="0" hidden="1"/>
    </xf>
    <xf numFmtId="0" fontId="2" fillId="0" borderId="0" xfId="0" applyFont="1" applyAlignment="1" applyProtection="1">
      <alignment vertical="center"/>
      <protection locked="0" hidden="1"/>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4" fontId="2" fillId="2" borderId="0" xfId="0" applyNumberFormat="1" applyFont="1" applyFill="1" applyAlignment="1" applyProtection="1">
      <alignment vertical="center"/>
      <protection locked="0" hidden="1"/>
    </xf>
    <xf numFmtId="186" fontId="62" fillId="0" borderId="0" xfId="3" quotePrefix="1" applyNumberFormat="1" applyFont="1" applyAlignment="1">
      <alignment horizontal="left" indent="1"/>
    </xf>
    <xf numFmtId="186" fontId="62" fillId="0" borderId="0" xfId="3" applyNumberFormat="1" applyFont="1" applyAlignment="1">
      <alignment horizontal="right"/>
    </xf>
    <xf numFmtId="4" fontId="34" fillId="8" borderId="40" xfId="3" applyNumberFormat="1" applyFont="1" applyFill="1" applyBorder="1" applyAlignment="1">
      <alignment horizontal="left" vertical="center"/>
    </xf>
    <xf numFmtId="4" fontId="34" fillId="8" borderId="38" xfId="3" applyNumberFormat="1" applyFont="1" applyFill="1" applyBorder="1" applyAlignment="1">
      <alignment horizontal="left" vertical="center"/>
    </xf>
    <xf numFmtId="4" fontId="34" fillId="8" borderId="39" xfId="3" applyNumberFormat="1" applyFont="1" applyFill="1" applyBorder="1" applyAlignment="1">
      <alignment horizontal="left" vertical="center"/>
    </xf>
    <xf numFmtId="184" fontId="34" fillId="8" borderId="41" xfId="3" applyNumberFormat="1" applyFont="1" applyFill="1" applyBorder="1" applyAlignment="1">
      <alignment horizontal="center" vertical="center"/>
    </xf>
    <xf numFmtId="184" fontId="34" fillId="8" borderId="40" xfId="3" applyNumberFormat="1" applyFont="1" applyFill="1" applyBorder="1" applyAlignment="1">
      <alignment horizontal="center" vertical="center"/>
    </xf>
    <xf numFmtId="184" fontId="34" fillId="8" borderId="38" xfId="3" applyNumberFormat="1" applyFont="1" applyFill="1" applyBorder="1" applyAlignment="1">
      <alignment horizontal="center" vertical="center"/>
    </xf>
    <xf numFmtId="184" fontId="34" fillId="8" borderId="39" xfId="3" applyNumberFormat="1" applyFont="1" applyFill="1" applyBorder="1" applyAlignment="1">
      <alignment horizontal="center" vertical="center"/>
    </xf>
    <xf numFmtId="4" fontId="34" fillId="8" borderId="40" xfId="3" applyNumberFormat="1" applyFont="1" applyFill="1" applyBorder="1" applyAlignment="1">
      <alignment horizontal="center" vertical="center"/>
    </xf>
    <xf numFmtId="4" fontId="34" fillId="8" borderId="38" xfId="3" applyNumberFormat="1" applyFont="1" applyFill="1" applyBorder="1" applyAlignment="1">
      <alignment horizontal="center" vertical="center"/>
    </xf>
    <xf numFmtId="180" fontId="34" fillId="8" borderId="41" xfId="3" applyNumberFormat="1" applyFont="1" applyFill="1" applyBorder="1" applyAlignment="1">
      <alignment horizontal="center" vertical="center"/>
    </xf>
    <xf numFmtId="4" fontId="48" fillId="0" borderId="34" xfId="3" applyNumberFormat="1" applyFont="1" applyBorder="1" applyAlignment="1">
      <alignment horizontal="left" vertical="center" wrapText="1"/>
    </xf>
    <xf numFmtId="4" fontId="48" fillId="0" borderId="32" xfId="3" applyNumberFormat="1" applyFont="1" applyBorder="1" applyAlignment="1">
      <alignment horizontal="left" vertical="center" wrapText="1"/>
    </xf>
    <xf numFmtId="4" fontId="48" fillId="0" borderId="33" xfId="3" applyNumberFormat="1" applyFont="1" applyBorder="1" applyAlignment="1">
      <alignment horizontal="left" vertical="center" wrapText="1"/>
    </xf>
    <xf numFmtId="184" fontId="22" fillId="0" borderId="35" xfId="3" applyNumberFormat="1" applyFont="1" applyBorder="1" applyAlignment="1">
      <alignment horizontal="center" vertical="center"/>
    </xf>
    <xf numFmtId="184" fontId="12" fillId="0" borderId="35" xfId="3" applyNumberFormat="1" applyFont="1" applyBorder="1" applyAlignment="1">
      <alignment horizontal="center" vertical="center"/>
    </xf>
    <xf numFmtId="184" fontId="12" fillId="0" borderId="34" xfId="3" applyNumberFormat="1" applyFont="1" applyBorder="1" applyAlignment="1">
      <alignment horizontal="center" vertical="center"/>
    </xf>
    <xf numFmtId="184" fontId="12" fillId="0" borderId="32" xfId="3" applyNumberFormat="1" applyFont="1" applyBorder="1" applyAlignment="1">
      <alignment horizontal="center" vertical="center"/>
    </xf>
    <xf numFmtId="184" fontId="12" fillId="0" borderId="33" xfId="3" applyNumberFormat="1" applyFont="1" applyBorder="1" applyAlignment="1">
      <alignment horizontal="center" vertical="center"/>
    </xf>
    <xf numFmtId="179" fontId="22" fillId="0" borderId="34" xfId="3" applyNumberFormat="1" applyFont="1" applyBorder="1" applyAlignment="1">
      <alignment horizontal="center" vertical="center"/>
    </xf>
    <xf numFmtId="179" fontId="22" fillId="0" borderId="32" xfId="3" applyNumberFormat="1" applyFont="1" applyBorder="1" applyAlignment="1">
      <alignment horizontal="center" vertical="center"/>
    </xf>
    <xf numFmtId="180" fontId="22" fillId="0" borderId="35" xfId="3" applyNumberFormat="1" applyFont="1" applyBorder="1" applyAlignment="1">
      <alignment horizontal="center" vertical="center"/>
    </xf>
    <xf numFmtId="0" fontId="11" fillId="0" borderId="0" xfId="3" applyAlignment="1">
      <alignment horizontal="justify" wrapText="1"/>
    </xf>
    <xf numFmtId="0" fontId="11" fillId="0" borderId="0" xfId="3" applyAlignment="1">
      <alignment horizontal="justify"/>
    </xf>
    <xf numFmtId="0" fontId="11" fillId="0" borderId="0" xfId="3"/>
    <xf numFmtId="0" fontId="21" fillId="8" borderId="34" xfId="3" applyFont="1" applyFill="1" applyBorder="1" applyAlignment="1">
      <alignment horizontal="center" vertical="center" wrapText="1"/>
    </xf>
    <xf numFmtId="0" fontId="21" fillId="8" borderId="32" xfId="3" applyFont="1" applyFill="1" applyBorder="1" applyAlignment="1">
      <alignment horizontal="center" vertical="center" wrapText="1"/>
    </xf>
    <xf numFmtId="0" fontId="44" fillId="8" borderId="35" xfId="3" applyFont="1" applyFill="1" applyBorder="1" applyAlignment="1">
      <alignment horizontal="center" vertical="center" wrapText="1"/>
    </xf>
    <xf numFmtId="0" fontId="44" fillId="8" borderId="34" xfId="3" applyFont="1" applyFill="1" applyBorder="1" applyAlignment="1">
      <alignment horizontal="center" vertical="center" wrapText="1"/>
    </xf>
    <xf numFmtId="0" fontId="44" fillId="8" borderId="32" xfId="3" applyFont="1" applyFill="1" applyBorder="1" applyAlignment="1">
      <alignment horizontal="center" vertical="center" wrapText="1"/>
    </xf>
    <xf numFmtId="0" fontId="44" fillId="8" borderId="33" xfId="3" applyFont="1" applyFill="1" applyBorder="1" applyAlignment="1">
      <alignment horizontal="center" vertical="center" wrapText="1"/>
    </xf>
    <xf numFmtId="4" fontId="22" fillId="0" borderId="70" xfId="3" quotePrefix="1" applyNumberFormat="1" applyFont="1" applyBorder="1" applyAlignment="1">
      <alignment horizontal="left" vertical="center"/>
    </xf>
    <xf numFmtId="4" fontId="22" fillId="0" borderId="71" xfId="3" quotePrefix="1" applyNumberFormat="1" applyFont="1" applyBorder="1" applyAlignment="1">
      <alignment horizontal="left" vertical="center"/>
    </xf>
    <xf numFmtId="4" fontId="22" fillId="0" borderId="72" xfId="3" quotePrefix="1" applyNumberFormat="1" applyFont="1" applyBorder="1" applyAlignment="1">
      <alignment horizontal="left" vertical="center"/>
    </xf>
    <xf numFmtId="185" fontId="18" fillId="0" borderId="70" xfId="3" applyNumberFormat="1" applyFont="1" applyBorder="1" applyAlignment="1">
      <alignment horizontal="center" vertical="center"/>
    </xf>
    <xf numFmtId="185" fontId="18" fillId="0" borderId="71" xfId="3" applyNumberFormat="1" applyFont="1" applyBorder="1" applyAlignment="1">
      <alignment horizontal="center" vertical="center"/>
    </xf>
    <xf numFmtId="185" fontId="18" fillId="0" borderId="72" xfId="3" applyNumberFormat="1" applyFont="1" applyBorder="1" applyAlignment="1">
      <alignment horizontal="center" vertical="center"/>
    </xf>
    <xf numFmtId="10" fontId="18" fillId="0" borderId="70" xfId="4" applyNumberFormat="1" applyFont="1" applyBorder="1" applyAlignment="1">
      <alignment horizontal="center" vertical="center"/>
    </xf>
    <xf numFmtId="10" fontId="18" fillId="0" borderId="71" xfId="4" applyNumberFormat="1" applyFont="1" applyBorder="1" applyAlignment="1">
      <alignment horizontal="center" vertical="center"/>
    </xf>
    <xf numFmtId="10" fontId="18" fillId="0" borderId="72" xfId="4" applyNumberFormat="1" applyFont="1" applyBorder="1" applyAlignment="1">
      <alignment horizontal="center" vertical="center"/>
    </xf>
    <xf numFmtId="182" fontId="18" fillId="0" borderId="70" xfId="3" applyNumberFormat="1" applyFont="1" applyBorder="1" applyAlignment="1">
      <alignment horizontal="center" vertical="center"/>
    </xf>
    <xf numFmtId="182" fontId="18" fillId="0" borderId="71" xfId="3" applyNumberFormat="1" applyFont="1" applyBorder="1" applyAlignment="1">
      <alignment horizontal="center" vertical="center"/>
    </xf>
    <xf numFmtId="182" fontId="18" fillId="0" borderId="72" xfId="3" applyNumberFormat="1" applyFont="1" applyBorder="1" applyAlignment="1">
      <alignment horizontal="center" vertical="center"/>
    </xf>
    <xf numFmtId="182" fontId="21" fillId="8" borderId="93" xfId="3" applyNumberFormat="1" applyFont="1" applyFill="1" applyBorder="1" applyAlignment="1">
      <alignment horizontal="center" vertical="center"/>
    </xf>
    <xf numFmtId="182" fontId="21" fillId="8" borderId="94" xfId="3" applyNumberFormat="1" applyFont="1" applyFill="1" applyBorder="1" applyAlignment="1">
      <alignment horizontal="center" vertical="center"/>
    </xf>
    <xf numFmtId="173" fontId="16" fillId="0" borderId="0" xfId="3" applyNumberFormat="1" applyFont="1" applyAlignment="1">
      <alignment horizontal="left"/>
    </xf>
    <xf numFmtId="173" fontId="11" fillId="0" borderId="0" xfId="3" applyNumberFormat="1" applyAlignment="1">
      <alignment horizontal="left"/>
    </xf>
    <xf numFmtId="184" fontId="21" fillId="8" borderId="71" xfId="3" applyNumberFormat="1" applyFont="1" applyFill="1" applyBorder="1" applyAlignment="1">
      <alignment horizontal="center" vertical="center"/>
    </xf>
    <xf numFmtId="184" fontId="21" fillId="8" borderId="34" xfId="3" applyNumberFormat="1" applyFont="1" applyFill="1" applyBorder="1" applyAlignment="1">
      <alignment horizontal="center" vertical="center"/>
    </xf>
    <xf numFmtId="184" fontId="21" fillId="8" borderId="32" xfId="3" applyNumberFormat="1" applyFont="1" applyFill="1" applyBorder="1" applyAlignment="1">
      <alignment horizontal="center" vertical="center"/>
    </xf>
    <xf numFmtId="184" fontId="21" fillId="8" borderId="33" xfId="3" applyNumberFormat="1" applyFont="1" applyFill="1" applyBorder="1" applyAlignment="1">
      <alignment horizontal="center" vertical="center"/>
    </xf>
    <xf numFmtId="0" fontId="34" fillId="8" borderId="70" xfId="3" applyFont="1" applyFill="1" applyBorder="1" applyAlignment="1">
      <alignment horizontal="center" vertical="center"/>
    </xf>
    <xf numFmtId="0" fontId="34" fillId="8" borderId="71" xfId="3" applyFont="1" applyFill="1" applyBorder="1" applyAlignment="1">
      <alignment horizontal="center" vertical="center"/>
    </xf>
    <xf numFmtId="0" fontId="34" fillId="8" borderId="72" xfId="3" applyFont="1" applyFill="1" applyBorder="1" applyAlignment="1">
      <alignment horizontal="center" vertical="center"/>
    </xf>
    <xf numFmtId="0" fontId="34" fillId="8" borderId="70" xfId="3" applyFont="1" applyFill="1" applyBorder="1" applyAlignment="1">
      <alignment horizontal="center" vertical="center" wrapText="1"/>
    </xf>
    <xf numFmtId="0" fontId="34" fillId="8" borderId="71" xfId="3" applyFont="1" applyFill="1" applyBorder="1" applyAlignment="1">
      <alignment horizontal="center" vertical="center" wrapText="1"/>
    </xf>
    <xf numFmtId="0" fontId="34" fillId="8" borderId="72" xfId="3" applyFont="1" applyFill="1" applyBorder="1" applyAlignment="1">
      <alignment horizontal="center" vertical="center" wrapText="1"/>
    </xf>
    <xf numFmtId="2" fontId="18" fillId="0" borderId="70" xfId="3" applyNumberFormat="1" applyFont="1" applyBorder="1" applyAlignment="1">
      <alignment horizontal="right" vertical="center"/>
    </xf>
    <xf numFmtId="0" fontId="18" fillId="0" borderId="71" xfId="3" applyFont="1" applyBorder="1" applyAlignment="1">
      <alignment horizontal="right" vertical="center"/>
    </xf>
    <xf numFmtId="0" fontId="18" fillId="0" borderId="71" xfId="3" applyFont="1" applyBorder="1" applyAlignment="1">
      <alignment horizontal="left" vertical="center"/>
    </xf>
    <xf numFmtId="0" fontId="18" fillId="0" borderId="72" xfId="3" applyFont="1" applyBorder="1" applyAlignment="1">
      <alignment horizontal="left" vertical="center"/>
    </xf>
    <xf numFmtId="184" fontId="22" fillId="0" borderId="70" xfId="3" applyNumberFormat="1" applyFont="1" applyBorder="1" applyAlignment="1">
      <alignment horizontal="right" vertical="center"/>
    </xf>
    <xf numFmtId="184" fontId="22" fillId="0" borderId="71" xfId="3" applyNumberFormat="1" applyFont="1" applyBorder="1" applyAlignment="1">
      <alignment horizontal="right" vertical="center"/>
    </xf>
    <xf numFmtId="184" fontId="18" fillId="0" borderId="34" xfId="3" applyNumberFormat="1" applyFont="1" applyBorder="1" applyAlignment="1">
      <alignment horizontal="center" vertical="center"/>
    </xf>
    <xf numFmtId="184" fontId="18" fillId="0" borderId="32" xfId="3" applyNumberFormat="1" applyFont="1" applyBorder="1" applyAlignment="1">
      <alignment horizontal="center" vertical="center"/>
    </xf>
    <xf numFmtId="184" fontId="18" fillId="0" borderId="33" xfId="3" applyNumberFormat="1" applyFont="1" applyBorder="1" applyAlignment="1">
      <alignment horizontal="center" vertical="center"/>
    </xf>
    <xf numFmtId="0" fontId="11" fillId="0" borderId="0" xfId="3" applyAlignment="1">
      <alignment horizontal="left"/>
    </xf>
    <xf numFmtId="0" fontId="34" fillId="8" borderId="34" xfId="3" applyFont="1" applyFill="1" applyBorder="1" applyAlignment="1">
      <alignment horizontal="center" vertical="center" wrapText="1"/>
    </xf>
    <xf numFmtId="0" fontId="34" fillId="8" borderId="32" xfId="3" applyFont="1" applyFill="1" applyBorder="1" applyAlignment="1">
      <alignment horizontal="center" vertical="center" wrapText="1"/>
    </xf>
    <xf numFmtId="0" fontId="34" fillId="8" borderId="33" xfId="3" applyFont="1" applyFill="1" applyBorder="1" applyAlignment="1">
      <alignment horizontal="center" vertical="center" wrapText="1"/>
    </xf>
    <xf numFmtId="9" fontId="22" fillId="0" borderId="34" xfId="4" applyFont="1" applyBorder="1" applyAlignment="1">
      <alignment horizontal="right" vertical="center"/>
    </xf>
    <xf numFmtId="9" fontId="22" fillId="0" borderId="32" xfId="4" applyFont="1" applyBorder="1" applyAlignment="1">
      <alignment horizontal="right" vertical="center"/>
    </xf>
    <xf numFmtId="9" fontId="22" fillId="0" borderId="33" xfId="4" applyFont="1" applyBorder="1" applyAlignment="1">
      <alignment horizontal="right" vertical="center"/>
    </xf>
    <xf numFmtId="180" fontId="22" fillId="0" borderId="34" xfId="3" applyNumberFormat="1" applyFont="1" applyBorder="1" applyAlignment="1">
      <alignment horizontal="right" vertical="center"/>
    </xf>
    <xf numFmtId="180" fontId="22" fillId="0" borderId="32" xfId="3" applyNumberFormat="1" applyFont="1" applyBorder="1" applyAlignment="1">
      <alignment horizontal="right" vertical="center"/>
    </xf>
    <xf numFmtId="180" fontId="22" fillId="0" borderId="33" xfId="3" applyNumberFormat="1" applyFont="1" applyBorder="1" applyAlignment="1">
      <alignment horizontal="right" vertical="center"/>
    </xf>
    <xf numFmtId="180" fontId="21" fillId="8" borderId="40" xfId="3" applyNumberFormat="1" applyFont="1" applyFill="1" applyBorder="1" applyAlignment="1">
      <alignment horizontal="center" vertical="center"/>
    </xf>
    <xf numFmtId="180" fontId="21" fillId="8" borderId="38" xfId="3" applyNumberFormat="1" applyFont="1" applyFill="1" applyBorder="1" applyAlignment="1">
      <alignment horizontal="center" vertical="center"/>
    </xf>
    <xf numFmtId="180" fontId="21" fillId="8" borderId="39" xfId="3" applyNumberFormat="1" applyFont="1" applyFill="1" applyBorder="1" applyAlignment="1">
      <alignment horizontal="center" vertical="center"/>
    </xf>
    <xf numFmtId="180" fontId="21" fillId="8" borderId="41" xfId="3" applyNumberFormat="1" applyFont="1" applyFill="1" applyBorder="1" applyAlignment="1">
      <alignment horizontal="right" vertical="center"/>
    </xf>
    <xf numFmtId="180" fontId="21" fillId="8" borderId="40" xfId="3" applyNumberFormat="1" applyFont="1" applyFill="1" applyBorder="1" applyAlignment="1">
      <alignment horizontal="right" vertical="center"/>
    </xf>
    <xf numFmtId="180" fontId="21" fillId="8" borderId="41" xfId="3" applyNumberFormat="1" applyFont="1" applyFill="1" applyBorder="1" applyAlignment="1">
      <alignment horizontal="center" vertical="center"/>
    </xf>
    <xf numFmtId="180" fontId="44" fillId="8" borderId="40" xfId="3" applyNumberFormat="1" applyFont="1" applyFill="1" applyBorder="1" applyAlignment="1">
      <alignment horizontal="right" vertical="center"/>
    </xf>
    <xf numFmtId="180" fontId="44" fillId="8" borderId="38" xfId="3" applyNumberFormat="1" applyFont="1" applyFill="1" applyBorder="1" applyAlignment="1">
      <alignment horizontal="right" vertical="center"/>
    </xf>
    <xf numFmtId="180" fontId="34" fillId="8" borderId="40" xfId="3" applyNumberFormat="1" applyFont="1" applyFill="1" applyBorder="1" applyAlignment="1">
      <alignment horizontal="right" vertical="center"/>
    </xf>
    <xf numFmtId="180" fontId="34" fillId="8" borderId="38" xfId="3" applyNumberFormat="1" applyFont="1" applyFill="1" applyBorder="1" applyAlignment="1">
      <alignment horizontal="right" vertical="center"/>
    </xf>
    <xf numFmtId="9" fontId="34" fillId="8" borderId="40" xfId="3" applyNumberFormat="1" applyFont="1" applyFill="1" applyBorder="1" applyAlignment="1">
      <alignment horizontal="right" vertical="center"/>
    </xf>
    <xf numFmtId="0" fontId="34" fillId="8" borderId="38" xfId="3" applyFont="1" applyFill="1" applyBorder="1" applyAlignment="1">
      <alignment horizontal="right" vertical="center"/>
    </xf>
    <xf numFmtId="180" fontId="34" fillId="8" borderId="39" xfId="3" applyNumberFormat="1" applyFont="1" applyFill="1" applyBorder="1" applyAlignment="1">
      <alignment horizontal="right" vertical="center"/>
    </xf>
    <xf numFmtId="4" fontId="34" fillId="0" borderId="34" xfId="3" quotePrefix="1" applyNumberFormat="1" applyFont="1" applyBorder="1" applyAlignment="1">
      <alignment vertical="center"/>
    </xf>
    <xf numFmtId="4" fontId="34" fillId="0" borderId="32" xfId="3" quotePrefix="1" applyNumberFormat="1" applyFont="1" applyBorder="1" applyAlignment="1">
      <alignment vertical="center"/>
    </xf>
    <xf numFmtId="4" fontId="34" fillId="0" borderId="33" xfId="3" quotePrefix="1" applyNumberFormat="1" applyFont="1" applyBorder="1" applyAlignment="1">
      <alignment vertical="center"/>
    </xf>
    <xf numFmtId="4" fontId="22" fillId="0" borderId="67" xfId="3" applyNumberFormat="1" applyFont="1" applyBorder="1" applyAlignment="1">
      <alignment vertical="center"/>
    </xf>
    <xf numFmtId="4" fontId="22" fillId="0" borderId="68" xfId="3" applyNumberFormat="1" applyFont="1" applyBorder="1" applyAlignment="1">
      <alignment vertical="center"/>
    </xf>
    <xf numFmtId="4" fontId="22" fillId="0" borderId="59" xfId="3" applyNumberFormat="1" applyFont="1" applyBorder="1" applyAlignment="1">
      <alignment vertical="center"/>
    </xf>
    <xf numFmtId="4" fontId="22" fillId="0" borderId="35" xfId="3" applyNumberFormat="1" applyFont="1" applyBorder="1" applyAlignment="1">
      <alignment horizontal="right" vertical="center"/>
    </xf>
    <xf numFmtId="180" fontId="22" fillId="0" borderId="34" xfId="3" applyNumberFormat="1" applyFont="1" applyBorder="1" applyAlignment="1">
      <alignment horizontal="center" vertical="center"/>
    </xf>
    <xf numFmtId="180" fontId="22" fillId="0" borderId="32" xfId="3" applyNumberFormat="1" applyFont="1" applyBorder="1" applyAlignment="1">
      <alignment horizontal="center" vertical="center"/>
    </xf>
    <xf numFmtId="180" fontId="22" fillId="0" borderId="33" xfId="3" applyNumberFormat="1" applyFont="1" applyBorder="1" applyAlignment="1">
      <alignment horizontal="center" vertical="center"/>
    </xf>
    <xf numFmtId="4" fontId="22" fillId="0" borderId="34" xfId="3" quotePrefix="1" applyNumberFormat="1" applyFont="1" applyBorder="1" applyAlignment="1">
      <alignment vertical="center" wrapText="1"/>
    </xf>
    <xf numFmtId="4" fontId="22" fillId="0" borderId="32" xfId="3" quotePrefix="1" applyNumberFormat="1" applyFont="1" applyBorder="1" applyAlignment="1">
      <alignment vertical="center" wrapText="1"/>
    </xf>
    <xf numFmtId="4" fontId="22" fillId="0" borderId="33" xfId="3" quotePrefix="1" applyNumberFormat="1" applyFont="1" applyBorder="1" applyAlignment="1">
      <alignment vertical="center" wrapText="1"/>
    </xf>
    <xf numFmtId="4" fontId="34" fillId="0" borderId="34" xfId="3" quotePrefix="1" applyNumberFormat="1" applyFont="1" applyBorder="1" applyAlignment="1">
      <alignment vertical="center" wrapText="1"/>
    </xf>
    <xf numFmtId="4" fontId="34" fillId="0" borderId="32" xfId="3" quotePrefix="1" applyNumberFormat="1" applyFont="1" applyBorder="1" applyAlignment="1">
      <alignment vertical="center" wrapText="1"/>
    </xf>
    <xf numFmtId="4" fontId="34" fillId="0" borderId="33" xfId="3" quotePrefix="1" applyNumberFormat="1" applyFont="1" applyBorder="1" applyAlignment="1">
      <alignment vertical="center" wrapText="1"/>
    </xf>
    <xf numFmtId="178" fontId="22" fillId="0" borderId="34" xfId="3" applyNumberFormat="1" applyFont="1" applyBorder="1" applyAlignment="1">
      <alignment horizontal="center" vertical="center"/>
    </xf>
    <xf numFmtId="178" fontId="22" fillId="0" borderId="32" xfId="3" applyNumberFormat="1" applyFont="1" applyBorder="1" applyAlignment="1">
      <alignment horizontal="center" vertical="center"/>
    </xf>
    <xf numFmtId="178" fontId="22" fillId="0" borderId="33" xfId="3" applyNumberFormat="1" applyFont="1" applyBorder="1" applyAlignment="1">
      <alignment horizontal="center" vertical="center"/>
    </xf>
    <xf numFmtId="0" fontId="34" fillId="8" borderId="35" xfId="3" applyFont="1" applyFill="1" applyBorder="1" applyAlignment="1">
      <alignment horizontal="center" vertical="center" wrapText="1"/>
    </xf>
    <xf numFmtId="4" fontId="22" fillId="0" borderId="34" xfId="3" applyNumberFormat="1" applyFont="1" applyBorder="1" applyAlignment="1">
      <alignment horizontal="justify" vertical="center"/>
    </xf>
    <xf numFmtId="4" fontId="22" fillId="0" borderId="32" xfId="3" applyNumberFormat="1" applyFont="1" applyBorder="1" applyAlignment="1">
      <alignment horizontal="justify" vertical="center"/>
    </xf>
    <xf numFmtId="4" fontId="18" fillId="0" borderId="35" xfId="3" applyNumberFormat="1" applyFont="1" applyBorder="1" applyAlignment="1">
      <alignment horizontal="center" vertical="center"/>
    </xf>
    <xf numFmtId="180" fontId="18" fillId="0" borderId="35" xfId="3" applyNumberFormat="1" applyFont="1" applyBorder="1" applyAlignment="1">
      <alignment horizontal="right" vertical="center"/>
    </xf>
    <xf numFmtId="0" fontId="21" fillId="8" borderId="40" xfId="3" applyFont="1" applyFill="1" applyBorder="1" applyAlignment="1">
      <alignment horizontal="justify" vertical="center"/>
    </xf>
    <xf numFmtId="0" fontId="21" fillId="8" borderId="38" xfId="3" applyFont="1" applyFill="1" applyBorder="1" applyAlignment="1">
      <alignment horizontal="justify" vertical="center"/>
    </xf>
    <xf numFmtId="4" fontId="21" fillId="8" borderId="41" xfId="3" applyNumberFormat="1" applyFont="1" applyFill="1" applyBorder="1" applyAlignment="1">
      <alignment horizontal="center" vertical="center"/>
    </xf>
    <xf numFmtId="0" fontId="14" fillId="0" borderId="0" xfId="3" applyFont="1" applyAlignment="1">
      <alignment horizontal="justify" vertical="center"/>
    </xf>
    <xf numFmtId="0" fontId="12" fillId="0" borderId="0" xfId="3" applyFont="1"/>
    <xf numFmtId="170" fontId="50" fillId="0" borderId="0" xfId="3" applyNumberFormat="1" applyFont="1" applyAlignment="1">
      <alignment horizontal="center" vertical="center"/>
    </xf>
    <xf numFmtId="0" fontId="15" fillId="0" borderId="0" xfId="3" applyFont="1" applyAlignment="1">
      <alignment horizontal="center" vertical="center"/>
    </xf>
    <xf numFmtId="0" fontId="11" fillId="0" borderId="0" xfId="3" applyAlignment="1">
      <alignment horizontal="center" vertical="center"/>
    </xf>
    <xf numFmtId="172" fontId="16" fillId="0" borderId="0" xfId="3" applyNumberFormat="1" applyFont="1" applyAlignment="1">
      <alignment horizontal="left"/>
    </xf>
    <xf numFmtId="4" fontId="22" fillId="0" borderId="34" xfId="3" applyNumberFormat="1" applyFont="1" applyBorder="1" applyAlignment="1">
      <alignment horizontal="left" vertical="center"/>
    </xf>
    <xf numFmtId="4" fontId="22" fillId="0" borderId="32" xfId="3" applyNumberFormat="1" applyFont="1" applyBorder="1" applyAlignment="1">
      <alignment horizontal="left" vertical="center"/>
    </xf>
    <xf numFmtId="170" fontId="22" fillId="0" borderId="35" xfId="3" applyNumberFormat="1" applyFont="1" applyBorder="1" applyAlignment="1">
      <alignment horizontal="center" vertical="center"/>
    </xf>
    <xf numFmtId="9" fontId="12" fillId="0" borderId="35" xfId="4" applyFont="1" applyBorder="1" applyAlignment="1">
      <alignment horizontal="center" vertical="center"/>
    </xf>
    <xf numFmtId="170" fontId="34" fillId="8" borderId="41" xfId="3" applyNumberFormat="1" applyFont="1" applyFill="1" applyBorder="1" applyAlignment="1">
      <alignment horizontal="center" vertical="center"/>
    </xf>
    <xf numFmtId="4" fontId="34" fillId="8" borderId="41" xfId="3" applyNumberFormat="1" applyFont="1" applyFill="1" applyBorder="1" applyAlignment="1">
      <alignment horizontal="center" vertical="center"/>
    </xf>
    <xf numFmtId="170" fontId="34" fillId="8" borderId="40" xfId="3" applyNumberFormat="1" applyFont="1" applyFill="1" applyBorder="1" applyAlignment="1">
      <alignment horizontal="right" vertical="center"/>
    </xf>
    <xf numFmtId="170" fontId="34" fillId="8" borderId="38" xfId="3" applyNumberFormat="1" applyFont="1" applyFill="1" applyBorder="1" applyAlignment="1">
      <alignment horizontal="right" vertical="center"/>
    </xf>
    <xf numFmtId="170" fontId="34" fillId="8" borderId="39" xfId="3" applyNumberFormat="1" applyFont="1" applyFill="1" applyBorder="1" applyAlignment="1">
      <alignment horizontal="right" vertical="center"/>
    </xf>
    <xf numFmtId="4" fontId="22" fillId="0" borderId="34" xfId="3" applyNumberFormat="1" applyFont="1" applyBorder="1" applyAlignment="1">
      <alignment horizontal="left" vertical="center" wrapText="1"/>
    </xf>
    <xf numFmtId="4" fontId="22" fillId="0" borderId="32" xfId="3" applyNumberFormat="1" applyFont="1" applyBorder="1" applyAlignment="1">
      <alignment horizontal="left" vertical="center" wrapText="1"/>
    </xf>
    <xf numFmtId="4" fontId="22" fillId="0" borderId="33" xfId="3" applyNumberFormat="1" applyFont="1" applyBorder="1" applyAlignment="1">
      <alignment horizontal="left" vertical="center" wrapText="1"/>
    </xf>
    <xf numFmtId="170" fontId="18" fillId="0" borderId="35" xfId="3" applyNumberFormat="1" applyFont="1" applyBorder="1" applyAlignment="1">
      <alignment horizontal="center" vertical="center"/>
    </xf>
    <xf numFmtId="179" fontId="18" fillId="0" borderId="34" xfId="3" applyNumberFormat="1" applyFont="1" applyBorder="1" applyAlignment="1">
      <alignment horizontal="center" vertical="center"/>
    </xf>
    <xf numFmtId="179" fontId="18" fillId="0" borderId="32" xfId="3" applyNumberFormat="1" applyFont="1" applyBorder="1" applyAlignment="1">
      <alignment horizontal="center" vertical="center"/>
    </xf>
    <xf numFmtId="164" fontId="21" fillId="8" borderId="71" xfId="3" applyNumberFormat="1" applyFont="1" applyFill="1" applyBorder="1" applyAlignment="1">
      <alignment horizontal="center" vertical="center"/>
    </xf>
    <xf numFmtId="0" fontId="21" fillId="8" borderId="71" xfId="3" applyFont="1" applyFill="1" applyBorder="1" applyAlignment="1">
      <alignment horizontal="center" vertical="center"/>
    </xf>
    <xf numFmtId="183" fontId="21" fillId="8" borderId="93" xfId="3" applyNumberFormat="1" applyFont="1" applyFill="1" applyBorder="1" applyAlignment="1">
      <alignment horizontal="center" vertical="center"/>
    </xf>
    <xf numFmtId="183" fontId="21" fillId="8" borderId="94" xfId="3" applyNumberFormat="1" applyFont="1" applyFill="1" applyBorder="1" applyAlignment="1">
      <alignment horizontal="center" vertical="center"/>
    </xf>
    <xf numFmtId="183" fontId="18" fillId="0" borderId="70" xfId="3" applyNumberFormat="1" applyFont="1" applyBorder="1" applyAlignment="1">
      <alignment horizontal="center" vertical="center"/>
    </xf>
    <xf numFmtId="183" fontId="18" fillId="0" borderId="71" xfId="3" applyNumberFormat="1" applyFont="1" applyBorder="1" applyAlignment="1">
      <alignment horizontal="center" vertical="center"/>
    </xf>
    <xf numFmtId="183" fontId="18" fillId="0" borderId="72" xfId="3" applyNumberFormat="1" applyFont="1" applyBorder="1" applyAlignment="1">
      <alignment horizontal="center" vertical="center"/>
    </xf>
    <xf numFmtId="2" fontId="18" fillId="0" borderId="71" xfId="3" applyNumberFormat="1" applyFont="1" applyBorder="1" applyAlignment="1">
      <alignment horizontal="right" vertical="center"/>
    </xf>
    <xf numFmtId="182" fontId="22" fillId="0" borderId="70" xfId="3" applyNumberFormat="1" applyFont="1" applyBorder="1" applyAlignment="1">
      <alignment horizontal="right" vertical="center"/>
    </xf>
    <xf numFmtId="182" fontId="22" fillId="0" borderId="71" xfId="3" applyNumberFormat="1" applyFont="1" applyBorder="1" applyAlignment="1">
      <alignment horizontal="right" vertical="center"/>
    </xf>
    <xf numFmtId="182" fontId="18" fillId="0" borderId="34" xfId="3" applyNumberFormat="1" applyFont="1" applyBorder="1" applyAlignment="1">
      <alignment horizontal="center" vertical="center"/>
    </xf>
    <xf numFmtId="182" fontId="18" fillId="0" borderId="32" xfId="3" applyNumberFormat="1" applyFont="1" applyBorder="1" applyAlignment="1">
      <alignment horizontal="center" vertical="center"/>
    </xf>
    <xf numFmtId="182" fontId="18" fillId="0" borderId="33" xfId="3" applyNumberFormat="1" applyFont="1" applyBorder="1" applyAlignment="1">
      <alignment horizontal="center" vertical="center"/>
    </xf>
    <xf numFmtId="182" fontId="21" fillId="8" borderId="71" xfId="3" applyNumberFormat="1" applyFont="1" applyFill="1" applyBorder="1" applyAlignment="1">
      <alignment horizontal="center" vertical="center"/>
    </xf>
    <xf numFmtId="182" fontId="21" fillId="8" borderId="34" xfId="3" applyNumberFormat="1" applyFont="1" applyFill="1" applyBorder="1" applyAlignment="1">
      <alignment horizontal="center" vertical="center"/>
    </xf>
    <xf numFmtId="182" fontId="21" fillId="8" borderId="32" xfId="3" applyNumberFormat="1" applyFont="1" applyFill="1" applyBorder="1" applyAlignment="1">
      <alignment horizontal="center" vertical="center"/>
    </xf>
    <xf numFmtId="182" fontId="21" fillId="8" borderId="33" xfId="3" applyNumberFormat="1" applyFont="1" applyFill="1" applyBorder="1" applyAlignment="1">
      <alignment horizontal="center" vertical="center"/>
    </xf>
    <xf numFmtId="4" fontId="22" fillId="0" borderId="70" xfId="3" applyNumberFormat="1" applyFont="1" applyBorder="1" applyAlignment="1">
      <alignment horizontal="left" vertical="center"/>
    </xf>
    <xf numFmtId="4" fontId="22" fillId="0" borderId="71" xfId="3" applyNumberFormat="1" applyFont="1" applyBorder="1" applyAlignment="1">
      <alignment horizontal="left" vertical="center"/>
    </xf>
    <xf numFmtId="181" fontId="34" fillId="8" borderId="40" xfId="3" applyNumberFormat="1" applyFont="1" applyFill="1" applyBorder="1" applyAlignment="1">
      <alignment horizontal="right" vertical="center"/>
    </xf>
    <xf numFmtId="181" fontId="34" fillId="8" borderId="38" xfId="3" applyNumberFormat="1" applyFont="1" applyFill="1" applyBorder="1" applyAlignment="1">
      <alignment horizontal="right" vertical="center"/>
    </xf>
    <xf numFmtId="181" fontId="34" fillId="8" borderId="39" xfId="3" applyNumberFormat="1" applyFont="1" applyFill="1" applyBorder="1" applyAlignment="1">
      <alignment horizontal="right" vertical="center"/>
    </xf>
    <xf numFmtId="181" fontId="22" fillId="0" borderId="34" xfId="3" applyNumberFormat="1" applyFont="1" applyBorder="1" applyAlignment="1">
      <alignment horizontal="right" vertical="center"/>
    </xf>
    <xf numFmtId="181" fontId="22" fillId="0" borderId="32" xfId="3" applyNumberFormat="1" applyFont="1" applyBorder="1" applyAlignment="1">
      <alignment horizontal="right" vertical="center"/>
    </xf>
    <xf numFmtId="181" fontId="22" fillId="0" borderId="33" xfId="3" applyNumberFormat="1" applyFont="1" applyBorder="1" applyAlignment="1">
      <alignment horizontal="right" vertical="center"/>
    </xf>
    <xf numFmtId="4" fontId="21" fillId="8" borderId="41" xfId="3" applyNumberFormat="1" applyFont="1" applyFill="1" applyBorder="1" applyAlignment="1">
      <alignment horizontal="right" vertical="center"/>
    </xf>
    <xf numFmtId="0" fontId="21" fillId="8" borderId="41" xfId="3" applyFont="1" applyFill="1" applyBorder="1" applyAlignment="1">
      <alignment horizontal="right" vertical="center"/>
    </xf>
    <xf numFmtId="0" fontId="21" fillId="8" borderId="40" xfId="3" applyFont="1" applyFill="1" applyBorder="1" applyAlignment="1">
      <alignment horizontal="right" vertical="center"/>
    </xf>
    <xf numFmtId="181" fontId="21" fillId="8" borderId="41" xfId="3" applyNumberFormat="1" applyFont="1" applyFill="1" applyBorder="1" applyAlignment="1">
      <alignment horizontal="center" vertical="center"/>
    </xf>
    <xf numFmtId="4" fontId="22" fillId="0" borderId="34" xfId="3" quotePrefix="1" applyNumberFormat="1" applyFont="1" applyBorder="1" applyAlignment="1">
      <alignment horizontal="left" vertical="center" wrapText="1"/>
    </xf>
    <xf numFmtId="181" fontId="22" fillId="0" borderId="34" xfId="3" applyNumberFormat="1" applyFont="1" applyBorder="1" applyAlignment="1">
      <alignment horizontal="center" vertical="center"/>
    </xf>
    <xf numFmtId="181" fontId="22" fillId="0" borderId="32" xfId="3" applyNumberFormat="1" applyFont="1" applyBorder="1" applyAlignment="1">
      <alignment horizontal="center" vertical="center"/>
    </xf>
    <xf numFmtId="181" fontId="22" fillId="0" borderId="33" xfId="3" applyNumberFormat="1" applyFont="1" applyBorder="1" applyAlignment="1">
      <alignment horizontal="center" vertical="center"/>
    </xf>
    <xf numFmtId="4" fontId="18" fillId="0" borderId="34" xfId="3" applyNumberFormat="1" applyFont="1" applyBorder="1" applyAlignment="1">
      <alignment horizontal="justify" vertical="center"/>
    </xf>
    <xf numFmtId="4" fontId="18" fillId="0" borderId="32" xfId="3" applyNumberFormat="1" applyFont="1" applyBorder="1" applyAlignment="1">
      <alignment horizontal="justify" vertical="center"/>
    </xf>
    <xf numFmtId="4" fontId="18" fillId="0" borderId="35" xfId="3" applyNumberFormat="1" applyFont="1" applyBorder="1" applyAlignment="1">
      <alignment horizontal="right" vertical="center"/>
    </xf>
    <xf numFmtId="0" fontId="16" fillId="0" borderId="0" xfId="3" applyFont="1" applyAlignment="1">
      <alignment horizontal="center" vertical="center"/>
    </xf>
    <xf numFmtId="0" fontId="49" fillId="11" borderId="0" xfId="3" applyFont="1" applyFill="1" applyAlignment="1">
      <alignment horizontal="center" vertical="center"/>
    </xf>
    <xf numFmtId="178" fontId="34" fillId="8" borderId="41" xfId="3" applyNumberFormat="1" applyFont="1" applyFill="1" applyBorder="1" applyAlignment="1">
      <alignment horizontal="center" vertical="center"/>
    </xf>
    <xf numFmtId="178" fontId="34" fillId="8" borderId="40" xfId="3" applyNumberFormat="1" applyFont="1" applyFill="1" applyBorder="1" applyAlignment="1">
      <alignment horizontal="center" vertical="center"/>
    </xf>
    <xf numFmtId="178" fontId="34" fillId="8" borderId="38" xfId="3" applyNumberFormat="1" applyFont="1" applyFill="1" applyBorder="1" applyAlignment="1">
      <alignment horizontal="center" vertical="center"/>
    </xf>
    <xf numFmtId="178" fontId="34" fillId="8" borderId="39" xfId="3" applyNumberFormat="1" applyFont="1" applyFill="1" applyBorder="1" applyAlignment="1">
      <alignment horizontal="center" vertical="center"/>
    </xf>
    <xf numFmtId="178" fontId="22" fillId="0" borderId="35" xfId="3" applyNumberFormat="1" applyFont="1" applyBorder="1" applyAlignment="1">
      <alignment horizontal="center" vertical="center"/>
    </xf>
    <xf numFmtId="178" fontId="12" fillId="0" borderId="35" xfId="3" applyNumberFormat="1" applyFont="1" applyBorder="1" applyAlignment="1">
      <alignment horizontal="center" vertical="center"/>
    </xf>
    <xf numFmtId="178" fontId="12" fillId="0" borderId="34" xfId="3" applyNumberFormat="1" applyFont="1" applyBorder="1" applyAlignment="1">
      <alignment horizontal="center" vertical="center"/>
    </xf>
    <xf numFmtId="178" fontId="12" fillId="0" borderId="32" xfId="3" applyNumberFormat="1" applyFont="1" applyBorder="1" applyAlignment="1">
      <alignment horizontal="center" vertical="center"/>
    </xf>
    <xf numFmtId="178" fontId="12" fillId="0" borderId="33" xfId="3" applyNumberFormat="1" applyFont="1" applyBorder="1" applyAlignment="1">
      <alignment horizontal="center" vertical="center"/>
    </xf>
    <xf numFmtId="164" fontId="18" fillId="0" borderId="70" xfId="3" applyNumberFormat="1" applyFont="1" applyBorder="1" applyAlignment="1">
      <alignment horizontal="center" vertical="center"/>
    </xf>
    <xf numFmtId="0" fontId="18" fillId="0" borderId="71" xfId="3" applyFont="1" applyBorder="1" applyAlignment="1">
      <alignment horizontal="center" vertical="center"/>
    </xf>
    <xf numFmtId="0" fontId="18" fillId="0" borderId="72" xfId="3" applyFont="1" applyBorder="1" applyAlignment="1">
      <alignment horizontal="center" vertical="center"/>
    </xf>
    <xf numFmtId="164" fontId="18" fillId="0" borderId="71" xfId="3" applyNumberFormat="1" applyFont="1" applyBorder="1" applyAlignment="1">
      <alignment horizontal="center" vertical="center"/>
    </xf>
    <xf numFmtId="164" fontId="18" fillId="0" borderId="72" xfId="3" applyNumberFormat="1" applyFont="1" applyBorder="1" applyAlignment="1">
      <alignment horizontal="center" vertical="center"/>
    </xf>
    <xf numFmtId="164" fontId="21" fillId="8" borderId="93" xfId="3" applyNumberFormat="1" applyFont="1" applyFill="1" applyBorder="1" applyAlignment="1">
      <alignment horizontal="center" vertical="center"/>
    </xf>
    <xf numFmtId="164" fontId="21" fillId="8" borderId="94" xfId="3" applyNumberFormat="1" applyFont="1" applyFill="1" applyBorder="1" applyAlignment="1">
      <alignment horizontal="center" vertical="center"/>
    </xf>
    <xf numFmtId="164" fontId="21" fillId="8" borderId="34" xfId="3" applyNumberFormat="1" applyFont="1" applyFill="1" applyBorder="1" applyAlignment="1">
      <alignment horizontal="center" vertical="center"/>
    </xf>
    <xf numFmtId="164" fontId="21" fillId="8" borderId="32" xfId="3" applyNumberFormat="1" applyFont="1" applyFill="1" applyBorder="1" applyAlignment="1">
      <alignment horizontal="center" vertical="center"/>
    </xf>
    <xf numFmtId="164" fontId="21" fillId="8" borderId="33" xfId="3" applyNumberFormat="1" applyFont="1" applyFill="1" applyBorder="1" applyAlignment="1">
      <alignment horizontal="center" vertical="center"/>
    </xf>
    <xf numFmtId="178" fontId="22" fillId="0" borderId="70" xfId="3" applyNumberFormat="1" applyFont="1" applyBorder="1" applyAlignment="1">
      <alignment horizontal="right" vertical="center"/>
    </xf>
    <xf numFmtId="178" fontId="22" fillId="0" borderId="71" xfId="3" applyNumberFormat="1" applyFont="1" applyBorder="1" applyAlignment="1">
      <alignment horizontal="right" vertical="center"/>
    </xf>
    <xf numFmtId="164" fontId="18" fillId="0" borderId="34" xfId="3" applyNumberFormat="1" applyFont="1" applyBorder="1" applyAlignment="1">
      <alignment horizontal="center" vertical="center"/>
    </xf>
    <xf numFmtId="164" fontId="18" fillId="0" borderId="32" xfId="3" applyNumberFormat="1" applyFont="1" applyBorder="1" applyAlignment="1">
      <alignment horizontal="center" vertical="center"/>
    </xf>
    <xf numFmtId="164" fontId="18" fillId="0" borderId="33" xfId="3" applyNumberFormat="1" applyFont="1" applyBorder="1" applyAlignment="1">
      <alignment horizontal="center" vertical="center"/>
    </xf>
    <xf numFmtId="9" fontId="22" fillId="10" borderId="34" xfId="4" applyFont="1" applyFill="1" applyBorder="1" applyAlignment="1">
      <alignment horizontal="right" vertical="center"/>
    </xf>
    <xf numFmtId="9" fontId="22" fillId="10" borderId="32" xfId="4" applyFont="1" applyFill="1" applyBorder="1" applyAlignment="1">
      <alignment horizontal="right" vertical="center"/>
    </xf>
    <xf numFmtId="9" fontId="22" fillId="10" borderId="33" xfId="4" applyFont="1" applyFill="1" applyBorder="1" applyAlignment="1">
      <alignment horizontal="right" vertical="center"/>
    </xf>
    <xf numFmtId="178" fontId="22" fillId="10" borderId="34" xfId="3" applyNumberFormat="1" applyFont="1" applyFill="1" applyBorder="1" applyAlignment="1">
      <alignment horizontal="right" vertical="center"/>
    </xf>
    <xf numFmtId="178" fontId="22" fillId="10" borderId="32" xfId="3" applyNumberFormat="1" applyFont="1" applyFill="1" applyBorder="1" applyAlignment="1">
      <alignment horizontal="right" vertical="center"/>
    </xf>
    <xf numFmtId="178" fontId="22" fillId="10" borderId="33" xfId="3" applyNumberFormat="1" applyFont="1" applyFill="1" applyBorder="1" applyAlignment="1">
      <alignment horizontal="right" vertical="center"/>
    </xf>
    <xf numFmtId="4" fontId="21" fillId="8" borderId="39" xfId="3" applyNumberFormat="1" applyFont="1" applyFill="1" applyBorder="1" applyAlignment="1">
      <alignment horizontal="right" vertical="center"/>
    </xf>
    <xf numFmtId="178" fontId="21" fillId="8" borderId="41" xfId="3" applyNumberFormat="1" applyFont="1" applyFill="1" applyBorder="1" applyAlignment="1">
      <alignment horizontal="center" vertical="center"/>
    </xf>
    <xf numFmtId="178" fontId="34" fillId="8" borderId="40" xfId="3" applyNumberFormat="1" applyFont="1" applyFill="1" applyBorder="1" applyAlignment="1">
      <alignment horizontal="right" vertical="center"/>
    </xf>
    <xf numFmtId="178" fontId="34" fillId="8" borderId="38" xfId="3" applyNumberFormat="1" applyFont="1" applyFill="1" applyBorder="1" applyAlignment="1">
      <alignment horizontal="right" vertical="center"/>
    </xf>
    <xf numFmtId="178" fontId="34" fillId="8" borderId="39" xfId="3" applyNumberFormat="1" applyFont="1" applyFill="1" applyBorder="1" applyAlignment="1">
      <alignment horizontal="right" vertical="center"/>
    </xf>
    <xf numFmtId="4" fontId="22" fillId="0" borderId="95" xfId="3" applyNumberFormat="1" applyFont="1" applyBorder="1" applyAlignment="1">
      <alignment vertical="center"/>
    </xf>
    <xf numFmtId="4" fontId="22" fillId="0" borderId="93" xfId="3" applyNumberFormat="1" applyFont="1" applyBorder="1" applyAlignment="1">
      <alignment vertical="center"/>
    </xf>
    <xf numFmtId="4" fontId="22" fillId="0" borderId="94" xfId="3" applyNumberFormat="1" applyFont="1" applyBorder="1" applyAlignment="1">
      <alignment vertical="center"/>
    </xf>
    <xf numFmtId="4" fontId="22" fillId="10" borderId="35" xfId="3" applyNumberFormat="1" applyFont="1" applyFill="1" applyBorder="1" applyAlignment="1">
      <alignment horizontal="right" vertical="center"/>
    </xf>
    <xf numFmtId="178" fontId="22" fillId="10" borderId="34" xfId="3" applyNumberFormat="1" applyFont="1" applyFill="1" applyBorder="1" applyAlignment="1">
      <alignment horizontal="center" vertical="center"/>
    </xf>
    <xf numFmtId="178" fontId="22" fillId="10" borderId="32" xfId="3" applyNumberFormat="1" applyFont="1" applyFill="1" applyBorder="1" applyAlignment="1">
      <alignment horizontal="center" vertical="center"/>
    </xf>
    <xf numFmtId="178" fontId="22" fillId="10" borderId="33" xfId="3" applyNumberFormat="1" applyFont="1" applyFill="1" applyBorder="1" applyAlignment="1">
      <alignment horizontal="center" vertical="center"/>
    </xf>
    <xf numFmtId="4" fontId="22" fillId="5" borderId="34" xfId="3" quotePrefix="1" applyNumberFormat="1" applyFont="1" applyFill="1" applyBorder="1" applyAlignment="1">
      <alignment vertical="center" wrapText="1"/>
    </xf>
    <xf numFmtId="4" fontId="22" fillId="5" borderId="32" xfId="3" quotePrefix="1" applyNumberFormat="1" applyFont="1" applyFill="1" applyBorder="1" applyAlignment="1">
      <alignment vertical="center" wrapText="1"/>
    </xf>
    <xf numFmtId="4" fontId="22" fillId="5" borderId="33" xfId="3" quotePrefix="1" applyNumberFormat="1" applyFont="1" applyFill="1" applyBorder="1" applyAlignment="1">
      <alignment vertical="center" wrapText="1"/>
    </xf>
    <xf numFmtId="4" fontId="22" fillId="5" borderId="34" xfId="3" applyNumberFormat="1" applyFont="1" applyFill="1" applyBorder="1" applyAlignment="1">
      <alignment vertical="center"/>
    </xf>
    <xf numFmtId="4" fontId="22" fillId="5" borderId="32" xfId="3" applyNumberFormat="1" applyFont="1" applyFill="1" applyBorder="1" applyAlignment="1">
      <alignment vertical="center"/>
    </xf>
    <xf numFmtId="4" fontId="22" fillId="5" borderId="33" xfId="3" applyNumberFormat="1" applyFont="1" applyFill="1" applyBorder="1" applyAlignment="1">
      <alignment vertical="center"/>
    </xf>
    <xf numFmtId="4" fontId="34" fillId="5" borderId="34" xfId="3" quotePrefix="1" applyNumberFormat="1" applyFont="1" applyFill="1" applyBorder="1" applyAlignment="1">
      <alignment vertical="center" wrapText="1"/>
    </xf>
    <xf numFmtId="4" fontId="34" fillId="5" borderId="32" xfId="3" quotePrefix="1" applyNumberFormat="1" applyFont="1" applyFill="1" applyBorder="1" applyAlignment="1">
      <alignment vertical="center" wrapText="1"/>
    </xf>
    <xf numFmtId="4" fontId="34" fillId="5" borderId="33" xfId="3" quotePrefix="1" applyNumberFormat="1" applyFont="1" applyFill="1" applyBorder="1" applyAlignment="1">
      <alignment vertical="center" wrapText="1"/>
    </xf>
    <xf numFmtId="178" fontId="18" fillId="0" borderId="35" xfId="3" applyNumberFormat="1" applyFont="1" applyBorder="1" applyAlignment="1">
      <alignment horizontal="right" vertical="center"/>
    </xf>
    <xf numFmtId="178" fontId="21" fillId="8" borderId="41" xfId="3" applyNumberFormat="1" applyFont="1" applyFill="1" applyBorder="1" applyAlignment="1">
      <alignment horizontal="right" vertical="center"/>
    </xf>
    <xf numFmtId="0" fontId="15" fillId="0" borderId="0" xfId="3" applyFont="1" applyAlignment="1">
      <alignment horizontal="center"/>
    </xf>
    <xf numFmtId="0" fontId="11" fillId="0" borderId="0" xfId="3" applyAlignment="1">
      <alignment horizontal="center"/>
    </xf>
    <xf numFmtId="4" fontId="22" fillId="0" borderId="33" xfId="3" applyNumberFormat="1" applyFont="1" applyBorder="1" applyAlignment="1">
      <alignment horizontal="left" vertical="center"/>
    </xf>
    <xf numFmtId="178" fontId="18" fillId="0" borderId="34" xfId="3" applyNumberFormat="1" applyFont="1" applyBorder="1" applyAlignment="1">
      <alignment horizontal="center" vertical="center"/>
    </xf>
    <xf numFmtId="178" fontId="18" fillId="0" borderId="32" xfId="3" applyNumberFormat="1" applyFont="1" applyBorder="1" applyAlignment="1">
      <alignment horizontal="center" vertical="center"/>
    </xf>
    <xf numFmtId="178" fontId="18" fillId="0" borderId="33" xfId="3" applyNumberFormat="1" applyFont="1" applyBorder="1" applyAlignment="1">
      <alignment horizontal="center" vertical="center"/>
    </xf>
    <xf numFmtId="179" fontId="18" fillId="5" borderId="34" xfId="3" applyNumberFormat="1" applyFont="1" applyFill="1" applyBorder="1" applyAlignment="1">
      <alignment horizontal="center" vertical="center"/>
    </xf>
    <xf numFmtId="179" fontId="18" fillId="5" borderId="32" xfId="3" applyNumberFormat="1" applyFont="1" applyFill="1" applyBorder="1" applyAlignment="1">
      <alignment horizontal="center" vertical="center"/>
    </xf>
    <xf numFmtId="179" fontId="18" fillId="5" borderId="33" xfId="3" applyNumberFormat="1" applyFont="1" applyFill="1" applyBorder="1" applyAlignment="1">
      <alignment horizontal="center" vertical="center"/>
    </xf>
    <xf numFmtId="178" fontId="18" fillId="0" borderId="35" xfId="3" applyNumberFormat="1" applyFont="1" applyBorder="1" applyAlignment="1">
      <alignment horizontal="center" vertical="center"/>
    </xf>
    <xf numFmtId="0" fontId="22" fillId="0" borderId="83" xfId="6" applyNumberFormat="1" applyFont="1" applyFill="1" applyBorder="1" applyAlignment="1">
      <alignment horizontal="right" vertical="center" wrapText="1"/>
    </xf>
    <xf numFmtId="1" fontId="22" fillId="0" borderId="83" xfId="6" applyNumberFormat="1" applyFont="1" applyFill="1" applyBorder="1" applyAlignment="1">
      <alignment horizontal="right" vertical="center"/>
    </xf>
    <xf numFmtId="1" fontId="12" fillId="0" borderId="83" xfId="6" applyNumberFormat="1" applyFont="1" applyFill="1" applyBorder="1" applyAlignment="1">
      <alignment horizontal="right" vertical="center"/>
    </xf>
    <xf numFmtId="0" fontId="11" fillId="0" borderId="86" xfId="3" applyBorder="1" applyAlignment="1">
      <alignment horizontal="center"/>
    </xf>
    <xf numFmtId="0" fontId="11" fillId="0" borderId="87" xfId="3" applyBorder="1" applyAlignment="1">
      <alignment horizontal="center"/>
    </xf>
    <xf numFmtId="0" fontId="11" fillId="0" borderId="88" xfId="3" applyBorder="1" applyAlignment="1">
      <alignment horizontal="center"/>
    </xf>
    <xf numFmtId="0" fontId="11" fillId="0" borderId="89" xfId="3" applyBorder="1" applyAlignment="1">
      <alignment horizontal="center"/>
    </xf>
    <xf numFmtId="0" fontId="11" fillId="0" borderId="19" xfId="3" applyBorder="1" applyAlignment="1">
      <alignment horizontal="center"/>
    </xf>
    <xf numFmtId="0" fontId="11" fillId="0" borderId="90" xfId="3" applyBorder="1" applyAlignment="1">
      <alignment horizontal="center"/>
    </xf>
    <xf numFmtId="0" fontId="11" fillId="0" borderId="91" xfId="3" applyBorder="1" applyAlignment="1">
      <alignment horizontal="center"/>
    </xf>
    <xf numFmtId="0" fontId="11" fillId="0" borderId="92" xfId="3" applyBorder="1" applyAlignment="1">
      <alignment horizontal="center"/>
    </xf>
    <xf numFmtId="0" fontId="11" fillId="0" borderId="0" xfId="3" quotePrefix="1" applyAlignment="1">
      <alignment horizontal="justify" vertical="center" wrapText="1"/>
    </xf>
    <xf numFmtId="0" fontId="11" fillId="0" borderId="0" xfId="3" applyAlignment="1">
      <alignment horizontal="justify" vertical="center" wrapText="1"/>
    </xf>
    <xf numFmtId="0" fontId="11" fillId="8" borderId="70" xfId="3" applyFill="1" applyBorder="1"/>
    <xf numFmtId="0" fontId="11" fillId="8" borderId="71" xfId="3" applyFill="1" applyBorder="1"/>
    <xf numFmtId="2" fontId="16" fillId="8" borderId="71" xfId="3" applyNumberFormat="1" applyFont="1" applyFill="1" applyBorder="1" applyAlignment="1">
      <alignment horizontal="center"/>
    </xf>
    <xf numFmtId="2" fontId="11" fillId="8" borderId="71" xfId="3" applyNumberFormat="1" applyFill="1" applyBorder="1" applyAlignment="1">
      <alignment horizontal="center"/>
    </xf>
    <xf numFmtId="0" fontId="16" fillId="8" borderId="71" xfId="3" quotePrefix="1" applyFont="1" applyFill="1" applyBorder="1" applyAlignment="1">
      <alignment horizontal="justify"/>
    </xf>
    <xf numFmtId="0" fontId="11" fillId="8" borderId="71" xfId="3" applyFill="1" applyBorder="1" applyAlignment="1">
      <alignment horizontal="justify"/>
    </xf>
    <xf numFmtId="0" fontId="11" fillId="8" borderId="72" xfId="3" applyFill="1" applyBorder="1"/>
    <xf numFmtId="1" fontId="22" fillId="0" borderId="83" xfId="6" applyNumberFormat="1" applyFont="1" applyFill="1" applyBorder="1" applyAlignment="1">
      <alignment horizontal="right" vertical="center" wrapText="1"/>
    </xf>
    <xf numFmtId="1" fontId="34" fillId="8" borderId="70" xfId="3" applyNumberFormat="1" applyFont="1" applyFill="1" applyBorder="1" applyAlignment="1">
      <alignment horizontal="center" vertical="center" wrapText="1"/>
    </xf>
    <xf numFmtId="1" fontId="34" fillId="8" borderId="71" xfId="3" applyNumberFormat="1" applyFont="1" applyFill="1" applyBorder="1" applyAlignment="1">
      <alignment horizontal="center" vertical="center"/>
    </xf>
    <xf numFmtId="1" fontId="34" fillId="8" borderId="72" xfId="3" applyNumberFormat="1" applyFont="1" applyFill="1" applyBorder="1" applyAlignment="1">
      <alignment horizontal="center" vertical="center"/>
    </xf>
    <xf numFmtId="176" fontId="22" fillId="0" borderId="70" xfId="3" applyNumberFormat="1" applyFont="1" applyBorder="1" applyAlignment="1">
      <alignment horizontal="justify" vertical="center" wrapText="1"/>
    </xf>
    <xf numFmtId="176" fontId="22" fillId="0" borderId="71" xfId="3" applyNumberFormat="1" applyFont="1" applyBorder="1" applyAlignment="1">
      <alignment horizontal="justify" vertical="center" wrapText="1"/>
    </xf>
    <xf numFmtId="176" fontId="22" fillId="0" borderId="70" xfId="3" applyNumberFormat="1" applyFont="1" applyBorder="1" applyAlignment="1">
      <alignment vertical="center"/>
    </xf>
    <xf numFmtId="176" fontId="22" fillId="0" borderId="71" xfId="3" applyNumberFormat="1" applyFont="1" applyBorder="1" applyAlignment="1">
      <alignment vertical="center"/>
    </xf>
    <xf numFmtId="176" fontId="22" fillId="0" borderId="72" xfId="3" applyNumberFormat="1" applyFont="1" applyBorder="1" applyAlignment="1">
      <alignment vertical="center"/>
    </xf>
    <xf numFmtId="176" fontId="22" fillId="0" borderId="83" xfId="3" applyNumberFormat="1" applyFont="1" applyBorder="1" applyAlignment="1">
      <alignment horizontal="right" vertical="center"/>
    </xf>
    <xf numFmtId="176" fontId="12" fillId="0" borderId="83" xfId="3" applyNumberFormat="1" applyFont="1" applyBorder="1" applyAlignment="1">
      <alignment horizontal="right" vertical="center"/>
    </xf>
    <xf numFmtId="176" fontId="22" fillId="0" borderId="70" xfId="3" applyNumberFormat="1" applyFont="1" applyBorder="1" applyAlignment="1">
      <alignment horizontal="left" vertical="center" wrapText="1"/>
    </xf>
    <xf numFmtId="176" fontId="22" fillId="0" borderId="71" xfId="3" applyNumberFormat="1" applyFont="1" applyBorder="1" applyAlignment="1">
      <alignment horizontal="left" vertical="center" wrapText="1"/>
    </xf>
    <xf numFmtId="176" fontId="22" fillId="0" borderId="83" xfId="3" applyNumberFormat="1" applyFont="1" applyBorder="1" applyAlignment="1">
      <alignment horizontal="center" vertical="justify"/>
    </xf>
    <xf numFmtId="1" fontId="34" fillId="9" borderId="83" xfId="3" applyNumberFormat="1" applyFont="1" applyFill="1" applyBorder="1" applyAlignment="1">
      <alignment horizontal="center" vertical="center" wrapText="1"/>
    </xf>
    <xf numFmtId="1" fontId="34" fillId="9" borderId="83" xfId="3" applyNumberFormat="1" applyFont="1" applyFill="1" applyBorder="1" applyAlignment="1">
      <alignment horizontal="center" vertical="center"/>
    </xf>
    <xf numFmtId="0" fontId="11" fillId="9" borderId="83" xfId="3" applyFill="1" applyBorder="1" applyAlignment="1">
      <alignment vertical="center"/>
    </xf>
    <xf numFmtId="0" fontId="11" fillId="9" borderId="83" xfId="3" applyFill="1" applyBorder="1" applyAlignment="1">
      <alignment horizontal="center" vertical="center"/>
    </xf>
    <xf numFmtId="1" fontId="34" fillId="8" borderId="83" xfId="3" applyNumberFormat="1" applyFont="1" applyFill="1" applyBorder="1" applyAlignment="1">
      <alignment horizontal="center" vertical="center" wrapText="1"/>
    </xf>
    <xf numFmtId="1" fontId="34" fillId="8" borderId="83" xfId="3" applyNumberFormat="1" applyFont="1" applyFill="1" applyBorder="1" applyAlignment="1">
      <alignment horizontal="center" vertical="center"/>
    </xf>
    <xf numFmtId="0" fontId="11" fillId="8" borderId="83" xfId="3" applyFill="1" applyBorder="1" applyAlignment="1">
      <alignment vertical="center"/>
    </xf>
    <xf numFmtId="1" fontId="34" fillId="8" borderId="70" xfId="3" applyNumberFormat="1" applyFont="1" applyFill="1" applyBorder="1" applyAlignment="1">
      <alignment horizontal="center" vertical="center"/>
    </xf>
    <xf numFmtId="1" fontId="34" fillId="9" borderId="70" xfId="3" applyNumberFormat="1" applyFont="1" applyFill="1" applyBorder="1" applyAlignment="1">
      <alignment horizontal="center" vertical="center" textRotation="90" wrapText="1"/>
    </xf>
    <xf numFmtId="1" fontId="34" fillId="9" borderId="71" xfId="3" applyNumberFormat="1" applyFont="1" applyFill="1" applyBorder="1" applyAlignment="1">
      <alignment horizontal="center" vertical="center" textRotation="90" wrapText="1"/>
    </xf>
    <xf numFmtId="1" fontId="34" fillId="9" borderId="72" xfId="3" applyNumberFormat="1" applyFont="1" applyFill="1" applyBorder="1" applyAlignment="1">
      <alignment horizontal="center" vertical="center" textRotation="90" wrapText="1"/>
    </xf>
    <xf numFmtId="1" fontId="34" fillId="9" borderId="70" xfId="3" applyNumberFormat="1" applyFont="1" applyFill="1" applyBorder="1" applyAlignment="1">
      <alignment horizontal="center" vertical="center" textRotation="90"/>
    </xf>
    <xf numFmtId="1" fontId="34" fillId="9" borderId="71" xfId="3" applyNumberFormat="1" applyFont="1" applyFill="1" applyBorder="1" applyAlignment="1">
      <alignment horizontal="center" vertical="center" textRotation="90"/>
    </xf>
    <xf numFmtId="1" fontId="34" fillId="9" borderId="72" xfId="3" applyNumberFormat="1" applyFont="1" applyFill="1" applyBorder="1" applyAlignment="1">
      <alignment horizontal="center" vertical="center" textRotation="90"/>
    </xf>
    <xf numFmtId="166" fontId="16" fillId="0" borderId="0" xfId="3" applyNumberFormat="1" applyFont="1" applyAlignment="1">
      <alignment horizontal="left"/>
    </xf>
    <xf numFmtId="166" fontId="11" fillId="0" borderId="0" xfId="3" applyNumberFormat="1"/>
    <xf numFmtId="173" fontId="21" fillId="0" borderId="0" xfId="3" applyNumberFormat="1" applyFont="1" applyAlignment="1">
      <alignment horizontal="left"/>
    </xf>
    <xf numFmtId="0" fontId="11" fillId="0" borderId="0" xfId="3" quotePrefix="1" applyAlignment="1">
      <alignment horizontal="justify"/>
    </xf>
    <xf numFmtId="0" fontId="37" fillId="8" borderId="70" xfId="3" applyFont="1" applyFill="1" applyBorder="1" applyAlignment="1">
      <alignment horizontal="center"/>
    </xf>
    <xf numFmtId="4" fontId="22" fillId="5" borderId="70" xfId="3" quotePrefix="1" applyNumberFormat="1" applyFont="1" applyFill="1" applyBorder="1" applyAlignment="1">
      <alignment horizontal="left" vertical="center"/>
    </xf>
    <xf numFmtId="4" fontId="22" fillId="5" borderId="71" xfId="3" quotePrefix="1" applyNumberFormat="1" applyFont="1" applyFill="1" applyBorder="1" applyAlignment="1">
      <alignment horizontal="left" vertical="center"/>
    </xf>
    <xf numFmtId="2" fontId="18" fillId="5" borderId="70" xfId="3" applyNumberFormat="1" applyFont="1" applyFill="1" applyBorder="1" applyAlignment="1">
      <alignment horizontal="right" vertical="center"/>
    </xf>
    <xf numFmtId="2" fontId="18" fillId="5" borderId="71" xfId="3" applyNumberFormat="1" applyFont="1" applyFill="1" applyBorder="1" applyAlignment="1">
      <alignment horizontal="right" vertical="center"/>
    </xf>
    <xf numFmtId="0" fontId="18" fillId="5" borderId="71" xfId="3" applyFont="1" applyFill="1" applyBorder="1" applyAlignment="1">
      <alignment horizontal="left" vertical="center"/>
    </xf>
    <xf numFmtId="0" fontId="18" fillId="5" borderId="72" xfId="3" applyFont="1" applyFill="1" applyBorder="1" applyAlignment="1">
      <alignment horizontal="left" vertical="center"/>
    </xf>
    <xf numFmtId="178" fontId="18" fillId="5" borderId="70" xfId="3" applyNumberFormat="1" applyFont="1" applyFill="1" applyBorder="1" applyAlignment="1">
      <alignment horizontal="right" vertical="center"/>
    </xf>
    <xf numFmtId="178" fontId="18" fillId="5" borderId="71" xfId="3" applyNumberFormat="1" applyFont="1" applyFill="1" applyBorder="1" applyAlignment="1">
      <alignment horizontal="right" vertical="center"/>
    </xf>
    <xf numFmtId="4" fontId="22" fillId="5" borderId="70" xfId="3" applyNumberFormat="1" applyFont="1" applyFill="1" applyBorder="1" applyAlignment="1">
      <alignment horizontal="left" vertical="center"/>
    </xf>
    <xf numFmtId="4" fontId="22" fillId="5" borderId="71" xfId="3" applyNumberFormat="1" applyFont="1" applyFill="1" applyBorder="1" applyAlignment="1">
      <alignment horizontal="left" vertical="center"/>
    </xf>
    <xf numFmtId="178" fontId="22" fillId="5" borderId="70" xfId="3" applyNumberFormat="1" applyFont="1" applyFill="1" applyBorder="1" applyAlignment="1">
      <alignment horizontal="right" vertical="center"/>
    </xf>
    <xf numFmtId="178" fontId="22" fillId="5" borderId="71" xfId="3" applyNumberFormat="1" applyFont="1" applyFill="1" applyBorder="1" applyAlignment="1">
      <alignment horizontal="right" vertical="center"/>
    </xf>
    <xf numFmtId="178" fontId="22" fillId="0" borderId="34" xfId="3" applyNumberFormat="1" applyFont="1" applyBorder="1" applyAlignment="1">
      <alignment horizontal="right" vertical="center"/>
    </xf>
    <xf numFmtId="178" fontId="22" fillId="0" borderId="32" xfId="3" applyNumberFormat="1" applyFont="1" applyBorder="1" applyAlignment="1">
      <alignment horizontal="right" vertical="center"/>
    </xf>
    <xf numFmtId="178" fontId="22" fillId="0" borderId="33" xfId="3" applyNumberFormat="1" applyFont="1" applyBorder="1" applyAlignment="1">
      <alignment horizontal="right" vertical="center"/>
    </xf>
    <xf numFmtId="4" fontId="22" fillId="0" borderId="34" xfId="3" quotePrefix="1" applyNumberFormat="1" applyFont="1" applyBorder="1" applyAlignment="1">
      <alignment horizontal="left" vertical="center"/>
    </xf>
    <xf numFmtId="178" fontId="22" fillId="5" borderId="34" xfId="3" applyNumberFormat="1" applyFont="1" applyFill="1" applyBorder="1" applyAlignment="1">
      <alignment horizontal="center" vertical="center"/>
    </xf>
    <xf numFmtId="178" fontId="22" fillId="5" borderId="32" xfId="3" applyNumberFormat="1" applyFont="1" applyFill="1" applyBorder="1" applyAlignment="1">
      <alignment horizontal="center" vertical="center"/>
    </xf>
    <xf numFmtId="178" fontId="22" fillId="5" borderId="33" xfId="3" applyNumberFormat="1" applyFont="1" applyFill="1" applyBorder="1" applyAlignment="1">
      <alignment horizontal="center" vertical="center"/>
    </xf>
    <xf numFmtId="3" fontId="22" fillId="0" borderId="85" xfId="6" applyNumberFormat="1" applyFont="1" applyFill="1" applyBorder="1" applyAlignment="1">
      <alignment horizontal="right" vertical="center" wrapText="1"/>
    </xf>
    <xf numFmtId="3" fontId="22" fillId="0" borderId="85" xfId="6" applyNumberFormat="1" applyFont="1" applyFill="1" applyBorder="1" applyAlignment="1">
      <alignment horizontal="right" vertical="center"/>
    </xf>
    <xf numFmtId="3" fontId="12" fillId="0" borderId="85" xfId="6" applyNumberFormat="1" applyFont="1" applyFill="1" applyBorder="1" applyAlignment="1">
      <alignment horizontal="right" vertical="center"/>
    </xf>
    <xf numFmtId="177" fontId="16" fillId="8" borderId="71" xfId="3" applyNumberFormat="1" applyFont="1" applyFill="1" applyBorder="1" applyAlignment="1">
      <alignment horizontal="justify"/>
    </xf>
    <xf numFmtId="3" fontId="22" fillId="0" borderId="83" xfId="6" applyNumberFormat="1" applyFont="1" applyFill="1" applyBorder="1" applyAlignment="1">
      <alignment horizontal="right" vertical="center" wrapText="1"/>
    </xf>
    <xf numFmtId="3" fontId="22" fillId="0" borderId="83" xfId="6" applyNumberFormat="1" applyFont="1" applyFill="1" applyBorder="1" applyAlignment="1">
      <alignment horizontal="right" vertical="center"/>
    </xf>
    <xf numFmtId="3" fontId="12" fillId="0" borderId="83" xfId="6" applyNumberFormat="1" applyFont="1" applyFill="1" applyBorder="1" applyAlignment="1">
      <alignment horizontal="right" vertical="center"/>
    </xf>
    <xf numFmtId="176" fontId="45" fillId="0" borderId="85" xfId="3" applyNumberFormat="1" applyFont="1" applyBorder="1" applyAlignment="1">
      <alignment horizontal="left" vertical="center" wrapText="1"/>
    </xf>
    <xf numFmtId="176" fontId="45" fillId="0" borderId="85" xfId="3" applyNumberFormat="1" applyFont="1" applyBorder="1" applyAlignment="1">
      <alignment vertical="center"/>
    </xf>
    <xf numFmtId="176" fontId="22" fillId="0" borderId="85" xfId="3" applyNumberFormat="1" applyFont="1" applyBorder="1" applyAlignment="1">
      <alignment vertical="center"/>
    </xf>
    <xf numFmtId="176" fontId="22" fillId="0" borderId="85" xfId="3" applyNumberFormat="1" applyFont="1" applyBorder="1" applyAlignment="1">
      <alignment horizontal="right" vertical="center"/>
    </xf>
    <xf numFmtId="176" fontId="12" fillId="0" borderId="85" xfId="3" applyNumberFormat="1" applyFont="1" applyBorder="1" applyAlignment="1">
      <alignment horizontal="right" vertical="center"/>
    </xf>
    <xf numFmtId="41" fontId="22" fillId="0" borderId="83" xfId="5" applyNumberFormat="1" applyFont="1" applyBorder="1" applyAlignment="1">
      <alignment horizontal="right" vertical="center"/>
    </xf>
    <xf numFmtId="41" fontId="12" fillId="0" borderId="83" xfId="5" applyNumberFormat="1" applyFont="1" applyBorder="1" applyAlignment="1">
      <alignment horizontal="right" vertical="center"/>
    </xf>
    <xf numFmtId="41" fontId="22" fillId="0" borderId="83" xfId="5" applyNumberFormat="1" applyFont="1" applyBorder="1" applyAlignment="1">
      <alignment horizontal="left" vertical="center" wrapText="1"/>
    </xf>
    <xf numFmtId="41" fontId="22" fillId="0" borderId="83" xfId="5" applyNumberFormat="1" applyFont="1" applyBorder="1" applyAlignment="1">
      <alignment vertical="center"/>
    </xf>
    <xf numFmtId="0" fontId="11" fillId="0" borderId="0" xfId="3" quotePrefix="1" applyAlignment="1">
      <alignment horizontal="center" vertical="center" wrapText="1"/>
    </xf>
    <xf numFmtId="0" fontId="11" fillId="0" borderId="0" xfId="3" applyAlignment="1">
      <alignment horizontal="center" vertical="center" wrapText="1"/>
    </xf>
    <xf numFmtId="0" fontId="16" fillId="0" borderId="0" xfId="3" applyFont="1"/>
    <xf numFmtId="0" fontId="42" fillId="0" borderId="0" xfId="3" applyFont="1" applyAlignment="1">
      <alignment vertical="top"/>
    </xf>
    <xf numFmtId="0" fontId="11" fillId="0" borderId="0" xfId="3" applyAlignment="1">
      <alignment horizontal="left" vertical="center" wrapText="1"/>
    </xf>
    <xf numFmtId="0" fontId="11" fillId="0" borderId="0" xfId="3" applyAlignment="1">
      <alignment horizontal="justify" vertical="top" wrapText="1"/>
    </xf>
    <xf numFmtId="0" fontId="41" fillId="8" borderId="34" xfId="3" applyFont="1" applyFill="1" applyBorder="1" applyAlignment="1">
      <alignment horizontal="left"/>
    </xf>
    <xf numFmtId="0" fontId="41" fillId="8" borderId="32" xfId="3" applyFont="1" applyFill="1" applyBorder="1" applyAlignment="1">
      <alignment horizontal="left"/>
    </xf>
    <xf numFmtId="0" fontId="41" fillId="8" borderId="33" xfId="3" applyFont="1" applyFill="1" applyBorder="1" applyAlignment="1">
      <alignment horizontal="left"/>
    </xf>
    <xf numFmtId="10" fontId="16" fillId="8" borderId="35" xfId="4" applyNumberFormat="1" applyFont="1" applyFill="1" applyBorder="1" applyAlignment="1">
      <alignment horizontal="center"/>
    </xf>
    <xf numFmtId="0" fontId="28" fillId="0" borderId="0" xfId="3" applyFont="1" applyAlignment="1">
      <alignment horizontal="justify"/>
    </xf>
    <xf numFmtId="0" fontId="11" fillId="5" borderId="0" xfId="3" quotePrefix="1" applyFill="1" applyAlignment="1">
      <alignment horizontal="justify" vertical="center" wrapText="1"/>
    </xf>
    <xf numFmtId="0" fontId="11" fillId="5" borderId="0" xfId="3" applyFill="1" applyAlignment="1">
      <alignment horizontal="justify" vertical="center"/>
    </xf>
    <xf numFmtId="0" fontId="11" fillId="0" borderId="34" xfId="3" applyBorder="1" applyAlignment="1">
      <alignment horizontal="left"/>
    </xf>
    <xf numFmtId="0" fontId="11" fillId="0" borderId="32" xfId="3" applyBorder="1" applyAlignment="1">
      <alignment horizontal="left"/>
    </xf>
    <xf numFmtId="0" fontId="11" fillId="0" borderId="33" xfId="3" applyBorder="1" applyAlignment="1">
      <alignment horizontal="left"/>
    </xf>
    <xf numFmtId="10" fontId="11" fillId="0" borderId="35" xfId="4" applyNumberFormat="1" applyFont="1" applyBorder="1" applyAlignment="1">
      <alignment horizontal="center"/>
    </xf>
    <xf numFmtId="0" fontId="11" fillId="5" borderId="0" xfId="3" quotePrefix="1" applyFill="1" applyAlignment="1">
      <alignment horizontal="justify" wrapText="1"/>
    </xf>
    <xf numFmtId="0" fontId="11" fillId="5" borderId="0" xfId="3" applyFill="1" applyAlignment="1">
      <alignment horizontal="justify"/>
    </xf>
    <xf numFmtId="0" fontId="11" fillId="5" borderId="0" xfId="3" applyFill="1"/>
    <xf numFmtId="0" fontId="11" fillId="0" borderId="0" xfId="3" applyAlignment="1">
      <alignment horizontal="justify" vertical="center"/>
    </xf>
    <xf numFmtId="0" fontId="11" fillId="0" borderId="0" xfId="3" applyAlignment="1">
      <alignment vertical="center"/>
    </xf>
    <xf numFmtId="0" fontId="40" fillId="8" borderId="34" xfId="3" applyFont="1" applyFill="1" applyBorder="1" applyAlignment="1">
      <alignment horizontal="center" vertical="center"/>
    </xf>
    <xf numFmtId="0" fontId="40" fillId="8" borderId="32" xfId="3" applyFont="1" applyFill="1" applyBorder="1" applyAlignment="1">
      <alignment horizontal="center" vertical="center"/>
    </xf>
    <xf numFmtId="0" fontId="40" fillId="8" borderId="33" xfId="3" applyFont="1" applyFill="1" applyBorder="1" applyAlignment="1">
      <alignment horizontal="center" vertical="center"/>
    </xf>
    <xf numFmtId="0" fontId="11" fillId="5" borderId="0" xfId="3" applyFill="1" applyAlignment="1">
      <alignment vertical="center"/>
    </xf>
    <xf numFmtId="0" fontId="11" fillId="0" borderId="0" xfId="3" quotePrefix="1" applyAlignment="1">
      <alignment horizontal="justify" wrapText="1"/>
    </xf>
    <xf numFmtId="0" fontId="11" fillId="0" borderId="40" xfId="3" quotePrefix="1" applyBorder="1" applyAlignment="1">
      <alignment horizontal="justify" vertical="center"/>
    </xf>
    <xf numFmtId="0" fontId="11" fillId="0" borderId="38" xfId="3" applyBorder="1" applyAlignment="1">
      <alignment horizontal="justify" vertical="center"/>
    </xf>
    <xf numFmtId="0" fontId="11" fillId="0" borderId="39" xfId="3" applyBorder="1" applyAlignment="1">
      <alignment horizontal="justify" vertical="center"/>
    </xf>
    <xf numFmtId="0" fontId="18" fillId="0" borderId="40" xfId="3" applyFont="1" applyBorder="1" applyAlignment="1">
      <alignment horizontal="center" vertical="center" wrapText="1"/>
    </xf>
    <xf numFmtId="0" fontId="18" fillId="0" borderId="38" xfId="3" applyFont="1" applyBorder="1" applyAlignment="1">
      <alignment horizontal="center" vertical="center" wrapText="1"/>
    </xf>
    <xf numFmtId="0" fontId="11" fillId="0" borderId="38" xfId="3" applyBorder="1" applyAlignment="1">
      <alignment horizontal="center" vertical="center" wrapText="1"/>
    </xf>
    <xf numFmtId="0" fontId="11" fillId="0" borderId="39" xfId="3" applyBorder="1" applyAlignment="1">
      <alignment horizontal="center" vertical="center" wrapText="1"/>
    </xf>
    <xf numFmtId="0" fontId="18" fillId="0" borderId="39" xfId="3" applyFont="1" applyBorder="1" applyAlignment="1">
      <alignment horizontal="center" vertical="center" wrapText="1"/>
    </xf>
    <xf numFmtId="9" fontId="11" fillId="0" borderId="40" xfId="4" applyFont="1" applyBorder="1" applyAlignment="1">
      <alignment horizontal="center" vertical="center" wrapText="1"/>
    </xf>
    <xf numFmtId="9" fontId="11" fillId="0" borderId="38" xfId="4" applyFont="1" applyBorder="1" applyAlignment="1">
      <alignment horizontal="center" vertical="center" wrapText="1"/>
    </xf>
    <xf numFmtId="9" fontId="11" fillId="0" borderId="39" xfId="4" applyFont="1" applyBorder="1" applyAlignment="1">
      <alignment horizontal="center" vertical="center" wrapText="1"/>
    </xf>
    <xf numFmtId="164" fontId="16" fillId="8" borderId="83" xfId="3" applyNumberFormat="1" applyFont="1" applyFill="1" applyBorder="1" applyAlignment="1">
      <alignment vertical="center"/>
    </xf>
    <xf numFmtId="164" fontId="11" fillId="8" borderId="83" xfId="3" applyNumberFormat="1" applyFill="1" applyBorder="1" applyAlignment="1">
      <alignment vertical="center"/>
    </xf>
    <xf numFmtId="164" fontId="16" fillId="8" borderId="72" xfId="3" applyNumberFormat="1" applyFont="1" applyFill="1" applyBorder="1" applyAlignment="1">
      <alignment vertical="center"/>
    </xf>
    <xf numFmtId="0" fontId="11" fillId="8" borderId="84" xfId="3" applyFill="1" applyBorder="1" applyAlignment="1">
      <alignment vertical="center"/>
    </xf>
    <xf numFmtId="0" fontId="17" fillId="8" borderId="35" xfId="3" applyFont="1" applyFill="1" applyBorder="1" applyAlignment="1">
      <alignment horizontal="center" vertical="center" wrapText="1"/>
    </xf>
    <xf numFmtId="0" fontId="17" fillId="8" borderId="34" xfId="3" applyFont="1" applyFill="1" applyBorder="1" applyAlignment="1">
      <alignment horizontal="center" vertical="center" wrapText="1"/>
    </xf>
    <xf numFmtId="0" fontId="17" fillId="8" borderId="32" xfId="3" applyFont="1" applyFill="1" applyBorder="1" applyAlignment="1">
      <alignment horizontal="center" vertical="center" wrapText="1"/>
    </xf>
    <xf numFmtId="0" fontId="17" fillId="8" borderId="33" xfId="3" applyFont="1" applyFill="1" applyBorder="1" applyAlignment="1">
      <alignment horizontal="center" vertical="center" wrapText="1"/>
    </xf>
    <xf numFmtId="0" fontId="38" fillId="0" borderId="13" xfId="3" applyFont="1" applyBorder="1"/>
    <xf numFmtId="0" fontId="38" fillId="0" borderId="14" xfId="3" applyFont="1" applyBorder="1"/>
    <xf numFmtId="0" fontId="38" fillId="0" borderId="15" xfId="3" applyFont="1" applyBorder="1"/>
    <xf numFmtId="164" fontId="11" fillId="0" borderId="77" xfId="3" applyNumberFormat="1" applyBorder="1" applyAlignment="1">
      <alignment horizontal="center" vertical="center"/>
    </xf>
    <xf numFmtId="0" fontId="11" fillId="0" borderId="77" xfId="3" applyBorder="1" applyAlignment="1">
      <alignment vertical="center"/>
    </xf>
    <xf numFmtId="164" fontId="11" fillId="0" borderId="81" xfId="3" applyNumberFormat="1" applyBorder="1" applyAlignment="1">
      <alignment horizontal="center" vertical="center"/>
    </xf>
    <xf numFmtId="0" fontId="11" fillId="0" borderId="81" xfId="3" applyBorder="1" applyAlignment="1">
      <alignment vertical="center"/>
    </xf>
    <xf numFmtId="164" fontId="11" fillId="0" borderId="15" xfId="3" applyNumberFormat="1" applyBorder="1" applyAlignment="1">
      <alignment horizontal="center" vertical="center"/>
    </xf>
    <xf numFmtId="0" fontId="11" fillId="0" borderId="78" xfId="3" applyBorder="1" applyAlignment="1">
      <alignment vertical="center"/>
    </xf>
    <xf numFmtId="164" fontId="11" fillId="0" borderId="80" xfId="3" applyNumberFormat="1" applyBorder="1" applyAlignment="1">
      <alignment horizontal="center" vertical="center"/>
    </xf>
    <xf numFmtId="0" fontId="11" fillId="0" borderId="82" xfId="3" applyBorder="1" applyAlignment="1">
      <alignment vertical="center"/>
    </xf>
    <xf numFmtId="0" fontId="11" fillId="0" borderId="79" xfId="3" applyBorder="1" applyAlignment="1">
      <alignment vertical="center" wrapText="1"/>
    </xf>
    <xf numFmtId="0" fontId="11" fillId="0" borderId="12" xfId="3" applyBorder="1" applyAlignment="1">
      <alignment vertical="center" wrapText="1"/>
    </xf>
    <xf numFmtId="0" fontId="11" fillId="0" borderId="80" xfId="3" applyBorder="1" applyAlignment="1">
      <alignment vertical="center" wrapText="1"/>
    </xf>
    <xf numFmtId="173" fontId="14" fillId="0" borderId="0" xfId="3" applyNumberFormat="1" applyFont="1" applyAlignment="1">
      <alignment horizontal="left"/>
    </xf>
    <xf numFmtId="0" fontId="12" fillId="0" borderId="0" xfId="3" applyFont="1" applyAlignment="1">
      <alignment horizontal="left"/>
    </xf>
    <xf numFmtId="0" fontId="37" fillId="8" borderId="70" xfId="3" applyFont="1" applyFill="1" applyBorder="1" applyAlignment="1">
      <alignment horizontal="center" vertical="center"/>
    </xf>
    <xf numFmtId="0" fontId="37" fillId="8" borderId="71" xfId="3" applyFont="1" applyFill="1" applyBorder="1" applyAlignment="1">
      <alignment horizontal="center" vertical="center"/>
    </xf>
    <xf numFmtId="0" fontId="37" fillId="8" borderId="72" xfId="3" applyFont="1" applyFill="1" applyBorder="1" applyAlignment="1">
      <alignment horizontal="center" vertical="center"/>
    </xf>
    <xf numFmtId="0" fontId="21" fillId="8" borderId="73" xfId="3" applyFont="1" applyFill="1" applyBorder="1" applyAlignment="1">
      <alignment horizontal="center" vertical="center" wrapText="1"/>
    </xf>
    <xf numFmtId="0" fontId="21" fillId="8" borderId="74" xfId="3" applyFont="1" applyFill="1" applyBorder="1" applyAlignment="1">
      <alignment horizontal="center" vertical="center" wrapText="1"/>
    </xf>
    <xf numFmtId="0" fontId="21" fillId="8" borderId="75" xfId="3" applyFont="1" applyFill="1" applyBorder="1" applyAlignment="1">
      <alignment horizontal="center" vertical="center" wrapText="1"/>
    </xf>
    <xf numFmtId="0" fontId="21" fillId="8" borderId="76" xfId="3" applyFont="1" applyFill="1" applyBorder="1" applyAlignment="1">
      <alignment horizontal="center" vertical="center" wrapText="1"/>
    </xf>
    <xf numFmtId="0" fontId="11" fillId="0" borderId="64" xfId="3" applyBorder="1" applyAlignment="1">
      <alignment horizontal="justify" vertical="center" wrapText="1"/>
    </xf>
    <xf numFmtId="0" fontId="11" fillId="0" borderId="65" xfId="3" applyBorder="1" applyAlignment="1">
      <alignment horizontal="justify" vertical="center" wrapText="1"/>
    </xf>
    <xf numFmtId="2" fontId="11" fillId="0" borderId="63" xfId="3" applyNumberFormat="1" applyBorder="1" applyAlignment="1">
      <alignment horizontal="right"/>
    </xf>
    <xf numFmtId="2" fontId="11" fillId="0" borderId="64" xfId="3" applyNumberFormat="1" applyBorder="1" applyAlignment="1">
      <alignment horizontal="right"/>
    </xf>
    <xf numFmtId="2" fontId="36" fillId="5" borderId="67" xfId="3" applyNumberFormat="1" applyFont="1" applyFill="1" applyBorder="1" applyAlignment="1">
      <alignment horizontal="center" wrapText="1"/>
    </xf>
    <xf numFmtId="2" fontId="36" fillId="5" borderId="68" xfId="3" applyNumberFormat="1" applyFont="1" applyFill="1" applyBorder="1" applyAlignment="1">
      <alignment horizontal="center" wrapText="1"/>
    </xf>
    <xf numFmtId="2" fontId="36" fillId="5" borderId="69" xfId="3" applyNumberFormat="1" applyFont="1" applyFill="1" applyBorder="1" applyAlignment="1">
      <alignment horizontal="center" wrapText="1"/>
    </xf>
    <xf numFmtId="0" fontId="11" fillId="0" borderId="32" xfId="3" applyBorder="1" applyAlignment="1">
      <alignment horizontal="justify" vertical="center" wrapText="1"/>
    </xf>
    <xf numFmtId="0" fontId="11" fillId="0" borderId="33" xfId="3" applyBorder="1" applyAlignment="1">
      <alignment horizontal="justify" vertical="center" wrapText="1"/>
    </xf>
    <xf numFmtId="2" fontId="11" fillId="0" borderId="34" xfId="3" applyNumberFormat="1" applyBorder="1" applyAlignment="1">
      <alignment horizontal="right"/>
    </xf>
    <xf numFmtId="2" fontId="11" fillId="0" borderId="32" xfId="3" applyNumberFormat="1" applyBorder="1" applyAlignment="1">
      <alignment horizontal="right"/>
    </xf>
    <xf numFmtId="2" fontId="36" fillId="5" borderId="34" xfId="3" applyNumberFormat="1" applyFont="1" applyFill="1" applyBorder="1" applyAlignment="1">
      <alignment horizontal="center" wrapText="1"/>
    </xf>
    <xf numFmtId="2" fontId="36" fillId="5" borderId="32" xfId="3" applyNumberFormat="1" applyFont="1" applyFill="1" applyBorder="1" applyAlignment="1">
      <alignment horizontal="center" wrapText="1"/>
    </xf>
    <xf numFmtId="2" fontId="36" fillId="5" borderId="61" xfId="3" applyNumberFormat="1" applyFont="1" applyFill="1" applyBorder="1" applyAlignment="1">
      <alignment horizontal="center" wrapText="1"/>
    </xf>
    <xf numFmtId="2" fontId="16" fillId="8" borderId="40" xfId="3" applyNumberFormat="1" applyFont="1" applyFill="1" applyBorder="1" applyAlignment="1">
      <alignment horizontal="right"/>
    </xf>
    <xf numFmtId="2" fontId="16" fillId="8" borderId="38" xfId="3" applyNumberFormat="1" applyFont="1" applyFill="1" applyBorder="1" applyAlignment="1">
      <alignment horizontal="right"/>
    </xf>
    <xf numFmtId="2" fontId="16" fillId="8" borderId="41" xfId="3" applyNumberFormat="1" applyFont="1" applyFill="1" applyBorder="1" applyAlignment="1">
      <alignment horizontal="right"/>
    </xf>
    <xf numFmtId="0" fontId="30" fillId="5" borderId="0" xfId="3" applyFont="1" applyFill="1" applyAlignment="1">
      <alignment horizontal="justify" vertical="center"/>
    </xf>
    <xf numFmtId="0" fontId="30" fillId="5" borderId="0" xfId="3" applyFont="1" applyFill="1" applyAlignment="1">
      <alignment vertical="center"/>
    </xf>
    <xf numFmtId="0" fontId="21" fillId="0" borderId="0" xfId="3" applyFont="1" applyAlignment="1">
      <alignment horizontal="center" vertical="center" wrapText="1"/>
    </xf>
    <xf numFmtId="0" fontId="16" fillId="8" borderId="34" xfId="3" applyFont="1" applyFill="1" applyBorder="1" applyAlignment="1">
      <alignment horizontal="center" vertical="center"/>
    </xf>
    <xf numFmtId="0" fontId="16" fillId="8" borderId="32" xfId="3" applyFont="1" applyFill="1" applyBorder="1" applyAlignment="1">
      <alignment horizontal="center" vertical="center"/>
    </xf>
    <xf numFmtId="0" fontId="34" fillId="8" borderId="57" xfId="3" applyFont="1" applyFill="1" applyBorder="1" applyAlignment="1">
      <alignment horizontal="center" vertical="center" wrapText="1"/>
    </xf>
    <xf numFmtId="0" fontId="11" fillId="0" borderId="47" xfId="3" applyBorder="1" applyAlignment="1">
      <alignment horizontal="center" vertical="center" wrapText="1"/>
    </xf>
    <xf numFmtId="0" fontId="11" fillId="0" borderId="48" xfId="3" applyBorder="1" applyAlignment="1">
      <alignment horizontal="center" vertical="center" wrapText="1"/>
    </xf>
    <xf numFmtId="0" fontId="11" fillId="5" borderId="0" xfId="3" applyFill="1" applyAlignment="1">
      <alignment horizontal="justify" vertical="center" wrapText="1"/>
    </xf>
    <xf numFmtId="0" fontId="11" fillId="5" borderId="0" xfId="3" applyFill="1" applyAlignment="1">
      <alignment horizontal="justify" wrapText="1"/>
    </xf>
    <xf numFmtId="0" fontId="11" fillId="0" borderId="49" xfId="3" applyBorder="1" applyAlignment="1">
      <alignment horizontal="center" vertical="top" wrapText="1"/>
    </xf>
    <xf numFmtId="0" fontId="11" fillId="0" borderId="50" xfId="3" applyBorder="1" applyAlignment="1">
      <alignment horizontal="center" vertical="top" wrapText="1"/>
    </xf>
    <xf numFmtId="0" fontId="11" fillId="0" borderId="51" xfId="3" applyBorder="1" applyAlignment="1">
      <alignment horizontal="center" vertical="top" wrapText="1"/>
    </xf>
    <xf numFmtId="0" fontId="11" fillId="0" borderId="52" xfId="3" applyBorder="1" applyAlignment="1">
      <alignment horizontal="center" vertical="top" wrapText="1"/>
    </xf>
    <xf numFmtId="0" fontId="11" fillId="0" borderId="0" xfId="3" applyAlignment="1">
      <alignment horizontal="center" vertical="top" wrapText="1"/>
    </xf>
    <xf numFmtId="0" fontId="11" fillId="0" borderId="53" xfId="3" applyBorder="1" applyAlignment="1">
      <alignment horizontal="center" vertical="top" wrapText="1"/>
    </xf>
    <xf numFmtId="0" fontId="11" fillId="0" borderId="54" xfId="3" applyBorder="1" applyAlignment="1">
      <alignment horizontal="center" vertical="top" wrapText="1"/>
    </xf>
    <xf numFmtId="0" fontId="11" fillId="0" borderId="55" xfId="3" applyBorder="1" applyAlignment="1">
      <alignment horizontal="center" vertical="top" wrapText="1"/>
    </xf>
    <xf numFmtId="0" fontId="11" fillId="0" borderId="56" xfId="3" applyBorder="1" applyAlignment="1">
      <alignment horizontal="center" vertical="top" wrapText="1"/>
    </xf>
    <xf numFmtId="0" fontId="30" fillId="5" borderId="0" xfId="3" applyFont="1" applyFill="1" applyAlignment="1">
      <alignment horizontal="justify" vertical="center" wrapText="1"/>
    </xf>
    <xf numFmtId="0" fontId="11" fillId="0" borderId="35" xfId="3" applyBorder="1" applyAlignment="1">
      <alignment horizontal="left"/>
    </xf>
    <xf numFmtId="174" fontId="11" fillId="0" borderId="35" xfId="4" applyNumberFormat="1" applyBorder="1" applyAlignment="1">
      <alignment horizontal="center"/>
    </xf>
    <xf numFmtId="2" fontId="11" fillId="0" borderId="35" xfId="3" applyNumberFormat="1" applyBorder="1" applyAlignment="1">
      <alignment horizontal="center"/>
    </xf>
    <xf numFmtId="0" fontId="11" fillId="0" borderId="35" xfId="3" applyBorder="1" applyAlignment="1">
      <alignment horizontal="center"/>
    </xf>
    <xf numFmtId="0" fontId="16" fillId="8" borderId="34" xfId="3" applyFont="1" applyFill="1" applyBorder="1" applyAlignment="1">
      <alignment horizontal="left"/>
    </xf>
    <xf numFmtId="0" fontId="16" fillId="8" borderId="32" xfId="3" applyFont="1" applyFill="1" applyBorder="1" applyAlignment="1">
      <alignment horizontal="left"/>
    </xf>
    <xf numFmtId="0" fontId="16" fillId="8" borderId="33" xfId="3" applyFont="1" applyFill="1" applyBorder="1" applyAlignment="1">
      <alignment horizontal="left"/>
    </xf>
    <xf numFmtId="10" fontId="11" fillId="8" borderId="34" xfId="4" applyNumberFormat="1" applyFont="1" applyFill="1" applyBorder="1" applyAlignment="1">
      <alignment horizontal="center"/>
    </xf>
    <xf numFmtId="10" fontId="11" fillId="8" borderId="32" xfId="4" applyNumberFormat="1" applyFont="1" applyFill="1" applyBorder="1" applyAlignment="1">
      <alignment horizontal="center"/>
    </xf>
    <xf numFmtId="10" fontId="11" fillId="8" borderId="33" xfId="4" applyNumberFormat="1" applyFont="1" applyFill="1" applyBorder="1" applyAlignment="1">
      <alignment horizontal="center"/>
    </xf>
    <xf numFmtId="2" fontId="16" fillId="8" borderId="35" xfId="3" applyNumberFormat="1" applyFont="1" applyFill="1" applyBorder="1" applyAlignment="1">
      <alignment horizontal="center"/>
    </xf>
    <xf numFmtId="0" fontId="16" fillId="8" borderId="35" xfId="3" applyFont="1" applyFill="1" applyBorder="1" applyAlignment="1">
      <alignment horizontal="center"/>
    </xf>
    <xf numFmtId="0" fontId="11" fillId="8" borderId="35" xfId="3" applyFill="1" applyBorder="1" applyAlignment="1">
      <alignment horizontal="center"/>
    </xf>
    <xf numFmtId="174" fontId="11" fillId="0" borderId="35" xfId="4" applyNumberFormat="1" applyFont="1" applyBorder="1" applyAlignment="1">
      <alignment horizontal="center"/>
    </xf>
    <xf numFmtId="4" fontId="11" fillId="0" borderId="0" xfId="3" applyNumberFormat="1" applyAlignment="1">
      <alignment horizontal="right"/>
    </xf>
    <xf numFmtId="4" fontId="11" fillId="0" borderId="0" xfId="3" applyNumberFormat="1"/>
    <xf numFmtId="4" fontId="11" fillId="0" borderId="45" xfId="3" applyNumberFormat="1" applyBorder="1"/>
    <xf numFmtId="4" fontId="11" fillId="0" borderId="0" xfId="3" applyNumberFormat="1" applyAlignment="1">
      <alignment horizontal="justify" vertical="center"/>
    </xf>
    <xf numFmtId="4" fontId="16" fillId="0" borderId="46" xfId="3" applyNumberFormat="1" applyFont="1" applyBorder="1" applyAlignment="1">
      <alignment horizontal="right"/>
    </xf>
    <xf numFmtId="0" fontId="33" fillId="8" borderId="35" xfId="3" applyFont="1" applyFill="1" applyBorder="1" applyAlignment="1">
      <alignment horizontal="center" vertical="center"/>
    </xf>
    <xf numFmtId="0" fontId="34" fillId="8" borderId="35" xfId="3" applyFont="1" applyFill="1" applyBorder="1" applyAlignment="1">
      <alignment horizontal="center" wrapText="1"/>
    </xf>
    <xf numFmtId="0" fontId="21" fillId="8" borderId="35" xfId="3" applyFont="1" applyFill="1" applyBorder="1" applyAlignment="1">
      <alignment horizontal="center" vertical="center" wrapText="1"/>
    </xf>
    <xf numFmtId="4" fontId="11" fillId="0" borderId="0" xfId="3" applyNumberFormat="1" applyAlignment="1">
      <alignment vertical="center"/>
    </xf>
    <xf numFmtId="166" fontId="16" fillId="5" borderId="0" xfId="3" applyNumberFormat="1" applyFont="1" applyFill="1" applyAlignment="1">
      <alignment horizontal="left"/>
    </xf>
    <xf numFmtId="166" fontId="11" fillId="5" borderId="0" xfId="3" applyNumberFormat="1" applyFill="1" applyAlignment="1">
      <alignment horizontal="left"/>
    </xf>
    <xf numFmtId="0" fontId="15" fillId="5" borderId="0" xfId="3" applyFont="1" applyFill="1" applyAlignment="1">
      <alignment horizontal="center"/>
    </xf>
    <xf numFmtId="0" fontId="16" fillId="0" borderId="44" xfId="3" applyFont="1" applyBorder="1" applyAlignment="1">
      <alignment horizontal="left"/>
    </xf>
    <xf numFmtId="4" fontId="11" fillId="5" borderId="0" xfId="3" applyNumberFormat="1" applyFill="1" applyAlignment="1" applyProtection="1">
      <alignment horizontal="justify" vertical="center" wrapText="1"/>
      <protection locked="0"/>
    </xf>
    <xf numFmtId="0" fontId="23" fillId="5" borderId="0" xfId="3" applyFont="1" applyFill="1" applyAlignment="1">
      <alignment horizontal="justify" vertical="center" wrapText="1"/>
    </xf>
    <xf numFmtId="0" fontId="18" fillId="0" borderId="0" xfId="3" applyFont="1" applyAlignment="1">
      <alignment horizontal="justify" vertical="center" wrapText="1"/>
    </xf>
    <xf numFmtId="0" fontId="18" fillId="5" borderId="0" xfId="3" applyFont="1" applyFill="1" applyAlignment="1">
      <alignment horizontal="justify" vertical="center" wrapText="1"/>
    </xf>
    <xf numFmtId="0" fontId="21" fillId="5" borderId="0" xfId="3" applyFont="1" applyFill="1" applyAlignment="1">
      <alignment horizontal="justify" vertical="center" wrapText="1"/>
    </xf>
    <xf numFmtId="171" fontId="18" fillId="5" borderId="0" xfId="3" applyNumberFormat="1" applyFont="1" applyFill="1" applyAlignment="1">
      <alignment horizontal="left" vertical="top"/>
    </xf>
    <xf numFmtId="4" fontId="18" fillId="0" borderId="41" xfId="3" applyNumberFormat="1" applyFont="1" applyBorder="1" applyAlignment="1">
      <alignment horizontal="center"/>
    </xf>
    <xf numFmtId="0" fontId="11" fillId="0" borderId="41" xfId="3" applyBorder="1" applyAlignment="1">
      <alignment horizontal="center"/>
    </xf>
    <xf numFmtId="0" fontId="11" fillId="0" borderId="42" xfId="3" applyBorder="1" applyAlignment="1">
      <alignment horizontal="center"/>
    </xf>
    <xf numFmtId="170" fontId="18" fillId="5" borderId="0" xfId="3" applyNumberFormat="1" applyFont="1" applyFill="1" applyAlignment="1">
      <alignment horizontal="center" vertical="center"/>
    </xf>
    <xf numFmtId="0" fontId="18" fillId="0" borderId="0" xfId="3" applyFont="1" applyAlignment="1">
      <alignment horizontal="justify" vertical="center"/>
    </xf>
    <xf numFmtId="0" fontId="18" fillId="0" borderId="0" xfId="3" applyFont="1" applyAlignment="1">
      <alignment horizontal="left" vertical="top"/>
    </xf>
    <xf numFmtId="4" fontId="18" fillId="0" borderId="40" xfId="3" applyNumberFormat="1" applyFont="1" applyBorder="1" applyAlignment="1">
      <alignment horizontal="center"/>
    </xf>
    <xf numFmtId="0" fontId="18" fillId="0" borderId="38" xfId="3" applyFont="1" applyBorder="1" applyAlignment="1">
      <alignment horizontal="center"/>
    </xf>
    <xf numFmtId="0" fontId="18" fillId="0" borderId="39" xfId="3" applyFont="1" applyBorder="1" applyAlignment="1">
      <alignment horizontal="center"/>
    </xf>
    <xf numFmtId="4" fontId="18" fillId="0" borderId="38" xfId="3" applyNumberFormat="1" applyFont="1" applyBorder="1" applyAlignment="1">
      <alignment horizontal="center"/>
    </xf>
    <xf numFmtId="4" fontId="18" fillId="0" borderId="39" xfId="3" applyNumberFormat="1" applyFont="1" applyBorder="1" applyAlignment="1">
      <alignment horizontal="center"/>
    </xf>
    <xf numFmtId="4" fontId="18" fillId="0" borderId="35" xfId="3" applyNumberFormat="1" applyFont="1" applyBorder="1" applyAlignment="1">
      <alignment horizontal="center"/>
    </xf>
    <xf numFmtId="4" fontId="11" fillId="0" borderId="35" xfId="3" applyNumberFormat="1" applyBorder="1" applyAlignment="1">
      <alignment horizontal="center"/>
    </xf>
    <xf numFmtId="4" fontId="11" fillId="0" borderId="36" xfId="3" applyNumberFormat="1" applyBorder="1" applyAlignment="1">
      <alignment horizontal="center"/>
    </xf>
    <xf numFmtId="0" fontId="22" fillId="0" borderId="31" xfId="3" applyFont="1" applyBorder="1" applyAlignment="1">
      <alignment horizontal="left" wrapText="1"/>
    </xf>
    <xf numFmtId="0" fontId="22" fillId="0" borderId="32" xfId="3" applyFont="1" applyBorder="1" applyAlignment="1">
      <alignment horizontal="left" wrapText="1"/>
    </xf>
    <xf numFmtId="0" fontId="22" fillId="0" borderId="33" xfId="3" applyFont="1" applyBorder="1" applyAlignment="1">
      <alignment horizontal="left" wrapText="1"/>
    </xf>
    <xf numFmtId="4" fontId="18" fillId="0" borderId="34" xfId="3" applyNumberFormat="1" applyFont="1" applyBorder="1" applyAlignment="1">
      <alignment horizontal="center"/>
    </xf>
    <xf numFmtId="4" fontId="18" fillId="0" borderId="32" xfId="3" applyNumberFormat="1" applyFont="1" applyBorder="1" applyAlignment="1">
      <alignment horizontal="center"/>
    </xf>
    <xf numFmtId="4" fontId="18" fillId="0" borderId="33" xfId="3" applyNumberFormat="1" applyFont="1" applyBorder="1" applyAlignment="1">
      <alignment horizontal="center"/>
    </xf>
    <xf numFmtId="4" fontId="21" fillId="0" borderId="29" xfId="3" applyNumberFormat="1" applyFont="1" applyBorder="1" applyAlignment="1">
      <alignment horizontal="center" wrapText="1"/>
    </xf>
    <xf numFmtId="4" fontId="16" fillId="0" borderId="29" xfId="3" applyNumberFormat="1" applyFont="1" applyBorder="1" applyAlignment="1">
      <alignment horizontal="center"/>
    </xf>
    <xf numFmtId="4" fontId="16" fillId="0" borderId="30" xfId="3" applyNumberFormat="1" applyFont="1" applyBorder="1" applyAlignment="1">
      <alignment horizontal="center"/>
    </xf>
    <xf numFmtId="0" fontId="21" fillId="0" borderId="25" xfId="3" applyFont="1" applyBorder="1" applyAlignment="1">
      <alignment horizontal="center" vertical="center"/>
    </xf>
    <xf numFmtId="0" fontId="21" fillId="0" borderId="26" xfId="3" applyFont="1" applyBorder="1" applyAlignment="1">
      <alignment horizontal="center" vertical="center"/>
    </xf>
    <xf numFmtId="4" fontId="21" fillId="0" borderId="27" xfId="3" applyNumberFormat="1" applyFont="1" applyBorder="1" applyAlignment="1">
      <alignment horizontal="center" wrapText="1"/>
    </xf>
    <xf numFmtId="4" fontId="21" fillId="0" borderId="26" xfId="3" applyNumberFormat="1" applyFont="1" applyBorder="1" applyAlignment="1">
      <alignment horizontal="center" wrapText="1"/>
    </xf>
    <xf numFmtId="4" fontId="21" fillId="0" borderId="28" xfId="3" applyNumberFormat="1" applyFont="1" applyBorder="1" applyAlignment="1">
      <alignment horizontal="center" wrapText="1"/>
    </xf>
    <xf numFmtId="4" fontId="11" fillId="0" borderId="35" xfId="3" applyNumberFormat="1" applyBorder="1" applyAlignment="1">
      <alignment horizontal="center" vertical="center"/>
    </xf>
    <xf numFmtId="4" fontId="11" fillId="0" borderId="36" xfId="3" applyNumberFormat="1" applyBorder="1" applyAlignment="1">
      <alignment horizontal="center" vertical="center"/>
    </xf>
    <xf numFmtId="4" fontId="22" fillId="0" borderId="31" xfId="3" applyNumberFormat="1" applyFont="1" applyBorder="1" applyAlignment="1">
      <alignment horizontal="left" vertical="center" wrapText="1"/>
    </xf>
    <xf numFmtId="0" fontId="22" fillId="0" borderId="32" xfId="3" applyFont="1" applyBorder="1" applyAlignment="1">
      <alignment horizontal="left" vertical="center" wrapText="1"/>
    </xf>
    <xf numFmtId="0" fontId="22" fillId="0" borderId="33" xfId="3" applyFont="1" applyBorder="1" applyAlignment="1">
      <alignment horizontal="left" vertical="center" wrapText="1"/>
    </xf>
    <xf numFmtId="4" fontId="18" fillId="0" borderId="34" xfId="3" applyNumberFormat="1" applyFont="1" applyBorder="1" applyAlignment="1">
      <alignment horizontal="center" vertical="center"/>
    </xf>
    <xf numFmtId="4" fontId="18" fillId="0" borderId="32" xfId="3" applyNumberFormat="1" applyFont="1" applyBorder="1" applyAlignment="1">
      <alignment horizontal="center" vertical="center"/>
    </xf>
    <xf numFmtId="4" fontId="18" fillId="0" borderId="33" xfId="3" applyNumberFormat="1" applyFont="1" applyBorder="1" applyAlignment="1">
      <alignment horizontal="center" vertical="center"/>
    </xf>
    <xf numFmtId="2" fontId="18" fillId="0" borderId="34" xfId="3" applyNumberFormat="1" applyFont="1" applyBorder="1" applyAlignment="1">
      <alignment horizontal="center" vertical="center"/>
    </xf>
    <xf numFmtId="0" fontId="18" fillId="0" borderId="32" xfId="3" applyFont="1" applyBorder="1" applyAlignment="1">
      <alignment horizontal="center" vertical="center"/>
    </xf>
    <xf numFmtId="0" fontId="18" fillId="0" borderId="33" xfId="3" applyFont="1" applyBorder="1" applyAlignment="1">
      <alignment horizontal="center" vertical="center"/>
    </xf>
    <xf numFmtId="0" fontId="16" fillId="0" borderId="13" xfId="3" applyFont="1" applyBorder="1" applyAlignment="1">
      <alignment horizontal="center" vertical="center"/>
    </xf>
    <xf numFmtId="0" fontId="16" fillId="0" borderId="14" xfId="3" applyFont="1" applyBorder="1" applyAlignment="1">
      <alignment horizontal="center" vertical="center"/>
    </xf>
    <xf numFmtId="0" fontId="16" fillId="0" borderId="15" xfId="3" applyFont="1" applyBorder="1" applyAlignment="1">
      <alignment horizontal="center" vertical="center"/>
    </xf>
    <xf numFmtId="0" fontId="16" fillId="0" borderId="17" xfId="3" applyFont="1" applyBorder="1" applyAlignment="1">
      <alignment horizontal="center" vertical="center"/>
    </xf>
    <xf numFmtId="0" fontId="16" fillId="0" borderId="18" xfId="3" applyFont="1" applyBorder="1" applyAlignment="1">
      <alignment horizontal="center" vertical="center"/>
    </xf>
    <xf numFmtId="0" fontId="16" fillId="0" borderId="20" xfId="3" applyFont="1" applyBorder="1" applyAlignment="1">
      <alignment horizontal="center" vertical="center"/>
    </xf>
    <xf numFmtId="0" fontId="16" fillId="0" borderId="21" xfId="3" applyFont="1" applyBorder="1" applyAlignment="1">
      <alignment horizontal="center" vertical="center"/>
    </xf>
    <xf numFmtId="0" fontId="16" fillId="0" borderId="22" xfId="3" applyFont="1" applyBorder="1" applyAlignment="1">
      <alignment horizontal="center" vertical="center"/>
    </xf>
    <xf numFmtId="0" fontId="16" fillId="0" borderId="16" xfId="3" applyFont="1" applyBorder="1" applyAlignment="1">
      <alignment horizontal="center" vertical="center"/>
    </xf>
    <xf numFmtId="0" fontId="16" fillId="0" borderId="19" xfId="3" applyFont="1" applyBorder="1" applyAlignment="1">
      <alignment horizontal="center" vertical="center"/>
    </xf>
    <xf numFmtId="0" fontId="16" fillId="0" borderId="23" xfId="3" applyFont="1" applyBorder="1" applyAlignment="1">
      <alignment horizontal="center" vertical="center"/>
    </xf>
    <xf numFmtId="0" fontId="14" fillId="0" borderId="24" xfId="3" applyFont="1" applyBorder="1" applyAlignment="1">
      <alignment horizontal="left" vertical="center" wrapText="1"/>
    </xf>
    <xf numFmtId="0" fontId="18" fillId="8" borderId="0" xfId="3" quotePrefix="1" applyFont="1" applyFill="1" applyAlignment="1">
      <alignment horizontal="center" vertical="center"/>
    </xf>
    <xf numFmtId="0" fontId="18" fillId="8" borderId="0" xfId="3" applyFont="1" applyFill="1" applyAlignment="1">
      <alignment horizontal="center" vertical="center"/>
    </xf>
    <xf numFmtId="0" fontId="17" fillId="0" borderId="0" xfId="3" applyFont="1" applyAlignment="1">
      <alignment horizontal="justify" vertical="center" wrapText="1"/>
    </xf>
    <xf numFmtId="167" fontId="18" fillId="5" borderId="0" xfId="3" applyNumberFormat="1" applyFont="1" applyFill="1" applyAlignment="1">
      <alignment horizontal="left" vertical="center" wrapText="1"/>
    </xf>
    <xf numFmtId="1" fontId="14" fillId="5" borderId="12" xfId="3" applyNumberFormat="1" applyFont="1" applyFill="1" applyBorder="1" applyAlignment="1">
      <alignment horizontal="left" vertical="center"/>
    </xf>
    <xf numFmtId="166" fontId="14" fillId="0" borderId="0" xfId="3" applyNumberFormat="1" applyFont="1" applyAlignment="1">
      <alignment horizontal="left"/>
    </xf>
    <xf numFmtId="166" fontId="12" fillId="0" borderId="0" xfId="3" applyNumberFormat="1" applyFont="1"/>
    <xf numFmtId="0" fontId="15" fillId="0" borderId="0" xfId="3" applyFont="1" applyAlignment="1">
      <alignment horizontal="center" vertical="top"/>
    </xf>
    <xf numFmtId="0" fontId="11" fillId="0" borderId="0" xfId="3" applyAlignment="1">
      <alignment vertical="top"/>
    </xf>
    <xf numFmtId="4" fontId="14" fillId="0" borderId="0" xfId="3" applyNumberFormat="1" applyFont="1" applyAlignment="1">
      <alignment horizontal="left" vertical="center" wrapText="1"/>
    </xf>
    <xf numFmtId="0" fontId="14" fillId="0" borderId="0" xfId="3" applyFont="1" applyAlignment="1">
      <alignment horizontal="left" vertical="center" wrapText="1"/>
    </xf>
    <xf numFmtId="0" fontId="14" fillId="5" borderId="0" xfId="3" applyFont="1" applyFill="1" applyAlignment="1">
      <alignment horizontal="left" vertical="center" wrapText="1"/>
    </xf>
    <xf numFmtId="0" fontId="0" fillId="4" borderId="8" xfId="0" applyFill="1" applyBorder="1" applyAlignment="1" applyProtection="1">
      <alignment horizontal="center" vertical="center" wrapText="1"/>
      <protection locked="0"/>
    </xf>
    <xf numFmtId="0" fontId="0" fillId="4" borderId="10" xfId="0" applyFill="1" applyBorder="1" applyAlignment="1" applyProtection="1">
      <alignment horizontal="center" vertical="center" wrapText="1"/>
      <protection locked="0"/>
    </xf>
    <xf numFmtId="0" fontId="0" fillId="4" borderId="2" xfId="0" applyFill="1" applyBorder="1" applyAlignment="1" applyProtection="1">
      <alignment horizontal="center" vertical="center" wrapText="1"/>
      <protection locked="0"/>
    </xf>
    <xf numFmtId="0" fontId="0" fillId="4" borderId="3" xfId="0" applyFill="1" applyBorder="1" applyAlignment="1" applyProtection="1">
      <alignment horizontal="center" vertical="center" wrapText="1"/>
      <protection locked="0"/>
    </xf>
    <xf numFmtId="0" fontId="0" fillId="4" borderId="4" xfId="0" applyFill="1" applyBorder="1" applyAlignment="1" applyProtection="1">
      <alignment horizontal="center" vertical="center" wrapText="1"/>
      <protection locked="0"/>
    </xf>
    <xf numFmtId="0" fontId="0" fillId="4" borderId="5" xfId="0" applyFill="1" applyBorder="1" applyAlignment="1" applyProtection="1">
      <alignment horizontal="center" vertical="center" wrapText="1"/>
      <protection locked="0"/>
    </xf>
    <xf numFmtId="0" fontId="0" fillId="4" borderId="6" xfId="0" applyFill="1" applyBorder="1" applyAlignment="1" applyProtection="1">
      <alignment horizontal="center" vertical="center" wrapText="1"/>
      <protection locked="0"/>
    </xf>
    <xf numFmtId="0" fontId="0" fillId="4" borderId="7" xfId="0" applyFill="1" applyBorder="1" applyAlignment="1" applyProtection="1">
      <alignment horizontal="center" vertical="center" wrapText="1"/>
      <protection locked="0"/>
    </xf>
    <xf numFmtId="0" fontId="3" fillId="7" borderId="0" xfId="0" applyFont="1" applyFill="1" applyAlignment="1">
      <alignment horizontal="center"/>
    </xf>
    <xf numFmtId="4" fontId="0" fillId="4" borderId="8" xfId="0" applyNumberFormat="1" applyFill="1" applyBorder="1" applyAlignment="1" applyProtection="1">
      <alignment horizontal="center" vertical="center" wrapText="1"/>
      <protection locked="0"/>
    </xf>
    <xf numFmtId="0" fontId="0" fillId="4" borderId="9" xfId="0" applyFill="1" applyBorder="1" applyAlignment="1" applyProtection="1">
      <alignment horizontal="center" vertical="center" wrapText="1"/>
      <protection locked="0"/>
    </xf>
    <xf numFmtId="0" fontId="2" fillId="2" borderId="0" xfId="0" applyFont="1" applyFill="1" applyAlignment="1" applyProtection="1">
      <alignment horizontal="center" vertical="center"/>
      <protection hidden="1"/>
    </xf>
    <xf numFmtId="0" fontId="57" fillId="12" borderId="99" xfId="3" applyFont="1" applyFill="1" applyBorder="1" applyAlignment="1">
      <alignment horizontal="center" vertical="center"/>
    </xf>
    <xf numFmtId="0" fontId="57" fillId="12" borderId="101" xfId="3" applyFont="1" applyFill="1" applyBorder="1" applyAlignment="1">
      <alignment horizontal="center" vertical="center"/>
    </xf>
    <xf numFmtId="0" fontId="57" fillId="12" borderId="100" xfId="3" applyFont="1" applyFill="1" applyBorder="1" applyAlignment="1">
      <alignment horizontal="center" vertical="center"/>
    </xf>
    <xf numFmtId="0" fontId="36" fillId="0" borderId="114" xfId="3" applyFont="1" applyBorder="1" applyAlignment="1">
      <alignment horizontal="center" vertical="center"/>
    </xf>
    <xf numFmtId="0" fontId="36" fillId="0" borderId="64" xfId="3" applyFont="1" applyBorder="1" applyAlignment="1">
      <alignment horizontal="center" vertical="center"/>
    </xf>
    <xf numFmtId="0" fontId="36" fillId="0" borderId="115" xfId="3" applyFont="1" applyBorder="1" applyAlignment="1">
      <alignment horizontal="center" vertical="center"/>
    </xf>
    <xf numFmtId="0" fontId="36" fillId="0" borderId="116" xfId="3" applyFont="1" applyBorder="1" applyAlignment="1">
      <alignment horizontal="center" vertical="center"/>
    </xf>
    <xf numFmtId="0" fontId="36" fillId="0" borderId="117" xfId="3" applyFont="1" applyBorder="1" applyAlignment="1">
      <alignment horizontal="center" vertical="center"/>
    </xf>
    <xf numFmtId="0" fontId="36" fillId="0" borderId="118" xfId="3" applyFont="1" applyBorder="1" applyAlignment="1">
      <alignment horizontal="center" vertical="center"/>
    </xf>
    <xf numFmtId="4" fontId="36" fillId="5" borderId="47" xfId="3" applyNumberFormat="1" applyFont="1" applyFill="1" applyBorder="1" applyAlignment="1">
      <alignment horizontal="center" vertical="center"/>
    </xf>
    <xf numFmtId="4" fontId="36" fillId="5" borderId="96" xfId="3" applyNumberFormat="1" applyFont="1" applyFill="1" applyBorder="1" applyAlignment="1">
      <alignment horizontal="center" vertical="center"/>
    </xf>
    <xf numFmtId="4" fontId="36" fillId="5" borderId="48" xfId="3" applyNumberFormat="1" applyFont="1" applyFill="1" applyBorder="1" applyAlignment="1">
      <alignment horizontal="center" vertical="center"/>
    </xf>
    <xf numFmtId="0" fontId="61" fillId="0" borderId="49" xfId="3" applyFont="1" applyBorder="1" applyAlignment="1">
      <alignment horizontal="left" vertical="center" wrapText="1"/>
    </xf>
    <xf numFmtId="0" fontId="61" fillId="0" borderId="50" xfId="3" applyFont="1" applyBorder="1" applyAlignment="1">
      <alignment horizontal="left" vertical="center" wrapText="1"/>
    </xf>
    <xf numFmtId="0" fontId="61" fillId="0" borderId="51" xfId="3" applyFont="1" applyBorder="1" applyAlignment="1">
      <alignment horizontal="left" vertical="center" wrapText="1"/>
    </xf>
    <xf numFmtId="0" fontId="61" fillId="0" borderId="52" xfId="3" applyFont="1" applyBorder="1" applyAlignment="1">
      <alignment horizontal="left" vertical="center" wrapText="1"/>
    </xf>
    <xf numFmtId="0" fontId="61" fillId="0" borderId="0" xfId="3" applyFont="1" applyAlignment="1">
      <alignment horizontal="left" vertical="center" wrapText="1"/>
    </xf>
    <xf numFmtId="0" fontId="61" fillId="0" borderId="53" xfId="3" applyFont="1" applyBorder="1" applyAlignment="1">
      <alignment horizontal="left" vertical="center" wrapText="1"/>
    </xf>
    <xf numFmtId="0" fontId="61" fillId="0" borderId="54" xfId="3" applyFont="1" applyBorder="1" applyAlignment="1">
      <alignment horizontal="left" vertical="center" wrapText="1"/>
    </xf>
    <xf numFmtId="0" fontId="61" fillId="0" borderId="55" xfId="3" applyFont="1" applyBorder="1" applyAlignment="1">
      <alignment horizontal="left" vertical="center" wrapText="1"/>
    </xf>
    <xf numFmtId="0" fontId="61" fillId="0" borderId="56" xfId="3" applyFont="1" applyBorder="1" applyAlignment="1">
      <alignment horizontal="left" vertical="center" wrapText="1"/>
    </xf>
    <xf numFmtId="176" fontId="36" fillId="0" borderId="106" xfId="3" applyNumberFormat="1" applyFont="1" applyBorder="1" applyAlignment="1">
      <alignment horizontal="justify" vertical="center" wrapText="1"/>
    </xf>
    <xf numFmtId="0" fontId="36" fillId="0" borderId="106" xfId="3" applyFont="1" applyBorder="1" applyAlignment="1">
      <alignment horizontal="justify" vertical="center" wrapText="1"/>
    </xf>
    <xf numFmtId="176" fontId="36" fillId="0" borderId="106" xfId="3" applyNumberFormat="1" applyFont="1" applyBorder="1" applyAlignment="1">
      <alignment horizontal="center" vertical="center"/>
    </xf>
    <xf numFmtId="0" fontId="36" fillId="0" borderId="106" xfId="3" applyFont="1" applyBorder="1" applyAlignment="1">
      <alignment horizontal="center" vertical="center"/>
    </xf>
    <xf numFmtId="3" fontId="36" fillId="0" borderId="99" xfId="3" applyNumberFormat="1" applyFont="1" applyBorder="1" applyAlignment="1">
      <alignment horizontal="center" vertical="center"/>
    </xf>
    <xf numFmtId="3" fontId="36" fillId="0" borderId="101" xfId="3" applyNumberFormat="1" applyFont="1" applyBorder="1" applyAlignment="1">
      <alignment horizontal="center" vertical="center"/>
    </xf>
    <xf numFmtId="3" fontId="36" fillId="0" borderId="100" xfId="3" applyNumberFormat="1" applyFont="1" applyBorder="1" applyAlignment="1">
      <alignment horizontal="center" vertical="center"/>
    </xf>
    <xf numFmtId="176" fontId="60" fillId="5" borderId="106" xfId="7" applyNumberFormat="1" applyFill="1" applyBorder="1" applyAlignment="1" applyProtection="1">
      <alignment horizontal="center" vertical="center" wrapText="1"/>
    </xf>
    <xf numFmtId="0" fontId="36" fillId="5" borderId="106" xfId="3" applyFont="1" applyFill="1" applyBorder="1" applyAlignment="1">
      <alignment horizontal="center" vertical="center"/>
    </xf>
    <xf numFmtId="0" fontId="36" fillId="5" borderId="107" xfId="3" applyFont="1" applyFill="1" applyBorder="1" applyAlignment="1">
      <alignment horizontal="center" vertical="center"/>
    </xf>
    <xf numFmtId="176" fontId="17" fillId="0" borderId="106" xfId="3" applyNumberFormat="1" applyFont="1" applyBorder="1" applyAlignment="1">
      <alignment horizontal="justify" vertical="center" wrapText="1"/>
    </xf>
    <xf numFmtId="0" fontId="17" fillId="0" borderId="106" xfId="3" applyFont="1" applyBorder="1" applyAlignment="1">
      <alignment horizontal="justify" vertical="center" wrapText="1"/>
    </xf>
    <xf numFmtId="176" fontId="36" fillId="5" borderId="106" xfId="3" applyNumberFormat="1" applyFont="1" applyFill="1" applyBorder="1" applyAlignment="1">
      <alignment horizontal="center" vertical="center" wrapText="1"/>
    </xf>
    <xf numFmtId="3" fontId="36" fillId="0" borderId="106" xfId="3" applyNumberFormat="1" applyFont="1" applyBorder="1" applyAlignment="1">
      <alignment horizontal="center" vertical="center"/>
    </xf>
    <xf numFmtId="0" fontId="36" fillId="0" borderId="112" xfId="3" applyFont="1" applyBorder="1" applyAlignment="1">
      <alignment horizontal="center" vertical="center"/>
    </xf>
    <xf numFmtId="0" fontId="36" fillId="0" borderId="113" xfId="3" applyFont="1" applyBorder="1" applyAlignment="1">
      <alignment horizontal="center" vertical="center"/>
    </xf>
    <xf numFmtId="0" fontId="36" fillId="5" borderId="99" xfId="3" applyFont="1" applyFill="1" applyBorder="1" applyAlignment="1">
      <alignment horizontal="center" vertical="center"/>
    </xf>
    <xf numFmtId="0" fontId="36" fillId="5" borderId="101" xfId="3" applyFont="1" applyFill="1" applyBorder="1" applyAlignment="1">
      <alignment horizontal="center" vertical="center"/>
    </xf>
    <xf numFmtId="0" fontId="36" fillId="5" borderId="100" xfId="3" applyFont="1" applyFill="1" applyBorder="1" applyAlignment="1">
      <alignment horizontal="center" vertical="center"/>
    </xf>
    <xf numFmtId="0" fontId="36" fillId="5" borderId="99" xfId="3" applyFont="1" applyFill="1" applyBorder="1" applyAlignment="1">
      <alignment horizontal="left" vertical="center"/>
    </xf>
    <xf numFmtId="0" fontId="36" fillId="5" borderId="101" xfId="3" applyFont="1" applyFill="1" applyBorder="1" applyAlignment="1">
      <alignment horizontal="left" vertical="center"/>
    </xf>
    <xf numFmtId="0" fontId="36" fillId="5" borderId="100" xfId="3" applyFont="1" applyFill="1" applyBorder="1" applyAlignment="1">
      <alignment horizontal="left" vertical="center"/>
    </xf>
    <xf numFmtId="0" fontId="36" fillId="5" borderId="47" xfId="3" quotePrefix="1" applyFont="1" applyFill="1" applyBorder="1" applyAlignment="1">
      <alignment horizontal="center" vertical="center"/>
    </xf>
    <xf numFmtId="0" fontId="36" fillId="5" borderId="96" xfId="3" quotePrefix="1" applyFont="1" applyFill="1" applyBorder="1" applyAlignment="1">
      <alignment horizontal="center" vertical="center"/>
    </xf>
    <xf numFmtId="0" fontId="36" fillId="5" borderId="48" xfId="3" quotePrefix="1" applyFont="1" applyFill="1" applyBorder="1" applyAlignment="1">
      <alignment horizontal="center" vertical="center"/>
    </xf>
    <xf numFmtId="0" fontId="36" fillId="5" borderId="47" xfId="3" applyFont="1" applyFill="1" applyBorder="1" applyAlignment="1">
      <alignment horizontal="center" vertical="center"/>
    </xf>
    <xf numFmtId="0" fontId="36" fillId="5" borderId="96" xfId="3" applyFont="1" applyFill="1" applyBorder="1" applyAlignment="1">
      <alignment horizontal="center" vertical="center"/>
    </xf>
    <xf numFmtId="0" fontId="36" fillId="5" borderId="48" xfId="3" applyFont="1" applyFill="1" applyBorder="1" applyAlignment="1">
      <alignment horizontal="center" vertical="center"/>
    </xf>
    <xf numFmtId="4" fontId="36" fillId="0" borderId="47" xfId="3" applyNumberFormat="1" applyFont="1" applyBorder="1" applyAlignment="1">
      <alignment horizontal="center" vertical="center"/>
    </xf>
    <xf numFmtId="4" fontId="36" fillId="0" borderId="96" xfId="3" applyNumberFormat="1" applyFont="1" applyBorder="1" applyAlignment="1">
      <alignment horizontal="center" vertical="center"/>
    </xf>
    <xf numFmtId="4" fontId="36" fillId="0" borderId="48" xfId="3" applyNumberFormat="1" applyFont="1" applyBorder="1" applyAlignment="1">
      <alignment horizontal="center" vertical="center"/>
    </xf>
    <xf numFmtId="2" fontId="36" fillId="5" borderId="47" xfId="3" applyNumberFormat="1" applyFont="1" applyFill="1" applyBorder="1" applyAlignment="1">
      <alignment horizontal="center" vertical="center"/>
    </xf>
    <xf numFmtId="2" fontId="36" fillId="5" borderId="96" xfId="3" applyNumberFormat="1" applyFont="1" applyFill="1" applyBorder="1" applyAlignment="1">
      <alignment horizontal="center" vertical="center"/>
    </xf>
    <xf numFmtId="2" fontId="36" fillId="5" borderId="48" xfId="3" applyNumberFormat="1" applyFont="1" applyFill="1" applyBorder="1" applyAlignment="1">
      <alignment horizontal="center" vertical="center"/>
    </xf>
    <xf numFmtId="0" fontId="55" fillId="12" borderId="99" xfId="3" applyFont="1" applyFill="1" applyBorder="1" applyAlignment="1">
      <alignment horizontal="center" vertical="center"/>
    </xf>
    <xf numFmtId="0" fontId="55" fillId="12" borderId="101" xfId="3" applyFont="1" applyFill="1" applyBorder="1" applyAlignment="1">
      <alignment horizontal="center" vertical="center"/>
    </xf>
    <xf numFmtId="0" fontId="36" fillId="5" borderId="105" xfId="3" applyFont="1" applyFill="1" applyBorder="1" applyAlignment="1">
      <alignment horizontal="center" vertical="center"/>
    </xf>
    <xf numFmtId="0" fontId="36" fillId="5" borderId="104" xfId="3" applyFont="1" applyFill="1" applyBorder="1" applyAlignment="1">
      <alignment horizontal="center" vertical="center"/>
    </xf>
    <xf numFmtId="0" fontId="36" fillId="5" borderId="103" xfId="3" applyFont="1" applyFill="1" applyBorder="1" applyAlignment="1">
      <alignment horizontal="right" vertical="center"/>
    </xf>
    <xf numFmtId="0" fontId="36" fillId="5" borderId="104" xfId="3" applyFont="1" applyFill="1" applyBorder="1" applyAlignment="1">
      <alignment horizontal="right" vertical="center"/>
    </xf>
    <xf numFmtId="0" fontId="36" fillId="5" borderId="103" xfId="3" applyFont="1" applyFill="1" applyBorder="1" applyAlignment="1">
      <alignment horizontal="center" vertical="center"/>
    </xf>
    <xf numFmtId="0" fontId="36" fillId="5" borderId="0" xfId="3" applyFont="1" applyFill="1" applyAlignment="1">
      <alignment horizontal="center" vertical="center"/>
    </xf>
    <xf numFmtId="0" fontId="36" fillId="5" borderId="98" xfId="3" applyFont="1" applyFill="1" applyBorder="1" applyAlignment="1">
      <alignment horizontal="center" vertical="center"/>
    </xf>
    <xf numFmtId="0" fontId="36" fillId="5" borderId="103" xfId="3" applyFont="1" applyFill="1" applyBorder="1" applyAlignment="1">
      <alignment horizontal="left" vertical="center"/>
    </xf>
    <xf numFmtId="0" fontId="36" fillId="5" borderId="104" xfId="3" applyFont="1" applyFill="1" applyBorder="1" applyAlignment="1">
      <alignment horizontal="left" vertical="center"/>
    </xf>
    <xf numFmtId="0" fontId="52" fillId="0" borderId="47" xfId="3" applyFont="1" applyBorder="1" applyAlignment="1">
      <alignment horizontal="center" vertical="center"/>
    </xf>
    <xf numFmtId="0" fontId="52" fillId="0" borderId="96" xfId="3" applyFont="1" applyBorder="1" applyAlignment="1">
      <alignment horizontal="center" vertical="center"/>
    </xf>
    <xf numFmtId="0" fontId="52" fillId="0" borderId="48" xfId="3" applyFont="1" applyBorder="1" applyAlignment="1">
      <alignment horizontal="center" vertical="center"/>
    </xf>
    <xf numFmtId="0" fontId="36" fillId="5" borderId="55" xfId="3" applyFont="1" applyFill="1" applyBorder="1" applyAlignment="1">
      <alignment horizontal="center" vertical="center"/>
    </xf>
    <xf numFmtId="0" fontId="36" fillId="5" borderId="47" xfId="3" applyFont="1" applyFill="1" applyBorder="1" applyAlignment="1">
      <alignment horizontal="justify" vertical="center"/>
    </xf>
    <xf numFmtId="0" fontId="36" fillId="5" borderId="96" xfId="3" applyFont="1" applyFill="1" applyBorder="1" applyAlignment="1">
      <alignment horizontal="justify" vertical="center"/>
    </xf>
    <xf numFmtId="0" fontId="36" fillId="5" borderId="48" xfId="3" applyFont="1" applyFill="1" applyBorder="1" applyAlignment="1">
      <alignment horizontal="justify" vertical="center"/>
    </xf>
    <xf numFmtId="0" fontId="54" fillId="12" borderId="99" xfId="3" applyFont="1" applyFill="1" applyBorder="1" applyAlignment="1">
      <alignment horizontal="center" vertical="center"/>
    </xf>
    <xf numFmtId="0" fontId="54" fillId="12" borderId="100" xfId="3" applyFont="1" applyFill="1" applyBorder="1" applyAlignment="1">
      <alignment horizontal="center" vertical="center"/>
    </xf>
    <xf numFmtId="0" fontId="36" fillId="5" borderId="99" xfId="3" applyFont="1" applyFill="1" applyBorder="1" applyAlignment="1">
      <alignment horizontal="center" vertical="center" wrapText="1"/>
    </xf>
    <xf numFmtId="0" fontId="54" fillId="12" borderId="101" xfId="3" applyFont="1" applyFill="1" applyBorder="1" applyAlignment="1">
      <alignment horizontal="center" vertical="center"/>
    </xf>
    <xf numFmtId="0" fontId="36" fillId="0" borderId="47" xfId="3" applyFont="1" applyBorder="1" applyAlignment="1">
      <alignment horizontal="center" vertical="center"/>
    </xf>
    <xf numFmtId="0" fontId="36" fillId="0" borderId="96" xfId="3" applyFont="1" applyBorder="1" applyAlignment="1">
      <alignment horizontal="center" vertical="center"/>
    </xf>
    <xf numFmtId="0" fontId="36" fillId="0" borderId="48" xfId="3" applyFont="1" applyBorder="1" applyAlignment="1">
      <alignment horizontal="center" vertical="center"/>
    </xf>
    <xf numFmtId="0" fontId="36" fillId="0" borderId="97" xfId="3" applyFont="1" applyBorder="1" applyAlignment="1">
      <alignment horizontal="center" vertical="center"/>
    </xf>
    <xf numFmtId="0" fontId="36" fillId="0" borderId="0" xfId="3" applyFont="1" applyAlignment="1">
      <alignment horizontal="center" vertical="center"/>
    </xf>
    <xf numFmtId="0" fontId="36" fillId="0" borderId="98" xfId="3" applyFont="1" applyBorder="1" applyAlignment="1">
      <alignment horizontal="center" vertical="center"/>
    </xf>
    <xf numFmtId="0" fontId="62" fillId="0" borderId="32" xfId="3" applyFont="1" applyBorder="1" applyAlignment="1">
      <alignment horizontal="center"/>
    </xf>
    <xf numFmtId="0" fontId="62" fillId="0" borderId="33" xfId="3" applyFont="1" applyBorder="1" applyAlignment="1">
      <alignment horizontal="center"/>
    </xf>
    <xf numFmtId="186" fontId="62" fillId="0" borderId="68" xfId="3" applyNumberFormat="1" applyFont="1" applyBorder="1" applyAlignment="1">
      <alignment horizontal="center"/>
    </xf>
    <xf numFmtId="0" fontId="62" fillId="0" borderId="0" xfId="3" applyFont="1" applyAlignment="1">
      <alignment horizontal="center"/>
    </xf>
    <xf numFmtId="186" fontId="67" fillId="8" borderId="0" xfId="3" applyNumberFormat="1" applyFont="1" applyFill="1" applyAlignment="1">
      <alignment horizontal="center"/>
    </xf>
    <xf numFmtId="0" fontId="63" fillId="0" borderId="93" xfId="3" applyFont="1" applyBorder="1" applyAlignment="1">
      <alignment horizontal="left" indent="1"/>
    </xf>
    <xf numFmtId="186" fontId="62" fillId="0" borderId="68" xfId="3" applyNumberFormat="1" applyFont="1" applyBorder="1" applyAlignment="1">
      <alignment horizontal="right"/>
    </xf>
  </cellXfs>
  <cellStyles count="8">
    <cellStyle name="Hipervínculo" xfId="2" builtinId="8"/>
    <cellStyle name="Hipervínculo 2" xfId="7" xr:uid="{83A47D7F-31F0-491D-9454-7D4961785C62}"/>
    <cellStyle name="Millares 2" xfId="6" xr:uid="{C539BE88-D84C-4029-818D-1D3CF3FC5928}"/>
    <cellStyle name="Normal" xfId="0" builtinId="0"/>
    <cellStyle name="Normal 2" xfId="3" xr:uid="{F6AB07EB-5F1F-4B0A-BACA-A73936CC3B7B}"/>
    <cellStyle name="Normal 2 4" xfId="5" xr:uid="{4A98C6D0-7F8A-4C32-BD9C-B81BBD40EEA9}"/>
    <cellStyle name="Porcentaje" xfId="1" builtinId="5"/>
    <cellStyle name="Porcentaje 2" xfId="4" xr:uid="{D10F14EE-BC4C-4213-BD94-8800A6ADF5EE}"/>
  </cellStyles>
  <dxfs count="31">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bgColor indexed="65"/>
        </patternFill>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
      <font>
        <color theme="0"/>
      </font>
      <fill>
        <patternFill patternType="none"/>
      </fill>
      <border>
        <left style="thin">
          <color theme="0"/>
        </left>
        <right style="thin">
          <color theme="0"/>
        </right>
        <top style="thin">
          <color theme="0"/>
        </top>
        <bottom style="thin">
          <color theme="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jpeg"/><Relationship Id="rId5" Type="http://schemas.openxmlformats.org/officeDocument/2006/relationships/image" Target="../media/image7.pn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11.png"/><Relationship Id="rId1" Type="http://schemas.openxmlformats.org/officeDocument/2006/relationships/image" Target="../media/image10.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2.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52917</xdr:rowOff>
    </xdr:from>
    <xdr:to>
      <xdr:col>1</xdr:col>
      <xdr:colOff>357939</xdr:colOff>
      <xdr:row>3</xdr:row>
      <xdr:rowOff>148167</xdr:rowOff>
    </xdr:to>
    <xdr:pic macro="[5]!evaluación">
      <xdr:nvPicPr>
        <xdr:cNvPr id="3" name="Imagen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257175"/>
          <a:ext cx="1895475" cy="476250"/>
        </a:xfrm>
        <a:prstGeom prst="rect">
          <a:avLst/>
        </a:prstGeom>
        <a:noFill/>
        <a:effectLst/>
      </xdr:spPr>
    </xdr:pic>
    <xdr:clientData/>
  </xdr:twoCellAnchor>
  <xdr:twoCellAnchor editAs="oneCell">
    <xdr:from>
      <xdr:col>3</xdr:col>
      <xdr:colOff>504825</xdr:colOff>
      <xdr:row>50</xdr:row>
      <xdr:rowOff>66675</xdr:rowOff>
    </xdr:from>
    <xdr:to>
      <xdr:col>4</xdr:col>
      <xdr:colOff>914400</xdr:colOff>
      <xdr:row>56</xdr:row>
      <xdr:rowOff>85725</xdr:rowOff>
    </xdr:to>
    <xdr:pic>
      <xdr:nvPicPr>
        <xdr:cNvPr id="2" name="30 Imagen">
          <a:extLst>
            <a:ext uri="{FF2B5EF4-FFF2-40B4-BE49-F238E27FC236}">
              <a16:creationId xmlns:a16="http://schemas.microsoft.com/office/drawing/2014/main" id="{78B115B5-503D-48E4-BE94-EF98EDF1652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4781550" y="10991850"/>
          <a:ext cx="2085975"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52917</xdr:rowOff>
    </xdr:from>
    <xdr:to>
      <xdr:col>1</xdr:col>
      <xdr:colOff>357939</xdr:colOff>
      <xdr:row>3</xdr:row>
      <xdr:rowOff>148167</xdr:rowOff>
    </xdr:to>
    <xdr:pic macro="[5]!evaluación">
      <xdr:nvPicPr>
        <xdr:cNvPr id="4" name="Imagen 1">
          <a:extLst>
            <a:ext uri="{FF2B5EF4-FFF2-40B4-BE49-F238E27FC236}">
              <a16:creationId xmlns:a16="http://schemas.microsoft.com/office/drawing/2014/main" id="{F7E7AF7F-A27E-47AA-AD00-CD3E07BA55DA}"/>
            </a:ext>
          </a:extLst>
        </xdr:cNvPr>
        <xdr:cNvPicPr>
          <a:picLocks noChangeAspect="1"/>
        </xdr:cNvPicPr>
      </xdr:nvPicPr>
      <xdr:blipFill>
        <a:blip xmlns:r="http://schemas.openxmlformats.org/officeDocument/2006/relationships" r:embed="rId1"/>
        <a:stretch>
          <a:fillRect/>
        </a:stretch>
      </xdr:blipFill>
      <xdr:spPr>
        <a:xfrm>
          <a:off x="0" y="252942"/>
          <a:ext cx="1891464" cy="476250"/>
        </a:xfrm>
        <a:prstGeom prst="rect">
          <a:avLst/>
        </a:prstGeom>
        <a:noFill/>
        <a:effectLst/>
      </xdr:spPr>
    </xdr:pic>
    <xdr:clientData/>
  </xdr:twoCellAnchor>
  <xdr:twoCellAnchor editAs="oneCell">
    <xdr:from>
      <xdr:col>0</xdr:col>
      <xdr:colOff>0</xdr:colOff>
      <xdr:row>1</xdr:row>
      <xdr:rowOff>52917</xdr:rowOff>
    </xdr:from>
    <xdr:to>
      <xdr:col>1</xdr:col>
      <xdr:colOff>357939</xdr:colOff>
      <xdr:row>3</xdr:row>
      <xdr:rowOff>148167</xdr:rowOff>
    </xdr:to>
    <xdr:pic macro="[6]!evaluación">
      <xdr:nvPicPr>
        <xdr:cNvPr id="5" name="Imagen 1">
          <a:extLst>
            <a:ext uri="{FF2B5EF4-FFF2-40B4-BE49-F238E27FC236}">
              <a16:creationId xmlns:a16="http://schemas.microsoft.com/office/drawing/2014/main" id="{678E2D95-CACD-4A09-BBA2-546FCEDB5BDA}"/>
            </a:ext>
          </a:extLst>
        </xdr:cNvPr>
        <xdr:cNvPicPr>
          <a:picLocks noChangeAspect="1"/>
        </xdr:cNvPicPr>
      </xdr:nvPicPr>
      <xdr:blipFill>
        <a:blip xmlns:r="http://schemas.openxmlformats.org/officeDocument/2006/relationships" r:embed="rId1"/>
        <a:stretch>
          <a:fillRect/>
        </a:stretch>
      </xdr:blipFill>
      <xdr:spPr>
        <a:xfrm>
          <a:off x="0" y="252942"/>
          <a:ext cx="1891464" cy="476250"/>
        </a:xfrm>
        <a:prstGeom prst="rect">
          <a:avLst/>
        </a:prstGeom>
        <a:noFill/>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28</xdr:row>
      <xdr:rowOff>123825</xdr:rowOff>
    </xdr:from>
    <xdr:to>
      <xdr:col>14</xdr:col>
      <xdr:colOff>57150</xdr:colOff>
      <xdr:row>30</xdr:row>
      <xdr:rowOff>247650</xdr:rowOff>
    </xdr:to>
    <xdr:sp macro="" textlink="">
      <xdr:nvSpPr>
        <xdr:cNvPr id="2" name="Oval 145">
          <a:extLst>
            <a:ext uri="{FF2B5EF4-FFF2-40B4-BE49-F238E27FC236}">
              <a16:creationId xmlns:a16="http://schemas.microsoft.com/office/drawing/2014/main" id="{B5B7EDD2-E636-4BA0-BDD9-0C3B5E47753D}"/>
            </a:ext>
          </a:extLst>
        </xdr:cNvPr>
        <xdr:cNvSpPr>
          <a:spLocks noChangeArrowheads="1"/>
        </xdr:cNvSpPr>
      </xdr:nvSpPr>
      <xdr:spPr bwMode="auto">
        <a:xfrm>
          <a:off x="1371600" y="6096000"/>
          <a:ext cx="476250" cy="466725"/>
        </a:xfrm>
        <a:prstGeom prst="ellipse">
          <a:avLst/>
        </a:prstGeom>
        <a:noFill/>
        <a:ln w="190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33</xdr:col>
      <xdr:colOff>101111</xdr:colOff>
      <xdr:row>50</xdr:row>
      <xdr:rowOff>47625</xdr:rowOff>
    </xdr:from>
    <xdr:to>
      <xdr:col>47</xdr:col>
      <xdr:colOff>96715</xdr:colOff>
      <xdr:row>55</xdr:row>
      <xdr:rowOff>142875</xdr:rowOff>
    </xdr:to>
    <xdr:pic>
      <xdr:nvPicPr>
        <xdr:cNvPr id="3" name="30 Imagen">
          <a:extLst>
            <a:ext uri="{FF2B5EF4-FFF2-40B4-BE49-F238E27FC236}">
              <a16:creationId xmlns:a16="http://schemas.microsoft.com/office/drawing/2014/main" id="{7D79BCFC-DF8B-4D41-8815-572F22D36E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4394688" y="10268683"/>
          <a:ext cx="1827335" cy="9305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47625</xdr:colOff>
      <xdr:row>413</xdr:row>
      <xdr:rowOff>209550</xdr:rowOff>
    </xdr:from>
    <xdr:to>
      <xdr:col>46</xdr:col>
      <xdr:colOff>76200</xdr:colOff>
      <xdr:row>417</xdr:row>
      <xdr:rowOff>381000</xdr:rowOff>
    </xdr:to>
    <xdr:pic>
      <xdr:nvPicPr>
        <xdr:cNvPr id="4" name="30 Imagen">
          <a:extLst>
            <a:ext uri="{FF2B5EF4-FFF2-40B4-BE49-F238E27FC236}">
              <a16:creationId xmlns:a16="http://schemas.microsoft.com/office/drawing/2014/main" id="{C6E03845-6FD9-49FC-8A76-1F368CA99C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7574" b="7021"/>
        <a:stretch>
          <a:fillRect/>
        </a:stretch>
      </xdr:blipFill>
      <xdr:spPr bwMode="auto">
        <a:xfrm>
          <a:off x="4124325" y="101927025"/>
          <a:ext cx="18669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236</xdr:row>
      <xdr:rowOff>295275</xdr:rowOff>
    </xdr:to>
    <xdr:pic>
      <xdr:nvPicPr>
        <xdr:cNvPr id="5" name="228 Imagen">
          <a:extLst>
            <a:ext uri="{FF2B5EF4-FFF2-40B4-BE49-F238E27FC236}">
              <a16:creationId xmlns:a16="http://schemas.microsoft.com/office/drawing/2014/main" id="{4A02F8C6-8E14-40B6-9A72-B7A9B2C344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44</xdr:col>
      <xdr:colOff>19050</xdr:colOff>
      <xdr:row>214</xdr:row>
      <xdr:rowOff>0</xdr:rowOff>
    </xdr:from>
    <xdr:to>
      <xdr:col>45</xdr:col>
      <xdr:colOff>47625</xdr:colOff>
      <xdr:row>214</xdr:row>
      <xdr:rowOff>0</xdr:rowOff>
    </xdr:to>
    <xdr:sp macro="" textlink="">
      <xdr:nvSpPr>
        <xdr:cNvPr id="6" name="Text Box 280">
          <a:extLst>
            <a:ext uri="{FF2B5EF4-FFF2-40B4-BE49-F238E27FC236}">
              <a16:creationId xmlns:a16="http://schemas.microsoft.com/office/drawing/2014/main" id="{A441D48A-1B64-4366-A549-1E74BC955C06}"/>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7" name="Text Box 281">
          <a:extLst>
            <a:ext uri="{FF2B5EF4-FFF2-40B4-BE49-F238E27FC236}">
              <a16:creationId xmlns:a16="http://schemas.microsoft.com/office/drawing/2014/main" id="{1DB81D2E-AA9A-42FE-A356-8173321E6ECC}"/>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8" name="Text Box 282">
          <a:extLst>
            <a:ext uri="{FF2B5EF4-FFF2-40B4-BE49-F238E27FC236}">
              <a16:creationId xmlns:a16="http://schemas.microsoft.com/office/drawing/2014/main" id="{DAFE85AA-BD8B-495C-B222-D09F35D0928F}"/>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9" name="Text Box 283">
          <a:extLst>
            <a:ext uri="{FF2B5EF4-FFF2-40B4-BE49-F238E27FC236}">
              <a16:creationId xmlns:a16="http://schemas.microsoft.com/office/drawing/2014/main" id="{7A38F89B-271E-437A-90C6-C418F44F821F}"/>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0" name="Text Box 284">
          <a:extLst>
            <a:ext uri="{FF2B5EF4-FFF2-40B4-BE49-F238E27FC236}">
              <a16:creationId xmlns:a16="http://schemas.microsoft.com/office/drawing/2014/main" id="{00005CB9-D894-44D5-9376-52B282CDA79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0</xdr:colOff>
      <xdr:row>214</xdr:row>
      <xdr:rowOff>0</xdr:rowOff>
    </xdr:to>
    <xdr:sp macro="" textlink="">
      <xdr:nvSpPr>
        <xdr:cNvPr id="11" name="Text Box 285">
          <a:extLst>
            <a:ext uri="{FF2B5EF4-FFF2-40B4-BE49-F238E27FC236}">
              <a16:creationId xmlns:a16="http://schemas.microsoft.com/office/drawing/2014/main" id="{9834D017-E4DF-4DFC-AEAB-3DC8739416F7}"/>
            </a:ext>
          </a:extLst>
        </xdr:cNvPr>
        <xdr:cNvSpPr txBox="1">
          <a:spLocks noChangeArrowheads="1"/>
        </xdr:cNvSpPr>
      </xdr:nvSpPr>
      <xdr:spPr bwMode="auto">
        <a:xfrm>
          <a:off x="5638800" y="50282475"/>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2" name="Text Box 286">
          <a:extLst>
            <a:ext uri="{FF2B5EF4-FFF2-40B4-BE49-F238E27FC236}">
              <a16:creationId xmlns:a16="http://schemas.microsoft.com/office/drawing/2014/main" id="{DC6F0C54-2586-4028-8174-52ABD98BF898}"/>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3" name="Text Box 287">
          <a:extLst>
            <a:ext uri="{FF2B5EF4-FFF2-40B4-BE49-F238E27FC236}">
              <a16:creationId xmlns:a16="http://schemas.microsoft.com/office/drawing/2014/main" id="{5E2D0856-D67E-4C81-9B67-8158CA7AEAE1}"/>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4" name="Text Box 288">
          <a:extLst>
            <a:ext uri="{FF2B5EF4-FFF2-40B4-BE49-F238E27FC236}">
              <a16:creationId xmlns:a16="http://schemas.microsoft.com/office/drawing/2014/main" id="{6B384645-6EF3-47A7-B907-2BE4B2972CB9}"/>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 name="Text Box 289">
          <a:extLst>
            <a:ext uri="{FF2B5EF4-FFF2-40B4-BE49-F238E27FC236}">
              <a16:creationId xmlns:a16="http://schemas.microsoft.com/office/drawing/2014/main" id="{222230D1-BE35-4725-858D-7E5CF7F9F93F}"/>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 name="Text Box 290">
          <a:extLst>
            <a:ext uri="{FF2B5EF4-FFF2-40B4-BE49-F238E27FC236}">
              <a16:creationId xmlns:a16="http://schemas.microsoft.com/office/drawing/2014/main" id="{2DC72825-82DD-4703-ACAA-5CB2A71A67A7}"/>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 name="Text Box 291">
          <a:extLst>
            <a:ext uri="{FF2B5EF4-FFF2-40B4-BE49-F238E27FC236}">
              <a16:creationId xmlns:a16="http://schemas.microsoft.com/office/drawing/2014/main" id="{5D446D60-6E77-4F99-955C-8EE419D9172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8" name="Text Box 292">
          <a:extLst>
            <a:ext uri="{FF2B5EF4-FFF2-40B4-BE49-F238E27FC236}">
              <a16:creationId xmlns:a16="http://schemas.microsoft.com/office/drawing/2014/main" id="{AE2BDB68-8B8D-43EF-B64C-B2E97F59887A}"/>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9" name="Text Box 293">
          <a:extLst>
            <a:ext uri="{FF2B5EF4-FFF2-40B4-BE49-F238E27FC236}">
              <a16:creationId xmlns:a16="http://schemas.microsoft.com/office/drawing/2014/main" id="{6B917F41-3846-4504-9300-F25BE19BF4BC}"/>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0" name="Text Box 300">
          <a:extLst>
            <a:ext uri="{FF2B5EF4-FFF2-40B4-BE49-F238E27FC236}">
              <a16:creationId xmlns:a16="http://schemas.microsoft.com/office/drawing/2014/main" id="{44EEAF1E-2FBA-45A4-81F4-EDF41D6C01D7}"/>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1" name="Text Box 301">
          <a:extLst>
            <a:ext uri="{FF2B5EF4-FFF2-40B4-BE49-F238E27FC236}">
              <a16:creationId xmlns:a16="http://schemas.microsoft.com/office/drawing/2014/main" id="{12119199-A9F0-463E-AE56-725B496E287D}"/>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22" name="Text Box 302">
          <a:extLst>
            <a:ext uri="{FF2B5EF4-FFF2-40B4-BE49-F238E27FC236}">
              <a16:creationId xmlns:a16="http://schemas.microsoft.com/office/drawing/2014/main" id="{05904FB6-F59D-49E0-B733-AD81309C0ADB}"/>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3" name="Text Box 303">
          <a:extLst>
            <a:ext uri="{FF2B5EF4-FFF2-40B4-BE49-F238E27FC236}">
              <a16:creationId xmlns:a16="http://schemas.microsoft.com/office/drawing/2014/main" id="{B109F6D5-C58C-4E73-9088-FDAAF9AB8D13}"/>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4" name="Text Box 275">
          <a:extLst>
            <a:ext uri="{FF2B5EF4-FFF2-40B4-BE49-F238E27FC236}">
              <a16:creationId xmlns:a16="http://schemas.microsoft.com/office/drawing/2014/main" id="{FB555A9B-F800-4A68-8E20-8DC539CEEB43}"/>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5" name="Text Box 276">
          <a:extLst>
            <a:ext uri="{FF2B5EF4-FFF2-40B4-BE49-F238E27FC236}">
              <a16:creationId xmlns:a16="http://schemas.microsoft.com/office/drawing/2014/main" id="{6A7509CF-612B-45A7-978C-35ECC5311B3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26" name="Text Box 277">
          <a:extLst>
            <a:ext uri="{FF2B5EF4-FFF2-40B4-BE49-F238E27FC236}">
              <a16:creationId xmlns:a16="http://schemas.microsoft.com/office/drawing/2014/main" id="{BB27D616-F671-45F1-9DC5-7CB9A6AE4A69}"/>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7" name="Text Box 278">
          <a:extLst>
            <a:ext uri="{FF2B5EF4-FFF2-40B4-BE49-F238E27FC236}">
              <a16:creationId xmlns:a16="http://schemas.microsoft.com/office/drawing/2014/main" id="{9444B09C-7D9A-4399-9EF8-F0B96E96B881}"/>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8" name="Text Box 279">
          <a:extLst>
            <a:ext uri="{FF2B5EF4-FFF2-40B4-BE49-F238E27FC236}">
              <a16:creationId xmlns:a16="http://schemas.microsoft.com/office/drawing/2014/main" id="{3FBC07A9-33C2-4754-9283-41B067594CD9}"/>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29" name="Text Box 280">
          <a:extLst>
            <a:ext uri="{FF2B5EF4-FFF2-40B4-BE49-F238E27FC236}">
              <a16:creationId xmlns:a16="http://schemas.microsoft.com/office/drawing/2014/main" id="{14A88FAC-6576-47AA-8992-0AE1E0317518}"/>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0" name="Text Box 281">
          <a:extLst>
            <a:ext uri="{FF2B5EF4-FFF2-40B4-BE49-F238E27FC236}">
              <a16:creationId xmlns:a16="http://schemas.microsoft.com/office/drawing/2014/main" id="{4B33802A-2427-4108-BC59-59D9D110D27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31" name="Text Box 282">
          <a:extLst>
            <a:ext uri="{FF2B5EF4-FFF2-40B4-BE49-F238E27FC236}">
              <a16:creationId xmlns:a16="http://schemas.microsoft.com/office/drawing/2014/main" id="{B5D4374D-B723-4A69-BA30-B0020ED43DFF}"/>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2" name="Text Box 283">
          <a:extLst>
            <a:ext uri="{FF2B5EF4-FFF2-40B4-BE49-F238E27FC236}">
              <a16:creationId xmlns:a16="http://schemas.microsoft.com/office/drawing/2014/main" id="{CF725629-3538-4375-A847-FE80A0C6A0A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3" name="Text Box 284">
          <a:extLst>
            <a:ext uri="{FF2B5EF4-FFF2-40B4-BE49-F238E27FC236}">
              <a16:creationId xmlns:a16="http://schemas.microsoft.com/office/drawing/2014/main" id="{E80D03AF-36E5-40C0-85B2-C05E53F903C9}"/>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4" name="Text Box 290">
          <a:extLst>
            <a:ext uri="{FF2B5EF4-FFF2-40B4-BE49-F238E27FC236}">
              <a16:creationId xmlns:a16="http://schemas.microsoft.com/office/drawing/2014/main" id="{970492B6-65DC-42C2-9FE5-839A5A1002B6}"/>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5" name="Text Box 291">
          <a:extLst>
            <a:ext uri="{FF2B5EF4-FFF2-40B4-BE49-F238E27FC236}">
              <a16:creationId xmlns:a16="http://schemas.microsoft.com/office/drawing/2014/main" id="{98C6EB0D-F5AC-4BB8-B2C0-0EBDF014688D}"/>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36" name="Text Box 292">
          <a:extLst>
            <a:ext uri="{FF2B5EF4-FFF2-40B4-BE49-F238E27FC236}">
              <a16:creationId xmlns:a16="http://schemas.microsoft.com/office/drawing/2014/main" id="{7F7144AA-118D-4749-A231-1673BF0CDE29}"/>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7" name="Text Box 293">
          <a:extLst>
            <a:ext uri="{FF2B5EF4-FFF2-40B4-BE49-F238E27FC236}">
              <a16:creationId xmlns:a16="http://schemas.microsoft.com/office/drawing/2014/main" id="{A69CC070-183D-4C7D-9808-95D6A253D4EC}"/>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8" name="Text Box 275">
          <a:extLst>
            <a:ext uri="{FF2B5EF4-FFF2-40B4-BE49-F238E27FC236}">
              <a16:creationId xmlns:a16="http://schemas.microsoft.com/office/drawing/2014/main" id="{39F8C152-FBFE-4C70-B68C-6F7B9F9F702C}"/>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39" name="Text Box 276">
          <a:extLst>
            <a:ext uri="{FF2B5EF4-FFF2-40B4-BE49-F238E27FC236}">
              <a16:creationId xmlns:a16="http://schemas.microsoft.com/office/drawing/2014/main" id="{3B5A793E-6F2F-4483-A147-B1791F47AB0D}"/>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40" name="Text Box 277">
          <a:extLst>
            <a:ext uri="{FF2B5EF4-FFF2-40B4-BE49-F238E27FC236}">
              <a16:creationId xmlns:a16="http://schemas.microsoft.com/office/drawing/2014/main" id="{714DDFE1-DEA5-4402-BF0E-10F39B7F7239}"/>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41" name="Text Box 278">
          <a:extLst>
            <a:ext uri="{FF2B5EF4-FFF2-40B4-BE49-F238E27FC236}">
              <a16:creationId xmlns:a16="http://schemas.microsoft.com/office/drawing/2014/main" id="{E4118F56-E563-463B-A284-C9E10BA4BE55}"/>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42" name="Text Box 279">
          <a:extLst>
            <a:ext uri="{FF2B5EF4-FFF2-40B4-BE49-F238E27FC236}">
              <a16:creationId xmlns:a16="http://schemas.microsoft.com/office/drawing/2014/main" id="{F0E793CF-3461-4271-A0F0-67485C52FF78}"/>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45</xdr:col>
      <xdr:colOff>85725</xdr:colOff>
      <xdr:row>233</xdr:row>
      <xdr:rowOff>1125140</xdr:rowOff>
    </xdr:from>
    <xdr:to>
      <xdr:col>45</xdr:col>
      <xdr:colOff>113109</xdr:colOff>
      <xdr:row>234</xdr:row>
      <xdr:rowOff>4121</xdr:rowOff>
    </xdr:to>
    <xdr:pic>
      <xdr:nvPicPr>
        <xdr:cNvPr id="43" name="228 Imagen">
          <a:extLst>
            <a:ext uri="{FF2B5EF4-FFF2-40B4-BE49-F238E27FC236}">
              <a16:creationId xmlns:a16="http://schemas.microsoft.com/office/drawing/2014/main" id="{68DAB724-46E4-4AD0-A50D-76EDE50C2B4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6450" y="59588400"/>
          <a:ext cx="28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85725</xdr:colOff>
      <xdr:row>234</xdr:row>
      <xdr:rowOff>0</xdr:rowOff>
    </xdr:from>
    <xdr:to>
      <xdr:col>45</xdr:col>
      <xdr:colOff>113109</xdr:colOff>
      <xdr:row>236</xdr:row>
      <xdr:rowOff>304800</xdr:rowOff>
    </xdr:to>
    <xdr:pic>
      <xdr:nvPicPr>
        <xdr:cNvPr id="44" name="228 Imagen">
          <a:extLst>
            <a:ext uri="{FF2B5EF4-FFF2-40B4-BE49-F238E27FC236}">
              <a16:creationId xmlns:a16="http://schemas.microsoft.com/office/drawing/2014/main" id="{D0448AC5-AB83-4660-8B4F-F60F41F3592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6450" y="59588400"/>
          <a:ext cx="2857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85725</xdr:colOff>
      <xdr:row>234</xdr:row>
      <xdr:rowOff>0</xdr:rowOff>
    </xdr:from>
    <xdr:to>
      <xdr:col>45</xdr:col>
      <xdr:colOff>113109</xdr:colOff>
      <xdr:row>234</xdr:row>
      <xdr:rowOff>47625</xdr:rowOff>
    </xdr:to>
    <xdr:pic>
      <xdr:nvPicPr>
        <xdr:cNvPr id="45" name="228 Imagen">
          <a:extLst>
            <a:ext uri="{FF2B5EF4-FFF2-40B4-BE49-F238E27FC236}">
              <a16:creationId xmlns:a16="http://schemas.microsoft.com/office/drawing/2014/main" id="{59F6A14B-506C-45BD-8BC8-7D6539F23C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6450" y="59588400"/>
          <a:ext cx="285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44</xdr:col>
      <xdr:colOff>28575</xdr:colOff>
      <xdr:row>234</xdr:row>
      <xdr:rowOff>0</xdr:rowOff>
    </xdr:from>
    <xdr:ext cx="184731" cy="264560"/>
    <xdr:sp macro="" textlink="">
      <xdr:nvSpPr>
        <xdr:cNvPr id="46" name="54 CuadroTexto">
          <a:extLst>
            <a:ext uri="{FF2B5EF4-FFF2-40B4-BE49-F238E27FC236}">
              <a16:creationId xmlns:a16="http://schemas.microsoft.com/office/drawing/2014/main" id="{886A02E3-0953-4883-A465-EF5BDFCF72A3}"/>
            </a:ext>
          </a:extLst>
        </xdr:cNvPr>
        <xdr:cNvSpPr txBox="1"/>
      </xdr:nvSpPr>
      <xdr:spPr>
        <a:xfrm>
          <a:off x="5648325" y="5958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editAs="oneCell">
    <xdr:from>
      <xdr:col>45</xdr:col>
      <xdr:colOff>95250</xdr:colOff>
      <xdr:row>234</xdr:row>
      <xdr:rowOff>0</xdr:rowOff>
    </xdr:from>
    <xdr:to>
      <xdr:col>45</xdr:col>
      <xdr:colOff>113109</xdr:colOff>
      <xdr:row>234</xdr:row>
      <xdr:rowOff>28575</xdr:rowOff>
    </xdr:to>
    <xdr:pic>
      <xdr:nvPicPr>
        <xdr:cNvPr id="47" name="228 Imagen">
          <a:extLst>
            <a:ext uri="{FF2B5EF4-FFF2-40B4-BE49-F238E27FC236}">
              <a16:creationId xmlns:a16="http://schemas.microsoft.com/office/drawing/2014/main" id="{5AA628D6-2DA9-47BA-923A-E3E3729E11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1125140</xdr:rowOff>
    </xdr:from>
    <xdr:to>
      <xdr:col>45</xdr:col>
      <xdr:colOff>113109</xdr:colOff>
      <xdr:row>234</xdr:row>
      <xdr:rowOff>4121</xdr:rowOff>
    </xdr:to>
    <xdr:pic>
      <xdr:nvPicPr>
        <xdr:cNvPr id="48" name="228 Imagen">
          <a:extLst>
            <a:ext uri="{FF2B5EF4-FFF2-40B4-BE49-F238E27FC236}">
              <a16:creationId xmlns:a16="http://schemas.microsoft.com/office/drawing/2014/main" id="{21995BEF-BC54-4AC5-8402-35A3A42246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241</xdr:row>
      <xdr:rowOff>19051</xdr:rowOff>
    </xdr:to>
    <xdr:pic>
      <xdr:nvPicPr>
        <xdr:cNvPr id="49" name="228 Imagen">
          <a:extLst>
            <a:ext uri="{FF2B5EF4-FFF2-40B4-BE49-F238E27FC236}">
              <a16:creationId xmlns:a16="http://schemas.microsoft.com/office/drawing/2014/main" id="{B86BFCB6-BD78-4865-8852-FBD3E20E1AC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133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85725</xdr:colOff>
      <xdr:row>233</xdr:row>
      <xdr:rowOff>1125140</xdr:rowOff>
    </xdr:from>
    <xdr:to>
      <xdr:col>45</xdr:col>
      <xdr:colOff>113109</xdr:colOff>
      <xdr:row>234</xdr:row>
      <xdr:rowOff>4121</xdr:rowOff>
    </xdr:to>
    <xdr:pic>
      <xdr:nvPicPr>
        <xdr:cNvPr id="50" name="228 Imagen">
          <a:extLst>
            <a:ext uri="{FF2B5EF4-FFF2-40B4-BE49-F238E27FC236}">
              <a16:creationId xmlns:a16="http://schemas.microsoft.com/office/drawing/2014/main" id="{D04283D3-9D0E-45FD-85AB-D9D00C8E661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86450" y="59588400"/>
          <a:ext cx="28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236</xdr:row>
      <xdr:rowOff>295275</xdr:rowOff>
    </xdr:to>
    <xdr:pic>
      <xdr:nvPicPr>
        <xdr:cNvPr id="51" name="228 Imagen">
          <a:extLst>
            <a:ext uri="{FF2B5EF4-FFF2-40B4-BE49-F238E27FC236}">
              <a16:creationId xmlns:a16="http://schemas.microsoft.com/office/drawing/2014/main" id="{3E97012B-8D95-45B6-9B18-13A35D49291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1125140</xdr:rowOff>
    </xdr:from>
    <xdr:to>
      <xdr:col>45</xdr:col>
      <xdr:colOff>113109</xdr:colOff>
      <xdr:row>234</xdr:row>
      <xdr:rowOff>4121</xdr:rowOff>
    </xdr:to>
    <xdr:pic>
      <xdr:nvPicPr>
        <xdr:cNvPr id="52" name="228 Imagen">
          <a:extLst>
            <a:ext uri="{FF2B5EF4-FFF2-40B4-BE49-F238E27FC236}">
              <a16:creationId xmlns:a16="http://schemas.microsoft.com/office/drawing/2014/main" id="{12B14EDC-BDCE-46F2-A2F1-395CB5AD3E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236</xdr:row>
      <xdr:rowOff>304800</xdr:rowOff>
    </xdr:to>
    <xdr:pic>
      <xdr:nvPicPr>
        <xdr:cNvPr id="53" name="228 Imagen">
          <a:extLst>
            <a:ext uri="{FF2B5EF4-FFF2-40B4-BE49-F238E27FC236}">
              <a16:creationId xmlns:a16="http://schemas.microsoft.com/office/drawing/2014/main" id="{4999C2EC-A6ED-47C2-B697-C2F66B5A35A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234</xdr:row>
      <xdr:rowOff>47625</xdr:rowOff>
    </xdr:to>
    <xdr:pic>
      <xdr:nvPicPr>
        <xdr:cNvPr id="54" name="228 Imagen">
          <a:extLst>
            <a:ext uri="{FF2B5EF4-FFF2-40B4-BE49-F238E27FC236}">
              <a16:creationId xmlns:a16="http://schemas.microsoft.com/office/drawing/2014/main" id="{06903ED9-03E3-487B-91CF-6686854576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44</xdr:col>
      <xdr:colOff>41275</xdr:colOff>
      <xdr:row>219</xdr:row>
      <xdr:rowOff>0</xdr:rowOff>
    </xdr:from>
    <xdr:ext cx="184731" cy="264560"/>
    <xdr:sp macro="" textlink="">
      <xdr:nvSpPr>
        <xdr:cNvPr id="55" name="63 CuadroTexto">
          <a:extLst>
            <a:ext uri="{FF2B5EF4-FFF2-40B4-BE49-F238E27FC236}">
              <a16:creationId xmlns:a16="http://schemas.microsoft.com/office/drawing/2014/main" id="{CC620CF2-E476-4386-BF40-011BC05B1283}"/>
            </a:ext>
          </a:extLst>
        </xdr:cNvPr>
        <xdr:cNvSpPr txBox="1"/>
      </xdr:nvSpPr>
      <xdr:spPr>
        <a:xfrm>
          <a:off x="5661025" y="5473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editAs="oneCell">
    <xdr:from>
      <xdr:col>45</xdr:col>
      <xdr:colOff>95250</xdr:colOff>
      <xdr:row>234</xdr:row>
      <xdr:rowOff>0</xdr:rowOff>
    </xdr:from>
    <xdr:to>
      <xdr:col>45</xdr:col>
      <xdr:colOff>113109</xdr:colOff>
      <xdr:row>234</xdr:row>
      <xdr:rowOff>38100</xdr:rowOff>
    </xdr:to>
    <xdr:pic>
      <xdr:nvPicPr>
        <xdr:cNvPr id="56" name="228 Imagen">
          <a:extLst>
            <a:ext uri="{FF2B5EF4-FFF2-40B4-BE49-F238E27FC236}">
              <a16:creationId xmlns:a16="http://schemas.microsoft.com/office/drawing/2014/main" id="{4059B357-CB49-4860-803D-84C4D8EB4E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1125140</xdr:rowOff>
    </xdr:from>
    <xdr:to>
      <xdr:col>45</xdr:col>
      <xdr:colOff>113109</xdr:colOff>
      <xdr:row>234</xdr:row>
      <xdr:rowOff>4121</xdr:rowOff>
    </xdr:to>
    <xdr:pic>
      <xdr:nvPicPr>
        <xdr:cNvPr id="57" name="228 Imagen">
          <a:extLst>
            <a:ext uri="{FF2B5EF4-FFF2-40B4-BE49-F238E27FC236}">
              <a16:creationId xmlns:a16="http://schemas.microsoft.com/office/drawing/2014/main" id="{86F51BE6-2634-4D98-B050-D47644D95E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234</xdr:row>
      <xdr:rowOff>0</xdr:rowOff>
    </xdr:from>
    <xdr:to>
      <xdr:col>45</xdr:col>
      <xdr:colOff>113109</xdr:colOff>
      <xdr:row>241</xdr:row>
      <xdr:rowOff>66676</xdr:rowOff>
    </xdr:to>
    <xdr:pic>
      <xdr:nvPicPr>
        <xdr:cNvPr id="58" name="228 Imagen">
          <a:extLst>
            <a:ext uri="{FF2B5EF4-FFF2-40B4-BE49-F238E27FC236}">
              <a16:creationId xmlns:a16="http://schemas.microsoft.com/office/drawing/2014/main" id="{59C87976-D609-4669-AFAF-5080F5DF88C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1381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1125140</xdr:rowOff>
    </xdr:from>
    <xdr:to>
      <xdr:col>45</xdr:col>
      <xdr:colOff>113109</xdr:colOff>
      <xdr:row>234</xdr:row>
      <xdr:rowOff>4121</xdr:rowOff>
    </xdr:to>
    <xdr:pic>
      <xdr:nvPicPr>
        <xdr:cNvPr id="59" name="228 Imagen">
          <a:extLst>
            <a:ext uri="{FF2B5EF4-FFF2-40B4-BE49-F238E27FC236}">
              <a16:creationId xmlns:a16="http://schemas.microsoft.com/office/drawing/2014/main" id="{E82802A6-C229-4A87-924C-837EDE5F4C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95884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28</xdr:col>
      <xdr:colOff>104775</xdr:colOff>
      <xdr:row>224</xdr:row>
      <xdr:rowOff>66675</xdr:rowOff>
    </xdr:from>
    <xdr:to>
      <xdr:col>32</xdr:col>
      <xdr:colOff>47625</xdr:colOff>
      <xdr:row>225</xdr:row>
      <xdr:rowOff>219075</xdr:rowOff>
    </xdr:to>
    <xdr:sp macro="" textlink="">
      <xdr:nvSpPr>
        <xdr:cNvPr id="60" name="Oval 121">
          <a:extLst>
            <a:ext uri="{FF2B5EF4-FFF2-40B4-BE49-F238E27FC236}">
              <a16:creationId xmlns:a16="http://schemas.microsoft.com/office/drawing/2014/main" id="{6DEBC086-7AC4-479F-9EC7-044144A84414}"/>
            </a:ext>
          </a:extLst>
        </xdr:cNvPr>
        <xdr:cNvSpPr>
          <a:spLocks noChangeArrowheads="1"/>
        </xdr:cNvSpPr>
      </xdr:nvSpPr>
      <xdr:spPr bwMode="auto">
        <a:xfrm flipH="1">
          <a:off x="3657600" y="56130825"/>
          <a:ext cx="466725" cy="419100"/>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45</xdr:col>
      <xdr:colOff>95250</xdr:colOff>
      <xdr:row>233</xdr:row>
      <xdr:rowOff>133350</xdr:rowOff>
    </xdr:from>
    <xdr:to>
      <xdr:col>45</xdr:col>
      <xdr:colOff>113109</xdr:colOff>
      <xdr:row>233</xdr:row>
      <xdr:rowOff>266700</xdr:rowOff>
    </xdr:to>
    <xdr:pic>
      <xdr:nvPicPr>
        <xdr:cNvPr id="61" name="228 Imagen">
          <a:extLst>
            <a:ext uri="{FF2B5EF4-FFF2-40B4-BE49-F238E27FC236}">
              <a16:creationId xmlns:a16="http://schemas.microsoft.com/office/drawing/2014/main" id="{1A6E5A48-759C-4ABB-BEFD-48D1E2D2CC5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62" name="228 Imagen">
          <a:extLst>
            <a:ext uri="{FF2B5EF4-FFF2-40B4-BE49-F238E27FC236}">
              <a16:creationId xmlns:a16="http://schemas.microsoft.com/office/drawing/2014/main" id="{16DBE00D-A4BD-45C7-89B6-A074D55007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266700</xdr:rowOff>
    </xdr:to>
    <xdr:pic>
      <xdr:nvPicPr>
        <xdr:cNvPr id="63" name="228 Imagen">
          <a:extLst>
            <a:ext uri="{FF2B5EF4-FFF2-40B4-BE49-F238E27FC236}">
              <a16:creationId xmlns:a16="http://schemas.microsoft.com/office/drawing/2014/main" id="{6F43D7E6-48F4-4D2B-93C4-355AACDD73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190500</xdr:rowOff>
    </xdr:to>
    <xdr:pic>
      <xdr:nvPicPr>
        <xdr:cNvPr id="64" name="228 Imagen">
          <a:extLst>
            <a:ext uri="{FF2B5EF4-FFF2-40B4-BE49-F238E27FC236}">
              <a16:creationId xmlns:a16="http://schemas.microsoft.com/office/drawing/2014/main" id="{850BE3D3-2DC2-44C5-AD8A-B5D37F0BD0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180975</xdr:rowOff>
    </xdr:to>
    <xdr:pic>
      <xdr:nvPicPr>
        <xdr:cNvPr id="65" name="228 Imagen">
          <a:extLst>
            <a:ext uri="{FF2B5EF4-FFF2-40B4-BE49-F238E27FC236}">
              <a16:creationId xmlns:a16="http://schemas.microsoft.com/office/drawing/2014/main" id="{1E980AE0-8520-4E84-A435-8C1A142385C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66" name="228 Imagen">
          <a:extLst>
            <a:ext uri="{FF2B5EF4-FFF2-40B4-BE49-F238E27FC236}">
              <a16:creationId xmlns:a16="http://schemas.microsoft.com/office/drawing/2014/main" id="{C99EDC3F-DCC6-43F6-9E72-739A626FDDB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67" name="228 Imagen">
          <a:extLst>
            <a:ext uri="{FF2B5EF4-FFF2-40B4-BE49-F238E27FC236}">
              <a16:creationId xmlns:a16="http://schemas.microsoft.com/office/drawing/2014/main" id="{F030202B-96E5-4794-8336-A557D473D8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266700</xdr:rowOff>
    </xdr:to>
    <xdr:pic>
      <xdr:nvPicPr>
        <xdr:cNvPr id="68" name="228 Imagen">
          <a:extLst>
            <a:ext uri="{FF2B5EF4-FFF2-40B4-BE49-F238E27FC236}">
              <a16:creationId xmlns:a16="http://schemas.microsoft.com/office/drawing/2014/main" id="{489C0C01-E125-4F4A-867D-FE1B7270DE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69" name="228 Imagen">
          <a:extLst>
            <a:ext uri="{FF2B5EF4-FFF2-40B4-BE49-F238E27FC236}">
              <a16:creationId xmlns:a16="http://schemas.microsoft.com/office/drawing/2014/main" id="{0DFA433D-05B2-438F-8238-880494B3311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266700</xdr:rowOff>
    </xdr:to>
    <xdr:pic>
      <xdr:nvPicPr>
        <xdr:cNvPr id="70" name="228 Imagen">
          <a:extLst>
            <a:ext uri="{FF2B5EF4-FFF2-40B4-BE49-F238E27FC236}">
              <a16:creationId xmlns:a16="http://schemas.microsoft.com/office/drawing/2014/main" id="{D5A10402-9E65-42BB-9AB7-20129347D3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190500</xdr:rowOff>
    </xdr:to>
    <xdr:pic>
      <xdr:nvPicPr>
        <xdr:cNvPr id="71" name="228 Imagen">
          <a:extLst>
            <a:ext uri="{FF2B5EF4-FFF2-40B4-BE49-F238E27FC236}">
              <a16:creationId xmlns:a16="http://schemas.microsoft.com/office/drawing/2014/main" id="{F02CF9C3-1342-48E5-BB4D-E2BBA63FCC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180975</xdr:rowOff>
    </xdr:to>
    <xdr:pic>
      <xdr:nvPicPr>
        <xdr:cNvPr id="72" name="228 Imagen">
          <a:extLst>
            <a:ext uri="{FF2B5EF4-FFF2-40B4-BE49-F238E27FC236}">
              <a16:creationId xmlns:a16="http://schemas.microsoft.com/office/drawing/2014/main" id="{B1264F6B-F65F-4235-9C79-EF0810D1803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73" name="228 Imagen">
          <a:extLst>
            <a:ext uri="{FF2B5EF4-FFF2-40B4-BE49-F238E27FC236}">
              <a16:creationId xmlns:a16="http://schemas.microsoft.com/office/drawing/2014/main" id="{8C042054-DD1E-4C90-8E45-2D1E5A2403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323850</xdr:rowOff>
    </xdr:to>
    <xdr:pic>
      <xdr:nvPicPr>
        <xdr:cNvPr id="74" name="228 Imagen">
          <a:extLst>
            <a:ext uri="{FF2B5EF4-FFF2-40B4-BE49-F238E27FC236}">
              <a16:creationId xmlns:a16="http://schemas.microsoft.com/office/drawing/2014/main" id="{9E45F821-95EE-40AD-AD46-E066A9C212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233</xdr:row>
      <xdr:rowOff>133350</xdr:rowOff>
    </xdr:from>
    <xdr:to>
      <xdr:col>45</xdr:col>
      <xdr:colOff>113109</xdr:colOff>
      <xdr:row>233</xdr:row>
      <xdr:rowOff>133350</xdr:rowOff>
    </xdr:to>
    <xdr:pic>
      <xdr:nvPicPr>
        <xdr:cNvPr id="75" name="228 Imagen">
          <a:extLst>
            <a:ext uri="{FF2B5EF4-FFF2-40B4-BE49-F238E27FC236}">
              <a16:creationId xmlns:a16="http://schemas.microsoft.com/office/drawing/2014/main" id="{CC6EC7C9-35C7-44C0-ABEF-09608D4E73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58597800"/>
          <a:ext cx="190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95250</xdr:colOff>
      <xdr:row>295</xdr:row>
      <xdr:rowOff>152400</xdr:rowOff>
    </xdr:from>
    <xdr:to>
      <xdr:col>45</xdr:col>
      <xdr:colOff>113109</xdr:colOff>
      <xdr:row>299</xdr:row>
      <xdr:rowOff>276225</xdr:rowOff>
    </xdr:to>
    <xdr:pic>
      <xdr:nvPicPr>
        <xdr:cNvPr id="76" name="228 Imagen">
          <a:extLst>
            <a:ext uri="{FF2B5EF4-FFF2-40B4-BE49-F238E27FC236}">
              <a16:creationId xmlns:a16="http://schemas.microsoft.com/office/drawing/2014/main" id="{E1B9BDB9-703B-423E-8810-78913A8A3DD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95975" y="76561950"/>
          <a:ext cx="190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45</xdr:col>
      <xdr:colOff>28575</xdr:colOff>
      <xdr:row>295</xdr:row>
      <xdr:rowOff>152400</xdr:rowOff>
    </xdr:from>
    <xdr:to>
      <xdr:col>45</xdr:col>
      <xdr:colOff>66675</xdr:colOff>
      <xdr:row>296</xdr:row>
      <xdr:rowOff>123825</xdr:rowOff>
    </xdr:to>
    <xdr:pic>
      <xdr:nvPicPr>
        <xdr:cNvPr id="77" name="228 Imagen">
          <a:extLst>
            <a:ext uri="{FF2B5EF4-FFF2-40B4-BE49-F238E27FC236}">
              <a16:creationId xmlns:a16="http://schemas.microsoft.com/office/drawing/2014/main" id="{30AF7769-240C-4571-8F58-B5A56FB19F5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9300" y="76561950"/>
          <a:ext cx="3810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44</xdr:col>
      <xdr:colOff>19050</xdr:colOff>
      <xdr:row>219</xdr:row>
      <xdr:rowOff>0</xdr:rowOff>
    </xdr:from>
    <xdr:to>
      <xdr:col>45</xdr:col>
      <xdr:colOff>47625</xdr:colOff>
      <xdr:row>219</xdr:row>
      <xdr:rowOff>0</xdr:rowOff>
    </xdr:to>
    <xdr:sp macro="" textlink="">
      <xdr:nvSpPr>
        <xdr:cNvPr id="78" name="Text Box 280">
          <a:extLst>
            <a:ext uri="{FF2B5EF4-FFF2-40B4-BE49-F238E27FC236}">
              <a16:creationId xmlns:a16="http://schemas.microsoft.com/office/drawing/2014/main" id="{B183A8B2-9408-4BAF-BE33-18811AD50237}"/>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79" name="Text Box 281">
          <a:extLst>
            <a:ext uri="{FF2B5EF4-FFF2-40B4-BE49-F238E27FC236}">
              <a16:creationId xmlns:a16="http://schemas.microsoft.com/office/drawing/2014/main" id="{518B897D-7DBD-4F99-9451-F618B5BB0C7D}"/>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80" name="Text Box 282">
          <a:extLst>
            <a:ext uri="{FF2B5EF4-FFF2-40B4-BE49-F238E27FC236}">
              <a16:creationId xmlns:a16="http://schemas.microsoft.com/office/drawing/2014/main" id="{5BEDBFCB-9980-4394-9619-437B4E5A3CC1}"/>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1" name="Text Box 283">
          <a:extLst>
            <a:ext uri="{FF2B5EF4-FFF2-40B4-BE49-F238E27FC236}">
              <a16:creationId xmlns:a16="http://schemas.microsoft.com/office/drawing/2014/main" id="{127F0DE4-0112-4476-BCE7-13542C9B5CED}"/>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2" name="Text Box 284">
          <a:extLst>
            <a:ext uri="{FF2B5EF4-FFF2-40B4-BE49-F238E27FC236}">
              <a16:creationId xmlns:a16="http://schemas.microsoft.com/office/drawing/2014/main" id="{D48F3AAA-C04A-4387-9ABA-C1B72F4C43FD}"/>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0</xdr:colOff>
      <xdr:row>219</xdr:row>
      <xdr:rowOff>0</xdr:rowOff>
    </xdr:to>
    <xdr:sp macro="" textlink="">
      <xdr:nvSpPr>
        <xdr:cNvPr id="83" name="Text Box 285">
          <a:extLst>
            <a:ext uri="{FF2B5EF4-FFF2-40B4-BE49-F238E27FC236}">
              <a16:creationId xmlns:a16="http://schemas.microsoft.com/office/drawing/2014/main" id="{A49EFCBA-35B0-4D17-A822-E01EA8DAA680}"/>
            </a:ext>
          </a:extLst>
        </xdr:cNvPr>
        <xdr:cNvSpPr txBox="1">
          <a:spLocks noChangeArrowheads="1"/>
        </xdr:cNvSpPr>
      </xdr:nvSpPr>
      <xdr:spPr bwMode="auto">
        <a:xfrm>
          <a:off x="5638800" y="54730650"/>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4" name="Text Box 286">
          <a:extLst>
            <a:ext uri="{FF2B5EF4-FFF2-40B4-BE49-F238E27FC236}">
              <a16:creationId xmlns:a16="http://schemas.microsoft.com/office/drawing/2014/main" id="{2BBFB98D-9FBF-448A-86F2-F14791A4639B}"/>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85" name="Text Box 287">
          <a:extLst>
            <a:ext uri="{FF2B5EF4-FFF2-40B4-BE49-F238E27FC236}">
              <a16:creationId xmlns:a16="http://schemas.microsoft.com/office/drawing/2014/main" id="{9AEECCDF-61C4-40B8-A582-F1DC66FC0575}"/>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6" name="Text Box 288">
          <a:extLst>
            <a:ext uri="{FF2B5EF4-FFF2-40B4-BE49-F238E27FC236}">
              <a16:creationId xmlns:a16="http://schemas.microsoft.com/office/drawing/2014/main" id="{F0D8D121-EABE-4851-B940-16AB1DFFE065}"/>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7" name="Text Box 289">
          <a:extLst>
            <a:ext uri="{FF2B5EF4-FFF2-40B4-BE49-F238E27FC236}">
              <a16:creationId xmlns:a16="http://schemas.microsoft.com/office/drawing/2014/main" id="{DD3176BB-CCE5-4BDF-A09C-ACC86EC99FC8}"/>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8" name="Text Box 290">
          <a:extLst>
            <a:ext uri="{FF2B5EF4-FFF2-40B4-BE49-F238E27FC236}">
              <a16:creationId xmlns:a16="http://schemas.microsoft.com/office/drawing/2014/main" id="{E8DFB905-A8AB-43AE-8DB5-3F3504B0FB50}"/>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89" name="Text Box 291">
          <a:extLst>
            <a:ext uri="{FF2B5EF4-FFF2-40B4-BE49-F238E27FC236}">
              <a16:creationId xmlns:a16="http://schemas.microsoft.com/office/drawing/2014/main" id="{91A7BCBF-8486-4E54-A059-40C77826687E}"/>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90" name="Text Box 292">
          <a:extLst>
            <a:ext uri="{FF2B5EF4-FFF2-40B4-BE49-F238E27FC236}">
              <a16:creationId xmlns:a16="http://schemas.microsoft.com/office/drawing/2014/main" id="{95E34CD7-24F1-4622-9245-B6A24A944BE5}"/>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1" name="Text Box 293">
          <a:extLst>
            <a:ext uri="{FF2B5EF4-FFF2-40B4-BE49-F238E27FC236}">
              <a16:creationId xmlns:a16="http://schemas.microsoft.com/office/drawing/2014/main" id="{5E88568C-4710-43EF-A7BE-74C67DD957CB}"/>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2" name="Text Box 300">
          <a:extLst>
            <a:ext uri="{FF2B5EF4-FFF2-40B4-BE49-F238E27FC236}">
              <a16:creationId xmlns:a16="http://schemas.microsoft.com/office/drawing/2014/main" id="{F70B825D-F402-4A44-99DE-903080CA6087}"/>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3" name="Text Box 301">
          <a:extLst>
            <a:ext uri="{FF2B5EF4-FFF2-40B4-BE49-F238E27FC236}">
              <a16:creationId xmlns:a16="http://schemas.microsoft.com/office/drawing/2014/main" id="{153A304D-7F5B-498D-B405-FDA8E134C75C}"/>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94" name="Text Box 302">
          <a:extLst>
            <a:ext uri="{FF2B5EF4-FFF2-40B4-BE49-F238E27FC236}">
              <a16:creationId xmlns:a16="http://schemas.microsoft.com/office/drawing/2014/main" id="{F83E6F45-11C5-4781-AF72-13619EB924D0}"/>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5" name="Text Box 303">
          <a:extLst>
            <a:ext uri="{FF2B5EF4-FFF2-40B4-BE49-F238E27FC236}">
              <a16:creationId xmlns:a16="http://schemas.microsoft.com/office/drawing/2014/main" id="{CF1AD5A8-1BD9-496C-85B5-E132FDD0051F}"/>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6" name="Text Box 275">
          <a:extLst>
            <a:ext uri="{FF2B5EF4-FFF2-40B4-BE49-F238E27FC236}">
              <a16:creationId xmlns:a16="http://schemas.microsoft.com/office/drawing/2014/main" id="{569F77E6-E184-4B03-82E7-14F0F2759338}"/>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7" name="Text Box 276">
          <a:extLst>
            <a:ext uri="{FF2B5EF4-FFF2-40B4-BE49-F238E27FC236}">
              <a16:creationId xmlns:a16="http://schemas.microsoft.com/office/drawing/2014/main" id="{D28DC1DA-B62F-44F2-979A-E1F35195CA77}"/>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98" name="Text Box 277">
          <a:extLst>
            <a:ext uri="{FF2B5EF4-FFF2-40B4-BE49-F238E27FC236}">
              <a16:creationId xmlns:a16="http://schemas.microsoft.com/office/drawing/2014/main" id="{6AB0DF28-63E4-432D-B6F3-0C443582E026}"/>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99" name="Text Box 278">
          <a:extLst>
            <a:ext uri="{FF2B5EF4-FFF2-40B4-BE49-F238E27FC236}">
              <a16:creationId xmlns:a16="http://schemas.microsoft.com/office/drawing/2014/main" id="{500701B0-CE4D-41DA-9904-BB35A9A0D8A5}"/>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0" name="Text Box 279">
          <a:extLst>
            <a:ext uri="{FF2B5EF4-FFF2-40B4-BE49-F238E27FC236}">
              <a16:creationId xmlns:a16="http://schemas.microsoft.com/office/drawing/2014/main" id="{E9F259BC-83A8-4239-B860-10494EE6F285}"/>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1" name="Text Box 280">
          <a:extLst>
            <a:ext uri="{FF2B5EF4-FFF2-40B4-BE49-F238E27FC236}">
              <a16:creationId xmlns:a16="http://schemas.microsoft.com/office/drawing/2014/main" id="{3F0930DA-664B-4F82-98DF-DEC172BF1F4E}"/>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2" name="Text Box 281">
          <a:extLst>
            <a:ext uri="{FF2B5EF4-FFF2-40B4-BE49-F238E27FC236}">
              <a16:creationId xmlns:a16="http://schemas.microsoft.com/office/drawing/2014/main" id="{ABEC7D1B-E401-4654-93AD-CAD5186EB83D}"/>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103" name="Text Box 282">
          <a:extLst>
            <a:ext uri="{FF2B5EF4-FFF2-40B4-BE49-F238E27FC236}">
              <a16:creationId xmlns:a16="http://schemas.microsoft.com/office/drawing/2014/main" id="{972E6B32-75D8-4137-A53B-00BDD0B6F10F}"/>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4" name="Text Box 283">
          <a:extLst>
            <a:ext uri="{FF2B5EF4-FFF2-40B4-BE49-F238E27FC236}">
              <a16:creationId xmlns:a16="http://schemas.microsoft.com/office/drawing/2014/main" id="{82F42B2D-3B35-49FB-A0F2-D0AD38DAC3B1}"/>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5" name="Text Box 284">
          <a:extLst>
            <a:ext uri="{FF2B5EF4-FFF2-40B4-BE49-F238E27FC236}">
              <a16:creationId xmlns:a16="http://schemas.microsoft.com/office/drawing/2014/main" id="{0E77DCB5-699A-482E-97C8-1377DC489F5B}"/>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6" name="Text Box 290">
          <a:extLst>
            <a:ext uri="{FF2B5EF4-FFF2-40B4-BE49-F238E27FC236}">
              <a16:creationId xmlns:a16="http://schemas.microsoft.com/office/drawing/2014/main" id="{991F988F-D274-453E-9DD7-A17B24FBD7B2}"/>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7" name="Text Box 291">
          <a:extLst>
            <a:ext uri="{FF2B5EF4-FFF2-40B4-BE49-F238E27FC236}">
              <a16:creationId xmlns:a16="http://schemas.microsoft.com/office/drawing/2014/main" id="{A1C80757-44BB-4FDD-9FBE-F1813B943829}"/>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108" name="Text Box 292">
          <a:extLst>
            <a:ext uri="{FF2B5EF4-FFF2-40B4-BE49-F238E27FC236}">
              <a16:creationId xmlns:a16="http://schemas.microsoft.com/office/drawing/2014/main" id="{7ED317DD-BED4-47A9-87AC-D04F914580EE}"/>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09" name="Text Box 293">
          <a:extLst>
            <a:ext uri="{FF2B5EF4-FFF2-40B4-BE49-F238E27FC236}">
              <a16:creationId xmlns:a16="http://schemas.microsoft.com/office/drawing/2014/main" id="{2C6F119E-BA27-4E65-B9A4-26C7EC000F10}"/>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10" name="Text Box 275">
          <a:extLst>
            <a:ext uri="{FF2B5EF4-FFF2-40B4-BE49-F238E27FC236}">
              <a16:creationId xmlns:a16="http://schemas.microsoft.com/office/drawing/2014/main" id="{52B33430-FA65-45F1-A302-14CC1134A773}"/>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11" name="Text Box 276">
          <a:extLst>
            <a:ext uri="{FF2B5EF4-FFF2-40B4-BE49-F238E27FC236}">
              <a16:creationId xmlns:a16="http://schemas.microsoft.com/office/drawing/2014/main" id="{F39B357B-F87A-4DF0-BEEC-14F9D0F834EA}"/>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219</xdr:row>
      <xdr:rowOff>0</xdr:rowOff>
    </xdr:from>
    <xdr:to>
      <xdr:col>45</xdr:col>
      <xdr:colOff>95250</xdr:colOff>
      <xdr:row>219</xdr:row>
      <xdr:rowOff>0</xdr:rowOff>
    </xdr:to>
    <xdr:sp macro="" textlink="">
      <xdr:nvSpPr>
        <xdr:cNvPr id="112" name="Text Box 277">
          <a:extLst>
            <a:ext uri="{FF2B5EF4-FFF2-40B4-BE49-F238E27FC236}">
              <a16:creationId xmlns:a16="http://schemas.microsoft.com/office/drawing/2014/main" id="{27D73758-DDBA-4D04-8935-B8099DE612BA}"/>
            </a:ext>
          </a:extLst>
        </xdr:cNvPr>
        <xdr:cNvSpPr txBox="1">
          <a:spLocks noChangeArrowheads="1"/>
        </xdr:cNvSpPr>
      </xdr:nvSpPr>
      <xdr:spPr bwMode="auto">
        <a:xfrm>
          <a:off x="5667375"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13" name="Text Box 278">
          <a:extLst>
            <a:ext uri="{FF2B5EF4-FFF2-40B4-BE49-F238E27FC236}">
              <a16:creationId xmlns:a16="http://schemas.microsoft.com/office/drawing/2014/main" id="{E59F4FA5-A35F-4074-97F2-D6F463B475B4}"/>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47625</xdr:colOff>
      <xdr:row>219</xdr:row>
      <xdr:rowOff>0</xdr:rowOff>
    </xdr:to>
    <xdr:sp macro="" textlink="">
      <xdr:nvSpPr>
        <xdr:cNvPr id="114" name="Text Box 279">
          <a:extLst>
            <a:ext uri="{FF2B5EF4-FFF2-40B4-BE49-F238E27FC236}">
              <a16:creationId xmlns:a16="http://schemas.microsoft.com/office/drawing/2014/main" id="{8FB240CF-BB06-48A7-A0E2-9AA310086AD7}"/>
            </a:ext>
          </a:extLst>
        </xdr:cNvPr>
        <xdr:cNvSpPr txBox="1">
          <a:spLocks noChangeArrowheads="1"/>
        </xdr:cNvSpPr>
      </xdr:nvSpPr>
      <xdr:spPr bwMode="auto">
        <a:xfrm>
          <a:off x="5638800" y="547306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15" name="Text Box 280">
          <a:extLst>
            <a:ext uri="{FF2B5EF4-FFF2-40B4-BE49-F238E27FC236}">
              <a16:creationId xmlns:a16="http://schemas.microsoft.com/office/drawing/2014/main" id="{F21B64B8-D64A-4783-A1AE-842221440C0C}"/>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16" name="Text Box 281">
          <a:extLst>
            <a:ext uri="{FF2B5EF4-FFF2-40B4-BE49-F238E27FC236}">
              <a16:creationId xmlns:a16="http://schemas.microsoft.com/office/drawing/2014/main" id="{F3FFC497-7AD1-4330-8DCD-9E7B448C2ADC}"/>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17" name="Text Box 282">
          <a:extLst>
            <a:ext uri="{FF2B5EF4-FFF2-40B4-BE49-F238E27FC236}">
              <a16:creationId xmlns:a16="http://schemas.microsoft.com/office/drawing/2014/main" id="{F99D2E33-A3A3-4B40-BCB4-2D2EFCFA7F97}"/>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18" name="Text Box 283">
          <a:extLst>
            <a:ext uri="{FF2B5EF4-FFF2-40B4-BE49-F238E27FC236}">
              <a16:creationId xmlns:a16="http://schemas.microsoft.com/office/drawing/2014/main" id="{C5672E90-9F13-4331-A5FB-7D83AC4B7E2C}"/>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19" name="Text Box 284">
          <a:extLst>
            <a:ext uri="{FF2B5EF4-FFF2-40B4-BE49-F238E27FC236}">
              <a16:creationId xmlns:a16="http://schemas.microsoft.com/office/drawing/2014/main" id="{DEA41465-E593-4B92-84C7-6DDB4CBA9BB2}"/>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0</xdr:colOff>
      <xdr:row>219</xdr:row>
      <xdr:rowOff>0</xdr:rowOff>
    </xdr:to>
    <xdr:sp macro="" textlink="">
      <xdr:nvSpPr>
        <xdr:cNvPr id="120" name="Text Box 285">
          <a:extLst>
            <a:ext uri="{FF2B5EF4-FFF2-40B4-BE49-F238E27FC236}">
              <a16:creationId xmlns:a16="http://schemas.microsoft.com/office/drawing/2014/main" id="{5619DA9C-B057-44ED-95AF-4B1BB0A32110}"/>
            </a:ext>
          </a:extLst>
        </xdr:cNvPr>
        <xdr:cNvSpPr txBox="1">
          <a:spLocks noChangeArrowheads="1"/>
        </xdr:cNvSpPr>
      </xdr:nvSpPr>
      <xdr:spPr bwMode="auto">
        <a:xfrm>
          <a:off x="5638800" y="54730650"/>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1" name="Text Box 286">
          <a:extLst>
            <a:ext uri="{FF2B5EF4-FFF2-40B4-BE49-F238E27FC236}">
              <a16:creationId xmlns:a16="http://schemas.microsoft.com/office/drawing/2014/main" id="{5183A831-3773-4311-B43E-25B97B8963EE}"/>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22" name="Text Box 287">
          <a:extLst>
            <a:ext uri="{FF2B5EF4-FFF2-40B4-BE49-F238E27FC236}">
              <a16:creationId xmlns:a16="http://schemas.microsoft.com/office/drawing/2014/main" id="{558D326F-1564-446D-BCFA-FB79B6388E36}"/>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3" name="Text Box 288">
          <a:extLst>
            <a:ext uri="{FF2B5EF4-FFF2-40B4-BE49-F238E27FC236}">
              <a16:creationId xmlns:a16="http://schemas.microsoft.com/office/drawing/2014/main" id="{034FF09E-A5C1-4F0F-B6A8-24F2B0FD398E}"/>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4" name="Text Box 289">
          <a:extLst>
            <a:ext uri="{FF2B5EF4-FFF2-40B4-BE49-F238E27FC236}">
              <a16:creationId xmlns:a16="http://schemas.microsoft.com/office/drawing/2014/main" id="{2812316C-536E-4CEC-8DD7-CEE602607067}"/>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5" name="Text Box 290">
          <a:extLst>
            <a:ext uri="{FF2B5EF4-FFF2-40B4-BE49-F238E27FC236}">
              <a16:creationId xmlns:a16="http://schemas.microsoft.com/office/drawing/2014/main" id="{D959F64F-904C-416D-B054-4C9E1B26DBF8}"/>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6" name="Text Box 291">
          <a:extLst>
            <a:ext uri="{FF2B5EF4-FFF2-40B4-BE49-F238E27FC236}">
              <a16:creationId xmlns:a16="http://schemas.microsoft.com/office/drawing/2014/main" id="{C1AE1AB6-B64A-4EB9-808C-16C5E1AD6223}"/>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27" name="Text Box 292">
          <a:extLst>
            <a:ext uri="{FF2B5EF4-FFF2-40B4-BE49-F238E27FC236}">
              <a16:creationId xmlns:a16="http://schemas.microsoft.com/office/drawing/2014/main" id="{D1E9B100-F043-4039-947E-2B83E07AAB2A}"/>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8" name="Text Box 293">
          <a:extLst>
            <a:ext uri="{FF2B5EF4-FFF2-40B4-BE49-F238E27FC236}">
              <a16:creationId xmlns:a16="http://schemas.microsoft.com/office/drawing/2014/main" id="{F7B6DAFD-4B3F-43BE-866B-59EEC096577F}"/>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29" name="Text Box 300">
          <a:extLst>
            <a:ext uri="{FF2B5EF4-FFF2-40B4-BE49-F238E27FC236}">
              <a16:creationId xmlns:a16="http://schemas.microsoft.com/office/drawing/2014/main" id="{A5B7D1AA-B022-420B-B439-E67485A2D1C1}"/>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0" name="Text Box 301">
          <a:extLst>
            <a:ext uri="{FF2B5EF4-FFF2-40B4-BE49-F238E27FC236}">
              <a16:creationId xmlns:a16="http://schemas.microsoft.com/office/drawing/2014/main" id="{AF4462B1-C1B0-44E9-ABE4-88A9AC78B364}"/>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31" name="Text Box 302">
          <a:extLst>
            <a:ext uri="{FF2B5EF4-FFF2-40B4-BE49-F238E27FC236}">
              <a16:creationId xmlns:a16="http://schemas.microsoft.com/office/drawing/2014/main" id="{84265BD1-9114-4C78-B66A-E7CF5F2DBE81}"/>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2" name="Text Box 303">
          <a:extLst>
            <a:ext uri="{FF2B5EF4-FFF2-40B4-BE49-F238E27FC236}">
              <a16:creationId xmlns:a16="http://schemas.microsoft.com/office/drawing/2014/main" id="{AC44F33C-F54E-420E-8F8D-F92BD448987C}"/>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3" name="Text Box 275">
          <a:extLst>
            <a:ext uri="{FF2B5EF4-FFF2-40B4-BE49-F238E27FC236}">
              <a16:creationId xmlns:a16="http://schemas.microsoft.com/office/drawing/2014/main" id="{C272A721-1B06-4E5A-8FE7-AEF258435F3E}"/>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4" name="Text Box 276">
          <a:extLst>
            <a:ext uri="{FF2B5EF4-FFF2-40B4-BE49-F238E27FC236}">
              <a16:creationId xmlns:a16="http://schemas.microsoft.com/office/drawing/2014/main" id="{E3BF97BD-939E-47B9-8B71-AA7CB0D46C35}"/>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35" name="Text Box 277">
          <a:extLst>
            <a:ext uri="{FF2B5EF4-FFF2-40B4-BE49-F238E27FC236}">
              <a16:creationId xmlns:a16="http://schemas.microsoft.com/office/drawing/2014/main" id="{5B531140-36DA-415D-8A76-854359080132}"/>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6" name="Text Box 278">
          <a:extLst>
            <a:ext uri="{FF2B5EF4-FFF2-40B4-BE49-F238E27FC236}">
              <a16:creationId xmlns:a16="http://schemas.microsoft.com/office/drawing/2014/main" id="{44CF3D7D-DFCF-45C7-B4CE-15E3F05458B8}"/>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7" name="Text Box 279">
          <a:extLst>
            <a:ext uri="{FF2B5EF4-FFF2-40B4-BE49-F238E27FC236}">
              <a16:creationId xmlns:a16="http://schemas.microsoft.com/office/drawing/2014/main" id="{89D528BC-A7A7-4A45-B717-C5041272C132}"/>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8" name="Text Box 280">
          <a:extLst>
            <a:ext uri="{FF2B5EF4-FFF2-40B4-BE49-F238E27FC236}">
              <a16:creationId xmlns:a16="http://schemas.microsoft.com/office/drawing/2014/main" id="{836139C0-D829-463B-B851-DB94FE4A0439}"/>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39" name="Text Box 281">
          <a:extLst>
            <a:ext uri="{FF2B5EF4-FFF2-40B4-BE49-F238E27FC236}">
              <a16:creationId xmlns:a16="http://schemas.microsoft.com/office/drawing/2014/main" id="{C0F87846-BE7E-4988-907C-2E47B3D09D41}"/>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40" name="Text Box 282">
          <a:extLst>
            <a:ext uri="{FF2B5EF4-FFF2-40B4-BE49-F238E27FC236}">
              <a16:creationId xmlns:a16="http://schemas.microsoft.com/office/drawing/2014/main" id="{75B93560-7CB7-40D0-B2FB-827CCE4F70A0}"/>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1" name="Text Box 283">
          <a:extLst>
            <a:ext uri="{FF2B5EF4-FFF2-40B4-BE49-F238E27FC236}">
              <a16:creationId xmlns:a16="http://schemas.microsoft.com/office/drawing/2014/main" id="{F8CCA178-2A16-46FD-912B-68F0FD410C63}"/>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2" name="Text Box 284">
          <a:extLst>
            <a:ext uri="{FF2B5EF4-FFF2-40B4-BE49-F238E27FC236}">
              <a16:creationId xmlns:a16="http://schemas.microsoft.com/office/drawing/2014/main" id="{1B1FDA12-71D1-4C9A-987E-5708FF360924}"/>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3" name="Text Box 290">
          <a:extLst>
            <a:ext uri="{FF2B5EF4-FFF2-40B4-BE49-F238E27FC236}">
              <a16:creationId xmlns:a16="http://schemas.microsoft.com/office/drawing/2014/main" id="{0A7B6C06-8870-40D3-94E4-255720E3A3EC}"/>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4" name="Text Box 291">
          <a:extLst>
            <a:ext uri="{FF2B5EF4-FFF2-40B4-BE49-F238E27FC236}">
              <a16:creationId xmlns:a16="http://schemas.microsoft.com/office/drawing/2014/main" id="{62998E52-927A-409E-8E1A-F8FAE9238D7D}"/>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45" name="Text Box 292">
          <a:extLst>
            <a:ext uri="{FF2B5EF4-FFF2-40B4-BE49-F238E27FC236}">
              <a16:creationId xmlns:a16="http://schemas.microsoft.com/office/drawing/2014/main" id="{38F6883B-CAD6-429B-9037-4B46DB6F7355}"/>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6" name="Text Box 293">
          <a:extLst>
            <a:ext uri="{FF2B5EF4-FFF2-40B4-BE49-F238E27FC236}">
              <a16:creationId xmlns:a16="http://schemas.microsoft.com/office/drawing/2014/main" id="{43D5D88E-30B7-4076-AA3D-45F98B823950}"/>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7" name="Text Box 275">
          <a:extLst>
            <a:ext uri="{FF2B5EF4-FFF2-40B4-BE49-F238E27FC236}">
              <a16:creationId xmlns:a16="http://schemas.microsoft.com/office/drawing/2014/main" id="{3DB05886-F33F-46A5-BAEF-7067607E566F}"/>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48" name="Text Box 276">
          <a:extLst>
            <a:ext uri="{FF2B5EF4-FFF2-40B4-BE49-F238E27FC236}">
              <a16:creationId xmlns:a16="http://schemas.microsoft.com/office/drawing/2014/main" id="{85CEECBA-BCD0-432A-A020-199D8F9A97E2}"/>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38100</xdr:colOff>
      <xdr:row>219</xdr:row>
      <xdr:rowOff>0</xdr:rowOff>
    </xdr:from>
    <xdr:to>
      <xdr:col>45</xdr:col>
      <xdr:colOff>85725</xdr:colOff>
      <xdr:row>219</xdr:row>
      <xdr:rowOff>0</xdr:rowOff>
    </xdr:to>
    <xdr:sp macro="" textlink="">
      <xdr:nvSpPr>
        <xdr:cNvPr id="149" name="Text Box 277">
          <a:extLst>
            <a:ext uri="{FF2B5EF4-FFF2-40B4-BE49-F238E27FC236}">
              <a16:creationId xmlns:a16="http://schemas.microsoft.com/office/drawing/2014/main" id="{90603402-74E8-4B52-845E-8130CB6C6E26}"/>
            </a:ext>
          </a:extLst>
        </xdr:cNvPr>
        <xdr:cNvSpPr txBox="1">
          <a:spLocks noChangeArrowheads="1"/>
        </xdr:cNvSpPr>
      </xdr:nvSpPr>
      <xdr:spPr bwMode="auto">
        <a:xfrm>
          <a:off x="5657850" y="547306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50" name="Text Box 278">
          <a:extLst>
            <a:ext uri="{FF2B5EF4-FFF2-40B4-BE49-F238E27FC236}">
              <a16:creationId xmlns:a16="http://schemas.microsoft.com/office/drawing/2014/main" id="{72B67184-2E89-4554-80E8-5640F008CA94}"/>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219</xdr:row>
      <xdr:rowOff>0</xdr:rowOff>
    </xdr:from>
    <xdr:to>
      <xdr:col>45</xdr:col>
      <xdr:colOff>38100</xdr:colOff>
      <xdr:row>219</xdr:row>
      <xdr:rowOff>0</xdr:rowOff>
    </xdr:to>
    <xdr:sp macro="" textlink="">
      <xdr:nvSpPr>
        <xdr:cNvPr id="151" name="Text Box 279">
          <a:extLst>
            <a:ext uri="{FF2B5EF4-FFF2-40B4-BE49-F238E27FC236}">
              <a16:creationId xmlns:a16="http://schemas.microsoft.com/office/drawing/2014/main" id="{16E01759-DB77-474C-86A8-CBD99D37B2AF}"/>
            </a:ext>
          </a:extLst>
        </xdr:cNvPr>
        <xdr:cNvSpPr txBox="1">
          <a:spLocks noChangeArrowheads="1"/>
        </xdr:cNvSpPr>
      </xdr:nvSpPr>
      <xdr:spPr bwMode="auto">
        <a:xfrm>
          <a:off x="5638800" y="54730650"/>
          <a:ext cx="2000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2" name="Text Box 280">
          <a:extLst>
            <a:ext uri="{FF2B5EF4-FFF2-40B4-BE49-F238E27FC236}">
              <a16:creationId xmlns:a16="http://schemas.microsoft.com/office/drawing/2014/main" id="{1F746543-B428-490A-AB12-01B3DFD8123F}"/>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3" name="Text Box 281">
          <a:extLst>
            <a:ext uri="{FF2B5EF4-FFF2-40B4-BE49-F238E27FC236}">
              <a16:creationId xmlns:a16="http://schemas.microsoft.com/office/drawing/2014/main" id="{FBC82E5A-B2FB-4D22-AC81-B0C4481C50CB}"/>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54" name="Text Box 282">
          <a:extLst>
            <a:ext uri="{FF2B5EF4-FFF2-40B4-BE49-F238E27FC236}">
              <a16:creationId xmlns:a16="http://schemas.microsoft.com/office/drawing/2014/main" id="{3F16AF96-E7DF-4053-836F-4AD24F340525}"/>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5" name="Text Box 283">
          <a:extLst>
            <a:ext uri="{FF2B5EF4-FFF2-40B4-BE49-F238E27FC236}">
              <a16:creationId xmlns:a16="http://schemas.microsoft.com/office/drawing/2014/main" id="{C45E3727-A9EF-48C8-8A3D-9D23C470A14C}"/>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6" name="Text Box 284">
          <a:extLst>
            <a:ext uri="{FF2B5EF4-FFF2-40B4-BE49-F238E27FC236}">
              <a16:creationId xmlns:a16="http://schemas.microsoft.com/office/drawing/2014/main" id="{E3CDF8D7-427A-4E21-BCF1-344F597CE43B}"/>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0</xdr:colOff>
      <xdr:row>214</xdr:row>
      <xdr:rowOff>0</xdr:rowOff>
    </xdr:to>
    <xdr:sp macro="" textlink="">
      <xdr:nvSpPr>
        <xdr:cNvPr id="157" name="Text Box 285">
          <a:extLst>
            <a:ext uri="{FF2B5EF4-FFF2-40B4-BE49-F238E27FC236}">
              <a16:creationId xmlns:a16="http://schemas.microsoft.com/office/drawing/2014/main" id="{29D51520-F316-46DF-845C-0D597F773E86}"/>
            </a:ext>
          </a:extLst>
        </xdr:cNvPr>
        <xdr:cNvSpPr txBox="1">
          <a:spLocks noChangeArrowheads="1"/>
        </xdr:cNvSpPr>
      </xdr:nvSpPr>
      <xdr:spPr bwMode="auto">
        <a:xfrm>
          <a:off x="5638800" y="50282475"/>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58" name="Text Box 286">
          <a:extLst>
            <a:ext uri="{FF2B5EF4-FFF2-40B4-BE49-F238E27FC236}">
              <a16:creationId xmlns:a16="http://schemas.microsoft.com/office/drawing/2014/main" id="{B60233F7-7003-47C2-BEAB-EF1C1F6B39B8}"/>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59" name="Text Box 287">
          <a:extLst>
            <a:ext uri="{FF2B5EF4-FFF2-40B4-BE49-F238E27FC236}">
              <a16:creationId xmlns:a16="http://schemas.microsoft.com/office/drawing/2014/main" id="{B99E522B-6B83-4C0D-AF7C-705A51E1DF2D}"/>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0" name="Text Box 288">
          <a:extLst>
            <a:ext uri="{FF2B5EF4-FFF2-40B4-BE49-F238E27FC236}">
              <a16:creationId xmlns:a16="http://schemas.microsoft.com/office/drawing/2014/main" id="{CF10FADD-36C4-4B06-A6D6-DD8BFE4FA08F}"/>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1" name="Text Box 289">
          <a:extLst>
            <a:ext uri="{FF2B5EF4-FFF2-40B4-BE49-F238E27FC236}">
              <a16:creationId xmlns:a16="http://schemas.microsoft.com/office/drawing/2014/main" id="{3CE5E97A-7AAE-4EB9-A3ED-F0B952E4A07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2" name="Text Box 290">
          <a:extLst>
            <a:ext uri="{FF2B5EF4-FFF2-40B4-BE49-F238E27FC236}">
              <a16:creationId xmlns:a16="http://schemas.microsoft.com/office/drawing/2014/main" id="{E1712955-3887-465B-901F-9D676EA536CF}"/>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3" name="Text Box 291">
          <a:extLst>
            <a:ext uri="{FF2B5EF4-FFF2-40B4-BE49-F238E27FC236}">
              <a16:creationId xmlns:a16="http://schemas.microsoft.com/office/drawing/2014/main" id="{81F6F9C5-2A93-4F25-836F-80E8F6DD854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64" name="Text Box 292">
          <a:extLst>
            <a:ext uri="{FF2B5EF4-FFF2-40B4-BE49-F238E27FC236}">
              <a16:creationId xmlns:a16="http://schemas.microsoft.com/office/drawing/2014/main" id="{05BF3606-765A-4D1D-A5AE-22A387D66F8D}"/>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5" name="Text Box 293">
          <a:extLst>
            <a:ext uri="{FF2B5EF4-FFF2-40B4-BE49-F238E27FC236}">
              <a16:creationId xmlns:a16="http://schemas.microsoft.com/office/drawing/2014/main" id="{A8E093D5-3BD8-401F-B8FE-946075FFA3D3}"/>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6" name="Text Box 300">
          <a:extLst>
            <a:ext uri="{FF2B5EF4-FFF2-40B4-BE49-F238E27FC236}">
              <a16:creationId xmlns:a16="http://schemas.microsoft.com/office/drawing/2014/main" id="{2089402F-DE96-4BDC-B2FE-F0207C27B8B6}"/>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7" name="Text Box 301">
          <a:extLst>
            <a:ext uri="{FF2B5EF4-FFF2-40B4-BE49-F238E27FC236}">
              <a16:creationId xmlns:a16="http://schemas.microsoft.com/office/drawing/2014/main" id="{3AA803FC-2B9D-4F0C-A850-DE9F06136128}"/>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68" name="Text Box 302">
          <a:extLst>
            <a:ext uri="{FF2B5EF4-FFF2-40B4-BE49-F238E27FC236}">
              <a16:creationId xmlns:a16="http://schemas.microsoft.com/office/drawing/2014/main" id="{0DB8C86B-D862-47D8-B936-609894EE5325}"/>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69" name="Text Box 303">
          <a:extLst>
            <a:ext uri="{FF2B5EF4-FFF2-40B4-BE49-F238E27FC236}">
              <a16:creationId xmlns:a16="http://schemas.microsoft.com/office/drawing/2014/main" id="{87E904F4-77DF-467E-9728-5D0745559D35}"/>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0" name="Text Box 275">
          <a:extLst>
            <a:ext uri="{FF2B5EF4-FFF2-40B4-BE49-F238E27FC236}">
              <a16:creationId xmlns:a16="http://schemas.microsoft.com/office/drawing/2014/main" id="{E3354808-C70F-4D75-BA25-AAF7E3B0C2F6}"/>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1" name="Text Box 276">
          <a:extLst>
            <a:ext uri="{FF2B5EF4-FFF2-40B4-BE49-F238E27FC236}">
              <a16:creationId xmlns:a16="http://schemas.microsoft.com/office/drawing/2014/main" id="{7F053FFA-8490-4893-ABB9-5358CA3799B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72" name="Text Box 277">
          <a:extLst>
            <a:ext uri="{FF2B5EF4-FFF2-40B4-BE49-F238E27FC236}">
              <a16:creationId xmlns:a16="http://schemas.microsoft.com/office/drawing/2014/main" id="{C5A94FCF-17B7-4634-A9F5-A2A7AFBF7BA3}"/>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3" name="Text Box 278">
          <a:extLst>
            <a:ext uri="{FF2B5EF4-FFF2-40B4-BE49-F238E27FC236}">
              <a16:creationId xmlns:a16="http://schemas.microsoft.com/office/drawing/2014/main" id="{A53B3640-8578-48E8-923A-01CB65FD9CE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4" name="Text Box 279">
          <a:extLst>
            <a:ext uri="{FF2B5EF4-FFF2-40B4-BE49-F238E27FC236}">
              <a16:creationId xmlns:a16="http://schemas.microsoft.com/office/drawing/2014/main" id="{746D5425-E7A4-42AC-AF25-D401C194A82D}"/>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5" name="Text Box 280">
          <a:extLst>
            <a:ext uri="{FF2B5EF4-FFF2-40B4-BE49-F238E27FC236}">
              <a16:creationId xmlns:a16="http://schemas.microsoft.com/office/drawing/2014/main" id="{CAD7B67A-6FC9-4388-855D-9A84DC845F91}"/>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6" name="Text Box 281">
          <a:extLst>
            <a:ext uri="{FF2B5EF4-FFF2-40B4-BE49-F238E27FC236}">
              <a16:creationId xmlns:a16="http://schemas.microsoft.com/office/drawing/2014/main" id="{63A1F7CD-CCD9-4BF3-B6FB-B09C1DBCA674}"/>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77" name="Text Box 282">
          <a:extLst>
            <a:ext uri="{FF2B5EF4-FFF2-40B4-BE49-F238E27FC236}">
              <a16:creationId xmlns:a16="http://schemas.microsoft.com/office/drawing/2014/main" id="{5FBB2023-6DD0-4A87-B832-F12D032271AA}"/>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8" name="Text Box 283">
          <a:extLst>
            <a:ext uri="{FF2B5EF4-FFF2-40B4-BE49-F238E27FC236}">
              <a16:creationId xmlns:a16="http://schemas.microsoft.com/office/drawing/2014/main" id="{19A323EE-DE1E-4B5F-A88F-4BED60CC21D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79" name="Text Box 284">
          <a:extLst>
            <a:ext uri="{FF2B5EF4-FFF2-40B4-BE49-F238E27FC236}">
              <a16:creationId xmlns:a16="http://schemas.microsoft.com/office/drawing/2014/main" id="{C4E315A1-C35B-4A01-9B96-0CEBF633FB0A}"/>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0" name="Text Box 290">
          <a:extLst>
            <a:ext uri="{FF2B5EF4-FFF2-40B4-BE49-F238E27FC236}">
              <a16:creationId xmlns:a16="http://schemas.microsoft.com/office/drawing/2014/main" id="{62D7996F-2016-4047-A318-EA50134EED72}"/>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1" name="Text Box 291">
          <a:extLst>
            <a:ext uri="{FF2B5EF4-FFF2-40B4-BE49-F238E27FC236}">
              <a16:creationId xmlns:a16="http://schemas.microsoft.com/office/drawing/2014/main" id="{FC3F737F-5E6B-425D-8F2C-65B6E232E4CE}"/>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82" name="Text Box 292">
          <a:extLst>
            <a:ext uri="{FF2B5EF4-FFF2-40B4-BE49-F238E27FC236}">
              <a16:creationId xmlns:a16="http://schemas.microsoft.com/office/drawing/2014/main" id="{8575ADBE-8AFE-4E0F-B451-68F0583D8EDE}"/>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3" name="Text Box 293">
          <a:extLst>
            <a:ext uri="{FF2B5EF4-FFF2-40B4-BE49-F238E27FC236}">
              <a16:creationId xmlns:a16="http://schemas.microsoft.com/office/drawing/2014/main" id="{B3A674B9-D24C-4298-838D-4E5F4CC18CAD}"/>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4" name="Text Box 275">
          <a:extLst>
            <a:ext uri="{FF2B5EF4-FFF2-40B4-BE49-F238E27FC236}">
              <a16:creationId xmlns:a16="http://schemas.microsoft.com/office/drawing/2014/main" id="{A7185210-9965-48AD-B703-F6845FCF9445}"/>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5" name="Text Box 276">
          <a:extLst>
            <a:ext uri="{FF2B5EF4-FFF2-40B4-BE49-F238E27FC236}">
              <a16:creationId xmlns:a16="http://schemas.microsoft.com/office/drawing/2014/main" id="{5E33AAB4-67A4-4783-A58E-A7F0777F82E0}"/>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214</xdr:row>
      <xdr:rowOff>0</xdr:rowOff>
    </xdr:from>
    <xdr:to>
      <xdr:col>45</xdr:col>
      <xdr:colOff>95250</xdr:colOff>
      <xdr:row>214</xdr:row>
      <xdr:rowOff>0</xdr:rowOff>
    </xdr:to>
    <xdr:sp macro="" textlink="">
      <xdr:nvSpPr>
        <xdr:cNvPr id="186" name="Text Box 277">
          <a:extLst>
            <a:ext uri="{FF2B5EF4-FFF2-40B4-BE49-F238E27FC236}">
              <a16:creationId xmlns:a16="http://schemas.microsoft.com/office/drawing/2014/main" id="{EB73B808-CA9C-418C-8AD6-3ECA9CD80092}"/>
            </a:ext>
          </a:extLst>
        </xdr:cNvPr>
        <xdr:cNvSpPr txBox="1">
          <a:spLocks noChangeArrowheads="1"/>
        </xdr:cNvSpPr>
      </xdr:nvSpPr>
      <xdr:spPr bwMode="auto">
        <a:xfrm>
          <a:off x="5667375" y="5028247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7" name="Text Box 278">
          <a:extLst>
            <a:ext uri="{FF2B5EF4-FFF2-40B4-BE49-F238E27FC236}">
              <a16:creationId xmlns:a16="http://schemas.microsoft.com/office/drawing/2014/main" id="{2184C996-237E-4C4A-A0EE-FFA919E40243}"/>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214</xdr:row>
      <xdr:rowOff>0</xdr:rowOff>
    </xdr:from>
    <xdr:to>
      <xdr:col>45</xdr:col>
      <xdr:colOff>47625</xdr:colOff>
      <xdr:row>214</xdr:row>
      <xdr:rowOff>0</xdr:rowOff>
    </xdr:to>
    <xdr:sp macro="" textlink="">
      <xdr:nvSpPr>
        <xdr:cNvPr id="188" name="Text Box 279">
          <a:extLst>
            <a:ext uri="{FF2B5EF4-FFF2-40B4-BE49-F238E27FC236}">
              <a16:creationId xmlns:a16="http://schemas.microsoft.com/office/drawing/2014/main" id="{9E8C623A-17D0-469D-A995-7ED1244F4C44}"/>
            </a:ext>
          </a:extLst>
        </xdr:cNvPr>
        <xdr:cNvSpPr txBox="1">
          <a:spLocks noChangeArrowheads="1"/>
        </xdr:cNvSpPr>
      </xdr:nvSpPr>
      <xdr:spPr bwMode="auto">
        <a:xfrm>
          <a:off x="5638800" y="5028247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44</xdr:col>
      <xdr:colOff>41275</xdr:colOff>
      <xdr:row>219</xdr:row>
      <xdr:rowOff>0</xdr:rowOff>
    </xdr:from>
    <xdr:ext cx="184731" cy="264560"/>
    <xdr:sp macro="" textlink="">
      <xdr:nvSpPr>
        <xdr:cNvPr id="189" name="260 CuadroTexto">
          <a:extLst>
            <a:ext uri="{FF2B5EF4-FFF2-40B4-BE49-F238E27FC236}">
              <a16:creationId xmlns:a16="http://schemas.microsoft.com/office/drawing/2014/main" id="{2D77E47F-55F9-4C66-ABB4-A7710F0C475A}"/>
            </a:ext>
          </a:extLst>
        </xdr:cNvPr>
        <xdr:cNvSpPr txBox="1"/>
      </xdr:nvSpPr>
      <xdr:spPr>
        <a:xfrm>
          <a:off x="5661025" y="54730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xdr:from>
      <xdr:col>25</xdr:col>
      <xdr:colOff>69608</xdr:colOff>
      <xdr:row>231</xdr:row>
      <xdr:rowOff>157527</xdr:rowOff>
    </xdr:from>
    <xdr:to>
      <xdr:col>27</xdr:col>
      <xdr:colOff>128224</xdr:colOff>
      <xdr:row>232</xdr:row>
      <xdr:rowOff>186835</xdr:rowOff>
    </xdr:to>
    <xdr:sp macro="" textlink="">
      <xdr:nvSpPr>
        <xdr:cNvPr id="190" name="152 Elipse">
          <a:extLst>
            <a:ext uri="{FF2B5EF4-FFF2-40B4-BE49-F238E27FC236}">
              <a16:creationId xmlns:a16="http://schemas.microsoft.com/office/drawing/2014/main" id="{0E73B21E-23F4-4338-9558-1D895CD96936}"/>
            </a:ext>
          </a:extLst>
        </xdr:cNvPr>
        <xdr:cNvSpPr/>
      </xdr:nvSpPr>
      <xdr:spPr bwMode="auto">
        <a:xfrm>
          <a:off x="3231908" y="58088577"/>
          <a:ext cx="306266" cy="29600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twoCellAnchor>
    <xdr:from>
      <xdr:col>25</xdr:col>
      <xdr:colOff>25644</xdr:colOff>
      <xdr:row>220</xdr:row>
      <xdr:rowOff>172182</xdr:rowOff>
    </xdr:from>
    <xdr:to>
      <xdr:col>27</xdr:col>
      <xdr:colOff>69606</xdr:colOff>
      <xdr:row>221</xdr:row>
      <xdr:rowOff>164854</xdr:rowOff>
    </xdr:to>
    <xdr:sp macro="" textlink="">
      <xdr:nvSpPr>
        <xdr:cNvPr id="191" name="153 Elipse">
          <a:extLst>
            <a:ext uri="{FF2B5EF4-FFF2-40B4-BE49-F238E27FC236}">
              <a16:creationId xmlns:a16="http://schemas.microsoft.com/office/drawing/2014/main" id="{FD142CFB-D172-4240-BD83-3BA3C2678BCD}"/>
            </a:ext>
          </a:extLst>
        </xdr:cNvPr>
        <xdr:cNvSpPr/>
      </xdr:nvSpPr>
      <xdr:spPr bwMode="auto">
        <a:xfrm>
          <a:off x="3187944" y="55169532"/>
          <a:ext cx="291612" cy="259372"/>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21</xdr:col>
      <xdr:colOff>47625</xdr:colOff>
      <xdr:row>226</xdr:row>
      <xdr:rowOff>76932</xdr:rowOff>
    </xdr:from>
    <xdr:to>
      <xdr:col>24</xdr:col>
      <xdr:colOff>21150</xdr:colOff>
      <xdr:row>227</xdr:row>
      <xdr:rowOff>126026</xdr:rowOff>
    </xdr:to>
    <xdr:sp macro="" textlink="">
      <xdr:nvSpPr>
        <xdr:cNvPr id="192" name="154 Elipse">
          <a:extLst>
            <a:ext uri="{FF2B5EF4-FFF2-40B4-BE49-F238E27FC236}">
              <a16:creationId xmlns:a16="http://schemas.microsoft.com/office/drawing/2014/main" id="{96BA3E76-CC33-4658-8D68-A68798EE34EB}"/>
            </a:ext>
          </a:extLst>
        </xdr:cNvPr>
        <xdr:cNvSpPr/>
      </xdr:nvSpPr>
      <xdr:spPr bwMode="auto">
        <a:xfrm>
          <a:off x="2638425" y="56674482"/>
          <a:ext cx="345000" cy="315794"/>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3</a:t>
          </a:r>
          <a:endParaRPr lang="es-PE" sz="1100" b="1">
            <a:solidFill>
              <a:sysClr val="windowText" lastClr="000000"/>
            </a:solidFill>
          </a:endParaRPr>
        </a:p>
      </xdr:txBody>
    </xdr:sp>
    <xdr:clientData/>
  </xdr:twoCellAnchor>
  <xdr:twoCellAnchor>
    <xdr:from>
      <xdr:col>44</xdr:col>
      <xdr:colOff>19050</xdr:colOff>
      <xdr:row>278</xdr:row>
      <xdr:rowOff>0</xdr:rowOff>
    </xdr:from>
    <xdr:to>
      <xdr:col>45</xdr:col>
      <xdr:colOff>47625</xdr:colOff>
      <xdr:row>278</xdr:row>
      <xdr:rowOff>0</xdr:rowOff>
    </xdr:to>
    <xdr:sp macro="" textlink="">
      <xdr:nvSpPr>
        <xdr:cNvPr id="193" name="Text Box 280">
          <a:extLst>
            <a:ext uri="{FF2B5EF4-FFF2-40B4-BE49-F238E27FC236}">
              <a16:creationId xmlns:a16="http://schemas.microsoft.com/office/drawing/2014/main" id="{213D832A-8D2A-4439-9B99-453D4211CA4E}"/>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194" name="Text Box 281">
          <a:extLst>
            <a:ext uri="{FF2B5EF4-FFF2-40B4-BE49-F238E27FC236}">
              <a16:creationId xmlns:a16="http://schemas.microsoft.com/office/drawing/2014/main" id="{CF1067B3-3510-405C-A097-781AEF155B3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195" name="Text Box 282">
          <a:extLst>
            <a:ext uri="{FF2B5EF4-FFF2-40B4-BE49-F238E27FC236}">
              <a16:creationId xmlns:a16="http://schemas.microsoft.com/office/drawing/2014/main" id="{DC026899-D827-4250-8E1C-16AE87D5BFC9}"/>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196" name="Text Box 283">
          <a:extLst>
            <a:ext uri="{FF2B5EF4-FFF2-40B4-BE49-F238E27FC236}">
              <a16:creationId xmlns:a16="http://schemas.microsoft.com/office/drawing/2014/main" id="{64886BAB-1228-4FC0-9A8F-A802950C3862}"/>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197" name="Text Box 284">
          <a:extLst>
            <a:ext uri="{FF2B5EF4-FFF2-40B4-BE49-F238E27FC236}">
              <a16:creationId xmlns:a16="http://schemas.microsoft.com/office/drawing/2014/main" id="{9004C288-B45B-4D8D-B3CA-0BCB17BCC95A}"/>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0</xdr:colOff>
      <xdr:row>278</xdr:row>
      <xdr:rowOff>0</xdr:rowOff>
    </xdr:to>
    <xdr:sp macro="" textlink="">
      <xdr:nvSpPr>
        <xdr:cNvPr id="198" name="Text Box 285">
          <a:extLst>
            <a:ext uri="{FF2B5EF4-FFF2-40B4-BE49-F238E27FC236}">
              <a16:creationId xmlns:a16="http://schemas.microsoft.com/office/drawing/2014/main" id="{32161192-CB71-4FA8-8FF4-397F01F76005}"/>
            </a:ext>
          </a:extLst>
        </xdr:cNvPr>
        <xdr:cNvSpPr txBox="1">
          <a:spLocks noChangeArrowheads="1"/>
        </xdr:cNvSpPr>
      </xdr:nvSpPr>
      <xdr:spPr bwMode="auto">
        <a:xfrm>
          <a:off x="5638800" y="69999225"/>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199" name="Text Box 286">
          <a:extLst>
            <a:ext uri="{FF2B5EF4-FFF2-40B4-BE49-F238E27FC236}">
              <a16:creationId xmlns:a16="http://schemas.microsoft.com/office/drawing/2014/main" id="{58BB2BC2-2463-42AA-B39F-671E816CBB8C}"/>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00" name="Text Box 287">
          <a:extLst>
            <a:ext uri="{FF2B5EF4-FFF2-40B4-BE49-F238E27FC236}">
              <a16:creationId xmlns:a16="http://schemas.microsoft.com/office/drawing/2014/main" id="{6CCC3003-9B86-4E2D-BFA5-96EAC15A273A}"/>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1" name="Text Box 288">
          <a:extLst>
            <a:ext uri="{FF2B5EF4-FFF2-40B4-BE49-F238E27FC236}">
              <a16:creationId xmlns:a16="http://schemas.microsoft.com/office/drawing/2014/main" id="{BFD4D31E-9B96-42A3-8058-F34CE8B076D7}"/>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2" name="Text Box 289">
          <a:extLst>
            <a:ext uri="{FF2B5EF4-FFF2-40B4-BE49-F238E27FC236}">
              <a16:creationId xmlns:a16="http://schemas.microsoft.com/office/drawing/2014/main" id="{01ECFB1B-D5BA-4EFC-8265-940C472CD911}"/>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3" name="Text Box 290">
          <a:extLst>
            <a:ext uri="{FF2B5EF4-FFF2-40B4-BE49-F238E27FC236}">
              <a16:creationId xmlns:a16="http://schemas.microsoft.com/office/drawing/2014/main" id="{2BB777D0-4732-439C-9942-34AB5EFFDB0A}"/>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4" name="Text Box 291">
          <a:extLst>
            <a:ext uri="{FF2B5EF4-FFF2-40B4-BE49-F238E27FC236}">
              <a16:creationId xmlns:a16="http://schemas.microsoft.com/office/drawing/2014/main" id="{E2EEAFE7-387A-4240-8E39-C35710245C8D}"/>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05" name="Text Box 292">
          <a:extLst>
            <a:ext uri="{FF2B5EF4-FFF2-40B4-BE49-F238E27FC236}">
              <a16:creationId xmlns:a16="http://schemas.microsoft.com/office/drawing/2014/main" id="{DF11ABD5-A95D-43E1-BE72-2A3C686C76C4}"/>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6" name="Text Box 293">
          <a:extLst>
            <a:ext uri="{FF2B5EF4-FFF2-40B4-BE49-F238E27FC236}">
              <a16:creationId xmlns:a16="http://schemas.microsoft.com/office/drawing/2014/main" id="{9EAD9A59-4B22-46E3-8BDB-7F766F1AD3B7}"/>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7" name="Text Box 300">
          <a:extLst>
            <a:ext uri="{FF2B5EF4-FFF2-40B4-BE49-F238E27FC236}">
              <a16:creationId xmlns:a16="http://schemas.microsoft.com/office/drawing/2014/main" id="{E7E310C9-0668-4C86-A8A0-37CD43D74D38}"/>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08" name="Text Box 301">
          <a:extLst>
            <a:ext uri="{FF2B5EF4-FFF2-40B4-BE49-F238E27FC236}">
              <a16:creationId xmlns:a16="http://schemas.microsoft.com/office/drawing/2014/main" id="{89D6382A-AED0-466F-A6D5-AE234D9C2A4B}"/>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09" name="Text Box 302">
          <a:extLst>
            <a:ext uri="{FF2B5EF4-FFF2-40B4-BE49-F238E27FC236}">
              <a16:creationId xmlns:a16="http://schemas.microsoft.com/office/drawing/2014/main" id="{7B98B40E-2169-419D-A6E9-F4307F1C52C1}"/>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0" name="Text Box 303">
          <a:extLst>
            <a:ext uri="{FF2B5EF4-FFF2-40B4-BE49-F238E27FC236}">
              <a16:creationId xmlns:a16="http://schemas.microsoft.com/office/drawing/2014/main" id="{03D5267B-850B-4956-9793-268843EF597C}"/>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1" name="Text Box 275">
          <a:extLst>
            <a:ext uri="{FF2B5EF4-FFF2-40B4-BE49-F238E27FC236}">
              <a16:creationId xmlns:a16="http://schemas.microsoft.com/office/drawing/2014/main" id="{FF10FAC0-E87A-4A0C-9918-23198553D767}"/>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2" name="Text Box 276">
          <a:extLst>
            <a:ext uri="{FF2B5EF4-FFF2-40B4-BE49-F238E27FC236}">
              <a16:creationId xmlns:a16="http://schemas.microsoft.com/office/drawing/2014/main" id="{D799CDDD-47A8-4426-A0E6-81722661D61E}"/>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13" name="Text Box 277">
          <a:extLst>
            <a:ext uri="{FF2B5EF4-FFF2-40B4-BE49-F238E27FC236}">
              <a16:creationId xmlns:a16="http://schemas.microsoft.com/office/drawing/2014/main" id="{8255DF2D-CE4D-41D1-8D76-C4A57ADFAC83}"/>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4" name="Text Box 278">
          <a:extLst>
            <a:ext uri="{FF2B5EF4-FFF2-40B4-BE49-F238E27FC236}">
              <a16:creationId xmlns:a16="http://schemas.microsoft.com/office/drawing/2014/main" id="{19DD4166-4976-45D7-A435-FDC07E257046}"/>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5" name="Text Box 279">
          <a:extLst>
            <a:ext uri="{FF2B5EF4-FFF2-40B4-BE49-F238E27FC236}">
              <a16:creationId xmlns:a16="http://schemas.microsoft.com/office/drawing/2014/main" id="{779ABEF6-DB38-498B-BC2D-12E80F3BCDBF}"/>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6" name="Text Box 280">
          <a:extLst>
            <a:ext uri="{FF2B5EF4-FFF2-40B4-BE49-F238E27FC236}">
              <a16:creationId xmlns:a16="http://schemas.microsoft.com/office/drawing/2014/main" id="{07D82D03-85F0-4119-8C97-C0224E55179B}"/>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7" name="Text Box 281">
          <a:extLst>
            <a:ext uri="{FF2B5EF4-FFF2-40B4-BE49-F238E27FC236}">
              <a16:creationId xmlns:a16="http://schemas.microsoft.com/office/drawing/2014/main" id="{1B6AE2B9-06BE-4B80-9DEC-2CE2961876F6}"/>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18" name="Text Box 282">
          <a:extLst>
            <a:ext uri="{FF2B5EF4-FFF2-40B4-BE49-F238E27FC236}">
              <a16:creationId xmlns:a16="http://schemas.microsoft.com/office/drawing/2014/main" id="{8A6F698E-AD2A-4827-84AE-CD08E99CA955}"/>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19" name="Text Box 283">
          <a:extLst>
            <a:ext uri="{FF2B5EF4-FFF2-40B4-BE49-F238E27FC236}">
              <a16:creationId xmlns:a16="http://schemas.microsoft.com/office/drawing/2014/main" id="{14BBAA28-F98A-49BC-85F8-5E75C493D29D}"/>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0" name="Text Box 284">
          <a:extLst>
            <a:ext uri="{FF2B5EF4-FFF2-40B4-BE49-F238E27FC236}">
              <a16:creationId xmlns:a16="http://schemas.microsoft.com/office/drawing/2014/main" id="{2656892F-ECB1-4A4B-8564-0DC91C9AA233}"/>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1" name="Text Box 290">
          <a:extLst>
            <a:ext uri="{FF2B5EF4-FFF2-40B4-BE49-F238E27FC236}">
              <a16:creationId xmlns:a16="http://schemas.microsoft.com/office/drawing/2014/main" id="{2093A48E-46E2-4374-BC36-40AF21595CF1}"/>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2" name="Text Box 291">
          <a:extLst>
            <a:ext uri="{FF2B5EF4-FFF2-40B4-BE49-F238E27FC236}">
              <a16:creationId xmlns:a16="http://schemas.microsoft.com/office/drawing/2014/main" id="{ECF9E016-8A4B-42F3-ADB2-7E790B60CA32}"/>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23" name="Text Box 292">
          <a:extLst>
            <a:ext uri="{FF2B5EF4-FFF2-40B4-BE49-F238E27FC236}">
              <a16:creationId xmlns:a16="http://schemas.microsoft.com/office/drawing/2014/main" id="{7945CDD7-5670-415A-979B-B2D2EDD89123}"/>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4" name="Text Box 293">
          <a:extLst>
            <a:ext uri="{FF2B5EF4-FFF2-40B4-BE49-F238E27FC236}">
              <a16:creationId xmlns:a16="http://schemas.microsoft.com/office/drawing/2014/main" id="{96679B72-23FB-4B4F-AD6F-0931A6E0E68A}"/>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5" name="Text Box 275">
          <a:extLst>
            <a:ext uri="{FF2B5EF4-FFF2-40B4-BE49-F238E27FC236}">
              <a16:creationId xmlns:a16="http://schemas.microsoft.com/office/drawing/2014/main" id="{EC0C54F1-5667-4E70-9F02-48D19265B32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6" name="Text Box 276">
          <a:extLst>
            <a:ext uri="{FF2B5EF4-FFF2-40B4-BE49-F238E27FC236}">
              <a16:creationId xmlns:a16="http://schemas.microsoft.com/office/drawing/2014/main" id="{02325A86-6075-4259-BE9A-58FCD8FCE2E9}"/>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27" name="Text Box 277">
          <a:extLst>
            <a:ext uri="{FF2B5EF4-FFF2-40B4-BE49-F238E27FC236}">
              <a16:creationId xmlns:a16="http://schemas.microsoft.com/office/drawing/2014/main" id="{65252F53-5D94-4328-9CC2-0FDA0CC5917E}"/>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8" name="Text Box 278">
          <a:extLst>
            <a:ext uri="{FF2B5EF4-FFF2-40B4-BE49-F238E27FC236}">
              <a16:creationId xmlns:a16="http://schemas.microsoft.com/office/drawing/2014/main" id="{2D5BC628-8A76-44F2-B25B-27328B79D58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29" name="Text Box 279">
          <a:extLst>
            <a:ext uri="{FF2B5EF4-FFF2-40B4-BE49-F238E27FC236}">
              <a16:creationId xmlns:a16="http://schemas.microsoft.com/office/drawing/2014/main" id="{A7826A71-66AC-4AD5-9A37-0D338FC3D0CD}"/>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0" name="Text Box 280">
          <a:extLst>
            <a:ext uri="{FF2B5EF4-FFF2-40B4-BE49-F238E27FC236}">
              <a16:creationId xmlns:a16="http://schemas.microsoft.com/office/drawing/2014/main" id="{B6D02CAD-F4B4-49B1-AE40-87872737AEEC}"/>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1" name="Text Box 281">
          <a:extLst>
            <a:ext uri="{FF2B5EF4-FFF2-40B4-BE49-F238E27FC236}">
              <a16:creationId xmlns:a16="http://schemas.microsoft.com/office/drawing/2014/main" id="{E1DF2CB2-A679-4304-9C7E-9447EF2C298A}"/>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32" name="Text Box 282">
          <a:extLst>
            <a:ext uri="{FF2B5EF4-FFF2-40B4-BE49-F238E27FC236}">
              <a16:creationId xmlns:a16="http://schemas.microsoft.com/office/drawing/2014/main" id="{C14D98E4-C201-4410-93D2-81A02B8DF9C3}"/>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3" name="Text Box 283">
          <a:extLst>
            <a:ext uri="{FF2B5EF4-FFF2-40B4-BE49-F238E27FC236}">
              <a16:creationId xmlns:a16="http://schemas.microsoft.com/office/drawing/2014/main" id="{121A48FB-47FD-4E98-B794-E07A8033554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4" name="Text Box 284">
          <a:extLst>
            <a:ext uri="{FF2B5EF4-FFF2-40B4-BE49-F238E27FC236}">
              <a16:creationId xmlns:a16="http://schemas.microsoft.com/office/drawing/2014/main" id="{2715D24F-0EEF-436E-8240-520B10661DF2}"/>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0</xdr:colOff>
      <xdr:row>278</xdr:row>
      <xdr:rowOff>0</xdr:rowOff>
    </xdr:to>
    <xdr:sp macro="" textlink="">
      <xdr:nvSpPr>
        <xdr:cNvPr id="235" name="Text Box 285">
          <a:extLst>
            <a:ext uri="{FF2B5EF4-FFF2-40B4-BE49-F238E27FC236}">
              <a16:creationId xmlns:a16="http://schemas.microsoft.com/office/drawing/2014/main" id="{9141832B-0682-4E70-9F02-CB6ABF1ED52F}"/>
            </a:ext>
          </a:extLst>
        </xdr:cNvPr>
        <xdr:cNvSpPr txBox="1">
          <a:spLocks noChangeArrowheads="1"/>
        </xdr:cNvSpPr>
      </xdr:nvSpPr>
      <xdr:spPr bwMode="auto">
        <a:xfrm>
          <a:off x="5638800" y="69999225"/>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6" name="Text Box 286">
          <a:extLst>
            <a:ext uri="{FF2B5EF4-FFF2-40B4-BE49-F238E27FC236}">
              <a16:creationId xmlns:a16="http://schemas.microsoft.com/office/drawing/2014/main" id="{C2E80C4C-3B50-4374-B726-42FDE486B17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37" name="Text Box 287">
          <a:extLst>
            <a:ext uri="{FF2B5EF4-FFF2-40B4-BE49-F238E27FC236}">
              <a16:creationId xmlns:a16="http://schemas.microsoft.com/office/drawing/2014/main" id="{2ADCAD4C-6A48-4361-B84C-2CB7D8F80159}"/>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8" name="Text Box 288">
          <a:extLst>
            <a:ext uri="{FF2B5EF4-FFF2-40B4-BE49-F238E27FC236}">
              <a16:creationId xmlns:a16="http://schemas.microsoft.com/office/drawing/2014/main" id="{3CEA7971-BFD8-451F-BF02-49C1A6F1B723}"/>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39" name="Text Box 289">
          <a:extLst>
            <a:ext uri="{FF2B5EF4-FFF2-40B4-BE49-F238E27FC236}">
              <a16:creationId xmlns:a16="http://schemas.microsoft.com/office/drawing/2014/main" id="{86DBB172-D528-43C1-894B-2C4076EA172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0" name="Text Box 290">
          <a:extLst>
            <a:ext uri="{FF2B5EF4-FFF2-40B4-BE49-F238E27FC236}">
              <a16:creationId xmlns:a16="http://schemas.microsoft.com/office/drawing/2014/main" id="{C0D05B10-2B5A-47B8-9DDF-8BE9CA343776}"/>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1" name="Text Box 291">
          <a:extLst>
            <a:ext uri="{FF2B5EF4-FFF2-40B4-BE49-F238E27FC236}">
              <a16:creationId xmlns:a16="http://schemas.microsoft.com/office/drawing/2014/main" id="{368F94B7-A518-4F7F-9EE5-058348285E07}"/>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42" name="Text Box 292">
          <a:extLst>
            <a:ext uri="{FF2B5EF4-FFF2-40B4-BE49-F238E27FC236}">
              <a16:creationId xmlns:a16="http://schemas.microsoft.com/office/drawing/2014/main" id="{2791F201-16D8-4315-A6C8-D910F757A5F0}"/>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3" name="Text Box 293">
          <a:extLst>
            <a:ext uri="{FF2B5EF4-FFF2-40B4-BE49-F238E27FC236}">
              <a16:creationId xmlns:a16="http://schemas.microsoft.com/office/drawing/2014/main" id="{124AD07F-7352-44E6-A685-8F794E6D1282}"/>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4" name="Text Box 300">
          <a:extLst>
            <a:ext uri="{FF2B5EF4-FFF2-40B4-BE49-F238E27FC236}">
              <a16:creationId xmlns:a16="http://schemas.microsoft.com/office/drawing/2014/main" id="{3EA0F4C3-5487-4ED0-B97E-C6B8C00C7F3E}"/>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5" name="Text Box 301">
          <a:extLst>
            <a:ext uri="{FF2B5EF4-FFF2-40B4-BE49-F238E27FC236}">
              <a16:creationId xmlns:a16="http://schemas.microsoft.com/office/drawing/2014/main" id="{4822BDFC-EC01-46CB-82D0-38462286F83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46" name="Text Box 302">
          <a:extLst>
            <a:ext uri="{FF2B5EF4-FFF2-40B4-BE49-F238E27FC236}">
              <a16:creationId xmlns:a16="http://schemas.microsoft.com/office/drawing/2014/main" id="{25780EA6-7015-40DF-9D68-088425EB2666}"/>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7" name="Text Box 303">
          <a:extLst>
            <a:ext uri="{FF2B5EF4-FFF2-40B4-BE49-F238E27FC236}">
              <a16:creationId xmlns:a16="http://schemas.microsoft.com/office/drawing/2014/main" id="{FAF7FD66-C80D-4596-885C-9A49DE1B6453}"/>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8" name="Text Box 275">
          <a:extLst>
            <a:ext uri="{FF2B5EF4-FFF2-40B4-BE49-F238E27FC236}">
              <a16:creationId xmlns:a16="http://schemas.microsoft.com/office/drawing/2014/main" id="{B20FA4EA-CEB3-409C-8EA1-FE4DFC0BA68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49" name="Text Box 276">
          <a:extLst>
            <a:ext uri="{FF2B5EF4-FFF2-40B4-BE49-F238E27FC236}">
              <a16:creationId xmlns:a16="http://schemas.microsoft.com/office/drawing/2014/main" id="{9DF92DA3-3810-455E-87CF-CB89F173DE38}"/>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50" name="Text Box 277">
          <a:extLst>
            <a:ext uri="{FF2B5EF4-FFF2-40B4-BE49-F238E27FC236}">
              <a16:creationId xmlns:a16="http://schemas.microsoft.com/office/drawing/2014/main" id="{86C47D8E-0911-48EE-B285-A7E4C013A6FB}"/>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1" name="Text Box 278">
          <a:extLst>
            <a:ext uri="{FF2B5EF4-FFF2-40B4-BE49-F238E27FC236}">
              <a16:creationId xmlns:a16="http://schemas.microsoft.com/office/drawing/2014/main" id="{CD77A383-2917-4F49-809B-5A1360635CB6}"/>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2" name="Text Box 279">
          <a:extLst>
            <a:ext uri="{FF2B5EF4-FFF2-40B4-BE49-F238E27FC236}">
              <a16:creationId xmlns:a16="http://schemas.microsoft.com/office/drawing/2014/main" id="{B595EDCA-F446-475D-8321-1AC0CF84676C}"/>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3" name="Text Box 280">
          <a:extLst>
            <a:ext uri="{FF2B5EF4-FFF2-40B4-BE49-F238E27FC236}">
              <a16:creationId xmlns:a16="http://schemas.microsoft.com/office/drawing/2014/main" id="{1765EF7F-39D8-40DB-B164-36763670078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4" name="Text Box 281">
          <a:extLst>
            <a:ext uri="{FF2B5EF4-FFF2-40B4-BE49-F238E27FC236}">
              <a16:creationId xmlns:a16="http://schemas.microsoft.com/office/drawing/2014/main" id="{9EAC0173-59C0-412B-8415-7B48D16AD6E1}"/>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55" name="Text Box 282">
          <a:extLst>
            <a:ext uri="{FF2B5EF4-FFF2-40B4-BE49-F238E27FC236}">
              <a16:creationId xmlns:a16="http://schemas.microsoft.com/office/drawing/2014/main" id="{AA6F638D-18BF-49B2-8816-6C559451F680}"/>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6" name="Text Box 283">
          <a:extLst>
            <a:ext uri="{FF2B5EF4-FFF2-40B4-BE49-F238E27FC236}">
              <a16:creationId xmlns:a16="http://schemas.microsoft.com/office/drawing/2014/main" id="{06C79E00-930A-4D59-9358-25D6A070447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7" name="Text Box 284">
          <a:extLst>
            <a:ext uri="{FF2B5EF4-FFF2-40B4-BE49-F238E27FC236}">
              <a16:creationId xmlns:a16="http://schemas.microsoft.com/office/drawing/2014/main" id="{85586979-314F-4152-92D9-17175891BE18}"/>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8" name="Text Box 290">
          <a:extLst>
            <a:ext uri="{FF2B5EF4-FFF2-40B4-BE49-F238E27FC236}">
              <a16:creationId xmlns:a16="http://schemas.microsoft.com/office/drawing/2014/main" id="{B6013BAC-0C8E-49D0-A448-61B039B92DB7}"/>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59" name="Text Box 291">
          <a:extLst>
            <a:ext uri="{FF2B5EF4-FFF2-40B4-BE49-F238E27FC236}">
              <a16:creationId xmlns:a16="http://schemas.microsoft.com/office/drawing/2014/main" id="{3618E211-9987-41BA-AB45-27AB0B4F69A0}"/>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60" name="Text Box 292">
          <a:extLst>
            <a:ext uri="{FF2B5EF4-FFF2-40B4-BE49-F238E27FC236}">
              <a16:creationId xmlns:a16="http://schemas.microsoft.com/office/drawing/2014/main" id="{0D183C84-8730-44CF-B910-02FD83A5F970}"/>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61" name="Text Box 293">
          <a:extLst>
            <a:ext uri="{FF2B5EF4-FFF2-40B4-BE49-F238E27FC236}">
              <a16:creationId xmlns:a16="http://schemas.microsoft.com/office/drawing/2014/main" id="{6294541C-98AF-4CA3-90EC-E33F80A0F6CC}"/>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62" name="Text Box 275">
          <a:extLst>
            <a:ext uri="{FF2B5EF4-FFF2-40B4-BE49-F238E27FC236}">
              <a16:creationId xmlns:a16="http://schemas.microsoft.com/office/drawing/2014/main" id="{3F2261C7-8F6A-4C7C-AA93-F8A82D615378}"/>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63" name="Text Box 276">
          <a:extLst>
            <a:ext uri="{FF2B5EF4-FFF2-40B4-BE49-F238E27FC236}">
              <a16:creationId xmlns:a16="http://schemas.microsoft.com/office/drawing/2014/main" id="{29FEF2CA-82AD-4CC1-A132-C59362E587BE}"/>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278</xdr:row>
      <xdr:rowOff>0</xdr:rowOff>
    </xdr:from>
    <xdr:to>
      <xdr:col>45</xdr:col>
      <xdr:colOff>95250</xdr:colOff>
      <xdr:row>278</xdr:row>
      <xdr:rowOff>0</xdr:rowOff>
    </xdr:to>
    <xdr:sp macro="" textlink="">
      <xdr:nvSpPr>
        <xdr:cNvPr id="264" name="Text Box 277">
          <a:extLst>
            <a:ext uri="{FF2B5EF4-FFF2-40B4-BE49-F238E27FC236}">
              <a16:creationId xmlns:a16="http://schemas.microsoft.com/office/drawing/2014/main" id="{6CF1B004-A27C-4A3F-B451-780150F09437}"/>
            </a:ext>
          </a:extLst>
        </xdr:cNvPr>
        <xdr:cNvSpPr txBox="1">
          <a:spLocks noChangeArrowheads="1"/>
        </xdr:cNvSpPr>
      </xdr:nvSpPr>
      <xdr:spPr bwMode="auto">
        <a:xfrm>
          <a:off x="5667375" y="69999225"/>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65" name="Text Box 278">
          <a:extLst>
            <a:ext uri="{FF2B5EF4-FFF2-40B4-BE49-F238E27FC236}">
              <a16:creationId xmlns:a16="http://schemas.microsoft.com/office/drawing/2014/main" id="{40319914-A465-43FE-8F88-100A41589BC5}"/>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278</xdr:row>
      <xdr:rowOff>0</xdr:rowOff>
    </xdr:from>
    <xdr:to>
      <xdr:col>45</xdr:col>
      <xdr:colOff>47625</xdr:colOff>
      <xdr:row>278</xdr:row>
      <xdr:rowOff>0</xdr:rowOff>
    </xdr:to>
    <xdr:sp macro="" textlink="">
      <xdr:nvSpPr>
        <xdr:cNvPr id="266" name="Text Box 279">
          <a:extLst>
            <a:ext uri="{FF2B5EF4-FFF2-40B4-BE49-F238E27FC236}">
              <a16:creationId xmlns:a16="http://schemas.microsoft.com/office/drawing/2014/main" id="{62BECEC6-08D0-4977-8674-A56951C456B3}"/>
            </a:ext>
          </a:extLst>
        </xdr:cNvPr>
        <xdr:cNvSpPr txBox="1">
          <a:spLocks noChangeArrowheads="1"/>
        </xdr:cNvSpPr>
      </xdr:nvSpPr>
      <xdr:spPr bwMode="auto">
        <a:xfrm>
          <a:off x="5638800" y="69999225"/>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45</xdr:col>
      <xdr:colOff>95250</xdr:colOff>
      <xdr:row>276</xdr:row>
      <xdr:rowOff>0</xdr:rowOff>
    </xdr:from>
    <xdr:ext cx="195598" cy="287367"/>
    <xdr:sp macro="" textlink="">
      <xdr:nvSpPr>
        <xdr:cNvPr id="267" name="CuadroTexto 266">
          <a:extLst>
            <a:ext uri="{FF2B5EF4-FFF2-40B4-BE49-F238E27FC236}">
              <a16:creationId xmlns:a16="http://schemas.microsoft.com/office/drawing/2014/main" id="{EED70429-A6E9-4A10-BC5F-EC4B94FEE091}"/>
            </a:ext>
          </a:extLst>
        </xdr:cNvPr>
        <xdr:cNvSpPr txBox="1"/>
      </xdr:nvSpPr>
      <xdr:spPr>
        <a:xfrm>
          <a:off x="5895975" y="68646675"/>
          <a:ext cx="195598" cy="287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45</xdr:col>
      <xdr:colOff>95250</xdr:colOff>
      <xdr:row>278</xdr:row>
      <xdr:rowOff>136525</xdr:rowOff>
    </xdr:from>
    <xdr:ext cx="195598" cy="264560"/>
    <xdr:sp macro="" textlink="">
      <xdr:nvSpPr>
        <xdr:cNvPr id="268" name="CuadroTexto 267">
          <a:extLst>
            <a:ext uri="{FF2B5EF4-FFF2-40B4-BE49-F238E27FC236}">
              <a16:creationId xmlns:a16="http://schemas.microsoft.com/office/drawing/2014/main" id="{D7AC7276-F87F-4F9D-ABD0-0E13FA085215}"/>
            </a:ext>
          </a:extLst>
        </xdr:cNvPr>
        <xdr:cNvSpPr txBox="1"/>
      </xdr:nvSpPr>
      <xdr:spPr>
        <a:xfrm>
          <a:off x="5895975" y="70135750"/>
          <a:ext cx="1955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104775</xdr:colOff>
      <xdr:row>276</xdr:row>
      <xdr:rowOff>0</xdr:rowOff>
    </xdr:from>
    <xdr:ext cx="184731" cy="264560"/>
    <xdr:sp macro="" textlink="">
      <xdr:nvSpPr>
        <xdr:cNvPr id="269" name="23 CuadroTexto">
          <a:extLst>
            <a:ext uri="{FF2B5EF4-FFF2-40B4-BE49-F238E27FC236}">
              <a16:creationId xmlns:a16="http://schemas.microsoft.com/office/drawing/2014/main" id="{37646B22-EB1E-423A-85E3-8D81EDD76B6D}"/>
            </a:ext>
          </a:extLst>
        </xdr:cNvPr>
        <xdr:cNvSpPr txBox="1"/>
      </xdr:nvSpPr>
      <xdr:spPr>
        <a:xfrm>
          <a:off x="5553075" y="68646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xdr:from>
      <xdr:col>9</xdr:col>
      <xdr:colOff>28575</xdr:colOff>
      <xdr:row>283</xdr:row>
      <xdr:rowOff>28575</xdr:rowOff>
    </xdr:from>
    <xdr:to>
      <xdr:col>13</xdr:col>
      <xdr:colOff>0</xdr:colOff>
      <xdr:row>284</xdr:row>
      <xdr:rowOff>171450</xdr:rowOff>
    </xdr:to>
    <xdr:sp macro="" textlink="">
      <xdr:nvSpPr>
        <xdr:cNvPr id="270" name="Oval 121">
          <a:extLst>
            <a:ext uri="{FF2B5EF4-FFF2-40B4-BE49-F238E27FC236}">
              <a16:creationId xmlns:a16="http://schemas.microsoft.com/office/drawing/2014/main" id="{61113394-A0D5-4DAD-8735-567E5269C9E3}"/>
            </a:ext>
          </a:extLst>
        </xdr:cNvPr>
        <xdr:cNvSpPr>
          <a:spLocks noChangeArrowheads="1"/>
        </xdr:cNvSpPr>
      </xdr:nvSpPr>
      <xdr:spPr bwMode="auto">
        <a:xfrm flipH="1">
          <a:off x="1247775" y="73237725"/>
          <a:ext cx="428625" cy="409575"/>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87923</xdr:colOff>
      <xdr:row>284</xdr:row>
      <xdr:rowOff>245454</xdr:rowOff>
    </xdr:from>
    <xdr:to>
      <xdr:col>20</xdr:col>
      <xdr:colOff>65942</xdr:colOff>
      <xdr:row>286</xdr:row>
      <xdr:rowOff>21981</xdr:rowOff>
    </xdr:to>
    <xdr:sp macro="" textlink="">
      <xdr:nvSpPr>
        <xdr:cNvPr id="271" name="18 Elipse">
          <a:extLst>
            <a:ext uri="{FF2B5EF4-FFF2-40B4-BE49-F238E27FC236}">
              <a16:creationId xmlns:a16="http://schemas.microsoft.com/office/drawing/2014/main" id="{5651EE5D-FDEB-46F8-A945-B74FCCB8A90E}"/>
            </a:ext>
          </a:extLst>
        </xdr:cNvPr>
        <xdr:cNvSpPr/>
      </xdr:nvSpPr>
      <xdr:spPr bwMode="auto">
        <a:xfrm>
          <a:off x="2221523" y="73721304"/>
          <a:ext cx="320919" cy="309927"/>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2</a:t>
          </a:r>
          <a:endParaRPr lang="es-PE" sz="1100" b="1">
            <a:solidFill>
              <a:sysClr val="windowText" lastClr="000000"/>
            </a:solidFill>
          </a:endParaRPr>
        </a:p>
      </xdr:txBody>
    </xdr:sp>
    <xdr:clientData/>
  </xdr:twoCellAnchor>
  <xdr:twoCellAnchor>
    <xdr:from>
      <xdr:col>13</xdr:col>
      <xdr:colOff>1</xdr:colOff>
      <xdr:row>282</xdr:row>
      <xdr:rowOff>216144</xdr:rowOff>
    </xdr:from>
    <xdr:to>
      <xdr:col>15</xdr:col>
      <xdr:colOff>95250</xdr:colOff>
      <xdr:row>283</xdr:row>
      <xdr:rowOff>249115</xdr:rowOff>
    </xdr:to>
    <xdr:sp macro="" textlink="">
      <xdr:nvSpPr>
        <xdr:cNvPr id="272" name="16 Elipse">
          <a:extLst>
            <a:ext uri="{FF2B5EF4-FFF2-40B4-BE49-F238E27FC236}">
              <a16:creationId xmlns:a16="http://schemas.microsoft.com/office/drawing/2014/main" id="{E4DDDA13-BE55-4BDB-A957-A4CD7E06AD59}"/>
            </a:ext>
          </a:extLst>
        </xdr:cNvPr>
        <xdr:cNvSpPr/>
      </xdr:nvSpPr>
      <xdr:spPr bwMode="auto">
        <a:xfrm>
          <a:off x="1676401" y="73158594"/>
          <a:ext cx="323849" cy="299671"/>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a:t>
          </a:r>
          <a:r>
            <a:rPr lang="es-PE" sz="1100" b="1"/>
            <a:t>1</a:t>
          </a:r>
          <a:endParaRPr lang="es-PE" sz="1100" b="1">
            <a:solidFill>
              <a:sysClr val="windowText" lastClr="000000"/>
            </a:solidFill>
          </a:endParaRPr>
        </a:p>
      </xdr:txBody>
    </xdr:sp>
    <xdr:clientData/>
  </xdr:twoCellAnchor>
  <xdr:oneCellAnchor>
    <xdr:from>
      <xdr:col>45</xdr:col>
      <xdr:colOff>95250</xdr:colOff>
      <xdr:row>277</xdr:row>
      <xdr:rowOff>130175</xdr:rowOff>
    </xdr:from>
    <xdr:ext cx="195598" cy="287367"/>
    <xdr:sp macro="" textlink="">
      <xdr:nvSpPr>
        <xdr:cNvPr id="273" name="CuadroTexto 272">
          <a:extLst>
            <a:ext uri="{FF2B5EF4-FFF2-40B4-BE49-F238E27FC236}">
              <a16:creationId xmlns:a16="http://schemas.microsoft.com/office/drawing/2014/main" id="{0EA33F15-BF15-4F98-8970-BDA522021E60}"/>
            </a:ext>
          </a:extLst>
        </xdr:cNvPr>
        <xdr:cNvSpPr txBox="1"/>
      </xdr:nvSpPr>
      <xdr:spPr>
        <a:xfrm>
          <a:off x="5895975" y="69453125"/>
          <a:ext cx="195598" cy="287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104775</xdr:colOff>
      <xdr:row>277</xdr:row>
      <xdr:rowOff>0</xdr:rowOff>
    </xdr:from>
    <xdr:ext cx="184731" cy="264560"/>
    <xdr:sp macro="" textlink="">
      <xdr:nvSpPr>
        <xdr:cNvPr id="274" name="23 CuadroTexto">
          <a:extLst>
            <a:ext uri="{FF2B5EF4-FFF2-40B4-BE49-F238E27FC236}">
              <a16:creationId xmlns:a16="http://schemas.microsoft.com/office/drawing/2014/main" id="{E81245D7-40F2-4C76-8FFB-C5AAF90E89A9}"/>
            </a:ext>
          </a:extLst>
        </xdr:cNvPr>
        <xdr:cNvSpPr txBox="1"/>
      </xdr:nvSpPr>
      <xdr:spPr>
        <a:xfrm>
          <a:off x="5553075" y="6932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xdr:from>
      <xdr:col>44</xdr:col>
      <xdr:colOff>19050</xdr:colOff>
      <xdr:row>216</xdr:row>
      <xdr:rowOff>0</xdr:rowOff>
    </xdr:from>
    <xdr:to>
      <xdr:col>45</xdr:col>
      <xdr:colOff>47625</xdr:colOff>
      <xdr:row>216</xdr:row>
      <xdr:rowOff>0</xdr:rowOff>
    </xdr:to>
    <xdr:sp macro="" textlink="">
      <xdr:nvSpPr>
        <xdr:cNvPr id="275" name="Text Box 280">
          <a:extLst>
            <a:ext uri="{FF2B5EF4-FFF2-40B4-BE49-F238E27FC236}">
              <a16:creationId xmlns:a16="http://schemas.microsoft.com/office/drawing/2014/main" id="{DFBC031A-D27D-4B26-8B74-2B2E19C09AC1}"/>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76" name="Text Box 281">
          <a:extLst>
            <a:ext uri="{FF2B5EF4-FFF2-40B4-BE49-F238E27FC236}">
              <a16:creationId xmlns:a16="http://schemas.microsoft.com/office/drawing/2014/main" id="{A3A2AE06-E970-42F1-8865-52B6D729479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277" name="Text Box 282">
          <a:extLst>
            <a:ext uri="{FF2B5EF4-FFF2-40B4-BE49-F238E27FC236}">
              <a16:creationId xmlns:a16="http://schemas.microsoft.com/office/drawing/2014/main" id="{21EEE9B8-E810-439A-9D5B-FBF50E3EC9A8}"/>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78" name="Text Box 283">
          <a:extLst>
            <a:ext uri="{FF2B5EF4-FFF2-40B4-BE49-F238E27FC236}">
              <a16:creationId xmlns:a16="http://schemas.microsoft.com/office/drawing/2014/main" id="{99FDC461-80B2-4B95-A2CD-A2164FC913D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79" name="Text Box 284">
          <a:extLst>
            <a:ext uri="{FF2B5EF4-FFF2-40B4-BE49-F238E27FC236}">
              <a16:creationId xmlns:a16="http://schemas.microsoft.com/office/drawing/2014/main" id="{97C79158-8D83-4B2A-BE41-C7F538D2D8F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0</xdr:colOff>
      <xdr:row>216</xdr:row>
      <xdr:rowOff>0</xdr:rowOff>
    </xdr:to>
    <xdr:sp macro="" textlink="">
      <xdr:nvSpPr>
        <xdr:cNvPr id="280" name="Text Box 285">
          <a:extLst>
            <a:ext uri="{FF2B5EF4-FFF2-40B4-BE49-F238E27FC236}">
              <a16:creationId xmlns:a16="http://schemas.microsoft.com/office/drawing/2014/main" id="{8901C67A-CF93-4C76-A82A-0173AD2FD0EC}"/>
            </a:ext>
          </a:extLst>
        </xdr:cNvPr>
        <xdr:cNvSpPr txBox="1">
          <a:spLocks noChangeArrowheads="1"/>
        </xdr:cNvSpPr>
      </xdr:nvSpPr>
      <xdr:spPr bwMode="auto">
        <a:xfrm>
          <a:off x="5638800" y="52216050"/>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1" name="Text Box 286">
          <a:extLst>
            <a:ext uri="{FF2B5EF4-FFF2-40B4-BE49-F238E27FC236}">
              <a16:creationId xmlns:a16="http://schemas.microsoft.com/office/drawing/2014/main" id="{A8CC29B5-260B-4A89-8D42-296246B62140}"/>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282" name="Text Box 287">
          <a:extLst>
            <a:ext uri="{FF2B5EF4-FFF2-40B4-BE49-F238E27FC236}">
              <a16:creationId xmlns:a16="http://schemas.microsoft.com/office/drawing/2014/main" id="{C96AB7DB-8312-4C02-9FE3-31EE3DC6D407}"/>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3" name="Text Box 288">
          <a:extLst>
            <a:ext uri="{FF2B5EF4-FFF2-40B4-BE49-F238E27FC236}">
              <a16:creationId xmlns:a16="http://schemas.microsoft.com/office/drawing/2014/main" id="{AA31BB15-651A-496C-B463-EA5632D8ABB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4" name="Text Box 289">
          <a:extLst>
            <a:ext uri="{FF2B5EF4-FFF2-40B4-BE49-F238E27FC236}">
              <a16:creationId xmlns:a16="http://schemas.microsoft.com/office/drawing/2014/main" id="{9D57BA22-346E-478B-ACA5-1C46659323E0}"/>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5" name="Text Box 290">
          <a:extLst>
            <a:ext uri="{FF2B5EF4-FFF2-40B4-BE49-F238E27FC236}">
              <a16:creationId xmlns:a16="http://schemas.microsoft.com/office/drawing/2014/main" id="{DE86965F-E6B8-49B2-BE73-4A08BAD71B3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6" name="Text Box 291">
          <a:extLst>
            <a:ext uri="{FF2B5EF4-FFF2-40B4-BE49-F238E27FC236}">
              <a16:creationId xmlns:a16="http://schemas.microsoft.com/office/drawing/2014/main" id="{9CBBE355-6D69-4BBD-A586-F1C1763237D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287" name="Text Box 292">
          <a:extLst>
            <a:ext uri="{FF2B5EF4-FFF2-40B4-BE49-F238E27FC236}">
              <a16:creationId xmlns:a16="http://schemas.microsoft.com/office/drawing/2014/main" id="{028EB5EF-55B7-4EEB-A050-940DDA9FB6E1}"/>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8" name="Text Box 293">
          <a:extLst>
            <a:ext uri="{FF2B5EF4-FFF2-40B4-BE49-F238E27FC236}">
              <a16:creationId xmlns:a16="http://schemas.microsoft.com/office/drawing/2014/main" id="{7E05FC81-5956-4D0B-9516-516E15FE63B8}"/>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89" name="Text Box 300">
          <a:extLst>
            <a:ext uri="{FF2B5EF4-FFF2-40B4-BE49-F238E27FC236}">
              <a16:creationId xmlns:a16="http://schemas.microsoft.com/office/drawing/2014/main" id="{A31F4176-A419-4B03-BADA-3D6DF2715D2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0" name="Text Box 301">
          <a:extLst>
            <a:ext uri="{FF2B5EF4-FFF2-40B4-BE49-F238E27FC236}">
              <a16:creationId xmlns:a16="http://schemas.microsoft.com/office/drawing/2014/main" id="{6F0B2A16-BBA8-4800-8507-2ACDC13DF90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291" name="Text Box 302">
          <a:extLst>
            <a:ext uri="{FF2B5EF4-FFF2-40B4-BE49-F238E27FC236}">
              <a16:creationId xmlns:a16="http://schemas.microsoft.com/office/drawing/2014/main" id="{9F84A10A-4E14-4254-802A-125EC44BF37F}"/>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2" name="Text Box 303">
          <a:extLst>
            <a:ext uri="{FF2B5EF4-FFF2-40B4-BE49-F238E27FC236}">
              <a16:creationId xmlns:a16="http://schemas.microsoft.com/office/drawing/2014/main" id="{0369C830-D04B-4458-8619-6D4D55768140}"/>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3" name="Text Box 275">
          <a:extLst>
            <a:ext uri="{FF2B5EF4-FFF2-40B4-BE49-F238E27FC236}">
              <a16:creationId xmlns:a16="http://schemas.microsoft.com/office/drawing/2014/main" id="{4DB44380-D38E-4017-B7F0-D6E704E9A365}"/>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4" name="Text Box 276">
          <a:extLst>
            <a:ext uri="{FF2B5EF4-FFF2-40B4-BE49-F238E27FC236}">
              <a16:creationId xmlns:a16="http://schemas.microsoft.com/office/drawing/2014/main" id="{DBC87B49-50BF-46D4-9079-1CF62F11E5A3}"/>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295" name="Text Box 277">
          <a:extLst>
            <a:ext uri="{FF2B5EF4-FFF2-40B4-BE49-F238E27FC236}">
              <a16:creationId xmlns:a16="http://schemas.microsoft.com/office/drawing/2014/main" id="{FABCAD15-686D-4349-AD43-D28A7DCE97C0}"/>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6" name="Text Box 278">
          <a:extLst>
            <a:ext uri="{FF2B5EF4-FFF2-40B4-BE49-F238E27FC236}">
              <a16:creationId xmlns:a16="http://schemas.microsoft.com/office/drawing/2014/main" id="{F7CE1D1D-6E6B-49CB-A9F2-1D2F91354648}"/>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7" name="Text Box 279">
          <a:extLst>
            <a:ext uri="{FF2B5EF4-FFF2-40B4-BE49-F238E27FC236}">
              <a16:creationId xmlns:a16="http://schemas.microsoft.com/office/drawing/2014/main" id="{44AB7C39-3160-4F1A-BF02-6439CBA297D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8" name="Text Box 280">
          <a:extLst>
            <a:ext uri="{FF2B5EF4-FFF2-40B4-BE49-F238E27FC236}">
              <a16:creationId xmlns:a16="http://schemas.microsoft.com/office/drawing/2014/main" id="{A1D8852A-AFFF-40D9-9E02-57F63432E38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299" name="Text Box 281">
          <a:extLst>
            <a:ext uri="{FF2B5EF4-FFF2-40B4-BE49-F238E27FC236}">
              <a16:creationId xmlns:a16="http://schemas.microsoft.com/office/drawing/2014/main" id="{6EFBF493-B4FE-4D04-9CA6-54F2CC8100A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00" name="Text Box 282">
          <a:extLst>
            <a:ext uri="{FF2B5EF4-FFF2-40B4-BE49-F238E27FC236}">
              <a16:creationId xmlns:a16="http://schemas.microsoft.com/office/drawing/2014/main" id="{77F1FB5C-A725-4094-9237-2E9BDE06CEBD}"/>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1" name="Text Box 283">
          <a:extLst>
            <a:ext uri="{FF2B5EF4-FFF2-40B4-BE49-F238E27FC236}">
              <a16:creationId xmlns:a16="http://schemas.microsoft.com/office/drawing/2014/main" id="{0834D250-4DE5-44AC-9BF2-78F7D1B72561}"/>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2" name="Text Box 284">
          <a:extLst>
            <a:ext uri="{FF2B5EF4-FFF2-40B4-BE49-F238E27FC236}">
              <a16:creationId xmlns:a16="http://schemas.microsoft.com/office/drawing/2014/main" id="{F2751048-29C5-43D4-A659-3773AF66E6D2}"/>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3" name="Text Box 290">
          <a:extLst>
            <a:ext uri="{FF2B5EF4-FFF2-40B4-BE49-F238E27FC236}">
              <a16:creationId xmlns:a16="http://schemas.microsoft.com/office/drawing/2014/main" id="{BC74B028-0D03-40F5-A318-2F36AE6759A2}"/>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4" name="Text Box 291">
          <a:extLst>
            <a:ext uri="{FF2B5EF4-FFF2-40B4-BE49-F238E27FC236}">
              <a16:creationId xmlns:a16="http://schemas.microsoft.com/office/drawing/2014/main" id="{2F3AFF3C-207B-464C-AF6E-EB49F49B48BD}"/>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05" name="Text Box 292">
          <a:extLst>
            <a:ext uri="{FF2B5EF4-FFF2-40B4-BE49-F238E27FC236}">
              <a16:creationId xmlns:a16="http://schemas.microsoft.com/office/drawing/2014/main" id="{CC608E3C-058E-4B23-95C7-F322FB819AC8}"/>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6" name="Text Box 293">
          <a:extLst>
            <a:ext uri="{FF2B5EF4-FFF2-40B4-BE49-F238E27FC236}">
              <a16:creationId xmlns:a16="http://schemas.microsoft.com/office/drawing/2014/main" id="{90E8F913-BA3C-4E01-8DA4-E109357CBC13}"/>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7" name="Text Box 275">
          <a:extLst>
            <a:ext uri="{FF2B5EF4-FFF2-40B4-BE49-F238E27FC236}">
              <a16:creationId xmlns:a16="http://schemas.microsoft.com/office/drawing/2014/main" id="{3385D31E-0680-4E97-AA4F-F5B031BCD16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08" name="Text Box 276">
          <a:extLst>
            <a:ext uri="{FF2B5EF4-FFF2-40B4-BE49-F238E27FC236}">
              <a16:creationId xmlns:a16="http://schemas.microsoft.com/office/drawing/2014/main" id="{CA0EC183-FADD-4322-B9E0-DEDA4490A74C}"/>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09" name="Text Box 277">
          <a:extLst>
            <a:ext uri="{FF2B5EF4-FFF2-40B4-BE49-F238E27FC236}">
              <a16:creationId xmlns:a16="http://schemas.microsoft.com/office/drawing/2014/main" id="{E276D77C-C6BF-49F9-AAA0-6ABB771E2209}"/>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0" name="Text Box 278">
          <a:extLst>
            <a:ext uri="{FF2B5EF4-FFF2-40B4-BE49-F238E27FC236}">
              <a16:creationId xmlns:a16="http://schemas.microsoft.com/office/drawing/2014/main" id="{01CFBC98-0092-4C50-B513-BDD90853D94F}"/>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1" name="Text Box 279">
          <a:extLst>
            <a:ext uri="{FF2B5EF4-FFF2-40B4-BE49-F238E27FC236}">
              <a16:creationId xmlns:a16="http://schemas.microsoft.com/office/drawing/2014/main" id="{111D824C-7A61-465D-8FDB-F00A51FBE483}"/>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2" name="Text Box 280">
          <a:extLst>
            <a:ext uri="{FF2B5EF4-FFF2-40B4-BE49-F238E27FC236}">
              <a16:creationId xmlns:a16="http://schemas.microsoft.com/office/drawing/2014/main" id="{ACC6F6CD-B287-4D2C-A58A-5254DC2AB84D}"/>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3" name="Text Box 281">
          <a:extLst>
            <a:ext uri="{FF2B5EF4-FFF2-40B4-BE49-F238E27FC236}">
              <a16:creationId xmlns:a16="http://schemas.microsoft.com/office/drawing/2014/main" id="{302F5CC8-26B2-4F16-A7A7-F285829A773E}"/>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14" name="Text Box 282">
          <a:extLst>
            <a:ext uri="{FF2B5EF4-FFF2-40B4-BE49-F238E27FC236}">
              <a16:creationId xmlns:a16="http://schemas.microsoft.com/office/drawing/2014/main" id="{23ACF2F8-4898-4636-ADD7-8B42652159A5}"/>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5" name="Text Box 283">
          <a:extLst>
            <a:ext uri="{FF2B5EF4-FFF2-40B4-BE49-F238E27FC236}">
              <a16:creationId xmlns:a16="http://schemas.microsoft.com/office/drawing/2014/main" id="{635E6DE6-C8AF-4847-94D6-3DDC8373CDD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6" name="Text Box 284">
          <a:extLst>
            <a:ext uri="{FF2B5EF4-FFF2-40B4-BE49-F238E27FC236}">
              <a16:creationId xmlns:a16="http://schemas.microsoft.com/office/drawing/2014/main" id="{A9A4D6D6-23FD-4B5F-9CB1-038412AE0C2F}"/>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0</xdr:colOff>
      <xdr:row>216</xdr:row>
      <xdr:rowOff>0</xdr:rowOff>
    </xdr:to>
    <xdr:sp macro="" textlink="">
      <xdr:nvSpPr>
        <xdr:cNvPr id="317" name="Text Box 285">
          <a:extLst>
            <a:ext uri="{FF2B5EF4-FFF2-40B4-BE49-F238E27FC236}">
              <a16:creationId xmlns:a16="http://schemas.microsoft.com/office/drawing/2014/main" id="{137C9652-B8E7-4B4A-8B25-8EA7F3513B25}"/>
            </a:ext>
          </a:extLst>
        </xdr:cNvPr>
        <xdr:cNvSpPr txBox="1">
          <a:spLocks noChangeArrowheads="1"/>
        </xdr:cNvSpPr>
      </xdr:nvSpPr>
      <xdr:spPr bwMode="auto">
        <a:xfrm>
          <a:off x="5638800" y="52216050"/>
          <a:ext cx="161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18" name="Text Box 286">
          <a:extLst>
            <a:ext uri="{FF2B5EF4-FFF2-40B4-BE49-F238E27FC236}">
              <a16:creationId xmlns:a16="http://schemas.microsoft.com/office/drawing/2014/main" id="{BBD35766-54DC-43D8-8468-48A7054EB578}"/>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19" name="Text Box 287">
          <a:extLst>
            <a:ext uri="{FF2B5EF4-FFF2-40B4-BE49-F238E27FC236}">
              <a16:creationId xmlns:a16="http://schemas.microsoft.com/office/drawing/2014/main" id="{DDB10C8B-E7BE-4659-A76E-C8F231A78DD4}"/>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0" name="Text Box 288">
          <a:extLst>
            <a:ext uri="{FF2B5EF4-FFF2-40B4-BE49-F238E27FC236}">
              <a16:creationId xmlns:a16="http://schemas.microsoft.com/office/drawing/2014/main" id="{A341653D-58FD-4B38-A457-BB30F10713D4}"/>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1" name="Text Box 289">
          <a:extLst>
            <a:ext uri="{FF2B5EF4-FFF2-40B4-BE49-F238E27FC236}">
              <a16:creationId xmlns:a16="http://schemas.microsoft.com/office/drawing/2014/main" id="{C1363D12-DE61-4FD6-9D25-0BFC36FC486A}"/>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2" name="Text Box 290">
          <a:extLst>
            <a:ext uri="{FF2B5EF4-FFF2-40B4-BE49-F238E27FC236}">
              <a16:creationId xmlns:a16="http://schemas.microsoft.com/office/drawing/2014/main" id="{358B4E8B-1C45-4456-9848-FA4F48FB63B0}"/>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3" name="Text Box 291">
          <a:extLst>
            <a:ext uri="{FF2B5EF4-FFF2-40B4-BE49-F238E27FC236}">
              <a16:creationId xmlns:a16="http://schemas.microsoft.com/office/drawing/2014/main" id="{2CF1A0B0-7636-4D9A-826C-53E975ED7C9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24" name="Text Box 292">
          <a:extLst>
            <a:ext uri="{FF2B5EF4-FFF2-40B4-BE49-F238E27FC236}">
              <a16:creationId xmlns:a16="http://schemas.microsoft.com/office/drawing/2014/main" id="{D897D1F4-1CB5-420B-A07F-655031E31C5D}"/>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5" name="Text Box 293">
          <a:extLst>
            <a:ext uri="{FF2B5EF4-FFF2-40B4-BE49-F238E27FC236}">
              <a16:creationId xmlns:a16="http://schemas.microsoft.com/office/drawing/2014/main" id="{A66D9E6F-E98C-40BC-8E9D-5929457B723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6" name="Text Box 300">
          <a:extLst>
            <a:ext uri="{FF2B5EF4-FFF2-40B4-BE49-F238E27FC236}">
              <a16:creationId xmlns:a16="http://schemas.microsoft.com/office/drawing/2014/main" id="{B68442C6-5B2D-4002-871A-A9C27EFF7EEA}"/>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7" name="Text Box 301">
          <a:extLst>
            <a:ext uri="{FF2B5EF4-FFF2-40B4-BE49-F238E27FC236}">
              <a16:creationId xmlns:a16="http://schemas.microsoft.com/office/drawing/2014/main" id="{8F3B4D17-0E10-474D-82E2-1A7BE77AB74F}"/>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28" name="Text Box 302">
          <a:extLst>
            <a:ext uri="{FF2B5EF4-FFF2-40B4-BE49-F238E27FC236}">
              <a16:creationId xmlns:a16="http://schemas.microsoft.com/office/drawing/2014/main" id="{98326291-79CF-45FD-A142-7E029558D464}"/>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29" name="Text Box 303">
          <a:extLst>
            <a:ext uri="{FF2B5EF4-FFF2-40B4-BE49-F238E27FC236}">
              <a16:creationId xmlns:a16="http://schemas.microsoft.com/office/drawing/2014/main" id="{D8F4FDEF-B18D-437C-AD53-9A1CC6C7825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0" name="Text Box 275">
          <a:extLst>
            <a:ext uri="{FF2B5EF4-FFF2-40B4-BE49-F238E27FC236}">
              <a16:creationId xmlns:a16="http://schemas.microsoft.com/office/drawing/2014/main" id="{6CF3296B-7FD8-4CA6-985C-20EA9D4A571A}"/>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1" name="Text Box 276">
          <a:extLst>
            <a:ext uri="{FF2B5EF4-FFF2-40B4-BE49-F238E27FC236}">
              <a16:creationId xmlns:a16="http://schemas.microsoft.com/office/drawing/2014/main" id="{8C6452CB-2714-4D45-B835-F0F6971EDE5E}"/>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32" name="Text Box 277">
          <a:extLst>
            <a:ext uri="{FF2B5EF4-FFF2-40B4-BE49-F238E27FC236}">
              <a16:creationId xmlns:a16="http://schemas.microsoft.com/office/drawing/2014/main" id="{BF885592-3059-4900-8E52-D91DCF66084F}"/>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3" name="Text Box 278">
          <a:extLst>
            <a:ext uri="{FF2B5EF4-FFF2-40B4-BE49-F238E27FC236}">
              <a16:creationId xmlns:a16="http://schemas.microsoft.com/office/drawing/2014/main" id="{573D5953-148C-4776-8377-A92C5F3CFECA}"/>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4" name="Text Box 279">
          <a:extLst>
            <a:ext uri="{FF2B5EF4-FFF2-40B4-BE49-F238E27FC236}">
              <a16:creationId xmlns:a16="http://schemas.microsoft.com/office/drawing/2014/main" id="{D17612B5-358E-4EC7-B7C3-3B7624E636C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5" name="Text Box 280">
          <a:extLst>
            <a:ext uri="{FF2B5EF4-FFF2-40B4-BE49-F238E27FC236}">
              <a16:creationId xmlns:a16="http://schemas.microsoft.com/office/drawing/2014/main" id="{1B3185DB-C52F-4F13-9698-E89216FE7650}"/>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6" name="Text Box 281">
          <a:extLst>
            <a:ext uri="{FF2B5EF4-FFF2-40B4-BE49-F238E27FC236}">
              <a16:creationId xmlns:a16="http://schemas.microsoft.com/office/drawing/2014/main" id="{C473A1E0-BA2D-466F-88A4-C5680CF5F784}"/>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37" name="Text Box 282">
          <a:extLst>
            <a:ext uri="{FF2B5EF4-FFF2-40B4-BE49-F238E27FC236}">
              <a16:creationId xmlns:a16="http://schemas.microsoft.com/office/drawing/2014/main" id="{1BACBEA8-91F7-463C-B07A-2E7E7E519967}"/>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8" name="Text Box 283">
          <a:extLst>
            <a:ext uri="{FF2B5EF4-FFF2-40B4-BE49-F238E27FC236}">
              <a16:creationId xmlns:a16="http://schemas.microsoft.com/office/drawing/2014/main" id="{43FCB523-516F-4743-A2A5-0D31A00EFBA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39" name="Text Box 284">
          <a:extLst>
            <a:ext uri="{FF2B5EF4-FFF2-40B4-BE49-F238E27FC236}">
              <a16:creationId xmlns:a16="http://schemas.microsoft.com/office/drawing/2014/main" id="{70522C89-C24B-429E-B190-F591DBAA2967}"/>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0" name="Text Box 290">
          <a:extLst>
            <a:ext uri="{FF2B5EF4-FFF2-40B4-BE49-F238E27FC236}">
              <a16:creationId xmlns:a16="http://schemas.microsoft.com/office/drawing/2014/main" id="{2F02548A-4AA8-4F14-8A79-C36A49F13BC6}"/>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1" name="Text Box 291">
          <a:extLst>
            <a:ext uri="{FF2B5EF4-FFF2-40B4-BE49-F238E27FC236}">
              <a16:creationId xmlns:a16="http://schemas.microsoft.com/office/drawing/2014/main" id="{B7D5EC2B-6926-4085-B59E-4E793658AE1D}"/>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42" name="Text Box 292">
          <a:extLst>
            <a:ext uri="{FF2B5EF4-FFF2-40B4-BE49-F238E27FC236}">
              <a16:creationId xmlns:a16="http://schemas.microsoft.com/office/drawing/2014/main" id="{6FEF9799-0123-4414-A8AC-77A11C7862EC}"/>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3" name="Text Box 293">
          <a:extLst>
            <a:ext uri="{FF2B5EF4-FFF2-40B4-BE49-F238E27FC236}">
              <a16:creationId xmlns:a16="http://schemas.microsoft.com/office/drawing/2014/main" id="{4DA0EBAF-5068-4A50-8E61-5DDCB36A6B99}"/>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4" name="Text Box 275">
          <a:extLst>
            <a:ext uri="{FF2B5EF4-FFF2-40B4-BE49-F238E27FC236}">
              <a16:creationId xmlns:a16="http://schemas.microsoft.com/office/drawing/2014/main" id="{2FB20999-29D9-4D41-93CA-E68323C2CF7D}"/>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5" name="Text Box 276">
          <a:extLst>
            <a:ext uri="{FF2B5EF4-FFF2-40B4-BE49-F238E27FC236}">
              <a16:creationId xmlns:a16="http://schemas.microsoft.com/office/drawing/2014/main" id="{6764A206-AA03-49C7-8496-4341851CFCCE}"/>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47625</xdr:colOff>
      <xdr:row>216</xdr:row>
      <xdr:rowOff>0</xdr:rowOff>
    </xdr:from>
    <xdr:to>
      <xdr:col>45</xdr:col>
      <xdr:colOff>95250</xdr:colOff>
      <xdr:row>216</xdr:row>
      <xdr:rowOff>0</xdr:rowOff>
    </xdr:to>
    <xdr:sp macro="" textlink="">
      <xdr:nvSpPr>
        <xdr:cNvPr id="346" name="Text Box 277">
          <a:extLst>
            <a:ext uri="{FF2B5EF4-FFF2-40B4-BE49-F238E27FC236}">
              <a16:creationId xmlns:a16="http://schemas.microsoft.com/office/drawing/2014/main" id="{EB4556DE-06C3-4298-90E2-D8671A1322B8}"/>
            </a:ext>
          </a:extLst>
        </xdr:cNvPr>
        <xdr:cNvSpPr txBox="1">
          <a:spLocks noChangeArrowheads="1"/>
        </xdr:cNvSpPr>
      </xdr:nvSpPr>
      <xdr:spPr bwMode="auto">
        <a:xfrm>
          <a:off x="5667375" y="52216050"/>
          <a:ext cx="228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7" name="Text Box 278">
          <a:extLst>
            <a:ext uri="{FF2B5EF4-FFF2-40B4-BE49-F238E27FC236}">
              <a16:creationId xmlns:a16="http://schemas.microsoft.com/office/drawing/2014/main" id="{97502051-3752-45C7-8204-B2FC3F7B4345}"/>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44</xdr:col>
      <xdr:colOff>19050</xdr:colOff>
      <xdr:row>216</xdr:row>
      <xdr:rowOff>0</xdr:rowOff>
    </xdr:from>
    <xdr:to>
      <xdr:col>45</xdr:col>
      <xdr:colOff>47625</xdr:colOff>
      <xdr:row>216</xdr:row>
      <xdr:rowOff>0</xdr:rowOff>
    </xdr:to>
    <xdr:sp macro="" textlink="">
      <xdr:nvSpPr>
        <xdr:cNvPr id="348" name="Text Box 279">
          <a:extLst>
            <a:ext uri="{FF2B5EF4-FFF2-40B4-BE49-F238E27FC236}">
              <a16:creationId xmlns:a16="http://schemas.microsoft.com/office/drawing/2014/main" id="{E42BBB29-78E7-486B-8A9A-69649D5499DD}"/>
            </a:ext>
          </a:extLst>
        </xdr:cNvPr>
        <xdr:cNvSpPr txBox="1">
          <a:spLocks noChangeArrowheads="1"/>
        </xdr:cNvSpPr>
      </xdr:nvSpPr>
      <xdr:spPr bwMode="auto">
        <a:xfrm>
          <a:off x="5638800" y="52216050"/>
          <a:ext cx="20955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12</xdr:col>
      <xdr:colOff>95250</xdr:colOff>
      <xdr:row>224</xdr:row>
      <xdr:rowOff>254000</xdr:rowOff>
    </xdr:from>
    <xdr:to>
      <xdr:col>15</xdr:col>
      <xdr:colOff>100525</xdr:colOff>
      <xdr:row>226</xdr:row>
      <xdr:rowOff>33219</xdr:rowOff>
    </xdr:to>
    <xdr:sp macro="" textlink="">
      <xdr:nvSpPr>
        <xdr:cNvPr id="349" name="154 Elipse">
          <a:extLst>
            <a:ext uri="{FF2B5EF4-FFF2-40B4-BE49-F238E27FC236}">
              <a16:creationId xmlns:a16="http://schemas.microsoft.com/office/drawing/2014/main" id="{200F461D-2657-4B4F-94D5-73F567350FE9}"/>
            </a:ext>
          </a:extLst>
        </xdr:cNvPr>
        <xdr:cNvSpPr/>
      </xdr:nvSpPr>
      <xdr:spPr bwMode="auto">
        <a:xfrm>
          <a:off x="1657350" y="56318150"/>
          <a:ext cx="348175" cy="312619"/>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a:t>  4</a:t>
          </a:r>
          <a:endParaRPr lang="es-PE" sz="1100" b="1">
            <a:solidFill>
              <a:sysClr val="windowText" lastClr="000000"/>
            </a:solidFill>
          </a:endParaRPr>
        </a:p>
      </xdr:txBody>
    </xdr:sp>
    <xdr:clientData/>
  </xdr:twoCellAnchor>
  <xdr:oneCellAnchor>
    <xdr:from>
      <xdr:col>45</xdr:col>
      <xdr:colOff>95250</xdr:colOff>
      <xdr:row>277</xdr:row>
      <xdr:rowOff>0</xdr:rowOff>
    </xdr:from>
    <xdr:ext cx="195598" cy="287367"/>
    <xdr:sp macro="" textlink="">
      <xdr:nvSpPr>
        <xdr:cNvPr id="350" name="CuadroTexto 349">
          <a:extLst>
            <a:ext uri="{FF2B5EF4-FFF2-40B4-BE49-F238E27FC236}">
              <a16:creationId xmlns:a16="http://schemas.microsoft.com/office/drawing/2014/main" id="{503A4198-A88F-4FF7-B24C-B5CA4E8AC46C}"/>
            </a:ext>
          </a:extLst>
        </xdr:cNvPr>
        <xdr:cNvSpPr txBox="1"/>
      </xdr:nvSpPr>
      <xdr:spPr>
        <a:xfrm>
          <a:off x="5895975" y="69322950"/>
          <a:ext cx="195598" cy="287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oneCellAnchor>
    <xdr:from>
      <xdr:col>43</xdr:col>
      <xdr:colOff>104775</xdr:colOff>
      <xdr:row>277</xdr:row>
      <xdr:rowOff>0</xdr:rowOff>
    </xdr:from>
    <xdr:ext cx="184731" cy="264560"/>
    <xdr:sp macro="" textlink="">
      <xdr:nvSpPr>
        <xdr:cNvPr id="351" name="23 CuadroTexto">
          <a:extLst>
            <a:ext uri="{FF2B5EF4-FFF2-40B4-BE49-F238E27FC236}">
              <a16:creationId xmlns:a16="http://schemas.microsoft.com/office/drawing/2014/main" id="{92C31D11-F384-406B-8584-9C0BCF98777E}"/>
            </a:ext>
          </a:extLst>
        </xdr:cNvPr>
        <xdr:cNvSpPr txBox="1"/>
      </xdr:nvSpPr>
      <xdr:spPr>
        <a:xfrm>
          <a:off x="5553075" y="6932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a:p>
      </xdr:txBody>
    </xdr:sp>
    <xdr:clientData/>
  </xdr:oneCellAnchor>
  <xdr:twoCellAnchor>
    <xdr:from>
      <xdr:col>23</xdr:col>
      <xdr:colOff>139212</xdr:colOff>
      <xdr:row>284</xdr:row>
      <xdr:rowOff>29308</xdr:rowOff>
    </xdr:from>
    <xdr:to>
      <xdr:col>26</xdr:col>
      <xdr:colOff>7327</xdr:colOff>
      <xdr:row>285</xdr:row>
      <xdr:rowOff>80596</xdr:rowOff>
    </xdr:to>
    <xdr:sp macro="" textlink="">
      <xdr:nvSpPr>
        <xdr:cNvPr id="352" name="18 Elipse">
          <a:extLst>
            <a:ext uri="{FF2B5EF4-FFF2-40B4-BE49-F238E27FC236}">
              <a16:creationId xmlns:a16="http://schemas.microsoft.com/office/drawing/2014/main" id="{5B5961C9-6906-4201-988F-09B3B739863E}"/>
            </a:ext>
          </a:extLst>
        </xdr:cNvPr>
        <xdr:cNvSpPr/>
      </xdr:nvSpPr>
      <xdr:spPr bwMode="auto">
        <a:xfrm>
          <a:off x="2958612" y="73505158"/>
          <a:ext cx="325315" cy="317988"/>
        </a:xfrm>
        <a:prstGeom prst="ellipse">
          <a:avLst/>
        </a:prstGeom>
        <a:noFill/>
        <a:ln w="19050" cap="flat" cmpd="sng" algn="ctr">
          <a:solidFill>
            <a:schemeClr val="accent1"/>
          </a:solidFill>
          <a:prstDash val="solid"/>
          <a:round/>
          <a:headEnd type="none" w="med" len="med"/>
          <a:tailEnd type="none" w="med" len="med"/>
        </a:ln>
        <a:effectLst/>
      </xdr:spPr>
      <xdr:txBody>
        <a:bodyPr vertOverflow="clip" horzOverflow="clip" wrap="square" lIns="18288" tIns="0" rIns="0" bIns="0" rtlCol="0" anchor="t" upright="1"/>
        <a:lstStyle/>
        <a:p>
          <a:pPr algn="l"/>
          <a:r>
            <a:rPr lang="es-PE" sz="1100" b="1"/>
            <a:t>  3</a:t>
          </a:r>
          <a:endParaRPr lang="es-PE" sz="1100" b="1">
            <a:solidFill>
              <a:sysClr val="windowText" lastClr="000000"/>
            </a:solidFill>
          </a:endParaRPr>
        </a:p>
      </xdr:txBody>
    </xdr:sp>
    <xdr:clientData/>
  </xdr:twoCellAnchor>
  <xdr:twoCellAnchor editAs="oneCell">
    <xdr:from>
      <xdr:col>28</xdr:col>
      <xdr:colOff>9525</xdr:colOff>
      <xdr:row>314</xdr:row>
      <xdr:rowOff>85725</xdr:rowOff>
    </xdr:from>
    <xdr:to>
      <xdr:col>42</xdr:col>
      <xdr:colOff>104775</xdr:colOff>
      <xdr:row>316</xdr:row>
      <xdr:rowOff>600074</xdr:rowOff>
    </xdr:to>
    <xdr:pic>
      <xdr:nvPicPr>
        <xdr:cNvPr id="353" name="30 Imagen">
          <a:extLst>
            <a:ext uri="{FF2B5EF4-FFF2-40B4-BE49-F238E27FC236}">
              <a16:creationId xmlns:a16="http://schemas.microsoft.com/office/drawing/2014/main" id="{0DC2AC3C-1B04-44D7-90FE-B9E760F275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t="7574" b="7021"/>
        <a:stretch>
          <a:fillRect/>
        </a:stretch>
      </xdr:blipFill>
      <xdr:spPr bwMode="auto">
        <a:xfrm>
          <a:off x="3562350" y="80448150"/>
          <a:ext cx="1876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76200</xdr:colOff>
      <xdr:row>126</xdr:row>
      <xdr:rowOff>9525</xdr:rowOff>
    </xdr:from>
    <xdr:to>
      <xdr:col>18</xdr:col>
      <xdr:colOff>114300</xdr:colOff>
      <xdr:row>128</xdr:row>
      <xdr:rowOff>152400</xdr:rowOff>
    </xdr:to>
    <xdr:sp macro="" textlink="">
      <xdr:nvSpPr>
        <xdr:cNvPr id="354" name="Oval 121">
          <a:extLst>
            <a:ext uri="{FF2B5EF4-FFF2-40B4-BE49-F238E27FC236}">
              <a16:creationId xmlns:a16="http://schemas.microsoft.com/office/drawing/2014/main" id="{984C385F-1327-4E14-B2FD-21E15D7726E5}"/>
            </a:ext>
          </a:extLst>
        </xdr:cNvPr>
        <xdr:cNvSpPr>
          <a:spLocks noChangeArrowheads="1"/>
        </xdr:cNvSpPr>
      </xdr:nvSpPr>
      <xdr:spPr bwMode="auto">
        <a:xfrm>
          <a:off x="1752600" y="28584525"/>
          <a:ext cx="609600" cy="561975"/>
        </a:xfrm>
        <a:prstGeom prst="ellipse">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48</xdr:col>
      <xdr:colOff>9525</xdr:colOff>
      <xdr:row>9</xdr:row>
      <xdr:rowOff>28575</xdr:rowOff>
    </xdr:to>
    <xdr:pic>
      <xdr:nvPicPr>
        <xdr:cNvPr id="355" name="Imagen 1">
          <a:extLst>
            <a:ext uri="{FF2B5EF4-FFF2-40B4-BE49-F238E27FC236}">
              <a16:creationId xmlns:a16="http://schemas.microsoft.com/office/drawing/2014/main" id="{9EA54D77-FD6B-4C43-8592-762A12C83DA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0"/>
          <a:ext cx="615315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76200</xdr:colOff>
      <xdr:row>67</xdr:row>
      <xdr:rowOff>0</xdr:rowOff>
    </xdr:from>
    <xdr:to>
      <xdr:col>43</xdr:col>
      <xdr:colOff>152400</xdr:colOff>
      <xdr:row>67</xdr:row>
      <xdr:rowOff>0</xdr:rowOff>
    </xdr:to>
    <xdr:sp macro="" textlink="">
      <xdr:nvSpPr>
        <xdr:cNvPr id="2" name="Line 2">
          <a:extLst>
            <a:ext uri="{FF2B5EF4-FFF2-40B4-BE49-F238E27FC236}">
              <a16:creationId xmlns:a16="http://schemas.microsoft.com/office/drawing/2014/main" id="{C94D4B05-A3AB-4D40-A09B-5A007744C053}"/>
            </a:ext>
          </a:extLst>
        </xdr:cNvPr>
        <xdr:cNvSpPr>
          <a:spLocks noChangeShapeType="1"/>
        </xdr:cNvSpPr>
      </xdr:nvSpPr>
      <xdr:spPr bwMode="auto">
        <a:xfrm>
          <a:off x="8391525" y="8982075"/>
          <a:ext cx="36195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28575</xdr:colOff>
      <xdr:row>23</xdr:row>
      <xdr:rowOff>28575</xdr:rowOff>
    </xdr:from>
    <xdr:to>
      <xdr:col>7</xdr:col>
      <xdr:colOff>152400</xdr:colOff>
      <xdr:row>23</xdr:row>
      <xdr:rowOff>142875</xdr:rowOff>
    </xdr:to>
    <xdr:sp macro="" textlink="">
      <xdr:nvSpPr>
        <xdr:cNvPr id="3" name="Rectangle 3">
          <a:extLst>
            <a:ext uri="{FF2B5EF4-FFF2-40B4-BE49-F238E27FC236}">
              <a16:creationId xmlns:a16="http://schemas.microsoft.com/office/drawing/2014/main" id="{9F5EE189-3F3A-41A9-9581-B234BC77CBB0}"/>
            </a:ext>
          </a:extLst>
        </xdr:cNvPr>
        <xdr:cNvSpPr>
          <a:spLocks noChangeArrowheads="1"/>
        </xdr:cNvSpPr>
      </xdr:nvSpPr>
      <xdr:spPr bwMode="auto">
        <a:xfrm>
          <a:off x="1666875" y="3390900"/>
          <a:ext cx="123825" cy="114300"/>
        </a:xfrm>
        <a:prstGeom prst="rect">
          <a:avLst/>
        </a:prstGeom>
        <a:solidFill>
          <a:srgbClr val="FFFFFF"/>
        </a:solidFill>
        <a:ln w="9525">
          <a:solidFill>
            <a:srgbClr val="000000"/>
          </a:solidFill>
          <a:miter lim="800000"/>
          <a:headEnd/>
          <a:tailEnd/>
        </a:ln>
      </xdr:spPr>
    </xdr:sp>
    <xdr:clientData/>
  </xdr:twoCellAnchor>
  <xdr:twoCellAnchor>
    <xdr:from>
      <xdr:col>9</xdr:col>
      <xdr:colOff>38100</xdr:colOff>
      <xdr:row>23</xdr:row>
      <xdr:rowOff>28575</xdr:rowOff>
    </xdr:from>
    <xdr:to>
      <xdr:col>9</xdr:col>
      <xdr:colOff>161925</xdr:colOff>
      <xdr:row>23</xdr:row>
      <xdr:rowOff>142875</xdr:rowOff>
    </xdr:to>
    <xdr:sp macro="" textlink="">
      <xdr:nvSpPr>
        <xdr:cNvPr id="4" name="Rectangle 4">
          <a:extLst>
            <a:ext uri="{FF2B5EF4-FFF2-40B4-BE49-F238E27FC236}">
              <a16:creationId xmlns:a16="http://schemas.microsoft.com/office/drawing/2014/main" id="{EEEB695B-1E28-48A4-9DFB-F7AFB822DF38}"/>
            </a:ext>
          </a:extLst>
        </xdr:cNvPr>
        <xdr:cNvSpPr>
          <a:spLocks noChangeArrowheads="1"/>
        </xdr:cNvSpPr>
      </xdr:nvSpPr>
      <xdr:spPr bwMode="auto">
        <a:xfrm>
          <a:off x="2095500" y="3390900"/>
          <a:ext cx="123825"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76200</xdr:colOff>
      <xdr:row>23</xdr:row>
      <xdr:rowOff>38100</xdr:rowOff>
    </xdr:from>
    <xdr:to>
      <xdr:col>11</xdr:col>
      <xdr:colOff>209550</xdr:colOff>
      <xdr:row>23</xdr:row>
      <xdr:rowOff>152400</xdr:rowOff>
    </xdr:to>
    <xdr:sp macro="" textlink="">
      <xdr:nvSpPr>
        <xdr:cNvPr id="5" name="Rectangle 5">
          <a:extLst>
            <a:ext uri="{FF2B5EF4-FFF2-40B4-BE49-F238E27FC236}">
              <a16:creationId xmlns:a16="http://schemas.microsoft.com/office/drawing/2014/main" id="{C034B209-C929-4184-AB73-A8A5CFAE233D}"/>
            </a:ext>
          </a:extLst>
        </xdr:cNvPr>
        <xdr:cNvSpPr>
          <a:spLocks noChangeArrowheads="1"/>
        </xdr:cNvSpPr>
      </xdr:nvSpPr>
      <xdr:spPr bwMode="auto">
        <a:xfrm>
          <a:off x="2409825" y="3400425"/>
          <a:ext cx="133350"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38100</xdr:colOff>
      <xdr:row>23</xdr:row>
      <xdr:rowOff>28575</xdr:rowOff>
    </xdr:from>
    <xdr:to>
      <xdr:col>13</xdr:col>
      <xdr:colOff>161925</xdr:colOff>
      <xdr:row>23</xdr:row>
      <xdr:rowOff>142875</xdr:rowOff>
    </xdr:to>
    <xdr:sp macro="" textlink="">
      <xdr:nvSpPr>
        <xdr:cNvPr id="6" name="Rectangle 6">
          <a:extLst>
            <a:ext uri="{FF2B5EF4-FFF2-40B4-BE49-F238E27FC236}">
              <a16:creationId xmlns:a16="http://schemas.microsoft.com/office/drawing/2014/main" id="{39A5F672-AB0A-404F-9D15-E9BF2467B080}"/>
            </a:ext>
          </a:extLst>
        </xdr:cNvPr>
        <xdr:cNvSpPr>
          <a:spLocks noChangeArrowheads="1"/>
        </xdr:cNvSpPr>
      </xdr:nvSpPr>
      <xdr:spPr bwMode="auto">
        <a:xfrm>
          <a:off x="2819400" y="3390900"/>
          <a:ext cx="123825" cy="1143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38100</xdr:colOff>
      <xdr:row>23</xdr:row>
      <xdr:rowOff>28575</xdr:rowOff>
    </xdr:from>
    <xdr:to>
      <xdr:col>15</xdr:col>
      <xdr:colOff>161925</xdr:colOff>
      <xdr:row>23</xdr:row>
      <xdr:rowOff>142875</xdr:rowOff>
    </xdr:to>
    <xdr:sp macro="" textlink="">
      <xdr:nvSpPr>
        <xdr:cNvPr id="7" name="Rectangle 7">
          <a:extLst>
            <a:ext uri="{FF2B5EF4-FFF2-40B4-BE49-F238E27FC236}">
              <a16:creationId xmlns:a16="http://schemas.microsoft.com/office/drawing/2014/main" id="{FD46125B-ACDE-4BB6-8823-01B280442F56}"/>
            </a:ext>
          </a:extLst>
        </xdr:cNvPr>
        <xdr:cNvSpPr>
          <a:spLocks noChangeArrowheads="1"/>
        </xdr:cNvSpPr>
      </xdr:nvSpPr>
      <xdr:spPr bwMode="auto">
        <a:xfrm>
          <a:off x="3228975" y="3390900"/>
          <a:ext cx="123825" cy="114300"/>
        </a:xfrm>
        <a:prstGeom prst="rect">
          <a:avLst/>
        </a:prstGeom>
        <a:solidFill>
          <a:srgbClr val="FFFFFF"/>
        </a:solidFill>
        <a:ln w="9525">
          <a:solidFill>
            <a:srgbClr val="000000"/>
          </a:solidFill>
          <a:miter lim="800000"/>
          <a:headEnd/>
          <a:tailEnd/>
        </a:ln>
      </xdr:spPr>
    </xdr:sp>
    <xdr:clientData/>
  </xdr:twoCellAnchor>
  <xdr:twoCellAnchor editAs="oneCell">
    <xdr:from>
      <xdr:col>29</xdr:col>
      <xdr:colOff>57150</xdr:colOff>
      <xdr:row>114</xdr:row>
      <xdr:rowOff>57150</xdr:rowOff>
    </xdr:from>
    <xdr:to>
      <xdr:col>37</xdr:col>
      <xdr:colOff>104775</xdr:colOff>
      <xdr:row>120</xdr:row>
      <xdr:rowOff>47625</xdr:rowOff>
    </xdr:to>
    <xdr:pic>
      <xdr:nvPicPr>
        <xdr:cNvPr id="8" name="8 Imagen">
          <a:extLst>
            <a:ext uri="{FF2B5EF4-FFF2-40B4-BE49-F238E27FC236}">
              <a16:creationId xmlns:a16="http://schemas.microsoft.com/office/drawing/2014/main" id="{F4FA2AE3-86AC-434C-80BD-ABE7831D1B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7574" b="7021"/>
        <a:stretch>
          <a:fillRect/>
        </a:stretch>
      </xdr:blipFill>
      <xdr:spPr bwMode="auto">
        <a:xfrm>
          <a:off x="6067425" y="21107400"/>
          <a:ext cx="140970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247650</xdr:colOff>
      <xdr:row>11</xdr:row>
      <xdr:rowOff>133350</xdr:rowOff>
    </xdr:from>
    <xdr:to>
      <xdr:col>42</xdr:col>
      <xdr:colOff>38100</xdr:colOff>
      <xdr:row>15</xdr:row>
      <xdr:rowOff>95250</xdr:rowOff>
    </xdr:to>
    <xdr:pic>
      <xdr:nvPicPr>
        <xdr:cNvPr id="9" name="15 Imagen">
          <a:extLst>
            <a:ext uri="{FF2B5EF4-FFF2-40B4-BE49-F238E27FC236}">
              <a16:creationId xmlns:a16="http://schemas.microsoft.com/office/drawing/2014/main" id="{1D186129-A1F1-4F75-A011-EF8CF946DB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43775" y="1914525"/>
          <a:ext cx="116205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44</xdr:col>
      <xdr:colOff>9525</xdr:colOff>
      <xdr:row>12</xdr:row>
      <xdr:rowOff>66675</xdr:rowOff>
    </xdr:to>
    <xdr:pic>
      <xdr:nvPicPr>
        <xdr:cNvPr id="10" name="Imagen 1">
          <a:extLst>
            <a:ext uri="{FF2B5EF4-FFF2-40B4-BE49-F238E27FC236}">
              <a16:creationId xmlns:a16="http://schemas.microsoft.com/office/drawing/2014/main" id="{BC88555F-ABDF-419A-965C-5069CD996E7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0"/>
          <a:ext cx="8820150" cy="200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333375</xdr:colOff>
      <xdr:row>1</xdr:row>
      <xdr:rowOff>0</xdr:rowOff>
    </xdr:to>
    <xdr:pic>
      <xdr:nvPicPr>
        <xdr:cNvPr id="2" name="1 Imagen">
          <a:extLst>
            <a:ext uri="{FF2B5EF4-FFF2-40B4-BE49-F238E27FC236}">
              <a16:creationId xmlns:a16="http://schemas.microsoft.com/office/drawing/2014/main" id="{CE1AF988-D3F0-46FD-A633-321018216C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0669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180975</xdr:colOff>
      <xdr:row>0</xdr:row>
      <xdr:rowOff>0</xdr:rowOff>
    </xdr:from>
    <xdr:to>
      <xdr:col>19</xdr:col>
      <xdr:colOff>447675</xdr:colOff>
      <xdr:row>1</xdr:row>
      <xdr:rowOff>0</xdr:rowOff>
    </xdr:to>
    <xdr:pic>
      <xdr:nvPicPr>
        <xdr:cNvPr id="3" name="1 Imagen">
          <a:extLst>
            <a:ext uri="{FF2B5EF4-FFF2-40B4-BE49-F238E27FC236}">
              <a16:creationId xmlns:a16="http://schemas.microsoft.com/office/drawing/2014/main" id="{960D48CF-F7BF-4E49-820A-168ECCB536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29400" y="0"/>
          <a:ext cx="20574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190500</xdr:colOff>
      <xdr:row>0</xdr:row>
      <xdr:rowOff>542925</xdr:rowOff>
    </xdr:to>
    <xdr:pic>
      <xdr:nvPicPr>
        <xdr:cNvPr id="2" name="1 Imagen">
          <a:extLst>
            <a:ext uri="{FF2B5EF4-FFF2-40B4-BE49-F238E27FC236}">
              <a16:creationId xmlns:a16="http://schemas.microsoft.com/office/drawing/2014/main" id="{DDE9BF4D-E9BD-4BE2-9B91-E5A03CFBFC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66675"/>
          <a:ext cx="22669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66675</xdr:colOff>
      <xdr:row>0</xdr:row>
      <xdr:rowOff>0</xdr:rowOff>
    </xdr:from>
    <xdr:to>
      <xdr:col>19</xdr:col>
      <xdr:colOff>419100</xdr:colOff>
      <xdr:row>0</xdr:row>
      <xdr:rowOff>476250</xdr:rowOff>
    </xdr:to>
    <xdr:pic>
      <xdr:nvPicPr>
        <xdr:cNvPr id="3" name="2 Imagen">
          <a:extLst>
            <a:ext uri="{FF2B5EF4-FFF2-40B4-BE49-F238E27FC236}">
              <a16:creationId xmlns:a16="http://schemas.microsoft.com/office/drawing/2014/main" id="{02FDE121-EEF4-4EFD-A7FB-E38E22C559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0" y="0"/>
          <a:ext cx="22669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BVANET%202019\CORRELATIVOS%202019\FORMATO%20DE%20INFORMES%202019\FORMATO%20BANBIF-NUEVO%20ACTUALIZADO-CASA%20O%20TERRENO.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52\e\Users\Silvia%20Paz\Documents\CARLOS%20ENVIOS\16Jul20\EXCEL\1957-20-INTERBANK-TORRES%20AREVALO%20KARINA%20DEL%20PILAR-EB-JV.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Pc/Downloads/Users/Pc/Downloads/FORMATOS%20DE%20INFORMES/FORMATO-%20INTERABANK-%20(Casa)%20-%20Mivvda.-%20Erika%20B.%20-%20Gioconda.xls" TargetMode="External"/><Relationship Id="rId1" Type="http://schemas.openxmlformats.org/officeDocument/2006/relationships/externalLinkPath" Target="/Users/Pc/Downloads/Users/Pc/Downloads/FORMATOS%20DE%20INFORMES/FORMATO-%20INTERABANK-%20(Casa)%20-%20Mivvda.-%20Erika%20B.%20-%20Gioconda.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LISETH%20RAMIREZ/AppData/Roaming/Microsoft/AddIns/Funcion-numeros-a-letra%20(1).xlam" TargetMode="External"/><Relationship Id="rId2" Type="http://schemas.openxmlformats.org/officeDocument/2006/relationships/externalLinkPath" Target="file:///C:\Users\LISETH%20RAMIREZ\AppData\Roaming\Microsoft\AddIns\Funcion-numeros-a-letra%20(1).xlam" TargetMode="External"/><Relationship Id="rId1" Type="http://schemas.openxmlformats.org/officeDocument/2006/relationships/externalLinkPath" Target="/Users/LISETH%20RAMIREZ/AppData/Roaming/Microsoft/AddIns/Funcion-numeros-a-letra%20(1).xla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52\e\Mis%20documentos\Mis%20archivos%20recibidos\Plantilla%20del%20Postulante.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Mis%20documentos/Mis%20archivos%20recibidos/Plantilla%20del%20Postulante.xlsm" TargetMode="External"/><Relationship Id="rId1" Type="http://schemas.openxmlformats.org/officeDocument/2006/relationships/externalLinkPath" Target="/Mis%20documentos/Mis%20archivos%20recibidos/Plantilla%20del%20Postulant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tada"/>
      <sheetName val="HR-1"/>
      <sheetName val="MD Datos"/>
      <sheetName val="MD Áreas"/>
      <sheetName val="AM Terrenos"/>
      <sheetName val="AM Costos"/>
      <sheetName val="TABLA DEPRECIACION"/>
      <sheetName val="AM Mercado"/>
      <sheetName val="CAPITULO II - MC MER (2)"/>
      <sheetName val="CAPITULO II - MC MER (3)"/>
      <sheetName val="RESUL VC"/>
      <sheetName val="ANEXO I"/>
      <sheetName val="ANEXO II"/>
      <sheetName val="FOTOS I"/>
      <sheetName val="FOTOS II"/>
      <sheetName val="PE"/>
      <sheetName val="PE (2)"/>
      <sheetName val="PE (3)"/>
      <sheetName val="PE (4)"/>
      <sheetName val="PE (5)"/>
      <sheetName val="PE (6)"/>
      <sheetName val="PE (7)"/>
      <sheetName val="PE (8)"/>
      <sheetName val="PE (9)"/>
      <sheetName val="PE (10)"/>
      <sheetName val="PE (11)"/>
      <sheetName val="PE (12)"/>
      <sheetName val="PU"/>
      <sheetName val="PU (2)"/>
      <sheetName val="PU (3)"/>
      <sheetName val="PU (4)"/>
      <sheetName val="Otros"/>
      <sheetName val="Otros (2)"/>
      <sheetName val="Otros (3)"/>
      <sheetName val="Otros (4)"/>
      <sheetName val="Otros (5)"/>
      <sheetName val="Otros (6)"/>
      <sheetName val="Otros (7)"/>
      <sheetName val="Otros (8)"/>
      <sheetName val="Otros (9)"/>
      <sheetName val="Otros (10)"/>
      <sheetName val="Listas"/>
      <sheetName val="2014"/>
    </sheetNames>
    <sheetDataSet>
      <sheetData sheetId="0"/>
      <sheetData sheetId="1"/>
      <sheetData sheetId="2">
        <row r="14">
          <cell r="Z14">
            <v>43783</v>
          </cell>
        </row>
        <row r="49">
          <cell r="J49"/>
        </row>
        <row r="51">
          <cell r="J51"/>
        </row>
        <row r="53">
          <cell r="J53"/>
        </row>
      </sheetData>
      <sheetData sheetId="3">
        <row r="33">
          <cell r="S33">
            <v>0</v>
          </cell>
        </row>
        <row r="43">
          <cell r="K43">
            <v>0</v>
          </cell>
        </row>
      </sheetData>
      <sheetData sheetId="4"/>
      <sheetData sheetId="5">
        <row r="28">
          <cell r="X28">
            <v>0</v>
          </cell>
        </row>
      </sheetData>
      <sheetData sheetId="6"/>
      <sheetData sheetId="7"/>
      <sheetData sheetId="8"/>
      <sheetData sheetId="9"/>
      <sheetData sheetId="10">
        <row r="45">
          <cell r="X45">
            <v>0</v>
          </cell>
        </row>
        <row r="59">
          <cell r="R59">
            <v>0.2</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1">
          <cell r="A1" t="str">
            <v>LISTAS</v>
          </cell>
          <cell r="C1"/>
        </row>
        <row r="2">
          <cell r="A2" t="str">
            <v>TIPO DE PRODUCTO BBVA (1)</v>
          </cell>
          <cell r="C2" t="str">
            <v>TIPO DE TASACIÓN</v>
          </cell>
        </row>
        <row r="3">
          <cell r="A3" t="str">
            <v>CONTICASA</v>
          </cell>
          <cell r="C3" t="str">
            <v>Comercial</v>
          </cell>
        </row>
        <row r="4">
          <cell r="A4" t="str">
            <v>COMERCIAL</v>
          </cell>
          <cell r="C4" t="str">
            <v>Hipotecaria</v>
          </cell>
        </row>
        <row r="5">
          <cell r="A5" t="str">
            <v>JUDICIAL</v>
          </cell>
          <cell r="C5"/>
        </row>
        <row r="6">
          <cell r="A6" t="str">
            <v>SOLARIZACIÓN</v>
          </cell>
        </row>
        <row r="7">
          <cell r="A7" t="str">
            <v>SUBROGADA</v>
          </cell>
        </row>
        <row r="8">
          <cell r="A8" t="str">
            <v>CONTIPUENTE BBVA</v>
          </cell>
        </row>
        <row r="9">
          <cell r="A9" t="str">
            <v>CONTIPUENTE BBVA - MI VIVIENDA</v>
          </cell>
        </row>
        <row r="10">
          <cell r="A10" t="str">
            <v>CONTIPUENTE BBVA - TECHO PROPIO</v>
          </cell>
        </row>
        <row r="11">
          <cell r="A11" t="str">
            <v xml:space="preserve">CONTIPUENTE OTRO BANCO </v>
          </cell>
        </row>
        <row r="12">
          <cell r="A12" t="str">
            <v>CONTIPUENTE OTRO BANCO - MI VIVIENDA</v>
          </cell>
        </row>
        <row r="13">
          <cell r="A13" t="str">
            <v>CONTIPUENTE OTRO BANCO - TECHO PROPIO</v>
          </cell>
        </row>
        <row r="14">
          <cell r="A14" t="str">
            <v>BIEN TERMINADO</v>
          </cell>
        </row>
        <row r="15">
          <cell r="A15" t="str">
            <v>BIEN FUTURO</v>
          </cell>
        </row>
        <row r="16">
          <cell r="A16" t="str">
            <v>LEASING</v>
          </cell>
        </row>
        <row r="17">
          <cell r="A17" t="str">
            <v>CASAGUAPA</v>
          </cell>
        </row>
        <row r="18">
          <cell r="A18" t="str">
            <v>CONTILOCAL</v>
          </cell>
        </row>
      </sheetData>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
      <sheetName val="HR Informe de Perito"/>
      <sheetName val="MEMORIA"/>
      <sheetName val="C2"/>
      <sheetName val="FOTOS"/>
    </sheetNames>
    <sheetDataSet>
      <sheetData sheetId="0"/>
      <sheetData sheetId="1" refreshError="1">
        <row r="6">
          <cell r="U6" t="str">
            <v>(escoga una)</v>
          </cell>
        </row>
        <row r="7">
          <cell r="U7" t="str">
            <v>AMAZONAS</v>
          </cell>
        </row>
        <row r="8">
          <cell r="U8" t="str">
            <v>ANCASH</v>
          </cell>
        </row>
        <row r="9">
          <cell r="U9" t="str">
            <v>APURIMAC</v>
          </cell>
        </row>
        <row r="10">
          <cell r="U10" t="str">
            <v>AREQUIPA</v>
          </cell>
        </row>
        <row r="11">
          <cell r="U11" t="str">
            <v>AYACUCHO</v>
          </cell>
        </row>
        <row r="12">
          <cell r="U12" t="str">
            <v>CAJAMARCA</v>
          </cell>
        </row>
        <row r="13">
          <cell r="U13" t="str">
            <v>CUSCO</v>
          </cell>
        </row>
        <row r="14">
          <cell r="U14" t="str">
            <v>HUANCAVELICA</v>
          </cell>
        </row>
        <row r="15">
          <cell r="U15" t="str">
            <v>HUANUCO</v>
          </cell>
        </row>
        <row r="16">
          <cell r="U16" t="str">
            <v>ICA</v>
          </cell>
        </row>
        <row r="17">
          <cell r="U17" t="str">
            <v>JUNIN</v>
          </cell>
        </row>
        <row r="18">
          <cell r="U18" t="str">
            <v>LA_LIBERTAD</v>
          </cell>
        </row>
        <row r="19">
          <cell r="U19" t="str">
            <v>LAMBAYEQUE</v>
          </cell>
        </row>
        <row r="20">
          <cell r="U20" t="str">
            <v>LIMA</v>
          </cell>
        </row>
        <row r="21">
          <cell r="U21" t="str">
            <v>LORETO</v>
          </cell>
        </row>
        <row r="22">
          <cell r="U22" t="str">
            <v>MADRE_DE_DIOS</v>
          </cell>
        </row>
        <row r="23">
          <cell r="U23" t="str">
            <v>MOQUEGUA</v>
          </cell>
        </row>
        <row r="24">
          <cell r="U24" t="str">
            <v>PASCO</v>
          </cell>
        </row>
        <row r="25">
          <cell r="U25" t="str">
            <v>PIURA</v>
          </cell>
        </row>
        <row r="26">
          <cell r="U26" t="str">
            <v>PUNO</v>
          </cell>
        </row>
        <row r="27">
          <cell r="U27" t="str">
            <v>SAN_MARTIN</v>
          </cell>
        </row>
        <row r="28">
          <cell r="U28" t="str">
            <v>TACNA</v>
          </cell>
        </row>
        <row r="29">
          <cell r="U29" t="str">
            <v>TUMBES</v>
          </cell>
        </row>
        <row r="30">
          <cell r="U30" t="str">
            <v>UCAYALI</v>
          </cell>
        </row>
        <row r="31">
          <cell r="U31" t="str">
            <v>CALLAO</v>
          </cell>
        </row>
      </sheetData>
      <sheetData sheetId="2" refreshError="1"/>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R Informe de Perito"/>
      <sheetName val="MEMORIA"/>
      <sheetName val="F4"/>
      <sheetName val="FOTOS"/>
    </sheetNames>
    <sheetDataSet>
      <sheetData sheetId="0">
        <row r="6">
          <cell r="O6" t="str">
            <v>(escoga una)</v>
          </cell>
        </row>
        <row r="7">
          <cell r="O7" t="str">
            <v>Vivienda Urbana</v>
          </cell>
        </row>
        <row r="8">
          <cell r="O8" t="str">
            <v>Local Comercial</v>
          </cell>
        </row>
        <row r="9">
          <cell r="O9" t="str">
            <v>Edificio</v>
          </cell>
        </row>
        <row r="10">
          <cell r="O10" t="str">
            <v>Terreno</v>
          </cell>
        </row>
        <row r="11">
          <cell r="O11" t="str">
            <v>Terreno para proyectos</v>
          </cell>
        </row>
        <row r="12">
          <cell r="O12" t="str">
            <v>Prenda Vehicular</v>
          </cell>
        </row>
        <row r="13">
          <cell r="O13" t="str">
            <v>Maquinaria o Equipos</v>
          </cell>
        </row>
        <row r="14">
          <cell r="O14" t="str">
            <v>Predio Agricola</v>
          </cell>
        </row>
        <row r="15">
          <cell r="O15" t="str">
            <v>Unidad de Producción</v>
          </cell>
        </row>
        <row r="16">
          <cell r="O16" t="str">
            <v>Embarcación</v>
          </cell>
        </row>
        <row r="17">
          <cell r="O17" t="str">
            <v>Otros</v>
          </cell>
        </row>
      </sheetData>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1"/>
      <sheetName val="Funcion-numeros-a-letra (1)"/>
    </sheetNames>
    <definedNames>
      <definedName name="NUMELETRAS"/>
    </defined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licitud"/>
      <sheetName val="Hoja1"/>
      <sheetName val="Evaluación"/>
      <sheetName val="Departamento"/>
      <sheetName val="Glosario"/>
      <sheetName val="Plantilla del Postulante"/>
    </sheetNames>
    <definedNames>
      <definedName name="evaluación"/>
    </definedNames>
    <sheetDataSet>
      <sheetData sheetId="0"/>
      <sheetData sheetId="1"/>
      <sheetData sheetId="2"/>
      <sheetData sheetId="3"/>
      <sheetData sheetId="4"/>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licitud"/>
      <sheetName val="Hoja1"/>
      <sheetName val="Evaluación"/>
      <sheetName val="Departamento"/>
      <sheetName val="Glosario"/>
      <sheetName val="Plantilla del Postulante"/>
    </sheetNames>
    <definedNames>
      <definedName name="evaluación"/>
    </defined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G50"/>
  <sheetViews>
    <sheetView showGridLines="0" topLeftCell="A37" workbookViewId="0">
      <selection activeCell="C60" sqref="C60"/>
    </sheetView>
  </sheetViews>
  <sheetFormatPr baseColWidth="10" defaultColWidth="11.42578125" defaultRowHeight="15"/>
  <cols>
    <col min="1" max="1" width="23" customWidth="1"/>
    <col min="2" max="2" width="19.28515625" customWidth="1"/>
    <col min="3" max="3" width="21.85546875" customWidth="1"/>
    <col min="4" max="4" width="25.140625" customWidth="1"/>
    <col min="5" max="5" width="19.140625" customWidth="1"/>
    <col min="6" max="6" width="4.5703125" customWidth="1"/>
    <col min="7" max="7" width="39.28515625" bestFit="1" customWidth="1"/>
    <col min="9" max="9" width="4.140625" customWidth="1"/>
    <col min="10" max="10" width="34" customWidth="1"/>
  </cols>
  <sheetData>
    <row r="1" spans="1:7" ht="15.75">
      <c r="A1" s="816" t="s">
        <v>502</v>
      </c>
      <c r="B1" s="816"/>
      <c r="C1" s="816"/>
      <c r="D1" s="816"/>
      <c r="E1" s="816"/>
    </row>
    <row r="5" spans="1:7">
      <c r="A5" s="2" t="s">
        <v>56</v>
      </c>
      <c r="B5" s="2" t="s">
        <v>57</v>
      </c>
      <c r="C5" s="2"/>
      <c r="D5" s="2" t="s">
        <v>58</v>
      </c>
    </row>
    <row r="6" spans="1:7" ht="45" customHeight="1">
      <c r="A6" s="278" t="str">
        <f>+MEMORIA!A40</f>
        <v xml:space="preserve">Departamento N° </v>
      </c>
      <c r="B6" s="808">
        <f>+MEMORIA!P16</f>
        <v>0</v>
      </c>
      <c r="C6" s="809"/>
      <c r="D6" s="5"/>
    </row>
    <row r="7" spans="1:7" ht="34.5" customHeight="1">
      <c r="A7" s="278" t="str">
        <f>+MEMORIA!A41</f>
        <v xml:space="preserve">Estacionamiento N° </v>
      </c>
      <c r="B7" s="808"/>
      <c r="C7" s="809"/>
      <c r="D7" s="5"/>
      <c r="F7" s="3"/>
      <c r="G7" s="3"/>
    </row>
    <row r="8" spans="1:7" ht="24.75" customHeight="1">
      <c r="A8" s="278" t="str">
        <f>+MEMORIA!A42</f>
        <v xml:space="preserve">Depósito N° </v>
      </c>
      <c r="B8" s="808"/>
      <c r="C8" s="809"/>
      <c r="D8" s="5"/>
      <c r="F8" s="4"/>
      <c r="G8" s="4"/>
    </row>
    <row r="9" spans="1:7" ht="27" customHeight="1">
      <c r="A9" s="274"/>
      <c r="B9" s="808"/>
      <c r="C9" s="809"/>
      <c r="D9" s="5"/>
      <c r="F9" s="3"/>
      <c r="G9" s="3"/>
    </row>
    <row r="10" spans="1:7" ht="28.5" customHeight="1">
      <c r="A10" s="274"/>
      <c r="B10" s="808"/>
      <c r="C10" s="809"/>
      <c r="D10" s="5"/>
      <c r="F10" s="3"/>
      <c r="G10" s="3"/>
    </row>
    <row r="11" spans="1:7" ht="28.5" customHeight="1">
      <c r="A11" s="274"/>
      <c r="B11" s="808"/>
      <c r="C11" s="809"/>
      <c r="D11" s="5"/>
      <c r="F11" s="3"/>
      <c r="G11" s="3"/>
    </row>
    <row r="12" spans="1:7" ht="15.75" customHeight="1">
      <c r="A12" s="275"/>
      <c r="B12" s="276"/>
      <c r="C12" s="276"/>
      <c r="D12" s="277"/>
    </row>
    <row r="13" spans="1:7">
      <c r="A13" s="819" t="s">
        <v>55</v>
      </c>
      <c r="B13" s="819"/>
      <c r="C13" s="819"/>
      <c r="D13" s="819"/>
      <c r="E13" s="819"/>
    </row>
    <row r="14" spans="1:7">
      <c r="B14" s="3"/>
      <c r="C14" s="3"/>
    </row>
    <row r="15" spans="1:7" ht="37.5" customHeight="1">
      <c r="A15" s="2" t="s">
        <v>24</v>
      </c>
      <c r="B15" s="817">
        <f>+MEMORIA!$C$69</f>
        <v>0</v>
      </c>
      <c r="C15" s="818"/>
      <c r="D15" s="818"/>
      <c r="E15" s="809"/>
    </row>
    <row r="16" spans="1:7">
      <c r="B16" s="3"/>
      <c r="C16" s="3"/>
      <c r="E16" s="3"/>
    </row>
    <row r="17" spans="1:5">
      <c r="A17" s="2" t="s">
        <v>0</v>
      </c>
      <c r="B17" s="6">
        <f>+MEMORIA!$P$19</f>
        <v>0</v>
      </c>
      <c r="C17" s="4"/>
      <c r="D17" s="2" t="s">
        <v>13</v>
      </c>
      <c r="E17" s="6">
        <f>+MEMORIA!$P$61</f>
        <v>0</v>
      </c>
    </row>
    <row r="18" spans="1:5">
      <c r="A18" s="2" t="s">
        <v>507</v>
      </c>
      <c r="B18" s="19"/>
      <c r="C18" s="3"/>
      <c r="E18" s="3"/>
    </row>
    <row r="19" spans="1:5">
      <c r="A19" s="2" t="s">
        <v>1</v>
      </c>
      <c r="B19" s="5" t="s">
        <v>84</v>
      </c>
      <c r="C19" s="3"/>
      <c r="D19" s="2" t="s">
        <v>12</v>
      </c>
      <c r="E19" s="5" t="s">
        <v>43</v>
      </c>
    </row>
    <row r="20" spans="1:5">
      <c r="B20" s="3"/>
      <c r="C20" s="3"/>
      <c r="E20" s="3"/>
    </row>
    <row r="21" spans="1:5">
      <c r="A21" s="2" t="s">
        <v>2</v>
      </c>
      <c r="B21" s="5">
        <f>2026-MEMORIA!R166</f>
        <v>2026</v>
      </c>
      <c r="C21" s="3"/>
      <c r="D21" s="2" t="s">
        <v>11</v>
      </c>
      <c r="E21" s="5"/>
    </row>
    <row r="22" spans="1:5">
      <c r="B22" s="3"/>
      <c r="C22" s="3"/>
    </row>
    <row r="23" spans="1:5">
      <c r="A23" s="2" t="s">
        <v>3</v>
      </c>
      <c r="B23" s="5"/>
      <c r="D23" s="2" t="s">
        <v>10</v>
      </c>
      <c r="E23" s="5"/>
    </row>
    <row r="24" spans="1:5">
      <c r="D24" s="2" t="s">
        <v>76</v>
      </c>
      <c r="E24" s="8"/>
    </row>
    <row r="25" spans="1:5">
      <c r="A25" s="2" t="s">
        <v>4</v>
      </c>
      <c r="B25" s="5">
        <f>+MEMORIA!R166</f>
        <v>0</v>
      </c>
      <c r="D25" s="2" t="s">
        <v>9</v>
      </c>
      <c r="E25" s="5" t="s">
        <v>45</v>
      </c>
    </row>
    <row r="27" spans="1:5">
      <c r="A27" s="2" t="s">
        <v>5</v>
      </c>
      <c r="B27" s="5"/>
      <c r="C27" s="273" t="s">
        <v>88</v>
      </c>
      <c r="D27" s="2" t="s">
        <v>69</v>
      </c>
      <c r="E27" s="5"/>
    </row>
    <row r="29" spans="1:5">
      <c r="A29" s="2" t="s">
        <v>6</v>
      </c>
      <c r="B29" s="5"/>
      <c r="D29" s="2" t="s">
        <v>74</v>
      </c>
    </row>
    <row r="30" spans="1:5">
      <c r="D30" s="810">
        <f>+MEMORIA!$C$188</f>
        <v>0</v>
      </c>
      <c r="E30" s="811"/>
    </row>
    <row r="31" spans="1:5">
      <c r="A31" s="2" t="s">
        <v>7</v>
      </c>
      <c r="B31" s="5"/>
      <c r="D31" s="812"/>
      <c r="E31" s="813"/>
    </row>
    <row r="32" spans="1:5">
      <c r="D32" s="812"/>
      <c r="E32" s="813"/>
    </row>
    <row r="33" spans="1:5">
      <c r="A33" s="2" t="s">
        <v>8</v>
      </c>
      <c r="B33" s="272" t="str">
        <f>+MEMORIA!P20</f>
        <v>1501….</v>
      </c>
      <c r="D33" s="814"/>
      <c r="E33" s="815"/>
    </row>
    <row r="34" spans="1:5">
      <c r="D34" s="17"/>
      <c r="E34" s="17"/>
    </row>
    <row r="35" spans="1:5">
      <c r="A35" s="2" t="s">
        <v>86</v>
      </c>
      <c r="B35" s="5" t="s">
        <v>72</v>
      </c>
      <c r="D35" s="2" t="s">
        <v>115</v>
      </c>
      <c r="E35" s="6" t="s">
        <v>72</v>
      </c>
    </row>
    <row r="36" spans="1:5">
      <c r="A36" s="2" t="s">
        <v>117</v>
      </c>
      <c r="B36" s="5" t="s">
        <v>72</v>
      </c>
      <c r="D36" s="2"/>
      <c r="E36" s="18"/>
    </row>
    <row r="38" spans="1:5">
      <c r="A38" s="16" t="s">
        <v>54</v>
      </c>
      <c r="B38" s="16"/>
      <c r="C38" s="16"/>
      <c r="D38" s="16"/>
      <c r="E38" s="16"/>
    </row>
    <row r="39" spans="1:5" ht="3.75" customHeight="1"/>
    <row r="40" spans="1:5">
      <c r="A40" s="2" t="s">
        <v>14</v>
      </c>
      <c r="B40" s="9">
        <f>+MEMORIA!I43</f>
        <v>0</v>
      </c>
      <c r="D40" s="2" t="s">
        <v>15</v>
      </c>
      <c r="E40" s="9">
        <f>+MEMORIA!R43</f>
        <v>0</v>
      </c>
    </row>
    <row r="41" spans="1:5">
      <c r="B41" s="10"/>
      <c r="E41" s="10"/>
    </row>
    <row r="42" spans="1:5">
      <c r="A42" s="2" t="s">
        <v>16</v>
      </c>
      <c r="B42" s="20">
        <f>+MEMORIA!L43</f>
        <v>0</v>
      </c>
      <c r="D42" s="2" t="s">
        <v>17</v>
      </c>
      <c r="E42" s="20">
        <f>+MEMORIA!Y43</f>
        <v>0</v>
      </c>
    </row>
    <row r="43" spans="1:5">
      <c r="B43" s="10"/>
      <c r="E43" s="10"/>
    </row>
    <row r="44" spans="1:5">
      <c r="A44" s="2" t="s">
        <v>18</v>
      </c>
      <c r="B44" s="20">
        <f>+MEMORIA!AQ333+MEMORIA!AQ334+MEMORIA!AQ335+MEMORIA!AQ336+MEMORIA!AQ337+MEMORIA!AQ338</f>
        <v>0</v>
      </c>
      <c r="D44" s="2" t="s">
        <v>20</v>
      </c>
      <c r="E44" s="20">
        <f>+MEMORIA!AM162</f>
        <v>0</v>
      </c>
    </row>
    <row r="45" spans="1:5">
      <c r="B45" s="10"/>
      <c r="E45" s="10"/>
    </row>
    <row r="46" spans="1:5">
      <c r="A46" s="2" t="s">
        <v>19</v>
      </c>
      <c r="B46" s="20">
        <f>+MEMORIA!AK43</f>
        <v>0</v>
      </c>
      <c r="D46" s="2" t="s">
        <v>21</v>
      </c>
      <c r="E46" s="20">
        <f>+MEMORIA!AK41</f>
        <v>0</v>
      </c>
    </row>
    <row r="47" spans="1:5">
      <c r="B47" s="10"/>
      <c r="E47" s="10"/>
    </row>
    <row r="48" spans="1:5">
      <c r="A48" s="2" t="s">
        <v>22</v>
      </c>
      <c r="B48" s="20">
        <f>+MEMORIA!AQ43</f>
        <v>0</v>
      </c>
      <c r="D48" s="2" t="s">
        <v>23</v>
      </c>
      <c r="E48" s="20">
        <f>+MEMORIA!AE43</f>
        <v>0</v>
      </c>
    </row>
    <row r="49" spans="1:5">
      <c r="B49" s="10"/>
      <c r="E49" s="10"/>
    </row>
    <row r="50" spans="1:5">
      <c r="A50" s="2" t="s">
        <v>77</v>
      </c>
      <c r="B50" s="20">
        <f>+MEMORIA!V235</f>
        <v>0</v>
      </c>
      <c r="D50" s="2" t="s">
        <v>78</v>
      </c>
      <c r="E50" s="20">
        <f>+B48</f>
        <v>0</v>
      </c>
    </row>
  </sheetData>
  <mergeCells count="10">
    <mergeCell ref="B11:C11"/>
    <mergeCell ref="D30:E33"/>
    <mergeCell ref="A1:E1"/>
    <mergeCell ref="B15:E15"/>
    <mergeCell ref="A13:E13"/>
    <mergeCell ref="B6:C6"/>
    <mergeCell ref="B7:C7"/>
    <mergeCell ref="B8:C8"/>
    <mergeCell ref="B9:C9"/>
    <mergeCell ref="B10:C10"/>
  </mergeCells>
  <conditionalFormatting sqref="B6:B12">
    <cfRule type="expression" dxfId="30" priority="2">
      <formula>#REF!&lt;&gt;1</formula>
    </cfRule>
  </conditionalFormatting>
  <conditionalFormatting sqref="B15">
    <cfRule type="expression" dxfId="29" priority="63">
      <formula>#REF!&lt;&gt;1</formula>
    </cfRule>
  </conditionalFormatting>
  <conditionalFormatting sqref="B17:B19">
    <cfRule type="expression" dxfId="28" priority="76">
      <formula>#REF!&lt;&gt;1</formula>
    </cfRule>
  </conditionalFormatting>
  <conditionalFormatting sqref="B21">
    <cfRule type="expression" dxfId="27" priority="75">
      <formula>#REF!&lt;&gt;1</formula>
    </cfRule>
  </conditionalFormatting>
  <conditionalFormatting sqref="B23">
    <cfRule type="expression" dxfId="26" priority="74">
      <formula>#REF!&lt;&gt;1</formula>
    </cfRule>
  </conditionalFormatting>
  <conditionalFormatting sqref="B25">
    <cfRule type="expression" dxfId="25" priority="73">
      <formula>#REF!&lt;&gt;1</formula>
    </cfRule>
  </conditionalFormatting>
  <conditionalFormatting sqref="B27">
    <cfRule type="expression" dxfId="24" priority="72">
      <formula>#REF!&lt;&gt;1</formula>
    </cfRule>
  </conditionalFormatting>
  <conditionalFormatting sqref="B29">
    <cfRule type="expression" dxfId="23" priority="28">
      <formula>#REF!&lt;&gt;1</formula>
    </cfRule>
  </conditionalFormatting>
  <conditionalFormatting sqref="B31">
    <cfRule type="expression" dxfId="22" priority="14">
      <formula>#REF!&lt;&gt;1</formula>
    </cfRule>
  </conditionalFormatting>
  <conditionalFormatting sqref="B33">
    <cfRule type="expression" dxfId="21" priority="69">
      <formula>#REF!&lt;&gt;1</formula>
    </cfRule>
  </conditionalFormatting>
  <conditionalFormatting sqref="B35:B36">
    <cfRule type="expression" dxfId="20" priority="31">
      <formula>#REF!&lt;&gt;1</formula>
    </cfRule>
  </conditionalFormatting>
  <conditionalFormatting sqref="B40">
    <cfRule type="expression" dxfId="19" priority="26">
      <formula>#REF!&lt;&gt;1</formula>
    </cfRule>
  </conditionalFormatting>
  <conditionalFormatting sqref="B42">
    <cfRule type="expression" dxfId="18" priority="7">
      <formula>#REF!&lt;&gt;1</formula>
    </cfRule>
  </conditionalFormatting>
  <conditionalFormatting sqref="B44">
    <cfRule type="expression" dxfId="17" priority="13">
      <formula>#REF!&lt;&gt;1</formula>
    </cfRule>
  </conditionalFormatting>
  <conditionalFormatting sqref="B46">
    <cfRule type="expression" dxfId="16" priority="12">
      <formula>#REF!&lt;&gt;1</formula>
    </cfRule>
  </conditionalFormatting>
  <conditionalFormatting sqref="B48">
    <cfRule type="expression" dxfId="15" priority="11">
      <formula>#REF!&lt;&gt;1</formula>
    </cfRule>
  </conditionalFormatting>
  <conditionalFormatting sqref="B50">
    <cfRule type="expression" dxfId="14" priority="10">
      <formula>#REF!&lt;&gt;1</formula>
    </cfRule>
  </conditionalFormatting>
  <conditionalFormatting sqref="D6:D12">
    <cfRule type="expression" dxfId="13" priority="1">
      <formula>#REF!&lt;&gt;1</formula>
    </cfRule>
  </conditionalFormatting>
  <conditionalFormatting sqref="D30">
    <cfRule type="expression" dxfId="12" priority="47">
      <formula>#REF!&lt;&gt;1</formula>
    </cfRule>
  </conditionalFormatting>
  <conditionalFormatting sqref="E17">
    <cfRule type="expression" dxfId="11" priority="45">
      <formula>#REF!&lt;&gt;1</formula>
    </cfRule>
  </conditionalFormatting>
  <conditionalFormatting sqref="E19">
    <cfRule type="expression" dxfId="10" priority="67">
      <formula>#REF!&lt;&gt;1</formula>
    </cfRule>
  </conditionalFormatting>
  <conditionalFormatting sqref="E21">
    <cfRule type="expression" dxfId="9" priority="66">
      <formula>#REF!&lt;&gt;1</formula>
    </cfRule>
  </conditionalFormatting>
  <conditionalFormatting sqref="E23:E25">
    <cfRule type="expression" dxfId="8" priority="46">
      <formula>#REF!&lt;&gt;1</formula>
    </cfRule>
  </conditionalFormatting>
  <conditionalFormatting sqref="E27">
    <cfRule type="expression" dxfId="7" priority="48">
      <formula>#REF!&lt;&gt;1</formula>
    </cfRule>
  </conditionalFormatting>
  <conditionalFormatting sqref="E35:E36">
    <cfRule type="expression" dxfId="6" priority="29">
      <formula>#REF!&lt;&gt;1</formula>
    </cfRule>
  </conditionalFormatting>
  <conditionalFormatting sqref="E40">
    <cfRule type="expression" dxfId="5" priority="20">
      <formula>#REF!&lt;&gt;1</formula>
    </cfRule>
  </conditionalFormatting>
  <conditionalFormatting sqref="E42">
    <cfRule type="expression" dxfId="4" priority="8">
      <formula>#REF!&lt;&gt;1</formula>
    </cfRule>
  </conditionalFormatting>
  <conditionalFormatting sqref="E44">
    <cfRule type="expression" dxfId="3" priority="9">
      <formula>#REF!&lt;&gt;1</formula>
    </cfRule>
  </conditionalFormatting>
  <conditionalFormatting sqref="E46">
    <cfRule type="expression" dxfId="2" priority="6">
      <formula>#REF!&lt;&gt;1</formula>
    </cfRule>
  </conditionalFormatting>
  <conditionalFormatting sqref="E48">
    <cfRule type="expression" dxfId="1" priority="5">
      <formula>#REF!&lt;&gt;1</formula>
    </cfRule>
  </conditionalFormatting>
  <conditionalFormatting sqref="E50">
    <cfRule type="expression" dxfId="0" priority="4">
      <formula>#REF!&lt;&gt;1</formula>
    </cfRule>
  </conditionalFormatting>
  <dataValidations count="4">
    <dataValidation type="whole" allowBlank="1" showInputMessage="1" showErrorMessage="1" sqref="B21" xr:uid="{00000000-0002-0000-0000-000001000000}">
      <formula1>1900</formula1>
      <formula2>2050</formula2>
    </dataValidation>
    <dataValidation type="decimal" allowBlank="1" showInputMessage="1" showErrorMessage="1" sqref="B40 E40 B42 E42 B44 E44 B46 E46 B48 E48 B50 E50" xr:uid="{00000000-0002-0000-0000-000002000000}">
      <formula1>0</formula1>
      <formula2>9.99999999999999E+31</formula2>
    </dataValidation>
    <dataValidation type="whole" allowBlank="1" showInputMessage="1" showErrorMessage="1" sqref="B29 B31" xr:uid="{00000000-0002-0000-0000-000003000000}">
      <formula1>0</formula1>
      <formula2>9999</formula2>
    </dataValidation>
    <dataValidation type="textLength" allowBlank="1" showInputMessage="1" showErrorMessage="1" sqref="B6:C12" xr:uid="{B7D3A055-8DC8-443C-9F53-EFD719047035}">
      <formula1>0</formula1>
      <formula2>250</formula2>
    </dataValidation>
  </dataValidations>
  <hyperlinks>
    <hyperlink ref="C27" location="'Criterio y peso estado inmueble'!A1" display="Ver criterios y pesos" xr:uid="{00000000-0004-0000-0000-000000000000}"/>
  </hyperlinks>
  <printOptions horizontalCentered="1"/>
  <pageMargins left="0.23622047244094491" right="0.23622047244094491" top="0.74803149606299213" bottom="0.74803149606299213" header="0.31496062992125984" footer="0.31496062992125984"/>
  <pageSetup paperSize="9" scale="78" orientation="portrait"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000-000005000000}">
          <x14:formula1>
            <xm:f>'Lista desplegable'!$D$5:$D$14</xm:f>
          </x14:formula1>
          <xm:sqref>B23</xm:sqref>
        </x14:dataValidation>
        <x14:dataValidation type="list" allowBlank="1" showInputMessage="1" showErrorMessage="1" xr:uid="{00000000-0002-0000-0000-000006000000}">
          <x14:formula1>
            <xm:f>'Lista desplegable'!$E$5:$E$11</xm:f>
          </x14:formula1>
          <xm:sqref>E23</xm:sqref>
        </x14:dataValidation>
        <x14:dataValidation type="list" allowBlank="1" showInputMessage="1" showErrorMessage="1" xr:uid="{00000000-0002-0000-0000-000007000000}">
          <x14:formula1>
            <xm:f>'Lista desplegable'!$F$5:$F$7</xm:f>
          </x14:formula1>
          <xm:sqref>E25</xm:sqref>
        </x14:dataValidation>
        <x14:dataValidation type="list" allowBlank="1" showInputMessage="1" showErrorMessage="1" xr:uid="{00000000-0002-0000-0000-000008000000}">
          <x14:formula1>
            <xm:f>'Lista desplegable'!$I$5:$I$7</xm:f>
          </x14:formula1>
          <xm:sqref>E27</xm:sqref>
        </x14:dataValidation>
        <x14:dataValidation type="list" allowBlank="1" showInputMessage="1" showErrorMessage="1" xr:uid="{00000000-0002-0000-0000-000009000000}">
          <x14:formula1>
            <xm:f>'Lista desplegable'!$J$5:$J$14</xm:f>
          </x14:formula1>
          <xm:sqref>E24</xm:sqref>
        </x14:dataValidation>
        <x14:dataValidation type="list" allowBlank="1" showInputMessage="1" showErrorMessage="1" xr:uid="{00000000-0002-0000-0000-00000A000000}">
          <x14:formula1>
            <xm:f>'Lista desplegable'!$K$5:$K$6</xm:f>
          </x14:formula1>
          <xm:sqref>B19</xm:sqref>
        </x14:dataValidation>
        <x14:dataValidation type="list" allowBlank="1" showInputMessage="1" showErrorMessage="1" xr:uid="{00000000-0002-0000-0000-00000B000000}">
          <x14:formula1>
            <xm:f>'Lista desplegable'!$B$5:$B$6</xm:f>
          </x14:formula1>
          <xm:sqref>E19</xm:sqref>
        </x14:dataValidation>
        <x14:dataValidation type="list" allowBlank="1" showInputMessage="1" showErrorMessage="1" xr:uid="{00000000-0002-0000-0000-00000C000000}">
          <x14:formula1>
            <xm:f>'Lista desplegable'!$C$5:$C$13</xm:f>
          </x14:formula1>
          <xm:sqref>E21</xm:sqref>
        </x14:dataValidation>
        <x14:dataValidation type="list" allowBlank="1" showInputMessage="1" showErrorMessage="1" xr:uid="{00000000-0002-0000-0000-00000D000000}">
          <x14:formula1>
            <xm:f>'Lista desplegable'!$L$5:$L$6</xm:f>
          </x14:formula1>
          <xm:sqref>B35:B36</xm:sqref>
        </x14:dataValidation>
        <x14:dataValidation type="list" allowBlank="1" showInputMessage="1" showErrorMessage="1" xr:uid="{00000000-0002-0000-0000-00000E000000}">
          <x14:formula1>
            <xm:f>'Lista desplegable'!$G$5:$G$9</xm:f>
          </x14:formula1>
          <xm:sqref>B27</xm:sqref>
        </x14:dataValidation>
        <x14:dataValidation type="list" allowBlank="1" showInputMessage="1" showErrorMessage="1" xr:uid="{00000000-0002-0000-0000-00000F000000}">
          <x14:formula1>
            <xm:f>'Lista desplegable'!$M$5:$M$6</xm:f>
          </x14:formula1>
          <xm:sqref>E35:E36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4E3AD-80AC-4CC8-8D01-DA17CEB1ED43}">
  <dimension ref="A1:WXE485"/>
  <sheetViews>
    <sheetView topLeftCell="A409" zoomScale="130" zoomScaleNormal="130" workbookViewId="0">
      <selection activeCell="M63" sqref="M63"/>
    </sheetView>
  </sheetViews>
  <sheetFormatPr baseColWidth="10" defaultColWidth="0" defaultRowHeight="12.75"/>
  <cols>
    <col min="1" max="1" width="1.7109375" style="22" customWidth="1"/>
    <col min="2" max="2" width="3" style="22" customWidth="1"/>
    <col min="3" max="3" width="1.7109375" style="22" customWidth="1"/>
    <col min="4" max="4" width="2" style="22" customWidth="1"/>
    <col min="5" max="6" width="1.7109375" style="22" customWidth="1"/>
    <col min="7" max="7" width="2.28515625" style="22" customWidth="1"/>
    <col min="8" max="8" width="2.42578125" style="22" customWidth="1"/>
    <col min="9" max="23" width="1.7109375" style="22" customWidth="1"/>
    <col min="24" max="24" width="2.140625" style="22" customWidth="1"/>
    <col min="25" max="25" width="3" style="22" customWidth="1"/>
    <col min="26" max="26" width="1.7109375" style="22" customWidth="1"/>
    <col min="27" max="27" width="2" style="22" customWidth="1"/>
    <col min="28" max="28" width="2.140625" style="22" customWidth="1"/>
    <col min="29" max="29" width="2" style="22" customWidth="1"/>
    <col min="30" max="31" width="1.7109375" style="22" customWidth="1"/>
    <col min="32" max="32" width="2.42578125" style="22" customWidth="1"/>
    <col min="33" max="33" width="2.28515625" style="22" customWidth="1"/>
    <col min="34" max="41" width="1.7109375" style="22" customWidth="1"/>
    <col min="42" max="42" width="2.85546875" style="22" customWidth="1"/>
    <col min="43" max="43" width="1.7109375" style="22" customWidth="1"/>
    <col min="44" max="44" width="2.5703125" style="22" customWidth="1"/>
    <col min="45" max="45" width="2.7109375" style="22" customWidth="1"/>
    <col min="46" max="48" width="1.7109375" style="22" customWidth="1"/>
    <col min="49" max="49" width="1.7109375" style="21" customWidth="1"/>
    <col min="50" max="256" width="1.28515625" style="21" hidden="1"/>
    <col min="257" max="257" width="1.7109375" style="21" customWidth="1"/>
    <col min="258" max="258" width="3" style="21" customWidth="1"/>
    <col min="259" max="259" width="1.7109375" style="21" customWidth="1"/>
    <col min="260" max="260" width="2" style="21" customWidth="1"/>
    <col min="261" max="262" width="1.7109375" style="21" customWidth="1"/>
    <col min="263" max="263" width="2.28515625" style="21" customWidth="1"/>
    <col min="264" max="264" width="2.42578125" style="21" customWidth="1"/>
    <col min="265" max="279" width="1.7109375" style="21" customWidth="1"/>
    <col min="280" max="280" width="2.140625" style="21" customWidth="1"/>
    <col min="281" max="281" width="3" style="21" customWidth="1"/>
    <col min="282" max="282" width="1.7109375" style="21" customWidth="1"/>
    <col min="283" max="283" width="2" style="21" customWidth="1"/>
    <col min="284" max="284" width="2.140625" style="21" customWidth="1"/>
    <col min="285" max="285" width="2" style="21" customWidth="1"/>
    <col min="286" max="287" width="1.7109375" style="21" customWidth="1"/>
    <col min="288" max="288" width="2.42578125" style="21" customWidth="1"/>
    <col min="289" max="289" width="2.28515625" style="21" customWidth="1"/>
    <col min="290" max="297" width="1.7109375" style="21" customWidth="1"/>
    <col min="298" max="298" width="2.85546875" style="21" customWidth="1"/>
    <col min="299" max="299" width="1.7109375" style="21" customWidth="1"/>
    <col min="300" max="300" width="2.5703125" style="21" customWidth="1"/>
    <col min="301" max="301" width="2.7109375" style="21" customWidth="1"/>
    <col min="302" max="305" width="1.7109375" style="21" customWidth="1"/>
    <col min="306" max="512" width="1.28515625" style="21" hidden="1"/>
    <col min="513" max="513" width="1.7109375" style="21" customWidth="1"/>
    <col min="514" max="514" width="3" style="21" customWidth="1"/>
    <col min="515" max="515" width="1.7109375" style="21" customWidth="1"/>
    <col min="516" max="516" width="2" style="21" customWidth="1"/>
    <col min="517" max="518" width="1.7109375" style="21" customWidth="1"/>
    <col min="519" max="519" width="2.28515625" style="21" customWidth="1"/>
    <col min="520" max="520" width="2.42578125" style="21" customWidth="1"/>
    <col min="521" max="535" width="1.7109375" style="21" customWidth="1"/>
    <col min="536" max="536" width="2.140625" style="21" customWidth="1"/>
    <col min="537" max="537" width="3" style="21" customWidth="1"/>
    <col min="538" max="538" width="1.7109375" style="21" customWidth="1"/>
    <col min="539" max="539" width="2" style="21" customWidth="1"/>
    <col min="540" max="540" width="2.140625" style="21" customWidth="1"/>
    <col min="541" max="541" width="2" style="21" customWidth="1"/>
    <col min="542" max="543" width="1.7109375" style="21" customWidth="1"/>
    <col min="544" max="544" width="2.42578125" style="21" customWidth="1"/>
    <col min="545" max="545" width="2.28515625" style="21" customWidth="1"/>
    <col min="546" max="553" width="1.7109375" style="21" customWidth="1"/>
    <col min="554" max="554" width="2.85546875" style="21" customWidth="1"/>
    <col min="555" max="555" width="1.7109375" style="21" customWidth="1"/>
    <col min="556" max="556" width="2.5703125" style="21" customWidth="1"/>
    <col min="557" max="557" width="2.7109375" style="21" customWidth="1"/>
    <col min="558" max="561" width="1.7109375" style="21" customWidth="1"/>
    <col min="562" max="768" width="1.28515625" style="21" hidden="1"/>
    <col min="769" max="769" width="1.7109375" style="21" customWidth="1"/>
    <col min="770" max="770" width="3" style="21" customWidth="1"/>
    <col min="771" max="771" width="1.7109375" style="21" customWidth="1"/>
    <col min="772" max="772" width="2" style="21" customWidth="1"/>
    <col min="773" max="774" width="1.7109375" style="21" customWidth="1"/>
    <col min="775" max="775" width="2.28515625" style="21" customWidth="1"/>
    <col min="776" max="776" width="2.42578125" style="21" customWidth="1"/>
    <col min="777" max="791" width="1.7109375" style="21" customWidth="1"/>
    <col min="792" max="792" width="2.140625" style="21" customWidth="1"/>
    <col min="793" max="793" width="3" style="21" customWidth="1"/>
    <col min="794" max="794" width="1.7109375" style="21" customWidth="1"/>
    <col min="795" max="795" width="2" style="21" customWidth="1"/>
    <col min="796" max="796" width="2.140625" style="21" customWidth="1"/>
    <col min="797" max="797" width="2" style="21" customWidth="1"/>
    <col min="798" max="799" width="1.7109375" style="21" customWidth="1"/>
    <col min="800" max="800" width="2.42578125" style="21" customWidth="1"/>
    <col min="801" max="801" width="2.28515625" style="21" customWidth="1"/>
    <col min="802" max="809" width="1.7109375" style="21" customWidth="1"/>
    <col min="810" max="810" width="2.85546875" style="21" customWidth="1"/>
    <col min="811" max="811" width="1.7109375" style="21" customWidth="1"/>
    <col min="812" max="812" width="2.5703125" style="21" customWidth="1"/>
    <col min="813" max="813" width="2.7109375" style="21" customWidth="1"/>
    <col min="814" max="817" width="1.7109375" style="21" customWidth="1"/>
    <col min="818" max="1024" width="1.28515625" style="21" hidden="1"/>
    <col min="1025" max="1025" width="1.7109375" style="21" customWidth="1"/>
    <col min="1026" max="1026" width="3" style="21" customWidth="1"/>
    <col min="1027" max="1027" width="1.7109375" style="21" customWidth="1"/>
    <col min="1028" max="1028" width="2" style="21" customWidth="1"/>
    <col min="1029" max="1030" width="1.7109375" style="21" customWidth="1"/>
    <col min="1031" max="1031" width="2.28515625" style="21" customWidth="1"/>
    <col min="1032" max="1032" width="2.42578125" style="21" customWidth="1"/>
    <col min="1033" max="1047" width="1.7109375" style="21" customWidth="1"/>
    <col min="1048" max="1048" width="2.140625" style="21" customWidth="1"/>
    <col min="1049" max="1049" width="3" style="21" customWidth="1"/>
    <col min="1050" max="1050" width="1.7109375" style="21" customWidth="1"/>
    <col min="1051" max="1051" width="2" style="21" customWidth="1"/>
    <col min="1052" max="1052" width="2.140625" style="21" customWidth="1"/>
    <col min="1053" max="1053" width="2" style="21" customWidth="1"/>
    <col min="1054" max="1055" width="1.7109375" style="21" customWidth="1"/>
    <col min="1056" max="1056" width="2.42578125" style="21" customWidth="1"/>
    <col min="1057" max="1057" width="2.28515625" style="21" customWidth="1"/>
    <col min="1058" max="1065" width="1.7109375" style="21" customWidth="1"/>
    <col min="1066" max="1066" width="2.85546875" style="21" customWidth="1"/>
    <col min="1067" max="1067" width="1.7109375" style="21" customWidth="1"/>
    <col min="1068" max="1068" width="2.5703125" style="21" customWidth="1"/>
    <col min="1069" max="1069" width="2.7109375" style="21" customWidth="1"/>
    <col min="1070" max="1073" width="1.7109375" style="21" customWidth="1"/>
    <col min="1074" max="1280" width="1.28515625" style="21" hidden="1"/>
    <col min="1281" max="1281" width="1.7109375" style="21" customWidth="1"/>
    <col min="1282" max="1282" width="3" style="21" customWidth="1"/>
    <col min="1283" max="1283" width="1.7109375" style="21" customWidth="1"/>
    <col min="1284" max="1284" width="2" style="21" customWidth="1"/>
    <col min="1285" max="1286" width="1.7109375" style="21" customWidth="1"/>
    <col min="1287" max="1287" width="2.28515625" style="21" customWidth="1"/>
    <col min="1288" max="1288" width="2.42578125" style="21" customWidth="1"/>
    <col min="1289" max="1303" width="1.7109375" style="21" customWidth="1"/>
    <col min="1304" max="1304" width="2.140625" style="21" customWidth="1"/>
    <col min="1305" max="1305" width="3" style="21" customWidth="1"/>
    <col min="1306" max="1306" width="1.7109375" style="21" customWidth="1"/>
    <col min="1307" max="1307" width="2" style="21" customWidth="1"/>
    <col min="1308" max="1308" width="2.140625" style="21" customWidth="1"/>
    <col min="1309" max="1309" width="2" style="21" customWidth="1"/>
    <col min="1310" max="1311" width="1.7109375" style="21" customWidth="1"/>
    <col min="1312" max="1312" width="2.42578125" style="21" customWidth="1"/>
    <col min="1313" max="1313" width="2.28515625" style="21" customWidth="1"/>
    <col min="1314" max="1321" width="1.7109375" style="21" customWidth="1"/>
    <col min="1322" max="1322" width="2.85546875" style="21" customWidth="1"/>
    <col min="1323" max="1323" width="1.7109375" style="21" customWidth="1"/>
    <col min="1324" max="1324" width="2.5703125" style="21" customWidth="1"/>
    <col min="1325" max="1325" width="2.7109375" style="21" customWidth="1"/>
    <col min="1326" max="1329" width="1.7109375" style="21" customWidth="1"/>
    <col min="1330" max="1536" width="1.28515625" style="21" hidden="1"/>
    <col min="1537" max="1537" width="1.7109375" style="21" customWidth="1"/>
    <col min="1538" max="1538" width="3" style="21" customWidth="1"/>
    <col min="1539" max="1539" width="1.7109375" style="21" customWidth="1"/>
    <col min="1540" max="1540" width="2" style="21" customWidth="1"/>
    <col min="1541" max="1542" width="1.7109375" style="21" customWidth="1"/>
    <col min="1543" max="1543" width="2.28515625" style="21" customWidth="1"/>
    <col min="1544" max="1544" width="2.42578125" style="21" customWidth="1"/>
    <col min="1545" max="1559" width="1.7109375" style="21" customWidth="1"/>
    <col min="1560" max="1560" width="2.140625" style="21" customWidth="1"/>
    <col min="1561" max="1561" width="3" style="21" customWidth="1"/>
    <col min="1562" max="1562" width="1.7109375" style="21" customWidth="1"/>
    <col min="1563" max="1563" width="2" style="21" customWidth="1"/>
    <col min="1564" max="1564" width="2.140625" style="21" customWidth="1"/>
    <col min="1565" max="1565" width="2" style="21" customWidth="1"/>
    <col min="1566" max="1567" width="1.7109375" style="21" customWidth="1"/>
    <col min="1568" max="1568" width="2.42578125" style="21" customWidth="1"/>
    <col min="1569" max="1569" width="2.28515625" style="21" customWidth="1"/>
    <col min="1570" max="1577" width="1.7109375" style="21" customWidth="1"/>
    <col min="1578" max="1578" width="2.85546875" style="21" customWidth="1"/>
    <col min="1579" max="1579" width="1.7109375" style="21" customWidth="1"/>
    <col min="1580" max="1580" width="2.5703125" style="21" customWidth="1"/>
    <col min="1581" max="1581" width="2.7109375" style="21" customWidth="1"/>
    <col min="1582" max="1585" width="1.7109375" style="21" customWidth="1"/>
    <col min="1586" max="1792" width="1.28515625" style="21" hidden="1"/>
    <col min="1793" max="1793" width="1.7109375" style="21" customWidth="1"/>
    <col min="1794" max="1794" width="3" style="21" customWidth="1"/>
    <col min="1795" max="1795" width="1.7109375" style="21" customWidth="1"/>
    <col min="1796" max="1796" width="2" style="21" customWidth="1"/>
    <col min="1797" max="1798" width="1.7109375" style="21" customWidth="1"/>
    <col min="1799" max="1799" width="2.28515625" style="21" customWidth="1"/>
    <col min="1800" max="1800" width="2.42578125" style="21" customWidth="1"/>
    <col min="1801" max="1815" width="1.7109375" style="21" customWidth="1"/>
    <col min="1816" max="1816" width="2.140625" style="21" customWidth="1"/>
    <col min="1817" max="1817" width="3" style="21" customWidth="1"/>
    <col min="1818" max="1818" width="1.7109375" style="21" customWidth="1"/>
    <col min="1819" max="1819" width="2" style="21" customWidth="1"/>
    <col min="1820" max="1820" width="2.140625" style="21" customWidth="1"/>
    <col min="1821" max="1821" width="2" style="21" customWidth="1"/>
    <col min="1822" max="1823" width="1.7109375" style="21" customWidth="1"/>
    <col min="1824" max="1824" width="2.42578125" style="21" customWidth="1"/>
    <col min="1825" max="1825" width="2.28515625" style="21" customWidth="1"/>
    <col min="1826" max="1833" width="1.7109375" style="21" customWidth="1"/>
    <col min="1834" max="1834" width="2.85546875" style="21" customWidth="1"/>
    <col min="1835" max="1835" width="1.7109375" style="21" customWidth="1"/>
    <col min="1836" max="1836" width="2.5703125" style="21" customWidth="1"/>
    <col min="1837" max="1837" width="2.7109375" style="21" customWidth="1"/>
    <col min="1838" max="1841" width="1.7109375" style="21" customWidth="1"/>
    <col min="1842" max="2048" width="1.28515625" style="21" hidden="1"/>
    <col min="2049" max="2049" width="1.7109375" style="21" customWidth="1"/>
    <col min="2050" max="2050" width="3" style="21" customWidth="1"/>
    <col min="2051" max="2051" width="1.7109375" style="21" customWidth="1"/>
    <col min="2052" max="2052" width="2" style="21" customWidth="1"/>
    <col min="2053" max="2054" width="1.7109375" style="21" customWidth="1"/>
    <col min="2055" max="2055" width="2.28515625" style="21" customWidth="1"/>
    <col min="2056" max="2056" width="2.42578125" style="21" customWidth="1"/>
    <col min="2057" max="2071" width="1.7109375" style="21" customWidth="1"/>
    <col min="2072" max="2072" width="2.140625" style="21" customWidth="1"/>
    <col min="2073" max="2073" width="3" style="21" customWidth="1"/>
    <col min="2074" max="2074" width="1.7109375" style="21" customWidth="1"/>
    <col min="2075" max="2075" width="2" style="21" customWidth="1"/>
    <col min="2076" max="2076" width="2.140625" style="21" customWidth="1"/>
    <col min="2077" max="2077" width="2" style="21" customWidth="1"/>
    <col min="2078" max="2079" width="1.7109375" style="21" customWidth="1"/>
    <col min="2080" max="2080" width="2.42578125" style="21" customWidth="1"/>
    <col min="2081" max="2081" width="2.28515625" style="21" customWidth="1"/>
    <col min="2082" max="2089" width="1.7109375" style="21" customWidth="1"/>
    <col min="2090" max="2090" width="2.85546875" style="21" customWidth="1"/>
    <col min="2091" max="2091" width="1.7109375" style="21" customWidth="1"/>
    <col min="2092" max="2092" width="2.5703125" style="21" customWidth="1"/>
    <col min="2093" max="2093" width="2.7109375" style="21" customWidth="1"/>
    <col min="2094" max="2097" width="1.7109375" style="21" customWidth="1"/>
    <col min="2098" max="2304" width="1.28515625" style="21" hidden="1"/>
    <col min="2305" max="2305" width="1.7109375" style="21" customWidth="1"/>
    <col min="2306" max="2306" width="3" style="21" customWidth="1"/>
    <col min="2307" max="2307" width="1.7109375" style="21" customWidth="1"/>
    <col min="2308" max="2308" width="2" style="21" customWidth="1"/>
    <col min="2309" max="2310" width="1.7109375" style="21" customWidth="1"/>
    <col min="2311" max="2311" width="2.28515625" style="21" customWidth="1"/>
    <col min="2312" max="2312" width="2.42578125" style="21" customWidth="1"/>
    <col min="2313" max="2327" width="1.7109375" style="21" customWidth="1"/>
    <col min="2328" max="2328" width="2.140625" style="21" customWidth="1"/>
    <col min="2329" max="2329" width="3" style="21" customWidth="1"/>
    <col min="2330" max="2330" width="1.7109375" style="21" customWidth="1"/>
    <col min="2331" max="2331" width="2" style="21" customWidth="1"/>
    <col min="2332" max="2332" width="2.140625" style="21" customWidth="1"/>
    <col min="2333" max="2333" width="2" style="21" customWidth="1"/>
    <col min="2334" max="2335" width="1.7109375" style="21" customWidth="1"/>
    <col min="2336" max="2336" width="2.42578125" style="21" customWidth="1"/>
    <col min="2337" max="2337" width="2.28515625" style="21" customWidth="1"/>
    <col min="2338" max="2345" width="1.7109375" style="21" customWidth="1"/>
    <col min="2346" max="2346" width="2.85546875" style="21" customWidth="1"/>
    <col min="2347" max="2347" width="1.7109375" style="21" customWidth="1"/>
    <col min="2348" max="2348" width="2.5703125" style="21" customWidth="1"/>
    <col min="2349" max="2349" width="2.7109375" style="21" customWidth="1"/>
    <col min="2350" max="2353" width="1.7109375" style="21" customWidth="1"/>
    <col min="2354" max="2560" width="1.28515625" style="21" hidden="1"/>
    <col min="2561" max="2561" width="1.7109375" style="21" customWidth="1"/>
    <col min="2562" max="2562" width="3" style="21" customWidth="1"/>
    <col min="2563" max="2563" width="1.7109375" style="21" customWidth="1"/>
    <col min="2564" max="2564" width="2" style="21" customWidth="1"/>
    <col min="2565" max="2566" width="1.7109375" style="21" customWidth="1"/>
    <col min="2567" max="2567" width="2.28515625" style="21" customWidth="1"/>
    <col min="2568" max="2568" width="2.42578125" style="21" customWidth="1"/>
    <col min="2569" max="2583" width="1.7109375" style="21" customWidth="1"/>
    <col min="2584" max="2584" width="2.140625" style="21" customWidth="1"/>
    <col min="2585" max="2585" width="3" style="21" customWidth="1"/>
    <col min="2586" max="2586" width="1.7109375" style="21" customWidth="1"/>
    <col min="2587" max="2587" width="2" style="21" customWidth="1"/>
    <col min="2588" max="2588" width="2.140625" style="21" customWidth="1"/>
    <col min="2589" max="2589" width="2" style="21" customWidth="1"/>
    <col min="2590" max="2591" width="1.7109375" style="21" customWidth="1"/>
    <col min="2592" max="2592" width="2.42578125" style="21" customWidth="1"/>
    <col min="2593" max="2593" width="2.28515625" style="21" customWidth="1"/>
    <col min="2594" max="2601" width="1.7109375" style="21" customWidth="1"/>
    <col min="2602" max="2602" width="2.85546875" style="21" customWidth="1"/>
    <col min="2603" max="2603" width="1.7109375" style="21" customWidth="1"/>
    <col min="2604" max="2604" width="2.5703125" style="21" customWidth="1"/>
    <col min="2605" max="2605" width="2.7109375" style="21" customWidth="1"/>
    <col min="2606" max="2609" width="1.7109375" style="21" customWidth="1"/>
    <col min="2610" max="2816" width="1.28515625" style="21" hidden="1"/>
    <col min="2817" max="2817" width="1.7109375" style="21" customWidth="1"/>
    <col min="2818" max="2818" width="3" style="21" customWidth="1"/>
    <col min="2819" max="2819" width="1.7109375" style="21" customWidth="1"/>
    <col min="2820" max="2820" width="2" style="21" customWidth="1"/>
    <col min="2821" max="2822" width="1.7109375" style="21" customWidth="1"/>
    <col min="2823" max="2823" width="2.28515625" style="21" customWidth="1"/>
    <col min="2824" max="2824" width="2.42578125" style="21" customWidth="1"/>
    <col min="2825" max="2839" width="1.7109375" style="21" customWidth="1"/>
    <col min="2840" max="2840" width="2.140625" style="21" customWidth="1"/>
    <col min="2841" max="2841" width="3" style="21" customWidth="1"/>
    <col min="2842" max="2842" width="1.7109375" style="21" customWidth="1"/>
    <col min="2843" max="2843" width="2" style="21" customWidth="1"/>
    <col min="2844" max="2844" width="2.140625" style="21" customWidth="1"/>
    <col min="2845" max="2845" width="2" style="21" customWidth="1"/>
    <col min="2846" max="2847" width="1.7109375" style="21" customWidth="1"/>
    <col min="2848" max="2848" width="2.42578125" style="21" customWidth="1"/>
    <col min="2849" max="2849" width="2.28515625" style="21" customWidth="1"/>
    <col min="2850" max="2857" width="1.7109375" style="21" customWidth="1"/>
    <col min="2858" max="2858" width="2.85546875" style="21" customWidth="1"/>
    <col min="2859" max="2859" width="1.7109375" style="21" customWidth="1"/>
    <col min="2860" max="2860" width="2.5703125" style="21" customWidth="1"/>
    <col min="2861" max="2861" width="2.7109375" style="21" customWidth="1"/>
    <col min="2862" max="2865" width="1.7109375" style="21" customWidth="1"/>
    <col min="2866" max="3072" width="1.28515625" style="21" hidden="1"/>
    <col min="3073" max="3073" width="1.7109375" style="21" customWidth="1"/>
    <col min="3074" max="3074" width="3" style="21" customWidth="1"/>
    <col min="3075" max="3075" width="1.7109375" style="21" customWidth="1"/>
    <col min="3076" max="3076" width="2" style="21" customWidth="1"/>
    <col min="3077" max="3078" width="1.7109375" style="21" customWidth="1"/>
    <col min="3079" max="3079" width="2.28515625" style="21" customWidth="1"/>
    <col min="3080" max="3080" width="2.42578125" style="21" customWidth="1"/>
    <col min="3081" max="3095" width="1.7109375" style="21" customWidth="1"/>
    <col min="3096" max="3096" width="2.140625" style="21" customWidth="1"/>
    <col min="3097" max="3097" width="3" style="21" customWidth="1"/>
    <col min="3098" max="3098" width="1.7109375" style="21" customWidth="1"/>
    <col min="3099" max="3099" width="2" style="21" customWidth="1"/>
    <col min="3100" max="3100" width="2.140625" style="21" customWidth="1"/>
    <col min="3101" max="3101" width="2" style="21" customWidth="1"/>
    <col min="3102" max="3103" width="1.7109375" style="21" customWidth="1"/>
    <col min="3104" max="3104" width="2.42578125" style="21" customWidth="1"/>
    <col min="3105" max="3105" width="2.28515625" style="21" customWidth="1"/>
    <col min="3106" max="3113" width="1.7109375" style="21" customWidth="1"/>
    <col min="3114" max="3114" width="2.85546875" style="21" customWidth="1"/>
    <col min="3115" max="3115" width="1.7109375" style="21" customWidth="1"/>
    <col min="3116" max="3116" width="2.5703125" style="21" customWidth="1"/>
    <col min="3117" max="3117" width="2.7109375" style="21" customWidth="1"/>
    <col min="3118" max="3121" width="1.7109375" style="21" customWidth="1"/>
    <col min="3122" max="3328" width="1.28515625" style="21" hidden="1"/>
    <col min="3329" max="3329" width="1.7109375" style="21" customWidth="1"/>
    <col min="3330" max="3330" width="3" style="21" customWidth="1"/>
    <col min="3331" max="3331" width="1.7109375" style="21" customWidth="1"/>
    <col min="3332" max="3332" width="2" style="21" customWidth="1"/>
    <col min="3333" max="3334" width="1.7109375" style="21" customWidth="1"/>
    <col min="3335" max="3335" width="2.28515625" style="21" customWidth="1"/>
    <col min="3336" max="3336" width="2.42578125" style="21" customWidth="1"/>
    <col min="3337" max="3351" width="1.7109375" style="21" customWidth="1"/>
    <col min="3352" max="3352" width="2.140625" style="21" customWidth="1"/>
    <col min="3353" max="3353" width="3" style="21" customWidth="1"/>
    <col min="3354" max="3354" width="1.7109375" style="21" customWidth="1"/>
    <col min="3355" max="3355" width="2" style="21" customWidth="1"/>
    <col min="3356" max="3356" width="2.140625" style="21" customWidth="1"/>
    <col min="3357" max="3357" width="2" style="21" customWidth="1"/>
    <col min="3358" max="3359" width="1.7109375" style="21" customWidth="1"/>
    <col min="3360" max="3360" width="2.42578125" style="21" customWidth="1"/>
    <col min="3361" max="3361" width="2.28515625" style="21" customWidth="1"/>
    <col min="3362" max="3369" width="1.7109375" style="21" customWidth="1"/>
    <col min="3370" max="3370" width="2.85546875" style="21" customWidth="1"/>
    <col min="3371" max="3371" width="1.7109375" style="21" customWidth="1"/>
    <col min="3372" max="3372" width="2.5703125" style="21" customWidth="1"/>
    <col min="3373" max="3373" width="2.7109375" style="21" customWidth="1"/>
    <col min="3374" max="3377" width="1.7109375" style="21" customWidth="1"/>
    <col min="3378" max="3584" width="1.28515625" style="21" hidden="1"/>
    <col min="3585" max="3585" width="1.7109375" style="21" customWidth="1"/>
    <col min="3586" max="3586" width="3" style="21" customWidth="1"/>
    <col min="3587" max="3587" width="1.7109375" style="21" customWidth="1"/>
    <col min="3588" max="3588" width="2" style="21" customWidth="1"/>
    <col min="3589" max="3590" width="1.7109375" style="21" customWidth="1"/>
    <col min="3591" max="3591" width="2.28515625" style="21" customWidth="1"/>
    <col min="3592" max="3592" width="2.42578125" style="21" customWidth="1"/>
    <col min="3593" max="3607" width="1.7109375" style="21" customWidth="1"/>
    <col min="3608" max="3608" width="2.140625" style="21" customWidth="1"/>
    <col min="3609" max="3609" width="3" style="21" customWidth="1"/>
    <col min="3610" max="3610" width="1.7109375" style="21" customWidth="1"/>
    <col min="3611" max="3611" width="2" style="21" customWidth="1"/>
    <col min="3612" max="3612" width="2.140625" style="21" customWidth="1"/>
    <col min="3613" max="3613" width="2" style="21" customWidth="1"/>
    <col min="3614" max="3615" width="1.7109375" style="21" customWidth="1"/>
    <col min="3616" max="3616" width="2.42578125" style="21" customWidth="1"/>
    <col min="3617" max="3617" width="2.28515625" style="21" customWidth="1"/>
    <col min="3618" max="3625" width="1.7109375" style="21" customWidth="1"/>
    <col min="3626" max="3626" width="2.85546875" style="21" customWidth="1"/>
    <col min="3627" max="3627" width="1.7109375" style="21" customWidth="1"/>
    <col min="3628" max="3628" width="2.5703125" style="21" customWidth="1"/>
    <col min="3629" max="3629" width="2.7109375" style="21" customWidth="1"/>
    <col min="3630" max="3633" width="1.7109375" style="21" customWidth="1"/>
    <col min="3634" max="3840" width="1.28515625" style="21" hidden="1"/>
    <col min="3841" max="3841" width="1.7109375" style="21" customWidth="1"/>
    <col min="3842" max="3842" width="3" style="21" customWidth="1"/>
    <col min="3843" max="3843" width="1.7109375" style="21" customWidth="1"/>
    <col min="3844" max="3844" width="2" style="21" customWidth="1"/>
    <col min="3845" max="3846" width="1.7109375" style="21" customWidth="1"/>
    <col min="3847" max="3847" width="2.28515625" style="21" customWidth="1"/>
    <col min="3848" max="3848" width="2.42578125" style="21" customWidth="1"/>
    <col min="3849" max="3863" width="1.7109375" style="21" customWidth="1"/>
    <col min="3864" max="3864" width="2.140625" style="21" customWidth="1"/>
    <col min="3865" max="3865" width="3" style="21" customWidth="1"/>
    <col min="3866" max="3866" width="1.7109375" style="21" customWidth="1"/>
    <col min="3867" max="3867" width="2" style="21" customWidth="1"/>
    <col min="3868" max="3868" width="2.140625" style="21" customWidth="1"/>
    <col min="3869" max="3869" width="2" style="21" customWidth="1"/>
    <col min="3870" max="3871" width="1.7109375" style="21" customWidth="1"/>
    <col min="3872" max="3872" width="2.42578125" style="21" customWidth="1"/>
    <col min="3873" max="3873" width="2.28515625" style="21" customWidth="1"/>
    <col min="3874" max="3881" width="1.7109375" style="21" customWidth="1"/>
    <col min="3882" max="3882" width="2.85546875" style="21" customWidth="1"/>
    <col min="3883" max="3883" width="1.7109375" style="21" customWidth="1"/>
    <col min="3884" max="3884" width="2.5703125" style="21" customWidth="1"/>
    <col min="3885" max="3885" width="2.7109375" style="21" customWidth="1"/>
    <col min="3886" max="3889" width="1.7109375" style="21" customWidth="1"/>
    <col min="3890" max="4096" width="1.28515625" style="21" hidden="1"/>
    <col min="4097" max="4097" width="1.7109375" style="21" customWidth="1"/>
    <col min="4098" max="4098" width="3" style="21" customWidth="1"/>
    <col min="4099" max="4099" width="1.7109375" style="21" customWidth="1"/>
    <col min="4100" max="4100" width="2" style="21" customWidth="1"/>
    <col min="4101" max="4102" width="1.7109375" style="21" customWidth="1"/>
    <col min="4103" max="4103" width="2.28515625" style="21" customWidth="1"/>
    <col min="4104" max="4104" width="2.42578125" style="21" customWidth="1"/>
    <col min="4105" max="4119" width="1.7109375" style="21" customWidth="1"/>
    <col min="4120" max="4120" width="2.140625" style="21" customWidth="1"/>
    <col min="4121" max="4121" width="3" style="21" customWidth="1"/>
    <col min="4122" max="4122" width="1.7109375" style="21" customWidth="1"/>
    <col min="4123" max="4123" width="2" style="21" customWidth="1"/>
    <col min="4124" max="4124" width="2.140625" style="21" customWidth="1"/>
    <col min="4125" max="4125" width="2" style="21" customWidth="1"/>
    <col min="4126" max="4127" width="1.7109375" style="21" customWidth="1"/>
    <col min="4128" max="4128" width="2.42578125" style="21" customWidth="1"/>
    <col min="4129" max="4129" width="2.28515625" style="21" customWidth="1"/>
    <col min="4130" max="4137" width="1.7109375" style="21" customWidth="1"/>
    <col min="4138" max="4138" width="2.85546875" style="21" customWidth="1"/>
    <col min="4139" max="4139" width="1.7109375" style="21" customWidth="1"/>
    <col min="4140" max="4140" width="2.5703125" style="21" customWidth="1"/>
    <col min="4141" max="4141" width="2.7109375" style="21" customWidth="1"/>
    <col min="4142" max="4145" width="1.7109375" style="21" customWidth="1"/>
    <col min="4146" max="4352" width="1.28515625" style="21" hidden="1"/>
    <col min="4353" max="4353" width="1.7109375" style="21" customWidth="1"/>
    <col min="4354" max="4354" width="3" style="21" customWidth="1"/>
    <col min="4355" max="4355" width="1.7109375" style="21" customWidth="1"/>
    <col min="4356" max="4356" width="2" style="21" customWidth="1"/>
    <col min="4357" max="4358" width="1.7109375" style="21" customWidth="1"/>
    <col min="4359" max="4359" width="2.28515625" style="21" customWidth="1"/>
    <col min="4360" max="4360" width="2.42578125" style="21" customWidth="1"/>
    <col min="4361" max="4375" width="1.7109375" style="21" customWidth="1"/>
    <col min="4376" max="4376" width="2.140625" style="21" customWidth="1"/>
    <col min="4377" max="4377" width="3" style="21" customWidth="1"/>
    <col min="4378" max="4378" width="1.7109375" style="21" customWidth="1"/>
    <col min="4379" max="4379" width="2" style="21" customWidth="1"/>
    <col min="4380" max="4380" width="2.140625" style="21" customWidth="1"/>
    <col min="4381" max="4381" width="2" style="21" customWidth="1"/>
    <col min="4382" max="4383" width="1.7109375" style="21" customWidth="1"/>
    <col min="4384" max="4384" width="2.42578125" style="21" customWidth="1"/>
    <col min="4385" max="4385" width="2.28515625" style="21" customWidth="1"/>
    <col min="4386" max="4393" width="1.7109375" style="21" customWidth="1"/>
    <col min="4394" max="4394" width="2.85546875" style="21" customWidth="1"/>
    <col min="4395" max="4395" width="1.7109375" style="21" customWidth="1"/>
    <col min="4396" max="4396" width="2.5703125" style="21" customWidth="1"/>
    <col min="4397" max="4397" width="2.7109375" style="21" customWidth="1"/>
    <col min="4398" max="4401" width="1.7109375" style="21" customWidth="1"/>
    <col min="4402" max="4608" width="1.28515625" style="21" hidden="1"/>
    <col min="4609" max="4609" width="1.7109375" style="21" customWidth="1"/>
    <col min="4610" max="4610" width="3" style="21" customWidth="1"/>
    <col min="4611" max="4611" width="1.7109375" style="21" customWidth="1"/>
    <col min="4612" max="4612" width="2" style="21" customWidth="1"/>
    <col min="4613" max="4614" width="1.7109375" style="21" customWidth="1"/>
    <col min="4615" max="4615" width="2.28515625" style="21" customWidth="1"/>
    <col min="4616" max="4616" width="2.42578125" style="21" customWidth="1"/>
    <col min="4617" max="4631" width="1.7109375" style="21" customWidth="1"/>
    <col min="4632" max="4632" width="2.140625" style="21" customWidth="1"/>
    <col min="4633" max="4633" width="3" style="21" customWidth="1"/>
    <col min="4634" max="4634" width="1.7109375" style="21" customWidth="1"/>
    <col min="4635" max="4635" width="2" style="21" customWidth="1"/>
    <col min="4636" max="4636" width="2.140625" style="21" customWidth="1"/>
    <col min="4637" max="4637" width="2" style="21" customWidth="1"/>
    <col min="4638" max="4639" width="1.7109375" style="21" customWidth="1"/>
    <col min="4640" max="4640" width="2.42578125" style="21" customWidth="1"/>
    <col min="4641" max="4641" width="2.28515625" style="21" customWidth="1"/>
    <col min="4642" max="4649" width="1.7109375" style="21" customWidth="1"/>
    <col min="4650" max="4650" width="2.85546875" style="21" customWidth="1"/>
    <col min="4651" max="4651" width="1.7109375" style="21" customWidth="1"/>
    <col min="4652" max="4652" width="2.5703125" style="21" customWidth="1"/>
    <col min="4653" max="4653" width="2.7109375" style="21" customWidth="1"/>
    <col min="4654" max="4657" width="1.7109375" style="21" customWidth="1"/>
    <col min="4658" max="4864" width="1.28515625" style="21" hidden="1"/>
    <col min="4865" max="4865" width="1.7109375" style="21" customWidth="1"/>
    <col min="4866" max="4866" width="3" style="21" customWidth="1"/>
    <col min="4867" max="4867" width="1.7109375" style="21" customWidth="1"/>
    <col min="4868" max="4868" width="2" style="21" customWidth="1"/>
    <col min="4869" max="4870" width="1.7109375" style="21" customWidth="1"/>
    <col min="4871" max="4871" width="2.28515625" style="21" customWidth="1"/>
    <col min="4872" max="4872" width="2.42578125" style="21" customWidth="1"/>
    <col min="4873" max="4887" width="1.7109375" style="21" customWidth="1"/>
    <col min="4888" max="4888" width="2.140625" style="21" customWidth="1"/>
    <col min="4889" max="4889" width="3" style="21" customWidth="1"/>
    <col min="4890" max="4890" width="1.7109375" style="21" customWidth="1"/>
    <col min="4891" max="4891" width="2" style="21" customWidth="1"/>
    <col min="4892" max="4892" width="2.140625" style="21" customWidth="1"/>
    <col min="4893" max="4893" width="2" style="21" customWidth="1"/>
    <col min="4894" max="4895" width="1.7109375" style="21" customWidth="1"/>
    <col min="4896" max="4896" width="2.42578125" style="21" customWidth="1"/>
    <col min="4897" max="4897" width="2.28515625" style="21" customWidth="1"/>
    <col min="4898" max="4905" width="1.7109375" style="21" customWidth="1"/>
    <col min="4906" max="4906" width="2.85546875" style="21" customWidth="1"/>
    <col min="4907" max="4907" width="1.7109375" style="21" customWidth="1"/>
    <col min="4908" max="4908" width="2.5703125" style="21" customWidth="1"/>
    <col min="4909" max="4909" width="2.7109375" style="21" customWidth="1"/>
    <col min="4910" max="4913" width="1.7109375" style="21" customWidth="1"/>
    <col min="4914" max="5120" width="1.28515625" style="21" hidden="1"/>
    <col min="5121" max="5121" width="1.7109375" style="21" customWidth="1"/>
    <col min="5122" max="5122" width="3" style="21" customWidth="1"/>
    <col min="5123" max="5123" width="1.7109375" style="21" customWidth="1"/>
    <col min="5124" max="5124" width="2" style="21" customWidth="1"/>
    <col min="5125" max="5126" width="1.7109375" style="21" customWidth="1"/>
    <col min="5127" max="5127" width="2.28515625" style="21" customWidth="1"/>
    <col min="5128" max="5128" width="2.42578125" style="21" customWidth="1"/>
    <col min="5129" max="5143" width="1.7109375" style="21" customWidth="1"/>
    <col min="5144" max="5144" width="2.140625" style="21" customWidth="1"/>
    <col min="5145" max="5145" width="3" style="21" customWidth="1"/>
    <col min="5146" max="5146" width="1.7109375" style="21" customWidth="1"/>
    <col min="5147" max="5147" width="2" style="21" customWidth="1"/>
    <col min="5148" max="5148" width="2.140625" style="21" customWidth="1"/>
    <col min="5149" max="5149" width="2" style="21" customWidth="1"/>
    <col min="5150" max="5151" width="1.7109375" style="21" customWidth="1"/>
    <col min="5152" max="5152" width="2.42578125" style="21" customWidth="1"/>
    <col min="5153" max="5153" width="2.28515625" style="21" customWidth="1"/>
    <col min="5154" max="5161" width="1.7109375" style="21" customWidth="1"/>
    <col min="5162" max="5162" width="2.85546875" style="21" customWidth="1"/>
    <col min="5163" max="5163" width="1.7109375" style="21" customWidth="1"/>
    <col min="5164" max="5164" width="2.5703125" style="21" customWidth="1"/>
    <col min="5165" max="5165" width="2.7109375" style="21" customWidth="1"/>
    <col min="5166" max="5169" width="1.7109375" style="21" customWidth="1"/>
    <col min="5170" max="5376" width="1.28515625" style="21" hidden="1"/>
    <col min="5377" max="5377" width="1.7109375" style="21" customWidth="1"/>
    <col min="5378" max="5378" width="3" style="21" customWidth="1"/>
    <col min="5379" max="5379" width="1.7109375" style="21" customWidth="1"/>
    <col min="5380" max="5380" width="2" style="21" customWidth="1"/>
    <col min="5381" max="5382" width="1.7109375" style="21" customWidth="1"/>
    <col min="5383" max="5383" width="2.28515625" style="21" customWidth="1"/>
    <col min="5384" max="5384" width="2.42578125" style="21" customWidth="1"/>
    <col min="5385" max="5399" width="1.7109375" style="21" customWidth="1"/>
    <col min="5400" max="5400" width="2.140625" style="21" customWidth="1"/>
    <col min="5401" max="5401" width="3" style="21" customWidth="1"/>
    <col min="5402" max="5402" width="1.7109375" style="21" customWidth="1"/>
    <col min="5403" max="5403" width="2" style="21" customWidth="1"/>
    <col min="5404" max="5404" width="2.140625" style="21" customWidth="1"/>
    <col min="5405" max="5405" width="2" style="21" customWidth="1"/>
    <col min="5406" max="5407" width="1.7109375" style="21" customWidth="1"/>
    <col min="5408" max="5408" width="2.42578125" style="21" customWidth="1"/>
    <col min="5409" max="5409" width="2.28515625" style="21" customWidth="1"/>
    <col min="5410" max="5417" width="1.7109375" style="21" customWidth="1"/>
    <col min="5418" max="5418" width="2.85546875" style="21" customWidth="1"/>
    <col min="5419" max="5419" width="1.7109375" style="21" customWidth="1"/>
    <col min="5420" max="5420" width="2.5703125" style="21" customWidth="1"/>
    <col min="5421" max="5421" width="2.7109375" style="21" customWidth="1"/>
    <col min="5422" max="5425" width="1.7109375" style="21" customWidth="1"/>
    <col min="5426" max="5632" width="1.28515625" style="21" hidden="1"/>
    <col min="5633" max="5633" width="1.7109375" style="21" customWidth="1"/>
    <col min="5634" max="5634" width="3" style="21" customWidth="1"/>
    <col min="5635" max="5635" width="1.7109375" style="21" customWidth="1"/>
    <col min="5636" max="5636" width="2" style="21" customWidth="1"/>
    <col min="5637" max="5638" width="1.7109375" style="21" customWidth="1"/>
    <col min="5639" max="5639" width="2.28515625" style="21" customWidth="1"/>
    <col min="5640" max="5640" width="2.42578125" style="21" customWidth="1"/>
    <col min="5641" max="5655" width="1.7109375" style="21" customWidth="1"/>
    <col min="5656" max="5656" width="2.140625" style="21" customWidth="1"/>
    <col min="5657" max="5657" width="3" style="21" customWidth="1"/>
    <col min="5658" max="5658" width="1.7109375" style="21" customWidth="1"/>
    <col min="5659" max="5659" width="2" style="21" customWidth="1"/>
    <col min="5660" max="5660" width="2.140625" style="21" customWidth="1"/>
    <col min="5661" max="5661" width="2" style="21" customWidth="1"/>
    <col min="5662" max="5663" width="1.7109375" style="21" customWidth="1"/>
    <col min="5664" max="5664" width="2.42578125" style="21" customWidth="1"/>
    <col min="5665" max="5665" width="2.28515625" style="21" customWidth="1"/>
    <col min="5666" max="5673" width="1.7109375" style="21" customWidth="1"/>
    <col min="5674" max="5674" width="2.85546875" style="21" customWidth="1"/>
    <col min="5675" max="5675" width="1.7109375" style="21" customWidth="1"/>
    <col min="5676" max="5676" width="2.5703125" style="21" customWidth="1"/>
    <col min="5677" max="5677" width="2.7109375" style="21" customWidth="1"/>
    <col min="5678" max="5681" width="1.7109375" style="21" customWidth="1"/>
    <col min="5682" max="5888" width="1.28515625" style="21" hidden="1"/>
    <col min="5889" max="5889" width="1.7109375" style="21" customWidth="1"/>
    <col min="5890" max="5890" width="3" style="21" customWidth="1"/>
    <col min="5891" max="5891" width="1.7109375" style="21" customWidth="1"/>
    <col min="5892" max="5892" width="2" style="21" customWidth="1"/>
    <col min="5893" max="5894" width="1.7109375" style="21" customWidth="1"/>
    <col min="5895" max="5895" width="2.28515625" style="21" customWidth="1"/>
    <col min="5896" max="5896" width="2.42578125" style="21" customWidth="1"/>
    <col min="5897" max="5911" width="1.7109375" style="21" customWidth="1"/>
    <col min="5912" max="5912" width="2.140625" style="21" customWidth="1"/>
    <col min="5913" max="5913" width="3" style="21" customWidth="1"/>
    <col min="5914" max="5914" width="1.7109375" style="21" customWidth="1"/>
    <col min="5915" max="5915" width="2" style="21" customWidth="1"/>
    <col min="5916" max="5916" width="2.140625" style="21" customWidth="1"/>
    <col min="5917" max="5917" width="2" style="21" customWidth="1"/>
    <col min="5918" max="5919" width="1.7109375" style="21" customWidth="1"/>
    <col min="5920" max="5920" width="2.42578125" style="21" customWidth="1"/>
    <col min="5921" max="5921" width="2.28515625" style="21" customWidth="1"/>
    <col min="5922" max="5929" width="1.7109375" style="21" customWidth="1"/>
    <col min="5930" max="5930" width="2.85546875" style="21" customWidth="1"/>
    <col min="5931" max="5931" width="1.7109375" style="21" customWidth="1"/>
    <col min="5932" max="5932" width="2.5703125" style="21" customWidth="1"/>
    <col min="5933" max="5933" width="2.7109375" style="21" customWidth="1"/>
    <col min="5934" max="5937" width="1.7109375" style="21" customWidth="1"/>
    <col min="5938" max="6144" width="1.28515625" style="21" hidden="1"/>
    <col min="6145" max="6145" width="1.7109375" style="21" customWidth="1"/>
    <col min="6146" max="6146" width="3" style="21" customWidth="1"/>
    <col min="6147" max="6147" width="1.7109375" style="21" customWidth="1"/>
    <col min="6148" max="6148" width="2" style="21" customWidth="1"/>
    <col min="6149" max="6150" width="1.7109375" style="21" customWidth="1"/>
    <col min="6151" max="6151" width="2.28515625" style="21" customWidth="1"/>
    <col min="6152" max="6152" width="2.42578125" style="21" customWidth="1"/>
    <col min="6153" max="6167" width="1.7109375" style="21" customWidth="1"/>
    <col min="6168" max="6168" width="2.140625" style="21" customWidth="1"/>
    <col min="6169" max="6169" width="3" style="21" customWidth="1"/>
    <col min="6170" max="6170" width="1.7109375" style="21" customWidth="1"/>
    <col min="6171" max="6171" width="2" style="21" customWidth="1"/>
    <col min="6172" max="6172" width="2.140625" style="21" customWidth="1"/>
    <col min="6173" max="6173" width="2" style="21" customWidth="1"/>
    <col min="6174" max="6175" width="1.7109375" style="21" customWidth="1"/>
    <col min="6176" max="6176" width="2.42578125" style="21" customWidth="1"/>
    <col min="6177" max="6177" width="2.28515625" style="21" customWidth="1"/>
    <col min="6178" max="6185" width="1.7109375" style="21" customWidth="1"/>
    <col min="6186" max="6186" width="2.85546875" style="21" customWidth="1"/>
    <col min="6187" max="6187" width="1.7109375" style="21" customWidth="1"/>
    <col min="6188" max="6188" width="2.5703125" style="21" customWidth="1"/>
    <col min="6189" max="6189" width="2.7109375" style="21" customWidth="1"/>
    <col min="6190" max="6193" width="1.7109375" style="21" customWidth="1"/>
    <col min="6194" max="6400" width="1.28515625" style="21" hidden="1"/>
    <col min="6401" max="6401" width="1.7109375" style="21" customWidth="1"/>
    <col min="6402" max="6402" width="3" style="21" customWidth="1"/>
    <col min="6403" max="6403" width="1.7109375" style="21" customWidth="1"/>
    <col min="6404" max="6404" width="2" style="21" customWidth="1"/>
    <col min="6405" max="6406" width="1.7109375" style="21" customWidth="1"/>
    <col min="6407" max="6407" width="2.28515625" style="21" customWidth="1"/>
    <col min="6408" max="6408" width="2.42578125" style="21" customWidth="1"/>
    <col min="6409" max="6423" width="1.7109375" style="21" customWidth="1"/>
    <col min="6424" max="6424" width="2.140625" style="21" customWidth="1"/>
    <col min="6425" max="6425" width="3" style="21" customWidth="1"/>
    <col min="6426" max="6426" width="1.7109375" style="21" customWidth="1"/>
    <col min="6427" max="6427" width="2" style="21" customWidth="1"/>
    <col min="6428" max="6428" width="2.140625" style="21" customWidth="1"/>
    <col min="6429" max="6429" width="2" style="21" customWidth="1"/>
    <col min="6430" max="6431" width="1.7109375" style="21" customWidth="1"/>
    <col min="6432" max="6432" width="2.42578125" style="21" customWidth="1"/>
    <col min="6433" max="6433" width="2.28515625" style="21" customWidth="1"/>
    <col min="6434" max="6441" width="1.7109375" style="21" customWidth="1"/>
    <col min="6442" max="6442" width="2.85546875" style="21" customWidth="1"/>
    <col min="6443" max="6443" width="1.7109375" style="21" customWidth="1"/>
    <col min="6444" max="6444" width="2.5703125" style="21" customWidth="1"/>
    <col min="6445" max="6445" width="2.7109375" style="21" customWidth="1"/>
    <col min="6446" max="6449" width="1.7109375" style="21" customWidth="1"/>
    <col min="6450" max="6656" width="1.28515625" style="21" hidden="1"/>
    <col min="6657" max="6657" width="1.7109375" style="21" customWidth="1"/>
    <col min="6658" max="6658" width="3" style="21" customWidth="1"/>
    <col min="6659" max="6659" width="1.7109375" style="21" customWidth="1"/>
    <col min="6660" max="6660" width="2" style="21" customWidth="1"/>
    <col min="6661" max="6662" width="1.7109375" style="21" customWidth="1"/>
    <col min="6663" max="6663" width="2.28515625" style="21" customWidth="1"/>
    <col min="6664" max="6664" width="2.42578125" style="21" customWidth="1"/>
    <col min="6665" max="6679" width="1.7109375" style="21" customWidth="1"/>
    <col min="6680" max="6680" width="2.140625" style="21" customWidth="1"/>
    <col min="6681" max="6681" width="3" style="21" customWidth="1"/>
    <col min="6682" max="6682" width="1.7109375" style="21" customWidth="1"/>
    <col min="6683" max="6683" width="2" style="21" customWidth="1"/>
    <col min="6684" max="6684" width="2.140625" style="21" customWidth="1"/>
    <col min="6685" max="6685" width="2" style="21" customWidth="1"/>
    <col min="6686" max="6687" width="1.7109375" style="21" customWidth="1"/>
    <col min="6688" max="6688" width="2.42578125" style="21" customWidth="1"/>
    <col min="6689" max="6689" width="2.28515625" style="21" customWidth="1"/>
    <col min="6690" max="6697" width="1.7109375" style="21" customWidth="1"/>
    <col min="6698" max="6698" width="2.85546875" style="21" customWidth="1"/>
    <col min="6699" max="6699" width="1.7109375" style="21" customWidth="1"/>
    <col min="6700" max="6700" width="2.5703125" style="21" customWidth="1"/>
    <col min="6701" max="6701" width="2.7109375" style="21" customWidth="1"/>
    <col min="6702" max="6705" width="1.7109375" style="21" customWidth="1"/>
    <col min="6706" max="6912" width="1.28515625" style="21" hidden="1"/>
    <col min="6913" max="6913" width="1.7109375" style="21" customWidth="1"/>
    <col min="6914" max="6914" width="3" style="21" customWidth="1"/>
    <col min="6915" max="6915" width="1.7109375" style="21" customWidth="1"/>
    <col min="6916" max="6916" width="2" style="21" customWidth="1"/>
    <col min="6917" max="6918" width="1.7109375" style="21" customWidth="1"/>
    <col min="6919" max="6919" width="2.28515625" style="21" customWidth="1"/>
    <col min="6920" max="6920" width="2.42578125" style="21" customWidth="1"/>
    <col min="6921" max="6935" width="1.7109375" style="21" customWidth="1"/>
    <col min="6936" max="6936" width="2.140625" style="21" customWidth="1"/>
    <col min="6937" max="6937" width="3" style="21" customWidth="1"/>
    <col min="6938" max="6938" width="1.7109375" style="21" customWidth="1"/>
    <col min="6939" max="6939" width="2" style="21" customWidth="1"/>
    <col min="6940" max="6940" width="2.140625" style="21" customWidth="1"/>
    <col min="6941" max="6941" width="2" style="21" customWidth="1"/>
    <col min="6942" max="6943" width="1.7109375" style="21" customWidth="1"/>
    <col min="6944" max="6944" width="2.42578125" style="21" customWidth="1"/>
    <col min="6945" max="6945" width="2.28515625" style="21" customWidth="1"/>
    <col min="6946" max="6953" width="1.7109375" style="21" customWidth="1"/>
    <col min="6954" max="6954" width="2.85546875" style="21" customWidth="1"/>
    <col min="6955" max="6955" width="1.7109375" style="21" customWidth="1"/>
    <col min="6956" max="6956" width="2.5703125" style="21" customWidth="1"/>
    <col min="6957" max="6957" width="2.7109375" style="21" customWidth="1"/>
    <col min="6958" max="6961" width="1.7109375" style="21" customWidth="1"/>
    <col min="6962" max="7168" width="1.28515625" style="21" hidden="1"/>
    <col min="7169" max="7169" width="1.7109375" style="21" customWidth="1"/>
    <col min="7170" max="7170" width="3" style="21" customWidth="1"/>
    <col min="7171" max="7171" width="1.7109375" style="21" customWidth="1"/>
    <col min="7172" max="7172" width="2" style="21" customWidth="1"/>
    <col min="7173" max="7174" width="1.7109375" style="21" customWidth="1"/>
    <col min="7175" max="7175" width="2.28515625" style="21" customWidth="1"/>
    <col min="7176" max="7176" width="2.42578125" style="21" customWidth="1"/>
    <col min="7177" max="7191" width="1.7109375" style="21" customWidth="1"/>
    <col min="7192" max="7192" width="2.140625" style="21" customWidth="1"/>
    <col min="7193" max="7193" width="3" style="21" customWidth="1"/>
    <col min="7194" max="7194" width="1.7109375" style="21" customWidth="1"/>
    <col min="7195" max="7195" width="2" style="21" customWidth="1"/>
    <col min="7196" max="7196" width="2.140625" style="21" customWidth="1"/>
    <col min="7197" max="7197" width="2" style="21" customWidth="1"/>
    <col min="7198" max="7199" width="1.7109375" style="21" customWidth="1"/>
    <col min="7200" max="7200" width="2.42578125" style="21" customWidth="1"/>
    <col min="7201" max="7201" width="2.28515625" style="21" customWidth="1"/>
    <col min="7202" max="7209" width="1.7109375" style="21" customWidth="1"/>
    <col min="7210" max="7210" width="2.85546875" style="21" customWidth="1"/>
    <col min="7211" max="7211" width="1.7109375" style="21" customWidth="1"/>
    <col min="7212" max="7212" width="2.5703125" style="21" customWidth="1"/>
    <col min="7213" max="7213" width="2.7109375" style="21" customWidth="1"/>
    <col min="7214" max="7217" width="1.7109375" style="21" customWidth="1"/>
    <col min="7218" max="7424" width="1.28515625" style="21" hidden="1"/>
    <col min="7425" max="7425" width="1.7109375" style="21" customWidth="1"/>
    <col min="7426" max="7426" width="3" style="21" customWidth="1"/>
    <col min="7427" max="7427" width="1.7109375" style="21" customWidth="1"/>
    <col min="7428" max="7428" width="2" style="21" customWidth="1"/>
    <col min="7429" max="7430" width="1.7109375" style="21" customWidth="1"/>
    <col min="7431" max="7431" width="2.28515625" style="21" customWidth="1"/>
    <col min="7432" max="7432" width="2.42578125" style="21" customWidth="1"/>
    <col min="7433" max="7447" width="1.7109375" style="21" customWidth="1"/>
    <col min="7448" max="7448" width="2.140625" style="21" customWidth="1"/>
    <col min="7449" max="7449" width="3" style="21" customWidth="1"/>
    <col min="7450" max="7450" width="1.7109375" style="21" customWidth="1"/>
    <col min="7451" max="7451" width="2" style="21" customWidth="1"/>
    <col min="7452" max="7452" width="2.140625" style="21" customWidth="1"/>
    <col min="7453" max="7453" width="2" style="21" customWidth="1"/>
    <col min="7454" max="7455" width="1.7109375" style="21" customWidth="1"/>
    <col min="7456" max="7456" width="2.42578125" style="21" customWidth="1"/>
    <col min="7457" max="7457" width="2.28515625" style="21" customWidth="1"/>
    <col min="7458" max="7465" width="1.7109375" style="21" customWidth="1"/>
    <col min="7466" max="7466" width="2.85546875" style="21" customWidth="1"/>
    <col min="7467" max="7467" width="1.7109375" style="21" customWidth="1"/>
    <col min="7468" max="7468" width="2.5703125" style="21" customWidth="1"/>
    <col min="7469" max="7469" width="2.7109375" style="21" customWidth="1"/>
    <col min="7470" max="7473" width="1.7109375" style="21" customWidth="1"/>
    <col min="7474" max="7680" width="1.28515625" style="21" hidden="1"/>
    <col min="7681" max="7681" width="1.7109375" style="21" customWidth="1"/>
    <col min="7682" max="7682" width="3" style="21" customWidth="1"/>
    <col min="7683" max="7683" width="1.7109375" style="21" customWidth="1"/>
    <col min="7684" max="7684" width="2" style="21" customWidth="1"/>
    <col min="7685" max="7686" width="1.7109375" style="21" customWidth="1"/>
    <col min="7687" max="7687" width="2.28515625" style="21" customWidth="1"/>
    <col min="7688" max="7688" width="2.42578125" style="21" customWidth="1"/>
    <col min="7689" max="7703" width="1.7109375" style="21" customWidth="1"/>
    <col min="7704" max="7704" width="2.140625" style="21" customWidth="1"/>
    <col min="7705" max="7705" width="3" style="21" customWidth="1"/>
    <col min="7706" max="7706" width="1.7109375" style="21" customWidth="1"/>
    <col min="7707" max="7707" width="2" style="21" customWidth="1"/>
    <col min="7708" max="7708" width="2.140625" style="21" customWidth="1"/>
    <col min="7709" max="7709" width="2" style="21" customWidth="1"/>
    <col min="7710" max="7711" width="1.7109375" style="21" customWidth="1"/>
    <col min="7712" max="7712" width="2.42578125" style="21" customWidth="1"/>
    <col min="7713" max="7713" width="2.28515625" style="21" customWidth="1"/>
    <col min="7714" max="7721" width="1.7109375" style="21" customWidth="1"/>
    <col min="7722" max="7722" width="2.85546875" style="21" customWidth="1"/>
    <col min="7723" max="7723" width="1.7109375" style="21" customWidth="1"/>
    <col min="7724" max="7724" width="2.5703125" style="21" customWidth="1"/>
    <col min="7725" max="7725" width="2.7109375" style="21" customWidth="1"/>
    <col min="7726" max="7729" width="1.7109375" style="21" customWidth="1"/>
    <col min="7730" max="7936" width="1.28515625" style="21" hidden="1"/>
    <col min="7937" max="7937" width="1.7109375" style="21" customWidth="1"/>
    <col min="7938" max="7938" width="3" style="21" customWidth="1"/>
    <col min="7939" max="7939" width="1.7109375" style="21" customWidth="1"/>
    <col min="7940" max="7940" width="2" style="21" customWidth="1"/>
    <col min="7941" max="7942" width="1.7109375" style="21" customWidth="1"/>
    <col min="7943" max="7943" width="2.28515625" style="21" customWidth="1"/>
    <col min="7944" max="7944" width="2.42578125" style="21" customWidth="1"/>
    <col min="7945" max="7959" width="1.7109375" style="21" customWidth="1"/>
    <col min="7960" max="7960" width="2.140625" style="21" customWidth="1"/>
    <col min="7961" max="7961" width="3" style="21" customWidth="1"/>
    <col min="7962" max="7962" width="1.7109375" style="21" customWidth="1"/>
    <col min="7963" max="7963" width="2" style="21" customWidth="1"/>
    <col min="7964" max="7964" width="2.140625" style="21" customWidth="1"/>
    <col min="7965" max="7965" width="2" style="21" customWidth="1"/>
    <col min="7966" max="7967" width="1.7109375" style="21" customWidth="1"/>
    <col min="7968" max="7968" width="2.42578125" style="21" customWidth="1"/>
    <col min="7969" max="7969" width="2.28515625" style="21" customWidth="1"/>
    <col min="7970" max="7977" width="1.7109375" style="21" customWidth="1"/>
    <col min="7978" max="7978" width="2.85546875" style="21" customWidth="1"/>
    <col min="7979" max="7979" width="1.7109375" style="21" customWidth="1"/>
    <col min="7980" max="7980" width="2.5703125" style="21" customWidth="1"/>
    <col min="7981" max="7981" width="2.7109375" style="21" customWidth="1"/>
    <col min="7982" max="7985" width="1.7109375" style="21" customWidth="1"/>
    <col min="7986" max="8192" width="1.28515625" style="21" hidden="1"/>
    <col min="8193" max="8193" width="1.7109375" style="21" customWidth="1"/>
    <col min="8194" max="8194" width="3" style="21" customWidth="1"/>
    <col min="8195" max="8195" width="1.7109375" style="21" customWidth="1"/>
    <col min="8196" max="8196" width="2" style="21" customWidth="1"/>
    <col min="8197" max="8198" width="1.7109375" style="21" customWidth="1"/>
    <col min="8199" max="8199" width="2.28515625" style="21" customWidth="1"/>
    <col min="8200" max="8200" width="2.42578125" style="21" customWidth="1"/>
    <col min="8201" max="8215" width="1.7109375" style="21" customWidth="1"/>
    <col min="8216" max="8216" width="2.140625" style="21" customWidth="1"/>
    <col min="8217" max="8217" width="3" style="21" customWidth="1"/>
    <col min="8218" max="8218" width="1.7109375" style="21" customWidth="1"/>
    <col min="8219" max="8219" width="2" style="21" customWidth="1"/>
    <col min="8220" max="8220" width="2.140625" style="21" customWidth="1"/>
    <col min="8221" max="8221" width="2" style="21" customWidth="1"/>
    <col min="8222" max="8223" width="1.7109375" style="21" customWidth="1"/>
    <col min="8224" max="8224" width="2.42578125" style="21" customWidth="1"/>
    <col min="8225" max="8225" width="2.28515625" style="21" customWidth="1"/>
    <col min="8226" max="8233" width="1.7109375" style="21" customWidth="1"/>
    <col min="8234" max="8234" width="2.85546875" style="21" customWidth="1"/>
    <col min="8235" max="8235" width="1.7109375" style="21" customWidth="1"/>
    <col min="8236" max="8236" width="2.5703125" style="21" customWidth="1"/>
    <col min="8237" max="8237" width="2.7109375" style="21" customWidth="1"/>
    <col min="8238" max="8241" width="1.7109375" style="21" customWidth="1"/>
    <col min="8242" max="8448" width="1.28515625" style="21" hidden="1"/>
    <col min="8449" max="8449" width="1.7109375" style="21" customWidth="1"/>
    <col min="8450" max="8450" width="3" style="21" customWidth="1"/>
    <col min="8451" max="8451" width="1.7109375" style="21" customWidth="1"/>
    <col min="8452" max="8452" width="2" style="21" customWidth="1"/>
    <col min="8453" max="8454" width="1.7109375" style="21" customWidth="1"/>
    <col min="8455" max="8455" width="2.28515625" style="21" customWidth="1"/>
    <col min="8456" max="8456" width="2.42578125" style="21" customWidth="1"/>
    <col min="8457" max="8471" width="1.7109375" style="21" customWidth="1"/>
    <col min="8472" max="8472" width="2.140625" style="21" customWidth="1"/>
    <col min="8473" max="8473" width="3" style="21" customWidth="1"/>
    <col min="8474" max="8474" width="1.7109375" style="21" customWidth="1"/>
    <col min="8475" max="8475" width="2" style="21" customWidth="1"/>
    <col min="8476" max="8476" width="2.140625" style="21" customWidth="1"/>
    <col min="8477" max="8477" width="2" style="21" customWidth="1"/>
    <col min="8478" max="8479" width="1.7109375" style="21" customWidth="1"/>
    <col min="8480" max="8480" width="2.42578125" style="21" customWidth="1"/>
    <col min="8481" max="8481" width="2.28515625" style="21" customWidth="1"/>
    <col min="8482" max="8489" width="1.7109375" style="21" customWidth="1"/>
    <col min="8490" max="8490" width="2.85546875" style="21" customWidth="1"/>
    <col min="8491" max="8491" width="1.7109375" style="21" customWidth="1"/>
    <col min="8492" max="8492" width="2.5703125" style="21" customWidth="1"/>
    <col min="8493" max="8493" width="2.7109375" style="21" customWidth="1"/>
    <col min="8494" max="8497" width="1.7109375" style="21" customWidth="1"/>
    <col min="8498" max="8704" width="1.28515625" style="21" hidden="1"/>
    <col min="8705" max="8705" width="1.7109375" style="21" customWidth="1"/>
    <col min="8706" max="8706" width="3" style="21" customWidth="1"/>
    <col min="8707" max="8707" width="1.7109375" style="21" customWidth="1"/>
    <col min="8708" max="8708" width="2" style="21" customWidth="1"/>
    <col min="8709" max="8710" width="1.7109375" style="21" customWidth="1"/>
    <col min="8711" max="8711" width="2.28515625" style="21" customWidth="1"/>
    <col min="8712" max="8712" width="2.42578125" style="21" customWidth="1"/>
    <col min="8713" max="8727" width="1.7109375" style="21" customWidth="1"/>
    <col min="8728" max="8728" width="2.140625" style="21" customWidth="1"/>
    <col min="8729" max="8729" width="3" style="21" customWidth="1"/>
    <col min="8730" max="8730" width="1.7109375" style="21" customWidth="1"/>
    <col min="8731" max="8731" width="2" style="21" customWidth="1"/>
    <col min="8732" max="8732" width="2.140625" style="21" customWidth="1"/>
    <col min="8733" max="8733" width="2" style="21" customWidth="1"/>
    <col min="8734" max="8735" width="1.7109375" style="21" customWidth="1"/>
    <col min="8736" max="8736" width="2.42578125" style="21" customWidth="1"/>
    <col min="8737" max="8737" width="2.28515625" style="21" customWidth="1"/>
    <col min="8738" max="8745" width="1.7109375" style="21" customWidth="1"/>
    <col min="8746" max="8746" width="2.85546875" style="21" customWidth="1"/>
    <col min="8747" max="8747" width="1.7109375" style="21" customWidth="1"/>
    <col min="8748" max="8748" width="2.5703125" style="21" customWidth="1"/>
    <col min="8749" max="8749" width="2.7109375" style="21" customWidth="1"/>
    <col min="8750" max="8753" width="1.7109375" style="21" customWidth="1"/>
    <col min="8754" max="8960" width="1.28515625" style="21" hidden="1"/>
    <col min="8961" max="8961" width="1.7109375" style="21" customWidth="1"/>
    <col min="8962" max="8962" width="3" style="21" customWidth="1"/>
    <col min="8963" max="8963" width="1.7109375" style="21" customWidth="1"/>
    <col min="8964" max="8964" width="2" style="21" customWidth="1"/>
    <col min="8965" max="8966" width="1.7109375" style="21" customWidth="1"/>
    <col min="8967" max="8967" width="2.28515625" style="21" customWidth="1"/>
    <col min="8968" max="8968" width="2.42578125" style="21" customWidth="1"/>
    <col min="8969" max="8983" width="1.7109375" style="21" customWidth="1"/>
    <col min="8984" max="8984" width="2.140625" style="21" customWidth="1"/>
    <col min="8985" max="8985" width="3" style="21" customWidth="1"/>
    <col min="8986" max="8986" width="1.7109375" style="21" customWidth="1"/>
    <col min="8987" max="8987" width="2" style="21" customWidth="1"/>
    <col min="8988" max="8988" width="2.140625" style="21" customWidth="1"/>
    <col min="8989" max="8989" width="2" style="21" customWidth="1"/>
    <col min="8990" max="8991" width="1.7109375" style="21" customWidth="1"/>
    <col min="8992" max="8992" width="2.42578125" style="21" customWidth="1"/>
    <col min="8993" max="8993" width="2.28515625" style="21" customWidth="1"/>
    <col min="8994" max="9001" width="1.7109375" style="21" customWidth="1"/>
    <col min="9002" max="9002" width="2.85546875" style="21" customWidth="1"/>
    <col min="9003" max="9003" width="1.7109375" style="21" customWidth="1"/>
    <col min="9004" max="9004" width="2.5703125" style="21" customWidth="1"/>
    <col min="9005" max="9005" width="2.7109375" style="21" customWidth="1"/>
    <col min="9006" max="9009" width="1.7109375" style="21" customWidth="1"/>
    <col min="9010" max="9216" width="1.28515625" style="21" hidden="1"/>
    <col min="9217" max="9217" width="1.7109375" style="21" customWidth="1"/>
    <col min="9218" max="9218" width="3" style="21" customWidth="1"/>
    <col min="9219" max="9219" width="1.7109375" style="21" customWidth="1"/>
    <col min="9220" max="9220" width="2" style="21" customWidth="1"/>
    <col min="9221" max="9222" width="1.7109375" style="21" customWidth="1"/>
    <col min="9223" max="9223" width="2.28515625" style="21" customWidth="1"/>
    <col min="9224" max="9224" width="2.42578125" style="21" customWidth="1"/>
    <col min="9225" max="9239" width="1.7109375" style="21" customWidth="1"/>
    <col min="9240" max="9240" width="2.140625" style="21" customWidth="1"/>
    <col min="9241" max="9241" width="3" style="21" customWidth="1"/>
    <col min="9242" max="9242" width="1.7109375" style="21" customWidth="1"/>
    <col min="9243" max="9243" width="2" style="21" customWidth="1"/>
    <col min="9244" max="9244" width="2.140625" style="21" customWidth="1"/>
    <col min="9245" max="9245" width="2" style="21" customWidth="1"/>
    <col min="9246" max="9247" width="1.7109375" style="21" customWidth="1"/>
    <col min="9248" max="9248" width="2.42578125" style="21" customWidth="1"/>
    <col min="9249" max="9249" width="2.28515625" style="21" customWidth="1"/>
    <col min="9250" max="9257" width="1.7109375" style="21" customWidth="1"/>
    <col min="9258" max="9258" width="2.85546875" style="21" customWidth="1"/>
    <col min="9259" max="9259" width="1.7109375" style="21" customWidth="1"/>
    <col min="9260" max="9260" width="2.5703125" style="21" customWidth="1"/>
    <col min="9261" max="9261" width="2.7109375" style="21" customWidth="1"/>
    <col min="9262" max="9265" width="1.7109375" style="21" customWidth="1"/>
    <col min="9266" max="9472" width="1.28515625" style="21" hidden="1"/>
    <col min="9473" max="9473" width="1.7109375" style="21" customWidth="1"/>
    <col min="9474" max="9474" width="3" style="21" customWidth="1"/>
    <col min="9475" max="9475" width="1.7109375" style="21" customWidth="1"/>
    <col min="9476" max="9476" width="2" style="21" customWidth="1"/>
    <col min="9477" max="9478" width="1.7109375" style="21" customWidth="1"/>
    <col min="9479" max="9479" width="2.28515625" style="21" customWidth="1"/>
    <col min="9480" max="9480" width="2.42578125" style="21" customWidth="1"/>
    <col min="9481" max="9495" width="1.7109375" style="21" customWidth="1"/>
    <col min="9496" max="9496" width="2.140625" style="21" customWidth="1"/>
    <col min="9497" max="9497" width="3" style="21" customWidth="1"/>
    <col min="9498" max="9498" width="1.7109375" style="21" customWidth="1"/>
    <col min="9499" max="9499" width="2" style="21" customWidth="1"/>
    <col min="9500" max="9500" width="2.140625" style="21" customWidth="1"/>
    <col min="9501" max="9501" width="2" style="21" customWidth="1"/>
    <col min="9502" max="9503" width="1.7109375" style="21" customWidth="1"/>
    <col min="9504" max="9504" width="2.42578125" style="21" customWidth="1"/>
    <col min="9505" max="9505" width="2.28515625" style="21" customWidth="1"/>
    <col min="9506" max="9513" width="1.7109375" style="21" customWidth="1"/>
    <col min="9514" max="9514" width="2.85546875" style="21" customWidth="1"/>
    <col min="9515" max="9515" width="1.7109375" style="21" customWidth="1"/>
    <col min="9516" max="9516" width="2.5703125" style="21" customWidth="1"/>
    <col min="9517" max="9517" width="2.7109375" style="21" customWidth="1"/>
    <col min="9518" max="9521" width="1.7109375" style="21" customWidth="1"/>
    <col min="9522" max="9728" width="1.28515625" style="21" hidden="1"/>
    <col min="9729" max="9729" width="1.7109375" style="21" customWidth="1"/>
    <col min="9730" max="9730" width="3" style="21" customWidth="1"/>
    <col min="9731" max="9731" width="1.7109375" style="21" customWidth="1"/>
    <col min="9732" max="9732" width="2" style="21" customWidth="1"/>
    <col min="9733" max="9734" width="1.7109375" style="21" customWidth="1"/>
    <col min="9735" max="9735" width="2.28515625" style="21" customWidth="1"/>
    <col min="9736" max="9736" width="2.42578125" style="21" customWidth="1"/>
    <col min="9737" max="9751" width="1.7109375" style="21" customWidth="1"/>
    <col min="9752" max="9752" width="2.140625" style="21" customWidth="1"/>
    <col min="9753" max="9753" width="3" style="21" customWidth="1"/>
    <col min="9754" max="9754" width="1.7109375" style="21" customWidth="1"/>
    <col min="9755" max="9755" width="2" style="21" customWidth="1"/>
    <col min="9756" max="9756" width="2.140625" style="21" customWidth="1"/>
    <col min="9757" max="9757" width="2" style="21" customWidth="1"/>
    <col min="9758" max="9759" width="1.7109375" style="21" customWidth="1"/>
    <col min="9760" max="9760" width="2.42578125" style="21" customWidth="1"/>
    <col min="9761" max="9761" width="2.28515625" style="21" customWidth="1"/>
    <col min="9762" max="9769" width="1.7109375" style="21" customWidth="1"/>
    <col min="9770" max="9770" width="2.85546875" style="21" customWidth="1"/>
    <col min="9771" max="9771" width="1.7109375" style="21" customWidth="1"/>
    <col min="9772" max="9772" width="2.5703125" style="21" customWidth="1"/>
    <col min="9773" max="9773" width="2.7109375" style="21" customWidth="1"/>
    <col min="9774" max="9777" width="1.7109375" style="21" customWidth="1"/>
    <col min="9778" max="9984" width="1.28515625" style="21" hidden="1"/>
    <col min="9985" max="9985" width="1.7109375" style="21" customWidth="1"/>
    <col min="9986" max="9986" width="3" style="21" customWidth="1"/>
    <col min="9987" max="9987" width="1.7109375" style="21" customWidth="1"/>
    <col min="9988" max="9988" width="2" style="21" customWidth="1"/>
    <col min="9989" max="9990" width="1.7109375" style="21" customWidth="1"/>
    <col min="9991" max="9991" width="2.28515625" style="21" customWidth="1"/>
    <col min="9992" max="9992" width="2.42578125" style="21" customWidth="1"/>
    <col min="9993" max="10007" width="1.7109375" style="21" customWidth="1"/>
    <col min="10008" max="10008" width="2.140625" style="21" customWidth="1"/>
    <col min="10009" max="10009" width="3" style="21" customWidth="1"/>
    <col min="10010" max="10010" width="1.7109375" style="21" customWidth="1"/>
    <col min="10011" max="10011" width="2" style="21" customWidth="1"/>
    <col min="10012" max="10012" width="2.140625" style="21" customWidth="1"/>
    <col min="10013" max="10013" width="2" style="21" customWidth="1"/>
    <col min="10014" max="10015" width="1.7109375" style="21" customWidth="1"/>
    <col min="10016" max="10016" width="2.42578125" style="21" customWidth="1"/>
    <col min="10017" max="10017" width="2.28515625" style="21" customWidth="1"/>
    <col min="10018" max="10025" width="1.7109375" style="21" customWidth="1"/>
    <col min="10026" max="10026" width="2.85546875" style="21" customWidth="1"/>
    <col min="10027" max="10027" width="1.7109375" style="21" customWidth="1"/>
    <col min="10028" max="10028" width="2.5703125" style="21" customWidth="1"/>
    <col min="10029" max="10029" width="2.7109375" style="21" customWidth="1"/>
    <col min="10030" max="10033" width="1.7109375" style="21" customWidth="1"/>
    <col min="10034" max="10240" width="1.28515625" style="21" hidden="1"/>
    <col min="10241" max="10241" width="1.7109375" style="21" customWidth="1"/>
    <col min="10242" max="10242" width="3" style="21" customWidth="1"/>
    <col min="10243" max="10243" width="1.7109375" style="21" customWidth="1"/>
    <col min="10244" max="10244" width="2" style="21" customWidth="1"/>
    <col min="10245" max="10246" width="1.7109375" style="21" customWidth="1"/>
    <col min="10247" max="10247" width="2.28515625" style="21" customWidth="1"/>
    <col min="10248" max="10248" width="2.42578125" style="21" customWidth="1"/>
    <col min="10249" max="10263" width="1.7109375" style="21" customWidth="1"/>
    <col min="10264" max="10264" width="2.140625" style="21" customWidth="1"/>
    <col min="10265" max="10265" width="3" style="21" customWidth="1"/>
    <col min="10266" max="10266" width="1.7109375" style="21" customWidth="1"/>
    <col min="10267" max="10267" width="2" style="21" customWidth="1"/>
    <col min="10268" max="10268" width="2.140625" style="21" customWidth="1"/>
    <col min="10269" max="10269" width="2" style="21" customWidth="1"/>
    <col min="10270" max="10271" width="1.7109375" style="21" customWidth="1"/>
    <col min="10272" max="10272" width="2.42578125" style="21" customWidth="1"/>
    <col min="10273" max="10273" width="2.28515625" style="21" customWidth="1"/>
    <col min="10274" max="10281" width="1.7109375" style="21" customWidth="1"/>
    <col min="10282" max="10282" width="2.85546875" style="21" customWidth="1"/>
    <col min="10283" max="10283" width="1.7109375" style="21" customWidth="1"/>
    <col min="10284" max="10284" width="2.5703125" style="21" customWidth="1"/>
    <col min="10285" max="10285" width="2.7109375" style="21" customWidth="1"/>
    <col min="10286" max="10289" width="1.7109375" style="21" customWidth="1"/>
    <col min="10290" max="10496" width="1.28515625" style="21" hidden="1"/>
    <col min="10497" max="10497" width="1.7109375" style="21" customWidth="1"/>
    <col min="10498" max="10498" width="3" style="21" customWidth="1"/>
    <col min="10499" max="10499" width="1.7109375" style="21" customWidth="1"/>
    <col min="10500" max="10500" width="2" style="21" customWidth="1"/>
    <col min="10501" max="10502" width="1.7109375" style="21" customWidth="1"/>
    <col min="10503" max="10503" width="2.28515625" style="21" customWidth="1"/>
    <col min="10504" max="10504" width="2.42578125" style="21" customWidth="1"/>
    <col min="10505" max="10519" width="1.7109375" style="21" customWidth="1"/>
    <col min="10520" max="10520" width="2.140625" style="21" customWidth="1"/>
    <col min="10521" max="10521" width="3" style="21" customWidth="1"/>
    <col min="10522" max="10522" width="1.7109375" style="21" customWidth="1"/>
    <col min="10523" max="10523" width="2" style="21" customWidth="1"/>
    <col min="10524" max="10524" width="2.140625" style="21" customWidth="1"/>
    <col min="10525" max="10525" width="2" style="21" customWidth="1"/>
    <col min="10526" max="10527" width="1.7109375" style="21" customWidth="1"/>
    <col min="10528" max="10528" width="2.42578125" style="21" customWidth="1"/>
    <col min="10529" max="10529" width="2.28515625" style="21" customWidth="1"/>
    <col min="10530" max="10537" width="1.7109375" style="21" customWidth="1"/>
    <col min="10538" max="10538" width="2.85546875" style="21" customWidth="1"/>
    <col min="10539" max="10539" width="1.7109375" style="21" customWidth="1"/>
    <col min="10540" max="10540" width="2.5703125" style="21" customWidth="1"/>
    <col min="10541" max="10541" width="2.7109375" style="21" customWidth="1"/>
    <col min="10542" max="10545" width="1.7109375" style="21" customWidth="1"/>
    <col min="10546" max="10752" width="1.28515625" style="21" hidden="1"/>
    <col min="10753" max="10753" width="1.7109375" style="21" customWidth="1"/>
    <col min="10754" max="10754" width="3" style="21" customWidth="1"/>
    <col min="10755" max="10755" width="1.7109375" style="21" customWidth="1"/>
    <col min="10756" max="10756" width="2" style="21" customWidth="1"/>
    <col min="10757" max="10758" width="1.7109375" style="21" customWidth="1"/>
    <col min="10759" max="10759" width="2.28515625" style="21" customWidth="1"/>
    <col min="10760" max="10760" width="2.42578125" style="21" customWidth="1"/>
    <col min="10761" max="10775" width="1.7109375" style="21" customWidth="1"/>
    <col min="10776" max="10776" width="2.140625" style="21" customWidth="1"/>
    <col min="10777" max="10777" width="3" style="21" customWidth="1"/>
    <col min="10778" max="10778" width="1.7109375" style="21" customWidth="1"/>
    <col min="10779" max="10779" width="2" style="21" customWidth="1"/>
    <col min="10780" max="10780" width="2.140625" style="21" customWidth="1"/>
    <col min="10781" max="10781" width="2" style="21" customWidth="1"/>
    <col min="10782" max="10783" width="1.7109375" style="21" customWidth="1"/>
    <col min="10784" max="10784" width="2.42578125" style="21" customWidth="1"/>
    <col min="10785" max="10785" width="2.28515625" style="21" customWidth="1"/>
    <col min="10786" max="10793" width="1.7109375" style="21" customWidth="1"/>
    <col min="10794" max="10794" width="2.85546875" style="21" customWidth="1"/>
    <col min="10795" max="10795" width="1.7109375" style="21" customWidth="1"/>
    <col min="10796" max="10796" width="2.5703125" style="21" customWidth="1"/>
    <col min="10797" max="10797" width="2.7109375" style="21" customWidth="1"/>
    <col min="10798" max="10801" width="1.7109375" style="21" customWidth="1"/>
    <col min="10802" max="11008" width="1.28515625" style="21" hidden="1"/>
    <col min="11009" max="11009" width="1.7109375" style="21" customWidth="1"/>
    <col min="11010" max="11010" width="3" style="21" customWidth="1"/>
    <col min="11011" max="11011" width="1.7109375" style="21" customWidth="1"/>
    <col min="11012" max="11012" width="2" style="21" customWidth="1"/>
    <col min="11013" max="11014" width="1.7109375" style="21" customWidth="1"/>
    <col min="11015" max="11015" width="2.28515625" style="21" customWidth="1"/>
    <col min="11016" max="11016" width="2.42578125" style="21" customWidth="1"/>
    <col min="11017" max="11031" width="1.7109375" style="21" customWidth="1"/>
    <col min="11032" max="11032" width="2.140625" style="21" customWidth="1"/>
    <col min="11033" max="11033" width="3" style="21" customWidth="1"/>
    <col min="11034" max="11034" width="1.7109375" style="21" customWidth="1"/>
    <col min="11035" max="11035" width="2" style="21" customWidth="1"/>
    <col min="11036" max="11036" width="2.140625" style="21" customWidth="1"/>
    <col min="11037" max="11037" width="2" style="21" customWidth="1"/>
    <col min="11038" max="11039" width="1.7109375" style="21" customWidth="1"/>
    <col min="11040" max="11040" width="2.42578125" style="21" customWidth="1"/>
    <col min="11041" max="11041" width="2.28515625" style="21" customWidth="1"/>
    <col min="11042" max="11049" width="1.7109375" style="21" customWidth="1"/>
    <col min="11050" max="11050" width="2.85546875" style="21" customWidth="1"/>
    <col min="11051" max="11051" width="1.7109375" style="21" customWidth="1"/>
    <col min="11052" max="11052" width="2.5703125" style="21" customWidth="1"/>
    <col min="11053" max="11053" width="2.7109375" style="21" customWidth="1"/>
    <col min="11054" max="11057" width="1.7109375" style="21" customWidth="1"/>
    <col min="11058" max="11264" width="1.28515625" style="21" hidden="1"/>
    <col min="11265" max="11265" width="1.7109375" style="21" customWidth="1"/>
    <col min="11266" max="11266" width="3" style="21" customWidth="1"/>
    <col min="11267" max="11267" width="1.7109375" style="21" customWidth="1"/>
    <col min="11268" max="11268" width="2" style="21" customWidth="1"/>
    <col min="11269" max="11270" width="1.7109375" style="21" customWidth="1"/>
    <col min="11271" max="11271" width="2.28515625" style="21" customWidth="1"/>
    <col min="11272" max="11272" width="2.42578125" style="21" customWidth="1"/>
    <col min="11273" max="11287" width="1.7109375" style="21" customWidth="1"/>
    <col min="11288" max="11288" width="2.140625" style="21" customWidth="1"/>
    <col min="11289" max="11289" width="3" style="21" customWidth="1"/>
    <col min="11290" max="11290" width="1.7109375" style="21" customWidth="1"/>
    <col min="11291" max="11291" width="2" style="21" customWidth="1"/>
    <col min="11292" max="11292" width="2.140625" style="21" customWidth="1"/>
    <col min="11293" max="11293" width="2" style="21" customWidth="1"/>
    <col min="11294" max="11295" width="1.7109375" style="21" customWidth="1"/>
    <col min="11296" max="11296" width="2.42578125" style="21" customWidth="1"/>
    <col min="11297" max="11297" width="2.28515625" style="21" customWidth="1"/>
    <col min="11298" max="11305" width="1.7109375" style="21" customWidth="1"/>
    <col min="11306" max="11306" width="2.85546875" style="21" customWidth="1"/>
    <col min="11307" max="11307" width="1.7109375" style="21" customWidth="1"/>
    <col min="11308" max="11308" width="2.5703125" style="21" customWidth="1"/>
    <col min="11309" max="11309" width="2.7109375" style="21" customWidth="1"/>
    <col min="11310" max="11313" width="1.7109375" style="21" customWidth="1"/>
    <col min="11314" max="11520" width="1.28515625" style="21" hidden="1"/>
    <col min="11521" max="11521" width="1.7109375" style="21" customWidth="1"/>
    <col min="11522" max="11522" width="3" style="21" customWidth="1"/>
    <col min="11523" max="11523" width="1.7109375" style="21" customWidth="1"/>
    <col min="11524" max="11524" width="2" style="21" customWidth="1"/>
    <col min="11525" max="11526" width="1.7109375" style="21" customWidth="1"/>
    <col min="11527" max="11527" width="2.28515625" style="21" customWidth="1"/>
    <col min="11528" max="11528" width="2.42578125" style="21" customWidth="1"/>
    <col min="11529" max="11543" width="1.7109375" style="21" customWidth="1"/>
    <col min="11544" max="11544" width="2.140625" style="21" customWidth="1"/>
    <col min="11545" max="11545" width="3" style="21" customWidth="1"/>
    <col min="11546" max="11546" width="1.7109375" style="21" customWidth="1"/>
    <col min="11547" max="11547" width="2" style="21" customWidth="1"/>
    <col min="11548" max="11548" width="2.140625" style="21" customWidth="1"/>
    <col min="11549" max="11549" width="2" style="21" customWidth="1"/>
    <col min="11550" max="11551" width="1.7109375" style="21" customWidth="1"/>
    <col min="11552" max="11552" width="2.42578125" style="21" customWidth="1"/>
    <col min="11553" max="11553" width="2.28515625" style="21" customWidth="1"/>
    <col min="11554" max="11561" width="1.7109375" style="21" customWidth="1"/>
    <col min="11562" max="11562" width="2.85546875" style="21" customWidth="1"/>
    <col min="11563" max="11563" width="1.7109375" style="21" customWidth="1"/>
    <col min="11564" max="11564" width="2.5703125" style="21" customWidth="1"/>
    <col min="11565" max="11565" width="2.7109375" style="21" customWidth="1"/>
    <col min="11566" max="11569" width="1.7109375" style="21" customWidth="1"/>
    <col min="11570" max="11776" width="1.28515625" style="21" hidden="1"/>
    <col min="11777" max="11777" width="1.7109375" style="21" customWidth="1"/>
    <col min="11778" max="11778" width="3" style="21" customWidth="1"/>
    <col min="11779" max="11779" width="1.7109375" style="21" customWidth="1"/>
    <col min="11780" max="11780" width="2" style="21" customWidth="1"/>
    <col min="11781" max="11782" width="1.7109375" style="21" customWidth="1"/>
    <col min="11783" max="11783" width="2.28515625" style="21" customWidth="1"/>
    <col min="11784" max="11784" width="2.42578125" style="21" customWidth="1"/>
    <col min="11785" max="11799" width="1.7109375" style="21" customWidth="1"/>
    <col min="11800" max="11800" width="2.140625" style="21" customWidth="1"/>
    <col min="11801" max="11801" width="3" style="21" customWidth="1"/>
    <col min="11802" max="11802" width="1.7109375" style="21" customWidth="1"/>
    <col min="11803" max="11803" width="2" style="21" customWidth="1"/>
    <col min="11804" max="11804" width="2.140625" style="21" customWidth="1"/>
    <col min="11805" max="11805" width="2" style="21" customWidth="1"/>
    <col min="11806" max="11807" width="1.7109375" style="21" customWidth="1"/>
    <col min="11808" max="11808" width="2.42578125" style="21" customWidth="1"/>
    <col min="11809" max="11809" width="2.28515625" style="21" customWidth="1"/>
    <col min="11810" max="11817" width="1.7109375" style="21" customWidth="1"/>
    <col min="11818" max="11818" width="2.85546875" style="21" customWidth="1"/>
    <col min="11819" max="11819" width="1.7109375" style="21" customWidth="1"/>
    <col min="11820" max="11820" width="2.5703125" style="21" customWidth="1"/>
    <col min="11821" max="11821" width="2.7109375" style="21" customWidth="1"/>
    <col min="11822" max="11825" width="1.7109375" style="21" customWidth="1"/>
    <col min="11826" max="12032" width="1.28515625" style="21" hidden="1"/>
    <col min="12033" max="12033" width="1.7109375" style="21" customWidth="1"/>
    <col min="12034" max="12034" width="3" style="21" customWidth="1"/>
    <col min="12035" max="12035" width="1.7109375" style="21" customWidth="1"/>
    <col min="12036" max="12036" width="2" style="21" customWidth="1"/>
    <col min="12037" max="12038" width="1.7109375" style="21" customWidth="1"/>
    <col min="12039" max="12039" width="2.28515625" style="21" customWidth="1"/>
    <col min="12040" max="12040" width="2.42578125" style="21" customWidth="1"/>
    <col min="12041" max="12055" width="1.7109375" style="21" customWidth="1"/>
    <col min="12056" max="12056" width="2.140625" style="21" customWidth="1"/>
    <col min="12057" max="12057" width="3" style="21" customWidth="1"/>
    <col min="12058" max="12058" width="1.7109375" style="21" customWidth="1"/>
    <col min="12059" max="12059" width="2" style="21" customWidth="1"/>
    <col min="12060" max="12060" width="2.140625" style="21" customWidth="1"/>
    <col min="12061" max="12061" width="2" style="21" customWidth="1"/>
    <col min="12062" max="12063" width="1.7109375" style="21" customWidth="1"/>
    <col min="12064" max="12064" width="2.42578125" style="21" customWidth="1"/>
    <col min="12065" max="12065" width="2.28515625" style="21" customWidth="1"/>
    <col min="12066" max="12073" width="1.7109375" style="21" customWidth="1"/>
    <col min="12074" max="12074" width="2.85546875" style="21" customWidth="1"/>
    <col min="12075" max="12075" width="1.7109375" style="21" customWidth="1"/>
    <col min="12076" max="12076" width="2.5703125" style="21" customWidth="1"/>
    <col min="12077" max="12077" width="2.7109375" style="21" customWidth="1"/>
    <col min="12078" max="12081" width="1.7109375" style="21" customWidth="1"/>
    <col min="12082" max="12288" width="1.28515625" style="21" hidden="1"/>
    <col min="12289" max="12289" width="1.7109375" style="21" customWidth="1"/>
    <col min="12290" max="12290" width="3" style="21" customWidth="1"/>
    <col min="12291" max="12291" width="1.7109375" style="21" customWidth="1"/>
    <col min="12292" max="12292" width="2" style="21" customWidth="1"/>
    <col min="12293" max="12294" width="1.7109375" style="21" customWidth="1"/>
    <col min="12295" max="12295" width="2.28515625" style="21" customWidth="1"/>
    <col min="12296" max="12296" width="2.42578125" style="21" customWidth="1"/>
    <col min="12297" max="12311" width="1.7109375" style="21" customWidth="1"/>
    <col min="12312" max="12312" width="2.140625" style="21" customWidth="1"/>
    <col min="12313" max="12313" width="3" style="21" customWidth="1"/>
    <col min="12314" max="12314" width="1.7109375" style="21" customWidth="1"/>
    <col min="12315" max="12315" width="2" style="21" customWidth="1"/>
    <col min="12316" max="12316" width="2.140625" style="21" customWidth="1"/>
    <col min="12317" max="12317" width="2" style="21" customWidth="1"/>
    <col min="12318" max="12319" width="1.7109375" style="21" customWidth="1"/>
    <col min="12320" max="12320" width="2.42578125" style="21" customWidth="1"/>
    <col min="12321" max="12321" width="2.28515625" style="21" customWidth="1"/>
    <col min="12322" max="12329" width="1.7109375" style="21" customWidth="1"/>
    <col min="12330" max="12330" width="2.85546875" style="21" customWidth="1"/>
    <col min="12331" max="12331" width="1.7109375" style="21" customWidth="1"/>
    <col min="12332" max="12332" width="2.5703125" style="21" customWidth="1"/>
    <col min="12333" max="12333" width="2.7109375" style="21" customWidth="1"/>
    <col min="12334" max="12337" width="1.7109375" style="21" customWidth="1"/>
    <col min="12338" max="12544" width="1.28515625" style="21" hidden="1"/>
    <col min="12545" max="12545" width="1.7109375" style="21" customWidth="1"/>
    <col min="12546" max="12546" width="3" style="21" customWidth="1"/>
    <col min="12547" max="12547" width="1.7109375" style="21" customWidth="1"/>
    <col min="12548" max="12548" width="2" style="21" customWidth="1"/>
    <col min="12549" max="12550" width="1.7109375" style="21" customWidth="1"/>
    <col min="12551" max="12551" width="2.28515625" style="21" customWidth="1"/>
    <col min="12552" max="12552" width="2.42578125" style="21" customWidth="1"/>
    <col min="12553" max="12567" width="1.7109375" style="21" customWidth="1"/>
    <col min="12568" max="12568" width="2.140625" style="21" customWidth="1"/>
    <col min="12569" max="12569" width="3" style="21" customWidth="1"/>
    <col min="12570" max="12570" width="1.7109375" style="21" customWidth="1"/>
    <col min="12571" max="12571" width="2" style="21" customWidth="1"/>
    <col min="12572" max="12572" width="2.140625" style="21" customWidth="1"/>
    <col min="12573" max="12573" width="2" style="21" customWidth="1"/>
    <col min="12574" max="12575" width="1.7109375" style="21" customWidth="1"/>
    <col min="12576" max="12576" width="2.42578125" style="21" customWidth="1"/>
    <col min="12577" max="12577" width="2.28515625" style="21" customWidth="1"/>
    <col min="12578" max="12585" width="1.7109375" style="21" customWidth="1"/>
    <col min="12586" max="12586" width="2.85546875" style="21" customWidth="1"/>
    <col min="12587" max="12587" width="1.7109375" style="21" customWidth="1"/>
    <col min="12588" max="12588" width="2.5703125" style="21" customWidth="1"/>
    <col min="12589" max="12589" width="2.7109375" style="21" customWidth="1"/>
    <col min="12590" max="12593" width="1.7109375" style="21" customWidth="1"/>
    <col min="12594" max="12800" width="1.28515625" style="21" hidden="1"/>
    <col min="12801" max="12801" width="1.7109375" style="21" customWidth="1"/>
    <col min="12802" max="12802" width="3" style="21" customWidth="1"/>
    <col min="12803" max="12803" width="1.7109375" style="21" customWidth="1"/>
    <col min="12804" max="12804" width="2" style="21" customWidth="1"/>
    <col min="12805" max="12806" width="1.7109375" style="21" customWidth="1"/>
    <col min="12807" max="12807" width="2.28515625" style="21" customWidth="1"/>
    <col min="12808" max="12808" width="2.42578125" style="21" customWidth="1"/>
    <col min="12809" max="12823" width="1.7109375" style="21" customWidth="1"/>
    <col min="12824" max="12824" width="2.140625" style="21" customWidth="1"/>
    <col min="12825" max="12825" width="3" style="21" customWidth="1"/>
    <col min="12826" max="12826" width="1.7109375" style="21" customWidth="1"/>
    <col min="12827" max="12827" width="2" style="21" customWidth="1"/>
    <col min="12828" max="12828" width="2.140625" style="21" customWidth="1"/>
    <col min="12829" max="12829" width="2" style="21" customWidth="1"/>
    <col min="12830" max="12831" width="1.7109375" style="21" customWidth="1"/>
    <col min="12832" max="12832" width="2.42578125" style="21" customWidth="1"/>
    <col min="12833" max="12833" width="2.28515625" style="21" customWidth="1"/>
    <col min="12834" max="12841" width="1.7109375" style="21" customWidth="1"/>
    <col min="12842" max="12842" width="2.85546875" style="21" customWidth="1"/>
    <col min="12843" max="12843" width="1.7109375" style="21" customWidth="1"/>
    <col min="12844" max="12844" width="2.5703125" style="21" customWidth="1"/>
    <col min="12845" max="12845" width="2.7109375" style="21" customWidth="1"/>
    <col min="12846" max="12849" width="1.7109375" style="21" customWidth="1"/>
    <col min="12850" max="13056" width="1.28515625" style="21" hidden="1"/>
    <col min="13057" max="13057" width="1.7109375" style="21" customWidth="1"/>
    <col min="13058" max="13058" width="3" style="21" customWidth="1"/>
    <col min="13059" max="13059" width="1.7109375" style="21" customWidth="1"/>
    <col min="13060" max="13060" width="2" style="21" customWidth="1"/>
    <col min="13061" max="13062" width="1.7109375" style="21" customWidth="1"/>
    <col min="13063" max="13063" width="2.28515625" style="21" customWidth="1"/>
    <col min="13064" max="13064" width="2.42578125" style="21" customWidth="1"/>
    <col min="13065" max="13079" width="1.7109375" style="21" customWidth="1"/>
    <col min="13080" max="13080" width="2.140625" style="21" customWidth="1"/>
    <col min="13081" max="13081" width="3" style="21" customWidth="1"/>
    <col min="13082" max="13082" width="1.7109375" style="21" customWidth="1"/>
    <col min="13083" max="13083" width="2" style="21" customWidth="1"/>
    <col min="13084" max="13084" width="2.140625" style="21" customWidth="1"/>
    <col min="13085" max="13085" width="2" style="21" customWidth="1"/>
    <col min="13086" max="13087" width="1.7109375" style="21" customWidth="1"/>
    <col min="13088" max="13088" width="2.42578125" style="21" customWidth="1"/>
    <col min="13089" max="13089" width="2.28515625" style="21" customWidth="1"/>
    <col min="13090" max="13097" width="1.7109375" style="21" customWidth="1"/>
    <col min="13098" max="13098" width="2.85546875" style="21" customWidth="1"/>
    <col min="13099" max="13099" width="1.7109375" style="21" customWidth="1"/>
    <col min="13100" max="13100" width="2.5703125" style="21" customWidth="1"/>
    <col min="13101" max="13101" width="2.7109375" style="21" customWidth="1"/>
    <col min="13102" max="13105" width="1.7109375" style="21" customWidth="1"/>
    <col min="13106" max="13312" width="1.28515625" style="21" hidden="1"/>
    <col min="13313" max="13313" width="1.7109375" style="21" customWidth="1"/>
    <col min="13314" max="13314" width="3" style="21" customWidth="1"/>
    <col min="13315" max="13315" width="1.7109375" style="21" customWidth="1"/>
    <col min="13316" max="13316" width="2" style="21" customWidth="1"/>
    <col min="13317" max="13318" width="1.7109375" style="21" customWidth="1"/>
    <col min="13319" max="13319" width="2.28515625" style="21" customWidth="1"/>
    <col min="13320" max="13320" width="2.42578125" style="21" customWidth="1"/>
    <col min="13321" max="13335" width="1.7109375" style="21" customWidth="1"/>
    <col min="13336" max="13336" width="2.140625" style="21" customWidth="1"/>
    <col min="13337" max="13337" width="3" style="21" customWidth="1"/>
    <col min="13338" max="13338" width="1.7109375" style="21" customWidth="1"/>
    <col min="13339" max="13339" width="2" style="21" customWidth="1"/>
    <col min="13340" max="13340" width="2.140625" style="21" customWidth="1"/>
    <col min="13341" max="13341" width="2" style="21" customWidth="1"/>
    <col min="13342" max="13343" width="1.7109375" style="21" customWidth="1"/>
    <col min="13344" max="13344" width="2.42578125" style="21" customWidth="1"/>
    <col min="13345" max="13345" width="2.28515625" style="21" customWidth="1"/>
    <col min="13346" max="13353" width="1.7109375" style="21" customWidth="1"/>
    <col min="13354" max="13354" width="2.85546875" style="21" customWidth="1"/>
    <col min="13355" max="13355" width="1.7109375" style="21" customWidth="1"/>
    <col min="13356" max="13356" width="2.5703125" style="21" customWidth="1"/>
    <col min="13357" max="13357" width="2.7109375" style="21" customWidth="1"/>
    <col min="13358" max="13361" width="1.7109375" style="21" customWidth="1"/>
    <col min="13362" max="13568" width="1.28515625" style="21" hidden="1"/>
    <col min="13569" max="13569" width="1.7109375" style="21" customWidth="1"/>
    <col min="13570" max="13570" width="3" style="21" customWidth="1"/>
    <col min="13571" max="13571" width="1.7109375" style="21" customWidth="1"/>
    <col min="13572" max="13572" width="2" style="21" customWidth="1"/>
    <col min="13573" max="13574" width="1.7109375" style="21" customWidth="1"/>
    <col min="13575" max="13575" width="2.28515625" style="21" customWidth="1"/>
    <col min="13576" max="13576" width="2.42578125" style="21" customWidth="1"/>
    <col min="13577" max="13591" width="1.7109375" style="21" customWidth="1"/>
    <col min="13592" max="13592" width="2.140625" style="21" customWidth="1"/>
    <col min="13593" max="13593" width="3" style="21" customWidth="1"/>
    <col min="13594" max="13594" width="1.7109375" style="21" customWidth="1"/>
    <col min="13595" max="13595" width="2" style="21" customWidth="1"/>
    <col min="13596" max="13596" width="2.140625" style="21" customWidth="1"/>
    <col min="13597" max="13597" width="2" style="21" customWidth="1"/>
    <col min="13598" max="13599" width="1.7109375" style="21" customWidth="1"/>
    <col min="13600" max="13600" width="2.42578125" style="21" customWidth="1"/>
    <col min="13601" max="13601" width="2.28515625" style="21" customWidth="1"/>
    <col min="13602" max="13609" width="1.7109375" style="21" customWidth="1"/>
    <col min="13610" max="13610" width="2.85546875" style="21" customWidth="1"/>
    <col min="13611" max="13611" width="1.7109375" style="21" customWidth="1"/>
    <col min="13612" max="13612" width="2.5703125" style="21" customWidth="1"/>
    <col min="13613" max="13613" width="2.7109375" style="21" customWidth="1"/>
    <col min="13614" max="13617" width="1.7109375" style="21" customWidth="1"/>
    <col min="13618" max="13824" width="1.28515625" style="21" hidden="1"/>
    <col min="13825" max="13825" width="1.7109375" style="21" customWidth="1"/>
    <col min="13826" max="13826" width="3" style="21" customWidth="1"/>
    <col min="13827" max="13827" width="1.7109375" style="21" customWidth="1"/>
    <col min="13828" max="13828" width="2" style="21" customWidth="1"/>
    <col min="13829" max="13830" width="1.7109375" style="21" customWidth="1"/>
    <col min="13831" max="13831" width="2.28515625" style="21" customWidth="1"/>
    <col min="13832" max="13832" width="2.42578125" style="21" customWidth="1"/>
    <col min="13833" max="13847" width="1.7109375" style="21" customWidth="1"/>
    <col min="13848" max="13848" width="2.140625" style="21" customWidth="1"/>
    <col min="13849" max="13849" width="3" style="21" customWidth="1"/>
    <col min="13850" max="13850" width="1.7109375" style="21" customWidth="1"/>
    <col min="13851" max="13851" width="2" style="21" customWidth="1"/>
    <col min="13852" max="13852" width="2.140625" style="21" customWidth="1"/>
    <col min="13853" max="13853" width="2" style="21" customWidth="1"/>
    <col min="13854" max="13855" width="1.7109375" style="21" customWidth="1"/>
    <col min="13856" max="13856" width="2.42578125" style="21" customWidth="1"/>
    <col min="13857" max="13857" width="2.28515625" style="21" customWidth="1"/>
    <col min="13858" max="13865" width="1.7109375" style="21" customWidth="1"/>
    <col min="13866" max="13866" width="2.85546875" style="21" customWidth="1"/>
    <col min="13867" max="13867" width="1.7109375" style="21" customWidth="1"/>
    <col min="13868" max="13868" width="2.5703125" style="21" customWidth="1"/>
    <col min="13869" max="13869" width="2.7109375" style="21" customWidth="1"/>
    <col min="13870" max="13873" width="1.7109375" style="21" customWidth="1"/>
    <col min="13874" max="14080" width="1.28515625" style="21" hidden="1"/>
    <col min="14081" max="14081" width="1.7109375" style="21" customWidth="1"/>
    <col min="14082" max="14082" width="3" style="21" customWidth="1"/>
    <col min="14083" max="14083" width="1.7109375" style="21" customWidth="1"/>
    <col min="14084" max="14084" width="2" style="21" customWidth="1"/>
    <col min="14085" max="14086" width="1.7109375" style="21" customWidth="1"/>
    <col min="14087" max="14087" width="2.28515625" style="21" customWidth="1"/>
    <col min="14088" max="14088" width="2.42578125" style="21" customWidth="1"/>
    <col min="14089" max="14103" width="1.7109375" style="21" customWidth="1"/>
    <col min="14104" max="14104" width="2.140625" style="21" customWidth="1"/>
    <col min="14105" max="14105" width="3" style="21" customWidth="1"/>
    <col min="14106" max="14106" width="1.7109375" style="21" customWidth="1"/>
    <col min="14107" max="14107" width="2" style="21" customWidth="1"/>
    <col min="14108" max="14108" width="2.140625" style="21" customWidth="1"/>
    <col min="14109" max="14109" width="2" style="21" customWidth="1"/>
    <col min="14110" max="14111" width="1.7109375" style="21" customWidth="1"/>
    <col min="14112" max="14112" width="2.42578125" style="21" customWidth="1"/>
    <col min="14113" max="14113" width="2.28515625" style="21" customWidth="1"/>
    <col min="14114" max="14121" width="1.7109375" style="21" customWidth="1"/>
    <col min="14122" max="14122" width="2.85546875" style="21" customWidth="1"/>
    <col min="14123" max="14123" width="1.7109375" style="21" customWidth="1"/>
    <col min="14124" max="14124" width="2.5703125" style="21" customWidth="1"/>
    <col min="14125" max="14125" width="2.7109375" style="21" customWidth="1"/>
    <col min="14126" max="14129" width="1.7109375" style="21" customWidth="1"/>
    <col min="14130" max="14336" width="1.28515625" style="21" hidden="1"/>
    <col min="14337" max="14337" width="1.7109375" style="21" customWidth="1"/>
    <col min="14338" max="14338" width="3" style="21" customWidth="1"/>
    <col min="14339" max="14339" width="1.7109375" style="21" customWidth="1"/>
    <col min="14340" max="14340" width="2" style="21" customWidth="1"/>
    <col min="14341" max="14342" width="1.7109375" style="21" customWidth="1"/>
    <col min="14343" max="14343" width="2.28515625" style="21" customWidth="1"/>
    <col min="14344" max="14344" width="2.42578125" style="21" customWidth="1"/>
    <col min="14345" max="14359" width="1.7109375" style="21" customWidth="1"/>
    <col min="14360" max="14360" width="2.140625" style="21" customWidth="1"/>
    <col min="14361" max="14361" width="3" style="21" customWidth="1"/>
    <col min="14362" max="14362" width="1.7109375" style="21" customWidth="1"/>
    <col min="14363" max="14363" width="2" style="21" customWidth="1"/>
    <col min="14364" max="14364" width="2.140625" style="21" customWidth="1"/>
    <col min="14365" max="14365" width="2" style="21" customWidth="1"/>
    <col min="14366" max="14367" width="1.7109375" style="21" customWidth="1"/>
    <col min="14368" max="14368" width="2.42578125" style="21" customWidth="1"/>
    <col min="14369" max="14369" width="2.28515625" style="21" customWidth="1"/>
    <col min="14370" max="14377" width="1.7109375" style="21" customWidth="1"/>
    <col min="14378" max="14378" width="2.85546875" style="21" customWidth="1"/>
    <col min="14379" max="14379" width="1.7109375" style="21" customWidth="1"/>
    <col min="14380" max="14380" width="2.5703125" style="21" customWidth="1"/>
    <col min="14381" max="14381" width="2.7109375" style="21" customWidth="1"/>
    <col min="14382" max="14385" width="1.7109375" style="21" customWidth="1"/>
    <col min="14386" max="14592" width="1.28515625" style="21" hidden="1"/>
    <col min="14593" max="14593" width="1.7109375" style="21" customWidth="1"/>
    <col min="14594" max="14594" width="3" style="21" customWidth="1"/>
    <col min="14595" max="14595" width="1.7109375" style="21" customWidth="1"/>
    <col min="14596" max="14596" width="2" style="21" customWidth="1"/>
    <col min="14597" max="14598" width="1.7109375" style="21" customWidth="1"/>
    <col min="14599" max="14599" width="2.28515625" style="21" customWidth="1"/>
    <col min="14600" max="14600" width="2.42578125" style="21" customWidth="1"/>
    <col min="14601" max="14615" width="1.7109375" style="21" customWidth="1"/>
    <col min="14616" max="14616" width="2.140625" style="21" customWidth="1"/>
    <col min="14617" max="14617" width="3" style="21" customWidth="1"/>
    <col min="14618" max="14618" width="1.7109375" style="21" customWidth="1"/>
    <col min="14619" max="14619" width="2" style="21" customWidth="1"/>
    <col min="14620" max="14620" width="2.140625" style="21" customWidth="1"/>
    <col min="14621" max="14621" width="2" style="21" customWidth="1"/>
    <col min="14622" max="14623" width="1.7109375" style="21" customWidth="1"/>
    <col min="14624" max="14624" width="2.42578125" style="21" customWidth="1"/>
    <col min="14625" max="14625" width="2.28515625" style="21" customWidth="1"/>
    <col min="14626" max="14633" width="1.7109375" style="21" customWidth="1"/>
    <col min="14634" max="14634" width="2.85546875" style="21" customWidth="1"/>
    <col min="14635" max="14635" width="1.7109375" style="21" customWidth="1"/>
    <col min="14636" max="14636" width="2.5703125" style="21" customWidth="1"/>
    <col min="14637" max="14637" width="2.7109375" style="21" customWidth="1"/>
    <col min="14638" max="14641" width="1.7109375" style="21" customWidth="1"/>
    <col min="14642" max="14848" width="1.28515625" style="21" hidden="1"/>
    <col min="14849" max="14849" width="1.7109375" style="21" customWidth="1"/>
    <col min="14850" max="14850" width="3" style="21" customWidth="1"/>
    <col min="14851" max="14851" width="1.7109375" style="21" customWidth="1"/>
    <col min="14852" max="14852" width="2" style="21" customWidth="1"/>
    <col min="14853" max="14854" width="1.7109375" style="21" customWidth="1"/>
    <col min="14855" max="14855" width="2.28515625" style="21" customWidth="1"/>
    <col min="14856" max="14856" width="2.42578125" style="21" customWidth="1"/>
    <col min="14857" max="14871" width="1.7109375" style="21" customWidth="1"/>
    <col min="14872" max="14872" width="2.140625" style="21" customWidth="1"/>
    <col min="14873" max="14873" width="3" style="21" customWidth="1"/>
    <col min="14874" max="14874" width="1.7109375" style="21" customWidth="1"/>
    <col min="14875" max="14875" width="2" style="21" customWidth="1"/>
    <col min="14876" max="14876" width="2.140625" style="21" customWidth="1"/>
    <col min="14877" max="14877" width="2" style="21" customWidth="1"/>
    <col min="14878" max="14879" width="1.7109375" style="21" customWidth="1"/>
    <col min="14880" max="14880" width="2.42578125" style="21" customWidth="1"/>
    <col min="14881" max="14881" width="2.28515625" style="21" customWidth="1"/>
    <col min="14882" max="14889" width="1.7109375" style="21" customWidth="1"/>
    <col min="14890" max="14890" width="2.85546875" style="21" customWidth="1"/>
    <col min="14891" max="14891" width="1.7109375" style="21" customWidth="1"/>
    <col min="14892" max="14892" width="2.5703125" style="21" customWidth="1"/>
    <col min="14893" max="14893" width="2.7109375" style="21" customWidth="1"/>
    <col min="14894" max="14897" width="1.7109375" style="21" customWidth="1"/>
    <col min="14898" max="15104" width="1.28515625" style="21" hidden="1"/>
    <col min="15105" max="15105" width="1.7109375" style="21" customWidth="1"/>
    <col min="15106" max="15106" width="3" style="21" customWidth="1"/>
    <col min="15107" max="15107" width="1.7109375" style="21" customWidth="1"/>
    <col min="15108" max="15108" width="2" style="21" customWidth="1"/>
    <col min="15109" max="15110" width="1.7109375" style="21" customWidth="1"/>
    <col min="15111" max="15111" width="2.28515625" style="21" customWidth="1"/>
    <col min="15112" max="15112" width="2.42578125" style="21" customWidth="1"/>
    <col min="15113" max="15127" width="1.7109375" style="21" customWidth="1"/>
    <col min="15128" max="15128" width="2.140625" style="21" customWidth="1"/>
    <col min="15129" max="15129" width="3" style="21" customWidth="1"/>
    <col min="15130" max="15130" width="1.7109375" style="21" customWidth="1"/>
    <col min="15131" max="15131" width="2" style="21" customWidth="1"/>
    <col min="15132" max="15132" width="2.140625" style="21" customWidth="1"/>
    <col min="15133" max="15133" width="2" style="21" customWidth="1"/>
    <col min="15134" max="15135" width="1.7109375" style="21" customWidth="1"/>
    <col min="15136" max="15136" width="2.42578125" style="21" customWidth="1"/>
    <col min="15137" max="15137" width="2.28515625" style="21" customWidth="1"/>
    <col min="15138" max="15145" width="1.7109375" style="21" customWidth="1"/>
    <col min="15146" max="15146" width="2.85546875" style="21" customWidth="1"/>
    <col min="15147" max="15147" width="1.7109375" style="21" customWidth="1"/>
    <col min="15148" max="15148" width="2.5703125" style="21" customWidth="1"/>
    <col min="15149" max="15149" width="2.7109375" style="21" customWidth="1"/>
    <col min="15150" max="15153" width="1.7109375" style="21" customWidth="1"/>
    <col min="15154" max="15360" width="1.28515625" style="21" hidden="1"/>
    <col min="15361" max="15361" width="1.7109375" style="21" customWidth="1"/>
    <col min="15362" max="15362" width="3" style="21" customWidth="1"/>
    <col min="15363" max="15363" width="1.7109375" style="21" customWidth="1"/>
    <col min="15364" max="15364" width="2" style="21" customWidth="1"/>
    <col min="15365" max="15366" width="1.7109375" style="21" customWidth="1"/>
    <col min="15367" max="15367" width="2.28515625" style="21" customWidth="1"/>
    <col min="15368" max="15368" width="2.42578125" style="21" customWidth="1"/>
    <col min="15369" max="15383" width="1.7109375" style="21" customWidth="1"/>
    <col min="15384" max="15384" width="2.140625" style="21" customWidth="1"/>
    <col min="15385" max="15385" width="3" style="21" customWidth="1"/>
    <col min="15386" max="15386" width="1.7109375" style="21" customWidth="1"/>
    <col min="15387" max="15387" width="2" style="21" customWidth="1"/>
    <col min="15388" max="15388" width="2.140625" style="21" customWidth="1"/>
    <col min="15389" max="15389" width="2" style="21" customWidth="1"/>
    <col min="15390" max="15391" width="1.7109375" style="21" customWidth="1"/>
    <col min="15392" max="15392" width="2.42578125" style="21" customWidth="1"/>
    <col min="15393" max="15393" width="2.28515625" style="21" customWidth="1"/>
    <col min="15394" max="15401" width="1.7109375" style="21" customWidth="1"/>
    <col min="15402" max="15402" width="2.85546875" style="21" customWidth="1"/>
    <col min="15403" max="15403" width="1.7109375" style="21" customWidth="1"/>
    <col min="15404" max="15404" width="2.5703125" style="21" customWidth="1"/>
    <col min="15405" max="15405" width="2.7109375" style="21" customWidth="1"/>
    <col min="15406" max="15409" width="1.7109375" style="21" customWidth="1"/>
    <col min="15410" max="15616" width="1.28515625" style="21" hidden="1"/>
    <col min="15617" max="15617" width="1.7109375" style="21" customWidth="1"/>
    <col min="15618" max="15618" width="3" style="21" customWidth="1"/>
    <col min="15619" max="15619" width="1.7109375" style="21" customWidth="1"/>
    <col min="15620" max="15620" width="2" style="21" customWidth="1"/>
    <col min="15621" max="15622" width="1.7109375" style="21" customWidth="1"/>
    <col min="15623" max="15623" width="2.28515625" style="21" customWidth="1"/>
    <col min="15624" max="15624" width="2.42578125" style="21" customWidth="1"/>
    <col min="15625" max="15639" width="1.7109375" style="21" customWidth="1"/>
    <col min="15640" max="15640" width="2.140625" style="21" customWidth="1"/>
    <col min="15641" max="15641" width="3" style="21" customWidth="1"/>
    <col min="15642" max="15642" width="1.7109375" style="21" customWidth="1"/>
    <col min="15643" max="15643" width="2" style="21" customWidth="1"/>
    <col min="15644" max="15644" width="2.140625" style="21" customWidth="1"/>
    <col min="15645" max="15645" width="2" style="21" customWidth="1"/>
    <col min="15646" max="15647" width="1.7109375" style="21" customWidth="1"/>
    <col min="15648" max="15648" width="2.42578125" style="21" customWidth="1"/>
    <col min="15649" max="15649" width="2.28515625" style="21" customWidth="1"/>
    <col min="15650" max="15657" width="1.7109375" style="21" customWidth="1"/>
    <col min="15658" max="15658" width="2.85546875" style="21" customWidth="1"/>
    <col min="15659" max="15659" width="1.7109375" style="21" customWidth="1"/>
    <col min="15660" max="15660" width="2.5703125" style="21" customWidth="1"/>
    <col min="15661" max="15661" width="2.7109375" style="21" customWidth="1"/>
    <col min="15662" max="15665" width="1.7109375" style="21" customWidth="1"/>
    <col min="15666" max="15872" width="1.28515625" style="21" hidden="1"/>
    <col min="15873" max="15873" width="1.7109375" style="21" customWidth="1"/>
    <col min="15874" max="15874" width="3" style="21" customWidth="1"/>
    <col min="15875" max="15875" width="1.7109375" style="21" customWidth="1"/>
    <col min="15876" max="15876" width="2" style="21" customWidth="1"/>
    <col min="15877" max="15878" width="1.7109375" style="21" customWidth="1"/>
    <col min="15879" max="15879" width="2.28515625" style="21" customWidth="1"/>
    <col min="15880" max="15880" width="2.42578125" style="21" customWidth="1"/>
    <col min="15881" max="15895" width="1.7109375" style="21" customWidth="1"/>
    <col min="15896" max="15896" width="2.140625" style="21" customWidth="1"/>
    <col min="15897" max="15897" width="3" style="21" customWidth="1"/>
    <col min="15898" max="15898" width="1.7109375" style="21" customWidth="1"/>
    <col min="15899" max="15899" width="2" style="21" customWidth="1"/>
    <col min="15900" max="15900" width="2.140625" style="21" customWidth="1"/>
    <col min="15901" max="15901" width="2" style="21" customWidth="1"/>
    <col min="15902" max="15903" width="1.7109375" style="21" customWidth="1"/>
    <col min="15904" max="15904" width="2.42578125" style="21" customWidth="1"/>
    <col min="15905" max="15905" width="2.28515625" style="21" customWidth="1"/>
    <col min="15906" max="15913" width="1.7109375" style="21" customWidth="1"/>
    <col min="15914" max="15914" width="2.85546875" style="21" customWidth="1"/>
    <col min="15915" max="15915" width="1.7109375" style="21" customWidth="1"/>
    <col min="15916" max="15916" width="2.5703125" style="21" customWidth="1"/>
    <col min="15917" max="15917" width="2.7109375" style="21" customWidth="1"/>
    <col min="15918" max="15921" width="1.7109375" style="21" customWidth="1"/>
    <col min="15922" max="16128" width="1.28515625" style="21" hidden="1"/>
    <col min="16129" max="16129" width="1.7109375" style="21" customWidth="1"/>
    <col min="16130" max="16130" width="3" style="21" customWidth="1"/>
    <col min="16131" max="16131" width="1.7109375" style="21" customWidth="1"/>
    <col min="16132" max="16132" width="2" style="21" customWidth="1"/>
    <col min="16133" max="16134" width="1.7109375" style="21" customWidth="1"/>
    <col min="16135" max="16135" width="2.28515625" style="21" customWidth="1"/>
    <col min="16136" max="16136" width="2.42578125" style="21" customWidth="1"/>
    <col min="16137" max="16151" width="1.7109375" style="21" customWidth="1"/>
    <col min="16152" max="16152" width="2.140625" style="21" customWidth="1"/>
    <col min="16153" max="16153" width="3" style="21" customWidth="1"/>
    <col min="16154" max="16154" width="1.7109375" style="21" customWidth="1"/>
    <col min="16155" max="16155" width="2" style="21" customWidth="1"/>
    <col min="16156" max="16156" width="2.140625" style="21" customWidth="1"/>
    <col min="16157" max="16157" width="2" style="21" customWidth="1"/>
    <col min="16158" max="16159" width="1.7109375" style="21" customWidth="1"/>
    <col min="16160" max="16160" width="2.42578125" style="21" customWidth="1"/>
    <col min="16161" max="16161" width="2.28515625" style="21" customWidth="1"/>
    <col min="16162" max="16169" width="1.7109375" style="21" customWidth="1"/>
    <col min="16170" max="16170" width="2.85546875" style="21" customWidth="1"/>
    <col min="16171" max="16171" width="1.7109375" style="21" customWidth="1"/>
    <col min="16172" max="16172" width="2.5703125" style="21" customWidth="1"/>
    <col min="16173" max="16173" width="2.7109375" style="21" customWidth="1"/>
    <col min="16174" max="16177" width="1.7109375" style="21" customWidth="1"/>
    <col min="16178" max="16384" width="1.28515625" style="21" hidden="1"/>
  </cols>
  <sheetData>
    <row r="1" spans="1:49" ht="15" customHeight="1">
      <c r="A1" s="21"/>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row>
    <row r="2" spans="1:49" ht="15" customHeight="1">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row>
    <row r="3" spans="1:49" ht="15" customHeight="1">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row>
    <row r="4" spans="1:49" ht="15" customHeight="1">
      <c r="A4" s="21"/>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row>
    <row r="5" spans="1:49" ht="15" customHeight="1">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row>
    <row r="6" spans="1:49" ht="15" customHeight="1">
      <c r="A6" s="21"/>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row>
    <row r="7" spans="1:49" ht="12" customHeight="1">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row>
    <row r="8" spans="1:49" ht="7.5" customHeight="1">
      <c r="A8" s="21"/>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row>
    <row r="9" spans="1:49" ht="6" customHeight="1">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row>
    <row r="10" spans="1:49" ht="15" customHeight="1">
      <c r="C10" s="23"/>
      <c r="D10" s="23"/>
      <c r="E10" s="24"/>
      <c r="F10" s="24"/>
      <c r="G10" s="24"/>
      <c r="H10" s="24"/>
      <c r="K10" s="24"/>
      <c r="L10" s="24"/>
      <c r="M10" s="25"/>
      <c r="N10" s="24"/>
      <c r="O10" s="24"/>
      <c r="P10" s="24"/>
      <c r="R10" s="26" t="str">
        <f>+R63</f>
        <v xml:space="preserve">  INFORME N° 26</v>
      </c>
      <c r="T10" s="24"/>
      <c r="AB10" s="801">
        <f>+AB63</f>
        <v>0</v>
      </c>
      <c r="AC10" s="802"/>
      <c r="AD10" s="802"/>
      <c r="AE10" s="802"/>
      <c r="AF10" s="802"/>
    </row>
    <row r="11" spans="1:49" ht="16.5" customHeight="1">
      <c r="A11" s="803" t="str">
        <f>+A64</f>
        <v>"VALUACIÓN COMERCIAL DE INMUEBLE - MIVIVIENDA"</v>
      </c>
      <c r="B11" s="804"/>
      <c r="C11" s="804"/>
      <c r="D11" s="804"/>
      <c r="E11" s="804"/>
      <c r="F11" s="804"/>
      <c r="G11" s="804"/>
      <c r="H11" s="804"/>
      <c r="I11" s="804"/>
      <c r="J11" s="804"/>
      <c r="K11" s="804"/>
      <c r="L11" s="804"/>
      <c r="M11" s="804"/>
      <c r="N11" s="804"/>
      <c r="O11" s="804"/>
      <c r="P11" s="804"/>
      <c r="Q11" s="804"/>
      <c r="R11" s="804"/>
      <c r="S11" s="804"/>
      <c r="T11" s="804"/>
      <c r="U11" s="804"/>
      <c r="V11" s="804"/>
      <c r="W11" s="804"/>
      <c r="X11" s="804"/>
      <c r="Y11" s="804"/>
      <c r="Z11" s="804"/>
      <c r="AA11" s="804"/>
      <c r="AB11" s="804"/>
      <c r="AC11" s="804"/>
      <c r="AD11" s="804"/>
      <c r="AE11" s="804"/>
      <c r="AF11" s="804"/>
      <c r="AG11" s="804"/>
      <c r="AH11" s="804"/>
      <c r="AI11" s="804"/>
      <c r="AJ11" s="804"/>
      <c r="AK11" s="804"/>
      <c r="AL11" s="804"/>
      <c r="AM11" s="804"/>
      <c r="AN11" s="804"/>
      <c r="AO11" s="804"/>
      <c r="AP11" s="804"/>
      <c r="AQ11" s="804"/>
      <c r="AR11" s="804"/>
      <c r="AS11" s="804"/>
      <c r="AT11" s="804"/>
      <c r="AU11" s="804"/>
      <c r="AV11" s="804"/>
    </row>
    <row r="12" spans="1:49" ht="26.25" customHeight="1">
      <c r="A12" s="27" t="s">
        <v>127</v>
      </c>
      <c r="B12" s="28"/>
      <c r="C12" s="28"/>
      <c r="D12" s="28"/>
      <c r="E12" s="28"/>
      <c r="F12" s="28"/>
      <c r="G12" s="28"/>
      <c r="H12" s="28"/>
      <c r="I12" s="29"/>
      <c r="J12" s="29"/>
      <c r="K12" s="30"/>
      <c r="L12" s="30"/>
      <c r="M12" s="30"/>
      <c r="N12" s="30"/>
      <c r="O12" s="30" t="s">
        <v>128</v>
      </c>
      <c r="P12" s="805" t="str">
        <f>+C67</f>
        <v>DEPARTAMENTO, ESTACIONAMIENTO Y DEPÓSITO EN EDIFICIO MULTIFAMILIAR.</v>
      </c>
      <c r="Q12" s="806"/>
      <c r="R12" s="806"/>
      <c r="S12" s="806"/>
      <c r="T12" s="806"/>
      <c r="U12" s="806"/>
      <c r="V12" s="806"/>
      <c r="W12" s="806"/>
      <c r="X12" s="806"/>
      <c r="Y12" s="806"/>
      <c r="Z12" s="806"/>
      <c r="AA12" s="806"/>
      <c r="AB12" s="806"/>
      <c r="AC12" s="806"/>
      <c r="AD12" s="806"/>
      <c r="AE12" s="806"/>
      <c r="AF12" s="806"/>
      <c r="AG12" s="806"/>
      <c r="AH12" s="806"/>
      <c r="AI12" s="806"/>
      <c r="AJ12" s="806"/>
      <c r="AK12" s="806"/>
      <c r="AL12" s="806"/>
      <c r="AM12" s="806"/>
      <c r="AN12" s="806"/>
      <c r="AO12" s="806"/>
      <c r="AP12" s="806"/>
      <c r="AQ12" s="806"/>
      <c r="AR12" s="806"/>
      <c r="AS12" s="806"/>
      <c r="AT12" s="806"/>
      <c r="AU12" s="806"/>
      <c r="AV12" s="806"/>
      <c r="AW12" s="31"/>
    </row>
    <row r="13" spans="1:49" s="31" customFormat="1" ht="17.25" customHeight="1">
      <c r="A13" s="27" t="s">
        <v>129</v>
      </c>
      <c r="B13" s="28"/>
      <c r="C13" s="28"/>
      <c r="D13" s="28"/>
      <c r="E13" s="28"/>
      <c r="F13" s="28"/>
      <c r="G13" s="28"/>
      <c r="H13" s="28"/>
      <c r="I13" s="29"/>
      <c r="J13" s="29"/>
      <c r="K13" s="30"/>
      <c r="L13" s="30"/>
      <c r="M13" s="30"/>
      <c r="N13" s="30"/>
      <c r="O13" s="30" t="s">
        <v>128</v>
      </c>
      <c r="P13" s="807"/>
      <c r="Q13" s="807"/>
      <c r="R13" s="807"/>
      <c r="S13" s="807"/>
      <c r="T13" s="807"/>
      <c r="U13" s="807"/>
      <c r="V13" s="807"/>
      <c r="W13" s="807"/>
      <c r="X13" s="807"/>
      <c r="Y13" s="807"/>
      <c r="Z13" s="807"/>
      <c r="AA13" s="807"/>
      <c r="AB13" s="807"/>
      <c r="AC13" s="807"/>
      <c r="AD13" s="807"/>
      <c r="AE13" s="807"/>
      <c r="AF13" s="807"/>
      <c r="AG13" s="807"/>
      <c r="AH13" s="807"/>
      <c r="AI13" s="807"/>
      <c r="AJ13" s="807"/>
      <c r="AK13" s="807"/>
      <c r="AL13" s="807"/>
      <c r="AM13" s="807"/>
      <c r="AN13" s="807"/>
      <c r="AO13" s="807"/>
      <c r="AP13" s="807"/>
      <c r="AQ13" s="807"/>
      <c r="AR13" s="807"/>
      <c r="AS13" s="807"/>
      <c r="AT13" s="807"/>
      <c r="AU13" s="807"/>
      <c r="AV13" s="807"/>
    </row>
    <row r="14" spans="1:49" ht="14.25" customHeight="1">
      <c r="A14" s="27" t="s">
        <v>130</v>
      </c>
      <c r="B14" s="28"/>
      <c r="C14" s="28"/>
      <c r="D14" s="28"/>
      <c r="E14" s="28"/>
      <c r="F14" s="28"/>
      <c r="G14" s="28"/>
      <c r="H14" s="28"/>
      <c r="I14" s="29"/>
      <c r="J14" s="29"/>
      <c r="K14" s="30"/>
      <c r="L14" s="30"/>
      <c r="M14" s="30"/>
      <c r="N14" s="30"/>
      <c r="O14" s="30" t="s">
        <v>128</v>
      </c>
      <c r="P14" s="30" t="s">
        <v>131</v>
      </c>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1"/>
    </row>
    <row r="15" spans="1:49" s="31" customFormat="1" ht="28.5" customHeight="1">
      <c r="A15" s="27" t="s">
        <v>132</v>
      </c>
      <c r="B15" s="28"/>
      <c r="C15" s="28"/>
      <c r="D15" s="28"/>
      <c r="E15" s="28"/>
      <c r="F15" s="28"/>
      <c r="G15" s="28"/>
      <c r="H15" s="28"/>
      <c r="I15" s="29"/>
      <c r="J15" s="29"/>
      <c r="K15" s="30"/>
      <c r="L15" s="30"/>
      <c r="M15" s="30"/>
      <c r="N15" s="30"/>
      <c r="O15" s="30" t="s">
        <v>128</v>
      </c>
      <c r="P15" s="805">
        <f>+C69</f>
        <v>0</v>
      </c>
      <c r="Q15" s="806"/>
      <c r="R15" s="806"/>
      <c r="S15" s="806"/>
      <c r="T15" s="806"/>
      <c r="U15" s="806"/>
      <c r="V15" s="806"/>
      <c r="W15" s="806"/>
      <c r="X15" s="806"/>
      <c r="Y15" s="806"/>
      <c r="Z15" s="806"/>
      <c r="AA15" s="806"/>
      <c r="AB15" s="806"/>
      <c r="AC15" s="806"/>
      <c r="AD15" s="806"/>
      <c r="AE15" s="806"/>
      <c r="AF15" s="806"/>
      <c r="AG15" s="806"/>
      <c r="AH15" s="806"/>
      <c r="AI15" s="806"/>
      <c r="AJ15" s="806"/>
      <c r="AK15" s="806"/>
      <c r="AL15" s="806"/>
      <c r="AM15" s="806"/>
      <c r="AN15" s="806"/>
      <c r="AO15" s="806"/>
      <c r="AP15" s="806"/>
      <c r="AQ15" s="806"/>
      <c r="AR15" s="806"/>
      <c r="AS15" s="806"/>
      <c r="AT15" s="806"/>
      <c r="AU15" s="806"/>
      <c r="AV15" s="806"/>
    </row>
    <row r="16" spans="1:49" s="31" customFormat="1" ht="33" customHeight="1">
      <c r="A16" s="32" t="s">
        <v>9</v>
      </c>
      <c r="B16" s="33"/>
      <c r="C16" s="33"/>
      <c r="D16" s="33"/>
      <c r="E16" s="33"/>
      <c r="F16" s="33"/>
      <c r="G16" s="798" t="str">
        <f>+C71</f>
        <v>Dirección Registral:</v>
      </c>
      <c r="H16" s="798"/>
      <c r="I16" s="798"/>
      <c r="J16" s="798"/>
      <c r="K16" s="798"/>
      <c r="L16" s="798"/>
      <c r="M16" s="798"/>
      <c r="N16" s="798"/>
      <c r="O16" s="33" t="s">
        <v>128</v>
      </c>
      <c r="P16" s="741">
        <f>+C72</f>
        <v>0</v>
      </c>
      <c r="Q16" s="741"/>
      <c r="R16" s="741"/>
      <c r="S16" s="741"/>
      <c r="T16" s="741"/>
      <c r="U16" s="741"/>
      <c r="V16" s="741"/>
      <c r="W16" s="741"/>
      <c r="X16" s="741"/>
      <c r="Y16" s="741"/>
      <c r="Z16" s="741"/>
      <c r="AA16" s="741"/>
      <c r="AB16" s="741"/>
      <c r="AC16" s="741"/>
      <c r="AD16" s="741"/>
      <c r="AE16" s="741"/>
      <c r="AF16" s="741"/>
      <c r="AG16" s="741"/>
      <c r="AH16" s="741"/>
      <c r="AI16" s="741"/>
      <c r="AJ16" s="741"/>
      <c r="AK16" s="741"/>
      <c r="AL16" s="741"/>
      <c r="AM16" s="741"/>
      <c r="AN16" s="741"/>
      <c r="AO16" s="741"/>
      <c r="AP16" s="741"/>
      <c r="AQ16" s="741"/>
      <c r="AR16" s="741"/>
      <c r="AS16" s="741"/>
      <c r="AT16" s="741"/>
      <c r="AU16" s="741"/>
      <c r="AV16" s="741"/>
    </row>
    <row r="17" spans="1:48" s="31" customFormat="1" ht="33" customHeight="1">
      <c r="A17" s="32"/>
      <c r="B17" s="33"/>
      <c r="C17" s="33"/>
      <c r="D17" s="33"/>
      <c r="E17" s="33"/>
      <c r="F17" s="33"/>
      <c r="G17" s="798" t="str">
        <f>+C73</f>
        <v>Dirección Autoavalúo:</v>
      </c>
      <c r="H17" s="798"/>
      <c r="I17" s="798"/>
      <c r="J17" s="798"/>
      <c r="K17" s="798"/>
      <c r="L17" s="798"/>
      <c r="M17" s="798"/>
      <c r="N17" s="798"/>
      <c r="O17" s="33" t="s">
        <v>128</v>
      </c>
      <c r="P17" s="741">
        <f>+C74</f>
        <v>0</v>
      </c>
      <c r="Q17" s="741"/>
      <c r="R17" s="741"/>
      <c r="S17" s="741"/>
      <c r="T17" s="741"/>
      <c r="U17" s="741"/>
      <c r="V17" s="741"/>
      <c r="W17" s="741"/>
      <c r="X17" s="741"/>
      <c r="Y17" s="741"/>
      <c r="Z17" s="741"/>
      <c r="AA17" s="741"/>
      <c r="AB17" s="741"/>
      <c r="AC17" s="741"/>
      <c r="AD17" s="741"/>
      <c r="AE17" s="741"/>
      <c r="AF17" s="741"/>
      <c r="AG17" s="741"/>
      <c r="AH17" s="741"/>
      <c r="AI17" s="741"/>
      <c r="AJ17" s="741"/>
      <c r="AK17" s="741"/>
      <c r="AL17" s="741"/>
      <c r="AM17" s="741"/>
      <c r="AN17" s="741"/>
      <c r="AO17" s="741"/>
      <c r="AP17" s="741"/>
      <c r="AQ17" s="741"/>
      <c r="AR17" s="741"/>
      <c r="AS17" s="741"/>
      <c r="AT17" s="741"/>
      <c r="AU17" s="741"/>
      <c r="AV17" s="741"/>
    </row>
    <row r="18" spans="1:48" s="31" customFormat="1" ht="33" customHeight="1">
      <c r="A18" s="32"/>
      <c r="B18" s="33"/>
      <c r="C18" s="33"/>
      <c r="D18" s="33"/>
      <c r="E18" s="33"/>
      <c r="F18" s="33"/>
      <c r="G18" s="798" t="str">
        <f>+C75</f>
        <v>Dirección In-Situ:</v>
      </c>
      <c r="H18" s="798"/>
      <c r="I18" s="798"/>
      <c r="J18" s="798"/>
      <c r="K18" s="798"/>
      <c r="L18" s="798"/>
      <c r="M18" s="798"/>
      <c r="N18" s="798"/>
      <c r="O18" s="33" t="s">
        <v>128</v>
      </c>
      <c r="P18" s="741">
        <f>+C76</f>
        <v>0</v>
      </c>
      <c r="Q18" s="741"/>
      <c r="R18" s="741"/>
      <c r="S18" s="741"/>
      <c r="T18" s="741"/>
      <c r="U18" s="741"/>
      <c r="V18" s="741"/>
      <c r="W18" s="741"/>
      <c r="X18" s="741"/>
      <c r="Y18" s="741"/>
      <c r="Z18" s="741"/>
      <c r="AA18" s="741"/>
      <c r="AB18" s="741"/>
      <c r="AC18" s="741"/>
      <c r="AD18" s="741"/>
      <c r="AE18" s="741"/>
      <c r="AF18" s="741"/>
      <c r="AG18" s="741"/>
      <c r="AH18" s="741"/>
      <c r="AI18" s="741"/>
      <c r="AJ18" s="741"/>
      <c r="AK18" s="741"/>
      <c r="AL18" s="741"/>
      <c r="AM18" s="741"/>
      <c r="AN18" s="741"/>
      <c r="AO18" s="741"/>
      <c r="AP18" s="741"/>
      <c r="AQ18" s="741"/>
      <c r="AR18" s="741"/>
      <c r="AS18" s="741"/>
      <c r="AT18" s="741"/>
      <c r="AU18" s="741"/>
      <c r="AV18" s="741"/>
    </row>
    <row r="19" spans="1:48" s="36" customFormat="1" ht="14.25" customHeight="1">
      <c r="A19" s="34" t="s">
        <v>133</v>
      </c>
      <c r="B19" s="35"/>
      <c r="C19" s="35"/>
      <c r="D19" s="35"/>
      <c r="E19" s="35"/>
      <c r="F19" s="35"/>
      <c r="H19" s="37"/>
      <c r="I19" s="35"/>
      <c r="J19" s="38"/>
      <c r="K19" s="38"/>
      <c r="L19" s="38"/>
      <c r="M19" s="38"/>
      <c r="N19" s="38"/>
      <c r="O19" s="39" t="s">
        <v>128</v>
      </c>
      <c r="P19" s="799"/>
      <c r="Q19" s="799"/>
      <c r="R19" s="799"/>
      <c r="S19" s="799"/>
      <c r="T19" s="799"/>
      <c r="U19" s="799"/>
      <c r="V19" s="799"/>
      <c r="W19" s="799"/>
      <c r="X19" s="799"/>
      <c r="Y19" s="799"/>
      <c r="Z19" s="799"/>
      <c r="AA19" s="799"/>
      <c r="AB19" s="799"/>
      <c r="AC19" s="799"/>
      <c r="AD19" s="40"/>
      <c r="AE19" s="40"/>
      <c r="AF19" s="40"/>
      <c r="AG19" s="40"/>
      <c r="AH19" s="41"/>
      <c r="AJ19" s="42"/>
      <c r="AK19" s="42"/>
      <c r="AL19" s="42"/>
      <c r="AM19" s="43"/>
      <c r="AN19" s="43"/>
      <c r="AO19" s="43"/>
      <c r="AP19" s="43"/>
      <c r="AQ19" s="43"/>
      <c r="AR19" s="43"/>
      <c r="AS19" s="43"/>
      <c r="AT19" s="43"/>
      <c r="AU19" s="40"/>
      <c r="AV19" s="40"/>
    </row>
    <row r="20" spans="1:48" s="36" customFormat="1" ht="14.25" customHeight="1">
      <c r="A20" s="41" t="s">
        <v>134</v>
      </c>
      <c r="B20" s="35"/>
      <c r="C20" s="35"/>
      <c r="D20" s="35"/>
      <c r="E20" s="35"/>
      <c r="F20" s="35"/>
      <c r="H20" s="37"/>
      <c r="I20" s="35"/>
      <c r="J20" s="38"/>
      <c r="K20" s="38"/>
      <c r="L20" s="38"/>
      <c r="M20" s="38"/>
      <c r="N20" s="38"/>
      <c r="O20" s="39" t="s">
        <v>128</v>
      </c>
      <c r="P20" s="800" t="s">
        <v>135</v>
      </c>
      <c r="Q20" s="800"/>
      <c r="R20" s="800"/>
      <c r="S20" s="800"/>
      <c r="T20" s="800"/>
      <c r="U20" s="800"/>
      <c r="V20" s="800"/>
      <c r="Y20" s="44"/>
      <c r="Z20" s="45"/>
      <c r="AA20" s="45"/>
      <c r="AB20" s="45"/>
      <c r="AC20" s="45"/>
      <c r="AH20" s="41"/>
      <c r="AJ20" s="42"/>
      <c r="AK20" s="42"/>
      <c r="AL20" s="42"/>
      <c r="AQ20" s="46"/>
      <c r="AR20" s="46"/>
      <c r="AS20" s="46"/>
      <c r="AT20" s="46"/>
      <c r="AU20" s="40"/>
      <c r="AV20" s="40"/>
    </row>
    <row r="21" spans="1:48" ht="13.5" customHeight="1">
      <c r="A21" s="784" t="s">
        <v>136</v>
      </c>
      <c r="B21" s="785"/>
      <c r="C21" s="785"/>
      <c r="D21" s="785"/>
      <c r="E21" s="785"/>
      <c r="F21" s="785"/>
      <c r="G21" s="785"/>
      <c r="H21" s="785"/>
      <c r="I21" s="785"/>
      <c r="J21" s="785"/>
      <c r="K21" s="785"/>
      <c r="L21" s="785"/>
      <c r="M21" s="785"/>
      <c r="N21" s="785"/>
      <c r="O21" s="785"/>
      <c r="P21" s="785"/>
      <c r="Q21" s="785"/>
      <c r="R21" s="785"/>
      <c r="S21" s="785"/>
      <c r="T21" s="785"/>
      <c r="U21" s="785"/>
      <c r="V21" s="785"/>
      <c r="W21" s="785"/>
      <c r="X21" s="785"/>
      <c r="Y21" s="786"/>
      <c r="Z21" s="784" t="s">
        <v>137</v>
      </c>
      <c r="AA21" s="785"/>
      <c r="AB21" s="785"/>
      <c r="AC21" s="785"/>
      <c r="AD21" s="785"/>
      <c r="AE21" s="785"/>
      <c r="AF21" s="785"/>
      <c r="AG21" s="785"/>
      <c r="AH21" s="785"/>
      <c r="AI21" s="785"/>
      <c r="AJ21" s="785"/>
      <c r="AK21" s="785"/>
      <c r="AL21" s="785"/>
      <c r="AM21" s="785"/>
      <c r="AN21" s="785"/>
      <c r="AO21" s="785"/>
      <c r="AP21" s="785"/>
      <c r="AQ21" s="785"/>
      <c r="AR21" s="785"/>
      <c r="AS21" s="785"/>
      <c r="AT21" s="785"/>
      <c r="AU21" s="785"/>
      <c r="AV21" s="792"/>
    </row>
    <row r="22" spans="1:48" ht="13.5" customHeight="1">
      <c r="A22" s="787"/>
      <c r="B22" s="453"/>
      <c r="C22" s="453"/>
      <c r="D22" s="453"/>
      <c r="E22" s="453"/>
      <c r="F22" s="453"/>
      <c r="G22" s="453"/>
      <c r="H22" s="453"/>
      <c r="I22" s="453"/>
      <c r="J22" s="453"/>
      <c r="K22" s="453"/>
      <c r="L22" s="453"/>
      <c r="M22" s="453"/>
      <c r="N22" s="453"/>
      <c r="O22" s="453"/>
      <c r="P22" s="453"/>
      <c r="Q22" s="453"/>
      <c r="R22" s="453"/>
      <c r="S22" s="453"/>
      <c r="T22" s="453"/>
      <c r="U22" s="453"/>
      <c r="V22" s="453"/>
      <c r="W22" s="453"/>
      <c r="X22" s="453"/>
      <c r="Y22" s="788"/>
      <c r="Z22" s="787"/>
      <c r="AA22" s="453"/>
      <c r="AB22" s="453"/>
      <c r="AC22" s="453"/>
      <c r="AD22" s="453"/>
      <c r="AE22" s="453"/>
      <c r="AF22" s="453"/>
      <c r="AG22" s="453"/>
      <c r="AH22" s="453"/>
      <c r="AI22" s="453"/>
      <c r="AJ22" s="453"/>
      <c r="AK22" s="453"/>
      <c r="AL22" s="453"/>
      <c r="AM22" s="453"/>
      <c r="AN22" s="453"/>
      <c r="AO22" s="453"/>
      <c r="AP22" s="453"/>
      <c r="AQ22" s="453"/>
      <c r="AR22" s="453"/>
      <c r="AS22" s="453"/>
      <c r="AT22" s="453"/>
      <c r="AU22" s="453"/>
      <c r="AV22" s="793"/>
    </row>
    <row r="23" spans="1:48" ht="13.5" customHeight="1">
      <c r="A23" s="787"/>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788"/>
      <c r="Z23" s="787"/>
      <c r="AA23" s="453"/>
      <c r="AB23" s="453"/>
      <c r="AC23" s="453"/>
      <c r="AD23" s="453"/>
      <c r="AE23" s="453"/>
      <c r="AF23" s="453"/>
      <c r="AG23" s="453"/>
      <c r="AH23" s="453"/>
      <c r="AI23" s="453"/>
      <c r="AJ23" s="453"/>
      <c r="AK23" s="453"/>
      <c r="AL23" s="453"/>
      <c r="AM23" s="453"/>
      <c r="AN23" s="453"/>
      <c r="AO23" s="453"/>
      <c r="AP23" s="453"/>
      <c r="AQ23" s="453"/>
      <c r="AR23" s="453"/>
      <c r="AS23" s="453"/>
      <c r="AT23" s="453"/>
      <c r="AU23" s="453"/>
      <c r="AV23" s="793"/>
    </row>
    <row r="24" spans="1:48" ht="13.5" customHeight="1">
      <c r="A24" s="787"/>
      <c r="B24" s="453"/>
      <c r="C24" s="453"/>
      <c r="D24" s="453"/>
      <c r="E24" s="453"/>
      <c r="F24" s="453"/>
      <c r="G24" s="453"/>
      <c r="H24" s="453"/>
      <c r="I24" s="453"/>
      <c r="J24" s="453"/>
      <c r="K24" s="453"/>
      <c r="L24" s="453"/>
      <c r="M24" s="453"/>
      <c r="N24" s="453"/>
      <c r="O24" s="453"/>
      <c r="P24" s="453"/>
      <c r="Q24" s="453"/>
      <c r="R24" s="453"/>
      <c r="S24" s="453"/>
      <c r="T24" s="453"/>
      <c r="U24" s="453"/>
      <c r="V24" s="453"/>
      <c r="W24" s="453"/>
      <c r="X24" s="453"/>
      <c r="Y24" s="788"/>
      <c r="Z24" s="787"/>
      <c r="AA24" s="453"/>
      <c r="AB24" s="453"/>
      <c r="AC24" s="453"/>
      <c r="AD24" s="453"/>
      <c r="AE24" s="453"/>
      <c r="AF24" s="453"/>
      <c r="AG24" s="453"/>
      <c r="AH24" s="453"/>
      <c r="AI24" s="453"/>
      <c r="AJ24" s="453"/>
      <c r="AK24" s="453"/>
      <c r="AL24" s="453"/>
      <c r="AM24" s="453"/>
      <c r="AN24" s="453"/>
      <c r="AO24" s="453"/>
      <c r="AP24" s="453"/>
      <c r="AQ24" s="453"/>
      <c r="AR24" s="453"/>
      <c r="AS24" s="453"/>
      <c r="AT24" s="453"/>
      <c r="AU24" s="453"/>
      <c r="AV24" s="793"/>
    </row>
    <row r="25" spans="1:48" ht="13.5" customHeight="1">
      <c r="A25" s="787"/>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788"/>
      <c r="Z25" s="787"/>
      <c r="AA25" s="453"/>
      <c r="AB25" s="453"/>
      <c r="AC25" s="453"/>
      <c r="AD25" s="453"/>
      <c r="AE25" s="453"/>
      <c r="AF25" s="453"/>
      <c r="AG25" s="453"/>
      <c r="AH25" s="453"/>
      <c r="AI25" s="453"/>
      <c r="AJ25" s="453"/>
      <c r="AK25" s="453"/>
      <c r="AL25" s="453"/>
      <c r="AM25" s="453"/>
      <c r="AN25" s="453"/>
      <c r="AO25" s="453"/>
      <c r="AP25" s="453"/>
      <c r="AQ25" s="453"/>
      <c r="AR25" s="453"/>
      <c r="AS25" s="453"/>
      <c r="AT25" s="453"/>
      <c r="AU25" s="453"/>
      <c r="AV25" s="793"/>
    </row>
    <row r="26" spans="1:48" ht="13.5" customHeight="1">
      <c r="A26" s="787"/>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788"/>
      <c r="Z26" s="787"/>
      <c r="AA26" s="453"/>
      <c r="AB26" s="453"/>
      <c r="AC26" s="453"/>
      <c r="AD26" s="453"/>
      <c r="AE26" s="453"/>
      <c r="AF26" s="453"/>
      <c r="AG26" s="453"/>
      <c r="AH26" s="453"/>
      <c r="AI26" s="453"/>
      <c r="AJ26" s="453"/>
      <c r="AK26" s="453"/>
      <c r="AL26" s="453"/>
      <c r="AM26" s="453"/>
      <c r="AN26" s="453"/>
      <c r="AO26" s="453"/>
      <c r="AP26" s="453"/>
      <c r="AQ26" s="453"/>
      <c r="AR26" s="453"/>
      <c r="AS26" s="453"/>
      <c r="AT26" s="453"/>
      <c r="AU26" s="453"/>
      <c r="AV26" s="793"/>
    </row>
    <row r="27" spans="1:48" ht="15" customHeight="1">
      <c r="A27" s="787"/>
      <c r="B27" s="453"/>
      <c r="C27" s="453"/>
      <c r="D27" s="453"/>
      <c r="E27" s="453"/>
      <c r="F27" s="453"/>
      <c r="G27" s="453"/>
      <c r="H27" s="453"/>
      <c r="I27" s="453"/>
      <c r="J27" s="453"/>
      <c r="K27" s="453"/>
      <c r="L27" s="453"/>
      <c r="M27" s="453"/>
      <c r="N27" s="453"/>
      <c r="O27" s="453"/>
      <c r="P27" s="453"/>
      <c r="Q27" s="453"/>
      <c r="R27" s="453"/>
      <c r="S27" s="453"/>
      <c r="T27" s="453"/>
      <c r="U27" s="453"/>
      <c r="V27" s="453"/>
      <c r="W27" s="453"/>
      <c r="X27" s="453"/>
      <c r="Y27" s="788"/>
      <c r="Z27" s="787"/>
      <c r="AA27" s="453"/>
      <c r="AB27" s="453"/>
      <c r="AC27" s="453"/>
      <c r="AD27" s="453"/>
      <c r="AE27" s="453"/>
      <c r="AF27" s="453"/>
      <c r="AG27" s="453"/>
      <c r="AH27" s="453"/>
      <c r="AI27" s="453"/>
      <c r="AJ27" s="453"/>
      <c r="AK27" s="453"/>
      <c r="AL27" s="453"/>
      <c r="AM27" s="453"/>
      <c r="AN27" s="453"/>
      <c r="AO27" s="453"/>
      <c r="AP27" s="453"/>
      <c r="AQ27" s="453"/>
      <c r="AR27" s="453"/>
      <c r="AS27" s="453"/>
      <c r="AT27" s="453"/>
      <c r="AU27" s="453"/>
      <c r="AV27" s="793"/>
    </row>
    <row r="28" spans="1:48" ht="13.5" customHeight="1">
      <c r="A28" s="787"/>
      <c r="B28" s="453"/>
      <c r="C28" s="453"/>
      <c r="D28" s="453"/>
      <c r="E28" s="453"/>
      <c r="F28" s="453"/>
      <c r="G28" s="453"/>
      <c r="H28" s="453"/>
      <c r="I28" s="453"/>
      <c r="J28" s="453"/>
      <c r="K28" s="453"/>
      <c r="L28" s="453"/>
      <c r="M28" s="453"/>
      <c r="N28" s="453"/>
      <c r="O28" s="453"/>
      <c r="P28" s="453"/>
      <c r="Q28" s="453"/>
      <c r="R28" s="453"/>
      <c r="S28" s="453"/>
      <c r="T28" s="453"/>
      <c r="U28" s="453"/>
      <c r="V28" s="453"/>
      <c r="W28" s="453"/>
      <c r="X28" s="453"/>
      <c r="Y28" s="788"/>
      <c r="Z28" s="787"/>
      <c r="AA28" s="453"/>
      <c r="AB28" s="453"/>
      <c r="AC28" s="453"/>
      <c r="AD28" s="453"/>
      <c r="AE28" s="453"/>
      <c r="AF28" s="453"/>
      <c r="AG28" s="453"/>
      <c r="AH28" s="453"/>
      <c r="AI28" s="453"/>
      <c r="AJ28" s="453"/>
      <c r="AK28" s="453"/>
      <c r="AL28" s="453"/>
      <c r="AM28" s="453"/>
      <c r="AN28" s="453"/>
      <c r="AO28" s="453"/>
      <c r="AP28" s="453"/>
      <c r="AQ28" s="453"/>
      <c r="AR28" s="453"/>
      <c r="AS28" s="453"/>
      <c r="AT28" s="453"/>
      <c r="AU28" s="453"/>
      <c r="AV28" s="793"/>
    </row>
    <row r="29" spans="1:48" ht="13.5" customHeight="1">
      <c r="A29" s="787"/>
      <c r="B29" s="453"/>
      <c r="C29" s="453"/>
      <c r="D29" s="453"/>
      <c r="E29" s="453"/>
      <c r="F29" s="453"/>
      <c r="G29" s="453"/>
      <c r="H29" s="453"/>
      <c r="I29" s="453"/>
      <c r="J29" s="453"/>
      <c r="K29" s="453"/>
      <c r="L29" s="453"/>
      <c r="M29" s="453"/>
      <c r="N29" s="453"/>
      <c r="O29" s="453"/>
      <c r="P29" s="453"/>
      <c r="Q29" s="453"/>
      <c r="R29" s="453"/>
      <c r="S29" s="453"/>
      <c r="T29" s="453"/>
      <c r="U29" s="453"/>
      <c r="V29" s="453"/>
      <c r="W29" s="453"/>
      <c r="X29" s="453"/>
      <c r="Y29" s="788"/>
      <c r="Z29" s="787"/>
      <c r="AA29" s="453"/>
      <c r="AB29" s="453"/>
      <c r="AC29" s="453"/>
      <c r="AD29" s="453"/>
      <c r="AE29" s="453"/>
      <c r="AF29" s="453"/>
      <c r="AG29" s="453"/>
      <c r="AH29" s="453"/>
      <c r="AI29" s="453"/>
      <c r="AJ29" s="453"/>
      <c r="AK29" s="453"/>
      <c r="AL29" s="453"/>
      <c r="AM29" s="453"/>
      <c r="AN29" s="453"/>
      <c r="AO29" s="453"/>
      <c r="AP29" s="453"/>
      <c r="AQ29" s="453"/>
      <c r="AR29" s="453"/>
      <c r="AS29" s="453"/>
      <c r="AT29" s="453"/>
      <c r="AU29" s="453"/>
      <c r="AV29" s="793"/>
    </row>
    <row r="30" spans="1:48" ht="13.5" customHeight="1">
      <c r="A30" s="787"/>
      <c r="B30" s="453"/>
      <c r="C30" s="453"/>
      <c r="D30" s="453"/>
      <c r="E30" s="453"/>
      <c r="F30" s="453"/>
      <c r="G30" s="453"/>
      <c r="H30" s="453"/>
      <c r="I30" s="453"/>
      <c r="J30" s="453"/>
      <c r="K30" s="453"/>
      <c r="L30" s="453"/>
      <c r="M30" s="453"/>
      <c r="N30" s="453"/>
      <c r="O30" s="453"/>
      <c r="P30" s="453"/>
      <c r="Q30" s="453"/>
      <c r="R30" s="453"/>
      <c r="S30" s="453"/>
      <c r="T30" s="453"/>
      <c r="U30" s="453"/>
      <c r="V30" s="453"/>
      <c r="W30" s="453"/>
      <c r="X30" s="453"/>
      <c r="Y30" s="788"/>
      <c r="Z30" s="787"/>
      <c r="AA30" s="453"/>
      <c r="AB30" s="453"/>
      <c r="AC30" s="453"/>
      <c r="AD30" s="453"/>
      <c r="AE30" s="453"/>
      <c r="AF30" s="453"/>
      <c r="AG30" s="453"/>
      <c r="AH30" s="453"/>
      <c r="AI30" s="453"/>
      <c r="AJ30" s="453"/>
      <c r="AK30" s="453"/>
      <c r="AL30" s="453"/>
      <c r="AM30" s="453"/>
      <c r="AN30" s="453"/>
      <c r="AO30" s="453"/>
      <c r="AP30" s="453"/>
      <c r="AQ30" s="453"/>
      <c r="AR30" s="453"/>
      <c r="AS30" s="453"/>
      <c r="AT30" s="453"/>
      <c r="AU30" s="453"/>
      <c r="AV30" s="793"/>
    </row>
    <row r="31" spans="1:48" ht="21.75" customHeight="1">
      <c r="A31" s="787"/>
      <c r="B31" s="453"/>
      <c r="C31" s="453"/>
      <c r="D31" s="453"/>
      <c r="E31" s="453"/>
      <c r="F31" s="453"/>
      <c r="G31" s="453"/>
      <c r="H31" s="453"/>
      <c r="I31" s="453"/>
      <c r="J31" s="453"/>
      <c r="K31" s="453"/>
      <c r="L31" s="453"/>
      <c r="M31" s="453"/>
      <c r="N31" s="453"/>
      <c r="O31" s="453"/>
      <c r="P31" s="453"/>
      <c r="Q31" s="453"/>
      <c r="R31" s="453"/>
      <c r="S31" s="453"/>
      <c r="T31" s="453"/>
      <c r="U31" s="453"/>
      <c r="V31" s="453"/>
      <c r="W31" s="453"/>
      <c r="X31" s="453"/>
      <c r="Y31" s="788"/>
      <c r="Z31" s="787"/>
      <c r="AA31" s="453"/>
      <c r="AB31" s="453"/>
      <c r="AC31" s="453"/>
      <c r="AD31" s="453"/>
      <c r="AE31" s="453"/>
      <c r="AF31" s="453"/>
      <c r="AG31" s="453"/>
      <c r="AH31" s="453"/>
      <c r="AI31" s="453"/>
      <c r="AJ31" s="453"/>
      <c r="AK31" s="453"/>
      <c r="AL31" s="453"/>
      <c r="AM31" s="453"/>
      <c r="AN31" s="453"/>
      <c r="AO31" s="453"/>
      <c r="AP31" s="453"/>
      <c r="AQ31" s="453"/>
      <c r="AR31" s="453"/>
      <c r="AS31" s="453"/>
      <c r="AT31" s="453"/>
      <c r="AU31" s="453"/>
      <c r="AV31" s="793"/>
    </row>
    <row r="32" spans="1:48" ht="13.5" customHeight="1">
      <c r="A32" s="787"/>
      <c r="B32" s="453"/>
      <c r="C32" s="453"/>
      <c r="D32" s="453"/>
      <c r="E32" s="453"/>
      <c r="F32" s="453"/>
      <c r="G32" s="453"/>
      <c r="H32" s="453"/>
      <c r="I32" s="453"/>
      <c r="J32" s="453"/>
      <c r="K32" s="453"/>
      <c r="L32" s="453"/>
      <c r="M32" s="453"/>
      <c r="N32" s="453"/>
      <c r="O32" s="453"/>
      <c r="P32" s="453"/>
      <c r="Q32" s="453"/>
      <c r="R32" s="453"/>
      <c r="S32" s="453"/>
      <c r="T32" s="453"/>
      <c r="U32" s="453"/>
      <c r="V32" s="453"/>
      <c r="W32" s="453"/>
      <c r="X32" s="453"/>
      <c r="Y32" s="788"/>
      <c r="Z32" s="787"/>
      <c r="AA32" s="453"/>
      <c r="AB32" s="453"/>
      <c r="AC32" s="453"/>
      <c r="AD32" s="453"/>
      <c r="AE32" s="453"/>
      <c r="AF32" s="453"/>
      <c r="AG32" s="453"/>
      <c r="AH32" s="453"/>
      <c r="AI32" s="453"/>
      <c r="AJ32" s="453"/>
      <c r="AK32" s="453"/>
      <c r="AL32" s="453"/>
      <c r="AM32" s="453"/>
      <c r="AN32" s="453"/>
      <c r="AO32" s="453"/>
      <c r="AP32" s="453"/>
      <c r="AQ32" s="453"/>
      <c r="AR32" s="453"/>
      <c r="AS32" s="453"/>
      <c r="AT32" s="453"/>
      <c r="AU32" s="453"/>
      <c r="AV32" s="793"/>
    </row>
    <row r="33" spans="1:48" ht="13.5" customHeight="1">
      <c r="A33" s="787"/>
      <c r="B33" s="453"/>
      <c r="C33" s="453"/>
      <c r="D33" s="453"/>
      <c r="E33" s="453"/>
      <c r="F33" s="453"/>
      <c r="G33" s="453"/>
      <c r="H33" s="453"/>
      <c r="I33" s="453"/>
      <c r="J33" s="453"/>
      <c r="K33" s="453"/>
      <c r="L33" s="453"/>
      <c r="M33" s="453"/>
      <c r="N33" s="453"/>
      <c r="O33" s="453"/>
      <c r="P33" s="453"/>
      <c r="Q33" s="453"/>
      <c r="R33" s="453"/>
      <c r="S33" s="453"/>
      <c r="T33" s="453"/>
      <c r="U33" s="453"/>
      <c r="V33" s="453"/>
      <c r="W33" s="453"/>
      <c r="X33" s="453"/>
      <c r="Y33" s="788"/>
      <c r="Z33" s="787"/>
      <c r="AA33" s="453"/>
      <c r="AB33" s="453"/>
      <c r="AC33" s="453"/>
      <c r="AD33" s="453"/>
      <c r="AE33" s="453"/>
      <c r="AF33" s="453"/>
      <c r="AG33" s="453"/>
      <c r="AH33" s="453"/>
      <c r="AI33" s="453"/>
      <c r="AJ33" s="453"/>
      <c r="AK33" s="453"/>
      <c r="AL33" s="453"/>
      <c r="AM33" s="453"/>
      <c r="AN33" s="453"/>
      <c r="AO33" s="453"/>
      <c r="AP33" s="453"/>
      <c r="AQ33" s="453"/>
      <c r="AR33" s="453"/>
      <c r="AS33" s="453"/>
      <c r="AT33" s="453"/>
      <c r="AU33" s="453"/>
      <c r="AV33" s="793"/>
    </row>
    <row r="34" spans="1:48" ht="7.5" customHeight="1">
      <c r="A34" s="787"/>
      <c r="B34" s="453"/>
      <c r="C34" s="453"/>
      <c r="D34" s="453"/>
      <c r="E34" s="453"/>
      <c r="F34" s="453"/>
      <c r="G34" s="453"/>
      <c r="H34" s="453"/>
      <c r="I34" s="453"/>
      <c r="J34" s="453"/>
      <c r="K34" s="453"/>
      <c r="L34" s="453"/>
      <c r="M34" s="453"/>
      <c r="N34" s="453"/>
      <c r="O34" s="453"/>
      <c r="P34" s="453"/>
      <c r="Q34" s="453"/>
      <c r="R34" s="453"/>
      <c r="S34" s="453"/>
      <c r="T34" s="453"/>
      <c r="U34" s="453"/>
      <c r="V34" s="453"/>
      <c r="W34" s="453"/>
      <c r="X34" s="453"/>
      <c r="Y34" s="788"/>
      <c r="Z34" s="787"/>
      <c r="AA34" s="453"/>
      <c r="AB34" s="453"/>
      <c r="AC34" s="453"/>
      <c r="AD34" s="453"/>
      <c r="AE34" s="453"/>
      <c r="AF34" s="453"/>
      <c r="AG34" s="453"/>
      <c r="AH34" s="453"/>
      <c r="AI34" s="453"/>
      <c r="AJ34" s="453"/>
      <c r="AK34" s="453"/>
      <c r="AL34" s="453"/>
      <c r="AM34" s="453"/>
      <c r="AN34" s="453"/>
      <c r="AO34" s="453"/>
      <c r="AP34" s="453"/>
      <c r="AQ34" s="453"/>
      <c r="AR34" s="453"/>
      <c r="AS34" s="453"/>
      <c r="AT34" s="453"/>
      <c r="AU34" s="453"/>
      <c r="AV34" s="793"/>
    </row>
    <row r="35" spans="1:48" ht="13.5" customHeight="1" thickBot="1">
      <c r="A35" s="789"/>
      <c r="B35" s="790"/>
      <c r="C35" s="790"/>
      <c r="D35" s="790"/>
      <c r="E35" s="790"/>
      <c r="F35" s="790"/>
      <c r="G35" s="790"/>
      <c r="H35" s="790"/>
      <c r="I35" s="790"/>
      <c r="J35" s="790"/>
      <c r="K35" s="790"/>
      <c r="L35" s="790"/>
      <c r="M35" s="790"/>
      <c r="N35" s="790"/>
      <c r="O35" s="790"/>
      <c r="P35" s="790"/>
      <c r="Q35" s="790"/>
      <c r="R35" s="790"/>
      <c r="S35" s="790"/>
      <c r="T35" s="790"/>
      <c r="U35" s="790"/>
      <c r="V35" s="790"/>
      <c r="W35" s="790"/>
      <c r="X35" s="790"/>
      <c r="Y35" s="791"/>
      <c r="Z35" s="789"/>
      <c r="AA35" s="790"/>
      <c r="AB35" s="790"/>
      <c r="AC35" s="790"/>
      <c r="AD35" s="790"/>
      <c r="AE35" s="790"/>
      <c r="AF35" s="790"/>
      <c r="AG35" s="790"/>
      <c r="AH35" s="790"/>
      <c r="AI35" s="790"/>
      <c r="AJ35" s="790"/>
      <c r="AK35" s="790"/>
      <c r="AL35" s="790"/>
      <c r="AM35" s="790"/>
      <c r="AN35" s="790"/>
      <c r="AO35" s="790"/>
      <c r="AP35" s="790"/>
      <c r="AQ35" s="790"/>
      <c r="AR35" s="790"/>
      <c r="AS35" s="790"/>
      <c r="AT35" s="790"/>
      <c r="AU35" s="790"/>
      <c r="AV35" s="794"/>
    </row>
    <row r="36" spans="1:48" s="29" customFormat="1" ht="26.25" customHeight="1" thickTop="1">
      <c r="A36" s="795" t="s">
        <v>138</v>
      </c>
      <c r="B36" s="795"/>
      <c r="C36" s="795"/>
      <c r="D36" s="795"/>
      <c r="E36" s="795"/>
      <c r="F36" s="795"/>
      <c r="G36" s="795"/>
      <c r="H36" s="795"/>
      <c r="I36" s="795"/>
      <c r="J36" s="795"/>
      <c r="K36" s="795"/>
      <c r="L36" s="795"/>
      <c r="M36" s="795"/>
      <c r="N36" s="795"/>
      <c r="O36" s="47" t="s">
        <v>128</v>
      </c>
      <c r="P36" s="48" t="s">
        <v>139</v>
      </c>
      <c r="Q36" s="49"/>
      <c r="R36" s="49"/>
      <c r="T36" s="50"/>
      <c r="U36" s="796"/>
      <c r="V36" s="797"/>
      <c r="W36" s="797"/>
      <c r="X36" s="797"/>
      <c r="Y36" s="797"/>
      <c r="Z36" s="797"/>
      <c r="AA36" s="797"/>
      <c r="AB36" s="797"/>
      <c r="AC36" s="797"/>
      <c r="AD36" s="49"/>
      <c r="AE36" s="49"/>
      <c r="AF36" s="48" t="s">
        <v>140</v>
      </c>
      <c r="AG36" s="49"/>
      <c r="AH36" s="51"/>
      <c r="AJ36" s="52"/>
      <c r="AK36" s="796"/>
      <c r="AL36" s="797"/>
      <c r="AM36" s="797"/>
      <c r="AN36" s="797"/>
      <c r="AO36" s="797"/>
      <c r="AP36" s="797"/>
      <c r="AQ36" s="797"/>
      <c r="AR36" s="797"/>
      <c r="AS36" s="797"/>
      <c r="AT36" s="53"/>
      <c r="AU36" s="49"/>
      <c r="AV36" s="49"/>
    </row>
    <row r="37" spans="1:48" ht="12.75" customHeight="1" thickBot="1">
      <c r="A37" s="54" t="s">
        <v>141</v>
      </c>
      <c r="B37" s="21"/>
      <c r="C37" s="55"/>
      <c r="D37" s="54"/>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c r="AO37" s="55"/>
      <c r="AP37" s="55"/>
      <c r="AQ37" s="55"/>
      <c r="AR37" s="55"/>
      <c r="AS37" s="55"/>
      <c r="AT37" s="55"/>
      <c r="AU37" s="55"/>
      <c r="AV37" s="55"/>
    </row>
    <row r="38" spans="1:48" ht="4.5" hidden="1" customHeight="1" thickBo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row>
    <row r="39" spans="1:48" s="56" customFormat="1" ht="39" customHeight="1">
      <c r="A39" s="768" t="s">
        <v>142</v>
      </c>
      <c r="B39" s="769"/>
      <c r="C39" s="769"/>
      <c r="D39" s="769"/>
      <c r="E39" s="769"/>
      <c r="F39" s="769"/>
      <c r="G39" s="769"/>
      <c r="H39" s="769"/>
      <c r="I39" s="770" t="s">
        <v>143</v>
      </c>
      <c r="J39" s="771"/>
      <c r="K39" s="771"/>
      <c r="L39" s="770" t="s">
        <v>144</v>
      </c>
      <c r="M39" s="771"/>
      <c r="N39" s="771"/>
      <c r="O39" s="771"/>
      <c r="P39" s="771"/>
      <c r="Q39" s="771"/>
      <c r="R39" s="770" t="s">
        <v>145</v>
      </c>
      <c r="S39" s="771"/>
      <c r="T39" s="771"/>
      <c r="U39" s="772"/>
      <c r="V39" s="770" t="s">
        <v>146</v>
      </c>
      <c r="W39" s="771"/>
      <c r="X39" s="772"/>
      <c r="Y39" s="770" t="s">
        <v>147</v>
      </c>
      <c r="Z39" s="771"/>
      <c r="AA39" s="771"/>
      <c r="AB39" s="771"/>
      <c r="AC39" s="771"/>
      <c r="AD39" s="772"/>
      <c r="AE39" s="765" t="s">
        <v>148</v>
      </c>
      <c r="AF39" s="766"/>
      <c r="AG39" s="766"/>
      <c r="AH39" s="766"/>
      <c r="AI39" s="766"/>
      <c r="AJ39" s="766"/>
      <c r="AK39" s="765" t="s">
        <v>149</v>
      </c>
      <c r="AL39" s="766"/>
      <c r="AM39" s="766"/>
      <c r="AN39" s="766"/>
      <c r="AO39" s="766"/>
      <c r="AP39" s="766"/>
      <c r="AQ39" s="765" t="s">
        <v>150</v>
      </c>
      <c r="AR39" s="766"/>
      <c r="AS39" s="766"/>
      <c r="AT39" s="766"/>
      <c r="AU39" s="766"/>
      <c r="AV39" s="767"/>
    </row>
    <row r="40" spans="1:48" s="31" customFormat="1" ht="13.5">
      <c r="A40" s="775" t="str">
        <f>+C240</f>
        <v xml:space="preserve">Departamento N° </v>
      </c>
      <c r="B40" s="776"/>
      <c r="C40" s="776"/>
      <c r="D40" s="776"/>
      <c r="E40" s="776"/>
      <c r="F40" s="776"/>
      <c r="G40" s="776"/>
      <c r="H40" s="777"/>
      <c r="I40" s="778">
        <f>+Y104</f>
        <v>0</v>
      </c>
      <c r="J40" s="779"/>
      <c r="K40" s="780"/>
      <c r="L40" s="778">
        <f>+AF240</f>
        <v>0</v>
      </c>
      <c r="M40" s="779"/>
      <c r="N40" s="779"/>
      <c r="O40" s="779"/>
      <c r="P40" s="779"/>
      <c r="Q40" s="779"/>
      <c r="R40" s="781">
        <f>+U142</f>
        <v>0</v>
      </c>
      <c r="S40" s="782"/>
      <c r="T40" s="782"/>
      <c r="U40" s="783"/>
      <c r="V40" s="779">
        <f>+AB142</f>
        <v>0</v>
      </c>
      <c r="W40" s="779"/>
      <c r="X40" s="780"/>
      <c r="Y40" s="778">
        <f>+S301</f>
        <v>0</v>
      </c>
      <c r="Z40" s="779"/>
      <c r="AA40" s="779"/>
      <c r="AB40" s="779"/>
      <c r="AC40" s="779"/>
      <c r="AD40" s="780"/>
      <c r="AE40" s="391">
        <f>+AL301</f>
        <v>0</v>
      </c>
      <c r="AF40" s="773"/>
      <c r="AG40" s="773"/>
      <c r="AH40" s="773"/>
      <c r="AI40" s="773"/>
      <c r="AJ40" s="773"/>
      <c r="AK40" s="391">
        <f>+AL301</f>
        <v>0</v>
      </c>
      <c r="AL40" s="773"/>
      <c r="AM40" s="773"/>
      <c r="AN40" s="773"/>
      <c r="AO40" s="773"/>
      <c r="AP40" s="773"/>
      <c r="AQ40" s="391">
        <f>+Z310</f>
        <v>0</v>
      </c>
      <c r="AR40" s="773"/>
      <c r="AS40" s="773"/>
      <c r="AT40" s="773"/>
      <c r="AU40" s="773"/>
      <c r="AV40" s="774"/>
    </row>
    <row r="41" spans="1:48" s="31" customFormat="1" ht="13.5">
      <c r="A41" s="775" t="str">
        <f>+C241</f>
        <v xml:space="preserve">Estacionamiento N° </v>
      </c>
      <c r="B41" s="776"/>
      <c r="C41" s="776"/>
      <c r="D41" s="776"/>
      <c r="E41" s="776"/>
      <c r="F41" s="776"/>
      <c r="G41" s="776"/>
      <c r="H41" s="777"/>
      <c r="I41" s="778">
        <f>+Y105</f>
        <v>0</v>
      </c>
      <c r="J41" s="779"/>
      <c r="K41" s="780"/>
      <c r="L41" s="778">
        <f>+AF241</f>
        <v>0</v>
      </c>
      <c r="M41" s="779"/>
      <c r="N41" s="779"/>
      <c r="O41" s="779"/>
      <c r="P41" s="779"/>
      <c r="Q41" s="779"/>
      <c r="R41" s="781">
        <f>+U143</f>
        <v>0</v>
      </c>
      <c r="S41" s="782"/>
      <c r="T41" s="782"/>
      <c r="U41" s="783"/>
      <c r="V41" s="779">
        <f>+AB143</f>
        <v>0</v>
      </c>
      <c r="W41" s="779"/>
      <c r="X41" s="780"/>
      <c r="Y41" s="778">
        <f>+S302</f>
        <v>0</v>
      </c>
      <c r="Z41" s="779"/>
      <c r="AA41" s="779"/>
      <c r="AB41" s="779"/>
      <c r="AC41" s="779"/>
      <c r="AD41" s="780"/>
      <c r="AE41" s="391">
        <f>+AL302</f>
        <v>0</v>
      </c>
      <c r="AF41" s="773"/>
      <c r="AG41" s="773"/>
      <c r="AH41" s="773"/>
      <c r="AI41" s="773"/>
      <c r="AJ41" s="773"/>
      <c r="AK41" s="391">
        <f>+AL302</f>
        <v>0</v>
      </c>
      <c r="AL41" s="773"/>
      <c r="AM41" s="773"/>
      <c r="AN41" s="773"/>
      <c r="AO41" s="773"/>
      <c r="AP41" s="773"/>
      <c r="AQ41" s="391">
        <f>+Z311</f>
        <v>0</v>
      </c>
      <c r="AR41" s="773"/>
      <c r="AS41" s="773"/>
      <c r="AT41" s="773"/>
      <c r="AU41" s="773"/>
      <c r="AV41" s="774"/>
    </row>
    <row r="42" spans="1:48" s="31" customFormat="1" ht="13.5">
      <c r="A42" s="775" t="str">
        <f>+C242</f>
        <v xml:space="preserve">Depósito N° </v>
      </c>
      <c r="B42" s="776"/>
      <c r="C42" s="776"/>
      <c r="D42" s="776"/>
      <c r="E42" s="776"/>
      <c r="F42" s="776"/>
      <c r="G42" s="776"/>
      <c r="H42" s="777"/>
      <c r="I42" s="778">
        <f>+Y106</f>
        <v>0</v>
      </c>
      <c r="J42" s="779"/>
      <c r="K42" s="780"/>
      <c r="L42" s="778">
        <f>+AF242</f>
        <v>0</v>
      </c>
      <c r="M42" s="779"/>
      <c r="N42" s="779"/>
      <c r="O42" s="779"/>
      <c r="P42" s="779"/>
      <c r="Q42" s="779"/>
      <c r="R42" s="781">
        <f>+U144</f>
        <v>0</v>
      </c>
      <c r="S42" s="782"/>
      <c r="T42" s="782"/>
      <c r="U42" s="783"/>
      <c r="V42" s="779">
        <f>+AB144</f>
        <v>0</v>
      </c>
      <c r="W42" s="779"/>
      <c r="X42" s="780"/>
      <c r="Y42" s="778">
        <f>+S303</f>
        <v>0</v>
      </c>
      <c r="Z42" s="779"/>
      <c r="AA42" s="779"/>
      <c r="AB42" s="779"/>
      <c r="AC42" s="779"/>
      <c r="AD42" s="780"/>
      <c r="AE42" s="391">
        <f>+AL303</f>
        <v>0</v>
      </c>
      <c r="AF42" s="773"/>
      <c r="AG42" s="773"/>
      <c r="AH42" s="773"/>
      <c r="AI42" s="773"/>
      <c r="AJ42" s="773"/>
      <c r="AK42" s="391">
        <f>+AL303</f>
        <v>0</v>
      </c>
      <c r="AL42" s="773"/>
      <c r="AM42" s="773"/>
      <c r="AN42" s="773"/>
      <c r="AO42" s="773"/>
      <c r="AP42" s="773"/>
      <c r="AQ42" s="391">
        <f>+Z312</f>
        <v>0</v>
      </c>
      <c r="AR42" s="773"/>
      <c r="AS42" s="773"/>
      <c r="AT42" s="773"/>
      <c r="AU42" s="773"/>
      <c r="AV42" s="774"/>
    </row>
    <row r="43" spans="1:48" ht="15" customHeight="1" thickBot="1">
      <c r="A43" s="57" t="s">
        <v>151</v>
      </c>
      <c r="B43" s="58"/>
      <c r="C43" s="58"/>
      <c r="D43" s="58"/>
      <c r="E43" s="58"/>
      <c r="F43" s="58"/>
      <c r="G43" s="58"/>
      <c r="H43" s="58"/>
      <c r="I43" s="751">
        <f>SUM(I40:K42)</f>
        <v>0</v>
      </c>
      <c r="J43" s="752"/>
      <c r="K43" s="753"/>
      <c r="L43" s="754">
        <f>SUM(L40:Q42)</f>
        <v>0</v>
      </c>
      <c r="M43" s="754"/>
      <c r="N43" s="754"/>
      <c r="O43" s="754"/>
      <c r="P43" s="754"/>
      <c r="Q43" s="754"/>
      <c r="R43" s="751">
        <f>SUM(R40:U42)</f>
        <v>0</v>
      </c>
      <c r="S43" s="754"/>
      <c r="T43" s="754"/>
      <c r="U43" s="755"/>
      <c r="V43" s="751">
        <f>SUM(V40:X42)</f>
        <v>0</v>
      </c>
      <c r="W43" s="754"/>
      <c r="X43" s="755"/>
      <c r="Y43" s="754">
        <f>SUM(Y40:AD42)</f>
        <v>0</v>
      </c>
      <c r="Z43" s="754"/>
      <c r="AA43" s="754"/>
      <c r="AB43" s="754"/>
      <c r="AC43" s="754"/>
      <c r="AD43" s="755"/>
      <c r="AE43" s="745">
        <f>SUM(AE40:AJ42)</f>
        <v>0</v>
      </c>
      <c r="AF43" s="746"/>
      <c r="AG43" s="746"/>
      <c r="AH43" s="746"/>
      <c r="AI43" s="746"/>
      <c r="AJ43" s="746"/>
      <c r="AK43" s="745">
        <f>SUM(AK40:AP42)</f>
        <v>0</v>
      </c>
      <c r="AL43" s="746"/>
      <c r="AM43" s="746"/>
      <c r="AN43" s="746"/>
      <c r="AO43" s="746"/>
      <c r="AP43" s="746"/>
      <c r="AQ43" s="745">
        <f>SUM(AQ40:AV42)</f>
        <v>0</v>
      </c>
      <c r="AR43" s="746"/>
      <c r="AS43" s="746"/>
      <c r="AT43" s="746"/>
      <c r="AU43" s="746"/>
      <c r="AV43" s="747"/>
    </row>
    <row r="44" spans="1:48" ht="12.75" customHeight="1" thickBot="1">
      <c r="A44" s="54" t="s">
        <v>152</v>
      </c>
      <c r="B44" s="21"/>
      <c r="C44" s="55"/>
      <c r="D44" s="54"/>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row>
    <row r="45" spans="1:48" ht="4.5" hidden="1"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row>
    <row r="46" spans="1:48" s="56" customFormat="1" ht="39" customHeight="1">
      <c r="A46" s="768" t="s">
        <v>142</v>
      </c>
      <c r="B46" s="769"/>
      <c r="C46" s="769"/>
      <c r="D46" s="769"/>
      <c r="E46" s="769"/>
      <c r="F46" s="769"/>
      <c r="G46" s="769"/>
      <c r="H46" s="769"/>
      <c r="I46" s="770" t="s">
        <v>143</v>
      </c>
      <c r="J46" s="771"/>
      <c r="K46" s="771"/>
      <c r="L46" s="770" t="s">
        <v>153</v>
      </c>
      <c r="M46" s="771"/>
      <c r="N46" s="771"/>
      <c r="O46" s="771"/>
      <c r="P46" s="771"/>
      <c r="Q46" s="771"/>
      <c r="R46" s="770" t="str">
        <f>+R39</f>
        <v>Área 
Const.
(m²)</v>
      </c>
      <c r="S46" s="771"/>
      <c r="T46" s="771"/>
      <c r="U46" s="771"/>
      <c r="V46" s="770" t="str">
        <f>+V39</f>
        <v>Área 
Ocup.
(m²)</v>
      </c>
      <c r="W46" s="771"/>
      <c r="X46" s="772"/>
      <c r="Y46" s="765" t="s">
        <v>154</v>
      </c>
      <c r="Z46" s="766"/>
      <c r="AA46" s="766"/>
      <c r="AB46" s="766"/>
      <c r="AC46" s="766"/>
      <c r="AD46" s="766"/>
      <c r="AE46" s="765" t="s">
        <v>155</v>
      </c>
      <c r="AF46" s="766"/>
      <c r="AG46" s="766"/>
      <c r="AH46" s="766"/>
      <c r="AI46" s="766"/>
      <c r="AJ46" s="766"/>
      <c r="AK46" s="765" t="s">
        <v>156</v>
      </c>
      <c r="AL46" s="766"/>
      <c r="AM46" s="766"/>
      <c r="AN46" s="766"/>
      <c r="AO46" s="766"/>
      <c r="AP46" s="766"/>
      <c r="AQ46" s="765" t="s">
        <v>157</v>
      </c>
      <c r="AR46" s="766"/>
      <c r="AS46" s="766"/>
      <c r="AT46" s="766"/>
      <c r="AU46" s="766"/>
      <c r="AV46" s="767"/>
    </row>
    <row r="47" spans="1:48" ht="13.5">
      <c r="A47" s="759" t="str">
        <f>+A40</f>
        <v xml:space="preserve">Departamento N° </v>
      </c>
      <c r="B47" s="760"/>
      <c r="C47" s="760"/>
      <c r="D47" s="760"/>
      <c r="E47" s="760"/>
      <c r="F47" s="760"/>
      <c r="G47" s="760"/>
      <c r="H47" s="761"/>
      <c r="I47" s="762">
        <f>+I40</f>
        <v>0</v>
      </c>
      <c r="J47" s="763"/>
      <c r="K47" s="763"/>
      <c r="L47" s="762">
        <f>+AF368</f>
        <v>0</v>
      </c>
      <c r="M47" s="763"/>
      <c r="N47" s="763"/>
      <c r="O47" s="763"/>
      <c r="P47" s="763"/>
      <c r="Q47" s="763"/>
      <c r="R47" s="762">
        <f>+R40</f>
        <v>0</v>
      </c>
      <c r="S47" s="763"/>
      <c r="T47" s="763"/>
      <c r="U47" s="763"/>
      <c r="V47" s="762">
        <f>+V40</f>
        <v>0</v>
      </c>
      <c r="W47" s="763"/>
      <c r="X47" s="764"/>
      <c r="Y47" s="756">
        <f>+S400</f>
        <v>0</v>
      </c>
      <c r="Z47" s="757"/>
      <c r="AA47" s="757"/>
      <c r="AB47" s="757"/>
      <c r="AC47" s="757"/>
      <c r="AD47" s="757"/>
      <c r="AE47" s="756">
        <f>+AL400</f>
        <v>0</v>
      </c>
      <c r="AF47" s="757"/>
      <c r="AG47" s="757"/>
      <c r="AH47" s="757"/>
      <c r="AI47" s="757"/>
      <c r="AJ47" s="757"/>
      <c r="AK47" s="756">
        <f>+AL400</f>
        <v>0</v>
      </c>
      <c r="AL47" s="757"/>
      <c r="AM47" s="757"/>
      <c r="AN47" s="757"/>
      <c r="AO47" s="757"/>
      <c r="AP47" s="757"/>
      <c r="AQ47" s="756">
        <f>+Z409</f>
        <v>0</v>
      </c>
      <c r="AR47" s="757"/>
      <c r="AS47" s="757"/>
      <c r="AT47" s="757"/>
      <c r="AU47" s="757"/>
      <c r="AV47" s="758"/>
    </row>
    <row r="48" spans="1:48" ht="13.5">
      <c r="A48" s="759" t="str">
        <f>+A41</f>
        <v xml:space="preserve">Estacionamiento N° </v>
      </c>
      <c r="B48" s="760"/>
      <c r="C48" s="760"/>
      <c r="D48" s="760"/>
      <c r="E48" s="760"/>
      <c r="F48" s="760"/>
      <c r="G48" s="760"/>
      <c r="H48" s="761"/>
      <c r="I48" s="762">
        <f>+I41</f>
        <v>0</v>
      </c>
      <c r="J48" s="763"/>
      <c r="K48" s="763"/>
      <c r="L48" s="762">
        <f>+AF369</f>
        <v>0</v>
      </c>
      <c r="M48" s="763"/>
      <c r="N48" s="763"/>
      <c r="O48" s="763"/>
      <c r="P48" s="763"/>
      <c r="Q48" s="763"/>
      <c r="R48" s="762">
        <f>+R41</f>
        <v>0</v>
      </c>
      <c r="S48" s="763"/>
      <c r="T48" s="763"/>
      <c r="U48" s="763"/>
      <c r="V48" s="762">
        <f>+V41</f>
        <v>0</v>
      </c>
      <c r="W48" s="763"/>
      <c r="X48" s="764"/>
      <c r="Y48" s="756">
        <f>+S401</f>
        <v>0</v>
      </c>
      <c r="Z48" s="757"/>
      <c r="AA48" s="757"/>
      <c r="AB48" s="757"/>
      <c r="AC48" s="757"/>
      <c r="AD48" s="757"/>
      <c r="AE48" s="756">
        <f>+AL401</f>
        <v>0</v>
      </c>
      <c r="AF48" s="757"/>
      <c r="AG48" s="757"/>
      <c r="AH48" s="757"/>
      <c r="AI48" s="757"/>
      <c r="AJ48" s="757"/>
      <c r="AK48" s="756">
        <f>+AL401</f>
        <v>0</v>
      </c>
      <c r="AL48" s="757"/>
      <c r="AM48" s="757"/>
      <c r="AN48" s="757"/>
      <c r="AO48" s="757"/>
      <c r="AP48" s="757"/>
      <c r="AQ48" s="756">
        <f>+Z410</f>
        <v>0</v>
      </c>
      <c r="AR48" s="757"/>
      <c r="AS48" s="757"/>
      <c r="AT48" s="757"/>
      <c r="AU48" s="757"/>
      <c r="AV48" s="758"/>
    </row>
    <row r="49" spans="1:59" ht="13.5">
      <c r="A49" s="759" t="str">
        <f>+A42</f>
        <v xml:space="preserve">Depósito N° </v>
      </c>
      <c r="B49" s="760"/>
      <c r="C49" s="760"/>
      <c r="D49" s="760"/>
      <c r="E49" s="760"/>
      <c r="F49" s="760"/>
      <c r="G49" s="760"/>
      <c r="H49" s="761"/>
      <c r="I49" s="762">
        <f>+I42</f>
        <v>0</v>
      </c>
      <c r="J49" s="763"/>
      <c r="K49" s="763"/>
      <c r="L49" s="762">
        <f>+AF370</f>
        <v>0</v>
      </c>
      <c r="M49" s="763"/>
      <c r="N49" s="763"/>
      <c r="O49" s="763"/>
      <c r="P49" s="763"/>
      <c r="Q49" s="763"/>
      <c r="R49" s="762">
        <f>+R42</f>
        <v>0</v>
      </c>
      <c r="S49" s="763"/>
      <c r="T49" s="763"/>
      <c r="U49" s="763"/>
      <c r="V49" s="762">
        <f>+V42</f>
        <v>0</v>
      </c>
      <c r="W49" s="763"/>
      <c r="X49" s="764"/>
      <c r="Y49" s="756">
        <f>+S402</f>
        <v>0</v>
      </c>
      <c r="Z49" s="757"/>
      <c r="AA49" s="757"/>
      <c r="AB49" s="757"/>
      <c r="AC49" s="757"/>
      <c r="AD49" s="757"/>
      <c r="AE49" s="756">
        <f>+AL402</f>
        <v>0</v>
      </c>
      <c r="AF49" s="757"/>
      <c r="AG49" s="757"/>
      <c r="AH49" s="757"/>
      <c r="AI49" s="757"/>
      <c r="AJ49" s="757"/>
      <c r="AK49" s="756">
        <f>+AL402</f>
        <v>0</v>
      </c>
      <c r="AL49" s="757"/>
      <c r="AM49" s="757"/>
      <c r="AN49" s="757"/>
      <c r="AO49" s="757"/>
      <c r="AP49" s="757"/>
      <c r="AQ49" s="756">
        <f>+Z411</f>
        <v>0</v>
      </c>
      <c r="AR49" s="757"/>
      <c r="AS49" s="757"/>
      <c r="AT49" s="757"/>
      <c r="AU49" s="757"/>
      <c r="AV49" s="758"/>
    </row>
    <row r="50" spans="1:59" ht="15" customHeight="1" thickBot="1">
      <c r="A50" s="57" t="s">
        <v>151</v>
      </c>
      <c r="B50" s="58"/>
      <c r="C50" s="58"/>
      <c r="D50" s="58"/>
      <c r="E50" s="58"/>
      <c r="F50" s="58"/>
      <c r="G50" s="58"/>
      <c r="H50" s="58"/>
      <c r="I50" s="751">
        <f>SUM(I47:K49)</f>
        <v>0</v>
      </c>
      <c r="J50" s="752"/>
      <c r="K50" s="753"/>
      <c r="L50" s="754">
        <f>+AF371</f>
        <v>0</v>
      </c>
      <c r="M50" s="754"/>
      <c r="N50" s="754"/>
      <c r="O50" s="754"/>
      <c r="P50" s="754"/>
      <c r="Q50" s="754"/>
      <c r="R50" s="751">
        <f>SUM(R47:U49)</f>
        <v>0</v>
      </c>
      <c r="S50" s="754"/>
      <c r="T50" s="754"/>
      <c r="U50" s="754"/>
      <c r="V50" s="751">
        <f>SUM(V47:X49)</f>
        <v>0</v>
      </c>
      <c r="W50" s="754"/>
      <c r="X50" s="755"/>
      <c r="Y50" s="755">
        <f>+AQ381</f>
        <v>0</v>
      </c>
      <c r="Z50" s="746"/>
      <c r="AA50" s="746"/>
      <c r="AB50" s="746"/>
      <c r="AC50" s="746"/>
      <c r="AD50" s="746"/>
      <c r="AE50" s="745">
        <f>SUM(AE47:AJ49)</f>
        <v>0</v>
      </c>
      <c r="AF50" s="746"/>
      <c r="AG50" s="746"/>
      <c r="AH50" s="746"/>
      <c r="AI50" s="746"/>
      <c r="AJ50" s="746"/>
      <c r="AK50" s="745">
        <f>+AL403</f>
        <v>0</v>
      </c>
      <c r="AL50" s="746"/>
      <c r="AM50" s="746"/>
      <c r="AN50" s="746"/>
      <c r="AO50" s="746"/>
      <c r="AP50" s="746"/>
      <c r="AQ50" s="745">
        <f>+Z412</f>
        <v>0</v>
      </c>
      <c r="AR50" s="746"/>
      <c r="AS50" s="746"/>
      <c r="AT50" s="746"/>
      <c r="AU50" s="746"/>
      <c r="AV50" s="747"/>
    </row>
    <row r="51" spans="1:59" s="70" customFormat="1" ht="13.5" customHeight="1">
      <c r="A51" s="59" t="s">
        <v>158</v>
      </c>
      <c r="B51" s="60"/>
      <c r="C51" s="60"/>
      <c r="D51" s="60"/>
      <c r="E51" s="60"/>
      <c r="F51" s="60"/>
      <c r="G51" s="60"/>
      <c r="H51" s="60"/>
      <c r="I51" s="60"/>
      <c r="J51" s="61"/>
      <c r="K51" s="62" t="s">
        <v>128</v>
      </c>
      <c r="L51" s="63"/>
      <c r="M51" s="748">
        <v>3.49</v>
      </c>
      <c r="N51" s="748"/>
      <c r="O51" s="748"/>
      <c r="P51" s="748"/>
      <c r="Q51" s="748"/>
      <c r="R51" s="64" t="s">
        <v>159</v>
      </c>
      <c r="S51" s="65"/>
      <c r="T51" s="66"/>
      <c r="U51" s="66"/>
      <c r="V51" s="66"/>
      <c r="W51" s="65"/>
      <c r="X51" s="66"/>
      <c r="Y51" s="66"/>
      <c r="Z51" s="66"/>
      <c r="AA51" s="65"/>
      <c r="AB51" s="66"/>
      <c r="AC51" s="66"/>
      <c r="AD51" s="66"/>
      <c r="AE51" s="65"/>
      <c r="AF51" s="65"/>
      <c r="AG51" s="65"/>
      <c r="AH51" s="65"/>
      <c r="AI51" s="65"/>
      <c r="AJ51" s="67"/>
      <c r="AK51" s="67"/>
      <c r="AL51" s="67"/>
      <c r="AM51" s="67"/>
      <c r="AN51" s="65"/>
      <c r="AO51" s="67"/>
      <c r="AP51" s="67"/>
      <c r="AQ51" s="67"/>
      <c r="AR51" s="67"/>
      <c r="AS51" s="65"/>
      <c r="AT51" s="65"/>
      <c r="AU51" s="65"/>
      <c r="AV51" s="65"/>
      <c r="AW51" s="65"/>
      <c r="AX51" s="68"/>
      <c r="AY51" s="68"/>
      <c r="AZ51" s="68"/>
      <c r="BA51" s="68"/>
      <c r="BB51" s="68"/>
      <c r="BC51" s="68"/>
      <c r="BD51" s="68"/>
      <c r="BE51" s="68"/>
      <c r="BF51" s="69"/>
      <c r="BG51" s="68"/>
    </row>
    <row r="52" spans="1:59" s="31" customFormat="1">
      <c r="A52" s="71" t="s">
        <v>160</v>
      </c>
      <c r="B52" s="71"/>
      <c r="C52" s="71"/>
      <c r="D52" s="71"/>
      <c r="E52" s="71"/>
      <c r="F52" s="71"/>
      <c r="G52" s="71"/>
      <c r="H52" s="71"/>
      <c r="K52" s="72" t="s">
        <v>128</v>
      </c>
      <c r="M52" s="749">
        <f>+C188</f>
        <v>0</v>
      </c>
      <c r="N52" s="749"/>
      <c r="O52" s="749"/>
      <c r="P52" s="749"/>
      <c r="Q52" s="749"/>
      <c r="R52" s="749"/>
      <c r="S52" s="749"/>
      <c r="T52" s="749"/>
      <c r="U52" s="749"/>
      <c r="V52" s="749"/>
      <c r="W52" s="749"/>
      <c r="X52" s="749"/>
      <c r="Y52" s="749"/>
      <c r="Z52" s="749"/>
      <c r="AA52" s="749"/>
      <c r="AB52" s="749"/>
      <c r="AC52" s="749"/>
      <c r="AD52" s="749"/>
      <c r="AE52" s="749"/>
      <c r="AF52" s="749"/>
      <c r="AG52" s="749"/>
      <c r="AH52" s="749"/>
      <c r="AI52" s="749"/>
      <c r="AJ52" s="749"/>
      <c r="AK52" s="749"/>
      <c r="AL52" s="749"/>
      <c r="AM52" s="749"/>
      <c r="AN52" s="749"/>
      <c r="AO52" s="749"/>
      <c r="AP52" s="749"/>
      <c r="AQ52" s="749"/>
      <c r="AR52" s="749"/>
      <c r="AS52" s="749"/>
      <c r="AT52" s="749"/>
      <c r="AU52" s="749"/>
      <c r="AV52" s="749"/>
    </row>
    <row r="53" spans="1:59" ht="13.5" customHeight="1">
      <c r="A53" s="73" t="s">
        <v>161</v>
      </c>
      <c r="B53" s="73"/>
      <c r="C53" s="73"/>
      <c r="D53" s="74"/>
      <c r="E53" s="73"/>
      <c r="F53" s="73"/>
      <c r="G53" s="73"/>
      <c r="H53" s="73"/>
      <c r="I53" s="21"/>
      <c r="J53" s="21"/>
      <c r="K53" s="75" t="s">
        <v>128</v>
      </c>
      <c r="L53" s="73"/>
      <c r="M53" s="750">
        <f>2025-R166</f>
        <v>2025</v>
      </c>
      <c r="N53" s="750"/>
      <c r="O53" s="750"/>
      <c r="P53" s="750"/>
      <c r="Q53" s="750"/>
      <c r="R53" s="750"/>
      <c r="S53" s="750"/>
      <c r="T53" s="750"/>
      <c r="U53" s="750"/>
      <c r="V53" s="750"/>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row>
    <row r="54" spans="1:59" ht="13.5" customHeight="1">
      <c r="A54" s="73" t="s">
        <v>162</v>
      </c>
      <c r="B54" s="73"/>
      <c r="C54" s="73"/>
      <c r="D54" s="74"/>
      <c r="E54" s="73"/>
      <c r="F54" s="73"/>
      <c r="G54" s="73"/>
      <c r="H54" s="73"/>
      <c r="I54" s="21"/>
      <c r="J54" s="21"/>
      <c r="K54" s="75" t="s">
        <v>128</v>
      </c>
      <c r="L54" s="21"/>
      <c r="M54" s="740"/>
      <c r="N54" s="740"/>
      <c r="O54" s="740"/>
      <c r="P54" s="740"/>
      <c r="Q54" s="740"/>
      <c r="R54" s="740"/>
      <c r="S54" s="740"/>
      <c r="T54" s="740"/>
      <c r="U54" s="740"/>
      <c r="V54" s="740"/>
      <c r="W54" s="740"/>
      <c r="X54" s="740"/>
      <c r="Y54" s="740"/>
      <c r="Z54" s="740"/>
      <c r="AA54" s="740"/>
      <c r="AB54" s="740"/>
      <c r="AC54" s="740"/>
      <c r="AD54" s="740"/>
      <c r="AE54" s="740"/>
      <c r="AF54" s="740"/>
      <c r="AG54" s="740"/>
      <c r="AH54" s="740"/>
      <c r="AI54" s="740"/>
      <c r="AJ54" s="740"/>
      <c r="AK54" s="740"/>
      <c r="AL54" s="740"/>
      <c r="AM54" s="740"/>
      <c r="AN54" s="740"/>
      <c r="AO54" s="740"/>
      <c r="AP54" s="740"/>
      <c r="AQ54" s="740"/>
      <c r="AR54" s="740"/>
      <c r="AS54" s="740"/>
      <c r="AT54" s="740"/>
      <c r="AU54" s="740"/>
      <c r="AV54" s="740"/>
    </row>
    <row r="55" spans="1:59" ht="13.5" customHeight="1">
      <c r="A55" s="73" t="s">
        <v>163</v>
      </c>
      <c r="B55" s="73"/>
      <c r="C55" s="73"/>
      <c r="D55" s="74"/>
      <c r="E55" s="73"/>
      <c r="F55" s="73"/>
      <c r="G55" s="73"/>
      <c r="H55" s="73"/>
      <c r="I55" s="21"/>
      <c r="J55" s="21"/>
      <c r="K55" s="75" t="s">
        <v>128</v>
      </c>
      <c r="L55" s="21"/>
      <c r="M55" s="740"/>
      <c r="N55" s="740"/>
      <c r="O55" s="740"/>
      <c r="P55" s="740"/>
      <c r="Q55" s="740"/>
      <c r="R55" s="740"/>
      <c r="S55" s="740"/>
      <c r="T55" s="740"/>
      <c r="U55" s="740"/>
      <c r="V55" s="740"/>
      <c r="W55" s="740"/>
      <c r="X55" s="740"/>
      <c r="Y55" s="740"/>
      <c r="Z55" s="740"/>
      <c r="AA55" s="740"/>
      <c r="AB55" s="740"/>
      <c r="AC55" s="740"/>
      <c r="AD55" s="740"/>
      <c r="AE55" s="740"/>
      <c r="AF55" s="740"/>
      <c r="AG55" s="740"/>
      <c r="AH55" s="740"/>
      <c r="AI55" s="740"/>
      <c r="AJ55" s="740"/>
      <c r="AK55" s="740"/>
      <c r="AL55" s="740"/>
      <c r="AM55" s="740"/>
      <c r="AN55" s="740"/>
      <c r="AO55" s="740"/>
      <c r="AP55" s="740"/>
      <c r="AQ55" s="740"/>
      <c r="AR55" s="740"/>
      <c r="AS55" s="740"/>
      <c r="AT55" s="740"/>
      <c r="AU55" s="740"/>
      <c r="AV55" s="740"/>
    </row>
    <row r="56" spans="1:59" ht="13.5" customHeight="1">
      <c r="A56" s="73" t="s">
        <v>164</v>
      </c>
      <c r="B56" s="73"/>
      <c r="C56" s="73"/>
      <c r="D56" s="74"/>
      <c r="E56" s="73"/>
      <c r="F56" s="73"/>
      <c r="G56" s="73"/>
      <c r="H56" s="73"/>
      <c r="I56" s="21"/>
      <c r="J56" s="21"/>
      <c r="K56" s="75" t="s">
        <v>128</v>
      </c>
      <c r="L56" s="21"/>
      <c r="M56" s="741">
        <f>+C78</f>
        <v>0</v>
      </c>
      <c r="N56" s="741"/>
      <c r="O56" s="741"/>
      <c r="P56" s="741"/>
      <c r="Q56" s="741"/>
      <c r="R56" s="741"/>
      <c r="S56" s="741"/>
      <c r="T56" s="741"/>
      <c r="U56" s="741"/>
      <c r="V56" s="741"/>
      <c r="W56" s="741"/>
      <c r="X56" s="741"/>
      <c r="Y56" s="741"/>
      <c r="Z56" s="741"/>
      <c r="AA56" s="741"/>
      <c r="AB56" s="741"/>
      <c r="AC56" s="741"/>
      <c r="AD56" s="741"/>
      <c r="AE56" s="741"/>
      <c r="AF56" s="741"/>
      <c r="AG56" s="741"/>
      <c r="AH56" s="741"/>
      <c r="AI56" s="741"/>
      <c r="AJ56" s="741"/>
      <c r="AK56" s="741"/>
      <c r="AL56" s="741"/>
      <c r="AM56" s="741"/>
      <c r="AN56" s="741"/>
      <c r="AO56" s="741"/>
      <c r="AP56" s="741"/>
      <c r="AQ56" s="741"/>
      <c r="AR56" s="741"/>
      <c r="AS56" s="741"/>
      <c r="AT56" s="741"/>
      <c r="AU56" s="741"/>
      <c r="AV56" s="741"/>
    </row>
    <row r="57" spans="1:59" ht="13.5" customHeight="1">
      <c r="A57" s="73" t="s">
        <v>165</v>
      </c>
      <c r="B57" s="73"/>
      <c r="C57" s="73"/>
      <c r="D57" s="74"/>
      <c r="E57" s="73"/>
      <c r="F57" s="73"/>
      <c r="G57" s="73"/>
      <c r="H57" s="73"/>
      <c r="I57" s="21"/>
      <c r="J57" s="21"/>
      <c r="K57" s="75" t="s">
        <v>128</v>
      </c>
      <c r="L57" s="21"/>
      <c r="M57" s="742"/>
      <c r="N57" s="742"/>
      <c r="O57" s="742"/>
      <c r="P57" s="742"/>
      <c r="Q57" s="742"/>
      <c r="R57" s="742"/>
      <c r="S57" s="742"/>
      <c r="T57" s="742"/>
      <c r="U57" s="742"/>
      <c r="V57" s="742"/>
      <c r="W57" s="742"/>
      <c r="X57" s="742"/>
      <c r="Y57" s="742"/>
      <c r="Z57" s="742"/>
      <c r="AA57" s="742"/>
      <c r="AB57" s="742"/>
      <c r="AC57" s="742"/>
      <c r="AD57" s="742"/>
      <c r="AE57" s="742"/>
      <c r="AF57" s="742"/>
      <c r="AG57" s="742"/>
      <c r="AH57" s="742"/>
      <c r="AI57" s="742"/>
      <c r="AJ57" s="742"/>
      <c r="AK57" s="742"/>
      <c r="AL57" s="742"/>
      <c r="AM57" s="742"/>
      <c r="AN57" s="742"/>
      <c r="AO57" s="742"/>
      <c r="AP57" s="742"/>
      <c r="AQ57" s="742"/>
      <c r="AR57" s="742"/>
      <c r="AS57" s="742"/>
      <c r="AT57" s="742"/>
      <c r="AU57" s="742"/>
      <c r="AV57" s="742"/>
    </row>
    <row r="58" spans="1:59" ht="13.5" customHeight="1">
      <c r="A58" s="73" t="s">
        <v>166</v>
      </c>
      <c r="B58" s="73"/>
      <c r="C58" s="73"/>
      <c r="D58" s="74"/>
      <c r="E58" s="73"/>
      <c r="F58" s="73"/>
      <c r="G58" s="73"/>
      <c r="H58" s="73"/>
      <c r="I58" s="21"/>
      <c r="J58" s="21"/>
      <c r="K58" s="75" t="s">
        <v>128</v>
      </c>
      <c r="L58" s="21"/>
      <c r="M58" s="742"/>
      <c r="N58" s="742"/>
      <c r="O58" s="742"/>
      <c r="P58" s="742"/>
      <c r="Q58" s="742"/>
      <c r="R58" s="742"/>
      <c r="S58" s="742"/>
      <c r="T58" s="742"/>
      <c r="U58" s="742"/>
      <c r="V58" s="742"/>
      <c r="W58" s="742"/>
      <c r="X58" s="742"/>
      <c r="Y58" s="742"/>
      <c r="Z58" s="742"/>
      <c r="AA58" s="742"/>
      <c r="AB58" s="742"/>
      <c r="AC58" s="742"/>
      <c r="AD58" s="742"/>
      <c r="AE58" s="742"/>
      <c r="AF58" s="742"/>
      <c r="AG58" s="742"/>
      <c r="AH58" s="742"/>
      <c r="AI58" s="742"/>
      <c r="AJ58" s="742"/>
      <c r="AK58" s="742"/>
      <c r="AL58" s="742"/>
      <c r="AM58" s="742"/>
      <c r="AN58" s="742"/>
      <c r="AO58" s="742"/>
      <c r="AP58" s="742"/>
      <c r="AQ58" s="742"/>
      <c r="AR58" s="742"/>
      <c r="AS58" s="742"/>
      <c r="AT58" s="742"/>
      <c r="AU58" s="742"/>
      <c r="AV58" s="742"/>
    </row>
    <row r="59" spans="1:59" ht="13.5" customHeight="1">
      <c r="A59" s="73" t="s">
        <v>167</v>
      </c>
      <c r="B59" s="73"/>
      <c r="C59" s="73"/>
      <c r="D59" s="74"/>
      <c r="E59" s="73"/>
      <c r="F59" s="73"/>
      <c r="G59" s="73"/>
      <c r="H59" s="73"/>
      <c r="I59" s="21"/>
      <c r="J59" s="21"/>
      <c r="K59" s="75" t="s">
        <v>128</v>
      </c>
      <c r="L59" s="21"/>
      <c r="M59" s="743" t="s">
        <v>168</v>
      </c>
      <c r="N59" s="743"/>
      <c r="O59" s="743"/>
      <c r="P59" s="743"/>
      <c r="Q59" s="743"/>
      <c r="R59" s="743"/>
      <c r="S59" s="743"/>
      <c r="T59" s="743"/>
      <c r="U59" s="743"/>
      <c r="V59" s="743"/>
      <c r="W59" s="743"/>
      <c r="X59" s="743"/>
      <c r="Y59" s="743"/>
      <c r="Z59" s="743"/>
      <c r="AA59" s="743"/>
      <c r="AB59" s="743"/>
      <c r="AC59" s="743"/>
      <c r="AD59" s="743"/>
      <c r="AE59" s="743"/>
      <c r="AF59" s="743"/>
      <c r="AG59" s="743"/>
      <c r="AH59" s="743"/>
      <c r="AI59" s="743"/>
      <c r="AJ59" s="743"/>
      <c r="AK59" s="743"/>
      <c r="AL59" s="743"/>
      <c r="AM59" s="743"/>
      <c r="AN59" s="743"/>
      <c r="AO59" s="743"/>
      <c r="AP59" s="743"/>
      <c r="AQ59" s="743"/>
      <c r="AR59" s="743"/>
      <c r="AS59" s="743"/>
      <c r="AT59" s="743"/>
      <c r="AU59" s="743"/>
      <c r="AV59" s="743"/>
    </row>
    <row r="60" spans="1:59" ht="13.5" customHeight="1">
      <c r="A60" s="73" t="s">
        <v>169</v>
      </c>
      <c r="B60" s="73"/>
      <c r="C60" s="73"/>
      <c r="D60" s="74"/>
      <c r="E60" s="73"/>
      <c r="F60" s="73"/>
      <c r="G60" s="73"/>
      <c r="H60" s="73"/>
      <c r="I60" s="21"/>
      <c r="J60" s="21"/>
      <c r="K60" s="75" t="s">
        <v>128</v>
      </c>
      <c r="L60" s="21"/>
      <c r="M60" s="76"/>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row>
    <row r="61" spans="1:59" ht="13.5" customHeight="1">
      <c r="A61" s="73" t="s">
        <v>170</v>
      </c>
      <c r="B61" s="73"/>
      <c r="C61" s="73"/>
      <c r="D61" s="74"/>
      <c r="E61" s="73"/>
      <c r="F61" s="73"/>
      <c r="G61" s="73"/>
      <c r="H61" s="73"/>
      <c r="I61" s="21"/>
      <c r="J61" s="21"/>
      <c r="K61" s="75" t="s">
        <v>128</v>
      </c>
      <c r="L61" s="21"/>
      <c r="M61" s="73" t="s">
        <v>171</v>
      </c>
      <c r="N61" s="73"/>
      <c r="O61" s="73"/>
      <c r="P61" s="744"/>
      <c r="Q61" s="744"/>
      <c r="R61" s="744"/>
      <c r="S61" s="744"/>
      <c r="T61" s="744"/>
      <c r="U61" s="744"/>
      <c r="V61" s="744"/>
      <c r="W61" s="744"/>
      <c r="X61" s="744"/>
      <c r="Y61" s="744"/>
      <c r="Z61" s="744"/>
      <c r="AA61" s="744"/>
      <c r="AB61" s="744"/>
      <c r="AC61" s="78"/>
      <c r="AD61" s="78"/>
      <c r="AE61" s="78"/>
      <c r="AF61" s="21"/>
      <c r="AG61" s="21"/>
      <c r="AH61" s="21"/>
      <c r="AI61" s="21"/>
      <c r="AJ61" s="21"/>
      <c r="AK61" s="21"/>
      <c r="AL61" s="21"/>
      <c r="AM61" s="21"/>
      <c r="AN61" s="21"/>
      <c r="AO61" s="21"/>
      <c r="AP61" s="21"/>
      <c r="AQ61" s="21"/>
      <c r="AR61" s="21"/>
      <c r="AS61" s="21"/>
      <c r="AT61" s="21"/>
      <c r="AU61" s="21"/>
      <c r="AV61" s="21"/>
    </row>
    <row r="62" spans="1:59" ht="13.5" customHeight="1">
      <c r="A62" s="73" t="s">
        <v>172</v>
      </c>
      <c r="B62" s="79"/>
      <c r="C62" s="79"/>
      <c r="D62" s="79"/>
      <c r="E62" s="79"/>
      <c r="F62" s="79"/>
      <c r="G62" s="79"/>
      <c r="H62" s="79"/>
      <c r="I62" s="21"/>
      <c r="J62" s="21"/>
      <c r="K62" s="75" t="s">
        <v>128</v>
      </c>
      <c r="L62" s="21"/>
      <c r="M62" s="80" t="s">
        <v>510</v>
      </c>
      <c r="N62" s="77"/>
      <c r="O62" s="81"/>
      <c r="P62" s="82"/>
      <c r="Q62" s="82"/>
      <c r="R62" s="83"/>
      <c r="S62" s="83"/>
      <c r="T62" s="83"/>
      <c r="U62" s="83"/>
      <c r="V62" s="83"/>
      <c r="W62" s="83"/>
      <c r="X62" s="78"/>
      <c r="Y62" s="78"/>
      <c r="Z62" s="78"/>
      <c r="AA62" s="78"/>
      <c r="AB62" s="78"/>
      <c r="AC62" s="78"/>
      <c r="AD62" s="78"/>
      <c r="AE62" s="78"/>
      <c r="AF62" s="73"/>
      <c r="AG62" s="79"/>
      <c r="AH62" s="79"/>
      <c r="AI62" s="79"/>
      <c r="AJ62" s="79"/>
      <c r="AK62" s="79"/>
      <c r="AL62" s="79"/>
      <c r="AM62" s="79"/>
      <c r="AN62" s="21"/>
      <c r="AO62" s="21"/>
      <c r="AP62" s="75"/>
      <c r="AQ62" s="21"/>
      <c r="AR62" s="84"/>
      <c r="AS62" s="73"/>
      <c r="AT62" s="85"/>
      <c r="AU62" s="79"/>
      <c r="AV62" s="79"/>
    </row>
    <row r="63" spans="1:59" ht="12.75" customHeight="1">
      <c r="A63" s="21"/>
      <c r="B63" s="21"/>
      <c r="C63" s="21"/>
      <c r="D63" s="21"/>
      <c r="E63" s="21"/>
      <c r="F63" s="21"/>
      <c r="G63" s="21"/>
      <c r="H63" s="56"/>
      <c r="I63" s="21"/>
      <c r="J63" s="56"/>
      <c r="K63" s="21"/>
      <c r="L63" s="21"/>
      <c r="M63" s="21"/>
      <c r="N63" s="21"/>
      <c r="O63" s="21"/>
      <c r="P63" s="21"/>
      <c r="Q63" s="21"/>
      <c r="R63" s="56" t="s">
        <v>509</v>
      </c>
      <c r="S63" s="21"/>
      <c r="T63" s="21"/>
      <c r="U63" s="86"/>
      <c r="V63" s="87"/>
      <c r="W63" s="21"/>
      <c r="X63" s="21"/>
      <c r="Y63" s="21"/>
      <c r="Z63" s="21"/>
      <c r="AA63" s="21"/>
      <c r="AB63" s="735"/>
      <c r="AC63" s="736"/>
      <c r="AD63" s="736"/>
      <c r="AE63" s="736"/>
      <c r="AF63" s="736"/>
      <c r="AG63" s="21"/>
      <c r="AH63" s="21"/>
      <c r="AI63" s="21"/>
      <c r="AJ63" s="21"/>
      <c r="AK63" s="21"/>
      <c r="AL63" s="21"/>
      <c r="AM63" s="21"/>
      <c r="AN63" s="21"/>
      <c r="AO63" s="21"/>
      <c r="AP63" s="21"/>
      <c r="AQ63" s="21"/>
      <c r="AR63" s="21"/>
      <c r="AS63" s="21"/>
      <c r="AT63" s="21"/>
      <c r="AU63" s="21"/>
      <c r="AV63" s="21"/>
    </row>
    <row r="64" spans="1:59" ht="12.75" customHeight="1">
      <c r="A64" s="737" t="s">
        <v>173</v>
      </c>
      <c r="B64" s="737"/>
      <c r="C64" s="625"/>
      <c r="D64" s="625"/>
      <c r="E64" s="625"/>
      <c r="F64" s="625"/>
      <c r="G64" s="625"/>
      <c r="H64" s="625"/>
      <c r="I64" s="625"/>
      <c r="J64" s="625"/>
      <c r="K64" s="625"/>
      <c r="L64" s="625"/>
      <c r="M64" s="625"/>
      <c r="N64" s="625"/>
      <c r="O64" s="625"/>
      <c r="P64" s="625"/>
      <c r="Q64" s="625"/>
      <c r="R64" s="625"/>
      <c r="S64" s="625"/>
      <c r="T64" s="625"/>
      <c r="U64" s="625"/>
      <c r="V64" s="625"/>
      <c r="W64" s="625"/>
      <c r="X64" s="625"/>
      <c r="Y64" s="625"/>
      <c r="Z64" s="625"/>
      <c r="AA64" s="625"/>
      <c r="AB64" s="625"/>
      <c r="AC64" s="625"/>
      <c r="AD64" s="625"/>
      <c r="AE64" s="625"/>
      <c r="AF64" s="625"/>
      <c r="AG64" s="625"/>
      <c r="AH64" s="625"/>
      <c r="AI64" s="625"/>
      <c r="AJ64" s="625"/>
      <c r="AK64" s="625"/>
      <c r="AL64" s="625"/>
      <c r="AM64" s="625"/>
      <c r="AN64" s="625"/>
      <c r="AO64" s="625"/>
      <c r="AP64" s="625"/>
      <c r="AQ64" s="625"/>
      <c r="AR64" s="625"/>
      <c r="AS64" s="625"/>
      <c r="AT64" s="625"/>
      <c r="AU64" s="625"/>
      <c r="AV64" s="625"/>
    </row>
    <row r="65" spans="1:48" ht="3.75" customHeight="1">
      <c r="A65" s="88"/>
      <c r="B65" s="88"/>
      <c r="C65" s="88"/>
      <c r="D65" s="88"/>
      <c r="E65" s="89"/>
      <c r="F65" s="89"/>
      <c r="G65" s="89"/>
      <c r="H65" s="89"/>
      <c r="I65" s="90"/>
      <c r="J65" s="90"/>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row>
    <row r="66" spans="1:48" s="56" customFormat="1" ht="20.100000000000001" customHeight="1">
      <c r="A66" s="738" t="s">
        <v>174</v>
      </c>
      <c r="B66" s="738"/>
      <c r="C66" s="91" t="s">
        <v>175</v>
      </c>
      <c r="I66" s="92"/>
      <c r="J66" s="92"/>
    </row>
    <row r="67" spans="1:48" s="56" customFormat="1" ht="22.5" customHeight="1">
      <c r="C67" s="739" t="s">
        <v>176</v>
      </c>
      <c r="D67" s="618"/>
      <c r="E67" s="618"/>
      <c r="F67" s="618"/>
      <c r="G67" s="618"/>
      <c r="H67" s="618"/>
      <c r="I67" s="618"/>
      <c r="J67" s="618"/>
      <c r="K67" s="618"/>
      <c r="L67" s="618"/>
      <c r="M67" s="618"/>
      <c r="N67" s="618"/>
      <c r="O67" s="618"/>
      <c r="P67" s="618"/>
      <c r="Q67" s="618"/>
      <c r="R67" s="618"/>
      <c r="S67" s="618"/>
      <c r="T67" s="618"/>
      <c r="U67" s="618"/>
      <c r="V67" s="618"/>
      <c r="W67" s="618"/>
      <c r="X67" s="618"/>
      <c r="Y67" s="618"/>
      <c r="Z67" s="618"/>
      <c r="AA67" s="618"/>
      <c r="AB67" s="618"/>
      <c r="AC67" s="618"/>
      <c r="AD67" s="618"/>
      <c r="AE67" s="618"/>
      <c r="AF67" s="618"/>
      <c r="AG67" s="618"/>
      <c r="AH67" s="618"/>
      <c r="AI67" s="618"/>
      <c r="AJ67" s="618"/>
      <c r="AK67" s="618"/>
      <c r="AL67" s="618"/>
      <c r="AM67" s="618"/>
      <c r="AN67" s="618"/>
      <c r="AO67" s="618"/>
      <c r="AP67" s="618"/>
      <c r="AQ67" s="618"/>
      <c r="AR67" s="618"/>
      <c r="AS67" s="618"/>
      <c r="AT67" s="618"/>
      <c r="AU67" s="618"/>
      <c r="AV67" s="618"/>
    </row>
    <row r="68" spans="1:48" ht="15.75" customHeight="1">
      <c r="A68" s="666">
        <v>2</v>
      </c>
      <c r="B68" s="667"/>
      <c r="C68" s="91" t="s">
        <v>132</v>
      </c>
      <c r="D68" s="9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row>
    <row r="69" spans="1:48" ht="30" customHeight="1">
      <c r="A69" s="21"/>
      <c r="B69" s="21"/>
      <c r="C69" s="739"/>
      <c r="D69" s="618"/>
      <c r="E69" s="618"/>
      <c r="F69" s="618"/>
      <c r="G69" s="618"/>
      <c r="H69" s="618"/>
      <c r="I69" s="618"/>
      <c r="J69" s="618"/>
      <c r="K69" s="618"/>
      <c r="L69" s="618"/>
      <c r="M69" s="618"/>
      <c r="N69" s="618"/>
      <c r="O69" s="618"/>
      <c r="P69" s="618"/>
      <c r="Q69" s="618"/>
      <c r="R69" s="618"/>
      <c r="S69" s="618"/>
      <c r="T69" s="618"/>
      <c r="U69" s="618"/>
      <c r="V69" s="618"/>
      <c r="W69" s="618"/>
      <c r="X69" s="618"/>
      <c r="Y69" s="618"/>
      <c r="Z69" s="618"/>
      <c r="AA69" s="618"/>
      <c r="AB69" s="618"/>
      <c r="AC69" s="618"/>
      <c r="AD69" s="618"/>
      <c r="AE69" s="618"/>
      <c r="AF69" s="618"/>
      <c r="AG69" s="618"/>
      <c r="AH69" s="618"/>
      <c r="AI69" s="618"/>
      <c r="AJ69" s="618"/>
      <c r="AK69" s="618"/>
      <c r="AL69" s="618"/>
      <c r="AM69" s="618"/>
      <c r="AN69" s="618"/>
      <c r="AO69" s="618"/>
      <c r="AP69" s="618"/>
      <c r="AQ69" s="618"/>
      <c r="AR69" s="618"/>
      <c r="AS69" s="618"/>
      <c r="AT69" s="618"/>
      <c r="AU69" s="618"/>
      <c r="AV69" s="618"/>
    </row>
    <row r="70" spans="1:48" ht="21.75" customHeight="1">
      <c r="A70" s="666">
        <v>3</v>
      </c>
      <c r="B70" s="667"/>
      <c r="C70" s="93" t="s">
        <v>177</v>
      </c>
      <c r="D70" s="93"/>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row>
    <row r="71" spans="1:48" ht="13.5">
      <c r="A71" s="94"/>
      <c r="B71" s="95"/>
      <c r="C71" s="96" t="s">
        <v>178</v>
      </c>
      <c r="D71" s="93"/>
      <c r="E71" s="21"/>
      <c r="F71" s="21"/>
      <c r="G71" s="21"/>
      <c r="H71" s="21"/>
      <c r="I71" s="21"/>
      <c r="J71" s="21"/>
      <c r="K71" s="21"/>
      <c r="L71" s="21"/>
      <c r="M71" s="21"/>
      <c r="N71" s="21"/>
      <c r="P71" s="21"/>
      <c r="Q71" s="96"/>
      <c r="R71" s="21"/>
      <c r="S71" s="21"/>
      <c r="T71" s="21"/>
      <c r="U71" s="21"/>
      <c r="V71" s="21"/>
      <c r="W71" s="21"/>
      <c r="X71" s="21"/>
      <c r="AA71" s="21"/>
      <c r="AB71" s="21"/>
      <c r="AC71" s="21"/>
      <c r="AD71" s="21"/>
      <c r="AE71" s="21"/>
      <c r="AF71" s="21"/>
      <c r="AG71" s="21"/>
      <c r="AH71" s="21"/>
      <c r="AI71" s="21"/>
      <c r="AJ71" s="21"/>
      <c r="AK71" s="21"/>
      <c r="AL71" s="21"/>
      <c r="AM71" s="21"/>
      <c r="AN71" s="21"/>
      <c r="AO71" s="21"/>
      <c r="AP71" s="21"/>
      <c r="AQ71" s="21"/>
      <c r="AR71" s="21"/>
      <c r="AS71" s="21"/>
      <c r="AT71" s="21"/>
      <c r="AU71" s="21"/>
      <c r="AV71" s="21"/>
    </row>
    <row r="72" spans="1:48" ht="27" customHeight="1">
      <c r="A72" s="21"/>
      <c r="B72" s="21"/>
      <c r="C72" s="626"/>
      <c r="D72" s="626"/>
      <c r="E72" s="626"/>
      <c r="F72" s="626"/>
      <c r="G72" s="626"/>
      <c r="H72" s="626"/>
      <c r="I72" s="626"/>
      <c r="J72" s="626"/>
      <c r="K72" s="626"/>
      <c r="L72" s="626"/>
      <c r="M72" s="626"/>
      <c r="N72" s="626"/>
      <c r="O72" s="626"/>
      <c r="P72" s="626"/>
      <c r="Q72" s="626"/>
      <c r="R72" s="626"/>
      <c r="S72" s="626"/>
      <c r="T72" s="626"/>
      <c r="U72" s="627"/>
      <c r="V72" s="627"/>
      <c r="W72" s="627"/>
      <c r="X72" s="627"/>
      <c r="Y72" s="627"/>
      <c r="Z72" s="627"/>
      <c r="AA72" s="627"/>
      <c r="AB72" s="627"/>
      <c r="AC72" s="627"/>
      <c r="AD72" s="627"/>
      <c r="AE72" s="627"/>
      <c r="AF72" s="627"/>
      <c r="AG72" s="627"/>
      <c r="AH72" s="627"/>
      <c r="AI72" s="627"/>
      <c r="AJ72" s="627"/>
      <c r="AK72" s="627"/>
      <c r="AL72" s="627"/>
      <c r="AM72" s="627"/>
      <c r="AN72" s="627"/>
      <c r="AO72" s="627"/>
      <c r="AP72" s="627"/>
      <c r="AQ72" s="627"/>
      <c r="AR72" s="627"/>
      <c r="AS72" s="627"/>
      <c r="AT72" s="627"/>
      <c r="AU72" s="627"/>
      <c r="AV72" s="627"/>
    </row>
    <row r="73" spans="1:48" ht="15" customHeight="1">
      <c r="A73" s="21"/>
      <c r="B73" s="21"/>
      <c r="C73" s="96" t="s">
        <v>179</v>
      </c>
      <c r="D73" s="93"/>
      <c r="E73" s="21"/>
      <c r="F73" s="21"/>
      <c r="G73" s="21"/>
      <c r="H73" s="21"/>
      <c r="I73" s="21"/>
      <c r="J73" s="21"/>
      <c r="K73" s="21"/>
      <c r="L73" s="21"/>
      <c r="M73" s="21"/>
      <c r="N73" s="21"/>
      <c r="O73" s="21"/>
      <c r="P73" s="21"/>
      <c r="Q73" s="96"/>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row>
    <row r="74" spans="1:48" ht="27.75" customHeight="1">
      <c r="A74" s="21"/>
      <c r="B74" s="21"/>
      <c r="C74" s="626"/>
      <c r="D74" s="626"/>
      <c r="E74" s="626"/>
      <c r="F74" s="626"/>
      <c r="G74" s="626"/>
      <c r="H74" s="626"/>
      <c r="I74" s="626"/>
      <c r="J74" s="626"/>
      <c r="K74" s="626"/>
      <c r="L74" s="626"/>
      <c r="M74" s="626"/>
      <c r="N74" s="626"/>
      <c r="O74" s="626"/>
      <c r="P74" s="626"/>
      <c r="Q74" s="626"/>
      <c r="R74" s="626"/>
      <c r="S74" s="626"/>
      <c r="T74" s="626"/>
      <c r="U74" s="627"/>
      <c r="V74" s="627"/>
      <c r="W74" s="627"/>
      <c r="X74" s="627"/>
      <c r="Y74" s="627"/>
      <c r="Z74" s="627"/>
      <c r="AA74" s="627"/>
      <c r="AB74" s="627"/>
      <c r="AC74" s="627"/>
      <c r="AD74" s="627"/>
      <c r="AE74" s="627"/>
      <c r="AF74" s="627"/>
      <c r="AG74" s="627"/>
      <c r="AH74" s="627"/>
      <c r="AI74" s="627"/>
      <c r="AJ74" s="627"/>
      <c r="AK74" s="627"/>
      <c r="AL74" s="627"/>
      <c r="AM74" s="627"/>
      <c r="AN74" s="627"/>
      <c r="AO74" s="627"/>
      <c r="AP74" s="627"/>
      <c r="AQ74" s="627"/>
      <c r="AR74" s="627"/>
      <c r="AS74" s="627"/>
      <c r="AT74" s="627"/>
      <c r="AU74" s="627"/>
      <c r="AV74" s="627"/>
    </row>
    <row r="75" spans="1:48" ht="13.5">
      <c r="A75" s="21"/>
      <c r="B75" s="21"/>
      <c r="C75" s="96" t="s">
        <v>180</v>
      </c>
      <c r="D75" s="93"/>
      <c r="E75" s="21"/>
      <c r="F75" s="21"/>
      <c r="G75" s="21"/>
      <c r="H75" s="21"/>
      <c r="I75" s="21"/>
      <c r="J75" s="21"/>
      <c r="K75" s="21"/>
      <c r="L75" s="21"/>
      <c r="M75" s="21"/>
      <c r="N75" s="21"/>
      <c r="O75" s="96"/>
      <c r="P75" s="21"/>
      <c r="Q75" s="96"/>
      <c r="R75" s="96"/>
      <c r="S75" s="21"/>
      <c r="T75" s="21"/>
      <c r="U75" s="21"/>
      <c r="V75" s="21"/>
      <c r="W75" s="21"/>
      <c r="X75" s="21"/>
      <c r="Y75" s="21"/>
      <c r="Z75" s="21"/>
      <c r="AA75" s="21"/>
      <c r="AB75" s="96"/>
      <c r="AC75" s="96"/>
      <c r="AD75" s="21"/>
      <c r="AE75" s="21"/>
      <c r="AF75" s="21"/>
      <c r="AG75" s="21"/>
      <c r="AH75" s="21"/>
      <c r="AI75" s="21"/>
      <c r="AJ75" s="21"/>
      <c r="AK75" s="21"/>
      <c r="AL75" s="21"/>
      <c r="AM75" s="21"/>
      <c r="AN75" s="21"/>
      <c r="AO75" s="21"/>
      <c r="AP75" s="21"/>
      <c r="AQ75" s="21"/>
      <c r="AR75" s="21"/>
      <c r="AS75" s="21"/>
      <c r="AT75" s="21"/>
      <c r="AU75" s="21"/>
      <c r="AV75" s="21"/>
    </row>
    <row r="76" spans="1:48" ht="29.25" customHeight="1">
      <c r="A76" s="21"/>
      <c r="B76" s="21"/>
      <c r="C76" s="626"/>
      <c r="D76" s="626"/>
      <c r="E76" s="626"/>
      <c r="F76" s="626"/>
      <c r="G76" s="626"/>
      <c r="H76" s="626"/>
      <c r="I76" s="626"/>
      <c r="J76" s="626"/>
      <c r="K76" s="626"/>
      <c r="L76" s="626"/>
      <c r="M76" s="626"/>
      <c r="N76" s="626"/>
      <c r="O76" s="626"/>
      <c r="P76" s="626"/>
      <c r="Q76" s="626"/>
      <c r="R76" s="626"/>
      <c r="S76" s="626"/>
      <c r="T76" s="626"/>
      <c r="U76" s="627"/>
      <c r="V76" s="627"/>
      <c r="W76" s="627"/>
      <c r="X76" s="627"/>
      <c r="Y76" s="627"/>
      <c r="Z76" s="627"/>
      <c r="AA76" s="627"/>
      <c r="AB76" s="627"/>
      <c r="AC76" s="627"/>
      <c r="AD76" s="627"/>
      <c r="AE76" s="627"/>
      <c r="AF76" s="627"/>
      <c r="AG76" s="627"/>
      <c r="AH76" s="627"/>
      <c r="AI76" s="627"/>
      <c r="AJ76" s="627"/>
      <c r="AK76" s="627"/>
      <c r="AL76" s="627"/>
      <c r="AM76" s="627"/>
      <c r="AN76" s="627"/>
      <c r="AO76" s="627"/>
      <c r="AP76" s="627"/>
      <c r="AQ76" s="627"/>
      <c r="AR76" s="627"/>
      <c r="AS76" s="627"/>
      <c r="AT76" s="627"/>
      <c r="AU76" s="627"/>
      <c r="AV76" s="627"/>
    </row>
    <row r="77" spans="1:48" ht="20.25" customHeight="1">
      <c r="A77" s="325">
        <f>+A70+1</f>
        <v>4</v>
      </c>
      <c r="B77" s="346"/>
      <c r="C77" s="93" t="s">
        <v>181</v>
      </c>
      <c r="D77" s="93"/>
      <c r="E77" s="21"/>
      <c r="F77" s="97"/>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row>
    <row r="78" spans="1:48" ht="16.5" customHeight="1">
      <c r="A78" s="21"/>
      <c r="B78" s="21"/>
      <c r="C78" s="692"/>
      <c r="D78" s="692"/>
      <c r="E78" s="692"/>
      <c r="F78" s="692"/>
      <c r="G78" s="692"/>
      <c r="H78" s="692"/>
      <c r="I78" s="692"/>
      <c r="J78" s="692"/>
      <c r="K78" s="692"/>
      <c r="L78" s="692"/>
      <c r="M78" s="692"/>
      <c r="N78" s="692"/>
      <c r="O78" s="692"/>
      <c r="P78" s="692"/>
      <c r="Q78" s="692"/>
      <c r="R78" s="692"/>
      <c r="S78" s="692"/>
      <c r="T78" s="692"/>
      <c r="U78" s="693"/>
      <c r="V78" s="693"/>
      <c r="W78" s="693"/>
      <c r="X78" s="693"/>
      <c r="Y78" s="693"/>
      <c r="Z78" s="693"/>
      <c r="AA78" s="693"/>
      <c r="AB78" s="693"/>
      <c r="AC78" s="693"/>
      <c r="AD78" s="693"/>
      <c r="AE78" s="693"/>
      <c r="AF78" s="693"/>
      <c r="AG78" s="693"/>
      <c r="AH78" s="693"/>
      <c r="AI78" s="693"/>
      <c r="AJ78" s="693"/>
      <c r="AK78" s="693"/>
      <c r="AL78" s="693"/>
      <c r="AM78" s="693"/>
      <c r="AN78" s="693"/>
      <c r="AO78" s="693"/>
      <c r="AP78" s="693"/>
      <c r="AQ78" s="693"/>
      <c r="AR78" s="693"/>
      <c r="AS78" s="693"/>
      <c r="AT78" s="693"/>
      <c r="AU78" s="693"/>
      <c r="AV78" s="693"/>
    </row>
    <row r="79" spans="1:48" ht="19.5" customHeight="1">
      <c r="A79" s="325">
        <f>+A77+1</f>
        <v>5</v>
      </c>
      <c r="B79" s="346"/>
      <c r="C79" s="93" t="s">
        <v>182</v>
      </c>
      <c r="D79" s="93"/>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row>
    <row r="80" spans="1:48">
      <c r="A80" s="94"/>
      <c r="B80" s="95"/>
      <c r="C80" s="626" t="str">
        <f>+C104</f>
        <v xml:space="preserve">Departamento N° </v>
      </c>
      <c r="D80" s="626"/>
      <c r="E80" s="626"/>
      <c r="F80" s="626"/>
      <c r="G80" s="626"/>
      <c r="H80" s="626"/>
      <c r="I80" s="626"/>
      <c r="J80" s="626"/>
      <c r="K80" s="626"/>
      <c r="L80" s="626"/>
      <c r="M80" s="626"/>
      <c r="N80" s="626"/>
      <c r="O80" s="626"/>
      <c r="P80" s="626"/>
      <c r="Q80" s="626"/>
      <c r="R80" s="626"/>
      <c r="S80" s="626"/>
      <c r="T80" s="626"/>
      <c r="U80" s="627"/>
      <c r="V80" s="627"/>
      <c r="W80" s="627"/>
      <c r="X80" s="627"/>
      <c r="Y80" s="627"/>
      <c r="Z80" s="627"/>
      <c r="AA80" s="627"/>
      <c r="AB80" s="627"/>
      <c r="AC80" s="627"/>
      <c r="AD80" s="627"/>
      <c r="AE80" s="627"/>
      <c r="AF80" s="627"/>
      <c r="AG80" s="627"/>
      <c r="AH80" s="627"/>
      <c r="AI80" s="627"/>
      <c r="AJ80" s="627"/>
      <c r="AK80" s="627"/>
      <c r="AL80" s="627"/>
      <c r="AM80" s="627"/>
      <c r="AN80" s="627"/>
      <c r="AO80" s="627"/>
      <c r="AP80" s="627"/>
      <c r="AQ80" s="627"/>
      <c r="AR80" s="627"/>
      <c r="AS80" s="627"/>
      <c r="AT80" s="627"/>
      <c r="AU80" s="627"/>
      <c r="AV80" s="627"/>
    </row>
    <row r="81" spans="1:48" ht="15" customHeight="1">
      <c r="A81" s="21"/>
      <c r="B81" s="21"/>
      <c r="C81" s="98" t="s">
        <v>183</v>
      </c>
      <c r="D81" s="99"/>
      <c r="E81" s="99"/>
      <c r="F81" s="100"/>
      <c r="G81" s="100"/>
      <c r="H81" s="101" t="s">
        <v>128</v>
      </c>
      <c r="I81" s="100"/>
      <c r="J81" s="100"/>
      <c r="K81" s="100"/>
      <c r="L81" s="100"/>
      <c r="M81" s="100"/>
      <c r="N81" s="100"/>
      <c r="O81" s="100"/>
      <c r="P81" s="100"/>
      <c r="Q81" s="100"/>
      <c r="R81" s="100"/>
      <c r="S81" s="100"/>
      <c r="T81" s="102"/>
      <c r="U81" s="100"/>
      <c r="V81" s="100"/>
      <c r="W81" s="100"/>
      <c r="X81" s="100"/>
      <c r="Y81" s="100"/>
      <c r="Z81" s="100"/>
      <c r="AA81" s="100"/>
      <c r="AB81" s="100"/>
      <c r="AC81" s="100"/>
      <c r="AD81" s="100"/>
      <c r="AE81" s="100"/>
      <c r="AF81" s="100"/>
      <c r="AG81" s="100"/>
      <c r="AH81" s="100"/>
      <c r="AI81" s="100"/>
      <c r="AJ81" s="100"/>
      <c r="AK81" s="100"/>
      <c r="AL81" s="100"/>
      <c r="AM81" s="100"/>
      <c r="AN81" s="100"/>
      <c r="AO81" s="100"/>
      <c r="AP81" s="726"/>
      <c r="AQ81" s="727"/>
      <c r="AR81" s="727"/>
      <c r="AS81" s="727"/>
      <c r="AT81" s="21"/>
      <c r="AU81" s="21"/>
      <c r="AV81" s="21"/>
    </row>
    <row r="82" spans="1:48" ht="18.75" customHeight="1">
      <c r="A82" s="21"/>
      <c r="B82" s="21"/>
      <c r="C82" s="729"/>
      <c r="D82" s="734"/>
      <c r="E82" s="734"/>
      <c r="F82" s="734"/>
      <c r="G82" s="734"/>
      <c r="H82" s="734"/>
      <c r="I82" s="734"/>
      <c r="J82" s="734"/>
      <c r="K82" s="734"/>
      <c r="L82" s="734"/>
      <c r="M82" s="734"/>
      <c r="N82" s="734"/>
      <c r="O82" s="734"/>
      <c r="P82" s="734"/>
      <c r="Q82" s="734"/>
      <c r="R82" s="734"/>
      <c r="S82" s="734"/>
      <c r="T82" s="734"/>
      <c r="U82" s="734"/>
      <c r="V82" s="734"/>
      <c r="W82" s="734"/>
      <c r="X82" s="734"/>
      <c r="Y82" s="734"/>
      <c r="Z82" s="734"/>
      <c r="AA82" s="734"/>
      <c r="AB82" s="734"/>
      <c r="AC82" s="734"/>
      <c r="AD82" s="734"/>
      <c r="AE82" s="734"/>
      <c r="AF82" s="734"/>
      <c r="AG82" s="734"/>
      <c r="AH82" s="734"/>
      <c r="AI82" s="734"/>
      <c r="AJ82" s="734"/>
      <c r="AK82" s="734"/>
      <c r="AL82" s="734"/>
      <c r="AM82" s="734"/>
      <c r="AN82" s="734"/>
      <c r="AO82" s="734"/>
      <c r="AP82" s="727"/>
      <c r="AQ82" s="727"/>
      <c r="AR82" s="727"/>
      <c r="AS82" s="727"/>
      <c r="AT82" s="100" t="s">
        <v>184</v>
      </c>
      <c r="AU82" s="103"/>
      <c r="AV82" s="21"/>
    </row>
    <row r="83" spans="1:48" ht="15" customHeight="1">
      <c r="A83" s="21"/>
      <c r="B83" s="21"/>
      <c r="C83" s="98" t="s">
        <v>185</v>
      </c>
      <c r="D83" s="104"/>
      <c r="E83" s="104"/>
      <c r="F83" s="102"/>
      <c r="G83" s="100"/>
      <c r="H83" s="101" t="s">
        <v>128</v>
      </c>
      <c r="I83" s="100"/>
      <c r="J83" s="100"/>
      <c r="K83" s="100"/>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726"/>
      <c r="AQ83" s="727"/>
      <c r="AR83" s="727"/>
      <c r="AS83" s="727"/>
      <c r="AT83" s="100"/>
      <c r="AU83" s="103"/>
      <c r="AV83" s="21"/>
    </row>
    <row r="84" spans="1:48" ht="66" customHeight="1">
      <c r="A84" s="21"/>
      <c r="B84" s="21"/>
      <c r="C84" s="729"/>
      <c r="D84" s="734"/>
      <c r="E84" s="734"/>
      <c r="F84" s="734"/>
      <c r="G84" s="734"/>
      <c r="H84" s="734"/>
      <c r="I84" s="734"/>
      <c r="J84" s="734"/>
      <c r="K84" s="734"/>
      <c r="L84" s="734"/>
      <c r="M84" s="734"/>
      <c r="N84" s="734"/>
      <c r="O84" s="734"/>
      <c r="P84" s="734"/>
      <c r="Q84" s="734"/>
      <c r="R84" s="734"/>
      <c r="S84" s="734"/>
      <c r="T84" s="734"/>
      <c r="U84" s="734"/>
      <c r="V84" s="734"/>
      <c r="W84" s="734"/>
      <c r="X84" s="734"/>
      <c r="Y84" s="734"/>
      <c r="Z84" s="734"/>
      <c r="AA84" s="734"/>
      <c r="AB84" s="734"/>
      <c r="AC84" s="734"/>
      <c r="AD84" s="734"/>
      <c r="AE84" s="734"/>
      <c r="AF84" s="734"/>
      <c r="AG84" s="734"/>
      <c r="AH84" s="734"/>
      <c r="AI84" s="734"/>
      <c r="AJ84" s="734"/>
      <c r="AK84" s="734"/>
      <c r="AL84" s="734"/>
      <c r="AM84" s="734"/>
      <c r="AN84" s="734"/>
      <c r="AO84" s="734"/>
      <c r="AP84" s="727"/>
      <c r="AQ84" s="727"/>
      <c r="AR84" s="727"/>
      <c r="AS84" s="727"/>
      <c r="AT84" s="100" t="s">
        <v>184</v>
      </c>
      <c r="AU84" s="103"/>
      <c r="AV84" s="21"/>
    </row>
    <row r="85" spans="1:48" ht="15" customHeight="1">
      <c r="A85" s="21"/>
      <c r="B85" s="21"/>
      <c r="C85" s="98" t="s">
        <v>186</v>
      </c>
      <c r="D85" s="104"/>
      <c r="E85" s="104"/>
      <c r="F85" s="102"/>
      <c r="G85" s="100"/>
      <c r="H85" s="101" t="s">
        <v>128</v>
      </c>
      <c r="I85" s="100"/>
      <c r="J85" s="100"/>
      <c r="K85" s="100"/>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726"/>
      <c r="AQ85" s="727"/>
      <c r="AR85" s="727"/>
      <c r="AS85" s="727"/>
      <c r="AT85" s="100"/>
      <c r="AU85" s="103"/>
      <c r="AV85" s="21"/>
    </row>
    <row r="86" spans="1:48" ht="57.75" customHeight="1">
      <c r="A86" s="21"/>
      <c r="B86" s="21"/>
      <c r="C86" s="729"/>
      <c r="D86" s="729"/>
      <c r="E86" s="729"/>
      <c r="F86" s="729"/>
      <c r="G86" s="729"/>
      <c r="H86" s="729"/>
      <c r="I86" s="729"/>
      <c r="J86" s="729"/>
      <c r="K86" s="729"/>
      <c r="L86" s="729"/>
      <c r="M86" s="729"/>
      <c r="N86" s="729"/>
      <c r="O86" s="729"/>
      <c r="P86" s="729"/>
      <c r="Q86" s="729"/>
      <c r="R86" s="729"/>
      <c r="S86" s="729"/>
      <c r="T86" s="729"/>
      <c r="U86" s="729"/>
      <c r="V86" s="729"/>
      <c r="W86" s="729"/>
      <c r="X86" s="729"/>
      <c r="Y86" s="729"/>
      <c r="Z86" s="729"/>
      <c r="AA86" s="729"/>
      <c r="AB86" s="729"/>
      <c r="AC86" s="729"/>
      <c r="AD86" s="729"/>
      <c r="AE86" s="729"/>
      <c r="AF86" s="729"/>
      <c r="AG86" s="729"/>
      <c r="AH86" s="729"/>
      <c r="AI86" s="729"/>
      <c r="AJ86" s="729"/>
      <c r="AK86" s="729"/>
      <c r="AL86" s="729"/>
      <c r="AM86" s="729"/>
      <c r="AN86" s="729"/>
      <c r="AO86" s="729"/>
      <c r="AP86" s="727"/>
      <c r="AQ86" s="727"/>
      <c r="AR86" s="727"/>
      <c r="AS86" s="727"/>
      <c r="AT86" s="100" t="s">
        <v>184</v>
      </c>
      <c r="AU86" s="103"/>
      <c r="AV86" s="21"/>
    </row>
    <row r="87" spans="1:48" ht="15" customHeight="1">
      <c r="A87" s="21"/>
      <c r="B87" s="21"/>
      <c r="C87" s="98" t="s">
        <v>187</v>
      </c>
      <c r="D87" s="104"/>
      <c r="E87" s="104"/>
      <c r="F87" s="102"/>
      <c r="G87" s="100"/>
      <c r="H87" s="101" t="s">
        <v>128</v>
      </c>
      <c r="I87" s="100"/>
      <c r="J87" s="100"/>
      <c r="K87" s="100"/>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726"/>
      <c r="AQ87" s="727"/>
      <c r="AR87" s="727"/>
      <c r="AS87" s="727"/>
      <c r="AT87" s="100"/>
      <c r="AU87" s="103"/>
      <c r="AV87" s="21"/>
    </row>
    <row r="88" spans="1:48" ht="69" customHeight="1">
      <c r="A88" s="21"/>
      <c r="B88" s="21"/>
      <c r="C88" s="729"/>
      <c r="D88" s="729"/>
      <c r="E88" s="729"/>
      <c r="F88" s="729"/>
      <c r="G88" s="729"/>
      <c r="H88" s="729"/>
      <c r="I88" s="729"/>
      <c r="J88" s="729"/>
      <c r="K88" s="729"/>
      <c r="L88" s="729"/>
      <c r="M88" s="729"/>
      <c r="N88" s="729"/>
      <c r="O88" s="729"/>
      <c r="P88" s="729"/>
      <c r="Q88" s="729"/>
      <c r="R88" s="729"/>
      <c r="S88" s="729"/>
      <c r="T88" s="729"/>
      <c r="U88" s="729"/>
      <c r="V88" s="729"/>
      <c r="W88" s="729"/>
      <c r="X88" s="729"/>
      <c r="Y88" s="729"/>
      <c r="Z88" s="729"/>
      <c r="AA88" s="729"/>
      <c r="AB88" s="729"/>
      <c r="AC88" s="729"/>
      <c r="AD88" s="729"/>
      <c r="AE88" s="729"/>
      <c r="AF88" s="729"/>
      <c r="AG88" s="729"/>
      <c r="AH88" s="729"/>
      <c r="AI88" s="729"/>
      <c r="AJ88" s="729"/>
      <c r="AK88" s="729"/>
      <c r="AL88" s="729"/>
      <c r="AM88" s="729"/>
      <c r="AN88" s="729"/>
      <c r="AO88" s="729"/>
      <c r="AP88" s="728"/>
      <c r="AQ88" s="728"/>
      <c r="AR88" s="728"/>
      <c r="AS88" s="728"/>
      <c r="AT88" s="100" t="s">
        <v>184</v>
      </c>
      <c r="AU88" s="103"/>
      <c r="AV88" s="21"/>
    </row>
    <row r="89" spans="1:48" ht="15" customHeight="1" thickBot="1">
      <c r="A89" s="21"/>
      <c r="B89" s="21"/>
      <c r="C89" s="105" t="s">
        <v>188</v>
      </c>
      <c r="D89" s="105"/>
      <c r="E89" s="106"/>
      <c r="F89" s="107"/>
      <c r="G89" s="106"/>
      <c r="H89" s="106"/>
      <c r="I89" s="106"/>
      <c r="J89" s="106"/>
      <c r="K89" s="106"/>
      <c r="L89" s="106"/>
      <c r="M89" s="106"/>
      <c r="N89" s="106"/>
      <c r="O89" s="106"/>
      <c r="P89" s="106"/>
      <c r="Q89" s="106"/>
      <c r="R89" s="106"/>
      <c r="S89" s="106"/>
      <c r="T89" s="106"/>
      <c r="U89" s="107"/>
      <c r="V89" s="106"/>
      <c r="W89" s="106"/>
      <c r="X89" s="106"/>
      <c r="Y89" s="106"/>
      <c r="Z89" s="106"/>
      <c r="AA89" s="106"/>
      <c r="AB89" s="107"/>
      <c r="AC89" s="106"/>
      <c r="AD89" s="106"/>
      <c r="AE89" s="106"/>
      <c r="AF89" s="106"/>
      <c r="AG89" s="106"/>
      <c r="AH89" s="106"/>
      <c r="AI89" s="106"/>
      <c r="AJ89" s="106"/>
      <c r="AK89" s="106"/>
      <c r="AL89" s="106"/>
      <c r="AM89" s="107"/>
      <c r="AN89" s="106"/>
      <c r="AO89" s="730">
        <f>+SUM(AP81:AS88)</f>
        <v>0</v>
      </c>
      <c r="AP89" s="730"/>
      <c r="AQ89" s="730"/>
      <c r="AR89" s="730"/>
      <c r="AS89" s="730"/>
      <c r="AT89" s="105" t="s">
        <v>184</v>
      </c>
      <c r="AU89" s="105"/>
      <c r="AV89" s="21"/>
    </row>
    <row r="90" spans="1:48" ht="13.5" customHeight="1" thickTop="1">
      <c r="A90" s="94"/>
      <c r="B90" s="95"/>
      <c r="C90" s="626" t="str">
        <f>+C105</f>
        <v xml:space="preserve">Estacionamiento N° </v>
      </c>
      <c r="D90" s="626"/>
      <c r="E90" s="626"/>
      <c r="F90" s="626"/>
      <c r="G90" s="626"/>
      <c r="H90" s="626"/>
      <c r="I90" s="626"/>
      <c r="J90" s="626"/>
      <c r="K90" s="626"/>
      <c r="L90" s="626"/>
      <c r="M90" s="626"/>
      <c r="N90" s="626"/>
      <c r="O90" s="626"/>
      <c r="P90" s="626"/>
      <c r="Q90" s="626"/>
      <c r="R90" s="626"/>
      <c r="S90" s="626"/>
      <c r="T90" s="626"/>
      <c r="U90" s="627"/>
      <c r="V90" s="627"/>
      <c r="W90" s="627"/>
      <c r="X90" s="627"/>
      <c r="Y90" s="627"/>
      <c r="Z90" s="627"/>
      <c r="AA90" s="627"/>
      <c r="AB90" s="627"/>
      <c r="AC90" s="627"/>
      <c r="AD90" s="627"/>
      <c r="AE90" s="627"/>
      <c r="AF90" s="627"/>
      <c r="AG90" s="627"/>
      <c r="AH90" s="627"/>
      <c r="AI90" s="627"/>
      <c r="AJ90" s="627"/>
      <c r="AK90" s="627"/>
      <c r="AL90" s="627"/>
      <c r="AM90" s="627"/>
      <c r="AN90" s="627"/>
      <c r="AO90" s="627"/>
      <c r="AP90" s="627"/>
      <c r="AQ90" s="627"/>
      <c r="AR90" s="627"/>
      <c r="AS90" s="627"/>
      <c r="AT90" s="627"/>
      <c r="AU90" s="627"/>
      <c r="AV90" s="627"/>
    </row>
    <row r="91" spans="1:48" ht="15" customHeight="1">
      <c r="A91" s="21"/>
      <c r="B91" s="21"/>
      <c r="C91" s="98" t="s">
        <v>183</v>
      </c>
      <c r="D91" s="99"/>
      <c r="E91" s="99"/>
      <c r="F91" s="100"/>
      <c r="G91" s="100"/>
      <c r="H91" s="101" t="s">
        <v>128</v>
      </c>
      <c r="I91" s="100"/>
      <c r="J91" s="100"/>
      <c r="K91" s="100"/>
      <c r="L91" s="100"/>
      <c r="M91" s="100"/>
      <c r="N91" s="100"/>
      <c r="O91" s="100"/>
      <c r="P91" s="100"/>
      <c r="Q91" s="100"/>
      <c r="R91" s="100"/>
      <c r="S91" s="100"/>
      <c r="T91" s="102"/>
      <c r="U91" s="100"/>
      <c r="V91" s="100"/>
      <c r="W91" s="100"/>
      <c r="X91" s="100"/>
      <c r="Y91" s="100"/>
      <c r="Z91" s="100"/>
      <c r="AA91" s="100"/>
      <c r="AB91" s="100"/>
      <c r="AC91" s="100"/>
      <c r="AD91" s="100"/>
      <c r="AE91" s="100"/>
      <c r="AF91" s="100"/>
      <c r="AG91" s="100"/>
      <c r="AH91" s="100"/>
      <c r="AI91" s="100"/>
      <c r="AJ91" s="100"/>
      <c r="AK91" s="100"/>
      <c r="AL91" s="100"/>
      <c r="AM91" s="100"/>
      <c r="AN91" s="100"/>
      <c r="AO91" s="100"/>
      <c r="AP91" s="726"/>
      <c r="AQ91" s="727"/>
      <c r="AR91" s="727"/>
      <c r="AS91" s="727"/>
      <c r="AT91" s="21"/>
      <c r="AU91" s="21"/>
      <c r="AV91" s="21"/>
    </row>
    <row r="92" spans="1:48" ht="17.25" customHeight="1">
      <c r="A92" s="21"/>
      <c r="B92" s="21"/>
      <c r="C92" s="729"/>
      <c r="D92" s="734"/>
      <c r="E92" s="734"/>
      <c r="F92" s="734"/>
      <c r="G92" s="734"/>
      <c r="H92" s="734"/>
      <c r="I92" s="734"/>
      <c r="J92" s="734"/>
      <c r="K92" s="734"/>
      <c r="L92" s="734"/>
      <c r="M92" s="734"/>
      <c r="N92" s="734"/>
      <c r="O92" s="734"/>
      <c r="P92" s="734"/>
      <c r="Q92" s="734"/>
      <c r="R92" s="734"/>
      <c r="S92" s="734"/>
      <c r="T92" s="734"/>
      <c r="U92" s="734"/>
      <c r="V92" s="734"/>
      <c r="W92" s="734"/>
      <c r="X92" s="734"/>
      <c r="Y92" s="734"/>
      <c r="Z92" s="734"/>
      <c r="AA92" s="734"/>
      <c r="AB92" s="734"/>
      <c r="AC92" s="734"/>
      <c r="AD92" s="734"/>
      <c r="AE92" s="734"/>
      <c r="AF92" s="734"/>
      <c r="AG92" s="734"/>
      <c r="AH92" s="734"/>
      <c r="AI92" s="734"/>
      <c r="AJ92" s="734"/>
      <c r="AK92" s="734"/>
      <c r="AL92" s="734"/>
      <c r="AM92" s="734"/>
      <c r="AN92" s="734"/>
      <c r="AO92" s="734"/>
      <c r="AP92" s="727"/>
      <c r="AQ92" s="727"/>
      <c r="AR92" s="727"/>
      <c r="AS92" s="727"/>
      <c r="AT92" s="100" t="s">
        <v>184</v>
      </c>
      <c r="AU92" s="103"/>
      <c r="AV92" s="21"/>
    </row>
    <row r="93" spans="1:48" ht="15" customHeight="1">
      <c r="A93" s="21"/>
      <c r="B93" s="21"/>
      <c r="C93" s="98" t="s">
        <v>185</v>
      </c>
      <c r="D93" s="104"/>
      <c r="E93" s="104"/>
      <c r="F93" s="102"/>
      <c r="G93" s="100"/>
      <c r="H93" s="101" t="s">
        <v>128</v>
      </c>
      <c r="I93" s="100"/>
      <c r="J93" s="100"/>
      <c r="K93" s="100"/>
      <c r="L93" s="100"/>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726"/>
      <c r="AQ93" s="727"/>
      <c r="AR93" s="727"/>
      <c r="AS93" s="727"/>
      <c r="AT93" s="100"/>
      <c r="AU93" s="103"/>
      <c r="AV93" s="21"/>
    </row>
    <row r="94" spans="1:48" ht="19.5" customHeight="1">
      <c r="A94" s="21"/>
      <c r="B94" s="21"/>
      <c r="C94" s="729"/>
      <c r="D94" s="734"/>
      <c r="E94" s="734"/>
      <c r="F94" s="734"/>
      <c r="G94" s="734"/>
      <c r="H94" s="734"/>
      <c r="I94" s="734"/>
      <c r="J94" s="734"/>
      <c r="K94" s="734"/>
      <c r="L94" s="734"/>
      <c r="M94" s="734"/>
      <c r="N94" s="734"/>
      <c r="O94" s="734"/>
      <c r="P94" s="734"/>
      <c r="Q94" s="734"/>
      <c r="R94" s="734"/>
      <c r="S94" s="734"/>
      <c r="T94" s="734"/>
      <c r="U94" s="734"/>
      <c r="V94" s="734"/>
      <c r="W94" s="734"/>
      <c r="X94" s="734"/>
      <c r="Y94" s="734"/>
      <c r="Z94" s="734"/>
      <c r="AA94" s="734"/>
      <c r="AB94" s="734"/>
      <c r="AC94" s="734"/>
      <c r="AD94" s="734"/>
      <c r="AE94" s="734"/>
      <c r="AF94" s="734"/>
      <c r="AG94" s="734"/>
      <c r="AH94" s="734"/>
      <c r="AI94" s="734"/>
      <c r="AJ94" s="734"/>
      <c r="AK94" s="734"/>
      <c r="AL94" s="734"/>
      <c r="AM94" s="734"/>
      <c r="AN94" s="734"/>
      <c r="AO94" s="734"/>
      <c r="AP94" s="727"/>
      <c r="AQ94" s="727"/>
      <c r="AR94" s="727"/>
      <c r="AS94" s="727"/>
      <c r="AT94" s="100" t="s">
        <v>184</v>
      </c>
      <c r="AU94" s="103"/>
      <c r="AV94" s="21"/>
    </row>
    <row r="95" spans="1:48" ht="15" customHeight="1">
      <c r="A95" s="21"/>
      <c r="B95" s="21"/>
      <c r="C95" s="98" t="s">
        <v>186</v>
      </c>
      <c r="D95" s="104"/>
      <c r="E95" s="104"/>
      <c r="F95" s="102"/>
      <c r="G95" s="100"/>
      <c r="H95" s="101" t="s">
        <v>128</v>
      </c>
      <c r="I95" s="100"/>
      <c r="J95" s="100"/>
      <c r="K95" s="100"/>
      <c r="L95" s="100"/>
      <c r="M95" s="100"/>
      <c r="N95" s="100"/>
      <c r="O95" s="100"/>
      <c r="P95" s="100"/>
      <c r="Q95" s="100"/>
      <c r="R95" s="100"/>
      <c r="S95" s="100"/>
      <c r="T95" s="100"/>
      <c r="U95" s="100"/>
      <c r="V95" s="100"/>
      <c r="W95" s="100"/>
      <c r="X95" s="100"/>
      <c r="Y95" s="100"/>
      <c r="Z95" s="100"/>
      <c r="AA95" s="100"/>
      <c r="AB95" s="100"/>
      <c r="AC95" s="100"/>
      <c r="AD95" s="100"/>
      <c r="AE95" s="100"/>
      <c r="AF95" s="100"/>
      <c r="AG95" s="100"/>
      <c r="AH95" s="100"/>
      <c r="AI95" s="100"/>
      <c r="AJ95" s="100"/>
      <c r="AK95" s="100"/>
      <c r="AL95" s="100"/>
      <c r="AM95" s="100"/>
      <c r="AN95" s="100"/>
      <c r="AO95" s="100"/>
      <c r="AP95" s="726"/>
      <c r="AQ95" s="727"/>
      <c r="AR95" s="727"/>
      <c r="AS95" s="727"/>
      <c r="AT95" s="100"/>
      <c r="AU95" s="103"/>
      <c r="AV95" s="21"/>
    </row>
    <row r="96" spans="1:48" ht="21.75" customHeight="1">
      <c r="A96" s="21"/>
      <c r="B96" s="21"/>
      <c r="C96" s="729"/>
      <c r="D96" s="729"/>
      <c r="E96" s="729"/>
      <c r="F96" s="729"/>
      <c r="G96" s="729"/>
      <c r="H96" s="729"/>
      <c r="I96" s="729"/>
      <c r="J96" s="729"/>
      <c r="K96" s="729"/>
      <c r="L96" s="729"/>
      <c r="M96" s="729"/>
      <c r="N96" s="729"/>
      <c r="O96" s="729"/>
      <c r="P96" s="729"/>
      <c r="Q96" s="729"/>
      <c r="R96" s="729"/>
      <c r="S96" s="729"/>
      <c r="T96" s="729"/>
      <c r="U96" s="729"/>
      <c r="V96" s="729"/>
      <c r="W96" s="729"/>
      <c r="X96" s="729"/>
      <c r="Y96" s="729"/>
      <c r="Z96" s="729"/>
      <c r="AA96" s="729"/>
      <c r="AB96" s="729"/>
      <c r="AC96" s="729"/>
      <c r="AD96" s="729"/>
      <c r="AE96" s="729"/>
      <c r="AF96" s="729"/>
      <c r="AG96" s="729"/>
      <c r="AH96" s="729"/>
      <c r="AI96" s="729"/>
      <c r="AJ96" s="729"/>
      <c r="AK96" s="729"/>
      <c r="AL96" s="729"/>
      <c r="AM96" s="729"/>
      <c r="AN96" s="729"/>
      <c r="AO96" s="729"/>
      <c r="AP96" s="727"/>
      <c r="AQ96" s="727"/>
      <c r="AR96" s="727"/>
      <c r="AS96" s="727"/>
      <c r="AT96" s="100" t="s">
        <v>184</v>
      </c>
      <c r="AU96" s="103"/>
      <c r="AV96" s="21"/>
    </row>
    <row r="97" spans="1:48" ht="15" customHeight="1">
      <c r="A97" s="21"/>
      <c r="B97" s="21"/>
      <c r="C97" s="98" t="s">
        <v>187</v>
      </c>
      <c r="D97" s="104"/>
      <c r="E97" s="104"/>
      <c r="F97" s="102"/>
      <c r="G97" s="100"/>
      <c r="H97" s="101" t="s">
        <v>128</v>
      </c>
      <c r="I97" s="100"/>
      <c r="J97" s="100"/>
      <c r="K97" s="100"/>
      <c r="L97" s="100"/>
      <c r="M97" s="100"/>
      <c r="N97" s="100"/>
      <c r="O97" s="100"/>
      <c r="P97" s="100"/>
      <c r="Q97" s="100"/>
      <c r="R97" s="100"/>
      <c r="S97" s="100"/>
      <c r="T97" s="100"/>
      <c r="U97" s="100"/>
      <c r="V97" s="100"/>
      <c r="W97" s="100"/>
      <c r="X97" s="100"/>
      <c r="Y97" s="100"/>
      <c r="Z97" s="100"/>
      <c r="AA97" s="100"/>
      <c r="AB97" s="100"/>
      <c r="AC97" s="100"/>
      <c r="AD97" s="100"/>
      <c r="AE97" s="100"/>
      <c r="AF97" s="100"/>
      <c r="AG97" s="100"/>
      <c r="AH97" s="100"/>
      <c r="AI97" s="100"/>
      <c r="AJ97" s="100"/>
      <c r="AK97" s="100"/>
      <c r="AL97" s="100"/>
      <c r="AM97" s="100"/>
      <c r="AN97" s="100"/>
      <c r="AO97" s="100"/>
      <c r="AP97" s="726"/>
      <c r="AQ97" s="727"/>
      <c r="AR97" s="727"/>
      <c r="AS97" s="727"/>
      <c r="AT97" s="100"/>
      <c r="AU97" s="103"/>
      <c r="AV97" s="21"/>
    </row>
    <row r="98" spans="1:48" ht="24.75" customHeight="1">
      <c r="A98" s="21"/>
      <c r="B98" s="21"/>
      <c r="C98" s="729"/>
      <c r="D98" s="729"/>
      <c r="E98" s="729"/>
      <c r="F98" s="729"/>
      <c r="G98" s="729"/>
      <c r="H98" s="729"/>
      <c r="I98" s="729"/>
      <c r="J98" s="729"/>
      <c r="K98" s="729"/>
      <c r="L98" s="729"/>
      <c r="M98" s="729"/>
      <c r="N98" s="729"/>
      <c r="O98" s="729"/>
      <c r="P98" s="729"/>
      <c r="Q98" s="729"/>
      <c r="R98" s="729"/>
      <c r="S98" s="729"/>
      <c r="T98" s="729"/>
      <c r="U98" s="729"/>
      <c r="V98" s="729"/>
      <c r="W98" s="729"/>
      <c r="X98" s="729"/>
      <c r="Y98" s="729"/>
      <c r="Z98" s="729"/>
      <c r="AA98" s="729"/>
      <c r="AB98" s="729"/>
      <c r="AC98" s="729"/>
      <c r="AD98" s="729"/>
      <c r="AE98" s="729"/>
      <c r="AF98" s="729"/>
      <c r="AG98" s="729"/>
      <c r="AH98" s="729"/>
      <c r="AI98" s="729"/>
      <c r="AJ98" s="729"/>
      <c r="AK98" s="729"/>
      <c r="AL98" s="729"/>
      <c r="AM98" s="729"/>
      <c r="AN98" s="729"/>
      <c r="AO98" s="729"/>
      <c r="AP98" s="728"/>
      <c r="AQ98" s="728"/>
      <c r="AR98" s="728"/>
      <c r="AS98" s="728"/>
      <c r="AT98" s="100" t="s">
        <v>184</v>
      </c>
      <c r="AU98" s="103"/>
      <c r="AV98" s="21"/>
    </row>
    <row r="99" spans="1:48" ht="15" customHeight="1" thickBot="1">
      <c r="A99" s="21"/>
      <c r="B99" s="21"/>
      <c r="C99" s="105" t="s">
        <v>188</v>
      </c>
      <c r="D99" s="105"/>
      <c r="E99" s="106"/>
      <c r="F99" s="107"/>
      <c r="G99" s="106"/>
      <c r="H99" s="106"/>
      <c r="I99" s="106"/>
      <c r="J99" s="106"/>
      <c r="K99" s="106"/>
      <c r="L99" s="106"/>
      <c r="M99" s="106"/>
      <c r="N99" s="106"/>
      <c r="O99" s="106"/>
      <c r="P99" s="106"/>
      <c r="Q99" s="106"/>
      <c r="R99" s="106"/>
      <c r="S99" s="106"/>
      <c r="T99" s="106"/>
      <c r="U99" s="107"/>
      <c r="V99" s="106"/>
      <c r="W99" s="106"/>
      <c r="X99" s="106"/>
      <c r="Y99" s="106"/>
      <c r="Z99" s="106"/>
      <c r="AA99" s="106"/>
      <c r="AB99" s="107"/>
      <c r="AC99" s="106"/>
      <c r="AD99" s="106"/>
      <c r="AE99" s="106"/>
      <c r="AF99" s="106"/>
      <c r="AG99" s="106"/>
      <c r="AH99" s="106"/>
      <c r="AI99" s="106"/>
      <c r="AJ99" s="106"/>
      <c r="AK99" s="106"/>
      <c r="AL99" s="106"/>
      <c r="AM99" s="107"/>
      <c r="AN99" s="106"/>
      <c r="AO99" s="730">
        <f>+SUM(AP91:AS98)</f>
        <v>0</v>
      </c>
      <c r="AP99" s="730"/>
      <c r="AQ99" s="730"/>
      <c r="AR99" s="730"/>
      <c r="AS99" s="730"/>
      <c r="AT99" s="105" t="s">
        <v>184</v>
      </c>
      <c r="AU99" s="105"/>
      <c r="AV99" s="21"/>
    </row>
    <row r="100" spans="1:48" ht="8.25" customHeight="1" thickTop="1">
      <c r="A100" s="21"/>
      <c r="B100" s="21"/>
      <c r="C100" s="101"/>
      <c r="D100" s="101"/>
      <c r="E100" s="100"/>
      <c r="F100" s="108"/>
      <c r="G100" s="100"/>
      <c r="H100" s="100"/>
      <c r="I100" s="100"/>
      <c r="J100" s="100"/>
      <c r="K100" s="100"/>
      <c r="L100" s="100"/>
      <c r="M100" s="100"/>
      <c r="N100" s="100"/>
      <c r="O100" s="100"/>
      <c r="P100" s="100"/>
      <c r="Q100" s="100"/>
      <c r="R100" s="100"/>
      <c r="S100" s="100"/>
      <c r="T100" s="100"/>
      <c r="U100" s="108"/>
      <c r="V100" s="100"/>
      <c r="W100" s="100"/>
      <c r="X100" s="100"/>
      <c r="Y100" s="100"/>
      <c r="Z100" s="100"/>
      <c r="AA100" s="100"/>
      <c r="AB100" s="108"/>
      <c r="AC100" s="100"/>
      <c r="AD100" s="100"/>
      <c r="AE100" s="100"/>
      <c r="AF100" s="100"/>
      <c r="AG100" s="100"/>
      <c r="AH100" s="100"/>
      <c r="AI100" s="100"/>
      <c r="AJ100" s="100"/>
      <c r="AK100" s="100"/>
      <c r="AL100" s="100"/>
      <c r="AM100" s="108"/>
      <c r="AN100" s="100"/>
      <c r="AO100" s="109"/>
      <c r="AP100" s="109"/>
      <c r="AQ100" s="109"/>
      <c r="AR100" s="109"/>
      <c r="AS100" s="109"/>
      <c r="AT100" s="101"/>
      <c r="AU100" s="101"/>
      <c r="AV100" s="21"/>
    </row>
    <row r="101" spans="1:48" ht="21.75" customHeight="1">
      <c r="A101" s="325">
        <f>A79+1</f>
        <v>6</v>
      </c>
      <c r="B101" s="346"/>
      <c r="C101" s="93" t="s">
        <v>189</v>
      </c>
      <c r="D101" s="93"/>
      <c r="E101" s="21"/>
      <c r="F101" s="97"/>
      <c r="G101" s="21"/>
      <c r="H101" s="21"/>
      <c r="I101" s="21"/>
      <c r="J101" s="21"/>
      <c r="K101" s="21"/>
      <c r="L101" s="21"/>
      <c r="M101" s="21"/>
      <c r="N101" s="21" t="s">
        <v>190</v>
      </c>
      <c r="O101" s="21"/>
      <c r="P101" s="21"/>
      <c r="Q101" s="21"/>
      <c r="R101" s="21"/>
      <c r="S101" s="21"/>
      <c r="T101" s="21"/>
      <c r="U101" s="21"/>
      <c r="V101" s="21"/>
      <c r="W101" s="21"/>
      <c r="X101" s="21"/>
      <c r="Y101" s="21"/>
      <c r="Z101" s="21"/>
      <c r="AA101" s="21"/>
      <c r="AB101" s="21"/>
      <c r="AC101" s="21"/>
      <c r="AD101" s="21"/>
      <c r="AE101" s="21"/>
      <c r="AF101" s="21"/>
      <c r="AG101" s="100"/>
      <c r="AH101" s="100"/>
      <c r="AI101" s="100"/>
      <c r="AJ101" s="100"/>
      <c r="AK101" s="100"/>
      <c r="AL101" s="100"/>
      <c r="AM101" s="21"/>
      <c r="AN101" s="21"/>
      <c r="AO101" s="21"/>
      <c r="AP101" s="21"/>
      <c r="AQ101" s="21"/>
      <c r="AR101" s="21"/>
      <c r="AS101" s="21"/>
      <c r="AT101" s="21"/>
      <c r="AU101" s="21"/>
      <c r="AV101" s="21"/>
    </row>
    <row r="102" spans="1:48" ht="5.25" customHeight="1">
      <c r="A102" s="94"/>
      <c r="B102" s="95"/>
      <c r="C102" s="93"/>
      <c r="D102" s="93"/>
      <c r="E102" s="21"/>
      <c r="F102" s="97"/>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row>
    <row r="103" spans="1:48" ht="28.5" customHeight="1">
      <c r="A103" s="94"/>
      <c r="B103" s="95"/>
      <c r="C103" s="731" t="s">
        <v>191</v>
      </c>
      <c r="D103" s="731"/>
      <c r="E103" s="731"/>
      <c r="F103" s="731"/>
      <c r="G103" s="731"/>
      <c r="H103" s="731"/>
      <c r="I103" s="731"/>
      <c r="J103" s="731"/>
      <c r="K103" s="731"/>
      <c r="L103" s="731"/>
      <c r="M103" s="731"/>
      <c r="N103" s="731"/>
      <c r="O103" s="731"/>
      <c r="P103" s="731"/>
      <c r="Q103" s="731"/>
      <c r="R103" s="732" t="s">
        <v>192</v>
      </c>
      <c r="S103" s="732"/>
      <c r="T103" s="732"/>
      <c r="U103" s="732"/>
      <c r="V103" s="732"/>
      <c r="W103" s="732"/>
      <c r="X103" s="732"/>
      <c r="Y103" s="733" t="s">
        <v>193</v>
      </c>
      <c r="Z103" s="733"/>
      <c r="AA103" s="733"/>
      <c r="AB103" s="733"/>
      <c r="AC103" s="733"/>
      <c r="AD103" s="733"/>
      <c r="AE103" s="733"/>
      <c r="AF103" s="733"/>
      <c r="AG103" s="733"/>
      <c r="AH103" s="21"/>
      <c r="AI103" s="21"/>
      <c r="AJ103" s="21"/>
      <c r="AK103" s="21"/>
      <c r="AL103" s="21"/>
      <c r="AM103" s="21"/>
      <c r="AN103" s="21"/>
      <c r="AO103" s="21"/>
      <c r="AP103" s="21"/>
      <c r="AQ103" s="21"/>
      <c r="AR103" s="21"/>
      <c r="AS103" s="21"/>
      <c r="AT103" s="21"/>
      <c r="AU103" s="21"/>
      <c r="AV103" s="21"/>
    </row>
    <row r="104" spans="1:48" ht="13.5" customHeight="1">
      <c r="A104" s="94"/>
      <c r="B104" s="95"/>
      <c r="C104" s="712" t="s">
        <v>194</v>
      </c>
      <c r="D104" s="712"/>
      <c r="E104" s="712"/>
      <c r="F104" s="712"/>
      <c r="G104" s="712"/>
      <c r="H104" s="712"/>
      <c r="I104" s="712"/>
      <c r="J104" s="712"/>
      <c r="K104" s="712"/>
      <c r="L104" s="712"/>
      <c r="M104" s="712"/>
      <c r="N104" s="712"/>
      <c r="O104" s="712"/>
      <c r="P104" s="712"/>
      <c r="Q104" s="712"/>
      <c r="R104" s="725"/>
      <c r="S104" s="725"/>
      <c r="T104" s="725"/>
      <c r="U104" s="725"/>
      <c r="V104" s="725"/>
      <c r="W104" s="725"/>
      <c r="X104" s="725"/>
      <c r="Y104" s="714"/>
      <c r="Z104" s="714"/>
      <c r="AA104" s="714"/>
      <c r="AB104" s="714"/>
      <c r="AC104" s="714"/>
      <c r="AD104" s="714"/>
      <c r="AE104" s="714"/>
      <c r="AF104" s="715" t="s">
        <v>195</v>
      </c>
      <c r="AG104" s="715"/>
      <c r="AH104" s="21"/>
      <c r="AI104" s="21"/>
      <c r="AJ104" s="21"/>
      <c r="AK104" s="21"/>
      <c r="AL104" s="21"/>
      <c r="AM104" s="21"/>
      <c r="AN104" s="21"/>
      <c r="AO104" s="21"/>
      <c r="AP104" s="21"/>
      <c r="AQ104" s="21"/>
      <c r="AR104" s="21"/>
      <c r="AS104" s="21"/>
      <c r="AT104" s="21"/>
      <c r="AU104" s="21"/>
      <c r="AV104" s="21"/>
    </row>
    <row r="105" spans="1:48" ht="13.5" customHeight="1">
      <c r="A105" s="94"/>
      <c r="B105" s="95"/>
      <c r="C105" s="712" t="s">
        <v>196</v>
      </c>
      <c r="D105" s="712"/>
      <c r="E105" s="712"/>
      <c r="F105" s="712"/>
      <c r="G105" s="712"/>
      <c r="H105" s="712"/>
      <c r="I105" s="712"/>
      <c r="J105" s="712"/>
      <c r="K105" s="712"/>
      <c r="L105" s="712"/>
      <c r="M105" s="712"/>
      <c r="N105" s="712"/>
      <c r="O105" s="712"/>
      <c r="P105" s="712"/>
      <c r="Q105" s="712"/>
      <c r="R105" s="713"/>
      <c r="S105" s="713"/>
      <c r="T105" s="713"/>
      <c r="U105" s="713"/>
      <c r="V105" s="713"/>
      <c r="W105" s="713"/>
      <c r="X105" s="713"/>
      <c r="Y105" s="714"/>
      <c r="Z105" s="714"/>
      <c r="AA105" s="714"/>
      <c r="AB105" s="714"/>
      <c r="AC105" s="714"/>
      <c r="AD105" s="714"/>
      <c r="AE105" s="714"/>
      <c r="AF105" s="715" t="s">
        <v>195</v>
      </c>
      <c r="AG105" s="715"/>
      <c r="AH105" s="21"/>
      <c r="AI105" s="21"/>
      <c r="AJ105" s="21"/>
      <c r="AK105" s="21"/>
      <c r="AL105" s="21"/>
      <c r="AM105" s="21"/>
      <c r="AN105" s="21"/>
      <c r="AO105" s="21"/>
      <c r="AP105" s="21"/>
      <c r="AQ105" s="21"/>
      <c r="AR105" s="21"/>
      <c r="AS105" s="21"/>
      <c r="AT105" s="21"/>
      <c r="AU105" s="21"/>
      <c r="AV105" s="21"/>
    </row>
    <row r="106" spans="1:48" ht="13.5" customHeight="1">
      <c r="A106" s="94"/>
      <c r="B106" s="95"/>
      <c r="C106" s="712" t="s">
        <v>197</v>
      </c>
      <c r="D106" s="712"/>
      <c r="E106" s="712"/>
      <c r="F106" s="712"/>
      <c r="G106" s="712"/>
      <c r="H106" s="712"/>
      <c r="I106" s="712"/>
      <c r="J106" s="712"/>
      <c r="K106" s="712"/>
      <c r="L106" s="712"/>
      <c r="M106" s="712"/>
      <c r="N106" s="712"/>
      <c r="O106" s="712"/>
      <c r="P106" s="712"/>
      <c r="Q106" s="712"/>
      <c r="R106" s="713"/>
      <c r="S106" s="713"/>
      <c r="T106" s="713"/>
      <c r="U106" s="713"/>
      <c r="V106" s="713"/>
      <c r="W106" s="713"/>
      <c r="X106" s="713"/>
      <c r="Y106" s="714"/>
      <c r="Z106" s="714"/>
      <c r="AA106" s="714"/>
      <c r="AB106" s="714"/>
      <c r="AC106" s="714"/>
      <c r="AD106" s="714"/>
      <c r="AE106" s="714"/>
      <c r="AF106" s="715" t="s">
        <v>195</v>
      </c>
      <c r="AG106" s="715"/>
      <c r="AH106" s="21"/>
      <c r="AI106" s="21"/>
      <c r="AJ106" s="21"/>
      <c r="AK106" s="21"/>
      <c r="AL106" s="21"/>
      <c r="AM106" s="21"/>
      <c r="AN106" s="21"/>
      <c r="AO106" s="21"/>
      <c r="AP106" s="21"/>
      <c r="AQ106" s="21"/>
      <c r="AR106" s="21"/>
      <c r="AS106" s="21"/>
      <c r="AT106" s="21"/>
      <c r="AU106" s="21"/>
      <c r="AV106" s="21"/>
    </row>
    <row r="107" spans="1:48" ht="15" customHeight="1">
      <c r="A107" s="94"/>
      <c r="B107" s="95"/>
      <c r="C107" s="716" t="s">
        <v>198</v>
      </c>
      <c r="D107" s="717"/>
      <c r="E107" s="717"/>
      <c r="F107" s="717"/>
      <c r="G107" s="717"/>
      <c r="H107" s="717"/>
      <c r="I107" s="717"/>
      <c r="J107" s="717"/>
      <c r="K107" s="717"/>
      <c r="L107" s="717"/>
      <c r="M107" s="717"/>
      <c r="N107" s="717"/>
      <c r="O107" s="717"/>
      <c r="P107" s="717"/>
      <c r="Q107" s="718"/>
      <c r="R107" s="719">
        <f>SUM(R104:X106)</f>
        <v>0</v>
      </c>
      <c r="S107" s="720"/>
      <c r="T107" s="720"/>
      <c r="U107" s="720"/>
      <c r="V107" s="720"/>
      <c r="W107" s="720"/>
      <c r="X107" s="721"/>
      <c r="Y107" s="722">
        <f>SUM(Y104:AE106)</f>
        <v>0</v>
      </c>
      <c r="Z107" s="723"/>
      <c r="AA107" s="723"/>
      <c r="AB107" s="723"/>
      <c r="AC107" s="723"/>
      <c r="AD107" s="723"/>
      <c r="AE107" s="723"/>
      <c r="AF107" s="724" t="s">
        <v>195</v>
      </c>
      <c r="AG107" s="724"/>
      <c r="AH107" s="21"/>
      <c r="AI107" s="21"/>
      <c r="AJ107" s="21"/>
      <c r="AK107" s="21"/>
      <c r="AL107" s="21"/>
      <c r="AM107" s="21"/>
      <c r="AN107" s="21"/>
      <c r="AO107" s="21"/>
      <c r="AP107" s="21"/>
      <c r="AQ107" s="21"/>
      <c r="AR107" s="21"/>
      <c r="AS107" s="21"/>
      <c r="AT107" s="21"/>
      <c r="AU107" s="21"/>
      <c r="AV107" s="21"/>
    </row>
    <row r="108" spans="1:48" ht="9" customHeight="1">
      <c r="A108" s="94"/>
      <c r="B108" s="95"/>
      <c r="C108" s="110"/>
      <c r="D108" s="110"/>
      <c r="E108" s="110"/>
      <c r="F108" s="110"/>
      <c r="G108" s="110"/>
      <c r="H108" s="110"/>
      <c r="I108" s="110"/>
      <c r="J108" s="110"/>
      <c r="K108" s="110"/>
      <c r="L108" s="110"/>
      <c r="M108" s="110"/>
      <c r="N108" s="110"/>
      <c r="O108" s="110"/>
      <c r="P108" s="110"/>
      <c r="Q108" s="110"/>
      <c r="R108" s="97"/>
      <c r="S108" s="97"/>
      <c r="T108" s="97"/>
      <c r="U108" s="97"/>
      <c r="V108" s="97"/>
      <c r="W108" s="97"/>
      <c r="X108" s="97"/>
      <c r="Y108" s="97"/>
      <c r="Z108" s="97"/>
      <c r="AA108" s="97"/>
      <c r="AB108" s="97"/>
      <c r="AC108" s="97"/>
      <c r="AD108" s="97"/>
      <c r="AE108" s="97"/>
      <c r="AF108" s="21"/>
      <c r="AG108" s="21"/>
      <c r="AH108" s="21"/>
      <c r="AI108" s="21"/>
      <c r="AJ108" s="21"/>
      <c r="AK108" s="21"/>
      <c r="AL108" s="21"/>
      <c r="AM108" s="21"/>
      <c r="AN108" s="21"/>
      <c r="AO108" s="21"/>
      <c r="AP108" s="21"/>
      <c r="AQ108" s="21"/>
      <c r="AR108" s="21"/>
      <c r="AS108" s="21"/>
      <c r="AT108" s="21"/>
      <c r="AU108" s="21"/>
      <c r="AV108" s="21"/>
    </row>
    <row r="109" spans="1:48" ht="22.5" customHeight="1">
      <c r="A109" s="325">
        <f>+A101+1</f>
        <v>7</v>
      </c>
      <c r="B109" s="346"/>
      <c r="C109" s="93" t="s">
        <v>142</v>
      </c>
      <c r="D109" s="93"/>
      <c r="E109" s="21"/>
      <c r="F109" s="97"/>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row>
    <row r="110" spans="1:48" ht="66.75" customHeight="1">
      <c r="A110" s="21"/>
      <c r="B110" s="21"/>
      <c r="C110" s="711"/>
      <c r="D110" s="692"/>
      <c r="E110" s="692"/>
      <c r="F110" s="692"/>
      <c r="G110" s="692"/>
      <c r="H110" s="692"/>
      <c r="I110" s="692"/>
      <c r="J110" s="692"/>
      <c r="K110" s="692"/>
      <c r="L110" s="692"/>
      <c r="M110" s="692"/>
      <c r="N110" s="692"/>
      <c r="O110" s="692"/>
      <c r="P110" s="692"/>
      <c r="Q110" s="692"/>
      <c r="R110" s="692"/>
      <c r="S110" s="692"/>
      <c r="T110" s="692"/>
      <c r="U110" s="692"/>
      <c r="V110" s="692"/>
      <c r="W110" s="692"/>
      <c r="X110" s="692"/>
      <c r="Y110" s="692"/>
      <c r="Z110" s="692"/>
      <c r="AA110" s="692"/>
      <c r="AB110" s="692"/>
      <c r="AC110" s="692"/>
      <c r="AD110" s="692"/>
      <c r="AE110" s="692"/>
      <c r="AF110" s="692"/>
      <c r="AG110" s="692"/>
      <c r="AH110" s="692"/>
      <c r="AI110" s="692"/>
      <c r="AJ110" s="692"/>
      <c r="AK110" s="692"/>
      <c r="AL110" s="692"/>
      <c r="AM110" s="692"/>
      <c r="AN110" s="692"/>
      <c r="AO110" s="692"/>
      <c r="AP110" s="692"/>
      <c r="AQ110" s="692"/>
      <c r="AR110" s="692"/>
      <c r="AS110" s="692"/>
      <c r="AT110" s="692"/>
      <c r="AU110" s="692"/>
      <c r="AV110" s="692"/>
    </row>
    <row r="111" spans="1:48" ht="3.75" customHeight="1" thickBot="1">
      <c r="A111" s="21"/>
      <c r="B111" s="21"/>
      <c r="C111" s="111"/>
      <c r="D111" s="112"/>
      <c r="E111" s="112"/>
      <c r="F111" s="112"/>
      <c r="G111" s="112"/>
      <c r="H111" s="112"/>
      <c r="I111" s="112"/>
      <c r="J111" s="112"/>
      <c r="K111" s="112"/>
      <c r="L111" s="112"/>
      <c r="M111" s="112"/>
      <c r="N111" s="112"/>
      <c r="O111" s="112"/>
      <c r="P111" s="112"/>
      <c r="Q111" s="112"/>
      <c r="R111" s="112"/>
      <c r="S111" s="112"/>
      <c r="T111" s="112"/>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row>
    <row r="112" spans="1:48" ht="13.5" thickBot="1">
      <c r="A112" s="21"/>
      <c r="B112" s="21"/>
      <c r="C112" s="21" t="s">
        <v>199</v>
      </c>
      <c r="D112" s="21"/>
      <c r="E112" s="112"/>
      <c r="F112" s="112"/>
      <c r="G112" s="112"/>
      <c r="H112" s="112"/>
      <c r="I112" s="21"/>
      <c r="J112" s="21"/>
      <c r="K112" s="21"/>
      <c r="L112" s="21"/>
      <c r="M112" s="698"/>
      <c r="N112" s="699"/>
      <c r="O112" s="21"/>
      <c r="P112" s="21" t="s">
        <v>200</v>
      </c>
      <c r="Q112" s="21"/>
      <c r="R112" s="112"/>
      <c r="S112" s="112"/>
      <c r="T112" s="112"/>
      <c r="U112" s="112"/>
      <c r="V112" s="21"/>
      <c r="W112" s="698"/>
      <c r="X112" s="699"/>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row>
    <row r="113" spans="1:48" ht="3.75" customHeight="1" thickBot="1">
      <c r="A113" s="21"/>
      <c r="B113" s="21"/>
      <c r="C113" s="21"/>
      <c r="D113" s="21"/>
      <c r="E113" s="112"/>
      <c r="F113" s="112"/>
      <c r="G113" s="112"/>
      <c r="H113" s="112"/>
      <c r="I113" s="21"/>
      <c r="J113" s="113"/>
      <c r="K113" s="113"/>
      <c r="L113" s="21"/>
      <c r="M113" s="112"/>
      <c r="N113" s="112"/>
      <c r="O113" s="21"/>
      <c r="P113" s="21"/>
      <c r="Q113" s="21"/>
      <c r="R113" s="112"/>
      <c r="S113" s="112"/>
      <c r="T113" s="112"/>
      <c r="U113" s="112"/>
      <c r="V113" s="113"/>
      <c r="W113" s="113"/>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row>
    <row r="114" spans="1:48" ht="13.5" thickBot="1">
      <c r="A114" s="21"/>
      <c r="B114" s="21"/>
      <c r="C114" s="114" t="s">
        <v>201</v>
      </c>
      <c r="D114" s="21"/>
      <c r="E114" s="112"/>
      <c r="F114" s="112"/>
      <c r="G114" s="112"/>
      <c r="H114" s="112"/>
      <c r="I114" s="21"/>
      <c r="J114" s="115"/>
      <c r="K114" s="21"/>
      <c r="L114" s="21"/>
      <c r="M114" s="698"/>
      <c r="N114" s="699"/>
      <c r="O114" s="21"/>
      <c r="P114" s="21" t="s">
        <v>202</v>
      </c>
      <c r="Q114" s="21"/>
      <c r="R114" s="21"/>
      <c r="S114" s="21"/>
      <c r="T114" s="112"/>
      <c r="U114" s="112"/>
      <c r="V114" s="21"/>
      <c r="W114" s="698"/>
      <c r="X114" s="699"/>
      <c r="Y114" s="21" t="s">
        <v>203</v>
      </c>
      <c r="Z114" s="31"/>
      <c r="AA114" s="21"/>
      <c r="AB114" s="21"/>
      <c r="AC114" s="21"/>
      <c r="AD114" s="698"/>
      <c r="AE114" s="699"/>
      <c r="AF114" s="21" t="s">
        <v>204</v>
      </c>
      <c r="AG114" s="31"/>
      <c r="AH114" s="31"/>
      <c r="AI114" s="31"/>
      <c r="AJ114" s="31"/>
      <c r="AK114" s="31"/>
      <c r="AL114" s="21"/>
      <c r="AM114" s="698"/>
      <c r="AN114" s="699"/>
      <c r="AO114" s="21" t="s">
        <v>205</v>
      </c>
      <c r="AP114" s="21"/>
      <c r="AQ114" s="31"/>
      <c r="AR114" s="31"/>
      <c r="AS114" s="31"/>
      <c r="AT114" s="31"/>
      <c r="AU114" s="31"/>
      <c r="AV114" s="31"/>
    </row>
    <row r="115" spans="1:48" ht="6.75" customHeight="1" thickBot="1">
      <c r="A115" s="21"/>
      <c r="B115" s="21"/>
      <c r="C115" s="31"/>
      <c r="D115" s="31"/>
      <c r="E115" s="31"/>
      <c r="F115" s="31"/>
      <c r="G115" s="31"/>
      <c r="H115" s="31"/>
      <c r="I115" s="31"/>
      <c r="J115" s="31"/>
      <c r="K115" s="31"/>
      <c r="L115" s="31"/>
      <c r="M115" s="31"/>
      <c r="N115" s="31"/>
      <c r="O115" s="31"/>
      <c r="P115" s="31"/>
      <c r="Q115" s="31"/>
      <c r="R115" s="31"/>
      <c r="S115" s="31"/>
      <c r="T115" s="31"/>
      <c r="U115" s="31"/>
      <c r="V115" s="21"/>
      <c r="W115" s="21"/>
      <c r="X115" s="2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row>
    <row r="116" spans="1:48" ht="13.5" thickBot="1">
      <c r="A116" s="21"/>
      <c r="B116" s="21"/>
      <c r="C116" s="31" t="s">
        <v>206</v>
      </c>
      <c r="D116" s="21"/>
      <c r="E116" s="112"/>
      <c r="F116" s="112"/>
      <c r="G116" s="112"/>
      <c r="H116" s="112"/>
      <c r="I116" s="21"/>
      <c r="J116" s="115"/>
      <c r="K116" s="21"/>
      <c r="L116" s="21"/>
      <c r="M116" s="698"/>
      <c r="N116" s="699"/>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31"/>
      <c r="AS116" s="31"/>
      <c r="AT116" s="31"/>
      <c r="AU116" s="31"/>
      <c r="AV116" s="31"/>
    </row>
    <row r="117" spans="1:48" ht="3.75" customHeight="1">
      <c r="A117" s="21"/>
      <c r="B117" s="21"/>
      <c r="C117" s="111"/>
      <c r="D117" s="112"/>
      <c r="E117" s="112"/>
      <c r="F117" s="112"/>
      <c r="G117" s="112"/>
      <c r="H117" s="112"/>
      <c r="I117" s="112"/>
      <c r="J117" s="112"/>
      <c r="K117" s="112"/>
      <c r="L117" s="112"/>
      <c r="M117" s="112"/>
      <c r="N117" s="112"/>
      <c r="O117" s="112"/>
      <c r="P117" s="112"/>
      <c r="Q117" s="112"/>
      <c r="R117" s="112"/>
      <c r="S117" s="112"/>
      <c r="T117" s="112"/>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row>
    <row r="118" spans="1:48" ht="22.5" customHeight="1">
      <c r="A118" s="325">
        <f>+A109+1</f>
        <v>8</v>
      </c>
      <c r="B118" s="346"/>
      <c r="C118" s="93" t="s">
        <v>207</v>
      </c>
      <c r="D118" s="93"/>
      <c r="E118" s="21"/>
      <c r="F118" s="97"/>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row>
    <row r="119" spans="1:48" ht="80.25" customHeight="1">
      <c r="A119" s="21"/>
      <c r="B119" s="21"/>
      <c r="C119" s="700"/>
      <c r="D119" s="618"/>
      <c r="E119" s="618"/>
      <c r="F119" s="618"/>
      <c r="G119" s="618"/>
      <c r="H119" s="618"/>
      <c r="I119" s="618"/>
      <c r="J119" s="618"/>
      <c r="K119" s="618"/>
      <c r="L119" s="618"/>
      <c r="M119" s="618"/>
      <c r="N119" s="618"/>
      <c r="O119" s="618"/>
      <c r="P119" s="618"/>
      <c r="Q119" s="618"/>
      <c r="R119" s="618"/>
      <c r="S119" s="618"/>
      <c r="T119" s="618"/>
      <c r="U119" s="631"/>
      <c r="V119" s="631"/>
      <c r="W119" s="631"/>
      <c r="X119" s="631"/>
      <c r="Y119" s="631"/>
      <c r="Z119" s="631"/>
      <c r="AA119" s="631"/>
      <c r="AB119" s="631"/>
      <c r="AC119" s="631"/>
      <c r="AD119" s="631"/>
      <c r="AE119" s="631"/>
      <c r="AF119" s="631"/>
      <c r="AG119" s="631"/>
      <c r="AH119" s="631"/>
      <c r="AI119" s="631"/>
      <c r="AJ119" s="631"/>
      <c r="AK119" s="631"/>
      <c r="AL119" s="631"/>
      <c r="AM119" s="631"/>
      <c r="AN119" s="631"/>
      <c r="AO119" s="631"/>
      <c r="AP119" s="631"/>
      <c r="AQ119" s="631"/>
      <c r="AR119" s="631"/>
      <c r="AS119" s="631"/>
      <c r="AT119" s="631"/>
      <c r="AU119" s="631"/>
      <c r="AV119" s="631"/>
    </row>
    <row r="120" spans="1:48" ht="22.5" customHeight="1">
      <c r="A120" s="325">
        <f>+A118+1</f>
        <v>9</v>
      </c>
      <c r="B120" s="346"/>
      <c r="C120" s="93" t="s">
        <v>208</v>
      </c>
      <c r="D120" s="93"/>
      <c r="E120" s="21"/>
      <c r="F120" s="97"/>
      <c r="G120" s="21"/>
      <c r="H120" s="21"/>
      <c r="I120" s="21"/>
      <c r="J120" s="21"/>
      <c r="K120" s="21"/>
      <c r="L120" s="21" t="s">
        <v>209</v>
      </c>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row>
    <row r="121" spans="1:48" ht="30" customHeight="1">
      <c r="A121" s="21"/>
      <c r="B121" s="21"/>
      <c r="C121" s="701" t="s">
        <v>210</v>
      </c>
      <c r="D121" s="624"/>
      <c r="E121" s="624"/>
      <c r="F121" s="624"/>
      <c r="G121" s="624"/>
      <c r="H121" s="624"/>
      <c r="I121" s="624"/>
      <c r="J121" s="624"/>
      <c r="K121" s="624"/>
      <c r="L121" s="624"/>
      <c r="M121" s="624"/>
      <c r="N121" s="624"/>
      <c r="O121" s="624"/>
      <c r="P121" s="624"/>
      <c r="Q121" s="624"/>
      <c r="R121" s="624"/>
      <c r="S121" s="624"/>
      <c r="T121" s="624"/>
      <c r="U121" s="625"/>
      <c r="V121" s="625"/>
      <c r="W121" s="625"/>
      <c r="X121" s="625"/>
      <c r="Y121" s="625"/>
      <c r="Z121" s="625"/>
      <c r="AA121" s="625"/>
      <c r="AB121" s="625"/>
      <c r="AC121" s="625"/>
      <c r="AD121" s="625"/>
      <c r="AE121" s="625"/>
      <c r="AF121" s="625"/>
      <c r="AG121" s="625"/>
      <c r="AH121" s="625"/>
      <c r="AI121" s="625"/>
      <c r="AJ121" s="625"/>
      <c r="AK121" s="625"/>
      <c r="AL121" s="625"/>
      <c r="AM121" s="625"/>
      <c r="AN121" s="625"/>
      <c r="AO121" s="625"/>
      <c r="AP121" s="625"/>
      <c r="AQ121" s="625"/>
      <c r="AR121" s="625"/>
      <c r="AS121" s="625"/>
      <c r="AT121" s="625"/>
      <c r="AU121" s="625"/>
      <c r="AV121" s="625"/>
    </row>
    <row r="122" spans="1:48" ht="3" customHeight="1">
      <c r="A122" s="21"/>
      <c r="B122" s="21"/>
      <c r="C122" s="116"/>
      <c r="D122" s="103"/>
      <c r="E122" s="103"/>
      <c r="F122" s="103"/>
      <c r="G122" s="103"/>
      <c r="H122" s="103"/>
      <c r="I122" s="103"/>
      <c r="J122" s="103"/>
      <c r="K122" s="103"/>
      <c r="L122" s="103"/>
      <c r="M122" s="103"/>
      <c r="N122" s="103"/>
      <c r="O122" s="103"/>
      <c r="P122" s="103"/>
      <c r="Q122" s="103"/>
      <c r="R122" s="103"/>
      <c r="S122" s="103"/>
      <c r="T122" s="103"/>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row>
    <row r="123" spans="1:48" ht="16.5" customHeight="1">
      <c r="A123" s="21"/>
      <c r="B123" s="21"/>
      <c r="C123" s="702" t="s">
        <v>211</v>
      </c>
      <c r="D123" s="703"/>
      <c r="E123" s="703"/>
      <c r="F123" s="703"/>
      <c r="G123" s="703"/>
      <c r="H123" s="703"/>
      <c r="I123" s="703"/>
      <c r="J123" s="703"/>
      <c r="K123" s="703"/>
      <c r="L123" s="703"/>
      <c r="M123" s="703"/>
      <c r="N123" s="703"/>
      <c r="O123" s="703"/>
      <c r="P123" s="703"/>
      <c r="Q123" s="703"/>
      <c r="R123" s="703"/>
      <c r="S123" s="703"/>
      <c r="T123" s="703"/>
      <c r="U123" s="703"/>
      <c r="V123" s="703"/>
      <c r="W123" s="703"/>
      <c r="X123" s="703"/>
      <c r="Y123" s="703"/>
      <c r="Z123" s="703"/>
      <c r="AA123" s="703"/>
      <c r="AB123" s="703"/>
      <c r="AC123" s="703"/>
      <c r="AD123" s="703"/>
      <c r="AE123" s="703"/>
      <c r="AF123" s="703"/>
      <c r="AG123" s="703"/>
      <c r="AH123" s="703"/>
      <c r="AI123" s="704"/>
      <c r="AJ123" s="703" t="s">
        <v>212</v>
      </c>
      <c r="AK123" s="703"/>
      <c r="AL123" s="703"/>
      <c r="AM123" s="703"/>
      <c r="AN123" s="703"/>
      <c r="AO123" s="703"/>
      <c r="AP123" s="703"/>
      <c r="AQ123" s="703"/>
      <c r="AR123" s="703"/>
      <c r="AS123" s="703"/>
      <c r="AT123" s="703"/>
      <c r="AU123" s="703"/>
      <c r="AV123" s="704"/>
    </row>
    <row r="124" spans="1:48" ht="16.5" customHeight="1">
      <c r="A124" s="21"/>
      <c r="B124" s="21"/>
      <c r="C124" s="705"/>
      <c r="D124" s="706"/>
      <c r="E124" s="706"/>
      <c r="F124" s="706"/>
      <c r="G124" s="706"/>
      <c r="H124" s="706"/>
      <c r="I124" s="706"/>
      <c r="J124" s="706"/>
      <c r="K124" s="706"/>
      <c r="L124" s="706"/>
      <c r="M124" s="706"/>
      <c r="N124" s="706"/>
      <c r="O124" s="706"/>
      <c r="P124" s="706"/>
      <c r="Q124" s="706"/>
      <c r="R124" s="706"/>
      <c r="S124" s="706"/>
      <c r="T124" s="706"/>
      <c r="U124" s="706"/>
      <c r="V124" s="706"/>
      <c r="W124" s="706"/>
      <c r="X124" s="706"/>
      <c r="Y124" s="706"/>
      <c r="Z124" s="706"/>
      <c r="AA124" s="706"/>
      <c r="AB124" s="706"/>
      <c r="AC124" s="706"/>
      <c r="AD124" s="706"/>
      <c r="AE124" s="706"/>
      <c r="AF124" s="706"/>
      <c r="AG124" s="706"/>
      <c r="AH124" s="706"/>
      <c r="AI124" s="707"/>
      <c r="AJ124" s="706"/>
      <c r="AK124" s="706"/>
      <c r="AL124" s="706"/>
      <c r="AM124" s="706"/>
      <c r="AN124" s="706"/>
      <c r="AO124" s="706"/>
      <c r="AP124" s="706"/>
      <c r="AQ124" s="706"/>
      <c r="AR124" s="706"/>
      <c r="AS124" s="706"/>
      <c r="AT124" s="706"/>
      <c r="AU124" s="706"/>
      <c r="AV124" s="707"/>
    </row>
    <row r="125" spans="1:48" ht="16.5" customHeight="1">
      <c r="A125" s="21"/>
      <c r="B125" s="21"/>
      <c r="C125" s="705"/>
      <c r="D125" s="706"/>
      <c r="E125" s="706"/>
      <c r="F125" s="706"/>
      <c r="G125" s="706"/>
      <c r="H125" s="706"/>
      <c r="I125" s="706"/>
      <c r="J125" s="706"/>
      <c r="K125" s="706"/>
      <c r="L125" s="706"/>
      <c r="M125" s="706"/>
      <c r="N125" s="706"/>
      <c r="O125" s="706"/>
      <c r="P125" s="706"/>
      <c r="Q125" s="706"/>
      <c r="R125" s="706"/>
      <c r="S125" s="706"/>
      <c r="T125" s="706"/>
      <c r="U125" s="706"/>
      <c r="V125" s="706"/>
      <c r="W125" s="706"/>
      <c r="X125" s="706"/>
      <c r="Y125" s="706"/>
      <c r="Z125" s="706"/>
      <c r="AA125" s="706"/>
      <c r="AB125" s="706"/>
      <c r="AC125" s="706"/>
      <c r="AD125" s="706"/>
      <c r="AE125" s="706"/>
      <c r="AF125" s="706"/>
      <c r="AG125" s="706"/>
      <c r="AH125" s="706"/>
      <c r="AI125" s="707"/>
      <c r="AJ125" s="706"/>
      <c r="AK125" s="706"/>
      <c r="AL125" s="706"/>
      <c r="AM125" s="706"/>
      <c r="AN125" s="706"/>
      <c r="AO125" s="706"/>
      <c r="AP125" s="706"/>
      <c r="AQ125" s="706"/>
      <c r="AR125" s="706"/>
      <c r="AS125" s="706"/>
      <c r="AT125" s="706"/>
      <c r="AU125" s="706"/>
      <c r="AV125" s="707"/>
    </row>
    <row r="126" spans="1:48" ht="16.5" customHeight="1">
      <c r="A126" s="21"/>
      <c r="B126" s="21"/>
      <c r="C126" s="705"/>
      <c r="D126" s="706"/>
      <c r="E126" s="706"/>
      <c r="F126" s="706"/>
      <c r="G126" s="706"/>
      <c r="H126" s="706"/>
      <c r="I126" s="706"/>
      <c r="J126" s="706"/>
      <c r="K126" s="706"/>
      <c r="L126" s="706"/>
      <c r="M126" s="706"/>
      <c r="N126" s="706"/>
      <c r="O126" s="706"/>
      <c r="P126" s="706"/>
      <c r="Q126" s="706"/>
      <c r="R126" s="706"/>
      <c r="S126" s="706"/>
      <c r="T126" s="706"/>
      <c r="U126" s="706"/>
      <c r="V126" s="706"/>
      <c r="W126" s="706"/>
      <c r="X126" s="706"/>
      <c r="Y126" s="706"/>
      <c r="Z126" s="706"/>
      <c r="AA126" s="706"/>
      <c r="AB126" s="706"/>
      <c r="AC126" s="706"/>
      <c r="AD126" s="706"/>
      <c r="AE126" s="706"/>
      <c r="AF126" s="706"/>
      <c r="AG126" s="706"/>
      <c r="AH126" s="706"/>
      <c r="AI126" s="707"/>
      <c r="AJ126" s="706"/>
      <c r="AK126" s="706"/>
      <c r="AL126" s="706"/>
      <c r="AM126" s="706"/>
      <c r="AN126" s="706"/>
      <c r="AO126" s="706"/>
      <c r="AP126" s="706"/>
      <c r="AQ126" s="706"/>
      <c r="AR126" s="706"/>
      <c r="AS126" s="706"/>
      <c r="AT126" s="706"/>
      <c r="AU126" s="706"/>
      <c r="AV126" s="707"/>
    </row>
    <row r="127" spans="1:48" ht="16.5" customHeight="1">
      <c r="A127" s="21"/>
      <c r="B127" s="21"/>
      <c r="C127" s="705"/>
      <c r="D127" s="706"/>
      <c r="E127" s="706"/>
      <c r="F127" s="706"/>
      <c r="G127" s="706"/>
      <c r="H127" s="706"/>
      <c r="I127" s="706"/>
      <c r="J127" s="706"/>
      <c r="K127" s="706"/>
      <c r="L127" s="706"/>
      <c r="M127" s="706"/>
      <c r="N127" s="706"/>
      <c r="O127" s="706"/>
      <c r="P127" s="706"/>
      <c r="Q127" s="706"/>
      <c r="R127" s="706"/>
      <c r="S127" s="706"/>
      <c r="T127" s="706"/>
      <c r="U127" s="706"/>
      <c r="V127" s="706"/>
      <c r="W127" s="706"/>
      <c r="X127" s="706"/>
      <c r="Y127" s="706"/>
      <c r="Z127" s="706"/>
      <c r="AA127" s="706"/>
      <c r="AB127" s="706"/>
      <c r="AC127" s="706"/>
      <c r="AD127" s="706"/>
      <c r="AE127" s="706"/>
      <c r="AF127" s="706"/>
      <c r="AG127" s="706"/>
      <c r="AH127" s="706"/>
      <c r="AI127" s="707"/>
      <c r="AJ127" s="706"/>
      <c r="AK127" s="706"/>
      <c r="AL127" s="706"/>
      <c r="AM127" s="706"/>
      <c r="AN127" s="706"/>
      <c r="AO127" s="706"/>
      <c r="AP127" s="706"/>
      <c r="AQ127" s="706"/>
      <c r="AR127" s="706"/>
      <c r="AS127" s="706"/>
      <c r="AT127" s="706"/>
      <c r="AU127" s="706"/>
      <c r="AV127" s="707"/>
    </row>
    <row r="128" spans="1:48" ht="16.5" customHeight="1">
      <c r="A128" s="21"/>
      <c r="B128" s="21"/>
      <c r="C128" s="705"/>
      <c r="D128" s="706"/>
      <c r="E128" s="706"/>
      <c r="F128" s="706"/>
      <c r="G128" s="706"/>
      <c r="H128" s="706"/>
      <c r="I128" s="706"/>
      <c r="J128" s="706"/>
      <c r="K128" s="706"/>
      <c r="L128" s="706"/>
      <c r="M128" s="706"/>
      <c r="N128" s="706"/>
      <c r="O128" s="706"/>
      <c r="P128" s="706"/>
      <c r="Q128" s="706"/>
      <c r="R128" s="706"/>
      <c r="S128" s="706"/>
      <c r="T128" s="706"/>
      <c r="U128" s="706"/>
      <c r="V128" s="706"/>
      <c r="W128" s="706"/>
      <c r="X128" s="706"/>
      <c r="Y128" s="706"/>
      <c r="Z128" s="706"/>
      <c r="AA128" s="706"/>
      <c r="AB128" s="706"/>
      <c r="AC128" s="706"/>
      <c r="AD128" s="706"/>
      <c r="AE128" s="706"/>
      <c r="AF128" s="706"/>
      <c r="AG128" s="706"/>
      <c r="AH128" s="706"/>
      <c r="AI128" s="707"/>
      <c r="AJ128" s="706"/>
      <c r="AK128" s="706"/>
      <c r="AL128" s="706"/>
      <c r="AM128" s="706"/>
      <c r="AN128" s="706"/>
      <c r="AO128" s="706"/>
      <c r="AP128" s="706"/>
      <c r="AQ128" s="706"/>
      <c r="AR128" s="706"/>
      <c r="AS128" s="706"/>
      <c r="AT128" s="706"/>
      <c r="AU128" s="706"/>
      <c r="AV128" s="707"/>
    </row>
    <row r="129" spans="1:48" ht="16.5" customHeight="1">
      <c r="A129" s="21"/>
      <c r="B129" s="21"/>
      <c r="C129" s="705"/>
      <c r="D129" s="706"/>
      <c r="E129" s="706"/>
      <c r="F129" s="706"/>
      <c r="G129" s="706"/>
      <c r="H129" s="706"/>
      <c r="I129" s="706"/>
      <c r="J129" s="706"/>
      <c r="K129" s="706"/>
      <c r="L129" s="706"/>
      <c r="M129" s="706"/>
      <c r="N129" s="706"/>
      <c r="O129" s="706"/>
      <c r="P129" s="706"/>
      <c r="Q129" s="706"/>
      <c r="R129" s="706"/>
      <c r="S129" s="706"/>
      <c r="T129" s="706"/>
      <c r="U129" s="706"/>
      <c r="V129" s="706"/>
      <c r="W129" s="706"/>
      <c r="X129" s="706"/>
      <c r="Y129" s="706"/>
      <c r="Z129" s="706"/>
      <c r="AA129" s="706"/>
      <c r="AB129" s="706"/>
      <c r="AC129" s="706"/>
      <c r="AD129" s="706"/>
      <c r="AE129" s="706"/>
      <c r="AF129" s="706"/>
      <c r="AG129" s="706"/>
      <c r="AH129" s="706"/>
      <c r="AI129" s="707"/>
      <c r="AJ129" s="706"/>
      <c r="AK129" s="706"/>
      <c r="AL129" s="706"/>
      <c r="AM129" s="706"/>
      <c r="AN129" s="706"/>
      <c r="AO129" s="706"/>
      <c r="AP129" s="706"/>
      <c r="AQ129" s="706"/>
      <c r="AR129" s="706"/>
      <c r="AS129" s="706"/>
      <c r="AT129" s="706"/>
      <c r="AU129" s="706"/>
      <c r="AV129" s="707"/>
    </row>
    <row r="130" spans="1:48" ht="16.5" customHeight="1">
      <c r="A130" s="21"/>
      <c r="B130" s="21"/>
      <c r="C130" s="705"/>
      <c r="D130" s="706"/>
      <c r="E130" s="706"/>
      <c r="F130" s="706"/>
      <c r="G130" s="706"/>
      <c r="H130" s="706"/>
      <c r="I130" s="706"/>
      <c r="J130" s="706"/>
      <c r="K130" s="706"/>
      <c r="L130" s="706"/>
      <c r="M130" s="706"/>
      <c r="N130" s="706"/>
      <c r="O130" s="706"/>
      <c r="P130" s="706"/>
      <c r="Q130" s="706"/>
      <c r="R130" s="706"/>
      <c r="S130" s="706"/>
      <c r="T130" s="706"/>
      <c r="U130" s="706"/>
      <c r="V130" s="706"/>
      <c r="W130" s="706"/>
      <c r="X130" s="706"/>
      <c r="Y130" s="706"/>
      <c r="Z130" s="706"/>
      <c r="AA130" s="706"/>
      <c r="AB130" s="706"/>
      <c r="AC130" s="706"/>
      <c r="AD130" s="706"/>
      <c r="AE130" s="706"/>
      <c r="AF130" s="706"/>
      <c r="AG130" s="706"/>
      <c r="AH130" s="706"/>
      <c r="AI130" s="707"/>
      <c r="AJ130" s="706"/>
      <c r="AK130" s="706"/>
      <c r="AL130" s="706"/>
      <c r="AM130" s="706"/>
      <c r="AN130" s="706"/>
      <c r="AO130" s="706"/>
      <c r="AP130" s="706"/>
      <c r="AQ130" s="706"/>
      <c r="AR130" s="706"/>
      <c r="AS130" s="706"/>
      <c r="AT130" s="706"/>
      <c r="AU130" s="706"/>
      <c r="AV130" s="707"/>
    </row>
    <row r="131" spans="1:48" ht="16.5" customHeight="1">
      <c r="A131" s="21"/>
      <c r="B131" s="21"/>
      <c r="C131" s="705"/>
      <c r="D131" s="706"/>
      <c r="E131" s="706"/>
      <c r="F131" s="706"/>
      <c r="G131" s="706"/>
      <c r="H131" s="706"/>
      <c r="I131" s="706"/>
      <c r="J131" s="706"/>
      <c r="K131" s="706"/>
      <c r="L131" s="706"/>
      <c r="M131" s="706"/>
      <c r="N131" s="706"/>
      <c r="O131" s="706"/>
      <c r="P131" s="706"/>
      <c r="Q131" s="706"/>
      <c r="R131" s="706"/>
      <c r="S131" s="706"/>
      <c r="T131" s="706"/>
      <c r="U131" s="706"/>
      <c r="V131" s="706"/>
      <c r="W131" s="706"/>
      <c r="X131" s="706"/>
      <c r="Y131" s="706"/>
      <c r="Z131" s="706"/>
      <c r="AA131" s="706"/>
      <c r="AB131" s="706"/>
      <c r="AC131" s="706"/>
      <c r="AD131" s="706"/>
      <c r="AE131" s="706"/>
      <c r="AF131" s="706"/>
      <c r="AG131" s="706"/>
      <c r="AH131" s="706"/>
      <c r="AI131" s="707"/>
      <c r="AJ131" s="706"/>
      <c r="AK131" s="706"/>
      <c r="AL131" s="706"/>
      <c r="AM131" s="706"/>
      <c r="AN131" s="706"/>
      <c r="AO131" s="706"/>
      <c r="AP131" s="706"/>
      <c r="AQ131" s="706"/>
      <c r="AR131" s="706"/>
      <c r="AS131" s="706"/>
      <c r="AT131" s="706"/>
      <c r="AU131" s="706"/>
      <c r="AV131" s="707"/>
    </row>
    <row r="132" spans="1:48" ht="16.5" customHeight="1">
      <c r="A132" s="21"/>
      <c r="B132" s="21"/>
      <c r="C132" s="705"/>
      <c r="D132" s="706"/>
      <c r="E132" s="706"/>
      <c r="F132" s="706"/>
      <c r="G132" s="706"/>
      <c r="H132" s="706"/>
      <c r="I132" s="706"/>
      <c r="J132" s="706"/>
      <c r="K132" s="706"/>
      <c r="L132" s="706"/>
      <c r="M132" s="706"/>
      <c r="N132" s="706"/>
      <c r="O132" s="706"/>
      <c r="P132" s="706"/>
      <c r="Q132" s="706"/>
      <c r="R132" s="706"/>
      <c r="S132" s="706"/>
      <c r="T132" s="706"/>
      <c r="U132" s="706"/>
      <c r="V132" s="706"/>
      <c r="W132" s="706"/>
      <c r="X132" s="706"/>
      <c r="Y132" s="706"/>
      <c r="Z132" s="706"/>
      <c r="AA132" s="706"/>
      <c r="AB132" s="706"/>
      <c r="AC132" s="706"/>
      <c r="AD132" s="706"/>
      <c r="AE132" s="706"/>
      <c r="AF132" s="706"/>
      <c r="AG132" s="706"/>
      <c r="AH132" s="706"/>
      <c r="AI132" s="707"/>
      <c r="AJ132" s="706"/>
      <c r="AK132" s="706"/>
      <c r="AL132" s="706"/>
      <c r="AM132" s="706"/>
      <c r="AN132" s="706"/>
      <c r="AO132" s="706"/>
      <c r="AP132" s="706"/>
      <c r="AQ132" s="706"/>
      <c r="AR132" s="706"/>
      <c r="AS132" s="706"/>
      <c r="AT132" s="706"/>
      <c r="AU132" s="706"/>
      <c r="AV132" s="707"/>
    </row>
    <row r="133" spans="1:48" ht="16.5" customHeight="1">
      <c r="A133" s="21"/>
      <c r="B133" s="21"/>
      <c r="C133" s="705"/>
      <c r="D133" s="706"/>
      <c r="E133" s="706"/>
      <c r="F133" s="706"/>
      <c r="G133" s="706"/>
      <c r="H133" s="706"/>
      <c r="I133" s="706"/>
      <c r="J133" s="706"/>
      <c r="K133" s="706"/>
      <c r="L133" s="706"/>
      <c r="M133" s="706"/>
      <c r="N133" s="706"/>
      <c r="O133" s="706"/>
      <c r="P133" s="706"/>
      <c r="Q133" s="706"/>
      <c r="R133" s="706"/>
      <c r="S133" s="706"/>
      <c r="T133" s="706"/>
      <c r="U133" s="706"/>
      <c r="V133" s="706"/>
      <c r="W133" s="706"/>
      <c r="X133" s="706"/>
      <c r="Y133" s="706"/>
      <c r="Z133" s="706"/>
      <c r="AA133" s="706"/>
      <c r="AB133" s="706"/>
      <c r="AC133" s="706"/>
      <c r="AD133" s="706"/>
      <c r="AE133" s="706"/>
      <c r="AF133" s="706"/>
      <c r="AG133" s="706"/>
      <c r="AH133" s="706"/>
      <c r="AI133" s="707"/>
      <c r="AJ133" s="706"/>
      <c r="AK133" s="706"/>
      <c r="AL133" s="706"/>
      <c r="AM133" s="706"/>
      <c r="AN133" s="706"/>
      <c r="AO133" s="706"/>
      <c r="AP133" s="706"/>
      <c r="AQ133" s="706"/>
      <c r="AR133" s="706"/>
      <c r="AS133" s="706"/>
      <c r="AT133" s="706"/>
      <c r="AU133" s="706"/>
      <c r="AV133" s="707"/>
    </row>
    <row r="134" spans="1:48" ht="33" customHeight="1">
      <c r="A134" s="21"/>
      <c r="B134" s="21"/>
      <c r="C134" s="708"/>
      <c r="D134" s="709"/>
      <c r="E134" s="709"/>
      <c r="F134" s="709"/>
      <c r="G134" s="709"/>
      <c r="H134" s="709"/>
      <c r="I134" s="709"/>
      <c r="J134" s="709"/>
      <c r="K134" s="709"/>
      <c r="L134" s="709"/>
      <c r="M134" s="709"/>
      <c r="N134" s="709"/>
      <c r="O134" s="709"/>
      <c r="P134" s="709"/>
      <c r="Q134" s="709"/>
      <c r="R134" s="709"/>
      <c r="S134" s="709"/>
      <c r="T134" s="709"/>
      <c r="U134" s="709"/>
      <c r="V134" s="709"/>
      <c r="W134" s="709"/>
      <c r="X134" s="709"/>
      <c r="Y134" s="709"/>
      <c r="Z134" s="709"/>
      <c r="AA134" s="709"/>
      <c r="AB134" s="709"/>
      <c r="AC134" s="709"/>
      <c r="AD134" s="709"/>
      <c r="AE134" s="709"/>
      <c r="AF134" s="709"/>
      <c r="AG134" s="709"/>
      <c r="AH134" s="709"/>
      <c r="AI134" s="710"/>
      <c r="AJ134" s="709"/>
      <c r="AK134" s="709"/>
      <c r="AL134" s="709"/>
      <c r="AM134" s="709"/>
      <c r="AN134" s="709"/>
      <c r="AO134" s="709"/>
      <c r="AP134" s="709"/>
      <c r="AQ134" s="709"/>
      <c r="AR134" s="709"/>
      <c r="AS134" s="709"/>
      <c r="AT134" s="709"/>
      <c r="AU134" s="709"/>
      <c r="AV134" s="710"/>
    </row>
    <row r="135" spans="1:48" ht="20.25" customHeight="1">
      <c r="A135" s="325">
        <f>+A120+1</f>
        <v>10</v>
      </c>
      <c r="B135" s="346"/>
      <c r="C135" s="93" t="s">
        <v>213</v>
      </c>
      <c r="D135" s="93"/>
      <c r="E135" s="21"/>
      <c r="F135" s="97"/>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row>
    <row r="136" spans="1:48" ht="20.25" customHeight="1">
      <c r="A136" s="325"/>
      <c r="B136" s="346"/>
      <c r="C136" s="117" t="str">
        <f>+D141</f>
        <v xml:space="preserve">Departamento N° </v>
      </c>
      <c r="D136" s="93"/>
      <c r="E136" s="21"/>
      <c r="F136" s="97"/>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row>
    <row r="137" spans="1:48" ht="39" customHeight="1">
      <c r="A137" s="21"/>
      <c r="B137" s="21"/>
      <c r="C137" s="692"/>
      <c r="D137" s="692"/>
      <c r="E137" s="692"/>
      <c r="F137" s="692"/>
      <c r="G137" s="692"/>
      <c r="H137" s="692"/>
      <c r="I137" s="692"/>
      <c r="J137" s="692"/>
      <c r="K137" s="692"/>
      <c r="L137" s="692"/>
      <c r="M137" s="692"/>
      <c r="N137" s="692"/>
      <c r="O137" s="692"/>
      <c r="P137" s="692"/>
      <c r="Q137" s="692"/>
      <c r="R137" s="692"/>
      <c r="S137" s="692"/>
      <c r="T137" s="692"/>
      <c r="U137" s="693"/>
      <c r="V137" s="693"/>
      <c r="W137" s="693"/>
      <c r="X137" s="693"/>
      <c r="Y137" s="693"/>
      <c r="Z137" s="693"/>
      <c r="AA137" s="693"/>
      <c r="AB137" s="693"/>
      <c r="AC137" s="693"/>
      <c r="AD137" s="693"/>
      <c r="AE137" s="693"/>
      <c r="AF137" s="693"/>
      <c r="AG137" s="693"/>
      <c r="AH137" s="693"/>
      <c r="AI137" s="693"/>
      <c r="AJ137" s="693"/>
      <c r="AK137" s="693"/>
      <c r="AL137" s="693"/>
      <c r="AM137" s="693"/>
      <c r="AN137" s="693"/>
      <c r="AO137" s="693"/>
      <c r="AP137" s="693"/>
      <c r="AQ137" s="693"/>
      <c r="AR137" s="693"/>
      <c r="AS137" s="693"/>
      <c r="AT137" s="693"/>
      <c r="AU137" s="693"/>
      <c r="AV137" s="693"/>
    </row>
    <row r="138" spans="1:48" ht="21" customHeight="1">
      <c r="A138" s="666">
        <f>1+A135</f>
        <v>11</v>
      </c>
      <c r="B138" s="667"/>
      <c r="C138" s="93" t="s">
        <v>214</v>
      </c>
      <c r="D138" s="91"/>
      <c r="E138" s="21"/>
      <c r="F138" s="97"/>
      <c r="G138" s="21"/>
      <c r="H138" s="21"/>
      <c r="I138" s="21"/>
      <c r="J138" s="21"/>
      <c r="K138" s="21"/>
      <c r="L138" s="21"/>
      <c r="M138" s="21"/>
      <c r="N138" s="21"/>
      <c r="P138" s="21"/>
      <c r="Q138" s="21"/>
      <c r="R138" s="21"/>
      <c r="S138" s="21"/>
      <c r="T138" s="21"/>
      <c r="U138" s="21"/>
      <c r="V138" s="56"/>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row>
    <row r="139" spans="1:48" ht="5.0999999999999996" customHeight="1">
      <c r="A139" s="94"/>
      <c r="B139" s="95"/>
      <c r="C139" s="93"/>
      <c r="D139" s="91"/>
      <c r="E139" s="21"/>
      <c r="F139" s="97"/>
      <c r="G139" s="21"/>
      <c r="H139" s="21"/>
      <c r="I139" s="21"/>
      <c r="J139" s="21"/>
      <c r="K139" s="21"/>
      <c r="L139" s="21"/>
      <c r="M139" s="21"/>
      <c r="N139" s="21"/>
      <c r="O139" s="21"/>
      <c r="P139" s="21"/>
      <c r="Q139" s="21"/>
      <c r="R139" s="21"/>
      <c r="S139" s="21"/>
      <c r="T139" s="21"/>
      <c r="U139" s="21"/>
      <c r="V139" s="56"/>
      <c r="W139" s="21"/>
      <c r="X139" s="21"/>
      <c r="Y139" s="21"/>
      <c r="Z139" s="21"/>
      <c r="AA139" s="21"/>
      <c r="AB139" s="21"/>
      <c r="AC139" s="21"/>
      <c r="AD139" s="21"/>
      <c r="AE139" s="21"/>
      <c r="AF139" s="21"/>
      <c r="AG139" s="21"/>
      <c r="AH139" s="21"/>
      <c r="AI139" s="21"/>
      <c r="AJ139" s="21"/>
      <c r="AK139" s="21"/>
      <c r="AL139" s="694"/>
      <c r="AM139" s="694"/>
      <c r="AN139" s="694"/>
      <c r="AO139" s="694"/>
      <c r="AP139" s="694"/>
      <c r="AQ139" s="694"/>
      <c r="AR139" s="694"/>
      <c r="AS139" s="21"/>
      <c r="AT139" s="21"/>
      <c r="AU139" s="21"/>
      <c r="AV139" s="21"/>
    </row>
    <row r="140" spans="1:48" ht="25.5" customHeight="1">
      <c r="A140" s="94"/>
      <c r="B140" s="95"/>
      <c r="C140" s="695" t="s">
        <v>215</v>
      </c>
      <c r="D140" s="696"/>
      <c r="E140" s="696"/>
      <c r="F140" s="696"/>
      <c r="G140" s="696"/>
      <c r="H140" s="696"/>
      <c r="I140" s="696"/>
      <c r="J140" s="696"/>
      <c r="K140" s="696"/>
      <c r="L140" s="696"/>
      <c r="M140" s="696"/>
      <c r="N140" s="696"/>
      <c r="O140" s="696"/>
      <c r="P140" s="696"/>
      <c r="Q140" s="696"/>
      <c r="R140" s="696"/>
      <c r="S140" s="696"/>
      <c r="T140" s="696"/>
      <c r="U140" s="347" t="s">
        <v>216</v>
      </c>
      <c r="V140" s="348"/>
      <c r="W140" s="348"/>
      <c r="X140" s="348"/>
      <c r="Y140" s="348"/>
      <c r="Z140" s="348"/>
      <c r="AA140" s="348"/>
      <c r="AB140" s="388" t="s">
        <v>217</v>
      </c>
      <c r="AC140" s="388"/>
      <c r="AD140" s="388"/>
      <c r="AE140" s="388"/>
      <c r="AF140" s="388"/>
      <c r="AG140" s="388"/>
      <c r="AH140" s="388"/>
      <c r="AI140" s="388" t="s">
        <v>218</v>
      </c>
      <c r="AJ140" s="388"/>
      <c r="AK140" s="388"/>
      <c r="AL140" s="388"/>
      <c r="AM140" s="388"/>
      <c r="AN140" s="388"/>
      <c r="AO140" s="697"/>
      <c r="AP140" s="21"/>
      <c r="AQ140" s="21"/>
      <c r="AR140" s="21"/>
      <c r="AS140" s="21"/>
      <c r="AT140" s="21"/>
      <c r="AU140" s="21"/>
      <c r="AV140" s="21"/>
    </row>
    <row r="141" spans="1:48" ht="25.5" customHeight="1">
      <c r="A141" s="21"/>
      <c r="B141" s="21"/>
      <c r="C141" s="118" t="s">
        <v>219</v>
      </c>
      <c r="D141" s="530" t="str">
        <f>+C104</f>
        <v xml:space="preserve">Departamento N° </v>
      </c>
      <c r="E141" s="530"/>
      <c r="F141" s="530"/>
      <c r="G141" s="530"/>
      <c r="H141" s="530"/>
      <c r="I141" s="530"/>
      <c r="J141" s="530"/>
      <c r="K141" s="530"/>
      <c r="L141" s="530"/>
      <c r="M141" s="530"/>
      <c r="N141" s="530"/>
      <c r="O141" s="530"/>
      <c r="P141" s="530"/>
      <c r="Q141" s="530"/>
      <c r="R141" s="530"/>
      <c r="S141" s="530"/>
      <c r="T141" s="530"/>
      <c r="U141" s="684"/>
      <c r="V141" s="685"/>
      <c r="W141" s="685"/>
      <c r="X141" s="685"/>
      <c r="Y141" s="685"/>
      <c r="Z141" s="119" t="s">
        <v>195</v>
      </c>
      <c r="AA141" s="21"/>
      <c r="AB141" s="684"/>
      <c r="AC141" s="685"/>
      <c r="AD141" s="685"/>
      <c r="AE141" s="685"/>
      <c r="AF141" s="685"/>
      <c r="AG141" s="120" t="s">
        <v>195</v>
      </c>
      <c r="AH141" s="121"/>
      <c r="AI141" s="686" t="s">
        <v>220</v>
      </c>
      <c r="AJ141" s="687"/>
      <c r="AK141" s="687"/>
      <c r="AL141" s="687"/>
      <c r="AM141" s="687"/>
      <c r="AN141" s="687"/>
      <c r="AO141" s="688"/>
      <c r="AP141" s="21"/>
      <c r="AQ141" s="21"/>
      <c r="AR141" s="21"/>
      <c r="AS141" s="21"/>
      <c r="AT141" s="21"/>
      <c r="AU141" s="21"/>
      <c r="AV141" s="21"/>
    </row>
    <row r="142" spans="1:48" ht="13.5" thickBot="1">
      <c r="A142" s="21"/>
      <c r="B142" s="21"/>
      <c r="C142" s="122" t="s">
        <v>221</v>
      </c>
      <c r="D142" s="123"/>
      <c r="E142" s="123"/>
      <c r="F142" s="123"/>
      <c r="G142" s="123"/>
      <c r="H142" s="123"/>
      <c r="I142" s="123"/>
      <c r="J142" s="123"/>
      <c r="K142" s="123"/>
      <c r="L142" s="123"/>
      <c r="M142" s="123"/>
      <c r="N142" s="123"/>
      <c r="O142" s="123"/>
      <c r="P142" s="123"/>
      <c r="Q142" s="123"/>
      <c r="R142" s="123"/>
      <c r="S142" s="123"/>
      <c r="T142" s="123"/>
      <c r="U142" s="689">
        <f>+SUM(U141:Y141)</f>
        <v>0</v>
      </c>
      <c r="V142" s="690"/>
      <c r="W142" s="690"/>
      <c r="X142" s="690"/>
      <c r="Y142" s="690"/>
      <c r="Z142" s="123" t="s">
        <v>195</v>
      </c>
      <c r="AA142" s="123"/>
      <c r="AB142" s="689">
        <f>+SUM(AB141:AF141)</f>
        <v>0</v>
      </c>
      <c r="AC142" s="690"/>
      <c r="AD142" s="690"/>
      <c r="AE142" s="690"/>
      <c r="AF142" s="690"/>
      <c r="AG142" s="124" t="s">
        <v>195</v>
      </c>
      <c r="AH142" s="125"/>
      <c r="AI142" s="691"/>
      <c r="AJ142" s="691"/>
      <c r="AK142" s="691"/>
      <c r="AL142" s="691"/>
      <c r="AM142" s="689"/>
      <c r="AN142" s="123"/>
      <c r="AO142" s="126"/>
      <c r="AP142" s="21"/>
      <c r="AQ142" s="21"/>
      <c r="AR142" s="21"/>
      <c r="AS142" s="21"/>
      <c r="AT142" s="21"/>
      <c r="AU142" s="21"/>
      <c r="AV142" s="21"/>
    </row>
    <row r="143" spans="1:48" ht="25.5" customHeight="1">
      <c r="A143" s="21"/>
      <c r="B143" s="21"/>
      <c r="C143" s="127" t="s">
        <v>222</v>
      </c>
      <c r="D143" s="675" t="str">
        <f>+C105</f>
        <v xml:space="preserve">Estacionamiento N° </v>
      </c>
      <c r="E143" s="675"/>
      <c r="F143" s="675"/>
      <c r="G143" s="675"/>
      <c r="H143" s="675"/>
      <c r="I143" s="675"/>
      <c r="J143" s="675"/>
      <c r="K143" s="675"/>
      <c r="L143" s="675"/>
      <c r="M143" s="675"/>
      <c r="N143" s="675"/>
      <c r="O143" s="675"/>
      <c r="P143" s="675"/>
      <c r="Q143" s="675"/>
      <c r="R143" s="675"/>
      <c r="S143" s="675"/>
      <c r="T143" s="676"/>
      <c r="U143" s="677"/>
      <c r="V143" s="678"/>
      <c r="W143" s="678"/>
      <c r="X143" s="678"/>
      <c r="Y143" s="678"/>
      <c r="Z143" s="128" t="str">
        <f>+Z141</f>
        <v>m2</v>
      </c>
      <c r="AA143" s="129"/>
      <c r="AB143" s="677"/>
      <c r="AC143" s="678"/>
      <c r="AD143" s="678"/>
      <c r="AE143" s="678"/>
      <c r="AF143" s="678"/>
      <c r="AG143" s="130" t="s">
        <v>195</v>
      </c>
      <c r="AH143" s="131"/>
      <c r="AI143" s="679" t="s">
        <v>220</v>
      </c>
      <c r="AJ143" s="680"/>
      <c r="AK143" s="680"/>
      <c r="AL143" s="680"/>
      <c r="AM143" s="680"/>
      <c r="AN143" s="680"/>
      <c r="AO143" s="681"/>
      <c r="AP143" s="21"/>
      <c r="AQ143" s="21"/>
      <c r="AR143" s="21"/>
      <c r="AS143" s="21"/>
      <c r="AT143" s="21"/>
      <c r="AU143" s="21"/>
      <c r="AV143" s="21"/>
    </row>
    <row r="144" spans="1:48" ht="25.5" customHeight="1">
      <c r="A144" s="21"/>
      <c r="B144" s="21"/>
      <c r="C144" s="132" t="s">
        <v>223</v>
      </c>
      <c r="D144" s="682" t="str">
        <f>+C106</f>
        <v xml:space="preserve">Depósito N° </v>
      </c>
      <c r="E144" s="682"/>
      <c r="F144" s="682"/>
      <c r="G144" s="682"/>
      <c r="H144" s="682"/>
      <c r="I144" s="682"/>
      <c r="J144" s="682"/>
      <c r="K144" s="682"/>
      <c r="L144" s="682"/>
      <c r="M144" s="682"/>
      <c r="N144" s="682"/>
      <c r="O144" s="682"/>
      <c r="P144" s="682"/>
      <c r="Q144" s="682"/>
      <c r="R144" s="682"/>
      <c r="S144" s="682"/>
      <c r="T144" s="683"/>
      <c r="U144" s="684"/>
      <c r="V144" s="685"/>
      <c r="W144" s="685"/>
      <c r="X144" s="685"/>
      <c r="Y144" s="685"/>
      <c r="Z144" s="133" t="str">
        <f>+Z142</f>
        <v>m2</v>
      </c>
      <c r="AA144" s="134"/>
      <c r="AB144" s="684"/>
      <c r="AC144" s="685"/>
      <c r="AD144" s="685"/>
      <c r="AE144" s="685"/>
      <c r="AF144" s="685"/>
      <c r="AG144" s="135" t="s">
        <v>195</v>
      </c>
      <c r="AH144" s="136"/>
      <c r="AI144" s="686" t="s">
        <v>220</v>
      </c>
      <c r="AJ144" s="687"/>
      <c r="AK144" s="687"/>
      <c r="AL144" s="687"/>
      <c r="AM144" s="687"/>
      <c r="AN144" s="687"/>
      <c r="AO144" s="688"/>
      <c r="AP144" s="21"/>
      <c r="AQ144" s="21"/>
      <c r="AR144" s="21"/>
      <c r="AS144" s="21"/>
      <c r="AT144" s="21"/>
      <c r="AU144" s="21"/>
      <c r="AV144" s="21"/>
    </row>
    <row r="145" spans="1:48" ht="21" customHeight="1">
      <c r="A145" s="666">
        <f>+A138+1</f>
        <v>12</v>
      </c>
      <c r="B145" s="667"/>
      <c r="C145" s="93" t="s">
        <v>224</v>
      </c>
      <c r="D145" s="93"/>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row>
    <row r="146" spans="1:48" ht="3"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row>
    <row r="147" spans="1:48" ht="87" customHeight="1">
      <c r="A147" s="21"/>
      <c r="B147" s="21"/>
      <c r="C147" s="668"/>
      <c r="D147" s="669"/>
      <c r="E147" s="669"/>
      <c r="F147" s="669"/>
      <c r="G147" s="669"/>
      <c r="H147" s="669"/>
      <c r="I147" s="669"/>
      <c r="J147" s="669"/>
      <c r="K147" s="669"/>
      <c r="L147" s="669"/>
      <c r="M147" s="669"/>
      <c r="N147" s="669"/>
      <c r="O147" s="669"/>
      <c r="P147" s="669"/>
      <c r="Q147" s="669"/>
      <c r="R147" s="669"/>
      <c r="S147" s="669"/>
      <c r="T147" s="669"/>
      <c r="U147" s="669"/>
      <c r="V147" s="669"/>
      <c r="W147" s="669"/>
      <c r="X147" s="669"/>
      <c r="Y147" s="669"/>
      <c r="Z147" s="669"/>
      <c r="AA147" s="669"/>
      <c r="AB147" s="669"/>
      <c r="AC147" s="669"/>
      <c r="AD147" s="669"/>
      <c r="AE147" s="669"/>
      <c r="AF147" s="669"/>
      <c r="AG147" s="669"/>
      <c r="AH147" s="669"/>
      <c r="AI147" s="669"/>
      <c r="AJ147" s="669"/>
      <c r="AK147" s="669"/>
      <c r="AL147" s="670"/>
      <c r="AM147" s="671" t="s">
        <v>225</v>
      </c>
      <c r="AN147" s="672"/>
      <c r="AO147" s="672"/>
      <c r="AP147" s="672"/>
      <c r="AQ147" s="673"/>
      <c r="AR147" s="672" t="s">
        <v>226</v>
      </c>
      <c r="AS147" s="672"/>
      <c r="AT147" s="672"/>
      <c r="AU147" s="672"/>
      <c r="AV147" s="674"/>
    </row>
    <row r="148" spans="1:48" ht="15" customHeight="1">
      <c r="A148" s="21"/>
      <c r="B148" s="21"/>
      <c r="C148" s="137" t="s">
        <v>227</v>
      </c>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655"/>
      <c r="AN148" s="655"/>
      <c r="AO148" s="656"/>
      <c r="AP148" s="656"/>
      <c r="AQ148" s="656"/>
      <c r="AR148" s="659"/>
      <c r="AS148" s="655"/>
      <c r="AT148" s="656"/>
      <c r="AU148" s="656"/>
      <c r="AV148" s="660"/>
    </row>
    <row r="149" spans="1:48" ht="27.75" customHeight="1">
      <c r="A149" s="21"/>
      <c r="B149" s="21"/>
      <c r="C149" s="663"/>
      <c r="D149" s="664"/>
      <c r="E149" s="664"/>
      <c r="F149" s="664"/>
      <c r="G149" s="664"/>
      <c r="H149" s="664"/>
      <c r="I149" s="664"/>
      <c r="J149" s="664"/>
      <c r="K149" s="664"/>
      <c r="L149" s="664"/>
      <c r="M149" s="664"/>
      <c r="N149" s="664"/>
      <c r="O149" s="664"/>
      <c r="P149" s="664"/>
      <c r="Q149" s="664"/>
      <c r="R149" s="664"/>
      <c r="S149" s="664"/>
      <c r="T149" s="664"/>
      <c r="U149" s="664"/>
      <c r="V149" s="664"/>
      <c r="W149" s="664"/>
      <c r="X149" s="664"/>
      <c r="Y149" s="664"/>
      <c r="Z149" s="664"/>
      <c r="AA149" s="664"/>
      <c r="AB149" s="664"/>
      <c r="AC149" s="664"/>
      <c r="AD149" s="664"/>
      <c r="AE149" s="664"/>
      <c r="AF149" s="664"/>
      <c r="AG149" s="664"/>
      <c r="AH149" s="664"/>
      <c r="AI149" s="664"/>
      <c r="AJ149" s="664"/>
      <c r="AK149" s="664"/>
      <c r="AL149" s="665"/>
      <c r="AM149" s="657"/>
      <c r="AN149" s="657"/>
      <c r="AO149" s="658"/>
      <c r="AP149" s="658"/>
      <c r="AQ149" s="658"/>
      <c r="AR149" s="661"/>
      <c r="AS149" s="657"/>
      <c r="AT149" s="658"/>
      <c r="AU149" s="658"/>
      <c r="AV149" s="662"/>
    </row>
    <row r="150" spans="1:48" ht="15" customHeight="1">
      <c r="A150" s="21"/>
      <c r="B150" s="21"/>
      <c r="C150" s="652" t="s">
        <v>228</v>
      </c>
      <c r="D150" s="653"/>
      <c r="E150" s="653"/>
      <c r="F150" s="653"/>
      <c r="G150" s="653"/>
      <c r="H150" s="653"/>
      <c r="I150" s="653"/>
      <c r="J150" s="653"/>
      <c r="K150" s="653"/>
      <c r="L150" s="653"/>
      <c r="M150" s="653"/>
      <c r="N150" s="653"/>
      <c r="O150" s="653"/>
      <c r="P150" s="653"/>
      <c r="Q150" s="653"/>
      <c r="R150" s="653"/>
      <c r="S150" s="653"/>
      <c r="T150" s="653"/>
      <c r="U150" s="653"/>
      <c r="V150" s="653"/>
      <c r="W150" s="653"/>
      <c r="X150" s="653"/>
      <c r="Y150" s="653"/>
      <c r="Z150" s="653"/>
      <c r="AA150" s="653"/>
      <c r="AB150" s="653"/>
      <c r="AC150" s="653"/>
      <c r="AD150" s="653"/>
      <c r="AE150" s="653"/>
      <c r="AF150" s="653"/>
      <c r="AG150" s="653"/>
      <c r="AH150" s="653"/>
      <c r="AI150" s="653"/>
      <c r="AJ150" s="653"/>
      <c r="AK150" s="653"/>
      <c r="AL150" s="654"/>
      <c r="AM150" s="655"/>
      <c r="AN150" s="655"/>
      <c r="AO150" s="656"/>
      <c r="AP150" s="656"/>
      <c r="AQ150" s="656"/>
      <c r="AR150" s="659"/>
      <c r="AS150" s="655"/>
      <c r="AT150" s="656"/>
      <c r="AU150" s="656"/>
      <c r="AV150" s="660"/>
    </row>
    <row r="151" spans="1:48" ht="16.5" customHeight="1">
      <c r="A151" s="21"/>
      <c r="B151" s="21"/>
      <c r="C151" s="663"/>
      <c r="D151" s="664"/>
      <c r="E151" s="664"/>
      <c r="F151" s="664"/>
      <c r="G151" s="664"/>
      <c r="H151" s="664"/>
      <c r="I151" s="664"/>
      <c r="J151" s="664"/>
      <c r="K151" s="664"/>
      <c r="L151" s="664"/>
      <c r="M151" s="664"/>
      <c r="N151" s="664"/>
      <c r="O151" s="664"/>
      <c r="P151" s="664"/>
      <c r="Q151" s="664"/>
      <c r="R151" s="664"/>
      <c r="S151" s="664"/>
      <c r="T151" s="664"/>
      <c r="U151" s="664"/>
      <c r="V151" s="664"/>
      <c r="W151" s="664"/>
      <c r="X151" s="664"/>
      <c r="Y151" s="664"/>
      <c r="Z151" s="664"/>
      <c r="AA151" s="664"/>
      <c r="AB151" s="664"/>
      <c r="AC151" s="664"/>
      <c r="AD151" s="664"/>
      <c r="AE151" s="664"/>
      <c r="AF151" s="664"/>
      <c r="AG151" s="664"/>
      <c r="AH151" s="664"/>
      <c r="AI151" s="664"/>
      <c r="AJ151" s="664"/>
      <c r="AK151" s="664"/>
      <c r="AL151" s="665"/>
      <c r="AM151" s="657"/>
      <c r="AN151" s="657"/>
      <c r="AO151" s="658"/>
      <c r="AP151" s="658"/>
      <c r="AQ151" s="658"/>
      <c r="AR151" s="661"/>
      <c r="AS151" s="657"/>
      <c r="AT151" s="658"/>
      <c r="AU151" s="658"/>
      <c r="AV151" s="662"/>
    </row>
    <row r="152" spans="1:48" ht="15" customHeight="1">
      <c r="A152" s="21"/>
      <c r="B152" s="21"/>
      <c r="C152" s="652" t="s">
        <v>229</v>
      </c>
      <c r="D152" s="653"/>
      <c r="E152" s="653"/>
      <c r="F152" s="653"/>
      <c r="G152" s="653"/>
      <c r="H152" s="653"/>
      <c r="I152" s="653"/>
      <c r="J152" s="653"/>
      <c r="K152" s="653"/>
      <c r="L152" s="653"/>
      <c r="M152" s="653"/>
      <c r="N152" s="653"/>
      <c r="O152" s="653"/>
      <c r="P152" s="653"/>
      <c r="Q152" s="653"/>
      <c r="R152" s="653"/>
      <c r="S152" s="653"/>
      <c r="T152" s="653"/>
      <c r="U152" s="653"/>
      <c r="V152" s="653"/>
      <c r="W152" s="653"/>
      <c r="X152" s="653"/>
      <c r="Y152" s="653"/>
      <c r="Z152" s="653"/>
      <c r="AA152" s="653"/>
      <c r="AB152" s="653"/>
      <c r="AC152" s="653"/>
      <c r="AD152" s="653"/>
      <c r="AE152" s="653"/>
      <c r="AF152" s="653"/>
      <c r="AG152" s="653"/>
      <c r="AH152" s="653"/>
      <c r="AI152" s="653"/>
      <c r="AJ152" s="653"/>
      <c r="AK152" s="653"/>
      <c r="AL152" s="654"/>
      <c r="AM152" s="655"/>
      <c r="AN152" s="655"/>
      <c r="AO152" s="656"/>
      <c r="AP152" s="656"/>
      <c r="AQ152" s="656"/>
      <c r="AR152" s="659"/>
      <c r="AS152" s="655"/>
      <c r="AT152" s="656"/>
      <c r="AU152" s="656"/>
      <c r="AV152" s="660"/>
    </row>
    <row r="153" spans="1:48" ht="15" customHeight="1">
      <c r="A153" s="21"/>
      <c r="B153" s="21"/>
      <c r="C153" s="663"/>
      <c r="D153" s="664"/>
      <c r="E153" s="664"/>
      <c r="F153" s="664"/>
      <c r="G153" s="664"/>
      <c r="H153" s="664"/>
      <c r="I153" s="664"/>
      <c r="J153" s="664"/>
      <c r="K153" s="664"/>
      <c r="L153" s="664"/>
      <c r="M153" s="664"/>
      <c r="N153" s="664"/>
      <c r="O153" s="664"/>
      <c r="P153" s="664"/>
      <c r="Q153" s="664"/>
      <c r="R153" s="664"/>
      <c r="S153" s="664"/>
      <c r="T153" s="664"/>
      <c r="U153" s="664"/>
      <c r="V153" s="664"/>
      <c r="W153" s="664"/>
      <c r="X153" s="664"/>
      <c r="Y153" s="664"/>
      <c r="Z153" s="664"/>
      <c r="AA153" s="664"/>
      <c r="AB153" s="664"/>
      <c r="AC153" s="664"/>
      <c r="AD153" s="664"/>
      <c r="AE153" s="664"/>
      <c r="AF153" s="664"/>
      <c r="AG153" s="664"/>
      <c r="AH153" s="664"/>
      <c r="AI153" s="664"/>
      <c r="AJ153" s="664"/>
      <c r="AK153" s="664"/>
      <c r="AL153" s="665"/>
      <c r="AM153" s="657"/>
      <c r="AN153" s="657"/>
      <c r="AO153" s="658"/>
      <c r="AP153" s="658"/>
      <c r="AQ153" s="658"/>
      <c r="AR153" s="661"/>
      <c r="AS153" s="657"/>
      <c r="AT153" s="658"/>
      <c r="AU153" s="658"/>
      <c r="AV153" s="662"/>
    </row>
    <row r="154" spans="1:48" ht="15" customHeight="1">
      <c r="A154" s="21"/>
      <c r="B154" s="21"/>
      <c r="C154" s="652" t="s">
        <v>230</v>
      </c>
      <c r="D154" s="653"/>
      <c r="E154" s="653"/>
      <c r="F154" s="653"/>
      <c r="G154" s="653"/>
      <c r="H154" s="653"/>
      <c r="I154" s="653"/>
      <c r="J154" s="653"/>
      <c r="K154" s="653"/>
      <c r="L154" s="653"/>
      <c r="M154" s="653"/>
      <c r="N154" s="653"/>
      <c r="O154" s="653"/>
      <c r="P154" s="653"/>
      <c r="Q154" s="653"/>
      <c r="R154" s="653"/>
      <c r="S154" s="653"/>
      <c r="T154" s="653"/>
      <c r="U154" s="653"/>
      <c r="V154" s="653"/>
      <c r="W154" s="653"/>
      <c r="X154" s="653"/>
      <c r="Y154" s="653"/>
      <c r="Z154" s="653"/>
      <c r="AA154" s="653"/>
      <c r="AB154" s="653"/>
      <c r="AC154" s="653"/>
      <c r="AD154" s="653"/>
      <c r="AE154" s="653"/>
      <c r="AF154" s="653"/>
      <c r="AG154" s="653"/>
      <c r="AH154" s="653"/>
      <c r="AI154" s="653"/>
      <c r="AJ154" s="653"/>
      <c r="AK154" s="653"/>
      <c r="AL154" s="654"/>
      <c r="AM154" s="655"/>
      <c r="AN154" s="655"/>
      <c r="AO154" s="656"/>
      <c r="AP154" s="656"/>
      <c r="AQ154" s="656"/>
      <c r="AR154" s="659"/>
      <c r="AS154" s="655"/>
      <c r="AT154" s="656"/>
      <c r="AU154" s="656"/>
      <c r="AV154" s="660"/>
    </row>
    <row r="155" spans="1:48" ht="55.5" customHeight="1">
      <c r="A155" s="21"/>
      <c r="B155" s="21"/>
      <c r="C155" s="663"/>
      <c r="D155" s="664"/>
      <c r="E155" s="664"/>
      <c r="F155" s="664"/>
      <c r="G155" s="664"/>
      <c r="H155" s="664"/>
      <c r="I155" s="664"/>
      <c r="J155" s="664"/>
      <c r="K155" s="664"/>
      <c r="L155" s="664"/>
      <c r="M155" s="664"/>
      <c r="N155" s="664"/>
      <c r="O155" s="664"/>
      <c r="P155" s="664"/>
      <c r="Q155" s="664"/>
      <c r="R155" s="664"/>
      <c r="S155" s="664"/>
      <c r="T155" s="664"/>
      <c r="U155" s="664"/>
      <c r="V155" s="664"/>
      <c r="W155" s="664"/>
      <c r="X155" s="664"/>
      <c r="Y155" s="664"/>
      <c r="Z155" s="664"/>
      <c r="AA155" s="664"/>
      <c r="AB155" s="664"/>
      <c r="AC155" s="664"/>
      <c r="AD155" s="664"/>
      <c r="AE155" s="664"/>
      <c r="AF155" s="664"/>
      <c r="AG155" s="664"/>
      <c r="AH155" s="664"/>
      <c r="AI155" s="664"/>
      <c r="AJ155" s="664"/>
      <c r="AK155" s="664"/>
      <c r="AL155" s="665"/>
      <c r="AM155" s="657"/>
      <c r="AN155" s="657"/>
      <c r="AO155" s="658"/>
      <c r="AP155" s="658"/>
      <c r="AQ155" s="658"/>
      <c r="AR155" s="661"/>
      <c r="AS155" s="657"/>
      <c r="AT155" s="658"/>
      <c r="AU155" s="658"/>
      <c r="AV155" s="662"/>
    </row>
    <row r="156" spans="1:48" ht="15" customHeight="1">
      <c r="A156" s="21"/>
      <c r="B156" s="21"/>
      <c r="C156" s="652" t="s">
        <v>231</v>
      </c>
      <c r="D156" s="653"/>
      <c r="E156" s="653"/>
      <c r="F156" s="653"/>
      <c r="G156" s="653"/>
      <c r="H156" s="653"/>
      <c r="I156" s="653"/>
      <c r="J156" s="653"/>
      <c r="K156" s="653"/>
      <c r="L156" s="653"/>
      <c r="M156" s="653"/>
      <c r="N156" s="653"/>
      <c r="O156" s="653"/>
      <c r="P156" s="653"/>
      <c r="Q156" s="653"/>
      <c r="R156" s="653"/>
      <c r="S156" s="653"/>
      <c r="T156" s="653"/>
      <c r="U156" s="653"/>
      <c r="V156" s="653"/>
      <c r="W156" s="653"/>
      <c r="X156" s="653"/>
      <c r="Y156" s="653"/>
      <c r="Z156" s="653"/>
      <c r="AA156" s="653"/>
      <c r="AB156" s="653"/>
      <c r="AC156" s="653"/>
      <c r="AD156" s="653"/>
      <c r="AE156" s="653"/>
      <c r="AF156" s="653"/>
      <c r="AG156" s="653"/>
      <c r="AH156" s="653"/>
      <c r="AI156" s="653"/>
      <c r="AJ156" s="653"/>
      <c r="AK156" s="653"/>
      <c r="AL156" s="654"/>
      <c r="AM156" s="655"/>
      <c r="AN156" s="655"/>
      <c r="AO156" s="656"/>
      <c r="AP156" s="656"/>
      <c r="AQ156" s="656"/>
      <c r="AR156" s="659"/>
      <c r="AS156" s="655"/>
      <c r="AT156" s="656"/>
      <c r="AU156" s="656"/>
      <c r="AV156" s="660"/>
    </row>
    <row r="157" spans="1:48" ht="12.75" customHeight="1">
      <c r="A157" s="21"/>
      <c r="B157" s="21"/>
      <c r="C157" s="663"/>
      <c r="D157" s="664"/>
      <c r="E157" s="664"/>
      <c r="F157" s="664"/>
      <c r="G157" s="664"/>
      <c r="H157" s="664"/>
      <c r="I157" s="664"/>
      <c r="J157" s="664"/>
      <c r="K157" s="664"/>
      <c r="L157" s="664"/>
      <c r="M157" s="664"/>
      <c r="N157" s="664"/>
      <c r="O157" s="664"/>
      <c r="P157" s="664"/>
      <c r="Q157" s="664"/>
      <c r="R157" s="664"/>
      <c r="S157" s="664"/>
      <c r="T157" s="664"/>
      <c r="U157" s="664"/>
      <c r="V157" s="664"/>
      <c r="W157" s="664"/>
      <c r="X157" s="664"/>
      <c r="Y157" s="664"/>
      <c r="Z157" s="664"/>
      <c r="AA157" s="664"/>
      <c r="AB157" s="664"/>
      <c r="AC157" s="664"/>
      <c r="AD157" s="664"/>
      <c r="AE157" s="664"/>
      <c r="AF157" s="664"/>
      <c r="AG157" s="664"/>
      <c r="AH157" s="664"/>
      <c r="AI157" s="664"/>
      <c r="AJ157" s="664"/>
      <c r="AK157" s="664"/>
      <c r="AL157" s="665"/>
      <c r="AM157" s="657"/>
      <c r="AN157" s="657"/>
      <c r="AO157" s="658"/>
      <c r="AP157" s="658"/>
      <c r="AQ157" s="658"/>
      <c r="AR157" s="661"/>
      <c r="AS157" s="657"/>
      <c r="AT157" s="658"/>
      <c r="AU157" s="658"/>
      <c r="AV157" s="662"/>
    </row>
    <row r="158" spans="1:48" ht="15" customHeight="1">
      <c r="A158" s="21"/>
      <c r="B158" s="21"/>
      <c r="C158" s="652" t="s">
        <v>232</v>
      </c>
      <c r="D158" s="653"/>
      <c r="E158" s="653"/>
      <c r="F158" s="653"/>
      <c r="G158" s="653"/>
      <c r="H158" s="653"/>
      <c r="I158" s="653"/>
      <c r="J158" s="653"/>
      <c r="K158" s="653"/>
      <c r="L158" s="653"/>
      <c r="M158" s="653"/>
      <c r="N158" s="653"/>
      <c r="O158" s="653"/>
      <c r="P158" s="653"/>
      <c r="Q158" s="653"/>
      <c r="R158" s="653"/>
      <c r="S158" s="653"/>
      <c r="T158" s="653"/>
      <c r="U158" s="653"/>
      <c r="V158" s="653"/>
      <c r="W158" s="653"/>
      <c r="X158" s="653"/>
      <c r="Y158" s="653"/>
      <c r="Z158" s="653"/>
      <c r="AA158" s="653"/>
      <c r="AB158" s="653"/>
      <c r="AC158" s="653"/>
      <c r="AD158" s="653"/>
      <c r="AE158" s="653"/>
      <c r="AF158" s="653"/>
      <c r="AG158" s="653"/>
      <c r="AH158" s="653"/>
      <c r="AI158" s="653"/>
      <c r="AJ158" s="653"/>
      <c r="AK158" s="653"/>
      <c r="AL158" s="654"/>
      <c r="AM158" s="655"/>
      <c r="AN158" s="655"/>
      <c r="AO158" s="656"/>
      <c r="AP158" s="656"/>
      <c r="AQ158" s="656"/>
      <c r="AR158" s="659"/>
      <c r="AS158" s="655"/>
      <c r="AT158" s="656"/>
      <c r="AU158" s="656"/>
      <c r="AV158" s="660"/>
    </row>
    <row r="159" spans="1:48" ht="15.75" customHeight="1">
      <c r="A159" s="21"/>
      <c r="B159" s="21"/>
      <c r="C159" s="663"/>
      <c r="D159" s="664"/>
      <c r="E159" s="664"/>
      <c r="F159" s="664"/>
      <c r="G159" s="664"/>
      <c r="H159" s="664"/>
      <c r="I159" s="664"/>
      <c r="J159" s="664"/>
      <c r="K159" s="664"/>
      <c r="L159" s="664"/>
      <c r="M159" s="664"/>
      <c r="N159" s="664"/>
      <c r="O159" s="664"/>
      <c r="P159" s="664"/>
      <c r="Q159" s="664"/>
      <c r="R159" s="664"/>
      <c r="S159" s="664"/>
      <c r="T159" s="664"/>
      <c r="U159" s="664"/>
      <c r="V159" s="664"/>
      <c r="W159" s="664"/>
      <c r="X159" s="664"/>
      <c r="Y159" s="664"/>
      <c r="Z159" s="664"/>
      <c r="AA159" s="664"/>
      <c r="AB159" s="664"/>
      <c r="AC159" s="664"/>
      <c r="AD159" s="664"/>
      <c r="AE159" s="664"/>
      <c r="AF159" s="664"/>
      <c r="AG159" s="664"/>
      <c r="AH159" s="664"/>
      <c r="AI159" s="664"/>
      <c r="AJ159" s="664"/>
      <c r="AK159" s="664"/>
      <c r="AL159" s="665"/>
      <c r="AM159" s="657"/>
      <c r="AN159" s="657"/>
      <c r="AO159" s="658"/>
      <c r="AP159" s="658"/>
      <c r="AQ159" s="658"/>
      <c r="AR159" s="661"/>
      <c r="AS159" s="657"/>
      <c r="AT159" s="658"/>
      <c r="AU159" s="658"/>
      <c r="AV159" s="662"/>
    </row>
    <row r="160" spans="1:48" ht="15" customHeight="1">
      <c r="A160" s="21"/>
      <c r="B160" s="21"/>
      <c r="C160" s="652" t="s">
        <v>233</v>
      </c>
      <c r="D160" s="653"/>
      <c r="E160" s="653"/>
      <c r="F160" s="653"/>
      <c r="G160" s="653"/>
      <c r="H160" s="653"/>
      <c r="I160" s="653"/>
      <c r="J160" s="653"/>
      <c r="K160" s="653"/>
      <c r="L160" s="653"/>
      <c r="M160" s="653"/>
      <c r="N160" s="653"/>
      <c r="O160" s="653"/>
      <c r="P160" s="653"/>
      <c r="Q160" s="653"/>
      <c r="R160" s="653"/>
      <c r="S160" s="653"/>
      <c r="T160" s="653"/>
      <c r="U160" s="653"/>
      <c r="V160" s="653"/>
      <c r="W160" s="653"/>
      <c r="X160" s="653"/>
      <c r="Y160" s="653"/>
      <c r="Z160" s="653"/>
      <c r="AA160" s="653"/>
      <c r="AB160" s="653"/>
      <c r="AC160" s="653"/>
      <c r="AD160" s="653"/>
      <c r="AE160" s="653"/>
      <c r="AF160" s="653"/>
      <c r="AG160" s="653"/>
      <c r="AH160" s="653"/>
      <c r="AI160" s="653"/>
      <c r="AJ160" s="653"/>
      <c r="AK160" s="653"/>
      <c r="AL160" s="654"/>
      <c r="AM160" s="655"/>
      <c r="AN160" s="655"/>
      <c r="AO160" s="656"/>
      <c r="AP160" s="656"/>
      <c r="AQ160" s="656"/>
      <c r="AR160" s="659"/>
      <c r="AS160" s="655"/>
      <c r="AT160" s="656"/>
      <c r="AU160" s="656"/>
      <c r="AV160" s="660"/>
    </row>
    <row r="161" spans="1:48" ht="12.75" customHeight="1">
      <c r="A161" s="21"/>
      <c r="B161" s="21"/>
      <c r="C161" s="663"/>
      <c r="D161" s="664"/>
      <c r="E161" s="664"/>
      <c r="F161" s="664"/>
      <c r="G161" s="664"/>
      <c r="H161" s="664"/>
      <c r="I161" s="664"/>
      <c r="J161" s="664"/>
      <c r="K161" s="664"/>
      <c r="L161" s="664"/>
      <c r="M161" s="664"/>
      <c r="N161" s="664"/>
      <c r="O161" s="664"/>
      <c r="P161" s="664"/>
      <c r="Q161" s="664"/>
      <c r="R161" s="664"/>
      <c r="S161" s="664"/>
      <c r="T161" s="664"/>
      <c r="U161" s="664"/>
      <c r="V161" s="664"/>
      <c r="W161" s="664"/>
      <c r="X161" s="664"/>
      <c r="Y161" s="664"/>
      <c r="Z161" s="664"/>
      <c r="AA161" s="664"/>
      <c r="AB161" s="664"/>
      <c r="AC161" s="664"/>
      <c r="AD161" s="664"/>
      <c r="AE161" s="664"/>
      <c r="AF161" s="664"/>
      <c r="AG161" s="664"/>
      <c r="AH161" s="664"/>
      <c r="AI161" s="664"/>
      <c r="AJ161" s="664"/>
      <c r="AK161" s="664"/>
      <c r="AL161" s="665"/>
      <c r="AM161" s="657"/>
      <c r="AN161" s="657"/>
      <c r="AO161" s="658"/>
      <c r="AP161" s="658"/>
      <c r="AQ161" s="658"/>
      <c r="AR161" s="661"/>
      <c r="AS161" s="657"/>
      <c r="AT161" s="658"/>
      <c r="AU161" s="658"/>
      <c r="AV161" s="662"/>
    </row>
    <row r="162" spans="1:48" s="31" customFormat="1" ht="15" customHeight="1">
      <c r="C162" s="139" t="s">
        <v>234</v>
      </c>
      <c r="D162" s="140"/>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c r="AH162" s="141"/>
      <c r="AI162" s="141"/>
      <c r="AJ162" s="141"/>
      <c r="AK162" s="141"/>
      <c r="AL162" s="141"/>
      <c r="AM162" s="644">
        <f>SUM(AM148:AQ161)</f>
        <v>0</v>
      </c>
      <c r="AN162" s="645"/>
      <c r="AO162" s="558"/>
      <c r="AP162" s="558"/>
      <c r="AQ162" s="558"/>
      <c r="AR162" s="646">
        <f>SUM(AR148:AV161)</f>
        <v>0</v>
      </c>
      <c r="AS162" s="645"/>
      <c r="AT162" s="558"/>
      <c r="AU162" s="558"/>
      <c r="AV162" s="647"/>
    </row>
    <row r="163" spans="1:48" ht="21" customHeight="1">
      <c r="A163" s="325">
        <f>A145+1</f>
        <v>13</v>
      </c>
      <c r="B163" s="346"/>
      <c r="C163" s="93" t="s">
        <v>235</v>
      </c>
      <c r="D163" s="93"/>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row>
    <row r="164" spans="1:48" ht="3" customHeight="1">
      <c r="A164" s="21"/>
      <c r="B164" s="21"/>
      <c r="C164" s="346"/>
      <c r="D164" s="346"/>
      <c r="E164" s="346"/>
      <c r="F164" s="346"/>
      <c r="G164" s="346"/>
      <c r="H164" s="346"/>
      <c r="I164" s="346"/>
      <c r="J164" s="346"/>
      <c r="K164" s="346"/>
      <c r="L164" s="346"/>
      <c r="M164" s="346"/>
      <c r="N164" s="346"/>
      <c r="O164" s="346"/>
      <c r="P164" s="346"/>
      <c r="Q164" s="346"/>
      <c r="R164" s="346"/>
      <c r="S164" s="346"/>
      <c r="T164" s="346"/>
      <c r="U164" s="346"/>
      <c r="V164" s="346"/>
      <c r="W164" s="509"/>
      <c r="X164" s="509"/>
      <c r="Y164" s="509"/>
      <c r="Z164" s="509"/>
      <c r="AA164" s="95"/>
      <c r="AB164" s="95"/>
      <c r="AC164" s="95"/>
      <c r="AD164" s="95"/>
      <c r="AE164" s="95"/>
      <c r="AF164" s="95"/>
      <c r="AG164" s="95"/>
      <c r="AH164" s="95"/>
      <c r="AI164" s="95"/>
      <c r="AJ164" s="95"/>
      <c r="AK164" s="95"/>
      <c r="AL164" s="95"/>
      <c r="AM164" s="95"/>
      <c r="AN164" s="95"/>
      <c r="AO164" s="95"/>
      <c r="AP164" s="95"/>
      <c r="AQ164" s="95"/>
      <c r="AR164" s="95"/>
      <c r="AS164" s="95"/>
      <c r="AT164" s="95"/>
      <c r="AU164" s="95"/>
      <c r="AV164" s="95"/>
    </row>
    <row r="165" spans="1:48" ht="15" customHeight="1">
      <c r="A165" s="21"/>
      <c r="B165" s="21"/>
      <c r="C165" s="648" t="s">
        <v>236</v>
      </c>
      <c r="D165" s="648"/>
      <c r="E165" s="648"/>
      <c r="F165" s="648"/>
      <c r="G165" s="648"/>
      <c r="H165" s="648"/>
      <c r="I165" s="648"/>
      <c r="J165" s="648"/>
      <c r="K165" s="648"/>
      <c r="L165" s="648"/>
      <c r="M165" s="648"/>
      <c r="N165" s="648"/>
      <c r="O165" s="648"/>
      <c r="P165" s="648"/>
      <c r="Q165" s="648"/>
      <c r="R165" s="649" t="s">
        <v>237</v>
      </c>
      <c r="S165" s="650"/>
      <c r="T165" s="650"/>
      <c r="U165" s="650"/>
      <c r="V165" s="650"/>
      <c r="W165" s="650"/>
      <c r="X165" s="651"/>
      <c r="Y165" s="649" t="s">
        <v>238</v>
      </c>
      <c r="Z165" s="650"/>
      <c r="AA165" s="650"/>
      <c r="AB165" s="650"/>
      <c r="AC165" s="650"/>
      <c r="AD165" s="651"/>
      <c r="AE165" s="649" t="s">
        <v>239</v>
      </c>
      <c r="AF165" s="650"/>
      <c r="AG165" s="650"/>
      <c r="AH165" s="650"/>
      <c r="AI165" s="650"/>
      <c r="AJ165" s="650"/>
      <c r="AK165" s="650"/>
      <c r="AL165" s="651"/>
      <c r="AN165" s="21"/>
      <c r="AO165" s="21"/>
      <c r="AP165" s="21"/>
      <c r="AQ165" s="21"/>
      <c r="AR165" s="21"/>
      <c r="AS165" s="21"/>
      <c r="AT165" s="21"/>
      <c r="AU165" s="21"/>
      <c r="AV165" s="21"/>
    </row>
    <row r="166" spans="1:48" s="31" customFormat="1" ht="18" customHeight="1" thickBot="1">
      <c r="C166" s="633" t="str">
        <f>+D141</f>
        <v xml:space="preserve">Departamento N° </v>
      </c>
      <c r="D166" s="634"/>
      <c r="E166" s="634"/>
      <c r="F166" s="634"/>
      <c r="G166" s="634"/>
      <c r="H166" s="634"/>
      <c r="I166" s="634"/>
      <c r="J166" s="634"/>
      <c r="K166" s="634"/>
      <c r="L166" s="634"/>
      <c r="M166" s="634"/>
      <c r="N166" s="634"/>
      <c r="O166" s="634"/>
      <c r="P166" s="634"/>
      <c r="Q166" s="635"/>
      <c r="R166" s="636"/>
      <c r="S166" s="637"/>
      <c r="T166" s="637"/>
      <c r="U166" s="637"/>
      <c r="V166" s="638" t="s">
        <v>240</v>
      </c>
      <c r="W166" s="638"/>
      <c r="X166" s="639"/>
      <c r="Y166" s="636"/>
      <c r="Z166" s="637"/>
      <c r="AA166" s="637"/>
      <c r="AB166" s="637"/>
      <c r="AC166" s="637"/>
      <c r="AD166" s="640"/>
      <c r="AE166" s="641"/>
      <c r="AF166" s="642"/>
      <c r="AG166" s="642"/>
      <c r="AH166" s="642"/>
      <c r="AI166" s="642"/>
      <c r="AJ166" s="642"/>
      <c r="AK166" s="642"/>
      <c r="AL166" s="643"/>
      <c r="AM166" s="29"/>
    </row>
    <row r="167" spans="1:48" ht="21" customHeight="1">
      <c r="A167" s="325">
        <f>+A163+1</f>
        <v>14</v>
      </c>
      <c r="B167" s="346"/>
      <c r="C167" s="93" t="s">
        <v>241</v>
      </c>
      <c r="D167" s="93"/>
      <c r="E167" s="21"/>
      <c r="F167" s="97"/>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row>
    <row r="168" spans="1:48" ht="36" customHeight="1">
      <c r="A168" s="21"/>
      <c r="B168" s="21"/>
      <c r="C168" s="618" t="s">
        <v>242</v>
      </c>
      <c r="D168" s="618"/>
      <c r="E168" s="618"/>
      <c r="F168" s="618"/>
      <c r="G168" s="618"/>
      <c r="H168" s="618"/>
      <c r="I168" s="618"/>
      <c r="J168" s="618"/>
      <c r="K168" s="618"/>
      <c r="L168" s="618"/>
      <c r="M168" s="618"/>
      <c r="N168" s="618"/>
      <c r="O168" s="618"/>
      <c r="P168" s="618"/>
      <c r="Q168" s="618"/>
      <c r="R168" s="618"/>
      <c r="S168" s="618"/>
      <c r="T168" s="618"/>
      <c r="U168" s="631"/>
      <c r="V168" s="631"/>
      <c r="W168" s="631"/>
      <c r="X168" s="631"/>
      <c r="Y168" s="631"/>
      <c r="Z168" s="631"/>
      <c r="AA168" s="631"/>
      <c r="AB168" s="631"/>
      <c r="AC168" s="631"/>
      <c r="AD168" s="631"/>
      <c r="AE168" s="631"/>
      <c r="AF168" s="631"/>
      <c r="AG168" s="631"/>
      <c r="AH168" s="631"/>
      <c r="AI168" s="631"/>
      <c r="AJ168" s="631"/>
      <c r="AK168" s="631"/>
      <c r="AL168" s="631"/>
      <c r="AM168" s="631"/>
      <c r="AN168" s="631"/>
      <c r="AO168" s="631"/>
      <c r="AP168" s="631"/>
      <c r="AQ168" s="631"/>
      <c r="AR168" s="631"/>
      <c r="AS168" s="631"/>
      <c r="AT168" s="631"/>
      <c r="AU168" s="631"/>
      <c r="AV168" s="631"/>
    </row>
    <row r="169" spans="1:48" ht="28.5" hidden="1" customHeight="1">
      <c r="A169" s="21"/>
      <c r="B169" s="21"/>
      <c r="C169" s="530" t="s">
        <v>243</v>
      </c>
      <c r="D169" s="626"/>
      <c r="E169" s="626"/>
      <c r="F169" s="626"/>
      <c r="G169" s="626"/>
      <c r="H169" s="626"/>
      <c r="I169" s="626"/>
      <c r="J169" s="626"/>
      <c r="K169" s="626"/>
      <c r="L169" s="626"/>
      <c r="M169" s="626"/>
      <c r="N169" s="626"/>
      <c r="O169" s="626"/>
      <c r="P169" s="626"/>
      <c r="Q169" s="626"/>
      <c r="R169" s="626"/>
      <c r="S169" s="626"/>
      <c r="T169" s="626"/>
      <c r="U169" s="627"/>
      <c r="V169" s="627"/>
      <c r="W169" s="627"/>
      <c r="X169" s="627"/>
      <c r="Y169" s="627"/>
      <c r="Z169" s="627"/>
      <c r="AA169" s="627"/>
      <c r="AB169" s="627"/>
      <c r="AC169" s="627"/>
      <c r="AD169" s="627"/>
      <c r="AE169" s="627"/>
      <c r="AF169" s="627"/>
      <c r="AG169" s="627"/>
      <c r="AH169" s="627"/>
      <c r="AI169" s="627"/>
      <c r="AJ169" s="627"/>
      <c r="AK169" s="627"/>
      <c r="AL169" s="627"/>
      <c r="AM169" s="627"/>
      <c r="AN169" s="627"/>
      <c r="AO169" s="627"/>
      <c r="AP169" s="627"/>
      <c r="AQ169" s="627"/>
      <c r="AR169" s="627"/>
      <c r="AS169" s="627"/>
      <c r="AT169" s="627"/>
      <c r="AU169" s="627"/>
      <c r="AV169" s="627"/>
    </row>
    <row r="170" spans="1:48" ht="20.25" customHeight="1">
      <c r="A170" s="325">
        <f>+A167+1</f>
        <v>15</v>
      </c>
      <c r="B170" s="346"/>
      <c r="C170" s="93" t="s">
        <v>244</v>
      </c>
      <c r="D170" s="93"/>
      <c r="E170" s="21"/>
      <c r="F170" s="97"/>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row>
    <row r="171" spans="1:48" ht="14.25" customHeight="1">
      <c r="A171" s="21"/>
      <c r="B171" s="21"/>
      <c r="C171" s="302" t="s">
        <v>245</v>
      </c>
      <c r="D171" s="303"/>
      <c r="E171" s="303"/>
      <c r="F171" s="303"/>
      <c r="G171" s="303"/>
      <c r="H171" s="303"/>
      <c r="I171" s="303"/>
      <c r="J171" s="303"/>
      <c r="K171" s="303"/>
      <c r="L171" s="303"/>
      <c r="M171" s="303"/>
      <c r="N171" s="303"/>
      <c r="O171" s="303"/>
      <c r="P171" s="303"/>
      <c r="Q171" s="303"/>
      <c r="R171" s="303"/>
      <c r="S171" s="303"/>
      <c r="T171" s="303"/>
      <c r="U171" s="304"/>
      <c r="V171" s="304"/>
      <c r="W171" s="304"/>
      <c r="X171" s="304"/>
      <c r="Y171" s="304"/>
      <c r="Z171" s="304"/>
      <c r="AA171" s="304"/>
      <c r="AB171" s="304"/>
      <c r="AC171" s="304"/>
      <c r="AD171" s="304"/>
      <c r="AE171" s="304"/>
      <c r="AF171" s="304"/>
      <c r="AG171" s="304"/>
      <c r="AH171" s="304"/>
      <c r="AI171" s="304"/>
      <c r="AJ171" s="304"/>
      <c r="AK171" s="304"/>
      <c r="AL171" s="304"/>
      <c r="AM171" s="304"/>
      <c r="AN171" s="304"/>
      <c r="AO171" s="304"/>
      <c r="AP171" s="304"/>
      <c r="AQ171" s="304"/>
      <c r="AR171" s="304"/>
      <c r="AS171" s="304"/>
      <c r="AT171" s="304"/>
      <c r="AU171" s="304"/>
      <c r="AV171" s="304"/>
    </row>
    <row r="172" spans="1:48">
      <c r="A172" s="21"/>
      <c r="B172" s="21"/>
      <c r="C172" s="632" t="s">
        <v>246</v>
      </c>
      <c r="D172" s="303"/>
      <c r="E172" s="303"/>
      <c r="F172" s="303"/>
      <c r="G172" s="303"/>
      <c r="H172" s="303"/>
      <c r="I172" s="303"/>
      <c r="J172" s="303"/>
      <c r="K172" s="303"/>
      <c r="L172" s="303"/>
      <c r="M172" s="303"/>
      <c r="N172" s="303"/>
      <c r="O172" s="303"/>
      <c r="P172" s="303"/>
      <c r="Q172" s="303"/>
      <c r="R172" s="303"/>
      <c r="S172" s="303"/>
      <c r="T172" s="303"/>
      <c r="U172" s="304"/>
      <c r="V172" s="304"/>
      <c r="W172" s="304"/>
      <c r="X172" s="304"/>
      <c r="Y172" s="304"/>
      <c r="Z172" s="304"/>
      <c r="AA172" s="304"/>
      <c r="AB172" s="304"/>
      <c r="AC172" s="304"/>
      <c r="AD172" s="304"/>
      <c r="AE172" s="304"/>
      <c r="AF172" s="304"/>
      <c r="AG172" s="304"/>
      <c r="AH172" s="304"/>
      <c r="AI172" s="304"/>
      <c r="AJ172" s="304"/>
      <c r="AK172" s="304"/>
      <c r="AL172" s="304"/>
      <c r="AM172" s="304"/>
      <c r="AN172" s="304"/>
      <c r="AO172" s="304"/>
      <c r="AP172" s="304"/>
      <c r="AQ172" s="304"/>
      <c r="AR172" s="304"/>
      <c r="AS172" s="304"/>
      <c r="AT172" s="304"/>
      <c r="AU172" s="304"/>
      <c r="AV172" s="304"/>
    </row>
    <row r="173" spans="1:48">
      <c r="A173" s="21"/>
      <c r="B173" s="21"/>
      <c r="C173" s="632" t="s">
        <v>247</v>
      </c>
      <c r="D173" s="303"/>
      <c r="E173" s="303"/>
      <c r="F173" s="303"/>
      <c r="G173" s="303"/>
      <c r="H173" s="303"/>
      <c r="I173" s="303"/>
      <c r="J173" s="303"/>
      <c r="K173" s="303"/>
      <c r="L173" s="303"/>
      <c r="M173" s="303"/>
      <c r="N173" s="303"/>
      <c r="O173" s="303"/>
      <c r="P173" s="303"/>
      <c r="Q173" s="303"/>
      <c r="R173" s="303"/>
      <c r="S173" s="303"/>
      <c r="T173" s="303"/>
      <c r="U173" s="304"/>
      <c r="V173" s="304"/>
      <c r="W173" s="304"/>
      <c r="X173" s="304"/>
      <c r="Y173" s="304"/>
      <c r="Z173" s="304"/>
      <c r="AA173" s="304"/>
      <c r="AB173" s="304"/>
      <c r="AC173" s="304"/>
      <c r="AD173" s="304"/>
      <c r="AE173" s="304"/>
      <c r="AF173" s="304"/>
      <c r="AG173" s="304"/>
      <c r="AH173" s="304"/>
      <c r="AI173" s="304"/>
      <c r="AJ173" s="304"/>
      <c r="AK173" s="304"/>
      <c r="AL173" s="304"/>
      <c r="AM173" s="304"/>
      <c r="AN173" s="304"/>
      <c r="AO173" s="304"/>
      <c r="AP173" s="304"/>
      <c r="AQ173" s="304"/>
      <c r="AR173" s="304"/>
      <c r="AS173" s="304"/>
      <c r="AT173" s="304"/>
      <c r="AU173" s="304"/>
      <c r="AV173" s="304"/>
    </row>
    <row r="174" spans="1:48">
      <c r="A174" s="21"/>
      <c r="B174" s="21"/>
      <c r="C174" s="623" t="s">
        <v>248</v>
      </c>
      <c r="D174" s="624"/>
      <c r="E174" s="624"/>
      <c r="F174" s="624"/>
      <c r="G174" s="624"/>
      <c r="H174" s="624"/>
      <c r="I174" s="624"/>
      <c r="J174" s="624"/>
      <c r="K174" s="624"/>
      <c r="L174" s="624"/>
      <c r="M174" s="624"/>
      <c r="N174" s="624"/>
      <c r="O174" s="624"/>
      <c r="P174" s="624"/>
      <c r="Q174" s="624"/>
      <c r="R174" s="624"/>
      <c r="S174" s="624"/>
      <c r="T174" s="624"/>
      <c r="U174" s="625"/>
      <c r="V174" s="625"/>
      <c r="W174" s="625"/>
      <c r="X174" s="625"/>
      <c r="Y174" s="625"/>
      <c r="Z174" s="625"/>
      <c r="AA174" s="625"/>
      <c r="AB174" s="625"/>
      <c r="AC174" s="625"/>
      <c r="AD174" s="625"/>
      <c r="AE174" s="625"/>
      <c r="AF174" s="625"/>
      <c r="AG174" s="625"/>
      <c r="AH174" s="625"/>
      <c r="AI174" s="625"/>
      <c r="AJ174" s="625"/>
      <c r="AK174" s="625"/>
      <c r="AL174" s="625"/>
      <c r="AM174" s="625"/>
      <c r="AN174" s="625"/>
      <c r="AO174" s="625"/>
      <c r="AP174" s="625"/>
      <c r="AQ174" s="625"/>
      <c r="AR174" s="625"/>
      <c r="AS174" s="625"/>
      <c r="AT174" s="625"/>
      <c r="AU174" s="625"/>
      <c r="AV174" s="625"/>
    </row>
    <row r="175" spans="1:48" ht="27" customHeight="1">
      <c r="A175" s="325">
        <f>+A170+1</f>
        <v>16</v>
      </c>
      <c r="B175" s="346"/>
      <c r="C175" s="93" t="s">
        <v>249</v>
      </c>
      <c r="D175" s="93"/>
      <c r="E175" s="21"/>
      <c r="F175" s="97"/>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row>
    <row r="176" spans="1:48" ht="33.75" customHeight="1">
      <c r="A176" s="21"/>
      <c r="B176" s="21"/>
      <c r="C176" s="530" t="s">
        <v>250</v>
      </c>
      <c r="D176" s="626"/>
      <c r="E176" s="626"/>
      <c r="F176" s="626"/>
      <c r="G176" s="626"/>
      <c r="H176" s="626"/>
      <c r="I176" s="626"/>
      <c r="J176" s="626"/>
      <c r="K176" s="626"/>
      <c r="L176" s="626"/>
      <c r="M176" s="626"/>
      <c r="N176" s="626"/>
      <c r="O176" s="626"/>
      <c r="P176" s="626"/>
      <c r="Q176" s="626"/>
      <c r="R176" s="626"/>
      <c r="S176" s="626"/>
      <c r="T176" s="626"/>
      <c r="U176" s="627"/>
      <c r="V176" s="627"/>
      <c r="W176" s="627"/>
      <c r="X176" s="627"/>
      <c r="Y176" s="627"/>
      <c r="Z176" s="627"/>
      <c r="AA176" s="627"/>
      <c r="AB176" s="627"/>
      <c r="AC176" s="627"/>
      <c r="AD176" s="627"/>
      <c r="AE176" s="627"/>
      <c r="AF176" s="627"/>
      <c r="AG176" s="627"/>
      <c r="AH176" s="627"/>
      <c r="AI176" s="627"/>
      <c r="AJ176" s="627"/>
      <c r="AK176" s="627"/>
      <c r="AL176" s="627"/>
      <c r="AM176" s="627"/>
      <c r="AN176" s="627"/>
      <c r="AO176" s="627"/>
      <c r="AP176" s="627"/>
      <c r="AQ176" s="627"/>
      <c r="AR176" s="627"/>
      <c r="AS176" s="627"/>
      <c r="AT176" s="627"/>
      <c r="AU176" s="627"/>
      <c r="AV176" s="627"/>
    </row>
    <row r="177" spans="1:48" ht="21.75" customHeight="1">
      <c r="A177" s="325">
        <f>+A175+1</f>
        <v>17</v>
      </c>
      <c r="B177" s="346"/>
      <c r="C177" s="93" t="s">
        <v>251</v>
      </c>
      <c r="D177" s="93"/>
      <c r="E177" s="21"/>
      <c r="F177" s="97"/>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row>
    <row r="178" spans="1:48" ht="4.5" customHeight="1">
      <c r="A178" s="94"/>
      <c r="B178" s="95"/>
      <c r="C178" s="93"/>
      <c r="D178" s="93"/>
      <c r="E178" s="21"/>
      <c r="F178" s="97"/>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row>
    <row r="179" spans="1:48" ht="22.5" customHeight="1">
      <c r="A179" s="94"/>
      <c r="B179" s="95"/>
      <c r="C179" s="628" t="s">
        <v>252</v>
      </c>
      <c r="D179" s="629"/>
      <c r="E179" s="629"/>
      <c r="F179" s="629"/>
      <c r="G179" s="629"/>
      <c r="H179" s="629"/>
      <c r="I179" s="629"/>
      <c r="J179" s="629"/>
      <c r="K179" s="629"/>
      <c r="L179" s="629"/>
      <c r="M179" s="629"/>
      <c r="N179" s="629"/>
      <c r="O179" s="629"/>
      <c r="P179" s="629"/>
      <c r="Q179" s="629"/>
      <c r="R179" s="629"/>
      <c r="S179" s="629"/>
      <c r="T179" s="629"/>
      <c r="U179" s="629"/>
      <c r="V179" s="629"/>
      <c r="W179" s="629"/>
      <c r="X179" s="629"/>
      <c r="Y179" s="629"/>
      <c r="Z179" s="629"/>
      <c r="AA179" s="629"/>
      <c r="AB179" s="629"/>
      <c r="AC179" s="629"/>
      <c r="AD179" s="629"/>
      <c r="AE179" s="630"/>
      <c r="AF179" s="21"/>
      <c r="AG179" s="21"/>
      <c r="AH179" s="21"/>
      <c r="AI179" s="21"/>
      <c r="AJ179" s="21"/>
      <c r="AK179" s="21"/>
      <c r="AL179" s="21"/>
      <c r="AM179" s="21"/>
      <c r="AN179" s="21"/>
      <c r="AO179" s="21"/>
      <c r="AP179" s="21"/>
      <c r="AQ179" s="21"/>
      <c r="AR179" s="21"/>
      <c r="AS179" s="21"/>
      <c r="AT179" s="21"/>
      <c r="AU179" s="21"/>
      <c r="AV179" s="21"/>
    </row>
    <row r="180" spans="1:48" ht="16.5" customHeight="1">
      <c r="A180" s="94"/>
      <c r="B180" s="95"/>
      <c r="C180" s="619" t="s">
        <v>253</v>
      </c>
      <c r="D180" s="620"/>
      <c r="E180" s="620"/>
      <c r="F180" s="620"/>
      <c r="G180" s="620"/>
      <c r="H180" s="620"/>
      <c r="I180" s="620"/>
      <c r="J180" s="620"/>
      <c r="K180" s="620"/>
      <c r="L180" s="620"/>
      <c r="M180" s="620"/>
      <c r="N180" s="620"/>
      <c r="O180" s="620"/>
      <c r="P180" s="620"/>
      <c r="Q180" s="620"/>
      <c r="R180" s="620"/>
      <c r="S180" s="620"/>
      <c r="T180" s="620"/>
      <c r="U180" s="620"/>
      <c r="V180" s="620"/>
      <c r="W180" s="620"/>
      <c r="X180" s="621"/>
      <c r="Y180" s="622">
        <v>0.02</v>
      </c>
      <c r="Z180" s="622"/>
      <c r="AA180" s="622"/>
      <c r="AB180" s="622"/>
      <c r="AC180" s="622"/>
      <c r="AD180" s="622"/>
      <c r="AE180" s="622"/>
      <c r="AF180" s="21"/>
      <c r="AG180" s="21"/>
      <c r="AH180" s="21"/>
      <c r="AI180" s="21"/>
      <c r="AJ180" s="21"/>
      <c r="AK180" s="21"/>
      <c r="AL180" s="21"/>
      <c r="AM180" s="21"/>
      <c r="AN180" s="21"/>
      <c r="AO180" s="21"/>
      <c r="AP180" s="21"/>
      <c r="AQ180" s="21"/>
      <c r="AR180" s="21"/>
      <c r="AS180" s="21"/>
      <c r="AT180" s="21"/>
      <c r="AU180" s="21"/>
      <c r="AV180" s="21"/>
    </row>
    <row r="181" spans="1:48" ht="16.5" customHeight="1">
      <c r="A181" s="94"/>
      <c r="B181" s="95"/>
      <c r="C181" s="619" t="s">
        <v>254</v>
      </c>
      <c r="D181" s="620"/>
      <c r="E181" s="620"/>
      <c r="F181" s="620"/>
      <c r="G181" s="620"/>
      <c r="H181" s="620"/>
      <c r="I181" s="620"/>
      <c r="J181" s="620"/>
      <c r="K181" s="620"/>
      <c r="L181" s="620"/>
      <c r="M181" s="620"/>
      <c r="N181" s="620"/>
      <c r="O181" s="620"/>
      <c r="P181" s="620"/>
      <c r="Q181" s="620"/>
      <c r="R181" s="620"/>
      <c r="S181" s="620"/>
      <c r="T181" s="620"/>
      <c r="U181" s="620"/>
      <c r="V181" s="620"/>
      <c r="W181" s="620"/>
      <c r="X181" s="621"/>
      <c r="Y181" s="622">
        <v>2E-3</v>
      </c>
      <c r="Z181" s="622"/>
      <c r="AA181" s="622"/>
      <c r="AB181" s="622"/>
      <c r="AC181" s="622"/>
      <c r="AD181" s="622"/>
      <c r="AE181" s="622"/>
      <c r="AF181" s="21"/>
      <c r="AG181" s="21"/>
      <c r="AH181" s="21"/>
      <c r="AI181" s="21"/>
      <c r="AJ181" s="21"/>
      <c r="AK181" s="21"/>
      <c r="AL181" s="21"/>
      <c r="AM181" s="21"/>
      <c r="AN181" s="21"/>
      <c r="AO181" s="21"/>
      <c r="AP181" s="21"/>
      <c r="AQ181" s="21"/>
      <c r="AR181" s="21"/>
      <c r="AS181" s="21"/>
      <c r="AT181" s="21"/>
      <c r="AU181" s="21"/>
      <c r="AV181" s="21"/>
    </row>
    <row r="182" spans="1:48" ht="16.5" customHeight="1">
      <c r="A182" s="94"/>
      <c r="B182" s="95"/>
      <c r="C182" s="619" t="s">
        <v>255</v>
      </c>
      <c r="D182" s="620"/>
      <c r="E182" s="620"/>
      <c r="F182" s="620"/>
      <c r="G182" s="620"/>
      <c r="H182" s="620"/>
      <c r="I182" s="620"/>
      <c r="J182" s="620"/>
      <c r="K182" s="620"/>
      <c r="L182" s="620"/>
      <c r="M182" s="620"/>
      <c r="N182" s="620"/>
      <c r="O182" s="620"/>
      <c r="P182" s="620"/>
      <c r="Q182" s="620"/>
      <c r="R182" s="620"/>
      <c r="S182" s="620"/>
      <c r="T182" s="620"/>
      <c r="U182" s="620"/>
      <c r="V182" s="620"/>
      <c r="W182" s="620"/>
      <c r="X182" s="621"/>
      <c r="Y182" s="622">
        <v>0.05</v>
      </c>
      <c r="Z182" s="622"/>
      <c r="AA182" s="622"/>
      <c r="AB182" s="622"/>
      <c r="AC182" s="622"/>
      <c r="AD182" s="622"/>
      <c r="AE182" s="622"/>
      <c r="AF182" s="21"/>
      <c r="AG182" s="21"/>
      <c r="AH182" s="21"/>
      <c r="AI182" s="21"/>
      <c r="AJ182" s="21"/>
      <c r="AK182" s="21"/>
      <c r="AL182" s="21"/>
      <c r="AM182" s="21"/>
      <c r="AN182" s="21"/>
      <c r="AO182" s="21"/>
      <c r="AP182" s="21"/>
      <c r="AQ182" s="21"/>
      <c r="AR182" s="21"/>
      <c r="AS182" s="21"/>
      <c r="AT182" s="21"/>
      <c r="AU182" s="21"/>
      <c r="AV182" s="21"/>
    </row>
    <row r="183" spans="1:48" ht="16.5" customHeight="1">
      <c r="A183" s="94"/>
      <c r="B183" s="95"/>
      <c r="C183" s="619" t="s">
        <v>256</v>
      </c>
      <c r="D183" s="620"/>
      <c r="E183" s="620"/>
      <c r="F183" s="620"/>
      <c r="G183" s="620"/>
      <c r="H183" s="620"/>
      <c r="I183" s="620"/>
      <c r="J183" s="620"/>
      <c r="K183" s="620"/>
      <c r="L183" s="620"/>
      <c r="M183" s="620"/>
      <c r="N183" s="620"/>
      <c r="O183" s="620"/>
      <c r="P183" s="620"/>
      <c r="Q183" s="620"/>
      <c r="R183" s="620"/>
      <c r="S183" s="620"/>
      <c r="T183" s="620"/>
      <c r="U183" s="620"/>
      <c r="V183" s="620"/>
      <c r="W183" s="620"/>
      <c r="X183" s="621"/>
      <c r="Y183" s="622">
        <f>+Y184-Y180-Y181-Y182</f>
        <v>0.128</v>
      </c>
      <c r="Z183" s="622"/>
      <c r="AA183" s="622"/>
      <c r="AB183" s="622"/>
      <c r="AC183" s="622"/>
      <c r="AD183" s="622"/>
      <c r="AE183" s="622"/>
      <c r="AF183" s="21"/>
      <c r="AG183" s="21"/>
      <c r="AH183" s="21"/>
      <c r="AI183" s="21"/>
      <c r="AJ183" s="21"/>
      <c r="AK183" s="21"/>
      <c r="AL183" s="21"/>
      <c r="AM183" s="21"/>
      <c r="AN183" s="21"/>
      <c r="AO183" s="21"/>
      <c r="AP183" s="21"/>
      <c r="AQ183" s="21"/>
      <c r="AR183" s="21"/>
      <c r="AS183" s="21"/>
      <c r="AT183" s="21"/>
      <c r="AU183" s="21"/>
      <c r="AV183" s="21"/>
    </row>
    <row r="184" spans="1:48" ht="17.25" customHeight="1">
      <c r="A184" s="94"/>
      <c r="B184" s="95"/>
      <c r="C184" s="612" t="s">
        <v>257</v>
      </c>
      <c r="D184" s="613"/>
      <c r="E184" s="613"/>
      <c r="F184" s="613"/>
      <c r="G184" s="613"/>
      <c r="H184" s="613"/>
      <c r="I184" s="613"/>
      <c r="J184" s="613"/>
      <c r="K184" s="613"/>
      <c r="L184" s="613"/>
      <c r="M184" s="613"/>
      <c r="N184" s="613"/>
      <c r="O184" s="613"/>
      <c r="P184" s="613"/>
      <c r="Q184" s="613"/>
      <c r="R184" s="613"/>
      <c r="S184" s="613"/>
      <c r="T184" s="613"/>
      <c r="U184" s="613"/>
      <c r="V184" s="613"/>
      <c r="W184" s="613"/>
      <c r="X184" s="614"/>
      <c r="Y184" s="615">
        <v>0.2</v>
      </c>
      <c r="Z184" s="615"/>
      <c r="AA184" s="615"/>
      <c r="AB184" s="615"/>
      <c r="AC184" s="615"/>
      <c r="AD184" s="615"/>
      <c r="AE184" s="615"/>
      <c r="AF184" s="21"/>
      <c r="AG184" s="21"/>
      <c r="AH184" s="21"/>
      <c r="AI184" s="21"/>
      <c r="AJ184" s="21"/>
      <c r="AK184" s="21"/>
      <c r="AL184" s="21"/>
      <c r="AM184" s="21"/>
      <c r="AN184" s="21"/>
      <c r="AO184" s="21"/>
      <c r="AP184" s="21"/>
      <c r="AQ184" s="21"/>
      <c r="AR184" s="21"/>
      <c r="AS184" s="21"/>
      <c r="AT184" s="21"/>
      <c r="AU184" s="21"/>
      <c r="AV184" s="21"/>
    </row>
    <row r="185" spans="1:48" ht="6" customHeight="1">
      <c r="A185" s="94"/>
      <c r="B185" s="95"/>
      <c r="C185" s="93"/>
      <c r="D185" s="93"/>
      <c r="E185" s="21"/>
      <c r="F185" s="97"/>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row>
    <row r="186" spans="1:48" ht="28.5" customHeight="1">
      <c r="A186" s="21"/>
      <c r="B186" s="21"/>
      <c r="C186" s="302" t="s">
        <v>258</v>
      </c>
      <c r="D186" s="303"/>
      <c r="E186" s="303"/>
      <c r="F186" s="303"/>
      <c r="G186" s="303"/>
      <c r="H186" s="303"/>
      <c r="I186" s="303"/>
      <c r="J186" s="303"/>
      <c r="K186" s="303"/>
      <c r="L186" s="303"/>
      <c r="M186" s="303"/>
      <c r="N186" s="303"/>
      <c r="O186" s="303"/>
      <c r="P186" s="303"/>
      <c r="Q186" s="303"/>
      <c r="R186" s="303"/>
      <c r="S186" s="303"/>
      <c r="T186" s="303"/>
      <c r="U186" s="304"/>
      <c r="V186" s="304"/>
      <c r="W186" s="304"/>
      <c r="X186" s="304"/>
      <c r="Y186" s="304"/>
      <c r="Z186" s="304"/>
      <c r="AA186" s="304"/>
      <c r="AB186" s="304"/>
      <c r="AC186" s="304"/>
      <c r="AD186" s="304"/>
      <c r="AE186" s="304"/>
      <c r="AF186" s="304"/>
      <c r="AG186" s="304"/>
      <c r="AH186" s="304"/>
      <c r="AI186" s="304"/>
      <c r="AJ186" s="304"/>
      <c r="AK186" s="304"/>
      <c r="AL186" s="304"/>
      <c r="AM186" s="304"/>
      <c r="AN186" s="304"/>
      <c r="AO186" s="304"/>
      <c r="AP186" s="304"/>
      <c r="AQ186" s="304"/>
      <c r="AR186" s="304"/>
      <c r="AS186" s="304"/>
      <c r="AT186" s="304"/>
      <c r="AU186" s="304"/>
      <c r="AV186" s="304"/>
    </row>
    <row r="187" spans="1:48" ht="21.75" customHeight="1">
      <c r="A187" s="325">
        <f>+A177+1</f>
        <v>18</v>
      </c>
      <c r="B187" s="346"/>
      <c r="C187" s="616" t="s">
        <v>259</v>
      </c>
      <c r="D187" s="303"/>
      <c r="E187" s="303"/>
      <c r="F187" s="303"/>
      <c r="G187" s="303"/>
      <c r="H187" s="303"/>
      <c r="I187" s="303"/>
      <c r="J187" s="303"/>
      <c r="K187" s="303"/>
      <c r="L187" s="303"/>
      <c r="M187" s="303"/>
      <c r="N187" s="303"/>
      <c r="O187" s="303"/>
      <c r="P187" s="303"/>
      <c r="Q187" s="303"/>
      <c r="R187" s="303"/>
      <c r="S187" s="303"/>
      <c r="T187" s="303"/>
      <c r="U187" s="303"/>
      <c r="V187" s="303"/>
      <c r="W187" s="303"/>
      <c r="X187" s="303"/>
      <c r="Y187" s="303"/>
      <c r="Z187" s="303"/>
      <c r="AA187" s="303"/>
      <c r="AB187" s="303"/>
      <c r="AC187" s="303"/>
      <c r="AD187" s="303"/>
      <c r="AE187" s="303"/>
      <c r="AF187" s="303"/>
      <c r="AG187" s="303"/>
      <c r="AH187" s="303"/>
      <c r="AI187" s="303"/>
      <c r="AJ187" s="303"/>
      <c r="AK187" s="303"/>
      <c r="AL187" s="303"/>
      <c r="AM187" s="303"/>
      <c r="AN187" s="303"/>
      <c r="AO187" s="303"/>
      <c r="AP187" s="303"/>
      <c r="AQ187" s="303"/>
      <c r="AR187" s="303"/>
      <c r="AS187" s="303"/>
      <c r="AT187" s="303"/>
      <c r="AU187" s="303"/>
      <c r="AV187" s="303"/>
    </row>
    <row r="188" spans="1:48" ht="60.75" customHeight="1">
      <c r="A188" s="21"/>
      <c r="B188" s="21"/>
      <c r="C188" s="617"/>
      <c r="D188" s="618"/>
      <c r="E188" s="618"/>
      <c r="F188" s="618"/>
      <c r="G188" s="618"/>
      <c r="H188" s="618"/>
      <c r="I188" s="618"/>
      <c r="J188" s="618"/>
      <c r="K188" s="618"/>
      <c r="L188" s="618"/>
      <c r="M188" s="618"/>
      <c r="N188" s="618"/>
      <c r="O188" s="618"/>
      <c r="P188" s="618"/>
      <c r="Q188" s="618"/>
      <c r="R188" s="618"/>
      <c r="S188" s="618"/>
      <c r="T188" s="618"/>
      <c r="U188" s="618"/>
      <c r="V188" s="618"/>
      <c r="W188" s="618"/>
      <c r="X188" s="618"/>
      <c r="Y188" s="618"/>
      <c r="Z188" s="618"/>
      <c r="AA188" s="618"/>
      <c r="AB188" s="618"/>
      <c r="AC188" s="618"/>
      <c r="AD188" s="618"/>
      <c r="AE188" s="618"/>
      <c r="AF188" s="618"/>
      <c r="AG188" s="618"/>
      <c r="AH188" s="618"/>
      <c r="AI188" s="618"/>
      <c r="AJ188" s="618"/>
      <c r="AK188" s="618"/>
      <c r="AL188" s="618"/>
      <c r="AM188" s="618"/>
      <c r="AN188" s="618"/>
      <c r="AO188" s="618"/>
      <c r="AP188" s="618"/>
      <c r="AQ188" s="618"/>
      <c r="AR188" s="618"/>
      <c r="AS188" s="618"/>
      <c r="AT188" s="618"/>
      <c r="AU188" s="618"/>
      <c r="AV188" s="618"/>
    </row>
    <row r="189" spans="1:48" ht="22.5" customHeight="1">
      <c r="A189" s="325">
        <f>A187+1</f>
        <v>19</v>
      </c>
      <c r="B189" s="346"/>
      <c r="C189" s="142" t="s">
        <v>260</v>
      </c>
      <c r="D189" s="21"/>
      <c r="E189" s="21"/>
      <c r="F189" s="21"/>
      <c r="G189" s="21"/>
      <c r="H189" s="21"/>
      <c r="I189" s="21"/>
      <c r="J189" s="21"/>
      <c r="K189" s="21"/>
      <c r="L189" s="21"/>
      <c r="M189" s="21"/>
      <c r="N189" s="21"/>
      <c r="O189" s="21"/>
      <c r="P189" s="21"/>
      <c r="Q189" s="21"/>
      <c r="R189" s="143"/>
      <c r="S189" s="143"/>
      <c r="T189" s="143"/>
      <c r="U189" s="143"/>
      <c r="V189" s="143"/>
      <c r="W189" s="143"/>
      <c r="X189" s="143"/>
      <c r="Y189" s="143"/>
      <c r="Z189" s="143"/>
      <c r="AA189" s="144"/>
      <c r="AB189" s="144"/>
      <c r="AC189" s="21"/>
      <c r="AD189" s="21"/>
      <c r="AE189" s="21"/>
      <c r="AF189" s="21"/>
      <c r="AG189" s="21"/>
      <c r="AH189" s="21"/>
      <c r="AI189" s="21"/>
      <c r="AJ189" s="21"/>
      <c r="AK189" s="21"/>
      <c r="AL189" s="21"/>
      <c r="AM189" s="21"/>
      <c r="AN189" s="21"/>
      <c r="AO189" s="21"/>
      <c r="AP189" s="21"/>
      <c r="AQ189" s="21"/>
      <c r="AR189" s="21"/>
      <c r="AS189" s="21"/>
      <c r="AT189" s="21"/>
      <c r="AU189" s="21"/>
      <c r="AV189" s="21"/>
    </row>
    <row r="190" spans="1:48" s="145" customFormat="1" ht="39.75" hidden="1" customHeight="1">
      <c r="A190" s="94"/>
      <c r="B190" s="95"/>
      <c r="C190" s="609" t="s">
        <v>261</v>
      </c>
      <c r="D190" s="609"/>
      <c r="E190" s="611" t="s">
        <v>262</v>
      </c>
      <c r="F190" s="302"/>
      <c r="G190" s="302"/>
      <c r="H190" s="302"/>
      <c r="I190" s="302"/>
      <c r="J190" s="302"/>
      <c r="K190" s="302"/>
      <c r="L190" s="302"/>
      <c r="M190" s="302"/>
      <c r="N190" s="302"/>
      <c r="O190" s="302"/>
      <c r="P190" s="302"/>
      <c r="Q190" s="302"/>
      <c r="R190" s="302"/>
      <c r="S190" s="302"/>
      <c r="T190" s="302"/>
      <c r="U190" s="302"/>
      <c r="V190" s="302"/>
      <c r="W190" s="302"/>
      <c r="X190" s="302"/>
      <c r="Y190" s="302"/>
      <c r="Z190" s="302"/>
      <c r="AA190" s="302"/>
      <c r="AB190" s="302"/>
      <c r="AC190" s="302"/>
      <c r="AD190" s="302"/>
      <c r="AE190" s="302"/>
      <c r="AF190" s="302"/>
      <c r="AG190" s="302"/>
      <c r="AH190" s="302"/>
      <c r="AI190" s="302"/>
      <c r="AJ190" s="302"/>
      <c r="AK190" s="302"/>
      <c r="AL190" s="302"/>
      <c r="AM190" s="302"/>
      <c r="AN190" s="302"/>
      <c r="AO190" s="302"/>
      <c r="AP190" s="302"/>
      <c r="AQ190" s="302"/>
      <c r="AR190" s="302"/>
      <c r="AS190" s="302"/>
      <c r="AT190" s="302"/>
      <c r="AU190" s="302"/>
      <c r="AV190" s="302"/>
    </row>
    <row r="191" spans="1:48" s="145" customFormat="1" ht="3" hidden="1" customHeight="1">
      <c r="A191" s="94"/>
      <c r="B191" s="95"/>
      <c r="C191" s="146"/>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c r="AD191" s="103"/>
      <c r="AE191" s="103"/>
      <c r="AF191" s="103"/>
      <c r="AG191" s="103"/>
      <c r="AH191" s="103"/>
      <c r="AI191" s="103"/>
      <c r="AJ191" s="103"/>
      <c r="AK191" s="103"/>
      <c r="AL191" s="103"/>
      <c r="AM191" s="103"/>
      <c r="AN191" s="103"/>
      <c r="AO191" s="103"/>
      <c r="AP191" s="103"/>
      <c r="AQ191" s="103"/>
      <c r="AR191" s="103"/>
      <c r="AS191" s="103"/>
      <c r="AT191" s="103"/>
      <c r="AU191" s="103"/>
      <c r="AV191" s="103"/>
    </row>
    <row r="192" spans="1:48" s="145" customFormat="1" ht="15" hidden="1" customHeight="1">
      <c r="A192" s="94"/>
      <c r="B192" s="95"/>
      <c r="C192" s="609" t="s">
        <v>261</v>
      </c>
      <c r="D192" s="609"/>
      <c r="E192" s="611" t="s">
        <v>263</v>
      </c>
      <c r="F192" s="302"/>
      <c r="G192" s="302"/>
      <c r="H192" s="302"/>
      <c r="I192" s="302"/>
      <c r="J192" s="302"/>
      <c r="K192" s="302"/>
      <c r="L192" s="302"/>
      <c r="M192" s="302"/>
      <c r="N192" s="302"/>
      <c r="O192" s="302"/>
      <c r="P192" s="302"/>
      <c r="Q192" s="302"/>
      <c r="R192" s="302"/>
      <c r="S192" s="302"/>
      <c r="T192" s="302"/>
      <c r="U192" s="302"/>
      <c r="V192" s="302"/>
      <c r="W192" s="302"/>
      <c r="X192" s="302"/>
      <c r="Y192" s="302"/>
      <c r="Z192" s="302"/>
      <c r="AA192" s="302"/>
      <c r="AB192" s="302"/>
      <c r="AC192" s="302"/>
      <c r="AD192" s="302"/>
      <c r="AE192" s="302"/>
      <c r="AF192" s="302"/>
      <c r="AG192" s="302"/>
      <c r="AH192" s="302"/>
      <c r="AI192" s="302"/>
      <c r="AJ192" s="302"/>
      <c r="AK192" s="302"/>
      <c r="AL192" s="302"/>
      <c r="AM192" s="302"/>
      <c r="AN192" s="302"/>
      <c r="AO192" s="302"/>
      <c r="AP192" s="302"/>
      <c r="AQ192" s="302"/>
      <c r="AR192" s="302"/>
      <c r="AS192" s="302"/>
      <c r="AT192" s="302"/>
      <c r="AU192" s="302"/>
      <c r="AV192" s="302"/>
    </row>
    <row r="193" spans="1:48" s="145" customFormat="1" ht="3" hidden="1" customHeight="1">
      <c r="A193" s="94"/>
      <c r="B193" s="95"/>
      <c r="C193" s="147"/>
      <c r="D193" s="147"/>
      <c r="E193" s="148"/>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149"/>
      <c r="AH193" s="149"/>
      <c r="AI193" s="149"/>
      <c r="AJ193" s="149"/>
      <c r="AK193" s="149"/>
      <c r="AL193" s="149"/>
      <c r="AM193" s="149"/>
      <c r="AN193" s="149"/>
      <c r="AO193" s="149"/>
      <c r="AP193" s="149"/>
      <c r="AQ193" s="149"/>
      <c r="AR193" s="149"/>
      <c r="AS193" s="149"/>
      <c r="AT193" s="149"/>
      <c r="AU193" s="149"/>
      <c r="AV193" s="149"/>
    </row>
    <row r="194" spans="1:48" s="145" customFormat="1" ht="39.75" hidden="1" customHeight="1">
      <c r="A194" s="94"/>
      <c r="B194" s="95"/>
      <c r="C194" s="609" t="s">
        <v>261</v>
      </c>
      <c r="D194" s="609"/>
      <c r="E194" s="611" t="s">
        <v>264</v>
      </c>
      <c r="F194" s="302"/>
      <c r="G194" s="302"/>
      <c r="H194" s="302"/>
      <c r="I194" s="302"/>
      <c r="J194" s="302"/>
      <c r="K194" s="302"/>
      <c r="L194" s="302"/>
      <c r="M194" s="302"/>
      <c r="N194" s="302"/>
      <c r="O194" s="302"/>
      <c r="P194" s="302"/>
      <c r="Q194" s="302"/>
      <c r="R194" s="302"/>
      <c r="S194" s="302"/>
      <c r="T194" s="302"/>
      <c r="U194" s="302"/>
      <c r="V194" s="302"/>
      <c r="W194" s="302"/>
      <c r="X194" s="302"/>
      <c r="Y194" s="302"/>
      <c r="Z194" s="302"/>
      <c r="AA194" s="302"/>
      <c r="AB194" s="302"/>
      <c r="AC194" s="302"/>
      <c r="AD194" s="302"/>
      <c r="AE194" s="302"/>
      <c r="AF194" s="302"/>
      <c r="AG194" s="302"/>
      <c r="AH194" s="302"/>
      <c r="AI194" s="302"/>
      <c r="AJ194" s="302"/>
      <c r="AK194" s="302"/>
      <c r="AL194" s="302"/>
      <c r="AM194" s="302"/>
      <c r="AN194" s="302"/>
      <c r="AO194" s="302"/>
      <c r="AP194" s="302"/>
      <c r="AQ194" s="302"/>
      <c r="AR194" s="302"/>
      <c r="AS194" s="302"/>
      <c r="AT194" s="302"/>
      <c r="AU194" s="302"/>
      <c r="AV194" s="302"/>
    </row>
    <row r="195" spans="1:48" ht="37.5" customHeight="1">
      <c r="A195" s="21"/>
      <c r="B195" s="21"/>
      <c r="C195" s="609" t="s">
        <v>261</v>
      </c>
      <c r="D195" s="609"/>
      <c r="E195" s="610" t="s">
        <v>265</v>
      </c>
      <c r="F195" s="610"/>
      <c r="G195" s="610"/>
      <c r="H195" s="610"/>
      <c r="I195" s="610"/>
      <c r="J195" s="610"/>
      <c r="K195" s="610"/>
      <c r="L195" s="610"/>
      <c r="M195" s="610"/>
      <c r="N195" s="610"/>
      <c r="O195" s="610"/>
      <c r="P195" s="610"/>
      <c r="Q195" s="610"/>
      <c r="R195" s="610"/>
      <c r="S195" s="610"/>
      <c r="T195" s="610"/>
      <c r="U195" s="610"/>
      <c r="V195" s="610"/>
      <c r="W195" s="610"/>
      <c r="X195" s="610"/>
      <c r="Y195" s="610"/>
      <c r="Z195" s="610"/>
      <c r="AA195" s="610"/>
      <c r="AB195" s="610"/>
      <c r="AC195" s="610"/>
      <c r="AD195" s="610"/>
      <c r="AE195" s="610"/>
      <c r="AF195" s="610"/>
      <c r="AG195" s="610"/>
      <c r="AH195" s="610"/>
      <c r="AI195" s="610"/>
      <c r="AJ195" s="610"/>
      <c r="AK195" s="610"/>
      <c r="AL195" s="610"/>
      <c r="AM195" s="610"/>
      <c r="AN195" s="610"/>
      <c r="AO195" s="610"/>
      <c r="AP195" s="610"/>
      <c r="AQ195" s="610"/>
      <c r="AR195" s="610"/>
      <c r="AS195" s="610"/>
      <c r="AT195" s="610"/>
      <c r="AU195" s="610"/>
      <c r="AV195" s="610"/>
    </row>
    <row r="196" spans="1:48" s="145" customFormat="1" ht="3" customHeight="1">
      <c r="A196" s="94"/>
      <c r="B196" s="95"/>
      <c r="C196" s="147"/>
      <c r="D196" s="147"/>
      <c r="E196" s="148"/>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c r="AE196" s="149"/>
      <c r="AF196" s="149"/>
      <c r="AG196" s="149"/>
      <c r="AH196" s="149"/>
      <c r="AI196" s="149"/>
      <c r="AJ196" s="149"/>
      <c r="AK196" s="149"/>
      <c r="AL196" s="149"/>
      <c r="AM196" s="149"/>
      <c r="AN196" s="149"/>
      <c r="AO196" s="149"/>
      <c r="AP196" s="149"/>
      <c r="AQ196" s="149"/>
      <c r="AR196" s="149"/>
      <c r="AS196" s="149"/>
      <c r="AT196" s="149"/>
      <c r="AU196" s="149"/>
      <c r="AV196" s="149"/>
    </row>
    <row r="197" spans="1:48" ht="15" customHeight="1">
      <c r="A197" s="21"/>
      <c r="B197" s="21"/>
      <c r="C197" s="609" t="s">
        <v>261</v>
      </c>
      <c r="D197" s="609"/>
      <c r="E197" s="150" t="s">
        <v>266</v>
      </c>
      <c r="F197" s="150"/>
      <c r="G197" s="150"/>
      <c r="H197" s="150"/>
      <c r="I197" s="150"/>
      <c r="J197" s="150"/>
      <c r="K197" s="150"/>
      <c r="L197" s="150"/>
      <c r="M197" s="150"/>
      <c r="N197" s="150"/>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row>
    <row r="198" spans="1:48" ht="4.5" customHeight="1">
      <c r="A198" s="21"/>
      <c r="B198" s="21"/>
      <c r="C198" s="151"/>
      <c r="D198" s="150"/>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row>
    <row r="199" spans="1:48" ht="18.75" customHeight="1">
      <c r="A199" s="21"/>
      <c r="B199" s="21"/>
      <c r="C199" s="609" t="s">
        <v>261</v>
      </c>
      <c r="D199" s="609"/>
      <c r="E199" s="150" t="s">
        <v>267</v>
      </c>
      <c r="F199" s="150"/>
      <c r="G199" s="150"/>
      <c r="H199" s="150"/>
      <c r="I199" s="150"/>
      <c r="J199" s="150"/>
      <c r="K199" s="150"/>
      <c r="L199" s="150"/>
      <c r="M199" s="150"/>
      <c r="N199" s="150"/>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row>
    <row r="200" spans="1:48" ht="4.5" customHeight="1">
      <c r="A200" s="21"/>
      <c r="B200" s="21"/>
      <c r="C200" s="152"/>
      <c r="D200" s="150"/>
      <c r="E200" s="150"/>
      <c r="F200" s="150"/>
      <c r="G200" s="150"/>
      <c r="H200" s="150"/>
      <c r="I200" s="150"/>
      <c r="J200" s="150"/>
      <c r="K200" s="150"/>
      <c r="L200" s="150"/>
      <c r="M200" s="150"/>
      <c r="N200" s="150"/>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row>
    <row r="201" spans="1:48" ht="27.6" customHeight="1">
      <c r="A201" s="21"/>
      <c r="B201" s="21"/>
      <c r="C201" s="609" t="s">
        <v>261</v>
      </c>
      <c r="D201" s="609"/>
      <c r="E201" s="611" t="s">
        <v>268</v>
      </c>
      <c r="F201" s="302"/>
      <c r="G201" s="302"/>
      <c r="H201" s="302"/>
      <c r="I201" s="302"/>
      <c r="J201" s="302"/>
      <c r="K201" s="302"/>
      <c r="L201" s="302"/>
      <c r="M201" s="302"/>
      <c r="N201" s="302"/>
      <c r="O201" s="302"/>
      <c r="P201" s="302"/>
      <c r="Q201" s="302"/>
      <c r="R201" s="302"/>
      <c r="S201" s="302"/>
      <c r="T201" s="302"/>
      <c r="U201" s="302"/>
      <c r="V201" s="302"/>
      <c r="W201" s="302"/>
      <c r="X201" s="302"/>
      <c r="Y201" s="302"/>
      <c r="Z201" s="302"/>
      <c r="AA201" s="302"/>
      <c r="AB201" s="302"/>
      <c r="AC201" s="302"/>
      <c r="AD201" s="302"/>
      <c r="AE201" s="302"/>
      <c r="AF201" s="302"/>
      <c r="AG201" s="302"/>
      <c r="AH201" s="302"/>
      <c r="AI201" s="302"/>
      <c r="AJ201" s="302"/>
      <c r="AK201" s="302"/>
      <c r="AL201" s="302"/>
      <c r="AM201" s="302"/>
      <c r="AN201" s="302"/>
      <c r="AO201" s="302"/>
      <c r="AP201" s="302"/>
      <c r="AQ201" s="302"/>
      <c r="AR201" s="302"/>
      <c r="AS201" s="302"/>
      <c r="AT201" s="302"/>
      <c r="AU201" s="302"/>
      <c r="AV201" s="302"/>
    </row>
    <row r="202" spans="1:48" ht="4.5" customHeight="1">
      <c r="A202" s="21"/>
      <c r="B202" s="21"/>
      <c r="C202" s="152"/>
      <c r="D202" s="150"/>
      <c r="E202" s="150"/>
      <c r="F202" s="150"/>
      <c r="G202" s="150"/>
      <c r="H202" s="150"/>
      <c r="I202" s="150"/>
      <c r="J202" s="150"/>
      <c r="K202" s="150"/>
      <c r="L202" s="150"/>
      <c r="M202" s="150"/>
      <c r="N202" s="150"/>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row>
    <row r="203" spans="1:48" ht="42.75" customHeight="1">
      <c r="A203" s="21"/>
      <c r="B203" s="21"/>
      <c r="C203" s="609" t="s">
        <v>261</v>
      </c>
      <c r="D203" s="609"/>
      <c r="E203" s="611" t="s">
        <v>508</v>
      </c>
      <c r="F203" s="302"/>
      <c r="G203" s="302"/>
      <c r="H203" s="302"/>
      <c r="I203" s="302"/>
      <c r="J203" s="302"/>
      <c r="K203" s="302"/>
      <c r="L203" s="302"/>
      <c r="M203" s="302"/>
      <c r="N203" s="302"/>
      <c r="O203" s="302"/>
      <c r="P203" s="302"/>
      <c r="Q203" s="302"/>
      <c r="R203" s="302"/>
      <c r="S203" s="302"/>
      <c r="T203" s="302"/>
      <c r="U203" s="302"/>
      <c r="V203" s="302"/>
      <c r="W203" s="302"/>
      <c r="X203" s="302"/>
      <c r="Y203" s="302"/>
      <c r="Z203" s="302"/>
      <c r="AA203" s="302"/>
      <c r="AB203" s="302"/>
      <c r="AC203" s="302"/>
      <c r="AD203" s="302"/>
      <c r="AE203" s="302"/>
      <c r="AF203" s="302"/>
      <c r="AG203" s="302"/>
      <c r="AH203" s="302"/>
      <c r="AI203" s="302"/>
      <c r="AJ203" s="302"/>
      <c r="AK203" s="302"/>
      <c r="AL203" s="302"/>
      <c r="AM203" s="302"/>
      <c r="AN203" s="302"/>
      <c r="AO203" s="302"/>
      <c r="AP203" s="302"/>
      <c r="AQ203" s="302"/>
      <c r="AR203" s="302"/>
      <c r="AS203" s="302"/>
      <c r="AT203" s="302"/>
      <c r="AU203" s="302"/>
      <c r="AV203" s="302"/>
    </row>
    <row r="204" spans="1:48" ht="4.5" customHeight="1">
      <c r="A204" s="21"/>
      <c r="B204" s="21"/>
      <c r="C204" s="152"/>
      <c r="D204" s="150"/>
      <c r="E204" s="150"/>
      <c r="F204" s="150"/>
      <c r="G204" s="150"/>
      <c r="H204" s="150"/>
      <c r="I204" s="150"/>
      <c r="J204" s="150"/>
      <c r="K204" s="150"/>
      <c r="L204" s="150"/>
      <c r="M204" s="150"/>
      <c r="N204" s="150"/>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row>
    <row r="205" spans="1:48" ht="15.75" customHeight="1">
      <c r="A205" s="147"/>
      <c r="B205" s="21"/>
      <c r="C205" s="606" t="s">
        <v>269</v>
      </c>
      <c r="D205" s="607"/>
      <c r="E205" s="607"/>
      <c r="F205" s="607"/>
      <c r="G205" s="607"/>
      <c r="H205" s="607"/>
      <c r="I205" s="607"/>
      <c r="J205" s="607"/>
      <c r="K205" s="607"/>
      <c r="L205" s="607"/>
      <c r="M205" s="607"/>
      <c r="N205" s="607"/>
      <c r="O205" s="607"/>
      <c r="P205" s="607"/>
      <c r="Q205" s="607"/>
      <c r="R205" s="607"/>
      <c r="S205" s="607"/>
      <c r="T205" s="607"/>
      <c r="U205" s="607"/>
      <c r="V205" s="607"/>
      <c r="W205" s="607"/>
      <c r="X205" s="607"/>
      <c r="Y205" s="607"/>
      <c r="Z205" s="607"/>
      <c r="AA205" s="607"/>
      <c r="AB205" s="607"/>
      <c r="AC205" s="607"/>
      <c r="AD205" s="607"/>
      <c r="AE205" s="607"/>
      <c r="AF205" s="607"/>
      <c r="AG205" s="607"/>
      <c r="AH205" s="607"/>
      <c r="AI205" s="607"/>
      <c r="AJ205" s="607"/>
      <c r="AK205" s="607"/>
      <c r="AL205" s="607"/>
      <c r="AM205" s="607"/>
      <c r="AN205" s="607"/>
      <c r="AO205" s="607"/>
      <c r="AP205" s="607"/>
      <c r="AQ205" s="607"/>
      <c r="AR205" s="607"/>
      <c r="AS205" s="607"/>
      <c r="AT205" s="607"/>
      <c r="AU205" s="607"/>
      <c r="AV205" s="607"/>
    </row>
    <row r="206" spans="1:48" ht="14.1" customHeight="1">
      <c r="A206" s="608" t="s">
        <v>270</v>
      </c>
      <c r="B206" s="304"/>
      <c r="C206" s="508" t="s">
        <v>271</v>
      </c>
      <c r="D206" s="509"/>
      <c r="E206" s="509"/>
      <c r="F206" s="509"/>
      <c r="G206" s="509"/>
      <c r="H206" s="509"/>
      <c r="I206" s="509"/>
      <c r="J206" s="509"/>
      <c r="K206" s="509"/>
      <c r="L206" s="509"/>
      <c r="M206" s="509"/>
      <c r="N206" s="509"/>
      <c r="O206" s="509"/>
      <c r="P206" s="509"/>
      <c r="Q206" s="509"/>
      <c r="R206" s="509"/>
      <c r="S206" s="509"/>
      <c r="T206" s="509"/>
      <c r="U206" s="509"/>
      <c r="V206" s="509"/>
      <c r="W206" s="509"/>
      <c r="X206" s="509"/>
      <c r="Y206" s="509"/>
      <c r="Z206" s="509"/>
      <c r="AA206" s="509"/>
      <c r="AB206" s="509"/>
      <c r="AC206" s="509"/>
      <c r="AD206" s="509"/>
      <c r="AE206" s="509"/>
      <c r="AF206" s="509"/>
      <c r="AG206" s="509"/>
      <c r="AH206" s="509"/>
      <c r="AI206" s="509"/>
      <c r="AJ206" s="509"/>
      <c r="AK206" s="509"/>
      <c r="AL206" s="509"/>
      <c r="AM206" s="509"/>
      <c r="AN206" s="509"/>
      <c r="AO206" s="509"/>
      <c r="AP206" s="509"/>
      <c r="AQ206" s="509"/>
      <c r="AR206" s="509"/>
      <c r="AS206" s="509"/>
      <c r="AT206" s="509"/>
      <c r="AU206" s="509"/>
      <c r="AV206" s="509"/>
    </row>
    <row r="207" spans="1:48" ht="12.75" customHeight="1">
      <c r="A207" s="21"/>
      <c r="B207" s="21"/>
      <c r="C207" s="21"/>
      <c r="D207" s="21"/>
      <c r="E207" s="21"/>
      <c r="F207" s="21"/>
      <c r="G207" s="21"/>
      <c r="H207" s="56"/>
      <c r="I207" s="21"/>
      <c r="J207" s="56"/>
      <c r="K207" s="21"/>
      <c r="L207" s="21"/>
      <c r="M207" s="21"/>
      <c r="N207" s="21"/>
      <c r="O207" s="21"/>
      <c r="P207" s="21"/>
      <c r="Q207" s="21"/>
      <c r="R207" s="21"/>
      <c r="S207" s="56" t="str">
        <f>+R63</f>
        <v xml:space="preserve">  INFORME N° 26</v>
      </c>
      <c r="T207" s="21"/>
      <c r="U207" s="86"/>
      <c r="V207" s="87"/>
      <c r="W207" s="21"/>
      <c r="X207" s="21"/>
      <c r="Y207" s="21"/>
      <c r="Z207" s="21"/>
      <c r="AA207" s="21"/>
      <c r="AB207" s="566">
        <f>+AB63</f>
        <v>0</v>
      </c>
      <c r="AC207" s="567"/>
      <c r="AD207" s="567"/>
      <c r="AE207" s="567"/>
      <c r="AF207" s="567"/>
      <c r="AG207" s="21"/>
      <c r="AH207" s="21"/>
      <c r="AI207" s="21"/>
      <c r="AJ207" s="21"/>
      <c r="AK207" s="21"/>
      <c r="AL207" s="21"/>
      <c r="AM207" s="21"/>
      <c r="AN207" s="21"/>
      <c r="AO207" s="21"/>
      <c r="AP207" s="21"/>
      <c r="AQ207" s="21"/>
      <c r="AR207" s="21"/>
      <c r="AS207" s="21"/>
      <c r="AT207" s="21"/>
      <c r="AU207" s="21"/>
      <c r="AV207" s="21"/>
    </row>
    <row r="208" spans="1:48" ht="18" customHeight="1">
      <c r="A208" s="568">
        <v>1</v>
      </c>
      <c r="B208" s="326"/>
      <c r="C208" s="153" t="s">
        <v>272</v>
      </c>
      <c r="D208" s="89"/>
      <c r="E208" s="89"/>
      <c r="F208" s="89"/>
      <c r="G208" s="89"/>
      <c r="H208" s="89"/>
      <c r="I208" s="89"/>
      <c r="J208" s="154" t="s">
        <v>120</v>
      </c>
      <c r="K208" s="89"/>
      <c r="L208" s="89"/>
      <c r="M208" s="89"/>
      <c r="N208" s="89"/>
      <c r="O208" s="89"/>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row>
    <row r="209" spans="1:48" ht="54.75" customHeight="1">
      <c r="A209" s="21"/>
      <c r="B209" s="21"/>
      <c r="C209" s="303" t="s">
        <v>273</v>
      </c>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c r="Z209" s="304"/>
      <c r="AA209" s="304"/>
      <c r="AB209" s="304"/>
      <c r="AC209" s="304"/>
      <c r="AD209" s="304"/>
      <c r="AE209" s="304"/>
      <c r="AF209" s="304"/>
      <c r="AG209" s="304"/>
      <c r="AH209" s="304"/>
      <c r="AI209" s="304"/>
      <c r="AJ209" s="304"/>
      <c r="AK209" s="304"/>
      <c r="AL209" s="304"/>
      <c r="AM209" s="304"/>
      <c r="AN209" s="304"/>
      <c r="AO209" s="304"/>
      <c r="AP209" s="304"/>
      <c r="AQ209" s="304"/>
      <c r="AR209" s="304"/>
      <c r="AS209" s="304"/>
      <c r="AT209" s="304"/>
      <c r="AU209" s="304"/>
      <c r="AV209" s="304"/>
    </row>
    <row r="210" spans="1:48" ht="5.0999999999999996"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row>
    <row r="211" spans="1:48" s="31" customFormat="1" ht="13.5">
      <c r="C211" s="570" t="s">
        <v>274</v>
      </c>
      <c r="D211" s="532"/>
      <c r="E211" s="532"/>
      <c r="F211" s="532"/>
      <c r="G211" s="532"/>
      <c r="H211" s="532"/>
      <c r="I211" s="532"/>
      <c r="J211" s="532"/>
      <c r="K211" s="532"/>
      <c r="L211" s="532"/>
      <c r="M211" s="532"/>
      <c r="N211" s="532"/>
      <c r="O211" s="532"/>
      <c r="P211" s="532"/>
      <c r="Q211" s="532"/>
      <c r="R211" s="532"/>
      <c r="S211" s="532"/>
      <c r="T211" s="532"/>
      <c r="U211" s="532"/>
      <c r="V211" s="532"/>
      <c r="W211" s="532"/>
      <c r="X211" s="532"/>
      <c r="Y211" s="532"/>
      <c r="Z211" s="532"/>
      <c r="AA211" s="532"/>
      <c r="AB211" s="532"/>
      <c r="AC211" s="532"/>
      <c r="AD211" s="532"/>
      <c r="AE211" s="532"/>
      <c r="AF211" s="532"/>
      <c r="AG211" s="532"/>
      <c r="AH211" s="532"/>
      <c r="AI211" s="532"/>
      <c r="AJ211" s="532"/>
      <c r="AK211" s="532"/>
      <c r="AL211" s="532"/>
      <c r="AM211" s="532"/>
      <c r="AN211" s="532"/>
      <c r="AO211" s="532"/>
      <c r="AP211" s="532"/>
      <c r="AQ211" s="532"/>
      <c r="AR211" s="532"/>
      <c r="AS211" s="532"/>
      <c r="AT211" s="532"/>
      <c r="AU211" s="532"/>
      <c r="AV211" s="537"/>
    </row>
    <row r="212" spans="1:48" s="155" customFormat="1" ht="86.25" customHeight="1">
      <c r="C212" s="559" t="s">
        <v>177</v>
      </c>
      <c r="D212" s="540"/>
      <c r="E212" s="540"/>
      <c r="F212" s="540"/>
      <c r="G212" s="540"/>
      <c r="H212" s="540"/>
      <c r="I212" s="540"/>
      <c r="J212" s="540"/>
      <c r="K212" s="540"/>
      <c r="L212" s="540"/>
      <c r="M212" s="540"/>
      <c r="N212" s="540"/>
      <c r="O212" s="540"/>
      <c r="P212" s="540"/>
      <c r="Q212" s="541"/>
      <c r="R212" s="560" t="s">
        <v>275</v>
      </c>
      <c r="S212" s="561"/>
      <c r="T212" s="562"/>
      <c r="U212" s="560" t="s">
        <v>276</v>
      </c>
      <c r="V212" s="561"/>
      <c r="W212" s="562"/>
      <c r="X212" s="563" t="s">
        <v>277</v>
      </c>
      <c r="Y212" s="564"/>
      <c r="Z212" s="565"/>
      <c r="AA212" s="563" t="s">
        <v>278</v>
      </c>
      <c r="AB212" s="564"/>
      <c r="AC212" s="565"/>
      <c r="AD212" s="552" t="s">
        <v>279</v>
      </c>
      <c r="AE212" s="553"/>
      <c r="AF212" s="554"/>
      <c r="AG212" s="554"/>
      <c r="AH212" s="554"/>
      <c r="AI212" s="552" t="s">
        <v>280</v>
      </c>
      <c r="AJ212" s="553"/>
      <c r="AK212" s="554"/>
      <c r="AL212" s="554"/>
      <c r="AM212" s="554"/>
      <c r="AN212" s="552" t="s">
        <v>281</v>
      </c>
      <c r="AO212" s="555"/>
      <c r="AP212" s="555"/>
      <c r="AQ212" s="555"/>
      <c r="AR212" s="555"/>
      <c r="AS212" s="556" t="s">
        <v>282</v>
      </c>
      <c r="AT212" s="557"/>
      <c r="AU212" s="558"/>
      <c r="AV212" s="558"/>
    </row>
    <row r="213" spans="1:48" s="155" customFormat="1" ht="13.5">
      <c r="C213" s="559" t="s">
        <v>283</v>
      </c>
      <c r="D213" s="540"/>
      <c r="E213" s="540"/>
      <c r="F213" s="540"/>
      <c r="G213" s="540"/>
      <c r="H213" s="540"/>
      <c r="I213" s="540"/>
      <c r="J213" s="540"/>
      <c r="K213" s="540"/>
      <c r="L213" s="540"/>
      <c r="M213" s="540"/>
      <c r="N213" s="540"/>
      <c r="O213" s="540"/>
      <c r="P213" s="540"/>
      <c r="Q213" s="540"/>
      <c r="R213" s="540"/>
      <c r="S213" s="540"/>
      <c r="T213" s="540"/>
      <c r="U213" s="540"/>
      <c r="V213" s="540"/>
      <c r="W213" s="540"/>
      <c r="X213" s="540"/>
      <c r="Y213" s="540"/>
      <c r="Z213" s="540"/>
      <c r="AA213" s="540"/>
      <c r="AB213" s="540"/>
      <c r="AC213" s="540"/>
      <c r="AD213" s="540"/>
      <c r="AE213" s="540"/>
      <c r="AF213" s="540"/>
      <c r="AG213" s="540"/>
      <c r="AH213" s="540"/>
      <c r="AI213" s="540"/>
      <c r="AJ213" s="540"/>
      <c r="AK213" s="540"/>
      <c r="AL213" s="540"/>
      <c r="AM213" s="540"/>
      <c r="AN213" s="540"/>
      <c r="AO213" s="540"/>
      <c r="AP213" s="540"/>
      <c r="AQ213" s="540"/>
      <c r="AR213" s="540"/>
      <c r="AS213" s="540"/>
      <c r="AT213" s="540"/>
      <c r="AU213" s="540"/>
      <c r="AV213" s="541"/>
    </row>
    <row r="214" spans="1:48" s="156" customFormat="1" ht="71.25" customHeight="1">
      <c r="C214" s="604"/>
      <c r="D214" s="604"/>
      <c r="E214" s="604"/>
      <c r="F214" s="604"/>
      <c r="G214" s="604"/>
      <c r="H214" s="604"/>
      <c r="I214" s="604"/>
      <c r="J214" s="604"/>
      <c r="K214" s="604"/>
      <c r="L214" s="604"/>
      <c r="M214" s="604"/>
      <c r="N214" s="604"/>
      <c r="O214" s="604"/>
      <c r="P214" s="604"/>
      <c r="Q214" s="604"/>
      <c r="R214" s="605"/>
      <c r="S214" s="605"/>
      <c r="T214" s="605"/>
      <c r="U214" s="605"/>
      <c r="V214" s="605"/>
      <c r="W214" s="605"/>
      <c r="X214" s="605"/>
      <c r="Y214" s="605"/>
      <c r="Z214" s="605"/>
      <c r="AA214" s="605"/>
      <c r="AB214" s="605"/>
      <c r="AC214" s="605"/>
      <c r="AD214" s="602"/>
      <c r="AE214" s="602"/>
      <c r="AF214" s="603"/>
      <c r="AG214" s="603"/>
      <c r="AH214" s="603"/>
      <c r="AI214" s="602">
        <v>0</v>
      </c>
      <c r="AJ214" s="602"/>
      <c r="AK214" s="603"/>
      <c r="AL214" s="603"/>
      <c r="AM214" s="603"/>
      <c r="AN214" s="602">
        <f>AD214-AI214</f>
        <v>0</v>
      </c>
      <c r="AO214" s="603"/>
      <c r="AP214" s="603"/>
      <c r="AQ214" s="603"/>
      <c r="AR214" s="603"/>
      <c r="AS214" s="594" t="e">
        <f>AN214/X214</f>
        <v>#DIV/0!</v>
      </c>
      <c r="AT214" s="595"/>
      <c r="AU214" s="596"/>
      <c r="AV214" s="596"/>
    </row>
    <row r="215" spans="1:48" s="156" customFormat="1" ht="81" customHeight="1">
      <c r="C215" s="604"/>
      <c r="D215" s="604"/>
      <c r="E215" s="604"/>
      <c r="F215" s="604"/>
      <c r="G215" s="604"/>
      <c r="H215" s="604"/>
      <c r="I215" s="604"/>
      <c r="J215" s="604"/>
      <c r="K215" s="604"/>
      <c r="L215" s="604"/>
      <c r="M215" s="604"/>
      <c r="N215" s="604"/>
      <c r="O215" s="604"/>
      <c r="P215" s="604"/>
      <c r="Q215" s="604"/>
      <c r="R215" s="605"/>
      <c r="S215" s="605"/>
      <c r="T215" s="605"/>
      <c r="U215" s="605"/>
      <c r="V215" s="605"/>
      <c r="W215" s="605"/>
      <c r="X215" s="605"/>
      <c r="Y215" s="605"/>
      <c r="Z215" s="605"/>
      <c r="AA215" s="605"/>
      <c r="AB215" s="605"/>
      <c r="AC215" s="605"/>
      <c r="AD215" s="602"/>
      <c r="AE215" s="602"/>
      <c r="AF215" s="603"/>
      <c r="AG215" s="603"/>
      <c r="AH215" s="603"/>
      <c r="AI215" s="602">
        <v>0</v>
      </c>
      <c r="AJ215" s="602"/>
      <c r="AK215" s="603"/>
      <c r="AL215" s="603"/>
      <c r="AM215" s="603"/>
      <c r="AN215" s="602">
        <f>AD215-AI215</f>
        <v>0</v>
      </c>
      <c r="AO215" s="603"/>
      <c r="AP215" s="603"/>
      <c r="AQ215" s="603"/>
      <c r="AR215" s="603"/>
      <c r="AS215" s="594" t="e">
        <f>AN215/X215</f>
        <v>#DIV/0!</v>
      </c>
      <c r="AT215" s="595"/>
      <c r="AU215" s="596"/>
      <c r="AV215" s="596"/>
    </row>
    <row r="216" spans="1:48" s="156" customFormat="1" ht="71.25" customHeight="1">
      <c r="C216" s="604"/>
      <c r="D216" s="604"/>
      <c r="E216" s="604"/>
      <c r="F216" s="604"/>
      <c r="G216" s="604"/>
      <c r="H216" s="604"/>
      <c r="I216" s="604"/>
      <c r="J216" s="604"/>
      <c r="K216" s="604"/>
      <c r="L216" s="604"/>
      <c r="M216" s="604"/>
      <c r="N216" s="604"/>
      <c r="O216" s="604"/>
      <c r="P216" s="604"/>
      <c r="Q216" s="604"/>
      <c r="R216" s="605"/>
      <c r="S216" s="605"/>
      <c r="T216" s="605"/>
      <c r="U216" s="605"/>
      <c r="V216" s="605"/>
      <c r="W216" s="605"/>
      <c r="X216" s="605"/>
      <c r="Y216" s="605"/>
      <c r="Z216" s="605"/>
      <c r="AA216" s="605"/>
      <c r="AB216" s="605"/>
      <c r="AC216" s="605"/>
      <c r="AD216" s="602"/>
      <c r="AE216" s="602"/>
      <c r="AF216" s="603"/>
      <c r="AG216" s="603"/>
      <c r="AH216" s="603"/>
      <c r="AI216" s="602">
        <v>0</v>
      </c>
      <c r="AJ216" s="602"/>
      <c r="AK216" s="603"/>
      <c r="AL216" s="603"/>
      <c r="AM216" s="603"/>
      <c r="AN216" s="602">
        <f>AD216-AI216</f>
        <v>0</v>
      </c>
      <c r="AO216" s="603"/>
      <c r="AP216" s="603"/>
      <c r="AQ216" s="603"/>
      <c r="AR216" s="603"/>
      <c r="AS216" s="594" t="e">
        <f>AN216/X216</f>
        <v>#DIV/0!</v>
      </c>
      <c r="AT216" s="595"/>
      <c r="AU216" s="596"/>
      <c r="AV216" s="596"/>
    </row>
    <row r="217" spans="1:48" s="156" customFormat="1" ht="81" customHeight="1">
      <c r="C217" s="604"/>
      <c r="D217" s="604"/>
      <c r="E217" s="604"/>
      <c r="F217" s="604"/>
      <c r="G217" s="604"/>
      <c r="H217" s="604"/>
      <c r="I217" s="604"/>
      <c r="J217" s="604"/>
      <c r="K217" s="604"/>
      <c r="L217" s="604"/>
      <c r="M217" s="604"/>
      <c r="N217" s="604"/>
      <c r="O217" s="604"/>
      <c r="P217" s="604"/>
      <c r="Q217" s="604"/>
      <c r="R217" s="605"/>
      <c r="S217" s="605"/>
      <c r="T217" s="605"/>
      <c r="U217" s="605"/>
      <c r="V217" s="605"/>
      <c r="W217" s="605"/>
      <c r="X217" s="605"/>
      <c r="Y217" s="605"/>
      <c r="Z217" s="605"/>
      <c r="AA217" s="605"/>
      <c r="AB217" s="605"/>
      <c r="AC217" s="605"/>
      <c r="AD217" s="602"/>
      <c r="AE217" s="602"/>
      <c r="AF217" s="603"/>
      <c r="AG217" s="603"/>
      <c r="AH217" s="603"/>
      <c r="AI217" s="602">
        <v>0</v>
      </c>
      <c r="AJ217" s="602"/>
      <c r="AK217" s="603"/>
      <c r="AL217" s="603"/>
      <c r="AM217" s="603"/>
      <c r="AN217" s="602">
        <f>AD217-AI217</f>
        <v>0</v>
      </c>
      <c r="AO217" s="603"/>
      <c r="AP217" s="603"/>
      <c r="AQ217" s="603"/>
      <c r="AR217" s="603"/>
      <c r="AS217" s="594" t="e">
        <f>AN217/X217</f>
        <v>#DIV/0!</v>
      </c>
      <c r="AT217" s="595"/>
      <c r="AU217" s="596"/>
      <c r="AV217" s="596"/>
    </row>
    <row r="218" spans="1:48" s="155" customFormat="1" ht="36.75" customHeight="1">
      <c r="C218" s="539" t="s">
        <v>284</v>
      </c>
      <c r="D218" s="540"/>
      <c r="E218" s="540"/>
      <c r="F218" s="540"/>
      <c r="G218" s="540"/>
      <c r="H218" s="540"/>
      <c r="I218" s="540"/>
      <c r="J218" s="540"/>
      <c r="K218" s="540"/>
      <c r="L218" s="540"/>
      <c r="M218" s="540"/>
      <c r="N218" s="540"/>
      <c r="O218" s="540"/>
      <c r="P218" s="540"/>
      <c r="Q218" s="540"/>
      <c r="R218" s="540"/>
      <c r="S218" s="540"/>
      <c r="T218" s="540"/>
      <c r="U218" s="540"/>
      <c r="V218" s="540"/>
      <c r="W218" s="540"/>
      <c r="X218" s="540"/>
      <c r="Y218" s="540"/>
      <c r="Z218" s="540"/>
      <c r="AA218" s="540"/>
      <c r="AB218" s="540"/>
      <c r="AC218" s="540"/>
      <c r="AD218" s="540"/>
      <c r="AE218" s="540"/>
      <c r="AF218" s="540"/>
      <c r="AG218" s="540"/>
      <c r="AH218" s="540"/>
      <c r="AI218" s="540"/>
      <c r="AJ218" s="540"/>
      <c r="AK218" s="540"/>
      <c r="AL218" s="540"/>
      <c r="AM218" s="540"/>
      <c r="AN218" s="540"/>
      <c r="AO218" s="540"/>
      <c r="AP218" s="540"/>
      <c r="AQ218" s="540"/>
      <c r="AR218" s="540"/>
      <c r="AS218" s="540"/>
      <c r="AT218" s="540"/>
      <c r="AU218" s="540"/>
      <c r="AV218" s="541"/>
    </row>
    <row r="219" spans="1:48" s="157" customFormat="1" ht="80.25" customHeight="1" thickBot="1">
      <c r="C219" s="597"/>
      <c r="D219" s="597"/>
      <c r="E219" s="597"/>
      <c r="F219" s="597"/>
      <c r="G219" s="597"/>
      <c r="H219" s="597"/>
      <c r="I219" s="597"/>
      <c r="J219" s="597"/>
      <c r="K219" s="597"/>
      <c r="L219" s="597"/>
      <c r="M219" s="597"/>
      <c r="N219" s="597"/>
      <c r="O219" s="597"/>
      <c r="P219" s="597"/>
      <c r="Q219" s="597"/>
      <c r="R219" s="598"/>
      <c r="S219" s="598"/>
      <c r="T219" s="598"/>
      <c r="U219" s="598"/>
      <c r="V219" s="598"/>
      <c r="W219" s="598"/>
      <c r="X219" s="599"/>
      <c r="Y219" s="599"/>
      <c r="Z219" s="599"/>
      <c r="AA219" s="599"/>
      <c r="AB219" s="599"/>
      <c r="AC219" s="599"/>
      <c r="AD219" s="600"/>
      <c r="AE219" s="600"/>
      <c r="AF219" s="600"/>
      <c r="AG219" s="600"/>
      <c r="AH219" s="600"/>
      <c r="AI219" s="600"/>
      <c r="AJ219" s="600"/>
      <c r="AK219" s="600"/>
      <c r="AL219" s="600"/>
      <c r="AM219" s="600"/>
      <c r="AN219" s="600">
        <f>+AD219-AI219</f>
        <v>0</v>
      </c>
      <c r="AO219" s="601"/>
      <c r="AP219" s="601"/>
      <c r="AQ219" s="601"/>
      <c r="AR219" s="601"/>
      <c r="AS219" s="590" t="e">
        <f>+AN219/X219</f>
        <v>#DIV/0!</v>
      </c>
      <c r="AT219" s="591"/>
      <c r="AU219" s="592"/>
      <c r="AV219" s="592"/>
    </row>
    <row r="220" spans="1:48" s="158" customFormat="1" ht="21" customHeight="1" thickTop="1">
      <c r="A220" s="158" t="s">
        <v>285</v>
      </c>
      <c r="B220" s="159"/>
      <c r="C220" s="521"/>
      <c r="D220" s="522"/>
      <c r="E220" s="522"/>
      <c r="F220" s="522"/>
      <c r="G220" s="522"/>
      <c r="H220" s="522"/>
      <c r="I220" s="522"/>
      <c r="J220" s="522"/>
      <c r="K220" s="522"/>
      <c r="L220" s="522"/>
      <c r="M220" s="522"/>
      <c r="N220" s="522"/>
      <c r="O220" s="522"/>
      <c r="P220" s="522"/>
      <c r="Q220" s="522"/>
      <c r="R220" s="522"/>
      <c r="S220" s="522"/>
      <c r="T220" s="522"/>
      <c r="U220" s="522"/>
      <c r="V220" s="522"/>
      <c r="W220" s="522"/>
      <c r="X220" s="522"/>
      <c r="Y220" s="522"/>
      <c r="Z220" s="522"/>
      <c r="AA220" s="522"/>
      <c r="AB220" s="522"/>
      <c r="AC220" s="522"/>
      <c r="AD220" s="522"/>
      <c r="AE220" s="522"/>
      <c r="AF220" s="522"/>
      <c r="AG220" s="522"/>
      <c r="AH220" s="522"/>
      <c r="AI220" s="522"/>
      <c r="AJ220" s="522"/>
      <c r="AK220" s="522"/>
      <c r="AL220" s="522"/>
      <c r="AM220" s="522"/>
      <c r="AN220" s="522"/>
      <c r="AO220" s="522"/>
      <c r="AP220" s="522"/>
      <c r="AQ220" s="522"/>
      <c r="AR220" s="522"/>
      <c r="AS220" s="522"/>
      <c r="AT220" s="522"/>
      <c r="AU220" s="522"/>
      <c r="AV220" s="523"/>
    </row>
    <row r="221" spans="1:48" s="158" customFormat="1" ht="21" customHeight="1">
      <c r="A221" s="21"/>
      <c r="B221" s="159"/>
      <c r="C221" s="524"/>
      <c r="D221" s="509"/>
      <c r="E221" s="509"/>
      <c r="F221" s="509"/>
      <c r="G221" s="509"/>
      <c r="H221" s="509"/>
      <c r="I221" s="509"/>
      <c r="J221" s="509"/>
      <c r="K221" s="509"/>
      <c r="L221" s="509"/>
      <c r="M221" s="509"/>
      <c r="N221" s="509"/>
      <c r="O221" s="509"/>
      <c r="P221" s="509"/>
      <c r="Q221" s="509"/>
      <c r="R221" s="509"/>
      <c r="S221" s="509"/>
      <c r="T221" s="509"/>
      <c r="U221" s="509"/>
      <c r="V221" s="509"/>
      <c r="W221" s="509"/>
      <c r="X221" s="509"/>
      <c r="Y221" s="509"/>
      <c r="Z221" s="509"/>
      <c r="AA221" s="509"/>
      <c r="AB221" s="509"/>
      <c r="AC221" s="509"/>
      <c r="AD221" s="509"/>
      <c r="AE221" s="509"/>
      <c r="AF221" s="509"/>
      <c r="AG221" s="509"/>
      <c r="AH221" s="509"/>
      <c r="AI221" s="509"/>
      <c r="AJ221" s="509"/>
      <c r="AK221" s="509"/>
      <c r="AL221" s="509"/>
      <c r="AM221" s="509"/>
      <c r="AN221" s="509"/>
      <c r="AO221" s="509"/>
      <c r="AP221" s="509"/>
      <c r="AQ221" s="509"/>
      <c r="AR221" s="509"/>
      <c r="AS221" s="509"/>
      <c r="AT221" s="509"/>
      <c r="AU221" s="509"/>
      <c r="AV221" s="525"/>
    </row>
    <row r="222" spans="1:48" s="158" customFormat="1" ht="21" customHeight="1">
      <c r="A222" s="21"/>
      <c r="B222" s="159"/>
      <c r="C222" s="524"/>
      <c r="D222" s="509"/>
      <c r="E222" s="509"/>
      <c r="F222" s="509"/>
      <c r="G222" s="509"/>
      <c r="H222" s="509"/>
      <c r="I222" s="509"/>
      <c r="J222" s="509"/>
      <c r="K222" s="509"/>
      <c r="L222" s="509"/>
      <c r="M222" s="509"/>
      <c r="N222" s="509"/>
      <c r="O222" s="509"/>
      <c r="P222" s="509"/>
      <c r="Q222" s="509"/>
      <c r="R222" s="509"/>
      <c r="S222" s="509"/>
      <c r="T222" s="509"/>
      <c r="U222" s="509"/>
      <c r="V222" s="509"/>
      <c r="W222" s="509"/>
      <c r="X222" s="509"/>
      <c r="Y222" s="509"/>
      <c r="Z222" s="509"/>
      <c r="AA222" s="509"/>
      <c r="AB222" s="509"/>
      <c r="AC222" s="509"/>
      <c r="AD222" s="509"/>
      <c r="AE222" s="509"/>
      <c r="AF222" s="509"/>
      <c r="AG222" s="509"/>
      <c r="AH222" s="509"/>
      <c r="AI222" s="509"/>
      <c r="AJ222" s="509"/>
      <c r="AK222" s="509"/>
      <c r="AL222" s="509"/>
      <c r="AM222" s="509"/>
      <c r="AN222" s="509"/>
      <c r="AO222" s="509"/>
      <c r="AP222" s="509"/>
      <c r="AQ222" s="509"/>
      <c r="AR222" s="509"/>
      <c r="AS222" s="509"/>
      <c r="AT222" s="509"/>
      <c r="AU222" s="509"/>
      <c r="AV222" s="525"/>
    </row>
    <row r="223" spans="1:48" s="158" customFormat="1" ht="21" customHeight="1">
      <c r="A223" s="21"/>
      <c r="B223" s="159"/>
      <c r="C223" s="524"/>
      <c r="D223" s="509"/>
      <c r="E223" s="509"/>
      <c r="F223" s="509"/>
      <c r="G223" s="509"/>
      <c r="H223" s="509"/>
      <c r="I223" s="509"/>
      <c r="J223" s="509"/>
      <c r="K223" s="509"/>
      <c r="L223" s="509"/>
      <c r="M223" s="509"/>
      <c r="N223" s="509"/>
      <c r="O223" s="509"/>
      <c r="P223" s="509"/>
      <c r="Q223" s="509"/>
      <c r="R223" s="509"/>
      <c r="S223" s="509"/>
      <c r="T223" s="509"/>
      <c r="U223" s="509"/>
      <c r="V223" s="509"/>
      <c r="W223" s="509"/>
      <c r="X223" s="509"/>
      <c r="Y223" s="509"/>
      <c r="Z223" s="509"/>
      <c r="AA223" s="509"/>
      <c r="AB223" s="509"/>
      <c r="AC223" s="509"/>
      <c r="AD223" s="509"/>
      <c r="AE223" s="509"/>
      <c r="AF223" s="509"/>
      <c r="AG223" s="509"/>
      <c r="AH223" s="509"/>
      <c r="AI223" s="509"/>
      <c r="AJ223" s="509"/>
      <c r="AK223" s="509"/>
      <c r="AL223" s="509"/>
      <c r="AM223" s="509"/>
      <c r="AN223" s="509"/>
      <c r="AO223" s="509"/>
      <c r="AP223" s="509"/>
      <c r="AQ223" s="509"/>
      <c r="AR223" s="509"/>
      <c r="AS223" s="509"/>
      <c r="AT223" s="509"/>
      <c r="AU223" s="509"/>
      <c r="AV223" s="525"/>
    </row>
    <row r="224" spans="1:48" s="158" customFormat="1" ht="21" customHeight="1">
      <c r="A224" s="21"/>
      <c r="B224" s="159"/>
      <c r="C224" s="524"/>
      <c r="D224" s="509"/>
      <c r="E224" s="509"/>
      <c r="F224" s="509"/>
      <c r="G224" s="509"/>
      <c r="H224" s="509"/>
      <c r="I224" s="509"/>
      <c r="J224" s="509"/>
      <c r="K224" s="509"/>
      <c r="L224" s="509"/>
      <c r="M224" s="509"/>
      <c r="N224" s="509"/>
      <c r="O224" s="509"/>
      <c r="P224" s="509"/>
      <c r="Q224" s="509"/>
      <c r="R224" s="509"/>
      <c r="S224" s="509"/>
      <c r="T224" s="509"/>
      <c r="U224" s="509"/>
      <c r="V224" s="509"/>
      <c r="W224" s="509"/>
      <c r="X224" s="509"/>
      <c r="Y224" s="509"/>
      <c r="Z224" s="509"/>
      <c r="AA224" s="509"/>
      <c r="AB224" s="509"/>
      <c r="AC224" s="509"/>
      <c r="AD224" s="509"/>
      <c r="AE224" s="509"/>
      <c r="AF224" s="509"/>
      <c r="AG224" s="509"/>
      <c r="AH224" s="509"/>
      <c r="AI224" s="509"/>
      <c r="AJ224" s="509"/>
      <c r="AK224" s="509"/>
      <c r="AL224" s="509"/>
      <c r="AM224" s="509"/>
      <c r="AN224" s="509"/>
      <c r="AO224" s="509"/>
      <c r="AP224" s="509"/>
      <c r="AQ224" s="509"/>
      <c r="AR224" s="509"/>
      <c r="AS224" s="509"/>
      <c r="AT224" s="509"/>
      <c r="AU224" s="509"/>
      <c r="AV224" s="525"/>
    </row>
    <row r="225" spans="1:48" s="158" customFormat="1" ht="21" customHeight="1">
      <c r="B225" s="159"/>
      <c r="C225" s="524"/>
      <c r="D225" s="509"/>
      <c r="E225" s="509"/>
      <c r="F225" s="509"/>
      <c r="G225" s="509"/>
      <c r="H225" s="509"/>
      <c r="I225" s="509"/>
      <c r="J225" s="509"/>
      <c r="K225" s="509"/>
      <c r="L225" s="509"/>
      <c r="M225" s="509"/>
      <c r="N225" s="509"/>
      <c r="O225" s="509"/>
      <c r="P225" s="509"/>
      <c r="Q225" s="509"/>
      <c r="R225" s="509"/>
      <c r="S225" s="509"/>
      <c r="T225" s="509"/>
      <c r="U225" s="509"/>
      <c r="V225" s="509"/>
      <c r="W225" s="509"/>
      <c r="X225" s="509"/>
      <c r="Y225" s="509"/>
      <c r="Z225" s="509"/>
      <c r="AA225" s="509"/>
      <c r="AB225" s="509"/>
      <c r="AC225" s="509"/>
      <c r="AD225" s="509"/>
      <c r="AE225" s="509"/>
      <c r="AF225" s="509"/>
      <c r="AG225" s="509"/>
      <c r="AH225" s="509"/>
      <c r="AI225" s="509"/>
      <c r="AJ225" s="509"/>
      <c r="AK225" s="509"/>
      <c r="AL225" s="509"/>
      <c r="AM225" s="509"/>
      <c r="AN225" s="509"/>
      <c r="AO225" s="509"/>
      <c r="AP225" s="509"/>
      <c r="AQ225" s="509"/>
      <c r="AR225" s="509"/>
      <c r="AS225" s="509"/>
      <c r="AT225" s="509"/>
      <c r="AU225" s="509"/>
      <c r="AV225" s="525"/>
    </row>
    <row r="226" spans="1:48" s="158" customFormat="1" ht="21" customHeight="1">
      <c r="A226" s="21"/>
      <c r="B226" s="159"/>
      <c r="C226" s="524"/>
      <c r="D226" s="509"/>
      <c r="E226" s="509"/>
      <c r="F226" s="509"/>
      <c r="G226" s="509"/>
      <c r="H226" s="509"/>
      <c r="I226" s="509"/>
      <c r="J226" s="509"/>
      <c r="K226" s="509"/>
      <c r="L226" s="509"/>
      <c r="M226" s="509"/>
      <c r="N226" s="509"/>
      <c r="O226" s="509"/>
      <c r="P226" s="509"/>
      <c r="Q226" s="509"/>
      <c r="R226" s="509"/>
      <c r="S226" s="509"/>
      <c r="T226" s="509"/>
      <c r="U226" s="509"/>
      <c r="V226" s="509"/>
      <c r="W226" s="509"/>
      <c r="X226" s="509"/>
      <c r="Y226" s="509"/>
      <c r="Z226" s="509"/>
      <c r="AA226" s="509"/>
      <c r="AB226" s="509"/>
      <c r="AC226" s="509"/>
      <c r="AD226" s="509"/>
      <c r="AE226" s="509"/>
      <c r="AF226" s="509"/>
      <c r="AG226" s="509"/>
      <c r="AH226" s="509"/>
      <c r="AI226" s="509"/>
      <c r="AJ226" s="509"/>
      <c r="AK226" s="509"/>
      <c r="AL226" s="509"/>
      <c r="AM226" s="509"/>
      <c r="AN226" s="509"/>
      <c r="AO226" s="509"/>
      <c r="AP226" s="509"/>
      <c r="AQ226" s="509"/>
      <c r="AR226" s="509"/>
      <c r="AS226" s="509"/>
      <c r="AT226" s="509"/>
      <c r="AU226" s="509"/>
      <c r="AV226" s="525"/>
    </row>
    <row r="227" spans="1:48" s="158" customFormat="1" ht="21" customHeight="1">
      <c r="A227" s="21"/>
      <c r="B227" s="159"/>
      <c r="C227" s="524"/>
      <c r="D227" s="509"/>
      <c r="E227" s="509"/>
      <c r="F227" s="509"/>
      <c r="G227" s="509"/>
      <c r="H227" s="509"/>
      <c r="I227" s="509"/>
      <c r="J227" s="509"/>
      <c r="K227" s="509"/>
      <c r="L227" s="509"/>
      <c r="M227" s="509"/>
      <c r="N227" s="509"/>
      <c r="O227" s="509"/>
      <c r="P227" s="509"/>
      <c r="Q227" s="509"/>
      <c r="R227" s="509"/>
      <c r="S227" s="509"/>
      <c r="T227" s="509"/>
      <c r="U227" s="509"/>
      <c r="V227" s="509"/>
      <c r="W227" s="509"/>
      <c r="X227" s="509"/>
      <c r="Y227" s="509"/>
      <c r="Z227" s="509"/>
      <c r="AA227" s="509"/>
      <c r="AB227" s="509"/>
      <c r="AC227" s="509"/>
      <c r="AD227" s="509"/>
      <c r="AE227" s="509"/>
      <c r="AF227" s="509"/>
      <c r="AG227" s="509"/>
      <c r="AH227" s="509"/>
      <c r="AI227" s="509"/>
      <c r="AJ227" s="509"/>
      <c r="AK227" s="509"/>
      <c r="AL227" s="509"/>
      <c r="AM227" s="509"/>
      <c r="AN227" s="509"/>
      <c r="AO227" s="509"/>
      <c r="AP227" s="509"/>
      <c r="AQ227" s="509"/>
      <c r="AR227" s="509"/>
      <c r="AS227" s="509"/>
      <c r="AT227" s="509"/>
      <c r="AU227" s="509"/>
      <c r="AV227" s="525"/>
    </row>
    <row r="228" spans="1:48" s="158" customFormat="1" ht="21" customHeight="1">
      <c r="A228" s="21"/>
      <c r="B228" s="159"/>
      <c r="C228" s="524"/>
      <c r="D228" s="509"/>
      <c r="E228" s="509"/>
      <c r="F228" s="509"/>
      <c r="G228" s="509"/>
      <c r="H228" s="509"/>
      <c r="I228" s="509"/>
      <c r="J228" s="509"/>
      <c r="K228" s="509"/>
      <c r="L228" s="509"/>
      <c r="M228" s="509"/>
      <c r="N228" s="509"/>
      <c r="O228" s="509"/>
      <c r="P228" s="509"/>
      <c r="Q228" s="509"/>
      <c r="R228" s="509"/>
      <c r="S228" s="509"/>
      <c r="T228" s="509"/>
      <c r="U228" s="509"/>
      <c r="V228" s="509"/>
      <c r="W228" s="509"/>
      <c r="X228" s="509"/>
      <c r="Y228" s="509"/>
      <c r="Z228" s="509"/>
      <c r="AA228" s="509"/>
      <c r="AB228" s="509"/>
      <c r="AC228" s="509"/>
      <c r="AD228" s="509"/>
      <c r="AE228" s="509"/>
      <c r="AF228" s="509"/>
      <c r="AG228" s="509"/>
      <c r="AH228" s="509"/>
      <c r="AI228" s="509"/>
      <c r="AJ228" s="509"/>
      <c r="AK228" s="509"/>
      <c r="AL228" s="509"/>
      <c r="AM228" s="509"/>
      <c r="AN228" s="509"/>
      <c r="AO228" s="509"/>
      <c r="AP228" s="509"/>
      <c r="AQ228" s="509"/>
      <c r="AR228" s="509"/>
      <c r="AS228" s="509"/>
      <c r="AT228" s="509"/>
      <c r="AU228" s="509"/>
      <c r="AV228" s="525"/>
    </row>
    <row r="229" spans="1:48" s="158" customFormat="1" ht="21" customHeight="1">
      <c r="A229" s="21"/>
      <c r="B229" s="159"/>
      <c r="C229" s="524"/>
      <c r="D229" s="509"/>
      <c r="E229" s="509"/>
      <c r="F229" s="509"/>
      <c r="G229" s="509"/>
      <c r="H229" s="509"/>
      <c r="I229" s="509"/>
      <c r="J229" s="509"/>
      <c r="K229" s="509"/>
      <c r="L229" s="509"/>
      <c r="M229" s="509"/>
      <c r="N229" s="509"/>
      <c r="O229" s="509"/>
      <c r="P229" s="509"/>
      <c r="Q229" s="509"/>
      <c r="R229" s="509"/>
      <c r="S229" s="509"/>
      <c r="T229" s="509"/>
      <c r="U229" s="509"/>
      <c r="V229" s="509"/>
      <c r="W229" s="509"/>
      <c r="X229" s="509"/>
      <c r="Y229" s="509"/>
      <c r="Z229" s="509"/>
      <c r="AA229" s="509"/>
      <c r="AB229" s="509"/>
      <c r="AC229" s="509"/>
      <c r="AD229" s="509"/>
      <c r="AE229" s="509"/>
      <c r="AF229" s="509"/>
      <c r="AG229" s="509"/>
      <c r="AH229" s="509"/>
      <c r="AI229" s="509"/>
      <c r="AJ229" s="509"/>
      <c r="AK229" s="509"/>
      <c r="AL229" s="509"/>
      <c r="AM229" s="509"/>
      <c r="AN229" s="509"/>
      <c r="AO229" s="509"/>
      <c r="AP229" s="509"/>
      <c r="AQ229" s="509"/>
      <c r="AR229" s="509"/>
      <c r="AS229" s="509"/>
      <c r="AT229" s="509"/>
      <c r="AU229" s="509"/>
      <c r="AV229" s="525"/>
    </row>
    <row r="230" spans="1:48" s="158" customFormat="1" ht="21" customHeight="1">
      <c r="B230" s="159"/>
      <c r="C230" s="524"/>
      <c r="D230" s="509"/>
      <c r="E230" s="509"/>
      <c r="F230" s="509"/>
      <c r="G230" s="509"/>
      <c r="H230" s="509"/>
      <c r="I230" s="509"/>
      <c r="J230" s="509"/>
      <c r="K230" s="509"/>
      <c r="L230" s="509"/>
      <c r="M230" s="509"/>
      <c r="N230" s="509"/>
      <c r="O230" s="509"/>
      <c r="P230" s="509"/>
      <c r="Q230" s="509"/>
      <c r="R230" s="509"/>
      <c r="S230" s="509"/>
      <c r="T230" s="509"/>
      <c r="U230" s="509"/>
      <c r="V230" s="509"/>
      <c r="W230" s="509"/>
      <c r="X230" s="509"/>
      <c r="Y230" s="509"/>
      <c r="Z230" s="509"/>
      <c r="AA230" s="509"/>
      <c r="AB230" s="509"/>
      <c r="AC230" s="509"/>
      <c r="AD230" s="509"/>
      <c r="AE230" s="509"/>
      <c r="AF230" s="509"/>
      <c r="AG230" s="509"/>
      <c r="AH230" s="509"/>
      <c r="AI230" s="509"/>
      <c r="AJ230" s="509"/>
      <c r="AK230" s="509"/>
      <c r="AL230" s="509"/>
      <c r="AM230" s="509"/>
      <c r="AN230" s="509"/>
      <c r="AO230" s="509"/>
      <c r="AP230" s="509"/>
      <c r="AQ230" s="509"/>
      <c r="AR230" s="509"/>
      <c r="AS230" s="509"/>
      <c r="AT230" s="509"/>
      <c r="AU230" s="509"/>
      <c r="AV230" s="525"/>
    </row>
    <row r="231" spans="1:48" s="158" customFormat="1" ht="21" customHeight="1">
      <c r="A231" s="21"/>
      <c r="B231" s="159"/>
      <c r="C231" s="524"/>
      <c r="D231" s="509"/>
      <c r="E231" s="509"/>
      <c r="F231" s="509"/>
      <c r="G231" s="509"/>
      <c r="H231" s="509"/>
      <c r="I231" s="509"/>
      <c r="J231" s="509"/>
      <c r="K231" s="509"/>
      <c r="L231" s="509"/>
      <c r="M231" s="509"/>
      <c r="N231" s="509"/>
      <c r="O231" s="509"/>
      <c r="P231" s="509"/>
      <c r="Q231" s="509"/>
      <c r="R231" s="509"/>
      <c r="S231" s="509"/>
      <c r="T231" s="509"/>
      <c r="U231" s="509"/>
      <c r="V231" s="509"/>
      <c r="W231" s="509"/>
      <c r="X231" s="509"/>
      <c r="Y231" s="509"/>
      <c r="Z231" s="509"/>
      <c r="AA231" s="509"/>
      <c r="AB231" s="509"/>
      <c r="AC231" s="509"/>
      <c r="AD231" s="509"/>
      <c r="AE231" s="509"/>
      <c r="AF231" s="509"/>
      <c r="AG231" s="509"/>
      <c r="AH231" s="509"/>
      <c r="AI231" s="509"/>
      <c r="AJ231" s="509"/>
      <c r="AK231" s="509"/>
      <c r="AL231" s="509"/>
      <c r="AM231" s="509"/>
      <c r="AN231" s="509"/>
      <c r="AO231" s="509"/>
      <c r="AP231" s="509"/>
      <c r="AQ231" s="509"/>
      <c r="AR231" s="509"/>
      <c r="AS231" s="509"/>
      <c r="AT231" s="509"/>
      <c r="AU231" s="509"/>
      <c r="AV231" s="525"/>
    </row>
    <row r="232" spans="1:48" s="158" customFormat="1" ht="21" customHeight="1">
      <c r="B232" s="159"/>
      <c r="C232" s="524"/>
      <c r="D232" s="509"/>
      <c r="E232" s="509"/>
      <c r="F232" s="509"/>
      <c r="G232" s="509"/>
      <c r="H232" s="509"/>
      <c r="I232" s="509"/>
      <c r="J232" s="509"/>
      <c r="K232" s="509"/>
      <c r="L232" s="509"/>
      <c r="M232" s="509"/>
      <c r="N232" s="509"/>
      <c r="O232" s="509"/>
      <c r="P232" s="509"/>
      <c r="Q232" s="509"/>
      <c r="R232" s="509"/>
      <c r="S232" s="509"/>
      <c r="T232" s="509"/>
      <c r="U232" s="509"/>
      <c r="V232" s="509"/>
      <c r="W232" s="509"/>
      <c r="X232" s="509"/>
      <c r="Y232" s="509"/>
      <c r="Z232" s="509"/>
      <c r="AA232" s="509"/>
      <c r="AB232" s="509"/>
      <c r="AC232" s="509"/>
      <c r="AD232" s="509"/>
      <c r="AE232" s="509"/>
      <c r="AF232" s="509"/>
      <c r="AG232" s="509"/>
      <c r="AH232" s="509"/>
      <c r="AI232" s="509"/>
      <c r="AJ232" s="509"/>
      <c r="AK232" s="509"/>
      <c r="AL232" s="509"/>
      <c r="AM232" s="509"/>
      <c r="AN232" s="509"/>
      <c r="AO232" s="509"/>
      <c r="AP232" s="509"/>
      <c r="AQ232" s="509"/>
      <c r="AR232" s="509"/>
      <c r="AS232" s="509"/>
      <c r="AT232" s="509"/>
      <c r="AU232" s="509"/>
      <c r="AV232" s="525"/>
    </row>
    <row r="233" spans="1:48" s="158" customFormat="1" ht="21" customHeight="1" thickBot="1">
      <c r="A233" s="21"/>
      <c r="B233" s="159"/>
      <c r="C233" s="526"/>
      <c r="D233" s="527"/>
      <c r="E233" s="527"/>
      <c r="F233" s="527"/>
      <c r="G233" s="527"/>
      <c r="H233" s="527"/>
      <c r="I233" s="527"/>
      <c r="J233" s="527"/>
      <c r="K233" s="527"/>
      <c r="L233" s="527"/>
      <c r="M233" s="527"/>
      <c r="N233" s="527"/>
      <c r="O233" s="527"/>
      <c r="P233" s="527"/>
      <c r="Q233" s="527"/>
      <c r="R233" s="527"/>
      <c r="S233" s="527"/>
      <c r="T233" s="527"/>
      <c r="U233" s="527"/>
      <c r="V233" s="527"/>
      <c r="W233" s="527"/>
      <c r="X233" s="527"/>
      <c r="Y233" s="527"/>
      <c r="Z233" s="527"/>
      <c r="AA233" s="527"/>
      <c r="AB233" s="527"/>
      <c r="AC233" s="527"/>
      <c r="AD233" s="527"/>
      <c r="AE233" s="527"/>
      <c r="AF233" s="527"/>
      <c r="AG233" s="527"/>
      <c r="AH233" s="527"/>
      <c r="AI233" s="527"/>
      <c r="AJ233" s="527"/>
      <c r="AK233" s="527"/>
      <c r="AL233" s="527"/>
      <c r="AM233" s="527"/>
      <c r="AN233" s="527"/>
      <c r="AO233" s="527"/>
      <c r="AP233" s="527"/>
      <c r="AQ233" s="527"/>
      <c r="AR233" s="527"/>
      <c r="AS233" s="527"/>
      <c r="AT233" s="527"/>
      <c r="AU233" s="527"/>
      <c r="AV233" s="528"/>
    </row>
    <row r="234" spans="1:48" s="31" customFormat="1" ht="88.5" customHeight="1" thickTop="1">
      <c r="C234" s="530"/>
      <c r="D234" s="530"/>
      <c r="E234" s="530"/>
      <c r="F234" s="530"/>
      <c r="G234" s="530"/>
      <c r="H234" s="530"/>
      <c r="I234" s="530"/>
      <c r="J234" s="530"/>
      <c r="K234" s="530"/>
      <c r="L234" s="530"/>
      <c r="M234" s="530"/>
      <c r="N234" s="530"/>
      <c r="O234" s="530"/>
      <c r="P234" s="530"/>
      <c r="Q234" s="530"/>
      <c r="R234" s="530"/>
      <c r="S234" s="530"/>
      <c r="T234" s="530"/>
      <c r="U234" s="530"/>
      <c r="V234" s="530"/>
      <c r="W234" s="530"/>
      <c r="X234" s="530"/>
      <c r="Y234" s="530"/>
      <c r="Z234" s="530"/>
      <c r="AA234" s="530"/>
      <c r="AB234" s="530"/>
      <c r="AC234" s="530"/>
      <c r="AD234" s="530"/>
      <c r="AE234" s="530"/>
      <c r="AF234" s="530"/>
      <c r="AG234" s="530"/>
      <c r="AH234" s="530"/>
      <c r="AI234" s="530"/>
      <c r="AJ234" s="530"/>
      <c r="AK234" s="530"/>
      <c r="AL234" s="530"/>
      <c r="AM234" s="530"/>
      <c r="AN234" s="530"/>
      <c r="AO234" s="530"/>
      <c r="AP234" s="530"/>
      <c r="AQ234" s="530"/>
      <c r="AR234" s="530"/>
      <c r="AS234" s="530"/>
      <c r="AT234" s="530"/>
      <c r="AU234" s="530"/>
      <c r="AV234" s="530"/>
    </row>
    <row r="235" spans="1:48" ht="15.75" customHeight="1">
      <c r="A235" s="21"/>
      <c r="B235" s="21"/>
      <c r="C235" s="531"/>
      <c r="D235" s="532"/>
      <c r="E235" s="532"/>
      <c r="F235" s="532"/>
      <c r="G235" s="532"/>
      <c r="H235" s="532"/>
      <c r="I235" s="532"/>
      <c r="J235" s="532"/>
      <c r="K235" s="532"/>
      <c r="L235" s="532"/>
      <c r="M235" s="532"/>
      <c r="N235" s="532"/>
      <c r="O235" s="532"/>
      <c r="P235" s="532"/>
      <c r="Q235" s="532"/>
      <c r="R235" s="532"/>
      <c r="S235" s="532"/>
      <c r="T235" s="532"/>
      <c r="U235" s="532"/>
      <c r="V235" s="593"/>
      <c r="W235" s="536"/>
      <c r="X235" s="536"/>
      <c r="Y235" s="532"/>
      <c r="Z235" s="532"/>
      <c r="AA235" s="532"/>
      <c r="AB235" s="532"/>
      <c r="AC235" s="535" t="s">
        <v>286</v>
      </c>
      <c r="AD235" s="532"/>
      <c r="AE235" s="532"/>
      <c r="AF235" s="532"/>
      <c r="AG235" s="536"/>
      <c r="AH235" s="536"/>
      <c r="AI235" s="536"/>
      <c r="AJ235" s="536"/>
      <c r="AK235" s="536"/>
      <c r="AL235" s="536"/>
      <c r="AM235" s="536"/>
      <c r="AN235" s="532"/>
      <c r="AO235" s="532"/>
      <c r="AP235" s="532"/>
      <c r="AQ235" s="532"/>
      <c r="AR235" s="532"/>
      <c r="AS235" s="532"/>
      <c r="AT235" s="532"/>
      <c r="AU235" s="532"/>
      <c r="AV235" s="537"/>
    </row>
    <row r="236" spans="1:48" ht="6.75" customHeight="1">
      <c r="A236" s="21"/>
      <c r="B236" s="21"/>
      <c r="C236" s="21"/>
      <c r="D236" s="21"/>
      <c r="E236" s="21"/>
      <c r="F236" s="21"/>
      <c r="G236" s="21"/>
      <c r="H236" s="56"/>
      <c r="I236" s="21"/>
      <c r="J236" s="56"/>
      <c r="K236" s="21"/>
      <c r="L236" s="21"/>
      <c r="M236" s="21"/>
      <c r="N236" s="21"/>
      <c r="O236" s="21"/>
      <c r="P236" s="21"/>
      <c r="Q236" s="21"/>
      <c r="R236" s="21"/>
      <c r="S236" s="56"/>
      <c r="T236" s="21"/>
      <c r="U236" s="86"/>
      <c r="V236" s="87"/>
      <c r="W236" s="21"/>
      <c r="X236" s="21"/>
      <c r="Y236" s="21"/>
      <c r="Z236" s="21"/>
      <c r="AA236" s="21"/>
      <c r="AB236" s="160"/>
      <c r="AC236" s="161"/>
      <c r="AD236" s="161"/>
      <c r="AE236" s="161"/>
      <c r="AF236" s="161"/>
      <c r="AG236" s="21"/>
      <c r="AH236" s="21"/>
      <c r="AI236" s="21"/>
      <c r="AJ236" s="21"/>
      <c r="AK236" s="21"/>
      <c r="AL236" s="21"/>
      <c r="AM236" s="21"/>
      <c r="AN236" s="21"/>
      <c r="AO236" s="21"/>
      <c r="AP236" s="21"/>
      <c r="AQ236" s="21"/>
      <c r="AR236" s="21"/>
      <c r="AS236" s="21"/>
      <c r="AT236" s="21"/>
      <c r="AU236" s="21"/>
      <c r="AV236" s="21"/>
    </row>
    <row r="237" spans="1:48" ht="27" customHeight="1">
      <c r="A237" s="325">
        <v>2</v>
      </c>
      <c r="B237" s="326"/>
      <c r="C237" s="91" t="s">
        <v>287</v>
      </c>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row>
    <row r="238" spans="1:48" ht="3" customHeight="1">
      <c r="A238" s="21"/>
      <c r="B238" s="21"/>
      <c r="C238" s="21"/>
      <c r="D238" s="21"/>
      <c r="E238" s="21"/>
      <c r="F238" s="21"/>
      <c r="G238" s="21"/>
      <c r="H238" s="56"/>
      <c r="I238" s="21"/>
      <c r="J238" s="56"/>
      <c r="K238" s="21"/>
      <c r="L238" s="21"/>
      <c r="M238" s="21"/>
      <c r="N238" s="21"/>
      <c r="O238" s="21"/>
      <c r="P238" s="21"/>
      <c r="Q238" s="21"/>
      <c r="R238" s="21"/>
      <c r="S238" s="56"/>
      <c r="T238" s="21"/>
      <c r="U238" s="86"/>
      <c r="V238" s="87"/>
      <c r="W238" s="21"/>
      <c r="X238" s="21"/>
      <c r="Y238" s="21"/>
      <c r="Z238" s="21"/>
      <c r="AA238" s="21"/>
      <c r="AB238" s="160"/>
      <c r="AC238" s="161"/>
      <c r="AD238" s="161"/>
      <c r="AE238" s="161"/>
      <c r="AF238" s="161"/>
      <c r="AG238" s="21"/>
      <c r="AH238" s="21"/>
      <c r="AI238" s="21"/>
      <c r="AJ238" s="21"/>
      <c r="AK238" s="21"/>
      <c r="AL238" s="21"/>
      <c r="AM238" s="21"/>
      <c r="AN238" s="21"/>
      <c r="AO238" s="21"/>
      <c r="AP238" s="21"/>
      <c r="AQ238" s="21"/>
      <c r="AR238" s="21"/>
      <c r="AS238" s="21"/>
      <c r="AT238" s="21"/>
      <c r="AU238" s="21"/>
      <c r="AV238" s="21"/>
    </row>
    <row r="239" spans="1:48" s="31" customFormat="1" ht="25.5" customHeight="1">
      <c r="C239" s="347" t="s">
        <v>142</v>
      </c>
      <c r="D239" s="348"/>
      <c r="E239" s="348"/>
      <c r="F239" s="348"/>
      <c r="G239" s="348"/>
      <c r="H239" s="348"/>
      <c r="I239" s="348"/>
      <c r="J239" s="348"/>
      <c r="K239" s="348"/>
      <c r="L239" s="388" t="s">
        <v>288</v>
      </c>
      <c r="M239" s="388"/>
      <c r="N239" s="388"/>
      <c r="O239" s="388"/>
      <c r="P239" s="388"/>
      <c r="Q239" s="388"/>
      <c r="R239" s="388" t="s">
        <v>289</v>
      </c>
      <c r="S239" s="388"/>
      <c r="T239" s="388"/>
      <c r="U239" s="388"/>
      <c r="V239" s="388"/>
      <c r="W239" s="388"/>
      <c r="X239" s="388"/>
      <c r="Y239" s="388" t="s">
        <v>290</v>
      </c>
      <c r="Z239" s="388"/>
      <c r="AA239" s="388"/>
      <c r="AB239" s="388"/>
      <c r="AC239" s="388"/>
      <c r="AD239" s="388"/>
      <c r="AE239" s="388"/>
      <c r="AF239" s="388" t="s">
        <v>291</v>
      </c>
      <c r="AG239" s="388"/>
      <c r="AH239" s="388"/>
      <c r="AI239" s="388"/>
      <c r="AJ239" s="388"/>
      <c r="AK239" s="388"/>
      <c r="AL239" s="388"/>
    </row>
    <row r="240" spans="1:48" s="31" customFormat="1">
      <c r="C240" s="450" t="str">
        <f>+D141</f>
        <v xml:space="preserve">Departamento N° </v>
      </c>
      <c r="D240" s="451"/>
      <c r="E240" s="451"/>
      <c r="F240" s="451"/>
      <c r="G240" s="451"/>
      <c r="H240" s="451"/>
      <c r="I240" s="451"/>
      <c r="J240" s="451"/>
      <c r="K240" s="451"/>
      <c r="L240" s="452">
        <f>+Y104</f>
        <v>0</v>
      </c>
      <c r="M240" s="452"/>
      <c r="N240" s="452"/>
      <c r="O240" s="452"/>
      <c r="P240" s="452"/>
      <c r="Q240" s="452"/>
      <c r="R240" s="506">
        <f>+V235</f>
        <v>0</v>
      </c>
      <c r="S240" s="506"/>
      <c r="T240" s="506"/>
      <c r="U240" s="506"/>
      <c r="V240" s="506"/>
      <c r="W240" s="506"/>
      <c r="X240" s="506"/>
      <c r="Y240" s="506">
        <f>+R240*L240</f>
        <v>0</v>
      </c>
      <c r="Z240" s="506"/>
      <c r="AA240" s="506"/>
      <c r="AB240" s="506"/>
      <c r="AC240" s="506"/>
      <c r="AD240" s="506"/>
      <c r="AE240" s="506"/>
      <c r="AF240" s="506">
        <f>+Y240</f>
        <v>0</v>
      </c>
      <c r="AG240" s="506"/>
      <c r="AH240" s="506"/>
      <c r="AI240" s="506"/>
      <c r="AJ240" s="506"/>
      <c r="AK240" s="506"/>
      <c r="AL240" s="506"/>
    </row>
    <row r="241" spans="1:48" s="31" customFormat="1">
      <c r="C241" s="450" t="str">
        <f>+D143</f>
        <v xml:space="preserve">Estacionamiento N° </v>
      </c>
      <c r="D241" s="451"/>
      <c r="E241" s="451"/>
      <c r="F241" s="451"/>
      <c r="G241" s="451"/>
      <c r="H241" s="451"/>
      <c r="I241" s="451"/>
      <c r="J241" s="451"/>
      <c r="K241" s="451"/>
      <c r="L241" s="452">
        <f>+Y105</f>
        <v>0</v>
      </c>
      <c r="M241" s="452"/>
      <c r="N241" s="452"/>
      <c r="O241" s="452"/>
      <c r="P241" s="452"/>
      <c r="Q241" s="452"/>
      <c r="R241" s="506">
        <f>+V235</f>
        <v>0</v>
      </c>
      <c r="S241" s="506"/>
      <c r="T241" s="506"/>
      <c r="U241" s="506"/>
      <c r="V241" s="506"/>
      <c r="W241" s="506"/>
      <c r="X241" s="506"/>
      <c r="Y241" s="506">
        <f>+R241*L241</f>
        <v>0</v>
      </c>
      <c r="Z241" s="506"/>
      <c r="AA241" s="506"/>
      <c r="AB241" s="506"/>
      <c r="AC241" s="506"/>
      <c r="AD241" s="506"/>
      <c r="AE241" s="506"/>
      <c r="AF241" s="506">
        <f>+Y241</f>
        <v>0</v>
      </c>
      <c r="AG241" s="506"/>
      <c r="AH241" s="506"/>
      <c r="AI241" s="506"/>
      <c r="AJ241" s="506"/>
      <c r="AK241" s="506"/>
      <c r="AL241" s="506"/>
      <c r="AM241" s="112"/>
    </row>
    <row r="242" spans="1:48" s="31" customFormat="1">
      <c r="C242" s="450" t="str">
        <f>+D144</f>
        <v xml:space="preserve">Depósito N° </v>
      </c>
      <c r="D242" s="451"/>
      <c r="E242" s="451"/>
      <c r="F242" s="451"/>
      <c r="G242" s="451"/>
      <c r="H242" s="451"/>
      <c r="I242" s="451"/>
      <c r="J242" s="451"/>
      <c r="K242" s="451"/>
      <c r="L242" s="452">
        <f>+Y106</f>
        <v>0</v>
      </c>
      <c r="M242" s="452"/>
      <c r="N242" s="452"/>
      <c r="O242" s="452"/>
      <c r="P242" s="452"/>
      <c r="Q242" s="452"/>
      <c r="R242" s="506">
        <f>+V236</f>
        <v>0</v>
      </c>
      <c r="S242" s="506"/>
      <c r="T242" s="506"/>
      <c r="U242" s="506"/>
      <c r="V242" s="506"/>
      <c r="W242" s="506"/>
      <c r="X242" s="506"/>
      <c r="Y242" s="506">
        <f>+R242*L242</f>
        <v>0</v>
      </c>
      <c r="Z242" s="506"/>
      <c r="AA242" s="506"/>
      <c r="AB242" s="506"/>
      <c r="AC242" s="506"/>
      <c r="AD242" s="506"/>
      <c r="AE242" s="506"/>
      <c r="AF242" s="506">
        <f>+Y242</f>
        <v>0</v>
      </c>
      <c r="AG242" s="506"/>
      <c r="AH242" s="506"/>
      <c r="AI242" s="506"/>
      <c r="AJ242" s="506"/>
      <c r="AK242" s="506"/>
      <c r="AL242" s="506"/>
      <c r="AM242" s="112"/>
    </row>
    <row r="243" spans="1:48" s="31" customFormat="1" ht="19.5" customHeight="1" thickBot="1">
      <c r="C243" s="393" t="s">
        <v>151</v>
      </c>
      <c r="D243" s="394"/>
      <c r="E243" s="394"/>
      <c r="F243" s="394"/>
      <c r="G243" s="394"/>
      <c r="H243" s="394"/>
      <c r="I243" s="394"/>
      <c r="J243" s="394"/>
      <c r="K243" s="394"/>
      <c r="L243" s="442">
        <f>SUM(L240:Q242)</f>
        <v>0</v>
      </c>
      <c r="M243" s="442"/>
      <c r="N243" s="442"/>
      <c r="O243" s="442"/>
      <c r="P243" s="442"/>
      <c r="Q243" s="442"/>
      <c r="R243" s="507"/>
      <c r="S243" s="507"/>
      <c r="T243" s="507"/>
      <c r="U243" s="507"/>
      <c r="V243" s="507"/>
      <c r="W243" s="507"/>
      <c r="X243" s="507"/>
      <c r="Y243" s="507">
        <f>SUM(Y240:AE242)</f>
        <v>0</v>
      </c>
      <c r="Z243" s="507"/>
      <c r="AA243" s="507"/>
      <c r="AB243" s="507"/>
      <c r="AC243" s="507"/>
      <c r="AD243" s="507"/>
      <c r="AE243" s="507"/>
      <c r="AF243" s="507">
        <f>SUM(AF240:AL242)</f>
        <v>0</v>
      </c>
      <c r="AG243" s="507"/>
      <c r="AH243" s="507"/>
      <c r="AI243" s="507"/>
      <c r="AJ243" s="507"/>
      <c r="AK243" s="507"/>
      <c r="AL243" s="507"/>
      <c r="AM243" s="112"/>
    </row>
    <row r="244" spans="1:48" ht="27" customHeight="1">
      <c r="A244" s="325">
        <f>+A237+1</f>
        <v>3</v>
      </c>
      <c r="B244" s="326"/>
      <c r="C244" s="91" t="s">
        <v>292</v>
      </c>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row>
    <row r="245" spans="1:48" ht="6" customHeight="1">
      <c r="A245" s="21"/>
      <c r="B245" s="21"/>
      <c r="C245" s="149"/>
      <c r="D245" s="103"/>
      <c r="E245" s="103"/>
      <c r="F245" s="103"/>
      <c r="G245" s="103"/>
      <c r="H245" s="103"/>
      <c r="I245" s="103"/>
      <c r="J245" s="103"/>
      <c r="K245" s="103"/>
      <c r="L245" s="103"/>
      <c r="M245" s="103"/>
      <c r="N245" s="103"/>
      <c r="O245" s="103"/>
      <c r="P245" s="103"/>
      <c r="Q245" s="103"/>
      <c r="R245" s="103"/>
      <c r="S245" s="103"/>
      <c r="T245" s="103"/>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row>
    <row r="246" spans="1:48" s="31" customFormat="1" ht="39" customHeight="1">
      <c r="A246" s="162"/>
      <c r="B246" s="163"/>
      <c r="C246" s="347" t="s">
        <v>142</v>
      </c>
      <c r="D246" s="348"/>
      <c r="E246" s="348"/>
      <c r="F246" s="348"/>
      <c r="G246" s="348"/>
      <c r="H246" s="348"/>
      <c r="I246" s="348"/>
      <c r="J246" s="348"/>
      <c r="K246" s="348"/>
      <c r="L246" s="388" t="s">
        <v>293</v>
      </c>
      <c r="M246" s="388"/>
      <c r="N246" s="388"/>
      <c r="O246" s="388"/>
      <c r="P246" s="388" t="s">
        <v>294</v>
      </c>
      <c r="Q246" s="388"/>
      <c r="R246" s="388"/>
      <c r="S246" s="388"/>
      <c r="T246" s="347" t="s">
        <v>295</v>
      </c>
      <c r="U246" s="348"/>
      <c r="V246" s="348"/>
      <c r="W246" s="348"/>
      <c r="X246" s="349"/>
      <c r="Y246" s="347" t="s">
        <v>296</v>
      </c>
      <c r="Z246" s="348"/>
      <c r="AA246" s="348"/>
      <c r="AB246" s="348"/>
      <c r="AC246" s="349"/>
      <c r="AD246" s="347" t="s">
        <v>297</v>
      </c>
      <c r="AE246" s="348"/>
      <c r="AF246" s="348"/>
      <c r="AG246" s="348"/>
      <c r="AH246" s="349"/>
      <c r="AI246" s="347" t="s">
        <v>298</v>
      </c>
      <c r="AJ246" s="348"/>
      <c r="AK246" s="348"/>
      <c r="AL246" s="348"/>
      <c r="AM246" s="349"/>
      <c r="AN246" s="347" t="s">
        <v>299</v>
      </c>
      <c r="AO246" s="348"/>
      <c r="AP246" s="349"/>
      <c r="AQ246" s="347" t="s">
        <v>300</v>
      </c>
      <c r="AR246" s="348"/>
      <c r="AS246" s="348"/>
      <c r="AT246" s="348"/>
      <c r="AU246" s="349"/>
    </row>
    <row r="247" spans="1:48" s="31" customFormat="1" ht="14.25" customHeight="1">
      <c r="A247" s="162"/>
      <c r="B247" s="163"/>
      <c r="C247" s="446" t="str">
        <f>+D141</f>
        <v xml:space="preserve">Departamento N° </v>
      </c>
      <c r="D247" s="412"/>
      <c r="E247" s="412"/>
      <c r="F247" s="412"/>
      <c r="G247" s="412"/>
      <c r="H247" s="412"/>
      <c r="I247" s="412"/>
      <c r="J247" s="412"/>
      <c r="K247" s="413"/>
      <c r="L247" s="375">
        <f>+U142</f>
        <v>0</v>
      </c>
      <c r="M247" s="375"/>
      <c r="N247" s="375"/>
      <c r="O247" s="375"/>
      <c r="P247" s="375"/>
      <c r="Q247" s="375"/>
      <c r="R247" s="375"/>
      <c r="S247" s="375"/>
      <c r="T247" s="385">
        <f>+AM162</f>
        <v>0</v>
      </c>
      <c r="U247" s="386"/>
      <c r="V247" s="386"/>
      <c r="W247" s="386"/>
      <c r="X247" s="387"/>
      <c r="Y247" s="385">
        <f>+L247*T247</f>
        <v>0</v>
      </c>
      <c r="Z247" s="386"/>
      <c r="AA247" s="386"/>
      <c r="AB247" s="386"/>
      <c r="AC247" s="387"/>
      <c r="AD247" s="583">
        <f t="shared" ref="AD247:AD252" si="0">+Y247*0.15</f>
        <v>0</v>
      </c>
      <c r="AE247" s="584"/>
      <c r="AF247" s="584"/>
      <c r="AG247" s="584"/>
      <c r="AH247" s="585"/>
      <c r="AI247" s="583">
        <f>+AE264</f>
        <v>0</v>
      </c>
      <c r="AJ247" s="584"/>
      <c r="AK247" s="584"/>
      <c r="AL247" s="584"/>
      <c r="AM247" s="585"/>
      <c r="AN247" s="350">
        <f>+AE166</f>
        <v>0</v>
      </c>
      <c r="AO247" s="351"/>
      <c r="AP247" s="352"/>
      <c r="AQ247" s="583">
        <f t="shared" ref="AQ247:AQ252" si="1">(AI247+AD247+Y247)*(1-AN247)</f>
        <v>0</v>
      </c>
      <c r="AR247" s="584"/>
      <c r="AS247" s="584"/>
      <c r="AT247" s="584"/>
      <c r="AU247" s="585"/>
    </row>
    <row r="248" spans="1:48" s="31" customFormat="1" ht="14.25" customHeight="1">
      <c r="A248" s="162"/>
      <c r="B248" s="163"/>
      <c r="C248" s="586" t="s">
        <v>301</v>
      </c>
      <c r="D248" s="403"/>
      <c r="E248" s="403"/>
      <c r="F248" s="403"/>
      <c r="G248" s="403"/>
      <c r="H248" s="403"/>
      <c r="I248" s="403"/>
      <c r="J248" s="403"/>
      <c r="K248" s="403"/>
      <c r="L248" s="375"/>
      <c r="M248" s="375"/>
      <c r="N248" s="375"/>
      <c r="O248" s="375"/>
      <c r="P248" s="375">
        <f>+AB142-U142</f>
        <v>0</v>
      </c>
      <c r="Q248" s="375"/>
      <c r="R248" s="375"/>
      <c r="S248" s="375"/>
      <c r="T248" s="587">
        <v>0</v>
      </c>
      <c r="U248" s="588"/>
      <c r="V248" s="588"/>
      <c r="W248" s="588"/>
      <c r="X248" s="589"/>
      <c r="Y248" s="385">
        <f>+P248*T248</f>
        <v>0</v>
      </c>
      <c r="Z248" s="386"/>
      <c r="AA248" s="386"/>
      <c r="AB248" s="386"/>
      <c r="AC248" s="387"/>
      <c r="AD248" s="583">
        <f t="shared" si="0"/>
        <v>0</v>
      </c>
      <c r="AE248" s="584"/>
      <c r="AF248" s="584"/>
      <c r="AG248" s="584"/>
      <c r="AH248" s="585"/>
      <c r="AI248" s="583"/>
      <c r="AJ248" s="584"/>
      <c r="AK248" s="584"/>
      <c r="AL248" s="584"/>
      <c r="AM248" s="585"/>
      <c r="AN248" s="350">
        <f>+AN247</f>
        <v>0</v>
      </c>
      <c r="AO248" s="351"/>
      <c r="AP248" s="352"/>
      <c r="AQ248" s="583">
        <f t="shared" si="1"/>
        <v>0</v>
      </c>
      <c r="AR248" s="584"/>
      <c r="AS248" s="584"/>
      <c r="AT248" s="584"/>
      <c r="AU248" s="585"/>
    </row>
    <row r="249" spans="1:48" s="31" customFormat="1" ht="14.25" customHeight="1">
      <c r="A249" s="162"/>
      <c r="B249" s="163"/>
      <c r="C249" s="446" t="str">
        <f>+D143</f>
        <v xml:space="preserve">Estacionamiento N° </v>
      </c>
      <c r="D249" s="412"/>
      <c r="E249" s="412"/>
      <c r="F249" s="412"/>
      <c r="G249" s="412"/>
      <c r="H249" s="412"/>
      <c r="I249" s="412"/>
      <c r="J249" s="412"/>
      <c r="K249" s="413"/>
      <c r="L249" s="375">
        <f>+U143</f>
        <v>0</v>
      </c>
      <c r="M249" s="375"/>
      <c r="N249" s="375"/>
      <c r="O249" s="375"/>
      <c r="P249" s="375"/>
      <c r="Q249" s="375"/>
      <c r="R249" s="375"/>
      <c r="S249" s="375"/>
      <c r="T249" s="587">
        <v>0</v>
      </c>
      <c r="U249" s="588"/>
      <c r="V249" s="588"/>
      <c r="W249" s="588"/>
      <c r="X249" s="589"/>
      <c r="Y249" s="385">
        <f>+L249*T249</f>
        <v>0</v>
      </c>
      <c r="Z249" s="386"/>
      <c r="AA249" s="386"/>
      <c r="AB249" s="386"/>
      <c r="AC249" s="387"/>
      <c r="AD249" s="583">
        <f t="shared" si="0"/>
        <v>0</v>
      </c>
      <c r="AE249" s="584"/>
      <c r="AF249" s="584"/>
      <c r="AG249" s="584"/>
      <c r="AH249" s="585"/>
      <c r="AI249" s="583">
        <f>+AE265</f>
        <v>0</v>
      </c>
      <c r="AJ249" s="584"/>
      <c r="AK249" s="584"/>
      <c r="AL249" s="584"/>
      <c r="AM249" s="585"/>
      <c r="AN249" s="350">
        <f>+AE166</f>
        <v>0</v>
      </c>
      <c r="AO249" s="351"/>
      <c r="AP249" s="352"/>
      <c r="AQ249" s="583">
        <f t="shared" si="1"/>
        <v>0</v>
      </c>
      <c r="AR249" s="584"/>
      <c r="AS249" s="584"/>
      <c r="AT249" s="584"/>
      <c r="AU249" s="585"/>
    </row>
    <row r="250" spans="1:48" s="31" customFormat="1" ht="14.25" customHeight="1">
      <c r="A250" s="162"/>
      <c r="B250" s="163"/>
      <c r="C250" s="586" t="s">
        <v>301</v>
      </c>
      <c r="D250" s="403"/>
      <c r="E250" s="403"/>
      <c r="F250" s="403"/>
      <c r="G250" s="403"/>
      <c r="H250" s="403"/>
      <c r="I250" s="403"/>
      <c r="J250" s="403"/>
      <c r="K250" s="403"/>
      <c r="L250" s="375"/>
      <c r="M250" s="375"/>
      <c r="N250" s="375"/>
      <c r="O250" s="375"/>
      <c r="P250" s="375">
        <f>+AB145-U145</f>
        <v>0</v>
      </c>
      <c r="Q250" s="375"/>
      <c r="R250" s="375"/>
      <c r="S250" s="375"/>
      <c r="T250" s="587">
        <v>0</v>
      </c>
      <c r="U250" s="588"/>
      <c r="V250" s="588"/>
      <c r="W250" s="588"/>
      <c r="X250" s="589"/>
      <c r="Y250" s="385">
        <f>+P250*T250</f>
        <v>0</v>
      </c>
      <c r="Z250" s="386"/>
      <c r="AA250" s="386"/>
      <c r="AB250" s="386"/>
      <c r="AC250" s="387"/>
      <c r="AD250" s="583">
        <f t="shared" si="0"/>
        <v>0</v>
      </c>
      <c r="AE250" s="584"/>
      <c r="AF250" s="584"/>
      <c r="AG250" s="584"/>
      <c r="AH250" s="585"/>
      <c r="AI250" s="583"/>
      <c r="AJ250" s="584"/>
      <c r="AK250" s="584"/>
      <c r="AL250" s="584"/>
      <c r="AM250" s="585"/>
      <c r="AN250" s="350">
        <f>+AN249</f>
        <v>0</v>
      </c>
      <c r="AO250" s="351"/>
      <c r="AP250" s="352"/>
      <c r="AQ250" s="583">
        <f t="shared" si="1"/>
        <v>0</v>
      </c>
      <c r="AR250" s="584"/>
      <c r="AS250" s="584"/>
      <c r="AT250" s="584"/>
      <c r="AU250" s="585"/>
    </row>
    <row r="251" spans="1:48" s="31" customFormat="1" ht="14.25" customHeight="1">
      <c r="A251" s="162"/>
      <c r="B251" s="163"/>
      <c r="C251" s="446" t="str">
        <f>+C242</f>
        <v xml:space="preserve">Depósito N° </v>
      </c>
      <c r="D251" s="412"/>
      <c r="E251" s="412"/>
      <c r="F251" s="412"/>
      <c r="G251" s="412"/>
      <c r="H251" s="412"/>
      <c r="I251" s="412"/>
      <c r="J251" s="412"/>
      <c r="K251" s="413"/>
      <c r="L251" s="375">
        <f>+U144</f>
        <v>0</v>
      </c>
      <c r="M251" s="375"/>
      <c r="N251" s="375"/>
      <c r="O251" s="375"/>
      <c r="P251" s="375"/>
      <c r="Q251" s="375"/>
      <c r="R251" s="375"/>
      <c r="S251" s="375"/>
      <c r="T251" s="587">
        <v>0</v>
      </c>
      <c r="U251" s="588"/>
      <c r="V251" s="588"/>
      <c r="W251" s="588"/>
      <c r="X251" s="589"/>
      <c r="Y251" s="385">
        <f>+L251*T251</f>
        <v>0</v>
      </c>
      <c r="Z251" s="386"/>
      <c r="AA251" s="386"/>
      <c r="AB251" s="386"/>
      <c r="AC251" s="387"/>
      <c r="AD251" s="583">
        <f t="shared" si="0"/>
        <v>0</v>
      </c>
      <c r="AE251" s="584"/>
      <c r="AF251" s="584"/>
      <c r="AG251" s="584"/>
      <c r="AH251" s="585"/>
      <c r="AI251" s="583">
        <f>+AE266</f>
        <v>0</v>
      </c>
      <c r="AJ251" s="584"/>
      <c r="AK251" s="584"/>
      <c r="AL251" s="584"/>
      <c r="AM251" s="585"/>
      <c r="AN251" s="350">
        <f>+AE168</f>
        <v>0</v>
      </c>
      <c r="AO251" s="351"/>
      <c r="AP251" s="352"/>
      <c r="AQ251" s="583">
        <f t="shared" si="1"/>
        <v>0</v>
      </c>
      <c r="AR251" s="584"/>
      <c r="AS251" s="584"/>
      <c r="AT251" s="584"/>
      <c r="AU251" s="585"/>
    </row>
    <row r="252" spans="1:48" s="31" customFormat="1" ht="14.25" customHeight="1">
      <c r="A252" s="162"/>
      <c r="B252" s="163"/>
      <c r="C252" s="586" t="s">
        <v>301</v>
      </c>
      <c r="D252" s="403"/>
      <c r="E252" s="403"/>
      <c r="F252" s="403"/>
      <c r="G252" s="403"/>
      <c r="H252" s="403"/>
      <c r="I252" s="403"/>
      <c r="J252" s="403"/>
      <c r="K252" s="403"/>
      <c r="L252" s="375"/>
      <c r="M252" s="375"/>
      <c r="N252" s="375"/>
      <c r="O252" s="375"/>
      <c r="P252" s="375">
        <f>+AB144-U144</f>
        <v>0</v>
      </c>
      <c r="Q252" s="375"/>
      <c r="R252" s="375"/>
      <c r="S252" s="375"/>
      <c r="T252" s="587">
        <v>0</v>
      </c>
      <c r="U252" s="588"/>
      <c r="V252" s="588"/>
      <c r="W252" s="588"/>
      <c r="X252" s="589"/>
      <c r="Y252" s="385">
        <f>+P252*T252</f>
        <v>0</v>
      </c>
      <c r="Z252" s="386"/>
      <c r="AA252" s="386"/>
      <c r="AB252" s="386"/>
      <c r="AC252" s="387"/>
      <c r="AD252" s="583">
        <f t="shared" si="0"/>
        <v>0</v>
      </c>
      <c r="AE252" s="584"/>
      <c r="AF252" s="584"/>
      <c r="AG252" s="584"/>
      <c r="AH252" s="585"/>
      <c r="AI252" s="583"/>
      <c r="AJ252" s="584"/>
      <c r="AK252" s="584"/>
      <c r="AL252" s="584"/>
      <c r="AM252" s="585"/>
      <c r="AN252" s="350">
        <f>+AN251</f>
        <v>0</v>
      </c>
      <c r="AO252" s="351"/>
      <c r="AP252" s="352"/>
      <c r="AQ252" s="583">
        <f t="shared" si="1"/>
        <v>0</v>
      </c>
      <c r="AR252" s="584"/>
      <c r="AS252" s="584"/>
      <c r="AT252" s="584"/>
      <c r="AU252" s="585"/>
    </row>
    <row r="253" spans="1:48" s="31" customFormat="1" ht="18.75" customHeight="1" thickBot="1">
      <c r="A253" s="162"/>
      <c r="B253" s="163"/>
      <c r="C253" s="281"/>
      <c r="D253" s="282"/>
      <c r="E253" s="282"/>
      <c r="F253" s="282"/>
      <c r="G253" s="282"/>
      <c r="H253" s="282"/>
      <c r="I253" s="282"/>
      <c r="J253" s="282"/>
      <c r="K253" s="283"/>
      <c r="L253" s="442">
        <f>SUM(L247:O252)</f>
        <v>0</v>
      </c>
      <c r="M253" s="443"/>
      <c r="N253" s="443"/>
      <c r="O253" s="443"/>
      <c r="P253" s="442"/>
      <c r="Q253" s="443"/>
      <c r="R253" s="443"/>
      <c r="S253" s="444"/>
      <c r="T253" s="486"/>
      <c r="U253" s="486"/>
      <c r="V253" s="486"/>
      <c r="W253" s="486"/>
      <c r="X253" s="486"/>
      <c r="Y253" s="486"/>
      <c r="Z253" s="486"/>
      <c r="AA253" s="486"/>
      <c r="AB253" s="486"/>
      <c r="AC253" s="486"/>
      <c r="AD253" s="487">
        <f>SUM(AD247:AH252)</f>
        <v>0</v>
      </c>
      <c r="AE253" s="488"/>
      <c r="AF253" s="488"/>
      <c r="AG253" s="488"/>
      <c r="AH253" s="488"/>
      <c r="AI253" s="487">
        <f>SUM(AI247:AM252)</f>
        <v>0</v>
      </c>
      <c r="AJ253" s="488"/>
      <c r="AK253" s="488"/>
      <c r="AL253" s="488"/>
      <c r="AM253" s="488"/>
      <c r="AN253" s="366"/>
      <c r="AO253" s="367"/>
      <c r="AP253" s="367"/>
      <c r="AQ253" s="487">
        <f>SUM(AQ247:AU252)</f>
        <v>0</v>
      </c>
      <c r="AR253" s="488"/>
      <c r="AS253" s="488"/>
      <c r="AT253" s="488"/>
      <c r="AU253" s="489"/>
    </row>
    <row r="254" spans="1:48" ht="6" customHeight="1">
      <c r="A254" s="21"/>
      <c r="B254" s="21"/>
      <c r="C254" s="142"/>
      <c r="D254" s="21"/>
      <c r="E254" s="21"/>
      <c r="F254" s="21"/>
      <c r="G254" s="21"/>
      <c r="H254" s="142"/>
      <c r="J254" s="164"/>
      <c r="K254" s="21"/>
      <c r="L254" s="21"/>
      <c r="M254" s="21"/>
      <c r="N254" s="21"/>
      <c r="O254" s="21"/>
      <c r="P254" s="21"/>
      <c r="Q254" s="21"/>
      <c r="R254" s="21"/>
      <c r="S254" s="21"/>
      <c r="T254" s="21"/>
      <c r="U254" s="21"/>
      <c r="V254" s="21"/>
      <c r="W254" s="21" t="s">
        <v>302</v>
      </c>
      <c r="X254" s="21"/>
      <c r="Y254" s="21"/>
      <c r="Z254" s="21"/>
      <c r="AA254" s="21"/>
      <c r="AB254" s="21"/>
      <c r="AC254" s="21"/>
      <c r="AD254" s="21"/>
      <c r="AE254" s="21"/>
      <c r="AF254" s="21"/>
      <c r="AG254" s="21"/>
      <c r="AH254" s="21"/>
      <c r="AI254" s="21"/>
      <c r="AJ254" s="21"/>
      <c r="AK254" s="21"/>
      <c r="AL254" s="21"/>
      <c r="AM254" s="21"/>
      <c r="AN254" s="21"/>
      <c r="AO254" s="21"/>
      <c r="AP254" s="21"/>
      <c r="AR254" s="21"/>
      <c r="AV254" s="21"/>
    </row>
    <row r="255" spans="1:48" s="165" customFormat="1" ht="24.75" customHeight="1">
      <c r="A255" s="325">
        <f>+A244+1</f>
        <v>4</v>
      </c>
      <c r="B255" s="346"/>
      <c r="C255" s="91" t="s">
        <v>303</v>
      </c>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row>
    <row r="256" spans="1:48" s="165" customFormat="1" ht="3" customHeight="1">
      <c r="A256" s="94"/>
      <c r="B256" s="95"/>
      <c r="C256" s="9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row>
    <row r="257" spans="1:48" s="165" customFormat="1" ht="27.75" customHeight="1">
      <c r="A257" s="72"/>
      <c r="B257" s="72"/>
      <c r="C257" s="331" t="s">
        <v>304</v>
      </c>
      <c r="D257" s="332"/>
      <c r="E257" s="332"/>
      <c r="F257" s="332"/>
      <c r="G257" s="332"/>
      <c r="H257" s="332"/>
      <c r="I257" s="332"/>
      <c r="J257" s="332"/>
      <c r="K257" s="332"/>
      <c r="L257" s="332"/>
      <c r="M257" s="332"/>
      <c r="N257" s="332"/>
      <c r="O257" s="332"/>
      <c r="P257" s="332"/>
      <c r="Q257" s="332"/>
      <c r="R257" s="332"/>
      <c r="S257" s="333"/>
      <c r="T257" s="334" t="s">
        <v>305</v>
      </c>
      <c r="U257" s="332"/>
      <c r="V257" s="332"/>
      <c r="W257" s="332"/>
      <c r="X257" s="332"/>
      <c r="Y257" s="333"/>
      <c r="Z257" s="334" t="s">
        <v>306</v>
      </c>
      <c r="AA257" s="332"/>
      <c r="AB257" s="332"/>
      <c r="AC257" s="332"/>
      <c r="AD257" s="332"/>
      <c r="AE257" s="347" t="s">
        <v>307</v>
      </c>
      <c r="AF257" s="348"/>
      <c r="AG257" s="348"/>
      <c r="AH257" s="348"/>
      <c r="AI257" s="348"/>
      <c r="AJ257" s="348"/>
      <c r="AK257" s="348"/>
      <c r="AL257" s="349"/>
    </row>
    <row r="258" spans="1:48" s="165" customFormat="1" ht="15" customHeight="1">
      <c r="A258" s="71"/>
      <c r="B258" s="71"/>
      <c r="C258" s="579"/>
      <c r="D258" s="580"/>
      <c r="E258" s="580"/>
      <c r="F258" s="580"/>
      <c r="G258" s="580"/>
      <c r="H258" s="580"/>
      <c r="I258" s="580"/>
      <c r="J258" s="580"/>
      <c r="K258" s="580"/>
      <c r="L258" s="580"/>
      <c r="M258" s="580"/>
      <c r="N258" s="580"/>
      <c r="O258" s="580"/>
      <c r="P258" s="580"/>
      <c r="Q258" s="580"/>
      <c r="R258" s="580"/>
      <c r="S258" s="580"/>
      <c r="T258" s="573"/>
      <c r="U258" s="574"/>
      <c r="V258" s="574"/>
      <c r="W258" s="574"/>
      <c r="X258" s="575" t="s">
        <v>308</v>
      </c>
      <c r="Y258" s="576"/>
      <c r="Z258" s="581"/>
      <c r="AA258" s="582"/>
      <c r="AB258" s="582"/>
      <c r="AC258" s="582"/>
      <c r="AD258" s="582"/>
      <c r="AE258" s="476">
        <f>+T258*Z258</f>
        <v>0</v>
      </c>
      <c r="AF258" s="477"/>
      <c r="AG258" s="477"/>
      <c r="AH258" s="477"/>
      <c r="AI258" s="477"/>
      <c r="AJ258" s="477"/>
      <c r="AK258" s="477"/>
      <c r="AL258" s="478"/>
    </row>
    <row r="259" spans="1:48" s="165" customFormat="1" ht="15" customHeight="1">
      <c r="A259" s="71"/>
      <c r="B259" s="71"/>
      <c r="C259" s="571"/>
      <c r="D259" s="572"/>
      <c r="E259" s="572"/>
      <c r="F259" s="572"/>
      <c r="G259" s="572"/>
      <c r="H259" s="572"/>
      <c r="I259" s="572"/>
      <c r="J259" s="572"/>
      <c r="K259" s="572"/>
      <c r="L259" s="572"/>
      <c r="M259" s="572"/>
      <c r="N259" s="572"/>
      <c r="O259" s="572"/>
      <c r="P259" s="572"/>
      <c r="Q259" s="572"/>
      <c r="R259" s="572"/>
      <c r="S259" s="572"/>
      <c r="T259" s="573"/>
      <c r="U259" s="574"/>
      <c r="V259" s="574"/>
      <c r="W259" s="574"/>
      <c r="X259" s="575" t="s">
        <v>309</v>
      </c>
      <c r="Y259" s="576"/>
      <c r="Z259" s="577"/>
      <c r="AA259" s="578"/>
      <c r="AB259" s="578"/>
      <c r="AC259" s="578"/>
      <c r="AD259" s="578"/>
      <c r="AE259" s="476">
        <f>+T259*Z259</f>
        <v>0</v>
      </c>
      <c r="AF259" s="477"/>
      <c r="AG259" s="477"/>
      <c r="AH259" s="477"/>
      <c r="AI259" s="477"/>
      <c r="AJ259" s="477"/>
      <c r="AK259" s="477"/>
      <c r="AL259" s="478"/>
    </row>
    <row r="260" spans="1:48" s="165" customFormat="1" ht="15" customHeight="1">
      <c r="A260" s="71"/>
      <c r="B260" s="71"/>
      <c r="C260" s="571"/>
      <c r="D260" s="572"/>
      <c r="E260" s="572"/>
      <c r="F260" s="572"/>
      <c r="G260" s="572"/>
      <c r="H260" s="572"/>
      <c r="I260" s="572"/>
      <c r="J260" s="572"/>
      <c r="K260" s="572"/>
      <c r="L260" s="572"/>
      <c r="M260" s="572"/>
      <c r="N260" s="572"/>
      <c r="O260" s="572"/>
      <c r="P260" s="572"/>
      <c r="Q260" s="572"/>
      <c r="R260" s="572"/>
      <c r="S260" s="572"/>
      <c r="T260" s="573"/>
      <c r="U260" s="574"/>
      <c r="V260" s="574"/>
      <c r="W260" s="574"/>
      <c r="X260" s="575" t="s">
        <v>308</v>
      </c>
      <c r="Y260" s="576"/>
      <c r="Z260" s="577"/>
      <c r="AA260" s="578"/>
      <c r="AB260" s="578"/>
      <c r="AC260" s="578"/>
      <c r="AD260" s="578"/>
      <c r="AE260" s="476">
        <f>+T260*Z260</f>
        <v>0</v>
      </c>
      <c r="AF260" s="477"/>
      <c r="AG260" s="477"/>
      <c r="AH260" s="477"/>
      <c r="AI260" s="477"/>
      <c r="AJ260" s="477"/>
      <c r="AK260" s="477"/>
      <c r="AL260" s="478"/>
    </row>
    <row r="261" spans="1:48" s="165" customFormat="1" ht="18" customHeight="1">
      <c r="A261" s="166"/>
      <c r="B261" s="166"/>
      <c r="C261" s="167" t="s">
        <v>310</v>
      </c>
      <c r="D261" s="168"/>
      <c r="E261" s="168"/>
      <c r="F261" s="168"/>
      <c r="G261" s="168"/>
      <c r="H261" s="168"/>
      <c r="I261" s="168"/>
      <c r="J261" s="168"/>
      <c r="K261" s="168"/>
      <c r="L261" s="168"/>
      <c r="M261" s="168"/>
      <c r="N261" s="168"/>
      <c r="O261" s="168"/>
      <c r="P261" s="168"/>
      <c r="Q261" s="168"/>
      <c r="R261" s="168"/>
      <c r="S261" s="168"/>
      <c r="T261" s="168"/>
      <c r="U261" s="169"/>
      <c r="V261" s="169"/>
      <c r="W261" s="169"/>
      <c r="X261" s="169"/>
      <c r="Y261" s="169"/>
      <c r="Z261" s="418"/>
      <c r="AA261" s="418"/>
      <c r="AB261" s="418"/>
      <c r="AC261" s="418"/>
      <c r="AD261" s="418"/>
      <c r="AE261" s="471">
        <f>SUM(AE258:AL260)</f>
        <v>0</v>
      </c>
      <c r="AF261" s="472"/>
      <c r="AG261" s="472"/>
      <c r="AH261" s="472"/>
      <c r="AI261" s="472"/>
      <c r="AJ261" s="472"/>
      <c r="AK261" s="472"/>
      <c r="AL261" s="473"/>
    </row>
    <row r="262" spans="1:48" s="165" customFormat="1" ht="6.75" customHeight="1">
      <c r="A262" s="166"/>
      <c r="B262" s="166"/>
      <c r="C262" s="170"/>
      <c r="D262" s="170"/>
      <c r="E262" s="170"/>
      <c r="F262" s="170"/>
      <c r="G262" s="170"/>
      <c r="H262" s="170"/>
      <c r="I262" s="170"/>
      <c r="J262" s="170"/>
      <c r="K262" s="170"/>
      <c r="L262" s="170"/>
      <c r="M262" s="170"/>
      <c r="N262" s="170"/>
      <c r="O262" s="170"/>
      <c r="P262" s="170"/>
      <c r="Q262" s="170"/>
      <c r="R262" s="170"/>
      <c r="S262" s="170"/>
      <c r="T262" s="170"/>
      <c r="U262" s="166"/>
      <c r="V262" s="166"/>
      <c r="W262" s="166"/>
      <c r="X262" s="166"/>
      <c r="Y262" s="166"/>
      <c r="Z262" s="72"/>
      <c r="AA262" s="72"/>
      <c r="AB262" s="72"/>
      <c r="AC262" s="72"/>
      <c r="AD262" s="72"/>
      <c r="AE262" s="72"/>
      <c r="AF262" s="72"/>
      <c r="AG262" s="72"/>
      <c r="AH262" s="72"/>
      <c r="AI262" s="72"/>
      <c r="AJ262" s="72"/>
      <c r="AK262" s="72"/>
      <c r="AL262" s="72"/>
      <c r="AM262" s="72"/>
      <c r="AN262" s="72"/>
      <c r="AO262" s="72"/>
      <c r="AP262" s="71"/>
    </row>
    <row r="263" spans="1:48" s="165" customFormat="1" ht="27.75" customHeight="1">
      <c r="A263" s="72"/>
      <c r="B263" s="72"/>
      <c r="C263" s="331" t="s">
        <v>191</v>
      </c>
      <c r="D263" s="332"/>
      <c r="E263" s="332"/>
      <c r="F263" s="332"/>
      <c r="G263" s="332"/>
      <c r="H263" s="332"/>
      <c r="I263" s="332"/>
      <c r="J263" s="332"/>
      <c r="K263" s="332"/>
      <c r="L263" s="332"/>
      <c r="M263" s="332"/>
      <c r="N263" s="332"/>
      <c r="O263" s="332"/>
      <c r="P263" s="332"/>
      <c r="Q263" s="332"/>
      <c r="R263" s="332"/>
      <c r="S263" s="333"/>
      <c r="T263" s="334" t="s">
        <v>307</v>
      </c>
      <c r="U263" s="332"/>
      <c r="V263" s="332"/>
      <c r="W263" s="332"/>
      <c r="X263" s="332"/>
      <c r="Y263" s="333"/>
      <c r="Z263" s="334" t="s">
        <v>311</v>
      </c>
      <c r="AA263" s="335"/>
      <c r="AB263" s="335"/>
      <c r="AC263" s="335"/>
      <c r="AD263" s="336"/>
      <c r="AE263" s="334" t="s">
        <v>312</v>
      </c>
      <c r="AF263" s="335"/>
      <c r="AG263" s="335"/>
      <c r="AH263" s="335"/>
      <c r="AI263" s="335"/>
      <c r="AJ263" s="335"/>
      <c r="AK263" s="335"/>
      <c r="AL263" s="336"/>
    </row>
    <row r="264" spans="1:48" s="165" customFormat="1" ht="15" customHeight="1">
      <c r="A264" s="71"/>
      <c r="B264" s="71"/>
      <c r="C264" s="311" t="str">
        <f>+C247</f>
        <v xml:space="preserve">Departamento N° </v>
      </c>
      <c r="D264" s="312"/>
      <c r="E264" s="312"/>
      <c r="F264" s="312"/>
      <c r="G264" s="312"/>
      <c r="H264" s="312"/>
      <c r="I264" s="312"/>
      <c r="J264" s="312"/>
      <c r="K264" s="312"/>
      <c r="L264" s="312"/>
      <c r="M264" s="312"/>
      <c r="N264" s="312"/>
      <c r="O264" s="312"/>
      <c r="P264" s="312"/>
      <c r="Q264" s="312"/>
      <c r="R264" s="312"/>
      <c r="S264" s="313"/>
      <c r="T264" s="464">
        <f>+$AE$261</f>
        <v>0</v>
      </c>
      <c r="U264" s="465"/>
      <c r="V264" s="465"/>
      <c r="W264" s="465"/>
      <c r="X264" s="465"/>
      <c r="Y264" s="466"/>
      <c r="Z264" s="317">
        <f>+R104</f>
        <v>0</v>
      </c>
      <c r="AA264" s="318"/>
      <c r="AB264" s="318"/>
      <c r="AC264" s="318"/>
      <c r="AD264" s="319"/>
      <c r="AE264" s="464">
        <f>+T264*Z264</f>
        <v>0</v>
      </c>
      <c r="AF264" s="467"/>
      <c r="AG264" s="467"/>
      <c r="AH264" s="467"/>
      <c r="AI264" s="467"/>
      <c r="AJ264" s="467"/>
      <c r="AK264" s="467"/>
      <c r="AL264" s="468"/>
    </row>
    <row r="265" spans="1:48" s="165" customFormat="1" ht="15" customHeight="1">
      <c r="A265" s="71"/>
      <c r="B265" s="71"/>
      <c r="C265" s="311" t="str">
        <f>+C249</f>
        <v xml:space="preserve">Estacionamiento N° </v>
      </c>
      <c r="D265" s="312"/>
      <c r="E265" s="312"/>
      <c r="F265" s="312"/>
      <c r="G265" s="312"/>
      <c r="H265" s="312"/>
      <c r="I265" s="312"/>
      <c r="J265" s="312"/>
      <c r="K265" s="312"/>
      <c r="L265" s="312"/>
      <c r="M265" s="312"/>
      <c r="N265" s="312"/>
      <c r="O265" s="312"/>
      <c r="P265" s="312"/>
      <c r="Q265" s="312"/>
      <c r="R265" s="312"/>
      <c r="S265" s="313"/>
      <c r="T265" s="464">
        <f>+$AE$261</f>
        <v>0</v>
      </c>
      <c r="U265" s="465"/>
      <c r="V265" s="465"/>
      <c r="W265" s="465"/>
      <c r="X265" s="465"/>
      <c r="Y265" s="466"/>
      <c r="Z265" s="317">
        <f>+R105</f>
        <v>0</v>
      </c>
      <c r="AA265" s="318"/>
      <c r="AB265" s="318"/>
      <c r="AC265" s="318"/>
      <c r="AD265" s="319"/>
      <c r="AE265" s="464">
        <f>+T265*Z265</f>
        <v>0</v>
      </c>
      <c r="AF265" s="467"/>
      <c r="AG265" s="467"/>
      <c r="AH265" s="467"/>
      <c r="AI265" s="467"/>
      <c r="AJ265" s="467"/>
      <c r="AK265" s="467"/>
      <c r="AL265" s="468"/>
    </row>
    <row r="266" spans="1:48" s="165" customFormat="1" ht="15" customHeight="1">
      <c r="A266" s="71"/>
      <c r="B266" s="71"/>
      <c r="C266" s="311" t="str">
        <f>+C251</f>
        <v xml:space="preserve">Depósito N° </v>
      </c>
      <c r="D266" s="312"/>
      <c r="E266" s="312"/>
      <c r="F266" s="312"/>
      <c r="G266" s="312"/>
      <c r="H266" s="312"/>
      <c r="I266" s="312"/>
      <c r="J266" s="312"/>
      <c r="K266" s="312"/>
      <c r="L266" s="312"/>
      <c r="M266" s="312"/>
      <c r="N266" s="312"/>
      <c r="O266" s="312"/>
      <c r="P266" s="312"/>
      <c r="Q266" s="312"/>
      <c r="R266" s="312"/>
      <c r="S266" s="313"/>
      <c r="T266" s="464">
        <f>+$AE$261</f>
        <v>0</v>
      </c>
      <c r="U266" s="465"/>
      <c r="V266" s="465"/>
      <c r="W266" s="465"/>
      <c r="X266" s="465"/>
      <c r="Y266" s="466"/>
      <c r="Z266" s="317">
        <f>+R106</f>
        <v>0</v>
      </c>
      <c r="AA266" s="318"/>
      <c r="AB266" s="318"/>
      <c r="AC266" s="318"/>
      <c r="AD266" s="319"/>
      <c r="AE266" s="464">
        <f>+T266*Z266</f>
        <v>0</v>
      </c>
      <c r="AF266" s="467"/>
      <c r="AG266" s="467"/>
      <c r="AH266" s="467"/>
      <c r="AI266" s="467"/>
      <c r="AJ266" s="467"/>
      <c r="AK266" s="467"/>
      <c r="AL266" s="468"/>
    </row>
    <row r="267" spans="1:48" s="165" customFormat="1" ht="15" customHeight="1">
      <c r="A267" s="166"/>
      <c r="B267" s="166"/>
      <c r="C267" s="167" t="s">
        <v>313</v>
      </c>
      <c r="D267" s="168"/>
      <c r="E267" s="168"/>
      <c r="F267" s="168"/>
      <c r="G267" s="168"/>
      <c r="H267" s="168"/>
      <c r="I267" s="168"/>
      <c r="J267" s="168"/>
      <c r="K267" s="168"/>
      <c r="L267" s="168"/>
      <c r="M267" s="168"/>
      <c r="N267" s="168"/>
      <c r="O267" s="168"/>
      <c r="P267" s="168"/>
      <c r="Q267" s="168"/>
      <c r="R267" s="168"/>
      <c r="S267" s="168"/>
      <c r="T267" s="417"/>
      <c r="U267" s="418"/>
      <c r="V267" s="418"/>
      <c r="W267" s="418"/>
      <c r="X267" s="418"/>
      <c r="Y267" s="418"/>
      <c r="Z267" s="169"/>
      <c r="AA267" s="169"/>
      <c r="AB267" s="169"/>
      <c r="AC267" s="169"/>
      <c r="AD267" s="169"/>
      <c r="AE267" s="469">
        <f>SUM(AE264:AL266)</f>
        <v>0</v>
      </c>
      <c r="AF267" s="469"/>
      <c r="AG267" s="469"/>
      <c r="AH267" s="469"/>
      <c r="AI267" s="469"/>
      <c r="AJ267" s="469"/>
      <c r="AK267" s="469"/>
      <c r="AL267" s="470"/>
    </row>
    <row r="268" spans="1:48" s="165" customFormat="1" ht="4.5" customHeight="1">
      <c r="C268" s="171"/>
      <c r="D268" s="31"/>
      <c r="E268" s="31"/>
      <c r="F268" s="31"/>
      <c r="H268" s="172"/>
      <c r="I268" s="173"/>
      <c r="J268" s="174"/>
      <c r="K268" s="175"/>
      <c r="V268" s="176"/>
      <c r="W268" s="177"/>
      <c r="X268" s="177"/>
      <c r="Y268" s="177"/>
      <c r="Z268" s="178"/>
      <c r="AA268" s="179"/>
      <c r="AB268" s="179"/>
      <c r="AC268" s="176"/>
      <c r="AK268" s="180"/>
      <c r="AL268" s="180"/>
      <c r="AM268" s="180"/>
      <c r="AN268" s="180"/>
      <c r="AO268" s="181"/>
      <c r="AP268" s="181"/>
      <c r="AQ268" s="181"/>
      <c r="AR268" s="181"/>
      <c r="AS268" s="181"/>
      <c r="AT268" s="181"/>
      <c r="AU268" s="181"/>
      <c r="AV268" s="181"/>
    </row>
    <row r="269" spans="1:48" ht="12.75" customHeight="1">
      <c r="A269" s="21"/>
      <c r="B269" s="21"/>
      <c r="C269" s="21"/>
      <c r="D269" s="21"/>
      <c r="E269" s="21"/>
      <c r="F269" s="21"/>
      <c r="G269" s="21"/>
      <c r="H269" s="56"/>
      <c r="I269" s="21"/>
      <c r="J269" s="56"/>
      <c r="K269" s="21"/>
      <c r="L269" s="21"/>
      <c r="M269" s="21"/>
      <c r="N269" s="21"/>
      <c r="O269" s="21"/>
      <c r="P269" s="21"/>
      <c r="Q269" s="21"/>
      <c r="R269" s="21"/>
      <c r="S269" s="56" t="str">
        <f>+S207</f>
        <v xml:space="preserve">  INFORME N° 26</v>
      </c>
      <c r="T269" s="21"/>
      <c r="U269" s="86"/>
      <c r="V269" s="87"/>
      <c r="W269" s="21"/>
      <c r="X269" s="21"/>
      <c r="Y269" s="21"/>
      <c r="Z269" s="21"/>
      <c r="AA269" s="21"/>
      <c r="AB269" s="566">
        <f>+AB207</f>
        <v>0</v>
      </c>
      <c r="AC269" s="567"/>
      <c r="AD269" s="567"/>
      <c r="AE269" s="567"/>
      <c r="AF269" s="567"/>
      <c r="AG269" s="21"/>
      <c r="AH269" s="21"/>
      <c r="AI269" s="21"/>
      <c r="AJ269" s="21"/>
      <c r="AK269" s="21"/>
      <c r="AL269" s="21"/>
      <c r="AM269" s="21"/>
      <c r="AN269" s="21"/>
      <c r="AO269" s="21"/>
      <c r="AP269" s="21"/>
      <c r="AQ269" s="21"/>
      <c r="AR269" s="21"/>
      <c r="AS269" s="21"/>
      <c r="AT269" s="21"/>
      <c r="AU269" s="21"/>
      <c r="AV269" s="21"/>
    </row>
    <row r="270" spans="1:48" ht="18" customHeight="1">
      <c r="A270" s="568"/>
      <c r="B270" s="326"/>
      <c r="C270" s="153" t="s">
        <v>314</v>
      </c>
      <c r="D270" s="89"/>
      <c r="E270" s="89"/>
      <c r="F270" s="89"/>
      <c r="G270" s="89"/>
      <c r="H270" s="89"/>
      <c r="I270" s="182" t="s">
        <v>315</v>
      </c>
      <c r="J270" s="183"/>
      <c r="K270" s="183"/>
      <c r="L270" s="183"/>
      <c r="M270" s="183"/>
      <c r="N270" s="183"/>
      <c r="O270" s="183"/>
      <c r="P270" s="183"/>
      <c r="Q270" s="183"/>
      <c r="R270" s="183"/>
      <c r="S270" s="183"/>
      <c r="T270" s="183"/>
      <c r="U270" s="183"/>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row>
    <row r="271" spans="1:48" ht="30" customHeight="1">
      <c r="A271" s="21"/>
      <c r="B271" s="21"/>
      <c r="C271" s="569" t="s">
        <v>316</v>
      </c>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c r="Z271" s="304"/>
      <c r="AA271" s="304"/>
      <c r="AB271" s="304"/>
      <c r="AC271" s="304"/>
      <c r="AD271" s="304"/>
      <c r="AE271" s="304"/>
      <c r="AF271" s="304"/>
      <c r="AG271" s="304"/>
      <c r="AH271" s="304"/>
      <c r="AI271" s="304"/>
      <c r="AJ271" s="304"/>
      <c r="AK271" s="304"/>
      <c r="AL271" s="304"/>
      <c r="AM271" s="304"/>
      <c r="AN271" s="304"/>
      <c r="AO271" s="304"/>
      <c r="AP271" s="304"/>
      <c r="AQ271" s="304"/>
      <c r="AR271" s="304"/>
      <c r="AS271" s="304"/>
      <c r="AT271" s="304"/>
      <c r="AU271" s="304"/>
      <c r="AV271" s="304"/>
    </row>
    <row r="272" spans="1:48" ht="5.2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row>
    <row r="273" spans="1:48" s="31" customFormat="1" ht="13.5">
      <c r="C273" s="570" t="s">
        <v>274</v>
      </c>
      <c r="D273" s="532"/>
      <c r="E273" s="532"/>
      <c r="F273" s="532"/>
      <c r="G273" s="532"/>
      <c r="H273" s="532"/>
      <c r="I273" s="532"/>
      <c r="J273" s="532"/>
      <c r="K273" s="532"/>
      <c r="L273" s="532"/>
      <c r="M273" s="532"/>
      <c r="N273" s="532"/>
      <c r="O273" s="532"/>
      <c r="P273" s="532"/>
      <c r="Q273" s="532"/>
      <c r="R273" s="532"/>
      <c r="S273" s="532"/>
      <c r="T273" s="532"/>
      <c r="U273" s="532"/>
      <c r="V273" s="532"/>
      <c r="W273" s="532"/>
      <c r="X273" s="532"/>
      <c r="Y273" s="532"/>
      <c r="Z273" s="532"/>
      <c r="AA273" s="532"/>
      <c r="AB273" s="532"/>
      <c r="AC273" s="532"/>
      <c r="AD273" s="532"/>
      <c r="AE273" s="532"/>
      <c r="AF273" s="532"/>
      <c r="AG273" s="532"/>
      <c r="AH273" s="532"/>
      <c r="AI273" s="532"/>
      <c r="AJ273" s="532"/>
      <c r="AK273" s="532"/>
      <c r="AL273" s="532"/>
      <c r="AM273" s="532"/>
      <c r="AN273" s="532"/>
      <c r="AO273" s="532"/>
      <c r="AP273" s="532"/>
      <c r="AQ273" s="532"/>
      <c r="AR273" s="532"/>
      <c r="AS273" s="532"/>
      <c r="AT273" s="532"/>
      <c r="AU273" s="532"/>
      <c r="AV273" s="537"/>
    </row>
    <row r="274" spans="1:48" ht="3" customHeight="1">
      <c r="A274" s="21"/>
      <c r="B274" s="21"/>
      <c r="C274" s="21"/>
      <c r="D274" s="21"/>
      <c r="E274" s="21"/>
      <c r="F274" s="21"/>
      <c r="G274" s="21"/>
      <c r="H274" s="21"/>
      <c r="I274" s="21"/>
      <c r="J274" s="21"/>
      <c r="K274" s="21"/>
      <c r="L274" s="21"/>
      <c r="M274" s="184"/>
      <c r="N274" s="184"/>
      <c r="O274" s="184"/>
      <c r="P274" s="184"/>
      <c r="Q274" s="184"/>
      <c r="R274" s="184"/>
      <c r="S274" s="184"/>
      <c r="T274" s="184"/>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row>
    <row r="275" spans="1:48" s="155" customFormat="1" ht="81.75" customHeight="1">
      <c r="C275" s="559" t="s">
        <v>177</v>
      </c>
      <c r="D275" s="540"/>
      <c r="E275" s="540"/>
      <c r="F275" s="540"/>
      <c r="G275" s="540"/>
      <c r="H275" s="540"/>
      <c r="I275" s="540"/>
      <c r="J275" s="540"/>
      <c r="K275" s="540"/>
      <c r="L275" s="540"/>
      <c r="M275" s="540"/>
      <c r="N275" s="540"/>
      <c r="O275" s="540"/>
      <c r="P275" s="540"/>
      <c r="Q275" s="540"/>
      <c r="R275" s="560" t="s">
        <v>275</v>
      </c>
      <c r="S275" s="561"/>
      <c r="T275" s="562"/>
      <c r="U275" s="560" t="s">
        <v>276</v>
      </c>
      <c r="V275" s="561"/>
      <c r="W275" s="562"/>
      <c r="X275" s="563" t="s">
        <v>277</v>
      </c>
      <c r="Y275" s="564"/>
      <c r="Z275" s="565"/>
      <c r="AA275" s="563" t="s">
        <v>278</v>
      </c>
      <c r="AB275" s="564"/>
      <c r="AC275" s="565"/>
      <c r="AD275" s="552" t="s">
        <v>279</v>
      </c>
      <c r="AE275" s="553"/>
      <c r="AF275" s="554"/>
      <c r="AG275" s="554"/>
      <c r="AH275" s="554"/>
      <c r="AI275" s="552" t="s">
        <v>280</v>
      </c>
      <c r="AJ275" s="553"/>
      <c r="AK275" s="554"/>
      <c r="AL275" s="554"/>
      <c r="AM275" s="554"/>
      <c r="AN275" s="552" t="s">
        <v>281</v>
      </c>
      <c r="AO275" s="555"/>
      <c r="AP275" s="555"/>
      <c r="AQ275" s="555"/>
      <c r="AR275" s="555"/>
      <c r="AS275" s="556" t="s">
        <v>317</v>
      </c>
      <c r="AT275" s="557"/>
      <c r="AU275" s="558"/>
      <c r="AV275" s="558"/>
    </row>
    <row r="276" spans="1:48" s="155" customFormat="1" ht="13.5">
      <c r="C276" s="559" t="s">
        <v>283</v>
      </c>
      <c r="D276" s="540"/>
      <c r="E276" s="540"/>
      <c r="F276" s="540"/>
      <c r="G276" s="540"/>
      <c r="H276" s="540"/>
      <c r="I276" s="540"/>
      <c r="J276" s="540"/>
      <c r="K276" s="540"/>
      <c r="L276" s="540"/>
      <c r="M276" s="540"/>
      <c r="N276" s="540"/>
      <c r="O276" s="540"/>
      <c r="P276" s="540"/>
      <c r="Q276" s="540"/>
      <c r="R276" s="540"/>
      <c r="S276" s="540"/>
      <c r="T276" s="540"/>
      <c r="U276" s="540"/>
      <c r="V276" s="540"/>
      <c r="W276" s="540"/>
      <c r="X276" s="540"/>
      <c r="Y276" s="540"/>
      <c r="Z276" s="540"/>
      <c r="AA276" s="540"/>
      <c r="AB276" s="540"/>
      <c r="AC276" s="540"/>
      <c r="AD276" s="540"/>
      <c r="AE276" s="540"/>
      <c r="AF276" s="540"/>
      <c r="AG276" s="540"/>
      <c r="AH276" s="540"/>
      <c r="AI276" s="540"/>
      <c r="AJ276" s="540"/>
      <c r="AK276" s="540"/>
      <c r="AL276" s="540"/>
      <c r="AM276" s="540"/>
      <c r="AN276" s="540"/>
      <c r="AO276" s="540"/>
      <c r="AP276" s="540"/>
      <c r="AQ276" s="540"/>
      <c r="AR276" s="540"/>
      <c r="AS276" s="540"/>
      <c r="AT276" s="540"/>
      <c r="AU276" s="540"/>
      <c r="AV276" s="541"/>
    </row>
    <row r="277" spans="1:48" s="157" customFormat="1" ht="53.25" customHeight="1">
      <c r="C277" s="549"/>
      <c r="D277" s="550"/>
      <c r="E277" s="550"/>
      <c r="F277" s="550"/>
      <c r="G277" s="550"/>
      <c r="H277" s="550"/>
      <c r="I277" s="550"/>
      <c r="J277" s="550"/>
      <c r="K277" s="550"/>
      <c r="L277" s="550"/>
      <c r="M277" s="550"/>
      <c r="N277" s="550"/>
      <c r="O277" s="550"/>
      <c r="P277" s="550"/>
      <c r="Q277" s="550"/>
      <c r="R277" s="544"/>
      <c r="S277" s="545"/>
      <c r="T277" s="546"/>
      <c r="U277" s="544"/>
      <c r="V277" s="545"/>
      <c r="W277" s="546"/>
      <c r="X277" s="544"/>
      <c r="Y277" s="545"/>
      <c r="Z277" s="546"/>
      <c r="AA277" s="544"/>
      <c r="AB277" s="545"/>
      <c r="AC277" s="546"/>
      <c r="AD277" s="547"/>
      <c r="AE277" s="547"/>
      <c r="AF277" s="548"/>
      <c r="AG277" s="548"/>
      <c r="AH277" s="548"/>
      <c r="AI277" s="547"/>
      <c r="AJ277" s="547"/>
      <c r="AK277" s="548"/>
      <c r="AL277" s="548"/>
      <c r="AM277" s="548"/>
      <c r="AN277" s="547"/>
      <c r="AO277" s="548"/>
      <c r="AP277" s="548"/>
      <c r="AQ277" s="548"/>
      <c r="AR277" s="548"/>
      <c r="AS277" s="538" t="e">
        <f>+AD277/AA277</f>
        <v>#DIV/0!</v>
      </c>
      <c r="AT277" s="519"/>
      <c r="AU277" s="520"/>
      <c r="AV277" s="520"/>
    </row>
    <row r="278" spans="1:48" s="157" customFormat="1" ht="53.25" customHeight="1">
      <c r="C278" s="549"/>
      <c r="D278" s="550"/>
      <c r="E278" s="550"/>
      <c r="F278" s="550"/>
      <c r="G278" s="550"/>
      <c r="H278" s="550"/>
      <c r="I278" s="550"/>
      <c r="J278" s="550"/>
      <c r="K278" s="550"/>
      <c r="L278" s="550"/>
      <c r="M278" s="550"/>
      <c r="N278" s="550"/>
      <c r="O278" s="550"/>
      <c r="P278" s="550"/>
      <c r="Q278" s="550"/>
      <c r="R278" s="544"/>
      <c r="S278" s="545"/>
      <c r="T278" s="546"/>
      <c r="U278" s="544"/>
      <c r="V278" s="545"/>
      <c r="W278" s="546"/>
      <c r="X278" s="544"/>
      <c r="Y278" s="545"/>
      <c r="Z278" s="546"/>
      <c r="AA278" s="551"/>
      <c r="AB278" s="551"/>
      <c r="AC278" s="551"/>
      <c r="AD278" s="547"/>
      <c r="AE278" s="547"/>
      <c r="AF278" s="548"/>
      <c r="AG278" s="548"/>
      <c r="AH278" s="548"/>
      <c r="AI278" s="547"/>
      <c r="AJ278" s="547"/>
      <c r="AK278" s="548"/>
      <c r="AL278" s="548"/>
      <c r="AM278" s="548"/>
      <c r="AN278" s="547"/>
      <c r="AO278" s="548"/>
      <c r="AP278" s="548"/>
      <c r="AQ278" s="548"/>
      <c r="AR278" s="548"/>
      <c r="AS278" s="538" t="e">
        <f>+AD278/AA278</f>
        <v>#DIV/0!</v>
      </c>
      <c r="AT278" s="519"/>
      <c r="AU278" s="520"/>
      <c r="AV278" s="520"/>
    </row>
    <row r="279" spans="1:48" s="157" customFormat="1" ht="97.5" customHeight="1">
      <c r="C279" s="549"/>
      <c r="D279" s="550"/>
      <c r="E279" s="550"/>
      <c r="F279" s="550"/>
      <c r="G279" s="550"/>
      <c r="H279" s="550"/>
      <c r="I279" s="550"/>
      <c r="J279" s="550"/>
      <c r="K279" s="550"/>
      <c r="L279" s="550"/>
      <c r="M279" s="550"/>
      <c r="N279" s="550"/>
      <c r="O279" s="550"/>
      <c r="P279" s="550"/>
      <c r="Q279" s="550"/>
      <c r="R279" s="544"/>
      <c r="S279" s="545"/>
      <c r="T279" s="546"/>
      <c r="U279" s="544"/>
      <c r="V279" s="545"/>
      <c r="W279" s="546"/>
      <c r="X279" s="544"/>
      <c r="Y279" s="545"/>
      <c r="Z279" s="546"/>
      <c r="AA279" s="544"/>
      <c r="AB279" s="545"/>
      <c r="AC279" s="546"/>
      <c r="AD279" s="547"/>
      <c r="AE279" s="547"/>
      <c r="AF279" s="548"/>
      <c r="AG279" s="548"/>
      <c r="AH279" s="548"/>
      <c r="AI279" s="547"/>
      <c r="AJ279" s="547"/>
      <c r="AK279" s="548"/>
      <c r="AL279" s="548"/>
      <c r="AM279" s="548"/>
      <c r="AN279" s="547"/>
      <c r="AO279" s="548"/>
      <c r="AP279" s="548"/>
      <c r="AQ279" s="548"/>
      <c r="AR279" s="548"/>
      <c r="AS279" s="538" t="e">
        <f>+AD279/AA279</f>
        <v>#DIV/0!</v>
      </c>
      <c r="AT279" s="519"/>
      <c r="AU279" s="520"/>
      <c r="AV279" s="520"/>
    </row>
    <row r="280" spans="1:48" s="155" customFormat="1" ht="34.5" customHeight="1">
      <c r="C280" s="539" t="s">
        <v>284</v>
      </c>
      <c r="D280" s="540"/>
      <c r="E280" s="540"/>
      <c r="F280" s="540"/>
      <c r="G280" s="540"/>
      <c r="H280" s="540"/>
      <c r="I280" s="540"/>
      <c r="J280" s="540"/>
      <c r="K280" s="540"/>
      <c r="L280" s="540"/>
      <c r="M280" s="540"/>
      <c r="N280" s="540"/>
      <c r="O280" s="540"/>
      <c r="P280" s="540"/>
      <c r="Q280" s="540"/>
      <c r="R280" s="540"/>
      <c r="S280" s="540"/>
      <c r="T280" s="540"/>
      <c r="U280" s="540"/>
      <c r="V280" s="540"/>
      <c r="W280" s="540"/>
      <c r="X280" s="540"/>
      <c r="Y280" s="540"/>
      <c r="Z280" s="540"/>
      <c r="AA280" s="540"/>
      <c r="AB280" s="540"/>
      <c r="AC280" s="540"/>
      <c r="AD280" s="540"/>
      <c r="AE280" s="540"/>
      <c r="AF280" s="540"/>
      <c r="AG280" s="540"/>
      <c r="AH280" s="540"/>
      <c r="AI280" s="540"/>
      <c r="AJ280" s="540"/>
      <c r="AK280" s="540"/>
      <c r="AL280" s="540"/>
      <c r="AM280" s="540"/>
      <c r="AN280" s="540"/>
      <c r="AO280" s="540"/>
      <c r="AP280" s="540"/>
      <c r="AQ280" s="540"/>
      <c r="AR280" s="540"/>
      <c r="AS280" s="540"/>
      <c r="AT280" s="540"/>
      <c r="AU280" s="540"/>
      <c r="AV280" s="541"/>
    </row>
    <row r="281" spans="1:48" s="157" customFormat="1" ht="78.75" customHeight="1" thickBot="1">
      <c r="C281" s="542"/>
      <c r="D281" s="543"/>
      <c r="E281" s="543"/>
      <c r="F281" s="543"/>
      <c r="G281" s="543"/>
      <c r="H281" s="543"/>
      <c r="I281" s="543"/>
      <c r="J281" s="543"/>
      <c r="K281" s="543"/>
      <c r="L281" s="543"/>
      <c r="M281" s="543"/>
      <c r="N281" s="543"/>
      <c r="O281" s="543"/>
      <c r="P281" s="543"/>
      <c r="Q281" s="543"/>
      <c r="R281" s="544"/>
      <c r="S281" s="545"/>
      <c r="T281" s="546"/>
      <c r="U281" s="544"/>
      <c r="V281" s="545"/>
      <c r="W281" s="546"/>
      <c r="X281" s="544"/>
      <c r="Y281" s="545"/>
      <c r="Z281" s="546"/>
      <c r="AA281" s="544"/>
      <c r="AB281" s="545"/>
      <c r="AC281" s="546"/>
      <c r="AD281" s="547"/>
      <c r="AE281" s="547"/>
      <c r="AF281" s="548"/>
      <c r="AG281" s="548"/>
      <c r="AH281" s="548"/>
      <c r="AI281" s="547"/>
      <c r="AJ281" s="547"/>
      <c r="AK281" s="548"/>
      <c r="AL281" s="548"/>
      <c r="AM281" s="548"/>
      <c r="AN281" s="547"/>
      <c r="AO281" s="548"/>
      <c r="AP281" s="548"/>
      <c r="AQ281" s="548"/>
      <c r="AR281" s="548"/>
      <c r="AS281" s="518" t="e">
        <f>+AD281/AA281</f>
        <v>#DIV/0!</v>
      </c>
      <c r="AT281" s="519"/>
      <c r="AU281" s="520"/>
      <c r="AV281" s="520"/>
    </row>
    <row r="282" spans="1:48" s="158" customFormat="1" ht="21" customHeight="1" thickTop="1">
      <c r="A282" s="158" t="s">
        <v>285</v>
      </c>
      <c r="B282" s="159"/>
      <c r="C282" s="521"/>
      <c r="D282" s="522"/>
      <c r="E282" s="522"/>
      <c r="F282" s="522"/>
      <c r="G282" s="522"/>
      <c r="H282" s="522"/>
      <c r="I282" s="522"/>
      <c r="J282" s="522"/>
      <c r="K282" s="522"/>
      <c r="L282" s="522"/>
      <c r="M282" s="522"/>
      <c r="N282" s="522"/>
      <c r="O282" s="522"/>
      <c r="P282" s="522"/>
      <c r="Q282" s="522"/>
      <c r="R282" s="522"/>
      <c r="S282" s="522"/>
      <c r="T282" s="522"/>
      <c r="U282" s="522"/>
      <c r="V282" s="522"/>
      <c r="W282" s="522"/>
      <c r="X282" s="522"/>
      <c r="Y282" s="522"/>
      <c r="Z282" s="522"/>
      <c r="AA282" s="522"/>
      <c r="AB282" s="522"/>
      <c r="AC282" s="522"/>
      <c r="AD282" s="522"/>
      <c r="AE282" s="522"/>
      <c r="AF282" s="522"/>
      <c r="AG282" s="522"/>
      <c r="AH282" s="522"/>
      <c r="AI282" s="522"/>
      <c r="AJ282" s="522"/>
      <c r="AK282" s="522"/>
      <c r="AL282" s="522"/>
      <c r="AM282" s="522"/>
      <c r="AN282" s="522"/>
      <c r="AO282" s="522"/>
      <c r="AP282" s="522"/>
      <c r="AQ282" s="522"/>
      <c r="AR282" s="522"/>
      <c r="AS282" s="522"/>
      <c r="AT282" s="522"/>
      <c r="AU282" s="522"/>
      <c r="AV282" s="523"/>
    </row>
    <row r="283" spans="1:48" s="158" customFormat="1" ht="21" customHeight="1">
      <c r="A283" s="21"/>
      <c r="B283" s="159"/>
      <c r="C283" s="524"/>
      <c r="D283" s="509"/>
      <c r="E283" s="509"/>
      <c r="F283" s="509"/>
      <c r="G283" s="509"/>
      <c r="H283" s="509"/>
      <c r="I283" s="509"/>
      <c r="J283" s="509"/>
      <c r="K283" s="509"/>
      <c r="L283" s="509"/>
      <c r="M283" s="509"/>
      <c r="N283" s="509"/>
      <c r="O283" s="509"/>
      <c r="P283" s="509"/>
      <c r="Q283" s="509"/>
      <c r="R283" s="509"/>
      <c r="S283" s="509"/>
      <c r="T283" s="509"/>
      <c r="U283" s="509"/>
      <c r="V283" s="509"/>
      <c r="W283" s="509"/>
      <c r="X283" s="509"/>
      <c r="Y283" s="509"/>
      <c r="Z283" s="509"/>
      <c r="AA283" s="509"/>
      <c r="AB283" s="509"/>
      <c r="AC283" s="509"/>
      <c r="AD283" s="509"/>
      <c r="AE283" s="509"/>
      <c r="AF283" s="509"/>
      <c r="AG283" s="509"/>
      <c r="AH283" s="509"/>
      <c r="AI283" s="509"/>
      <c r="AJ283" s="509"/>
      <c r="AK283" s="509"/>
      <c r="AL283" s="509"/>
      <c r="AM283" s="509"/>
      <c r="AN283" s="509"/>
      <c r="AO283" s="509"/>
      <c r="AP283" s="509"/>
      <c r="AQ283" s="509"/>
      <c r="AR283" s="509"/>
      <c r="AS283" s="509"/>
      <c r="AT283" s="509"/>
      <c r="AU283" s="509"/>
      <c r="AV283" s="525"/>
    </row>
    <row r="284" spans="1:48" s="158" customFormat="1" ht="21" customHeight="1">
      <c r="A284" s="21"/>
      <c r="B284" s="159"/>
      <c r="C284" s="524"/>
      <c r="D284" s="509"/>
      <c r="E284" s="509"/>
      <c r="F284" s="509"/>
      <c r="G284" s="509"/>
      <c r="H284" s="509"/>
      <c r="I284" s="509"/>
      <c r="J284" s="509"/>
      <c r="K284" s="509"/>
      <c r="L284" s="509"/>
      <c r="M284" s="509"/>
      <c r="N284" s="509"/>
      <c r="O284" s="509"/>
      <c r="P284" s="509"/>
      <c r="Q284" s="509"/>
      <c r="R284" s="509"/>
      <c r="S284" s="509"/>
      <c r="T284" s="509"/>
      <c r="U284" s="509"/>
      <c r="V284" s="509"/>
      <c r="W284" s="509"/>
      <c r="X284" s="509"/>
      <c r="Y284" s="509"/>
      <c r="Z284" s="509"/>
      <c r="AA284" s="509"/>
      <c r="AB284" s="509"/>
      <c r="AC284" s="509"/>
      <c r="AD284" s="509"/>
      <c r="AE284" s="509"/>
      <c r="AF284" s="509"/>
      <c r="AG284" s="509"/>
      <c r="AH284" s="509"/>
      <c r="AI284" s="509"/>
      <c r="AJ284" s="509"/>
      <c r="AK284" s="509"/>
      <c r="AL284" s="509"/>
      <c r="AM284" s="509"/>
      <c r="AN284" s="509"/>
      <c r="AO284" s="509"/>
      <c r="AP284" s="509"/>
      <c r="AQ284" s="509"/>
      <c r="AR284" s="509"/>
      <c r="AS284" s="509"/>
      <c r="AT284" s="509"/>
      <c r="AU284" s="509"/>
      <c r="AV284" s="525"/>
    </row>
    <row r="285" spans="1:48" s="158" customFormat="1" ht="21" customHeight="1">
      <c r="A285" s="21"/>
      <c r="B285" s="159"/>
      <c r="C285" s="524"/>
      <c r="D285" s="509"/>
      <c r="E285" s="509"/>
      <c r="F285" s="509"/>
      <c r="G285" s="509"/>
      <c r="H285" s="509"/>
      <c r="I285" s="509"/>
      <c r="J285" s="509"/>
      <c r="K285" s="509"/>
      <c r="L285" s="509"/>
      <c r="M285" s="509"/>
      <c r="N285" s="509"/>
      <c r="O285" s="509"/>
      <c r="P285" s="509"/>
      <c r="Q285" s="509"/>
      <c r="R285" s="509"/>
      <c r="S285" s="509"/>
      <c r="T285" s="509"/>
      <c r="U285" s="509"/>
      <c r="V285" s="509"/>
      <c r="W285" s="509"/>
      <c r="X285" s="509"/>
      <c r="Y285" s="509"/>
      <c r="Z285" s="509"/>
      <c r="AA285" s="509"/>
      <c r="AB285" s="509"/>
      <c r="AC285" s="509"/>
      <c r="AD285" s="509"/>
      <c r="AE285" s="509"/>
      <c r="AF285" s="509"/>
      <c r="AG285" s="509"/>
      <c r="AH285" s="509"/>
      <c r="AI285" s="509"/>
      <c r="AJ285" s="509"/>
      <c r="AK285" s="509"/>
      <c r="AL285" s="509"/>
      <c r="AM285" s="509"/>
      <c r="AN285" s="509"/>
      <c r="AO285" s="509"/>
      <c r="AP285" s="509"/>
      <c r="AQ285" s="509"/>
      <c r="AR285" s="509"/>
      <c r="AS285" s="509"/>
      <c r="AT285" s="509"/>
      <c r="AU285" s="509"/>
      <c r="AV285" s="525"/>
    </row>
    <row r="286" spans="1:48" s="158" customFormat="1" ht="21" customHeight="1">
      <c r="A286" s="21"/>
      <c r="B286" s="159"/>
      <c r="C286" s="524"/>
      <c r="D286" s="509"/>
      <c r="E286" s="509"/>
      <c r="F286" s="509"/>
      <c r="G286" s="509"/>
      <c r="H286" s="509"/>
      <c r="I286" s="509"/>
      <c r="J286" s="509"/>
      <c r="K286" s="509"/>
      <c r="L286" s="509"/>
      <c r="M286" s="509"/>
      <c r="N286" s="509"/>
      <c r="O286" s="509"/>
      <c r="P286" s="509"/>
      <c r="Q286" s="509"/>
      <c r="R286" s="509"/>
      <c r="S286" s="509"/>
      <c r="T286" s="509"/>
      <c r="U286" s="509"/>
      <c r="V286" s="509"/>
      <c r="W286" s="509"/>
      <c r="X286" s="509"/>
      <c r="Y286" s="509"/>
      <c r="Z286" s="509"/>
      <c r="AA286" s="509"/>
      <c r="AB286" s="509"/>
      <c r="AC286" s="509"/>
      <c r="AD286" s="509"/>
      <c r="AE286" s="509"/>
      <c r="AF286" s="509"/>
      <c r="AG286" s="509"/>
      <c r="AH286" s="509"/>
      <c r="AI286" s="509"/>
      <c r="AJ286" s="509"/>
      <c r="AK286" s="509"/>
      <c r="AL286" s="509"/>
      <c r="AM286" s="509"/>
      <c r="AN286" s="509"/>
      <c r="AO286" s="509"/>
      <c r="AP286" s="509"/>
      <c r="AQ286" s="509"/>
      <c r="AR286" s="509"/>
      <c r="AS286" s="509"/>
      <c r="AT286" s="509"/>
      <c r="AU286" s="509"/>
      <c r="AV286" s="525"/>
    </row>
    <row r="287" spans="1:48" s="158" customFormat="1" ht="21" customHeight="1">
      <c r="B287" s="159"/>
      <c r="C287" s="524"/>
      <c r="D287" s="509"/>
      <c r="E287" s="509"/>
      <c r="F287" s="509"/>
      <c r="G287" s="509"/>
      <c r="H287" s="509"/>
      <c r="I287" s="509"/>
      <c r="J287" s="509"/>
      <c r="K287" s="509"/>
      <c r="L287" s="509"/>
      <c r="M287" s="509"/>
      <c r="N287" s="509"/>
      <c r="O287" s="509"/>
      <c r="P287" s="509"/>
      <c r="Q287" s="509"/>
      <c r="R287" s="509"/>
      <c r="S287" s="509"/>
      <c r="T287" s="509"/>
      <c r="U287" s="509"/>
      <c r="V287" s="509"/>
      <c r="W287" s="509"/>
      <c r="X287" s="509"/>
      <c r="Y287" s="509"/>
      <c r="Z287" s="509"/>
      <c r="AA287" s="509"/>
      <c r="AB287" s="509"/>
      <c r="AC287" s="509"/>
      <c r="AD287" s="509"/>
      <c r="AE287" s="509"/>
      <c r="AF287" s="509"/>
      <c r="AG287" s="509"/>
      <c r="AH287" s="509"/>
      <c r="AI287" s="509"/>
      <c r="AJ287" s="509"/>
      <c r="AK287" s="509"/>
      <c r="AL287" s="509"/>
      <c r="AM287" s="509"/>
      <c r="AN287" s="509"/>
      <c r="AO287" s="509"/>
      <c r="AP287" s="509"/>
      <c r="AQ287" s="509"/>
      <c r="AR287" s="509"/>
      <c r="AS287" s="509"/>
      <c r="AT287" s="509"/>
      <c r="AU287" s="509"/>
      <c r="AV287" s="525"/>
    </row>
    <row r="288" spans="1:48" s="158" customFormat="1" ht="21" customHeight="1">
      <c r="A288" s="21"/>
      <c r="B288" s="159"/>
      <c r="C288" s="524"/>
      <c r="D288" s="509"/>
      <c r="E288" s="509"/>
      <c r="F288" s="509"/>
      <c r="G288" s="509"/>
      <c r="H288" s="509"/>
      <c r="I288" s="509"/>
      <c r="J288" s="509"/>
      <c r="K288" s="509"/>
      <c r="L288" s="509"/>
      <c r="M288" s="509"/>
      <c r="N288" s="509"/>
      <c r="O288" s="509"/>
      <c r="P288" s="509"/>
      <c r="Q288" s="509"/>
      <c r="R288" s="509"/>
      <c r="S288" s="509"/>
      <c r="T288" s="509"/>
      <c r="U288" s="509"/>
      <c r="V288" s="509"/>
      <c r="W288" s="509"/>
      <c r="X288" s="509"/>
      <c r="Y288" s="509"/>
      <c r="Z288" s="509"/>
      <c r="AA288" s="509"/>
      <c r="AB288" s="509"/>
      <c r="AC288" s="509"/>
      <c r="AD288" s="509"/>
      <c r="AE288" s="509"/>
      <c r="AF288" s="509"/>
      <c r="AG288" s="509"/>
      <c r="AH288" s="509"/>
      <c r="AI288" s="509"/>
      <c r="AJ288" s="509"/>
      <c r="AK288" s="509"/>
      <c r="AL288" s="509"/>
      <c r="AM288" s="509"/>
      <c r="AN288" s="509"/>
      <c r="AO288" s="509"/>
      <c r="AP288" s="509"/>
      <c r="AQ288" s="509"/>
      <c r="AR288" s="509"/>
      <c r="AS288" s="509"/>
      <c r="AT288" s="509"/>
      <c r="AU288" s="509"/>
      <c r="AV288" s="525"/>
    </row>
    <row r="289" spans="1:48" s="158" customFormat="1" ht="21" customHeight="1">
      <c r="A289" s="21"/>
      <c r="B289" s="159"/>
      <c r="C289" s="524"/>
      <c r="D289" s="509"/>
      <c r="E289" s="509"/>
      <c r="F289" s="509"/>
      <c r="G289" s="509"/>
      <c r="H289" s="509"/>
      <c r="I289" s="509"/>
      <c r="J289" s="509"/>
      <c r="K289" s="509"/>
      <c r="L289" s="509"/>
      <c r="M289" s="509"/>
      <c r="N289" s="509"/>
      <c r="O289" s="509"/>
      <c r="P289" s="509"/>
      <c r="Q289" s="509"/>
      <c r="R289" s="509"/>
      <c r="S289" s="509"/>
      <c r="T289" s="509"/>
      <c r="U289" s="509"/>
      <c r="V289" s="509"/>
      <c r="W289" s="509"/>
      <c r="X289" s="509"/>
      <c r="Y289" s="509"/>
      <c r="Z289" s="509"/>
      <c r="AA289" s="509"/>
      <c r="AB289" s="509"/>
      <c r="AC289" s="509"/>
      <c r="AD289" s="509"/>
      <c r="AE289" s="509"/>
      <c r="AF289" s="509"/>
      <c r="AG289" s="509"/>
      <c r="AH289" s="509"/>
      <c r="AI289" s="509"/>
      <c r="AJ289" s="509"/>
      <c r="AK289" s="509"/>
      <c r="AL289" s="509"/>
      <c r="AM289" s="509"/>
      <c r="AN289" s="509"/>
      <c r="AO289" s="509"/>
      <c r="AP289" s="509"/>
      <c r="AQ289" s="509"/>
      <c r="AR289" s="509"/>
      <c r="AS289" s="509"/>
      <c r="AT289" s="509"/>
      <c r="AU289" s="509"/>
      <c r="AV289" s="525"/>
    </row>
    <row r="290" spans="1:48" s="158" customFormat="1" ht="21" customHeight="1">
      <c r="A290" s="21"/>
      <c r="B290" s="159"/>
      <c r="C290" s="524"/>
      <c r="D290" s="509"/>
      <c r="E290" s="509"/>
      <c r="F290" s="509"/>
      <c r="G290" s="509"/>
      <c r="H290" s="509"/>
      <c r="I290" s="509"/>
      <c r="J290" s="509"/>
      <c r="K290" s="509"/>
      <c r="L290" s="509"/>
      <c r="M290" s="509"/>
      <c r="N290" s="509"/>
      <c r="O290" s="509"/>
      <c r="P290" s="509"/>
      <c r="Q290" s="509"/>
      <c r="R290" s="509"/>
      <c r="S290" s="509"/>
      <c r="T290" s="509"/>
      <c r="U290" s="509"/>
      <c r="V290" s="509"/>
      <c r="W290" s="509"/>
      <c r="X290" s="509"/>
      <c r="Y290" s="509"/>
      <c r="Z290" s="509"/>
      <c r="AA290" s="509"/>
      <c r="AB290" s="509"/>
      <c r="AC290" s="509"/>
      <c r="AD290" s="509"/>
      <c r="AE290" s="509"/>
      <c r="AF290" s="509"/>
      <c r="AG290" s="509"/>
      <c r="AH290" s="509"/>
      <c r="AI290" s="509"/>
      <c r="AJ290" s="509"/>
      <c r="AK290" s="509"/>
      <c r="AL290" s="509"/>
      <c r="AM290" s="509"/>
      <c r="AN290" s="509"/>
      <c r="AO290" s="509"/>
      <c r="AP290" s="509"/>
      <c r="AQ290" s="509"/>
      <c r="AR290" s="509"/>
      <c r="AS290" s="509"/>
      <c r="AT290" s="509"/>
      <c r="AU290" s="509"/>
      <c r="AV290" s="525"/>
    </row>
    <row r="291" spans="1:48" s="158" customFormat="1" ht="21" customHeight="1">
      <c r="A291" s="21"/>
      <c r="B291" s="159"/>
      <c r="C291" s="524"/>
      <c r="D291" s="509"/>
      <c r="E291" s="509"/>
      <c r="F291" s="509"/>
      <c r="G291" s="509"/>
      <c r="H291" s="509"/>
      <c r="I291" s="509"/>
      <c r="J291" s="509"/>
      <c r="K291" s="509"/>
      <c r="L291" s="509"/>
      <c r="M291" s="509"/>
      <c r="N291" s="509"/>
      <c r="O291" s="509"/>
      <c r="P291" s="509"/>
      <c r="Q291" s="509"/>
      <c r="R291" s="509"/>
      <c r="S291" s="509"/>
      <c r="T291" s="509"/>
      <c r="U291" s="509"/>
      <c r="V291" s="509"/>
      <c r="W291" s="509"/>
      <c r="X291" s="509"/>
      <c r="Y291" s="509"/>
      <c r="Z291" s="509"/>
      <c r="AA291" s="509"/>
      <c r="AB291" s="509"/>
      <c r="AC291" s="509"/>
      <c r="AD291" s="509"/>
      <c r="AE291" s="509"/>
      <c r="AF291" s="509"/>
      <c r="AG291" s="509"/>
      <c r="AH291" s="509"/>
      <c r="AI291" s="509"/>
      <c r="AJ291" s="509"/>
      <c r="AK291" s="509"/>
      <c r="AL291" s="509"/>
      <c r="AM291" s="509"/>
      <c r="AN291" s="509"/>
      <c r="AO291" s="509"/>
      <c r="AP291" s="509"/>
      <c r="AQ291" s="509"/>
      <c r="AR291" s="509"/>
      <c r="AS291" s="509"/>
      <c r="AT291" s="509"/>
      <c r="AU291" s="509"/>
      <c r="AV291" s="525"/>
    </row>
    <row r="292" spans="1:48" s="158" customFormat="1" ht="21" customHeight="1">
      <c r="B292" s="159"/>
      <c r="C292" s="524"/>
      <c r="D292" s="509"/>
      <c r="E292" s="509"/>
      <c r="F292" s="509"/>
      <c r="G292" s="509"/>
      <c r="H292" s="509"/>
      <c r="I292" s="509"/>
      <c r="J292" s="509"/>
      <c r="K292" s="509"/>
      <c r="L292" s="509"/>
      <c r="M292" s="509"/>
      <c r="N292" s="509"/>
      <c r="O292" s="509"/>
      <c r="P292" s="509"/>
      <c r="Q292" s="509"/>
      <c r="R292" s="509"/>
      <c r="S292" s="509"/>
      <c r="T292" s="509"/>
      <c r="U292" s="509"/>
      <c r="V292" s="509"/>
      <c r="W292" s="509"/>
      <c r="X292" s="509"/>
      <c r="Y292" s="509"/>
      <c r="Z292" s="509"/>
      <c r="AA292" s="509"/>
      <c r="AB292" s="509"/>
      <c r="AC292" s="509"/>
      <c r="AD292" s="509"/>
      <c r="AE292" s="509"/>
      <c r="AF292" s="509"/>
      <c r="AG292" s="509"/>
      <c r="AH292" s="509"/>
      <c r="AI292" s="509"/>
      <c r="AJ292" s="509"/>
      <c r="AK292" s="509"/>
      <c r="AL292" s="509"/>
      <c r="AM292" s="509"/>
      <c r="AN292" s="509"/>
      <c r="AO292" s="509"/>
      <c r="AP292" s="509"/>
      <c r="AQ292" s="509"/>
      <c r="AR292" s="509"/>
      <c r="AS292" s="509"/>
      <c r="AT292" s="509"/>
      <c r="AU292" s="509"/>
      <c r="AV292" s="525"/>
    </row>
    <row r="293" spans="1:48" s="158" customFormat="1" ht="21" customHeight="1">
      <c r="A293" s="21"/>
      <c r="B293" s="159"/>
      <c r="C293" s="524"/>
      <c r="D293" s="509"/>
      <c r="E293" s="509"/>
      <c r="F293" s="509"/>
      <c r="G293" s="509"/>
      <c r="H293" s="509"/>
      <c r="I293" s="509"/>
      <c r="J293" s="509"/>
      <c r="K293" s="509"/>
      <c r="L293" s="509"/>
      <c r="M293" s="509"/>
      <c r="N293" s="509"/>
      <c r="O293" s="509"/>
      <c r="P293" s="509"/>
      <c r="Q293" s="509"/>
      <c r="R293" s="509"/>
      <c r="S293" s="509"/>
      <c r="T293" s="509"/>
      <c r="U293" s="509"/>
      <c r="V293" s="509"/>
      <c r="W293" s="509"/>
      <c r="X293" s="509"/>
      <c r="Y293" s="509"/>
      <c r="Z293" s="509"/>
      <c r="AA293" s="509"/>
      <c r="AB293" s="509"/>
      <c r="AC293" s="509"/>
      <c r="AD293" s="509"/>
      <c r="AE293" s="509"/>
      <c r="AF293" s="509"/>
      <c r="AG293" s="509"/>
      <c r="AH293" s="509"/>
      <c r="AI293" s="509"/>
      <c r="AJ293" s="509"/>
      <c r="AK293" s="509"/>
      <c r="AL293" s="509"/>
      <c r="AM293" s="509"/>
      <c r="AN293" s="509"/>
      <c r="AO293" s="509"/>
      <c r="AP293" s="509"/>
      <c r="AQ293" s="509"/>
      <c r="AR293" s="509"/>
      <c r="AS293" s="509"/>
      <c r="AT293" s="509"/>
      <c r="AU293" s="509"/>
      <c r="AV293" s="525"/>
    </row>
    <row r="294" spans="1:48" s="158" customFormat="1" ht="21" customHeight="1">
      <c r="B294" s="159"/>
      <c r="C294" s="524"/>
      <c r="D294" s="509"/>
      <c r="E294" s="509"/>
      <c r="F294" s="509"/>
      <c r="G294" s="509"/>
      <c r="H294" s="509"/>
      <c r="I294" s="509"/>
      <c r="J294" s="509"/>
      <c r="K294" s="509"/>
      <c r="L294" s="509"/>
      <c r="M294" s="509"/>
      <c r="N294" s="509"/>
      <c r="O294" s="509"/>
      <c r="P294" s="509"/>
      <c r="Q294" s="509"/>
      <c r="R294" s="509"/>
      <c r="S294" s="509"/>
      <c r="T294" s="509"/>
      <c r="U294" s="509"/>
      <c r="V294" s="509"/>
      <c r="W294" s="509"/>
      <c r="X294" s="509"/>
      <c r="Y294" s="509"/>
      <c r="Z294" s="509"/>
      <c r="AA294" s="509"/>
      <c r="AB294" s="509"/>
      <c r="AC294" s="509"/>
      <c r="AD294" s="509"/>
      <c r="AE294" s="509"/>
      <c r="AF294" s="509"/>
      <c r="AG294" s="509"/>
      <c r="AH294" s="509"/>
      <c r="AI294" s="509"/>
      <c r="AJ294" s="509"/>
      <c r="AK294" s="509"/>
      <c r="AL294" s="509"/>
      <c r="AM294" s="509"/>
      <c r="AN294" s="509"/>
      <c r="AO294" s="509"/>
      <c r="AP294" s="509"/>
      <c r="AQ294" s="509"/>
      <c r="AR294" s="509"/>
      <c r="AS294" s="509"/>
      <c r="AT294" s="509"/>
      <c r="AU294" s="509"/>
      <c r="AV294" s="525"/>
    </row>
    <row r="295" spans="1:48" s="158" customFormat="1" ht="21" customHeight="1" thickBot="1">
      <c r="A295" s="21"/>
      <c r="B295" s="159"/>
      <c r="C295" s="526"/>
      <c r="D295" s="527"/>
      <c r="E295" s="527"/>
      <c r="F295" s="527"/>
      <c r="G295" s="527"/>
      <c r="H295" s="527"/>
      <c r="I295" s="527"/>
      <c r="J295" s="527"/>
      <c r="K295" s="527"/>
      <c r="L295" s="527"/>
      <c r="M295" s="527"/>
      <c r="N295" s="527"/>
      <c r="O295" s="527"/>
      <c r="P295" s="527"/>
      <c r="Q295" s="527"/>
      <c r="R295" s="527"/>
      <c r="S295" s="527"/>
      <c r="T295" s="527"/>
      <c r="U295" s="527"/>
      <c r="V295" s="527"/>
      <c r="W295" s="527"/>
      <c r="X295" s="527"/>
      <c r="Y295" s="527"/>
      <c r="Z295" s="527"/>
      <c r="AA295" s="527"/>
      <c r="AB295" s="527"/>
      <c r="AC295" s="527"/>
      <c r="AD295" s="527"/>
      <c r="AE295" s="527"/>
      <c r="AF295" s="527"/>
      <c r="AG295" s="527"/>
      <c r="AH295" s="527"/>
      <c r="AI295" s="527"/>
      <c r="AJ295" s="527"/>
      <c r="AK295" s="527"/>
      <c r="AL295" s="527"/>
      <c r="AM295" s="527"/>
      <c r="AN295" s="527"/>
      <c r="AO295" s="527"/>
      <c r="AP295" s="527"/>
      <c r="AQ295" s="527"/>
      <c r="AR295" s="527"/>
      <c r="AS295" s="527"/>
      <c r="AT295" s="527"/>
      <c r="AU295" s="527"/>
      <c r="AV295" s="528"/>
    </row>
    <row r="296" spans="1:48" s="31" customFormat="1" ht="13.5" thickTop="1">
      <c r="C296" s="529" t="s">
        <v>318</v>
      </c>
      <c r="D296" s="530"/>
      <c r="E296" s="530"/>
      <c r="F296" s="530"/>
      <c r="G296" s="530"/>
      <c r="H296" s="530"/>
      <c r="I296" s="530"/>
      <c r="J296" s="530"/>
      <c r="K296" s="530"/>
      <c r="L296" s="530"/>
      <c r="M296" s="530"/>
      <c r="N296" s="530"/>
      <c r="O296" s="530"/>
      <c r="P296" s="530"/>
      <c r="Q296" s="530"/>
      <c r="R296" s="530"/>
      <c r="S296" s="530"/>
      <c r="T296" s="530"/>
      <c r="U296" s="530"/>
      <c r="V296" s="530"/>
      <c r="W296" s="530"/>
      <c r="X296" s="530"/>
      <c r="Y296" s="530"/>
      <c r="Z296" s="530"/>
      <c r="AA296" s="530"/>
      <c r="AB296" s="530"/>
      <c r="AC296" s="530"/>
      <c r="AD296" s="530"/>
      <c r="AE296" s="530"/>
      <c r="AF296" s="530"/>
      <c r="AG296" s="530"/>
      <c r="AH296" s="530"/>
      <c r="AI296" s="530"/>
      <c r="AJ296" s="530"/>
      <c r="AK296" s="530"/>
      <c r="AL296" s="530"/>
      <c r="AM296" s="530"/>
      <c r="AN296" s="530"/>
      <c r="AO296" s="530"/>
      <c r="AP296" s="530"/>
      <c r="AQ296" s="530"/>
      <c r="AR296" s="530"/>
      <c r="AS296" s="530"/>
      <c r="AT296" s="530"/>
      <c r="AU296" s="530"/>
      <c r="AV296" s="530"/>
    </row>
    <row r="297" spans="1:48" ht="15.75" customHeight="1">
      <c r="A297" s="21"/>
      <c r="B297" s="21"/>
      <c r="C297" s="531"/>
      <c r="D297" s="532"/>
      <c r="E297" s="532"/>
      <c r="F297" s="532"/>
      <c r="G297" s="532"/>
      <c r="H297" s="532"/>
      <c r="I297" s="532"/>
      <c r="J297" s="532"/>
      <c r="K297" s="532"/>
      <c r="L297" s="532"/>
      <c r="M297" s="532"/>
      <c r="N297" s="532"/>
      <c r="O297" s="532"/>
      <c r="P297" s="532"/>
      <c r="Q297" s="532"/>
      <c r="R297" s="532"/>
      <c r="S297" s="532"/>
      <c r="T297" s="532"/>
      <c r="U297" s="532"/>
      <c r="V297" s="533">
        <f>+AG301</f>
        <v>0</v>
      </c>
      <c r="W297" s="534"/>
      <c r="X297" s="534"/>
      <c r="Y297" s="534"/>
      <c r="Z297" s="534"/>
      <c r="AA297" s="534"/>
      <c r="AB297" s="534"/>
      <c r="AC297" s="535"/>
      <c r="AD297" s="532"/>
      <c r="AE297" s="532"/>
      <c r="AF297" s="532"/>
      <c r="AG297" s="536"/>
      <c r="AH297" s="536"/>
      <c r="AI297" s="536"/>
      <c r="AJ297" s="536"/>
      <c r="AK297" s="536"/>
      <c r="AL297" s="536"/>
      <c r="AM297" s="536"/>
      <c r="AN297" s="532"/>
      <c r="AO297" s="532"/>
      <c r="AP297" s="532"/>
      <c r="AQ297" s="532"/>
      <c r="AR297" s="532"/>
      <c r="AS297" s="532"/>
      <c r="AT297" s="532"/>
      <c r="AU297" s="532"/>
      <c r="AV297" s="537"/>
    </row>
    <row r="298" spans="1:48" ht="23.25" customHeight="1">
      <c r="A298" s="325">
        <f>+A255+1</f>
        <v>5</v>
      </c>
      <c r="B298" s="326"/>
      <c r="C298" s="91" t="s">
        <v>319</v>
      </c>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row>
    <row r="299" spans="1:48" ht="5.25" customHeight="1">
      <c r="A299" s="21"/>
      <c r="B299" s="21"/>
      <c r="C299" s="149"/>
      <c r="D299" s="103"/>
      <c r="E299" s="103"/>
      <c r="F299" s="103"/>
      <c r="G299" s="103"/>
      <c r="H299" s="103"/>
      <c r="I299" s="103"/>
      <c r="J299" s="103"/>
      <c r="K299" s="103"/>
      <c r="L299" s="103"/>
      <c r="M299" s="103"/>
      <c r="N299" s="103"/>
      <c r="O299" s="103"/>
      <c r="P299" s="103"/>
      <c r="Q299" s="103"/>
      <c r="R299" s="103"/>
      <c r="S299" s="103"/>
      <c r="T299" s="103"/>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row>
    <row r="300" spans="1:48" s="31" customFormat="1" ht="39" customHeight="1">
      <c r="A300" s="162"/>
      <c r="B300" s="163"/>
      <c r="C300" s="305" t="s">
        <v>142</v>
      </c>
      <c r="D300" s="306"/>
      <c r="E300" s="306"/>
      <c r="F300" s="306"/>
      <c r="G300" s="306"/>
      <c r="H300" s="306"/>
      <c r="I300" s="306"/>
      <c r="J300" s="306"/>
      <c r="K300" s="306"/>
      <c r="L300" s="307" t="s">
        <v>320</v>
      </c>
      <c r="M300" s="307"/>
      <c r="N300" s="307"/>
      <c r="O300" s="307"/>
      <c r="P300" s="307"/>
      <c r="Q300" s="307"/>
      <c r="R300" s="307"/>
      <c r="S300" s="307" t="s">
        <v>321</v>
      </c>
      <c r="T300" s="307"/>
      <c r="U300" s="307"/>
      <c r="V300" s="307"/>
      <c r="W300" s="307"/>
      <c r="X300" s="307"/>
      <c r="Y300" s="307"/>
      <c r="Z300" s="307" t="s">
        <v>322</v>
      </c>
      <c r="AA300" s="307"/>
      <c r="AB300" s="307"/>
      <c r="AC300" s="307"/>
      <c r="AD300" s="307"/>
      <c r="AE300" s="307"/>
      <c r="AF300" s="307"/>
      <c r="AG300" s="308" t="s">
        <v>323</v>
      </c>
      <c r="AH300" s="309"/>
      <c r="AI300" s="309"/>
      <c r="AJ300" s="309"/>
      <c r="AK300" s="309"/>
      <c r="AL300" s="307" t="s">
        <v>324</v>
      </c>
      <c r="AM300" s="307"/>
      <c r="AN300" s="307"/>
      <c r="AO300" s="307"/>
      <c r="AP300" s="307"/>
      <c r="AQ300" s="307"/>
      <c r="AR300" s="307"/>
    </row>
    <row r="301" spans="1:48" s="31" customFormat="1" ht="12.75" customHeight="1">
      <c r="A301" s="162"/>
      <c r="B301" s="163"/>
      <c r="C301" s="411" t="str">
        <f>+C264</f>
        <v xml:space="preserve">Departamento N° </v>
      </c>
      <c r="D301" s="412"/>
      <c r="E301" s="412"/>
      <c r="F301" s="412"/>
      <c r="G301" s="412"/>
      <c r="H301" s="412"/>
      <c r="I301" s="412"/>
      <c r="J301" s="412"/>
      <c r="K301" s="413"/>
      <c r="L301" s="459">
        <f>+AF240</f>
        <v>0</v>
      </c>
      <c r="M301" s="459"/>
      <c r="N301" s="459"/>
      <c r="O301" s="459"/>
      <c r="P301" s="459"/>
      <c r="Q301" s="459"/>
      <c r="R301" s="459"/>
      <c r="S301" s="517">
        <f>+AQ247+AQ248</f>
        <v>0</v>
      </c>
      <c r="T301" s="517"/>
      <c r="U301" s="517"/>
      <c r="V301" s="517"/>
      <c r="W301" s="517"/>
      <c r="X301" s="517"/>
      <c r="Y301" s="517"/>
      <c r="Z301" s="517">
        <f>+L301+S301</f>
        <v>0</v>
      </c>
      <c r="AA301" s="517"/>
      <c r="AB301" s="517"/>
      <c r="AC301" s="517"/>
      <c r="AD301" s="517"/>
      <c r="AE301" s="517"/>
      <c r="AF301" s="517"/>
      <c r="AG301" s="514"/>
      <c r="AH301" s="515"/>
      <c r="AI301" s="515"/>
      <c r="AJ301" s="515"/>
      <c r="AK301" s="515"/>
      <c r="AL301" s="517">
        <f>Z301*AG301</f>
        <v>0</v>
      </c>
      <c r="AM301" s="517"/>
      <c r="AN301" s="517"/>
      <c r="AO301" s="517"/>
      <c r="AP301" s="517"/>
      <c r="AQ301" s="517"/>
      <c r="AR301" s="517"/>
    </row>
    <row r="302" spans="1:48" s="31" customFormat="1" ht="15.75" customHeight="1">
      <c r="A302" s="162"/>
      <c r="B302" s="163"/>
      <c r="C302" s="402" t="str">
        <f>+C265</f>
        <v xml:space="preserve">Estacionamiento N° </v>
      </c>
      <c r="D302" s="403"/>
      <c r="E302" s="403"/>
      <c r="F302" s="403"/>
      <c r="G302" s="403"/>
      <c r="H302" s="403"/>
      <c r="I302" s="403"/>
      <c r="J302" s="403"/>
      <c r="K302" s="510"/>
      <c r="L302" s="385">
        <f>+AF241</f>
        <v>0</v>
      </c>
      <c r="M302" s="386"/>
      <c r="N302" s="386"/>
      <c r="O302" s="386"/>
      <c r="P302" s="386"/>
      <c r="Q302" s="386"/>
      <c r="R302" s="387"/>
      <c r="S302" s="511">
        <f>+AQ249+AQ250</f>
        <v>0</v>
      </c>
      <c r="T302" s="512"/>
      <c r="U302" s="512"/>
      <c r="V302" s="512"/>
      <c r="W302" s="512"/>
      <c r="X302" s="512"/>
      <c r="Y302" s="513"/>
      <c r="Z302" s="511">
        <f>+L302+S302</f>
        <v>0</v>
      </c>
      <c r="AA302" s="512"/>
      <c r="AB302" s="512"/>
      <c r="AC302" s="512"/>
      <c r="AD302" s="512"/>
      <c r="AE302" s="512"/>
      <c r="AF302" s="513"/>
      <c r="AG302" s="514"/>
      <c r="AH302" s="515"/>
      <c r="AI302" s="515"/>
      <c r="AJ302" s="515"/>
      <c r="AK302" s="516"/>
      <c r="AL302" s="511">
        <f>Z302*AG302</f>
        <v>0</v>
      </c>
      <c r="AM302" s="512"/>
      <c r="AN302" s="512"/>
      <c r="AO302" s="512"/>
      <c r="AP302" s="512"/>
      <c r="AQ302" s="512"/>
      <c r="AR302" s="513"/>
    </row>
    <row r="303" spans="1:48" s="31" customFormat="1" ht="15.75" customHeight="1">
      <c r="A303" s="162"/>
      <c r="B303" s="163"/>
      <c r="C303" s="402" t="str">
        <f>+C266</f>
        <v xml:space="preserve">Depósito N° </v>
      </c>
      <c r="D303" s="403"/>
      <c r="E303" s="403"/>
      <c r="F303" s="403"/>
      <c r="G303" s="403"/>
      <c r="H303" s="403"/>
      <c r="I303" s="403"/>
      <c r="J303" s="403"/>
      <c r="K303" s="510"/>
      <c r="L303" s="385">
        <f>+AF242</f>
        <v>0</v>
      </c>
      <c r="M303" s="386"/>
      <c r="N303" s="386"/>
      <c r="O303" s="386"/>
      <c r="P303" s="386"/>
      <c r="Q303" s="386"/>
      <c r="R303" s="387"/>
      <c r="S303" s="511">
        <f>+AQ251+AQ252</f>
        <v>0</v>
      </c>
      <c r="T303" s="512"/>
      <c r="U303" s="512"/>
      <c r="V303" s="512"/>
      <c r="W303" s="512"/>
      <c r="X303" s="512"/>
      <c r="Y303" s="513"/>
      <c r="Z303" s="511">
        <f>+L303+S303</f>
        <v>0</v>
      </c>
      <c r="AA303" s="512"/>
      <c r="AB303" s="512"/>
      <c r="AC303" s="512"/>
      <c r="AD303" s="512"/>
      <c r="AE303" s="512"/>
      <c r="AF303" s="513"/>
      <c r="AG303" s="514"/>
      <c r="AH303" s="515"/>
      <c r="AI303" s="515"/>
      <c r="AJ303" s="515"/>
      <c r="AK303" s="516"/>
      <c r="AL303" s="511">
        <f>Z303*AG303</f>
        <v>0</v>
      </c>
      <c r="AM303" s="512"/>
      <c r="AN303" s="512"/>
      <c r="AO303" s="512"/>
      <c r="AP303" s="512"/>
      <c r="AQ303" s="512"/>
      <c r="AR303" s="513"/>
    </row>
    <row r="304" spans="1:48" s="31" customFormat="1" ht="18" customHeight="1" thickBot="1">
      <c r="A304" s="162"/>
      <c r="B304" s="163"/>
      <c r="C304" s="281"/>
      <c r="D304" s="282"/>
      <c r="E304" s="282"/>
      <c r="F304" s="282"/>
      <c r="G304" s="282"/>
      <c r="H304" s="282"/>
      <c r="I304" s="282"/>
      <c r="J304" s="282"/>
      <c r="K304" s="283"/>
      <c r="L304" s="455">
        <f>SUM(L301:R303)</f>
        <v>0</v>
      </c>
      <c r="M304" s="455"/>
      <c r="N304" s="455"/>
      <c r="O304" s="455"/>
      <c r="P304" s="455"/>
      <c r="Q304" s="455"/>
      <c r="R304" s="455"/>
      <c r="S304" s="455">
        <f>SUM(S301:Y303)</f>
        <v>0</v>
      </c>
      <c r="T304" s="455"/>
      <c r="U304" s="455"/>
      <c r="V304" s="455"/>
      <c r="W304" s="455"/>
      <c r="X304" s="455"/>
      <c r="Y304" s="455"/>
      <c r="Z304" s="455">
        <f>SUM(Z301:AF303)</f>
        <v>0</v>
      </c>
      <c r="AA304" s="455"/>
      <c r="AB304" s="455"/>
      <c r="AC304" s="455"/>
      <c r="AD304" s="455"/>
      <c r="AE304" s="455"/>
      <c r="AF304" s="455"/>
      <c r="AG304" s="288"/>
      <c r="AH304" s="289"/>
      <c r="AI304" s="289"/>
      <c r="AJ304" s="289"/>
      <c r="AK304" s="289"/>
      <c r="AL304" s="455">
        <f>SUM(AL301:AR303)</f>
        <v>0</v>
      </c>
      <c r="AM304" s="455"/>
      <c r="AN304" s="455"/>
      <c r="AO304" s="455"/>
      <c r="AP304" s="455"/>
      <c r="AQ304" s="455"/>
      <c r="AR304" s="455"/>
    </row>
    <row r="305" spans="1:48" s="165" customFormat="1" ht="3" customHeight="1">
      <c r="C305" s="171"/>
      <c r="D305" s="31"/>
      <c r="E305" s="31"/>
      <c r="F305" s="31"/>
      <c r="H305" s="172"/>
      <c r="I305" s="173"/>
      <c r="J305" s="174"/>
      <c r="K305" s="175"/>
      <c r="V305" s="176"/>
      <c r="W305" s="177"/>
      <c r="X305" s="177"/>
      <c r="Y305" s="177"/>
      <c r="Z305" s="178"/>
      <c r="AA305" s="179"/>
      <c r="AB305" s="179"/>
      <c r="AC305" s="176"/>
      <c r="AK305" s="180"/>
      <c r="AL305" s="180"/>
      <c r="AM305" s="180"/>
      <c r="AN305" s="180"/>
      <c r="AO305" s="181"/>
      <c r="AP305" s="181"/>
      <c r="AQ305" s="181"/>
      <c r="AR305" s="181"/>
      <c r="AS305" s="181"/>
      <c r="AT305" s="181"/>
      <c r="AU305" s="181"/>
      <c r="AV305" s="181"/>
    </row>
    <row r="306" spans="1:48" ht="18.75" customHeight="1">
      <c r="C306" s="396" t="str">
        <f>+CONCATENATE("SON: ",[4]!NUMELETRAS(AL304,"CON","DOLARES AMERICANOS",1))</f>
        <v>SON: CON 00/100 DOLARES AMERICANOS</v>
      </c>
      <c r="D306" s="396"/>
      <c r="E306" s="396"/>
      <c r="F306" s="396"/>
      <c r="G306" s="396"/>
      <c r="H306" s="396"/>
      <c r="I306" s="396"/>
      <c r="J306" s="396"/>
      <c r="K306" s="396"/>
      <c r="L306" s="396"/>
      <c r="M306" s="396"/>
      <c r="N306" s="396"/>
      <c r="O306" s="396"/>
      <c r="P306" s="396"/>
      <c r="Q306" s="396"/>
      <c r="R306" s="396"/>
      <c r="S306" s="396"/>
      <c r="T306" s="396"/>
      <c r="U306" s="397"/>
      <c r="V306" s="397"/>
      <c r="W306" s="397"/>
      <c r="X306" s="397"/>
      <c r="Y306" s="397"/>
      <c r="Z306" s="397"/>
      <c r="AA306" s="397"/>
      <c r="AB306" s="397"/>
      <c r="AC306" s="397"/>
      <c r="AD306" s="397"/>
      <c r="AE306" s="397"/>
      <c r="AF306" s="397"/>
      <c r="AG306" s="397"/>
      <c r="AH306" s="397"/>
      <c r="AI306" s="397"/>
      <c r="AJ306" s="397"/>
      <c r="AK306" s="397"/>
      <c r="AL306" s="397"/>
      <c r="AM306" s="397"/>
      <c r="AN306" s="397"/>
      <c r="AO306" s="397"/>
      <c r="AP306" s="397"/>
      <c r="AQ306" s="397"/>
      <c r="AR306" s="397"/>
      <c r="AS306" s="397"/>
      <c r="AT306" s="397"/>
      <c r="AU306" s="397"/>
      <c r="AV306" s="397"/>
    </row>
    <row r="307" spans="1:48" ht="23.25" customHeight="1">
      <c r="A307" s="325">
        <f>+A298+1</f>
        <v>6</v>
      </c>
      <c r="B307" s="326"/>
      <c r="C307" s="91" t="s">
        <v>325</v>
      </c>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row>
    <row r="308" spans="1:48" ht="5.25" customHeight="1">
      <c r="A308" s="21"/>
      <c r="B308" s="21"/>
      <c r="C308" s="149"/>
      <c r="D308" s="103"/>
      <c r="E308" s="103"/>
      <c r="F308" s="103"/>
      <c r="G308" s="103"/>
      <c r="H308" s="103"/>
      <c r="I308" s="103"/>
      <c r="J308" s="103"/>
      <c r="K308" s="103"/>
      <c r="L308" s="103"/>
      <c r="M308" s="103"/>
      <c r="N308" s="103"/>
      <c r="O308" s="103"/>
      <c r="P308" s="103"/>
      <c r="Q308" s="103"/>
      <c r="R308" s="103"/>
      <c r="S308" s="103"/>
      <c r="T308" s="103"/>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row>
    <row r="309" spans="1:48" s="31" customFormat="1" ht="34.5" customHeight="1">
      <c r="A309" s="162"/>
      <c r="B309" s="163"/>
      <c r="C309" s="305" t="s">
        <v>142</v>
      </c>
      <c r="D309" s="306"/>
      <c r="E309" s="306"/>
      <c r="F309" s="306"/>
      <c r="G309" s="306"/>
      <c r="H309" s="306"/>
      <c r="I309" s="306"/>
      <c r="J309" s="306"/>
      <c r="K309" s="306"/>
      <c r="L309" s="307" t="s">
        <v>324</v>
      </c>
      <c r="M309" s="307"/>
      <c r="N309" s="307"/>
      <c r="O309" s="307"/>
      <c r="P309" s="307"/>
      <c r="Q309" s="307"/>
      <c r="R309" s="307"/>
      <c r="S309" s="307" t="s">
        <v>326</v>
      </c>
      <c r="T309" s="307"/>
      <c r="U309" s="307"/>
      <c r="V309" s="307"/>
      <c r="W309" s="307"/>
      <c r="X309" s="307"/>
      <c r="Y309" s="307"/>
      <c r="Z309" s="307" t="s">
        <v>327</v>
      </c>
      <c r="AA309" s="307"/>
      <c r="AB309" s="307"/>
      <c r="AC309" s="307"/>
      <c r="AD309" s="307"/>
      <c r="AE309" s="307"/>
      <c r="AF309" s="307"/>
      <c r="AG309" s="185"/>
      <c r="AH309" s="185"/>
    </row>
    <row r="310" spans="1:48" s="31" customFormat="1" ht="13.5" customHeight="1">
      <c r="A310" s="162"/>
      <c r="B310" s="163"/>
      <c r="C310" s="411" t="str">
        <f>+C301</f>
        <v xml:space="preserve">Departamento N° </v>
      </c>
      <c r="D310" s="412"/>
      <c r="E310" s="412"/>
      <c r="F310" s="412"/>
      <c r="G310" s="412"/>
      <c r="H310" s="412"/>
      <c r="I310" s="412"/>
      <c r="J310" s="412"/>
      <c r="K310" s="413"/>
      <c r="L310" s="459">
        <f>+AL301</f>
        <v>0</v>
      </c>
      <c r="M310" s="459"/>
      <c r="N310" s="459"/>
      <c r="O310" s="459"/>
      <c r="P310" s="459"/>
      <c r="Q310" s="459"/>
      <c r="R310" s="459"/>
      <c r="S310" s="405">
        <f>100%-Y184</f>
        <v>0.8</v>
      </c>
      <c r="T310" s="405"/>
      <c r="U310" s="405"/>
      <c r="V310" s="405"/>
      <c r="W310" s="405"/>
      <c r="X310" s="405"/>
      <c r="Y310" s="405"/>
      <c r="Z310" s="459">
        <f>+L310*S310</f>
        <v>0</v>
      </c>
      <c r="AA310" s="459"/>
      <c r="AB310" s="459"/>
      <c r="AC310" s="459"/>
      <c r="AD310" s="459"/>
      <c r="AE310" s="459"/>
      <c r="AF310" s="459"/>
      <c r="AG310" s="186"/>
      <c r="AH310" s="186"/>
    </row>
    <row r="311" spans="1:48" s="31" customFormat="1" ht="15.75" customHeight="1">
      <c r="A311" s="162"/>
      <c r="B311" s="163"/>
      <c r="C311" s="402" t="str">
        <f>+C302</f>
        <v xml:space="preserve">Estacionamiento N° </v>
      </c>
      <c r="D311" s="403"/>
      <c r="E311" s="403"/>
      <c r="F311" s="403"/>
      <c r="G311" s="403"/>
      <c r="H311" s="403"/>
      <c r="I311" s="403"/>
      <c r="J311" s="403"/>
      <c r="K311" s="403"/>
      <c r="L311" s="459">
        <f>+AL302</f>
        <v>0</v>
      </c>
      <c r="M311" s="459"/>
      <c r="N311" s="459"/>
      <c r="O311" s="459"/>
      <c r="P311" s="459"/>
      <c r="Q311" s="459"/>
      <c r="R311" s="459"/>
      <c r="S311" s="405">
        <f>+S310</f>
        <v>0.8</v>
      </c>
      <c r="T311" s="405"/>
      <c r="U311" s="405"/>
      <c r="V311" s="405"/>
      <c r="W311" s="405"/>
      <c r="X311" s="405"/>
      <c r="Y311" s="405"/>
      <c r="Z311" s="459">
        <f>+L311*S311</f>
        <v>0</v>
      </c>
      <c r="AA311" s="459"/>
      <c r="AB311" s="459"/>
      <c r="AC311" s="459"/>
      <c r="AD311" s="459"/>
      <c r="AE311" s="459"/>
      <c r="AF311" s="459"/>
      <c r="AG311" s="186"/>
      <c r="AH311" s="186"/>
    </row>
    <row r="312" spans="1:48" s="31" customFormat="1" ht="15.75" customHeight="1">
      <c r="A312" s="162"/>
      <c r="B312" s="163"/>
      <c r="C312" s="402" t="str">
        <f>+C303</f>
        <v xml:space="preserve">Depósito N° </v>
      </c>
      <c r="D312" s="403"/>
      <c r="E312" s="403"/>
      <c r="F312" s="403"/>
      <c r="G312" s="403"/>
      <c r="H312" s="403"/>
      <c r="I312" s="403"/>
      <c r="J312" s="403"/>
      <c r="K312" s="403"/>
      <c r="L312" s="459">
        <f>+AL303</f>
        <v>0</v>
      </c>
      <c r="M312" s="459"/>
      <c r="N312" s="459"/>
      <c r="O312" s="459"/>
      <c r="P312" s="459"/>
      <c r="Q312" s="459"/>
      <c r="R312" s="459"/>
      <c r="S312" s="405">
        <f>+S311</f>
        <v>0.8</v>
      </c>
      <c r="T312" s="405"/>
      <c r="U312" s="405"/>
      <c r="V312" s="405"/>
      <c r="W312" s="405"/>
      <c r="X312" s="405"/>
      <c r="Y312" s="405"/>
      <c r="Z312" s="459">
        <f>+L312*S312</f>
        <v>0</v>
      </c>
      <c r="AA312" s="459"/>
      <c r="AB312" s="459"/>
      <c r="AC312" s="459"/>
      <c r="AD312" s="459"/>
      <c r="AE312" s="459"/>
      <c r="AF312" s="459"/>
      <c r="AG312" s="186"/>
      <c r="AH312" s="186"/>
    </row>
    <row r="313" spans="1:48" s="31" customFormat="1" ht="18" customHeight="1" thickBot="1">
      <c r="A313" s="162"/>
      <c r="B313" s="163"/>
      <c r="C313" s="281"/>
      <c r="D313" s="282"/>
      <c r="E313" s="282"/>
      <c r="F313" s="282"/>
      <c r="G313" s="282"/>
      <c r="H313" s="282"/>
      <c r="I313" s="282"/>
      <c r="J313" s="282"/>
      <c r="K313" s="283"/>
      <c r="L313" s="455">
        <f>SUM(L310:R312)</f>
        <v>0</v>
      </c>
      <c r="M313" s="455"/>
      <c r="N313" s="455"/>
      <c r="O313" s="455"/>
      <c r="P313" s="455"/>
      <c r="Q313" s="455"/>
      <c r="R313" s="455"/>
      <c r="S313" s="407"/>
      <c r="T313" s="407"/>
      <c r="U313" s="407"/>
      <c r="V313" s="407"/>
      <c r="W313" s="407"/>
      <c r="X313" s="407"/>
      <c r="Y313" s="407"/>
      <c r="Z313" s="487">
        <f>SUM(Z310:AF312)</f>
        <v>0</v>
      </c>
      <c r="AA313" s="488"/>
      <c r="AB313" s="488"/>
      <c r="AC313" s="488"/>
      <c r="AD313" s="488"/>
      <c r="AE313" s="488"/>
      <c r="AF313" s="489"/>
      <c r="AG313" s="187"/>
      <c r="AH313" s="187"/>
    </row>
    <row r="314" spans="1:48" s="165" customFormat="1" ht="4.5" customHeight="1">
      <c r="C314" s="171"/>
      <c r="D314" s="31"/>
      <c r="E314" s="31"/>
      <c r="F314" s="31"/>
      <c r="H314" s="172"/>
      <c r="I314" s="173"/>
      <c r="J314" s="174"/>
      <c r="K314" s="175"/>
      <c r="V314" s="176"/>
      <c r="W314" s="177"/>
      <c r="X314" s="177"/>
      <c r="Y314" s="177"/>
      <c r="Z314" s="178"/>
      <c r="AA314" s="179"/>
      <c r="AB314" s="179"/>
      <c r="AC314" s="176"/>
      <c r="AK314" s="180"/>
      <c r="AL314" s="180"/>
      <c r="AM314" s="180"/>
      <c r="AN314" s="180"/>
      <c r="AO314" s="181"/>
      <c r="AP314" s="181"/>
      <c r="AQ314" s="181"/>
      <c r="AR314" s="181"/>
      <c r="AS314" s="181"/>
      <c r="AT314" s="181"/>
      <c r="AU314" s="181"/>
      <c r="AV314" s="181"/>
    </row>
    <row r="315" spans="1:48" ht="21" customHeight="1">
      <c r="C315" s="396" t="str">
        <f>+CONCATENATE("SON: ",[4]!NUMELETRAS(Z313,"CON","DOLARES AMERICANOS",1))</f>
        <v>SON: CON 00/100 DOLARES AMERICANOS</v>
      </c>
      <c r="D315" s="396"/>
      <c r="E315" s="396"/>
      <c r="F315" s="396"/>
      <c r="G315" s="396"/>
      <c r="H315" s="396"/>
      <c r="I315" s="396"/>
      <c r="J315" s="396"/>
      <c r="K315" s="396"/>
      <c r="L315" s="396"/>
      <c r="M315" s="396"/>
      <c r="N315" s="396"/>
      <c r="O315" s="396"/>
      <c r="P315" s="396"/>
      <c r="Q315" s="396"/>
      <c r="R315" s="396"/>
      <c r="S315" s="396"/>
      <c r="T315" s="396"/>
      <c r="U315" s="397"/>
      <c r="V315" s="397"/>
      <c r="W315" s="397"/>
      <c r="X315" s="397"/>
      <c r="Y315" s="397"/>
      <c r="Z315" s="397"/>
      <c r="AA315" s="397"/>
      <c r="AB315" s="397"/>
      <c r="AC315" s="397"/>
      <c r="AD315" s="397"/>
      <c r="AE315" s="397"/>
      <c r="AF315" s="397"/>
      <c r="AG315" s="397"/>
      <c r="AH315" s="397"/>
      <c r="AI315" s="397"/>
      <c r="AJ315" s="397"/>
      <c r="AK315" s="397"/>
      <c r="AL315" s="397"/>
      <c r="AM315" s="397"/>
      <c r="AN315" s="397"/>
      <c r="AO315" s="397"/>
      <c r="AP315" s="397"/>
      <c r="AQ315" s="397"/>
      <c r="AR315" s="397"/>
      <c r="AS315" s="397"/>
      <c r="AT315" s="397"/>
      <c r="AU315" s="397"/>
      <c r="AV315" s="397"/>
    </row>
    <row r="316" spans="1:48" ht="21" customHeight="1">
      <c r="C316" s="47"/>
      <c r="D316" s="47"/>
      <c r="E316" s="47"/>
      <c r="F316" s="47"/>
      <c r="G316" s="47"/>
      <c r="H316" s="47"/>
      <c r="I316" s="47"/>
      <c r="J316" s="47"/>
      <c r="K316" s="47"/>
      <c r="L316" s="47"/>
      <c r="M316" s="47"/>
      <c r="N316" s="47"/>
      <c r="O316" s="47"/>
      <c r="P316" s="47"/>
      <c r="Q316" s="47"/>
      <c r="R316" s="47"/>
      <c r="S316" s="47"/>
      <c r="T316" s="47"/>
    </row>
    <row r="317" spans="1:48" ht="96.75" customHeight="1">
      <c r="C317" s="47"/>
      <c r="D317" s="47"/>
      <c r="E317" s="47"/>
      <c r="F317" s="47"/>
      <c r="G317" s="47"/>
      <c r="H317" s="47"/>
      <c r="I317" s="47"/>
      <c r="J317" s="47"/>
      <c r="K317" s="47"/>
      <c r="L317" s="47"/>
      <c r="M317" s="47"/>
      <c r="N317" s="47"/>
      <c r="O317" s="47"/>
      <c r="P317" s="47"/>
      <c r="Q317" s="47"/>
      <c r="R317" s="47"/>
      <c r="S317" s="47"/>
      <c r="T317" s="47"/>
    </row>
    <row r="318" spans="1:48" ht="18.75" customHeight="1">
      <c r="A318" s="56"/>
      <c r="B318" s="97"/>
      <c r="C318" s="508" t="s">
        <v>328</v>
      </c>
      <c r="D318" s="509"/>
      <c r="E318" s="509"/>
      <c r="F318" s="509"/>
      <c r="G318" s="509"/>
      <c r="H318" s="509"/>
      <c r="I318" s="509"/>
      <c r="J318" s="509"/>
      <c r="K318" s="509"/>
      <c r="L318" s="509"/>
      <c r="M318" s="509"/>
      <c r="N318" s="509"/>
      <c r="O318" s="509"/>
      <c r="P318" s="509"/>
      <c r="Q318" s="509"/>
      <c r="R318" s="509"/>
      <c r="S318" s="509"/>
      <c r="T318" s="509"/>
      <c r="U318" s="509"/>
      <c r="V318" s="509"/>
      <c r="W318" s="509"/>
      <c r="X318" s="509"/>
      <c r="Y318" s="509"/>
      <c r="Z318" s="509"/>
      <c r="AA318" s="509"/>
      <c r="AB318" s="509"/>
      <c r="AC318" s="509"/>
      <c r="AD318" s="509"/>
      <c r="AE318" s="509"/>
      <c r="AF318" s="509"/>
      <c r="AG318" s="509"/>
      <c r="AH318" s="509"/>
      <c r="AI318" s="509"/>
      <c r="AJ318" s="509"/>
      <c r="AK318" s="509"/>
      <c r="AL318" s="509"/>
      <c r="AM318" s="509"/>
      <c r="AN318" s="509"/>
      <c r="AO318" s="509"/>
      <c r="AP318" s="509"/>
      <c r="AQ318" s="509"/>
      <c r="AR318" s="509"/>
      <c r="AS318" s="509"/>
      <c r="AT318" s="509"/>
      <c r="AU318" s="509"/>
      <c r="AV318" s="509"/>
    </row>
    <row r="319" spans="1:48" ht="15" customHeight="1">
      <c r="A319" s="21"/>
      <c r="B319" s="21"/>
      <c r="C319" s="21"/>
      <c r="D319" s="21"/>
      <c r="E319" s="21"/>
      <c r="F319" s="21"/>
      <c r="G319" s="21"/>
      <c r="H319" s="56"/>
      <c r="I319" s="21"/>
      <c r="J319" s="56"/>
      <c r="K319" s="21"/>
      <c r="L319" s="21"/>
      <c r="M319" s="21"/>
      <c r="N319" s="21"/>
      <c r="O319" s="21"/>
      <c r="P319" s="21"/>
      <c r="Q319" s="21"/>
      <c r="R319" s="21"/>
      <c r="S319" s="56" t="str">
        <f>+R10</f>
        <v xml:space="preserve">  INFORME N° 26</v>
      </c>
      <c r="T319" s="21"/>
      <c r="U319" s="86"/>
      <c r="V319" s="87"/>
      <c r="W319" s="21"/>
      <c r="X319" s="21"/>
      <c r="Y319" s="21"/>
      <c r="Z319" s="21"/>
      <c r="AA319" s="21"/>
      <c r="AB319" s="401">
        <f>+AB269</f>
        <v>0</v>
      </c>
      <c r="AC319" s="304"/>
      <c r="AD319" s="304"/>
      <c r="AE319" s="304"/>
      <c r="AF319" s="304"/>
      <c r="AG319" s="21"/>
      <c r="AH319" s="21"/>
      <c r="AI319" s="21"/>
      <c r="AJ319" s="21"/>
      <c r="AK319" s="21"/>
      <c r="AL319" s="21"/>
      <c r="AM319" s="21"/>
      <c r="AN319" s="21"/>
      <c r="AO319" s="21"/>
      <c r="AP319" s="21"/>
      <c r="AQ319" s="21"/>
      <c r="AR319" s="21"/>
      <c r="AS319" s="21"/>
      <c r="AT319" s="21"/>
      <c r="AU319" s="21"/>
      <c r="AV319" s="21"/>
    </row>
    <row r="320" spans="1:48" ht="27" customHeight="1">
      <c r="A320" s="325">
        <v>1</v>
      </c>
      <c r="B320" s="326"/>
      <c r="C320" s="91" t="s">
        <v>287</v>
      </c>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row>
    <row r="321" spans="1:48" ht="6.75" customHeight="1">
      <c r="A321" s="21"/>
      <c r="B321" s="21"/>
      <c r="C321" s="21"/>
      <c r="D321" s="21"/>
      <c r="E321" s="21"/>
      <c r="F321" s="21"/>
      <c r="G321" s="21"/>
      <c r="H321" s="56"/>
      <c r="I321" s="21"/>
      <c r="J321" s="56"/>
      <c r="K321" s="21"/>
      <c r="L321" s="21"/>
      <c r="M321" s="21"/>
      <c r="N321" s="21"/>
      <c r="O321" s="21"/>
      <c r="P321" s="21"/>
      <c r="Q321" s="21"/>
      <c r="R321" s="21"/>
      <c r="S321" s="56"/>
      <c r="T321" s="21"/>
      <c r="U321" s="86"/>
      <c r="V321" s="87"/>
      <c r="W321" s="21"/>
      <c r="X321" s="21"/>
      <c r="Y321" s="21"/>
      <c r="Z321" s="21"/>
      <c r="AA321" s="21"/>
      <c r="AB321" s="160"/>
      <c r="AC321" s="161"/>
      <c r="AD321" s="161"/>
      <c r="AE321" s="161"/>
      <c r="AF321" s="161"/>
      <c r="AG321" s="21"/>
      <c r="AH321" s="21"/>
      <c r="AI321" s="21"/>
      <c r="AJ321" s="21"/>
      <c r="AK321" s="21"/>
      <c r="AL321" s="21"/>
      <c r="AM321" s="21"/>
      <c r="AN321" s="21"/>
      <c r="AO321" s="21"/>
      <c r="AP321" s="21"/>
      <c r="AQ321" s="21"/>
      <c r="AR321" s="21"/>
      <c r="AS321" s="21"/>
      <c r="AT321" s="21"/>
      <c r="AU321" s="21"/>
      <c r="AV321" s="21"/>
    </row>
    <row r="322" spans="1:48" s="31" customFormat="1" ht="36" customHeight="1">
      <c r="C322" s="347" t="s">
        <v>142</v>
      </c>
      <c r="D322" s="348"/>
      <c r="E322" s="348"/>
      <c r="F322" s="348"/>
      <c r="G322" s="348"/>
      <c r="H322" s="348"/>
      <c r="I322" s="348"/>
      <c r="J322" s="348"/>
      <c r="K322" s="348"/>
      <c r="L322" s="388" t="s">
        <v>288</v>
      </c>
      <c r="M322" s="388"/>
      <c r="N322" s="388"/>
      <c r="O322" s="388"/>
      <c r="P322" s="388"/>
      <c r="Q322" s="388"/>
      <c r="R322" s="388" t="s">
        <v>289</v>
      </c>
      <c r="S322" s="388"/>
      <c r="T322" s="388"/>
      <c r="U322" s="388"/>
      <c r="V322" s="388"/>
      <c r="W322" s="388"/>
      <c r="X322" s="388"/>
      <c r="Y322" s="388" t="s">
        <v>290</v>
      </c>
      <c r="Z322" s="388"/>
      <c r="AA322" s="388"/>
      <c r="AB322" s="388"/>
      <c r="AC322" s="388"/>
      <c r="AD322" s="388"/>
      <c r="AE322" s="388"/>
      <c r="AF322" s="388" t="s">
        <v>291</v>
      </c>
      <c r="AG322" s="388"/>
      <c r="AH322" s="388"/>
      <c r="AI322" s="388"/>
      <c r="AJ322" s="388"/>
      <c r="AK322" s="388"/>
      <c r="AL322" s="388"/>
    </row>
    <row r="323" spans="1:48" s="31" customFormat="1" ht="15" customHeight="1">
      <c r="C323" s="389" t="str">
        <f>+C240</f>
        <v xml:space="preserve">Departamento N° </v>
      </c>
      <c r="D323" s="390"/>
      <c r="E323" s="390"/>
      <c r="F323" s="390"/>
      <c r="G323" s="390"/>
      <c r="H323" s="390"/>
      <c r="I323" s="390"/>
      <c r="J323" s="390"/>
      <c r="K323" s="390"/>
      <c r="L323" s="452">
        <f>+L240</f>
        <v>0</v>
      </c>
      <c r="M323" s="452"/>
      <c r="N323" s="452"/>
      <c r="O323" s="452"/>
      <c r="P323" s="452"/>
      <c r="Q323" s="452"/>
      <c r="R323" s="506">
        <f>+R240</f>
        <v>0</v>
      </c>
      <c r="S323" s="506"/>
      <c r="T323" s="506"/>
      <c r="U323" s="506"/>
      <c r="V323" s="506"/>
      <c r="W323" s="506"/>
      <c r="X323" s="506"/>
      <c r="Y323" s="506">
        <f>+R323*L323</f>
        <v>0</v>
      </c>
      <c r="Z323" s="506"/>
      <c r="AA323" s="506"/>
      <c r="AB323" s="506"/>
      <c r="AC323" s="506"/>
      <c r="AD323" s="506"/>
      <c r="AE323" s="506"/>
      <c r="AF323" s="506">
        <f>+ROUND(Y323,2)</f>
        <v>0</v>
      </c>
      <c r="AG323" s="506"/>
      <c r="AH323" s="506"/>
      <c r="AI323" s="506"/>
      <c r="AJ323" s="506"/>
      <c r="AK323" s="506"/>
      <c r="AL323" s="506"/>
    </row>
    <row r="324" spans="1:48" s="31" customFormat="1" ht="15" customHeight="1">
      <c r="C324" s="389" t="str">
        <f>+C241</f>
        <v xml:space="preserve">Estacionamiento N° </v>
      </c>
      <c r="D324" s="390"/>
      <c r="E324" s="390"/>
      <c r="F324" s="390"/>
      <c r="G324" s="390"/>
      <c r="H324" s="390"/>
      <c r="I324" s="390"/>
      <c r="J324" s="390"/>
      <c r="K324" s="390"/>
      <c r="L324" s="452">
        <f>+L241</f>
        <v>0</v>
      </c>
      <c r="M324" s="452"/>
      <c r="N324" s="452"/>
      <c r="O324" s="452"/>
      <c r="P324" s="452"/>
      <c r="Q324" s="452"/>
      <c r="R324" s="506">
        <f>+R241</f>
        <v>0</v>
      </c>
      <c r="S324" s="506"/>
      <c r="T324" s="506"/>
      <c r="U324" s="506"/>
      <c r="V324" s="506"/>
      <c r="W324" s="506"/>
      <c r="X324" s="506"/>
      <c r="Y324" s="506">
        <f>+R324*L324</f>
        <v>0</v>
      </c>
      <c r="Z324" s="506"/>
      <c r="AA324" s="506"/>
      <c r="AB324" s="506"/>
      <c r="AC324" s="506"/>
      <c r="AD324" s="506"/>
      <c r="AE324" s="506"/>
      <c r="AF324" s="506">
        <f>+ROUND(Y324,2)</f>
        <v>0</v>
      </c>
      <c r="AG324" s="506"/>
      <c r="AH324" s="506"/>
      <c r="AI324" s="506"/>
      <c r="AJ324" s="506"/>
      <c r="AK324" s="506"/>
      <c r="AL324" s="506"/>
    </row>
    <row r="325" spans="1:48" s="31" customFormat="1" ht="15" customHeight="1">
      <c r="C325" s="389" t="str">
        <f>+C242</f>
        <v xml:space="preserve">Depósito N° </v>
      </c>
      <c r="D325" s="390"/>
      <c r="E325" s="390"/>
      <c r="F325" s="390"/>
      <c r="G325" s="390"/>
      <c r="H325" s="390"/>
      <c r="I325" s="390"/>
      <c r="J325" s="390"/>
      <c r="K325" s="390"/>
      <c r="L325" s="452">
        <f>+L242</f>
        <v>0</v>
      </c>
      <c r="M325" s="452"/>
      <c r="N325" s="452"/>
      <c r="O325" s="452"/>
      <c r="P325" s="452"/>
      <c r="Q325" s="452"/>
      <c r="R325" s="506">
        <f>+R242</f>
        <v>0</v>
      </c>
      <c r="S325" s="506"/>
      <c r="T325" s="506"/>
      <c r="U325" s="506"/>
      <c r="V325" s="506"/>
      <c r="W325" s="506"/>
      <c r="X325" s="506"/>
      <c r="Y325" s="506">
        <f>+R325*L325</f>
        <v>0</v>
      </c>
      <c r="Z325" s="506"/>
      <c r="AA325" s="506"/>
      <c r="AB325" s="506"/>
      <c r="AC325" s="506"/>
      <c r="AD325" s="506"/>
      <c r="AE325" s="506"/>
      <c r="AF325" s="506">
        <f>+ROUND(Y325,2)</f>
        <v>0</v>
      </c>
      <c r="AG325" s="506"/>
      <c r="AH325" s="506"/>
      <c r="AI325" s="506"/>
      <c r="AJ325" s="506"/>
      <c r="AK325" s="506"/>
      <c r="AL325" s="506"/>
    </row>
    <row r="326" spans="1:48" s="31" customFormat="1" ht="19.5" customHeight="1" thickBot="1">
      <c r="C326" s="393" t="s">
        <v>151</v>
      </c>
      <c r="D326" s="394"/>
      <c r="E326" s="394"/>
      <c r="F326" s="394"/>
      <c r="G326" s="394"/>
      <c r="H326" s="394"/>
      <c r="I326" s="394"/>
      <c r="J326" s="394"/>
      <c r="K326" s="394"/>
      <c r="L326" s="442">
        <f>SUM(L323:Q325)</f>
        <v>0</v>
      </c>
      <c r="M326" s="442"/>
      <c r="N326" s="442"/>
      <c r="O326" s="442"/>
      <c r="P326" s="442"/>
      <c r="Q326" s="442"/>
      <c r="R326" s="507"/>
      <c r="S326" s="507"/>
      <c r="T326" s="507"/>
      <c r="U326" s="507"/>
      <c r="V326" s="507"/>
      <c r="W326" s="507"/>
      <c r="X326" s="507"/>
      <c r="Y326" s="507">
        <f>SUM(Y323:AE325)</f>
        <v>0</v>
      </c>
      <c r="Z326" s="507"/>
      <c r="AA326" s="507"/>
      <c r="AB326" s="507"/>
      <c r="AC326" s="507"/>
      <c r="AD326" s="507"/>
      <c r="AE326" s="507"/>
      <c r="AF326" s="507">
        <f>SUM(AF323:AL325)</f>
        <v>0</v>
      </c>
      <c r="AG326" s="507"/>
      <c r="AH326" s="507"/>
      <c r="AI326" s="507"/>
      <c r="AJ326" s="507"/>
      <c r="AK326" s="507"/>
      <c r="AL326" s="507"/>
      <c r="AM326" s="112"/>
    </row>
    <row r="327" spans="1:48" ht="27" customHeight="1">
      <c r="A327" s="325">
        <f>+A320+1</f>
        <v>2</v>
      </c>
      <c r="B327" s="326"/>
      <c r="C327" s="91" t="s">
        <v>329</v>
      </c>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row>
    <row r="328" spans="1:48" ht="30" hidden="1" customHeight="1">
      <c r="A328" s="21"/>
      <c r="B328" s="21"/>
      <c r="C328" s="302" t="s">
        <v>330</v>
      </c>
      <c r="D328" s="303"/>
      <c r="E328" s="303"/>
      <c r="F328" s="303"/>
      <c r="G328" s="303"/>
      <c r="H328" s="303"/>
      <c r="I328" s="303"/>
      <c r="J328" s="303"/>
      <c r="K328" s="303"/>
      <c r="L328" s="303"/>
      <c r="M328" s="303"/>
      <c r="N328" s="303"/>
      <c r="O328" s="303"/>
      <c r="P328" s="303"/>
      <c r="Q328" s="303"/>
      <c r="R328" s="303"/>
      <c r="S328" s="303"/>
      <c r="T328" s="303"/>
      <c r="U328" s="304"/>
      <c r="V328" s="304"/>
      <c r="W328" s="304"/>
      <c r="X328" s="304"/>
      <c r="Y328" s="304"/>
      <c r="Z328" s="304"/>
      <c r="AA328" s="304"/>
      <c r="AB328" s="304"/>
      <c r="AC328" s="304"/>
      <c r="AD328" s="304"/>
      <c r="AE328" s="304"/>
      <c r="AF328" s="304"/>
      <c r="AG328" s="304"/>
      <c r="AH328" s="304"/>
      <c r="AI328" s="304"/>
      <c r="AJ328" s="304"/>
      <c r="AK328" s="304"/>
      <c r="AL328" s="304"/>
      <c r="AM328" s="304"/>
      <c r="AN328" s="304"/>
      <c r="AO328" s="304"/>
      <c r="AP328" s="304"/>
      <c r="AQ328" s="304"/>
      <c r="AR328" s="304"/>
      <c r="AS328" s="304"/>
      <c r="AT328" s="304"/>
      <c r="AU328" s="304"/>
      <c r="AV328" s="304"/>
    </row>
    <row r="329" spans="1:48" ht="18.75" hidden="1" customHeight="1">
      <c r="A329" s="21"/>
      <c r="B329" s="21"/>
      <c r="C329" s="302" t="s">
        <v>331</v>
      </c>
      <c r="D329" s="303"/>
      <c r="E329" s="303"/>
      <c r="F329" s="303"/>
      <c r="G329" s="303"/>
      <c r="H329" s="303"/>
      <c r="I329" s="303"/>
      <c r="J329" s="303"/>
      <c r="K329" s="303"/>
      <c r="L329" s="303"/>
      <c r="M329" s="303"/>
      <c r="N329" s="303"/>
      <c r="O329" s="303"/>
      <c r="P329" s="303"/>
      <c r="Q329" s="303"/>
      <c r="R329" s="303"/>
      <c r="S329" s="303"/>
      <c r="T329" s="303"/>
      <c r="U329" s="304"/>
      <c r="V329" s="304"/>
      <c r="W329" s="304"/>
      <c r="X329" s="304"/>
      <c r="Y329" s="304"/>
      <c r="Z329" s="304"/>
      <c r="AA329" s="304"/>
      <c r="AB329" s="304"/>
      <c r="AC329" s="304"/>
      <c r="AD329" s="304"/>
      <c r="AE329" s="304"/>
      <c r="AF329" s="304"/>
      <c r="AG329" s="304"/>
      <c r="AH329" s="304"/>
      <c r="AI329" s="304"/>
      <c r="AJ329" s="304"/>
      <c r="AK329" s="304"/>
      <c r="AL329" s="304"/>
      <c r="AM329" s="304"/>
      <c r="AN329" s="304"/>
      <c r="AO329" s="304"/>
      <c r="AP329" s="304"/>
      <c r="AQ329" s="304"/>
      <c r="AR329" s="304"/>
      <c r="AS329" s="304"/>
      <c r="AT329" s="304"/>
      <c r="AU329" s="304"/>
      <c r="AV329" s="304"/>
    </row>
    <row r="330" spans="1:48" ht="6" customHeight="1">
      <c r="A330" s="21"/>
      <c r="B330" s="21"/>
      <c r="C330" s="149"/>
      <c r="D330" s="103"/>
      <c r="E330" s="103"/>
      <c r="F330" s="103"/>
      <c r="G330" s="103"/>
      <c r="H330" s="103"/>
      <c r="I330" s="103"/>
      <c r="J330" s="103"/>
      <c r="K330" s="103"/>
      <c r="L330" s="103"/>
      <c r="M330" s="103"/>
      <c r="N330" s="103"/>
      <c r="O330" s="103"/>
      <c r="P330" s="103"/>
      <c r="Q330" s="103"/>
      <c r="R330" s="103"/>
      <c r="S330" s="103"/>
      <c r="T330" s="103"/>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row>
    <row r="331" spans="1:48" s="31" customFormat="1" ht="39" customHeight="1">
      <c r="A331" s="162"/>
      <c r="B331" s="163"/>
      <c r="C331" s="347" t="s">
        <v>142</v>
      </c>
      <c r="D331" s="348"/>
      <c r="E331" s="348"/>
      <c r="F331" s="348"/>
      <c r="G331" s="348"/>
      <c r="H331" s="348"/>
      <c r="I331" s="348"/>
      <c r="J331" s="349"/>
      <c r="K331" s="347" t="s">
        <v>293</v>
      </c>
      <c r="L331" s="348"/>
      <c r="M331" s="348"/>
      <c r="N331" s="348"/>
      <c r="O331" s="349"/>
      <c r="P331" s="388" t="s">
        <v>294</v>
      </c>
      <c r="Q331" s="388"/>
      <c r="R331" s="388"/>
      <c r="S331" s="388"/>
      <c r="T331" s="347" t="s">
        <v>295</v>
      </c>
      <c r="U331" s="348"/>
      <c r="V331" s="348"/>
      <c r="W331" s="348"/>
      <c r="X331" s="349"/>
      <c r="Y331" s="347" t="s">
        <v>296</v>
      </c>
      <c r="Z331" s="348"/>
      <c r="AA331" s="348"/>
      <c r="AB331" s="348"/>
      <c r="AC331" s="349"/>
      <c r="AD331" s="347" t="s">
        <v>297</v>
      </c>
      <c r="AE331" s="348"/>
      <c r="AF331" s="348"/>
      <c r="AG331" s="348"/>
      <c r="AH331" s="349"/>
      <c r="AI331" s="347" t="s">
        <v>332</v>
      </c>
      <c r="AJ331" s="348"/>
      <c r="AK331" s="348"/>
      <c r="AL331" s="348"/>
      <c r="AM331" s="349"/>
      <c r="AN331" s="347" t="s">
        <v>299</v>
      </c>
      <c r="AO331" s="348"/>
      <c r="AP331" s="349"/>
      <c r="AQ331" s="347" t="s">
        <v>300</v>
      </c>
      <c r="AR331" s="348"/>
      <c r="AS331" s="348"/>
      <c r="AT331" s="348"/>
      <c r="AU331" s="349"/>
    </row>
    <row r="332" spans="1:48" s="31" customFormat="1" ht="13.5">
      <c r="A332" s="162"/>
      <c r="B332" s="163"/>
      <c r="C332" s="503" t="s">
        <v>333</v>
      </c>
      <c r="D332" s="504"/>
      <c r="E332" s="504"/>
      <c r="F332" s="504"/>
      <c r="G332" s="504"/>
      <c r="H332" s="504"/>
      <c r="I332" s="504"/>
      <c r="J332" s="505"/>
      <c r="K332" s="500"/>
      <c r="L332" s="501"/>
      <c r="M332" s="501"/>
      <c r="N332" s="501"/>
      <c r="O332" s="502"/>
      <c r="P332" s="493"/>
      <c r="Q332" s="493"/>
      <c r="R332" s="493"/>
      <c r="S332" s="493"/>
      <c r="T332" s="494"/>
      <c r="U332" s="495"/>
      <c r="V332" s="495"/>
      <c r="W332" s="495"/>
      <c r="X332" s="496"/>
      <c r="Y332" s="494"/>
      <c r="Z332" s="495"/>
      <c r="AA332" s="495"/>
      <c r="AB332" s="495"/>
      <c r="AC332" s="496"/>
      <c r="AD332" s="482"/>
      <c r="AE332" s="483"/>
      <c r="AF332" s="483"/>
      <c r="AG332" s="483"/>
      <c r="AH332" s="484"/>
      <c r="AI332" s="482"/>
      <c r="AJ332" s="483"/>
      <c r="AK332" s="483"/>
      <c r="AL332" s="483"/>
      <c r="AM332" s="484"/>
      <c r="AN332" s="479"/>
      <c r="AO332" s="480"/>
      <c r="AP332" s="481"/>
      <c r="AQ332" s="482"/>
      <c r="AR332" s="483"/>
      <c r="AS332" s="483"/>
      <c r="AT332" s="483"/>
      <c r="AU332" s="484"/>
    </row>
    <row r="333" spans="1:48" s="31" customFormat="1" ht="13.5">
      <c r="A333" s="162"/>
      <c r="B333" s="163"/>
      <c r="C333" s="497" t="str">
        <f t="shared" ref="C333:C338" si="2">+C247</f>
        <v xml:space="preserve">Departamento N° </v>
      </c>
      <c r="D333" s="498"/>
      <c r="E333" s="498"/>
      <c r="F333" s="498"/>
      <c r="G333" s="498"/>
      <c r="H333" s="498"/>
      <c r="I333" s="498"/>
      <c r="J333" s="499"/>
      <c r="K333" s="500">
        <f>+L247</f>
        <v>0</v>
      </c>
      <c r="L333" s="501"/>
      <c r="M333" s="501"/>
      <c r="N333" s="501"/>
      <c r="O333" s="502"/>
      <c r="P333" s="493"/>
      <c r="Q333" s="493"/>
      <c r="R333" s="493"/>
      <c r="S333" s="493"/>
      <c r="T333" s="494">
        <f>+AR162</f>
        <v>0</v>
      </c>
      <c r="U333" s="495"/>
      <c r="V333" s="495"/>
      <c r="W333" s="495"/>
      <c r="X333" s="496"/>
      <c r="Y333" s="494">
        <f>+K333*T333</f>
        <v>0</v>
      </c>
      <c r="Z333" s="495"/>
      <c r="AA333" s="495"/>
      <c r="AB333" s="495"/>
      <c r="AC333" s="496"/>
      <c r="AD333" s="482">
        <f t="shared" ref="AD333:AD339" si="3">+Y333*0.15</f>
        <v>0</v>
      </c>
      <c r="AE333" s="483"/>
      <c r="AF333" s="483"/>
      <c r="AG333" s="483"/>
      <c r="AH333" s="484"/>
      <c r="AI333" s="482">
        <f>+AE354</f>
        <v>0</v>
      </c>
      <c r="AJ333" s="483"/>
      <c r="AK333" s="483"/>
      <c r="AL333" s="483"/>
      <c r="AM333" s="484"/>
      <c r="AN333" s="479">
        <f t="shared" ref="AN333:AN338" si="4">+AN247</f>
        <v>0</v>
      </c>
      <c r="AO333" s="480"/>
      <c r="AP333" s="481"/>
      <c r="AQ333" s="482">
        <f t="shared" ref="AQ333:AQ339" si="5">((AI333+AD333+Y333)*(1-AN333))</f>
        <v>0</v>
      </c>
      <c r="AR333" s="483"/>
      <c r="AS333" s="483"/>
      <c r="AT333" s="483"/>
      <c r="AU333" s="484"/>
    </row>
    <row r="334" spans="1:48" s="31" customFormat="1" ht="13.5">
      <c r="A334" s="162"/>
      <c r="B334" s="163"/>
      <c r="C334" s="497" t="str">
        <f t="shared" si="2"/>
        <v xml:space="preserve"> - Área sin techar</v>
      </c>
      <c r="D334" s="498"/>
      <c r="E334" s="498"/>
      <c r="F334" s="498"/>
      <c r="G334" s="498"/>
      <c r="H334" s="498"/>
      <c r="I334" s="498"/>
      <c r="J334" s="499"/>
      <c r="K334" s="500"/>
      <c r="L334" s="501"/>
      <c r="M334" s="501"/>
      <c r="N334" s="501"/>
      <c r="O334" s="502"/>
      <c r="P334" s="493">
        <f>+P248</f>
        <v>0</v>
      </c>
      <c r="Q334" s="493"/>
      <c r="R334" s="493"/>
      <c r="S334" s="493"/>
      <c r="T334" s="494">
        <f>+T248</f>
        <v>0</v>
      </c>
      <c r="U334" s="495"/>
      <c r="V334" s="495"/>
      <c r="W334" s="495"/>
      <c r="X334" s="496"/>
      <c r="Y334" s="494">
        <f>+P334*T334</f>
        <v>0</v>
      </c>
      <c r="Z334" s="495"/>
      <c r="AA334" s="495"/>
      <c r="AB334" s="495"/>
      <c r="AC334" s="496"/>
      <c r="AD334" s="482">
        <f t="shared" si="3"/>
        <v>0</v>
      </c>
      <c r="AE334" s="483"/>
      <c r="AF334" s="483"/>
      <c r="AG334" s="483"/>
      <c r="AH334" s="484"/>
      <c r="AI334" s="482">
        <f>+AE355</f>
        <v>0</v>
      </c>
      <c r="AJ334" s="483"/>
      <c r="AK334" s="483"/>
      <c r="AL334" s="483"/>
      <c r="AM334" s="484"/>
      <c r="AN334" s="479">
        <f t="shared" si="4"/>
        <v>0</v>
      </c>
      <c r="AO334" s="480"/>
      <c r="AP334" s="481"/>
      <c r="AQ334" s="482">
        <f t="shared" si="5"/>
        <v>0</v>
      </c>
      <c r="AR334" s="483"/>
      <c r="AS334" s="483"/>
      <c r="AT334" s="483"/>
      <c r="AU334" s="484"/>
    </row>
    <row r="335" spans="1:48" s="31" customFormat="1" ht="13.5">
      <c r="A335" s="162"/>
      <c r="B335" s="163"/>
      <c r="C335" s="497" t="str">
        <f t="shared" si="2"/>
        <v xml:space="preserve">Estacionamiento N° </v>
      </c>
      <c r="D335" s="498"/>
      <c r="E335" s="498"/>
      <c r="F335" s="498"/>
      <c r="G335" s="498"/>
      <c r="H335" s="498"/>
      <c r="I335" s="498"/>
      <c r="J335" s="499"/>
      <c r="K335" s="500">
        <f>+L249</f>
        <v>0</v>
      </c>
      <c r="L335" s="501"/>
      <c r="M335" s="501"/>
      <c r="N335" s="501"/>
      <c r="O335" s="502"/>
      <c r="P335" s="493"/>
      <c r="Q335" s="493"/>
      <c r="R335" s="493"/>
      <c r="S335" s="493"/>
      <c r="T335" s="494">
        <f>+T249</f>
        <v>0</v>
      </c>
      <c r="U335" s="495"/>
      <c r="V335" s="495"/>
      <c r="W335" s="495"/>
      <c r="X335" s="496"/>
      <c r="Y335" s="494">
        <f>+K335*T335</f>
        <v>0</v>
      </c>
      <c r="Z335" s="495"/>
      <c r="AA335" s="495"/>
      <c r="AB335" s="495"/>
      <c r="AC335" s="496"/>
      <c r="AD335" s="482">
        <f t="shared" si="3"/>
        <v>0</v>
      </c>
      <c r="AE335" s="483"/>
      <c r="AF335" s="483"/>
      <c r="AG335" s="483"/>
      <c r="AH335" s="484"/>
      <c r="AI335" s="482">
        <f>+AE355</f>
        <v>0</v>
      </c>
      <c r="AJ335" s="483"/>
      <c r="AK335" s="483"/>
      <c r="AL335" s="483"/>
      <c r="AM335" s="484"/>
      <c r="AN335" s="479">
        <f t="shared" si="4"/>
        <v>0</v>
      </c>
      <c r="AO335" s="480"/>
      <c r="AP335" s="481"/>
      <c r="AQ335" s="482">
        <f t="shared" si="5"/>
        <v>0</v>
      </c>
      <c r="AR335" s="483"/>
      <c r="AS335" s="483"/>
      <c r="AT335" s="483"/>
      <c r="AU335" s="484"/>
    </row>
    <row r="336" spans="1:48" s="31" customFormat="1" ht="13.5">
      <c r="A336" s="162"/>
      <c r="B336" s="163"/>
      <c r="C336" s="497" t="str">
        <f t="shared" si="2"/>
        <v xml:space="preserve"> - Área sin techar</v>
      </c>
      <c r="D336" s="498"/>
      <c r="E336" s="498"/>
      <c r="F336" s="498"/>
      <c r="G336" s="498"/>
      <c r="H336" s="498"/>
      <c r="I336" s="498"/>
      <c r="J336" s="499"/>
      <c r="K336" s="500"/>
      <c r="L336" s="501"/>
      <c r="M336" s="501"/>
      <c r="N336" s="501"/>
      <c r="O336" s="502"/>
      <c r="P336" s="493">
        <f>+P250</f>
        <v>0</v>
      </c>
      <c r="Q336" s="493"/>
      <c r="R336" s="493"/>
      <c r="S336" s="493"/>
      <c r="T336" s="494">
        <f>+T250</f>
        <v>0</v>
      </c>
      <c r="U336" s="495"/>
      <c r="V336" s="495"/>
      <c r="W336" s="495"/>
      <c r="X336" s="496"/>
      <c r="Y336" s="494">
        <f>+P336*T336</f>
        <v>0</v>
      </c>
      <c r="Z336" s="495"/>
      <c r="AA336" s="495"/>
      <c r="AB336" s="495"/>
      <c r="AC336" s="496"/>
      <c r="AD336" s="482">
        <f t="shared" si="3"/>
        <v>0</v>
      </c>
      <c r="AE336" s="483"/>
      <c r="AF336" s="483"/>
      <c r="AG336" s="483"/>
      <c r="AH336" s="484"/>
      <c r="AI336" s="482">
        <f>+AE357</f>
        <v>0</v>
      </c>
      <c r="AJ336" s="483"/>
      <c r="AK336" s="483"/>
      <c r="AL336" s="483"/>
      <c r="AM336" s="484"/>
      <c r="AN336" s="479">
        <f t="shared" si="4"/>
        <v>0</v>
      </c>
      <c r="AO336" s="480"/>
      <c r="AP336" s="481"/>
      <c r="AQ336" s="482">
        <f t="shared" si="5"/>
        <v>0</v>
      </c>
      <c r="AR336" s="483"/>
      <c r="AS336" s="483"/>
      <c r="AT336" s="483"/>
      <c r="AU336" s="484"/>
    </row>
    <row r="337" spans="1:48" s="31" customFormat="1" ht="13.5">
      <c r="A337" s="162"/>
      <c r="B337" s="163"/>
      <c r="C337" s="497" t="str">
        <f t="shared" si="2"/>
        <v xml:space="preserve">Depósito N° </v>
      </c>
      <c r="D337" s="498"/>
      <c r="E337" s="498"/>
      <c r="F337" s="498"/>
      <c r="G337" s="498"/>
      <c r="H337" s="498"/>
      <c r="I337" s="498"/>
      <c r="J337" s="499"/>
      <c r="K337" s="500">
        <f>+L251</f>
        <v>0</v>
      </c>
      <c r="L337" s="501"/>
      <c r="M337" s="501"/>
      <c r="N337" s="501"/>
      <c r="O337" s="502"/>
      <c r="P337" s="493"/>
      <c r="Q337" s="493"/>
      <c r="R337" s="493"/>
      <c r="S337" s="493"/>
      <c r="T337" s="494">
        <f>+T251</f>
        <v>0</v>
      </c>
      <c r="U337" s="495"/>
      <c r="V337" s="495"/>
      <c r="W337" s="495"/>
      <c r="X337" s="496"/>
      <c r="Y337" s="494">
        <f>+K337*T337</f>
        <v>0</v>
      </c>
      <c r="Z337" s="495"/>
      <c r="AA337" s="495"/>
      <c r="AB337" s="495"/>
      <c r="AC337" s="496"/>
      <c r="AD337" s="482">
        <f t="shared" si="3"/>
        <v>0</v>
      </c>
      <c r="AE337" s="483"/>
      <c r="AF337" s="483"/>
      <c r="AG337" s="483"/>
      <c r="AH337" s="484"/>
      <c r="AI337" s="482">
        <f>+AE356</f>
        <v>0</v>
      </c>
      <c r="AJ337" s="483"/>
      <c r="AK337" s="483"/>
      <c r="AL337" s="483"/>
      <c r="AM337" s="484"/>
      <c r="AN337" s="479">
        <f t="shared" si="4"/>
        <v>0</v>
      </c>
      <c r="AO337" s="480"/>
      <c r="AP337" s="481"/>
      <c r="AQ337" s="482">
        <f t="shared" si="5"/>
        <v>0</v>
      </c>
      <c r="AR337" s="483"/>
      <c r="AS337" s="483"/>
      <c r="AT337" s="483"/>
      <c r="AU337" s="484"/>
    </row>
    <row r="338" spans="1:48" s="31" customFormat="1" ht="13.5">
      <c r="A338" s="162"/>
      <c r="B338" s="163"/>
      <c r="C338" s="497" t="str">
        <f t="shared" si="2"/>
        <v xml:space="preserve"> - Área sin techar</v>
      </c>
      <c r="D338" s="498"/>
      <c r="E338" s="498"/>
      <c r="F338" s="498"/>
      <c r="G338" s="498"/>
      <c r="H338" s="498"/>
      <c r="I338" s="498"/>
      <c r="J338" s="499"/>
      <c r="K338" s="500"/>
      <c r="L338" s="501"/>
      <c r="M338" s="501"/>
      <c r="N338" s="501"/>
      <c r="O338" s="502"/>
      <c r="P338" s="493">
        <f>+P252</f>
        <v>0</v>
      </c>
      <c r="Q338" s="493"/>
      <c r="R338" s="493"/>
      <c r="S338" s="493"/>
      <c r="T338" s="494">
        <f>+T252</f>
        <v>0</v>
      </c>
      <c r="U338" s="495"/>
      <c r="V338" s="495"/>
      <c r="W338" s="495"/>
      <c r="X338" s="496"/>
      <c r="Y338" s="494">
        <f>+P338*T338</f>
        <v>0</v>
      </c>
      <c r="Z338" s="495"/>
      <c r="AA338" s="495"/>
      <c r="AB338" s="495"/>
      <c r="AC338" s="496"/>
      <c r="AD338" s="482">
        <f t="shared" si="3"/>
        <v>0</v>
      </c>
      <c r="AE338" s="483"/>
      <c r="AF338" s="483"/>
      <c r="AG338" s="483"/>
      <c r="AH338" s="484"/>
      <c r="AI338" s="482">
        <f>+AE359</f>
        <v>0</v>
      </c>
      <c r="AJ338" s="483"/>
      <c r="AK338" s="483"/>
      <c r="AL338" s="483"/>
      <c r="AM338" s="484"/>
      <c r="AN338" s="479">
        <f t="shared" si="4"/>
        <v>0</v>
      </c>
      <c r="AO338" s="480"/>
      <c r="AP338" s="481"/>
      <c r="AQ338" s="482">
        <f t="shared" si="5"/>
        <v>0</v>
      </c>
      <c r="AR338" s="483"/>
      <c r="AS338" s="483"/>
      <c r="AT338" s="483"/>
      <c r="AU338" s="484"/>
    </row>
    <row r="339" spans="1:48" s="31" customFormat="1" ht="14.25" customHeight="1">
      <c r="A339" s="162"/>
      <c r="B339" s="163"/>
      <c r="C339" s="369" t="s">
        <v>334</v>
      </c>
      <c r="D339" s="370"/>
      <c r="E339" s="370"/>
      <c r="F339" s="370"/>
      <c r="G339" s="370"/>
      <c r="H339" s="370"/>
      <c r="I339" s="370"/>
      <c r="J339" s="371"/>
      <c r="K339" s="490">
        <f>+K333</f>
        <v>0</v>
      </c>
      <c r="L339" s="491"/>
      <c r="M339" s="491"/>
      <c r="N339" s="491"/>
      <c r="O339" s="492"/>
      <c r="P339" s="493"/>
      <c r="Q339" s="493"/>
      <c r="R339" s="493"/>
      <c r="S339" s="493"/>
      <c r="T339" s="494">
        <f>+AM162-AR162</f>
        <v>0</v>
      </c>
      <c r="U339" s="495"/>
      <c r="V339" s="495"/>
      <c r="W339" s="495"/>
      <c r="X339" s="496"/>
      <c r="Y339" s="494">
        <f>+K339*T339</f>
        <v>0</v>
      </c>
      <c r="Z339" s="495"/>
      <c r="AA339" s="495"/>
      <c r="AB339" s="495"/>
      <c r="AC339" s="496"/>
      <c r="AD339" s="482">
        <f t="shared" si="3"/>
        <v>0</v>
      </c>
      <c r="AE339" s="483"/>
      <c r="AF339" s="483"/>
      <c r="AG339" s="483"/>
      <c r="AH339" s="484"/>
      <c r="AI339" s="482"/>
      <c r="AJ339" s="483"/>
      <c r="AK339" s="483"/>
      <c r="AL339" s="483"/>
      <c r="AM339" s="484"/>
      <c r="AN339" s="479">
        <f>+AN333</f>
        <v>0</v>
      </c>
      <c r="AO339" s="480"/>
      <c r="AP339" s="481"/>
      <c r="AQ339" s="482">
        <f t="shared" si="5"/>
        <v>0</v>
      </c>
      <c r="AR339" s="483"/>
      <c r="AS339" s="483"/>
      <c r="AT339" s="483"/>
      <c r="AU339" s="484"/>
    </row>
    <row r="340" spans="1:48" s="31" customFormat="1" ht="18.75" customHeight="1" thickBot="1">
      <c r="A340" s="162"/>
      <c r="B340" s="163"/>
      <c r="C340" s="188"/>
      <c r="D340" s="189"/>
      <c r="E340" s="189"/>
      <c r="F340" s="189"/>
      <c r="G340" s="189"/>
      <c r="H340" s="190"/>
      <c r="I340" s="191"/>
      <c r="J340" s="191"/>
      <c r="K340" s="191"/>
      <c r="L340" s="485"/>
      <c r="M340" s="443"/>
      <c r="N340" s="443"/>
      <c r="O340" s="444"/>
      <c r="P340" s="442"/>
      <c r="Q340" s="443"/>
      <c r="R340" s="443"/>
      <c r="S340" s="444"/>
      <c r="T340" s="486"/>
      <c r="U340" s="486"/>
      <c r="V340" s="486"/>
      <c r="W340" s="486"/>
      <c r="X340" s="486"/>
      <c r="Y340" s="486"/>
      <c r="Z340" s="486"/>
      <c r="AA340" s="486"/>
      <c r="AB340" s="486"/>
      <c r="AC340" s="486"/>
      <c r="AD340" s="487">
        <f>SUM(AD332:AH339)</f>
        <v>0</v>
      </c>
      <c r="AE340" s="488"/>
      <c r="AF340" s="488"/>
      <c r="AG340" s="488"/>
      <c r="AH340" s="488"/>
      <c r="AI340" s="487">
        <f>SUM(AI332:AM339)</f>
        <v>0</v>
      </c>
      <c r="AJ340" s="488"/>
      <c r="AK340" s="488"/>
      <c r="AL340" s="488"/>
      <c r="AM340" s="488"/>
      <c r="AN340" s="366"/>
      <c r="AO340" s="367"/>
      <c r="AP340" s="367"/>
      <c r="AQ340" s="487">
        <f>SUM(AQ333:AU339)</f>
        <v>0</v>
      </c>
      <c r="AR340" s="488"/>
      <c r="AS340" s="488"/>
      <c r="AT340" s="488"/>
      <c r="AU340" s="489"/>
    </row>
    <row r="341" spans="1:48" ht="6" customHeight="1">
      <c r="A341" s="21"/>
      <c r="B341" s="21"/>
      <c r="C341" s="142"/>
      <c r="D341" s="21"/>
      <c r="E341" s="21"/>
      <c r="F341" s="21"/>
      <c r="G341" s="21"/>
      <c r="H341" s="142"/>
      <c r="J341" s="164"/>
      <c r="K341" s="21"/>
      <c r="L341" s="21"/>
      <c r="M341" s="21"/>
      <c r="N341" s="21"/>
      <c r="O341" s="21"/>
      <c r="P341" s="21"/>
      <c r="Q341" s="21"/>
      <c r="R341" s="21"/>
      <c r="S341" s="21"/>
      <c r="T341" s="21"/>
      <c r="U341" s="21"/>
      <c r="V341" s="21"/>
      <c r="W341" s="21" t="s">
        <v>302</v>
      </c>
      <c r="X341" s="21"/>
      <c r="Y341" s="21"/>
      <c r="Z341" s="21"/>
      <c r="AA341" s="21"/>
      <c r="AB341" s="21"/>
      <c r="AC341" s="21"/>
      <c r="AD341" s="21"/>
      <c r="AE341" s="21"/>
      <c r="AF341" s="21"/>
      <c r="AG341" s="21"/>
      <c r="AH341" s="21"/>
      <c r="AI341" s="21"/>
      <c r="AJ341" s="21"/>
      <c r="AK341" s="21"/>
      <c r="AL341" s="21"/>
      <c r="AM341" s="21"/>
      <c r="AN341" s="21"/>
      <c r="AO341" s="21"/>
      <c r="AP341" s="21"/>
      <c r="AR341" s="21"/>
      <c r="AV341" s="21"/>
    </row>
    <row r="342" spans="1:48" s="165" customFormat="1" ht="24.75" customHeight="1">
      <c r="A342" s="325">
        <f>+A327+1</f>
        <v>3</v>
      </c>
      <c r="B342" s="346"/>
      <c r="C342" s="91" t="s">
        <v>303</v>
      </c>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row>
    <row r="343" spans="1:48" s="165" customFormat="1" ht="3" customHeight="1">
      <c r="A343" s="94"/>
      <c r="B343" s="95"/>
      <c r="C343" s="9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row>
    <row r="344" spans="1:48" s="165" customFormat="1" ht="27.75" customHeight="1">
      <c r="A344" s="72"/>
      <c r="B344" s="72"/>
      <c r="C344" s="331" t="s">
        <v>304</v>
      </c>
      <c r="D344" s="332"/>
      <c r="E344" s="332"/>
      <c r="F344" s="332"/>
      <c r="G344" s="332"/>
      <c r="H344" s="332"/>
      <c r="I344" s="332"/>
      <c r="J344" s="332"/>
      <c r="K344" s="332"/>
      <c r="L344" s="332"/>
      <c r="M344" s="332"/>
      <c r="N344" s="332"/>
      <c r="O344" s="332"/>
      <c r="P344" s="332"/>
      <c r="Q344" s="332"/>
      <c r="R344" s="332"/>
      <c r="S344" s="333"/>
      <c r="T344" s="334" t="s">
        <v>305</v>
      </c>
      <c r="U344" s="332"/>
      <c r="V344" s="332"/>
      <c r="W344" s="332"/>
      <c r="X344" s="332"/>
      <c r="Y344" s="333"/>
      <c r="Z344" s="334" t="s">
        <v>306</v>
      </c>
      <c r="AA344" s="332"/>
      <c r="AB344" s="332"/>
      <c r="AC344" s="332"/>
      <c r="AD344" s="332"/>
      <c r="AE344" s="347" t="s">
        <v>307</v>
      </c>
      <c r="AF344" s="348"/>
      <c r="AG344" s="348"/>
      <c r="AH344" s="348"/>
      <c r="AI344" s="348"/>
      <c r="AJ344" s="348"/>
      <c r="AK344" s="348"/>
      <c r="AL344" s="349"/>
    </row>
    <row r="345" spans="1:48" s="165" customFormat="1" ht="15" customHeight="1">
      <c r="A345" s="71"/>
      <c r="B345" s="71"/>
      <c r="C345" s="311">
        <f>+C258</f>
        <v>0</v>
      </c>
      <c r="D345" s="312"/>
      <c r="E345" s="312"/>
      <c r="F345" s="312"/>
      <c r="G345" s="312"/>
      <c r="H345" s="312"/>
      <c r="I345" s="312"/>
      <c r="J345" s="312"/>
      <c r="K345" s="312"/>
      <c r="L345" s="312"/>
      <c r="M345" s="312"/>
      <c r="N345" s="312"/>
      <c r="O345" s="312"/>
      <c r="P345" s="312"/>
      <c r="Q345" s="312"/>
      <c r="R345" s="312"/>
      <c r="S345" s="313"/>
      <c r="T345" s="337">
        <f>+T258</f>
        <v>0</v>
      </c>
      <c r="U345" s="338"/>
      <c r="V345" s="338"/>
      <c r="W345" s="338"/>
      <c r="X345" s="339" t="str">
        <f>+X258</f>
        <v>Und</v>
      </c>
      <c r="Y345" s="340"/>
      <c r="Z345" s="474">
        <f>+Z258</f>
        <v>0</v>
      </c>
      <c r="AA345" s="475"/>
      <c r="AB345" s="475"/>
      <c r="AC345" s="475"/>
      <c r="AD345" s="475"/>
      <c r="AE345" s="476">
        <f>+T345*Z345</f>
        <v>0</v>
      </c>
      <c r="AF345" s="477"/>
      <c r="AG345" s="477"/>
      <c r="AH345" s="477"/>
      <c r="AI345" s="477"/>
      <c r="AJ345" s="477"/>
      <c r="AK345" s="477"/>
      <c r="AL345" s="478"/>
    </row>
    <row r="346" spans="1:48" s="165" customFormat="1" ht="15" customHeight="1">
      <c r="A346" s="71"/>
      <c r="B346" s="71"/>
      <c r="C346" s="311">
        <f>+C259</f>
        <v>0</v>
      </c>
      <c r="D346" s="312"/>
      <c r="E346" s="312"/>
      <c r="F346" s="312"/>
      <c r="G346" s="312"/>
      <c r="H346" s="312"/>
      <c r="I346" s="312"/>
      <c r="J346" s="312"/>
      <c r="K346" s="312"/>
      <c r="L346" s="312"/>
      <c r="M346" s="312"/>
      <c r="N346" s="312"/>
      <c r="O346" s="312"/>
      <c r="P346" s="312"/>
      <c r="Q346" s="312"/>
      <c r="R346" s="312"/>
      <c r="S346" s="313"/>
      <c r="T346" s="337">
        <f>+T259</f>
        <v>0</v>
      </c>
      <c r="U346" s="338"/>
      <c r="V346" s="338"/>
      <c r="W346" s="338"/>
      <c r="X346" s="339" t="str">
        <f>+X259</f>
        <v>m3</v>
      </c>
      <c r="Y346" s="340"/>
      <c r="Z346" s="474">
        <f>+Z259</f>
        <v>0</v>
      </c>
      <c r="AA346" s="475"/>
      <c r="AB346" s="475"/>
      <c r="AC346" s="475"/>
      <c r="AD346" s="475"/>
      <c r="AE346" s="476">
        <f>+T346*Z346</f>
        <v>0</v>
      </c>
      <c r="AF346" s="477"/>
      <c r="AG346" s="477"/>
      <c r="AH346" s="477"/>
      <c r="AI346" s="477"/>
      <c r="AJ346" s="477"/>
      <c r="AK346" s="477"/>
      <c r="AL346" s="478"/>
    </row>
    <row r="347" spans="1:48" s="165" customFormat="1" ht="15" customHeight="1">
      <c r="A347" s="71"/>
      <c r="B347" s="71"/>
      <c r="C347" s="311">
        <f>+C260</f>
        <v>0</v>
      </c>
      <c r="D347" s="312"/>
      <c r="E347" s="312"/>
      <c r="F347" s="312"/>
      <c r="G347" s="312"/>
      <c r="H347" s="312"/>
      <c r="I347" s="312"/>
      <c r="J347" s="312"/>
      <c r="K347" s="312"/>
      <c r="L347" s="312"/>
      <c r="M347" s="312"/>
      <c r="N347" s="312"/>
      <c r="O347" s="312"/>
      <c r="P347" s="312"/>
      <c r="Q347" s="312"/>
      <c r="R347" s="312"/>
      <c r="S347" s="313"/>
      <c r="T347" s="337">
        <f>+T260</f>
        <v>0</v>
      </c>
      <c r="U347" s="338"/>
      <c r="V347" s="338"/>
      <c r="W347" s="338"/>
      <c r="X347" s="339" t="str">
        <f>+X260</f>
        <v>Und</v>
      </c>
      <c r="Y347" s="340"/>
      <c r="Z347" s="474">
        <f>+Z260</f>
        <v>0</v>
      </c>
      <c r="AA347" s="475"/>
      <c r="AB347" s="475"/>
      <c r="AC347" s="475"/>
      <c r="AD347" s="475"/>
      <c r="AE347" s="476">
        <f>+T347*Z347</f>
        <v>0</v>
      </c>
      <c r="AF347" s="477"/>
      <c r="AG347" s="477"/>
      <c r="AH347" s="477"/>
      <c r="AI347" s="477"/>
      <c r="AJ347" s="477"/>
      <c r="AK347" s="477"/>
      <c r="AL347" s="478"/>
    </row>
    <row r="348" spans="1:48" s="165" customFormat="1" ht="18" customHeight="1">
      <c r="A348" s="166"/>
      <c r="B348" s="166"/>
      <c r="C348" s="167" t="s">
        <v>310</v>
      </c>
      <c r="D348" s="168"/>
      <c r="E348" s="168"/>
      <c r="F348" s="168"/>
      <c r="G348" s="168"/>
      <c r="H348" s="168"/>
      <c r="I348" s="168"/>
      <c r="J348" s="168"/>
      <c r="K348" s="168"/>
      <c r="L348" s="168"/>
      <c r="M348" s="168"/>
      <c r="N348" s="168"/>
      <c r="O348" s="168"/>
      <c r="P348" s="168"/>
      <c r="Q348" s="168"/>
      <c r="R348" s="168"/>
      <c r="S348" s="168"/>
      <c r="T348" s="168"/>
      <c r="U348" s="169"/>
      <c r="V348" s="169"/>
      <c r="W348" s="169"/>
      <c r="X348" s="169"/>
      <c r="Y348" s="169"/>
      <c r="Z348" s="418"/>
      <c r="AA348" s="418"/>
      <c r="AB348" s="418"/>
      <c r="AC348" s="418"/>
      <c r="AD348" s="418"/>
      <c r="AE348" s="471">
        <f>SUM(AE345:AL347)</f>
        <v>0</v>
      </c>
      <c r="AF348" s="472"/>
      <c r="AG348" s="472"/>
      <c r="AH348" s="472"/>
      <c r="AI348" s="472"/>
      <c r="AJ348" s="472"/>
      <c r="AK348" s="472"/>
      <c r="AL348" s="473"/>
    </row>
    <row r="349" spans="1:48" s="165" customFormat="1" ht="6.75" customHeight="1">
      <c r="A349" s="166"/>
      <c r="B349" s="166"/>
      <c r="C349" s="170"/>
      <c r="D349" s="170"/>
      <c r="E349" s="170"/>
      <c r="F349" s="170"/>
      <c r="G349" s="170"/>
      <c r="H349" s="170"/>
      <c r="I349" s="170"/>
      <c r="J349" s="170"/>
      <c r="K349" s="170"/>
      <c r="L349" s="170"/>
      <c r="M349" s="170"/>
      <c r="N349" s="170"/>
      <c r="O349" s="170"/>
      <c r="P349" s="170"/>
      <c r="Q349" s="170"/>
      <c r="R349" s="170"/>
      <c r="S349" s="170"/>
      <c r="T349" s="170"/>
      <c r="U349" s="166"/>
      <c r="V349" s="166"/>
      <c r="W349" s="166"/>
      <c r="X349" s="166"/>
      <c r="Y349" s="166"/>
      <c r="Z349" s="72"/>
      <c r="AA349" s="72"/>
      <c r="AB349" s="72"/>
      <c r="AC349" s="72"/>
      <c r="AD349" s="72"/>
      <c r="AE349" s="72"/>
      <c r="AF349" s="72"/>
      <c r="AG349" s="72"/>
      <c r="AH349" s="72"/>
      <c r="AI349" s="72"/>
      <c r="AJ349" s="72"/>
      <c r="AK349" s="72"/>
      <c r="AL349" s="72"/>
      <c r="AM349" s="72"/>
      <c r="AN349" s="72"/>
      <c r="AO349" s="72"/>
      <c r="AP349" s="71"/>
    </row>
    <row r="350" spans="1:48" s="165" customFormat="1" ht="27.75" customHeight="1">
      <c r="A350" s="72"/>
      <c r="B350" s="72"/>
      <c r="C350" s="331" t="s">
        <v>191</v>
      </c>
      <c r="D350" s="332"/>
      <c r="E350" s="332"/>
      <c r="F350" s="332"/>
      <c r="G350" s="332"/>
      <c r="H350" s="332"/>
      <c r="I350" s="332"/>
      <c r="J350" s="332"/>
      <c r="K350" s="332"/>
      <c r="L350" s="332"/>
      <c r="M350" s="332"/>
      <c r="N350" s="332"/>
      <c r="O350" s="332"/>
      <c r="P350" s="332"/>
      <c r="Q350" s="332"/>
      <c r="R350" s="332"/>
      <c r="S350" s="333"/>
      <c r="T350" s="334" t="s">
        <v>307</v>
      </c>
      <c r="U350" s="332"/>
      <c r="V350" s="332"/>
      <c r="W350" s="332"/>
      <c r="X350" s="332"/>
      <c r="Y350" s="333"/>
      <c r="Z350" s="334" t="s">
        <v>311</v>
      </c>
      <c r="AA350" s="335"/>
      <c r="AB350" s="335"/>
      <c r="AC350" s="335"/>
      <c r="AD350" s="336"/>
      <c r="AE350" s="334" t="s">
        <v>312</v>
      </c>
      <c r="AF350" s="335"/>
      <c r="AG350" s="335"/>
      <c r="AH350" s="335"/>
      <c r="AI350" s="335"/>
      <c r="AJ350" s="335"/>
      <c r="AK350" s="335"/>
      <c r="AL350" s="336"/>
    </row>
    <row r="351" spans="1:48" s="165" customFormat="1" ht="15" customHeight="1">
      <c r="A351" s="71"/>
      <c r="B351" s="71"/>
      <c r="C351" s="311" t="str">
        <f>+C264</f>
        <v xml:space="preserve">Departamento N° </v>
      </c>
      <c r="D351" s="312"/>
      <c r="E351" s="312"/>
      <c r="F351" s="312"/>
      <c r="G351" s="312"/>
      <c r="H351" s="312"/>
      <c r="I351" s="312"/>
      <c r="J351" s="312"/>
      <c r="K351" s="312"/>
      <c r="L351" s="312"/>
      <c r="M351" s="312"/>
      <c r="N351" s="312"/>
      <c r="O351" s="312"/>
      <c r="P351" s="312"/>
      <c r="Q351" s="312"/>
      <c r="R351" s="312"/>
      <c r="S351" s="313"/>
      <c r="T351" s="464">
        <f>+$AE$348</f>
        <v>0</v>
      </c>
      <c r="U351" s="465"/>
      <c r="V351" s="465"/>
      <c r="W351" s="465"/>
      <c r="X351" s="465"/>
      <c r="Y351" s="466"/>
      <c r="Z351" s="317">
        <f>+Z264</f>
        <v>0</v>
      </c>
      <c r="AA351" s="318"/>
      <c r="AB351" s="318"/>
      <c r="AC351" s="318"/>
      <c r="AD351" s="319"/>
      <c r="AE351" s="464">
        <f>+T351*Z351</f>
        <v>0</v>
      </c>
      <c r="AF351" s="467"/>
      <c r="AG351" s="467"/>
      <c r="AH351" s="467"/>
      <c r="AI351" s="467"/>
      <c r="AJ351" s="467"/>
      <c r="AK351" s="467"/>
      <c r="AL351" s="468"/>
    </row>
    <row r="352" spans="1:48" s="165" customFormat="1" ht="15" customHeight="1">
      <c r="A352" s="71"/>
      <c r="B352" s="71"/>
      <c r="C352" s="311" t="str">
        <f>+C265</f>
        <v xml:space="preserve">Estacionamiento N° </v>
      </c>
      <c r="D352" s="312"/>
      <c r="E352" s="312"/>
      <c r="F352" s="312"/>
      <c r="G352" s="312"/>
      <c r="H352" s="312"/>
      <c r="I352" s="312"/>
      <c r="J352" s="312"/>
      <c r="K352" s="312"/>
      <c r="L352" s="312"/>
      <c r="M352" s="312"/>
      <c r="N352" s="312"/>
      <c r="O352" s="312"/>
      <c r="P352" s="312"/>
      <c r="Q352" s="312"/>
      <c r="R352" s="312"/>
      <c r="S352" s="313"/>
      <c r="T352" s="464">
        <f>+$AE$348</f>
        <v>0</v>
      </c>
      <c r="U352" s="465"/>
      <c r="V352" s="465"/>
      <c r="W352" s="465"/>
      <c r="X352" s="465"/>
      <c r="Y352" s="466"/>
      <c r="Z352" s="317">
        <f>+Z265</f>
        <v>0</v>
      </c>
      <c r="AA352" s="318"/>
      <c r="AB352" s="318"/>
      <c r="AC352" s="318"/>
      <c r="AD352" s="319"/>
      <c r="AE352" s="464">
        <f>+T352*Z352</f>
        <v>0</v>
      </c>
      <c r="AF352" s="467"/>
      <c r="AG352" s="467"/>
      <c r="AH352" s="467"/>
      <c r="AI352" s="467"/>
      <c r="AJ352" s="467"/>
      <c r="AK352" s="467"/>
      <c r="AL352" s="468"/>
    </row>
    <row r="353" spans="1:48" s="165" customFormat="1" ht="15" customHeight="1">
      <c r="A353" s="71"/>
      <c r="B353" s="71"/>
      <c r="C353" s="311" t="str">
        <f>+C266</f>
        <v xml:space="preserve">Depósito N° </v>
      </c>
      <c r="D353" s="312"/>
      <c r="E353" s="312"/>
      <c r="F353" s="312"/>
      <c r="G353" s="312"/>
      <c r="H353" s="312"/>
      <c r="I353" s="312"/>
      <c r="J353" s="312"/>
      <c r="K353" s="312"/>
      <c r="L353" s="312"/>
      <c r="M353" s="312"/>
      <c r="N353" s="312"/>
      <c r="O353" s="312"/>
      <c r="P353" s="312"/>
      <c r="Q353" s="312"/>
      <c r="R353" s="312"/>
      <c r="S353" s="313"/>
      <c r="T353" s="464">
        <f>+$AE$348</f>
        <v>0</v>
      </c>
      <c r="U353" s="465"/>
      <c r="V353" s="465"/>
      <c r="W353" s="465"/>
      <c r="X353" s="465"/>
      <c r="Y353" s="466"/>
      <c r="Z353" s="317">
        <f>+Z266</f>
        <v>0</v>
      </c>
      <c r="AA353" s="318"/>
      <c r="AB353" s="318"/>
      <c r="AC353" s="318"/>
      <c r="AD353" s="319"/>
      <c r="AE353" s="464">
        <f>+T353*Z353</f>
        <v>0</v>
      </c>
      <c r="AF353" s="467"/>
      <c r="AG353" s="467"/>
      <c r="AH353" s="467"/>
      <c r="AI353" s="467"/>
      <c r="AJ353" s="467"/>
      <c r="AK353" s="467"/>
      <c r="AL353" s="468"/>
    </row>
    <row r="354" spans="1:48" s="165" customFormat="1" ht="15" customHeight="1">
      <c r="A354" s="166"/>
      <c r="B354" s="166"/>
      <c r="C354" s="167" t="s">
        <v>313</v>
      </c>
      <c r="D354" s="168"/>
      <c r="E354" s="168"/>
      <c r="F354" s="168"/>
      <c r="G354" s="168"/>
      <c r="H354" s="168"/>
      <c r="I354" s="168"/>
      <c r="J354" s="168"/>
      <c r="K354" s="168"/>
      <c r="L354" s="168"/>
      <c r="M354" s="168"/>
      <c r="N354" s="168"/>
      <c r="O354" s="168"/>
      <c r="P354" s="168"/>
      <c r="Q354" s="168"/>
      <c r="R354" s="168"/>
      <c r="S354" s="168"/>
      <c r="T354" s="192"/>
      <c r="U354" s="169"/>
      <c r="V354" s="169"/>
      <c r="W354" s="169"/>
      <c r="X354" s="169"/>
      <c r="Y354" s="169"/>
      <c r="Z354" s="169"/>
      <c r="AA354" s="169"/>
      <c r="AB354" s="169"/>
      <c r="AC354" s="169"/>
      <c r="AD354" s="169"/>
      <c r="AE354" s="469">
        <f>SUM(AE351:AL353)</f>
        <v>0</v>
      </c>
      <c r="AF354" s="469"/>
      <c r="AG354" s="469"/>
      <c r="AH354" s="469"/>
      <c r="AI354" s="469"/>
      <c r="AJ354" s="469"/>
      <c r="AK354" s="469"/>
      <c r="AL354" s="470"/>
    </row>
    <row r="355" spans="1:48" ht="23.25" customHeight="1">
      <c r="A355" s="325">
        <f>1+A327</f>
        <v>3</v>
      </c>
      <c r="B355" s="326"/>
      <c r="C355" s="91" t="s">
        <v>319</v>
      </c>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row>
    <row r="356" spans="1:48" ht="30" hidden="1" customHeight="1">
      <c r="A356" s="21"/>
      <c r="B356" s="21"/>
      <c r="C356" s="302" t="s">
        <v>330</v>
      </c>
      <c r="D356" s="303"/>
      <c r="E356" s="303"/>
      <c r="F356" s="303"/>
      <c r="G356" s="303"/>
      <c r="H356" s="303"/>
      <c r="I356" s="303"/>
      <c r="J356" s="303"/>
      <c r="K356" s="303"/>
      <c r="L356" s="303"/>
      <c r="M356" s="303"/>
      <c r="N356" s="303"/>
      <c r="O356" s="303"/>
      <c r="P356" s="303"/>
      <c r="Q356" s="303"/>
      <c r="R356" s="303"/>
      <c r="S356" s="303"/>
      <c r="T356" s="303"/>
      <c r="U356" s="304"/>
      <c r="V356" s="304"/>
      <c r="W356" s="304"/>
      <c r="X356" s="304"/>
      <c r="Y356" s="304"/>
      <c r="Z356" s="304"/>
      <c r="AA356" s="304"/>
      <c r="AB356" s="304"/>
      <c r="AC356" s="304"/>
      <c r="AD356" s="304"/>
      <c r="AE356" s="304"/>
      <c r="AF356" s="304"/>
      <c r="AG356" s="304"/>
      <c r="AH356" s="304"/>
      <c r="AI356" s="304"/>
      <c r="AJ356" s="304"/>
      <c r="AK356" s="304"/>
      <c r="AL356" s="304"/>
      <c r="AM356" s="304"/>
      <c r="AN356" s="304"/>
      <c r="AO356" s="304"/>
      <c r="AP356" s="304"/>
      <c r="AQ356" s="304"/>
      <c r="AR356" s="304"/>
      <c r="AS356" s="304"/>
      <c r="AT356" s="304"/>
      <c r="AU356" s="304"/>
      <c r="AV356" s="304"/>
    </row>
    <row r="357" spans="1:48" ht="5.25" customHeight="1">
      <c r="A357" s="21"/>
      <c r="B357" s="21"/>
      <c r="C357" s="149"/>
      <c r="D357" s="103"/>
      <c r="E357" s="103"/>
      <c r="F357" s="103"/>
      <c r="G357" s="103"/>
      <c r="H357" s="103"/>
      <c r="I357" s="103"/>
      <c r="J357" s="103"/>
      <c r="K357" s="103"/>
      <c r="L357" s="103"/>
      <c r="M357" s="103"/>
      <c r="N357" s="103"/>
      <c r="O357" s="103"/>
      <c r="P357" s="103"/>
      <c r="Q357" s="103"/>
      <c r="R357" s="103"/>
      <c r="S357" s="103"/>
      <c r="T357" s="103"/>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row>
    <row r="358" spans="1:48" s="31" customFormat="1" ht="39" customHeight="1">
      <c r="A358" s="162"/>
      <c r="B358" s="163"/>
      <c r="C358" s="305" t="s">
        <v>142</v>
      </c>
      <c r="D358" s="306"/>
      <c r="E358" s="306"/>
      <c r="F358" s="306"/>
      <c r="G358" s="306"/>
      <c r="H358" s="306"/>
      <c r="I358" s="306"/>
      <c r="J358" s="306"/>
      <c r="K358" s="306"/>
      <c r="L358" s="307" t="s">
        <v>320</v>
      </c>
      <c r="M358" s="307"/>
      <c r="N358" s="307"/>
      <c r="O358" s="307"/>
      <c r="P358" s="307"/>
      <c r="Q358" s="307"/>
      <c r="R358" s="307"/>
      <c r="S358" s="307" t="s">
        <v>321</v>
      </c>
      <c r="T358" s="307"/>
      <c r="U358" s="307"/>
      <c r="V358" s="307"/>
      <c r="W358" s="307"/>
      <c r="X358" s="307"/>
      <c r="Y358" s="307"/>
      <c r="Z358" s="308" t="s">
        <v>322</v>
      </c>
      <c r="AA358" s="309"/>
      <c r="AB358" s="309"/>
      <c r="AC358" s="309"/>
      <c r="AD358" s="309"/>
      <c r="AE358" s="309"/>
      <c r="AF358" s="310"/>
      <c r="AG358" s="308" t="s">
        <v>323</v>
      </c>
      <c r="AH358" s="309"/>
      <c r="AI358" s="309"/>
      <c r="AJ358" s="309"/>
      <c r="AK358" s="309"/>
      <c r="AL358" s="307" t="s">
        <v>324</v>
      </c>
      <c r="AM358" s="307"/>
      <c r="AN358" s="307"/>
      <c r="AO358" s="307"/>
      <c r="AP358" s="307"/>
      <c r="AQ358" s="307"/>
      <c r="AR358" s="307"/>
    </row>
    <row r="359" spans="1:48" s="31" customFormat="1" ht="13.5" customHeight="1">
      <c r="A359" s="162"/>
      <c r="B359" s="163"/>
      <c r="C359" s="291" t="str">
        <f>+C351</f>
        <v xml:space="preserve">Departamento N° </v>
      </c>
      <c r="D359" s="292"/>
      <c r="E359" s="292"/>
      <c r="F359" s="292"/>
      <c r="G359" s="292"/>
      <c r="H359" s="292"/>
      <c r="I359" s="292"/>
      <c r="J359" s="292"/>
      <c r="K359" s="293"/>
      <c r="L359" s="459">
        <f>+AF323</f>
        <v>0</v>
      </c>
      <c r="M359" s="459"/>
      <c r="N359" s="459"/>
      <c r="O359" s="459"/>
      <c r="P359" s="459"/>
      <c r="Q359" s="459"/>
      <c r="R359" s="459"/>
      <c r="S359" s="460">
        <f>+AQ333+AQ334+AQ339</f>
        <v>0</v>
      </c>
      <c r="T359" s="460"/>
      <c r="U359" s="460"/>
      <c r="V359" s="460"/>
      <c r="W359" s="460"/>
      <c r="X359" s="460"/>
      <c r="Y359" s="460"/>
      <c r="Z359" s="461">
        <f>+L359+S359</f>
        <v>0</v>
      </c>
      <c r="AA359" s="462"/>
      <c r="AB359" s="462"/>
      <c r="AC359" s="462"/>
      <c r="AD359" s="462"/>
      <c r="AE359" s="462"/>
      <c r="AF359" s="463"/>
      <c r="AG359" s="299">
        <f>+AG301</f>
        <v>0</v>
      </c>
      <c r="AH359" s="300"/>
      <c r="AI359" s="300"/>
      <c r="AJ359" s="300"/>
      <c r="AK359" s="300"/>
      <c r="AL359" s="459">
        <f>+Z359*AG359</f>
        <v>0</v>
      </c>
      <c r="AM359" s="459"/>
      <c r="AN359" s="459"/>
      <c r="AO359" s="459"/>
      <c r="AP359" s="459"/>
      <c r="AQ359" s="459"/>
      <c r="AR359" s="459"/>
    </row>
    <row r="360" spans="1:48" s="31" customFormat="1" ht="13.5" customHeight="1">
      <c r="A360" s="162"/>
      <c r="B360" s="163"/>
      <c r="C360" s="291" t="str">
        <f>+C352</f>
        <v xml:space="preserve">Estacionamiento N° </v>
      </c>
      <c r="D360" s="292"/>
      <c r="E360" s="292"/>
      <c r="F360" s="292"/>
      <c r="G360" s="292"/>
      <c r="H360" s="292"/>
      <c r="I360" s="292"/>
      <c r="J360" s="292"/>
      <c r="K360" s="293"/>
      <c r="L360" s="459">
        <f>+AF326</f>
        <v>0</v>
      </c>
      <c r="M360" s="459"/>
      <c r="N360" s="459"/>
      <c r="O360" s="459"/>
      <c r="P360" s="459"/>
      <c r="Q360" s="459"/>
      <c r="R360" s="459"/>
      <c r="S360" s="460">
        <f>+AQ335+AQ336</f>
        <v>0</v>
      </c>
      <c r="T360" s="460"/>
      <c r="U360" s="460"/>
      <c r="V360" s="460"/>
      <c r="W360" s="460"/>
      <c r="X360" s="460"/>
      <c r="Y360" s="460"/>
      <c r="Z360" s="461">
        <f>+L360+S360</f>
        <v>0</v>
      </c>
      <c r="AA360" s="462"/>
      <c r="AB360" s="462"/>
      <c r="AC360" s="462"/>
      <c r="AD360" s="462"/>
      <c r="AE360" s="462"/>
      <c r="AF360" s="463"/>
      <c r="AG360" s="299">
        <f>+AG302</f>
        <v>0</v>
      </c>
      <c r="AH360" s="300"/>
      <c r="AI360" s="300"/>
      <c r="AJ360" s="300"/>
      <c r="AK360" s="300"/>
      <c r="AL360" s="459">
        <f>+Z360*AG360</f>
        <v>0</v>
      </c>
      <c r="AM360" s="459"/>
      <c r="AN360" s="459"/>
      <c r="AO360" s="459"/>
      <c r="AP360" s="459"/>
      <c r="AQ360" s="459"/>
      <c r="AR360" s="459"/>
    </row>
    <row r="361" spans="1:48" s="31" customFormat="1" ht="13.5" customHeight="1">
      <c r="A361" s="162"/>
      <c r="B361" s="163"/>
      <c r="C361" s="291" t="str">
        <f>+C353</f>
        <v xml:space="preserve">Depósito N° </v>
      </c>
      <c r="D361" s="292"/>
      <c r="E361" s="292"/>
      <c r="F361" s="292"/>
      <c r="G361" s="292"/>
      <c r="H361" s="292"/>
      <c r="I361" s="292"/>
      <c r="J361" s="292"/>
      <c r="K361" s="293"/>
      <c r="L361" s="459">
        <f>+AF327</f>
        <v>0</v>
      </c>
      <c r="M361" s="459"/>
      <c r="N361" s="459"/>
      <c r="O361" s="459"/>
      <c r="P361" s="459"/>
      <c r="Q361" s="459"/>
      <c r="R361" s="459"/>
      <c r="S361" s="460">
        <f>+AQ337+AQ338</f>
        <v>0</v>
      </c>
      <c r="T361" s="460"/>
      <c r="U361" s="460"/>
      <c r="V361" s="460"/>
      <c r="W361" s="460"/>
      <c r="X361" s="460"/>
      <c r="Y361" s="460"/>
      <c r="Z361" s="461">
        <f>+L361+S361</f>
        <v>0</v>
      </c>
      <c r="AA361" s="462"/>
      <c r="AB361" s="462"/>
      <c r="AC361" s="462"/>
      <c r="AD361" s="462"/>
      <c r="AE361" s="462"/>
      <c r="AF361" s="463"/>
      <c r="AG361" s="299">
        <f>+AG303</f>
        <v>0</v>
      </c>
      <c r="AH361" s="300"/>
      <c r="AI361" s="300"/>
      <c r="AJ361" s="300"/>
      <c r="AK361" s="300"/>
      <c r="AL361" s="459">
        <f>+Z361*AG361</f>
        <v>0</v>
      </c>
      <c r="AM361" s="459"/>
      <c r="AN361" s="459"/>
      <c r="AO361" s="459"/>
      <c r="AP361" s="459"/>
      <c r="AQ361" s="459"/>
      <c r="AR361" s="459"/>
    </row>
    <row r="362" spans="1:48" s="31" customFormat="1" ht="18" customHeight="1" thickBot="1">
      <c r="A362" s="162"/>
      <c r="B362" s="163"/>
      <c r="C362" s="281"/>
      <c r="D362" s="282"/>
      <c r="E362" s="282"/>
      <c r="F362" s="282"/>
      <c r="G362" s="282"/>
      <c r="H362" s="282"/>
      <c r="I362" s="282"/>
      <c r="J362" s="282"/>
      <c r="K362" s="283"/>
      <c r="L362" s="455">
        <f>SUM(L359:R361)</f>
        <v>0</v>
      </c>
      <c r="M362" s="455"/>
      <c r="N362" s="455"/>
      <c r="O362" s="455"/>
      <c r="P362" s="455"/>
      <c r="Q362" s="455"/>
      <c r="R362" s="455"/>
      <c r="S362" s="455">
        <f>SUM(S359:Y361)</f>
        <v>0</v>
      </c>
      <c r="T362" s="455"/>
      <c r="U362" s="455"/>
      <c r="V362" s="455"/>
      <c r="W362" s="455"/>
      <c r="X362" s="455"/>
      <c r="Y362" s="455"/>
      <c r="Z362" s="456">
        <f>SUM(Z359:AF361)</f>
        <v>0</v>
      </c>
      <c r="AA362" s="457"/>
      <c r="AB362" s="457"/>
      <c r="AC362" s="457"/>
      <c r="AD362" s="457"/>
      <c r="AE362" s="457"/>
      <c r="AF362" s="458"/>
      <c r="AG362" s="288"/>
      <c r="AH362" s="289"/>
      <c r="AI362" s="289"/>
      <c r="AJ362" s="289"/>
      <c r="AK362" s="289"/>
      <c r="AL362" s="455">
        <f>SUM(AL359:AR361)</f>
        <v>0</v>
      </c>
      <c r="AM362" s="455"/>
      <c r="AN362" s="455"/>
      <c r="AO362" s="455"/>
      <c r="AP362" s="455"/>
      <c r="AQ362" s="455"/>
      <c r="AR362" s="455"/>
    </row>
    <row r="363" spans="1:48" s="165" customFormat="1" ht="16.5" customHeight="1">
      <c r="C363" s="193"/>
      <c r="D363" s="31"/>
      <c r="E363" s="31"/>
      <c r="F363" s="31"/>
      <c r="H363" s="172"/>
      <c r="I363" s="173"/>
      <c r="J363" s="174"/>
      <c r="K363" s="175"/>
      <c r="U363" s="31"/>
      <c r="V363" s="31"/>
      <c r="W363" s="31"/>
      <c r="X363" s="31"/>
      <c r="Y363" s="175"/>
      <c r="Z363" s="178"/>
      <c r="AA363" s="179"/>
      <c r="AB363" s="179"/>
      <c r="AC363" s="176"/>
      <c r="AK363" s="180"/>
      <c r="AL363" s="180"/>
      <c r="AM363" s="180"/>
      <c r="AN363" s="180"/>
      <c r="AO363" s="181"/>
      <c r="AP363" s="181"/>
      <c r="AQ363" s="181"/>
      <c r="AR363" s="181"/>
      <c r="AS363" s="181"/>
      <c r="AT363" s="181"/>
      <c r="AU363" s="181"/>
      <c r="AV363" s="181"/>
    </row>
    <row r="364" spans="1:48" s="165" customFormat="1" ht="15" customHeight="1">
      <c r="A364" s="453"/>
      <c r="B364" s="453"/>
      <c r="C364" s="454" t="s">
        <v>335</v>
      </c>
      <c r="D364" s="454"/>
      <c r="E364" s="454"/>
      <c r="F364" s="454"/>
      <c r="G364" s="454"/>
      <c r="H364" s="454"/>
      <c r="I364" s="454"/>
      <c r="J364" s="454"/>
      <c r="K364" s="454"/>
      <c r="L364" s="454"/>
      <c r="M364" s="454"/>
      <c r="N364" s="454"/>
      <c r="O364" s="454"/>
      <c r="P364" s="454"/>
      <c r="Q364" s="454"/>
      <c r="R364" s="454"/>
      <c r="S364" s="454"/>
      <c r="T364" s="454"/>
      <c r="U364" s="454"/>
      <c r="V364" s="454"/>
      <c r="W364" s="454"/>
      <c r="X364" s="454"/>
      <c r="Y364" s="454"/>
      <c r="Z364" s="454"/>
      <c r="AA364" s="454"/>
      <c r="AB364" s="454"/>
      <c r="AC364" s="454"/>
      <c r="AD364" s="454"/>
      <c r="AE364" s="454"/>
      <c r="AF364" s="454"/>
      <c r="AG364" s="454"/>
      <c r="AH364" s="454"/>
      <c r="AI364" s="454"/>
      <c r="AJ364" s="454"/>
      <c r="AK364" s="454"/>
      <c r="AL364" s="454"/>
      <c r="AM364" s="454"/>
      <c r="AN364" s="454"/>
      <c r="AO364" s="454"/>
      <c r="AP364" s="454"/>
      <c r="AQ364" s="454"/>
      <c r="AR364" s="454"/>
      <c r="AS364" s="454"/>
      <c r="AT364" s="454"/>
      <c r="AU364" s="454"/>
      <c r="AV364" s="454"/>
    </row>
    <row r="365" spans="1:48" ht="27" customHeight="1">
      <c r="A365" s="325" t="s">
        <v>174</v>
      </c>
      <c r="B365" s="326"/>
      <c r="C365" s="91" t="s">
        <v>287</v>
      </c>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row>
    <row r="366" spans="1:48" ht="3" customHeight="1">
      <c r="A366" s="21"/>
      <c r="B366" s="21"/>
      <c r="C366" s="21"/>
      <c r="D366" s="21"/>
      <c r="E366" s="21"/>
      <c r="F366" s="21"/>
      <c r="G366" s="21"/>
      <c r="H366" s="56"/>
      <c r="I366" s="21"/>
      <c r="J366" s="56"/>
      <c r="K366" s="21"/>
      <c r="L366" s="21"/>
      <c r="M366" s="21"/>
      <c r="N366" s="21"/>
      <c r="O366" s="21"/>
      <c r="P366" s="21"/>
      <c r="Q366" s="21"/>
      <c r="R366" s="21"/>
      <c r="S366" s="56"/>
      <c r="T366" s="21"/>
      <c r="U366" s="86"/>
      <c r="V366" s="87"/>
      <c r="W366" s="21"/>
      <c r="X366" s="21"/>
      <c r="Y366" s="21"/>
      <c r="Z366" s="21"/>
      <c r="AA366" s="21"/>
      <c r="AB366" s="160"/>
      <c r="AC366" s="161"/>
      <c r="AD366" s="161"/>
      <c r="AE366" s="161"/>
      <c r="AF366" s="161"/>
      <c r="AG366" s="21"/>
      <c r="AH366" s="21"/>
      <c r="AI366" s="21"/>
      <c r="AJ366" s="21"/>
      <c r="AK366" s="21"/>
      <c r="AL366" s="21"/>
      <c r="AM366" s="21"/>
      <c r="AN366" s="21"/>
      <c r="AO366" s="21"/>
      <c r="AP366" s="21"/>
      <c r="AQ366" s="21"/>
      <c r="AR366" s="21"/>
      <c r="AS366" s="21"/>
      <c r="AT366" s="21"/>
      <c r="AU366" s="21"/>
      <c r="AV366" s="21"/>
    </row>
    <row r="367" spans="1:48" s="31" customFormat="1" ht="25.5" customHeight="1">
      <c r="C367" s="347" t="s">
        <v>142</v>
      </c>
      <c r="D367" s="348"/>
      <c r="E367" s="348"/>
      <c r="F367" s="348"/>
      <c r="G367" s="348"/>
      <c r="H367" s="348"/>
      <c r="I367" s="348"/>
      <c r="J367" s="348"/>
      <c r="K367" s="348"/>
      <c r="L367" s="388" t="s">
        <v>288</v>
      </c>
      <c r="M367" s="388"/>
      <c r="N367" s="388"/>
      <c r="O367" s="388"/>
      <c r="P367" s="388"/>
      <c r="Q367" s="388"/>
      <c r="R367" s="388" t="s">
        <v>336</v>
      </c>
      <c r="S367" s="388"/>
      <c r="T367" s="388"/>
      <c r="U367" s="388"/>
      <c r="V367" s="388"/>
      <c r="W367" s="388"/>
      <c r="X367" s="388"/>
      <c r="Y367" s="388" t="s">
        <v>337</v>
      </c>
      <c r="Z367" s="388"/>
      <c r="AA367" s="388"/>
      <c r="AB367" s="388"/>
      <c r="AC367" s="388"/>
      <c r="AD367" s="388"/>
      <c r="AE367" s="388"/>
      <c r="AF367" s="388" t="s">
        <v>338</v>
      </c>
      <c r="AG367" s="388"/>
      <c r="AH367" s="388"/>
      <c r="AI367" s="388"/>
      <c r="AJ367" s="388"/>
      <c r="AK367" s="388"/>
      <c r="AL367" s="388"/>
    </row>
    <row r="368" spans="1:48" s="31" customFormat="1" ht="13.5">
      <c r="C368" s="389" t="str">
        <f>+C240</f>
        <v xml:space="preserve">Departamento N° </v>
      </c>
      <c r="D368" s="390"/>
      <c r="E368" s="390"/>
      <c r="F368" s="390"/>
      <c r="G368" s="390"/>
      <c r="H368" s="390"/>
      <c r="I368" s="390"/>
      <c r="J368" s="390"/>
      <c r="K368" s="390"/>
      <c r="L368" s="452">
        <f>+L240</f>
        <v>0</v>
      </c>
      <c r="M368" s="452"/>
      <c r="N368" s="452"/>
      <c r="O368" s="452"/>
      <c r="P368" s="452"/>
      <c r="Q368" s="452"/>
      <c r="R368" s="392">
        <f>+R240*$M$51</f>
        <v>0</v>
      </c>
      <c r="S368" s="392"/>
      <c r="T368" s="392"/>
      <c r="U368" s="392"/>
      <c r="V368" s="392"/>
      <c r="W368" s="392"/>
      <c r="X368" s="392"/>
      <c r="Y368" s="392">
        <f>+R368*L368</f>
        <v>0</v>
      </c>
      <c r="Z368" s="392"/>
      <c r="AA368" s="392"/>
      <c r="AB368" s="392"/>
      <c r="AC368" s="392"/>
      <c r="AD368" s="392"/>
      <c r="AE368" s="392"/>
      <c r="AF368" s="392">
        <f>+Y368</f>
        <v>0</v>
      </c>
      <c r="AG368" s="392"/>
      <c r="AH368" s="392"/>
      <c r="AI368" s="392"/>
      <c r="AJ368" s="392"/>
      <c r="AK368" s="392"/>
      <c r="AL368" s="392"/>
    </row>
    <row r="369" spans="1:48" s="31" customFormat="1">
      <c r="C369" s="450" t="str">
        <f>+C241</f>
        <v xml:space="preserve">Estacionamiento N° </v>
      </c>
      <c r="D369" s="451"/>
      <c r="E369" s="451"/>
      <c r="F369" s="451"/>
      <c r="G369" s="451"/>
      <c r="H369" s="451"/>
      <c r="I369" s="451"/>
      <c r="J369" s="451"/>
      <c r="K369" s="451"/>
      <c r="L369" s="452">
        <f>+L241</f>
        <v>0</v>
      </c>
      <c r="M369" s="452"/>
      <c r="N369" s="452"/>
      <c r="O369" s="452"/>
      <c r="P369" s="452"/>
      <c r="Q369" s="452"/>
      <c r="R369" s="392">
        <f>+R241*$M$51</f>
        <v>0</v>
      </c>
      <c r="S369" s="392"/>
      <c r="T369" s="392"/>
      <c r="U369" s="392"/>
      <c r="V369" s="392"/>
      <c r="W369" s="392"/>
      <c r="X369" s="392"/>
      <c r="Y369" s="392">
        <f>+R369*L369</f>
        <v>0</v>
      </c>
      <c r="Z369" s="392"/>
      <c r="AA369" s="392"/>
      <c r="AB369" s="392"/>
      <c r="AC369" s="392"/>
      <c r="AD369" s="392"/>
      <c r="AE369" s="392"/>
      <c r="AF369" s="392">
        <f>+Y369</f>
        <v>0</v>
      </c>
      <c r="AG369" s="392"/>
      <c r="AH369" s="392"/>
      <c r="AI369" s="392"/>
      <c r="AJ369" s="392"/>
      <c r="AK369" s="392"/>
      <c r="AL369" s="392"/>
      <c r="AM369" s="112"/>
    </row>
    <row r="370" spans="1:48" s="31" customFormat="1">
      <c r="C370" s="450" t="str">
        <f>+C242</f>
        <v xml:space="preserve">Depósito N° </v>
      </c>
      <c r="D370" s="451"/>
      <c r="E370" s="451"/>
      <c r="F370" s="451"/>
      <c r="G370" s="451"/>
      <c r="H370" s="451"/>
      <c r="I370" s="451"/>
      <c r="J370" s="451"/>
      <c r="K370" s="451"/>
      <c r="L370" s="452">
        <f>+L242</f>
        <v>0</v>
      </c>
      <c r="M370" s="452"/>
      <c r="N370" s="452"/>
      <c r="O370" s="452"/>
      <c r="P370" s="452"/>
      <c r="Q370" s="452"/>
      <c r="R370" s="392">
        <f>+R242*$M$51</f>
        <v>0</v>
      </c>
      <c r="S370" s="392"/>
      <c r="T370" s="392"/>
      <c r="U370" s="392"/>
      <c r="V370" s="392"/>
      <c r="W370" s="392"/>
      <c r="X370" s="392"/>
      <c r="Y370" s="392">
        <f>+R370*L370</f>
        <v>0</v>
      </c>
      <c r="Z370" s="392"/>
      <c r="AA370" s="392"/>
      <c r="AB370" s="392"/>
      <c r="AC370" s="392"/>
      <c r="AD370" s="392"/>
      <c r="AE370" s="392"/>
      <c r="AF370" s="392">
        <f>+Y370</f>
        <v>0</v>
      </c>
      <c r="AG370" s="392"/>
      <c r="AH370" s="392"/>
      <c r="AI370" s="392"/>
      <c r="AJ370" s="392"/>
      <c r="AK370" s="392"/>
      <c r="AL370" s="392"/>
      <c r="AM370" s="112"/>
    </row>
    <row r="371" spans="1:48" s="31" customFormat="1" ht="19.5" customHeight="1" thickBot="1">
      <c r="C371" s="393" t="s">
        <v>151</v>
      </c>
      <c r="D371" s="394"/>
      <c r="E371" s="394"/>
      <c r="F371" s="394"/>
      <c r="G371" s="394"/>
      <c r="H371" s="394"/>
      <c r="I371" s="394"/>
      <c r="J371" s="394"/>
      <c r="K371" s="394"/>
      <c r="L371" s="442">
        <f>SUM(L368:Q369)</f>
        <v>0</v>
      </c>
      <c r="M371" s="442"/>
      <c r="N371" s="442"/>
      <c r="O371" s="442"/>
      <c r="P371" s="442"/>
      <c r="Q371" s="442"/>
      <c r="R371" s="359"/>
      <c r="S371" s="359"/>
      <c r="T371" s="359"/>
      <c r="U371" s="359"/>
      <c r="V371" s="359"/>
      <c r="W371" s="359"/>
      <c r="X371" s="359"/>
      <c r="Y371" s="359">
        <f>SUM(Y368:AE370)</f>
        <v>0</v>
      </c>
      <c r="Z371" s="359"/>
      <c r="AA371" s="359"/>
      <c r="AB371" s="359"/>
      <c r="AC371" s="359"/>
      <c r="AD371" s="359"/>
      <c r="AE371" s="359"/>
      <c r="AF371" s="359">
        <f>SUM(AF368:AL370)</f>
        <v>0</v>
      </c>
      <c r="AG371" s="359"/>
      <c r="AH371" s="359"/>
      <c r="AI371" s="359"/>
      <c r="AJ371" s="359"/>
      <c r="AK371" s="359"/>
      <c r="AL371" s="359"/>
      <c r="AM371" s="112"/>
    </row>
    <row r="372" spans="1:48" ht="27" customHeight="1">
      <c r="A372" s="325" t="s">
        <v>339</v>
      </c>
      <c r="B372" s="326"/>
      <c r="C372" s="91" t="s">
        <v>292</v>
      </c>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row>
    <row r="373" spans="1:48" ht="6" customHeight="1">
      <c r="A373" s="21"/>
      <c r="B373" s="21"/>
      <c r="C373" s="149"/>
      <c r="D373" s="103"/>
      <c r="E373" s="103"/>
      <c r="F373" s="103"/>
      <c r="G373" s="103"/>
      <c r="H373" s="103"/>
      <c r="I373" s="103"/>
      <c r="J373" s="103"/>
      <c r="K373" s="103"/>
      <c r="L373" s="103"/>
      <c r="M373" s="103"/>
      <c r="N373" s="103"/>
      <c r="O373" s="103"/>
      <c r="P373" s="103"/>
      <c r="Q373" s="103"/>
      <c r="R373" s="103"/>
      <c r="S373" s="103"/>
      <c r="T373" s="103"/>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row>
    <row r="374" spans="1:48" s="31" customFormat="1" ht="39" customHeight="1">
      <c r="A374" s="162"/>
      <c r="B374" s="163"/>
      <c r="C374" s="347" t="s">
        <v>142</v>
      </c>
      <c r="D374" s="348"/>
      <c r="E374" s="348"/>
      <c r="F374" s="348"/>
      <c r="G374" s="348"/>
      <c r="H374" s="348"/>
      <c r="I374" s="348"/>
      <c r="J374" s="348"/>
      <c r="K374" s="348"/>
      <c r="L374" s="388" t="s">
        <v>293</v>
      </c>
      <c r="M374" s="388"/>
      <c r="N374" s="388"/>
      <c r="O374" s="388"/>
      <c r="P374" s="388" t="s">
        <v>294</v>
      </c>
      <c r="Q374" s="388"/>
      <c r="R374" s="388"/>
      <c r="S374" s="388"/>
      <c r="T374" s="347" t="s">
        <v>340</v>
      </c>
      <c r="U374" s="348"/>
      <c r="V374" s="348"/>
      <c r="W374" s="348"/>
      <c r="X374" s="349"/>
      <c r="Y374" s="347" t="s">
        <v>341</v>
      </c>
      <c r="Z374" s="348"/>
      <c r="AA374" s="348"/>
      <c r="AB374" s="348"/>
      <c r="AC374" s="349"/>
      <c r="AD374" s="347" t="s">
        <v>342</v>
      </c>
      <c r="AE374" s="348"/>
      <c r="AF374" s="348"/>
      <c r="AG374" s="348"/>
      <c r="AH374" s="349"/>
      <c r="AI374" s="347" t="s">
        <v>343</v>
      </c>
      <c r="AJ374" s="348"/>
      <c r="AK374" s="348"/>
      <c r="AL374" s="348"/>
      <c r="AM374" s="349"/>
      <c r="AN374" s="347" t="s">
        <v>299</v>
      </c>
      <c r="AO374" s="348"/>
      <c r="AP374" s="349"/>
      <c r="AQ374" s="347" t="s">
        <v>344</v>
      </c>
      <c r="AR374" s="348"/>
      <c r="AS374" s="348"/>
      <c r="AT374" s="348"/>
      <c r="AU374" s="349"/>
    </row>
    <row r="375" spans="1:48" s="31" customFormat="1" ht="14.25" customHeight="1">
      <c r="A375" s="162"/>
      <c r="B375" s="163"/>
      <c r="C375" s="446" t="str">
        <f>+C368</f>
        <v xml:space="preserve">Departamento N° </v>
      </c>
      <c r="D375" s="412"/>
      <c r="E375" s="412"/>
      <c r="F375" s="412"/>
      <c r="G375" s="412"/>
      <c r="H375" s="412"/>
      <c r="I375" s="412"/>
      <c r="J375" s="412"/>
      <c r="K375" s="413"/>
      <c r="L375" s="375">
        <f>+L247</f>
        <v>0</v>
      </c>
      <c r="M375" s="375"/>
      <c r="N375" s="375"/>
      <c r="O375" s="375"/>
      <c r="P375" s="375"/>
      <c r="Q375" s="375"/>
      <c r="R375" s="375"/>
      <c r="S375" s="375"/>
      <c r="T375" s="447">
        <f t="shared" ref="T375:T380" si="6">+T247*$M$51</f>
        <v>0</v>
      </c>
      <c r="U375" s="448"/>
      <c r="V375" s="448"/>
      <c r="W375" s="448"/>
      <c r="X375" s="449"/>
      <c r="Y375" s="447">
        <f>+L375*T375</f>
        <v>0</v>
      </c>
      <c r="Z375" s="448"/>
      <c r="AA375" s="448"/>
      <c r="AB375" s="448"/>
      <c r="AC375" s="449"/>
      <c r="AD375" s="439">
        <f t="shared" ref="AD375:AD380" si="7">+Y375*0.15</f>
        <v>0</v>
      </c>
      <c r="AE375" s="440"/>
      <c r="AF375" s="440"/>
      <c r="AG375" s="440"/>
      <c r="AH375" s="441"/>
      <c r="AI375" s="439">
        <f>+AE392</f>
        <v>0</v>
      </c>
      <c r="AJ375" s="440"/>
      <c r="AK375" s="440"/>
      <c r="AL375" s="440"/>
      <c r="AM375" s="441"/>
      <c r="AN375" s="350">
        <f t="shared" ref="AN375:AN380" si="8">+AN247</f>
        <v>0</v>
      </c>
      <c r="AO375" s="351"/>
      <c r="AP375" s="352"/>
      <c r="AQ375" s="439">
        <f t="shared" ref="AQ375:AQ380" si="9">(AI375+AD375+Y375)*(1-AN375)</f>
        <v>0</v>
      </c>
      <c r="AR375" s="440"/>
      <c r="AS375" s="440"/>
      <c r="AT375" s="440"/>
      <c r="AU375" s="441"/>
    </row>
    <row r="376" spans="1:48" s="31" customFormat="1" ht="14.25" customHeight="1">
      <c r="A376" s="162"/>
      <c r="B376" s="163"/>
      <c r="C376" s="446" t="str">
        <f>+C248</f>
        <v xml:space="preserve"> - Área sin techar</v>
      </c>
      <c r="D376" s="412"/>
      <c r="E376" s="412"/>
      <c r="F376" s="412"/>
      <c r="G376" s="412"/>
      <c r="H376" s="412"/>
      <c r="I376" s="412"/>
      <c r="J376" s="412"/>
      <c r="K376" s="413"/>
      <c r="L376" s="375"/>
      <c r="M376" s="375"/>
      <c r="N376" s="375"/>
      <c r="O376" s="375"/>
      <c r="P376" s="375">
        <f>+P248</f>
        <v>0</v>
      </c>
      <c r="Q376" s="375"/>
      <c r="R376" s="375"/>
      <c r="S376" s="375"/>
      <c r="T376" s="447">
        <f t="shared" si="6"/>
        <v>0</v>
      </c>
      <c r="U376" s="448"/>
      <c r="V376" s="448"/>
      <c r="W376" s="448"/>
      <c r="X376" s="449"/>
      <c r="Y376" s="447">
        <f>+P376*T376</f>
        <v>0</v>
      </c>
      <c r="Z376" s="448"/>
      <c r="AA376" s="448"/>
      <c r="AB376" s="448"/>
      <c r="AC376" s="449"/>
      <c r="AD376" s="439">
        <f t="shared" si="7"/>
        <v>0</v>
      </c>
      <c r="AE376" s="440"/>
      <c r="AF376" s="440"/>
      <c r="AG376" s="440"/>
      <c r="AH376" s="441"/>
      <c r="AI376" s="439"/>
      <c r="AJ376" s="440"/>
      <c r="AK376" s="440"/>
      <c r="AL376" s="440"/>
      <c r="AM376" s="441"/>
      <c r="AN376" s="350">
        <f t="shared" si="8"/>
        <v>0</v>
      </c>
      <c r="AO376" s="351"/>
      <c r="AP376" s="352"/>
      <c r="AQ376" s="439">
        <f t="shared" si="9"/>
        <v>0</v>
      </c>
      <c r="AR376" s="440"/>
      <c r="AS376" s="440"/>
      <c r="AT376" s="440"/>
      <c r="AU376" s="441"/>
    </row>
    <row r="377" spans="1:48" s="31" customFormat="1" ht="15.75" customHeight="1">
      <c r="A377" s="162"/>
      <c r="B377" s="163"/>
      <c r="C377" s="402" t="str">
        <f>+C249</f>
        <v xml:space="preserve">Estacionamiento N° </v>
      </c>
      <c r="D377" s="403"/>
      <c r="E377" s="403"/>
      <c r="F377" s="403"/>
      <c r="G377" s="403"/>
      <c r="H377" s="403"/>
      <c r="I377" s="403"/>
      <c r="J377" s="403"/>
      <c r="K377" s="403"/>
      <c r="L377" s="375">
        <f>+L249</f>
        <v>0</v>
      </c>
      <c r="M377" s="375"/>
      <c r="N377" s="375"/>
      <c r="O377" s="375"/>
      <c r="P377" s="375"/>
      <c r="Q377" s="375"/>
      <c r="R377" s="375"/>
      <c r="S377" s="375"/>
      <c r="T377" s="447">
        <f t="shared" si="6"/>
        <v>0</v>
      </c>
      <c r="U377" s="448"/>
      <c r="V377" s="448"/>
      <c r="W377" s="448"/>
      <c r="X377" s="449"/>
      <c r="Y377" s="447">
        <f>+L377*T377</f>
        <v>0</v>
      </c>
      <c r="Z377" s="448"/>
      <c r="AA377" s="448"/>
      <c r="AB377" s="448"/>
      <c r="AC377" s="449"/>
      <c r="AD377" s="439">
        <f t="shared" si="7"/>
        <v>0</v>
      </c>
      <c r="AE377" s="440"/>
      <c r="AF377" s="440"/>
      <c r="AG377" s="440"/>
      <c r="AH377" s="441"/>
      <c r="AI377" s="439">
        <f>+AE393</f>
        <v>0</v>
      </c>
      <c r="AJ377" s="440"/>
      <c r="AK377" s="440"/>
      <c r="AL377" s="440"/>
      <c r="AM377" s="441"/>
      <c r="AN377" s="350">
        <f t="shared" si="8"/>
        <v>0</v>
      </c>
      <c r="AO377" s="351"/>
      <c r="AP377" s="352"/>
      <c r="AQ377" s="439">
        <f t="shared" si="9"/>
        <v>0</v>
      </c>
      <c r="AR377" s="440"/>
      <c r="AS377" s="440"/>
      <c r="AT377" s="440"/>
      <c r="AU377" s="441"/>
    </row>
    <row r="378" spans="1:48" s="31" customFormat="1" ht="14.25" customHeight="1">
      <c r="A378" s="162"/>
      <c r="B378" s="163"/>
      <c r="C378" s="446" t="str">
        <f>+C250</f>
        <v xml:space="preserve"> - Área sin techar</v>
      </c>
      <c r="D378" s="412"/>
      <c r="E378" s="412"/>
      <c r="F378" s="412"/>
      <c r="G378" s="412"/>
      <c r="H378" s="412"/>
      <c r="I378" s="412"/>
      <c r="J378" s="412"/>
      <c r="K378" s="413"/>
      <c r="L378" s="375"/>
      <c r="M378" s="375"/>
      <c r="N378" s="375"/>
      <c r="O378" s="375"/>
      <c r="P378" s="375">
        <f>+P250</f>
        <v>0</v>
      </c>
      <c r="Q378" s="375"/>
      <c r="R378" s="375"/>
      <c r="S378" s="375"/>
      <c r="T378" s="447">
        <f t="shared" si="6"/>
        <v>0</v>
      </c>
      <c r="U378" s="448"/>
      <c r="V378" s="448"/>
      <c r="W378" s="448"/>
      <c r="X378" s="449"/>
      <c r="Y378" s="447">
        <f>+P378*T378</f>
        <v>0</v>
      </c>
      <c r="Z378" s="448"/>
      <c r="AA378" s="448"/>
      <c r="AB378" s="448"/>
      <c r="AC378" s="449"/>
      <c r="AD378" s="439">
        <f t="shared" si="7"/>
        <v>0</v>
      </c>
      <c r="AE378" s="440"/>
      <c r="AF378" s="440"/>
      <c r="AG378" s="440"/>
      <c r="AH378" s="441"/>
      <c r="AI378" s="439"/>
      <c r="AJ378" s="440"/>
      <c r="AK378" s="440"/>
      <c r="AL378" s="440"/>
      <c r="AM378" s="441"/>
      <c r="AN378" s="350">
        <f t="shared" si="8"/>
        <v>0</v>
      </c>
      <c r="AO378" s="351"/>
      <c r="AP378" s="352"/>
      <c r="AQ378" s="439">
        <f t="shared" si="9"/>
        <v>0</v>
      </c>
      <c r="AR378" s="440"/>
      <c r="AS378" s="440"/>
      <c r="AT378" s="440"/>
      <c r="AU378" s="441"/>
    </row>
    <row r="379" spans="1:48" s="31" customFormat="1" ht="15.75" customHeight="1">
      <c r="A379" s="162"/>
      <c r="B379" s="163"/>
      <c r="C379" s="402" t="str">
        <f>+C251</f>
        <v xml:space="preserve">Depósito N° </v>
      </c>
      <c r="D379" s="403"/>
      <c r="E379" s="403"/>
      <c r="F379" s="403"/>
      <c r="G379" s="403"/>
      <c r="H379" s="403"/>
      <c r="I379" s="403"/>
      <c r="J379" s="403"/>
      <c r="K379" s="403"/>
      <c r="L379" s="375">
        <f>+L251</f>
        <v>0</v>
      </c>
      <c r="M379" s="375"/>
      <c r="N379" s="375"/>
      <c r="O379" s="375"/>
      <c r="P379" s="375"/>
      <c r="Q379" s="375"/>
      <c r="R379" s="375"/>
      <c r="S379" s="375"/>
      <c r="T379" s="447">
        <f t="shared" si="6"/>
        <v>0</v>
      </c>
      <c r="U379" s="448"/>
      <c r="V379" s="448"/>
      <c r="W379" s="448"/>
      <c r="X379" s="449"/>
      <c r="Y379" s="447">
        <f>+L379*T379</f>
        <v>0</v>
      </c>
      <c r="Z379" s="448"/>
      <c r="AA379" s="448"/>
      <c r="AB379" s="448"/>
      <c r="AC379" s="449"/>
      <c r="AD379" s="439">
        <f t="shared" si="7"/>
        <v>0</v>
      </c>
      <c r="AE379" s="440"/>
      <c r="AF379" s="440"/>
      <c r="AG379" s="440"/>
      <c r="AH379" s="441"/>
      <c r="AI379" s="439">
        <f>+AE394</f>
        <v>0</v>
      </c>
      <c r="AJ379" s="440"/>
      <c r="AK379" s="440"/>
      <c r="AL379" s="440"/>
      <c r="AM379" s="441"/>
      <c r="AN379" s="350">
        <f t="shared" si="8"/>
        <v>0</v>
      </c>
      <c r="AO379" s="351"/>
      <c r="AP379" s="352"/>
      <c r="AQ379" s="439">
        <f t="shared" si="9"/>
        <v>0</v>
      </c>
      <c r="AR379" s="440"/>
      <c r="AS379" s="440"/>
      <c r="AT379" s="440"/>
      <c r="AU379" s="441"/>
    </row>
    <row r="380" spans="1:48" s="31" customFormat="1" ht="14.25" customHeight="1">
      <c r="A380" s="162"/>
      <c r="B380" s="163"/>
      <c r="C380" s="446" t="str">
        <f>+C252</f>
        <v xml:space="preserve"> - Área sin techar</v>
      </c>
      <c r="D380" s="412"/>
      <c r="E380" s="412"/>
      <c r="F380" s="412"/>
      <c r="G380" s="412"/>
      <c r="H380" s="412"/>
      <c r="I380" s="412"/>
      <c r="J380" s="412"/>
      <c r="K380" s="413"/>
      <c r="L380" s="375"/>
      <c r="M380" s="375"/>
      <c r="N380" s="375"/>
      <c r="O380" s="375"/>
      <c r="P380" s="375">
        <f>+P252</f>
        <v>0</v>
      </c>
      <c r="Q380" s="375"/>
      <c r="R380" s="375"/>
      <c r="S380" s="375"/>
      <c r="T380" s="447">
        <f t="shared" si="6"/>
        <v>0</v>
      </c>
      <c r="U380" s="448"/>
      <c r="V380" s="448"/>
      <c r="W380" s="448"/>
      <c r="X380" s="449"/>
      <c r="Y380" s="447">
        <f>+P380*T380</f>
        <v>0</v>
      </c>
      <c r="Z380" s="448"/>
      <c r="AA380" s="448"/>
      <c r="AB380" s="448"/>
      <c r="AC380" s="449"/>
      <c r="AD380" s="439">
        <f t="shared" si="7"/>
        <v>0</v>
      </c>
      <c r="AE380" s="440"/>
      <c r="AF380" s="440"/>
      <c r="AG380" s="440"/>
      <c r="AH380" s="441"/>
      <c r="AI380" s="439"/>
      <c r="AJ380" s="440"/>
      <c r="AK380" s="440"/>
      <c r="AL380" s="440"/>
      <c r="AM380" s="441"/>
      <c r="AN380" s="350">
        <f t="shared" si="8"/>
        <v>0</v>
      </c>
      <c r="AO380" s="351"/>
      <c r="AP380" s="352"/>
      <c r="AQ380" s="439">
        <f t="shared" si="9"/>
        <v>0</v>
      </c>
      <c r="AR380" s="440"/>
      <c r="AS380" s="440"/>
      <c r="AT380" s="440"/>
      <c r="AU380" s="441"/>
    </row>
    <row r="381" spans="1:48" s="31" customFormat="1" ht="18.75" customHeight="1" thickBot="1">
      <c r="A381" s="162"/>
      <c r="B381" s="163"/>
      <c r="C381" s="281"/>
      <c r="D381" s="282"/>
      <c r="E381" s="282"/>
      <c r="F381" s="282"/>
      <c r="G381" s="282"/>
      <c r="H381" s="282"/>
      <c r="I381" s="282"/>
      <c r="J381" s="282"/>
      <c r="K381" s="283"/>
      <c r="L381" s="442">
        <f>SUM(L375:O380)</f>
        <v>0</v>
      </c>
      <c r="M381" s="443"/>
      <c r="N381" s="443"/>
      <c r="O381" s="443"/>
      <c r="P381" s="442"/>
      <c r="Q381" s="443"/>
      <c r="R381" s="443"/>
      <c r="S381" s="444"/>
      <c r="T381" s="445"/>
      <c r="U381" s="445"/>
      <c r="V381" s="445"/>
      <c r="W381" s="445"/>
      <c r="X381" s="445"/>
      <c r="Y381" s="445"/>
      <c r="Z381" s="445"/>
      <c r="AA381" s="445"/>
      <c r="AB381" s="445"/>
      <c r="AC381" s="445"/>
      <c r="AD381" s="436">
        <f>SUM(AD375:AH380)</f>
        <v>0</v>
      </c>
      <c r="AE381" s="437"/>
      <c r="AF381" s="437"/>
      <c r="AG381" s="437"/>
      <c r="AH381" s="437"/>
      <c r="AI381" s="436">
        <f>SUM(AI375:AM380)</f>
        <v>0</v>
      </c>
      <c r="AJ381" s="437"/>
      <c r="AK381" s="437"/>
      <c r="AL381" s="437"/>
      <c r="AM381" s="437"/>
      <c r="AN381" s="436"/>
      <c r="AO381" s="437"/>
      <c r="AP381" s="437"/>
      <c r="AQ381" s="436">
        <f>SUM(AQ375:AU380)</f>
        <v>0</v>
      </c>
      <c r="AR381" s="437"/>
      <c r="AS381" s="437"/>
      <c r="AT381" s="437"/>
      <c r="AU381" s="438"/>
    </row>
    <row r="382" spans="1:48" ht="6" customHeight="1">
      <c r="A382" s="21"/>
      <c r="B382" s="21"/>
      <c r="C382" s="142"/>
      <c r="D382" s="21"/>
      <c r="E382" s="21"/>
      <c r="F382" s="21"/>
      <c r="G382" s="21"/>
      <c r="H382" s="142"/>
      <c r="J382" s="164"/>
      <c r="K382" s="21"/>
      <c r="L382" s="21"/>
      <c r="M382" s="21"/>
      <c r="N382" s="21"/>
      <c r="O382" s="21"/>
      <c r="P382" s="21"/>
      <c r="Q382" s="21"/>
      <c r="R382" s="21"/>
      <c r="S382" s="21"/>
      <c r="T382" s="21"/>
      <c r="U382" s="21"/>
      <c r="V382" s="21"/>
      <c r="W382" s="21" t="s">
        <v>302</v>
      </c>
      <c r="X382" s="21"/>
      <c r="Y382" s="21"/>
      <c r="Z382" s="21"/>
      <c r="AA382" s="21"/>
      <c r="AB382" s="21"/>
      <c r="AC382" s="21"/>
      <c r="AD382" s="21"/>
      <c r="AE382" s="21"/>
      <c r="AF382" s="21"/>
      <c r="AG382" s="21"/>
      <c r="AH382" s="21"/>
      <c r="AI382" s="21"/>
      <c r="AJ382" s="21"/>
      <c r="AK382" s="21"/>
      <c r="AL382" s="21"/>
      <c r="AM382" s="21"/>
      <c r="AN382" s="21"/>
      <c r="AO382" s="21"/>
      <c r="AP382" s="21"/>
      <c r="AR382" s="21"/>
      <c r="AV382" s="21"/>
    </row>
    <row r="383" spans="1:48" s="165" customFormat="1" ht="24.75" customHeight="1">
      <c r="A383" s="325" t="s">
        <v>345</v>
      </c>
      <c r="B383" s="346"/>
      <c r="C383" s="91" t="s">
        <v>303</v>
      </c>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row>
    <row r="384" spans="1:48" s="165" customFormat="1" ht="3" customHeight="1">
      <c r="A384" s="94"/>
      <c r="B384" s="95"/>
      <c r="C384" s="9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row>
    <row r="385" spans="1:48" s="165" customFormat="1" ht="27.75" customHeight="1">
      <c r="A385" s="72"/>
      <c r="B385" s="72"/>
      <c r="C385" s="331" t="s">
        <v>304</v>
      </c>
      <c r="D385" s="332"/>
      <c r="E385" s="332"/>
      <c r="F385" s="332"/>
      <c r="G385" s="332"/>
      <c r="H385" s="332"/>
      <c r="I385" s="332"/>
      <c r="J385" s="332"/>
      <c r="K385" s="332"/>
      <c r="L385" s="332"/>
      <c r="M385" s="332"/>
      <c r="N385" s="332"/>
      <c r="O385" s="332"/>
      <c r="P385" s="332"/>
      <c r="Q385" s="332"/>
      <c r="R385" s="332"/>
      <c r="S385" s="333"/>
      <c r="T385" s="334" t="s">
        <v>305</v>
      </c>
      <c r="U385" s="332"/>
      <c r="V385" s="332"/>
      <c r="W385" s="332"/>
      <c r="X385" s="332"/>
      <c r="Y385" s="333"/>
      <c r="Z385" s="334" t="s">
        <v>346</v>
      </c>
      <c r="AA385" s="332"/>
      <c r="AB385" s="332"/>
      <c r="AC385" s="332"/>
      <c r="AD385" s="332"/>
      <c r="AE385" s="347" t="s">
        <v>347</v>
      </c>
      <c r="AF385" s="348"/>
      <c r="AG385" s="348"/>
      <c r="AH385" s="348"/>
      <c r="AI385" s="348"/>
      <c r="AJ385" s="348"/>
      <c r="AK385" s="348"/>
      <c r="AL385" s="349"/>
    </row>
    <row r="386" spans="1:48" s="165" customFormat="1" ht="15" customHeight="1">
      <c r="A386" s="71"/>
      <c r="B386" s="71"/>
      <c r="C386" s="434">
        <f>+C258</f>
        <v>0</v>
      </c>
      <c r="D386" s="435"/>
      <c r="E386" s="435"/>
      <c r="F386" s="435"/>
      <c r="G386" s="435"/>
      <c r="H386" s="435"/>
      <c r="I386" s="435"/>
      <c r="J386" s="435"/>
      <c r="K386" s="435"/>
      <c r="L386" s="435"/>
      <c r="M386" s="435"/>
      <c r="N386" s="435"/>
      <c r="O386" s="435"/>
      <c r="P386" s="435"/>
      <c r="Q386" s="435"/>
      <c r="R386" s="435"/>
      <c r="S386" s="435"/>
      <c r="T386" s="337">
        <f>+T258</f>
        <v>0</v>
      </c>
      <c r="U386" s="424"/>
      <c r="V386" s="424"/>
      <c r="W386" s="424"/>
      <c r="X386" s="339" t="str">
        <f>+X258</f>
        <v>Und</v>
      </c>
      <c r="Y386" s="340"/>
      <c r="Z386" s="425">
        <f>+Z258*$M$51</f>
        <v>0</v>
      </c>
      <c r="AA386" s="426"/>
      <c r="AB386" s="426"/>
      <c r="AC386" s="426"/>
      <c r="AD386" s="426"/>
      <c r="AE386" s="427">
        <f>+T386*Z386</f>
        <v>0</v>
      </c>
      <c r="AF386" s="428"/>
      <c r="AG386" s="428"/>
      <c r="AH386" s="428"/>
      <c r="AI386" s="428"/>
      <c r="AJ386" s="428"/>
      <c r="AK386" s="428"/>
      <c r="AL386" s="429"/>
    </row>
    <row r="387" spans="1:48" s="165" customFormat="1" ht="15" customHeight="1">
      <c r="A387" s="71"/>
      <c r="B387" s="71"/>
      <c r="C387" s="311">
        <f>+C259</f>
        <v>0</v>
      </c>
      <c r="D387" s="312"/>
      <c r="E387" s="312"/>
      <c r="F387" s="312"/>
      <c r="G387" s="312"/>
      <c r="H387" s="312"/>
      <c r="I387" s="312"/>
      <c r="J387" s="312"/>
      <c r="K387" s="312"/>
      <c r="L387" s="312"/>
      <c r="M387" s="312"/>
      <c r="N387" s="312"/>
      <c r="O387" s="312"/>
      <c r="P387" s="312"/>
      <c r="Q387" s="312"/>
      <c r="R387" s="312"/>
      <c r="S387" s="312"/>
      <c r="T387" s="337">
        <f>+T259</f>
        <v>0</v>
      </c>
      <c r="U387" s="424"/>
      <c r="V387" s="424"/>
      <c r="W387" s="424"/>
      <c r="X387" s="339" t="str">
        <f>+X259</f>
        <v>m3</v>
      </c>
      <c r="Y387" s="340"/>
      <c r="Z387" s="425">
        <f>+Z259*$M$51</f>
        <v>0</v>
      </c>
      <c r="AA387" s="426"/>
      <c r="AB387" s="426"/>
      <c r="AC387" s="426"/>
      <c r="AD387" s="426"/>
      <c r="AE387" s="427">
        <f>+T387*Z387</f>
        <v>0</v>
      </c>
      <c r="AF387" s="428"/>
      <c r="AG387" s="428"/>
      <c r="AH387" s="428"/>
      <c r="AI387" s="428"/>
      <c r="AJ387" s="428"/>
      <c r="AK387" s="428"/>
      <c r="AL387" s="429"/>
    </row>
    <row r="388" spans="1:48" s="165" customFormat="1" ht="15" customHeight="1">
      <c r="A388" s="71"/>
      <c r="B388" s="71"/>
      <c r="C388" s="311">
        <f>+C260</f>
        <v>0</v>
      </c>
      <c r="D388" s="312"/>
      <c r="E388" s="312"/>
      <c r="F388" s="312"/>
      <c r="G388" s="312"/>
      <c r="H388" s="312"/>
      <c r="I388" s="312"/>
      <c r="J388" s="312"/>
      <c r="K388" s="312"/>
      <c r="L388" s="312"/>
      <c r="M388" s="312"/>
      <c r="N388" s="312"/>
      <c r="O388" s="312"/>
      <c r="P388" s="312"/>
      <c r="Q388" s="312"/>
      <c r="R388" s="312"/>
      <c r="S388" s="312"/>
      <c r="T388" s="337">
        <f>+T260</f>
        <v>0</v>
      </c>
      <c r="U388" s="424"/>
      <c r="V388" s="424"/>
      <c r="W388" s="424"/>
      <c r="X388" s="339" t="str">
        <f>+X260</f>
        <v>Und</v>
      </c>
      <c r="Y388" s="340"/>
      <c r="Z388" s="425">
        <f>+Z260*$M$51</f>
        <v>0</v>
      </c>
      <c r="AA388" s="426"/>
      <c r="AB388" s="426"/>
      <c r="AC388" s="426"/>
      <c r="AD388" s="426"/>
      <c r="AE388" s="427">
        <f>+T388*Z388</f>
        <v>0</v>
      </c>
      <c r="AF388" s="428"/>
      <c r="AG388" s="428"/>
      <c r="AH388" s="428"/>
      <c r="AI388" s="428"/>
      <c r="AJ388" s="428"/>
      <c r="AK388" s="428"/>
      <c r="AL388" s="429"/>
    </row>
    <row r="389" spans="1:48" s="165" customFormat="1" ht="18" customHeight="1">
      <c r="A389" s="166"/>
      <c r="B389" s="166"/>
      <c r="C389" s="167" t="s">
        <v>310</v>
      </c>
      <c r="D389" s="168"/>
      <c r="E389" s="168"/>
      <c r="F389" s="168"/>
      <c r="G389" s="168"/>
      <c r="H389" s="168"/>
      <c r="I389" s="168"/>
      <c r="J389" s="168"/>
      <c r="K389" s="168"/>
      <c r="L389" s="168"/>
      <c r="M389" s="168"/>
      <c r="N389" s="168"/>
      <c r="O389" s="168"/>
      <c r="P389" s="168"/>
      <c r="Q389" s="168"/>
      <c r="R389" s="168"/>
      <c r="S389" s="168"/>
      <c r="T389" s="168"/>
      <c r="U389" s="169"/>
      <c r="V389" s="169"/>
      <c r="W389" s="169"/>
      <c r="X389" s="169"/>
      <c r="Y389" s="169"/>
      <c r="Z389" s="430"/>
      <c r="AA389" s="430"/>
      <c r="AB389" s="430"/>
      <c r="AC389" s="430"/>
      <c r="AD389" s="430"/>
      <c r="AE389" s="431">
        <f>SUM(AE386:AL388)</f>
        <v>0</v>
      </c>
      <c r="AF389" s="432"/>
      <c r="AG389" s="432"/>
      <c r="AH389" s="432"/>
      <c r="AI389" s="432"/>
      <c r="AJ389" s="432"/>
      <c r="AK389" s="432"/>
      <c r="AL389" s="433"/>
    </row>
    <row r="390" spans="1:48" s="165" customFormat="1" ht="6.75" customHeight="1">
      <c r="A390" s="166"/>
      <c r="B390" s="166"/>
      <c r="C390" s="170"/>
      <c r="D390" s="170"/>
      <c r="E390" s="170"/>
      <c r="F390" s="170"/>
      <c r="G390" s="170"/>
      <c r="H390" s="170"/>
      <c r="I390" s="170"/>
      <c r="J390" s="170"/>
      <c r="K390" s="170"/>
      <c r="L390" s="170"/>
      <c r="M390" s="170"/>
      <c r="N390" s="170"/>
      <c r="O390" s="170"/>
      <c r="P390" s="170"/>
      <c r="Q390" s="170"/>
      <c r="R390" s="170"/>
      <c r="S390" s="170"/>
      <c r="T390" s="170"/>
      <c r="U390" s="166"/>
      <c r="V390" s="166"/>
      <c r="W390" s="166"/>
      <c r="X390" s="166"/>
      <c r="Y390" s="166"/>
      <c r="Z390" s="72"/>
      <c r="AA390" s="72"/>
      <c r="AB390" s="72"/>
      <c r="AC390" s="72"/>
      <c r="AD390" s="72"/>
      <c r="AE390" s="72"/>
      <c r="AF390" s="72"/>
      <c r="AG390" s="72"/>
      <c r="AH390" s="72"/>
      <c r="AI390" s="72"/>
      <c r="AJ390" s="72"/>
      <c r="AK390" s="72"/>
      <c r="AL390" s="72"/>
      <c r="AM390" s="72"/>
      <c r="AN390" s="72"/>
      <c r="AO390" s="72"/>
      <c r="AP390" s="71"/>
    </row>
    <row r="391" spans="1:48" s="165" customFormat="1" ht="27.75" customHeight="1">
      <c r="A391" s="72"/>
      <c r="B391" s="72"/>
      <c r="C391" s="331" t="s">
        <v>191</v>
      </c>
      <c r="D391" s="332"/>
      <c r="E391" s="332"/>
      <c r="F391" s="332"/>
      <c r="G391" s="332"/>
      <c r="H391" s="332"/>
      <c r="I391" s="332"/>
      <c r="J391" s="332"/>
      <c r="K391" s="332"/>
      <c r="L391" s="332"/>
      <c r="M391" s="332"/>
      <c r="N391" s="332"/>
      <c r="O391" s="332"/>
      <c r="P391" s="332"/>
      <c r="Q391" s="332"/>
      <c r="R391" s="332"/>
      <c r="S391" s="333"/>
      <c r="T391" s="334" t="s">
        <v>347</v>
      </c>
      <c r="U391" s="332"/>
      <c r="V391" s="332"/>
      <c r="W391" s="332"/>
      <c r="X391" s="332"/>
      <c r="Y391" s="333"/>
      <c r="Z391" s="334" t="s">
        <v>311</v>
      </c>
      <c r="AA391" s="335"/>
      <c r="AB391" s="335"/>
      <c r="AC391" s="335"/>
      <c r="AD391" s="336"/>
      <c r="AE391" s="334" t="s">
        <v>348</v>
      </c>
      <c r="AF391" s="335"/>
      <c r="AG391" s="335"/>
      <c r="AH391" s="335"/>
      <c r="AI391" s="335"/>
      <c r="AJ391" s="335"/>
      <c r="AK391" s="335"/>
      <c r="AL391" s="336"/>
    </row>
    <row r="392" spans="1:48" s="165" customFormat="1" ht="15" customHeight="1">
      <c r="A392" s="71"/>
      <c r="B392" s="71"/>
      <c r="C392" s="311" t="str">
        <f>+C264</f>
        <v xml:space="preserve">Departamento N° </v>
      </c>
      <c r="D392" s="312"/>
      <c r="E392" s="312"/>
      <c r="F392" s="312"/>
      <c r="G392" s="312"/>
      <c r="H392" s="312"/>
      <c r="I392" s="312"/>
      <c r="J392" s="312"/>
      <c r="K392" s="312"/>
      <c r="L392" s="312"/>
      <c r="M392" s="312"/>
      <c r="N392" s="312"/>
      <c r="O392" s="312"/>
      <c r="P392" s="312"/>
      <c r="Q392" s="312"/>
      <c r="R392" s="312"/>
      <c r="S392" s="313"/>
      <c r="T392" s="421">
        <f>+$AE$389</f>
        <v>0</v>
      </c>
      <c r="U392" s="422"/>
      <c r="V392" s="422"/>
      <c r="W392" s="422"/>
      <c r="X392" s="422"/>
      <c r="Y392" s="423"/>
      <c r="Z392" s="317">
        <f>+Z264</f>
        <v>0</v>
      </c>
      <c r="AA392" s="318"/>
      <c r="AB392" s="318"/>
      <c r="AC392" s="318"/>
      <c r="AD392" s="319"/>
      <c r="AE392" s="421">
        <f>+T392*Z392</f>
        <v>0</v>
      </c>
      <c r="AF392" s="422"/>
      <c r="AG392" s="422"/>
      <c r="AH392" s="422"/>
      <c r="AI392" s="422"/>
      <c r="AJ392" s="422"/>
      <c r="AK392" s="422"/>
      <c r="AL392" s="423"/>
    </row>
    <row r="393" spans="1:48" s="165" customFormat="1" ht="15" customHeight="1">
      <c r="A393" s="71"/>
      <c r="B393" s="71"/>
      <c r="C393" s="311" t="str">
        <f>+C265</f>
        <v xml:space="preserve">Estacionamiento N° </v>
      </c>
      <c r="D393" s="312"/>
      <c r="E393" s="312"/>
      <c r="F393" s="312"/>
      <c r="G393" s="312"/>
      <c r="H393" s="312"/>
      <c r="I393" s="312"/>
      <c r="J393" s="312"/>
      <c r="K393" s="312"/>
      <c r="L393" s="312"/>
      <c r="M393" s="312"/>
      <c r="N393" s="312"/>
      <c r="O393" s="312"/>
      <c r="P393" s="312"/>
      <c r="Q393" s="312"/>
      <c r="R393" s="312"/>
      <c r="S393" s="313"/>
      <c r="T393" s="421">
        <f>+$AE$389</f>
        <v>0</v>
      </c>
      <c r="U393" s="422"/>
      <c r="V393" s="422"/>
      <c r="W393" s="422"/>
      <c r="X393" s="422"/>
      <c r="Y393" s="423"/>
      <c r="Z393" s="317">
        <f>+Z265</f>
        <v>0</v>
      </c>
      <c r="AA393" s="318"/>
      <c r="AB393" s="318"/>
      <c r="AC393" s="318"/>
      <c r="AD393" s="319"/>
      <c r="AE393" s="421">
        <f>+T393*Z393</f>
        <v>0</v>
      </c>
      <c r="AF393" s="422"/>
      <c r="AG393" s="422"/>
      <c r="AH393" s="422"/>
      <c r="AI393" s="422"/>
      <c r="AJ393" s="422"/>
      <c r="AK393" s="422"/>
      <c r="AL393" s="423"/>
    </row>
    <row r="394" spans="1:48" s="165" customFormat="1" ht="15" customHeight="1">
      <c r="A394" s="71"/>
      <c r="B394" s="71"/>
      <c r="C394" s="311" t="str">
        <f>+C266</f>
        <v xml:space="preserve">Depósito N° </v>
      </c>
      <c r="D394" s="312"/>
      <c r="E394" s="312"/>
      <c r="F394" s="312"/>
      <c r="G394" s="312"/>
      <c r="H394" s="312"/>
      <c r="I394" s="312"/>
      <c r="J394" s="312"/>
      <c r="K394" s="312"/>
      <c r="L394" s="312"/>
      <c r="M394" s="312"/>
      <c r="N394" s="312"/>
      <c r="O394" s="312"/>
      <c r="P394" s="312"/>
      <c r="Q394" s="312"/>
      <c r="R394" s="312"/>
      <c r="S394" s="313"/>
      <c r="T394" s="421">
        <f>+$AE$389</f>
        <v>0</v>
      </c>
      <c r="U394" s="422"/>
      <c r="V394" s="422"/>
      <c r="W394" s="422"/>
      <c r="X394" s="422"/>
      <c r="Y394" s="423"/>
      <c r="Z394" s="317">
        <f>+Z266</f>
        <v>0</v>
      </c>
      <c r="AA394" s="318"/>
      <c r="AB394" s="318"/>
      <c r="AC394" s="318"/>
      <c r="AD394" s="319"/>
      <c r="AE394" s="421">
        <f>+T394*Z394</f>
        <v>0</v>
      </c>
      <c r="AF394" s="422"/>
      <c r="AG394" s="422"/>
      <c r="AH394" s="422"/>
      <c r="AI394" s="422"/>
      <c r="AJ394" s="422"/>
      <c r="AK394" s="422"/>
      <c r="AL394" s="423"/>
    </row>
    <row r="395" spans="1:48" s="165" customFormat="1" ht="15" customHeight="1">
      <c r="A395" s="166"/>
      <c r="B395" s="166"/>
      <c r="C395" s="167" t="s">
        <v>313</v>
      </c>
      <c r="D395" s="168"/>
      <c r="E395" s="168"/>
      <c r="F395" s="168"/>
      <c r="G395" s="168"/>
      <c r="H395" s="168"/>
      <c r="I395" s="168"/>
      <c r="J395" s="168"/>
      <c r="K395" s="168"/>
      <c r="L395" s="168"/>
      <c r="M395" s="168"/>
      <c r="N395" s="168"/>
      <c r="O395" s="168"/>
      <c r="P395" s="168"/>
      <c r="Q395" s="168"/>
      <c r="R395" s="168"/>
      <c r="S395" s="168"/>
      <c r="T395" s="417"/>
      <c r="U395" s="418"/>
      <c r="V395" s="418"/>
      <c r="W395" s="418"/>
      <c r="X395" s="418"/>
      <c r="Y395" s="418"/>
      <c r="Z395" s="169"/>
      <c r="AA395" s="169"/>
      <c r="AB395" s="169"/>
      <c r="AC395" s="169"/>
      <c r="AD395" s="169"/>
      <c r="AE395" s="419">
        <f>SUM(AE392:AL394)</f>
        <v>0</v>
      </c>
      <c r="AF395" s="419"/>
      <c r="AG395" s="419"/>
      <c r="AH395" s="419"/>
      <c r="AI395" s="419"/>
      <c r="AJ395" s="419"/>
      <c r="AK395" s="419"/>
      <c r="AL395" s="420"/>
    </row>
    <row r="396" spans="1:48" s="165" customFormat="1" ht="4.5" customHeight="1">
      <c r="C396" s="171"/>
      <c r="D396" s="31"/>
      <c r="E396" s="31"/>
      <c r="F396" s="31"/>
      <c r="H396" s="172"/>
      <c r="I396" s="173"/>
      <c r="J396" s="174"/>
      <c r="K396" s="175"/>
      <c r="V396" s="176"/>
      <c r="W396" s="177"/>
      <c r="X396" s="177"/>
      <c r="Y396" s="177"/>
      <c r="Z396" s="178"/>
      <c r="AA396" s="179"/>
      <c r="AB396" s="179"/>
      <c r="AC396" s="176"/>
      <c r="AK396" s="180"/>
      <c r="AL396" s="180"/>
      <c r="AM396" s="180"/>
      <c r="AN396" s="180"/>
      <c r="AO396" s="181"/>
      <c r="AP396" s="181"/>
      <c r="AQ396" s="181"/>
      <c r="AR396" s="181"/>
      <c r="AS396" s="181"/>
      <c r="AT396" s="181"/>
      <c r="AU396" s="181"/>
      <c r="AV396" s="181"/>
    </row>
    <row r="397" spans="1:48" ht="23.25" customHeight="1">
      <c r="A397" s="325" t="s">
        <v>349</v>
      </c>
      <c r="B397" s="326"/>
      <c r="C397" s="91" t="s">
        <v>319</v>
      </c>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row>
    <row r="398" spans="1:48" ht="5.25" customHeight="1">
      <c r="A398" s="21"/>
      <c r="B398" s="21"/>
      <c r="C398" s="149"/>
      <c r="D398" s="103"/>
      <c r="E398" s="103"/>
      <c r="F398" s="103"/>
      <c r="G398" s="103"/>
      <c r="H398" s="103"/>
      <c r="I398" s="103"/>
      <c r="J398" s="103"/>
      <c r="K398" s="103"/>
      <c r="L398" s="103"/>
      <c r="M398" s="103"/>
      <c r="N398" s="103"/>
      <c r="O398" s="103"/>
      <c r="P398" s="103"/>
      <c r="Q398" s="103"/>
      <c r="R398" s="103"/>
      <c r="S398" s="103"/>
      <c r="T398" s="103"/>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row>
    <row r="399" spans="1:48" s="31" customFormat="1" ht="39" customHeight="1">
      <c r="A399" s="162"/>
      <c r="B399" s="163"/>
      <c r="C399" s="305" t="s">
        <v>142</v>
      </c>
      <c r="D399" s="306"/>
      <c r="E399" s="306"/>
      <c r="F399" s="306"/>
      <c r="G399" s="306"/>
      <c r="H399" s="306"/>
      <c r="I399" s="306"/>
      <c r="J399" s="306"/>
      <c r="K399" s="306"/>
      <c r="L399" s="307" t="s">
        <v>350</v>
      </c>
      <c r="M399" s="307"/>
      <c r="N399" s="307"/>
      <c r="O399" s="307"/>
      <c r="P399" s="307"/>
      <c r="Q399" s="307"/>
      <c r="R399" s="307"/>
      <c r="S399" s="307" t="s">
        <v>351</v>
      </c>
      <c r="T399" s="307"/>
      <c r="U399" s="307"/>
      <c r="V399" s="307"/>
      <c r="W399" s="307"/>
      <c r="X399" s="307"/>
      <c r="Y399" s="307"/>
      <c r="Z399" s="307" t="s">
        <v>352</v>
      </c>
      <c r="AA399" s="307"/>
      <c r="AB399" s="307"/>
      <c r="AC399" s="307"/>
      <c r="AD399" s="307"/>
      <c r="AE399" s="307"/>
      <c r="AF399" s="307"/>
      <c r="AG399" s="308" t="s">
        <v>323</v>
      </c>
      <c r="AH399" s="309"/>
      <c r="AI399" s="309"/>
      <c r="AJ399" s="309"/>
      <c r="AK399" s="309"/>
      <c r="AL399" s="307" t="s">
        <v>353</v>
      </c>
      <c r="AM399" s="307"/>
      <c r="AN399" s="307"/>
      <c r="AO399" s="307"/>
      <c r="AP399" s="307"/>
      <c r="AQ399" s="307"/>
      <c r="AR399" s="307"/>
    </row>
    <row r="400" spans="1:48" s="31" customFormat="1" ht="12.75" customHeight="1">
      <c r="A400" s="162"/>
      <c r="B400" s="163"/>
      <c r="C400" s="411" t="str">
        <f>+C301</f>
        <v xml:space="preserve">Departamento N° </v>
      </c>
      <c r="D400" s="412"/>
      <c r="E400" s="412"/>
      <c r="F400" s="412"/>
      <c r="G400" s="412"/>
      <c r="H400" s="412"/>
      <c r="I400" s="412"/>
      <c r="J400" s="412"/>
      <c r="K400" s="413"/>
      <c r="L400" s="404">
        <f>+AF368</f>
        <v>0</v>
      </c>
      <c r="M400" s="404"/>
      <c r="N400" s="404"/>
      <c r="O400" s="404"/>
      <c r="P400" s="404"/>
      <c r="Q400" s="404"/>
      <c r="R400" s="404"/>
      <c r="S400" s="414">
        <f>+AQ375+AQ376</f>
        <v>0</v>
      </c>
      <c r="T400" s="414"/>
      <c r="U400" s="414"/>
      <c r="V400" s="414"/>
      <c r="W400" s="414"/>
      <c r="X400" s="414"/>
      <c r="Y400" s="414"/>
      <c r="Z400" s="414">
        <f>+L400+S400</f>
        <v>0</v>
      </c>
      <c r="AA400" s="414"/>
      <c r="AB400" s="414"/>
      <c r="AC400" s="414"/>
      <c r="AD400" s="414"/>
      <c r="AE400" s="414"/>
      <c r="AF400" s="414"/>
      <c r="AG400" s="415">
        <f>+AG301</f>
        <v>0</v>
      </c>
      <c r="AH400" s="416"/>
      <c r="AI400" s="416"/>
      <c r="AJ400" s="416"/>
      <c r="AK400" s="416"/>
      <c r="AL400" s="414">
        <f>Z400*AG400</f>
        <v>0</v>
      </c>
      <c r="AM400" s="414"/>
      <c r="AN400" s="414"/>
      <c r="AO400" s="414"/>
      <c r="AP400" s="414"/>
      <c r="AQ400" s="414"/>
      <c r="AR400" s="414"/>
    </row>
    <row r="401" spans="1:48" s="31" customFormat="1" ht="15.75" customHeight="1">
      <c r="A401" s="162"/>
      <c r="B401" s="163"/>
      <c r="C401" s="411" t="str">
        <f>+C302</f>
        <v xml:space="preserve">Estacionamiento N° </v>
      </c>
      <c r="D401" s="412"/>
      <c r="E401" s="412"/>
      <c r="F401" s="412"/>
      <c r="G401" s="412"/>
      <c r="H401" s="412"/>
      <c r="I401" s="412"/>
      <c r="J401" s="412"/>
      <c r="K401" s="413"/>
      <c r="L401" s="404">
        <f>+AF369</f>
        <v>0</v>
      </c>
      <c r="M401" s="404"/>
      <c r="N401" s="404"/>
      <c r="O401" s="404"/>
      <c r="P401" s="404"/>
      <c r="Q401" s="404"/>
      <c r="R401" s="404"/>
      <c r="S401" s="414">
        <f>+AQ377+AQ378</f>
        <v>0</v>
      </c>
      <c r="T401" s="414"/>
      <c r="U401" s="414"/>
      <c r="V401" s="414"/>
      <c r="W401" s="414"/>
      <c r="X401" s="414"/>
      <c r="Y401" s="414"/>
      <c r="Z401" s="414">
        <f>+L401+S401</f>
        <v>0</v>
      </c>
      <c r="AA401" s="414"/>
      <c r="AB401" s="414"/>
      <c r="AC401" s="414"/>
      <c r="AD401" s="414"/>
      <c r="AE401" s="414"/>
      <c r="AF401" s="414"/>
      <c r="AG401" s="415">
        <f>+AG302</f>
        <v>0</v>
      </c>
      <c r="AH401" s="416"/>
      <c r="AI401" s="416"/>
      <c r="AJ401" s="416"/>
      <c r="AK401" s="416"/>
      <c r="AL401" s="414">
        <f>Z401*AG401</f>
        <v>0</v>
      </c>
      <c r="AM401" s="414"/>
      <c r="AN401" s="414"/>
      <c r="AO401" s="414"/>
      <c r="AP401" s="414"/>
      <c r="AQ401" s="414"/>
      <c r="AR401" s="414"/>
    </row>
    <row r="402" spans="1:48" s="31" customFormat="1" ht="15.75" customHeight="1">
      <c r="A402" s="162"/>
      <c r="B402" s="163"/>
      <c r="C402" s="411" t="str">
        <f>+C303</f>
        <v xml:space="preserve">Depósito N° </v>
      </c>
      <c r="D402" s="412"/>
      <c r="E402" s="412"/>
      <c r="F402" s="412"/>
      <c r="G402" s="412"/>
      <c r="H402" s="412"/>
      <c r="I402" s="412"/>
      <c r="J402" s="412"/>
      <c r="K402" s="413"/>
      <c r="L402" s="404">
        <f>+AF370</f>
        <v>0</v>
      </c>
      <c r="M402" s="404"/>
      <c r="N402" s="404"/>
      <c r="O402" s="404"/>
      <c r="P402" s="404"/>
      <c r="Q402" s="404"/>
      <c r="R402" s="404"/>
      <c r="S402" s="414">
        <f>+AQ379+AQ380</f>
        <v>0</v>
      </c>
      <c r="T402" s="414"/>
      <c r="U402" s="414"/>
      <c r="V402" s="414"/>
      <c r="W402" s="414"/>
      <c r="X402" s="414"/>
      <c r="Y402" s="414"/>
      <c r="Z402" s="414">
        <f>+L402+S402</f>
        <v>0</v>
      </c>
      <c r="AA402" s="414"/>
      <c r="AB402" s="414"/>
      <c r="AC402" s="414"/>
      <c r="AD402" s="414"/>
      <c r="AE402" s="414"/>
      <c r="AF402" s="414"/>
      <c r="AG402" s="415">
        <f>+AG303</f>
        <v>0</v>
      </c>
      <c r="AH402" s="416"/>
      <c r="AI402" s="416"/>
      <c r="AJ402" s="416"/>
      <c r="AK402" s="416"/>
      <c r="AL402" s="414">
        <f>Z402*AG402</f>
        <v>0</v>
      </c>
      <c r="AM402" s="414"/>
      <c r="AN402" s="414"/>
      <c r="AO402" s="414"/>
      <c r="AP402" s="414"/>
      <c r="AQ402" s="414"/>
      <c r="AR402" s="414"/>
    </row>
    <row r="403" spans="1:48" s="31" customFormat="1" ht="18" customHeight="1" thickBot="1">
      <c r="A403" s="162"/>
      <c r="B403" s="163"/>
      <c r="C403" s="281"/>
      <c r="D403" s="282"/>
      <c r="E403" s="282"/>
      <c r="F403" s="282"/>
      <c r="G403" s="282"/>
      <c r="H403" s="282"/>
      <c r="I403" s="282"/>
      <c r="J403" s="282"/>
      <c r="K403" s="283"/>
      <c r="L403" s="406">
        <f>SUM(L400:R402)</f>
        <v>0</v>
      </c>
      <c r="M403" s="406"/>
      <c r="N403" s="406"/>
      <c r="O403" s="406"/>
      <c r="P403" s="406"/>
      <c r="Q403" s="406"/>
      <c r="R403" s="406"/>
      <c r="S403" s="406">
        <f>SUM(S400:Y402)</f>
        <v>0</v>
      </c>
      <c r="T403" s="406"/>
      <c r="U403" s="406"/>
      <c r="V403" s="406"/>
      <c r="W403" s="406"/>
      <c r="X403" s="406"/>
      <c r="Y403" s="406"/>
      <c r="Z403" s="406">
        <f>SUM(Z400:AF402)</f>
        <v>0</v>
      </c>
      <c r="AA403" s="406"/>
      <c r="AB403" s="406"/>
      <c r="AC403" s="406"/>
      <c r="AD403" s="406"/>
      <c r="AE403" s="406"/>
      <c r="AF403" s="406"/>
      <c r="AG403" s="288"/>
      <c r="AH403" s="289"/>
      <c r="AI403" s="289"/>
      <c r="AJ403" s="289"/>
      <c r="AK403" s="289"/>
      <c r="AL403" s="406">
        <f>SUM(AL400:AR402)</f>
        <v>0</v>
      </c>
      <c r="AM403" s="406"/>
      <c r="AN403" s="406"/>
      <c r="AO403" s="406"/>
      <c r="AP403" s="406"/>
      <c r="AQ403" s="406"/>
      <c r="AR403" s="406"/>
    </row>
    <row r="404" spans="1:48" s="165" customFormat="1" ht="3" customHeight="1">
      <c r="C404" s="171"/>
      <c r="D404" s="31"/>
      <c r="E404" s="31"/>
      <c r="F404" s="31"/>
      <c r="H404" s="172"/>
      <c r="I404" s="173"/>
      <c r="J404" s="174"/>
      <c r="K404" s="175"/>
      <c r="V404" s="176"/>
      <c r="W404" s="177"/>
      <c r="X404" s="177"/>
      <c r="Y404" s="177"/>
      <c r="Z404" s="178"/>
      <c r="AA404" s="179"/>
      <c r="AB404" s="179"/>
      <c r="AC404" s="176"/>
      <c r="AK404" s="180"/>
      <c r="AL404" s="180"/>
      <c r="AM404" s="180"/>
      <c r="AN404" s="180"/>
      <c r="AO404" s="181"/>
      <c r="AP404" s="181"/>
      <c r="AQ404" s="181"/>
      <c r="AR404" s="181"/>
      <c r="AS404" s="181"/>
      <c r="AT404" s="181"/>
      <c r="AU404" s="181"/>
      <c r="AV404" s="181"/>
    </row>
    <row r="405" spans="1:48" ht="18.75" customHeight="1">
      <c r="C405" s="396"/>
      <c r="D405" s="396"/>
      <c r="E405" s="396"/>
      <c r="F405" s="396"/>
      <c r="G405" s="396"/>
      <c r="H405" s="396"/>
      <c r="I405" s="396"/>
      <c r="J405" s="396"/>
      <c r="K405" s="396"/>
      <c r="L405" s="396"/>
      <c r="M405" s="396"/>
      <c r="N405" s="396"/>
      <c r="O405" s="396"/>
      <c r="P405" s="396"/>
      <c r="Q405" s="396"/>
      <c r="R405" s="396"/>
      <c r="S405" s="396"/>
      <c r="T405" s="396"/>
      <c r="U405" s="397"/>
      <c r="V405" s="397"/>
      <c r="W405" s="397"/>
      <c r="X405" s="397"/>
      <c r="Y405" s="397"/>
      <c r="Z405" s="397"/>
      <c r="AA405" s="397"/>
      <c r="AB405" s="397"/>
      <c r="AC405" s="397"/>
      <c r="AD405" s="397"/>
      <c r="AE405" s="397"/>
      <c r="AF405" s="397"/>
      <c r="AG405" s="397"/>
      <c r="AH405" s="397"/>
      <c r="AI405" s="397"/>
      <c r="AJ405" s="397"/>
      <c r="AK405" s="397"/>
      <c r="AL405" s="397"/>
      <c r="AM405" s="397"/>
      <c r="AN405" s="397"/>
      <c r="AO405" s="397"/>
      <c r="AP405" s="397"/>
      <c r="AQ405" s="397"/>
      <c r="AR405" s="397"/>
      <c r="AS405" s="397"/>
      <c r="AT405" s="397"/>
      <c r="AU405" s="397"/>
      <c r="AV405" s="397"/>
    </row>
    <row r="406" spans="1:48" ht="23.25" customHeight="1">
      <c r="A406" s="325" t="s">
        <v>354</v>
      </c>
      <c r="B406" s="326"/>
      <c r="C406" s="91" t="s">
        <v>325</v>
      </c>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row>
    <row r="407" spans="1:48" ht="5.25" customHeight="1">
      <c r="A407" s="21"/>
      <c r="B407" s="21"/>
      <c r="C407" s="149"/>
      <c r="D407" s="103"/>
      <c r="E407" s="103"/>
      <c r="F407" s="103"/>
      <c r="G407" s="103"/>
      <c r="H407" s="103"/>
      <c r="I407" s="103"/>
      <c r="J407" s="103"/>
      <c r="K407" s="103"/>
      <c r="L407" s="103"/>
      <c r="M407" s="103"/>
      <c r="N407" s="103"/>
      <c r="O407" s="103"/>
      <c r="P407" s="103"/>
      <c r="Q407" s="103"/>
      <c r="R407" s="103"/>
      <c r="S407" s="103"/>
      <c r="T407" s="103"/>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row>
    <row r="408" spans="1:48" s="31" customFormat="1" ht="34.5" customHeight="1">
      <c r="A408" s="162"/>
      <c r="B408" s="163"/>
      <c r="C408" s="305" t="s">
        <v>142</v>
      </c>
      <c r="D408" s="306"/>
      <c r="E408" s="306"/>
      <c r="F408" s="306"/>
      <c r="G408" s="306"/>
      <c r="H408" s="306"/>
      <c r="I408" s="306"/>
      <c r="J408" s="306"/>
      <c r="K408" s="306"/>
      <c r="L408" s="307" t="s">
        <v>353</v>
      </c>
      <c r="M408" s="307"/>
      <c r="N408" s="307"/>
      <c r="O408" s="307"/>
      <c r="P408" s="307"/>
      <c r="Q408" s="307"/>
      <c r="R408" s="307"/>
      <c r="S408" s="307" t="s">
        <v>326</v>
      </c>
      <c r="T408" s="307"/>
      <c r="U408" s="307"/>
      <c r="V408" s="307"/>
      <c r="W408" s="307"/>
      <c r="X408" s="307"/>
      <c r="Y408" s="307"/>
      <c r="Z408" s="307" t="s">
        <v>355</v>
      </c>
      <c r="AA408" s="307"/>
      <c r="AB408" s="307"/>
      <c r="AC408" s="307"/>
      <c r="AD408" s="307"/>
      <c r="AE408" s="307"/>
      <c r="AF408" s="307"/>
      <c r="AG408" s="185"/>
      <c r="AH408" s="185"/>
    </row>
    <row r="409" spans="1:48" s="31" customFormat="1" ht="13.5" customHeight="1">
      <c r="A409" s="162"/>
      <c r="B409" s="163"/>
      <c r="C409" s="411" t="str">
        <f>+C400</f>
        <v xml:space="preserve">Departamento N° </v>
      </c>
      <c r="D409" s="412"/>
      <c r="E409" s="412"/>
      <c r="F409" s="412"/>
      <c r="G409" s="412"/>
      <c r="H409" s="412"/>
      <c r="I409" s="412"/>
      <c r="J409" s="412"/>
      <c r="K409" s="413"/>
      <c r="L409" s="404">
        <f>+AL400</f>
        <v>0</v>
      </c>
      <c r="M409" s="404"/>
      <c r="N409" s="404"/>
      <c r="O409" s="404"/>
      <c r="P409" s="404"/>
      <c r="Q409" s="404"/>
      <c r="R409" s="404"/>
      <c r="S409" s="405">
        <f>+S310</f>
        <v>0.8</v>
      </c>
      <c r="T409" s="405"/>
      <c r="U409" s="405"/>
      <c r="V409" s="405"/>
      <c r="W409" s="405"/>
      <c r="X409" s="405"/>
      <c r="Y409" s="405"/>
      <c r="Z409" s="404">
        <f>+L409*S409</f>
        <v>0</v>
      </c>
      <c r="AA409" s="404"/>
      <c r="AB409" s="404"/>
      <c r="AC409" s="404"/>
      <c r="AD409" s="404"/>
      <c r="AE409" s="404"/>
      <c r="AF409" s="404"/>
      <c r="AG409" s="186"/>
      <c r="AH409" s="186"/>
    </row>
    <row r="410" spans="1:48" s="31" customFormat="1" ht="15.75" customHeight="1">
      <c r="A410" s="162"/>
      <c r="B410" s="163"/>
      <c r="C410" s="402" t="str">
        <f>+C401</f>
        <v xml:space="preserve">Estacionamiento N° </v>
      </c>
      <c r="D410" s="403"/>
      <c r="E410" s="403"/>
      <c r="F410" s="403"/>
      <c r="G410" s="403"/>
      <c r="H410" s="403"/>
      <c r="I410" s="403"/>
      <c r="J410" s="403"/>
      <c r="K410" s="403"/>
      <c r="L410" s="404">
        <f>+AL401</f>
        <v>0</v>
      </c>
      <c r="M410" s="404"/>
      <c r="N410" s="404"/>
      <c r="O410" s="404"/>
      <c r="P410" s="404"/>
      <c r="Q410" s="404"/>
      <c r="R410" s="404"/>
      <c r="S410" s="405">
        <f>+S409</f>
        <v>0.8</v>
      </c>
      <c r="T410" s="405"/>
      <c r="U410" s="405"/>
      <c r="V410" s="405"/>
      <c r="W410" s="405"/>
      <c r="X410" s="405"/>
      <c r="Y410" s="405"/>
      <c r="Z410" s="404">
        <f>+L410*S410</f>
        <v>0</v>
      </c>
      <c r="AA410" s="404"/>
      <c r="AB410" s="404"/>
      <c r="AC410" s="404"/>
      <c r="AD410" s="404"/>
      <c r="AE410" s="404"/>
      <c r="AF410" s="404"/>
      <c r="AG410" s="186"/>
      <c r="AH410" s="186"/>
    </row>
    <row r="411" spans="1:48" s="31" customFormat="1" ht="15.75" customHeight="1">
      <c r="A411" s="162"/>
      <c r="B411" s="163"/>
      <c r="C411" s="402" t="str">
        <f>+C402</f>
        <v xml:space="preserve">Depósito N° </v>
      </c>
      <c r="D411" s="403"/>
      <c r="E411" s="403"/>
      <c r="F411" s="403"/>
      <c r="G411" s="403"/>
      <c r="H411" s="403"/>
      <c r="I411" s="403"/>
      <c r="J411" s="403"/>
      <c r="K411" s="403"/>
      <c r="L411" s="404">
        <f>+AL402</f>
        <v>0</v>
      </c>
      <c r="M411" s="404"/>
      <c r="N411" s="404"/>
      <c r="O411" s="404"/>
      <c r="P411" s="404"/>
      <c r="Q411" s="404"/>
      <c r="R411" s="404"/>
      <c r="S411" s="405">
        <f>+S410</f>
        <v>0.8</v>
      </c>
      <c r="T411" s="405"/>
      <c r="U411" s="405"/>
      <c r="V411" s="405"/>
      <c r="W411" s="405"/>
      <c r="X411" s="405"/>
      <c r="Y411" s="405"/>
      <c r="Z411" s="404">
        <f>+L411*S411</f>
        <v>0</v>
      </c>
      <c r="AA411" s="404"/>
      <c r="AB411" s="404"/>
      <c r="AC411" s="404"/>
      <c r="AD411" s="404"/>
      <c r="AE411" s="404"/>
      <c r="AF411" s="404"/>
      <c r="AG411" s="186"/>
      <c r="AH411" s="186"/>
    </row>
    <row r="412" spans="1:48" s="31" customFormat="1" ht="18" customHeight="1" thickBot="1">
      <c r="A412" s="162"/>
      <c r="B412" s="163"/>
      <c r="C412" s="281"/>
      <c r="D412" s="282"/>
      <c r="E412" s="282"/>
      <c r="F412" s="282"/>
      <c r="G412" s="282"/>
      <c r="H412" s="282"/>
      <c r="I412" s="282"/>
      <c r="J412" s="282"/>
      <c r="K412" s="283"/>
      <c r="L412" s="406">
        <f>SUM(L409:R411)</f>
        <v>0</v>
      </c>
      <c r="M412" s="406"/>
      <c r="N412" s="406"/>
      <c r="O412" s="406"/>
      <c r="P412" s="406"/>
      <c r="Q412" s="406"/>
      <c r="R412" s="406"/>
      <c r="S412" s="407"/>
      <c r="T412" s="407"/>
      <c r="U412" s="407"/>
      <c r="V412" s="407"/>
      <c r="W412" s="407"/>
      <c r="X412" s="407"/>
      <c r="Y412" s="407"/>
      <c r="Z412" s="408">
        <f>SUM(Z409:AF411)</f>
        <v>0</v>
      </c>
      <c r="AA412" s="409"/>
      <c r="AB412" s="409"/>
      <c r="AC412" s="409"/>
      <c r="AD412" s="409"/>
      <c r="AE412" s="409"/>
      <c r="AF412" s="410"/>
      <c r="AG412" s="187"/>
      <c r="AH412" s="187"/>
    </row>
    <row r="413" spans="1:48" s="165" customFormat="1" ht="4.5" customHeight="1">
      <c r="C413" s="171"/>
      <c r="D413" s="31"/>
      <c r="E413" s="31"/>
      <c r="F413" s="31"/>
      <c r="H413" s="172"/>
      <c r="I413" s="173"/>
      <c r="J413" s="174"/>
      <c r="K413" s="175"/>
      <c r="V413" s="176"/>
      <c r="W413" s="177"/>
      <c r="X413" s="177"/>
      <c r="Y413" s="177"/>
      <c r="Z413" s="178"/>
      <c r="AA413" s="179"/>
      <c r="AB413" s="179"/>
      <c r="AC413" s="176"/>
      <c r="AK413" s="180"/>
      <c r="AL413" s="180"/>
      <c r="AM413" s="180"/>
      <c r="AN413" s="180"/>
      <c r="AO413" s="181"/>
      <c r="AP413" s="181"/>
      <c r="AQ413" s="181"/>
      <c r="AR413" s="181"/>
      <c r="AS413" s="181"/>
      <c r="AT413" s="181"/>
      <c r="AU413" s="181"/>
      <c r="AV413" s="181"/>
    </row>
    <row r="414" spans="1:48" ht="18.75" customHeight="1">
      <c r="C414" s="396"/>
      <c r="D414" s="396"/>
      <c r="E414" s="396"/>
      <c r="F414" s="396"/>
      <c r="G414" s="396"/>
      <c r="H414" s="396"/>
      <c r="I414" s="396"/>
      <c r="J414" s="396"/>
      <c r="K414" s="396"/>
      <c r="L414" s="396"/>
      <c r="M414" s="396"/>
      <c r="N414" s="396"/>
      <c r="O414" s="396"/>
      <c r="P414" s="396"/>
      <c r="Q414" s="396"/>
      <c r="R414" s="396"/>
      <c r="S414" s="396"/>
      <c r="T414" s="396"/>
      <c r="U414" s="397"/>
      <c r="V414" s="397"/>
      <c r="W414" s="397"/>
      <c r="X414" s="397"/>
      <c r="Y414" s="397"/>
      <c r="Z414" s="397"/>
      <c r="AA414" s="397"/>
      <c r="AB414" s="397"/>
      <c r="AC414" s="397"/>
      <c r="AD414" s="397"/>
      <c r="AE414" s="397"/>
      <c r="AF414" s="397"/>
      <c r="AG414" s="397"/>
      <c r="AH414" s="397"/>
      <c r="AI414" s="397"/>
      <c r="AJ414" s="397"/>
      <c r="AK414" s="397"/>
      <c r="AL414" s="397"/>
      <c r="AM414" s="397"/>
      <c r="AN414" s="397"/>
      <c r="AO414" s="397"/>
      <c r="AP414" s="397"/>
      <c r="AQ414" s="397"/>
      <c r="AR414" s="397"/>
      <c r="AS414" s="397"/>
      <c r="AT414" s="397"/>
      <c r="AU414" s="397"/>
      <c r="AV414" s="397"/>
    </row>
    <row r="415" spans="1:48" s="165" customFormat="1" ht="16.5" customHeight="1">
      <c r="C415" s="194" t="s">
        <v>356</v>
      </c>
      <c r="D415" s="31"/>
      <c r="E415" s="31"/>
      <c r="F415" s="31"/>
      <c r="H415" s="172"/>
      <c r="I415" s="173"/>
      <c r="J415" s="174"/>
      <c r="K415" s="175"/>
      <c r="T415" s="398">
        <f>+M51</f>
        <v>3.49</v>
      </c>
      <c r="U415" s="398"/>
      <c r="V415" s="398"/>
      <c r="W415" s="398"/>
      <c r="X415" s="398"/>
      <c r="Y415" s="195" t="s">
        <v>357</v>
      </c>
      <c r="Z415" s="196"/>
      <c r="AA415" s="179"/>
      <c r="AB415" s="179"/>
      <c r="AC415" s="176"/>
      <c r="AK415" s="180"/>
      <c r="AL415" s="180"/>
      <c r="AM415" s="180"/>
      <c r="AN415" s="180"/>
      <c r="AO415" s="181"/>
      <c r="AP415" s="181"/>
      <c r="AQ415" s="181"/>
      <c r="AR415" s="181"/>
      <c r="AS415" s="181"/>
      <c r="AT415" s="181"/>
      <c r="AU415" s="181"/>
      <c r="AV415" s="181"/>
    </row>
    <row r="416" spans="1:48" s="165" customFormat="1" ht="16.5" customHeight="1">
      <c r="C416" s="193" t="s">
        <v>358</v>
      </c>
      <c r="D416" s="31"/>
      <c r="E416" s="31"/>
      <c r="F416" s="31"/>
      <c r="H416" s="172"/>
      <c r="I416" s="173"/>
      <c r="J416" s="174"/>
      <c r="K416" s="175"/>
      <c r="U416" s="31"/>
      <c r="V416" s="31"/>
      <c r="W416" s="31"/>
      <c r="X416" s="31"/>
      <c r="Y416" s="175"/>
      <c r="Z416" s="178"/>
      <c r="AA416" s="179"/>
      <c r="AB416" s="179"/>
      <c r="AC416" s="176"/>
      <c r="AK416" s="180"/>
      <c r="AL416" s="180"/>
      <c r="AM416" s="180"/>
      <c r="AN416" s="180"/>
      <c r="AO416" s="181"/>
      <c r="AP416" s="181"/>
      <c r="AQ416" s="181"/>
      <c r="AR416" s="181"/>
      <c r="AS416" s="181"/>
      <c r="AT416" s="181"/>
      <c r="AU416" s="181"/>
      <c r="AV416" s="181"/>
    </row>
    <row r="417" spans="1:48" s="165" customFormat="1" ht="15" customHeight="1">
      <c r="C417" s="197"/>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c r="AA417" s="115"/>
      <c r="AB417" s="115"/>
      <c r="AC417" s="115"/>
      <c r="AD417" s="115"/>
      <c r="AE417" s="115"/>
      <c r="AF417" s="115"/>
      <c r="AG417" s="115"/>
      <c r="AH417" s="115"/>
      <c r="AI417" s="115"/>
      <c r="AJ417" s="115"/>
      <c r="AK417" s="115"/>
      <c r="AL417" s="115"/>
      <c r="AM417" s="115"/>
      <c r="AN417" s="115"/>
      <c r="AO417" s="115"/>
      <c r="AP417" s="115"/>
      <c r="AQ417" s="115"/>
      <c r="AR417" s="115"/>
      <c r="AS417" s="115"/>
      <c r="AT417" s="115"/>
      <c r="AU417" s="115"/>
      <c r="AV417" s="115"/>
    </row>
    <row r="418" spans="1:48" ht="71.25" customHeight="1">
      <c r="F418" s="198"/>
      <c r="G418" s="199"/>
      <c r="H418" s="199"/>
      <c r="I418" s="199"/>
      <c r="J418" s="199"/>
      <c r="K418" s="199"/>
      <c r="L418" s="199"/>
      <c r="M418" s="199"/>
    </row>
    <row r="419" spans="1:48">
      <c r="A419" s="56"/>
      <c r="B419" s="97"/>
      <c r="C419" s="399" t="s">
        <v>328</v>
      </c>
      <c r="D419" s="400"/>
      <c r="E419" s="400"/>
      <c r="F419" s="400"/>
      <c r="G419" s="400"/>
      <c r="H419" s="400"/>
      <c r="I419" s="400"/>
      <c r="J419" s="400"/>
      <c r="K419" s="400"/>
      <c r="L419" s="400"/>
      <c r="M419" s="400"/>
      <c r="N419" s="400"/>
      <c r="O419" s="400"/>
      <c r="P419" s="400"/>
      <c r="Q419" s="400"/>
      <c r="R419" s="400"/>
      <c r="S419" s="400"/>
      <c r="T419" s="400"/>
      <c r="U419" s="400"/>
      <c r="V419" s="400"/>
      <c r="W419" s="400"/>
      <c r="X419" s="400"/>
      <c r="Y419" s="400"/>
      <c r="Z419" s="400"/>
      <c r="AA419" s="400"/>
      <c r="AB419" s="400"/>
      <c r="AC419" s="400"/>
      <c r="AD419" s="400"/>
      <c r="AE419" s="400"/>
      <c r="AF419" s="400"/>
      <c r="AG419" s="400"/>
      <c r="AH419" s="400"/>
      <c r="AI419" s="400"/>
      <c r="AJ419" s="400"/>
      <c r="AK419" s="400"/>
      <c r="AL419" s="400"/>
      <c r="AM419" s="400"/>
      <c r="AN419" s="400"/>
      <c r="AO419" s="400"/>
      <c r="AP419" s="400"/>
      <c r="AQ419" s="400"/>
      <c r="AR419" s="400"/>
      <c r="AS419" s="400"/>
      <c r="AT419" s="400"/>
      <c r="AU419" s="400"/>
      <c r="AV419" s="400"/>
    </row>
    <row r="420" spans="1:48">
      <c r="A420" s="21"/>
      <c r="B420" s="21"/>
      <c r="C420" s="21"/>
      <c r="D420" s="21"/>
      <c r="E420" s="21"/>
      <c r="F420" s="21"/>
      <c r="G420" s="21"/>
      <c r="H420" s="56"/>
      <c r="I420" s="21"/>
      <c r="J420" s="56"/>
      <c r="K420" s="21"/>
      <c r="L420" s="21"/>
      <c r="M420" s="21"/>
      <c r="N420" s="21"/>
      <c r="O420" s="21"/>
      <c r="P420" s="21"/>
      <c r="Q420" s="21"/>
      <c r="R420" s="21"/>
      <c r="S420" s="56" t="str">
        <f>+S319</f>
        <v xml:space="preserve">  INFORME N° 26</v>
      </c>
      <c r="T420" s="21"/>
      <c r="U420" s="86"/>
      <c r="V420" s="87"/>
      <c r="W420" s="21"/>
      <c r="X420" s="21"/>
      <c r="Y420" s="21"/>
      <c r="Z420" s="21"/>
      <c r="AA420" s="21"/>
      <c r="AB420" s="401">
        <f>+AB319</f>
        <v>0</v>
      </c>
      <c r="AC420" s="304"/>
      <c r="AD420" s="304"/>
      <c r="AE420" s="304"/>
      <c r="AF420" s="304"/>
      <c r="AG420" s="21"/>
      <c r="AH420" s="21"/>
      <c r="AI420" s="21"/>
      <c r="AJ420" s="21"/>
      <c r="AK420" s="21"/>
      <c r="AL420" s="21"/>
      <c r="AM420" s="21"/>
      <c r="AN420" s="21"/>
      <c r="AO420" s="21"/>
      <c r="AP420" s="21"/>
      <c r="AQ420" s="21"/>
      <c r="AR420" s="21"/>
      <c r="AS420" s="21"/>
      <c r="AT420" s="21"/>
      <c r="AU420" s="21"/>
      <c r="AV420" s="21"/>
    </row>
    <row r="421" spans="1:48" ht="27" customHeight="1">
      <c r="A421" s="325">
        <v>1</v>
      </c>
      <c r="B421" s="326"/>
      <c r="C421" s="91" t="s">
        <v>287</v>
      </c>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row>
    <row r="422" spans="1:48" ht="6.75" customHeight="1">
      <c r="A422" s="21"/>
      <c r="B422" s="21"/>
      <c r="C422" s="21"/>
      <c r="D422" s="21"/>
      <c r="E422" s="21"/>
      <c r="F422" s="21"/>
      <c r="G422" s="21"/>
      <c r="H422" s="56"/>
      <c r="I422" s="21"/>
      <c r="J422" s="56"/>
      <c r="K422" s="21"/>
      <c r="L422" s="21"/>
      <c r="M422" s="21"/>
      <c r="N422" s="21"/>
      <c r="O422" s="21"/>
      <c r="P422" s="21"/>
      <c r="Q422" s="21"/>
      <c r="R422" s="21"/>
      <c r="S422" s="56"/>
      <c r="T422" s="21"/>
      <c r="U422" s="86"/>
      <c r="V422" s="87"/>
      <c r="W422" s="21"/>
      <c r="X422" s="21"/>
      <c r="Y422" s="21"/>
      <c r="Z422" s="21"/>
      <c r="AA422" s="21"/>
      <c r="AB422" s="160"/>
      <c r="AC422" s="161"/>
      <c r="AD422" s="161"/>
      <c r="AE422" s="161"/>
      <c r="AF422" s="161"/>
      <c r="AG422" s="21"/>
      <c r="AH422" s="21"/>
      <c r="AI422" s="21"/>
      <c r="AJ422" s="21"/>
      <c r="AK422" s="21"/>
      <c r="AL422" s="21"/>
      <c r="AM422" s="21"/>
      <c r="AN422" s="21"/>
      <c r="AO422" s="21"/>
      <c r="AP422" s="21"/>
      <c r="AQ422" s="21"/>
      <c r="AR422" s="21"/>
      <c r="AS422" s="21"/>
      <c r="AT422" s="21"/>
      <c r="AU422" s="21"/>
      <c r="AV422" s="21"/>
    </row>
    <row r="423" spans="1:48" s="31" customFormat="1" ht="36" customHeight="1">
      <c r="C423" s="347" t="s">
        <v>142</v>
      </c>
      <c r="D423" s="348"/>
      <c r="E423" s="348"/>
      <c r="F423" s="348"/>
      <c r="G423" s="348"/>
      <c r="H423" s="348"/>
      <c r="I423" s="348"/>
      <c r="J423" s="348"/>
      <c r="K423" s="348"/>
      <c r="L423" s="388" t="s">
        <v>288</v>
      </c>
      <c r="M423" s="388"/>
      <c r="N423" s="388"/>
      <c r="O423" s="388"/>
      <c r="P423" s="388"/>
      <c r="Q423" s="388"/>
      <c r="R423" s="388" t="s">
        <v>336</v>
      </c>
      <c r="S423" s="388"/>
      <c r="T423" s="388"/>
      <c r="U423" s="388"/>
      <c r="V423" s="388"/>
      <c r="W423" s="388"/>
      <c r="X423" s="388"/>
      <c r="Y423" s="388" t="s">
        <v>337</v>
      </c>
      <c r="Z423" s="388"/>
      <c r="AA423" s="388"/>
      <c r="AB423" s="388"/>
      <c r="AC423" s="388"/>
      <c r="AD423" s="388"/>
      <c r="AE423" s="388"/>
      <c r="AF423" s="388" t="s">
        <v>338</v>
      </c>
      <c r="AG423" s="388"/>
      <c r="AH423" s="388"/>
      <c r="AI423" s="388"/>
      <c r="AJ423" s="388"/>
      <c r="AK423" s="388"/>
      <c r="AL423" s="388"/>
    </row>
    <row r="424" spans="1:48" s="31" customFormat="1" ht="15" customHeight="1">
      <c r="C424" s="389" t="str">
        <f>+C368</f>
        <v xml:space="preserve">Departamento N° </v>
      </c>
      <c r="D424" s="390"/>
      <c r="E424" s="390"/>
      <c r="F424" s="390"/>
      <c r="G424" s="390"/>
      <c r="H424" s="390"/>
      <c r="I424" s="390"/>
      <c r="J424" s="390"/>
      <c r="K424" s="390"/>
      <c r="L424" s="391">
        <f>+L368</f>
        <v>0</v>
      </c>
      <c r="M424" s="391"/>
      <c r="N424" s="391"/>
      <c r="O424" s="391"/>
      <c r="P424" s="391"/>
      <c r="Q424" s="391"/>
      <c r="R424" s="392">
        <f>+R368</f>
        <v>0</v>
      </c>
      <c r="S424" s="392"/>
      <c r="T424" s="392"/>
      <c r="U424" s="392"/>
      <c r="V424" s="392"/>
      <c r="W424" s="392"/>
      <c r="X424" s="392"/>
      <c r="Y424" s="392">
        <f>+R424*L424</f>
        <v>0</v>
      </c>
      <c r="Z424" s="392"/>
      <c r="AA424" s="392"/>
      <c r="AB424" s="392"/>
      <c r="AC424" s="392"/>
      <c r="AD424" s="392"/>
      <c r="AE424" s="392"/>
      <c r="AF424" s="392">
        <f>+Y424</f>
        <v>0</v>
      </c>
      <c r="AG424" s="392"/>
      <c r="AH424" s="392"/>
      <c r="AI424" s="392"/>
      <c r="AJ424" s="392"/>
      <c r="AK424" s="392"/>
      <c r="AL424" s="392"/>
    </row>
    <row r="425" spans="1:48" s="31" customFormat="1" ht="15" customHeight="1">
      <c r="C425" s="389" t="str">
        <f>+C369</f>
        <v xml:space="preserve">Estacionamiento N° </v>
      </c>
      <c r="D425" s="390"/>
      <c r="E425" s="390"/>
      <c r="F425" s="390"/>
      <c r="G425" s="390"/>
      <c r="H425" s="390"/>
      <c r="I425" s="390"/>
      <c r="J425" s="390"/>
      <c r="K425" s="390"/>
      <c r="L425" s="391">
        <f>+L369</f>
        <v>0</v>
      </c>
      <c r="M425" s="391"/>
      <c r="N425" s="391"/>
      <c r="O425" s="391"/>
      <c r="P425" s="391"/>
      <c r="Q425" s="391"/>
      <c r="R425" s="392">
        <f>+R369</f>
        <v>0</v>
      </c>
      <c r="S425" s="392"/>
      <c r="T425" s="392"/>
      <c r="U425" s="392"/>
      <c r="V425" s="392"/>
      <c r="W425" s="392"/>
      <c r="X425" s="392"/>
      <c r="Y425" s="392">
        <f>+R425*L425</f>
        <v>0</v>
      </c>
      <c r="Z425" s="392"/>
      <c r="AA425" s="392"/>
      <c r="AB425" s="392"/>
      <c r="AC425" s="392"/>
      <c r="AD425" s="392"/>
      <c r="AE425" s="392"/>
      <c r="AF425" s="392">
        <f>+Y425</f>
        <v>0</v>
      </c>
      <c r="AG425" s="392"/>
      <c r="AH425" s="392"/>
      <c r="AI425" s="392"/>
      <c r="AJ425" s="392"/>
      <c r="AK425" s="392"/>
      <c r="AL425" s="392"/>
    </row>
    <row r="426" spans="1:48" s="31" customFormat="1" ht="15" customHeight="1">
      <c r="C426" s="389" t="str">
        <f>+C370</f>
        <v xml:space="preserve">Depósito N° </v>
      </c>
      <c r="D426" s="390"/>
      <c r="E426" s="390"/>
      <c r="F426" s="390"/>
      <c r="G426" s="390"/>
      <c r="H426" s="390"/>
      <c r="I426" s="390"/>
      <c r="J426" s="390"/>
      <c r="K426" s="390"/>
      <c r="L426" s="391">
        <f>+L370</f>
        <v>0</v>
      </c>
      <c r="M426" s="391"/>
      <c r="N426" s="391"/>
      <c r="O426" s="391"/>
      <c r="P426" s="391"/>
      <c r="Q426" s="391"/>
      <c r="R426" s="392">
        <f>+R370</f>
        <v>0</v>
      </c>
      <c r="S426" s="392"/>
      <c r="T426" s="392"/>
      <c r="U426" s="392"/>
      <c r="V426" s="392"/>
      <c r="W426" s="392"/>
      <c r="X426" s="392"/>
      <c r="Y426" s="392">
        <f>+R426*L426</f>
        <v>0</v>
      </c>
      <c r="Z426" s="392"/>
      <c r="AA426" s="392"/>
      <c r="AB426" s="392"/>
      <c r="AC426" s="392"/>
      <c r="AD426" s="392"/>
      <c r="AE426" s="392"/>
      <c r="AF426" s="392">
        <f>+Y426</f>
        <v>0</v>
      </c>
      <c r="AG426" s="392"/>
      <c r="AH426" s="392"/>
      <c r="AI426" s="392"/>
      <c r="AJ426" s="392"/>
      <c r="AK426" s="392"/>
      <c r="AL426" s="392"/>
    </row>
    <row r="427" spans="1:48" s="31" customFormat="1" ht="19.5" customHeight="1" thickBot="1">
      <c r="C427" s="393" t="s">
        <v>151</v>
      </c>
      <c r="D427" s="394"/>
      <c r="E427" s="394"/>
      <c r="F427" s="394"/>
      <c r="G427" s="394"/>
      <c r="H427" s="394"/>
      <c r="I427" s="394"/>
      <c r="J427" s="394"/>
      <c r="K427" s="394"/>
      <c r="L427" s="395">
        <f>SUM(L424:Q426)</f>
        <v>0</v>
      </c>
      <c r="M427" s="395"/>
      <c r="N427" s="395"/>
      <c r="O427" s="395"/>
      <c r="P427" s="395"/>
      <c r="Q427" s="395"/>
      <c r="R427" s="359"/>
      <c r="S427" s="359"/>
      <c r="T427" s="359"/>
      <c r="U427" s="359"/>
      <c r="V427" s="359"/>
      <c r="W427" s="359"/>
      <c r="X427" s="359"/>
      <c r="Y427" s="359">
        <f>SUM(Y424:AE426)</f>
        <v>0</v>
      </c>
      <c r="Z427" s="359"/>
      <c r="AA427" s="359"/>
      <c r="AB427" s="359"/>
      <c r="AC427" s="359"/>
      <c r="AD427" s="359"/>
      <c r="AE427" s="359"/>
      <c r="AF427" s="359">
        <f>SUM(AF424:AL426)</f>
        <v>0</v>
      </c>
      <c r="AG427" s="359"/>
      <c r="AH427" s="359"/>
      <c r="AI427" s="359"/>
      <c r="AJ427" s="359"/>
      <c r="AK427" s="359"/>
      <c r="AL427" s="359"/>
      <c r="AM427" s="112"/>
    </row>
    <row r="428" spans="1:48" ht="27" customHeight="1">
      <c r="A428" s="325">
        <f>+A421+1</f>
        <v>2</v>
      </c>
      <c r="B428" s="326"/>
      <c r="C428" s="91" t="s">
        <v>329</v>
      </c>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row>
    <row r="429" spans="1:48" ht="30" hidden="1" customHeight="1">
      <c r="A429" s="21"/>
      <c r="B429" s="21"/>
      <c r="C429" s="302" t="s">
        <v>330</v>
      </c>
      <c r="D429" s="303"/>
      <c r="E429" s="303"/>
      <c r="F429" s="303"/>
      <c r="G429" s="303"/>
      <c r="H429" s="303"/>
      <c r="I429" s="303"/>
      <c r="J429" s="303"/>
      <c r="K429" s="303"/>
      <c r="L429" s="303"/>
      <c r="M429" s="303"/>
      <c r="N429" s="303"/>
      <c r="O429" s="303"/>
      <c r="P429" s="303"/>
      <c r="Q429" s="303"/>
      <c r="R429" s="303"/>
      <c r="S429" s="303"/>
      <c r="T429" s="303"/>
      <c r="U429" s="304"/>
      <c r="V429" s="304"/>
      <c r="W429" s="304"/>
      <c r="X429" s="304"/>
      <c r="Y429" s="304"/>
      <c r="Z429" s="304"/>
      <c r="AA429" s="304"/>
      <c r="AB429" s="304"/>
      <c r="AC429" s="304"/>
      <c r="AD429" s="304"/>
      <c r="AE429" s="304"/>
      <c r="AF429" s="304"/>
      <c r="AG429" s="304"/>
      <c r="AH429" s="304"/>
      <c r="AI429" s="304"/>
      <c r="AJ429" s="304"/>
      <c r="AK429" s="304"/>
      <c r="AL429" s="304"/>
      <c r="AM429" s="304"/>
      <c r="AN429" s="304"/>
      <c r="AO429" s="304"/>
      <c r="AP429" s="304"/>
      <c r="AQ429" s="304"/>
      <c r="AR429" s="304"/>
      <c r="AS429" s="304"/>
      <c r="AT429" s="304"/>
      <c r="AU429" s="304"/>
      <c r="AV429" s="304"/>
    </row>
    <row r="430" spans="1:48" ht="18.75" hidden="1" customHeight="1">
      <c r="A430" s="21"/>
      <c r="B430" s="21"/>
      <c r="C430" s="302" t="s">
        <v>331</v>
      </c>
      <c r="D430" s="303"/>
      <c r="E430" s="303"/>
      <c r="F430" s="303"/>
      <c r="G430" s="303"/>
      <c r="H430" s="303"/>
      <c r="I430" s="303"/>
      <c r="J430" s="303"/>
      <c r="K430" s="303"/>
      <c r="L430" s="303"/>
      <c r="M430" s="303"/>
      <c r="N430" s="303"/>
      <c r="O430" s="303"/>
      <c r="P430" s="303"/>
      <c r="Q430" s="303"/>
      <c r="R430" s="303"/>
      <c r="S430" s="303"/>
      <c r="T430" s="303"/>
      <c r="U430" s="304"/>
      <c r="V430" s="304"/>
      <c r="W430" s="304"/>
      <c r="X430" s="304"/>
      <c r="Y430" s="304"/>
      <c r="Z430" s="304"/>
      <c r="AA430" s="304"/>
      <c r="AB430" s="304"/>
      <c r="AC430" s="304"/>
      <c r="AD430" s="304"/>
      <c r="AE430" s="304"/>
      <c r="AF430" s="304"/>
      <c r="AG430" s="304"/>
      <c r="AH430" s="304"/>
      <c r="AI430" s="304"/>
      <c r="AJ430" s="304"/>
      <c r="AK430" s="304"/>
      <c r="AL430" s="304"/>
      <c r="AM430" s="304"/>
      <c r="AN430" s="304"/>
      <c r="AO430" s="304"/>
      <c r="AP430" s="304"/>
      <c r="AQ430" s="304"/>
      <c r="AR430" s="304"/>
      <c r="AS430" s="304"/>
      <c r="AT430" s="304"/>
      <c r="AU430" s="304"/>
      <c r="AV430" s="304"/>
    </row>
    <row r="431" spans="1:48" ht="6" customHeight="1">
      <c r="A431" s="21"/>
      <c r="B431" s="21"/>
      <c r="C431" s="149"/>
      <c r="D431" s="103"/>
      <c r="E431" s="103"/>
      <c r="F431" s="103"/>
      <c r="G431" s="103"/>
      <c r="H431" s="103"/>
      <c r="I431" s="103"/>
      <c r="J431" s="103"/>
      <c r="K431" s="103"/>
      <c r="L431" s="103"/>
      <c r="M431" s="103"/>
      <c r="N431" s="103"/>
      <c r="O431" s="103"/>
      <c r="P431" s="103"/>
      <c r="Q431" s="103"/>
      <c r="R431" s="103"/>
      <c r="S431" s="103"/>
      <c r="T431" s="103"/>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row>
    <row r="432" spans="1:48" s="31" customFormat="1" ht="39" customHeight="1">
      <c r="A432" s="162"/>
      <c r="B432" s="163"/>
      <c r="C432" s="347" t="s">
        <v>142</v>
      </c>
      <c r="D432" s="348"/>
      <c r="E432" s="348"/>
      <c r="F432" s="348"/>
      <c r="G432" s="348"/>
      <c r="H432" s="348"/>
      <c r="I432" s="348"/>
      <c r="J432" s="349"/>
      <c r="K432" s="347" t="s">
        <v>293</v>
      </c>
      <c r="L432" s="348"/>
      <c r="M432" s="348"/>
      <c r="N432" s="348"/>
      <c r="O432" s="349"/>
      <c r="P432" s="388" t="s">
        <v>294</v>
      </c>
      <c r="Q432" s="388"/>
      <c r="R432" s="388"/>
      <c r="S432" s="388"/>
      <c r="T432" s="347" t="s">
        <v>340</v>
      </c>
      <c r="U432" s="348"/>
      <c r="V432" s="348"/>
      <c r="W432" s="348"/>
      <c r="X432" s="349"/>
      <c r="Y432" s="347" t="s">
        <v>341</v>
      </c>
      <c r="Z432" s="348"/>
      <c r="AA432" s="348"/>
      <c r="AB432" s="348"/>
      <c r="AC432" s="349"/>
      <c r="AD432" s="347" t="s">
        <v>359</v>
      </c>
      <c r="AE432" s="348"/>
      <c r="AF432" s="348"/>
      <c r="AG432" s="348"/>
      <c r="AH432" s="349"/>
      <c r="AI432" s="347" t="s">
        <v>360</v>
      </c>
      <c r="AJ432" s="348"/>
      <c r="AK432" s="348"/>
      <c r="AL432" s="348"/>
      <c r="AM432" s="349"/>
      <c r="AN432" s="347" t="s">
        <v>299</v>
      </c>
      <c r="AO432" s="348"/>
      <c r="AP432" s="349"/>
      <c r="AQ432" s="347" t="s">
        <v>361</v>
      </c>
      <c r="AR432" s="348"/>
      <c r="AS432" s="348"/>
      <c r="AT432" s="348"/>
      <c r="AU432" s="349"/>
    </row>
    <row r="433" spans="1:48" s="31" customFormat="1" ht="13.5">
      <c r="A433" s="162"/>
      <c r="B433" s="163"/>
      <c r="C433" s="382" t="s">
        <v>333</v>
      </c>
      <c r="D433" s="383"/>
      <c r="E433" s="383"/>
      <c r="F433" s="383"/>
      <c r="G433" s="383"/>
      <c r="H433" s="383"/>
      <c r="I433" s="383"/>
      <c r="J433" s="384"/>
      <c r="K433" s="372"/>
      <c r="L433" s="373"/>
      <c r="M433" s="373"/>
      <c r="N433" s="373"/>
      <c r="O433" s="374"/>
      <c r="P433" s="375"/>
      <c r="Q433" s="375"/>
      <c r="R433" s="375"/>
      <c r="S433" s="375"/>
      <c r="T433" s="385"/>
      <c r="U433" s="386"/>
      <c r="V433" s="386"/>
      <c r="W433" s="386"/>
      <c r="X433" s="387"/>
      <c r="Y433" s="376"/>
      <c r="Z433" s="377"/>
      <c r="AA433" s="377"/>
      <c r="AB433" s="377"/>
      <c r="AC433" s="378"/>
      <c r="AD433" s="353"/>
      <c r="AE433" s="354"/>
      <c r="AF433" s="354"/>
      <c r="AG433" s="354"/>
      <c r="AH433" s="355"/>
      <c r="AI433" s="353"/>
      <c r="AJ433" s="354"/>
      <c r="AK433" s="354"/>
      <c r="AL433" s="354"/>
      <c r="AM433" s="355"/>
      <c r="AN433" s="350"/>
      <c r="AO433" s="351"/>
      <c r="AP433" s="352"/>
      <c r="AQ433" s="353"/>
      <c r="AR433" s="354"/>
      <c r="AS433" s="354"/>
      <c r="AT433" s="354"/>
      <c r="AU433" s="355"/>
    </row>
    <row r="434" spans="1:48" s="31" customFormat="1" ht="13.5">
      <c r="A434" s="162"/>
      <c r="B434" s="163"/>
      <c r="C434" s="379" t="str">
        <f t="shared" ref="C434:C439" si="10">+C333</f>
        <v xml:space="preserve">Departamento N° </v>
      </c>
      <c r="D434" s="380"/>
      <c r="E434" s="380"/>
      <c r="F434" s="380"/>
      <c r="G434" s="380"/>
      <c r="H434" s="380"/>
      <c r="I434" s="380"/>
      <c r="J434" s="381"/>
      <c r="K434" s="372">
        <f>+K333</f>
        <v>0</v>
      </c>
      <c r="L434" s="373"/>
      <c r="M434" s="373"/>
      <c r="N434" s="373"/>
      <c r="O434" s="374"/>
      <c r="P434" s="375"/>
      <c r="Q434" s="375"/>
      <c r="R434" s="375"/>
      <c r="S434" s="375"/>
      <c r="T434" s="376">
        <f t="shared" ref="T434:T440" si="11">+T333*$M$51</f>
        <v>0</v>
      </c>
      <c r="U434" s="377"/>
      <c r="V434" s="377"/>
      <c r="W434" s="377"/>
      <c r="X434" s="378"/>
      <c r="Y434" s="376">
        <f t="shared" ref="Y434:Y440" si="12">+K434*T434</f>
        <v>0</v>
      </c>
      <c r="Z434" s="377"/>
      <c r="AA434" s="377"/>
      <c r="AB434" s="377"/>
      <c r="AC434" s="378"/>
      <c r="AD434" s="353">
        <f t="shared" ref="AD434:AD440" si="13">+Y434*0.15</f>
        <v>0</v>
      </c>
      <c r="AE434" s="354"/>
      <c r="AF434" s="354"/>
      <c r="AG434" s="354"/>
      <c r="AH434" s="355"/>
      <c r="AI434" s="353">
        <f>+AE452</f>
        <v>0</v>
      </c>
      <c r="AJ434" s="354"/>
      <c r="AK434" s="354"/>
      <c r="AL434" s="354"/>
      <c r="AM434" s="355"/>
      <c r="AN434" s="350">
        <f t="shared" ref="AN434:AN440" si="14">+AN333</f>
        <v>0</v>
      </c>
      <c r="AO434" s="351"/>
      <c r="AP434" s="352"/>
      <c r="AQ434" s="353">
        <f>+(((AI434+AD434+Y434)*(1-AN434)))</f>
        <v>0</v>
      </c>
      <c r="AR434" s="354"/>
      <c r="AS434" s="354"/>
      <c r="AT434" s="354"/>
      <c r="AU434" s="355"/>
    </row>
    <row r="435" spans="1:48" s="31" customFormat="1" ht="13.5" customHeight="1">
      <c r="A435" s="162"/>
      <c r="B435" s="163"/>
      <c r="C435" s="379" t="str">
        <f t="shared" si="10"/>
        <v xml:space="preserve"> - Área sin techar</v>
      </c>
      <c r="D435" s="380"/>
      <c r="E435" s="380"/>
      <c r="F435" s="380"/>
      <c r="G435" s="380"/>
      <c r="H435" s="380"/>
      <c r="I435" s="380"/>
      <c r="J435" s="381"/>
      <c r="K435" s="372"/>
      <c r="L435" s="373"/>
      <c r="M435" s="373"/>
      <c r="N435" s="373"/>
      <c r="O435" s="374"/>
      <c r="P435" s="375">
        <f>+P334</f>
        <v>0</v>
      </c>
      <c r="Q435" s="375"/>
      <c r="R435" s="375"/>
      <c r="S435" s="375"/>
      <c r="T435" s="376">
        <f t="shared" si="11"/>
        <v>0</v>
      </c>
      <c r="U435" s="377"/>
      <c r="V435" s="377"/>
      <c r="W435" s="377"/>
      <c r="X435" s="378"/>
      <c r="Y435" s="376">
        <f t="shared" si="12"/>
        <v>0</v>
      </c>
      <c r="Z435" s="377"/>
      <c r="AA435" s="377"/>
      <c r="AB435" s="377"/>
      <c r="AC435" s="378"/>
      <c r="AD435" s="353">
        <f t="shared" si="13"/>
        <v>0</v>
      </c>
      <c r="AE435" s="354"/>
      <c r="AF435" s="354"/>
      <c r="AG435" s="354"/>
      <c r="AH435" s="355"/>
      <c r="AI435" s="353"/>
      <c r="AJ435" s="354"/>
      <c r="AK435" s="354"/>
      <c r="AL435" s="354"/>
      <c r="AM435" s="355"/>
      <c r="AN435" s="350">
        <f t="shared" si="14"/>
        <v>0</v>
      </c>
      <c r="AO435" s="351"/>
      <c r="AP435" s="352"/>
      <c r="AQ435" s="353">
        <f t="shared" ref="AQ435:AQ440" si="15">+(((AI435+AD435+Y435)*(1-AN435)))</f>
        <v>0</v>
      </c>
      <c r="AR435" s="354"/>
      <c r="AS435" s="354"/>
      <c r="AT435" s="354"/>
      <c r="AU435" s="355"/>
    </row>
    <row r="436" spans="1:48" s="31" customFormat="1" ht="13.5" customHeight="1">
      <c r="A436" s="162"/>
      <c r="B436" s="163"/>
      <c r="C436" s="379" t="str">
        <f t="shared" si="10"/>
        <v xml:space="preserve">Estacionamiento N° </v>
      </c>
      <c r="D436" s="380"/>
      <c r="E436" s="380"/>
      <c r="F436" s="380"/>
      <c r="G436" s="380"/>
      <c r="H436" s="380"/>
      <c r="I436" s="380"/>
      <c r="J436" s="381"/>
      <c r="K436" s="372">
        <f>+K335</f>
        <v>0</v>
      </c>
      <c r="L436" s="373"/>
      <c r="M436" s="373"/>
      <c r="N436" s="373"/>
      <c r="O436" s="374"/>
      <c r="P436" s="375"/>
      <c r="Q436" s="375"/>
      <c r="R436" s="375"/>
      <c r="S436" s="375"/>
      <c r="T436" s="376">
        <f t="shared" si="11"/>
        <v>0</v>
      </c>
      <c r="U436" s="377"/>
      <c r="V436" s="377"/>
      <c r="W436" s="377"/>
      <c r="X436" s="378"/>
      <c r="Y436" s="376">
        <f t="shared" si="12"/>
        <v>0</v>
      </c>
      <c r="Z436" s="377"/>
      <c r="AA436" s="377"/>
      <c r="AB436" s="377"/>
      <c r="AC436" s="378"/>
      <c r="AD436" s="353">
        <f t="shared" si="13"/>
        <v>0</v>
      </c>
      <c r="AE436" s="354"/>
      <c r="AF436" s="354"/>
      <c r="AG436" s="354"/>
      <c r="AH436" s="355"/>
      <c r="AI436" s="353">
        <f>+AE453</f>
        <v>0</v>
      </c>
      <c r="AJ436" s="354"/>
      <c r="AK436" s="354"/>
      <c r="AL436" s="354"/>
      <c r="AM436" s="355"/>
      <c r="AN436" s="350">
        <f t="shared" si="14"/>
        <v>0</v>
      </c>
      <c r="AO436" s="351"/>
      <c r="AP436" s="352"/>
      <c r="AQ436" s="353">
        <f t="shared" si="15"/>
        <v>0</v>
      </c>
      <c r="AR436" s="354"/>
      <c r="AS436" s="354"/>
      <c r="AT436" s="354"/>
      <c r="AU436" s="355"/>
    </row>
    <row r="437" spans="1:48" s="31" customFormat="1" ht="13.5" customHeight="1">
      <c r="A437" s="162"/>
      <c r="B437" s="163"/>
      <c r="C437" s="379" t="str">
        <f t="shared" si="10"/>
        <v xml:space="preserve"> - Área sin techar</v>
      </c>
      <c r="D437" s="380"/>
      <c r="E437" s="380"/>
      <c r="F437" s="380"/>
      <c r="G437" s="380"/>
      <c r="H437" s="380"/>
      <c r="I437" s="380"/>
      <c r="J437" s="381"/>
      <c r="K437" s="372"/>
      <c r="L437" s="373"/>
      <c r="M437" s="373"/>
      <c r="N437" s="373"/>
      <c r="O437" s="374"/>
      <c r="P437" s="375">
        <f>+P336</f>
        <v>0</v>
      </c>
      <c r="Q437" s="375"/>
      <c r="R437" s="375"/>
      <c r="S437" s="375"/>
      <c r="T437" s="376">
        <f t="shared" si="11"/>
        <v>0</v>
      </c>
      <c r="U437" s="377"/>
      <c r="V437" s="377"/>
      <c r="W437" s="377"/>
      <c r="X437" s="378"/>
      <c r="Y437" s="376">
        <f t="shared" si="12"/>
        <v>0</v>
      </c>
      <c r="Z437" s="377"/>
      <c r="AA437" s="377"/>
      <c r="AB437" s="377"/>
      <c r="AC437" s="378"/>
      <c r="AD437" s="353">
        <f t="shared" si="13"/>
        <v>0</v>
      </c>
      <c r="AE437" s="354"/>
      <c r="AF437" s="354"/>
      <c r="AG437" s="354"/>
      <c r="AH437" s="355"/>
      <c r="AI437" s="353"/>
      <c r="AJ437" s="354"/>
      <c r="AK437" s="354"/>
      <c r="AL437" s="354"/>
      <c r="AM437" s="355"/>
      <c r="AN437" s="350">
        <f t="shared" si="14"/>
        <v>0</v>
      </c>
      <c r="AO437" s="351"/>
      <c r="AP437" s="352"/>
      <c r="AQ437" s="353">
        <f t="shared" si="15"/>
        <v>0</v>
      </c>
      <c r="AR437" s="354"/>
      <c r="AS437" s="354"/>
      <c r="AT437" s="354"/>
      <c r="AU437" s="355"/>
    </row>
    <row r="438" spans="1:48" s="31" customFormat="1" ht="13.5" customHeight="1">
      <c r="A438" s="162"/>
      <c r="B438" s="163"/>
      <c r="C438" s="379" t="str">
        <f t="shared" si="10"/>
        <v xml:space="preserve">Depósito N° </v>
      </c>
      <c r="D438" s="380"/>
      <c r="E438" s="380"/>
      <c r="F438" s="380"/>
      <c r="G438" s="380"/>
      <c r="H438" s="380"/>
      <c r="I438" s="380"/>
      <c r="J438" s="381"/>
      <c r="K438" s="372">
        <f>+K337</f>
        <v>0</v>
      </c>
      <c r="L438" s="373"/>
      <c r="M438" s="373"/>
      <c r="N438" s="373"/>
      <c r="O438" s="374"/>
      <c r="P438" s="375"/>
      <c r="Q438" s="375"/>
      <c r="R438" s="375"/>
      <c r="S438" s="375"/>
      <c r="T438" s="376">
        <f t="shared" si="11"/>
        <v>0</v>
      </c>
      <c r="U438" s="377"/>
      <c r="V438" s="377"/>
      <c r="W438" s="377"/>
      <c r="X438" s="378"/>
      <c r="Y438" s="376">
        <f t="shared" si="12"/>
        <v>0</v>
      </c>
      <c r="Z438" s="377"/>
      <c r="AA438" s="377"/>
      <c r="AB438" s="377"/>
      <c r="AC438" s="378"/>
      <c r="AD438" s="353">
        <f t="shared" si="13"/>
        <v>0</v>
      </c>
      <c r="AE438" s="354"/>
      <c r="AF438" s="354"/>
      <c r="AG438" s="354"/>
      <c r="AH438" s="355"/>
      <c r="AI438" s="353">
        <f>+AE454</f>
        <v>0</v>
      </c>
      <c r="AJ438" s="354"/>
      <c r="AK438" s="354"/>
      <c r="AL438" s="354"/>
      <c r="AM438" s="355"/>
      <c r="AN438" s="350">
        <f t="shared" si="14"/>
        <v>0</v>
      </c>
      <c r="AO438" s="351"/>
      <c r="AP438" s="352"/>
      <c r="AQ438" s="353">
        <f t="shared" si="15"/>
        <v>0</v>
      </c>
      <c r="AR438" s="354"/>
      <c r="AS438" s="354"/>
      <c r="AT438" s="354"/>
      <c r="AU438" s="355"/>
    </row>
    <row r="439" spans="1:48" s="31" customFormat="1" ht="13.5" customHeight="1">
      <c r="A439" s="162"/>
      <c r="B439" s="163"/>
      <c r="C439" s="379" t="str">
        <f t="shared" si="10"/>
        <v xml:space="preserve"> - Área sin techar</v>
      </c>
      <c r="D439" s="380"/>
      <c r="E439" s="380"/>
      <c r="F439" s="380"/>
      <c r="G439" s="380"/>
      <c r="H439" s="380"/>
      <c r="I439" s="380"/>
      <c r="J439" s="381"/>
      <c r="K439" s="372"/>
      <c r="L439" s="373"/>
      <c r="M439" s="373"/>
      <c r="N439" s="373"/>
      <c r="O439" s="374"/>
      <c r="P439" s="375">
        <f>+P338</f>
        <v>0</v>
      </c>
      <c r="Q439" s="375"/>
      <c r="R439" s="375"/>
      <c r="S439" s="375"/>
      <c r="T439" s="376">
        <f t="shared" si="11"/>
        <v>0</v>
      </c>
      <c r="U439" s="377"/>
      <c r="V439" s="377"/>
      <c r="W439" s="377"/>
      <c r="X439" s="378"/>
      <c r="Y439" s="376">
        <f t="shared" si="12"/>
        <v>0</v>
      </c>
      <c r="Z439" s="377"/>
      <c r="AA439" s="377"/>
      <c r="AB439" s="377"/>
      <c r="AC439" s="378"/>
      <c r="AD439" s="353">
        <f t="shared" si="13"/>
        <v>0</v>
      </c>
      <c r="AE439" s="354"/>
      <c r="AF439" s="354"/>
      <c r="AG439" s="354"/>
      <c r="AH439" s="355"/>
      <c r="AI439" s="353"/>
      <c r="AJ439" s="354"/>
      <c r="AK439" s="354"/>
      <c r="AL439" s="354"/>
      <c r="AM439" s="355"/>
      <c r="AN439" s="350">
        <f t="shared" si="14"/>
        <v>0</v>
      </c>
      <c r="AO439" s="351"/>
      <c r="AP439" s="352"/>
      <c r="AQ439" s="353">
        <f t="shared" si="15"/>
        <v>0</v>
      </c>
      <c r="AR439" s="354"/>
      <c r="AS439" s="354"/>
      <c r="AT439" s="354"/>
      <c r="AU439" s="355"/>
    </row>
    <row r="440" spans="1:48" s="31" customFormat="1" ht="14.25" customHeight="1">
      <c r="A440" s="162"/>
      <c r="B440" s="163"/>
      <c r="C440" s="369" t="s">
        <v>334</v>
      </c>
      <c r="D440" s="370"/>
      <c r="E440" s="370"/>
      <c r="F440" s="370"/>
      <c r="G440" s="370"/>
      <c r="H440" s="370"/>
      <c r="I440" s="370"/>
      <c r="J440" s="371"/>
      <c r="K440" s="372">
        <f>+K339</f>
        <v>0</v>
      </c>
      <c r="L440" s="373"/>
      <c r="M440" s="373"/>
      <c r="N440" s="373"/>
      <c r="O440" s="374"/>
      <c r="P440" s="375"/>
      <c r="Q440" s="375"/>
      <c r="R440" s="375"/>
      <c r="S440" s="375"/>
      <c r="T440" s="376">
        <f t="shared" si="11"/>
        <v>0</v>
      </c>
      <c r="U440" s="377"/>
      <c r="V440" s="377"/>
      <c r="W440" s="377"/>
      <c r="X440" s="378"/>
      <c r="Y440" s="376">
        <f t="shared" si="12"/>
        <v>0</v>
      </c>
      <c r="Z440" s="377"/>
      <c r="AA440" s="377"/>
      <c r="AB440" s="377"/>
      <c r="AC440" s="378"/>
      <c r="AD440" s="353">
        <f t="shared" si="13"/>
        <v>0</v>
      </c>
      <c r="AE440" s="354"/>
      <c r="AF440" s="354"/>
      <c r="AG440" s="354"/>
      <c r="AH440" s="355"/>
      <c r="AI440" s="353"/>
      <c r="AJ440" s="354"/>
      <c r="AK440" s="354"/>
      <c r="AL440" s="354"/>
      <c r="AM440" s="355"/>
      <c r="AN440" s="350">
        <f t="shared" si="14"/>
        <v>0</v>
      </c>
      <c r="AO440" s="351"/>
      <c r="AP440" s="352"/>
      <c r="AQ440" s="353">
        <f t="shared" si="15"/>
        <v>0</v>
      </c>
      <c r="AR440" s="354"/>
      <c r="AS440" s="354"/>
      <c r="AT440" s="354"/>
      <c r="AU440" s="355"/>
    </row>
    <row r="441" spans="1:48" s="31" customFormat="1" ht="18.75" customHeight="1" thickBot="1">
      <c r="A441" s="162"/>
      <c r="B441" s="163"/>
      <c r="C441" s="188"/>
      <c r="D441" s="189"/>
      <c r="E441" s="189"/>
      <c r="F441" s="189"/>
      <c r="G441" s="189"/>
      <c r="H441" s="189"/>
      <c r="I441" s="200"/>
      <c r="J441" s="201"/>
      <c r="K441" s="356"/>
      <c r="L441" s="357"/>
      <c r="M441" s="357"/>
      <c r="N441" s="357"/>
      <c r="O441" s="358"/>
      <c r="P441" s="359"/>
      <c r="Q441" s="359"/>
      <c r="R441" s="359"/>
      <c r="S441" s="360"/>
      <c r="T441" s="361"/>
      <c r="U441" s="361"/>
      <c r="V441" s="361"/>
      <c r="W441" s="361"/>
      <c r="X441" s="361"/>
      <c r="Y441" s="361"/>
      <c r="Z441" s="361"/>
      <c r="AA441" s="361"/>
      <c r="AB441" s="361"/>
      <c r="AC441" s="361"/>
      <c r="AD441" s="362">
        <f>SUM(AD433:AH440)</f>
        <v>0</v>
      </c>
      <c r="AE441" s="363"/>
      <c r="AF441" s="363"/>
      <c r="AG441" s="363"/>
      <c r="AH441" s="363"/>
      <c r="AI441" s="364">
        <f>SUM(AI433:AM440)</f>
        <v>0</v>
      </c>
      <c r="AJ441" s="365"/>
      <c r="AK441" s="365"/>
      <c r="AL441" s="365"/>
      <c r="AM441" s="365"/>
      <c r="AN441" s="366"/>
      <c r="AO441" s="367"/>
      <c r="AP441" s="367"/>
      <c r="AQ441" s="364">
        <f>SUM(AQ434:AU440)</f>
        <v>0</v>
      </c>
      <c r="AR441" s="365"/>
      <c r="AS441" s="365"/>
      <c r="AT441" s="365"/>
      <c r="AU441" s="368"/>
    </row>
    <row r="442" spans="1:48" s="165" customFormat="1" ht="6.75" customHeight="1">
      <c r="A442" s="166"/>
      <c r="B442" s="166"/>
      <c r="C442" s="170"/>
      <c r="D442" s="170"/>
      <c r="E442" s="170"/>
      <c r="F442" s="170"/>
      <c r="G442" s="170"/>
      <c r="H442" s="170"/>
      <c r="I442" s="170"/>
      <c r="J442" s="170"/>
      <c r="K442" s="170"/>
      <c r="L442" s="170"/>
      <c r="M442" s="170"/>
      <c r="N442" s="170"/>
      <c r="O442" s="170"/>
      <c r="P442" s="170"/>
      <c r="Q442" s="170"/>
      <c r="R442" s="170"/>
      <c r="S442" s="170"/>
      <c r="T442" s="170"/>
      <c r="U442" s="166"/>
      <c r="V442" s="166"/>
      <c r="W442" s="166"/>
      <c r="X442" s="166"/>
      <c r="Y442" s="166"/>
      <c r="Z442" s="72"/>
      <c r="AA442" s="72"/>
      <c r="AB442" s="72"/>
      <c r="AC442" s="72"/>
      <c r="AD442" s="72"/>
      <c r="AE442" s="72"/>
      <c r="AF442" s="72"/>
      <c r="AG442" s="72"/>
      <c r="AH442" s="72"/>
      <c r="AI442" s="72"/>
      <c r="AJ442" s="72"/>
      <c r="AK442" s="72"/>
      <c r="AL442" s="72"/>
      <c r="AM442" s="72"/>
      <c r="AN442" s="72"/>
      <c r="AO442" s="72"/>
      <c r="AP442" s="71"/>
    </row>
    <row r="443" spans="1:48" s="165" customFormat="1" ht="24.75" customHeight="1">
      <c r="A443" s="325">
        <f>+A428+1</f>
        <v>3</v>
      </c>
      <c r="B443" s="346"/>
      <c r="C443" s="91" t="s">
        <v>303</v>
      </c>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row>
    <row r="444" spans="1:48" s="165" customFormat="1" ht="3" customHeight="1">
      <c r="A444" s="94"/>
      <c r="B444" s="95"/>
      <c r="C444" s="9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row>
    <row r="445" spans="1:48" s="165" customFormat="1" ht="27.75" customHeight="1">
      <c r="A445" s="72"/>
      <c r="B445" s="72"/>
      <c r="C445" s="331" t="s">
        <v>304</v>
      </c>
      <c r="D445" s="332"/>
      <c r="E445" s="332"/>
      <c r="F445" s="332"/>
      <c r="G445" s="332"/>
      <c r="H445" s="332"/>
      <c r="I445" s="332"/>
      <c r="J445" s="332"/>
      <c r="K445" s="332"/>
      <c r="L445" s="332"/>
      <c r="M445" s="332"/>
      <c r="N445" s="332"/>
      <c r="O445" s="332"/>
      <c r="P445" s="332"/>
      <c r="Q445" s="332"/>
      <c r="R445" s="332"/>
      <c r="S445" s="333"/>
      <c r="T445" s="334" t="s">
        <v>305</v>
      </c>
      <c r="U445" s="332"/>
      <c r="V445" s="332"/>
      <c r="W445" s="332"/>
      <c r="X445" s="332"/>
      <c r="Y445" s="333"/>
      <c r="Z445" s="334" t="s">
        <v>362</v>
      </c>
      <c r="AA445" s="332"/>
      <c r="AB445" s="332"/>
      <c r="AC445" s="332"/>
      <c r="AD445" s="332"/>
      <c r="AE445" s="347" t="s">
        <v>347</v>
      </c>
      <c r="AF445" s="348"/>
      <c r="AG445" s="348"/>
      <c r="AH445" s="348"/>
      <c r="AI445" s="348"/>
      <c r="AJ445" s="348"/>
      <c r="AK445" s="348"/>
      <c r="AL445" s="349"/>
    </row>
    <row r="446" spans="1:48" s="165" customFormat="1" ht="15" customHeight="1">
      <c r="A446" s="71"/>
      <c r="B446" s="71"/>
      <c r="C446" s="311">
        <f>+C386</f>
        <v>0</v>
      </c>
      <c r="D446" s="312"/>
      <c r="E446" s="312"/>
      <c r="F446" s="312"/>
      <c r="G446" s="312"/>
      <c r="H446" s="312"/>
      <c r="I446" s="312"/>
      <c r="J446" s="312"/>
      <c r="K446" s="312"/>
      <c r="L446" s="312"/>
      <c r="M446" s="312"/>
      <c r="N446" s="312"/>
      <c r="O446" s="312"/>
      <c r="P446" s="312"/>
      <c r="Q446" s="312"/>
      <c r="R446" s="312"/>
      <c r="S446" s="313"/>
      <c r="T446" s="337">
        <f>+T386</f>
        <v>0</v>
      </c>
      <c r="U446" s="338"/>
      <c r="V446" s="338"/>
      <c r="W446" s="338"/>
      <c r="X446" s="339" t="str">
        <f>+X386</f>
        <v>Und</v>
      </c>
      <c r="Y446" s="340"/>
      <c r="Z446" s="341">
        <f>+Z386</f>
        <v>0</v>
      </c>
      <c r="AA446" s="342"/>
      <c r="AB446" s="342"/>
      <c r="AC446" s="342"/>
      <c r="AD446" s="342"/>
      <c r="AE446" s="343">
        <f>+T446*Z446</f>
        <v>0</v>
      </c>
      <c r="AF446" s="344"/>
      <c r="AG446" s="344"/>
      <c r="AH446" s="344"/>
      <c r="AI446" s="344"/>
      <c r="AJ446" s="344"/>
      <c r="AK446" s="344"/>
      <c r="AL446" s="345"/>
    </row>
    <row r="447" spans="1:48" s="165" customFormat="1" ht="15" customHeight="1">
      <c r="A447" s="71"/>
      <c r="B447" s="71"/>
      <c r="C447" s="311">
        <f>+C387</f>
        <v>0</v>
      </c>
      <c r="D447" s="312"/>
      <c r="E447" s="312"/>
      <c r="F447" s="312"/>
      <c r="G447" s="312"/>
      <c r="H447" s="312"/>
      <c r="I447" s="312"/>
      <c r="J447" s="312"/>
      <c r="K447" s="312"/>
      <c r="L447" s="312"/>
      <c r="M447" s="312"/>
      <c r="N447" s="312"/>
      <c r="O447" s="312"/>
      <c r="P447" s="312"/>
      <c r="Q447" s="312"/>
      <c r="R447" s="312"/>
      <c r="S447" s="313"/>
      <c r="T447" s="337">
        <f>+T387</f>
        <v>0</v>
      </c>
      <c r="U447" s="338"/>
      <c r="V447" s="338"/>
      <c r="W447" s="338"/>
      <c r="X447" s="339" t="str">
        <f>+X387</f>
        <v>m3</v>
      </c>
      <c r="Y447" s="340"/>
      <c r="Z447" s="341">
        <f>+Z387</f>
        <v>0</v>
      </c>
      <c r="AA447" s="342"/>
      <c r="AB447" s="342"/>
      <c r="AC447" s="342"/>
      <c r="AD447" s="342"/>
      <c r="AE447" s="343">
        <f>+T447*Z447</f>
        <v>0</v>
      </c>
      <c r="AF447" s="344"/>
      <c r="AG447" s="344"/>
      <c r="AH447" s="344"/>
      <c r="AI447" s="344"/>
      <c r="AJ447" s="344"/>
      <c r="AK447" s="344"/>
      <c r="AL447" s="345"/>
    </row>
    <row r="448" spans="1:48" s="165" customFormat="1" ht="15" customHeight="1">
      <c r="A448" s="71"/>
      <c r="B448" s="71"/>
      <c r="C448" s="311">
        <f>+C388</f>
        <v>0</v>
      </c>
      <c r="D448" s="312"/>
      <c r="E448" s="312"/>
      <c r="F448" s="312"/>
      <c r="G448" s="312"/>
      <c r="H448" s="312"/>
      <c r="I448" s="312"/>
      <c r="J448" s="312"/>
      <c r="K448" s="312"/>
      <c r="L448" s="312"/>
      <c r="M448" s="312"/>
      <c r="N448" s="312"/>
      <c r="O448" s="312"/>
      <c r="P448" s="312"/>
      <c r="Q448" s="312"/>
      <c r="R448" s="312"/>
      <c r="S448" s="313"/>
      <c r="T448" s="337">
        <f>+T388</f>
        <v>0</v>
      </c>
      <c r="U448" s="338"/>
      <c r="V448" s="338"/>
      <c r="W448" s="338"/>
      <c r="X448" s="339" t="str">
        <f>+X388</f>
        <v>Und</v>
      </c>
      <c r="Y448" s="340"/>
      <c r="Z448" s="341">
        <f>+Z388</f>
        <v>0</v>
      </c>
      <c r="AA448" s="342"/>
      <c r="AB448" s="342"/>
      <c r="AC448" s="342"/>
      <c r="AD448" s="342"/>
      <c r="AE448" s="343">
        <f>+T448*Z448</f>
        <v>0</v>
      </c>
      <c r="AF448" s="344"/>
      <c r="AG448" s="344"/>
      <c r="AH448" s="344"/>
      <c r="AI448" s="344"/>
      <c r="AJ448" s="344"/>
      <c r="AK448" s="344"/>
      <c r="AL448" s="345"/>
    </row>
    <row r="449" spans="1:48" s="165" customFormat="1" ht="18" customHeight="1">
      <c r="A449" s="166"/>
      <c r="B449" s="166"/>
      <c r="C449" s="167" t="s">
        <v>310</v>
      </c>
      <c r="D449" s="168"/>
      <c r="E449" s="168"/>
      <c r="F449" s="168"/>
      <c r="G449" s="168"/>
      <c r="H449" s="168"/>
      <c r="I449" s="168"/>
      <c r="J449" s="168"/>
      <c r="K449" s="168"/>
      <c r="L449" s="168"/>
      <c r="M449" s="168"/>
      <c r="N449" s="168"/>
      <c r="O449" s="168"/>
      <c r="P449" s="168"/>
      <c r="Q449" s="168"/>
      <c r="R449" s="168"/>
      <c r="S449" s="168"/>
      <c r="T449" s="168"/>
      <c r="U449" s="169"/>
      <c r="V449" s="169"/>
      <c r="W449" s="169"/>
      <c r="X449" s="169"/>
      <c r="Y449" s="169"/>
      <c r="Z449" s="327"/>
      <c r="AA449" s="327"/>
      <c r="AB449" s="327"/>
      <c r="AC449" s="327"/>
      <c r="AD449" s="327"/>
      <c r="AE449" s="328">
        <f>SUM(AE446:AL448)</f>
        <v>0</v>
      </c>
      <c r="AF449" s="329"/>
      <c r="AG449" s="329"/>
      <c r="AH449" s="329"/>
      <c r="AI449" s="329"/>
      <c r="AJ449" s="329"/>
      <c r="AK449" s="329"/>
      <c r="AL449" s="330"/>
    </row>
    <row r="450" spans="1:48" s="165" customFormat="1" ht="6.75" customHeight="1">
      <c r="A450" s="166"/>
      <c r="B450" s="166"/>
      <c r="C450" s="170"/>
      <c r="D450" s="170"/>
      <c r="E450" s="170"/>
      <c r="F450" s="170"/>
      <c r="G450" s="170"/>
      <c r="H450" s="170"/>
      <c r="I450" s="170"/>
      <c r="J450" s="170"/>
      <c r="K450" s="170"/>
      <c r="L450" s="170"/>
      <c r="M450" s="170"/>
      <c r="N450" s="170"/>
      <c r="O450" s="170"/>
      <c r="P450" s="170"/>
      <c r="Q450" s="170"/>
      <c r="R450" s="170"/>
      <c r="S450" s="170"/>
      <c r="T450" s="170"/>
      <c r="U450" s="166"/>
      <c r="V450" s="166"/>
      <c r="W450" s="166"/>
      <c r="X450" s="166"/>
      <c r="Y450" s="166"/>
      <c r="Z450" s="72"/>
      <c r="AA450" s="72"/>
      <c r="AB450" s="72"/>
      <c r="AC450" s="72"/>
      <c r="AD450" s="72"/>
      <c r="AE450" s="72"/>
      <c r="AF450" s="72"/>
      <c r="AG450" s="72"/>
      <c r="AH450" s="72"/>
      <c r="AI450" s="72"/>
      <c r="AJ450" s="72"/>
      <c r="AK450" s="72"/>
      <c r="AL450" s="72"/>
      <c r="AM450" s="72"/>
      <c r="AN450" s="72"/>
      <c r="AO450" s="72"/>
      <c r="AP450" s="71"/>
    </row>
    <row r="451" spans="1:48" s="165" customFormat="1" ht="27.75" customHeight="1">
      <c r="A451" s="72"/>
      <c r="B451" s="72"/>
      <c r="C451" s="331" t="s">
        <v>191</v>
      </c>
      <c r="D451" s="332"/>
      <c r="E451" s="332"/>
      <c r="F451" s="332"/>
      <c r="G451" s="332"/>
      <c r="H451" s="332"/>
      <c r="I451" s="332"/>
      <c r="J451" s="332"/>
      <c r="K451" s="332"/>
      <c r="L451" s="332"/>
      <c r="M451" s="332"/>
      <c r="N451" s="332"/>
      <c r="O451" s="332"/>
      <c r="P451" s="332"/>
      <c r="Q451" s="332"/>
      <c r="R451" s="332"/>
      <c r="S451" s="333"/>
      <c r="T451" s="334" t="s">
        <v>347</v>
      </c>
      <c r="U451" s="332"/>
      <c r="V451" s="332"/>
      <c r="W451" s="332"/>
      <c r="X451" s="332"/>
      <c r="Y451" s="333"/>
      <c r="Z451" s="334" t="s">
        <v>311</v>
      </c>
      <c r="AA451" s="335"/>
      <c r="AB451" s="335"/>
      <c r="AC451" s="335"/>
      <c r="AD451" s="336"/>
      <c r="AE451" s="334" t="s">
        <v>348</v>
      </c>
      <c r="AF451" s="335"/>
      <c r="AG451" s="335"/>
      <c r="AH451" s="335"/>
      <c r="AI451" s="335"/>
      <c r="AJ451" s="335"/>
      <c r="AK451" s="335"/>
      <c r="AL451" s="336"/>
    </row>
    <row r="452" spans="1:48" s="165" customFormat="1" ht="15" customHeight="1">
      <c r="A452" s="71"/>
      <c r="B452" s="71"/>
      <c r="C452" s="311" t="str">
        <f>+C392</f>
        <v xml:space="preserve">Departamento N° </v>
      </c>
      <c r="D452" s="312"/>
      <c r="E452" s="312"/>
      <c r="F452" s="312"/>
      <c r="G452" s="312"/>
      <c r="H452" s="312"/>
      <c r="I452" s="312"/>
      <c r="J452" s="312"/>
      <c r="K452" s="312"/>
      <c r="L452" s="312"/>
      <c r="M452" s="312"/>
      <c r="N452" s="312"/>
      <c r="O452" s="312"/>
      <c r="P452" s="312"/>
      <c r="Q452" s="312"/>
      <c r="R452" s="312"/>
      <c r="S452" s="313"/>
      <c r="T452" s="314">
        <f>+$AE$449</f>
        <v>0</v>
      </c>
      <c r="U452" s="315"/>
      <c r="V452" s="315"/>
      <c r="W452" s="315"/>
      <c r="X452" s="315"/>
      <c r="Y452" s="316"/>
      <c r="Z452" s="317">
        <f>+Z392</f>
        <v>0</v>
      </c>
      <c r="AA452" s="318"/>
      <c r="AB452" s="318"/>
      <c r="AC452" s="318"/>
      <c r="AD452" s="319"/>
      <c r="AE452" s="320">
        <f>+T452*Z452</f>
        <v>0</v>
      </c>
      <c r="AF452" s="321"/>
      <c r="AG452" s="321"/>
      <c r="AH452" s="321"/>
      <c r="AI452" s="321"/>
      <c r="AJ452" s="321"/>
      <c r="AK452" s="321"/>
      <c r="AL452" s="322"/>
    </row>
    <row r="453" spans="1:48" s="165" customFormat="1" ht="15" customHeight="1">
      <c r="A453" s="71"/>
      <c r="B453" s="71"/>
      <c r="C453" s="311" t="str">
        <f>+C393</f>
        <v xml:space="preserve">Estacionamiento N° </v>
      </c>
      <c r="D453" s="312"/>
      <c r="E453" s="312"/>
      <c r="F453" s="312"/>
      <c r="G453" s="312"/>
      <c r="H453" s="312"/>
      <c r="I453" s="312"/>
      <c r="J453" s="312"/>
      <c r="K453" s="312"/>
      <c r="L453" s="312"/>
      <c r="M453" s="312"/>
      <c r="N453" s="312"/>
      <c r="O453" s="312"/>
      <c r="P453" s="312"/>
      <c r="Q453" s="312"/>
      <c r="R453" s="312"/>
      <c r="S453" s="313"/>
      <c r="T453" s="314">
        <f>+$AE$449</f>
        <v>0</v>
      </c>
      <c r="U453" s="315"/>
      <c r="V453" s="315"/>
      <c r="W453" s="315"/>
      <c r="X453" s="315"/>
      <c r="Y453" s="316"/>
      <c r="Z453" s="317">
        <f>+Z393</f>
        <v>0</v>
      </c>
      <c r="AA453" s="318"/>
      <c r="AB453" s="318"/>
      <c r="AC453" s="318"/>
      <c r="AD453" s="319"/>
      <c r="AE453" s="320">
        <f>+T453*Z453</f>
        <v>0</v>
      </c>
      <c r="AF453" s="321"/>
      <c r="AG453" s="321"/>
      <c r="AH453" s="321"/>
      <c r="AI453" s="321"/>
      <c r="AJ453" s="321"/>
      <c r="AK453" s="321"/>
      <c r="AL453" s="322"/>
    </row>
    <row r="454" spans="1:48" s="165" customFormat="1" ht="15" customHeight="1">
      <c r="A454" s="71"/>
      <c r="B454" s="71"/>
      <c r="C454" s="311" t="str">
        <f>+C394</f>
        <v xml:space="preserve">Depósito N° </v>
      </c>
      <c r="D454" s="312"/>
      <c r="E454" s="312"/>
      <c r="F454" s="312"/>
      <c r="G454" s="312"/>
      <c r="H454" s="312"/>
      <c r="I454" s="312"/>
      <c r="J454" s="312"/>
      <c r="K454" s="312"/>
      <c r="L454" s="312"/>
      <c r="M454" s="312"/>
      <c r="N454" s="312"/>
      <c r="O454" s="312"/>
      <c r="P454" s="312"/>
      <c r="Q454" s="312"/>
      <c r="R454" s="312"/>
      <c r="S454" s="313"/>
      <c r="T454" s="314">
        <f>+$AE$449</f>
        <v>0</v>
      </c>
      <c r="U454" s="315"/>
      <c r="V454" s="315"/>
      <c r="W454" s="315"/>
      <c r="X454" s="315"/>
      <c r="Y454" s="316"/>
      <c r="Z454" s="317">
        <f>+Z394</f>
        <v>0</v>
      </c>
      <c r="AA454" s="318"/>
      <c r="AB454" s="318"/>
      <c r="AC454" s="318"/>
      <c r="AD454" s="319"/>
      <c r="AE454" s="320">
        <f>+T454*Z454</f>
        <v>0</v>
      </c>
      <c r="AF454" s="321"/>
      <c r="AG454" s="321"/>
      <c r="AH454" s="321"/>
      <c r="AI454" s="321"/>
      <c r="AJ454" s="321"/>
      <c r="AK454" s="321"/>
      <c r="AL454" s="322"/>
    </row>
    <row r="455" spans="1:48" s="165" customFormat="1" ht="15" customHeight="1">
      <c r="A455" s="166"/>
      <c r="B455" s="166"/>
      <c r="C455" s="167" t="s">
        <v>313</v>
      </c>
      <c r="D455" s="168"/>
      <c r="E455" s="168"/>
      <c r="F455" s="168"/>
      <c r="G455" s="168"/>
      <c r="H455" s="168"/>
      <c r="I455" s="168"/>
      <c r="J455" s="168"/>
      <c r="K455" s="168"/>
      <c r="L455" s="168"/>
      <c r="M455" s="168"/>
      <c r="N455" s="168"/>
      <c r="O455" s="168"/>
      <c r="P455" s="168"/>
      <c r="Q455" s="168"/>
      <c r="R455" s="168"/>
      <c r="S455" s="168"/>
      <c r="T455" s="192"/>
      <c r="U455" s="169"/>
      <c r="V455" s="169"/>
      <c r="W455" s="169"/>
      <c r="X455" s="169"/>
      <c r="Y455" s="169"/>
      <c r="Z455" s="169"/>
      <c r="AA455" s="169"/>
      <c r="AB455" s="169"/>
      <c r="AC455" s="169"/>
      <c r="AD455" s="169"/>
      <c r="AE455" s="323">
        <f>SUM(AE452:AL454)</f>
        <v>0</v>
      </c>
      <c r="AF455" s="323"/>
      <c r="AG455" s="323"/>
      <c r="AH455" s="323"/>
      <c r="AI455" s="323"/>
      <c r="AJ455" s="323"/>
      <c r="AK455" s="323"/>
      <c r="AL455" s="324"/>
    </row>
    <row r="456" spans="1:48" ht="23.25" customHeight="1">
      <c r="A456" s="325">
        <f>1+A428</f>
        <v>3</v>
      </c>
      <c r="B456" s="326"/>
      <c r="C456" s="91" t="s">
        <v>319</v>
      </c>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row>
    <row r="457" spans="1:48" ht="30" hidden="1" customHeight="1">
      <c r="A457" s="21"/>
      <c r="B457" s="21"/>
      <c r="C457" s="302" t="s">
        <v>330</v>
      </c>
      <c r="D457" s="303"/>
      <c r="E457" s="303"/>
      <c r="F457" s="303"/>
      <c r="G457" s="303"/>
      <c r="H457" s="303"/>
      <c r="I457" s="303"/>
      <c r="J457" s="303"/>
      <c r="K457" s="303"/>
      <c r="L457" s="303"/>
      <c r="M457" s="303"/>
      <c r="N457" s="303"/>
      <c r="O457" s="303"/>
      <c r="P457" s="303"/>
      <c r="Q457" s="303"/>
      <c r="R457" s="303"/>
      <c r="S457" s="303"/>
      <c r="T457" s="303"/>
      <c r="U457" s="304"/>
      <c r="V457" s="304"/>
      <c r="W457" s="304"/>
      <c r="X457" s="304"/>
      <c r="Y457" s="304"/>
      <c r="Z457" s="304"/>
      <c r="AA457" s="304"/>
      <c r="AB457" s="304"/>
      <c r="AC457" s="304"/>
      <c r="AD457" s="304"/>
      <c r="AE457" s="304"/>
      <c r="AF457" s="304"/>
      <c r="AG457" s="304"/>
      <c r="AH457" s="304"/>
      <c r="AI457" s="304"/>
      <c r="AJ457" s="304"/>
      <c r="AK457" s="304"/>
      <c r="AL457" s="304"/>
      <c r="AM457" s="304"/>
      <c r="AN457" s="304"/>
      <c r="AO457" s="304"/>
      <c r="AP457" s="304"/>
      <c r="AQ457" s="304"/>
      <c r="AR457" s="304"/>
      <c r="AS457" s="304"/>
      <c r="AT457" s="304"/>
      <c r="AU457" s="304"/>
      <c r="AV457" s="304"/>
    </row>
    <row r="458" spans="1:48" ht="5.25" customHeight="1">
      <c r="A458" s="21"/>
      <c r="B458" s="21"/>
      <c r="C458" s="149"/>
      <c r="D458" s="103"/>
      <c r="E458" s="103"/>
      <c r="F458" s="103"/>
      <c r="G458" s="103"/>
      <c r="H458" s="103"/>
      <c r="I458" s="103"/>
      <c r="J458" s="103"/>
      <c r="K458" s="103"/>
      <c r="L458" s="103"/>
      <c r="M458" s="103"/>
      <c r="N458" s="103"/>
      <c r="O458" s="103"/>
      <c r="P458" s="103"/>
      <c r="Q458" s="103"/>
      <c r="R458" s="103"/>
      <c r="S458" s="103"/>
      <c r="T458" s="103"/>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row>
    <row r="459" spans="1:48" s="31" customFormat="1" ht="39" customHeight="1">
      <c r="A459" s="162"/>
      <c r="B459" s="163"/>
      <c r="C459" s="305" t="s">
        <v>142</v>
      </c>
      <c r="D459" s="306"/>
      <c r="E459" s="306"/>
      <c r="F459" s="306"/>
      <c r="G459" s="306"/>
      <c r="H459" s="306"/>
      <c r="I459" s="306"/>
      <c r="J459" s="306"/>
      <c r="K459" s="306"/>
      <c r="L459" s="307" t="s">
        <v>350</v>
      </c>
      <c r="M459" s="307"/>
      <c r="N459" s="307"/>
      <c r="O459" s="307"/>
      <c r="P459" s="307"/>
      <c r="Q459" s="307"/>
      <c r="R459" s="307"/>
      <c r="S459" s="307" t="s">
        <v>351</v>
      </c>
      <c r="T459" s="307"/>
      <c r="U459" s="307"/>
      <c r="V459" s="307"/>
      <c r="W459" s="307"/>
      <c r="X459" s="307"/>
      <c r="Y459" s="307"/>
      <c r="Z459" s="308" t="s">
        <v>352</v>
      </c>
      <c r="AA459" s="309"/>
      <c r="AB459" s="309"/>
      <c r="AC459" s="309"/>
      <c r="AD459" s="309"/>
      <c r="AE459" s="309"/>
      <c r="AF459" s="310"/>
      <c r="AG459" s="308" t="s">
        <v>323</v>
      </c>
      <c r="AH459" s="309"/>
      <c r="AI459" s="309"/>
      <c r="AJ459" s="309"/>
      <c r="AK459" s="309"/>
      <c r="AL459" s="307" t="s">
        <v>353</v>
      </c>
      <c r="AM459" s="307"/>
      <c r="AN459" s="307"/>
      <c r="AO459" s="307"/>
      <c r="AP459" s="307"/>
      <c r="AQ459" s="307"/>
      <c r="AR459" s="307"/>
    </row>
    <row r="460" spans="1:48" s="31" customFormat="1" ht="13.5" customHeight="1">
      <c r="A460" s="162"/>
      <c r="B460" s="163"/>
      <c r="C460" s="291" t="str">
        <f>+C424</f>
        <v xml:space="preserve">Departamento N° </v>
      </c>
      <c r="D460" s="292"/>
      <c r="E460" s="292"/>
      <c r="F460" s="292"/>
      <c r="G460" s="292"/>
      <c r="H460" s="292"/>
      <c r="I460" s="292"/>
      <c r="J460" s="292"/>
      <c r="K460" s="293"/>
      <c r="L460" s="294">
        <f>+AF424</f>
        <v>0</v>
      </c>
      <c r="M460" s="294"/>
      <c r="N460" s="294"/>
      <c r="O460" s="294"/>
      <c r="P460" s="294"/>
      <c r="Q460" s="294"/>
      <c r="R460" s="294"/>
      <c r="S460" s="295">
        <f>+AQ434+AQ435+AQ440</f>
        <v>0</v>
      </c>
      <c r="T460" s="295"/>
      <c r="U460" s="295"/>
      <c r="V460" s="295"/>
      <c r="W460" s="295"/>
      <c r="X460" s="295"/>
      <c r="Y460" s="295"/>
      <c r="Z460" s="296">
        <f>+L460+S460</f>
        <v>0</v>
      </c>
      <c r="AA460" s="297"/>
      <c r="AB460" s="297"/>
      <c r="AC460" s="297"/>
      <c r="AD460" s="297"/>
      <c r="AE460" s="297"/>
      <c r="AF460" s="298"/>
      <c r="AG460" s="299">
        <f>+AG400</f>
        <v>0</v>
      </c>
      <c r="AH460" s="300"/>
      <c r="AI460" s="300"/>
      <c r="AJ460" s="300"/>
      <c r="AK460" s="300"/>
      <c r="AL460" s="301">
        <f>+(Z460*AG460)</f>
        <v>0</v>
      </c>
      <c r="AM460" s="301"/>
      <c r="AN460" s="301"/>
      <c r="AO460" s="301"/>
      <c r="AP460" s="301"/>
      <c r="AQ460" s="301"/>
      <c r="AR460" s="301"/>
    </row>
    <row r="461" spans="1:48" s="31" customFormat="1" ht="13.5" customHeight="1">
      <c r="A461" s="162"/>
      <c r="B461" s="163"/>
      <c r="C461" s="291" t="str">
        <f>+C425</f>
        <v xml:space="preserve">Estacionamiento N° </v>
      </c>
      <c r="D461" s="292"/>
      <c r="E461" s="292"/>
      <c r="F461" s="292"/>
      <c r="G461" s="292"/>
      <c r="H461" s="292"/>
      <c r="I461" s="292"/>
      <c r="J461" s="292"/>
      <c r="K461" s="293"/>
      <c r="L461" s="294">
        <f>+AF425</f>
        <v>0</v>
      </c>
      <c r="M461" s="294"/>
      <c r="N461" s="294"/>
      <c r="O461" s="294"/>
      <c r="P461" s="294"/>
      <c r="Q461" s="294"/>
      <c r="R461" s="294"/>
      <c r="S461" s="295">
        <f>+AQ436+AQ437</f>
        <v>0</v>
      </c>
      <c r="T461" s="295"/>
      <c r="U461" s="295"/>
      <c r="V461" s="295"/>
      <c r="W461" s="295"/>
      <c r="X461" s="295"/>
      <c r="Y461" s="295"/>
      <c r="Z461" s="296">
        <f>+L461+S461</f>
        <v>0</v>
      </c>
      <c r="AA461" s="297"/>
      <c r="AB461" s="297"/>
      <c r="AC461" s="297"/>
      <c r="AD461" s="297"/>
      <c r="AE461" s="297"/>
      <c r="AF461" s="298"/>
      <c r="AG461" s="299">
        <f>+AG401</f>
        <v>0</v>
      </c>
      <c r="AH461" s="300"/>
      <c r="AI461" s="300"/>
      <c r="AJ461" s="300"/>
      <c r="AK461" s="300"/>
      <c r="AL461" s="301">
        <f>+(Z461*AG461)</f>
        <v>0</v>
      </c>
      <c r="AM461" s="301"/>
      <c r="AN461" s="301"/>
      <c r="AO461" s="301"/>
      <c r="AP461" s="301"/>
      <c r="AQ461" s="301"/>
      <c r="AR461" s="301"/>
    </row>
    <row r="462" spans="1:48" s="31" customFormat="1" ht="13.5" customHeight="1">
      <c r="A462" s="162"/>
      <c r="B462" s="163"/>
      <c r="C462" s="291" t="str">
        <f>+C426</f>
        <v xml:space="preserve">Depósito N° </v>
      </c>
      <c r="D462" s="292"/>
      <c r="E462" s="292"/>
      <c r="F462" s="292"/>
      <c r="G462" s="292"/>
      <c r="H462" s="292"/>
      <c r="I462" s="292"/>
      <c r="J462" s="292"/>
      <c r="K462" s="293"/>
      <c r="L462" s="294">
        <f>+AF426</f>
        <v>0</v>
      </c>
      <c r="M462" s="294"/>
      <c r="N462" s="294"/>
      <c r="O462" s="294"/>
      <c r="P462" s="294"/>
      <c r="Q462" s="294"/>
      <c r="R462" s="294"/>
      <c r="S462" s="295">
        <f>+AQ438+AQ439</f>
        <v>0</v>
      </c>
      <c r="T462" s="295"/>
      <c r="U462" s="295"/>
      <c r="V462" s="295"/>
      <c r="W462" s="295"/>
      <c r="X462" s="295"/>
      <c r="Y462" s="295"/>
      <c r="Z462" s="296">
        <f>+L462+S462</f>
        <v>0</v>
      </c>
      <c r="AA462" s="297"/>
      <c r="AB462" s="297"/>
      <c r="AC462" s="297"/>
      <c r="AD462" s="297"/>
      <c r="AE462" s="297"/>
      <c r="AF462" s="298"/>
      <c r="AG462" s="299">
        <f>+AG402</f>
        <v>0</v>
      </c>
      <c r="AH462" s="300"/>
      <c r="AI462" s="300"/>
      <c r="AJ462" s="300"/>
      <c r="AK462" s="300"/>
      <c r="AL462" s="301">
        <f>+(Z462*AG462)</f>
        <v>0</v>
      </c>
      <c r="AM462" s="301"/>
      <c r="AN462" s="301"/>
      <c r="AO462" s="301"/>
      <c r="AP462" s="301"/>
      <c r="AQ462" s="301"/>
      <c r="AR462" s="301"/>
    </row>
    <row r="463" spans="1:48" s="31" customFormat="1" ht="18" customHeight="1" thickBot="1">
      <c r="A463" s="162"/>
      <c r="B463" s="163"/>
      <c r="C463" s="281"/>
      <c r="D463" s="282"/>
      <c r="E463" s="282"/>
      <c r="F463" s="282"/>
      <c r="G463" s="282"/>
      <c r="H463" s="282"/>
      <c r="I463" s="282"/>
      <c r="J463" s="282"/>
      <c r="K463" s="283"/>
      <c r="L463" s="284">
        <f>SUM(L460:R462)</f>
        <v>0</v>
      </c>
      <c r="M463" s="284"/>
      <c r="N463" s="284"/>
      <c r="O463" s="284"/>
      <c r="P463" s="284"/>
      <c r="Q463" s="284"/>
      <c r="R463" s="284"/>
      <c r="S463" s="284">
        <f>SUM(S460:Y462)</f>
        <v>0</v>
      </c>
      <c r="T463" s="284"/>
      <c r="U463" s="284"/>
      <c r="V463" s="284"/>
      <c r="W463" s="284"/>
      <c r="X463" s="284"/>
      <c r="Y463" s="284"/>
      <c r="Z463" s="285">
        <f>SUM(Z460:AF462)</f>
        <v>0</v>
      </c>
      <c r="AA463" s="286"/>
      <c r="AB463" s="286"/>
      <c r="AC463" s="286"/>
      <c r="AD463" s="286"/>
      <c r="AE463" s="286"/>
      <c r="AF463" s="287"/>
      <c r="AG463" s="288"/>
      <c r="AH463" s="289"/>
      <c r="AI463" s="289"/>
      <c r="AJ463" s="289"/>
      <c r="AK463" s="289"/>
      <c r="AL463" s="290">
        <f>SUM(AL460:AR462)</f>
        <v>0</v>
      </c>
      <c r="AM463" s="290"/>
      <c r="AN463" s="290"/>
      <c r="AO463" s="290"/>
      <c r="AP463" s="290"/>
      <c r="AQ463" s="290"/>
      <c r="AR463" s="290"/>
    </row>
    <row r="464" spans="1:48" s="165" customFormat="1" ht="15" customHeight="1">
      <c r="A464" s="166"/>
      <c r="B464" s="166"/>
      <c r="C464" s="170"/>
      <c r="D464" s="170"/>
      <c r="E464" s="170"/>
      <c r="F464" s="170"/>
      <c r="G464" s="170"/>
      <c r="H464" s="170"/>
      <c r="I464" s="170"/>
      <c r="J464" s="170"/>
      <c r="K464" s="170"/>
      <c r="L464" s="170"/>
      <c r="M464" s="170"/>
      <c r="N464" s="170"/>
      <c r="O464" s="170"/>
      <c r="P464" s="170"/>
      <c r="Q464" s="170"/>
      <c r="R464" s="170"/>
      <c r="S464" s="170"/>
      <c r="T464" s="202"/>
      <c r="U464" s="72"/>
      <c r="V464" s="72"/>
      <c r="W464" s="72"/>
      <c r="X464" s="72"/>
      <c r="Y464" s="72"/>
      <c r="Z464" s="166"/>
      <c r="AA464" s="166"/>
      <c r="AB464" s="166"/>
      <c r="AC464" s="166"/>
      <c r="AD464" s="166"/>
      <c r="AE464" s="202"/>
      <c r="AF464" s="202"/>
      <c r="AG464" s="202"/>
      <c r="AH464" s="202"/>
      <c r="AI464" s="202"/>
      <c r="AJ464" s="202"/>
      <c r="AK464" s="202"/>
      <c r="AL464" s="202"/>
    </row>
    <row r="469" spans="9:48">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row>
    <row r="470" spans="9:48">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row>
    <row r="471" spans="9:48">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row>
    <row r="472" spans="9:48" ht="12.75" customHeight="1">
      <c r="M472" s="21"/>
      <c r="N472" s="21"/>
      <c r="O472" s="21"/>
      <c r="P472" s="21"/>
      <c r="Q472" s="21"/>
      <c r="R472" s="21"/>
      <c r="S472" s="21"/>
      <c r="T472" s="21"/>
      <c r="U472" s="21"/>
      <c r="AA472" s="21"/>
      <c r="AB472" s="21"/>
      <c r="AK472" s="21"/>
      <c r="AL472" s="21"/>
      <c r="AM472" s="21"/>
      <c r="AN472" s="21"/>
      <c r="AO472" s="21"/>
      <c r="AP472" s="21"/>
      <c r="AQ472" s="21"/>
      <c r="AR472" s="21"/>
      <c r="AS472" s="21"/>
      <c r="AT472" s="21"/>
      <c r="AU472" s="21"/>
      <c r="AV472" s="21"/>
    </row>
    <row r="473" spans="9:48">
      <c r="M473" s="21"/>
      <c r="N473" s="21"/>
      <c r="O473" s="21"/>
      <c r="P473" s="21"/>
      <c r="Q473" s="21"/>
      <c r="R473" s="21"/>
      <c r="S473" s="21"/>
      <c r="T473" s="21"/>
      <c r="U473" s="21"/>
      <c r="AA473" s="21"/>
      <c r="AB473" s="21"/>
      <c r="AK473" s="21"/>
      <c r="AL473" s="21"/>
      <c r="AM473" s="21"/>
      <c r="AN473" s="21"/>
      <c r="AO473" s="21"/>
      <c r="AP473" s="21"/>
      <c r="AQ473" s="21"/>
      <c r="AR473" s="21"/>
      <c r="AS473" s="21"/>
      <c r="AT473" s="21"/>
      <c r="AU473" s="21"/>
      <c r="AV473" s="21"/>
    </row>
    <row r="474" spans="9:48">
      <c r="AU474" s="21"/>
      <c r="AV474" s="21"/>
    </row>
    <row r="475" spans="9:48" ht="12.75" customHeight="1">
      <c r="AG475" s="21"/>
      <c r="AH475" s="21"/>
      <c r="AI475" s="21"/>
      <c r="AJ475" s="21"/>
      <c r="AK475" s="21"/>
      <c r="AL475" s="21"/>
      <c r="AM475" s="21"/>
      <c r="AN475" s="21"/>
      <c r="AO475" s="21"/>
      <c r="AP475" s="21"/>
      <c r="AQ475" s="21"/>
      <c r="AR475" s="21"/>
      <c r="AS475" s="21"/>
      <c r="AT475" s="21"/>
      <c r="AU475" s="21"/>
      <c r="AV475" s="21"/>
    </row>
    <row r="476" spans="9:48">
      <c r="I476" s="21"/>
      <c r="J476" s="21"/>
      <c r="K476" s="21"/>
      <c r="L476" s="21"/>
      <c r="M476" s="21"/>
      <c r="N476" s="21"/>
      <c r="O476" s="21"/>
      <c r="P476" s="21"/>
      <c r="Q476" s="21"/>
      <c r="R476" s="21"/>
      <c r="AG476" s="21"/>
      <c r="AH476" s="21"/>
      <c r="AI476" s="21"/>
      <c r="AJ476" s="21"/>
      <c r="AK476" s="21"/>
      <c r="AL476" s="21"/>
      <c r="AM476" s="21"/>
      <c r="AN476" s="21"/>
      <c r="AO476" s="21"/>
      <c r="AP476" s="21"/>
      <c r="AQ476" s="21"/>
      <c r="AR476" s="21"/>
      <c r="AS476" s="21"/>
      <c r="AT476" s="21"/>
      <c r="AU476" s="21"/>
      <c r="AV476" s="21"/>
    </row>
    <row r="477" spans="9:48">
      <c r="N477" s="21"/>
      <c r="O477" s="21"/>
      <c r="P477" s="21"/>
      <c r="Q477" s="21"/>
      <c r="R477" s="21"/>
      <c r="AI477" s="21"/>
      <c r="AJ477" s="21"/>
      <c r="AK477" s="21"/>
      <c r="AL477" s="21"/>
      <c r="AM477" s="21"/>
      <c r="AN477" s="21"/>
      <c r="AO477" s="21"/>
      <c r="AP477" s="21"/>
      <c r="AQ477" s="21"/>
      <c r="AR477" s="21"/>
      <c r="AS477" s="21"/>
      <c r="AT477" s="21"/>
      <c r="AU477" s="21"/>
      <c r="AV477" s="21"/>
    </row>
    <row r="478" spans="9:48">
      <c r="N478" s="21"/>
      <c r="O478" s="21"/>
      <c r="P478" s="21"/>
      <c r="Q478" s="21"/>
      <c r="R478" s="21"/>
      <c r="S478" s="21"/>
      <c r="T478" s="21"/>
      <c r="U478" s="21"/>
      <c r="AI478" s="21"/>
      <c r="AJ478" s="21"/>
      <c r="AK478" s="21"/>
      <c r="AL478" s="21"/>
      <c r="AM478" s="21"/>
      <c r="AN478" s="21"/>
      <c r="AO478" s="21"/>
      <c r="AP478" s="21"/>
      <c r="AQ478" s="21"/>
      <c r="AR478" s="21"/>
      <c r="AS478" s="21"/>
      <c r="AT478" s="21"/>
      <c r="AU478" s="21"/>
      <c r="AV478" s="21"/>
    </row>
    <row r="479" spans="9:48">
      <c r="N479" s="21"/>
      <c r="O479" s="21"/>
      <c r="P479" s="21"/>
      <c r="Q479" s="21"/>
      <c r="R479" s="21"/>
      <c r="S479" s="21"/>
      <c r="T479" s="21"/>
      <c r="U479" s="21"/>
      <c r="AI479" s="21"/>
      <c r="AJ479" s="21"/>
      <c r="AK479" s="21"/>
      <c r="AL479" s="21"/>
      <c r="AM479" s="21"/>
      <c r="AN479" s="21"/>
      <c r="AO479" s="21"/>
      <c r="AP479" s="21"/>
      <c r="AQ479" s="21"/>
      <c r="AR479" s="21"/>
      <c r="AS479" s="21"/>
      <c r="AT479" s="21"/>
      <c r="AU479" s="21"/>
      <c r="AV479" s="21"/>
    </row>
    <row r="480" spans="9:48">
      <c r="I480" s="21"/>
      <c r="J480" s="21"/>
      <c r="K480" s="21"/>
      <c r="L480" s="21"/>
      <c r="M480" s="21"/>
      <c r="N480" s="21"/>
      <c r="O480" s="21"/>
      <c r="P480" s="21"/>
      <c r="Q480" s="21"/>
      <c r="R480" s="21"/>
      <c r="S480" s="21"/>
      <c r="T480" s="21"/>
      <c r="U480" s="21"/>
      <c r="AI480" s="21"/>
      <c r="AJ480" s="21"/>
      <c r="AK480" s="21"/>
      <c r="AL480" s="21"/>
      <c r="AM480" s="21"/>
      <c r="AN480" s="21"/>
      <c r="AO480" s="21"/>
      <c r="AP480" s="21"/>
      <c r="AQ480" s="21"/>
      <c r="AR480" s="21"/>
      <c r="AS480" s="21"/>
      <c r="AT480" s="21"/>
      <c r="AU480" s="21"/>
      <c r="AV480" s="21"/>
    </row>
    <row r="481" spans="29:48" ht="12.75" customHeight="1">
      <c r="AC481" s="21"/>
      <c r="AD481" s="21"/>
      <c r="AE481" s="21"/>
      <c r="AF481" s="21"/>
      <c r="AG481" s="21"/>
      <c r="AH481" s="21"/>
      <c r="AI481" s="21"/>
      <c r="AJ481" s="21"/>
      <c r="AK481" s="21"/>
      <c r="AL481" s="21"/>
      <c r="AM481" s="21"/>
      <c r="AN481" s="21"/>
      <c r="AO481" s="21"/>
      <c r="AP481" s="21"/>
      <c r="AQ481" s="21"/>
      <c r="AR481" s="21"/>
      <c r="AS481" s="21"/>
      <c r="AT481" s="21"/>
      <c r="AU481" s="21"/>
      <c r="AV481" s="21"/>
    </row>
    <row r="482" spans="29:48">
      <c r="AC482" s="21"/>
      <c r="AD482" s="21"/>
      <c r="AE482" s="21"/>
      <c r="AF482" s="21"/>
      <c r="AG482" s="21"/>
      <c r="AH482" s="21"/>
      <c r="AI482" s="21"/>
      <c r="AJ482" s="21"/>
      <c r="AK482" s="21"/>
      <c r="AL482" s="21"/>
      <c r="AM482" s="21"/>
      <c r="AN482" s="21"/>
      <c r="AO482" s="21"/>
      <c r="AP482" s="21"/>
      <c r="AQ482" s="21"/>
      <c r="AR482" s="21"/>
      <c r="AS482" s="21"/>
      <c r="AT482" s="21"/>
      <c r="AU482" s="21"/>
      <c r="AV482" s="21"/>
    </row>
    <row r="483" spans="29:48">
      <c r="AQ483" s="21"/>
      <c r="AR483" s="21"/>
      <c r="AS483" s="21"/>
      <c r="AT483" s="21"/>
      <c r="AU483" s="21"/>
      <c r="AV483" s="21"/>
    </row>
    <row r="484" spans="29:48">
      <c r="AQ484" s="21"/>
      <c r="AR484" s="21"/>
      <c r="AS484" s="21"/>
      <c r="AT484" s="21"/>
      <c r="AU484" s="21"/>
      <c r="AV484" s="21"/>
    </row>
    <row r="485" spans="29:48">
      <c r="AQ485" s="21"/>
      <c r="AR485" s="21"/>
      <c r="AS485" s="21"/>
      <c r="AT485" s="21"/>
      <c r="AU485" s="21"/>
      <c r="AV485" s="21"/>
    </row>
  </sheetData>
  <mergeCells count="1191">
    <mergeCell ref="A21:Y35"/>
    <mergeCell ref="Z21:AV35"/>
    <mergeCell ref="A36:N36"/>
    <mergeCell ref="U36:AC36"/>
    <mergeCell ref="AK36:AS36"/>
    <mergeCell ref="A39:H39"/>
    <mergeCell ref="I39:K39"/>
    <mergeCell ref="L39:Q39"/>
    <mergeCell ref="R39:U39"/>
    <mergeCell ref="V39:X39"/>
    <mergeCell ref="G17:N17"/>
    <mergeCell ref="P17:AV17"/>
    <mergeCell ref="G18:N18"/>
    <mergeCell ref="P18:AV18"/>
    <mergeCell ref="P19:AC19"/>
    <mergeCell ref="P20:V20"/>
    <mergeCell ref="AB10:AF10"/>
    <mergeCell ref="A11:AV11"/>
    <mergeCell ref="P12:AV12"/>
    <mergeCell ref="P13:AV13"/>
    <mergeCell ref="P15:AV15"/>
    <mergeCell ref="G16:N16"/>
    <mergeCell ref="P16:AV16"/>
    <mergeCell ref="AE40:AJ40"/>
    <mergeCell ref="AK40:AP40"/>
    <mergeCell ref="AQ40:AV40"/>
    <mergeCell ref="A41:H41"/>
    <mergeCell ref="I41:K41"/>
    <mergeCell ref="L41:Q41"/>
    <mergeCell ref="R41:U41"/>
    <mergeCell ref="V41:X41"/>
    <mergeCell ref="Y41:AD41"/>
    <mergeCell ref="AE41:AJ41"/>
    <mergeCell ref="Y39:AD39"/>
    <mergeCell ref="AE39:AJ39"/>
    <mergeCell ref="AK39:AP39"/>
    <mergeCell ref="AQ39:AV39"/>
    <mergeCell ref="A40:H40"/>
    <mergeCell ref="I40:K40"/>
    <mergeCell ref="L40:Q40"/>
    <mergeCell ref="R40:U40"/>
    <mergeCell ref="V40:X40"/>
    <mergeCell ref="Y40:AD40"/>
    <mergeCell ref="AQ42:AV42"/>
    <mergeCell ref="I43:K43"/>
    <mergeCell ref="L43:Q43"/>
    <mergeCell ref="R43:U43"/>
    <mergeCell ref="V43:X43"/>
    <mergeCell ref="Y43:AD43"/>
    <mergeCell ref="AE43:AJ43"/>
    <mergeCell ref="AK43:AP43"/>
    <mergeCell ref="AQ43:AV43"/>
    <mergeCell ref="AK41:AP41"/>
    <mergeCell ref="AQ41:AV41"/>
    <mergeCell ref="A42:H42"/>
    <mergeCell ref="I42:K42"/>
    <mergeCell ref="L42:Q42"/>
    <mergeCell ref="R42:U42"/>
    <mergeCell ref="V42:X42"/>
    <mergeCell ref="Y42:AD42"/>
    <mergeCell ref="AE42:AJ42"/>
    <mergeCell ref="AK42:AP42"/>
    <mergeCell ref="AK47:AP47"/>
    <mergeCell ref="AQ47:AV47"/>
    <mergeCell ref="A48:H48"/>
    <mergeCell ref="I48:K48"/>
    <mergeCell ref="L48:Q48"/>
    <mergeCell ref="R48:U48"/>
    <mergeCell ref="V48:X48"/>
    <mergeCell ref="Y48:AD48"/>
    <mergeCell ref="AE48:AJ48"/>
    <mergeCell ref="AK48:AP48"/>
    <mergeCell ref="AE46:AJ46"/>
    <mergeCell ref="AK46:AP46"/>
    <mergeCell ref="AQ46:AV46"/>
    <mergeCell ref="A47:H47"/>
    <mergeCell ref="I47:K47"/>
    <mergeCell ref="L47:Q47"/>
    <mergeCell ref="R47:U47"/>
    <mergeCell ref="V47:X47"/>
    <mergeCell ref="Y47:AD47"/>
    <mergeCell ref="AE47:AJ47"/>
    <mergeCell ref="A46:H46"/>
    <mergeCell ref="I46:K46"/>
    <mergeCell ref="L46:Q46"/>
    <mergeCell ref="R46:U46"/>
    <mergeCell ref="V46:X46"/>
    <mergeCell ref="Y46:AD46"/>
    <mergeCell ref="AK50:AP50"/>
    <mergeCell ref="AQ50:AV50"/>
    <mergeCell ref="M51:Q51"/>
    <mergeCell ref="M52:AV52"/>
    <mergeCell ref="M53:V53"/>
    <mergeCell ref="M54:AV54"/>
    <mergeCell ref="I50:K50"/>
    <mergeCell ref="L50:Q50"/>
    <mergeCell ref="R50:U50"/>
    <mergeCell ref="V50:X50"/>
    <mergeCell ref="Y50:AD50"/>
    <mergeCell ref="AE50:AJ50"/>
    <mergeCell ref="AQ48:AV48"/>
    <mergeCell ref="A49:H49"/>
    <mergeCell ref="I49:K49"/>
    <mergeCell ref="L49:Q49"/>
    <mergeCell ref="R49:U49"/>
    <mergeCell ref="V49:X49"/>
    <mergeCell ref="Y49:AD49"/>
    <mergeCell ref="AE49:AJ49"/>
    <mergeCell ref="AK49:AP49"/>
    <mergeCell ref="AQ49:AV49"/>
    <mergeCell ref="A70:B70"/>
    <mergeCell ref="C72:AV72"/>
    <mergeCell ref="C74:AV74"/>
    <mergeCell ref="C76:AV76"/>
    <mergeCell ref="A77:B77"/>
    <mergeCell ref="C78:AV78"/>
    <mergeCell ref="AB63:AF63"/>
    <mergeCell ref="A64:AV64"/>
    <mergeCell ref="A66:B66"/>
    <mergeCell ref="C67:AV67"/>
    <mergeCell ref="A68:B68"/>
    <mergeCell ref="C69:AV69"/>
    <mergeCell ref="M55:AV55"/>
    <mergeCell ref="M56:AV56"/>
    <mergeCell ref="M57:AV57"/>
    <mergeCell ref="M58:AV58"/>
    <mergeCell ref="M59:AV59"/>
    <mergeCell ref="P61:AB61"/>
    <mergeCell ref="A101:B101"/>
    <mergeCell ref="C103:Q103"/>
    <mergeCell ref="R103:X103"/>
    <mergeCell ref="Y103:AG103"/>
    <mergeCell ref="AP91:AS92"/>
    <mergeCell ref="C92:AO92"/>
    <mergeCell ref="AP93:AS94"/>
    <mergeCell ref="C94:AO94"/>
    <mergeCell ref="AP95:AS96"/>
    <mergeCell ref="C96:AO96"/>
    <mergeCell ref="AP85:AS86"/>
    <mergeCell ref="C86:AO86"/>
    <mergeCell ref="AP87:AS88"/>
    <mergeCell ref="C88:AO88"/>
    <mergeCell ref="AO89:AS89"/>
    <mergeCell ref="C90:AV90"/>
    <mergeCell ref="A79:B79"/>
    <mergeCell ref="C80:AV80"/>
    <mergeCell ref="AP81:AS82"/>
    <mergeCell ref="C82:AO82"/>
    <mergeCell ref="AP83:AS84"/>
    <mergeCell ref="C84:AO84"/>
    <mergeCell ref="C106:Q106"/>
    <mergeCell ref="R106:X106"/>
    <mergeCell ref="Y106:AE106"/>
    <mergeCell ref="AF106:AG106"/>
    <mergeCell ref="C107:Q107"/>
    <mergeCell ref="R107:X107"/>
    <mergeCell ref="Y107:AE107"/>
    <mergeCell ref="AF107:AG107"/>
    <mergeCell ref="C104:Q104"/>
    <mergeCell ref="R104:X104"/>
    <mergeCell ref="Y104:AE104"/>
    <mergeCell ref="AF104:AG104"/>
    <mergeCell ref="C105:Q105"/>
    <mergeCell ref="R105:X105"/>
    <mergeCell ref="Y105:AE105"/>
    <mergeCell ref="AF105:AG105"/>
    <mergeCell ref="AP97:AS98"/>
    <mergeCell ref="C98:AO98"/>
    <mergeCell ref="AO99:AS99"/>
    <mergeCell ref="A135:B135"/>
    <mergeCell ref="A136:B136"/>
    <mergeCell ref="C137:AV137"/>
    <mergeCell ref="A138:B138"/>
    <mergeCell ref="AL139:AR139"/>
    <mergeCell ref="C140:T140"/>
    <mergeCell ref="U140:AA140"/>
    <mergeCell ref="AB140:AH140"/>
    <mergeCell ref="AI140:AO140"/>
    <mergeCell ref="M116:N116"/>
    <mergeCell ref="A118:B118"/>
    <mergeCell ref="C119:AV119"/>
    <mergeCell ref="A120:B120"/>
    <mergeCell ref="C121:AV121"/>
    <mergeCell ref="C123:AI134"/>
    <mergeCell ref="AJ123:AV134"/>
    <mergeCell ref="A109:B109"/>
    <mergeCell ref="C110:AV110"/>
    <mergeCell ref="M112:N112"/>
    <mergeCell ref="W112:X112"/>
    <mergeCell ref="M114:N114"/>
    <mergeCell ref="W114:X114"/>
    <mergeCell ref="AD114:AE114"/>
    <mergeCell ref="AM114:AN114"/>
    <mergeCell ref="A145:B145"/>
    <mergeCell ref="C147:AL147"/>
    <mergeCell ref="AM147:AQ147"/>
    <mergeCell ref="AR147:AV147"/>
    <mergeCell ref="AM148:AQ149"/>
    <mergeCell ref="AR148:AV149"/>
    <mergeCell ref="C149:AL149"/>
    <mergeCell ref="D143:T143"/>
    <mergeCell ref="U143:Y143"/>
    <mergeCell ref="AB143:AF143"/>
    <mergeCell ref="AI143:AO143"/>
    <mergeCell ref="D144:T144"/>
    <mergeCell ref="U144:Y144"/>
    <mergeCell ref="AB144:AF144"/>
    <mergeCell ref="AI144:AO144"/>
    <mergeCell ref="D141:T141"/>
    <mergeCell ref="U141:Y141"/>
    <mergeCell ref="AB141:AF141"/>
    <mergeCell ref="AI141:AO141"/>
    <mergeCell ref="U142:Y142"/>
    <mergeCell ref="AB142:AF142"/>
    <mergeCell ref="AI142:AM142"/>
    <mergeCell ref="C158:AL158"/>
    <mergeCell ref="AM158:AQ159"/>
    <mergeCell ref="AR158:AV159"/>
    <mergeCell ref="C159:AL159"/>
    <mergeCell ref="C160:AL160"/>
    <mergeCell ref="AM160:AQ161"/>
    <mergeCell ref="AR160:AV161"/>
    <mergeCell ref="C161:AL161"/>
    <mergeCell ref="C154:AL154"/>
    <mergeCell ref="AM154:AQ155"/>
    <mergeCell ref="AR154:AV155"/>
    <mergeCell ref="C155:AL155"/>
    <mergeCell ref="C156:AL156"/>
    <mergeCell ref="AM156:AQ157"/>
    <mergeCell ref="AR156:AV157"/>
    <mergeCell ref="C157:AL157"/>
    <mergeCell ref="C150:AL150"/>
    <mergeCell ref="AM150:AQ151"/>
    <mergeCell ref="AR150:AV151"/>
    <mergeCell ref="C151:AL151"/>
    <mergeCell ref="C152:AL152"/>
    <mergeCell ref="AM152:AQ153"/>
    <mergeCell ref="AR152:AV153"/>
    <mergeCell ref="C153:AL153"/>
    <mergeCell ref="C168:AV168"/>
    <mergeCell ref="C169:AV169"/>
    <mergeCell ref="A170:B170"/>
    <mergeCell ref="C171:AV171"/>
    <mergeCell ref="C172:AV172"/>
    <mergeCell ref="C173:AV173"/>
    <mergeCell ref="C166:Q166"/>
    <mergeCell ref="R166:U166"/>
    <mergeCell ref="V166:X166"/>
    <mergeCell ref="Y166:AD166"/>
    <mergeCell ref="AE166:AL166"/>
    <mergeCell ref="A167:B167"/>
    <mergeCell ref="AM162:AQ162"/>
    <mergeCell ref="AR162:AV162"/>
    <mergeCell ref="A163:B163"/>
    <mergeCell ref="C164:V164"/>
    <mergeCell ref="W164:Z164"/>
    <mergeCell ref="C165:Q165"/>
    <mergeCell ref="R165:X165"/>
    <mergeCell ref="Y165:AD165"/>
    <mergeCell ref="AE165:AL165"/>
    <mergeCell ref="C184:X184"/>
    <mergeCell ref="Y184:AE184"/>
    <mergeCell ref="C186:AV186"/>
    <mergeCell ref="A187:B187"/>
    <mergeCell ref="C187:AV187"/>
    <mergeCell ref="C188:AV188"/>
    <mergeCell ref="C181:X181"/>
    <mergeCell ref="Y181:AE181"/>
    <mergeCell ref="C182:X182"/>
    <mergeCell ref="Y182:AE182"/>
    <mergeCell ref="C183:X183"/>
    <mergeCell ref="Y183:AE183"/>
    <mergeCell ref="C174:AV174"/>
    <mergeCell ref="A175:B175"/>
    <mergeCell ref="C176:AV176"/>
    <mergeCell ref="A177:B177"/>
    <mergeCell ref="C179:AE179"/>
    <mergeCell ref="C180:X180"/>
    <mergeCell ref="Y180:AE180"/>
    <mergeCell ref="C205:AV205"/>
    <mergeCell ref="A206:B206"/>
    <mergeCell ref="C206:AV206"/>
    <mergeCell ref="AB207:AF207"/>
    <mergeCell ref="A208:B208"/>
    <mergeCell ref="C209:AV209"/>
    <mergeCell ref="C195:D195"/>
    <mergeCell ref="E195:AV195"/>
    <mergeCell ref="C197:D197"/>
    <mergeCell ref="C199:D199"/>
    <mergeCell ref="C201:D201"/>
    <mergeCell ref="E201:AV201"/>
    <mergeCell ref="A189:B189"/>
    <mergeCell ref="C190:D190"/>
    <mergeCell ref="E190:AV190"/>
    <mergeCell ref="C192:D192"/>
    <mergeCell ref="E192:AV192"/>
    <mergeCell ref="C194:D194"/>
    <mergeCell ref="E194:AV194"/>
    <mergeCell ref="C203:D203"/>
    <mergeCell ref="E203:AV203"/>
    <mergeCell ref="C213:AV213"/>
    <mergeCell ref="C214:Q214"/>
    <mergeCell ref="R214:T214"/>
    <mergeCell ref="U214:W214"/>
    <mergeCell ref="X214:Z214"/>
    <mergeCell ref="AA214:AC214"/>
    <mergeCell ref="AD214:AH214"/>
    <mergeCell ref="AI214:AM214"/>
    <mergeCell ref="AN214:AR214"/>
    <mergeCell ref="AS214:AV214"/>
    <mergeCell ref="C211:AV211"/>
    <mergeCell ref="C212:Q212"/>
    <mergeCell ref="R212:T212"/>
    <mergeCell ref="U212:W212"/>
    <mergeCell ref="X212:Z212"/>
    <mergeCell ref="AA212:AC212"/>
    <mergeCell ref="AD212:AH212"/>
    <mergeCell ref="AI212:AM212"/>
    <mergeCell ref="AN212:AR212"/>
    <mergeCell ref="AS212:AV212"/>
    <mergeCell ref="AN216:AR216"/>
    <mergeCell ref="AS216:AV216"/>
    <mergeCell ref="C217:Q217"/>
    <mergeCell ref="R217:T217"/>
    <mergeCell ref="U217:W217"/>
    <mergeCell ref="X217:Z217"/>
    <mergeCell ref="AA217:AC217"/>
    <mergeCell ref="AD217:AH217"/>
    <mergeCell ref="AI217:AM217"/>
    <mergeCell ref="AN217:AR217"/>
    <mergeCell ref="AI215:AM215"/>
    <mergeCell ref="AN215:AR215"/>
    <mergeCell ref="AS215:AV215"/>
    <mergeCell ref="C216:Q216"/>
    <mergeCell ref="R216:T216"/>
    <mergeCell ref="U216:W216"/>
    <mergeCell ref="X216:Z216"/>
    <mergeCell ref="AA216:AC216"/>
    <mergeCell ref="AD216:AH216"/>
    <mergeCell ref="AI216:AM216"/>
    <mergeCell ref="C215:Q215"/>
    <mergeCell ref="R215:T215"/>
    <mergeCell ref="U215:W215"/>
    <mergeCell ref="X215:Z215"/>
    <mergeCell ref="AA215:AC215"/>
    <mergeCell ref="AD215:AH215"/>
    <mergeCell ref="A237:B237"/>
    <mergeCell ref="C239:K239"/>
    <mergeCell ref="L239:Q239"/>
    <mergeCell ref="R239:X239"/>
    <mergeCell ref="Y239:AE239"/>
    <mergeCell ref="AF239:AL239"/>
    <mergeCell ref="AS219:AV219"/>
    <mergeCell ref="C220:AV233"/>
    <mergeCell ref="C234:AV234"/>
    <mergeCell ref="C235:U235"/>
    <mergeCell ref="V235:AB235"/>
    <mergeCell ref="AC235:AF235"/>
    <mergeCell ref="AG235:AV235"/>
    <mergeCell ref="AS217:AV217"/>
    <mergeCell ref="C218:AV218"/>
    <mergeCell ref="C219:Q219"/>
    <mergeCell ref="R219:T219"/>
    <mergeCell ref="U219:W219"/>
    <mergeCell ref="X219:Z219"/>
    <mergeCell ref="AA219:AC219"/>
    <mergeCell ref="AD219:AH219"/>
    <mergeCell ref="AI219:AM219"/>
    <mergeCell ref="AN219:AR219"/>
    <mergeCell ref="A244:B244"/>
    <mergeCell ref="C246:K246"/>
    <mergeCell ref="L246:O246"/>
    <mergeCell ref="P246:S246"/>
    <mergeCell ref="T246:X246"/>
    <mergeCell ref="Y246:AC246"/>
    <mergeCell ref="C242:K242"/>
    <mergeCell ref="L242:Q242"/>
    <mergeCell ref="R242:X242"/>
    <mergeCell ref="Y242:AE242"/>
    <mergeCell ref="AF242:AL242"/>
    <mergeCell ref="C243:K243"/>
    <mergeCell ref="L243:Q243"/>
    <mergeCell ref="R243:X243"/>
    <mergeCell ref="Y243:AE243"/>
    <mergeCell ref="AF243:AL243"/>
    <mergeCell ref="C240:K240"/>
    <mergeCell ref="L240:Q240"/>
    <mergeCell ref="R240:X240"/>
    <mergeCell ref="Y240:AE240"/>
    <mergeCell ref="AF240:AL240"/>
    <mergeCell ref="C241:K241"/>
    <mergeCell ref="L241:Q241"/>
    <mergeCell ref="R241:X241"/>
    <mergeCell ref="Y241:AE241"/>
    <mergeCell ref="AF241:AL241"/>
    <mergeCell ref="AI247:AM247"/>
    <mergeCell ref="AN247:AP247"/>
    <mergeCell ref="AQ247:AU247"/>
    <mergeCell ref="C248:K248"/>
    <mergeCell ref="L248:O248"/>
    <mergeCell ref="P248:S248"/>
    <mergeCell ref="T248:X248"/>
    <mergeCell ref="Y248:AC248"/>
    <mergeCell ref="AD248:AH248"/>
    <mergeCell ref="AI248:AM248"/>
    <mergeCell ref="AD246:AH246"/>
    <mergeCell ref="AI246:AM246"/>
    <mergeCell ref="AN246:AP246"/>
    <mergeCell ref="AQ246:AU246"/>
    <mergeCell ref="C247:K247"/>
    <mergeCell ref="L247:O247"/>
    <mergeCell ref="P247:S247"/>
    <mergeCell ref="T247:X247"/>
    <mergeCell ref="Y247:AC247"/>
    <mergeCell ref="AD247:AH247"/>
    <mergeCell ref="AQ249:AU249"/>
    <mergeCell ref="C250:K250"/>
    <mergeCell ref="L250:O250"/>
    <mergeCell ref="P250:S250"/>
    <mergeCell ref="T250:X250"/>
    <mergeCell ref="Y250:AC250"/>
    <mergeCell ref="AD250:AH250"/>
    <mergeCell ref="AI250:AM250"/>
    <mergeCell ref="AN250:AP250"/>
    <mergeCell ref="AQ250:AU250"/>
    <mergeCell ref="AN248:AP248"/>
    <mergeCell ref="AQ248:AU248"/>
    <mergeCell ref="C249:K249"/>
    <mergeCell ref="L249:O249"/>
    <mergeCell ref="P249:S249"/>
    <mergeCell ref="T249:X249"/>
    <mergeCell ref="Y249:AC249"/>
    <mergeCell ref="AD249:AH249"/>
    <mergeCell ref="AI249:AM249"/>
    <mergeCell ref="AN249:AP249"/>
    <mergeCell ref="AQ253:AU253"/>
    <mergeCell ref="A255:B255"/>
    <mergeCell ref="C257:S257"/>
    <mergeCell ref="T257:Y257"/>
    <mergeCell ref="Z257:AD257"/>
    <mergeCell ref="AE257:AL257"/>
    <mergeCell ref="AN252:AP252"/>
    <mergeCell ref="AQ252:AU252"/>
    <mergeCell ref="C253:K253"/>
    <mergeCell ref="L253:O253"/>
    <mergeCell ref="P253:S253"/>
    <mergeCell ref="T253:X253"/>
    <mergeCell ref="Y253:AC253"/>
    <mergeCell ref="AD253:AH253"/>
    <mergeCell ref="AI253:AM253"/>
    <mergeCell ref="AN253:AP253"/>
    <mergeCell ref="AI251:AM251"/>
    <mergeCell ref="AN251:AP251"/>
    <mergeCell ref="AQ251:AU251"/>
    <mergeCell ref="C252:K252"/>
    <mergeCell ref="L252:O252"/>
    <mergeCell ref="P252:S252"/>
    <mergeCell ref="T252:X252"/>
    <mergeCell ref="Y252:AC252"/>
    <mergeCell ref="AD252:AH252"/>
    <mergeCell ref="AI252:AM252"/>
    <mergeCell ref="C251:K251"/>
    <mergeCell ref="L251:O251"/>
    <mergeCell ref="P251:S251"/>
    <mergeCell ref="T251:X251"/>
    <mergeCell ref="Y251:AC251"/>
    <mergeCell ref="AD251:AH251"/>
    <mergeCell ref="C260:S260"/>
    <mergeCell ref="T260:W260"/>
    <mergeCell ref="X260:Y260"/>
    <mergeCell ref="Z260:AD260"/>
    <mergeCell ref="AE260:AL260"/>
    <mergeCell ref="Z261:AD261"/>
    <mergeCell ref="AE261:AL261"/>
    <mergeCell ref="C258:S258"/>
    <mergeCell ref="T258:W258"/>
    <mergeCell ref="X258:Y258"/>
    <mergeCell ref="Z258:AD258"/>
    <mergeCell ref="AE258:AL258"/>
    <mergeCell ref="C259:S259"/>
    <mergeCell ref="T259:W259"/>
    <mergeCell ref="X259:Y259"/>
    <mergeCell ref="Z259:AD259"/>
    <mergeCell ref="AE259:AL259"/>
    <mergeCell ref="A270:B270"/>
    <mergeCell ref="C271:AV271"/>
    <mergeCell ref="C273:AV273"/>
    <mergeCell ref="C265:S265"/>
    <mergeCell ref="T265:Y265"/>
    <mergeCell ref="Z265:AD265"/>
    <mergeCell ref="AE265:AL265"/>
    <mergeCell ref="C266:S266"/>
    <mergeCell ref="T266:Y266"/>
    <mergeCell ref="Z266:AD266"/>
    <mergeCell ref="AE266:AL266"/>
    <mergeCell ref="C263:S263"/>
    <mergeCell ref="T263:Y263"/>
    <mergeCell ref="Z263:AD263"/>
    <mergeCell ref="AE263:AL263"/>
    <mergeCell ref="C264:S264"/>
    <mergeCell ref="T264:Y264"/>
    <mergeCell ref="Z264:AD264"/>
    <mergeCell ref="AE264:AL264"/>
    <mergeCell ref="AI275:AM275"/>
    <mergeCell ref="AN275:AR275"/>
    <mergeCell ref="AS275:AV275"/>
    <mergeCell ref="C276:AV276"/>
    <mergeCell ref="C277:Q277"/>
    <mergeCell ref="R277:T277"/>
    <mergeCell ref="U277:W277"/>
    <mergeCell ref="X277:Z277"/>
    <mergeCell ref="AA277:AC277"/>
    <mergeCell ref="AD277:AH277"/>
    <mergeCell ref="C275:Q275"/>
    <mergeCell ref="R275:T275"/>
    <mergeCell ref="U275:W275"/>
    <mergeCell ref="X275:Z275"/>
    <mergeCell ref="AA275:AC275"/>
    <mergeCell ref="AD275:AH275"/>
    <mergeCell ref="T267:Y267"/>
    <mergeCell ref="AE267:AL267"/>
    <mergeCell ref="AB269:AF269"/>
    <mergeCell ref="AN278:AR278"/>
    <mergeCell ref="AS278:AV278"/>
    <mergeCell ref="C279:Q279"/>
    <mergeCell ref="R279:T279"/>
    <mergeCell ref="U279:W279"/>
    <mergeCell ref="X279:Z279"/>
    <mergeCell ref="AA279:AC279"/>
    <mergeCell ref="AD279:AH279"/>
    <mergeCell ref="AI279:AM279"/>
    <mergeCell ref="AN279:AR279"/>
    <mergeCell ref="AI277:AM277"/>
    <mergeCell ref="AN277:AR277"/>
    <mergeCell ref="AS277:AV277"/>
    <mergeCell ref="C278:Q278"/>
    <mergeCell ref="R278:T278"/>
    <mergeCell ref="U278:W278"/>
    <mergeCell ref="X278:Z278"/>
    <mergeCell ref="AA278:AC278"/>
    <mergeCell ref="AD278:AH278"/>
    <mergeCell ref="AI278:AM278"/>
    <mergeCell ref="AS281:AV281"/>
    <mergeCell ref="C282:AV295"/>
    <mergeCell ref="C296:AV296"/>
    <mergeCell ref="C297:U297"/>
    <mergeCell ref="V297:AB297"/>
    <mergeCell ref="AC297:AF297"/>
    <mergeCell ref="AG297:AV297"/>
    <mergeCell ref="AS279:AV279"/>
    <mergeCell ref="C280:AV280"/>
    <mergeCell ref="C281:Q281"/>
    <mergeCell ref="R281:T281"/>
    <mergeCell ref="U281:W281"/>
    <mergeCell ref="X281:Z281"/>
    <mergeCell ref="AA281:AC281"/>
    <mergeCell ref="AD281:AH281"/>
    <mergeCell ref="AI281:AM281"/>
    <mergeCell ref="AN281:AR281"/>
    <mergeCell ref="C302:K302"/>
    <mergeCell ref="L302:R302"/>
    <mergeCell ref="S302:Y302"/>
    <mergeCell ref="Z302:AF302"/>
    <mergeCell ref="AG302:AK302"/>
    <mergeCell ref="AL302:AR302"/>
    <mergeCell ref="AL300:AR300"/>
    <mergeCell ref="C301:K301"/>
    <mergeCell ref="L301:R301"/>
    <mergeCell ref="S301:Y301"/>
    <mergeCell ref="Z301:AF301"/>
    <mergeCell ref="AG301:AK301"/>
    <mergeCell ref="AL301:AR301"/>
    <mergeCell ref="A298:B298"/>
    <mergeCell ref="C300:K300"/>
    <mergeCell ref="L300:R300"/>
    <mergeCell ref="S300:Y300"/>
    <mergeCell ref="Z300:AF300"/>
    <mergeCell ref="AG300:AK300"/>
    <mergeCell ref="A307:B307"/>
    <mergeCell ref="C309:K309"/>
    <mergeCell ref="L309:R309"/>
    <mergeCell ref="S309:Y309"/>
    <mergeCell ref="Z309:AF309"/>
    <mergeCell ref="C304:K304"/>
    <mergeCell ref="L304:R304"/>
    <mergeCell ref="S304:Y304"/>
    <mergeCell ref="Z304:AF304"/>
    <mergeCell ref="AG304:AK304"/>
    <mergeCell ref="AL304:AR304"/>
    <mergeCell ref="C303:K303"/>
    <mergeCell ref="L303:R303"/>
    <mergeCell ref="S303:Y303"/>
    <mergeCell ref="Z303:AF303"/>
    <mergeCell ref="AG303:AK303"/>
    <mergeCell ref="AL303:AR303"/>
    <mergeCell ref="C312:K312"/>
    <mergeCell ref="L312:R312"/>
    <mergeCell ref="S312:Y312"/>
    <mergeCell ref="Z312:AF312"/>
    <mergeCell ref="C313:K313"/>
    <mergeCell ref="L313:R313"/>
    <mergeCell ref="S313:Y313"/>
    <mergeCell ref="Z313:AF313"/>
    <mergeCell ref="C310:K310"/>
    <mergeCell ref="L310:R310"/>
    <mergeCell ref="S310:Y310"/>
    <mergeCell ref="Z310:AF310"/>
    <mergeCell ref="C311:K311"/>
    <mergeCell ref="L311:R311"/>
    <mergeCell ref="S311:Y311"/>
    <mergeCell ref="Z311:AF311"/>
    <mergeCell ref="C306:AV306"/>
    <mergeCell ref="C323:K323"/>
    <mergeCell ref="L323:Q323"/>
    <mergeCell ref="R323:X323"/>
    <mergeCell ref="Y323:AE323"/>
    <mergeCell ref="AF323:AL323"/>
    <mergeCell ref="C324:K324"/>
    <mergeCell ref="L324:Q324"/>
    <mergeCell ref="R324:X324"/>
    <mergeCell ref="Y324:AE324"/>
    <mergeCell ref="AF324:AL324"/>
    <mergeCell ref="C315:AV315"/>
    <mergeCell ref="C318:AV318"/>
    <mergeCell ref="AB319:AF319"/>
    <mergeCell ref="A320:B320"/>
    <mergeCell ref="C322:K322"/>
    <mergeCell ref="L322:Q322"/>
    <mergeCell ref="R322:X322"/>
    <mergeCell ref="Y322:AE322"/>
    <mergeCell ref="AF322:AL322"/>
    <mergeCell ref="A327:B327"/>
    <mergeCell ref="C328:AV328"/>
    <mergeCell ref="C329:AV329"/>
    <mergeCell ref="C331:J331"/>
    <mergeCell ref="K331:O331"/>
    <mergeCell ref="P331:S331"/>
    <mergeCell ref="T331:X331"/>
    <mergeCell ref="Y331:AC331"/>
    <mergeCell ref="AD331:AH331"/>
    <mergeCell ref="AI331:AM331"/>
    <mergeCell ref="C325:K325"/>
    <mergeCell ref="L325:Q325"/>
    <mergeCell ref="R325:X325"/>
    <mergeCell ref="Y325:AE325"/>
    <mergeCell ref="AF325:AL325"/>
    <mergeCell ref="C326:K326"/>
    <mergeCell ref="L326:Q326"/>
    <mergeCell ref="R326:X326"/>
    <mergeCell ref="Y326:AE326"/>
    <mergeCell ref="AF326:AL326"/>
    <mergeCell ref="AQ332:AU332"/>
    <mergeCell ref="C333:J333"/>
    <mergeCell ref="K333:O333"/>
    <mergeCell ref="P333:S333"/>
    <mergeCell ref="T333:X333"/>
    <mergeCell ref="Y333:AC333"/>
    <mergeCell ref="AD333:AH333"/>
    <mergeCell ref="AI333:AM333"/>
    <mergeCell ref="AN333:AP333"/>
    <mergeCell ref="AQ333:AU333"/>
    <mergeCell ref="AN331:AP331"/>
    <mergeCell ref="AQ331:AU331"/>
    <mergeCell ref="C332:J332"/>
    <mergeCell ref="K332:O332"/>
    <mergeCell ref="P332:S332"/>
    <mergeCell ref="T332:X332"/>
    <mergeCell ref="Y332:AC332"/>
    <mergeCell ref="AD332:AH332"/>
    <mergeCell ref="AI332:AM332"/>
    <mergeCell ref="AN332:AP332"/>
    <mergeCell ref="AN335:AP335"/>
    <mergeCell ref="AQ335:AU335"/>
    <mergeCell ref="C336:J336"/>
    <mergeCell ref="K336:O336"/>
    <mergeCell ref="P336:S336"/>
    <mergeCell ref="T336:X336"/>
    <mergeCell ref="Y336:AC336"/>
    <mergeCell ref="AD336:AH336"/>
    <mergeCell ref="AI336:AM336"/>
    <mergeCell ref="AN336:AP336"/>
    <mergeCell ref="AI334:AM334"/>
    <mergeCell ref="AN334:AP334"/>
    <mergeCell ref="AQ334:AU334"/>
    <mergeCell ref="C335:J335"/>
    <mergeCell ref="K335:O335"/>
    <mergeCell ref="P335:S335"/>
    <mergeCell ref="T335:X335"/>
    <mergeCell ref="Y335:AC335"/>
    <mergeCell ref="AD335:AH335"/>
    <mergeCell ref="AI335:AM335"/>
    <mergeCell ref="C334:J334"/>
    <mergeCell ref="K334:O334"/>
    <mergeCell ref="P334:S334"/>
    <mergeCell ref="T334:X334"/>
    <mergeCell ref="Y334:AC334"/>
    <mergeCell ref="AD334:AH334"/>
    <mergeCell ref="AI338:AM338"/>
    <mergeCell ref="AN338:AP338"/>
    <mergeCell ref="AQ338:AU338"/>
    <mergeCell ref="C339:J339"/>
    <mergeCell ref="K339:O339"/>
    <mergeCell ref="P339:S339"/>
    <mergeCell ref="T339:X339"/>
    <mergeCell ref="Y339:AC339"/>
    <mergeCell ref="AD339:AH339"/>
    <mergeCell ref="AI339:AM339"/>
    <mergeCell ref="C338:J338"/>
    <mergeCell ref="K338:O338"/>
    <mergeCell ref="P338:S338"/>
    <mergeCell ref="T338:X338"/>
    <mergeCell ref="Y338:AC338"/>
    <mergeCell ref="AD338:AH338"/>
    <mergeCell ref="AQ336:AU336"/>
    <mergeCell ref="C337:J337"/>
    <mergeCell ref="K337:O337"/>
    <mergeCell ref="P337:S337"/>
    <mergeCell ref="T337:X337"/>
    <mergeCell ref="Y337:AC337"/>
    <mergeCell ref="AD337:AH337"/>
    <mergeCell ref="AI337:AM337"/>
    <mergeCell ref="AN337:AP337"/>
    <mergeCell ref="AQ337:AU337"/>
    <mergeCell ref="A342:B342"/>
    <mergeCell ref="C344:S344"/>
    <mergeCell ref="T344:Y344"/>
    <mergeCell ref="Z344:AD344"/>
    <mergeCell ref="AE344:AL344"/>
    <mergeCell ref="C345:S345"/>
    <mergeCell ref="T345:W345"/>
    <mergeCell ref="X345:Y345"/>
    <mergeCell ref="Z345:AD345"/>
    <mergeCell ref="AE345:AL345"/>
    <mergeCell ref="AN339:AP339"/>
    <mergeCell ref="AQ339:AU339"/>
    <mergeCell ref="L340:O340"/>
    <mergeCell ref="P340:S340"/>
    <mergeCell ref="T340:X340"/>
    <mergeCell ref="Y340:AC340"/>
    <mergeCell ref="AD340:AH340"/>
    <mergeCell ref="AI340:AM340"/>
    <mergeCell ref="AN340:AP340"/>
    <mergeCell ref="AQ340:AU340"/>
    <mergeCell ref="A355:B355"/>
    <mergeCell ref="C351:S351"/>
    <mergeCell ref="T351:Y351"/>
    <mergeCell ref="Z351:AD351"/>
    <mergeCell ref="AE351:AL351"/>
    <mergeCell ref="C352:S352"/>
    <mergeCell ref="T352:Y352"/>
    <mergeCell ref="Z352:AD352"/>
    <mergeCell ref="AE352:AL352"/>
    <mergeCell ref="Z348:AD348"/>
    <mergeCell ref="AE348:AL348"/>
    <mergeCell ref="C350:S350"/>
    <mergeCell ref="T350:Y350"/>
    <mergeCell ref="Z350:AD350"/>
    <mergeCell ref="AE350:AL350"/>
    <mergeCell ref="C346:S346"/>
    <mergeCell ref="T346:W346"/>
    <mergeCell ref="X346:Y346"/>
    <mergeCell ref="Z346:AD346"/>
    <mergeCell ref="AE346:AL346"/>
    <mergeCell ref="C347:S347"/>
    <mergeCell ref="T347:W347"/>
    <mergeCell ref="X347:Y347"/>
    <mergeCell ref="Z347:AD347"/>
    <mergeCell ref="AE347:AL347"/>
    <mergeCell ref="C359:K359"/>
    <mergeCell ref="L359:R359"/>
    <mergeCell ref="S359:Y359"/>
    <mergeCell ref="Z359:AF359"/>
    <mergeCell ref="AG359:AK359"/>
    <mergeCell ref="AL359:AR359"/>
    <mergeCell ref="C356:AV356"/>
    <mergeCell ref="C358:K358"/>
    <mergeCell ref="L358:R358"/>
    <mergeCell ref="S358:Y358"/>
    <mergeCell ref="Z358:AF358"/>
    <mergeCell ref="AG358:AK358"/>
    <mergeCell ref="AL358:AR358"/>
    <mergeCell ref="C353:S353"/>
    <mergeCell ref="T353:Y353"/>
    <mergeCell ref="Z353:AD353"/>
    <mergeCell ref="AE353:AL353"/>
    <mergeCell ref="AE354:AL354"/>
    <mergeCell ref="C362:K362"/>
    <mergeCell ref="L362:R362"/>
    <mergeCell ref="S362:Y362"/>
    <mergeCell ref="Z362:AF362"/>
    <mergeCell ref="AG362:AK362"/>
    <mergeCell ref="AL362:AR362"/>
    <mergeCell ref="C361:K361"/>
    <mergeCell ref="L361:R361"/>
    <mergeCell ref="S361:Y361"/>
    <mergeCell ref="Z361:AF361"/>
    <mergeCell ref="AG361:AK361"/>
    <mergeCell ref="AL361:AR361"/>
    <mergeCell ref="C360:K360"/>
    <mergeCell ref="L360:R360"/>
    <mergeCell ref="S360:Y360"/>
    <mergeCell ref="Z360:AF360"/>
    <mergeCell ref="AG360:AK360"/>
    <mergeCell ref="AL360:AR360"/>
    <mergeCell ref="C368:K368"/>
    <mergeCell ref="L368:Q368"/>
    <mergeCell ref="R368:X368"/>
    <mergeCell ref="Y368:AE368"/>
    <mergeCell ref="AF368:AL368"/>
    <mergeCell ref="C369:K369"/>
    <mergeCell ref="L369:Q369"/>
    <mergeCell ref="R369:X369"/>
    <mergeCell ref="Y369:AE369"/>
    <mergeCell ref="AF369:AL369"/>
    <mergeCell ref="A364:B364"/>
    <mergeCell ref="C364:AV364"/>
    <mergeCell ref="A365:B365"/>
    <mergeCell ref="C367:K367"/>
    <mergeCell ref="L367:Q367"/>
    <mergeCell ref="R367:X367"/>
    <mergeCell ref="Y367:AE367"/>
    <mergeCell ref="AF367:AL367"/>
    <mergeCell ref="AD374:AH374"/>
    <mergeCell ref="AI374:AM374"/>
    <mergeCell ref="AN374:AP374"/>
    <mergeCell ref="AQ374:AU374"/>
    <mergeCell ref="C375:K375"/>
    <mergeCell ref="L375:O375"/>
    <mergeCell ref="P375:S375"/>
    <mergeCell ref="T375:X375"/>
    <mergeCell ref="Y375:AC375"/>
    <mergeCell ref="AD375:AH375"/>
    <mergeCell ref="A372:B372"/>
    <mergeCell ref="C374:K374"/>
    <mergeCell ref="L374:O374"/>
    <mergeCell ref="P374:S374"/>
    <mergeCell ref="T374:X374"/>
    <mergeCell ref="Y374:AC374"/>
    <mergeCell ref="C370:K370"/>
    <mergeCell ref="L370:Q370"/>
    <mergeCell ref="R370:X370"/>
    <mergeCell ref="Y370:AE370"/>
    <mergeCell ref="AF370:AL370"/>
    <mergeCell ref="C371:K371"/>
    <mergeCell ref="L371:Q371"/>
    <mergeCell ref="R371:X371"/>
    <mergeCell ref="Y371:AE371"/>
    <mergeCell ref="AF371:AL371"/>
    <mergeCell ref="AN376:AP376"/>
    <mergeCell ref="AQ376:AU376"/>
    <mergeCell ref="C377:K377"/>
    <mergeCell ref="L377:O377"/>
    <mergeCell ref="P377:S377"/>
    <mergeCell ref="T377:X377"/>
    <mergeCell ref="Y377:AC377"/>
    <mergeCell ref="AD377:AH377"/>
    <mergeCell ref="AI377:AM377"/>
    <mergeCell ref="AN377:AP377"/>
    <mergeCell ref="AI375:AM375"/>
    <mergeCell ref="AN375:AP375"/>
    <mergeCell ref="AQ375:AU375"/>
    <mergeCell ref="C376:K376"/>
    <mergeCell ref="L376:O376"/>
    <mergeCell ref="P376:S376"/>
    <mergeCell ref="T376:X376"/>
    <mergeCell ref="Y376:AC376"/>
    <mergeCell ref="AD376:AH376"/>
    <mergeCell ref="AI376:AM376"/>
    <mergeCell ref="AI379:AM379"/>
    <mergeCell ref="AN379:AP379"/>
    <mergeCell ref="AQ379:AU379"/>
    <mergeCell ref="C380:K380"/>
    <mergeCell ref="L380:O380"/>
    <mergeCell ref="P380:S380"/>
    <mergeCell ref="T380:X380"/>
    <mergeCell ref="Y380:AC380"/>
    <mergeCell ref="AD380:AH380"/>
    <mergeCell ref="AI380:AM380"/>
    <mergeCell ref="C379:K379"/>
    <mergeCell ref="L379:O379"/>
    <mergeCell ref="P379:S379"/>
    <mergeCell ref="T379:X379"/>
    <mergeCell ref="Y379:AC379"/>
    <mergeCell ref="AD379:AH379"/>
    <mergeCell ref="AQ377:AU377"/>
    <mergeCell ref="C378:K378"/>
    <mergeCell ref="L378:O378"/>
    <mergeCell ref="P378:S378"/>
    <mergeCell ref="T378:X378"/>
    <mergeCell ref="Y378:AC378"/>
    <mergeCell ref="AD378:AH378"/>
    <mergeCell ref="AI378:AM378"/>
    <mergeCell ref="AN378:AP378"/>
    <mergeCell ref="AQ378:AU378"/>
    <mergeCell ref="C386:S386"/>
    <mergeCell ref="T386:W386"/>
    <mergeCell ref="X386:Y386"/>
    <mergeCell ref="Z386:AD386"/>
    <mergeCell ref="AE386:AL386"/>
    <mergeCell ref="C387:S387"/>
    <mergeCell ref="T387:W387"/>
    <mergeCell ref="X387:Y387"/>
    <mergeCell ref="Z387:AD387"/>
    <mergeCell ref="AE387:AL387"/>
    <mergeCell ref="AQ381:AU381"/>
    <mergeCell ref="A383:B383"/>
    <mergeCell ref="C385:S385"/>
    <mergeCell ref="T385:Y385"/>
    <mergeCell ref="Z385:AD385"/>
    <mergeCell ref="AE385:AL385"/>
    <mergeCell ref="AN380:AP380"/>
    <mergeCell ref="AQ380:AU380"/>
    <mergeCell ref="C381:K381"/>
    <mergeCell ref="L381:O381"/>
    <mergeCell ref="P381:S381"/>
    <mergeCell ref="T381:X381"/>
    <mergeCell ref="Y381:AC381"/>
    <mergeCell ref="AD381:AH381"/>
    <mergeCell ref="AI381:AM381"/>
    <mergeCell ref="AN381:AP381"/>
    <mergeCell ref="C393:S393"/>
    <mergeCell ref="T393:Y393"/>
    <mergeCell ref="Z393:AD393"/>
    <mergeCell ref="AE393:AL393"/>
    <mergeCell ref="C394:S394"/>
    <mergeCell ref="T394:Y394"/>
    <mergeCell ref="Z394:AD394"/>
    <mergeCell ref="AE394:AL394"/>
    <mergeCell ref="C391:S391"/>
    <mergeCell ref="T391:Y391"/>
    <mergeCell ref="Z391:AD391"/>
    <mergeCell ref="AE391:AL391"/>
    <mergeCell ref="C392:S392"/>
    <mergeCell ref="T392:Y392"/>
    <mergeCell ref="Z392:AD392"/>
    <mergeCell ref="AE392:AL392"/>
    <mergeCell ref="C388:S388"/>
    <mergeCell ref="T388:W388"/>
    <mergeCell ref="X388:Y388"/>
    <mergeCell ref="Z388:AD388"/>
    <mergeCell ref="AE388:AL388"/>
    <mergeCell ref="Z389:AD389"/>
    <mergeCell ref="AE389:AL389"/>
    <mergeCell ref="C401:K401"/>
    <mergeCell ref="L401:R401"/>
    <mergeCell ref="S401:Y401"/>
    <mergeCell ref="Z401:AF401"/>
    <mergeCell ref="AG401:AK401"/>
    <mergeCell ref="AL401:AR401"/>
    <mergeCell ref="C400:K400"/>
    <mergeCell ref="L400:R400"/>
    <mergeCell ref="S400:Y400"/>
    <mergeCell ref="Z400:AF400"/>
    <mergeCell ref="AG400:AK400"/>
    <mergeCell ref="AL400:AR400"/>
    <mergeCell ref="T395:Y395"/>
    <mergeCell ref="AE395:AL395"/>
    <mergeCell ref="A397:B397"/>
    <mergeCell ref="C399:K399"/>
    <mergeCell ref="L399:R399"/>
    <mergeCell ref="S399:Y399"/>
    <mergeCell ref="Z399:AF399"/>
    <mergeCell ref="AG399:AK399"/>
    <mergeCell ref="AL399:AR399"/>
    <mergeCell ref="A406:B406"/>
    <mergeCell ref="C408:K408"/>
    <mergeCell ref="L408:R408"/>
    <mergeCell ref="S408:Y408"/>
    <mergeCell ref="Z408:AF408"/>
    <mergeCell ref="C403:K403"/>
    <mergeCell ref="L403:R403"/>
    <mergeCell ref="S403:Y403"/>
    <mergeCell ref="Z403:AF403"/>
    <mergeCell ref="AG403:AK403"/>
    <mergeCell ref="AL403:AR403"/>
    <mergeCell ref="C402:K402"/>
    <mergeCell ref="L402:R402"/>
    <mergeCell ref="S402:Y402"/>
    <mergeCell ref="Z402:AF402"/>
    <mergeCell ref="AG402:AK402"/>
    <mergeCell ref="AL402:AR402"/>
    <mergeCell ref="C411:K411"/>
    <mergeCell ref="L411:R411"/>
    <mergeCell ref="S411:Y411"/>
    <mergeCell ref="Z411:AF411"/>
    <mergeCell ref="C412:K412"/>
    <mergeCell ref="L412:R412"/>
    <mergeCell ref="S412:Y412"/>
    <mergeCell ref="Z412:AF412"/>
    <mergeCell ref="C409:K409"/>
    <mergeCell ref="L409:R409"/>
    <mergeCell ref="S409:Y409"/>
    <mergeCell ref="Z409:AF409"/>
    <mergeCell ref="C410:K410"/>
    <mergeCell ref="L410:R410"/>
    <mergeCell ref="S410:Y410"/>
    <mergeCell ref="Z410:AF410"/>
    <mergeCell ref="C405:AV405"/>
    <mergeCell ref="C424:K424"/>
    <mergeCell ref="L424:Q424"/>
    <mergeCell ref="R424:X424"/>
    <mergeCell ref="Y424:AE424"/>
    <mergeCell ref="AF424:AL424"/>
    <mergeCell ref="C425:K425"/>
    <mergeCell ref="L425:Q425"/>
    <mergeCell ref="R425:X425"/>
    <mergeCell ref="Y425:AE425"/>
    <mergeCell ref="AF425:AL425"/>
    <mergeCell ref="C414:AV414"/>
    <mergeCell ref="T415:X415"/>
    <mergeCell ref="C419:AV419"/>
    <mergeCell ref="AB420:AF420"/>
    <mergeCell ref="A421:B421"/>
    <mergeCell ref="C423:K423"/>
    <mergeCell ref="L423:Q423"/>
    <mergeCell ref="R423:X423"/>
    <mergeCell ref="Y423:AE423"/>
    <mergeCell ref="AF423:AL423"/>
    <mergeCell ref="A428:B428"/>
    <mergeCell ref="C429:AV429"/>
    <mergeCell ref="C430:AV430"/>
    <mergeCell ref="C432:J432"/>
    <mergeCell ref="K432:O432"/>
    <mergeCell ref="P432:S432"/>
    <mergeCell ref="T432:X432"/>
    <mergeCell ref="Y432:AC432"/>
    <mergeCell ref="AD432:AH432"/>
    <mergeCell ref="AI432:AM432"/>
    <mergeCell ref="C426:K426"/>
    <mergeCell ref="L426:Q426"/>
    <mergeCell ref="R426:X426"/>
    <mergeCell ref="Y426:AE426"/>
    <mergeCell ref="AF426:AL426"/>
    <mergeCell ref="C427:K427"/>
    <mergeCell ref="L427:Q427"/>
    <mergeCell ref="R427:X427"/>
    <mergeCell ref="Y427:AE427"/>
    <mergeCell ref="AF427:AL427"/>
    <mergeCell ref="AQ433:AU433"/>
    <mergeCell ref="C434:J434"/>
    <mergeCell ref="K434:O434"/>
    <mergeCell ref="P434:S434"/>
    <mergeCell ref="T434:X434"/>
    <mergeCell ref="Y434:AC434"/>
    <mergeCell ref="AD434:AH434"/>
    <mergeCell ref="AI434:AM434"/>
    <mergeCell ref="AN434:AP434"/>
    <mergeCell ref="AQ434:AU434"/>
    <mergeCell ref="AN432:AP432"/>
    <mergeCell ref="AQ432:AU432"/>
    <mergeCell ref="C433:J433"/>
    <mergeCell ref="K433:O433"/>
    <mergeCell ref="P433:S433"/>
    <mergeCell ref="T433:X433"/>
    <mergeCell ref="Y433:AC433"/>
    <mergeCell ref="AD433:AH433"/>
    <mergeCell ref="AI433:AM433"/>
    <mergeCell ref="AN433:AP433"/>
    <mergeCell ref="AN436:AP436"/>
    <mergeCell ref="AQ436:AU436"/>
    <mergeCell ref="C437:J437"/>
    <mergeCell ref="K437:O437"/>
    <mergeCell ref="P437:S437"/>
    <mergeCell ref="T437:X437"/>
    <mergeCell ref="Y437:AC437"/>
    <mergeCell ref="AD437:AH437"/>
    <mergeCell ref="AI437:AM437"/>
    <mergeCell ref="AN437:AP437"/>
    <mergeCell ref="AI435:AM435"/>
    <mergeCell ref="AN435:AP435"/>
    <mergeCell ref="AQ435:AU435"/>
    <mergeCell ref="C436:J436"/>
    <mergeCell ref="K436:O436"/>
    <mergeCell ref="P436:S436"/>
    <mergeCell ref="T436:X436"/>
    <mergeCell ref="Y436:AC436"/>
    <mergeCell ref="AD436:AH436"/>
    <mergeCell ref="AI436:AM436"/>
    <mergeCell ref="C435:J435"/>
    <mergeCell ref="K435:O435"/>
    <mergeCell ref="P435:S435"/>
    <mergeCell ref="T435:X435"/>
    <mergeCell ref="Y435:AC435"/>
    <mergeCell ref="AD435:AH435"/>
    <mergeCell ref="AI439:AM439"/>
    <mergeCell ref="AN439:AP439"/>
    <mergeCell ref="AQ439:AU439"/>
    <mergeCell ref="C440:J440"/>
    <mergeCell ref="K440:O440"/>
    <mergeCell ref="P440:S440"/>
    <mergeCell ref="T440:X440"/>
    <mergeCell ref="Y440:AC440"/>
    <mergeCell ref="AD440:AH440"/>
    <mergeCell ref="AI440:AM440"/>
    <mergeCell ref="C439:J439"/>
    <mergeCell ref="K439:O439"/>
    <mergeCell ref="P439:S439"/>
    <mergeCell ref="T439:X439"/>
    <mergeCell ref="Y439:AC439"/>
    <mergeCell ref="AD439:AH439"/>
    <mergeCell ref="AQ437:AU437"/>
    <mergeCell ref="C438:J438"/>
    <mergeCell ref="K438:O438"/>
    <mergeCell ref="P438:S438"/>
    <mergeCell ref="T438:X438"/>
    <mergeCell ref="Y438:AC438"/>
    <mergeCell ref="AD438:AH438"/>
    <mergeCell ref="AI438:AM438"/>
    <mergeCell ref="AN438:AP438"/>
    <mergeCell ref="AQ438:AU438"/>
    <mergeCell ref="A443:B443"/>
    <mergeCell ref="C445:S445"/>
    <mergeCell ref="T445:Y445"/>
    <mergeCell ref="Z445:AD445"/>
    <mergeCell ref="AE445:AL445"/>
    <mergeCell ref="C446:S446"/>
    <mergeCell ref="T446:W446"/>
    <mergeCell ref="X446:Y446"/>
    <mergeCell ref="Z446:AD446"/>
    <mergeCell ref="AE446:AL446"/>
    <mergeCell ref="AN440:AP440"/>
    <mergeCell ref="AQ440:AU440"/>
    <mergeCell ref="K441:O441"/>
    <mergeCell ref="P441:S441"/>
    <mergeCell ref="T441:X441"/>
    <mergeCell ref="Y441:AC441"/>
    <mergeCell ref="AD441:AH441"/>
    <mergeCell ref="AI441:AM441"/>
    <mergeCell ref="AN441:AP441"/>
    <mergeCell ref="AQ441:AU441"/>
    <mergeCell ref="A456:B456"/>
    <mergeCell ref="C452:S452"/>
    <mergeCell ref="T452:Y452"/>
    <mergeCell ref="Z452:AD452"/>
    <mergeCell ref="AE452:AL452"/>
    <mergeCell ref="C453:S453"/>
    <mergeCell ref="T453:Y453"/>
    <mergeCell ref="Z453:AD453"/>
    <mergeCell ref="AE453:AL453"/>
    <mergeCell ref="Z449:AD449"/>
    <mergeCell ref="AE449:AL449"/>
    <mergeCell ref="C451:S451"/>
    <mergeCell ref="T451:Y451"/>
    <mergeCell ref="Z451:AD451"/>
    <mergeCell ref="AE451:AL451"/>
    <mergeCell ref="C447:S447"/>
    <mergeCell ref="T447:W447"/>
    <mergeCell ref="X447:Y447"/>
    <mergeCell ref="Z447:AD447"/>
    <mergeCell ref="AE447:AL447"/>
    <mergeCell ref="C448:S448"/>
    <mergeCell ref="T448:W448"/>
    <mergeCell ref="X448:Y448"/>
    <mergeCell ref="Z448:AD448"/>
    <mergeCell ref="AE448:AL448"/>
    <mergeCell ref="C460:K460"/>
    <mergeCell ref="L460:R460"/>
    <mergeCell ref="S460:Y460"/>
    <mergeCell ref="Z460:AF460"/>
    <mergeCell ref="AG460:AK460"/>
    <mergeCell ref="AL460:AR460"/>
    <mergeCell ref="C457:AV457"/>
    <mergeCell ref="C459:K459"/>
    <mergeCell ref="L459:R459"/>
    <mergeCell ref="S459:Y459"/>
    <mergeCell ref="Z459:AF459"/>
    <mergeCell ref="AG459:AK459"/>
    <mergeCell ref="AL459:AR459"/>
    <mergeCell ref="C454:S454"/>
    <mergeCell ref="T454:Y454"/>
    <mergeCell ref="Z454:AD454"/>
    <mergeCell ref="AE454:AL454"/>
    <mergeCell ref="AE455:AL455"/>
    <mergeCell ref="C463:K463"/>
    <mergeCell ref="L463:R463"/>
    <mergeCell ref="S463:Y463"/>
    <mergeCell ref="Z463:AF463"/>
    <mergeCell ref="AG463:AK463"/>
    <mergeCell ref="AL463:AR463"/>
    <mergeCell ref="C462:K462"/>
    <mergeCell ref="L462:R462"/>
    <mergeCell ref="S462:Y462"/>
    <mergeCell ref="Z462:AF462"/>
    <mergeCell ref="AG462:AK462"/>
    <mergeCell ref="AL462:AR462"/>
    <mergeCell ref="C461:K461"/>
    <mergeCell ref="L461:R461"/>
    <mergeCell ref="S461:Y461"/>
    <mergeCell ref="Z461:AF461"/>
    <mergeCell ref="AG461:AK461"/>
    <mergeCell ref="AL461:AR461"/>
  </mergeCells>
  <dataValidations disablePrompts="1" count="2">
    <dataValidation type="list" allowBlank="1" showInputMessage="1" showErrorMessage="1" sqref="J113 JF113 TB113 ACX113 AMT113 AWP113 BGL113 BQH113 CAD113 CJZ113 CTV113 DDR113 DNN113 DXJ113 EHF113 ERB113 FAX113 FKT113 FUP113 GEL113 GOH113 GYD113 HHZ113 HRV113 IBR113 ILN113 IVJ113 JFF113 JPB113 JYX113 KIT113 KSP113 LCL113 LMH113 LWD113 MFZ113 MPV113 MZR113 NJN113 NTJ113 ODF113 ONB113 OWX113 PGT113 PQP113 QAL113 QKH113 QUD113 RDZ113 RNV113 RXR113 SHN113 SRJ113 TBF113 TLB113 TUX113 UET113 UOP113 UYL113 VIH113 VSD113 WBZ113 WLV113 WVR113 J65651 JF65651 TB65651 ACX65651 AMT65651 AWP65651 BGL65651 BQH65651 CAD65651 CJZ65651 CTV65651 DDR65651 DNN65651 DXJ65651 EHF65651 ERB65651 FAX65651 FKT65651 FUP65651 GEL65651 GOH65651 GYD65651 HHZ65651 HRV65651 IBR65651 ILN65651 IVJ65651 JFF65651 JPB65651 JYX65651 KIT65651 KSP65651 LCL65651 LMH65651 LWD65651 MFZ65651 MPV65651 MZR65651 NJN65651 NTJ65651 ODF65651 ONB65651 OWX65651 PGT65651 PQP65651 QAL65651 QKH65651 QUD65651 RDZ65651 RNV65651 RXR65651 SHN65651 SRJ65651 TBF65651 TLB65651 TUX65651 UET65651 UOP65651 UYL65651 VIH65651 VSD65651 WBZ65651 WLV65651 WVR65651 J131187 JF131187 TB131187 ACX131187 AMT131187 AWP131187 BGL131187 BQH131187 CAD131187 CJZ131187 CTV131187 DDR131187 DNN131187 DXJ131187 EHF131187 ERB131187 FAX131187 FKT131187 FUP131187 GEL131187 GOH131187 GYD131187 HHZ131187 HRV131187 IBR131187 ILN131187 IVJ131187 JFF131187 JPB131187 JYX131187 KIT131187 KSP131187 LCL131187 LMH131187 LWD131187 MFZ131187 MPV131187 MZR131187 NJN131187 NTJ131187 ODF131187 ONB131187 OWX131187 PGT131187 PQP131187 QAL131187 QKH131187 QUD131187 RDZ131187 RNV131187 RXR131187 SHN131187 SRJ131187 TBF131187 TLB131187 TUX131187 UET131187 UOP131187 UYL131187 VIH131187 VSD131187 WBZ131187 WLV131187 WVR131187 J196723 JF196723 TB196723 ACX196723 AMT196723 AWP196723 BGL196723 BQH196723 CAD196723 CJZ196723 CTV196723 DDR196723 DNN196723 DXJ196723 EHF196723 ERB196723 FAX196723 FKT196723 FUP196723 GEL196723 GOH196723 GYD196723 HHZ196723 HRV196723 IBR196723 ILN196723 IVJ196723 JFF196723 JPB196723 JYX196723 KIT196723 KSP196723 LCL196723 LMH196723 LWD196723 MFZ196723 MPV196723 MZR196723 NJN196723 NTJ196723 ODF196723 ONB196723 OWX196723 PGT196723 PQP196723 QAL196723 QKH196723 QUD196723 RDZ196723 RNV196723 RXR196723 SHN196723 SRJ196723 TBF196723 TLB196723 TUX196723 UET196723 UOP196723 UYL196723 VIH196723 VSD196723 WBZ196723 WLV196723 WVR196723 J262259 JF262259 TB262259 ACX262259 AMT262259 AWP262259 BGL262259 BQH262259 CAD262259 CJZ262259 CTV262259 DDR262259 DNN262259 DXJ262259 EHF262259 ERB262259 FAX262259 FKT262259 FUP262259 GEL262259 GOH262259 GYD262259 HHZ262259 HRV262259 IBR262259 ILN262259 IVJ262259 JFF262259 JPB262259 JYX262259 KIT262259 KSP262259 LCL262259 LMH262259 LWD262259 MFZ262259 MPV262259 MZR262259 NJN262259 NTJ262259 ODF262259 ONB262259 OWX262259 PGT262259 PQP262259 QAL262259 QKH262259 QUD262259 RDZ262259 RNV262259 RXR262259 SHN262259 SRJ262259 TBF262259 TLB262259 TUX262259 UET262259 UOP262259 UYL262259 VIH262259 VSD262259 WBZ262259 WLV262259 WVR262259 J327795 JF327795 TB327795 ACX327795 AMT327795 AWP327795 BGL327795 BQH327795 CAD327795 CJZ327795 CTV327795 DDR327795 DNN327795 DXJ327795 EHF327795 ERB327795 FAX327795 FKT327795 FUP327795 GEL327795 GOH327795 GYD327795 HHZ327795 HRV327795 IBR327795 ILN327795 IVJ327795 JFF327795 JPB327795 JYX327795 KIT327795 KSP327795 LCL327795 LMH327795 LWD327795 MFZ327795 MPV327795 MZR327795 NJN327795 NTJ327795 ODF327795 ONB327795 OWX327795 PGT327795 PQP327795 QAL327795 QKH327795 QUD327795 RDZ327795 RNV327795 RXR327795 SHN327795 SRJ327795 TBF327795 TLB327795 TUX327795 UET327795 UOP327795 UYL327795 VIH327795 VSD327795 WBZ327795 WLV327795 WVR327795 J393331 JF393331 TB393331 ACX393331 AMT393331 AWP393331 BGL393331 BQH393331 CAD393331 CJZ393331 CTV393331 DDR393331 DNN393331 DXJ393331 EHF393331 ERB393331 FAX393331 FKT393331 FUP393331 GEL393331 GOH393331 GYD393331 HHZ393331 HRV393331 IBR393331 ILN393331 IVJ393331 JFF393331 JPB393331 JYX393331 KIT393331 KSP393331 LCL393331 LMH393331 LWD393331 MFZ393331 MPV393331 MZR393331 NJN393331 NTJ393331 ODF393331 ONB393331 OWX393331 PGT393331 PQP393331 QAL393331 QKH393331 QUD393331 RDZ393331 RNV393331 RXR393331 SHN393331 SRJ393331 TBF393331 TLB393331 TUX393331 UET393331 UOP393331 UYL393331 VIH393331 VSD393331 WBZ393331 WLV393331 WVR393331 J458867 JF458867 TB458867 ACX458867 AMT458867 AWP458867 BGL458867 BQH458867 CAD458867 CJZ458867 CTV458867 DDR458867 DNN458867 DXJ458867 EHF458867 ERB458867 FAX458867 FKT458867 FUP458867 GEL458867 GOH458867 GYD458867 HHZ458867 HRV458867 IBR458867 ILN458867 IVJ458867 JFF458867 JPB458867 JYX458867 KIT458867 KSP458867 LCL458867 LMH458867 LWD458867 MFZ458867 MPV458867 MZR458867 NJN458867 NTJ458867 ODF458867 ONB458867 OWX458867 PGT458867 PQP458867 QAL458867 QKH458867 QUD458867 RDZ458867 RNV458867 RXR458867 SHN458867 SRJ458867 TBF458867 TLB458867 TUX458867 UET458867 UOP458867 UYL458867 VIH458867 VSD458867 WBZ458867 WLV458867 WVR458867 J524403 JF524403 TB524403 ACX524403 AMT524403 AWP524403 BGL524403 BQH524403 CAD524403 CJZ524403 CTV524403 DDR524403 DNN524403 DXJ524403 EHF524403 ERB524403 FAX524403 FKT524403 FUP524403 GEL524403 GOH524403 GYD524403 HHZ524403 HRV524403 IBR524403 ILN524403 IVJ524403 JFF524403 JPB524403 JYX524403 KIT524403 KSP524403 LCL524403 LMH524403 LWD524403 MFZ524403 MPV524403 MZR524403 NJN524403 NTJ524403 ODF524403 ONB524403 OWX524403 PGT524403 PQP524403 QAL524403 QKH524403 QUD524403 RDZ524403 RNV524403 RXR524403 SHN524403 SRJ524403 TBF524403 TLB524403 TUX524403 UET524403 UOP524403 UYL524403 VIH524403 VSD524403 WBZ524403 WLV524403 WVR524403 J589939 JF589939 TB589939 ACX589939 AMT589939 AWP589939 BGL589939 BQH589939 CAD589939 CJZ589939 CTV589939 DDR589939 DNN589939 DXJ589939 EHF589939 ERB589939 FAX589939 FKT589939 FUP589939 GEL589939 GOH589939 GYD589939 HHZ589939 HRV589939 IBR589939 ILN589939 IVJ589939 JFF589939 JPB589939 JYX589939 KIT589939 KSP589939 LCL589939 LMH589939 LWD589939 MFZ589939 MPV589939 MZR589939 NJN589939 NTJ589939 ODF589939 ONB589939 OWX589939 PGT589939 PQP589939 QAL589939 QKH589939 QUD589939 RDZ589939 RNV589939 RXR589939 SHN589939 SRJ589939 TBF589939 TLB589939 TUX589939 UET589939 UOP589939 UYL589939 VIH589939 VSD589939 WBZ589939 WLV589939 WVR589939 J655475 JF655475 TB655475 ACX655475 AMT655475 AWP655475 BGL655475 BQH655475 CAD655475 CJZ655475 CTV655475 DDR655475 DNN655475 DXJ655475 EHF655475 ERB655475 FAX655475 FKT655475 FUP655475 GEL655475 GOH655475 GYD655475 HHZ655475 HRV655475 IBR655475 ILN655475 IVJ655475 JFF655475 JPB655475 JYX655475 KIT655475 KSP655475 LCL655475 LMH655475 LWD655475 MFZ655475 MPV655475 MZR655475 NJN655475 NTJ655475 ODF655475 ONB655475 OWX655475 PGT655475 PQP655475 QAL655475 QKH655475 QUD655475 RDZ655475 RNV655475 RXR655475 SHN655475 SRJ655475 TBF655475 TLB655475 TUX655475 UET655475 UOP655475 UYL655475 VIH655475 VSD655475 WBZ655475 WLV655475 WVR655475 J721011 JF721011 TB721011 ACX721011 AMT721011 AWP721011 BGL721011 BQH721011 CAD721011 CJZ721011 CTV721011 DDR721011 DNN721011 DXJ721011 EHF721011 ERB721011 FAX721011 FKT721011 FUP721011 GEL721011 GOH721011 GYD721011 HHZ721011 HRV721011 IBR721011 ILN721011 IVJ721011 JFF721011 JPB721011 JYX721011 KIT721011 KSP721011 LCL721011 LMH721011 LWD721011 MFZ721011 MPV721011 MZR721011 NJN721011 NTJ721011 ODF721011 ONB721011 OWX721011 PGT721011 PQP721011 QAL721011 QKH721011 QUD721011 RDZ721011 RNV721011 RXR721011 SHN721011 SRJ721011 TBF721011 TLB721011 TUX721011 UET721011 UOP721011 UYL721011 VIH721011 VSD721011 WBZ721011 WLV721011 WVR721011 J786547 JF786547 TB786547 ACX786547 AMT786547 AWP786547 BGL786547 BQH786547 CAD786547 CJZ786547 CTV786547 DDR786547 DNN786547 DXJ786547 EHF786547 ERB786547 FAX786547 FKT786547 FUP786547 GEL786547 GOH786547 GYD786547 HHZ786547 HRV786547 IBR786547 ILN786547 IVJ786547 JFF786547 JPB786547 JYX786547 KIT786547 KSP786547 LCL786547 LMH786547 LWD786547 MFZ786547 MPV786547 MZR786547 NJN786547 NTJ786547 ODF786547 ONB786547 OWX786547 PGT786547 PQP786547 QAL786547 QKH786547 QUD786547 RDZ786547 RNV786547 RXR786547 SHN786547 SRJ786547 TBF786547 TLB786547 TUX786547 UET786547 UOP786547 UYL786547 VIH786547 VSD786547 WBZ786547 WLV786547 WVR786547 J852083 JF852083 TB852083 ACX852083 AMT852083 AWP852083 BGL852083 BQH852083 CAD852083 CJZ852083 CTV852083 DDR852083 DNN852083 DXJ852083 EHF852083 ERB852083 FAX852083 FKT852083 FUP852083 GEL852083 GOH852083 GYD852083 HHZ852083 HRV852083 IBR852083 ILN852083 IVJ852083 JFF852083 JPB852083 JYX852083 KIT852083 KSP852083 LCL852083 LMH852083 LWD852083 MFZ852083 MPV852083 MZR852083 NJN852083 NTJ852083 ODF852083 ONB852083 OWX852083 PGT852083 PQP852083 QAL852083 QKH852083 QUD852083 RDZ852083 RNV852083 RXR852083 SHN852083 SRJ852083 TBF852083 TLB852083 TUX852083 UET852083 UOP852083 UYL852083 VIH852083 VSD852083 WBZ852083 WLV852083 WVR852083 J917619 JF917619 TB917619 ACX917619 AMT917619 AWP917619 BGL917619 BQH917619 CAD917619 CJZ917619 CTV917619 DDR917619 DNN917619 DXJ917619 EHF917619 ERB917619 FAX917619 FKT917619 FUP917619 GEL917619 GOH917619 GYD917619 HHZ917619 HRV917619 IBR917619 ILN917619 IVJ917619 JFF917619 JPB917619 JYX917619 KIT917619 KSP917619 LCL917619 LMH917619 LWD917619 MFZ917619 MPV917619 MZR917619 NJN917619 NTJ917619 ODF917619 ONB917619 OWX917619 PGT917619 PQP917619 QAL917619 QKH917619 QUD917619 RDZ917619 RNV917619 RXR917619 SHN917619 SRJ917619 TBF917619 TLB917619 TUX917619 UET917619 UOP917619 UYL917619 VIH917619 VSD917619 WBZ917619 WLV917619 WVR917619 J983155 JF983155 TB983155 ACX983155 AMT983155 AWP983155 BGL983155 BQH983155 CAD983155 CJZ983155 CTV983155 DDR983155 DNN983155 DXJ983155 EHF983155 ERB983155 FAX983155 FKT983155 FUP983155 GEL983155 GOH983155 GYD983155 HHZ983155 HRV983155 IBR983155 ILN983155 IVJ983155 JFF983155 JPB983155 JYX983155 KIT983155 KSP983155 LCL983155 LMH983155 LWD983155 MFZ983155 MPV983155 MZR983155 NJN983155 NTJ983155 ODF983155 ONB983155 OWX983155 PGT983155 PQP983155 QAL983155 QKH983155 QUD983155 RDZ983155 RNV983155 RXR983155 SHN983155 SRJ983155 TBF983155 TLB983155 TUX983155 UET983155 UOP983155 UYL983155 VIH983155 VSD983155 WBZ983155 WLV983155 WVR983155 V113:W113 JR113:JS113 TN113:TO113 ADJ113:ADK113 ANF113:ANG113 AXB113:AXC113 BGX113:BGY113 BQT113:BQU113 CAP113:CAQ113 CKL113:CKM113 CUH113:CUI113 DED113:DEE113 DNZ113:DOA113 DXV113:DXW113 EHR113:EHS113 ERN113:ERO113 FBJ113:FBK113 FLF113:FLG113 FVB113:FVC113 GEX113:GEY113 GOT113:GOU113 GYP113:GYQ113 HIL113:HIM113 HSH113:HSI113 ICD113:ICE113 ILZ113:IMA113 IVV113:IVW113 JFR113:JFS113 JPN113:JPO113 JZJ113:JZK113 KJF113:KJG113 KTB113:KTC113 LCX113:LCY113 LMT113:LMU113 LWP113:LWQ113 MGL113:MGM113 MQH113:MQI113 NAD113:NAE113 NJZ113:NKA113 NTV113:NTW113 ODR113:ODS113 ONN113:ONO113 OXJ113:OXK113 PHF113:PHG113 PRB113:PRC113 QAX113:QAY113 QKT113:QKU113 QUP113:QUQ113 REL113:REM113 ROH113:ROI113 RYD113:RYE113 SHZ113:SIA113 SRV113:SRW113 TBR113:TBS113 TLN113:TLO113 TVJ113:TVK113 UFF113:UFG113 UPB113:UPC113 UYX113:UYY113 VIT113:VIU113 VSP113:VSQ113 WCL113:WCM113 WMH113:WMI113 WWD113:WWE113 V65651:W65651 JR65651:JS65651 TN65651:TO65651 ADJ65651:ADK65651 ANF65651:ANG65651 AXB65651:AXC65651 BGX65651:BGY65651 BQT65651:BQU65651 CAP65651:CAQ65651 CKL65651:CKM65651 CUH65651:CUI65651 DED65651:DEE65651 DNZ65651:DOA65651 DXV65651:DXW65651 EHR65651:EHS65651 ERN65651:ERO65651 FBJ65651:FBK65651 FLF65651:FLG65651 FVB65651:FVC65651 GEX65651:GEY65651 GOT65651:GOU65651 GYP65651:GYQ65651 HIL65651:HIM65651 HSH65651:HSI65651 ICD65651:ICE65651 ILZ65651:IMA65651 IVV65651:IVW65651 JFR65651:JFS65651 JPN65651:JPO65651 JZJ65651:JZK65651 KJF65651:KJG65651 KTB65651:KTC65651 LCX65651:LCY65651 LMT65651:LMU65651 LWP65651:LWQ65651 MGL65651:MGM65651 MQH65651:MQI65651 NAD65651:NAE65651 NJZ65651:NKA65651 NTV65651:NTW65651 ODR65651:ODS65651 ONN65651:ONO65651 OXJ65651:OXK65651 PHF65651:PHG65651 PRB65651:PRC65651 QAX65651:QAY65651 QKT65651:QKU65651 QUP65651:QUQ65651 REL65651:REM65651 ROH65651:ROI65651 RYD65651:RYE65651 SHZ65651:SIA65651 SRV65651:SRW65651 TBR65651:TBS65651 TLN65651:TLO65651 TVJ65651:TVK65651 UFF65651:UFG65651 UPB65651:UPC65651 UYX65651:UYY65651 VIT65651:VIU65651 VSP65651:VSQ65651 WCL65651:WCM65651 WMH65651:WMI65651 WWD65651:WWE65651 V131187:W131187 JR131187:JS131187 TN131187:TO131187 ADJ131187:ADK131187 ANF131187:ANG131187 AXB131187:AXC131187 BGX131187:BGY131187 BQT131187:BQU131187 CAP131187:CAQ131187 CKL131187:CKM131187 CUH131187:CUI131187 DED131187:DEE131187 DNZ131187:DOA131187 DXV131187:DXW131187 EHR131187:EHS131187 ERN131187:ERO131187 FBJ131187:FBK131187 FLF131187:FLG131187 FVB131187:FVC131187 GEX131187:GEY131187 GOT131187:GOU131187 GYP131187:GYQ131187 HIL131187:HIM131187 HSH131187:HSI131187 ICD131187:ICE131187 ILZ131187:IMA131187 IVV131187:IVW131187 JFR131187:JFS131187 JPN131187:JPO131187 JZJ131187:JZK131187 KJF131187:KJG131187 KTB131187:KTC131187 LCX131187:LCY131187 LMT131187:LMU131187 LWP131187:LWQ131187 MGL131187:MGM131187 MQH131187:MQI131187 NAD131187:NAE131187 NJZ131187:NKA131187 NTV131187:NTW131187 ODR131187:ODS131187 ONN131187:ONO131187 OXJ131187:OXK131187 PHF131187:PHG131187 PRB131187:PRC131187 QAX131187:QAY131187 QKT131187:QKU131187 QUP131187:QUQ131187 REL131187:REM131187 ROH131187:ROI131187 RYD131187:RYE131187 SHZ131187:SIA131187 SRV131187:SRW131187 TBR131187:TBS131187 TLN131187:TLO131187 TVJ131187:TVK131187 UFF131187:UFG131187 UPB131187:UPC131187 UYX131187:UYY131187 VIT131187:VIU131187 VSP131187:VSQ131187 WCL131187:WCM131187 WMH131187:WMI131187 WWD131187:WWE131187 V196723:W196723 JR196723:JS196723 TN196723:TO196723 ADJ196723:ADK196723 ANF196723:ANG196723 AXB196723:AXC196723 BGX196723:BGY196723 BQT196723:BQU196723 CAP196723:CAQ196723 CKL196723:CKM196723 CUH196723:CUI196723 DED196723:DEE196723 DNZ196723:DOA196723 DXV196723:DXW196723 EHR196723:EHS196723 ERN196723:ERO196723 FBJ196723:FBK196723 FLF196723:FLG196723 FVB196723:FVC196723 GEX196723:GEY196723 GOT196723:GOU196723 GYP196723:GYQ196723 HIL196723:HIM196723 HSH196723:HSI196723 ICD196723:ICE196723 ILZ196723:IMA196723 IVV196723:IVW196723 JFR196723:JFS196723 JPN196723:JPO196723 JZJ196723:JZK196723 KJF196723:KJG196723 KTB196723:KTC196723 LCX196723:LCY196723 LMT196723:LMU196723 LWP196723:LWQ196723 MGL196723:MGM196723 MQH196723:MQI196723 NAD196723:NAE196723 NJZ196723:NKA196723 NTV196723:NTW196723 ODR196723:ODS196723 ONN196723:ONO196723 OXJ196723:OXK196723 PHF196723:PHG196723 PRB196723:PRC196723 QAX196723:QAY196723 QKT196723:QKU196723 QUP196723:QUQ196723 REL196723:REM196723 ROH196723:ROI196723 RYD196723:RYE196723 SHZ196723:SIA196723 SRV196723:SRW196723 TBR196723:TBS196723 TLN196723:TLO196723 TVJ196723:TVK196723 UFF196723:UFG196723 UPB196723:UPC196723 UYX196723:UYY196723 VIT196723:VIU196723 VSP196723:VSQ196723 WCL196723:WCM196723 WMH196723:WMI196723 WWD196723:WWE196723 V262259:W262259 JR262259:JS262259 TN262259:TO262259 ADJ262259:ADK262259 ANF262259:ANG262259 AXB262259:AXC262259 BGX262259:BGY262259 BQT262259:BQU262259 CAP262259:CAQ262259 CKL262259:CKM262259 CUH262259:CUI262259 DED262259:DEE262259 DNZ262259:DOA262259 DXV262259:DXW262259 EHR262259:EHS262259 ERN262259:ERO262259 FBJ262259:FBK262259 FLF262259:FLG262259 FVB262259:FVC262259 GEX262259:GEY262259 GOT262259:GOU262259 GYP262259:GYQ262259 HIL262259:HIM262259 HSH262259:HSI262259 ICD262259:ICE262259 ILZ262259:IMA262259 IVV262259:IVW262259 JFR262259:JFS262259 JPN262259:JPO262259 JZJ262259:JZK262259 KJF262259:KJG262259 KTB262259:KTC262259 LCX262259:LCY262259 LMT262259:LMU262259 LWP262259:LWQ262259 MGL262259:MGM262259 MQH262259:MQI262259 NAD262259:NAE262259 NJZ262259:NKA262259 NTV262259:NTW262259 ODR262259:ODS262259 ONN262259:ONO262259 OXJ262259:OXK262259 PHF262259:PHG262259 PRB262259:PRC262259 QAX262259:QAY262259 QKT262259:QKU262259 QUP262259:QUQ262259 REL262259:REM262259 ROH262259:ROI262259 RYD262259:RYE262259 SHZ262259:SIA262259 SRV262259:SRW262259 TBR262259:TBS262259 TLN262259:TLO262259 TVJ262259:TVK262259 UFF262259:UFG262259 UPB262259:UPC262259 UYX262259:UYY262259 VIT262259:VIU262259 VSP262259:VSQ262259 WCL262259:WCM262259 WMH262259:WMI262259 WWD262259:WWE262259 V327795:W327795 JR327795:JS327795 TN327795:TO327795 ADJ327795:ADK327795 ANF327795:ANG327795 AXB327795:AXC327795 BGX327795:BGY327795 BQT327795:BQU327795 CAP327795:CAQ327795 CKL327795:CKM327795 CUH327795:CUI327795 DED327795:DEE327795 DNZ327795:DOA327795 DXV327795:DXW327795 EHR327795:EHS327795 ERN327795:ERO327795 FBJ327795:FBK327795 FLF327795:FLG327795 FVB327795:FVC327795 GEX327795:GEY327795 GOT327795:GOU327795 GYP327795:GYQ327795 HIL327795:HIM327795 HSH327795:HSI327795 ICD327795:ICE327795 ILZ327795:IMA327795 IVV327795:IVW327795 JFR327795:JFS327795 JPN327795:JPO327795 JZJ327795:JZK327795 KJF327795:KJG327795 KTB327795:KTC327795 LCX327795:LCY327795 LMT327795:LMU327795 LWP327795:LWQ327795 MGL327795:MGM327795 MQH327795:MQI327795 NAD327795:NAE327795 NJZ327795:NKA327795 NTV327795:NTW327795 ODR327795:ODS327795 ONN327795:ONO327795 OXJ327795:OXK327795 PHF327795:PHG327795 PRB327795:PRC327795 QAX327795:QAY327795 QKT327795:QKU327795 QUP327795:QUQ327795 REL327795:REM327795 ROH327795:ROI327795 RYD327795:RYE327795 SHZ327795:SIA327795 SRV327795:SRW327795 TBR327795:TBS327795 TLN327795:TLO327795 TVJ327795:TVK327795 UFF327795:UFG327795 UPB327795:UPC327795 UYX327795:UYY327795 VIT327795:VIU327795 VSP327795:VSQ327795 WCL327795:WCM327795 WMH327795:WMI327795 WWD327795:WWE327795 V393331:W393331 JR393331:JS393331 TN393331:TO393331 ADJ393331:ADK393331 ANF393331:ANG393331 AXB393331:AXC393331 BGX393331:BGY393331 BQT393331:BQU393331 CAP393331:CAQ393331 CKL393331:CKM393331 CUH393331:CUI393331 DED393331:DEE393331 DNZ393331:DOA393331 DXV393331:DXW393331 EHR393331:EHS393331 ERN393331:ERO393331 FBJ393331:FBK393331 FLF393331:FLG393331 FVB393331:FVC393331 GEX393331:GEY393331 GOT393331:GOU393331 GYP393331:GYQ393331 HIL393331:HIM393331 HSH393331:HSI393331 ICD393331:ICE393331 ILZ393331:IMA393331 IVV393331:IVW393331 JFR393331:JFS393331 JPN393331:JPO393331 JZJ393331:JZK393331 KJF393331:KJG393331 KTB393331:KTC393331 LCX393331:LCY393331 LMT393331:LMU393331 LWP393331:LWQ393331 MGL393331:MGM393331 MQH393331:MQI393331 NAD393331:NAE393331 NJZ393331:NKA393331 NTV393331:NTW393331 ODR393331:ODS393331 ONN393331:ONO393331 OXJ393331:OXK393331 PHF393331:PHG393331 PRB393331:PRC393331 QAX393331:QAY393331 QKT393331:QKU393331 QUP393331:QUQ393331 REL393331:REM393331 ROH393331:ROI393331 RYD393331:RYE393331 SHZ393331:SIA393331 SRV393331:SRW393331 TBR393331:TBS393331 TLN393331:TLO393331 TVJ393331:TVK393331 UFF393331:UFG393331 UPB393331:UPC393331 UYX393331:UYY393331 VIT393331:VIU393331 VSP393331:VSQ393331 WCL393331:WCM393331 WMH393331:WMI393331 WWD393331:WWE393331 V458867:W458867 JR458867:JS458867 TN458867:TO458867 ADJ458867:ADK458867 ANF458867:ANG458867 AXB458867:AXC458867 BGX458867:BGY458867 BQT458867:BQU458867 CAP458867:CAQ458867 CKL458867:CKM458867 CUH458867:CUI458867 DED458867:DEE458867 DNZ458867:DOA458867 DXV458867:DXW458867 EHR458867:EHS458867 ERN458867:ERO458867 FBJ458867:FBK458867 FLF458867:FLG458867 FVB458867:FVC458867 GEX458867:GEY458867 GOT458867:GOU458867 GYP458867:GYQ458867 HIL458867:HIM458867 HSH458867:HSI458867 ICD458867:ICE458867 ILZ458867:IMA458867 IVV458867:IVW458867 JFR458867:JFS458867 JPN458867:JPO458867 JZJ458867:JZK458867 KJF458867:KJG458867 KTB458867:KTC458867 LCX458867:LCY458867 LMT458867:LMU458867 LWP458867:LWQ458867 MGL458867:MGM458867 MQH458867:MQI458867 NAD458867:NAE458867 NJZ458867:NKA458867 NTV458867:NTW458867 ODR458867:ODS458867 ONN458867:ONO458867 OXJ458867:OXK458867 PHF458867:PHG458867 PRB458867:PRC458867 QAX458867:QAY458867 QKT458867:QKU458867 QUP458867:QUQ458867 REL458867:REM458867 ROH458867:ROI458867 RYD458867:RYE458867 SHZ458867:SIA458867 SRV458867:SRW458867 TBR458867:TBS458867 TLN458867:TLO458867 TVJ458867:TVK458867 UFF458867:UFG458867 UPB458867:UPC458867 UYX458867:UYY458867 VIT458867:VIU458867 VSP458867:VSQ458867 WCL458867:WCM458867 WMH458867:WMI458867 WWD458867:WWE458867 V524403:W524403 JR524403:JS524403 TN524403:TO524403 ADJ524403:ADK524403 ANF524403:ANG524403 AXB524403:AXC524403 BGX524403:BGY524403 BQT524403:BQU524403 CAP524403:CAQ524403 CKL524403:CKM524403 CUH524403:CUI524403 DED524403:DEE524403 DNZ524403:DOA524403 DXV524403:DXW524403 EHR524403:EHS524403 ERN524403:ERO524403 FBJ524403:FBK524403 FLF524403:FLG524403 FVB524403:FVC524403 GEX524403:GEY524403 GOT524403:GOU524403 GYP524403:GYQ524403 HIL524403:HIM524403 HSH524403:HSI524403 ICD524403:ICE524403 ILZ524403:IMA524403 IVV524403:IVW524403 JFR524403:JFS524403 JPN524403:JPO524403 JZJ524403:JZK524403 KJF524403:KJG524403 KTB524403:KTC524403 LCX524403:LCY524403 LMT524403:LMU524403 LWP524403:LWQ524403 MGL524403:MGM524403 MQH524403:MQI524403 NAD524403:NAE524403 NJZ524403:NKA524403 NTV524403:NTW524403 ODR524403:ODS524403 ONN524403:ONO524403 OXJ524403:OXK524403 PHF524403:PHG524403 PRB524403:PRC524403 QAX524403:QAY524403 QKT524403:QKU524403 QUP524403:QUQ524403 REL524403:REM524403 ROH524403:ROI524403 RYD524403:RYE524403 SHZ524403:SIA524403 SRV524403:SRW524403 TBR524403:TBS524403 TLN524403:TLO524403 TVJ524403:TVK524403 UFF524403:UFG524403 UPB524403:UPC524403 UYX524403:UYY524403 VIT524403:VIU524403 VSP524403:VSQ524403 WCL524403:WCM524403 WMH524403:WMI524403 WWD524403:WWE524403 V589939:W589939 JR589939:JS589939 TN589939:TO589939 ADJ589939:ADK589939 ANF589939:ANG589939 AXB589939:AXC589939 BGX589939:BGY589939 BQT589939:BQU589939 CAP589939:CAQ589939 CKL589939:CKM589939 CUH589939:CUI589939 DED589939:DEE589939 DNZ589939:DOA589939 DXV589939:DXW589939 EHR589939:EHS589939 ERN589939:ERO589939 FBJ589939:FBK589939 FLF589939:FLG589939 FVB589939:FVC589939 GEX589939:GEY589939 GOT589939:GOU589939 GYP589939:GYQ589939 HIL589939:HIM589939 HSH589939:HSI589939 ICD589939:ICE589939 ILZ589939:IMA589939 IVV589939:IVW589939 JFR589939:JFS589939 JPN589939:JPO589939 JZJ589939:JZK589939 KJF589939:KJG589939 KTB589939:KTC589939 LCX589939:LCY589939 LMT589939:LMU589939 LWP589939:LWQ589939 MGL589939:MGM589939 MQH589939:MQI589939 NAD589939:NAE589939 NJZ589939:NKA589939 NTV589939:NTW589939 ODR589939:ODS589939 ONN589939:ONO589939 OXJ589939:OXK589939 PHF589939:PHG589939 PRB589939:PRC589939 QAX589939:QAY589939 QKT589939:QKU589939 QUP589939:QUQ589939 REL589939:REM589939 ROH589939:ROI589939 RYD589939:RYE589939 SHZ589939:SIA589939 SRV589939:SRW589939 TBR589939:TBS589939 TLN589939:TLO589939 TVJ589939:TVK589939 UFF589939:UFG589939 UPB589939:UPC589939 UYX589939:UYY589939 VIT589939:VIU589939 VSP589939:VSQ589939 WCL589939:WCM589939 WMH589939:WMI589939 WWD589939:WWE589939 V655475:W655475 JR655475:JS655475 TN655475:TO655475 ADJ655475:ADK655475 ANF655475:ANG655475 AXB655475:AXC655475 BGX655475:BGY655475 BQT655475:BQU655475 CAP655475:CAQ655475 CKL655475:CKM655475 CUH655475:CUI655475 DED655475:DEE655475 DNZ655475:DOA655475 DXV655475:DXW655475 EHR655475:EHS655475 ERN655475:ERO655475 FBJ655475:FBK655475 FLF655475:FLG655475 FVB655475:FVC655475 GEX655475:GEY655475 GOT655475:GOU655475 GYP655475:GYQ655475 HIL655475:HIM655475 HSH655475:HSI655475 ICD655475:ICE655475 ILZ655475:IMA655475 IVV655475:IVW655475 JFR655475:JFS655475 JPN655475:JPO655475 JZJ655475:JZK655475 KJF655475:KJG655475 KTB655475:KTC655475 LCX655475:LCY655475 LMT655475:LMU655475 LWP655475:LWQ655475 MGL655475:MGM655475 MQH655475:MQI655475 NAD655475:NAE655475 NJZ655475:NKA655475 NTV655475:NTW655475 ODR655475:ODS655475 ONN655475:ONO655475 OXJ655475:OXK655475 PHF655475:PHG655475 PRB655475:PRC655475 QAX655475:QAY655475 QKT655475:QKU655475 QUP655475:QUQ655475 REL655475:REM655475 ROH655475:ROI655475 RYD655475:RYE655475 SHZ655475:SIA655475 SRV655475:SRW655475 TBR655475:TBS655475 TLN655475:TLO655475 TVJ655475:TVK655475 UFF655475:UFG655475 UPB655475:UPC655475 UYX655475:UYY655475 VIT655475:VIU655475 VSP655475:VSQ655475 WCL655475:WCM655475 WMH655475:WMI655475 WWD655475:WWE655475 V721011:W721011 JR721011:JS721011 TN721011:TO721011 ADJ721011:ADK721011 ANF721011:ANG721011 AXB721011:AXC721011 BGX721011:BGY721011 BQT721011:BQU721011 CAP721011:CAQ721011 CKL721011:CKM721011 CUH721011:CUI721011 DED721011:DEE721011 DNZ721011:DOA721011 DXV721011:DXW721011 EHR721011:EHS721011 ERN721011:ERO721011 FBJ721011:FBK721011 FLF721011:FLG721011 FVB721011:FVC721011 GEX721011:GEY721011 GOT721011:GOU721011 GYP721011:GYQ721011 HIL721011:HIM721011 HSH721011:HSI721011 ICD721011:ICE721011 ILZ721011:IMA721011 IVV721011:IVW721011 JFR721011:JFS721011 JPN721011:JPO721011 JZJ721011:JZK721011 KJF721011:KJG721011 KTB721011:KTC721011 LCX721011:LCY721011 LMT721011:LMU721011 LWP721011:LWQ721011 MGL721011:MGM721011 MQH721011:MQI721011 NAD721011:NAE721011 NJZ721011:NKA721011 NTV721011:NTW721011 ODR721011:ODS721011 ONN721011:ONO721011 OXJ721011:OXK721011 PHF721011:PHG721011 PRB721011:PRC721011 QAX721011:QAY721011 QKT721011:QKU721011 QUP721011:QUQ721011 REL721011:REM721011 ROH721011:ROI721011 RYD721011:RYE721011 SHZ721011:SIA721011 SRV721011:SRW721011 TBR721011:TBS721011 TLN721011:TLO721011 TVJ721011:TVK721011 UFF721011:UFG721011 UPB721011:UPC721011 UYX721011:UYY721011 VIT721011:VIU721011 VSP721011:VSQ721011 WCL721011:WCM721011 WMH721011:WMI721011 WWD721011:WWE721011 V786547:W786547 JR786547:JS786547 TN786547:TO786547 ADJ786547:ADK786547 ANF786547:ANG786547 AXB786547:AXC786547 BGX786547:BGY786547 BQT786547:BQU786547 CAP786547:CAQ786547 CKL786547:CKM786547 CUH786547:CUI786547 DED786547:DEE786547 DNZ786547:DOA786547 DXV786547:DXW786547 EHR786547:EHS786547 ERN786547:ERO786547 FBJ786547:FBK786547 FLF786547:FLG786547 FVB786547:FVC786547 GEX786547:GEY786547 GOT786547:GOU786547 GYP786547:GYQ786547 HIL786547:HIM786547 HSH786547:HSI786547 ICD786547:ICE786547 ILZ786547:IMA786547 IVV786547:IVW786547 JFR786547:JFS786547 JPN786547:JPO786547 JZJ786547:JZK786547 KJF786547:KJG786547 KTB786547:KTC786547 LCX786547:LCY786547 LMT786547:LMU786547 LWP786547:LWQ786547 MGL786547:MGM786547 MQH786547:MQI786547 NAD786547:NAE786547 NJZ786547:NKA786547 NTV786547:NTW786547 ODR786547:ODS786547 ONN786547:ONO786547 OXJ786547:OXK786547 PHF786547:PHG786547 PRB786547:PRC786547 QAX786547:QAY786547 QKT786547:QKU786547 QUP786547:QUQ786547 REL786547:REM786547 ROH786547:ROI786547 RYD786547:RYE786547 SHZ786547:SIA786547 SRV786547:SRW786547 TBR786547:TBS786547 TLN786547:TLO786547 TVJ786547:TVK786547 UFF786547:UFG786547 UPB786547:UPC786547 UYX786547:UYY786547 VIT786547:VIU786547 VSP786547:VSQ786547 WCL786547:WCM786547 WMH786547:WMI786547 WWD786547:WWE786547 V852083:W852083 JR852083:JS852083 TN852083:TO852083 ADJ852083:ADK852083 ANF852083:ANG852083 AXB852083:AXC852083 BGX852083:BGY852083 BQT852083:BQU852083 CAP852083:CAQ852083 CKL852083:CKM852083 CUH852083:CUI852083 DED852083:DEE852083 DNZ852083:DOA852083 DXV852083:DXW852083 EHR852083:EHS852083 ERN852083:ERO852083 FBJ852083:FBK852083 FLF852083:FLG852083 FVB852083:FVC852083 GEX852083:GEY852083 GOT852083:GOU852083 GYP852083:GYQ852083 HIL852083:HIM852083 HSH852083:HSI852083 ICD852083:ICE852083 ILZ852083:IMA852083 IVV852083:IVW852083 JFR852083:JFS852083 JPN852083:JPO852083 JZJ852083:JZK852083 KJF852083:KJG852083 KTB852083:KTC852083 LCX852083:LCY852083 LMT852083:LMU852083 LWP852083:LWQ852083 MGL852083:MGM852083 MQH852083:MQI852083 NAD852083:NAE852083 NJZ852083:NKA852083 NTV852083:NTW852083 ODR852083:ODS852083 ONN852083:ONO852083 OXJ852083:OXK852083 PHF852083:PHG852083 PRB852083:PRC852083 QAX852083:QAY852083 QKT852083:QKU852083 QUP852083:QUQ852083 REL852083:REM852083 ROH852083:ROI852083 RYD852083:RYE852083 SHZ852083:SIA852083 SRV852083:SRW852083 TBR852083:TBS852083 TLN852083:TLO852083 TVJ852083:TVK852083 UFF852083:UFG852083 UPB852083:UPC852083 UYX852083:UYY852083 VIT852083:VIU852083 VSP852083:VSQ852083 WCL852083:WCM852083 WMH852083:WMI852083 WWD852083:WWE852083 V917619:W917619 JR917619:JS917619 TN917619:TO917619 ADJ917619:ADK917619 ANF917619:ANG917619 AXB917619:AXC917619 BGX917619:BGY917619 BQT917619:BQU917619 CAP917619:CAQ917619 CKL917619:CKM917619 CUH917619:CUI917619 DED917619:DEE917619 DNZ917619:DOA917619 DXV917619:DXW917619 EHR917619:EHS917619 ERN917619:ERO917619 FBJ917619:FBK917619 FLF917619:FLG917619 FVB917619:FVC917619 GEX917619:GEY917619 GOT917619:GOU917619 GYP917619:GYQ917619 HIL917619:HIM917619 HSH917619:HSI917619 ICD917619:ICE917619 ILZ917619:IMA917619 IVV917619:IVW917619 JFR917619:JFS917619 JPN917619:JPO917619 JZJ917619:JZK917619 KJF917619:KJG917619 KTB917619:KTC917619 LCX917619:LCY917619 LMT917619:LMU917619 LWP917619:LWQ917619 MGL917619:MGM917619 MQH917619:MQI917619 NAD917619:NAE917619 NJZ917619:NKA917619 NTV917619:NTW917619 ODR917619:ODS917619 ONN917619:ONO917619 OXJ917619:OXK917619 PHF917619:PHG917619 PRB917619:PRC917619 QAX917619:QAY917619 QKT917619:QKU917619 QUP917619:QUQ917619 REL917619:REM917619 ROH917619:ROI917619 RYD917619:RYE917619 SHZ917619:SIA917619 SRV917619:SRW917619 TBR917619:TBS917619 TLN917619:TLO917619 TVJ917619:TVK917619 UFF917619:UFG917619 UPB917619:UPC917619 UYX917619:UYY917619 VIT917619:VIU917619 VSP917619:VSQ917619 WCL917619:WCM917619 WMH917619:WMI917619 WWD917619:WWE917619 V983155:W983155 JR983155:JS983155 TN983155:TO983155 ADJ983155:ADK983155 ANF983155:ANG983155 AXB983155:AXC983155 BGX983155:BGY983155 BQT983155:BQU983155 CAP983155:CAQ983155 CKL983155:CKM983155 CUH983155:CUI983155 DED983155:DEE983155 DNZ983155:DOA983155 DXV983155:DXW983155 EHR983155:EHS983155 ERN983155:ERO983155 FBJ983155:FBK983155 FLF983155:FLG983155 FVB983155:FVC983155 GEX983155:GEY983155 GOT983155:GOU983155 GYP983155:GYQ983155 HIL983155:HIM983155 HSH983155:HSI983155 ICD983155:ICE983155 ILZ983155:IMA983155 IVV983155:IVW983155 JFR983155:JFS983155 JPN983155:JPO983155 JZJ983155:JZK983155 KJF983155:KJG983155 KTB983155:KTC983155 LCX983155:LCY983155 LMT983155:LMU983155 LWP983155:LWQ983155 MGL983155:MGM983155 MQH983155:MQI983155 NAD983155:NAE983155 NJZ983155:NKA983155 NTV983155:NTW983155 ODR983155:ODS983155 ONN983155:ONO983155 OXJ983155:OXK983155 PHF983155:PHG983155 PRB983155:PRC983155 QAX983155:QAY983155 QKT983155:QKU983155 QUP983155:QUQ983155 REL983155:REM983155 ROH983155:ROI983155 RYD983155:RYE983155 SHZ983155:SIA983155 SRV983155:SRW983155 TBR983155:TBS983155 TLN983155:TLO983155 TVJ983155:TVK983155 UFF983155:UFG983155 UPB983155:UPC983155 UYX983155:UYY983155 VIT983155:VIU983155 VSP983155:VSQ983155 WCL983155:WCM983155 WMH983155:WMI983155 WWD983155:WWE983155" xr:uid="{904E782D-0D22-4C3C-9049-95075D39AFAD}">
      <formula1>$AW$147:$AW$148</formula1>
    </dataValidation>
    <dataValidation type="list" allowBlank="1" showInputMessage="1" showErrorMessage="1" sqref="J114:J116 JF114:JF116 TB114:TB116 ACX114:ACX116 AMT114:AMT116 AWP114:AWP116 BGL114:BGL116 BQH114:BQH116 CAD114:CAD116 CJZ114:CJZ116 CTV114:CTV116 DDR114:DDR116 DNN114:DNN116 DXJ114:DXJ116 EHF114:EHF116 ERB114:ERB116 FAX114:FAX116 FKT114:FKT116 FUP114:FUP116 GEL114:GEL116 GOH114:GOH116 GYD114:GYD116 HHZ114:HHZ116 HRV114:HRV116 IBR114:IBR116 ILN114:ILN116 IVJ114:IVJ116 JFF114:JFF116 JPB114:JPB116 JYX114:JYX116 KIT114:KIT116 KSP114:KSP116 LCL114:LCL116 LMH114:LMH116 LWD114:LWD116 MFZ114:MFZ116 MPV114:MPV116 MZR114:MZR116 NJN114:NJN116 NTJ114:NTJ116 ODF114:ODF116 ONB114:ONB116 OWX114:OWX116 PGT114:PGT116 PQP114:PQP116 QAL114:QAL116 QKH114:QKH116 QUD114:QUD116 RDZ114:RDZ116 RNV114:RNV116 RXR114:RXR116 SHN114:SHN116 SRJ114:SRJ116 TBF114:TBF116 TLB114:TLB116 TUX114:TUX116 UET114:UET116 UOP114:UOP116 UYL114:UYL116 VIH114:VIH116 VSD114:VSD116 WBZ114:WBZ116 WLV114:WLV116 WVR114:WVR116 J65652:J65654 JF65652:JF65654 TB65652:TB65654 ACX65652:ACX65654 AMT65652:AMT65654 AWP65652:AWP65654 BGL65652:BGL65654 BQH65652:BQH65654 CAD65652:CAD65654 CJZ65652:CJZ65654 CTV65652:CTV65654 DDR65652:DDR65654 DNN65652:DNN65654 DXJ65652:DXJ65654 EHF65652:EHF65654 ERB65652:ERB65654 FAX65652:FAX65654 FKT65652:FKT65654 FUP65652:FUP65654 GEL65652:GEL65654 GOH65652:GOH65654 GYD65652:GYD65654 HHZ65652:HHZ65654 HRV65652:HRV65654 IBR65652:IBR65654 ILN65652:ILN65654 IVJ65652:IVJ65654 JFF65652:JFF65654 JPB65652:JPB65654 JYX65652:JYX65654 KIT65652:KIT65654 KSP65652:KSP65654 LCL65652:LCL65654 LMH65652:LMH65654 LWD65652:LWD65654 MFZ65652:MFZ65654 MPV65652:MPV65654 MZR65652:MZR65654 NJN65652:NJN65654 NTJ65652:NTJ65654 ODF65652:ODF65654 ONB65652:ONB65654 OWX65652:OWX65654 PGT65652:PGT65654 PQP65652:PQP65654 QAL65652:QAL65654 QKH65652:QKH65654 QUD65652:QUD65654 RDZ65652:RDZ65654 RNV65652:RNV65654 RXR65652:RXR65654 SHN65652:SHN65654 SRJ65652:SRJ65654 TBF65652:TBF65654 TLB65652:TLB65654 TUX65652:TUX65654 UET65652:UET65654 UOP65652:UOP65654 UYL65652:UYL65654 VIH65652:VIH65654 VSD65652:VSD65654 WBZ65652:WBZ65654 WLV65652:WLV65654 WVR65652:WVR65654 J131188:J131190 JF131188:JF131190 TB131188:TB131190 ACX131188:ACX131190 AMT131188:AMT131190 AWP131188:AWP131190 BGL131188:BGL131190 BQH131188:BQH131190 CAD131188:CAD131190 CJZ131188:CJZ131190 CTV131188:CTV131190 DDR131188:DDR131190 DNN131188:DNN131190 DXJ131188:DXJ131190 EHF131188:EHF131190 ERB131188:ERB131190 FAX131188:FAX131190 FKT131188:FKT131190 FUP131188:FUP131190 GEL131188:GEL131190 GOH131188:GOH131190 GYD131188:GYD131190 HHZ131188:HHZ131190 HRV131188:HRV131190 IBR131188:IBR131190 ILN131188:ILN131190 IVJ131188:IVJ131190 JFF131188:JFF131190 JPB131188:JPB131190 JYX131188:JYX131190 KIT131188:KIT131190 KSP131188:KSP131190 LCL131188:LCL131190 LMH131188:LMH131190 LWD131188:LWD131190 MFZ131188:MFZ131190 MPV131188:MPV131190 MZR131188:MZR131190 NJN131188:NJN131190 NTJ131188:NTJ131190 ODF131188:ODF131190 ONB131188:ONB131190 OWX131188:OWX131190 PGT131188:PGT131190 PQP131188:PQP131190 QAL131188:QAL131190 QKH131188:QKH131190 QUD131188:QUD131190 RDZ131188:RDZ131190 RNV131188:RNV131190 RXR131188:RXR131190 SHN131188:SHN131190 SRJ131188:SRJ131190 TBF131188:TBF131190 TLB131188:TLB131190 TUX131188:TUX131190 UET131188:UET131190 UOP131188:UOP131190 UYL131188:UYL131190 VIH131188:VIH131190 VSD131188:VSD131190 WBZ131188:WBZ131190 WLV131188:WLV131190 WVR131188:WVR131190 J196724:J196726 JF196724:JF196726 TB196724:TB196726 ACX196724:ACX196726 AMT196724:AMT196726 AWP196724:AWP196726 BGL196724:BGL196726 BQH196724:BQH196726 CAD196724:CAD196726 CJZ196724:CJZ196726 CTV196724:CTV196726 DDR196724:DDR196726 DNN196724:DNN196726 DXJ196724:DXJ196726 EHF196724:EHF196726 ERB196724:ERB196726 FAX196724:FAX196726 FKT196724:FKT196726 FUP196724:FUP196726 GEL196724:GEL196726 GOH196724:GOH196726 GYD196724:GYD196726 HHZ196724:HHZ196726 HRV196724:HRV196726 IBR196724:IBR196726 ILN196724:ILN196726 IVJ196724:IVJ196726 JFF196724:JFF196726 JPB196724:JPB196726 JYX196724:JYX196726 KIT196724:KIT196726 KSP196724:KSP196726 LCL196724:LCL196726 LMH196724:LMH196726 LWD196724:LWD196726 MFZ196724:MFZ196726 MPV196724:MPV196726 MZR196724:MZR196726 NJN196724:NJN196726 NTJ196724:NTJ196726 ODF196724:ODF196726 ONB196724:ONB196726 OWX196724:OWX196726 PGT196724:PGT196726 PQP196724:PQP196726 QAL196724:QAL196726 QKH196724:QKH196726 QUD196724:QUD196726 RDZ196724:RDZ196726 RNV196724:RNV196726 RXR196724:RXR196726 SHN196724:SHN196726 SRJ196724:SRJ196726 TBF196724:TBF196726 TLB196724:TLB196726 TUX196724:TUX196726 UET196724:UET196726 UOP196724:UOP196726 UYL196724:UYL196726 VIH196724:VIH196726 VSD196724:VSD196726 WBZ196724:WBZ196726 WLV196724:WLV196726 WVR196724:WVR196726 J262260:J262262 JF262260:JF262262 TB262260:TB262262 ACX262260:ACX262262 AMT262260:AMT262262 AWP262260:AWP262262 BGL262260:BGL262262 BQH262260:BQH262262 CAD262260:CAD262262 CJZ262260:CJZ262262 CTV262260:CTV262262 DDR262260:DDR262262 DNN262260:DNN262262 DXJ262260:DXJ262262 EHF262260:EHF262262 ERB262260:ERB262262 FAX262260:FAX262262 FKT262260:FKT262262 FUP262260:FUP262262 GEL262260:GEL262262 GOH262260:GOH262262 GYD262260:GYD262262 HHZ262260:HHZ262262 HRV262260:HRV262262 IBR262260:IBR262262 ILN262260:ILN262262 IVJ262260:IVJ262262 JFF262260:JFF262262 JPB262260:JPB262262 JYX262260:JYX262262 KIT262260:KIT262262 KSP262260:KSP262262 LCL262260:LCL262262 LMH262260:LMH262262 LWD262260:LWD262262 MFZ262260:MFZ262262 MPV262260:MPV262262 MZR262260:MZR262262 NJN262260:NJN262262 NTJ262260:NTJ262262 ODF262260:ODF262262 ONB262260:ONB262262 OWX262260:OWX262262 PGT262260:PGT262262 PQP262260:PQP262262 QAL262260:QAL262262 QKH262260:QKH262262 QUD262260:QUD262262 RDZ262260:RDZ262262 RNV262260:RNV262262 RXR262260:RXR262262 SHN262260:SHN262262 SRJ262260:SRJ262262 TBF262260:TBF262262 TLB262260:TLB262262 TUX262260:TUX262262 UET262260:UET262262 UOP262260:UOP262262 UYL262260:UYL262262 VIH262260:VIH262262 VSD262260:VSD262262 WBZ262260:WBZ262262 WLV262260:WLV262262 WVR262260:WVR262262 J327796:J327798 JF327796:JF327798 TB327796:TB327798 ACX327796:ACX327798 AMT327796:AMT327798 AWP327796:AWP327798 BGL327796:BGL327798 BQH327796:BQH327798 CAD327796:CAD327798 CJZ327796:CJZ327798 CTV327796:CTV327798 DDR327796:DDR327798 DNN327796:DNN327798 DXJ327796:DXJ327798 EHF327796:EHF327798 ERB327796:ERB327798 FAX327796:FAX327798 FKT327796:FKT327798 FUP327796:FUP327798 GEL327796:GEL327798 GOH327796:GOH327798 GYD327796:GYD327798 HHZ327796:HHZ327798 HRV327796:HRV327798 IBR327796:IBR327798 ILN327796:ILN327798 IVJ327796:IVJ327798 JFF327796:JFF327798 JPB327796:JPB327798 JYX327796:JYX327798 KIT327796:KIT327798 KSP327796:KSP327798 LCL327796:LCL327798 LMH327796:LMH327798 LWD327796:LWD327798 MFZ327796:MFZ327798 MPV327796:MPV327798 MZR327796:MZR327798 NJN327796:NJN327798 NTJ327796:NTJ327798 ODF327796:ODF327798 ONB327796:ONB327798 OWX327796:OWX327798 PGT327796:PGT327798 PQP327796:PQP327798 QAL327796:QAL327798 QKH327796:QKH327798 QUD327796:QUD327798 RDZ327796:RDZ327798 RNV327796:RNV327798 RXR327796:RXR327798 SHN327796:SHN327798 SRJ327796:SRJ327798 TBF327796:TBF327798 TLB327796:TLB327798 TUX327796:TUX327798 UET327796:UET327798 UOP327796:UOP327798 UYL327796:UYL327798 VIH327796:VIH327798 VSD327796:VSD327798 WBZ327796:WBZ327798 WLV327796:WLV327798 WVR327796:WVR327798 J393332:J393334 JF393332:JF393334 TB393332:TB393334 ACX393332:ACX393334 AMT393332:AMT393334 AWP393332:AWP393334 BGL393332:BGL393334 BQH393332:BQH393334 CAD393332:CAD393334 CJZ393332:CJZ393334 CTV393332:CTV393334 DDR393332:DDR393334 DNN393332:DNN393334 DXJ393332:DXJ393334 EHF393332:EHF393334 ERB393332:ERB393334 FAX393332:FAX393334 FKT393332:FKT393334 FUP393332:FUP393334 GEL393332:GEL393334 GOH393332:GOH393334 GYD393332:GYD393334 HHZ393332:HHZ393334 HRV393332:HRV393334 IBR393332:IBR393334 ILN393332:ILN393334 IVJ393332:IVJ393334 JFF393332:JFF393334 JPB393332:JPB393334 JYX393332:JYX393334 KIT393332:KIT393334 KSP393332:KSP393334 LCL393332:LCL393334 LMH393332:LMH393334 LWD393332:LWD393334 MFZ393332:MFZ393334 MPV393332:MPV393334 MZR393332:MZR393334 NJN393332:NJN393334 NTJ393332:NTJ393334 ODF393332:ODF393334 ONB393332:ONB393334 OWX393332:OWX393334 PGT393332:PGT393334 PQP393332:PQP393334 QAL393332:QAL393334 QKH393332:QKH393334 QUD393332:QUD393334 RDZ393332:RDZ393334 RNV393332:RNV393334 RXR393332:RXR393334 SHN393332:SHN393334 SRJ393332:SRJ393334 TBF393332:TBF393334 TLB393332:TLB393334 TUX393332:TUX393334 UET393332:UET393334 UOP393332:UOP393334 UYL393332:UYL393334 VIH393332:VIH393334 VSD393332:VSD393334 WBZ393332:WBZ393334 WLV393332:WLV393334 WVR393332:WVR393334 J458868:J458870 JF458868:JF458870 TB458868:TB458870 ACX458868:ACX458870 AMT458868:AMT458870 AWP458868:AWP458870 BGL458868:BGL458870 BQH458868:BQH458870 CAD458868:CAD458870 CJZ458868:CJZ458870 CTV458868:CTV458870 DDR458868:DDR458870 DNN458868:DNN458870 DXJ458868:DXJ458870 EHF458868:EHF458870 ERB458868:ERB458870 FAX458868:FAX458870 FKT458868:FKT458870 FUP458868:FUP458870 GEL458868:GEL458870 GOH458868:GOH458870 GYD458868:GYD458870 HHZ458868:HHZ458870 HRV458868:HRV458870 IBR458868:IBR458870 ILN458868:ILN458870 IVJ458868:IVJ458870 JFF458868:JFF458870 JPB458868:JPB458870 JYX458868:JYX458870 KIT458868:KIT458870 KSP458868:KSP458870 LCL458868:LCL458870 LMH458868:LMH458870 LWD458868:LWD458870 MFZ458868:MFZ458870 MPV458868:MPV458870 MZR458868:MZR458870 NJN458868:NJN458870 NTJ458868:NTJ458870 ODF458868:ODF458870 ONB458868:ONB458870 OWX458868:OWX458870 PGT458868:PGT458870 PQP458868:PQP458870 QAL458868:QAL458870 QKH458868:QKH458870 QUD458868:QUD458870 RDZ458868:RDZ458870 RNV458868:RNV458870 RXR458868:RXR458870 SHN458868:SHN458870 SRJ458868:SRJ458870 TBF458868:TBF458870 TLB458868:TLB458870 TUX458868:TUX458870 UET458868:UET458870 UOP458868:UOP458870 UYL458868:UYL458870 VIH458868:VIH458870 VSD458868:VSD458870 WBZ458868:WBZ458870 WLV458868:WLV458870 WVR458868:WVR458870 J524404:J524406 JF524404:JF524406 TB524404:TB524406 ACX524404:ACX524406 AMT524404:AMT524406 AWP524404:AWP524406 BGL524404:BGL524406 BQH524404:BQH524406 CAD524404:CAD524406 CJZ524404:CJZ524406 CTV524404:CTV524406 DDR524404:DDR524406 DNN524404:DNN524406 DXJ524404:DXJ524406 EHF524404:EHF524406 ERB524404:ERB524406 FAX524404:FAX524406 FKT524404:FKT524406 FUP524404:FUP524406 GEL524404:GEL524406 GOH524404:GOH524406 GYD524404:GYD524406 HHZ524404:HHZ524406 HRV524404:HRV524406 IBR524404:IBR524406 ILN524404:ILN524406 IVJ524404:IVJ524406 JFF524404:JFF524406 JPB524404:JPB524406 JYX524404:JYX524406 KIT524404:KIT524406 KSP524404:KSP524406 LCL524404:LCL524406 LMH524404:LMH524406 LWD524404:LWD524406 MFZ524404:MFZ524406 MPV524404:MPV524406 MZR524404:MZR524406 NJN524404:NJN524406 NTJ524404:NTJ524406 ODF524404:ODF524406 ONB524404:ONB524406 OWX524404:OWX524406 PGT524404:PGT524406 PQP524404:PQP524406 QAL524404:QAL524406 QKH524404:QKH524406 QUD524404:QUD524406 RDZ524404:RDZ524406 RNV524404:RNV524406 RXR524404:RXR524406 SHN524404:SHN524406 SRJ524404:SRJ524406 TBF524404:TBF524406 TLB524404:TLB524406 TUX524404:TUX524406 UET524404:UET524406 UOP524404:UOP524406 UYL524404:UYL524406 VIH524404:VIH524406 VSD524404:VSD524406 WBZ524404:WBZ524406 WLV524404:WLV524406 WVR524404:WVR524406 J589940:J589942 JF589940:JF589942 TB589940:TB589942 ACX589940:ACX589942 AMT589940:AMT589942 AWP589940:AWP589942 BGL589940:BGL589942 BQH589940:BQH589942 CAD589940:CAD589942 CJZ589940:CJZ589942 CTV589940:CTV589942 DDR589940:DDR589942 DNN589940:DNN589942 DXJ589940:DXJ589942 EHF589940:EHF589942 ERB589940:ERB589942 FAX589940:FAX589942 FKT589940:FKT589942 FUP589940:FUP589942 GEL589940:GEL589942 GOH589940:GOH589942 GYD589940:GYD589942 HHZ589940:HHZ589942 HRV589940:HRV589942 IBR589940:IBR589942 ILN589940:ILN589942 IVJ589940:IVJ589942 JFF589940:JFF589942 JPB589940:JPB589942 JYX589940:JYX589942 KIT589940:KIT589942 KSP589940:KSP589942 LCL589940:LCL589942 LMH589940:LMH589942 LWD589940:LWD589942 MFZ589940:MFZ589942 MPV589940:MPV589942 MZR589940:MZR589942 NJN589940:NJN589942 NTJ589940:NTJ589942 ODF589940:ODF589942 ONB589940:ONB589942 OWX589940:OWX589942 PGT589940:PGT589942 PQP589940:PQP589942 QAL589940:QAL589942 QKH589940:QKH589942 QUD589940:QUD589942 RDZ589940:RDZ589942 RNV589940:RNV589942 RXR589940:RXR589942 SHN589940:SHN589942 SRJ589940:SRJ589942 TBF589940:TBF589942 TLB589940:TLB589942 TUX589940:TUX589942 UET589940:UET589942 UOP589940:UOP589942 UYL589940:UYL589942 VIH589940:VIH589942 VSD589940:VSD589942 WBZ589940:WBZ589942 WLV589940:WLV589942 WVR589940:WVR589942 J655476:J655478 JF655476:JF655478 TB655476:TB655478 ACX655476:ACX655478 AMT655476:AMT655478 AWP655476:AWP655478 BGL655476:BGL655478 BQH655476:BQH655478 CAD655476:CAD655478 CJZ655476:CJZ655478 CTV655476:CTV655478 DDR655476:DDR655478 DNN655476:DNN655478 DXJ655476:DXJ655478 EHF655476:EHF655478 ERB655476:ERB655478 FAX655476:FAX655478 FKT655476:FKT655478 FUP655476:FUP655478 GEL655476:GEL655478 GOH655476:GOH655478 GYD655476:GYD655478 HHZ655476:HHZ655478 HRV655476:HRV655478 IBR655476:IBR655478 ILN655476:ILN655478 IVJ655476:IVJ655478 JFF655476:JFF655478 JPB655476:JPB655478 JYX655476:JYX655478 KIT655476:KIT655478 KSP655476:KSP655478 LCL655476:LCL655478 LMH655476:LMH655478 LWD655476:LWD655478 MFZ655476:MFZ655478 MPV655476:MPV655478 MZR655476:MZR655478 NJN655476:NJN655478 NTJ655476:NTJ655478 ODF655476:ODF655478 ONB655476:ONB655478 OWX655476:OWX655478 PGT655476:PGT655478 PQP655476:PQP655478 QAL655476:QAL655478 QKH655476:QKH655478 QUD655476:QUD655478 RDZ655476:RDZ655478 RNV655476:RNV655478 RXR655476:RXR655478 SHN655476:SHN655478 SRJ655476:SRJ655478 TBF655476:TBF655478 TLB655476:TLB655478 TUX655476:TUX655478 UET655476:UET655478 UOP655476:UOP655478 UYL655476:UYL655478 VIH655476:VIH655478 VSD655476:VSD655478 WBZ655476:WBZ655478 WLV655476:WLV655478 WVR655476:WVR655478 J721012:J721014 JF721012:JF721014 TB721012:TB721014 ACX721012:ACX721014 AMT721012:AMT721014 AWP721012:AWP721014 BGL721012:BGL721014 BQH721012:BQH721014 CAD721012:CAD721014 CJZ721012:CJZ721014 CTV721012:CTV721014 DDR721012:DDR721014 DNN721012:DNN721014 DXJ721012:DXJ721014 EHF721012:EHF721014 ERB721012:ERB721014 FAX721012:FAX721014 FKT721012:FKT721014 FUP721012:FUP721014 GEL721012:GEL721014 GOH721012:GOH721014 GYD721012:GYD721014 HHZ721012:HHZ721014 HRV721012:HRV721014 IBR721012:IBR721014 ILN721012:ILN721014 IVJ721012:IVJ721014 JFF721012:JFF721014 JPB721012:JPB721014 JYX721012:JYX721014 KIT721012:KIT721014 KSP721012:KSP721014 LCL721012:LCL721014 LMH721012:LMH721014 LWD721012:LWD721014 MFZ721012:MFZ721014 MPV721012:MPV721014 MZR721012:MZR721014 NJN721012:NJN721014 NTJ721012:NTJ721014 ODF721012:ODF721014 ONB721012:ONB721014 OWX721012:OWX721014 PGT721012:PGT721014 PQP721012:PQP721014 QAL721012:QAL721014 QKH721012:QKH721014 QUD721012:QUD721014 RDZ721012:RDZ721014 RNV721012:RNV721014 RXR721012:RXR721014 SHN721012:SHN721014 SRJ721012:SRJ721014 TBF721012:TBF721014 TLB721012:TLB721014 TUX721012:TUX721014 UET721012:UET721014 UOP721012:UOP721014 UYL721012:UYL721014 VIH721012:VIH721014 VSD721012:VSD721014 WBZ721012:WBZ721014 WLV721012:WLV721014 WVR721012:WVR721014 J786548:J786550 JF786548:JF786550 TB786548:TB786550 ACX786548:ACX786550 AMT786548:AMT786550 AWP786548:AWP786550 BGL786548:BGL786550 BQH786548:BQH786550 CAD786548:CAD786550 CJZ786548:CJZ786550 CTV786548:CTV786550 DDR786548:DDR786550 DNN786548:DNN786550 DXJ786548:DXJ786550 EHF786548:EHF786550 ERB786548:ERB786550 FAX786548:FAX786550 FKT786548:FKT786550 FUP786548:FUP786550 GEL786548:GEL786550 GOH786548:GOH786550 GYD786548:GYD786550 HHZ786548:HHZ786550 HRV786548:HRV786550 IBR786548:IBR786550 ILN786548:ILN786550 IVJ786548:IVJ786550 JFF786548:JFF786550 JPB786548:JPB786550 JYX786548:JYX786550 KIT786548:KIT786550 KSP786548:KSP786550 LCL786548:LCL786550 LMH786548:LMH786550 LWD786548:LWD786550 MFZ786548:MFZ786550 MPV786548:MPV786550 MZR786548:MZR786550 NJN786548:NJN786550 NTJ786548:NTJ786550 ODF786548:ODF786550 ONB786548:ONB786550 OWX786548:OWX786550 PGT786548:PGT786550 PQP786548:PQP786550 QAL786548:QAL786550 QKH786548:QKH786550 QUD786548:QUD786550 RDZ786548:RDZ786550 RNV786548:RNV786550 RXR786548:RXR786550 SHN786548:SHN786550 SRJ786548:SRJ786550 TBF786548:TBF786550 TLB786548:TLB786550 TUX786548:TUX786550 UET786548:UET786550 UOP786548:UOP786550 UYL786548:UYL786550 VIH786548:VIH786550 VSD786548:VSD786550 WBZ786548:WBZ786550 WLV786548:WLV786550 WVR786548:WVR786550 J852084:J852086 JF852084:JF852086 TB852084:TB852086 ACX852084:ACX852086 AMT852084:AMT852086 AWP852084:AWP852086 BGL852084:BGL852086 BQH852084:BQH852086 CAD852084:CAD852086 CJZ852084:CJZ852086 CTV852084:CTV852086 DDR852084:DDR852086 DNN852084:DNN852086 DXJ852084:DXJ852086 EHF852084:EHF852086 ERB852084:ERB852086 FAX852084:FAX852086 FKT852084:FKT852086 FUP852084:FUP852086 GEL852084:GEL852086 GOH852084:GOH852086 GYD852084:GYD852086 HHZ852084:HHZ852086 HRV852084:HRV852086 IBR852084:IBR852086 ILN852084:ILN852086 IVJ852084:IVJ852086 JFF852084:JFF852086 JPB852084:JPB852086 JYX852084:JYX852086 KIT852084:KIT852086 KSP852084:KSP852086 LCL852084:LCL852086 LMH852084:LMH852086 LWD852084:LWD852086 MFZ852084:MFZ852086 MPV852084:MPV852086 MZR852084:MZR852086 NJN852084:NJN852086 NTJ852084:NTJ852086 ODF852084:ODF852086 ONB852084:ONB852086 OWX852084:OWX852086 PGT852084:PGT852086 PQP852084:PQP852086 QAL852084:QAL852086 QKH852084:QKH852086 QUD852084:QUD852086 RDZ852084:RDZ852086 RNV852084:RNV852086 RXR852084:RXR852086 SHN852084:SHN852086 SRJ852084:SRJ852086 TBF852084:TBF852086 TLB852084:TLB852086 TUX852084:TUX852086 UET852084:UET852086 UOP852084:UOP852086 UYL852084:UYL852086 VIH852084:VIH852086 VSD852084:VSD852086 WBZ852084:WBZ852086 WLV852084:WLV852086 WVR852084:WVR852086 J917620:J917622 JF917620:JF917622 TB917620:TB917622 ACX917620:ACX917622 AMT917620:AMT917622 AWP917620:AWP917622 BGL917620:BGL917622 BQH917620:BQH917622 CAD917620:CAD917622 CJZ917620:CJZ917622 CTV917620:CTV917622 DDR917620:DDR917622 DNN917620:DNN917622 DXJ917620:DXJ917622 EHF917620:EHF917622 ERB917620:ERB917622 FAX917620:FAX917622 FKT917620:FKT917622 FUP917620:FUP917622 GEL917620:GEL917622 GOH917620:GOH917622 GYD917620:GYD917622 HHZ917620:HHZ917622 HRV917620:HRV917622 IBR917620:IBR917622 ILN917620:ILN917622 IVJ917620:IVJ917622 JFF917620:JFF917622 JPB917620:JPB917622 JYX917620:JYX917622 KIT917620:KIT917622 KSP917620:KSP917622 LCL917620:LCL917622 LMH917620:LMH917622 LWD917620:LWD917622 MFZ917620:MFZ917622 MPV917620:MPV917622 MZR917620:MZR917622 NJN917620:NJN917622 NTJ917620:NTJ917622 ODF917620:ODF917622 ONB917620:ONB917622 OWX917620:OWX917622 PGT917620:PGT917622 PQP917620:PQP917622 QAL917620:QAL917622 QKH917620:QKH917622 QUD917620:QUD917622 RDZ917620:RDZ917622 RNV917620:RNV917622 RXR917620:RXR917622 SHN917620:SHN917622 SRJ917620:SRJ917622 TBF917620:TBF917622 TLB917620:TLB917622 TUX917620:TUX917622 UET917620:UET917622 UOP917620:UOP917622 UYL917620:UYL917622 VIH917620:VIH917622 VSD917620:VSD917622 WBZ917620:WBZ917622 WLV917620:WLV917622 WVR917620:WVR917622 J983156:J983158 JF983156:JF983158 TB983156:TB983158 ACX983156:ACX983158 AMT983156:AMT983158 AWP983156:AWP983158 BGL983156:BGL983158 BQH983156:BQH983158 CAD983156:CAD983158 CJZ983156:CJZ983158 CTV983156:CTV983158 DDR983156:DDR983158 DNN983156:DNN983158 DXJ983156:DXJ983158 EHF983156:EHF983158 ERB983156:ERB983158 FAX983156:FAX983158 FKT983156:FKT983158 FUP983156:FUP983158 GEL983156:GEL983158 GOH983156:GOH983158 GYD983156:GYD983158 HHZ983156:HHZ983158 HRV983156:HRV983158 IBR983156:IBR983158 ILN983156:ILN983158 IVJ983156:IVJ983158 JFF983156:JFF983158 JPB983156:JPB983158 JYX983156:JYX983158 KIT983156:KIT983158 KSP983156:KSP983158 LCL983156:LCL983158 LMH983156:LMH983158 LWD983156:LWD983158 MFZ983156:MFZ983158 MPV983156:MPV983158 MZR983156:MZR983158 NJN983156:NJN983158 NTJ983156:NTJ983158 ODF983156:ODF983158 ONB983156:ONB983158 OWX983156:OWX983158 PGT983156:PGT983158 PQP983156:PQP983158 QAL983156:QAL983158 QKH983156:QKH983158 QUD983156:QUD983158 RDZ983156:RDZ983158 RNV983156:RNV983158 RXR983156:RXR983158 SHN983156:SHN983158 SRJ983156:SRJ983158 TBF983156:TBF983158 TLB983156:TLB983158 TUX983156:TUX983158 UET983156:UET983158 UOP983156:UOP983158 UYL983156:UYL983158 VIH983156:VIH983158 VSD983156:VSD983158 WBZ983156:WBZ983158 WLV983156:WLV983158 WVR983156:WVR983158 V116:W116 JR116:JS116 TN116:TO116 ADJ116:ADK116 ANF116:ANG116 AXB116:AXC116 BGX116:BGY116 BQT116:BQU116 CAP116:CAQ116 CKL116:CKM116 CUH116:CUI116 DED116:DEE116 DNZ116:DOA116 DXV116:DXW116 EHR116:EHS116 ERN116:ERO116 FBJ116:FBK116 FLF116:FLG116 FVB116:FVC116 GEX116:GEY116 GOT116:GOU116 GYP116:GYQ116 HIL116:HIM116 HSH116:HSI116 ICD116:ICE116 ILZ116:IMA116 IVV116:IVW116 JFR116:JFS116 JPN116:JPO116 JZJ116:JZK116 KJF116:KJG116 KTB116:KTC116 LCX116:LCY116 LMT116:LMU116 LWP116:LWQ116 MGL116:MGM116 MQH116:MQI116 NAD116:NAE116 NJZ116:NKA116 NTV116:NTW116 ODR116:ODS116 ONN116:ONO116 OXJ116:OXK116 PHF116:PHG116 PRB116:PRC116 QAX116:QAY116 QKT116:QKU116 QUP116:QUQ116 REL116:REM116 ROH116:ROI116 RYD116:RYE116 SHZ116:SIA116 SRV116:SRW116 TBR116:TBS116 TLN116:TLO116 TVJ116:TVK116 UFF116:UFG116 UPB116:UPC116 UYX116:UYY116 VIT116:VIU116 VSP116:VSQ116 WCL116:WCM116 WMH116:WMI116 WWD116:WWE116 V65654:W65654 JR65654:JS65654 TN65654:TO65654 ADJ65654:ADK65654 ANF65654:ANG65654 AXB65654:AXC65654 BGX65654:BGY65654 BQT65654:BQU65654 CAP65654:CAQ65654 CKL65654:CKM65654 CUH65654:CUI65654 DED65654:DEE65654 DNZ65654:DOA65654 DXV65654:DXW65654 EHR65654:EHS65654 ERN65654:ERO65654 FBJ65654:FBK65654 FLF65654:FLG65654 FVB65654:FVC65654 GEX65654:GEY65654 GOT65654:GOU65654 GYP65654:GYQ65654 HIL65654:HIM65654 HSH65654:HSI65654 ICD65654:ICE65654 ILZ65654:IMA65654 IVV65654:IVW65654 JFR65654:JFS65654 JPN65654:JPO65654 JZJ65654:JZK65654 KJF65654:KJG65654 KTB65654:KTC65654 LCX65654:LCY65654 LMT65654:LMU65654 LWP65654:LWQ65654 MGL65654:MGM65654 MQH65654:MQI65654 NAD65654:NAE65654 NJZ65654:NKA65654 NTV65654:NTW65654 ODR65654:ODS65654 ONN65654:ONO65654 OXJ65654:OXK65654 PHF65654:PHG65654 PRB65654:PRC65654 QAX65654:QAY65654 QKT65654:QKU65654 QUP65654:QUQ65654 REL65654:REM65654 ROH65654:ROI65654 RYD65654:RYE65654 SHZ65654:SIA65654 SRV65654:SRW65654 TBR65654:TBS65654 TLN65654:TLO65654 TVJ65654:TVK65654 UFF65654:UFG65654 UPB65654:UPC65654 UYX65654:UYY65654 VIT65654:VIU65654 VSP65654:VSQ65654 WCL65654:WCM65654 WMH65654:WMI65654 WWD65654:WWE65654 V131190:W131190 JR131190:JS131190 TN131190:TO131190 ADJ131190:ADK131190 ANF131190:ANG131190 AXB131190:AXC131190 BGX131190:BGY131190 BQT131190:BQU131190 CAP131190:CAQ131190 CKL131190:CKM131190 CUH131190:CUI131190 DED131190:DEE131190 DNZ131190:DOA131190 DXV131190:DXW131190 EHR131190:EHS131190 ERN131190:ERO131190 FBJ131190:FBK131190 FLF131190:FLG131190 FVB131190:FVC131190 GEX131190:GEY131190 GOT131190:GOU131190 GYP131190:GYQ131190 HIL131190:HIM131190 HSH131190:HSI131190 ICD131190:ICE131190 ILZ131190:IMA131190 IVV131190:IVW131190 JFR131190:JFS131190 JPN131190:JPO131190 JZJ131190:JZK131190 KJF131190:KJG131190 KTB131190:KTC131190 LCX131190:LCY131190 LMT131190:LMU131190 LWP131190:LWQ131190 MGL131190:MGM131190 MQH131190:MQI131190 NAD131190:NAE131190 NJZ131190:NKA131190 NTV131190:NTW131190 ODR131190:ODS131190 ONN131190:ONO131190 OXJ131190:OXK131190 PHF131190:PHG131190 PRB131190:PRC131190 QAX131190:QAY131190 QKT131190:QKU131190 QUP131190:QUQ131190 REL131190:REM131190 ROH131190:ROI131190 RYD131190:RYE131190 SHZ131190:SIA131190 SRV131190:SRW131190 TBR131190:TBS131190 TLN131190:TLO131190 TVJ131190:TVK131190 UFF131190:UFG131190 UPB131190:UPC131190 UYX131190:UYY131190 VIT131190:VIU131190 VSP131190:VSQ131190 WCL131190:WCM131190 WMH131190:WMI131190 WWD131190:WWE131190 V196726:W196726 JR196726:JS196726 TN196726:TO196726 ADJ196726:ADK196726 ANF196726:ANG196726 AXB196726:AXC196726 BGX196726:BGY196726 BQT196726:BQU196726 CAP196726:CAQ196726 CKL196726:CKM196726 CUH196726:CUI196726 DED196726:DEE196726 DNZ196726:DOA196726 DXV196726:DXW196726 EHR196726:EHS196726 ERN196726:ERO196726 FBJ196726:FBK196726 FLF196726:FLG196726 FVB196726:FVC196726 GEX196726:GEY196726 GOT196726:GOU196726 GYP196726:GYQ196726 HIL196726:HIM196726 HSH196726:HSI196726 ICD196726:ICE196726 ILZ196726:IMA196726 IVV196726:IVW196726 JFR196726:JFS196726 JPN196726:JPO196726 JZJ196726:JZK196726 KJF196726:KJG196726 KTB196726:KTC196726 LCX196726:LCY196726 LMT196726:LMU196726 LWP196726:LWQ196726 MGL196726:MGM196726 MQH196726:MQI196726 NAD196726:NAE196726 NJZ196726:NKA196726 NTV196726:NTW196726 ODR196726:ODS196726 ONN196726:ONO196726 OXJ196726:OXK196726 PHF196726:PHG196726 PRB196726:PRC196726 QAX196726:QAY196726 QKT196726:QKU196726 QUP196726:QUQ196726 REL196726:REM196726 ROH196726:ROI196726 RYD196726:RYE196726 SHZ196726:SIA196726 SRV196726:SRW196726 TBR196726:TBS196726 TLN196726:TLO196726 TVJ196726:TVK196726 UFF196726:UFG196726 UPB196726:UPC196726 UYX196726:UYY196726 VIT196726:VIU196726 VSP196726:VSQ196726 WCL196726:WCM196726 WMH196726:WMI196726 WWD196726:WWE196726 V262262:W262262 JR262262:JS262262 TN262262:TO262262 ADJ262262:ADK262262 ANF262262:ANG262262 AXB262262:AXC262262 BGX262262:BGY262262 BQT262262:BQU262262 CAP262262:CAQ262262 CKL262262:CKM262262 CUH262262:CUI262262 DED262262:DEE262262 DNZ262262:DOA262262 DXV262262:DXW262262 EHR262262:EHS262262 ERN262262:ERO262262 FBJ262262:FBK262262 FLF262262:FLG262262 FVB262262:FVC262262 GEX262262:GEY262262 GOT262262:GOU262262 GYP262262:GYQ262262 HIL262262:HIM262262 HSH262262:HSI262262 ICD262262:ICE262262 ILZ262262:IMA262262 IVV262262:IVW262262 JFR262262:JFS262262 JPN262262:JPO262262 JZJ262262:JZK262262 KJF262262:KJG262262 KTB262262:KTC262262 LCX262262:LCY262262 LMT262262:LMU262262 LWP262262:LWQ262262 MGL262262:MGM262262 MQH262262:MQI262262 NAD262262:NAE262262 NJZ262262:NKA262262 NTV262262:NTW262262 ODR262262:ODS262262 ONN262262:ONO262262 OXJ262262:OXK262262 PHF262262:PHG262262 PRB262262:PRC262262 QAX262262:QAY262262 QKT262262:QKU262262 QUP262262:QUQ262262 REL262262:REM262262 ROH262262:ROI262262 RYD262262:RYE262262 SHZ262262:SIA262262 SRV262262:SRW262262 TBR262262:TBS262262 TLN262262:TLO262262 TVJ262262:TVK262262 UFF262262:UFG262262 UPB262262:UPC262262 UYX262262:UYY262262 VIT262262:VIU262262 VSP262262:VSQ262262 WCL262262:WCM262262 WMH262262:WMI262262 WWD262262:WWE262262 V327798:W327798 JR327798:JS327798 TN327798:TO327798 ADJ327798:ADK327798 ANF327798:ANG327798 AXB327798:AXC327798 BGX327798:BGY327798 BQT327798:BQU327798 CAP327798:CAQ327798 CKL327798:CKM327798 CUH327798:CUI327798 DED327798:DEE327798 DNZ327798:DOA327798 DXV327798:DXW327798 EHR327798:EHS327798 ERN327798:ERO327798 FBJ327798:FBK327798 FLF327798:FLG327798 FVB327798:FVC327798 GEX327798:GEY327798 GOT327798:GOU327798 GYP327798:GYQ327798 HIL327798:HIM327798 HSH327798:HSI327798 ICD327798:ICE327798 ILZ327798:IMA327798 IVV327798:IVW327798 JFR327798:JFS327798 JPN327798:JPO327798 JZJ327798:JZK327798 KJF327798:KJG327798 KTB327798:KTC327798 LCX327798:LCY327798 LMT327798:LMU327798 LWP327798:LWQ327798 MGL327798:MGM327798 MQH327798:MQI327798 NAD327798:NAE327798 NJZ327798:NKA327798 NTV327798:NTW327798 ODR327798:ODS327798 ONN327798:ONO327798 OXJ327798:OXK327798 PHF327798:PHG327798 PRB327798:PRC327798 QAX327798:QAY327798 QKT327798:QKU327798 QUP327798:QUQ327798 REL327798:REM327798 ROH327798:ROI327798 RYD327798:RYE327798 SHZ327798:SIA327798 SRV327798:SRW327798 TBR327798:TBS327798 TLN327798:TLO327798 TVJ327798:TVK327798 UFF327798:UFG327798 UPB327798:UPC327798 UYX327798:UYY327798 VIT327798:VIU327798 VSP327798:VSQ327798 WCL327798:WCM327798 WMH327798:WMI327798 WWD327798:WWE327798 V393334:W393334 JR393334:JS393334 TN393334:TO393334 ADJ393334:ADK393334 ANF393334:ANG393334 AXB393334:AXC393334 BGX393334:BGY393334 BQT393334:BQU393334 CAP393334:CAQ393334 CKL393334:CKM393334 CUH393334:CUI393334 DED393334:DEE393334 DNZ393334:DOA393334 DXV393334:DXW393334 EHR393334:EHS393334 ERN393334:ERO393334 FBJ393334:FBK393334 FLF393334:FLG393334 FVB393334:FVC393334 GEX393334:GEY393334 GOT393334:GOU393334 GYP393334:GYQ393334 HIL393334:HIM393334 HSH393334:HSI393334 ICD393334:ICE393334 ILZ393334:IMA393334 IVV393334:IVW393334 JFR393334:JFS393334 JPN393334:JPO393334 JZJ393334:JZK393334 KJF393334:KJG393334 KTB393334:KTC393334 LCX393334:LCY393334 LMT393334:LMU393334 LWP393334:LWQ393334 MGL393334:MGM393334 MQH393334:MQI393334 NAD393334:NAE393334 NJZ393334:NKA393334 NTV393334:NTW393334 ODR393334:ODS393334 ONN393334:ONO393334 OXJ393334:OXK393334 PHF393334:PHG393334 PRB393334:PRC393334 QAX393334:QAY393334 QKT393334:QKU393334 QUP393334:QUQ393334 REL393334:REM393334 ROH393334:ROI393334 RYD393334:RYE393334 SHZ393334:SIA393334 SRV393334:SRW393334 TBR393334:TBS393334 TLN393334:TLO393334 TVJ393334:TVK393334 UFF393334:UFG393334 UPB393334:UPC393334 UYX393334:UYY393334 VIT393334:VIU393334 VSP393334:VSQ393334 WCL393334:WCM393334 WMH393334:WMI393334 WWD393334:WWE393334 V458870:W458870 JR458870:JS458870 TN458870:TO458870 ADJ458870:ADK458870 ANF458870:ANG458870 AXB458870:AXC458870 BGX458870:BGY458870 BQT458870:BQU458870 CAP458870:CAQ458870 CKL458870:CKM458870 CUH458870:CUI458870 DED458870:DEE458870 DNZ458870:DOA458870 DXV458870:DXW458870 EHR458870:EHS458870 ERN458870:ERO458870 FBJ458870:FBK458870 FLF458870:FLG458870 FVB458870:FVC458870 GEX458870:GEY458870 GOT458870:GOU458870 GYP458870:GYQ458870 HIL458870:HIM458870 HSH458870:HSI458870 ICD458870:ICE458870 ILZ458870:IMA458870 IVV458870:IVW458870 JFR458870:JFS458870 JPN458870:JPO458870 JZJ458870:JZK458870 KJF458870:KJG458870 KTB458870:KTC458870 LCX458870:LCY458870 LMT458870:LMU458870 LWP458870:LWQ458870 MGL458870:MGM458870 MQH458870:MQI458870 NAD458870:NAE458870 NJZ458870:NKA458870 NTV458870:NTW458870 ODR458870:ODS458870 ONN458870:ONO458870 OXJ458870:OXK458870 PHF458870:PHG458870 PRB458870:PRC458870 QAX458870:QAY458870 QKT458870:QKU458870 QUP458870:QUQ458870 REL458870:REM458870 ROH458870:ROI458870 RYD458870:RYE458870 SHZ458870:SIA458870 SRV458870:SRW458870 TBR458870:TBS458870 TLN458870:TLO458870 TVJ458870:TVK458870 UFF458870:UFG458870 UPB458870:UPC458870 UYX458870:UYY458870 VIT458870:VIU458870 VSP458870:VSQ458870 WCL458870:WCM458870 WMH458870:WMI458870 WWD458870:WWE458870 V524406:W524406 JR524406:JS524406 TN524406:TO524406 ADJ524406:ADK524406 ANF524406:ANG524406 AXB524406:AXC524406 BGX524406:BGY524406 BQT524406:BQU524406 CAP524406:CAQ524406 CKL524406:CKM524406 CUH524406:CUI524406 DED524406:DEE524406 DNZ524406:DOA524406 DXV524406:DXW524406 EHR524406:EHS524406 ERN524406:ERO524406 FBJ524406:FBK524406 FLF524406:FLG524406 FVB524406:FVC524406 GEX524406:GEY524406 GOT524406:GOU524406 GYP524406:GYQ524406 HIL524406:HIM524406 HSH524406:HSI524406 ICD524406:ICE524406 ILZ524406:IMA524406 IVV524406:IVW524406 JFR524406:JFS524406 JPN524406:JPO524406 JZJ524406:JZK524406 KJF524406:KJG524406 KTB524406:KTC524406 LCX524406:LCY524406 LMT524406:LMU524406 LWP524406:LWQ524406 MGL524406:MGM524406 MQH524406:MQI524406 NAD524406:NAE524406 NJZ524406:NKA524406 NTV524406:NTW524406 ODR524406:ODS524406 ONN524406:ONO524406 OXJ524406:OXK524406 PHF524406:PHG524406 PRB524406:PRC524406 QAX524406:QAY524406 QKT524406:QKU524406 QUP524406:QUQ524406 REL524406:REM524406 ROH524406:ROI524406 RYD524406:RYE524406 SHZ524406:SIA524406 SRV524406:SRW524406 TBR524406:TBS524406 TLN524406:TLO524406 TVJ524406:TVK524406 UFF524406:UFG524406 UPB524406:UPC524406 UYX524406:UYY524406 VIT524406:VIU524406 VSP524406:VSQ524406 WCL524406:WCM524406 WMH524406:WMI524406 WWD524406:WWE524406 V589942:W589942 JR589942:JS589942 TN589942:TO589942 ADJ589942:ADK589942 ANF589942:ANG589942 AXB589942:AXC589942 BGX589942:BGY589942 BQT589942:BQU589942 CAP589942:CAQ589942 CKL589942:CKM589942 CUH589942:CUI589942 DED589942:DEE589942 DNZ589942:DOA589942 DXV589942:DXW589942 EHR589942:EHS589942 ERN589942:ERO589942 FBJ589942:FBK589942 FLF589942:FLG589942 FVB589942:FVC589942 GEX589942:GEY589942 GOT589942:GOU589942 GYP589942:GYQ589942 HIL589942:HIM589942 HSH589942:HSI589942 ICD589942:ICE589942 ILZ589942:IMA589942 IVV589942:IVW589942 JFR589942:JFS589942 JPN589942:JPO589942 JZJ589942:JZK589942 KJF589942:KJG589942 KTB589942:KTC589942 LCX589942:LCY589942 LMT589942:LMU589942 LWP589942:LWQ589942 MGL589942:MGM589942 MQH589942:MQI589942 NAD589942:NAE589942 NJZ589942:NKA589942 NTV589942:NTW589942 ODR589942:ODS589942 ONN589942:ONO589942 OXJ589942:OXK589942 PHF589942:PHG589942 PRB589942:PRC589942 QAX589942:QAY589942 QKT589942:QKU589942 QUP589942:QUQ589942 REL589942:REM589942 ROH589942:ROI589942 RYD589942:RYE589942 SHZ589942:SIA589942 SRV589942:SRW589942 TBR589942:TBS589942 TLN589942:TLO589942 TVJ589942:TVK589942 UFF589942:UFG589942 UPB589942:UPC589942 UYX589942:UYY589942 VIT589942:VIU589942 VSP589942:VSQ589942 WCL589942:WCM589942 WMH589942:WMI589942 WWD589942:WWE589942 V655478:W655478 JR655478:JS655478 TN655478:TO655478 ADJ655478:ADK655478 ANF655478:ANG655478 AXB655478:AXC655478 BGX655478:BGY655478 BQT655478:BQU655478 CAP655478:CAQ655478 CKL655478:CKM655478 CUH655478:CUI655478 DED655478:DEE655478 DNZ655478:DOA655478 DXV655478:DXW655478 EHR655478:EHS655478 ERN655478:ERO655478 FBJ655478:FBK655478 FLF655478:FLG655478 FVB655478:FVC655478 GEX655478:GEY655478 GOT655478:GOU655478 GYP655478:GYQ655478 HIL655478:HIM655478 HSH655478:HSI655478 ICD655478:ICE655478 ILZ655478:IMA655478 IVV655478:IVW655478 JFR655478:JFS655478 JPN655478:JPO655478 JZJ655478:JZK655478 KJF655478:KJG655478 KTB655478:KTC655478 LCX655478:LCY655478 LMT655478:LMU655478 LWP655478:LWQ655478 MGL655478:MGM655478 MQH655478:MQI655478 NAD655478:NAE655478 NJZ655478:NKA655478 NTV655478:NTW655478 ODR655478:ODS655478 ONN655478:ONO655478 OXJ655478:OXK655478 PHF655478:PHG655478 PRB655478:PRC655478 QAX655478:QAY655478 QKT655478:QKU655478 QUP655478:QUQ655478 REL655478:REM655478 ROH655478:ROI655478 RYD655478:RYE655478 SHZ655478:SIA655478 SRV655478:SRW655478 TBR655478:TBS655478 TLN655478:TLO655478 TVJ655478:TVK655478 UFF655478:UFG655478 UPB655478:UPC655478 UYX655478:UYY655478 VIT655478:VIU655478 VSP655478:VSQ655478 WCL655478:WCM655478 WMH655478:WMI655478 WWD655478:WWE655478 V721014:W721014 JR721014:JS721014 TN721014:TO721014 ADJ721014:ADK721014 ANF721014:ANG721014 AXB721014:AXC721014 BGX721014:BGY721014 BQT721014:BQU721014 CAP721014:CAQ721014 CKL721014:CKM721014 CUH721014:CUI721014 DED721014:DEE721014 DNZ721014:DOA721014 DXV721014:DXW721014 EHR721014:EHS721014 ERN721014:ERO721014 FBJ721014:FBK721014 FLF721014:FLG721014 FVB721014:FVC721014 GEX721014:GEY721014 GOT721014:GOU721014 GYP721014:GYQ721014 HIL721014:HIM721014 HSH721014:HSI721014 ICD721014:ICE721014 ILZ721014:IMA721014 IVV721014:IVW721014 JFR721014:JFS721014 JPN721014:JPO721014 JZJ721014:JZK721014 KJF721014:KJG721014 KTB721014:KTC721014 LCX721014:LCY721014 LMT721014:LMU721014 LWP721014:LWQ721014 MGL721014:MGM721014 MQH721014:MQI721014 NAD721014:NAE721014 NJZ721014:NKA721014 NTV721014:NTW721014 ODR721014:ODS721014 ONN721014:ONO721014 OXJ721014:OXK721014 PHF721014:PHG721014 PRB721014:PRC721014 QAX721014:QAY721014 QKT721014:QKU721014 QUP721014:QUQ721014 REL721014:REM721014 ROH721014:ROI721014 RYD721014:RYE721014 SHZ721014:SIA721014 SRV721014:SRW721014 TBR721014:TBS721014 TLN721014:TLO721014 TVJ721014:TVK721014 UFF721014:UFG721014 UPB721014:UPC721014 UYX721014:UYY721014 VIT721014:VIU721014 VSP721014:VSQ721014 WCL721014:WCM721014 WMH721014:WMI721014 WWD721014:WWE721014 V786550:W786550 JR786550:JS786550 TN786550:TO786550 ADJ786550:ADK786550 ANF786550:ANG786550 AXB786550:AXC786550 BGX786550:BGY786550 BQT786550:BQU786550 CAP786550:CAQ786550 CKL786550:CKM786550 CUH786550:CUI786550 DED786550:DEE786550 DNZ786550:DOA786550 DXV786550:DXW786550 EHR786550:EHS786550 ERN786550:ERO786550 FBJ786550:FBK786550 FLF786550:FLG786550 FVB786550:FVC786550 GEX786550:GEY786550 GOT786550:GOU786550 GYP786550:GYQ786550 HIL786550:HIM786550 HSH786550:HSI786550 ICD786550:ICE786550 ILZ786550:IMA786550 IVV786550:IVW786550 JFR786550:JFS786550 JPN786550:JPO786550 JZJ786550:JZK786550 KJF786550:KJG786550 KTB786550:KTC786550 LCX786550:LCY786550 LMT786550:LMU786550 LWP786550:LWQ786550 MGL786550:MGM786550 MQH786550:MQI786550 NAD786550:NAE786550 NJZ786550:NKA786550 NTV786550:NTW786550 ODR786550:ODS786550 ONN786550:ONO786550 OXJ786550:OXK786550 PHF786550:PHG786550 PRB786550:PRC786550 QAX786550:QAY786550 QKT786550:QKU786550 QUP786550:QUQ786550 REL786550:REM786550 ROH786550:ROI786550 RYD786550:RYE786550 SHZ786550:SIA786550 SRV786550:SRW786550 TBR786550:TBS786550 TLN786550:TLO786550 TVJ786550:TVK786550 UFF786550:UFG786550 UPB786550:UPC786550 UYX786550:UYY786550 VIT786550:VIU786550 VSP786550:VSQ786550 WCL786550:WCM786550 WMH786550:WMI786550 WWD786550:WWE786550 V852086:W852086 JR852086:JS852086 TN852086:TO852086 ADJ852086:ADK852086 ANF852086:ANG852086 AXB852086:AXC852086 BGX852086:BGY852086 BQT852086:BQU852086 CAP852086:CAQ852086 CKL852086:CKM852086 CUH852086:CUI852086 DED852086:DEE852086 DNZ852086:DOA852086 DXV852086:DXW852086 EHR852086:EHS852086 ERN852086:ERO852086 FBJ852086:FBK852086 FLF852086:FLG852086 FVB852086:FVC852086 GEX852086:GEY852086 GOT852086:GOU852086 GYP852086:GYQ852086 HIL852086:HIM852086 HSH852086:HSI852086 ICD852086:ICE852086 ILZ852086:IMA852086 IVV852086:IVW852086 JFR852086:JFS852086 JPN852086:JPO852086 JZJ852086:JZK852086 KJF852086:KJG852086 KTB852086:KTC852086 LCX852086:LCY852086 LMT852086:LMU852086 LWP852086:LWQ852086 MGL852086:MGM852086 MQH852086:MQI852086 NAD852086:NAE852086 NJZ852086:NKA852086 NTV852086:NTW852086 ODR852086:ODS852086 ONN852086:ONO852086 OXJ852086:OXK852086 PHF852086:PHG852086 PRB852086:PRC852086 QAX852086:QAY852086 QKT852086:QKU852086 QUP852086:QUQ852086 REL852086:REM852086 ROH852086:ROI852086 RYD852086:RYE852086 SHZ852086:SIA852086 SRV852086:SRW852086 TBR852086:TBS852086 TLN852086:TLO852086 TVJ852086:TVK852086 UFF852086:UFG852086 UPB852086:UPC852086 UYX852086:UYY852086 VIT852086:VIU852086 VSP852086:VSQ852086 WCL852086:WCM852086 WMH852086:WMI852086 WWD852086:WWE852086 V917622:W917622 JR917622:JS917622 TN917622:TO917622 ADJ917622:ADK917622 ANF917622:ANG917622 AXB917622:AXC917622 BGX917622:BGY917622 BQT917622:BQU917622 CAP917622:CAQ917622 CKL917622:CKM917622 CUH917622:CUI917622 DED917622:DEE917622 DNZ917622:DOA917622 DXV917622:DXW917622 EHR917622:EHS917622 ERN917622:ERO917622 FBJ917622:FBK917622 FLF917622:FLG917622 FVB917622:FVC917622 GEX917622:GEY917622 GOT917622:GOU917622 GYP917622:GYQ917622 HIL917622:HIM917622 HSH917622:HSI917622 ICD917622:ICE917622 ILZ917622:IMA917622 IVV917622:IVW917622 JFR917622:JFS917622 JPN917622:JPO917622 JZJ917622:JZK917622 KJF917622:KJG917622 KTB917622:KTC917622 LCX917622:LCY917622 LMT917622:LMU917622 LWP917622:LWQ917622 MGL917622:MGM917622 MQH917622:MQI917622 NAD917622:NAE917622 NJZ917622:NKA917622 NTV917622:NTW917622 ODR917622:ODS917622 ONN917622:ONO917622 OXJ917622:OXK917622 PHF917622:PHG917622 PRB917622:PRC917622 QAX917622:QAY917622 QKT917622:QKU917622 QUP917622:QUQ917622 REL917622:REM917622 ROH917622:ROI917622 RYD917622:RYE917622 SHZ917622:SIA917622 SRV917622:SRW917622 TBR917622:TBS917622 TLN917622:TLO917622 TVJ917622:TVK917622 UFF917622:UFG917622 UPB917622:UPC917622 UYX917622:UYY917622 VIT917622:VIU917622 VSP917622:VSQ917622 WCL917622:WCM917622 WMH917622:WMI917622 WWD917622:WWE917622 V983158:W983158 JR983158:JS983158 TN983158:TO983158 ADJ983158:ADK983158 ANF983158:ANG983158 AXB983158:AXC983158 BGX983158:BGY983158 BQT983158:BQU983158 CAP983158:CAQ983158 CKL983158:CKM983158 CUH983158:CUI983158 DED983158:DEE983158 DNZ983158:DOA983158 DXV983158:DXW983158 EHR983158:EHS983158 ERN983158:ERO983158 FBJ983158:FBK983158 FLF983158:FLG983158 FVB983158:FVC983158 GEX983158:GEY983158 GOT983158:GOU983158 GYP983158:GYQ983158 HIL983158:HIM983158 HSH983158:HSI983158 ICD983158:ICE983158 ILZ983158:IMA983158 IVV983158:IVW983158 JFR983158:JFS983158 JPN983158:JPO983158 JZJ983158:JZK983158 KJF983158:KJG983158 KTB983158:KTC983158 LCX983158:LCY983158 LMT983158:LMU983158 LWP983158:LWQ983158 MGL983158:MGM983158 MQH983158:MQI983158 NAD983158:NAE983158 NJZ983158:NKA983158 NTV983158:NTW983158 ODR983158:ODS983158 ONN983158:ONO983158 OXJ983158:OXK983158 PHF983158:PHG983158 PRB983158:PRC983158 QAX983158:QAY983158 QKT983158:QKU983158 QUP983158:QUQ983158 REL983158:REM983158 ROH983158:ROI983158 RYD983158:RYE983158 SHZ983158:SIA983158 SRV983158:SRW983158 TBR983158:TBS983158 TLN983158:TLO983158 TVJ983158:TVK983158 UFF983158:UFG983158 UPB983158:UPC983158 UYX983158:UYY983158 VIT983158:VIU983158 VSP983158:VSQ983158 WCL983158:WCM983158 WMH983158:WMI983158 WWD983158:WWE983158" xr:uid="{9FE14D7F-6A3D-4110-9E98-3BB8460ABF86}">
      <formula1>$AW$133:$AW$134</formula1>
    </dataValidation>
  </dataValidations>
  <printOptions horizontalCentered="1"/>
  <pageMargins left="0.59055118110236227" right="0.59055118110236227" top="0.59055118110236227" bottom="0.59055118110236227" header="0" footer="0"/>
  <pageSetup paperSize="9" scale="95" fitToHeight="0" orientation="portrait" horizontalDpi="4294967294" verticalDpi="1200" r:id="rId1"/>
  <headerFooter alignWithMargins="0">
    <oddFooter>&amp;L&amp;G&amp;R&amp;8&amp;G
&amp;F  &amp;P</oddFooter>
  </headerFooter>
  <rowBreaks count="9" manualBreakCount="9">
    <brk id="62" max="16383" man="1"/>
    <brk id="134" max="16383" man="1"/>
    <brk id="169" max="16383" man="1"/>
    <brk id="188" max="16383" man="1"/>
    <brk id="205" max="47" man="1"/>
    <brk id="268" max="16383" man="1"/>
    <brk id="317" max="16383" man="1"/>
    <brk id="363" max="16383" man="1"/>
    <brk id="418" max="16383" man="1"/>
  </rowBreaks>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5F94-7AA4-44F8-AE27-73D78DC5EA37}">
  <dimension ref="A13:CA124"/>
  <sheetViews>
    <sheetView tabSelected="1" zoomScale="115" zoomScaleNormal="115" zoomScaleSheetLayoutView="136" workbookViewId="0">
      <selection activeCell="AL42" sqref="AL42:AN42"/>
    </sheetView>
  </sheetViews>
  <sheetFormatPr baseColWidth="10" defaultRowHeight="12.75"/>
  <cols>
    <col min="1" max="1" width="3.42578125" style="203" customWidth="1"/>
    <col min="2" max="2" width="5.42578125" style="203" customWidth="1"/>
    <col min="3" max="3" width="2.28515625" style="203" customWidth="1"/>
    <col min="4" max="5" width="3.42578125" style="203" customWidth="1"/>
    <col min="6" max="7" width="3.28515625" style="203" customWidth="1"/>
    <col min="8" max="9" width="3.140625" style="203" customWidth="1"/>
    <col min="10" max="10" width="2.7109375" style="203" customWidth="1"/>
    <col min="11" max="11" width="1.42578125" style="203" customWidth="1"/>
    <col min="12" max="12" width="3.28515625" style="203" customWidth="1"/>
    <col min="13" max="13" width="3.42578125" style="203" customWidth="1"/>
    <col min="14" max="14" width="3" style="203" customWidth="1"/>
    <col min="15" max="15" width="3.140625" style="203" customWidth="1"/>
    <col min="16" max="16" width="2.85546875" style="203" customWidth="1"/>
    <col min="17" max="17" width="2.42578125" style="203" customWidth="1"/>
    <col min="18" max="18" width="2.7109375" style="203" customWidth="1"/>
    <col min="19" max="19" width="4.140625" style="203" customWidth="1"/>
    <col min="20" max="20" width="3.42578125" style="203" customWidth="1"/>
    <col min="21" max="21" width="3" style="203" customWidth="1"/>
    <col min="22" max="22" width="3.42578125" style="203" customWidth="1"/>
    <col min="23" max="23" width="3.85546875" style="203" customWidth="1"/>
    <col min="24" max="24" width="2.7109375" style="203" customWidth="1"/>
    <col min="25" max="25" width="2.85546875" style="203" customWidth="1"/>
    <col min="26" max="26" width="3.42578125" style="203" customWidth="1"/>
    <col min="27" max="27" width="2.28515625" style="203" customWidth="1"/>
    <col min="28" max="28" width="1.7109375" style="203" customWidth="1"/>
    <col min="29" max="29" width="3.42578125" style="203" customWidth="1"/>
    <col min="30" max="30" width="2.85546875" style="203" customWidth="1"/>
    <col min="31" max="32" width="1.7109375" style="203" customWidth="1"/>
    <col min="33" max="33" width="2.42578125" style="203" customWidth="1"/>
    <col min="34" max="35" width="2.140625" style="203" customWidth="1"/>
    <col min="36" max="36" width="3.28515625" style="203" customWidth="1"/>
    <col min="37" max="37" width="4.140625" style="203" customWidth="1"/>
    <col min="38" max="38" width="2.7109375" style="203" customWidth="1"/>
    <col min="39" max="39" width="3.42578125" style="203" customWidth="1"/>
    <col min="40" max="40" width="4.140625" style="203" customWidth="1"/>
    <col min="41" max="41" width="3.85546875" style="203" customWidth="1"/>
    <col min="42" max="42" width="2.28515625" style="203" customWidth="1"/>
    <col min="43" max="43" width="2" style="203" customWidth="1"/>
    <col min="44" max="44" width="3.140625" style="203" customWidth="1"/>
    <col min="45" max="256" width="11.42578125" style="21"/>
    <col min="257" max="257" width="3.42578125" style="21" customWidth="1"/>
    <col min="258" max="258" width="5.42578125" style="21" customWidth="1"/>
    <col min="259" max="259" width="2.28515625" style="21" customWidth="1"/>
    <col min="260" max="261" width="3.42578125" style="21" customWidth="1"/>
    <col min="262" max="263" width="3.28515625" style="21" customWidth="1"/>
    <col min="264" max="265" width="3.140625" style="21" customWidth="1"/>
    <col min="266" max="266" width="2.7109375" style="21" customWidth="1"/>
    <col min="267" max="267" width="1.42578125" style="21" customWidth="1"/>
    <col min="268" max="268" width="3.28515625" style="21" customWidth="1"/>
    <col min="269" max="269" width="3.42578125" style="21" customWidth="1"/>
    <col min="270" max="270" width="3" style="21" customWidth="1"/>
    <col min="271" max="271" width="3.140625" style="21" customWidth="1"/>
    <col min="272" max="272" width="2.85546875" style="21" customWidth="1"/>
    <col min="273" max="273" width="2.42578125" style="21" customWidth="1"/>
    <col min="274" max="274" width="2.7109375" style="21" customWidth="1"/>
    <col min="275" max="275" width="4.140625" style="21" customWidth="1"/>
    <col min="276" max="276" width="3.42578125" style="21" customWidth="1"/>
    <col min="277" max="277" width="3" style="21" customWidth="1"/>
    <col min="278" max="278" width="3.42578125" style="21" customWidth="1"/>
    <col min="279" max="279" width="3.85546875" style="21" customWidth="1"/>
    <col min="280" max="280" width="2.7109375" style="21" customWidth="1"/>
    <col min="281" max="281" width="2.85546875" style="21" customWidth="1"/>
    <col min="282" max="282" width="3.42578125" style="21" customWidth="1"/>
    <col min="283" max="283" width="2.28515625" style="21" customWidth="1"/>
    <col min="284" max="284" width="1.7109375" style="21" customWidth="1"/>
    <col min="285" max="285" width="3.42578125" style="21" customWidth="1"/>
    <col min="286" max="286" width="2.85546875" style="21" customWidth="1"/>
    <col min="287" max="288" width="1.7109375" style="21" customWidth="1"/>
    <col min="289" max="289" width="2.42578125" style="21" customWidth="1"/>
    <col min="290" max="291" width="2.140625" style="21" customWidth="1"/>
    <col min="292" max="292" width="3.28515625" style="21" customWidth="1"/>
    <col min="293" max="293" width="4.140625" style="21" customWidth="1"/>
    <col min="294" max="294" width="2.7109375" style="21" customWidth="1"/>
    <col min="295" max="295" width="3.42578125" style="21" customWidth="1"/>
    <col min="296" max="296" width="4.140625" style="21" customWidth="1"/>
    <col min="297" max="297" width="3.85546875" style="21" customWidth="1"/>
    <col min="298" max="298" width="2.28515625" style="21" customWidth="1"/>
    <col min="299" max="299" width="2" style="21" customWidth="1"/>
    <col min="300" max="300" width="3.140625" style="21" customWidth="1"/>
    <col min="301" max="512" width="11.42578125" style="21"/>
    <col min="513" max="513" width="3.42578125" style="21" customWidth="1"/>
    <col min="514" max="514" width="5.42578125" style="21" customWidth="1"/>
    <col min="515" max="515" width="2.28515625" style="21" customWidth="1"/>
    <col min="516" max="517" width="3.42578125" style="21" customWidth="1"/>
    <col min="518" max="519" width="3.28515625" style="21" customWidth="1"/>
    <col min="520" max="521" width="3.140625" style="21" customWidth="1"/>
    <col min="522" max="522" width="2.7109375" style="21" customWidth="1"/>
    <col min="523" max="523" width="1.42578125" style="21" customWidth="1"/>
    <col min="524" max="524" width="3.28515625" style="21" customWidth="1"/>
    <col min="525" max="525" width="3.42578125" style="21" customWidth="1"/>
    <col min="526" max="526" width="3" style="21" customWidth="1"/>
    <col min="527" max="527" width="3.140625" style="21" customWidth="1"/>
    <col min="528" max="528" width="2.85546875" style="21" customWidth="1"/>
    <col min="529" max="529" width="2.42578125" style="21" customWidth="1"/>
    <col min="530" max="530" width="2.7109375" style="21" customWidth="1"/>
    <col min="531" max="531" width="4.140625" style="21" customWidth="1"/>
    <col min="532" max="532" width="3.42578125" style="21" customWidth="1"/>
    <col min="533" max="533" width="3" style="21" customWidth="1"/>
    <col min="534" max="534" width="3.42578125" style="21" customWidth="1"/>
    <col min="535" max="535" width="3.85546875" style="21" customWidth="1"/>
    <col min="536" max="536" width="2.7109375" style="21" customWidth="1"/>
    <col min="537" max="537" width="2.85546875" style="21" customWidth="1"/>
    <col min="538" max="538" width="3.42578125" style="21" customWidth="1"/>
    <col min="539" max="539" width="2.28515625" style="21" customWidth="1"/>
    <col min="540" max="540" width="1.7109375" style="21" customWidth="1"/>
    <col min="541" max="541" width="3.42578125" style="21" customWidth="1"/>
    <col min="542" max="542" width="2.85546875" style="21" customWidth="1"/>
    <col min="543" max="544" width="1.7109375" style="21" customWidth="1"/>
    <col min="545" max="545" width="2.42578125" style="21" customWidth="1"/>
    <col min="546" max="547" width="2.140625" style="21" customWidth="1"/>
    <col min="548" max="548" width="3.28515625" style="21" customWidth="1"/>
    <col min="549" max="549" width="4.140625" style="21" customWidth="1"/>
    <col min="550" max="550" width="2.7109375" style="21" customWidth="1"/>
    <col min="551" max="551" width="3.42578125" style="21" customWidth="1"/>
    <col min="552" max="552" width="4.140625" style="21" customWidth="1"/>
    <col min="553" max="553" width="3.85546875" style="21" customWidth="1"/>
    <col min="554" max="554" width="2.28515625" style="21" customWidth="1"/>
    <col min="555" max="555" width="2" style="21" customWidth="1"/>
    <col min="556" max="556" width="3.140625" style="21" customWidth="1"/>
    <col min="557" max="768" width="11.42578125" style="21"/>
    <col min="769" max="769" width="3.42578125" style="21" customWidth="1"/>
    <col min="770" max="770" width="5.42578125" style="21" customWidth="1"/>
    <col min="771" max="771" width="2.28515625" style="21" customWidth="1"/>
    <col min="772" max="773" width="3.42578125" style="21" customWidth="1"/>
    <col min="774" max="775" width="3.28515625" style="21" customWidth="1"/>
    <col min="776" max="777" width="3.140625" style="21" customWidth="1"/>
    <col min="778" max="778" width="2.7109375" style="21" customWidth="1"/>
    <col min="779" max="779" width="1.42578125" style="21" customWidth="1"/>
    <col min="780" max="780" width="3.28515625" style="21" customWidth="1"/>
    <col min="781" max="781" width="3.42578125" style="21" customWidth="1"/>
    <col min="782" max="782" width="3" style="21" customWidth="1"/>
    <col min="783" max="783" width="3.140625" style="21" customWidth="1"/>
    <col min="784" max="784" width="2.85546875" style="21" customWidth="1"/>
    <col min="785" max="785" width="2.42578125" style="21" customWidth="1"/>
    <col min="786" max="786" width="2.7109375" style="21" customWidth="1"/>
    <col min="787" max="787" width="4.140625" style="21" customWidth="1"/>
    <col min="788" max="788" width="3.42578125" style="21" customWidth="1"/>
    <col min="789" max="789" width="3" style="21" customWidth="1"/>
    <col min="790" max="790" width="3.42578125" style="21" customWidth="1"/>
    <col min="791" max="791" width="3.85546875" style="21" customWidth="1"/>
    <col min="792" max="792" width="2.7109375" style="21" customWidth="1"/>
    <col min="793" max="793" width="2.85546875" style="21" customWidth="1"/>
    <col min="794" max="794" width="3.42578125" style="21" customWidth="1"/>
    <col min="795" max="795" width="2.28515625" style="21" customWidth="1"/>
    <col min="796" max="796" width="1.7109375" style="21" customWidth="1"/>
    <col min="797" max="797" width="3.42578125" style="21" customWidth="1"/>
    <col min="798" max="798" width="2.85546875" style="21" customWidth="1"/>
    <col min="799" max="800" width="1.7109375" style="21" customWidth="1"/>
    <col min="801" max="801" width="2.42578125" style="21" customWidth="1"/>
    <col min="802" max="803" width="2.140625" style="21" customWidth="1"/>
    <col min="804" max="804" width="3.28515625" style="21" customWidth="1"/>
    <col min="805" max="805" width="4.140625" style="21" customWidth="1"/>
    <col min="806" max="806" width="2.7109375" style="21" customWidth="1"/>
    <col min="807" max="807" width="3.42578125" style="21" customWidth="1"/>
    <col min="808" max="808" width="4.140625" style="21" customWidth="1"/>
    <col min="809" max="809" width="3.85546875" style="21" customWidth="1"/>
    <col min="810" max="810" width="2.28515625" style="21" customWidth="1"/>
    <col min="811" max="811" width="2" style="21" customWidth="1"/>
    <col min="812" max="812" width="3.140625" style="21" customWidth="1"/>
    <col min="813" max="1024" width="11.42578125" style="21"/>
    <col min="1025" max="1025" width="3.42578125" style="21" customWidth="1"/>
    <col min="1026" max="1026" width="5.42578125" style="21" customWidth="1"/>
    <col min="1027" max="1027" width="2.28515625" style="21" customWidth="1"/>
    <col min="1028" max="1029" width="3.42578125" style="21" customWidth="1"/>
    <col min="1030" max="1031" width="3.28515625" style="21" customWidth="1"/>
    <col min="1032" max="1033" width="3.140625" style="21" customWidth="1"/>
    <col min="1034" max="1034" width="2.7109375" style="21" customWidth="1"/>
    <col min="1035" max="1035" width="1.42578125" style="21" customWidth="1"/>
    <col min="1036" max="1036" width="3.28515625" style="21" customWidth="1"/>
    <col min="1037" max="1037" width="3.42578125" style="21" customWidth="1"/>
    <col min="1038" max="1038" width="3" style="21" customWidth="1"/>
    <col min="1039" max="1039" width="3.140625" style="21" customWidth="1"/>
    <col min="1040" max="1040" width="2.85546875" style="21" customWidth="1"/>
    <col min="1041" max="1041" width="2.42578125" style="21" customWidth="1"/>
    <col min="1042" max="1042" width="2.7109375" style="21" customWidth="1"/>
    <col min="1043" max="1043" width="4.140625" style="21" customWidth="1"/>
    <col min="1044" max="1044" width="3.42578125" style="21" customWidth="1"/>
    <col min="1045" max="1045" width="3" style="21" customWidth="1"/>
    <col min="1046" max="1046" width="3.42578125" style="21" customWidth="1"/>
    <col min="1047" max="1047" width="3.85546875" style="21" customWidth="1"/>
    <col min="1048" max="1048" width="2.7109375" style="21" customWidth="1"/>
    <col min="1049" max="1049" width="2.85546875" style="21" customWidth="1"/>
    <col min="1050" max="1050" width="3.42578125" style="21" customWidth="1"/>
    <col min="1051" max="1051" width="2.28515625" style="21" customWidth="1"/>
    <col min="1052" max="1052" width="1.7109375" style="21" customWidth="1"/>
    <col min="1053" max="1053" width="3.42578125" style="21" customWidth="1"/>
    <col min="1054" max="1054" width="2.85546875" style="21" customWidth="1"/>
    <col min="1055" max="1056" width="1.7109375" style="21" customWidth="1"/>
    <col min="1057" max="1057" width="2.42578125" style="21" customWidth="1"/>
    <col min="1058" max="1059" width="2.140625" style="21" customWidth="1"/>
    <col min="1060" max="1060" width="3.28515625" style="21" customWidth="1"/>
    <col min="1061" max="1061" width="4.140625" style="21" customWidth="1"/>
    <col min="1062" max="1062" width="2.7109375" style="21" customWidth="1"/>
    <col min="1063" max="1063" width="3.42578125" style="21" customWidth="1"/>
    <col min="1064" max="1064" width="4.140625" style="21" customWidth="1"/>
    <col min="1065" max="1065" width="3.85546875" style="21" customWidth="1"/>
    <col min="1066" max="1066" width="2.28515625" style="21" customWidth="1"/>
    <col min="1067" max="1067" width="2" style="21" customWidth="1"/>
    <col min="1068" max="1068" width="3.140625" style="21" customWidth="1"/>
    <col min="1069" max="1280" width="11.42578125" style="21"/>
    <col min="1281" max="1281" width="3.42578125" style="21" customWidth="1"/>
    <col min="1282" max="1282" width="5.42578125" style="21" customWidth="1"/>
    <col min="1283" max="1283" width="2.28515625" style="21" customWidth="1"/>
    <col min="1284" max="1285" width="3.42578125" style="21" customWidth="1"/>
    <col min="1286" max="1287" width="3.28515625" style="21" customWidth="1"/>
    <col min="1288" max="1289" width="3.140625" style="21" customWidth="1"/>
    <col min="1290" max="1290" width="2.7109375" style="21" customWidth="1"/>
    <col min="1291" max="1291" width="1.42578125" style="21" customWidth="1"/>
    <col min="1292" max="1292" width="3.28515625" style="21" customWidth="1"/>
    <col min="1293" max="1293" width="3.42578125" style="21" customWidth="1"/>
    <col min="1294" max="1294" width="3" style="21" customWidth="1"/>
    <col min="1295" max="1295" width="3.140625" style="21" customWidth="1"/>
    <col min="1296" max="1296" width="2.85546875" style="21" customWidth="1"/>
    <col min="1297" max="1297" width="2.42578125" style="21" customWidth="1"/>
    <col min="1298" max="1298" width="2.7109375" style="21" customWidth="1"/>
    <col min="1299" max="1299" width="4.140625" style="21" customWidth="1"/>
    <col min="1300" max="1300" width="3.42578125" style="21" customWidth="1"/>
    <col min="1301" max="1301" width="3" style="21" customWidth="1"/>
    <col min="1302" max="1302" width="3.42578125" style="21" customWidth="1"/>
    <col min="1303" max="1303" width="3.85546875" style="21" customWidth="1"/>
    <col min="1304" max="1304" width="2.7109375" style="21" customWidth="1"/>
    <col min="1305" max="1305" width="2.85546875" style="21" customWidth="1"/>
    <col min="1306" max="1306" width="3.42578125" style="21" customWidth="1"/>
    <col min="1307" max="1307" width="2.28515625" style="21" customWidth="1"/>
    <col min="1308" max="1308" width="1.7109375" style="21" customWidth="1"/>
    <col min="1309" max="1309" width="3.42578125" style="21" customWidth="1"/>
    <col min="1310" max="1310" width="2.85546875" style="21" customWidth="1"/>
    <col min="1311" max="1312" width="1.7109375" style="21" customWidth="1"/>
    <col min="1313" max="1313" width="2.42578125" style="21" customWidth="1"/>
    <col min="1314" max="1315" width="2.140625" style="21" customWidth="1"/>
    <col min="1316" max="1316" width="3.28515625" style="21" customWidth="1"/>
    <col min="1317" max="1317" width="4.140625" style="21" customWidth="1"/>
    <col min="1318" max="1318" width="2.7109375" style="21" customWidth="1"/>
    <col min="1319" max="1319" width="3.42578125" style="21" customWidth="1"/>
    <col min="1320" max="1320" width="4.140625" style="21" customWidth="1"/>
    <col min="1321" max="1321" width="3.85546875" style="21" customWidth="1"/>
    <col min="1322" max="1322" width="2.28515625" style="21" customWidth="1"/>
    <col min="1323" max="1323" width="2" style="21" customWidth="1"/>
    <col min="1324" max="1324" width="3.140625" style="21" customWidth="1"/>
    <col min="1325" max="1536" width="11.42578125" style="21"/>
    <col min="1537" max="1537" width="3.42578125" style="21" customWidth="1"/>
    <col min="1538" max="1538" width="5.42578125" style="21" customWidth="1"/>
    <col min="1539" max="1539" width="2.28515625" style="21" customWidth="1"/>
    <col min="1540" max="1541" width="3.42578125" style="21" customWidth="1"/>
    <col min="1542" max="1543" width="3.28515625" style="21" customWidth="1"/>
    <col min="1544" max="1545" width="3.140625" style="21" customWidth="1"/>
    <col min="1546" max="1546" width="2.7109375" style="21" customWidth="1"/>
    <col min="1547" max="1547" width="1.42578125" style="21" customWidth="1"/>
    <col min="1548" max="1548" width="3.28515625" style="21" customWidth="1"/>
    <col min="1549" max="1549" width="3.42578125" style="21" customWidth="1"/>
    <col min="1550" max="1550" width="3" style="21" customWidth="1"/>
    <col min="1551" max="1551" width="3.140625" style="21" customWidth="1"/>
    <col min="1552" max="1552" width="2.85546875" style="21" customWidth="1"/>
    <col min="1553" max="1553" width="2.42578125" style="21" customWidth="1"/>
    <col min="1554" max="1554" width="2.7109375" style="21" customWidth="1"/>
    <col min="1555" max="1555" width="4.140625" style="21" customWidth="1"/>
    <col min="1556" max="1556" width="3.42578125" style="21" customWidth="1"/>
    <col min="1557" max="1557" width="3" style="21" customWidth="1"/>
    <col min="1558" max="1558" width="3.42578125" style="21" customWidth="1"/>
    <col min="1559" max="1559" width="3.85546875" style="21" customWidth="1"/>
    <col min="1560" max="1560" width="2.7109375" style="21" customWidth="1"/>
    <col min="1561" max="1561" width="2.85546875" style="21" customWidth="1"/>
    <col min="1562" max="1562" width="3.42578125" style="21" customWidth="1"/>
    <col min="1563" max="1563" width="2.28515625" style="21" customWidth="1"/>
    <col min="1564" max="1564" width="1.7109375" style="21" customWidth="1"/>
    <col min="1565" max="1565" width="3.42578125" style="21" customWidth="1"/>
    <col min="1566" max="1566" width="2.85546875" style="21" customWidth="1"/>
    <col min="1567" max="1568" width="1.7109375" style="21" customWidth="1"/>
    <col min="1569" max="1569" width="2.42578125" style="21" customWidth="1"/>
    <col min="1570" max="1571" width="2.140625" style="21" customWidth="1"/>
    <col min="1572" max="1572" width="3.28515625" style="21" customWidth="1"/>
    <col min="1573" max="1573" width="4.140625" style="21" customWidth="1"/>
    <col min="1574" max="1574" width="2.7109375" style="21" customWidth="1"/>
    <col min="1575" max="1575" width="3.42578125" style="21" customWidth="1"/>
    <col min="1576" max="1576" width="4.140625" style="21" customWidth="1"/>
    <col min="1577" max="1577" width="3.85546875" style="21" customWidth="1"/>
    <col min="1578" max="1578" width="2.28515625" style="21" customWidth="1"/>
    <col min="1579" max="1579" width="2" style="21" customWidth="1"/>
    <col min="1580" max="1580" width="3.140625" style="21" customWidth="1"/>
    <col min="1581" max="1792" width="11.42578125" style="21"/>
    <col min="1793" max="1793" width="3.42578125" style="21" customWidth="1"/>
    <col min="1794" max="1794" width="5.42578125" style="21" customWidth="1"/>
    <col min="1795" max="1795" width="2.28515625" style="21" customWidth="1"/>
    <col min="1796" max="1797" width="3.42578125" style="21" customWidth="1"/>
    <col min="1798" max="1799" width="3.28515625" style="21" customWidth="1"/>
    <col min="1800" max="1801" width="3.140625" style="21" customWidth="1"/>
    <col min="1802" max="1802" width="2.7109375" style="21" customWidth="1"/>
    <col min="1803" max="1803" width="1.42578125" style="21" customWidth="1"/>
    <col min="1804" max="1804" width="3.28515625" style="21" customWidth="1"/>
    <col min="1805" max="1805" width="3.42578125" style="21" customWidth="1"/>
    <col min="1806" max="1806" width="3" style="21" customWidth="1"/>
    <col min="1807" max="1807" width="3.140625" style="21" customWidth="1"/>
    <col min="1808" max="1808" width="2.85546875" style="21" customWidth="1"/>
    <col min="1809" max="1809" width="2.42578125" style="21" customWidth="1"/>
    <col min="1810" max="1810" width="2.7109375" style="21" customWidth="1"/>
    <col min="1811" max="1811" width="4.140625" style="21" customWidth="1"/>
    <col min="1812" max="1812" width="3.42578125" style="21" customWidth="1"/>
    <col min="1813" max="1813" width="3" style="21" customWidth="1"/>
    <col min="1814" max="1814" width="3.42578125" style="21" customWidth="1"/>
    <col min="1815" max="1815" width="3.85546875" style="21" customWidth="1"/>
    <col min="1816" max="1816" width="2.7109375" style="21" customWidth="1"/>
    <col min="1817" max="1817" width="2.85546875" style="21" customWidth="1"/>
    <col min="1818" max="1818" width="3.42578125" style="21" customWidth="1"/>
    <col min="1819" max="1819" width="2.28515625" style="21" customWidth="1"/>
    <col min="1820" max="1820" width="1.7109375" style="21" customWidth="1"/>
    <col min="1821" max="1821" width="3.42578125" style="21" customWidth="1"/>
    <col min="1822" max="1822" width="2.85546875" style="21" customWidth="1"/>
    <col min="1823" max="1824" width="1.7109375" style="21" customWidth="1"/>
    <col min="1825" max="1825" width="2.42578125" style="21" customWidth="1"/>
    <col min="1826" max="1827" width="2.140625" style="21" customWidth="1"/>
    <col min="1828" max="1828" width="3.28515625" style="21" customWidth="1"/>
    <col min="1829" max="1829" width="4.140625" style="21" customWidth="1"/>
    <col min="1830" max="1830" width="2.7109375" style="21" customWidth="1"/>
    <col min="1831" max="1831" width="3.42578125" style="21" customWidth="1"/>
    <col min="1832" max="1832" width="4.140625" style="21" customWidth="1"/>
    <col min="1833" max="1833" width="3.85546875" style="21" customWidth="1"/>
    <col min="1834" max="1834" width="2.28515625" style="21" customWidth="1"/>
    <col min="1835" max="1835" width="2" style="21" customWidth="1"/>
    <col min="1836" max="1836" width="3.140625" style="21" customWidth="1"/>
    <col min="1837" max="2048" width="11.42578125" style="21"/>
    <col min="2049" max="2049" width="3.42578125" style="21" customWidth="1"/>
    <col min="2050" max="2050" width="5.42578125" style="21" customWidth="1"/>
    <col min="2051" max="2051" width="2.28515625" style="21" customWidth="1"/>
    <col min="2052" max="2053" width="3.42578125" style="21" customWidth="1"/>
    <col min="2054" max="2055" width="3.28515625" style="21" customWidth="1"/>
    <col min="2056" max="2057" width="3.140625" style="21" customWidth="1"/>
    <col min="2058" max="2058" width="2.7109375" style="21" customWidth="1"/>
    <col min="2059" max="2059" width="1.42578125" style="21" customWidth="1"/>
    <col min="2060" max="2060" width="3.28515625" style="21" customWidth="1"/>
    <col min="2061" max="2061" width="3.42578125" style="21" customWidth="1"/>
    <col min="2062" max="2062" width="3" style="21" customWidth="1"/>
    <col min="2063" max="2063" width="3.140625" style="21" customWidth="1"/>
    <col min="2064" max="2064" width="2.85546875" style="21" customWidth="1"/>
    <col min="2065" max="2065" width="2.42578125" style="21" customWidth="1"/>
    <col min="2066" max="2066" width="2.7109375" style="21" customWidth="1"/>
    <col min="2067" max="2067" width="4.140625" style="21" customWidth="1"/>
    <col min="2068" max="2068" width="3.42578125" style="21" customWidth="1"/>
    <col min="2069" max="2069" width="3" style="21" customWidth="1"/>
    <col min="2070" max="2070" width="3.42578125" style="21" customWidth="1"/>
    <col min="2071" max="2071" width="3.85546875" style="21" customWidth="1"/>
    <col min="2072" max="2072" width="2.7109375" style="21" customWidth="1"/>
    <col min="2073" max="2073" width="2.85546875" style="21" customWidth="1"/>
    <col min="2074" max="2074" width="3.42578125" style="21" customWidth="1"/>
    <col min="2075" max="2075" width="2.28515625" style="21" customWidth="1"/>
    <col min="2076" max="2076" width="1.7109375" style="21" customWidth="1"/>
    <col min="2077" max="2077" width="3.42578125" style="21" customWidth="1"/>
    <col min="2078" max="2078" width="2.85546875" style="21" customWidth="1"/>
    <col min="2079" max="2080" width="1.7109375" style="21" customWidth="1"/>
    <col min="2081" max="2081" width="2.42578125" style="21" customWidth="1"/>
    <col min="2082" max="2083" width="2.140625" style="21" customWidth="1"/>
    <col min="2084" max="2084" width="3.28515625" style="21" customWidth="1"/>
    <col min="2085" max="2085" width="4.140625" style="21" customWidth="1"/>
    <col min="2086" max="2086" width="2.7109375" style="21" customWidth="1"/>
    <col min="2087" max="2087" width="3.42578125" style="21" customWidth="1"/>
    <col min="2088" max="2088" width="4.140625" style="21" customWidth="1"/>
    <col min="2089" max="2089" width="3.85546875" style="21" customWidth="1"/>
    <col min="2090" max="2090" width="2.28515625" style="21" customWidth="1"/>
    <col min="2091" max="2091" width="2" style="21" customWidth="1"/>
    <col min="2092" max="2092" width="3.140625" style="21" customWidth="1"/>
    <col min="2093" max="2304" width="11.42578125" style="21"/>
    <col min="2305" max="2305" width="3.42578125" style="21" customWidth="1"/>
    <col min="2306" max="2306" width="5.42578125" style="21" customWidth="1"/>
    <col min="2307" max="2307" width="2.28515625" style="21" customWidth="1"/>
    <col min="2308" max="2309" width="3.42578125" style="21" customWidth="1"/>
    <col min="2310" max="2311" width="3.28515625" style="21" customWidth="1"/>
    <col min="2312" max="2313" width="3.140625" style="21" customWidth="1"/>
    <col min="2314" max="2314" width="2.7109375" style="21" customWidth="1"/>
    <col min="2315" max="2315" width="1.42578125" style="21" customWidth="1"/>
    <col min="2316" max="2316" width="3.28515625" style="21" customWidth="1"/>
    <col min="2317" max="2317" width="3.42578125" style="21" customWidth="1"/>
    <col min="2318" max="2318" width="3" style="21" customWidth="1"/>
    <col min="2319" max="2319" width="3.140625" style="21" customWidth="1"/>
    <col min="2320" max="2320" width="2.85546875" style="21" customWidth="1"/>
    <col min="2321" max="2321" width="2.42578125" style="21" customWidth="1"/>
    <col min="2322" max="2322" width="2.7109375" style="21" customWidth="1"/>
    <col min="2323" max="2323" width="4.140625" style="21" customWidth="1"/>
    <col min="2324" max="2324" width="3.42578125" style="21" customWidth="1"/>
    <col min="2325" max="2325" width="3" style="21" customWidth="1"/>
    <col min="2326" max="2326" width="3.42578125" style="21" customWidth="1"/>
    <col min="2327" max="2327" width="3.85546875" style="21" customWidth="1"/>
    <col min="2328" max="2328" width="2.7109375" style="21" customWidth="1"/>
    <col min="2329" max="2329" width="2.85546875" style="21" customWidth="1"/>
    <col min="2330" max="2330" width="3.42578125" style="21" customWidth="1"/>
    <col min="2331" max="2331" width="2.28515625" style="21" customWidth="1"/>
    <col min="2332" max="2332" width="1.7109375" style="21" customWidth="1"/>
    <col min="2333" max="2333" width="3.42578125" style="21" customWidth="1"/>
    <col min="2334" max="2334" width="2.85546875" style="21" customWidth="1"/>
    <col min="2335" max="2336" width="1.7109375" style="21" customWidth="1"/>
    <col min="2337" max="2337" width="2.42578125" style="21" customWidth="1"/>
    <col min="2338" max="2339" width="2.140625" style="21" customWidth="1"/>
    <col min="2340" max="2340" width="3.28515625" style="21" customWidth="1"/>
    <col min="2341" max="2341" width="4.140625" style="21" customWidth="1"/>
    <col min="2342" max="2342" width="2.7109375" style="21" customWidth="1"/>
    <col min="2343" max="2343" width="3.42578125" style="21" customWidth="1"/>
    <col min="2344" max="2344" width="4.140625" style="21" customWidth="1"/>
    <col min="2345" max="2345" width="3.85546875" style="21" customWidth="1"/>
    <col min="2346" max="2346" width="2.28515625" style="21" customWidth="1"/>
    <col min="2347" max="2347" width="2" style="21" customWidth="1"/>
    <col min="2348" max="2348" width="3.140625" style="21" customWidth="1"/>
    <col min="2349" max="2560" width="11.42578125" style="21"/>
    <col min="2561" max="2561" width="3.42578125" style="21" customWidth="1"/>
    <col min="2562" max="2562" width="5.42578125" style="21" customWidth="1"/>
    <col min="2563" max="2563" width="2.28515625" style="21" customWidth="1"/>
    <col min="2564" max="2565" width="3.42578125" style="21" customWidth="1"/>
    <col min="2566" max="2567" width="3.28515625" style="21" customWidth="1"/>
    <col min="2568" max="2569" width="3.140625" style="21" customWidth="1"/>
    <col min="2570" max="2570" width="2.7109375" style="21" customWidth="1"/>
    <col min="2571" max="2571" width="1.42578125" style="21" customWidth="1"/>
    <col min="2572" max="2572" width="3.28515625" style="21" customWidth="1"/>
    <col min="2573" max="2573" width="3.42578125" style="21" customWidth="1"/>
    <col min="2574" max="2574" width="3" style="21" customWidth="1"/>
    <col min="2575" max="2575" width="3.140625" style="21" customWidth="1"/>
    <col min="2576" max="2576" width="2.85546875" style="21" customWidth="1"/>
    <col min="2577" max="2577" width="2.42578125" style="21" customWidth="1"/>
    <col min="2578" max="2578" width="2.7109375" style="21" customWidth="1"/>
    <col min="2579" max="2579" width="4.140625" style="21" customWidth="1"/>
    <col min="2580" max="2580" width="3.42578125" style="21" customWidth="1"/>
    <col min="2581" max="2581" width="3" style="21" customWidth="1"/>
    <col min="2582" max="2582" width="3.42578125" style="21" customWidth="1"/>
    <col min="2583" max="2583" width="3.85546875" style="21" customWidth="1"/>
    <col min="2584" max="2584" width="2.7109375" style="21" customWidth="1"/>
    <col min="2585" max="2585" width="2.85546875" style="21" customWidth="1"/>
    <col min="2586" max="2586" width="3.42578125" style="21" customWidth="1"/>
    <col min="2587" max="2587" width="2.28515625" style="21" customWidth="1"/>
    <col min="2588" max="2588" width="1.7109375" style="21" customWidth="1"/>
    <col min="2589" max="2589" width="3.42578125" style="21" customWidth="1"/>
    <col min="2590" max="2590" width="2.85546875" style="21" customWidth="1"/>
    <col min="2591" max="2592" width="1.7109375" style="21" customWidth="1"/>
    <col min="2593" max="2593" width="2.42578125" style="21" customWidth="1"/>
    <col min="2594" max="2595" width="2.140625" style="21" customWidth="1"/>
    <col min="2596" max="2596" width="3.28515625" style="21" customWidth="1"/>
    <col min="2597" max="2597" width="4.140625" style="21" customWidth="1"/>
    <col min="2598" max="2598" width="2.7109375" style="21" customWidth="1"/>
    <col min="2599" max="2599" width="3.42578125" style="21" customWidth="1"/>
    <col min="2600" max="2600" width="4.140625" style="21" customWidth="1"/>
    <col min="2601" max="2601" width="3.85546875" style="21" customWidth="1"/>
    <col min="2602" max="2602" width="2.28515625" style="21" customWidth="1"/>
    <col min="2603" max="2603" width="2" style="21" customWidth="1"/>
    <col min="2604" max="2604" width="3.140625" style="21" customWidth="1"/>
    <col min="2605" max="2816" width="11.42578125" style="21"/>
    <col min="2817" max="2817" width="3.42578125" style="21" customWidth="1"/>
    <col min="2818" max="2818" width="5.42578125" style="21" customWidth="1"/>
    <col min="2819" max="2819" width="2.28515625" style="21" customWidth="1"/>
    <col min="2820" max="2821" width="3.42578125" style="21" customWidth="1"/>
    <col min="2822" max="2823" width="3.28515625" style="21" customWidth="1"/>
    <col min="2824" max="2825" width="3.140625" style="21" customWidth="1"/>
    <col min="2826" max="2826" width="2.7109375" style="21" customWidth="1"/>
    <col min="2827" max="2827" width="1.42578125" style="21" customWidth="1"/>
    <col min="2828" max="2828" width="3.28515625" style="21" customWidth="1"/>
    <col min="2829" max="2829" width="3.42578125" style="21" customWidth="1"/>
    <col min="2830" max="2830" width="3" style="21" customWidth="1"/>
    <col min="2831" max="2831" width="3.140625" style="21" customWidth="1"/>
    <col min="2832" max="2832" width="2.85546875" style="21" customWidth="1"/>
    <col min="2833" max="2833" width="2.42578125" style="21" customWidth="1"/>
    <col min="2834" max="2834" width="2.7109375" style="21" customWidth="1"/>
    <col min="2835" max="2835" width="4.140625" style="21" customWidth="1"/>
    <col min="2836" max="2836" width="3.42578125" style="21" customWidth="1"/>
    <col min="2837" max="2837" width="3" style="21" customWidth="1"/>
    <col min="2838" max="2838" width="3.42578125" style="21" customWidth="1"/>
    <col min="2839" max="2839" width="3.85546875" style="21" customWidth="1"/>
    <col min="2840" max="2840" width="2.7109375" style="21" customWidth="1"/>
    <col min="2841" max="2841" width="2.85546875" style="21" customWidth="1"/>
    <col min="2842" max="2842" width="3.42578125" style="21" customWidth="1"/>
    <col min="2843" max="2843" width="2.28515625" style="21" customWidth="1"/>
    <col min="2844" max="2844" width="1.7109375" style="21" customWidth="1"/>
    <col min="2845" max="2845" width="3.42578125" style="21" customWidth="1"/>
    <col min="2846" max="2846" width="2.85546875" style="21" customWidth="1"/>
    <col min="2847" max="2848" width="1.7109375" style="21" customWidth="1"/>
    <col min="2849" max="2849" width="2.42578125" style="21" customWidth="1"/>
    <col min="2850" max="2851" width="2.140625" style="21" customWidth="1"/>
    <col min="2852" max="2852" width="3.28515625" style="21" customWidth="1"/>
    <col min="2853" max="2853" width="4.140625" style="21" customWidth="1"/>
    <col min="2854" max="2854" width="2.7109375" style="21" customWidth="1"/>
    <col min="2855" max="2855" width="3.42578125" style="21" customWidth="1"/>
    <col min="2856" max="2856" width="4.140625" style="21" customWidth="1"/>
    <col min="2857" max="2857" width="3.85546875" style="21" customWidth="1"/>
    <col min="2858" max="2858" width="2.28515625" style="21" customWidth="1"/>
    <col min="2859" max="2859" width="2" style="21" customWidth="1"/>
    <col min="2860" max="2860" width="3.140625" style="21" customWidth="1"/>
    <col min="2861" max="3072" width="11.42578125" style="21"/>
    <col min="3073" max="3073" width="3.42578125" style="21" customWidth="1"/>
    <col min="3074" max="3074" width="5.42578125" style="21" customWidth="1"/>
    <col min="3075" max="3075" width="2.28515625" style="21" customWidth="1"/>
    <col min="3076" max="3077" width="3.42578125" style="21" customWidth="1"/>
    <col min="3078" max="3079" width="3.28515625" style="21" customWidth="1"/>
    <col min="3080" max="3081" width="3.140625" style="21" customWidth="1"/>
    <col min="3082" max="3082" width="2.7109375" style="21" customWidth="1"/>
    <col min="3083" max="3083" width="1.42578125" style="21" customWidth="1"/>
    <col min="3084" max="3084" width="3.28515625" style="21" customWidth="1"/>
    <col min="3085" max="3085" width="3.42578125" style="21" customWidth="1"/>
    <col min="3086" max="3086" width="3" style="21" customWidth="1"/>
    <col min="3087" max="3087" width="3.140625" style="21" customWidth="1"/>
    <col min="3088" max="3088" width="2.85546875" style="21" customWidth="1"/>
    <col min="3089" max="3089" width="2.42578125" style="21" customWidth="1"/>
    <col min="3090" max="3090" width="2.7109375" style="21" customWidth="1"/>
    <col min="3091" max="3091" width="4.140625" style="21" customWidth="1"/>
    <col min="3092" max="3092" width="3.42578125" style="21" customWidth="1"/>
    <col min="3093" max="3093" width="3" style="21" customWidth="1"/>
    <col min="3094" max="3094" width="3.42578125" style="21" customWidth="1"/>
    <col min="3095" max="3095" width="3.85546875" style="21" customWidth="1"/>
    <col min="3096" max="3096" width="2.7109375" style="21" customWidth="1"/>
    <col min="3097" max="3097" width="2.85546875" style="21" customWidth="1"/>
    <col min="3098" max="3098" width="3.42578125" style="21" customWidth="1"/>
    <col min="3099" max="3099" width="2.28515625" style="21" customWidth="1"/>
    <col min="3100" max="3100" width="1.7109375" style="21" customWidth="1"/>
    <col min="3101" max="3101" width="3.42578125" style="21" customWidth="1"/>
    <col min="3102" max="3102" width="2.85546875" style="21" customWidth="1"/>
    <col min="3103" max="3104" width="1.7109375" style="21" customWidth="1"/>
    <col min="3105" max="3105" width="2.42578125" style="21" customWidth="1"/>
    <col min="3106" max="3107" width="2.140625" style="21" customWidth="1"/>
    <col min="3108" max="3108" width="3.28515625" style="21" customWidth="1"/>
    <col min="3109" max="3109" width="4.140625" style="21" customWidth="1"/>
    <col min="3110" max="3110" width="2.7109375" style="21" customWidth="1"/>
    <col min="3111" max="3111" width="3.42578125" style="21" customWidth="1"/>
    <col min="3112" max="3112" width="4.140625" style="21" customWidth="1"/>
    <col min="3113" max="3113" width="3.85546875" style="21" customWidth="1"/>
    <col min="3114" max="3114" width="2.28515625" style="21" customWidth="1"/>
    <col min="3115" max="3115" width="2" style="21" customWidth="1"/>
    <col min="3116" max="3116" width="3.140625" style="21" customWidth="1"/>
    <col min="3117" max="3328" width="11.42578125" style="21"/>
    <col min="3329" max="3329" width="3.42578125" style="21" customWidth="1"/>
    <col min="3330" max="3330" width="5.42578125" style="21" customWidth="1"/>
    <col min="3331" max="3331" width="2.28515625" style="21" customWidth="1"/>
    <col min="3332" max="3333" width="3.42578125" style="21" customWidth="1"/>
    <col min="3334" max="3335" width="3.28515625" style="21" customWidth="1"/>
    <col min="3336" max="3337" width="3.140625" style="21" customWidth="1"/>
    <col min="3338" max="3338" width="2.7109375" style="21" customWidth="1"/>
    <col min="3339" max="3339" width="1.42578125" style="21" customWidth="1"/>
    <col min="3340" max="3340" width="3.28515625" style="21" customWidth="1"/>
    <col min="3341" max="3341" width="3.42578125" style="21" customWidth="1"/>
    <col min="3342" max="3342" width="3" style="21" customWidth="1"/>
    <col min="3343" max="3343" width="3.140625" style="21" customWidth="1"/>
    <col min="3344" max="3344" width="2.85546875" style="21" customWidth="1"/>
    <col min="3345" max="3345" width="2.42578125" style="21" customWidth="1"/>
    <col min="3346" max="3346" width="2.7109375" style="21" customWidth="1"/>
    <col min="3347" max="3347" width="4.140625" style="21" customWidth="1"/>
    <col min="3348" max="3348" width="3.42578125" style="21" customWidth="1"/>
    <col min="3349" max="3349" width="3" style="21" customWidth="1"/>
    <col min="3350" max="3350" width="3.42578125" style="21" customWidth="1"/>
    <col min="3351" max="3351" width="3.85546875" style="21" customWidth="1"/>
    <col min="3352" max="3352" width="2.7109375" style="21" customWidth="1"/>
    <col min="3353" max="3353" width="2.85546875" style="21" customWidth="1"/>
    <col min="3354" max="3354" width="3.42578125" style="21" customWidth="1"/>
    <col min="3355" max="3355" width="2.28515625" style="21" customWidth="1"/>
    <col min="3356" max="3356" width="1.7109375" style="21" customWidth="1"/>
    <col min="3357" max="3357" width="3.42578125" style="21" customWidth="1"/>
    <col min="3358" max="3358" width="2.85546875" style="21" customWidth="1"/>
    <col min="3359" max="3360" width="1.7109375" style="21" customWidth="1"/>
    <col min="3361" max="3361" width="2.42578125" style="21" customWidth="1"/>
    <col min="3362" max="3363" width="2.140625" style="21" customWidth="1"/>
    <col min="3364" max="3364" width="3.28515625" style="21" customWidth="1"/>
    <col min="3365" max="3365" width="4.140625" style="21" customWidth="1"/>
    <col min="3366" max="3366" width="2.7109375" style="21" customWidth="1"/>
    <col min="3367" max="3367" width="3.42578125" style="21" customWidth="1"/>
    <col min="3368" max="3368" width="4.140625" style="21" customWidth="1"/>
    <col min="3369" max="3369" width="3.85546875" style="21" customWidth="1"/>
    <col min="3370" max="3370" width="2.28515625" style="21" customWidth="1"/>
    <col min="3371" max="3371" width="2" style="21" customWidth="1"/>
    <col min="3372" max="3372" width="3.140625" style="21" customWidth="1"/>
    <col min="3373" max="3584" width="11.42578125" style="21"/>
    <col min="3585" max="3585" width="3.42578125" style="21" customWidth="1"/>
    <col min="3586" max="3586" width="5.42578125" style="21" customWidth="1"/>
    <col min="3587" max="3587" width="2.28515625" style="21" customWidth="1"/>
    <col min="3588" max="3589" width="3.42578125" style="21" customWidth="1"/>
    <col min="3590" max="3591" width="3.28515625" style="21" customWidth="1"/>
    <col min="3592" max="3593" width="3.140625" style="21" customWidth="1"/>
    <col min="3594" max="3594" width="2.7109375" style="21" customWidth="1"/>
    <col min="3595" max="3595" width="1.42578125" style="21" customWidth="1"/>
    <col min="3596" max="3596" width="3.28515625" style="21" customWidth="1"/>
    <col min="3597" max="3597" width="3.42578125" style="21" customWidth="1"/>
    <col min="3598" max="3598" width="3" style="21" customWidth="1"/>
    <col min="3599" max="3599" width="3.140625" style="21" customWidth="1"/>
    <col min="3600" max="3600" width="2.85546875" style="21" customWidth="1"/>
    <col min="3601" max="3601" width="2.42578125" style="21" customWidth="1"/>
    <col min="3602" max="3602" width="2.7109375" style="21" customWidth="1"/>
    <col min="3603" max="3603" width="4.140625" style="21" customWidth="1"/>
    <col min="3604" max="3604" width="3.42578125" style="21" customWidth="1"/>
    <col min="3605" max="3605" width="3" style="21" customWidth="1"/>
    <col min="3606" max="3606" width="3.42578125" style="21" customWidth="1"/>
    <col min="3607" max="3607" width="3.85546875" style="21" customWidth="1"/>
    <col min="3608" max="3608" width="2.7109375" style="21" customWidth="1"/>
    <col min="3609" max="3609" width="2.85546875" style="21" customWidth="1"/>
    <col min="3610" max="3610" width="3.42578125" style="21" customWidth="1"/>
    <col min="3611" max="3611" width="2.28515625" style="21" customWidth="1"/>
    <col min="3612" max="3612" width="1.7109375" style="21" customWidth="1"/>
    <col min="3613" max="3613" width="3.42578125" style="21" customWidth="1"/>
    <col min="3614" max="3614" width="2.85546875" style="21" customWidth="1"/>
    <col min="3615" max="3616" width="1.7109375" style="21" customWidth="1"/>
    <col min="3617" max="3617" width="2.42578125" style="21" customWidth="1"/>
    <col min="3618" max="3619" width="2.140625" style="21" customWidth="1"/>
    <col min="3620" max="3620" width="3.28515625" style="21" customWidth="1"/>
    <col min="3621" max="3621" width="4.140625" style="21" customWidth="1"/>
    <col min="3622" max="3622" width="2.7109375" style="21" customWidth="1"/>
    <col min="3623" max="3623" width="3.42578125" style="21" customWidth="1"/>
    <col min="3624" max="3624" width="4.140625" style="21" customWidth="1"/>
    <col min="3625" max="3625" width="3.85546875" style="21" customWidth="1"/>
    <col min="3626" max="3626" width="2.28515625" style="21" customWidth="1"/>
    <col min="3627" max="3627" width="2" style="21" customWidth="1"/>
    <col min="3628" max="3628" width="3.140625" style="21" customWidth="1"/>
    <col min="3629" max="3840" width="11.42578125" style="21"/>
    <col min="3841" max="3841" width="3.42578125" style="21" customWidth="1"/>
    <col min="3842" max="3842" width="5.42578125" style="21" customWidth="1"/>
    <col min="3843" max="3843" width="2.28515625" style="21" customWidth="1"/>
    <col min="3844" max="3845" width="3.42578125" style="21" customWidth="1"/>
    <col min="3846" max="3847" width="3.28515625" style="21" customWidth="1"/>
    <col min="3848" max="3849" width="3.140625" style="21" customWidth="1"/>
    <col min="3850" max="3850" width="2.7109375" style="21" customWidth="1"/>
    <col min="3851" max="3851" width="1.42578125" style="21" customWidth="1"/>
    <col min="3852" max="3852" width="3.28515625" style="21" customWidth="1"/>
    <col min="3853" max="3853" width="3.42578125" style="21" customWidth="1"/>
    <col min="3854" max="3854" width="3" style="21" customWidth="1"/>
    <col min="3855" max="3855" width="3.140625" style="21" customWidth="1"/>
    <col min="3856" max="3856" width="2.85546875" style="21" customWidth="1"/>
    <col min="3857" max="3857" width="2.42578125" style="21" customWidth="1"/>
    <col min="3858" max="3858" width="2.7109375" style="21" customWidth="1"/>
    <col min="3859" max="3859" width="4.140625" style="21" customWidth="1"/>
    <col min="3860" max="3860" width="3.42578125" style="21" customWidth="1"/>
    <col min="3861" max="3861" width="3" style="21" customWidth="1"/>
    <col min="3862" max="3862" width="3.42578125" style="21" customWidth="1"/>
    <col min="3863" max="3863" width="3.85546875" style="21" customWidth="1"/>
    <col min="3864" max="3864" width="2.7109375" style="21" customWidth="1"/>
    <col min="3865" max="3865" width="2.85546875" style="21" customWidth="1"/>
    <col min="3866" max="3866" width="3.42578125" style="21" customWidth="1"/>
    <col min="3867" max="3867" width="2.28515625" style="21" customWidth="1"/>
    <col min="3868" max="3868" width="1.7109375" style="21" customWidth="1"/>
    <col min="3869" max="3869" width="3.42578125" style="21" customWidth="1"/>
    <col min="3870" max="3870" width="2.85546875" style="21" customWidth="1"/>
    <col min="3871" max="3872" width="1.7109375" style="21" customWidth="1"/>
    <col min="3873" max="3873" width="2.42578125" style="21" customWidth="1"/>
    <col min="3874" max="3875" width="2.140625" style="21" customWidth="1"/>
    <col min="3876" max="3876" width="3.28515625" style="21" customWidth="1"/>
    <col min="3877" max="3877" width="4.140625" style="21" customWidth="1"/>
    <col min="3878" max="3878" width="2.7109375" style="21" customWidth="1"/>
    <col min="3879" max="3879" width="3.42578125" style="21" customWidth="1"/>
    <col min="3880" max="3880" width="4.140625" style="21" customWidth="1"/>
    <col min="3881" max="3881" width="3.85546875" style="21" customWidth="1"/>
    <col min="3882" max="3882" width="2.28515625" style="21" customWidth="1"/>
    <col min="3883" max="3883" width="2" style="21" customWidth="1"/>
    <col min="3884" max="3884" width="3.140625" style="21" customWidth="1"/>
    <col min="3885" max="4096" width="11.42578125" style="21"/>
    <col min="4097" max="4097" width="3.42578125" style="21" customWidth="1"/>
    <col min="4098" max="4098" width="5.42578125" style="21" customWidth="1"/>
    <col min="4099" max="4099" width="2.28515625" style="21" customWidth="1"/>
    <col min="4100" max="4101" width="3.42578125" style="21" customWidth="1"/>
    <col min="4102" max="4103" width="3.28515625" style="21" customWidth="1"/>
    <col min="4104" max="4105" width="3.140625" style="21" customWidth="1"/>
    <col min="4106" max="4106" width="2.7109375" style="21" customWidth="1"/>
    <col min="4107" max="4107" width="1.42578125" style="21" customWidth="1"/>
    <col min="4108" max="4108" width="3.28515625" style="21" customWidth="1"/>
    <col min="4109" max="4109" width="3.42578125" style="21" customWidth="1"/>
    <col min="4110" max="4110" width="3" style="21" customWidth="1"/>
    <col min="4111" max="4111" width="3.140625" style="21" customWidth="1"/>
    <col min="4112" max="4112" width="2.85546875" style="21" customWidth="1"/>
    <col min="4113" max="4113" width="2.42578125" style="21" customWidth="1"/>
    <col min="4114" max="4114" width="2.7109375" style="21" customWidth="1"/>
    <col min="4115" max="4115" width="4.140625" style="21" customWidth="1"/>
    <col min="4116" max="4116" width="3.42578125" style="21" customWidth="1"/>
    <col min="4117" max="4117" width="3" style="21" customWidth="1"/>
    <col min="4118" max="4118" width="3.42578125" style="21" customWidth="1"/>
    <col min="4119" max="4119" width="3.85546875" style="21" customWidth="1"/>
    <col min="4120" max="4120" width="2.7109375" style="21" customWidth="1"/>
    <col min="4121" max="4121" width="2.85546875" style="21" customWidth="1"/>
    <col min="4122" max="4122" width="3.42578125" style="21" customWidth="1"/>
    <col min="4123" max="4123" width="2.28515625" style="21" customWidth="1"/>
    <col min="4124" max="4124" width="1.7109375" style="21" customWidth="1"/>
    <col min="4125" max="4125" width="3.42578125" style="21" customWidth="1"/>
    <col min="4126" max="4126" width="2.85546875" style="21" customWidth="1"/>
    <col min="4127" max="4128" width="1.7109375" style="21" customWidth="1"/>
    <col min="4129" max="4129" width="2.42578125" style="21" customWidth="1"/>
    <col min="4130" max="4131" width="2.140625" style="21" customWidth="1"/>
    <col min="4132" max="4132" width="3.28515625" style="21" customWidth="1"/>
    <col min="4133" max="4133" width="4.140625" style="21" customWidth="1"/>
    <col min="4134" max="4134" width="2.7109375" style="21" customWidth="1"/>
    <col min="4135" max="4135" width="3.42578125" style="21" customWidth="1"/>
    <col min="4136" max="4136" width="4.140625" style="21" customWidth="1"/>
    <col min="4137" max="4137" width="3.85546875" style="21" customWidth="1"/>
    <col min="4138" max="4138" width="2.28515625" style="21" customWidth="1"/>
    <col min="4139" max="4139" width="2" style="21" customWidth="1"/>
    <col min="4140" max="4140" width="3.140625" style="21" customWidth="1"/>
    <col min="4141" max="4352" width="11.42578125" style="21"/>
    <col min="4353" max="4353" width="3.42578125" style="21" customWidth="1"/>
    <col min="4354" max="4354" width="5.42578125" style="21" customWidth="1"/>
    <col min="4355" max="4355" width="2.28515625" style="21" customWidth="1"/>
    <col min="4356" max="4357" width="3.42578125" style="21" customWidth="1"/>
    <col min="4358" max="4359" width="3.28515625" style="21" customWidth="1"/>
    <col min="4360" max="4361" width="3.140625" style="21" customWidth="1"/>
    <col min="4362" max="4362" width="2.7109375" style="21" customWidth="1"/>
    <col min="4363" max="4363" width="1.42578125" style="21" customWidth="1"/>
    <col min="4364" max="4364" width="3.28515625" style="21" customWidth="1"/>
    <col min="4365" max="4365" width="3.42578125" style="21" customWidth="1"/>
    <col min="4366" max="4366" width="3" style="21" customWidth="1"/>
    <col min="4367" max="4367" width="3.140625" style="21" customWidth="1"/>
    <col min="4368" max="4368" width="2.85546875" style="21" customWidth="1"/>
    <col min="4369" max="4369" width="2.42578125" style="21" customWidth="1"/>
    <col min="4370" max="4370" width="2.7109375" style="21" customWidth="1"/>
    <col min="4371" max="4371" width="4.140625" style="21" customWidth="1"/>
    <col min="4372" max="4372" width="3.42578125" style="21" customWidth="1"/>
    <col min="4373" max="4373" width="3" style="21" customWidth="1"/>
    <col min="4374" max="4374" width="3.42578125" style="21" customWidth="1"/>
    <col min="4375" max="4375" width="3.85546875" style="21" customWidth="1"/>
    <col min="4376" max="4376" width="2.7109375" style="21" customWidth="1"/>
    <col min="4377" max="4377" width="2.85546875" style="21" customWidth="1"/>
    <col min="4378" max="4378" width="3.42578125" style="21" customWidth="1"/>
    <col min="4379" max="4379" width="2.28515625" style="21" customWidth="1"/>
    <col min="4380" max="4380" width="1.7109375" style="21" customWidth="1"/>
    <col min="4381" max="4381" width="3.42578125" style="21" customWidth="1"/>
    <col min="4382" max="4382" width="2.85546875" style="21" customWidth="1"/>
    <col min="4383" max="4384" width="1.7109375" style="21" customWidth="1"/>
    <col min="4385" max="4385" width="2.42578125" style="21" customWidth="1"/>
    <col min="4386" max="4387" width="2.140625" style="21" customWidth="1"/>
    <col min="4388" max="4388" width="3.28515625" style="21" customWidth="1"/>
    <col min="4389" max="4389" width="4.140625" style="21" customWidth="1"/>
    <col min="4390" max="4390" width="2.7109375" style="21" customWidth="1"/>
    <col min="4391" max="4391" width="3.42578125" style="21" customWidth="1"/>
    <col min="4392" max="4392" width="4.140625" style="21" customWidth="1"/>
    <col min="4393" max="4393" width="3.85546875" style="21" customWidth="1"/>
    <col min="4394" max="4394" width="2.28515625" style="21" customWidth="1"/>
    <col min="4395" max="4395" width="2" style="21" customWidth="1"/>
    <col min="4396" max="4396" width="3.140625" style="21" customWidth="1"/>
    <col min="4397" max="4608" width="11.42578125" style="21"/>
    <col min="4609" max="4609" width="3.42578125" style="21" customWidth="1"/>
    <col min="4610" max="4610" width="5.42578125" style="21" customWidth="1"/>
    <col min="4611" max="4611" width="2.28515625" style="21" customWidth="1"/>
    <col min="4612" max="4613" width="3.42578125" style="21" customWidth="1"/>
    <col min="4614" max="4615" width="3.28515625" style="21" customWidth="1"/>
    <col min="4616" max="4617" width="3.140625" style="21" customWidth="1"/>
    <col min="4618" max="4618" width="2.7109375" style="21" customWidth="1"/>
    <col min="4619" max="4619" width="1.42578125" style="21" customWidth="1"/>
    <col min="4620" max="4620" width="3.28515625" style="21" customWidth="1"/>
    <col min="4621" max="4621" width="3.42578125" style="21" customWidth="1"/>
    <col min="4622" max="4622" width="3" style="21" customWidth="1"/>
    <col min="4623" max="4623" width="3.140625" style="21" customWidth="1"/>
    <col min="4624" max="4624" width="2.85546875" style="21" customWidth="1"/>
    <col min="4625" max="4625" width="2.42578125" style="21" customWidth="1"/>
    <col min="4626" max="4626" width="2.7109375" style="21" customWidth="1"/>
    <col min="4627" max="4627" width="4.140625" style="21" customWidth="1"/>
    <col min="4628" max="4628" width="3.42578125" style="21" customWidth="1"/>
    <col min="4629" max="4629" width="3" style="21" customWidth="1"/>
    <col min="4630" max="4630" width="3.42578125" style="21" customWidth="1"/>
    <col min="4631" max="4631" width="3.85546875" style="21" customWidth="1"/>
    <col min="4632" max="4632" width="2.7109375" style="21" customWidth="1"/>
    <col min="4633" max="4633" width="2.85546875" style="21" customWidth="1"/>
    <col min="4634" max="4634" width="3.42578125" style="21" customWidth="1"/>
    <col min="4635" max="4635" width="2.28515625" style="21" customWidth="1"/>
    <col min="4636" max="4636" width="1.7109375" style="21" customWidth="1"/>
    <col min="4637" max="4637" width="3.42578125" style="21" customWidth="1"/>
    <col min="4638" max="4638" width="2.85546875" style="21" customWidth="1"/>
    <col min="4639" max="4640" width="1.7109375" style="21" customWidth="1"/>
    <col min="4641" max="4641" width="2.42578125" style="21" customWidth="1"/>
    <col min="4642" max="4643" width="2.140625" style="21" customWidth="1"/>
    <col min="4644" max="4644" width="3.28515625" style="21" customWidth="1"/>
    <col min="4645" max="4645" width="4.140625" style="21" customWidth="1"/>
    <col min="4646" max="4646" width="2.7109375" style="21" customWidth="1"/>
    <col min="4647" max="4647" width="3.42578125" style="21" customWidth="1"/>
    <col min="4648" max="4648" width="4.140625" style="21" customWidth="1"/>
    <col min="4649" max="4649" width="3.85546875" style="21" customWidth="1"/>
    <col min="4650" max="4650" width="2.28515625" style="21" customWidth="1"/>
    <col min="4651" max="4651" width="2" style="21" customWidth="1"/>
    <col min="4652" max="4652" width="3.140625" style="21" customWidth="1"/>
    <col min="4653" max="4864" width="11.42578125" style="21"/>
    <col min="4865" max="4865" width="3.42578125" style="21" customWidth="1"/>
    <col min="4866" max="4866" width="5.42578125" style="21" customWidth="1"/>
    <col min="4867" max="4867" width="2.28515625" style="21" customWidth="1"/>
    <col min="4868" max="4869" width="3.42578125" style="21" customWidth="1"/>
    <col min="4870" max="4871" width="3.28515625" style="21" customWidth="1"/>
    <col min="4872" max="4873" width="3.140625" style="21" customWidth="1"/>
    <col min="4874" max="4874" width="2.7109375" style="21" customWidth="1"/>
    <col min="4875" max="4875" width="1.42578125" style="21" customWidth="1"/>
    <col min="4876" max="4876" width="3.28515625" style="21" customWidth="1"/>
    <col min="4877" max="4877" width="3.42578125" style="21" customWidth="1"/>
    <col min="4878" max="4878" width="3" style="21" customWidth="1"/>
    <col min="4879" max="4879" width="3.140625" style="21" customWidth="1"/>
    <col min="4880" max="4880" width="2.85546875" style="21" customWidth="1"/>
    <col min="4881" max="4881" width="2.42578125" style="21" customWidth="1"/>
    <col min="4882" max="4882" width="2.7109375" style="21" customWidth="1"/>
    <col min="4883" max="4883" width="4.140625" style="21" customWidth="1"/>
    <col min="4884" max="4884" width="3.42578125" style="21" customWidth="1"/>
    <col min="4885" max="4885" width="3" style="21" customWidth="1"/>
    <col min="4886" max="4886" width="3.42578125" style="21" customWidth="1"/>
    <col min="4887" max="4887" width="3.85546875" style="21" customWidth="1"/>
    <col min="4888" max="4888" width="2.7109375" style="21" customWidth="1"/>
    <col min="4889" max="4889" width="2.85546875" style="21" customWidth="1"/>
    <col min="4890" max="4890" width="3.42578125" style="21" customWidth="1"/>
    <col min="4891" max="4891" width="2.28515625" style="21" customWidth="1"/>
    <col min="4892" max="4892" width="1.7109375" style="21" customWidth="1"/>
    <col min="4893" max="4893" width="3.42578125" style="21" customWidth="1"/>
    <col min="4894" max="4894" width="2.85546875" style="21" customWidth="1"/>
    <col min="4895" max="4896" width="1.7109375" style="21" customWidth="1"/>
    <col min="4897" max="4897" width="2.42578125" style="21" customWidth="1"/>
    <col min="4898" max="4899" width="2.140625" style="21" customWidth="1"/>
    <col min="4900" max="4900" width="3.28515625" style="21" customWidth="1"/>
    <col min="4901" max="4901" width="4.140625" style="21" customWidth="1"/>
    <col min="4902" max="4902" width="2.7109375" style="21" customWidth="1"/>
    <col min="4903" max="4903" width="3.42578125" style="21" customWidth="1"/>
    <col min="4904" max="4904" width="4.140625" style="21" customWidth="1"/>
    <col min="4905" max="4905" width="3.85546875" style="21" customWidth="1"/>
    <col min="4906" max="4906" width="2.28515625" style="21" customWidth="1"/>
    <col min="4907" max="4907" width="2" style="21" customWidth="1"/>
    <col min="4908" max="4908" width="3.140625" style="21" customWidth="1"/>
    <col min="4909" max="5120" width="11.42578125" style="21"/>
    <col min="5121" max="5121" width="3.42578125" style="21" customWidth="1"/>
    <col min="5122" max="5122" width="5.42578125" style="21" customWidth="1"/>
    <col min="5123" max="5123" width="2.28515625" style="21" customWidth="1"/>
    <col min="5124" max="5125" width="3.42578125" style="21" customWidth="1"/>
    <col min="5126" max="5127" width="3.28515625" style="21" customWidth="1"/>
    <col min="5128" max="5129" width="3.140625" style="21" customWidth="1"/>
    <col min="5130" max="5130" width="2.7109375" style="21" customWidth="1"/>
    <col min="5131" max="5131" width="1.42578125" style="21" customWidth="1"/>
    <col min="5132" max="5132" width="3.28515625" style="21" customWidth="1"/>
    <col min="5133" max="5133" width="3.42578125" style="21" customWidth="1"/>
    <col min="5134" max="5134" width="3" style="21" customWidth="1"/>
    <col min="5135" max="5135" width="3.140625" style="21" customWidth="1"/>
    <col min="5136" max="5136" width="2.85546875" style="21" customWidth="1"/>
    <col min="5137" max="5137" width="2.42578125" style="21" customWidth="1"/>
    <col min="5138" max="5138" width="2.7109375" style="21" customWidth="1"/>
    <col min="5139" max="5139" width="4.140625" style="21" customWidth="1"/>
    <col min="5140" max="5140" width="3.42578125" style="21" customWidth="1"/>
    <col min="5141" max="5141" width="3" style="21" customWidth="1"/>
    <col min="5142" max="5142" width="3.42578125" style="21" customWidth="1"/>
    <col min="5143" max="5143" width="3.85546875" style="21" customWidth="1"/>
    <col min="5144" max="5144" width="2.7109375" style="21" customWidth="1"/>
    <col min="5145" max="5145" width="2.85546875" style="21" customWidth="1"/>
    <col min="5146" max="5146" width="3.42578125" style="21" customWidth="1"/>
    <col min="5147" max="5147" width="2.28515625" style="21" customWidth="1"/>
    <col min="5148" max="5148" width="1.7109375" style="21" customWidth="1"/>
    <col min="5149" max="5149" width="3.42578125" style="21" customWidth="1"/>
    <col min="5150" max="5150" width="2.85546875" style="21" customWidth="1"/>
    <col min="5151" max="5152" width="1.7109375" style="21" customWidth="1"/>
    <col min="5153" max="5153" width="2.42578125" style="21" customWidth="1"/>
    <col min="5154" max="5155" width="2.140625" style="21" customWidth="1"/>
    <col min="5156" max="5156" width="3.28515625" style="21" customWidth="1"/>
    <col min="5157" max="5157" width="4.140625" style="21" customWidth="1"/>
    <col min="5158" max="5158" width="2.7109375" style="21" customWidth="1"/>
    <col min="5159" max="5159" width="3.42578125" style="21" customWidth="1"/>
    <col min="5160" max="5160" width="4.140625" style="21" customWidth="1"/>
    <col min="5161" max="5161" width="3.85546875" style="21" customWidth="1"/>
    <col min="5162" max="5162" width="2.28515625" style="21" customWidth="1"/>
    <col min="5163" max="5163" width="2" style="21" customWidth="1"/>
    <col min="5164" max="5164" width="3.140625" style="21" customWidth="1"/>
    <col min="5165" max="5376" width="11.42578125" style="21"/>
    <col min="5377" max="5377" width="3.42578125" style="21" customWidth="1"/>
    <col min="5378" max="5378" width="5.42578125" style="21" customWidth="1"/>
    <col min="5379" max="5379" width="2.28515625" style="21" customWidth="1"/>
    <col min="5380" max="5381" width="3.42578125" style="21" customWidth="1"/>
    <col min="5382" max="5383" width="3.28515625" style="21" customWidth="1"/>
    <col min="5384" max="5385" width="3.140625" style="21" customWidth="1"/>
    <col min="5386" max="5386" width="2.7109375" style="21" customWidth="1"/>
    <col min="5387" max="5387" width="1.42578125" style="21" customWidth="1"/>
    <col min="5388" max="5388" width="3.28515625" style="21" customWidth="1"/>
    <col min="5389" max="5389" width="3.42578125" style="21" customWidth="1"/>
    <col min="5390" max="5390" width="3" style="21" customWidth="1"/>
    <col min="5391" max="5391" width="3.140625" style="21" customWidth="1"/>
    <col min="5392" max="5392" width="2.85546875" style="21" customWidth="1"/>
    <col min="5393" max="5393" width="2.42578125" style="21" customWidth="1"/>
    <col min="5394" max="5394" width="2.7109375" style="21" customWidth="1"/>
    <col min="5395" max="5395" width="4.140625" style="21" customWidth="1"/>
    <col min="5396" max="5396" width="3.42578125" style="21" customWidth="1"/>
    <col min="5397" max="5397" width="3" style="21" customWidth="1"/>
    <col min="5398" max="5398" width="3.42578125" style="21" customWidth="1"/>
    <col min="5399" max="5399" width="3.85546875" style="21" customWidth="1"/>
    <col min="5400" max="5400" width="2.7109375" style="21" customWidth="1"/>
    <col min="5401" max="5401" width="2.85546875" style="21" customWidth="1"/>
    <col min="5402" max="5402" width="3.42578125" style="21" customWidth="1"/>
    <col min="5403" max="5403" width="2.28515625" style="21" customWidth="1"/>
    <col min="5404" max="5404" width="1.7109375" style="21" customWidth="1"/>
    <col min="5405" max="5405" width="3.42578125" style="21" customWidth="1"/>
    <col min="5406" max="5406" width="2.85546875" style="21" customWidth="1"/>
    <col min="5407" max="5408" width="1.7109375" style="21" customWidth="1"/>
    <col min="5409" max="5409" width="2.42578125" style="21" customWidth="1"/>
    <col min="5410" max="5411" width="2.140625" style="21" customWidth="1"/>
    <col min="5412" max="5412" width="3.28515625" style="21" customWidth="1"/>
    <col min="5413" max="5413" width="4.140625" style="21" customWidth="1"/>
    <col min="5414" max="5414" width="2.7109375" style="21" customWidth="1"/>
    <col min="5415" max="5415" width="3.42578125" style="21" customWidth="1"/>
    <col min="5416" max="5416" width="4.140625" style="21" customWidth="1"/>
    <col min="5417" max="5417" width="3.85546875" style="21" customWidth="1"/>
    <col min="5418" max="5418" width="2.28515625" style="21" customWidth="1"/>
    <col min="5419" max="5419" width="2" style="21" customWidth="1"/>
    <col min="5420" max="5420" width="3.140625" style="21" customWidth="1"/>
    <col min="5421" max="5632" width="11.42578125" style="21"/>
    <col min="5633" max="5633" width="3.42578125" style="21" customWidth="1"/>
    <col min="5634" max="5634" width="5.42578125" style="21" customWidth="1"/>
    <col min="5635" max="5635" width="2.28515625" style="21" customWidth="1"/>
    <col min="5636" max="5637" width="3.42578125" style="21" customWidth="1"/>
    <col min="5638" max="5639" width="3.28515625" style="21" customWidth="1"/>
    <col min="5640" max="5641" width="3.140625" style="21" customWidth="1"/>
    <col min="5642" max="5642" width="2.7109375" style="21" customWidth="1"/>
    <col min="5643" max="5643" width="1.42578125" style="21" customWidth="1"/>
    <col min="5644" max="5644" width="3.28515625" style="21" customWidth="1"/>
    <col min="5645" max="5645" width="3.42578125" style="21" customWidth="1"/>
    <col min="5646" max="5646" width="3" style="21" customWidth="1"/>
    <col min="5647" max="5647" width="3.140625" style="21" customWidth="1"/>
    <col min="5648" max="5648" width="2.85546875" style="21" customWidth="1"/>
    <col min="5649" max="5649" width="2.42578125" style="21" customWidth="1"/>
    <col min="5650" max="5650" width="2.7109375" style="21" customWidth="1"/>
    <col min="5651" max="5651" width="4.140625" style="21" customWidth="1"/>
    <col min="5652" max="5652" width="3.42578125" style="21" customWidth="1"/>
    <col min="5653" max="5653" width="3" style="21" customWidth="1"/>
    <col min="5654" max="5654" width="3.42578125" style="21" customWidth="1"/>
    <col min="5655" max="5655" width="3.85546875" style="21" customWidth="1"/>
    <col min="5656" max="5656" width="2.7109375" style="21" customWidth="1"/>
    <col min="5657" max="5657" width="2.85546875" style="21" customWidth="1"/>
    <col min="5658" max="5658" width="3.42578125" style="21" customWidth="1"/>
    <col min="5659" max="5659" width="2.28515625" style="21" customWidth="1"/>
    <col min="5660" max="5660" width="1.7109375" style="21" customWidth="1"/>
    <col min="5661" max="5661" width="3.42578125" style="21" customWidth="1"/>
    <col min="5662" max="5662" width="2.85546875" style="21" customWidth="1"/>
    <col min="5663" max="5664" width="1.7109375" style="21" customWidth="1"/>
    <col min="5665" max="5665" width="2.42578125" style="21" customWidth="1"/>
    <col min="5666" max="5667" width="2.140625" style="21" customWidth="1"/>
    <col min="5668" max="5668" width="3.28515625" style="21" customWidth="1"/>
    <col min="5669" max="5669" width="4.140625" style="21" customWidth="1"/>
    <col min="5670" max="5670" width="2.7109375" style="21" customWidth="1"/>
    <col min="5671" max="5671" width="3.42578125" style="21" customWidth="1"/>
    <col min="5672" max="5672" width="4.140625" style="21" customWidth="1"/>
    <col min="5673" max="5673" width="3.85546875" style="21" customWidth="1"/>
    <col min="5674" max="5674" width="2.28515625" style="21" customWidth="1"/>
    <col min="5675" max="5675" width="2" style="21" customWidth="1"/>
    <col min="5676" max="5676" width="3.140625" style="21" customWidth="1"/>
    <col min="5677" max="5888" width="11.42578125" style="21"/>
    <col min="5889" max="5889" width="3.42578125" style="21" customWidth="1"/>
    <col min="5890" max="5890" width="5.42578125" style="21" customWidth="1"/>
    <col min="5891" max="5891" width="2.28515625" style="21" customWidth="1"/>
    <col min="5892" max="5893" width="3.42578125" style="21" customWidth="1"/>
    <col min="5894" max="5895" width="3.28515625" style="21" customWidth="1"/>
    <col min="5896" max="5897" width="3.140625" style="21" customWidth="1"/>
    <col min="5898" max="5898" width="2.7109375" style="21" customWidth="1"/>
    <col min="5899" max="5899" width="1.42578125" style="21" customWidth="1"/>
    <col min="5900" max="5900" width="3.28515625" style="21" customWidth="1"/>
    <col min="5901" max="5901" width="3.42578125" style="21" customWidth="1"/>
    <col min="5902" max="5902" width="3" style="21" customWidth="1"/>
    <col min="5903" max="5903" width="3.140625" style="21" customWidth="1"/>
    <col min="5904" max="5904" width="2.85546875" style="21" customWidth="1"/>
    <col min="5905" max="5905" width="2.42578125" style="21" customWidth="1"/>
    <col min="5906" max="5906" width="2.7109375" style="21" customWidth="1"/>
    <col min="5907" max="5907" width="4.140625" style="21" customWidth="1"/>
    <col min="5908" max="5908" width="3.42578125" style="21" customWidth="1"/>
    <col min="5909" max="5909" width="3" style="21" customWidth="1"/>
    <col min="5910" max="5910" width="3.42578125" style="21" customWidth="1"/>
    <col min="5911" max="5911" width="3.85546875" style="21" customWidth="1"/>
    <col min="5912" max="5912" width="2.7109375" style="21" customWidth="1"/>
    <col min="5913" max="5913" width="2.85546875" style="21" customWidth="1"/>
    <col min="5914" max="5914" width="3.42578125" style="21" customWidth="1"/>
    <col min="5915" max="5915" width="2.28515625" style="21" customWidth="1"/>
    <col min="5916" max="5916" width="1.7109375" style="21" customWidth="1"/>
    <col min="5917" max="5917" width="3.42578125" style="21" customWidth="1"/>
    <col min="5918" max="5918" width="2.85546875" style="21" customWidth="1"/>
    <col min="5919" max="5920" width="1.7109375" style="21" customWidth="1"/>
    <col min="5921" max="5921" width="2.42578125" style="21" customWidth="1"/>
    <col min="5922" max="5923" width="2.140625" style="21" customWidth="1"/>
    <col min="5924" max="5924" width="3.28515625" style="21" customWidth="1"/>
    <col min="5925" max="5925" width="4.140625" style="21" customWidth="1"/>
    <col min="5926" max="5926" width="2.7109375" style="21" customWidth="1"/>
    <col min="5927" max="5927" width="3.42578125" style="21" customWidth="1"/>
    <col min="5928" max="5928" width="4.140625" style="21" customWidth="1"/>
    <col min="5929" max="5929" width="3.85546875" style="21" customWidth="1"/>
    <col min="5930" max="5930" width="2.28515625" style="21" customWidth="1"/>
    <col min="5931" max="5931" width="2" style="21" customWidth="1"/>
    <col min="5932" max="5932" width="3.140625" style="21" customWidth="1"/>
    <col min="5933" max="6144" width="11.42578125" style="21"/>
    <col min="6145" max="6145" width="3.42578125" style="21" customWidth="1"/>
    <col min="6146" max="6146" width="5.42578125" style="21" customWidth="1"/>
    <col min="6147" max="6147" width="2.28515625" style="21" customWidth="1"/>
    <col min="6148" max="6149" width="3.42578125" style="21" customWidth="1"/>
    <col min="6150" max="6151" width="3.28515625" style="21" customWidth="1"/>
    <col min="6152" max="6153" width="3.140625" style="21" customWidth="1"/>
    <col min="6154" max="6154" width="2.7109375" style="21" customWidth="1"/>
    <col min="6155" max="6155" width="1.42578125" style="21" customWidth="1"/>
    <col min="6156" max="6156" width="3.28515625" style="21" customWidth="1"/>
    <col min="6157" max="6157" width="3.42578125" style="21" customWidth="1"/>
    <col min="6158" max="6158" width="3" style="21" customWidth="1"/>
    <col min="6159" max="6159" width="3.140625" style="21" customWidth="1"/>
    <col min="6160" max="6160" width="2.85546875" style="21" customWidth="1"/>
    <col min="6161" max="6161" width="2.42578125" style="21" customWidth="1"/>
    <col min="6162" max="6162" width="2.7109375" style="21" customWidth="1"/>
    <col min="6163" max="6163" width="4.140625" style="21" customWidth="1"/>
    <col min="6164" max="6164" width="3.42578125" style="21" customWidth="1"/>
    <col min="6165" max="6165" width="3" style="21" customWidth="1"/>
    <col min="6166" max="6166" width="3.42578125" style="21" customWidth="1"/>
    <col min="6167" max="6167" width="3.85546875" style="21" customWidth="1"/>
    <col min="6168" max="6168" width="2.7109375" style="21" customWidth="1"/>
    <col min="6169" max="6169" width="2.85546875" style="21" customWidth="1"/>
    <col min="6170" max="6170" width="3.42578125" style="21" customWidth="1"/>
    <col min="6171" max="6171" width="2.28515625" style="21" customWidth="1"/>
    <col min="6172" max="6172" width="1.7109375" style="21" customWidth="1"/>
    <col min="6173" max="6173" width="3.42578125" style="21" customWidth="1"/>
    <col min="6174" max="6174" width="2.85546875" style="21" customWidth="1"/>
    <col min="6175" max="6176" width="1.7109375" style="21" customWidth="1"/>
    <col min="6177" max="6177" width="2.42578125" style="21" customWidth="1"/>
    <col min="6178" max="6179" width="2.140625" style="21" customWidth="1"/>
    <col min="6180" max="6180" width="3.28515625" style="21" customWidth="1"/>
    <col min="6181" max="6181" width="4.140625" style="21" customWidth="1"/>
    <col min="6182" max="6182" width="2.7109375" style="21" customWidth="1"/>
    <col min="6183" max="6183" width="3.42578125" style="21" customWidth="1"/>
    <col min="6184" max="6184" width="4.140625" style="21" customWidth="1"/>
    <col min="6185" max="6185" width="3.85546875" style="21" customWidth="1"/>
    <col min="6186" max="6186" width="2.28515625" style="21" customWidth="1"/>
    <col min="6187" max="6187" width="2" style="21" customWidth="1"/>
    <col min="6188" max="6188" width="3.140625" style="21" customWidth="1"/>
    <col min="6189" max="6400" width="11.42578125" style="21"/>
    <col min="6401" max="6401" width="3.42578125" style="21" customWidth="1"/>
    <col min="6402" max="6402" width="5.42578125" style="21" customWidth="1"/>
    <col min="6403" max="6403" width="2.28515625" style="21" customWidth="1"/>
    <col min="6404" max="6405" width="3.42578125" style="21" customWidth="1"/>
    <col min="6406" max="6407" width="3.28515625" style="21" customWidth="1"/>
    <col min="6408" max="6409" width="3.140625" style="21" customWidth="1"/>
    <col min="6410" max="6410" width="2.7109375" style="21" customWidth="1"/>
    <col min="6411" max="6411" width="1.42578125" style="21" customWidth="1"/>
    <col min="6412" max="6412" width="3.28515625" style="21" customWidth="1"/>
    <col min="6413" max="6413" width="3.42578125" style="21" customWidth="1"/>
    <col min="6414" max="6414" width="3" style="21" customWidth="1"/>
    <col min="6415" max="6415" width="3.140625" style="21" customWidth="1"/>
    <col min="6416" max="6416" width="2.85546875" style="21" customWidth="1"/>
    <col min="6417" max="6417" width="2.42578125" style="21" customWidth="1"/>
    <col min="6418" max="6418" width="2.7109375" style="21" customWidth="1"/>
    <col min="6419" max="6419" width="4.140625" style="21" customWidth="1"/>
    <col min="6420" max="6420" width="3.42578125" style="21" customWidth="1"/>
    <col min="6421" max="6421" width="3" style="21" customWidth="1"/>
    <col min="6422" max="6422" width="3.42578125" style="21" customWidth="1"/>
    <col min="6423" max="6423" width="3.85546875" style="21" customWidth="1"/>
    <col min="6424" max="6424" width="2.7109375" style="21" customWidth="1"/>
    <col min="6425" max="6425" width="2.85546875" style="21" customWidth="1"/>
    <col min="6426" max="6426" width="3.42578125" style="21" customWidth="1"/>
    <col min="6427" max="6427" width="2.28515625" style="21" customWidth="1"/>
    <col min="6428" max="6428" width="1.7109375" style="21" customWidth="1"/>
    <col min="6429" max="6429" width="3.42578125" style="21" customWidth="1"/>
    <col min="6430" max="6430" width="2.85546875" style="21" customWidth="1"/>
    <col min="6431" max="6432" width="1.7109375" style="21" customWidth="1"/>
    <col min="6433" max="6433" width="2.42578125" style="21" customWidth="1"/>
    <col min="6434" max="6435" width="2.140625" style="21" customWidth="1"/>
    <col min="6436" max="6436" width="3.28515625" style="21" customWidth="1"/>
    <col min="6437" max="6437" width="4.140625" style="21" customWidth="1"/>
    <col min="6438" max="6438" width="2.7109375" style="21" customWidth="1"/>
    <col min="6439" max="6439" width="3.42578125" style="21" customWidth="1"/>
    <col min="6440" max="6440" width="4.140625" style="21" customWidth="1"/>
    <col min="6441" max="6441" width="3.85546875" style="21" customWidth="1"/>
    <col min="6442" max="6442" width="2.28515625" style="21" customWidth="1"/>
    <col min="6443" max="6443" width="2" style="21" customWidth="1"/>
    <col min="6444" max="6444" width="3.140625" style="21" customWidth="1"/>
    <col min="6445" max="6656" width="11.42578125" style="21"/>
    <col min="6657" max="6657" width="3.42578125" style="21" customWidth="1"/>
    <col min="6658" max="6658" width="5.42578125" style="21" customWidth="1"/>
    <col min="6659" max="6659" width="2.28515625" style="21" customWidth="1"/>
    <col min="6660" max="6661" width="3.42578125" style="21" customWidth="1"/>
    <col min="6662" max="6663" width="3.28515625" style="21" customWidth="1"/>
    <col min="6664" max="6665" width="3.140625" style="21" customWidth="1"/>
    <col min="6666" max="6666" width="2.7109375" style="21" customWidth="1"/>
    <col min="6667" max="6667" width="1.42578125" style="21" customWidth="1"/>
    <col min="6668" max="6668" width="3.28515625" style="21" customWidth="1"/>
    <col min="6669" max="6669" width="3.42578125" style="21" customWidth="1"/>
    <col min="6670" max="6670" width="3" style="21" customWidth="1"/>
    <col min="6671" max="6671" width="3.140625" style="21" customWidth="1"/>
    <col min="6672" max="6672" width="2.85546875" style="21" customWidth="1"/>
    <col min="6673" max="6673" width="2.42578125" style="21" customWidth="1"/>
    <col min="6674" max="6674" width="2.7109375" style="21" customWidth="1"/>
    <col min="6675" max="6675" width="4.140625" style="21" customWidth="1"/>
    <col min="6676" max="6676" width="3.42578125" style="21" customWidth="1"/>
    <col min="6677" max="6677" width="3" style="21" customWidth="1"/>
    <col min="6678" max="6678" width="3.42578125" style="21" customWidth="1"/>
    <col min="6679" max="6679" width="3.85546875" style="21" customWidth="1"/>
    <col min="6680" max="6680" width="2.7109375" style="21" customWidth="1"/>
    <col min="6681" max="6681" width="2.85546875" style="21" customWidth="1"/>
    <col min="6682" max="6682" width="3.42578125" style="21" customWidth="1"/>
    <col min="6683" max="6683" width="2.28515625" style="21" customWidth="1"/>
    <col min="6684" max="6684" width="1.7109375" style="21" customWidth="1"/>
    <col min="6685" max="6685" width="3.42578125" style="21" customWidth="1"/>
    <col min="6686" max="6686" width="2.85546875" style="21" customWidth="1"/>
    <col min="6687" max="6688" width="1.7109375" style="21" customWidth="1"/>
    <col min="6689" max="6689" width="2.42578125" style="21" customWidth="1"/>
    <col min="6690" max="6691" width="2.140625" style="21" customWidth="1"/>
    <col min="6692" max="6692" width="3.28515625" style="21" customWidth="1"/>
    <col min="6693" max="6693" width="4.140625" style="21" customWidth="1"/>
    <col min="6694" max="6694" width="2.7109375" style="21" customWidth="1"/>
    <col min="6695" max="6695" width="3.42578125" style="21" customWidth="1"/>
    <col min="6696" max="6696" width="4.140625" style="21" customWidth="1"/>
    <col min="6697" max="6697" width="3.85546875" style="21" customWidth="1"/>
    <col min="6698" max="6698" width="2.28515625" style="21" customWidth="1"/>
    <col min="6699" max="6699" width="2" style="21" customWidth="1"/>
    <col min="6700" max="6700" width="3.140625" style="21" customWidth="1"/>
    <col min="6701" max="6912" width="11.42578125" style="21"/>
    <col min="6913" max="6913" width="3.42578125" style="21" customWidth="1"/>
    <col min="6914" max="6914" width="5.42578125" style="21" customWidth="1"/>
    <col min="6915" max="6915" width="2.28515625" style="21" customWidth="1"/>
    <col min="6916" max="6917" width="3.42578125" style="21" customWidth="1"/>
    <col min="6918" max="6919" width="3.28515625" style="21" customWidth="1"/>
    <col min="6920" max="6921" width="3.140625" style="21" customWidth="1"/>
    <col min="6922" max="6922" width="2.7109375" style="21" customWidth="1"/>
    <col min="6923" max="6923" width="1.42578125" style="21" customWidth="1"/>
    <col min="6924" max="6924" width="3.28515625" style="21" customWidth="1"/>
    <col min="6925" max="6925" width="3.42578125" style="21" customWidth="1"/>
    <col min="6926" max="6926" width="3" style="21" customWidth="1"/>
    <col min="6927" max="6927" width="3.140625" style="21" customWidth="1"/>
    <col min="6928" max="6928" width="2.85546875" style="21" customWidth="1"/>
    <col min="6929" max="6929" width="2.42578125" style="21" customWidth="1"/>
    <col min="6930" max="6930" width="2.7109375" style="21" customWidth="1"/>
    <col min="6931" max="6931" width="4.140625" style="21" customWidth="1"/>
    <col min="6932" max="6932" width="3.42578125" style="21" customWidth="1"/>
    <col min="6933" max="6933" width="3" style="21" customWidth="1"/>
    <col min="6934" max="6934" width="3.42578125" style="21" customWidth="1"/>
    <col min="6935" max="6935" width="3.85546875" style="21" customWidth="1"/>
    <col min="6936" max="6936" width="2.7109375" style="21" customWidth="1"/>
    <col min="6937" max="6937" width="2.85546875" style="21" customWidth="1"/>
    <col min="6938" max="6938" width="3.42578125" style="21" customWidth="1"/>
    <col min="6939" max="6939" width="2.28515625" style="21" customWidth="1"/>
    <col min="6940" max="6940" width="1.7109375" style="21" customWidth="1"/>
    <col min="6941" max="6941" width="3.42578125" style="21" customWidth="1"/>
    <col min="6942" max="6942" width="2.85546875" style="21" customWidth="1"/>
    <col min="6943" max="6944" width="1.7109375" style="21" customWidth="1"/>
    <col min="6945" max="6945" width="2.42578125" style="21" customWidth="1"/>
    <col min="6946" max="6947" width="2.140625" style="21" customWidth="1"/>
    <col min="6948" max="6948" width="3.28515625" style="21" customWidth="1"/>
    <col min="6949" max="6949" width="4.140625" style="21" customWidth="1"/>
    <col min="6950" max="6950" width="2.7109375" style="21" customWidth="1"/>
    <col min="6951" max="6951" width="3.42578125" style="21" customWidth="1"/>
    <col min="6952" max="6952" width="4.140625" style="21" customWidth="1"/>
    <col min="6953" max="6953" width="3.85546875" style="21" customWidth="1"/>
    <col min="6954" max="6954" width="2.28515625" style="21" customWidth="1"/>
    <col min="6955" max="6955" width="2" style="21" customWidth="1"/>
    <col min="6956" max="6956" width="3.140625" style="21" customWidth="1"/>
    <col min="6957" max="7168" width="11.42578125" style="21"/>
    <col min="7169" max="7169" width="3.42578125" style="21" customWidth="1"/>
    <col min="7170" max="7170" width="5.42578125" style="21" customWidth="1"/>
    <col min="7171" max="7171" width="2.28515625" style="21" customWidth="1"/>
    <col min="7172" max="7173" width="3.42578125" style="21" customWidth="1"/>
    <col min="7174" max="7175" width="3.28515625" style="21" customWidth="1"/>
    <col min="7176" max="7177" width="3.140625" style="21" customWidth="1"/>
    <col min="7178" max="7178" width="2.7109375" style="21" customWidth="1"/>
    <col min="7179" max="7179" width="1.42578125" style="21" customWidth="1"/>
    <col min="7180" max="7180" width="3.28515625" style="21" customWidth="1"/>
    <col min="7181" max="7181" width="3.42578125" style="21" customWidth="1"/>
    <col min="7182" max="7182" width="3" style="21" customWidth="1"/>
    <col min="7183" max="7183" width="3.140625" style="21" customWidth="1"/>
    <col min="7184" max="7184" width="2.85546875" style="21" customWidth="1"/>
    <col min="7185" max="7185" width="2.42578125" style="21" customWidth="1"/>
    <col min="7186" max="7186" width="2.7109375" style="21" customWidth="1"/>
    <col min="7187" max="7187" width="4.140625" style="21" customWidth="1"/>
    <col min="7188" max="7188" width="3.42578125" style="21" customWidth="1"/>
    <col min="7189" max="7189" width="3" style="21" customWidth="1"/>
    <col min="7190" max="7190" width="3.42578125" style="21" customWidth="1"/>
    <col min="7191" max="7191" width="3.85546875" style="21" customWidth="1"/>
    <col min="7192" max="7192" width="2.7109375" style="21" customWidth="1"/>
    <col min="7193" max="7193" width="2.85546875" style="21" customWidth="1"/>
    <col min="7194" max="7194" width="3.42578125" style="21" customWidth="1"/>
    <col min="7195" max="7195" width="2.28515625" style="21" customWidth="1"/>
    <col min="7196" max="7196" width="1.7109375" style="21" customWidth="1"/>
    <col min="7197" max="7197" width="3.42578125" style="21" customWidth="1"/>
    <col min="7198" max="7198" width="2.85546875" style="21" customWidth="1"/>
    <col min="7199" max="7200" width="1.7109375" style="21" customWidth="1"/>
    <col min="7201" max="7201" width="2.42578125" style="21" customWidth="1"/>
    <col min="7202" max="7203" width="2.140625" style="21" customWidth="1"/>
    <col min="7204" max="7204" width="3.28515625" style="21" customWidth="1"/>
    <col min="7205" max="7205" width="4.140625" style="21" customWidth="1"/>
    <col min="7206" max="7206" width="2.7109375" style="21" customWidth="1"/>
    <col min="7207" max="7207" width="3.42578125" style="21" customWidth="1"/>
    <col min="7208" max="7208" width="4.140625" style="21" customWidth="1"/>
    <col min="7209" max="7209" width="3.85546875" style="21" customWidth="1"/>
    <col min="7210" max="7210" width="2.28515625" style="21" customWidth="1"/>
    <col min="7211" max="7211" width="2" style="21" customWidth="1"/>
    <col min="7212" max="7212" width="3.140625" style="21" customWidth="1"/>
    <col min="7213" max="7424" width="11.42578125" style="21"/>
    <col min="7425" max="7425" width="3.42578125" style="21" customWidth="1"/>
    <col min="7426" max="7426" width="5.42578125" style="21" customWidth="1"/>
    <col min="7427" max="7427" width="2.28515625" style="21" customWidth="1"/>
    <col min="7428" max="7429" width="3.42578125" style="21" customWidth="1"/>
    <col min="7430" max="7431" width="3.28515625" style="21" customWidth="1"/>
    <col min="7432" max="7433" width="3.140625" style="21" customWidth="1"/>
    <col min="7434" max="7434" width="2.7109375" style="21" customWidth="1"/>
    <col min="7435" max="7435" width="1.42578125" style="21" customWidth="1"/>
    <col min="7436" max="7436" width="3.28515625" style="21" customWidth="1"/>
    <col min="7437" max="7437" width="3.42578125" style="21" customWidth="1"/>
    <col min="7438" max="7438" width="3" style="21" customWidth="1"/>
    <col min="7439" max="7439" width="3.140625" style="21" customWidth="1"/>
    <col min="7440" max="7440" width="2.85546875" style="21" customWidth="1"/>
    <col min="7441" max="7441" width="2.42578125" style="21" customWidth="1"/>
    <col min="7442" max="7442" width="2.7109375" style="21" customWidth="1"/>
    <col min="7443" max="7443" width="4.140625" style="21" customWidth="1"/>
    <col min="7444" max="7444" width="3.42578125" style="21" customWidth="1"/>
    <col min="7445" max="7445" width="3" style="21" customWidth="1"/>
    <col min="7446" max="7446" width="3.42578125" style="21" customWidth="1"/>
    <col min="7447" max="7447" width="3.85546875" style="21" customWidth="1"/>
    <col min="7448" max="7448" width="2.7109375" style="21" customWidth="1"/>
    <col min="7449" max="7449" width="2.85546875" style="21" customWidth="1"/>
    <col min="7450" max="7450" width="3.42578125" style="21" customWidth="1"/>
    <col min="7451" max="7451" width="2.28515625" style="21" customWidth="1"/>
    <col min="7452" max="7452" width="1.7109375" style="21" customWidth="1"/>
    <col min="7453" max="7453" width="3.42578125" style="21" customWidth="1"/>
    <col min="7454" max="7454" width="2.85546875" style="21" customWidth="1"/>
    <col min="7455" max="7456" width="1.7109375" style="21" customWidth="1"/>
    <col min="7457" max="7457" width="2.42578125" style="21" customWidth="1"/>
    <col min="7458" max="7459" width="2.140625" style="21" customWidth="1"/>
    <col min="7460" max="7460" width="3.28515625" style="21" customWidth="1"/>
    <col min="7461" max="7461" width="4.140625" style="21" customWidth="1"/>
    <col min="7462" max="7462" width="2.7109375" style="21" customWidth="1"/>
    <col min="7463" max="7463" width="3.42578125" style="21" customWidth="1"/>
    <col min="7464" max="7464" width="4.140625" style="21" customWidth="1"/>
    <col min="7465" max="7465" width="3.85546875" style="21" customWidth="1"/>
    <col min="7466" max="7466" width="2.28515625" style="21" customWidth="1"/>
    <col min="7467" max="7467" width="2" style="21" customWidth="1"/>
    <col min="7468" max="7468" width="3.140625" style="21" customWidth="1"/>
    <col min="7469" max="7680" width="11.42578125" style="21"/>
    <col min="7681" max="7681" width="3.42578125" style="21" customWidth="1"/>
    <col min="7682" max="7682" width="5.42578125" style="21" customWidth="1"/>
    <col min="7683" max="7683" width="2.28515625" style="21" customWidth="1"/>
    <col min="7684" max="7685" width="3.42578125" style="21" customWidth="1"/>
    <col min="7686" max="7687" width="3.28515625" style="21" customWidth="1"/>
    <col min="7688" max="7689" width="3.140625" style="21" customWidth="1"/>
    <col min="7690" max="7690" width="2.7109375" style="21" customWidth="1"/>
    <col min="7691" max="7691" width="1.42578125" style="21" customWidth="1"/>
    <col min="7692" max="7692" width="3.28515625" style="21" customWidth="1"/>
    <col min="7693" max="7693" width="3.42578125" style="21" customWidth="1"/>
    <col min="7694" max="7694" width="3" style="21" customWidth="1"/>
    <col min="7695" max="7695" width="3.140625" style="21" customWidth="1"/>
    <col min="7696" max="7696" width="2.85546875" style="21" customWidth="1"/>
    <col min="7697" max="7697" width="2.42578125" style="21" customWidth="1"/>
    <col min="7698" max="7698" width="2.7109375" style="21" customWidth="1"/>
    <col min="7699" max="7699" width="4.140625" style="21" customWidth="1"/>
    <col min="7700" max="7700" width="3.42578125" style="21" customWidth="1"/>
    <col min="7701" max="7701" width="3" style="21" customWidth="1"/>
    <col min="7702" max="7702" width="3.42578125" style="21" customWidth="1"/>
    <col min="7703" max="7703" width="3.85546875" style="21" customWidth="1"/>
    <col min="7704" max="7704" width="2.7109375" style="21" customWidth="1"/>
    <col min="7705" max="7705" width="2.85546875" style="21" customWidth="1"/>
    <col min="7706" max="7706" width="3.42578125" style="21" customWidth="1"/>
    <col min="7707" max="7707" width="2.28515625" style="21" customWidth="1"/>
    <col min="7708" max="7708" width="1.7109375" style="21" customWidth="1"/>
    <col min="7709" max="7709" width="3.42578125" style="21" customWidth="1"/>
    <col min="7710" max="7710" width="2.85546875" style="21" customWidth="1"/>
    <col min="7711" max="7712" width="1.7109375" style="21" customWidth="1"/>
    <col min="7713" max="7713" width="2.42578125" style="21" customWidth="1"/>
    <col min="7714" max="7715" width="2.140625" style="21" customWidth="1"/>
    <col min="7716" max="7716" width="3.28515625" style="21" customWidth="1"/>
    <col min="7717" max="7717" width="4.140625" style="21" customWidth="1"/>
    <col min="7718" max="7718" width="2.7109375" style="21" customWidth="1"/>
    <col min="7719" max="7719" width="3.42578125" style="21" customWidth="1"/>
    <col min="7720" max="7720" width="4.140625" style="21" customWidth="1"/>
    <col min="7721" max="7721" width="3.85546875" style="21" customWidth="1"/>
    <col min="7722" max="7722" width="2.28515625" style="21" customWidth="1"/>
    <col min="7723" max="7723" width="2" style="21" customWidth="1"/>
    <col min="7724" max="7724" width="3.140625" style="21" customWidth="1"/>
    <col min="7725" max="7936" width="11.42578125" style="21"/>
    <col min="7937" max="7937" width="3.42578125" style="21" customWidth="1"/>
    <col min="7938" max="7938" width="5.42578125" style="21" customWidth="1"/>
    <col min="7939" max="7939" width="2.28515625" style="21" customWidth="1"/>
    <col min="7940" max="7941" width="3.42578125" style="21" customWidth="1"/>
    <col min="7942" max="7943" width="3.28515625" style="21" customWidth="1"/>
    <col min="7944" max="7945" width="3.140625" style="21" customWidth="1"/>
    <col min="7946" max="7946" width="2.7109375" style="21" customWidth="1"/>
    <col min="7947" max="7947" width="1.42578125" style="21" customWidth="1"/>
    <col min="7948" max="7948" width="3.28515625" style="21" customWidth="1"/>
    <col min="7949" max="7949" width="3.42578125" style="21" customWidth="1"/>
    <col min="7950" max="7950" width="3" style="21" customWidth="1"/>
    <col min="7951" max="7951" width="3.140625" style="21" customWidth="1"/>
    <col min="7952" max="7952" width="2.85546875" style="21" customWidth="1"/>
    <col min="7953" max="7953" width="2.42578125" style="21" customWidth="1"/>
    <col min="7954" max="7954" width="2.7109375" style="21" customWidth="1"/>
    <col min="7955" max="7955" width="4.140625" style="21" customWidth="1"/>
    <col min="7956" max="7956" width="3.42578125" style="21" customWidth="1"/>
    <col min="7957" max="7957" width="3" style="21" customWidth="1"/>
    <col min="7958" max="7958" width="3.42578125" style="21" customWidth="1"/>
    <col min="7959" max="7959" width="3.85546875" style="21" customWidth="1"/>
    <col min="7960" max="7960" width="2.7109375" style="21" customWidth="1"/>
    <col min="7961" max="7961" width="2.85546875" style="21" customWidth="1"/>
    <col min="7962" max="7962" width="3.42578125" style="21" customWidth="1"/>
    <col min="7963" max="7963" width="2.28515625" style="21" customWidth="1"/>
    <col min="7964" max="7964" width="1.7109375" style="21" customWidth="1"/>
    <col min="7965" max="7965" width="3.42578125" style="21" customWidth="1"/>
    <col min="7966" max="7966" width="2.85546875" style="21" customWidth="1"/>
    <col min="7967" max="7968" width="1.7109375" style="21" customWidth="1"/>
    <col min="7969" max="7969" width="2.42578125" style="21" customWidth="1"/>
    <col min="7970" max="7971" width="2.140625" style="21" customWidth="1"/>
    <col min="7972" max="7972" width="3.28515625" style="21" customWidth="1"/>
    <col min="7973" max="7973" width="4.140625" style="21" customWidth="1"/>
    <col min="7974" max="7974" width="2.7109375" style="21" customWidth="1"/>
    <col min="7975" max="7975" width="3.42578125" style="21" customWidth="1"/>
    <col min="7976" max="7976" width="4.140625" style="21" customWidth="1"/>
    <col min="7977" max="7977" width="3.85546875" style="21" customWidth="1"/>
    <col min="7978" max="7978" width="2.28515625" style="21" customWidth="1"/>
    <col min="7979" max="7979" width="2" style="21" customWidth="1"/>
    <col min="7980" max="7980" width="3.140625" style="21" customWidth="1"/>
    <col min="7981" max="8192" width="11.42578125" style="21"/>
    <col min="8193" max="8193" width="3.42578125" style="21" customWidth="1"/>
    <col min="8194" max="8194" width="5.42578125" style="21" customWidth="1"/>
    <col min="8195" max="8195" width="2.28515625" style="21" customWidth="1"/>
    <col min="8196" max="8197" width="3.42578125" style="21" customWidth="1"/>
    <col min="8198" max="8199" width="3.28515625" style="21" customWidth="1"/>
    <col min="8200" max="8201" width="3.140625" style="21" customWidth="1"/>
    <col min="8202" max="8202" width="2.7109375" style="21" customWidth="1"/>
    <col min="8203" max="8203" width="1.42578125" style="21" customWidth="1"/>
    <col min="8204" max="8204" width="3.28515625" style="21" customWidth="1"/>
    <col min="8205" max="8205" width="3.42578125" style="21" customWidth="1"/>
    <col min="8206" max="8206" width="3" style="21" customWidth="1"/>
    <col min="8207" max="8207" width="3.140625" style="21" customWidth="1"/>
    <col min="8208" max="8208" width="2.85546875" style="21" customWidth="1"/>
    <col min="8209" max="8209" width="2.42578125" style="21" customWidth="1"/>
    <col min="8210" max="8210" width="2.7109375" style="21" customWidth="1"/>
    <col min="8211" max="8211" width="4.140625" style="21" customWidth="1"/>
    <col min="8212" max="8212" width="3.42578125" style="21" customWidth="1"/>
    <col min="8213" max="8213" width="3" style="21" customWidth="1"/>
    <col min="8214" max="8214" width="3.42578125" style="21" customWidth="1"/>
    <col min="8215" max="8215" width="3.85546875" style="21" customWidth="1"/>
    <col min="8216" max="8216" width="2.7109375" style="21" customWidth="1"/>
    <col min="8217" max="8217" width="2.85546875" style="21" customWidth="1"/>
    <col min="8218" max="8218" width="3.42578125" style="21" customWidth="1"/>
    <col min="8219" max="8219" width="2.28515625" style="21" customWidth="1"/>
    <col min="8220" max="8220" width="1.7109375" style="21" customWidth="1"/>
    <col min="8221" max="8221" width="3.42578125" style="21" customWidth="1"/>
    <col min="8222" max="8222" width="2.85546875" style="21" customWidth="1"/>
    <col min="8223" max="8224" width="1.7109375" style="21" customWidth="1"/>
    <col min="8225" max="8225" width="2.42578125" style="21" customWidth="1"/>
    <col min="8226" max="8227" width="2.140625" style="21" customWidth="1"/>
    <col min="8228" max="8228" width="3.28515625" style="21" customWidth="1"/>
    <col min="8229" max="8229" width="4.140625" style="21" customWidth="1"/>
    <col min="8230" max="8230" width="2.7109375" style="21" customWidth="1"/>
    <col min="8231" max="8231" width="3.42578125" style="21" customWidth="1"/>
    <col min="8232" max="8232" width="4.140625" style="21" customWidth="1"/>
    <col min="8233" max="8233" width="3.85546875" style="21" customWidth="1"/>
    <col min="8234" max="8234" width="2.28515625" style="21" customWidth="1"/>
    <col min="8235" max="8235" width="2" style="21" customWidth="1"/>
    <col min="8236" max="8236" width="3.140625" style="21" customWidth="1"/>
    <col min="8237" max="8448" width="11.42578125" style="21"/>
    <col min="8449" max="8449" width="3.42578125" style="21" customWidth="1"/>
    <col min="8450" max="8450" width="5.42578125" style="21" customWidth="1"/>
    <col min="8451" max="8451" width="2.28515625" style="21" customWidth="1"/>
    <col min="8452" max="8453" width="3.42578125" style="21" customWidth="1"/>
    <col min="8454" max="8455" width="3.28515625" style="21" customWidth="1"/>
    <col min="8456" max="8457" width="3.140625" style="21" customWidth="1"/>
    <col min="8458" max="8458" width="2.7109375" style="21" customWidth="1"/>
    <col min="8459" max="8459" width="1.42578125" style="21" customWidth="1"/>
    <col min="8460" max="8460" width="3.28515625" style="21" customWidth="1"/>
    <col min="8461" max="8461" width="3.42578125" style="21" customWidth="1"/>
    <col min="8462" max="8462" width="3" style="21" customWidth="1"/>
    <col min="8463" max="8463" width="3.140625" style="21" customWidth="1"/>
    <col min="8464" max="8464" width="2.85546875" style="21" customWidth="1"/>
    <col min="8465" max="8465" width="2.42578125" style="21" customWidth="1"/>
    <col min="8466" max="8466" width="2.7109375" style="21" customWidth="1"/>
    <col min="8467" max="8467" width="4.140625" style="21" customWidth="1"/>
    <col min="8468" max="8468" width="3.42578125" style="21" customWidth="1"/>
    <col min="8469" max="8469" width="3" style="21" customWidth="1"/>
    <col min="8470" max="8470" width="3.42578125" style="21" customWidth="1"/>
    <col min="8471" max="8471" width="3.85546875" style="21" customWidth="1"/>
    <col min="8472" max="8472" width="2.7109375" style="21" customWidth="1"/>
    <col min="8473" max="8473" width="2.85546875" style="21" customWidth="1"/>
    <col min="8474" max="8474" width="3.42578125" style="21" customWidth="1"/>
    <col min="8475" max="8475" width="2.28515625" style="21" customWidth="1"/>
    <col min="8476" max="8476" width="1.7109375" style="21" customWidth="1"/>
    <col min="8477" max="8477" width="3.42578125" style="21" customWidth="1"/>
    <col min="8478" max="8478" width="2.85546875" style="21" customWidth="1"/>
    <col min="8479" max="8480" width="1.7109375" style="21" customWidth="1"/>
    <col min="8481" max="8481" width="2.42578125" style="21" customWidth="1"/>
    <col min="8482" max="8483" width="2.140625" style="21" customWidth="1"/>
    <col min="8484" max="8484" width="3.28515625" style="21" customWidth="1"/>
    <col min="8485" max="8485" width="4.140625" style="21" customWidth="1"/>
    <col min="8486" max="8486" width="2.7109375" style="21" customWidth="1"/>
    <col min="8487" max="8487" width="3.42578125" style="21" customWidth="1"/>
    <col min="8488" max="8488" width="4.140625" style="21" customWidth="1"/>
    <col min="8489" max="8489" width="3.85546875" style="21" customWidth="1"/>
    <col min="8490" max="8490" width="2.28515625" style="21" customWidth="1"/>
    <col min="8491" max="8491" width="2" style="21" customWidth="1"/>
    <col min="8492" max="8492" width="3.140625" style="21" customWidth="1"/>
    <col min="8493" max="8704" width="11.42578125" style="21"/>
    <col min="8705" max="8705" width="3.42578125" style="21" customWidth="1"/>
    <col min="8706" max="8706" width="5.42578125" style="21" customWidth="1"/>
    <col min="8707" max="8707" width="2.28515625" style="21" customWidth="1"/>
    <col min="8708" max="8709" width="3.42578125" style="21" customWidth="1"/>
    <col min="8710" max="8711" width="3.28515625" style="21" customWidth="1"/>
    <col min="8712" max="8713" width="3.140625" style="21" customWidth="1"/>
    <col min="8714" max="8714" width="2.7109375" style="21" customWidth="1"/>
    <col min="8715" max="8715" width="1.42578125" style="21" customWidth="1"/>
    <col min="8716" max="8716" width="3.28515625" style="21" customWidth="1"/>
    <col min="8717" max="8717" width="3.42578125" style="21" customWidth="1"/>
    <col min="8718" max="8718" width="3" style="21" customWidth="1"/>
    <col min="8719" max="8719" width="3.140625" style="21" customWidth="1"/>
    <col min="8720" max="8720" width="2.85546875" style="21" customWidth="1"/>
    <col min="8721" max="8721" width="2.42578125" style="21" customWidth="1"/>
    <col min="8722" max="8722" width="2.7109375" style="21" customWidth="1"/>
    <col min="8723" max="8723" width="4.140625" style="21" customWidth="1"/>
    <col min="8724" max="8724" width="3.42578125" style="21" customWidth="1"/>
    <col min="8725" max="8725" width="3" style="21" customWidth="1"/>
    <col min="8726" max="8726" width="3.42578125" style="21" customWidth="1"/>
    <col min="8727" max="8727" width="3.85546875" style="21" customWidth="1"/>
    <col min="8728" max="8728" width="2.7109375" style="21" customWidth="1"/>
    <col min="8729" max="8729" width="2.85546875" style="21" customWidth="1"/>
    <col min="8730" max="8730" width="3.42578125" style="21" customWidth="1"/>
    <col min="8731" max="8731" width="2.28515625" style="21" customWidth="1"/>
    <col min="8732" max="8732" width="1.7109375" style="21" customWidth="1"/>
    <col min="8733" max="8733" width="3.42578125" style="21" customWidth="1"/>
    <col min="8734" max="8734" width="2.85546875" style="21" customWidth="1"/>
    <col min="8735" max="8736" width="1.7109375" style="21" customWidth="1"/>
    <col min="8737" max="8737" width="2.42578125" style="21" customWidth="1"/>
    <col min="8738" max="8739" width="2.140625" style="21" customWidth="1"/>
    <col min="8740" max="8740" width="3.28515625" style="21" customWidth="1"/>
    <col min="8741" max="8741" width="4.140625" style="21" customWidth="1"/>
    <col min="8742" max="8742" width="2.7109375" style="21" customWidth="1"/>
    <col min="8743" max="8743" width="3.42578125" style="21" customWidth="1"/>
    <col min="8744" max="8744" width="4.140625" style="21" customWidth="1"/>
    <col min="8745" max="8745" width="3.85546875" style="21" customWidth="1"/>
    <col min="8746" max="8746" width="2.28515625" style="21" customWidth="1"/>
    <col min="8747" max="8747" width="2" style="21" customWidth="1"/>
    <col min="8748" max="8748" width="3.140625" style="21" customWidth="1"/>
    <col min="8749" max="8960" width="11.42578125" style="21"/>
    <col min="8961" max="8961" width="3.42578125" style="21" customWidth="1"/>
    <col min="8962" max="8962" width="5.42578125" style="21" customWidth="1"/>
    <col min="8963" max="8963" width="2.28515625" style="21" customWidth="1"/>
    <col min="8964" max="8965" width="3.42578125" style="21" customWidth="1"/>
    <col min="8966" max="8967" width="3.28515625" style="21" customWidth="1"/>
    <col min="8968" max="8969" width="3.140625" style="21" customWidth="1"/>
    <col min="8970" max="8970" width="2.7109375" style="21" customWidth="1"/>
    <col min="8971" max="8971" width="1.42578125" style="21" customWidth="1"/>
    <col min="8972" max="8972" width="3.28515625" style="21" customWidth="1"/>
    <col min="8973" max="8973" width="3.42578125" style="21" customWidth="1"/>
    <col min="8974" max="8974" width="3" style="21" customWidth="1"/>
    <col min="8975" max="8975" width="3.140625" style="21" customWidth="1"/>
    <col min="8976" max="8976" width="2.85546875" style="21" customWidth="1"/>
    <col min="8977" max="8977" width="2.42578125" style="21" customWidth="1"/>
    <col min="8978" max="8978" width="2.7109375" style="21" customWidth="1"/>
    <col min="8979" max="8979" width="4.140625" style="21" customWidth="1"/>
    <col min="8980" max="8980" width="3.42578125" style="21" customWidth="1"/>
    <col min="8981" max="8981" width="3" style="21" customWidth="1"/>
    <col min="8982" max="8982" width="3.42578125" style="21" customWidth="1"/>
    <col min="8983" max="8983" width="3.85546875" style="21" customWidth="1"/>
    <col min="8984" max="8984" width="2.7109375" style="21" customWidth="1"/>
    <col min="8985" max="8985" width="2.85546875" style="21" customWidth="1"/>
    <col min="8986" max="8986" width="3.42578125" style="21" customWidth="1"/>
    <col min="8987" max="8987" width="2.28515625" style="21" customWidth="1"/>
    <col min="8988" max="8988" width="1.7109375" style="21" customWidth="1"/>
    <col min="8989" max="8989" width="3.42578125" style="21" customWidth="1"/>
    <col min="8990" max="8990" width="2.85546875" style="21" customWidth="1"/>
    <col min="8991" max="8992" width="1.7109375" style="21" customWidth="1"/>
    <col min="8993" max="8993" width="2.42578125" style="21" customWidth="1"/>
    <col min="8994" max="8995" width="2.140625" style="21" customWidth="1"/>
    <col min="8996" max="8996" width="3.28515625" style="21" customWidth="1"/>
    <col min="8997" max="8997" width="4.140625" style="21" customWidth="1"/>
    <col min="8998" max="8998" width="2.7109375" style="21" customWidth="1"/>
    <col min="8999" max="8999" width="3.42578125" style="21" customWidth="1"/>
    <col min="9000" max="9000" width="4.140625" style="21" customWidth="1"/>
    <col min="9001" max="9001" width="3.85546875" style="21" customWidth="1"/>
    <col min="9002" max="9002" width="2.28515625" style="21" customWidth="1"/>
    <col min="9003" max="9003" width="2" style="21" customWidth="1"/>
    <col min="9004" max="9004" width="3.140625" style="21" customWidth="1"/>
    <col min="9005" max="9216" width="11.42578125" style="21"/>
    <col min="9217" max="9217" width="3.42578125" style="21" customWidth="1"/>
    <col min="9218" max="9218" width="5.42578125" style="21" customWidth="1"/>
    <col min="9219" max="9219" width="2.28515625" style="21" customWidth="1"/>
    <col min="9220" max="9221" width="3.42578125" style="21" customWidth="1"/>
    <col min="9222" max="9223" width="3.28515625" style="21" customWidth="1"/>
    <col min="9224" max="9225" width="3.140625" style="21" customWidth="1"/>
    <col min="9226" max="9226" width="2.7109375" style="21" customWidth="1"/>
    <col min="9227" max="9227" width="1.42578125" style="21" customWidth="1"/>
    <col min="9228" max="9228" width="3.28515625" style="21" customWidth="1"/>
    <col min="9229" max="9229" width="3.42578125" style="21" customWidth="1"/>
    <col min="9230" max="9230" width="3" style="21" customWidth="1"/>
    <col min="9231" max="9231" width="3.140625" style="21" customWidth="1"/>
    <col min="9232" max="9232" width="2.85546875" style="21" customWidth="1"/>
    <col min="9233" max="9233" width="2.42578125" style="21" customWidth="1"/>
    <col min="9234" max="9234" width="2.7109375" style="21" customWidth="1"/>
    <col min="9235" max="9235" width="4.140625" style="21" customWidth="1"/>
    <col min="9236" max="9236" width="3.42578125" style="21" customWidth="1"/>
    <col min="9237" max="9237" width="3" style="21" customWidth="1"/>
    <col min="9238" max="9238" width="3.42578125" style="21" customWidth="1"/>
    <col min="9239" max="9239" width="3.85546875" style="21" customWidth="1"/>
    <col min="9240" max="9240" width="2.7109375" style="21" customWidth="1"/>
    <col min="9241" max="9241" width="2.85546875" style="21" customWidth="1"/>
    <col min="9242" max="9242" width="3.42578125" style="21" customWidth="1"/>
    <col min="9243" max="9243" width="2.28515625" style="21" customWidth="1"/>
    <col min="9244" max="9244" width="1.7109375" style="21" customWidth="1"/>
    <col min="9245" max="9245" width="3.42578125" style="21" customWidth="1"/>
    <col min="9246" max="9246" width="2.85546875" style="21" customWidth="1"/>
    <col min="9247" max="9248" width="1.7109375" style="21" customWidth="1"/>
    <col min="9249" max="9249" width="2.42578125" style="21" customWidth="1"/>
    <col min="9250" max="9251" width="2.140625" style="21" customWidth="1"/>
    <col min="9252" max="9252" width="3.28515625" style="21" customWidth="1"/>
    <col min="9253" max="9253" width="4.140625" style="21" customWidth="1"/>
    <col min="9254" max="9254" width="2.7109375" style="21" customWidth="1"/>
    <col min="9255" max="9255" width="3.42578125" style="21" customWidth="1"/>
    <col min="9256" max="9256" width="4.140625" style="21" customWidth="1"/>
    <col min="9257" max="9257" width="3.85546875" style="21" customWidth="1"/>
    <col min="9258" max="9258" width="2.28515625" style="21" customWidth="1"/>
    <col min="9259" max="9259" width="2" style="21" customWidth="1"/>
    <col min="9260" max="9260" width="3.140625" style="21" customWidth="1"/>
    <col min="9261" max="9472" width="11.42578125" style="21"/>
    <col min="9473" max="9473" width="3.42578125" style="21" customWidth="1"/>
    <col min="9474" max="9474" width="5.42578125" style="21" customWidth="1"/>
    <col min="9475" max="9475" width="2.28515625" style="21" customWidth="1"/>
    <col min="9476" max="9477" width="3.42578125" style="21" customWidth="1"/>
    <col min="9478" max="9479" width="3.28515625" style="21" customWidth="1"/>
    <col min="9480" max="9481" width="3.140625" style="21" customWidth="1"/>
    <col min="9482" max="9482" width="2.7109375" style="21" customWidth="1"/>
    <col min="9483" max="9483" width="1.42578125" style="21" customWidth="1"/>
    <col min="9484" max="9484" width="3.28515625" style="21" customWidth="1"/>
    <col min="9485" max="9485" width="3.42578125" style="21" customWidth="1"/>
    <col min="9486" max="9486" width="3" style="21" customWidth="1"/>
    <col min="9487" max="9487" width="3.140625" style="21" customWidth="1"/>
    <col min="9488" max="9488" width="2.85546875" style="21" customWidth="1"/>
    <col min="9489" max="9489" width="2.42578125" style="21" customWidth="1"/>
    <col min="9490" max="9490" width="2.7109375" style="21" customWidth="1"/>
    <col min="9491" max="9491" width="4.140625" style="21" customWidth="1"/>
    <col min="9492" max="9492" width="3.42578125" style="21" customWidth="1"/>
    <col min="9493" max="9493" width="3" style="21" customWidth="1"/>
    <col min="9494" max="9494" width="3.42578125" style="21" customWidth="1"/>
    <col min="9495" max="9495" width="3.85546875" style="21" customWidth="1"/>
    <col min="9496" max="9496" width="2.7109375" style="21" customWidth="1"/>
    <col min="9497" max="9497" width="2.85546875" style="21" customWidth="1"/>
    <col min="9498" max="9498" width="3.42578125" style="21" customWidth="1"/>
    <col min="9499" max="9499" width="2.28515625" style="21" customWidth="1"/>
    <col min="9500" max="9500" width="1.7109375" style="21" customWidth="1"/>
    <col min="9501" max="9501" width="3.42578125" style="21" customWidth="1"/>
    <col min="9502" max="9502" width="2.85546875" style="21" customWidth="1"/>
    <col min="9503" max="9504" width="1.7109375" style="21" customWidth="1"/>
    <col min="9505" max="9505" width="2.42578125" style="21" customWidth="1"/>
    <col min="9506" max="9507" width="2.140625" style="21" customWidth="1"/>
    <col min="9508" max="9508" width="3.28515625" style="21" customWidth="1"/>
    <col min="9509" max="9509" width="4.140625" style="21" customWidth="1"/>
    <col min="9510" max="9510" width="2.7109375" style="21" customWidth="1"/>
    <col min="9511" max="9511" width="3.42578125" style="21" customWidth="1"/>
    <col min="9512" max="9512" width="4.140625" style="21" customWidth="1"/>
    <col min="9513" max="9513" width="3.85546875" style="21" customWidth="1"/>
    <col min="9514" max="9514" width="2.28515625" style="21" customWidth="1"/>
    <col min="9515" max="9515" width="2" style="21" customWidth="1"/>
    <col min="9516" max="9516" width="3.140625" style="21" customWidth="1"/>
    <col min="9517" max="9728" width="11.42578125" style="21"/>
    <col min="9729" max="9729" width="3.42578125" style="21" customWidth="1"/>
    <col min="9730" max="9730" width="5.42578125" style="21" customWidth="1"/>
    <col min="9731" max="9731" width="2.28515625" style="21" customWidth="1"/>
    <col min="9732" max="9733" width="3.42578125" style="21" customWidth="1"/>
    <col min="9734" max="9735" width="3.28515625" style="21" customWidth="1"/>
    <col min="9736" max="9737" width="3.140625" style="21" customWidth="1"/>
    <col min="9738" max="9738" width="2.7109375" style="21" customWidth="1"/>
    <col min="9739" max="9739" width="1.42578125" style="21" customWidth="1"/>
    <col min="9740" max="9740" width="3.28515625" style="21" customWidth="1"/>
    <col min="9741" max="9741" width="3.42578125" style="21" customWidth="1"/>
    <col min="9742" max="9742" width="3" style="21" customWidth="1"/>
    <col min="9743" max="9743" width="3.140625" style="21" customWidth="1"/>
    <col min="9744" max="9744" width="2.85546875" style="21" customWidth="1"/>
    <col min="9745" max="9745" width="2.42578125" style="21" customWidth="1"/>
    <col min="9746" max="9746" width="2.7109375" style="21" customWidth="1"/>
    <col min="9747" max="9747" width="4.140625" style="21" customWidth="1"/>
    <col min="9748" max="9748" width="3.42578125" style="21" customWidth="1"/>
    <col min="9749" max="9749" width="3" style="21" customWidth="1"/>
    <col min="9750" max="9750" width="3.42578125" style="21" customWidth="1"/>
    <col min="9751" max="9751" width="3.85546875" style="21" customWidth="1"/>
    <col min="9752" max="9752" width="2.7109375" style="21" customWidth="1"/>
    <col min="9753" max="9753" width="2.85546875" style="21" customWidth="1"/>
    <col min="9754" max="9754" width="3.42578125" style="21" customWidth="1"/>
    <col min="9755" max="9755" width="2.28515625" style="21" customWidth="1"/>
    <col min="9756" max="9756" width="1.7109375" style="21" customWidth="1"/>
    <col min="9757" max="9757" width="3.42578125" style="21" customWidth="1"/>
    <col min="9758" max="9758" width="2.85546875" style="21" customWidth="1"/>
    <col min="9759" max="9760" width="1.7109375" style="21" customWidth="1"/>
    <col min="9761" max="9761" width="2.42578125" style="21" customWidth="1"/>
    <col min="9762" max="9763" width="2.140625" style="21" customWidth="1"/>
    <col min="9764" max="9764" width="3.28515625" style="21" customWidth="1"/>
    <col min="9765" max="9765" width="4.140625" style="21" customWidth="1"/>
    <col min="9766" max="9766" width="2.7109375" style="21" customWidth="1"/>
    <col min="9767" max="9767" width="3.42578125" style="21" customWidth="1"/>
    <col min="9768" max="9768" width="4.140625" style="21" customWidth="1"/>
    <col min="9769" max="9769" width="3.85546875" style="21" customWidth="1"/>
    <col min="9770" max="9770" width="2.28515625" style="21" customWidth="1"/>
    <col min="9771" max="9771" width="2" style="21" customWidth="1"/>
    <col min="9772" max="9772" width="3.140625" style="21" customWidth="1"/>
    <col min="9773" max="9984" width="11.42578125" style="21"/>
    <col min="9985" max="9985" width="3.42578125" style="21" customWidth="1"/>
    <col min="9986" max="9986" width="5.42578125" style="21" customWidth="1"/>
    <col min="9987" max="9987" width="2.28515625" style="21" customWidth="1"/>
    <col min="9988" max="9989" width="3.42578125" style="21" customWidth="1"/>
    <col min="9990" max="9991" width="3.28515625" style="21" customWidth="1"/>
    <col min="9992" max="9993" width="3.140625" style="21" customWidth="1"/>
    <col min="9994" max="9994" width="2.7109375" style="21" customWidth="1"/>
    <col min="9995" max="9995" width="1.42578125" style="21" customWidth="1"/>
    <col min="9996" max="9996" width="3.28515625" style="21" customWidth="1"/>
    <col min="9997" max="9997" width="3.42578125" style="21" customWidth="1"/>
    <col min="9998" max="9998" width="3" style="21" customWidth="1"/>
    <col min="9999" max="9999" width="3.140625" style="21" customWidth="1"/>
    <col min="10000" max="10000" width="2.85546875" style="21" customWidth="1"/>
    <col min="10001" max="10001" width="2.42578125" style="21" customWidth="1"/>
    <col min="10002" max="10002" width="2.7109375" style="21" customWidth="1"/>
    <col min="10003" max="10003" width="4.140625" style="21" customWidth="1"/>
    <col min="10004" max="10004" width="3.42578125" style="21" customWidth="1"/>
    <col min="10005" max="10005" width="3" style="21" customWidth="1"/>
    <col min="10006" max="10006" width="3.42578125" style="21" customWidth="1"/>
    <col min="10007" max="10007" width="3.85546875" style="21" customWidth="1"/>
    <col min="10008" max="10008" width="2.7109375" style="21" customWidth="1"/>
    <col min="10009" max="10009" width="2.85546875" style="21" customWidth="1"/>
    <col min="10010" max="10010" width="3.42578125" style="21" customWidth="1"/>
    <col min="10011" max="10011" width="2.28515625" style="21" customWidth="1"/>
    <col min="10012" max="10012" width="1.7109375" style="21" customWidth="1"/>
    <col min="10013" max="10013" width="3.42578125" style="21" customWidth="1"/>
    <col min="10014" max="10014" width="2.85546875" style="21" customWidth="1"/>
    <col min="10015" max="10016" width="1.7109375" style="21" customWidth="1"/>
    <col min="10017" max="10017" width="2.42578125" style="21" customWidth="1"/>
    <col min="10018" max="10019" width="2.140625" style="21" customWidth="1"/>
    <col min="10020" max="10020" width="3.28515625" style="21" customWidth="1"/>
    <col min="10021" max="10021" width="4.140625" style="21" customWidth="1"/>
    <col min="10022" max="10022" width="2.7109375" style="21" customWidth="1"/>
    <col min="10023" max="10023" width="3.42578125" style="21" customWidth="1"/>
    <col min="10024" max="10024" width="4.140625" style="21" customWidth="1"/>
    <col min="10025" max="10025" width="3.85546875" style="21" customWidth="1"/>
    <col min="10026" max="10026" width="2.28515625" style="21" customWidth="1"/>
    <col min="10027" max="10027" width="2" style="21" customWidth="1"/>
    <col min="10028" max="10028" width="3.140625" style="21" customWidth="1"/>
    <col min="10029" max="10240" width="11.42578125" style="21"/>
    <col min="10241" max="10241" width="3.42578125" style="21" customWidth="1"/>
    <col min="10242" max="10242" width="5.42578125" style="21" customWidth="1"/>
    <col min="10243" max="10243" width="2.28515625" style="21" customWidth="1"/>
    <col min="10244" max="10245" width="3.42578125" style="21" customWidth="1"/>
    <col min="10246" max="10247" width="3.28515625" style="21" customWidth="1"/>
    <col min="10248" max="10249" width="3.140625" style="21" customWidth="1"/>
    <col min="10250" max="10250" width="2.7109375" style="21" customWidth="1"/>
    <col min="10251" max="10251" width="1.42578125" style="21" customWidth="1"/>
    <col min="10252" max="10252" width="3.28515625" style="21" customWidth="1"/>
    <col min="10253" max="10253" width="3.42578125" style="21" customWidth="1"/>
    <col min="10254" max="10254" width="3" style="21" customWidth="1"/>
    <col min="10255" max="10255" width="3.140625" style="21" customWidth="1"/>
    <col min="10256" max="10256" width="2.85546875" style="21" customWidth="1"/>
    <col min="10257" max="10257" width="2.42578125" style="21" customWidth="1"/>
    <col min="10258" max="10258" width="2.7109375" style="21" customWidth="1"/>
    <col min="10259" max="10259" width="4.140625" style="21" customWidth="1"/>
    <col min="10260" max="10260" width="3.42578125" style="21" customWidth="1"/>
    <col min="10261" max="10261" width="3" style="21" customWidth="1"/>
    <col min="10262" max="10262" width="3.42578125" style="21" customWidth="1"/>
    <col min="10263" max="10263" width="3.85546875" style="21" customWidth="1"/>
    <col min="10264" max="10264" width="2.7109375" style="21" customWidth="1"/>
    <col min="10265" max="10265" width="2.85546875" style="21" customWidth="1"/>
    <col min="10266" max="10266" width="3.42578125" style="21" customWidth="1"/>
    <col min="10267" max="10267" width="2.28515625" style="21" customWidth="1"/>
    <col min="10268" max="10268" width="1.7109375" style="21" customWidth="1"/>
    <col min="10269" max="10269" width="3.42578125" style="21" customWidth="1"/>
    <col min="10270" max="10270" width="2.85546875" style="21" customWidth="1"/>
    <col min="10271" max="10272" width="1.7109375" style="21" customWidth="1"/>
    <col min="10273" max="10273" width="2.42578125" style="21" customWidth="1"/>
    <col min="10274" max="10275" width="2.140625" style="21" customWidth="1"/>
    <col min="10276" max="10276" width="3.28515625" style="21" customWidth="1"/>
    <col min="10277" max="10277" width="4.140625" style="21" customWidth="1"/>
    <col min="10278" max="10278" width="2.7109375" style="21" customWidth="1"/>
    <col min="10279" max="10279" width="3.42578125" style="21" customWidth="1"/>
    <col min="10280" max="10280" width="4.140625" style="21" customWidth="1"/>
    <col min="10281" max="10281" width="3.85546875" style="21" customWidth="1"/>
    <col min="10282" max="10282" width="2.28515625" style="21" customWidth="1"/>
    <col min="10283" max="10283" width="2" style="21" customWidth="1"/>
    <col min="10284" max="10284" width="3.140625" style="21" customWidth="1"/>
    <col min="10285" max="10496" width="11.42578125" style="21"/>
    <col min="10497" max="10497" width="3.42578125" style="21" customWidth="1"/>
    <col min="10498" max="10498" width="5.42578125" style="21" customWidth="1"/>
    <col min="10499" max="10499" width="2.28515625" style="21" customWidth="1"/>
    <col min="10500" max="10501" width="3.42578125" style="21" customWidth="1"/>
    <col min="10502" max="10503" width="3.28515625" style="21" customWidth="1"/>
    <col min="10504" max="10505" width="3.140625" style="21" customWidth="1"/>
    <col min="10506" max="10506" width="2.7109375" style="21" customWidth="1"/>
    <col min="10507" max="10507" width="1.42578125" style="21" customWidth="1"/>
    <col min="10508" max="10508" width="3.28515625" style="21" customWidth="1"/>
    <col min="10509" max="10509" width="3.42578125" style="21" customWidth="1"/>
    <col min="10510" max="10510" width="3" style="21" customWidth="1"/>
    <col min="10511" max="10511" width="3.140625" style="21" customWidth="1"/>
    <col min="10512" max="10512" width="2.85546875" style="21" customWidth="1"/>
    <col min="10513" max="10513" width="2.42578125" style="21" customWidth="1"/>
    <col min="10514" max="10514" width="2.7109375" style="21" customWidth="1"/>
    <col min="10515" max="10515" width="4.140625" style="21" customWidth="1"/>
    <col min="10516" max="10516" width="3.42578125" style="21" customWidth="1"/>
    <col min="10517" max="10517" width="3" style="21" customWidth="1"/>
    <col min="10518" max="10518" width="3.42578125" style="21" customWidth="1"/>
    <col min="10519" max="10519" width="3.85546875" style="21" customWidth="1"/>
    <col min="10520" max="10520" width="2.7109375" style="21" customWidth="1"/>
    <col min="10521" max="10521" width="2.85546875" style="21" customWidth="1"/>
    <col min="10522" max="10522" width="3.42578125" style="21" customWidth="1"/>
    <col min="10523" max="10523" width="2.28515625" style="21" customWidth="1"/>
    <col min="10524" max="10524" width="1.7109375" style="21" customWidth="1"/>
    <col min="10525" max="10525" width="3.42578125" style="21" customWidth="1"/>
    <col min="10526" max="10526" width="2.85546875" style="21" customWidth="1"/>
    <col min="10527" max="10528" width="1.7109375" style="21" customWidth="1"/>
    <col min="10529" max="10529" width="2.42578125" style="21" customWidth="1"/>
    <col min="10530" max="10531" width="2.140625" style="21" customWidth="1"/>
    <col min="10532" max="10532" width="3.28515625" style="21" customWidth="1"/>
    <col min="10533" max="10533" width="4.140625" style="21" customWidth="1"/>
    <col min="10534" max="10534" width="2.7109375" style="21" customWidth="1"/>
    <col min="10535" max="10535" width="3.42578125" style="21" customWidth="1"/>
    <col min="10536" max="10536" width="4.140625" style="21" customWidth="1"/>
    <col min="10537" max="10537" width="3.85546875" style="21" customWidth="1"/>
    <col min="10538" max="10538" width="2.28515625" style="21" customWidth="1"/>
    <col min="10539" max="10539" width="2" style="21" customWidth="1"/>
    <col min="10540" max="10540" width="3.140625" style="21" customWidth="1"/>
    <col min="10541" max="10752" width="11.42578125" style="21"/>
    <col min="10753" max="10753" width="3.42578125" style="21" customWidth="1"/>
    <col min="10754" max="10754" width="5.42578125" style="21" customWidth="1"/>
    <col min="10755" max="10755" width="2.28515625" style="21" customWidth="1"/>
    <col min="10756" max="10757" width="3.42578125" style="21" customWidth="1"/>
    <col min="10758" max="10759" width="3.28515625" style="21" customWidth="1"/>
    <col min="10760" max="10761" width="3.140625" style="21" customWidth="1"/>
    <col min="10762" max="10762" width="2.7109375" style="21" customWidth="1"/>
    <col min="10763" max="10763" width="1.42578125" style="21" customWidth="1"/>
    <col min="10764" max="10764" width="3.28515625" style="21" customWidth="1"/>
    <col min="10765" max="10765" width="3.42578125" style="21" customWidth="1"/>
    <col min="10766" max="10766" width="3" style="21" customWidth="1"/>
    <col min="10767" max="10767" width="3.140625" style="21" customWidth="1"/>
    <col min="10768" max="10768" width="2.85546875" style="21" customWidth="1"/>
    <col min="10769" max="10769" width="2.42578125" style="21" customWidth="1"/>
    <col min="10770" max="10770" width="2.7109375" style="21" customWidth="1"/>
    <col min="10771" max="10771" width="4.140625" style="21" customWidth="1"/>
    <col min="10772" max="10772" width="3.42578125" style="21" customWidth="1"/>
    <col min="10773" max="10773" width="3" style="21" customWidth="1"/>
    <col min="10774" max="10774" width="3.42578125" style="21" customWidth="1"/>
    <col min="10775" max="10775" width="3.85546875" style="21" customWidth="1"/>
    <col min="10776" max="10776" width="2.7109375" style="21" customWidth="1"/>
    <col min="10777" max="10777" width="2.85546875" style="21" customWidth="1"/>
    <col min="10778" max="10778" width="3.42578125" style="21" customWidth="1"/>
    <col min="10779" max="10779" width="2.28515625" style="21" customWidth="1"/>
    <col min="10780" max="10780" width="1.7109375" style="21" customWidth="1"/>
    <col min="10781" max="10781" width="3.42578125" style="21" customWidth="1"/>
    <col min="10782" max="10782" width="2.85546875" style="21" customWidth="1"/>
    <col min="10783" max="10784" width="1.7109375" style="21" customWidth="1"/>
    <col min="10785" max="10785" width="2.42578125" style="21" customWidth="1"/>
    <col min="10786" max="10787" width="2.140625" style="21" customWidth="1"/>
    <col min="10788" max="10788" width="3.28515625" style="21" customWidth="1"/>
    <col min="10789" max="10789" width="4.140625" style="21" customWidth="1"/>
    <col min="10790" max="10790" width="2.7109375" style="21" customWidth="1"/>
    <col min="10791" max="10791" width="3.42578125" style="21" customWidth="1"/>
    <col min="10792" max="10792" width="4.140625" style="21" customWidth="1"/>
    <col min="10793" max="10793" width="3.85546875" style="21" customWidth="1"/>
    <col min="10794" max="10794" width="2.28515625" style="21" customWidth="1"/>
    <col min="10795" max="10795" width="2" style="21" customWidth="1"/>
    <col min="10796" max="10796" width="3.140625" style="21" customWidth="1"/>
    <col min="10797" max="11008" width="11.42578125" style="21"/>
    <col min="11009" max="11009" width="3.42578125" style="21" customWidth="1"/>
    <col min="11010" max="11010" width="5.42578125" style="21" customWidth="1"/>
    <col min="11011" max="11011" width="2.28515625" style="21" customWidth="1"/>
    <col min="11012" max="11013" width="3.42578125" style="21" customWidth="1"/>
    <col min="11014" max="11015" width="3.28515625" style="21" customWidth="1"/>
    <col min="11016" max="11017" width="3.140625" style="21" customWidth="1"/>
    <col min="11018" max="11018" width="2.7109375" style="21" customWidth="1"/>
    <col min="11019" max="11019" width="1.42578125" style="21" customWidth="1"/>
    <col min="11020" max="11020" width="3.28515625" style="21" customWidth="1"/>
    <col min="11021" max="11021" width="3.42578125" style="21" customWidth="1"/>
    <col min="11022" max="11022" width="3" style="21" customWidth="1"/>
    <col min="11023" max="11023" width="3.140625" style="21" customWidth="1"/>
    <col min="11024" max="11024" width="2.85546875" style="21" customWidth="1"/>
    <col min="11025" max="11025" width="2.42578125" style="21" customWidth="1"/>
    <col min="11026" max="11026" width="2.7109375" style="21" customWidth="1"/>
    <col min="11027" max="11027" width="4.140625" style="21" customWidth="1"/>
    <col min="11028" max="11028" width="3.42578125" style="21" customWidth="1"/>
    <col min="11029" max="11029" width="3" style="21" customWidth="1"/>
    <col min="11030" max="11030" width="3.42578125" style="21" customWidth="1"/>
    <col min="11031" max="11031" width="3.85546875" style="21" customWidth="1"/>
    <col min="11032" max="11032" width="2.7109375" style="21" customWidth="1"/>
    <col min="11033" max="11033" width="2.85546875" style="21" customWidth="1"/>
    <col min="11034" max="11034" width="3.42578125" style="21" customWidth="1"/>
    <col min="11035" max="11035" width="2.28515625" style="21" customWidth="1"/>
    <col min="11036" max="11036" width="1.7109375" style="21" customWidth="1"/>
    <col min="11037" max="11037" width="3.42578125" style="21" customWidth="1"/>
    <col min="11038" max="11038" width="2.85546875" style="21" customWidth="1"/>
    <col min="11039" max="11040" width="1.7109375" style="21" customWidth="1"/>
    <col min="11041" max="11041" width="2.42578125" style="21" customWidth="1"/>
    <col min="11042" max="11043" width="2.140625" style="21" customWidth="1"/>
    <col min="11044" max="11044" width="3.28515625" style="21" customWidth="1"/>
    <col min="11045" max="11045" width="4.140625" style="21" customWidth="1"/>
    <col min="11046" max="11046" width="2.7109375" style="21" customWidth="1"/>
    <col min="11047" max="11047" width="3.42578125" style="21" customWidth="1"/>
    <col min="11048" max="11048" width="4.140625" style="21" customWidth="1"/>
    <col min="11049" max="11049" width="3.85546875" style="21" customWidth="1"/>
    <col min="11050" max="11050" width="2.28515625" style="21" customWidth="1"/>
    <col min="11051" max="11051" width="2" style="21" customWidth="1"/>
    <col min="11052" max="11052" width="3.140625" style="21" customWidth="1"/>
    <col min="11053" max="11264" width="11.42578125" style="21"/>
    <col min="11265" max="11265" width="3.42578125" style="21" customWidth="1"/>
    <col min="11266" max="11266" width="5.42578125" style="21" customWidth="1"/>
    <col min="11267" max="11267" width="2.28515625" style="21" customWidth="1"/>
    <col min="11268" max="11269" width="3.42578125" style="21" customWidth="1"/>
    <col min="11270" max="11271" width="3.28515625" style="21" customWidth="1"/>
    <col min="11272" max="11273" width="3.140625" style="21" customWidth="1"/>
    <col min="11274" max="11274" width="2.7109375" style="21" customWidth="1"/>
    <col min="11275" max="11275" width="1.42578125" style="21" customWidth="1"/>
    <col min="11276" max="11276" width="3.28515625" style="21" customWidth="1"/>
    <col min="11277" max="11277" width="3.42578125" style="21" customWidth="1"/>
    <col min="11278" max="11278" width="3" style="21" customWidth="1"/>
    <col min="11279" max="11279" width="3.140625" style="21" customWidth="1"/>
    <col min="11280" max="11280" width="2.85546875" style="21" customWidth="1"/>
    <col min="11281" max="11281" width="2.42578125" style="21" customWidth="1"/>
    <col min="11282" max="11282" width="2.7109375" style="21" customWidth="1"/>
    <col min="11283" max="11283" width="4.140625" style="21" customWidth="1"/>
    <col min="11284" max="11284" width="3.42578125" style="21" customWidth="1"/>
    <col min="11285" max="11285" width="3" style="21" customWidth="1"/>
    <col min="11286" max="11286" width="3.42578125" style="21" customWidth="1"/>
    <col min="11287" max="11287" width="3.85546875" style="21" customWidth="1"/>
    <col min="11288" max="11288" width="2.7109375" style="21" customWidth="1"/>
    <col min="11289" max="11289" width="2.85546875" style="21" customWidth="1"/>
    <col min="11290" max="11290" width="3.42578125" style="21" customWidth="1"/>
    <col min="11291" max="11291" width="2.28515625" style="21" customWidth="1"/>
    <col min="11292" max="11292" width="1.7109375" style="21" customWidth="1"/>
    <col min="11293" max="11293" width="3.42578125" style="21" customWidth="1"/>
    <col min="11294" max="11294" width="2.85546875" style="21" customWidth="1"/>
    <col min="11295" max="11296" width="1.7109375" style="21" customWidth="1"/>
    <col min="11297" max="11297" width="2.42578125" style="21" customWidth="1"/>
    <col min="11298" max="11299" width="2.140625" style="21" customWidth="1"/>
    <col min="11300" max="11300" width="3.28515625" style="21" customWidth="1"/>
    <col min="11301" max="11301" width="4.140625" style="21" customWidth="1"/>
    <col min="11302" max="11302" width="2.7109375" style="21" customWidth="1"/>
    <col min="11303" max="11303" width="3.42578125" style="21" customWidth="1"/>
    <col min="11304" max="11304" width="4.140625" style="21" customWidth="1"/>
    <col min="11305" max="11305" width="3.85546875" style="21" customWidth="1"/>
    <col min="11306" max="11306" width="2.28515625" style="21" customWidth="1"/>
    <col min="11307" max="11307" width="2" style="21" customWidth="1"/>
    <col min="11308" max="11308" width="3.140625" style="21" customWidth="1"/>
    <col min="11309" max="11520" width="11.42578125" style="21"/>
    <col min="11521" max="11521" width="3.42578125" style="21" customWidth="1"/>
    <col min="11522" max="11522" width="5.42578125" style="21" customWidth="1"/>
    <col min="11523" max="11523" width="2.28515625" style="21" customWidth="1"/>
    <col min="11524" max="11525" width="3.42578125" style="21" customWidth="1"/>
    <col min="11526" max="11527" width="3.28515625" style="21" customWidth="1"/>
    <col min="11528" max="11529" width="3.140625" style="21" customWidth="1"/>
    <col min="11530" max="11530" width="2.7109375" style="21" customWidth="1"/>
    <col min="11531" max="11531" width="1.42578125" style="21" customWidth="1"/>
    <col min="11532" max="11532" width="3.28515625" style="21" customWidth="1"/>
    <col min="11533" max="11533" width="3.42578125" style="21" customWidth="1"/>
    <col min="11534" max="11534" width="3" style="21" customWidth="1"/>
    <col min="11535" max="11535" width="3.140625" style="21" customWidth="1"/>
    <col min="11536" max="11536" width="2.85546875" style="21" customWidth="1"/>
    <col min="11537" max="11537" width="2.42578125" style="21" customWidth="1"/>
    <col min="11538" max="11538" width="2.7109375" style="21" customWidth="1"/>
    <col min="11539" max="11539" width="4.140625" style="21" customWidth="1"/>
    <col min="11540" max="11540" width="3.42578125" style="21" customWidth="1"/>
    <col min="11541" max="11541" width="3" style="21" customWidth="1"/>
    <col min="11542" max="11542" width="3.42578125" style="21" customWidth="1"/>
    <col min="11543" max="11543" width="3.85546875" style="21" customWidth="1"/>
    <col min="11544" max="11544" width="2.7109375" style="21" customWidth="1"/>
    <col min="11545" max="11545" width="2.85546875" style="21" customWidth="1"/>
    <col min="11546" max="11546" width="3.42578125" style="21" customWidth="1"/>
    <col min="11547" max="11547" width="2.28515625" style="21" customWidth="1"/>
    <col min="11548" max="11548" width="1.7109375" style="21" customWidth="1"/>
    <col min="11549" max="11549" width="3.42578125" style="21" customWidth="1"/>
    <col min="11550" max="11550" width="2.85546875" style="21" customWidth="1"/>
    <col min="11551" max="11552" width="1.7109375" style="21" customWidth="1"/>
    <col min="11553" max="11553" width="2.42578125" style="21" customWidth="1"/>
    <col min="11554" max="11555" width="2.140625" style="21" customWidth="1"/>
    <col min="11556" max="11556" width="3.28515625" style="21" customWidth="1"/>
    <col min="11557" max="11557" width="4.140625" style="21" customWidth="1"/>
    <col min="11558" max="11558" width="2.7109375" style="21" customWidth="1"/>
    <col min="11559" max="11559" width="3.42578125" style="21" customWidth="1"/>
    <col min="11560" max="11560" width="4.140625" style="21" customWidth="1"/>
    <col min="11561" max="11561" width="3.85546875" style="21" customWidth="1"/>
    <col min="11562" max="11562" width="2.28515625" style="21" customWidth="1"/>
    <col min="11563" max="11563" width="2" style="21" customWidth="1"/>
    <col min="11564" max="11564" width="3.140625" style="21" customWidth="1"/>
    <col min="11565" max="11776" width="11.42578125" style="21"/>
    <col min="11777" max="11777" width="3.42578125" style="21" customWidth="1"/>
    <col min="11778" max="11778" width="5.42578125" style="21" customWidth="1"/>
    <col min="11779" max="11779" width="2.28515625" style="21" customWidth="1"/>
    <col min="11780" max="11781" width="3.42578125" style="21" customWidth="1"/>
    <col min="11782" max="11783" width="3.28515625" style="21" customWidth="1"/>
    <col min="11784" max="11785" width="3.140625" style="21" customWidth="1"/>
    <col min="11786" max="11786" width="2.7109375" style="21" customWidth="1"/>
    <col min="11787" max="11787" width="1.42578125" style="21" customWidth="1"/>
    <col min="11788" max="11788" width="3.28515625" style="21" customWidth="1"/>
    <col min="11789" max="11789" width="3.42578125" style="21" customWidth="1"/>
    <col min="11790" max="11790" width="3" style="21" customWidth="1"/>
    <col min="11791" max="11791" width="3.140625" style="21" customWidth="1"/>
    <col min="11792" max="11792" width="2.85546875" style="21" customWidth="1"/>
    <col min="11793" max="11793" width="2.42578125" style="21" customWidth="1"/>
    <col min="11794" max="11794" width="2.7109375" style="21" customWidth="1"/>
    <col min="11795" max="11795" width="4.140625" style="21" customWidth="1"/>
    <col min="11796" max="11796" width="3.42578125" style="21" customWidth="1"/>
    <col min="11797" max="11797" width="3" style="21" customWidth="1"/>
    <col min="11798" max="11798" width="3.42578125" style="21" customWidth="1"/>
    <col min="11799" max="11799" width="3.85546875" style="21" customWidth="1"/>
    <col min="11800" max="11800" width="2.7109375" style="21" customWidth="1"/>
    <col min="11801" max="11801" width="2.85546875" style="21" customWidth="1"/>
    <col min="11802" max="11802" width="3.42578125" style="21" customWidth="1"/>
    <col min="11803" max="11803" width="2.28515625" style="21" customWidth="1"/>
    <col min="11804" max="11804" width="1.7109375" style="21" customWidth="1"/>
    <col min="11805" max="11805" width="3.42578125" style="21" customWidth="1"/>
    <col min="11806" max="11806" width="2.85546875" style="21" customWidth="1"/>
    <col min="11807" max="11808" width="1.7109375" style="21" customWidth="1"/>
    <col min="11809" max="11809" width="2.42578125" style="21" customWidth="1"/>
    <col min="11810" max="11811" width="2.140625" style="21" customWidth="1"/>
    <col min="11812" max="11812" width="3.28515625" style="21" customWidth="1"/>
    <col min="11813" max="11813" width="4.140625" style="21" customWidth="1"/>
    <col min="11814" max="11814" width="2.7109375" style="21" customWidth="1"/>
    <col min="11815" max="11815" width="3.42578125" style="21" customWidth="1"/>
    <col min="11816" max="11816" width="4.140625" style="21" customWidth="1"/>
    <col min="11817" max="11817" width="3.85546875" style="21" customWidth="1"/>
    <col min="11818" max="11818" width="2.28515625" style="21" customWidth="1"/>
    <col min="11819" max="11819" width="2" style="21" customWidth="1"/>
    <col min="11820" max="11820" width="3.140625" style="21" customWidth="1"/>
    <col min="11821" max="12032" width="11.42578125" style="21"/>
    <col min="12033" max="12033" width="3.42578125" style="21" customWidth="1"/>
    <col min="12034" max="12034" width="5.42578125" style="21" customWidth="1"/>
    <col min="12035" max="12035" width="2.28515625" style="21" customWidth="1"/>
    <col min="12036" max="12037" width="3.42578125" style="21" customWidth="1"/>
    <col min="12038" max="12039" width="3.28515625" style="21" customWidth="1"/>
    <col min="12040" max="12041" width="3.140625" style="21" customWidth="1"/>
    <col min="12042" max="12042" width="2.7109375" style="21" customWidth="1"/>
    <col min="12043" max="12043" width="1.42578125" style="21" customWidth="1"/>
    <col min="12044" max="12044" width="3.28515625" style="21" customWidth="1"/>
    <col min="12045" max="12045" width="3.42578125" style="21" customWidth="1"/>
    <col min="12046" max="12046" width="3" style="21" customWidth="1"/>
    <col min="12047" max="12047" width="3.140625" style="21" customWidth="1"/>
    <col min="12048" max="12048" width="2.85546875" style="21" customWidth="1"/>
    <col min="12049" max="12049" width="2.42578125" style="21" customWidth="1"/>
    <col min="12050" max="12050" width="2.7109375" style="21" customWidth="1"/>
    <col min="12051" max="12051" width="4.140625" style="21" customWidth="1"/>
    <col min="12052" max="12052" width="3.42578125" style="21" customWidth="1"/>
    <col min="12053" max="12053" width="3" style="21" customWidth="1"/>
    <col min="12054" max="12054" width="3.42578125" style="21" customWidth="1"/>
    <col min="12055" max="12055" width="3.85546875" style="21" customWidth="1"/>
    <col min="12056" max="12056" width="2.7109375" style="21" customWidth="1"/>
    <col min="12057" max="12057" width="2.85546875" style="21" customWidth="1"/>
    <col min="12058" max="12058" width="3.42578125" style="21" customWidth="1"/>
    <col min="12059" max="12059" width="2.28515625" style="21" customWidth="1"/>
    <col min="12060" max="12060" width="1.7109375" style="21" customWidth="1"/>
    <col min="12061" max="12061" width="3.42578125" style="21" customWidth="1"/>
    <col min="12062" max="12062" width="2.85546875" style="21" customWidth="1"/>
    <col min="12063" max="12064" width="1.7109375" style="21" customWidth="1"/>
    <col min="12065" max="12065" width="2.42578125" style="21" customWidth="1"/>
    <col min="12066" max="12067" width="2.140625" style="21" customWidth="1"/>
    <col min="12068" max="12068" width="3.28515625" style="21" customWidth="1"/>
    <col min="12069" max="12069" width="4.140625" style="21" customWidth="1"/>
    <col min="12070" max="12070" width="2.7109375" style="21" customWidth="1"/>
    <col min="12071" max="12071" width="3.42578125" style="21" customWidth="1"/>
    <col min="12072" max="12072" width="4.140625" style="21" customWidth="1"/>
    <col min="12073" max="12073" width="3.85546875" style="21" customWidth="1"/>
    <col min="12074" max="12074" width="2.28515625" style="21" customWidth="1"/>
    <col min="12075" max="12075" width="2" style="21" customWidth="1"/>
    <col min="12076" max="12076" width="3.140625" style="21" customWidth="1"/>
    <col min="12077" max="12288" width="11.42578125" style="21"/>
    <col min="12289" max="12289" width="3.42578125" style="21" customWidth="1"/>
    <col min="12290" max="12290" width="5.42578125" style="21" customWidth="1"/>
    <col min="12291" max="12291" width="2.28515625" style="21" customWidth="1"/>
    <col min="12292" max="12293" width="3.42578125" style="21" customWidth="1"/>
    <col min="12294" max="12295" width="3.28515625" style="21" customWidth="1"/>
    <col min="12296" max="12297" width="3.140625" style="21" customWidth="1"/>
    <col min="12298" max="12298" width="2.7109375" style="21" customWidth="1"/>
    <col min="12299" max="12299" width="1.42578125" style="21" customWidth="1"/>
    <col min="12300" max="12300" width="3.28515625" style="21" customWidth="1"/>
    <col min="12301" max="12301" width="3.42578125" style="21" customWidth="1"/>
    <col min="12302" max="12302" width="3" style="21" customWidth="1"/>
    <col min="12303" max="12303" width="3.140625" style="21" customWidth="1"/>
    <col min="12304" max="12304" width="2.85546875" style="21" customWidth="1"/>
    <col min="12305" max="12305" width="2.42578125" style="21" customWidth="1"/>
    <col min="12306" max="12306" width="2.7109375" style="21" customWidth="1"/>
    <col min="12307" max="12307" width="4.140625" style="21" customWidth="1"/>
    <col min="12308" max="12308" width="3.42578125" style="21" customWidth="1"/>
    <col min="12309" max="12309" width="3" style="21" customWidth="1"/>
    <col min="12310" max="12310" width="3.42578125" style="21" customWidth="1"/>
    <col min="12311" max="12311" width="3.85546875" style="21" customWidth="1"/>
    <col min="12312" max="12312" width="2.7109375" style="21" customWidth="1"/>
    <col min="12313" max="12313" width="2.85546875" style="21" customWidth="1"/>
    <col min="12314" max="12314" width="3.42578125" style="21" customWidth="1"/>
    <col min="12315" max="12315" width="2.28515625" style="21" customWidth="1"/>
    <col min="12316" max="12316" width="1.7109375" style="21" customWidth="1"/>
    <col min="12317" max="12317" width="3.42578125" style="21" customWidth="1"/>
    <col min="12318" max="12318" width="2.85546875" style="21" customWidth="1"/>
    <col min="12319" max="12320" width="1.7109375" style="21" customWidth="1"/>
    <col min="12321" max="12321" width="2.42578125" style="21" customWidth="1"/>
    <col min="12322" max="12323" width="2.140625" style="21" customWidth="1"/>
    <col min="12324" max="12324" width="3.28515625" style="21" customWidth="1"/>
    <col min="12325" max="12325" width="4.140625" style="21" customWidth="1"/>
    <col min="12326" max="12326" width="2.7109375" style="21" customWidth="1"/>
    <col min="12327" max="12327" width="3.42578125" style="21" customWidth="1"/>
    <col min="12328" max="12328" width="4.140625" style="21" customWidth="1"/>
    <col min="12329" max="12329" width="3.85546875" style="21" customWidth="1"/>
    <col min="12330" max="12330" width="2.28515625" style="21" customWidth="1"/>
    <col min="12331" max="12331" width="2" style="21" customWidth="1"/>
    <col min="12332" max="12332" width="3.140625" style="21" customWidth="1"/>
    <col min="12333" max="12544" width="11.42578125" style="21"/>
    <col min="12545" max="12545" width="3.42578125" style="21" customWidth="1"/>
    <col min="12546" max="12546" width="5.42578125" style="21" customWidth="1"/>
    <col min="12547" max="12547" width="2.28515625" style="21" customWidth="1"/>
    <col min="12548" max="12549" width="3.42578125" style="21" customWidth="1"/>
    <col min="12550" max="12551" width="3.28515625" style="21" customWidth="1"/>
    <col min="12552" max="12553" width="3.140625" style="21" customWidth="1"/>
    <col min="12554" max="12554" width="2.7109375" style="21" customWidth="1"/>
    <col min="12555" max="12555" width="1.42578125" style="21" customWidth="1"/>
    <col min="12556" max="12556" width="3.28515625" style="21" customWidth="1"/>
    <col min="12557" max="12557" width="3.42578125" style="21" customWidth="1"/>
    <col min="12558" max="12558" width="3" style="21" customWidth="1"/>
    <col min="12559" max="12559" width="3.140625" style="21" customWidth="1"/>
    <col min="12560" max="12560" width="2.85546875" style="21" customWidth="1"/>
    <col min="12561" max="12561" width="2.42578125" style="21" customWidth="1"/>
    <col min="12562" max="12562" width="2.7109375" style="21" customWidth="1"/>
    <col min="12563" max="12563" width="4.140625" style="21" customWidth="1"/>
    <col min="12564" max="12564" width="3.42578125" style="21" customWidth="1"/>
    <col min="12565" max="12565" width="3" style="21" customWidth="1"/>
    <col min="12566" max="12566" width="3.42578125" style="21" customWidth="1"/>
    <col min="12567" max="12567" width="3.85546875" style="21" customWidth="1"/>
    <col min="12568" max="12568" width="2.7109375" style="21" customWidth="1"/>
    <col min="12569" max="12569" width="2.85546875" style="21" customWidth="1"/>
    <col min="12570" max="12570" width="3.42578125" style="21" customWidth="1"/>
    <col min="12571" max="12571" width="2.28515625" style="21" customWidth="1"/>
    <col min="12572" max="12572" width="1.7109375" style="21" customWidth="1"/>
    <col min="12573" max="12573" width="3.42578125" style="21" customWidth="1"/>
    <col min="12574" max="12574" width="2.85546875" style="21" customWidth="1"/>
    <col min="12575" max="12576" width="1.7109375" style="21" customWidth="1"/>
    <col min="12577" max="12577" width="2.42578125" style="21" customWidth="1"/>
    <col min="12578" max="12579" width="2.140625" style="21" customWidth="1"/>
    <col min="12580" max="12580" width="3.28515625" style="21" customWidth="1"/>
    <col min="12581" max="12581" width="4.140625" style="21" customWidth="1"/>
    <col min="12582" max="12582" width="2.7109375" style="21" customWidth="1"/>
    <col min="12583" max="12583" width="3.42578125" style="21" customWidth="1"/>
    <col min="12584" max="12584" width="4.140625" style="21" customWidth="1"/>
    <col min="12585" max="12585" width="3.85546875" style="21" customWidth="1"/>
    <col min="12586" max="12586" width="2.28515625" style="21" customWidth="1"/>
    <col min="12587" max="12587" width="2" style="21" customWidth="1"/>
    <col min="12588" max="12588" width="3.140625" style="21" customWidth="1"/>
    <col min="12589" max="12800" width="11.42578125" style="21"/>
    <col min="12801" max="12801" width="3.42578125" style="21" customWidth="1"/>
    <col min="12802" max="12802" width="5.42578125" style="21" customWidth="1"/>
    <col min="12803" max="12803" width="2.28515625" style="21" customWidth="1"/>
    <col min="12804" max="12805" width="3.42578125" style="21" customWidth="1"/>
    <col min="12806" max="12807" width="3.28515625" style="21" customWidth="1"/>
    <col min="12808" max="12809" width="3.140625" style="21" customWidth="1"/>
    <col min="12810" max="12810" width="2.7109375" style="21" customWidth="1"/>
    <col min="12811" max="12811" width="1.42578125" style="21" customWidth="1"/>
    <col min="12812" max="12812" width="3.28515625" style="21" customWidth="1"/>
    <col min="12813" max="12813" width="3.42578125" style="21" customWidth="1"/>
    <col min="12814" max="12814" width="3" style="21" customWidth="1"/>
    <col min="12815" max="12815" width="3.140625" style="21" customWidth="1"/>
    <col min="12816" max="12816" width="2.85546875" style="21" customWidth="1"/>
    <col min="12817" max="12817" width="2.42578125" style="21" customWidth="1"/>
    <col min="12818" max="12818" width="2.7109375" style="21" customWidth="1"/>
    <col min="12819" max="12819" width="4.140625" style="21" customWidth="1"/>
    <col min="12820" max="12820" width="3.42578125" style="21" customWidth="1"/>
    <col min="12821" max="12821" width="3" style="21" customWidth="1"/>
    <col min="12822" max="12822" width="3.42578125" style="21" customWidth="1"/>
    <col min="12823" max="12823" width="3.85546875" style="21" customWidth="1"/>
    <col min="12824" max="12824" width="2.7109375" style="21" customWidth="1"/>
    <col min="12825" max="12825" width="2.85546875" style="21" customWidth="1"/>
    <col min="12826" max="12826" width="3.42578125" style="21" customWidth="1"/>
    <col min="12827" max="12827" width="2.28515625" style="21" customWidth="1"/>
    <col min="12828" max="12828" width="1.7109375" style="21" customWidth="1"/>
    <col min="12829" max="12829" width="3.42578125" style="21" customWidth="1"/>
    <col min="12830" max="12830" width="2.85546875" style="21" customWidth="1"/>
    <col min="12831" max="12832" width="1.7109375" style="21" customWidth="1"/>
    <col min="12833" max="12833" width="2.42578125" style="21" customWidth="1"/>
    <col min="12834" max="12835" width="2.140625" style="21" customWidth="1"/>
    <col min="12836" max="12836" width="3.28515625" style="21" customWidth="1"/>
    <col min="12837" max="12837" width="4.140625" style="21" customWidth="1"/>
    <col min="12838" max="12838" width="2.7109375" style="21" customWidth="1"/>
    <col min="12839" max="12839" width="3.42578125" style="21" customWidth="1"/>
    <col min="12840" max="12840" width="4.140625" style="21" customWidth="1"/>
    <col min="12841" max="12841" width="3.85546875" style="21" customWidth="1"/>
    <col min="12842" max="12842" width="2.28515625" style="21" customWidth="1"/>
    <col min="12843" max="12843" width="2" style="21" customWidth="1"/>
    <col min="12844" max="12844" width="3.140625" style="21" customWidth="1"/>
    <col min="12845" max="13056" width="11.42578125" style="21"/>
    <col min="13057" max="13057" width="3.42578125" style="21" customWidth="1"/>
    <col min="13058" max="13058" width="5.42578125" style="21" customWidth="1"/>
    <col min="13059" max="13059" width="2.28515625" style="21" customWidth="1"/>
    <col min="13060" max="13061" width="3.42578125" style="21" customWidth="1"/>
    <col min="13062" max="13063" width="3.28515625" style="21" customWidth="1"/>
    <col min="13064" max="13065" width="3.140625" style="21" customWidth="1"/>
    <col min="13066" max="13066" width="2.7109375" style="21" customWidth="1"/>
    <col min="13067" max="13067" width="1.42578125" style="21" customWidth="1"/>
    <col min="13068" max="13068" width="3.28515625" style="21" customWidth="1"/>
    <col min="13069" max="13069" width="3.42578125" style="21" customWidth="1"/>
    <col min="13070" max="13070" width="3" style="21" customWidth="1"/>
    <col min="13071" max="13071" width="3.140625" style="21" customWidth="1"/>
    <col min="13072" max="13072" width="2.85546875" style="21" customWidth="1"/>
    <col min="13073" max="13073" width="2.42578125" style="21" customWidth="1"/>
    <col min="13074" max="13074" width="2.7109375" style="21" customWidth="1"/>
    <col min="13075" max="13075" width="4.140625" style="21" customWidth="1"/>
    <col min="13076" max="13076" width="3.42578125" style="21" customWidth="1"/>
    <col min="13077" max="13077" width="3" style="21" customWidth="1"/>
    <col min="13078" max="13078" width="3.42578125" style="21" customWidth="1"/>
    <col min="13079" max="13079" width="3.85546875" style="21" customWidth="1"/>
    <col min="13080" max="13080" width="2.7109375" style="21" customWidth="1"/>
    <col min="13081" max="13081" width="2.85546875" style="21" customWidth="1"/>
    <col min="13082" max="13082" width="3.42578125" style="21" customWidth="1"/>
    <col min="13083" max="13083" width="2.28515625" style="21" customWidth="1"/>
    <col min="13084" max="13084" width="1.7109375" style="21" customWidth="1"/>
    <col min="13085" max="13085" width="3.42578125" style="21" customWidth="1"/>
    <col min="13086" max="13086" width="2.85546875" style="21" customWidth="1"/>
    <col min="13087" max="13088" width="1.7109375" style="21" customWidth="1"/>
    <col min="13089" max="13089" width="2.42578125" style="21" customWidth="1"/>
    <col min="13090" max="13091" width="2.140625" style="21" customWidth="1"/>
    <col min="13092" max="13092" width="3.28515625" style="21" customWidth="1"/>
    <col min="13093" max="13093" width="4.140625" style="21" customWidth="1"/>
    <col min="13094" max="13094" width="2.7109375" style="21" customWidth="1"/>
    <col min="13095" max="13095" width="3.42578125" style="21" customWidth="1"/>
    <col min="13096" max="13096" width="4.140625" style="21" customWidth="1"/>
    <col min="13097" max="13097" width="3.85546875" style="21" customWidth="1"/>
    <col min="13098" max="13098" width="2.28515625" style="21" customWidth="1"/>
    <col min="13099" max="13099" width="2" style="21" customWidth="1"/>
    <col min="13100" max="13100" width="3.140625" style="21" customWidth="1"/>
    <col min="13101" max="13312" width="11.42578125" style="21"/>
    <col min="13313" max="13313" width="3.42578125" style="21" customWidth="1"/>
    <col min="13314" max="13314" width="5.42578125" style="21" customWidth="1"/>
    <col min="13315" max="13315" width="2.28515625" style="21" customWidth="1"/>
    <col min="13316" max="13317" width="3.42578125" style="21" customWidth="1"/>
    <col min="13318" max="13319" width="3.28515625" style="21" customWidth="1"/>
    <col min="13320" max="13321" width="3.140625" style="21" customWidth="1"/>
    <col min="13322" max="13322" width="2.7109375" style="21" customWidth="1"/>
    <col min="13323" max="13323" width="1.42578125" style="21" customWidth="1"/>
    <col min="13324" max="13324" width="3.28515625" style="21" customWidth="1"/>
    <col min="13325" max="13325" width="3.42578125" style="21" customWidth="1"/>
    <col min="13326" max="13326" width="3" style="21" customWidth="1"/>
    <col min="13327" max="13327" width="3.140625" style="21" customWidth="1"/>
    <col min="13328" max="13328" width="2.85546875" style="21" customWidth="1"/>
    <col min="13329" max="13329" width="2.42578125" style="21" customWidth="1"/>
    <col min="13330" max="13330" width="2.7109375" style="21" customWidth="1"/>
    <col min="13331" max="13331" width="4.140625" style="21" customWidth="1"/>
    <col min="13332" max="13332" width="3.42578125" style="21" customWidth="1"/>
    <col min="13333" max="13333" width="3" style="21" customWidth="1"/>
    <col min="13334" max="13334" width="3.42578125" style="21" customWidth="1"/>
    <col min="13335" max="13335" width="3.85546875" style="21" customWidth="1"/>
    <col min="13336" max="13336" width="2.7109375" style="21" customWidth="1"/>
    <col min="13337" max="13337" width="2.85546875" style="21" customWidth="1"/>
    <col min="13338" max="13338" width="3.42578125" style="21" customWidth="1"/>
    <col min="13339" max="13339" width="2.28515625" style="21" customWidth="1"/>
    <col min="13340" max="13340" width="1.7109375" style="21" customWidth="1"/>
    <col min="13341" max="13341" width="3.42578125" style="21" customWidth="1"/>
    <col min="13342" max="13342" width="2.85546875" style="21" customWidth="1"/>
    <col min="13343" max="13344" width="1.7109375" style="21" customWidth="1"/>
    <col min="13345" max="13345" width="2.42578125" style="21" customWidth="1"/>
    <col min="13346" max="13347" width="2.140625" style="21" customWidth="1"/>
    <col min="13348" max="13348" width="3.28515625" style="21" customWidth="1"/>
    <col min="13349" max="13349" width="4.140625" style="21" customWidth="1"/>
    <col min="13350" max="13350" width="2.7109375" style="21" customWidth="1"/>
    <col min="13351" max="13351" width="3.42578125" style="21" customWidth="1"/>
    <col min="13352" max="13352" width="4.140625" style="21" customWidth="1"/>
    <col min="13353" max="13353" width="3.85546875" style="21" customWidth="1"/>
    <col min="13354" max="13354" width="2.28515625" style="21" customWidth="1"/>
    <col min="13355" max="13355" width="2" style="21" customWidth="1"/>
    <col min="13356" max="13356" width="3.140625" style="21" customWidth="1"/>
    <col min="13357" max="13568" width="11.42578125" style="21"/>
    <col min="13569" max="13569" width="3.42578125" style="21" customWidth="1"/>
    <col min="13570" max="13570" width="5.42578125" style="21" customWidth="1"/>
    <col min="13571" max="13571" width="2.28515625" style="21" customWidth="1"/>
    <col min="13572" max="13573" width="3.42578125" style="21" customWidth="1"/>
    <col min="13574" max="13575" width="3.28515625" style="21" customWidth="1"/>
    <col min="13576" max="13577" width="3.140625" style="21" customWidth="1"/>
    <col min="13578" max="13578" width="2.7109375" style="21" customWidth="1"/>
    <col min="13579" max="13579" width="1.42578125" style="21" customWidth="1"/>
    <col min="13580" max="13580" width="3.28515625" style="21" customWidth="1"/>
    <col min="13581" max="13581" width="3.42578125" style="21" customWidth="1"/>
    <col min="13582" max="13582" width="3" style="21" customWidth="1"/>
    <col min="13583" max="13583" width="3.140625" style="21" customWidth="1"/>
    <col min="13584" max="13584" width="2.85546875" style="21" customWidth="1"/>
    <col min="13585" max="13585" width="2.42578125" style="21" customWidth="1"/>
    <col min="13586" max="13586" width="2.7109375" style="21" customWidth="1"/>
    <col min="13587" max="13587" width="4.140625" style="21" customWidth="1"/>
    <col min="13588" max="13588" width="3.42578125" style="21" customWidth="1"/>
    <col min="13589" max="13589" width="3" style="21" customWidth="1"/>
    <col min="13590" max="13590" width="3.42578125" style="21" customWidth="1"/>
    <col min="13591" max="13591" width="3.85546875" style="21" customWidth="1"/>
    <col min="13592" max="13592" width="2.7109375" style="21" customWidth="1"/>
    <col min="13593" max="13593" width="2.85546875" style="21" customWidth="1"/>
    <col min="13594" max="13594" width="3.42578125" style="21" customWidth="1"/>
    <col min="13595" max="13595" width="2.28515625" style="21" customWidth="1"/>
    <col min="13596" max="13596" width="1.7109375" style="21" customWidth="1"/>
    <col min="13597" max="13597" width="3.42578125" style="21" customWidth="1"/>
    <col min="13598" max="13598" width="2.85546875" style="21" customWidth="1"/>
    <col min="13599" max="13600" width="1.7109375" style="21" customWidth="1"/>
    <col min="13601" max="13601" width="2.42578125" style="21" customWidth="1"/>
    <col min="13602" max="13603" width="2.140625" style="21" customWidth="1"/>
    <col min="13604" max="13604" width="3.28515625" style="21" customWidth="1"/>
    <col min="13605" max="13605" width="4.140625" style="21" customWidth="1"/>
    <col min="13606" max="13606" width="2.7109375" style="21" customWidth="1"/>
    <col min="13607" max="13607" width="3.42578125" style="21" customWidth="1"/>
    <col min="13608" max="13608" width="4.140625" style="21" customWidth="1"/>
    <col min="13609" max="13609" width="3.85546875" style="21" customWidth="1"/>
    <col min="13610" max="13610" width="2.28515625" style="21" customWidth="1"/>
    <col min="13611" max="13611" width="2" style="21" customWidth="1"/>
    <col min="13612" max="13612" width="3.140625" style="21" customWidth="1"/>
    <col min="13613" max="13824" width="11.42578125" style="21"/>
    <col min="13825" max="13825" width="3.42578125" style="21" customWidth="1"/>
    <col min="13826" max="13826" width="5.42578125" style="21" customWidth="1"/>
    <col min="13827" max="13827" width="2.28515625" style="21" customWidth="1"/>
    <col min="13828" max="13829" width="3.42578125" style="21" customWidth="1"/>
    <col min="13830" max="13831" width="3.28515625" style="21" customWidth="1"/>
    <col min="13832" max="13833" width="3.140625" style="21" customWidth="1"/>
    <col min="13834" max="13834" width="2.7109375" style="21" customWidth="1"/>
    <col min="13835" max="13835" width="1.42578125" style="21" customWidth="1"/>
    <col min="13836" max="13836" width="3.28515625" style="21" customWidth="1"/>
    <col min="13837" max="13837" width="3.42578125" style="21" customWidth="1"/>
    <col min="13838" max="13838" width="3" style="21" customWidth="1"/>
    <col min="13839" max="13839" width="3.140625" style="21" customWidth="1"/>
    <col min="13840" max="13840" width="2.85546875" style="21" customWidth="1"/>
    <col min="13841" max="13841" width="2.42578125" style="21" customWidth="1"/>
    <col min="13842" max="13842" width="2.7109375" style="21" customWidth="1"/>
    <col min="13843" max="13843" width="4.140625" style="21" customWidth="1"/>
    <col min="13844" max="13844" width="3.42578125" style="21" customWidth="1"/>
    <col min="13845" max="13845" width="3" style="21" customWidth="1"/>
    <col min="13846" max="13846" width="3.42578125" style="21" customWidth="1"/>
    <col min="13847" max="13847" width="3.85546875" style="21" customWidth="1"/>
    <col min="13848" max="13848" width="2.7109375" style="21" customWidth="1"/>
    <col min="13849" max="13849" width="2.85546875" style="21" customWidth="1"/>
    <col min="13850" max="13850" width="3.42578125" style="21" customWidth="1"/>
    <col min="13851" max="13851" width="2.28515625" style="21" customWidth="1"/>
    <col min="13852" max="13852" width="1.7109375" style="21" customWidth="1"/>
    <col min="13853" max="13853" width="3.42578125" style="21" customWidth="1"/>
    <col min="13854" max="13854" width="2.85546875" style="21" customWidth="1"/>
    <col min="13855" max="13856" width="1.7109375" style="21" customWidth="1"/>
    <col min="13857" max="13857" width="2.42578125" style="21" customWidth="1"/>
    <col min="13858" max="13859" width="2.140625" style="21" customWidth="1"/>
    <col min="13860" max="13860" width="3.28515625" style="21" customWidth="1"/>
    <col min="13861" max="13861" width="4.140625" style="21" customWidth="1"/>
    <col min="13862" max="13862" width="2.7109375" style="21" customWidth="1"/>
    <col min="13863" max="13863" width="3.42578125" style="21" customWidth="1"/>
    <col min="13864" max="13864" width="4.140625" style="21" customWidth="1"/>
    <col min="13865" max="13865" width="3.85546875" style="21" customWidth="1"/>
    <col min="13866" max="13866" width="2.28515625" style="21" customWidth="1"/>
    <col min="13867" max="13867" width="2" style="21" customWidth="1"/>
    <col min="13868" max="13868" width="3.140625" style="21" customWidth="1"/>
    <col min="13869" max="14080" width="11.42578125" style="21"/>
    <col min="14081" max="14081" width="3.42578125" style="21" customWidth="1"/>
    <col min="14082" max="14082" width="5.42578125" style="21" customWidth="1"/>
    <col min="14083" max="14083" width="2.28515625" style="21" customWidth="1"/>
    <col min="14084" max="14085" width="3.42578125" style="21" customWidth="1"/>
    <col min="14086" max="14087" width="3.28515625" style="21" customWidth="1"/>
    <col min="14088" max="14089" width="3.140625" style="21" customWidth="1"/>
    <col min="14090" max="14090" width="2.7109375" style="21" customWidth="1"/>
    <col min="14091" max="14091" width="1.42578125" style="21" customWidth="1"/>
    <col min="14092" max="14092" width="3.28515625" style="21" customWidth="1"/>
    <col min="14093" max="14093" width="3.42578125" style="21" customWidth="1"/>
    <col min="14094" max="14094" width="3" style="21" customWidth="1"/>
    <col min="14095" max="14095" width="3.140625" style="21" customWidth="1"/>
    <col min="14096" max="14096" width="2.85546875" style="21" customWidth="1"/>
    <col min="14097" max="14097" width="2.42578125" style="21" customWidth="1"/>
    <col min="14098" max="14098" width="2.7109375" style="21" customWidth="1"/>
    <col min="14099" max="14099" width="4.140625" style="21" customWidth="1"/>
    <col min="14100" max="14100" width="3.42578125" style="21" customWidth="1"/>
    <col min="14101" max="14101" width="3" style="21" customWidth="1"/>
    <col min="14102" max="14102" width="3.42578125" style="21" customWidth="1"/>
    <col min="14103" max="14103" width="3.85546875" style="21" customWidth="1"/>
    <col min="14104" max="14104" width="2.7109375" style="21" customWidth="1"/>
    <col min="14105" max="14105" width="2.85546875" style="21" customWidth="1"/>
    <col min="14106" max="14106" width="3.42578125" style="21" customWidth="1"/>
    <col min="14107" max="14107" width="2.28515625" style="21" customWidth="1"/>
    <col min="14108" max="14108" width="1.7109375" style="21" customWidth="1"/>
    <col min="14109" max="14109" width="3.42578125" style="21" customWidth="1"/>
    <col min="14110" max="14110" width="2.85546875" style="21" customWidth="1"/>
    <col min="14111" max="14112" width="1.7109375" style="21" customWidth="1"/>
    <col min="14113" max="14113" width="2.42578125" style="21" customWidth="1"/>
    <col min="14114" max="14115" width="2.140625" style="21" customWidth="1"/>
    <col min="14116" max="14116" width="3.28515625" style="21" customWidth="1"/>
    <col min="14117" max="14117" width="4.140625" style="21" customWidth="1"/>
    <col min="14118" max="14118" width="2.7109375" style="21" customWidth="1"/>
    <col min="14119" max="14119" width="3.42578125" style="21" customWidth="1"/>
    <col min="14120" max="14120" width="4.140625" style="21" customWidth="1"/>
    <col min="14121" max="14121" width="3.85546875" style="21" customWidth="1"/>
    <col min="14122" max="14122" width="2.28515625" style="21" customWidth="1"/>
    <col min="14123" max="14123" width="2" style="21" customWidth="1"/>
    <col min="14124" max="14124" width="3.140625" style="21" customWidth="1"/>
    <col min="14125" max="14336" width="11.42578125" style="21"/>
    <col min="14337" max="14337" width="3.42578125" style="21" customWidth="1"/>
    <col min="14338" max="14338" width="5.42578125" style="21" customWidth="1"/>
    <col min="14339" max="14339" width="2.28515625" style="21" customWidth="1"/>
    <col min="14340" max="14341" width="3.42578125" style="21" customWidth="1"/>
    <col min="14342" max="14343" width="3.28515625" style="21" customWidth="1"/>
    <col min="14344" max="14345" width="3.140625" style="21" customWidth="1"/>
    <col min="14346" max="14346" width="2.7109375" style="21" customWidth="1"/>
    <col min="14347" max="14347" width="1.42578125" style="21" customWidth="1"/>
    <col min="14348" max="14348" width="3.28515625" style="21" customWidth="1"/>
    <col min="14349" max="14349" width="3.42578125" style="21" customWidth="1"/>
    <col min="14350" max="14350" width="3" style="21" customWidth="1"/>
    <col min="14351" max="14351" width="3.140625" style="21" customWidth="1"/>
    <col min="14352" max="14352" width="2.85546875" style="21" customWidth="1"/>
    <col min="14353" max="14353" width="2.42578125" style="21" customWidth="1"/>
    <col min="14354" max="14354" width="2.7109375" style="21" customWidth="1"/>
    <col min="14355" max="14355" width="4.140625" style="21" customWidth="1"/>
    <col min="14356" max="14356" width="3.42578125" style="21" customWidth="1"/>
    <col min="14357" max="14357" width="3" style="21" customWidth="1"/>
    <col min="14358" max="14358" width="3.42578125" style="21" customWidth="1"/>
    <col min="14359" max="14359" width="3.85546875" style="21" customWidth="1"/>
    <col min="14360" max="14360" width="2.7109375" style="21" customWidth="1"/>
    <col min="14361" max="14361" width="2.85546875" style="21" customWidth="1"/>
    <col min="14362" max="14362" width="3.42578125" style="21" customWidth="1"/>
    <col min="14363" max="14363" width="2.28515625" style="21" customWidth="1"/>
    <col min="14364" max="14364" width="1.7109375" style="21" customWidth="1"/>
    <col min="14365" max="14365" width="3.42578125" style="21" customWidth="1"/>
    <col min="14366" max="14366" width="2.85546875" style="21" customWidth="1"/>
    <col min="14367" max="14368" width="1.7109375" style="21" customWidth="1"/>
    <col min="14369" max="14369" width="2.42578125" style="21" customWidth="1"/>
    <col min="14370" max="14371" width="2.140625" style="21" customWidth="1"/>
    <col min="14372" max="14372" width="3.28515625" style="21" customWidth="1"/>
    <col min="14373" max="14373" width="4.140625" style="21" customWidth="1"/>
    <col min="14374" max="14374" width="2.7109375" style="21" customWidth="1"/>
    <col min="14375" max="14375" width="3.42578125" style="21" customWidth="1"/>
    <col min="14376" max="14376" width="4.140625" style="21" customWidth="1"/>
    <col min="14377" max="14377" width="3.85546875" style="21" customWidth="1"/>
    <col min="14378" max="14378" width="2.28515625" style="21" customWidth="1"/>
    <col min="14379" max="14379" width="2" style="21" customWidth="1"/>
    <col min="14380" max="14380" width="3.140625" style="21" customWidth="1"/>
    <col min="14381" max="14592" width="11.42578125" style="21"/>
    <col min="14593" max="14593" width="3.42578125" style="21" customWidth="1"/>
    <col min="14594" max="14594" width="5.42578125" style="21" customWidth="1"/>
    <col min="14595" max="14595" width="2.28515625" style="21" customWidth="1"/>
    <col min="14596" max="14597" width="3.42578125" style="21" customWidth="1"/>
    <col min="14598" max="14599" width="3.28515625" style="21" customWidth="1"/>
    <col min="14600" max="14601" width="3.140625" style="21" customWidth="1"/>
    <col min="14602" max="14602" width="2.7109375" style="21" customWidth="1"/>
    <col min="14603" max="14603" width="1.42578125" style="21" customWidth="1"/>
    <col min="14604" max="14604" width="3.28515625" style="21" customWidth="1"/>
    <col min="14605" max="14605" width="3.42578125" style="21" customWidth="1"/>
    <col min="14606" max="14606" width="3" style="21" customWidth="1"/>
    <col min="14607" max="14607" width="3.140625" style="21" customWidth="1"/>
    <col min="14608" max="14608" width="2.85546875" style="21" customWidth="1"/>
    <col min="14609" max="14609" width="2.42578125" style="21" customWidth="1"/>
    <col min="14610" max="14610" width="2.7109375" style="21" customWidth="1"/>
    <col min="14611" max="14611" width="4.140625" style="21" customWidth="1"/>
    <col min="14612" max="14612" width="3.42578125" style="21" customWidth="1"/>
    <col min="14613" max="14613" width="3" style="21" customWidth="1"/>
    <col min="14614" max="14614" width="3.42578125" style="21" customWidth="1"/>
    <col min="14615" max="14615" width="3.85546875" style="21" customWidth="1"/>
    <col min="14616" max="14616" width="2.7109375" style="21" customWidth="1"/>
    <col min="14617" max="14617" width="2.85546875" style="21" customWidth="1"/>
    <col min="14618" max="14618" width="3.42578125" style="21" customWidth="1"/>
    <col min="14619" max="14619" width="2.28515625" style="21" customWidth="1"/>
    <col min="14620" max="14620" width="1.7109375" style="21" customWidth="1"/>
    <col min="14621" max="14621" width="3.42578125" style="21" customWidth="1"/>
    <col min="14622" max="14622" width="2.85546875" style="21" customWidth="1"/>
    <col min="14623" max="14624" width="1.7109375" style="21" customWidth="1"/>
    <col min="14625" max="14625" width="2.42578125" style="21" customWidth="1"/>
    <col min="14626" max="14627" width="2.140625" style="21" customWidth="1"/>
    <col min="14628" max="14628" width="3.28515625" style="21" customWidth="1"/>
    <col min="14629" max="14629" width="4.140625" style="21" customWidth="1"/>
    <col min="14630" max="14630" width="2.7109375" style="21" customWidth="1"/>
    <col min="14631" max="14631" width="3.42578125" style="21" customWidth="1"/>
    <col min="14632" max="14632" width="4.140625" style="21" customWidth="1"/>
    <col min="14633" max="14633" width="3.85546875" style="21" customWidth="1"/>
    <col min="14634" max="14634" width="2.28515625" style="21" customWidth="1"/>
    <col min="14635" max="14635" width="2" style="21" customWidth="1"/>
    <col min="14636" max="14636" width="3.140625" style="21" customWidth="1"/>
    <col min="14637" max="14848" width="11.42578125" style="21"/>
    <col min="14849" max="14849" width="3.42578125" style="21" customWidth="1"/>
    <col min="14850" max="14850" width="5.42578125" style="21" customWidth="1"/>
    <col min="14851" max="14851" width="2.28515625" style="21" customWidth="1"/>
    <col min="14852" max="14853" width="3.42578125" style="21" customWidth="1"/>
    <col min="14854" max="14855" width="3.28515625" style="21" customWidth="1"/>
    <col min="14856" max="14857" width="3.140625" style="21" customWidth="1"/>
    <col min="14858" max="14858" width="2.7109375" style="21" customWidth="1"/>
    <col min="14859" max="14859" width="1.42578125" style="21" customWidth="1"/>
    <col min="14860" max="14860" width="3.28515625" style="21" customWidth="1"/>
    <col min="14861" max="14861" width="3.42578125" style="21" customWidth="1"/>
    <col min="14862" max="14862" width="3" style="21" customWidth="1"/>
    <col min="14863" max="14863" width="3.140625" style="21" customWidth="1"/>
    <col min="14864" max="14864" width="2.85546875" style="21" customWidth="1"/>
    <col min="14865" max="14865" width="2.42578125" style="21" customWidth="1"/>
    <col min="14866" max="14866" width="2.7109375" style="21" customWidth="1"/>
    <col min="14867" max="14867" width="4.140625" style="21" customWidth="1"/>
    <col min="14868" max="14868" width="3.42578125" style="21" customWidth="1"/>
    <col min="14869" max="14869" width="3" style="21" customWidth="1"/>
    <col min="14870" max="14870" width="3.42578125" style="21" customWidth="1"/>
    <col min="14871" max="14871" width="3.85546875" style="21" customWidth="1"/>
    <col min="14872" max="14872" width="2.7109375" style="21" customWidth="1"/>
    <col min="14873" max="14873" width="2.85546875" style="21" customWidth="1"/>
    <col min="14874" max="14874" width="3.42578125" style="21" customWidth="1"/>
    <col min="14875" max="14875" width="2.28515625" style="21" customWidth="1"/>
    <col min="14876" max="14876" width="1.7109375" style="21" customWidth="1"/>
    <col min="14877" max="14877" width="3.42578125" style="21" customWidth="1"/>
    <col min="14878" max="14878" width="2.85546875" style="21" customWidth="1"/>
    <col min="14879" max="14880" width="1.7109375" style="21" customWidth="1"/>
    <col min="14881" max="14881" width="2.42578125" style="21" customWidth="1"/>
    <col min="14882" max="14883" width="2.140625" style="21" customWidth="1"/>
    <col min="14884" max="14884" width="3.28515625" style="21" customWidth="1"/>
    <col min="14885" max="14885" width="4.140625" style="21" customWidth="1"/>
    <col min="14886" max="14886" width="2.7109375" style="21" customWidth="1"/>
    <col min="14887" max="14887" width="3.42578125" style="21" customWidth="1"/>
    <col min="14888" max="14888" width="4.140625" style="21" customWidth="1"/>
    <col min="14889" max="14889" width="3.85546875" style="21" customWidth="1"/>
    <col min="14890" max="14890" width="2.28515625" style="21" customWidth="1"/>
    <col min="14891" max="14891" width="2" style="21" customWidth="1"/>
    <col min="14892" max="14892" width="3.140625" style="21" customWidth="1"/>
    <col min="14893" max="15104" width="11.42578125" style="21"/>
    <col min="15105" max="15105" width="3.42578125" style="21" customWidth="1"/>
    <col min="15106" max="15106" width="5.42578125" style="21" customWidth="1"/>
    <col min="15107" max="15107" width="2.28515625" style="21" customWidth="1"/>
    <col min="15108" max="15109" width="3.42578125" style="21" customWidth="1"/>
    <col min="15110" max="15111" width="3.28515625" style="21" customWidth="1"/>
    <col min="15112" max="15113" width="3.140625" style="21" customWidth="1"/>
    <col min="15114" max="15114" width="2.7109375" style="21" customWidth="1"/>
    <col min="15115" max="15115" width="1.42578125" style="21" customWidth="1"/>
    <col min="15116" max="15116" width="3.28515625" style="21" customWidth="1"/>
    <col min="15117" max="15117" width="3.42578125" style="21" customWidth="1"/>
    <col min="15118" max="15118" width="3" style="21" customWidth="1"/>
    <col min="15119" max="15119" width="3.140625" style="21" customWidth="1"/>
    <col min="15120" max="15120" width="2.85546875" style="21" customWidth="1"/>
    <col min="15121" max="15121" width="2.42578125" style="21" customWidth="1"/>
    <col min="15122" max="15122" width="2.7109375" style="21" customWidth="1"/>
    <col min="15123" max="15123" width="4.140625" style="21" customWidth="1"/>
    <col min="15124" max="15124" width="3.42578125" style="21" customWidth="1"/>
    <col min="15125" max="15125" width="3" style="21" customWidth="1"/>
    <col min="15126" max="15126" width="3.42578125" style="21" customWidth="1"/>
    <col min="15127" max="15127" width="3.85546875" style="21" customWidth="1"/>
    <col min="15128" max="15128" width="2.7109375" style="21" customWidth="1"/>
    <col min="15129" max="15129" width="2.85546875" style="21" customWidth="1"/>
    <col min="15130" max="15130" width="3.42578125" style="21" customWidth="1"/>
    <col min="15131" max="15131" width="2.28515625" style="21" customWidth="1"/>
    <col min="15132" max="15132" width="1.7109375" style="21" customWidth="1"/>
    <col min="15133" max="15133" width="3.42578125" style="21" customWidth="1"/>
    <col min="15134" max="15134" width="2.85546875" style="21" customWidth="1"/>
    <col min="15135" max="15136" width="1.7109375" style="21" customWidth="1"/>
    <col min="15137" max="15137" width="2.42578125" style="21" customWidth="1"/>
    <col min="15138" max="15139" width="2.140625" style="21" customWidth="1"/>
    <col min="15140" max="15140" width="3.28515625" style="21" customWidth="1"/>
    <col min="15141" max="15141" width="4.140625" style="21" customWidth="1"/>
    <col min="15142" max="15142" width="2.7109375" style="21" customWidth="1"/>
    <col min="15143" max="15143" width="3.42578125" style="21" customWidth="1"/>
    <col min="15144" max="15144" width="4.140625" style="21" customWidth="1"/>
    <col min="15145" max="15145" width="3.85546875" style="21" customWidth="1"/>
    <col min="15146" max="15146" width="2.28515625" style="21" customWidth="1"/>
    <col min="15147" max="15147" width="2" style="21" customWidth="1"/>
    <col min="15148" max="15148" width="3.140625" style="21" customWidth="1"/>
    <col min="15149" max="15360" width="11.42578125" style="21"/>
    <col min="15361" max="15361" width="3.42578125" style="21" customWidth="1"/>
    <col min="15362" max="15362" width="5.42578125" style="21" customWidth="1"/>
    <col min="15363" max="15363" width="2.28515625" style="21" customWidth="1"/>
    <col min="15364" max="15365" width="3.42578125" style="21" customWidth="1"/>
    <col min="15366" max="15367" width="3.28515625" style="21" customWidth="1"/>
    <col min="15368" max="15369" width="3.140625" style="21" customWidth="1"/>
    <col min="15370" max="15370" width="2.7109375" style="21" customWidth="1"/>
    <col min="15371" max="15371" width="1.42578125" style="21" customWidth="1"/>
    <col min="15372" max="15372" width="3.28515625" style="21" customWidth="1"/>
    <col min="15373" max="15373" width="3.42578125" style="21" customWidth="1"/>
    <col min="15374" max="15374" width="3" style="21" customWidth="1"/>
    <col min="15375" max="15375" width="3.140625" style="21" customWidth="1"/>
    <col min="15376" max="15376" width="2.85546875" style="21" customWidth="1"/>
    <col min="15377" max="15377" width="2.42578125" style="21" customWidth="1"/>
    <col min="15378" max="15378" width="2.7109375" style="21" customWidth="1"/>
    <col min="15379" max="15379" width="4.140625" style="21" customWidth="1"/>
    <col min="15380" max="15380" width="3.42578125" style="21" customWidth="1"/>
    <col min="15381" max="15381" width="3" style="21" customWidth="1"/>
    <col min="15382" max="15382" width="3.42578125" style="21" customWidth="1"/>
    <col min="15383" max="15383" width="3.85546875" style="21" customWidth="1"/>
    <col min="15384" max="15384" width="2.7109375" style="21" customWidth="1"/>
    <col min="15385" max="15385" width="2.85546875" style="21" customWidth="1"/>
    <col min="15386" max="15386" width="3.42578125" style="21" customWidth="1"/>
    <col min="15387" max="15387" width="2.28515625" style="21" customWidth="1"/>
    <col min="15388" max="15388" width="1.7109375" style="21" customWidth="1"/>
    <col min="15389" max="15389" width="3.42578125" style="21" customWidth="1"/>
    <col min="15390" max="15390" width="2.85546875" style="21" customWidth="1"/>
    <col min="15391" max="15392" width="1.7109375" style="21" customWidth="1"/>
    <col min="15393" max="15393" width="2.42578125" style="21" customWidth="1"/>
    <col min="15394" max="15395" width="2.140625" style="21" customWidth="1"/>
    <col min="15396" max="15396" width="3.28515625" style="21" customWidth="1"/>
    <col min="15397" max="15397" width="4.140625" style="21" customWidth="1"/>
    <col min="15398" max="15398" width="2.7109375" style="21" customWidth="1"/>
    <col min="15399" max="15399" width="3.42578125" style="21" customWidth="1"/>
    <col min="15400" max="15400" width="4.140625" style="21" customWidth="1"/>
    <col min="15401" max="15401" width="3.85546875" style="21" customWidth="1"/>
    <col min="15402" max="15402" width="2.28515625" style="21" customWidth="1"/>
    <col min="15403" max="15403" width="2" style="21" customWidth="1"/>
    <col min="15404" max="15404" width="3.140625" style="21" customWidth="1"/>
    <col min="15405" max="15616" width="11.42578125" style="21"/>
    <col min="15617" max="15617" width="3.42578125" style="21" customWidth="1"/>
    <col min="15618" max="15618" width="5.42578125" style="21" customWidth="1"/>
    <col min="15619" max="15619" width="2.28515625" style="21" customWidth="1"/>
    <col min="15620" max="15621" width="3.42578125" style="21" customWidth="1"/>
    <col min="15622" max="15623" width="3.28515625" style="21" customWidth="1"/>
    <col min="15624" max="15625" width="3.140625" style="21" customWidth="1"/>
    <col min="15626" max="15626" width="2.7109375" style="21" customWidth="1"/>
    <col min="15627" max="15627" width="1.42578125" style="21" customWidth="1"/>
    <col min="15628" max="15628" width="3.28515625" style="21" customWidth="1"/>
    <col min="15629" max="15629" width="3.42578125" style="21" customWidth="1"/>
    <col min="15630" max="15630" width="3" style="21" customWidth="1"/>
    <col min="15631" max="15631" width="3.140625" style="21" customWidth="1"/>
    <col min="15632" max="15632" width="2.85546875" style="21" customWidth="1"/>
    <col min="15633" max="15633" width="2.42578125" style="21" customWidth="1"/>
    <col min="15634" max="15634" width="2.7109375" style="21" customWidth="1"/>
    <col min="15635" max="15635" width="4.140625" style="21" customWidth="1"/>
    <col min="15636" max="15636" width="3.42578125" style="21" customWidth="1"/>
    <col min="15637" max="15637" width="3" style="21" customWidth="1"/>
    <col min="15638" max="15638" width="3.42578125" style="21" customWidth="1"/>
    <col min="15639" max="15639" width="3.85546875" style="21" customWidth="1"/>
    <col min="15640" max="15640" width="2.7109375" style="21" customWidth="1"/>
    <col min="15641" max="15641" width="2.85546875" style="21" customWidth="1"/>
    <col min="15642" max="15642" width="3.42578125" style="21" customWidth="1"/>
    <col min="15643" max="15643" width="2.28515625" style="21" customWidth="1"/>
    <col min="15644" max="15644" width="1.7109375" style="21" customWidth="1"/>
    <col min="15645" max="15645" width="3.42578125" style="21" customWidth="1"/>
    <col min="15646" max="15646" width="2.85546875" style="21" customWidth="1"/>
    <col min="15647" max="15648" width="1.7109375" style="21" customWidth="1"/>
    <col min="15649" max="15649" width="2.42578125" style="21" customWidth="1"/>
    <col min="15650" max="15651" width="2.140625" style="21" customWidth="1"/>
    <col min="15652" max="15652" width="3.28515625" style="21" customWidth="1"/>
    <col min="15653" max="15653" width="4.140625" style="21" customWidth="1"/>
    <col min="15654" max="15654" width="2.7109375" style="21" customWidth="1"/>
    <col min="15655" max="15655" width="3.42578125" style="21" customWidth="1"/>
    <col min="15656" max="15656" width="4.140625" style="21" customWidth="1"/>
    <col min="15657" max="15657" width="3.85546875" style="21" customWidth="1"/>
    <col min="15658" max="15658" width="2.28515625" style="21" customWidth="1"/>
    <col min="15659" max="15659" width="2" style="21" customWidth="1"/>
    <col min="15660" max="15660" width="3.140625" style="21" customWidth="1"/>
    <col min="15661" max="15872" width="11.42578125" style="21"/>
    <col min="15873" max="15873" width="3.42578125" style="21" customWidth="1"/>
    <col min="15874" max="15874" width="5.42578125" style="21" customWidth="1"/>
    <col min="15875" max="15875" width="2.28515625" style="21" customWidth="1"/>
    <col min="15876" max="15877" width="3.42578125" style="21" customWidth="1"/>
    <col min="15878" max="15879" width="3.28515625" style="21" customWidth="1"/>
    <col min="15880" max="15881" width="3.140625" style="21" customWidth="1"/>
    <col min="15882" max="15882" width="2.7109375" style="21" customWidth="1"/>
    <col min="15883" max="15883" width="1.42578125" style="21" customWidth="1"/>
    <col min="15884" max="15884" width="3.28515625" style="21" customWidth="1"/>
    <col min="15885" max="15885" width="3.42578125" style="21" customWidth="1"/>
    <col min="15886" max="15886" width="3" style="21" customWidth="1"/>
    <col min="15887" max="15887" width="3.140625" style="21" customWidth="1"/>
    <col min="15888" max="15888" width="2.85546875" style="21" customWidth="1"/>
    <col min="15889" max="15889" width="2.42578125" style="21" customWidth="1"/>
    <col min="15890" max="15890" width="2.7109375" style="21" customWidth="1"/>
    <col min="15891" max="15891" width="4.140625" style="21" customWidth="1"/>
    <col min="15892" max="15892" width="3.42578125" style="21" customWidth="1"/>
    <col min="15893" max="15893" width="3" style="21" customWidth="1"/>
    <col min="15894" max="15894" width="3.42578125" style="21" customWidth="1"/>
    <col min="15895" max="15895" width="3.85546875" style="21" customWidth="1"/>
    <col min="15896" max="15896" width="2.7109375" style="21" customWidth="1"/>
    <col min="15897" max="15897" width="2.85546875" style="21" customWidth="1"/>
    <col min="15898" max="15898" width="3.42578125" style="21" customWidth="1"/>
    <col min="15899" max="15899" width="2.28515625" style="21" customWidth="1"/>
    <col min="15900" max="15900" width="1.7109375" style="21" customWidth="1"/>
    <col min="15901" max="15901" width="3.42578125" style="21" customWidth="1"/>
    <col min="15902" max="15902" width="2.85546875" style="21" customWidth="1"/>
    <col min="15903" max="15904" width="1.7109375" style="21" customWidth="1"/>
    <col min="15905" max="15905" width="2.42578125" style="21" customWidth="1"/>
    <col min="15906" max="15907" width="2.140625" style="21" customWidth="1"/>
    <col min="15908" max="15908" width="3.28515625" style="21" customWidth="1"/>
    <col min="15909" max="15909" width="4.140625" style="21" customWidth="1"/>
    <col min="15910" max="15910" width="2.7109375" style="21" customWidth="1"/>
    <col min="15911" max="15911" width="3.42578125" style="21" customWidth="1"/>
    <col min="15912" max="15912" width="4.140625" style="21" customWidth="1"/>
    <col min="15913" max="15913" width="3.85546875" style="21" customWidth="1"/>
    <col min="15914" max="15914" width="2.28515625" style="21" customWidth="1"/>
    <col min="15915" max="15915" width="2" style="21" customWidth="1"/>
    <col min="15916" max="15916" width="3.140625" style="21" customWidth="1"/>
    <col min="15917" max="16128" width="11.42578125" style="21"/>
    <col min="16129" max="16129" width="3.42578125" style="21" customWidth="1"/>
    <col min="16130" max="16130" width="5.42578125" style="21" customWidth="1"/>
    <col min="16131" max="16131" width="2.28515625" style="21" customWidth="1"/>
    <col min="16132" max="16133" width="3.42578125" style="21" customWidth="1"/>
    <col min="16134" max="16135" width="3.28515625" style="21" customWidth="1"/>
    <col min="16136" max="16137" width="3.140625" style="21" customWidth="1"/>
    <col min="16138" max="16138" width="2.7109375" style="21" customWidth="1"/>
    <col min="16139" max="16139" width="1.42578125" style="21" customWidth="1"/>
    <col min="16140" max="16140" width="3.28515625" style="21" customWidth="1"/>
    <col min="16141" max="16141" width="3.42578125" style="21" customWidth="1"/>
    <col min="16142" max="16142" width="3" style="21" customWidth="1"/>
    <col min="16143" max="16143" width="3.140625" style="21" customWidth="1"/>
    <col min="16144" max="16144" width="2.85546875" style="21" customWidth="1"/>
    <col min="16145" max="16145" width="2.42578125" style="21" customWidth="1"/>
    <col min="16146" max="16146" width="2.7109375" style="21" customWidth="1"/>
    <col min="16147" max="16147" width="4.140625" style="21" customWidth="1"/>
    <col min="16148" max="16148" width="3.42578125" style="21" customWidth="1"/>
    <col min="16149" max="16149" width="3" style="21" customWidth="1"/>
    <col min="16150" max="16150" width="3.42578125" style="21" customWidth="1"/>
    <col min="16151" max="16151" width="3.85546875" style="21" customWidth="1"/>
    <col min="16152" max="16152" width="2.7109375" style="21" customWidth="1"/>
    <col min="16153" max="16153" width="2.85546875" style="21" customWidth="1"/>
    <col min="16154" max="16154" width="3.42578125" style="21" customWidth="1"/>
    <col min="16155" max="16155" width="2.28515625" style="21" customWidth="1"/>
    <col min="16156" max="16156" width="1.7109375" style="21" customWidth="1"/>
    <col min="16157" max="16157" width="3.42578125" style="21" customWidth="1"/>
    <col min="16158" max="16158" width="2.85546875" style="21" customWidth="1"/>
    <col min="16159" max="16160" width="1.7109375" style="21" customWidth="1"/>
    <col min="16161" max="16161" width="2.42578125" style="21" customWidth="1"/>
    <col min="16162" max="16163" width="2.140625" style="21" customWidth="1"/>
    <col min="16164" max="16164" width="3.28515625" style="21" customWidth="1"/>
    <col min="16165" max="16165" width="4.140625" style="21" customWidth="1"/>
    <col min="16166" max="16166" width="2.7109375" style="21" customWidth="1"/>
    <col min="16167" max="16167" width="3.42578125" style="21" customWidth="1"/>
    <col min="16168" max="16168" width="4.140625" style="21" customWidth="1"/>
    <col min="16169" max="16169" width="3.85546875" style="21" customWidth="1"/>
    <col min="16170" max="16170" width="2.28515625" style="21" customWidth="1"/>
    <col min="16171" max="16171" width="2" style="21" customWidth="1"/>
    <col min="16172" max="16172" width="3.140625" style="21" customWidth="1"/>
    <col min="16173" max="16384" width="11.42578125" style="21"/>
  </cols>
  <sheetData>
    <row r="13" spans="1:44" ht="12.75" customHeight="1" thickBot="1"/>
    <row r="14" spans="1:44" ht="16.5" thickBot="1">
      <c r="E14" s="886" t="s">
        <v>363</v>
      </c>
      <c r="F14" s="887"/>
      <c r="G14" s="887"/>
      <c r="H14" s="887"/>
      <c r="I14" s="887"/>
      <c r="J14" s="887"/>
      <c r="K14" s="887"/>
      <c r="L14" s="887"/>
      <c r="M14" s="887"/>
      <c r="N14" s="887"/>
      <c r="O14" s="887"/>
      <c r="P14" s="887"/>
      <c r="Q14" s="887"/>
      <c r="R14" s="887"/>
      <c r="S14" s="887"/>
      <c r="T14" s="887"/>
      <c r="U14" s="887"/>
      <c r="V14" s="887"/>
      <c r="W14" s="887"/>
      <c r="X14" s="887"/>
      <c r="Y14" s="887"/>
      <c r="Z14" s="887"/>
      <c r="AA14" s="887"/>
      <c r="AB14" s="887"/>
      <c r="AC14" s="887"/>
      <c r="AD14" s="887"/>
      <c r="AE14" s="887"/>
      <c r="AF14" s="887"/>
      <c r="AG14" s="887"/>
      <c r="AH14" s="887"/>
      <c r="AI14" s="888"/>
    </row>
    <row r="15" spans="1:44" ht="6" customHeight="1"/>
    <row r="16" spans="1:44" s="206" customFormat="1">
      <c r="A16" s="204" t="s">
        <v>364</v>
      </c>
      <c r="B16" s="204"/>
      <c r="C16" s="204"/>
      <c r="D16" s="204"/>
      <c r="E16" s="204"/>
      <c r="F16" s="204"/>
      <c r="G16" s="889"/>
      <c r="H16" s="889"/>
      <c r="I16" s="882" t="s">
        <v>365</v>
      </c>
      <c r="J16" s="882"/>
      <c r="K16" s="205"/>
      <c r="L16" s="889"/>
      <c r="M16" s="889"/>
      <c r="N16" s="889"/>
      <c r="O16" s="889"/>
      <c r="P16" s="889"/>
      <c r="Q16" s="889"/>
      <c r="R16" s="889"/>
      <c r="S16" s="889"/>
      <c r="T16" s="882" t="s">
        <v>365</v>
      </c>
      <c r="U16" s="882"/>
      <c r="V16" s="889">
        <v>2026</v>
      </c>
      <c r="W16" s="889"/>
      <c r="X16" s="889"/>
      <c r="Y16" s="889"/>
      <c r="Z16" s="889"/>
      <c r="AA16" s="204"/>
      <c r="AB16" s="204"/>
      <c r="AC16" s="204"/>
      <c r="AD16" s="204"/>
      <c r="AE16" s="204"/>
      <c r="AF16" s="204"/>
      <c r="AG16" s="204"/>
      <c r="AH16" s="204"/>
      <c r="AI16" s="204"/>
      <c r="AJ16" s="204"/>
      <c r="AK16" s="204"/>
      <c r="AL16" s="204"/>
      <c r="AM16" s="204"/>
      <c r="AN16" s="204"/>
      <c r="AO16" s="204"/>
      <c r="AP16" s="204"/>
      <c r="AQ16" s="204"/>
      <c r="AR16" s="204"/>
    </row>
    <row r="17" spans="1:44" ht="5.25" customHeight="1" thickBot="1"/>
    <row r="18" spans="1:44" ht="30" customHeight="1" thickBot="1">
      <c r="A18" s="203" t="s">
        <v>366</v>
      </c>
      <c r="G18" s="897" t="s">
        <v>367</v>
      </c>
      <c r="H18" s="898"/>
      <c r="I18" s="898"/>
      <c r="J18" s="898"/>
      <c r="K18" s="898"/>
      <c r="L18" s="898"/>
      <c r="M18" s="898"/>
      <c r="N18" s="898"/>
      <c r="O18" s="898"/>
      <c r="P18" s="898"/>
      <c r="Q18" s="898"/>
      <c r="R18" s="898"/>
      <c r="S18" s="898"/>
      <c r="T18" s="899"/>
      <c r="Z18" s="207" t="s">
        <v>132</v>
      </c>
      <c r="AA18" s="869">
        <f>+MEMORIA!P15</f>
        <v>0</v>
      </c>
      <c r="AB18" s="898"/>
      <c r="AC18" s="898"/>
      <c r="AD18" s="898"/>
      <c r="AE18" s="898"/>
      <c r="AF18" s="898"/>
      <c r="AG18" s="898"/>
      <c r="AH18" s="898"/>
      <c r="AI18" s="898"/>
      <c r="AJ18" s="898"/>
      <c r="AK18" s="898"/>
      <c r="AL18" s="898"/>
      <c r="AM18" s="898"/>
      <c r="AN18" s="898"/>
      <c r="AO18" s="898"/>
      <c r="AP18" s="898"/>
      <c r="AQ18" s="898"/>
      <c r="AR18" s="899"/>
    </row>
    <row r="19" spans="1:44" ht="5.25" customHeight="1" thickBot="1"/>
    <row r="20" spans="1:44" ht="17.25" customHeight="1" thickBot="1">
      <c r="A20" s="203" t="s">
        <v>368</v>
      </c>
      <c r="G20" s="897">
        <f>+MEMORIA!P13</f>
        <v>0</v>
      </c>
      <c r="H20" s="898"/>
      <c r="I20" s="898"/>
      <c r="J20" s="898"/>
      <c r="K20" s="898"/>
      <c r="L20" s="898"/>
      <c r="M20" s="898"/>
      <c r="N20" s="898"/>
      <c r="O20" s="898"/>
      <c r="P20" s="898"/>
      <c r="Q20" s="898"/>
      <c r="R20" s="898"/>
      <c r="S20" s="898"/>
      <c r="T20" s="898"/>
      <c r="U20" s="898"/>
      <c r="V20" s="898"/>
      <c r="W20" s="898"/>
      <c r="X20" s="898"/>
      <c r="Y20" s="898"/>
      <c r="Z20" s="898"/>
      <c r="AA20" s="898"/>
      <c r="AB20" s="898"/>
      <c r="AC20" s="898"/>
      <c r="AD20" s="899"/>
      <c r="AE20" s="900" t="s">
        <v>369</v>
      </c>
      <c r="AF20" s="901"/>
      <c r="AG20" s="901"/>
      <c r="AH20" s="901"/>
      <c r="AI20" s="901"/>
      <c r="AJ20" s="902"/>
      <c r="AK20" s="866"/>
      <c r="AL20" s="867"/>
      <c r="AM20" s="867"/>
      <c r="AN20" s="867"/>
      <c r="AO20" s="867"/>
      <c r="AP20" s="867"/>
      <c r="AQ20" s="867"/>
      <c r="AR20" s="868"/>
    </row>
    <row r="21" spans="1:44" ht="5.25" customHeight="1" thickBot="1"/>
    <row r="22" spans="1:44" ht="13.5" thickBot="1">
      <c r="A22" s="203" t="s">
        <v>370</v>
      </c>
      <c r="G22" s="897" t="s">
        <v>371</v>
      </c>
      <c r="H22" s="898"/>
      <c r="I22" s="898"/>
      <c r="J22" s="898"/>
      <c r="K22" s="898"/>
      <c r="L22" s="898"/>
      <c r="M22" s="898"/>
      <c r="N22" s="898"/>
      <c r="O22" s="898"/>
      <c r="P22" s="898"/>
      <c r="Q22" s="898"/>
      <c r="R22" s="898"/>
      <c r="S22" s="898"/>
      <c r="T22" s="898"/>
      <c r="U22" s="898"/>
      <c r="V22" s="898"/>
      <c r="W22" s="898"/>
      <c r="X22" s="898"/>
      <c r="Y22" s="898"/>
      <c r="Z22" s="898"/>
      <c r="AA22" s="898"/>
      <c r="AB22" s="898"/>
      <c r="AC22" s="898"/>
      <c r="AD22" s="899"/>
      <c r="AF22" s="901" t="s">
        <v>372</v>
      </c>
      <c r="AG22" s="901"/>
      <c r="AH22" s="901"/>
      <c r="AI22" s="901"/>
      <c r="AJ22" s="902"/>
      <c r="AK22" s="897" t="s">
        <v>373</v>
      </c>
      <c r="AL22" s="898"/>
      <c r="AM22" s="898"/>
      <c r="AN22" s="898"/>
      <c r="AO22" s="898"/>
      <c r="AP22" s="898"/>
      <c r="AQ22" s="898"/>
      <c r="AR22" s="899"/>
    </row>
    <row r="23" spans="1:44" ht="5.25" customHeight="1" thickBot="1"/>
    <row r="24" spans="1:44" ht="36.75" customHeight="1" thickBot="1">
      <c r="A24" s="203" t="s">
        <v>374</v>
      </c>
      <c r="B24" s="204"/>
      <c r="C24" s="204"/>
      <c r="D24" s="204"/>
      <c r="E24" s="204"/>
      <c r="F24" s="204"/>
      <c r="G24" s="208" t="s">
        <v>375</v>
      </c>
      <c r="H24" s="208"/>
      <c r="I24" s="208" t="s">
        <v>376</v>
      </c>
      <c r="J24" s="208"/>
      <c r="K24" s="209" t="s">
        <v>377</v>
      </c>
      <c r="L24" s="208"/>
      <c r="M24" s="208" t="s">
        <v>378</v>
      </c>
      <c r="N24" s="208"/>
      <c r="O24" s="208" t="s">
        <v>379</v>
      </c>
      <c r="P24" s="208"/>
      <c r="Q24" s="210"/>
      <c r="S24" s="890">
        <f>+MEMORIA!C72</f>
        <v>0</v>
      </c>
      <c r="T24" s="891"/>
      <c r="U24" s="891"/>
      <c r="V24" s="891"/>
      <c r="W24" s="891"/>
      <c r="X24" s="891"/>
      <c r="Y24" s="891"/>
      <c r="Z24" s="891"/>
      <c r="AA24" s="891"/>
      <c r="AB24" s="891"/>
      <c r="AC24" s="891"/>
      <c r="AD24" s="891"/>
      <c r="AE24" s="891"/>
      <c r="AF24" s="891"/>
      <c r="AG24" s="891"/>
      <c r="AH24" s="891"/>
      <c r="AI24" s="891"/>
      <c r="AJ24" s="891"/>
      <c r="AK24" s="891"/>
      <c r="AL24" s="891"/>
      <c r="AM24" s="891"/>
      <c r="AN24" s="891"/>
      <c r="AO24" s="891"/>
      <c r="AP24" s="891"/>
      <c r="AQ24" s="891"/>
      <c r="AR24" s="892"/>
    </row>
    <row r="25" spans="1:44" ht="5.25" customHeight="1" thickBot="1"/>
    <row r="26" spans="1:44" ht="13.5" thickBot="1">
      <c r="A26" s="893" t="s">
        <v>380</v>
      </c>
      <c r="B26" s="894"/>
      <c r="C26" s="895"/>
      <c r="D26" s="859"/>
      <c r="F26" s="893" t="s">
        <v>381</v>
      </c>
      <c r="G26" s="896"/>
      <c r="H26" s="896"/>
      <c r="I26" s="857"/>
      <c r="J26" s="859"/>
      <c r="N26" s="207" t="s">
        <v>382</v>
      </c>
      <c r="O26" s="207"/>
      <c r="P26" s="866"/>
      <c r="Q26" s="867"/>
      <c r="R26" s="867"/>
      <c r="S26" s="867"/>
      <c r="T26" s="867"/>
      <c r="U26" s="867"/>
      <c r="V26" s="867"/>
      <c r="W26" s="867"/>
      <c r="X26" s="867"/>
      <c r="Y26" s="867"/>
      <c r="Z26" s="867"/>
      <c r="AA26" s="867"/>
      <c r="AB26" s="867"/>
      <c r="AC26" s="867"/>
      <c r="AD26" s="867"/>
      <c r="AE26" s="867"/>
      <c r="AF26" s="867"/>
      <c r="AG26" s="867"/>
      <c r="AH26" s="867"/>
      <c r="AI26" s="867"/>
      <c r="AJ26" s="867"/>
      <c r="AK26" s="867"/>
      <c r="AL26" s="867"/>
      <c r="AM26" s="867"/>
      <c r="AN26" s="867"/>
      <c r="AO26" s="867"/>
      <c r="AP26" s="867"/>
      <c r="AQ26" s="867"/>
      <c r="AR26" s="868"/>
    </row>
    <row r="27" spans="1:44" ht="5.25" customHeight="1" thickBot="1"/>
    <row r="28" spans="1:44" s="206" customFormat="1" ht="13.5" thickBot="1">
      <c r="A28" s="204" t="s">
        <v>59</v>
      </c>
      <c r="B28" s="204"/>
      <c r="C28" s="204"/>
      <c r="D28" s="866"/>
      <c r="E28" s="867"/>
      <c r="F28" s="867"/>
      <c r="G28" s="867"/>
      <c r="H28" s="867"/>
      <c r="I28" s="867"/>
      <c r="J28" s="868"/>
      <c r="K28" s="204"/>
      <c r="L28" s="204"/>
      <c r="M28" s="204" t="s">
        <v>383</v>
      </c>
      <c r="N28" s="204"/>
      <c r="O28" s="204"/>
      <c r="P28" s="866"/>
      <c r="Q28" s="867"/>
      <c r="R28" s="867"/>
      <c r="S28" s="867"/>
      <c r="T28" s="868"/>
      <c r="U28" s="204"/>
      <c r="V28" s="204"/>
      <c r="W28" s="204"/>
      <c r="X28" s="204"/>
      <c r="Y28" s="204"/>
      <c r="Z28" s="882" t="s">
        <v>384</v>
      </c>
      <c r="AA28" s="882"/>
      <c r="AB28" s="882"/>
      <c r="AC28" s="882"/>
      <c r="AD28" s="882"/>
      <c r="AE28" s="882"/>
      <c r="AF28" s="883"/>
      <c r="AG28" s="866"/>
      <c r="AH28" s="867"/>
      <c r="AI28" s="867"/>
      <c r="AJ28" s="867"/>
      <c r="AK28" s="867"/>
      <c r="AL28" s="867"/>
      <c r="AM28" s="867"/>
      <c r="AN28" s="868"/>
      <c r="AO28" s="204"/>
      <c r="AP28" s="204"/>
      <c r="AQ28" s="204"/>
      <c r="AR28" s="204"/>
    </row>
    <row r="29" spans="1:44" ht="6" customHeight="1" thickBot="1"/>
    <row r="30" spans="1:44" ht="13.5" thickBot="1">
      <c r="A30" s="203" t="s">
        <v>385</v>
      </c>
      <c r="F30" s="875" t="s">
        <v>386</v>
      </c>
      <c r="G30" s="876"/>
      <c r="H30" s="876"/>
      <c r="I30" s="876"/>
      <c r="J30" s="866"/>
      <c r="K30" s="867"/>
      <c r="L30" s="868"/>
      <c r="M30" s="858" t="s">
        <v>387</v>
      </c>
      <c r="N30" s="858"/>
      <c r="O30" s="858"/>
      <c r="P30" s="858"/>
      <c r="Q30" s="858"/>
      <c r="R30" s="858"/>
      <c r="S30" s="211"/>
      <c r="T30" s="884" t="s">
        <v>388</v>
      </c>
      <c r="U30" s="861"/>
      <c r="V30" s="861"/>
      <c r="W30" s="861"/>
      <c r="X30" s="861"/>
      <c r="Y30" s="861"/>
      <c r="Z30" s="885"/>
      <c r="AA30" s="866"/>
      <c r="AB30" s="868"/>
      <c r="AC30" s="884" t="s">
        <v>389</v>
      </c>
      <c r="AD30" s="861"/>
      <c r="AE30" s="861"/>
      <c r="AF30" s="861"/>
      <c r="AG30" s="861"/>
      <c r="AH30" s="861"/>
      <c r="AI30" s="861"/>
      <c r="AJ30" s="885"/>
      <c r="AK30" s="211"/>
      <c r="AL30" s="884" t="s">
        <v>390</v>
      </c>
      <c r="AM30" s="861"/>
      <c r="AN30" s="861"/>
      <c r="AO30" s="861"/>
      <c r="AP30" s="861"/>
      <c r="AQ30" s="885"/>
      <c r="AR30" s="211"/>
    </row>
    <row r="31" spans="1:44" ht="13.5" thickBot="1">
      <c r="E31" s="212"/>
      <c r="G31" s="212" t="s">
        <v>391</v>
      </c>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row>
    <row r="32" spans="1:44" ht="13.5" thickBot="1">
      <c r="F32" s="875" t="s">
        <v>392</v>
      </c>
      <c r="G32" s="876"/>
      <c r="H32" s="876"/>
      <c r="I32" s="876"/>
      <c r="J32" s="877"/>
      <c r="K32" s="849"/>
      <c r="L32" s="849"/>
      <c r="M32" s="849" t="s">
        <v>393</v>
      </c>
      <c r="N32" s="849"/>
      <c r="O32" s="849"/>
      <c r="P32" s="849"/>
      <c r="Q32" s="849"/>
      <c r="R32" s="850"/>
      <c r="S32" s="211"/>
      <c r="T32" s="857" t="s">
        <v>394</v>
      </c>
      <c r="U32" s="878"/>
      <c r="V32" s="211"/>
      <c r="W32" s="879" t="s">
        <v>395</v>
      </c>
      <c r="X32" s="880"/>
      <c r="Y32" s="866"/>
      <c r="Z32" s="868"/>
      <c r="AA32" s="881" t="s">
        <v>396</v>
      </c>
      <c r="AB32" s="858"/>
      <c r="AC32" s="878"/>
      <c r="AD32" s="866"/>
      <c r="AE32" s="868"/>
      <c r="AF32" s="881" t="s">
        <v>397</v>
      </c>
      <c r="AG32" s="858"/>
      <c r="AH32" s="858"/>
      <c r="AI32" s="858"/>
      <c r="AJ32" s="878"/>
      <c r="AK32" s="213"/>
      <c r="AL32" s="214" t="s">
        <v>398</v>
      </c>
      <c r="AM32" s="866"/>
      <c r="AN32" s="867"/>
      <c r="AO32" s="867"/>
      <c r="AP32" s="867"/>
      <c r="AQ32" s="867"/>
      <c r="AR32" s="868"/>
    </row>
    <row r="33" spans="1:79">
      <c r="E33" s="212"/>
      <c r="F33" s="212" t="s">
        <v>399</v>
      </c>
    </row>
    <row r="34" spans="1:79" ht="4.5" customHeight="1"/>
    <row r="35" spans="1:79">
      <c r="A35" s="820" t="s">
        <v>400</v>
      </c>
      <c r="B35" s="821"/>
      <c r="C35" s="821"/>
      <c r="D35" s="821"/>
      <c r="E35" s="821"/>
      <c r="F35" s="821"/>
      <c r="G35" s="821"/>
      <c r="H35" s="821"/>
      <c r="I35" s="821"/>
      <c r="J35" s="821"/>
      <c r="K35" s="821"/>
      <c r="L35" s="821"/>
      <c r="M35" s="821"/>
      <c r="N35" s="821"/>
      <c r="O35" s="821"/>
      <c r="P35" s="821"/>
      <c r="Q35" s="821"/>
      <c r="R35" s="821"/>
      <c r="S35" s="821"/>
      <c r="T35" s="821"/>
      <c r="U35" s="821"/>
      <c r="V35" s="821"/>
      <c r="W35" s="821"/>
      <c r="X35" s="821"/>
      <c r="Y35" s="821"/>
      <c r="Z35" s="821"/>
      <c r="AA35" s="821"/>
      <c r="AB35" s="821"/>
      <c r="AC35" s="821"/>
      <c r="AD35" s="821"/>
      <c r="AE35" s="821"/>
      <c r="AF35" s="821"/>
      <c r="AG35" s="821"/>
      <c r="AH35" s="821"/>
      <c r="AI35" s="821"/>
      <c r="AJ35" s="821"/>
      <c r="AK35" s="821"/>
      <c r="AL35" s="821"/>
      <c r="AM35" s="821"/>
      <c r="AN35" s="821"/>
      <c r="AO35" s="821"/>
      <c r="AP35" s="821"/>
      <c r="AQ35" s="821"/>
      <c r="AR35" s="822"/>
    </row>
    <row r="36" spans="1:79" ht="4.5" customHeight="1">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row>
    <row r="37" spans="1:79">
      <c r="A37" s="216" t="s">
        <v>401</v>
      </c>
      <c r="B37" s="204"/>
      <c r="C37" s="204"/>
      <c r="D37" s="204"/>
      <c r="E37" s="204"/>
      <c r="F37" s="204"/>
      <c r="G37" s="204"/>
      <c r="H37" s="204"/>
      <c r="I37" s="204"/>
      <c r="J37" s="204"/>
      <c r="K37" s="204"/>
      <c r="L37" s="217" t="s">
        <v>402</v>
      </c>
      <c r="M37" s="204"/>
      <c r="N37" s="204"/>
      <c r="O37" s="857"/>
      <c r="P37" s="859"/>
      <c r="Q37" s="204"/>
      <c r="R37" s="218"/>
      <c r="S37" s="218"/>
      <c r="T37" s="218"/>
      <c r="U37" s="218"/>
      <c r="V37" s="206"/>
      <c r="W37" s="217" t="s">
        <v>403</v>
      </c>
      <c r="X37" s="206"/>
      <c r="Y37" s="206"/>
      <c r="Z37" s="206"/>
      <c r="AA37" s="857"/>
      <c r="AB37" s="859"/>
      <c r="AC37" s="206"/>
      <c r="AD37" s="204" t="s">
        <v>404</v>
      </c>
      <c r="AE37" s="206"/>
      <c r="AF37" s="204"/>
      <c r="AG37" s="219"/>
      <c r="AH37" s="204"/>
      <c r="AI37" s="220"/>
      <c r="AJ37" s="220"/>
      <c r="AK37" s="220"/>
      <c r="AL37" s="220"/>
      <c r="AM37" s="220"/>
      <c r="AN37" s="220"/>
      <c r="AO37" s="206"/>
      <c r="AP37" s="857"/>
      <c r="AQ37" s="859"/>
      <c r="AR37" s="206"/>
    </row>
    <row r="38" spans="1:79" ht="6.75" customHeight="1" thickBot="1">
      <c r="Z38" s="21"/>
      <c r="AA38" s="21"/>
      <c r="AP38" s="21"/>
      <c r="AQ38" s="21"/>
    </row>
    <row r="39" spans="1:79" ht="13.5" thickBot="1">
      <c r="A39" s="216" t="s">
        <v>405</v>
      </c>
      <c r="P39" s="207" t="s">
        <v>406</v>
      </c>
      <c r="R39" s="869">
        <f>+MEMORIA!I40</f>
        <v>0</v>
      </c>
      <c r="S39" s="870"/>
      <c r="T39" s="871"/>
      <c r="U39" s="221" t="s">
        <v>407</v>
      </c>
      <c r="V39" s="222"/>
      <c r="W39" s="222"/>
      <c r="Y39" s="21"/>
      <c r="Z39" s="221"/>
      <c r="AA39" s="223"/>
      <c r="AB39" s="204"/>
      <c r="AC39" s="204"/>
      <c r="AD39" s="204"/>
      <c r="AE39" s="204"/>
      <c r="AF39" s="204"/>
      <c r="AG39" s="219" t="s">
        <v>408</v>
      </c>
      <c r="AH39" s="204"/>
      <c r="AI39" s="206"/>
      <c r="AJ39" s="206"/>
      <c r="AK39" s="206"/>
      <c r="AL39" s="872">
        <f>+MEMORIA!R40</f>
        <v>0</v>
      </c>
      <c r="AM39" s="873"/>
      <c r="AN39" s="874"/>
      <c r="AO39" s="221" t="s">
        <v>407</v>
      </c>
      <c r="AP39" s="21"/>
      <c r="AQ39" s="207"/>
    </row>
    <row r="40" spans="1:79" ht="2.25" customHeight="1">
      <c r="AA40" s="204"/>
      <c r="AB40" s="204"/>
      <c r="AC40" s="204"/>
      <c r="AD40" s="204"/>
      <c r="AE40" s="204"/>
      <c r="AF40" s="204"/>
      <c r="AG40" s="204"/>
      <c r="AH40" s="204"/>
      <c r="AI40" s="204"/>
      <c r="AJ40" s="204"/>
      <c r="AK40" s="204"/>
      <c r="AL40" s="204"/>
      <c r="AM40" s="204"/>
      <c r="AN40" s="204"/>
      <c r="AO40" s="221"/>
    </row>
    <row r="41" spans="1:79" ht="5.25" customHeight="1" thickBot="1">
      <c r="A41" s="224"/>
      <c r="B41" s="225"/>
      <c r="C41" s="225"/>
      <c r="D41" s="225"/>
      <c r="E41" s="225"/>
      <c r="F41" s="225"/>
      <c r="G41" s="225"/>
      <c r="H41" s="225"/>
      <c r="I41" s="225"/>
      <c r="J41" s="225"/>
      <c r="K41" s="225"/>
      <c r="L41" s="225"/>
      <c r="M41" s="225"/>
      <c r="N41" s="225"/>
      <c r="O41" s="225"/>
      <c r="P41" s="225"/>
      <c r="Q41" s="225"/>
      <c r="R41" s="225"/>
      <c r="S41" s="225"/>
      <c r="T41" s="225"/>
      <c r="U41" s="225"/>
      <c r="V41" s="226"/>
      <c r="AA41" s="204"/>
      <c r="AB41" s="204"/>
      <c r="AC41" s="204"/>
      <c r="AD41" s="204"/>
      <c r="AE41" s="204"/>
      <c r="AF41" s="204"/>
      <c r="AG41" s="204"/>
      <c r="AH41" s="204"/>
      <c r="AI41" s="204"/>
      <c r="AJ41" s="204"/>
      <c r="AK41" s="204"/>
      <c r="AL41" s="204"/>
      <c r="AM41" s="204"/>
      <c r="AN41" s="204"/>
      <c r="AO41" s="221"/>
    </row>
    <row r="42" spans="1:79" ht="13.5" thickBot="1">
      <c r="A42" s="227" t="s">
        <v>409</v>
      </c>
      <c r="I42" s="204"/>
      <c r="J42" s="219" t="s">
        <v>49</v>
      </c>
      <c r="K42" s="204"/>
      <c r="L42" s="213"/>
      <c r="M42" s="204"/>
      <c r="N42" s="204"/>
      <c r="O42" s="219" t="s">
        <v>53</v>
      </c>
      <c r="P42" s="204"/>
      <c r="Q42" s="211"/>
      <c r="R42" s="204"/>
      <c r="S42" s="219" t="s">
        <v>50</v>
      </c>
      <c r="T42" s="204"/>
      <c r="U42" s="211"/>
      <c r="V42" s="228"/>
      <c r="X42" s="21"/>
      <c r="Z42" s="21"/>
      <c r="AA42" s="204" t="s">
        <v>410</v>
      </c>
      <c r="AB42" s="204"/>
      <c r="AC42" s="204"/>
      <c r="AD42" s="204"/>
      <c r="AE42" s="204"/>
      <c r="AF42" s="204"/>
      <c r="AG42" s="204"/>
      <c r="AH42" s="204"/>
      <c r="AI42" s="206"/>
      <c r="AJ42" s="206"/>
      <c r="AK42" s="206"/>
      <c r="AL42" s="863">
        <f>2026-MEMORIA!R166</f>
        <v>2026</v>
      </c>
      <c r="AM42" s="864"/>
      <c r="AN42" s="865"/>
      <c r="AO42" s="221" t="s">
        <v>240</v>
      </c>
      <c r="AQ42" s="207"/>
    </row>
    <row r="43" spans="1:79" ht="3.75" customHeight="1">
      <c r="A43" s="229"/>
      <c r="B43" s="230"/>
      <c r="C43" s="230"/>
      <c r="D43" s="230"/>
      <c r="E43" s="230"/>
      <c r="F43" s="230"/>
      <c r="G43" s="230"/>
      <c r="H43" s="230"/>
      <c r="I43" s="230"/>
      <c r="J43" s="230"/>
      <c r="K43" s="230"/>
      <c r="L43" s="230"/>
      <c r="M43" s="230"/>
      <c r="N43" s="230"/>
      <c r="O43" s="230"/>
      <c r="P43" s="230"/>
      <c r="Q43" s="230"/>
      <c r="R43" s="230"/>
      <c r="S43" s="230"/>
      <c r="T43" s="230"/>
      <c r="U43" s="230"/>
      <c r="V43" s="231"/>
    </row>
    <row r="44" spans="1:79" ht="3.75" hidden="1" customHeight="1"/>
    <row r="45" spans="1:79" ht="5.25" customHeight="1">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row>
    <row r="46" spans="1:79" s="206" customFormat="1">
      <c r="A46" s="204" t="s">
        <v>411</v>
      </c>
      <c r="B46" s="204"/>
      <c r="C46" s="204"/>
      <c r="D46" s="204"/>
      <c r="E46" s="204"/>
      <c r="F46" s="204" t="s">
        <v>412</v>
      </c>
      <c r="G46" s="232"/>
      <c r="H46" s="204" t="s">
        <v>413</v>
      </c>
      <c r="I46" s="233"/>
      <c r="L46" s="204" t="s">
        <v>414</v>
      </c>
      <c r="M46" s="204"/>
      <c r="N46" s="204"/>
      <c r="O46" s="204"/>
      <c r="P46" s="204"/>
      <c r="Q46" s="204"/>
      <c r="R46" s="204"/>
      <c r="T46" s="857"/>
      <c r="U46" s="858"/>
      <c r="V46" s="859"/>
      <c r="W46" s="204"/>
      <c r="Y46" s="204" t="s">
        <v>415</v>
      </c>
      <c r="Z46" s="217"/>
      <c r="AE46" s="204"/>
      <c r="AF46" s="204"/>
      <c r="AG46" s="204"/>
      <c r="AH46" s="857">
        <v>0</v>
      </c>
      <c r="AI46" s="858"/>
      <c r="AJ46" s="858"/>
      <c r="AK46" s="859"/>
      <c r="AS46" s="234"/>
      <c r="AT46" s="234"/>
      <c r="AU46" s="21"/>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row>
    <row r="47" spans="1:79" s="206" customFormat="1">
      <c r="A47" s="204" t="s">
        <v>416</v>
      </c>
      <c r="B47" s="204"/>
      <c r="C47" s="204"/>
      <c r="D47" s="204"/>
      <c r="E47" s="204"/>
      <c r="F47" s="204" t="s">
        <v>412</v>
      </c>
      <c r="G47" s="232"/>
      <c r="H47" s="204" t="s">
        <v>413</v>
      </c>
      <c r="I47" s="235"/>
      <c r="L47" s="204" t="s">
        <v>417</v>
      </c>
      <c r="M47" s="204"/>
      <c r="N47" s="204"/>
      <c r="O47" s="204"/>
      <c r="P47" s="204"/>
      <c r="Q47" s="204"/>
      <c r="S47" s="204" t="s">
        <v>412</v>
      </c>
      <c r="T47" s="233"/>
      <c r="U47" s="204" t="s">
        <v>413</v>
      </c>
      <c r="V47" s="232"/>
      <c r="W47" s="204"/>
      <c r="Y47" s="204" t="s">
        <v>418</v>
      </c>
      <c r="AE47" s="204"/>
      <c r="AF47" s="204" t="s">
        <v>412</v>
      </c>
      <c r="AG47" s="204"/>
      <c r="AH47" s="849"/>
      <c r="AI47" s="849"/>
      <c r="AJ47" s="204" t="s">
        <v>413</v>
      </c>
      <c r="AK47" s="232"/>
      <c r="AS47" s="234"/>
      <c r="AT47" s="234"/>
      <c r="AU47" s="21"/>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row>
    <row r="48" spans="1:79" s="206" customFormat="1">
      <c r="A48" s="204" t="s">
        <v>419</v>
      </c>
      <c r="B48" s="204"/>
      <c r="C48" s="204"/>
      <c r="D48" s="204"/>
      <c r="E48" s="204"/>
      <c r="F48" s="204"/>
      <c r="G48" s="857"/>
      <c r="H48" s="858"/>
      <c r="I48" s="859"/>
      <c r="L48" s="204" t="s">
        <v>420</v>
      </c>
      <c r="M48" s="204"/>
      <c r="N48" s="204"/>
      <c r="O48" s="204"/>
      <c r="P48" s="204"/>
      <c r="Q48" s="204"/>
      <c r="S48" s="204" t="s">
        <v>412</v>
      </c>
      <c r="T48" s="232"/>
      <c r="U48" s="204" t="s">
        <v>413</v>
      </c>
      <c r="V48" s="232"/>
      <c r="W48" s="204"/>
      <c r="Y48" s="204" t="s">
        <v>421</v>
      </c>
      <c r="AE48" s="204"/>
      <c r="AF48" s="204" t="s">
        <v>412</v>
      </c>
      <c r="AG48" s="204"/>
      <c r="AH48" s="849"/>
      <c r="AI48" s="849"/>
      <c r="AJ48" s="204" t="s">
        <v>413</v>
      </c>
      <c r="AK48" s="232"/>
      <c r="AS48" s="234"/>
      <c r="AT48" s="234"/>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row>
    <row r="49" spans="1:79" s="206" customFormat="1">
      <c r="A49" s="204" t="s">
        <v>422</v>
      </c>
      <c r="B49" s="204"/>
      <c r="C49" s="204"/>
      <c r="D49" s="204"/>
      <c r="E49" s="204"/>
      <c r="F49" s="204" t="s">
        <v>412</v>
      </c>
      <c r="G49" s="233"/>
      <c r="H49" s="204" t="s">
        <v>413</v>
      </c>
      <c r="I49" s="232"/>
      <c r="L49" s="204" t="s">
        <v>423</v>
      </c>
      <c r="M49" s="204"/>
      <c r="N49" s="204"/>
      <c r="O49" s="204"/>
      <c r="P49" s="204"/>
      <c r="Q49" s="204"/>
      <c r="S49" s="204" t="s">
        <v>412</v>
      </c>
      <c r="T49" s="232"/>
      <c r="U49" s="204" t="s">
        <v>413</v>
      </c>
      <c r="V49" s="232"/>
      <c r="W49" s="204"/>
      <c r="Y49" s="204" t="s">
        <v>424</v>
      </c>
      <c r="Z49" s="204"/>
      <c r="AA49" s="204"/>
      <c r="AB49" s="204"/>
      <c r="AC49" s="204"/>
      <c r="AD49" s="204"/>
      <c r="AE49" s="204"/>
      <c r="AF49" s="204" t="s">
        <v>412</v>
      </c>
      <c r="AG49" s="204"/>
      <c r="AH49" s="849"/>
      <c r="AI49" s="849"/>
      <c r="AJ49" s="204" t="s">
        <v>413</v>
      </c>
      <c r="AK49" s="232"/>
      <c r="AO49" s="236"/>
      <c r="AS49" s="234"/>
      <c r="AT49" s="234"/>
      <c r="AU49" s="21"/>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row>
    <row r="50" spans="1:79" s="206" customFormat="1">
      <c r="A50" s="204"/>
      <c r="B50" s="204"/>
      <c r="C50" s="204"/>
      <c r="D50" s="204"/>
      <c r="E50" s="204"/>
      <c r="F50" s="204"/>
      <c r="G50" s="237"/>
      <c r="H50" s="204"/>
      <c r="I50" s="238"/>
      <c r="L50" s="204" t="s">
        <v>425</v>
      </c>
      <c r="M50" s="204"/>
      <c r="N50" s="204"/>
      <c r="O50" s="204"/>
      <c r="P50" s="204"/>
      <c r="Q50" s="204"/>
      <c r="S50" s="204" t="s">
        <v>412</v>
      </c>
      <c r="T50" s="232"/>
      <c r="U50" s="239" t="s">
        <v>413</v>
      </c>
      <c r="V50" s="232"/>
      <c r="W50" s="204"/>
      <c r="Y50" s="204" t="s">
        <v>426</v>
      </c>
      <c r="Z50" s="204"/>
      <c r="AA50" s="204"/>
      <c r="AB50" s="204"/>
      <c r="AC50" s="204"/>
      <c r="AD50" s="204"/>
      <c r="AE50" s="204"/>
      <c r="AF50" s="204" t="s">
        <v>412</v>
      </c>
      <c r="AG50" s="204"/>
      <c r="AH50" s="849"/>
      <c r="AI50" s="849"/>
      <c r="AJ50" s="204" t="s">
        <v>413</v>
      </c>
      <c r="AK50" s="232"/>
      <c r="AO50" s="236"/>
      <c r="AS50" s="234"/>
      <c r="AT50" s="234"/>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row>
    <row r="51" spans="1:79" s="206" customFormat="1">
      <c r="A51" s="204"/>
      <c r="B51" s="204"/>
      <c r="C51" s="204"/>
      <c r="D51" s="204"/>
      <c r="E51" s="204"/>
      <c r="F51" s="204"/>
      <c r="G51" s="204"/>
      <c r="H51" s="204"/>
      <c r="I51" s="217"/>
      <c r="J51" s="204"/>
      <c r="K51" s="204"/>
      <c r="L51" s="204"/>
      <c r="M51" s="204"/>
      <c r="N51" s="204"/>
      <c r="O51" s="204"/>
      <c r="P51" s="204"/>
      <c r="Q51" s="204"/>
      <c r="R51" s="204"/>
      <c r="S51" s="217"/>
      <c r="T51" s="204"/>
      <c r="U51" s="217"/>
      <c r="W51" s="204"/>
      <c r="Y51" s="204" t="s">
        <v>427</v>
      </c>
      <c r="Z51" s="204"/>
      <c r="AA51" s="204"/>
      <c r="AB51" s="204"/>
      <c r="AC51" s="204"/>
      <c r="AD51" s="204"/>
      <c r="AE51" s="204"/>
      <c r="AF51" s="204" t="s">
        <v>412</v>
      </c>
      <c r="AG51" s="204"/>
      <c r="AH51" s="849"/>
      <c r="AI51" s="849"/>
      <c r="AJ51" s="204" t="s">
        <v>413</v>
      </c>
      <c r="AK51" s="232"/>
      <c r="AO51" s="236"/>
      <c r="AP51" s="204"/>
      <c r="AQ51" s="204"/>
      <c r="AR51" s="204"/>
      <c r="AS51" s="234"/>
      <c r="AT51" s="234"/>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row>
    <row r="52" spans="1:79" s="206" customFormat="1">
      <c r="A52" s="204"/>
      <c r="B52" s="204"/>
      <c r="C52" s="204"/>
      <c r="D52" s="204"/>
      <c r="E52" s="204"/>
      <c r="F52" s="204"/>
      <c r="G52" s="204"/>
      <c r="H52" s="204"/>
      <c r="I52" s="217"/>
      <c r="J52" s="204"/>
      <c r="K52" s="204"/>
      <c r="L52" s="204"/>
      <c r="M52" s="204"/>
      <c r="N52" s="204"/>
      <c r="O52" s="204"/>
      <c r="P52" s="204"/>
      <c r="Q52" s="204"/>
      <c r="R52" s="204"/>
      <c r="S52" s="217"/>
      <c r="T52" s="204"/>
      <c r="U52" s="217"/>
      <c r="W52" s="204"/>
      <c r="Y52" s="204" t="s">
        <v>428</v>
      </c>
      <c r="Z52" s="204"/>
      <c r="AA52" s="204"/>
      <c r="AB52" s="204"/>
      <c r="AC52" s="204"/>
      <c r="AD52" s="204"/>
      <c r="AE52" s="204"/>
      <c r="AF52" s="204" t="s">
        <v>412</v>
      </c>
      <c r="AG52" s="204"/>
      <c r="AH52" s="849"/>
      <c r="AI52" s="849"/>
      <c r="AJ52" s="204" t="s">
        <v>413</v>
      </c>
      <c r="AK52" s="232"/>
      <c r="AL52" s="236"/>
      <c r="AM52" s="236"/>
      <c r="AN52" s="236"/>
      <c r="AO52" s="236"/>
      <c r="AP52" s="204"/>
      <c r="AQ52" s="204"/>
      <c r="AR52" s="204"/>
      <c r="AS52" s="234"/>
      <c r="AT52" s="234"/>
      <c r="AU52" s="21"/>
      <c r="AV52" s="21"/>
      <c r="AW52" s="21"/>
      <c r="AX52" s="21"/>
      <c r="AY52" s="21"/>
      <c r="AZ52" s="21"/>
      <c r="BA52" s="21"/>
      <c r="BB52" s="21"/>
      <c r="BC52" s="21"/>
      <c r="BD52" s="21"/>
      <c r="BE52" s="21"/>
      <c r="BF52" s="21"/>
      <c r="BG52" s="21"/>
      <c r="BH52" s="21"/>
      <c r="BI52" s="21"/>
      <c r="BJ52" s="21"/>
      <c r="BK52" s="21"/>
      <c r="BL52" s="21"/>
      <c r="BM52" s="21"/>
      <c r="BN52" s="21"/>
      <c r="BO52" s="21"/>
      <c r="BP52" s="21"/>
      <c r="BQ52" s="21"/>
      <c r="BR52" s="21"/>
      <c r="BS52" s="21"/>
      <c r="BT52" s="21"/>
      <c r="BU52" s="21"/>
      <c r="BV52" s="21"/>
      <c r="BW52" s="21"/>
      <c r="BX52" s="21"/>
      <c r="BY52" s="21"/>
      <c r="BZ52" s="21"/>
      <c r="CA52" s="21"/>
    </row>
    <row r="53" spans="1:79" ht="6" hidden="1" customHeight="1">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row>
    <row r="54" spans="1:79" ht="6" customHeight="1">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row>
    <row r="55" spans="1:79">
      <c r="A55" s="820" t="s">
        <v>429</v>
      </c>
      <c r="B55" s="821"/>
      <c r="C55" s="821"/>
      <c r="D55" s="821"/>
      <c r="E55" s="821"/>
      <c r="F55" s="821"/>
      <c r="G55" s="821"/>
      <c r="H55" s="821"/>
      <c r="I55" s="821"/>
      <c r="J55" s="821"/>
      <c r="K55" s="821"/>
      <c r="L55" s="821"/>
      <c r="M55" s="821"/>
      <c r="N55" s="821"/>
      <c r="O55" s="821"/>
      <c r="P55" s="821"/>
      <c r="Q55" s="821"/>
      <c r="R55" s="821"/>
      <c r="S55" s="821"/>
      <c r="T55" s="821"/>
      <c r="U55" s="821"/>
      <c r="V55" s="821"/>
      <c r="W55" s="821"/>
      <c r="X55" s="821"/>
      <c r="Y55" s="821"/>
      <c r="Z55" s="821"/>
      <c r="AA55" s="821"/>
      <c r="AB55" s="821"/>
      <c r="AC55" s="821"/>
      <c r="AD55" s="821"/>
      <c r="AE55" s="821"/>
      <c r="AF55" s="821"/>
      <c r="AG55" s="821"/>
      <c r="AH55" s="821"/>
      <c r="AI55" s="821"/>
      <c r="AJ55" s="821"/>
      <c r="AK55" s="821"/>
      <c r="AL55" s="821"/>
      <c r="AM55" s="821"/>
      <c r="AN55" s="821"/>
      <c r="AO55" s="821"/>
      <c r="AP55" s="821"/>
      <c r="AQ55" s="821"/>
      <c r="AR55" s="822"/>
    </row>
    <row r="56" spans="1:79" ht="3.75" customHeight="1"/>
    <row r="57" spans="1:79" s="206" customFormat="1">
      <c r="A57" s="240" t="s">
        <v>430</v>
      </c>
      <c r="B57" s="241"/>
      <c r="C57" s="241"/>
      <c r="D57" s="241"/>
      <c r="E57" s="241"/>
      <c r="F57" s="241"/>
      <c r="G57" s="241"/>
      <c r="H57" s="241"/>
      <c r="I57" s="241"/>
      <c r="J57" s="241"/>
      <c r="K57" s="241"/>
      <c r="L57" s="241"/>
      <c r="M57" s="241"/>
      <c r="N57" s="241"/>
      <c r="O57" s="241"/>
      <c r="P57" s="241"/>
      <c r="Q57" s="241"/>
      <c r="R57" s="241"/>
      <c r="S57" s="241"/>
      <c r="T57" s="241"/>
      <c r="U57" s="241"/>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34"/>
      <c r="AT57" s="234"/>
      <c r="AU57" s="21"/>
      <c r="AV57" s="21"/>
      <c r="AW57" s="21"/>
      <c r="AX57" s="21"/>
      <c r="AY57" s="21"/>
      <c r="AZ57" s="21"/>
      <c r="BA57" s="21"/>
      <c r="BB57" s="21"/>
      <c r="BC57" s="21"/>
      <c r="BD57" s="21"/>
      <c r="BE57" s="21"/>
      <c r="BF57" s="21"/>
      <c r="BG57" s="21"/>
      <c r="BH57" s="21"/>
      <c r="BI57" s="21"/>
      <c r="BJ57" s="21"/>
      <c r="BK57" s="21"/>
      <c r="BL57" s="21"/>
      <c r="BM57" s="21"/>
      <c r="BN57" s="21"/>
      <c r="BO57" s="21"/>
      <c r="BP57" s="21"/>
      <c r="BQ57" s="21"/>
      <c r="BR57" s="21"/>
      <c r="BS57" s="21"/>
      <c r="BT57" s="21"/>
      <c r="BU57" s="21"/>
      <c r="BV57" s="21"/>
      <c r="BW57" s="21"/>
      <c r="BX57" s="21"/>
      <c r="BY57" s="21"/>
      <c r="BZ57" s="21"/>
      <c r="CA57" s="21"/>
    </row>
    <row r="58" spans="1:79" s="206" customFormat="1">
      <c r="A58" s="242" t="s">
        <v>431</v>
      </c>
      <c r="B58" s="237"/>
      <c r="C58" s="237"/>
      <c r="D58" s="237"/>
      <c r="E58" s="237"/>
      <c r="F58" s="237"/>
      <c r="G58" s="237"/>
      <c r="H58" s="237"/>
      <c r="I58" s="237"/>
      <c r="J58" s="242" t="s">
        <v>432</v>
      </c>
      <c r="K58" s="237"/>
      <c r="L58" s="237"/>
      <c r="M58" s="237"/>
      <c r="N58" s="237"/>
      <c r="O58" s="237"/>
      <c r="P58" s="237"/>
      <c r="Q58" s="242" t="s">
        <v>433</v>
      </c>
      <c r="R58" s="237"/>
      <c r="S58" s="237"/>
      <c r="T58" s="237"/>
      <c r="U58" s="237"/>
      <c r="V58" s="237"/>
      <c r="W58" s="237"/>
      <c r="X58" s="242" t="s">
        <v>434</v>
      </c>
      <c r="Y58" s="237"/>
      <c r="Z58" s="237"/>
      <c r="AA58" s="237"/>
      <c r="AB58" s="237"/>
      <c r="AC58" s="237"/>
      <c r="AD58" s="237"/>
      <c r="AE58" s="242" t="s">
        <v>435</v>
      </c>
      <c r="AF58" s="237"/>
      <c r="AG58" s="237"/>
      <c r="AH58" s="237"/>
      <c r="AI58" s="237"/>
      <c r="AJ58" s="237"/>
      <c r="AK58" s="237"/>
      <c r="AL58" s="237"/>
      <c r="AM58" s="237"/>
      <c r="AN58" s="237"/>
      <c r="AO58" s="237"/>
      <c r="AP58" s="237"/>
      <c r="AQ58" s="237"/>
      <c r="AR58" s="243"/>
      <c r="AS58" s="234"/>
      <c r="AT58" s="234"/>
      <c r="AU58" s="21"/>
      <c r="AV58" s="21"/>
      <c r="AW58" s="21"/>
      <c r="AX58" s="21"/>
      <c r="AY58" s="21"/>
      <c r="AZ58" s="21"/>
      <c r="BA58" s="21"/>
      <c r="BB58" s="21"/>
      <c r="BC58" s="21"/>
      <c r="BD58" s="21"/>
      <c r="BE58" s="21"/>
      <c r="BF58" s="21"/>
      <c r="BG58" s="21"/>
      <c r="BH58" s="21"/>
      <c r="BI58" s="21"/>
      <c r="BJ58" s="21"/>
      <c r="BK58" s="21"/>
      <c r="BL58" s="21"/>
      <c r="BM58" s="21"/>
      <c r="BN58" s="21"/>
      <c r="BO58" s="21"/>
      <c r="BP58" s="21"/>
      <c r="BQ58" s="21"/>
      <c r="BR58" s="21"/>
      <c r="BS58" s="21"/>
      <c r="BT58" s="21"/>
      <c r="BU58" s="21"/>
      <c r="BV58" s="21"/>
      <c r="BW58" s="21"/>
      <c r="BX58" s="21"/>
      <c r="BY58" s="21"/>
      <c r="BZ58" s="21"/>
      <c r="CA58" s="21"/>
    </row>
    <row r="59" spans="1:79" s="206" customFormat="1">
      <c r="A59" s="244" t="s">
        <v>436</v>
      </c>
      <c r="B59" s="204"/>
      <c r="C59" s="204"/>
      <c r="D59" s="204"/>
      <c r="E59" s="204"/>
      <c r="F59" s="204"/>
      <c r="G59" s="204"/>
      <c r="H59" s="232"/>
      <c r="I59" s="204"/>
      <c r="J59" s="244" t="s">
        <v>437</v>
      </c>
      <c r="K59" s="204"/>
      <c r="L59" s="204"/>
      <c r="M59" s="204"/>
      <c r="N59" s="204"/>
      <c r="O59" s="232"/>
      <c r="P59" s="204"/>
      <c r="Q59" s="244" t="s">
        <v>437</v>
      </c>
      <c r="R59" s="204"/>
      <c r="S59" s="204"/>
      <c r="T59" s="204"/>
      <c r="U59" s="204"/>
      <c r="V59" s="232"/>
      <c r="W59" s="204"/>
      <c r="X59" s="244" t="s">
        <v>438</v>
      </c>
      <c r="Y59" s="204"/>
      <c r="Z59" s="204"/>
      <c r="AA59" s="204"/>
      <c r="AB59" s="204"/>
      <c r="AC59" s="232"/>
      <c r="AD59" s="204"/>
      <c r="AE59" s="244" t="s">
        <v>439</v>
      </c>
      <c r="AF59" s="204"/>
      <c r="AG59" s="204"/>
      <c r="AH59" s="204"/>
      <c r="AI59" s="204"/>
      <c r="AJ59" s="232"/>
      <c r="AK59" s="204"/>
      <c r="AL59" s="204"/>
      <c r="AM59" s="204" t="s">
        <v>440</v>
      </c>
      <c r="AN59" s="204"/>
      <c r="AO59" s="204"/>
      <c r="AP59" s="204"/>
      <c r="AQ59" s="204"/>
      <c r="AR59" s="245"/>
      <c r="AS59" s="234"/>
      <c r="AT59" s="234"/>
      <c r="AU59" s="21"/>
      <c r="AV59" s="21"/>
      <c r="AW59" s="21"/>
      <c r="AX59" s="21"/>
      <c r="AY59" s="21"/>
      <c r="AZ59" s="21"/>
      <c r="BA59" s="21"/>
      <c r="BB59" s="21"/>
      <c r="BC59" s="21"/>
      <c r="BD59" s="21"/>
      <c r="BE59" s="21"/>
      <c r="BF59" s="21"/>
      <c r="BG59" s="21"/>
      <c r="BH59" s="21"/>
      <c r="BI59" s="21"/>
      <c r="BJ59" s="21"/>
      <c r="BK59" s="21"/>
      <c r="BL59" s="21"/>
      <c r="BM59" s="21"/>
      <c r="BN59" s="21"/>
      <c r="BO59" s="21"/>
      <c r="BP59" s="21"/>
      <c r="BQ59" s="21"/>
      <c r="BR59" s="21"/>
      <c r="BS59" s="21"/>
      <c r="BT59" s="21"/>
      <c r="BU59" s="21"/>
      <c r="BV59" s="21"/>
      <c r="BW59" s="21"/>
      <c r="BX59" s="21"/>
      <c r="BY59" s="21"/>
      <c r="BZ59" s="21"/>
      <c r="CA59" s="21"/>
    </row>
    <row r="60" spans="1:79" s="206" customFormat="1">
      <c r="A60" s="244" t="s">
        <v>441</v>
      </c>
      <c r="B60" s="204"/>
      <c r="C60" s="204"/>
      <c r="D60" s="204"/>
      <c r="E60" s="204"/>
      <c r="F60" s="204"/>
      <c r="G60" s="204"/>
      <c r="H60" s="232"/>
      <c r="I60" s="204"/>
      <c r="J60" s="244" t="s">
        <v>442</v>
      </c>
      <c r="K60" s="204"/>
      <c r="L60" s="204"/>
      <c r="M60" s="204"/>
      <c r="N60" s="204"/>
      <c r="O60" s="233"/>
      <c r="P60" s="204"/>
      <c r="Q60" s="244" t="s">
        <v>442</v>
      </c>
      <c r="R60" s="204"/>
      <c r="S60" s="204"/>
      <c r="T60" s="204"/>
      <c r="U60" s="204"/>
      <c r="V60" s="233"/>
      <c r="W60" s="204"/>
      <c r="X60" s="244" t="s">
        <v>443</v>
      </c>
      <c r="Y60" s="204"/>
      <c r="Z60" s="204"/>
      <c r="AA60" s="204"/>
      <c r="AB60" s="204"/>
      <c r="AC60" s="232"/>
      <c r="AD60" s="204"/>
      <c r="AE60" s="244" t="s">
        <v>444</v>
      </c>
      <c r="AF60" s="204"/>
      <c r="AG60" s="204"/>
      <c r="AH60" s="204"/>
      <c r="AI60" s="204"/>
      <c r="AJ60" s="232"/>
      <c r="AK60" s="204" t="s">
        <v>445</v>
      </c>
      <c r="AL60" s="204"/>
      <c r="AM60" s="204"/>
      <c r="AN60" s="232"/>
      <c r="AO60" s="204" t="s">
        <v>439</v>
      </c>
      <c r="AP60" s="204"/>
      <c r="AQ60" s="204"/>
      <c r="AR60" s="232"/>
      <c r="AS60" s="234"/>
      <c r="AT60" s="234"/>
      <c r="AU60" s="21"/>
      <c r="AV60" s="21"/>
      <c r="AW60" s="21"/>
      <c r="AX60" s="21"/>
      <c r="AY60" s="21"/>
      <c r="AZ60" s="21"/>
      <c r="BA60" s="21"/>
      <c r="BB60" s="21"/>
      <c r="BC60" s="21"/>
      <c r="BD60" s="21"/>
      <c r="BE60" s="21"/>
      <c r="BF60" s="21"/>
      <c r="BG60" s="21"/>
      <c r="BH60" s="21"/>
      <c r="BI60" s="21"/>
      <c r="BJ60" s="21"/>
      <c r="BK60" s="21"/>
      <c r="BL60" s="21"/>
      <c r="BM60" s="21"/>
      <c r="BN60" s="21"/>
      <c r="BO60" s="21"/>
      <c r="BP60" s="21"/>
      <c r="BQ60" s="21"/>
      <c r="BR60" s="21"/>
      <c r="BS60" s="21"/>
      <c r="BT60" s="21"/>
      <c r="BU60" s="21"/>
      <c r="BV60" s="21"/>
      <c r="BW60" s="21"/>
      <c r="BX60" s="21"/>
      <c r="BY60" s="21"/>
      <c r="BZ60" s="21"/>
      <c r="CA60" s="21"/>
    </row>
    <row r="61" spans="1:79" s="206" customFormat="1">
      <c r="A61" s="246" t="s">
        <v>446</v>
      </c>
      <c r="B61" s="205"/>
      <c r="C61" s="205"/>
      <c r="D61" s="205"/>
      <c r="E61" s="205"/>
      <c r="F61" s="205"/>
      <c r="G61" s="205"/>
      <c r="H61" s="232"/>
      <c r="I61" s="205"/>
      <c r="J61" s="246" t="s">
        <v>447</v>
      </c>
      <c r="K61" s="205"/>
      <c r="L61" s="205"/>
      <c r="M61" s="205"/>
      <c r="N61" s="205"/>
      <c r="O61" s="232"/>
      <c r="P61" s="205"/>
      <c r="Q61" s="246" t="s">
        <v>447</v>
      </c>
      <c r="R61" s="205"/>
      <c r="S61" s="205"/>
      <c r="T61" s="205"/>
      <c r="U61" s="247"/>
      <c r="V61" s="232"/>
      <c r="W61" s="205"/>
      <c r="X61" s="246"/>
      <c r="Y61" s="205"/>
      <c r="Z61" s="205"/>
      <c r="AA61" s="205"/>
      <c r="AB61" s="205"/>
      <c r="AC61" s="205"/>
      <c r="AD61" s="205"/>
      <c r="AE61" s="246"/>
      <c r="AF61" s="205"/>
      <c r="AG61" s="205"/>
      <c r="AH61" s="205"/>
      <c r="AI61" s="205"/>
      <c r="AJ61" s="205"/>
      <c r="AK61" s="205" t="s">
        <v>448</v>
      </c>
      <c r="AL61" s="205"/>
      <c r="AM61" s="205"/>
      <c r="AN61" s="232"/>
      <c r="AO61" s="205" t="s">
        <v>28</v>
      </c>
      <c r="AP61" s="205"/>
      <c r="AQ61" s="205"/>
      <c r="AR61" s="233"/>
      <c r="AS61" s="234"/>
      <c r="AT61" s="234"/>
      <c r="AU61" s="21"/>
      <c r="AV61" s="21"/>
      <c r="AW61" s="21"/>
      <c r="AX61" s="21"/>
      <c r="AY61" s="21"/>
      <c r="AZ61" s="21"/>
      <c r="BA61" s="21"/>
      <c r="BB61" s="21"/>
      <c r="BC61" s="21"/>
      <c r="BD61" s="21"/>
      <c r="BE61" s="21"/>
      <c r="BF61" s="21"/>
      <c r="BG61" s="21"/>
      <c r="BH61" s="21"/>
      <c r="BI61" s="21"/>
      <c r="BJ61" s="21"/>
      <c r="BK61" s="21"/>
      <c r="BL61" s="21"/>
      <c r="BM61" s="21"/>
      <c r="BN61" s="21"/>
      <c r="BO61" s="21"/>
      <c r="BP61" s="21"/>
      <c r="BQ61" s="21"/>
      <c r="BR61" s="21"/>
      <c r="BS61" s="21"/>
      <c r="BT61" s="21"/>
      <c r="BU61" s="21"/>
      <c r="BV61" s="21"/>
      <c r="BW61" s="21"/>
      <c r="BX61" s="21"/>
      <c r="BY61" s="21"/>
      <c r="BZ61" s="21"/>
      <c r="CA61" s="21"/>
    </row>
    <row r="62" spans="1:79" s="206" customFormat="1" ht="5.25" customHeight="1">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34"/>
      <c r="AT62" s="234"/>
      <c r="AU62" s="21"/>
      <c r="AV62" s="21"/>
      <c r="AW62" s="21"/>
      <c r="AX62" s="21"/>
      <c r="AY62" s="21"/>
      <c r="AZ62" s="21"/>
      <c r="BA62" s="21"/>
      <c r="BB62" s="21"/>
      <c r="BC62" s="21"/>
      <c r="BD62" s="21"/>
      <c r="BE62" s="21"/>
      <c r="BF62" s="21"/>
      <c r="BG62" s="21"/>
      <c r="BH62" s="21"/>
      <c r="BI62" s="21"/>
      <c r="BJ62" s="21"/>
      <c r="BK62" s="21"/>
      <c r="BL62" s="21"/>
      <c r="BM62" s="21"/>
      <c r="BN62" s="21"/>
      <c r="BO62" s="21"/>
      <c r="BP62" s="21"/>
      <c r="BQ62" s="21"/>
      <c r="BR62" s="21"/>
      <c r="BS62" s="21"/>
      <c r="BT62" s="21"/>
      <c r="BU62" s="21"/>
      <c r="BV62" s="21"/>
      <c r="BW62" s="21"/>
      <c r="BX62" s="21"/>
      <c r="BY62" s="21"/>
      <c r="BZ62" s="21"/>
      <c r="CA62" s="21"/>
    </row>
    <row r="63" spans="1:79" s="206" customFormat="1">
      <c r="A63" s="248" t="s">
        <v>449</v>
      </c>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34"/>
      <c r="AT63" s="234"/>
      <c r="AU63" s="21"/>
      <c r="AV63" s="21"/>
      <c r="AW63" s="21"/>
      <c r="AX63" s="21"/>
      <c r="AY63" s="21"/>
      <c r="AZ63" s="21"/>
      <c r="BA63" s="21"/>
      <c r="BB63" s="21"/>
      <c r="BC63" s="21"/>
      <c r="BD63" s="21"/>
      <c r="BE63" s="21"/>
      <c r="BF63" s="21"/>
      <c r="BG63" s="21"/>
      <c r="BH63" s="21"/>
      <c r="BI63" s="21"/>
      <c r="BJ63" s="21"/>
      <c r="BK63" s="21"/>
      <c r="BL63" s="21"/>
      <c r="BM63" s="21"/>
      <c r="BN63" s="21"/>
      <c r="BO63" s="21"/>
      <c r="BP63" s="21"/>
      <c r="BQ63" s="21"/>
      <c r="BR63" s="21"/>
      <c r="BS63" s="21"/>
      <c r="BT63" s="21"/>
      <c r="BU63" s="21"/>
      <c r="BV63" s="21"/>
      <c r="BW63" s="21"/>
      <c r="BX63" s="21"/>
      <c r="BY63" s="21"/>
      <c r="BZ63" s="21"/>
      <c r="CA63" s="21"/>
    </row>
    <row r="64" spans="1:79" s="206" customFormat="1" ht="5.25" hidden="1" customHeight="1">
      <c r="A64" s="248"/>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34"/>
      <c r="AT64" s="234"/>
      <c r="AU64" s="21"/>
      <c r="AV64" s="21"/>
      <c r="AW64" s="21"/>
      <c r="AX64" s="21"/>
      <c r="AY64" s="21"/>
      <c r="AZ64" s="21"/>
      <c r="BA64" s="21"/>
      <c r="BB64" s="21"/>
      <c r="BC64" s="21"/>
      <c r="BD64" s="21"/>
      <c r="BE64" s="21"/>
      <c r="BF64" s="21"/>
      <c r="BG64" s="21"/>
      <c r="BH64" s="21"/>
      <c r="BI64" s="21"/>
      <c r="BJ64" s="21"/>
      <c r="BK64" s="21"/>
      <c r="BL64" s="21"/>
      <c r="BM64" s="21"/>
      <c r="BN64" s="21"/>
      <c r="BO64" s="21"/>
      <c r="BP64" s="21"/>
      <c r="BQ64" s="21"/>
      <c r="BR64" s="21"/>
      <c r="BS64" s="21"/>
      <c r="BT64" s="21"/>
      <c r="BU64" s="21"/>
      <c r="BV64" s="21"/>
      <c r="BW64" s="21"/>
      <c r="BX64" s="21"/>
      <c r="BY64" s="21"/>
      <c r="BZ64" s="21"/>
      <c r="CA64" s="21"/>
    </row>
    <row r="65" spans="1:79" s="206" customFormat="1" ht="5.25" customHeight="1">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34"/>
      <c r="AT65" s="234"/>
      <c r="AU65" s="21"/>
      <c r="AV65" s="21"/>
      <c r="AW65" s="21"/>
      <c r="AX65" s="21"/>
      <c r="AY65" s="21"/>
      <c r="AZ65" s="21"/>
      <c r="BA65" s="21"/>
      <c r="BB65" s="21"/>
      <c r="BC65" s="21"/>
      <c r="BD65" s="21"/>
      <c r="BE65" s="21"/>
      <c r="BF65" s="21"/>
      <c r="BG65" s="21"/>
      <c r="BH65" s="21"/>
      <c r="BI65" s="21"/>
      <c r="BJ65" s="21"/>
      <c r="BK65" s="21"/>
      <c r="BL65" s="21"/>
      <c r="BM65" s="21"/>
      <c r="BN65" s="21"/>
      <c r="BO65" s="21"/>
      <c r="BP65" s="21"/>
      <c r="BQ65" s="21"/>
      <c r="BR65" s="21"/>
      <c r="BS65" s="21"/>
      <c r="BT65" s="21"/>
      <c r="BU65" s="21"/>
      <c r="BV65" s="21"/>
      <c r="BW65" s="21"/>
      <c r="BX65" s="21"/>
      <c r="BY65" s="21"/>
      <c r="BZ65" s="21"/>
      <c r="CA65" s="21"/>
    </row>
    <row r="66" spans="1:79" s="206" customFormat="1">
      <c r="A66" s="237"/>
      <c r="B66" s="249" t="s">
        <v>450</v>
      </c>
      <c r="C66" s="249"/>
      <c r="D66" s="237"/>
      <c r="E66" s="237" t="s">
        <v>451</v>
      </c>
      <c r="F66" s="237"/>
      <c r="G66" s="237"/>
      <c r="H66" s="237"/>
      <c r="I66" s="237" t="s">
        <v>452</v>
      </c>
      <c r="J66" s="237"/>
      <c r="K66" s="237"/>
      <c r="L66" s="237"/>
      <c r="M66" s="857"/>
      <c r="N66" s="859"/>
      <c r="O66" s="237" t="s">
        <v>453</v>
      </c>
      <c r="P66" s="237"/>
      <c r="Q66" s="237"/>
      <c r="R66" s="857"/>
      <c r="S66" s="859"/>
      <c r="T66" s="237" t="s">
        <v>454</v>
      </c>
      <c r="U66" s="237"/>
      <c r="V66" s="237"/>
      <c r="W66" s="237"/>
      <c r="X66" s="857"/>
      <c r="Y66" s="859"/>
      <c r="Z66" s="204"/>
      <c r="AA66" s="204"/>
      <c r="AB66" s="250" t="s">
        <v>455</v>
      </c>
      <c r="AC66" s="237"/>
      <c r="AD66" s="237"/>
      <c r="AE66" s="237"/>
      <c r="AF66" s="237"/>
      <c r="AG66" s="237"/>
      <c r="AH66" s="237" t="s">
        <v>31</v>
      </c>
      <c r="AI66" s="237"/>
      <c r="AJ66" s="237"/>
      <c r="AK66" s="233"/>
      <c r="AL66" s="237" t="s">
        <v>456</v>
      </c>
      <c r="AM66" s="237"/>
      <c r="AN66" s="237"/>
      <c r="AO66" s="232"/>
      <c r="AP66" s="237"/>
      <c r="AQ66" s="237"/>
      <c r="AR66" s="243"/>
      <c r="AS66" s="234"/>
      <c r="AT66" s="234"/>
      <c r="AU66" s="21"/>
      <c r="AV66" s="21"/>
      <c r="AW66" s="21"/>
      <c r="AX66" s="21"/>
      <c r="AY66" s="21"/>
      <c r="AZ66" s="21"/>
      <c r="BA66" s="21"/>
      <c r="BB66" s="21"/>
      <c r="BC66" s="21"/>
      <c r="BD66" s="21"/>
      <c r="BE66" s="21"/>
      <c r="BF66" s="21"/>
      <c r="BG66" s="21"/>
      <c r="BH66" s="21"/>
      <c r="BI66" s="21"/>
      <c r="BJ66" s="21"/>
      <c r="BK66" s="21"/>
      <c r="BL66" s="21"/>
      <c r="BM66" s="21"/>
      <c r="BN66" s="21"/>
      <c r="BO66" s="21"/>
      <c r="BP66" s="21"/>
      <c r="BQ66" s="21"/>
      <c r="BR66" s="21"/>
      <c r="BS66" s="21"/>
      <c r="BT66" s="21"/>
      <c r="BU66" s="21"/>
      <c r="BV66" s="21"/>
      <c r="BW66" s="21"/>
      <c r="BX66" s="21"/>
      <c r="BY66" s="21"/>
      <c r="BZ66" s="21"/>
      <c r="CA66" s="21"/>
    </row>
    <row r="67" spans="1:79" s="206" customFormat="1">
      <c r="A67" s="205"/>
      <c r="B67" s="205"/>
      <c r="C67" s="205"/>
      <c r="D67" s="205"/>
      <c r="E67" s="205" t="s">
        <v>457</v>
      </c>
      <c r="F67" s="205"/>
      <c r="G67" s="205"/>
      <c r="H67" s="205"/>
      <c r="I67" s="205" t="s">
        <v>458</v>
      </c>
      <c r="J67" s="205"/>
      <c r="K67" s="205"/>
      <c r="L67" s="205"/>
      <c r="M67" s="857"/>
      <c r="N67" s="859"/>
      <c r="O67" s="205" t="s">
        <v>459</v>
      </c>
      <c r="P67" s="205"/>
      <c r="Q67" s="205"/>
      <c r="R67" s="857" t="s">
        <v>460</v>
      </c>
      <c r="S67" s="859"/>
      <c r="T67" s="205" t="s">
        <v>461</v>
      </c>
      <c r="U67" s="205"/>
      <c r="V67" s="205"/>
      <c r="W67" s="233"/>
      <c r="X67" s="857"/>
      <c r="Y67" s="859"/>
      <c r="Z67" s="244"/>
      <c r="AA67" s="204"/>
      <c r="AB67" s="246"/>
      <c r="AC67" s="205"/>
      <c r="AD67" s="205"/>
      <c r="AE67" s="205"/>
      <c r="AF67" s="205"/>
      <c r="AG67" s="205"/>
      <c r="AH67" s="205" t="s">
        <v>462</v>
      </c>
      <c r="AI67" s="205"/>
      <c r="AJ67" s="205"/>
      <c r="AK67" s="233"/>
      <c r="AL67" s="205" t="s">
        <v>463</v>
      </c>
      <c r="AM67" s="205"/>
      <c r="AN67" s="205"/>
      <c r="AO67" s="233"/>
      <c r="AP67" s="205"/>
      <c r="AQ67" s="205"/>
      <c r="AR67" s="251"/>
      <c r="AS67" s="234"/>
      <c r="AT67" s="234"/>
      <c r="AU67" s="21"/>
      <c r="AV67" s="21"/>
      <c r="AW67" s="21"/>
      <c r="AX67" s="21"/>
      <c r="AY67" s="21"/>
      <c r="AZ67" s="21"/>
      <c r="BA67" s="21"/>
      <c r="BB67" s="21"/>
      <c r="BC67" s="21"/>
      <c r="BD67" s="21"/>
      <c r="BE67" s="21"/>
      <c r="BF67" s="21"/>
      <c r="BG67" s="21"/>
      <c r="BH67" s="21"/>
      <c r="BI67" s="21"/>
      <c r="BJ67" s="21"/>
      <c r="BK67" s="21"/>
      <c r="BL67" s="21"/>
      <c r="BM67" s="21"/>
      <c r="BN67" s="21"/>
      <c r="BO67" s="21"/>
      <c r="BP67" s="21"/>
      <c r="BQ67" s="21"/>
      <c r="BR67" s="21"/>
      <c r="BS67" s="21"/>
      <c r="BT67" s="21"/>
      <c r="BU67" s="21"/>
      <c r="BV67" s="21"/>
      <c r="BW67" s="21"/>
      <c r="BX67" s="21"/>
      <c r="BY67" s="21"/>
      <c r="BZ67" s="21"/>
      <c r="CA67" s="21"/>
    </row>
    <row r="68" spans="1:79" s="206" customFormat="1" ht="5.25" customHeight="1">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34"/>
      <c r="AT68" s="234"/>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c r="BU68" s="21"/>
      <c r="BV68" s="21"/>
      <c r="BW68" s="21"/>
      <c r="BX68" s="21"/>
      <c r="BY68" s="21"/>
      <c r="BZ68" s="21"/>
      <c r="CA68" s="21"/>
    </row>
    <row r="69" spans="1:79" s="206" customFormat="1" ht="5.25" hidden="1" customHeight="1">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34"/>
      <c r="AT69" s="234"/>
      <c r="AU69" s="21"/>
      <c r="AV69" s="21"/>
      <c r="AW69" s="21"/>
      <c r="AX69" s="21"/>
      <c r="AY69" s="21"/>
      <c r="AZ69" s="21"/>
      <c r="BA69" s="21"/>
      <c r="BB69" s="21"/>
      <c r="BC69" s="21"/>
      <c r="BD69" s="21"/>
      <c r="BE69" s="21"/>
      <c r="BF69" s="21"/>
      <c r="BG69" s="21"/>
      <c r="BH69" s="21"/>
      <c r="BI69" s="21"/>
      <c r="BJ69" s="21"/>
      <c r="BK69" s="21"/>
      <c r="BL69" s="21"/>
      <c r="BM69" s="21"/>
      <c r="BN69" s="21"/>
      <c r="BO69" s="21"/>
      <c r="BP69" s="21"/>
      <c r="BQ69" s="21"/>
      <c r="BR69" s="21"/>
      <c r="BS69" s="21"/>
      <c r="BT69" s="21"/>
      <c r="BU69" s="21"/>
      <c r="BV69" s="21"/>
      <c r="BW69" s="21"/>
      <c r="BX69" s="21"/>
      <c r="BY69" s="21"/>
      <c r="BZ69" s="21"/>
      <c r="CA69" s="21"/>
    </row>
    <row r="70" spans="1:79" s="206" customFormat="1">
      <c r="A70" s="250" t="s">
        <v>464</v>
      </c>
      <c r="B70" s="237"/>
      <c r="C70" s="237"/>
      <c r="D70" s="237"/>
      <c r="E70" s="237"/>
      <c r="F70" s="237"/>
      <c r="G70" s="237"/>
      <c r="H70" s="237"/>
      <c r="I70" s="237"/>
      <c r="J70" s="237"/>
      <c r="K70" s="237"/>
      <c r="L70" s="237"/>
      <c r="M70" s="237"/>
      <c r="N70" s="237"/>
      <c r="O70" s="237"/>
      <c r="P70" s="237"/>
      <c r="Q70" s="237"/>
      <c r="R70" s="237"/>
      <c r="S70" s="237"/>
      <c r="T70" s="237"/>
      <c r="U70" s="237"/>
      <c r="V70" s="237"/>
      <c r="W70" s="237"/>
      <c r="X70" s="237"/>
      <c r="Y70" s="243"/>
      <c r="Z70" s="204"/>
      <c r="AA70" s="204"/>
      <c r="AB70" s="250" t="s">
        <v>465</v>
      </c>
      <c r="AC70" s="237"/>
      <c r="AD70" s="237"/>
      <c r="AE70" s="237"/>
      <c r="AF70" s="237"/>
      <c r="AG70" s="237"/>
      <c r="AH70" s="237"/>
      <c r="AI70" s="237"/>
      <c r="AJ70" s="237"/>
      <c r="AK70" s="237"/>
      <c r="AL70" s="237"/>
      <c r="AM70" s="237"/>
      <c r="AN70" s="237"/>
      <c r="AO70" s="237"/>
      <c r="AP70" s="237"/>
      <c r="AQ70" s="237"/>
      <c r="AR70" s="243"/>
      <c r="AS70" s="234"/>
      <c r="AT70" s="234"/>
      <c r="AU70" s="21"/>
      <c r="AV70" s="21"/>
      <c r="AW70" s="21"/>
      <c r="AX70" s="21"/>
      <c r="AY70" s="21"/>
      <c r="AZ70" s="21"/>
      <c r="BA70" s="21"/>
      <c r="BB70" s="21"/>
      <c r="BC70" s="21"/>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row>
    <row r="71" spans="1:79" s="206" customFormat="1" ht="15" customHeight="1">
      <c r="A71" s="246" t="s">
        <v>466</v>
      </c>
      <c r="B71" s="205"/>
      <c r="C71" s="205"/>
      <c r="D71" s="205"/>
      <c r="E71" s="857"/>
      <c r="F71" s="859"/>
      <c r="G71" s="205"/>
      <c r="H71" s="205"/>
      <c r="I71" s="205"/>
      <c r="J71" s="205" t="s">
        <v>467</v>
      </c>
      <c r="K71" s="205"/>
      <c r="L71" s="205"/>
      <c r="M71" s="205"/>
      <c r="N71" s="205"/>
      <c r="O71" s="857"/>
      <c r="P71" s="859"/>
      <c r="Q71" s="205"/>
      <c r="R71" s="205"/>
      <c r="S71" s="205"/>
      <c r="T71" s="205"/>
      <c r="U71" s="205"/>
      <c r="V71" s="205"/>
      <c r="W71" s="205"/>
      <c r="X71" s="205"/>
      <c r="Y71" s="251"/>
      <c r="Z71" s="204"/>
      <c r="AA71" s="204"/>
      <c r="AB71" s="246"/>
      <c r="AC71" s="205"/>
      <c r="AD71" s="205"/>
      <c r="AE71" s="205"/>
      <c r="AF71" s="252" t="s">
        <v>468</v>
      </c>
      <c r="AG71" s="205"/>
      <c r="AH71" s="857"/>
      <c r="AI71" s="859"/>
      <c r="AJ71" s="205"/>
      <c r="AK71" s="252" t="s">
        <v>469</v>
      </c>
      <c r="AL71" s="205"/>
      <c r="AM71" s="232"/>
      <c r="AN71" s="205"/>
      <c r="AO71" s="205"/>
      <c r="AP71" s="205"/>
      <c r="AQ71" s="205"/>
      <c r="AR71" s="251"/>
      <c r="AS71" s="234"/>
      <c r="AT71" s="234"/>
      <c r="AU71" s="21"/>
      <c r="AV71" s="21"/>
      <c r="AW71" s="21"/>
      <c r="AX71" s="21"/>
      <c r="AY71" s="21"/>
      <c r="AZ71" s="21"/>
      <c r="BA71" s="21"/>
      <c r="BB71" s="21"/>
      <c r="BC71" s="21"/>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row>
    <row r="72" spans="1:79" s="206" customFormat="1" ht="5.25" customHeight="1">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34"/>
      <c r="AT72" s="234"/>
      <c r="AU72" s="21"/>
      <c r="AV72" s="21"/>
      <c r="AW72" s="21"/>
      <c r="AX72" s="21"/>
      <c r="AY72" s="21"/>
      <c r="AZ72" s="21"/>
      <c r="BA72" s="21"/>
      <c r="BB72" s="21"/>
      <c r="BC72" s="21"/>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row>
    <row r="73" spans="1:79" s="206" customFormat="1" ht="1.5" customHeight="1">
      <c r="A73" s="250"/>
      <c r="B73" s="237"/>
      <c r="C73" s="237"/>
      <c r="D73" s="237"/>
      <c r="E73" s="237"/>
      <c r="F73" s="237"/>
      <c r="G73" s="237"/>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7"/>
      <c r="AF73" s="237"/>
      <c r="AG73" s="237"/>
      <c r="AH73" s="237"/>
      <c r="AI73" s="237"/>
      <c r="AJ73" s="237"/>
      <c r="AK73" s="237"/>
      <c r="AL73" s="237"/>
      <c r="AM73" s="237"/>
      <c r="AN73" s="237"/>
      <c r="AO73" s="237"/>
      <c r="AP73" s="237"/>
      <c r="AQ73" s="237"/>
      <c r="AR73" s="243"/>
      <c r="AS73" s="234"/>
      <c r="AT73" s="234"/>
      <c r="AU73" s="21"/>
      <c r="AV73" s="21"/>
      <c r="AW73" s="21"/>
      <c r="AX73" s="21"/>
      <c r="AY73" s="21"/>
      <c r="AZ73" s="21"/>
      <c r="BA73" s="21"/>
      <c r="BB73" s="21"/>
      <c r="BC73" s="21"/>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row>
    <row r="74" spans="1:79" s="206" customFormat="1">
      <c r="A74" s="253" t="s">
        <v>470</v>
      </c>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45"/>
      <c r="AS74" s="234"/>
      <c r="AT74" s="234"/>
      <c r="AU74" s="21"/>
      <c r="AV74" s="21"/>
      <c r="AW74" s="21"/>
      <c r="AX74" s="21"/>
      <c r="AY74" s="21"/>
      <c r="AZ74" s="21"/>
      <c r="BA74" s="21"/>
      <c r="BB74" s="21"/>
      <c r="BC74" s="21"/>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row>
    <row r="75" spans="1:79" s="206" customFormat="1">
      <c r="A75" s="244"/>
      <c r="B75" s="860" t="s">
        <v>471</v>
      </c>
      <c r="C75" s="861"/>
      <c r="D75" s="861"/>
      <c r="E75" s="861"/>
      <c r="F75" s="861"/>
      <c r="G75" s="862"/>
      <c r="H75" s="849" t="s">
        <v>472</v>
      </c>
      <c r="I75" s="849"/>
      <c r="J75" s="849"/>
      <c r="K75" s="849"/>
      <c r="L75" s="849"/>
      <c r="M75" s="849" t="s">
        <v>473</v>
      </c>
      <c r="N75" s="849"/>
      <c r="O75" s="849"/>
      <c r="P75" s="849"/>
      <c r="Q75" s="849"/>
      <c r="R75" s="849" t="s">
        <v>474</v>
      </c>
      <c r="S75" s="849"/>
      <c r="T75" s="849"/>
      <c r="U75" s="849"/>
      <c r="V75" s="849"/>
      <c r="W75" s="857" t="s">
        <v>475</v>
      </c>
      <c r="X75" s="858"/>
      <c r="Y75" s="858"/>
      <c r="Z75" s="858"/>
      <c r="AA75" s="858"/>
      <c r="AB75" s="857" t="s">
        <v>476</v>
      </c>
      <c r="AC75" s="858"/>
      <c r="AD75" s="858"/>
      <c r="AE75" s="858"/>
      <c r="AF75" s="858"/>
      <c r="AG75" s="859"/>
      <c r="AH75" s="857" t="s">
        <v>477</v>
      </c>
      <c r="AI75" s="858"/>
      <c r="AJ75" s="858"/>
      <c r="AK75" s="858"/>
      <c r="AL75" s="858"/>
      <c r="AM75" s="859"/>
      <c r="AP75" s="204"/>
      <c r="AQ75" s="204"/>
      <c r="AR75" s="245"/>
      <c r="AS75" s="234"/>
      <c r="AT75" s="234"/>
      <c r="AU75" s="21"/>
      <c r="AV75" s="21"/>
      <c r="AW75" s="21"/>
      <c r="AX75" s="21"/>
      <c r="AY75" s="21"/>
      <c r="AZ75" s="21"/>
      <c r="BA75" s="21"/>
      <c r="BB75" s="21"/>
      <c r="BC75" s="21"/>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row>
    <row r="76" spans="1:79" s="206" customFormat="1">
      <c r="A76" s="244"/>
      <c r="B76" s="860" t="s">
        <v>411</v>
      </c>
      <c r="C76" s="861"/>
      <c r="D76" s="861"/>
      <c r="E76" s="861"/>
      <c r="F76" s="861"/>
      <c r="G76" s="862"/>
      <c r="H76" s="857"/>
      <c r="I76" s="858"/>
      <c r="J76" s="858"/>
      <c r="K76" s="858"/>
      <c r="L76" s="859"/>
      <c r="M76" s="857"/>
      <c r="N76" s="858"/>
      <c r="O76" s="858"/>
      <c r="P76" s="858"/>
      <c r="Q76" s="859"/>
      <c r="R76" s="857"/>
      <c r="S76" s="858"/>
      <c r="T76" s="858"/>
      <c r="U76" s="858"/>
      <c r="V76" s="859"/>
      <c r="W76" s="857"/>
      <c r="X76" s="858"/>
      <c r="Y76" s="858"/>
      <c r="Z76" s="858"/>
      <c r="AA76" s="859"/>
      <c r="AB76" s="857"/>
      <c r="AC76" s="858"/>
      <c r="AD76" s="858"/>
      <c r="AE76" s="858"/>
      <c r="AF76" s="858"/>
      <c r="AG76" s="859"/>
      <c r="AH76" s="857" t="s">
        <v>460</v>
      </c>
      <c r="AI76" s="858"/>
      <c r="AJ76" s="858"/>
      <c r="AK76" s="858"/>
      <c r="AL76" s="858"/>
      <c r="AM76" s="859"/>
      <c r="AP76" s="204"/>
      <c r="AQ76" s="204"/>
      <c r="AR76" s="245"/>
      <c r="AS76" s="234"/>
      <c r="AT76" s="234"/>
      <c r="AU76" s="21"/>
      <c r="AV76" s="21"/>
      <c r="AW76" s="21"/>
      <c r="AX76" s="21"/>
      <c r="AY76" s="21"/>
      <c r="AZ76" s="21"/>
      <c r="BA76" s="21"/>
      <c r="BB76" s="21"/>
      <c r="BC76" s="21"/>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row>
    <row r="77" spans="1:79" s="206" customFormat="1">
      <c r="A77" s="244"/>
      <c r="B77" s="860" t="s">
        <v>109</v>
      </c>
      <c r="C77" s="861"/>
      <c r="D77" s="861"/>
      <c r="E77" s="861"/>
      <c r="F77" s="861"/>
      <c r="G77" s="862"/>
      <c r="H77" s="857"/>
      <c r="I77" s="858"/>
      <c r="J77" s="858"/>
      <c r="K77" s="858"/>
      <c r="L77" s="859"/>
      <c r="M77" s="857"/>
      <c r="N77" s="858"/>
      <c r="O77" s="858"/>
      <c r="P77" s="858"/>
      <c r="Q77" s="859"/>
      <c r="R77" s="857"/>
      <c r="S77" s="858"/>
      <c r="T77" s="858"/>
      <c r="U77" s="858"/>
      <c r="V77" s="859"/>
      <c r="W77" s="857"/>
      <c r="X77" s="858"/>
      <c r="Y77" s="858"/>
      <c r="Z77" s="858"/>
      <c r="AA77" s="859"/>
      <c r="AB77" s="857" t="s">
        <v>460</v>
      </c>
      <c r="AC77" s="858"/>
      <c r="AD77" s="858"/>
      <c r="AE77" s="858"/>
      <c r="AF77" s="858"/>
      <c r="AG77" s="859"/>
      <c r="AH77" s="857"/>
      <c r="AI77" s="858"/>
      <c r="AJ77" s="858"/>
      <c r="AK77" s="858"/>
      <c r="AL77" s="858"/>
      <c r="AM77" s="859"/>
      <c r="AP77" s="204"/>
      <c r="AQ77" s="204"/>
      <c r="AR77" s="245"/>
      <c r="AS77" s="234"/>
      <c r="AT77" s="234"/>
      <c r="AU77" s="21"/>
      <c r="AV77" s="21"/>
      <c r="AW77" s="21"/>
      <c r="AX77" s="21"/>
      <c r="AY77" s="21"/>
      <c r="AZ77" s="21"/>
      <c r="BA77" s="21"/>
      <c r="BB77" s="21"/>
      <c r="BC77" s="21"/>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row>
    <row r="78" spans="1:79" s="206" customFormat="1">
      <c r="A78" s="244"/>
      <c r="B78" s="860" t="s">
        <v>478</v>
      </c>
      <c r="C78" s="861"/>
      <c r="D78" s="861"/>
      <c r="E78" s="861"/>
      <c r="F78" s="861"/>
      <c r="G78" s="862"/>
      <c r="H78" s="857"/>
      <c r="I78" s="858"/>
      <c r="J78" s="858"/>
      <c r="K78" s="858"/>
      <c r="L78" s="859"/>
      <c r="M78" s="857"/>
      <c r="N78" s="858"/>
      <c r="O78" s="858"/>
      <c r="P78" s="858"/>
      <c r="Q78" s="859"/>
      <c r="R78" s="857"/>
      <c r="S78" s="858"/>
      <c r="T78" s="858"/>
      <c r="U78" s="858"/>
      <c r="V78" s="859"/>
      <c r="W78" s="857"/>
      <c r="X78" s="858"/>
      <c r="Y78" s="858"/>
      <c r="Z78" s="858"/>
      <c r="AA78" s="859"/>
      <c r="AB78" s="857"/>
      <c r="AC78" s="858"/>
      <c r="AD78" s="858"/>
      <c r="AE78" s="858"/>
      <c r="AF78" s="858"/>
      <c r="AG78" s="859"/>
      <c r="AH78" s="857" t="s">
        <v>460</v>
      </c>
      <c r="AI78" s="858"/>
      <c r="AJ78" s="858"/>
      <c r="AK78" s="858"/>
      <c r="AL78" s="858"/>
      <c r="AM78" s="859"/>
      <c r="AP78" s="204"/>
      <c r="AQ78" s="204"/>
      <c r="AR78" s="245"/>
      <c r="AS78" s="234"/>
      <c r="AT78" s="234"/>
      <c r="AU78" s="21"/>
      <c r="AV78" s="21"/>
      <c r="AW78" s="21"/>
      <c r="AX78" s="21"/>
      <c r="AY78" s="21"/>
      <c r="AZ78" s="21"/>
      <c r="BA78" s="21"/>
      <c r="BB78" s="21"/>
      <c r="BC78" s="21"/>
      <c r="BD78" s="21"/>
      <c r="BE78" s="21"/>
      <c r="BF78" s="21"/>
      <c r="BG78" s="21"/>
      <c r="BH78" s="21"/>
      <c r="BI78" s="21"/>
      <c r="BJ78" s="21"/>
      <c r="BK78" s="21"/>
      <c r="BL78" s="21"/>
      <c r="BM78" s="21"/>
      <c r="BN78" s="21"/>
      <c r="BO78" s="21"/>
      <c r="BP78" s="21"/>
      <c r="BQ78" s="21"/>
      <c r="BR78" s="21"/>
      <c r="BS78" s="21"/>
      <c r="BT78" s="21"/>
      <c r="BU78" s="21"/>
      <c r="BV78" s="21"/>
      <c r="BW78" s="21"/>
      <c r="BX78" s="21"/>
      <c r="BY78" s="21"/>
      <c r="BZ78" s="21"/>
      <c r="CA78" s="21"/>
    </row>
    <row r="79" spans="1:79" ht="5.25" customHeight="1"/>
    <row r="80" spans="1:79">
      <c r="A80" s="820" t="s">
        <v>479</v>
      </c>
      <c r="B80" s="821"/>
      <c r="C80" s="821"/>
      <c r="D80" s="821"/>
      <c r="E80" s="821"/>
      <c r="F80" s="821"/>
      <c r="G80" s="821"/>
      <c r="H80" s="821"/>
      <c r="I80" s="821"/>
      <c r="J80" s="821"/>
      <c r="K80" s="821"/>
      <c r="L80" s="821"/>
      <c r="M80" s="821"/>
      <c r="N80" s="821"/>
      <c r="O80" s="821"/>
      <c r="P80" s="821"/>
      <c r="Q80" s="821"/>
      <c r="R80" s="821"/>
      <c r="S80" s="821"/>
      <c r="T80" s="821"/>
      <c r="U80" s="821"/>
      <c r="V80" s="821"/>
      <c r="W80" s="821"/>
      <c r="X80" s="821"/>
      <c r="Y80" s="821"/>
      <c r="Z80" s="821"/>
      <c r="AA80" s="821"/>
      <c r="AB80" s="821"/>
      <c r="AC80" s="821"/>
      <c r="AD80" s="821"/>
      <c r="AE80" s="821"/>
      <c r="AF80" s="821"/>
      <c r="AG80" s="821"/>
      <c r="AH80" s="821"/>
      <c r="AI80" s="821"/>
      <c r="AJ80" s="821"/>
      <c r="AK80" s="821"/>
      <c r="AL80" s="821"/>
      <c r="AM80" s="821"/>
      <c r="AN80" s="821"/>
      <c r="AO80" s="821"/>
      <c r="AP80" s="821"/>
      <c r="AQ80" s="821"/>
      <c r="AR80" s="822"/>
    </row>
    <row r="81" spans="1:44" ht="5.25" customHeight="1" thickBot="1"/>
    <row r="82" spans="1:44">
      <c r="A82" s="254" t="s">
        <v>398</v>
      </c>
      <c r="B82" s="855" t="s">
        <v>177</v>
      </c>
      <c r="C82" s="855"/>
      <c r="D82" s="855"/>
      <c r="E82" s="855"/>
      <c r="F82" s="855"/>
      <c r="G82" s="855"/>
      <c r="H82" s="855"/>
      <c r="I82" s="855"/>
      <c r="J82" s="855"/>
      <c r="K82" s="855"/>
      <c r="L82" s="855"/>
      <c r="M82" s="855"/>
      <c r="N82" s="855"/>
      <c r="O82" s="855"/>
      <c r="P82" s="855" t="s">
        <v>480</v>
      </c>
      <c r="Q82" s="855"/>
      <c r="R82" s="855"/>
      <c r="S82" s="855"/>
      <c r="T82" s="855"/>
      <c r="U82" s="855" t="s">
        <v>481</v>
      </c>
      <c r="V82" s="855"/>
      <c r="W82" s="855"/>
      <c r="X82" s="855"/>
      <c r="Y82" s="855"/>
      <c r="Z82" s="855" t="s">
        <v>482</v>
      </c>
      <c r="AA82" s="855"/>
      <c r="AB82" s="855"/>
      <c r="AC82" s="855"/>
      <c r="AD82" s="855"/>
      <c r="AE82" s="855"/>
      <c r="AF82" s="855"/>
      <c r="AG82" s="855"/>
      <c r="AH82" s="855" t="s">
        <v>483</v>
      </c>
      <c r="AI82" s="855"/>
      <c r="AJ82" s="855"/>
      <c r="AK82" s="855"/>
      <c r="AL82" s="855"/>
      <c r="AM82" s="855"/>
      <c r="AN82" s="855"/>
      <c r="AO82" s="855"/>
      <c r="AP82" s="855"/>
      <c r="AQ82" s="855"/>
      <c r="AR82" s="856"/>
    </row>
    <row r="83" spans="1:44" ht="78.75" customHeight="1">
      <c r="A83" s="255">
        <v>1</v>
      </c>
      <c r="B83" s="841">
        <f>+MEMORIA!C214</f>
        <v>0</v>
      </c>
      <c r="C83" s="842"/>
      <c r="D83" s="842"/>
      <c r="E83" s="842"/>
      <c r="F83" s="842"/>
      <c r="G83" s="842"/>
      <c r="H83" s="842"/>
      <c r="I83" s="842"/>
      <c r="J83" s="842"/>
      <c r="K83" s="842"/>
      <c r="L83" s="842"/>
      <c r="M83" s="842"/>
      <c r="N83" s="842"/>
      <c r="O83" s="842"/>
      <c r="P83" s="843">
        <f>+MEMORIA!X214</f>
        <v>0</v>
      </c>
      <c r="Q83" s="844"/>
      <c r="R83" s="844"/>
      <c r="S83" s="844"/>
      <c r="T83" s="844"/>
      <c r="U83" s="843">
        <f>+MEMORIA!AA214</f>
        <v>0</v>
      </c>
      <c r="V83" s="844"/>
      <c r="W83" s="844"/>
      <c r="X83" s="844"/>
      <c r="Y83" s="844"/>
      <c r="Z83" s="854" t="e">
        <f>+MEMORIA!AS214</f>
        <v>#DIV/0!</v>
      </c>
      <c r="AA83" s="854"/>
      <c r="AB83" s="854"/>
      <c r="AC83" s="854"/>
      <c r="AD83" s="854"/>
      <c r="AE83" s="854"/>
      <c r="AF83" s="854"/>
      <c r="AG83" s="854"/>
      <c r="AH83" s="848"/>
      <c r="AI83" s="849"/>
      <c r="AJ83" s="849"/>
      <c r="AK83" s="849"/>
      <c r="AL83" s="849"/>
      <c r="AM83" s="849"/>
      <c r="AN83" s="849"/>
      <c r="AO83" s="849"/>
      <c r="AP83" s="849"/>
      <c r="AQ83" s="849"/>
      <c r="AR83" s="850"/>
    </row>
    <row r="84" spans="1:44" ht="40.5" customHeight="1">
      <c r="A84" s="255">
        <v>2</v>
      </c>
      <c r="B84" s="841">
        <f>+MEMORIA!C215</f>
        <v>0</v>
      </c>
      <c r="C84" s="842"/>
      <c r="D84" s="842"/>
      <c r="E84" s="842"/>
      <c r="F84" s="842"/>
      <c r="G84" s="842"/>
      <c r="H84" s="842"/>
      <c r="I84" s="842"/>
      <c r="J84" s="842"/>
      <c r="K84" s="842"/>
      <c r="L84" s="842"/>
      <c r="M84" s="842"/>
      <c r="N84" s="842"/>
      <c r="O84" s="842"/>
      <c r="P84" s="843">
        <f>+MEMORIA!X215</f>
        <v>0</v>
      </c>
      <c r="Q84" s="844"/>
      <c r="R84" s="844"/>
      <c r="S84" s="844"/>
      <c r="T84" s="844"/>
      <c r="U84" s="843">
        <f>+MEMORIA!AA215</f>
        <v>0</v>
      </c>
      <c r="V84" s="844"/>
      <c r="W84" s="844"/>
      <c r="X84" s="844"/>
      <c r="Y84" s="844"/>
      <c r="Z84" s="854" t="e">
        <f>+MEMORIA!AS215</f>
        <v>#DIV/0!</v>
      </c>
      <c r="AA84" s="854"/>
      <c r="AB84" s="854"/>
      <c r="AC84" s="854"/>
      <c r="AD84" s="854"/>
      <c r="AE84" s="854"/>
      <c r="AF84" s="854"/>
      <c r="AG84" s="854"/>
      <c r="AH84" s="848"/>
      <c r="AI84" s="849"/>
      <c r="AJ84" s="849"/>
      <c r="AK84" s="849"/>
      <c r="AL84" s="849"/>
      <c r="AM84" s="849"/>
      <c r="AN84" s="849"/>
      <c r="AO84" s="849"/>
      <c r="AP84" s="849"/>
      <c r="AQ84" s="849"/>
      <c r="AR84" s="850"/>
    </row>
    <row r="85" spans="1:44" ht="51.75" customHeight="1">
      <c r="A85" s="255">
        <v>4</v>
      </c>
      <c r="B85" s="841">
        <f>+MEMORIA!C216</f>
        <v>0</v>
      </c>
      <c r="C85" s="842"/>
      <c r="D85" s="842"/>
      <c r="E85" s="842"/>
      <c r="F85" s="842"/>
      <c r="G85" s="842"/>
      <c r="H85" s="842"/>
      <c r="I85" s="842"/>
      <c r="J85" s="842"/>
      <c r="K85" s="842"/>
      <c r="L85" s="842"/>
      <c r="M85" s="842"/>
      <c r="N85" s="842"/>
      <c r="O85" s="842"/>
      <c r="P85" s="843">
        <f>+MEMORIA!X216</f>
        <v>0</v>
      </c>
      <c r="Q85" s="844"/>
      <c r="R85" s="844"/>
      <c r="S85" s="844"/>
      <c r="T85" s="844"/>
      <c r="U85" s="843">
        <f>+MEMORIA!AA216</f>
        <v>0</v>
      </c>
      <c r="V85" s="844"/>
      <c r="W85" s="844"/>
      <c r="X85" s="844"/>
      <c r="Y85" s="844"/>
      <c r="Z85" s="854" t="e">
        <f>+MEMORIA!AS216</f>
        <v>#DIV/0!</v>
      </c>
      <c r="AA85" s="854"/>
      <c r="AB85" s="854"/>
      <c r="AC85" s="854"/>
      <c r="AD85" s="854"/>
      <c r="AE85" s="854"/>
      <c r="AF85" s="854"/>
      <c r="AG85" s="854"/>
      <c r="AH85" s="853"/>
      <c r="AI85" s="849"/>
      <c r="AJ85" s="849"/>
      <c r="AK85" s="849"/>
      <c r="AL85" s="849"/>
      <c r="AM85" s="849"/>
      <c r="AN85" s="849"/>
      <c r="AO85" s="849"/>
      <c r="AP85" s="849"/>
      <c r="AQ85" s="849"/>
      <c r="AR85" s="850"/>
    </row>
    <row r="86" spans="1:44" ht="72.75" customHeight="1">
      <c r="A86" s="255">
        <v>5</v>
      </c>
      <c r="B86" s="841">
        <f>+MEMORIA!C217</f>
        <v>0</v>
      </c>
      <c r="C86" s="842"/>
      <c r="D86" s="842"/>
      <c r="E86" s="842"/>
      <c r="F86" s="842"/>
      <c r="G86" s="842"/>
      <c r="H86" s="842"/>
      <c r="I86" s="842"/>
      <c r="J86" s="842"/>
      <c r="K86" s="842"/>
      <c r="L86" s="842"/>
      <c r="M86" s="842"/>
      <c r="N86" s="842"/>
      <c r="O86" s="842"/>
      <c r="P86" s="843">
        <f>+MEMORIA!X217</f>
        <v>0</v>
      </c>
      <c r="Q86" s="844"/>
      <c r="R86" s="844"/>
      <c r="S86" s="844"/>
      <c r="T86" s="844"/>
      <c r="U86" s="843">
        <f>+MEMORIA!AA217</f>
        <v>0</v>
      </c>
      <c r="V86" s="844"/>
      <c r="W86" s="844"/>
      <c r="X86" s="844"/>
      <c r="Y86" s="844"/>
      <c r="Z86" s="854" t="e">
        <f>+MEMORIA!AS217</f>
        <v>#DIV/0!</v>
      </c>
      <c r="AA86" s="854"/>
      <c r="AB86" s="854"/>
      <c r="AC86" s="854"/>
      <c r="AD86" s="854"/>
      <c r="AE86" s="854"/>
      <c r="AF86" s="854"/>
      <c r="AG86" s="854"/>
      <c r="AH86" s="848"/>
      <c r="AI86" s="849"/>
      <c r="AJ86" s="849"/>
      <c r="AK86" s="849"/>
      <c r="AL86" s="849"/>
      <c r="AM86" s="849"/>
      <c r="AN86" s="849"/>
      <c r="AO86" s="849"/>
      <c r="AP86" s="849"/>
      <c r="AQ86" s="849"/>
      <c r="AR86" s="850"/>
    </row>
    <row r="87" spans="1:44" ht="27" customHeight="1">
      <c r="A87" s="255">
        <v>5</v>
      </c>
      <c r="B87" s="851" t="str">
        <f>+MEMORIA!C218</f>
        <v>"INMUEBLES VENDIDOS - VENTAS CERRADAS"
Tomado del aplicativo Vanetmap</v>
      </c>
      <c r="C87" s="852"/>
      <c r="D87" s="852"/>
      <c r="E87" s="852"/>
      <c r="F87" s="852"/>
      <c r="G87" s="852"/>
      <c r="H87" s="852"/>
      <c r="I87" s="852"/>
      <c r="J87" s="852"/>
      <c r="K87" s="852"/>
      <c r="L87" s="852"/>
      <c r="M87" s="852"/>
      <c r="N87" s="852"/>
      <c r="O87" s="852"/>
      <c r="P87" s="843"/>
      <c r="Q87" s="844"/>
      <c r="R87" s="844"/>
      <c r="S87" s="844"/>
      <c r="T87" s="844"/>
      <c r="U87" s="843"/>
      <c r="V87" s="844"/>
      <c r="W87" s="844"/>
      <c r="X87" s="844"/>
      <c r="Y87" s="844"/>
      <c r="Z87" s="854"/>
      <c r="AA87" s="854"/>
      <c r="AB87" s="854"/>
      <c r="AC87" s="854"/>
      <c r="AD87" s="854"/>
      <c r="AE87" s="854"/>
      <c r="AF87" s="854"/>
      <c r="AG87" s="854"/>
      <c r="AH87" s="848"/>
      <c r="AI87" s="849"/>
      <c r="AJ87" s="849"/>
      <c r="AK87" s="849"/>
      <c r="AL87" s="849"/>
      <c r="AM87" s="849"/>
      <c r="AN87" s="849"/>
      <c r="AO87" s="849"/>
      <c r="AP87" s="849"/>
      <c r="AQ87" s="849"/>
      <c r="AR87" s="850"/>
    </row>
    <row r="88" spans="1:44" ht="40.5" customHeight="1">
      <c r="A88" s="255">
        <v>2</v>
      </c>
      <c r="B88" s="841">
        <f>+MEMORIA!C219</f>
        <v>0</v>
      </c>
      <c r="C88" s="842"/>
      <c r="D88" s="842"/>
      <c r="E88" s="842"/>
      <c r="F88" s="842"/>
      <c r="G88" s="842"/>
      <c r="H88" s="842"/>
      <c r="I88" s="842"/>
      <c r="J88" s="842"/>
      <c r="K88" s="842"/>
      <c r="L88" s="842"/>
      <c r="M88" s="842"/>
      <c r="N88" s="842"/>
      <c r="O88" s="842"/>
      <c r="P88" s="843">
        <f>+MEMORIA!X219</f>
        <v>0</v>
      </c>
      <c r="Q88" s="844"/>
      <c r="R88" s="844"/>
      <c r="S88" s="844"/>
      <c r="T88" s="844"/>
      <c r="U88" s="843">
        <f>+MEMORIA!AA219</f>
        <v>0</v>
      </c>
      <c r="V88" s="844"/>
      <c r="W88" s="844"/>
      <c r="X88" s="844"/>
      <c r="Y88" s="844"/>
      <c r="Z88" s="854" t="e">
        <f>+MEMORIA!AS219</f>
        <v>#DIV/0!</v>
      </c>
      <c r="AA88" s="854"/>
      <c r="AB88" s="854"/>
      <c r="AC88" s="854"/>
      <c r="AD88" s="854"/>
      <c r="AE88" s="854"/>
      <c r="AF88" s="854"/>
      <c r="AG88" s="854"/>
      <c r="AH88" s="848"/>
      <c r="AI88" s="849"/>
      <c r="AJ88" s="849"/>
      <c r="AK88" s="849"/>
      <c r="AL88" s="849"/>
      <c r="AM88" s="849"/>
      <c r="AN88" s="849"/>
      <c r="AO88" s="849"/>
      <c r="AP88" s="849"/>
      <c r="AQ88" s="849"/>
      <c r="AR88" s="850"/>
    </row>
    <row r="89" spans="1:44" ht="51.75" customHeight="1">
      <c r="A89" s="255">
        <v>4</v>
      </c>
      <c r="B89" s="841">
        <f>+MEMORIA!C277</f>
        <v>0</v>
      </c>
      <c r="C89" s="842"/>
      <c r="D89" s="842"/>
      <c r="E89" s="842"/>
      <c r="F89" s="842"/>
      <c r="G89" s="842"/>
      <c r="H89" s="842"/>
      <c r="I89" s="842"/>
      <c r="J89" s="842"/>
      <c r="K89" s="842"/>
      <c r="L89" s="842"/>
      <c r="M89" s="842"/>
      <c r="N89" s="842"/>
      <c r="O89" s="842"/>
      <c r="P89" s="843">
        <f>+MEMORIA!X277</f>
        <v>0</v>
      </c>
      <c r="Q89" s="844"/>
      <c r="R89" s="844"/>
      <c r="S89" s="844"/>
      <c r="T89" s="844"/>
      <c r="U89" s="843">
        <f>+MEMORIA!AA277</f>
        <v>0</v>
      </c>
      <c r="V89" s="844"/>
      <c r="W89" s="844"/>
      <c r="X89" s="844"/>
      <c r="Y89" s="844"/>
      <c r="Z89" s="845" t="e">
        <f>+MEMORIA!AS277</f>
        <v>#DIV/0!</v>
      </c>
      <c r="AA89" s="846"/>
      <c r="AB89" s="846"/>
      <c r="AC89" s="846"/>
      <c r="AD89" s="846"/>
      <c r="AE89" s="846"/>
      <c r="AF89" s="846"/>
      <c r="AG89" s="847"/>
      <c r="AH89" s="853"/>
      <c r="AI89" s="849"/>
      <c r="AJ89" s="849"/>
      <c r="AK89" s="849"/>
      <c r="AL89" s="849"/>
      <c r="AM89" s="849"/>
      <c r="AN89" s="849"/>
      <c r="AO89" s="849"/>
      <c r="AP89" s="849"/>
      <c r="AQ89" s="849"/>
      <c r="AR89" s="850"/>
    </row>
    <row r="90" spans="1:44" ht="72.75" customHeight="1">
      <c r="A90" s="255">
        <v>5</v>
      </c>
      <c r="B90" s="841">
        <f>+MEMORIA!C278</f>
        <v>0</v>
      </c>
      <c r="C90" s="842"/>
      <c r="D90" s="842"/>
      <c r="E90" s="842"/>
      <c r="F90" s="842"/>
      <c r="G90" s="842"/>
      <c r="H90" s="842"/>
      <c r="I90" s="842"/>
      <c r="J90" s="842"/>
      <c r="K90" s="842"/>
      <c r="L90" s="842"/>
      <c r="M90" s="842"/>
      <c r="N90" s="842"/>
      <c r="O90" s="842"/>
      <c r="P90" s="843">
        <f>+MEMORIA!X278</f>
        <v>0</v>
      </c>
      <c r="Q90" s="844"/>
      <c r="R90" s="844"/>
      <c r="S90" s="844"/>
      <c r="T90" s="844"/>
      <c r="U90" s="843">
        <f>+MEMORIA!AA278</f>
        <v>0</v>
      </c>
      <c r="V90" s="844"/>
      <c r="W90" s="844"/>
      <c r="X90" s="844"/>
      <c r="Y90" s="844"/>
      <c r="Z90" s="845" t="e">
        <f>+MEMORIA!AS278</f>
        <v>#DIV/0!</v>
      </c>
      <c r="AA90" s="846"/>
      <c r="AB90" s="846"/>
      <c r="AC90" s="846"/>
      <c r="AD90" s="846"/>
      <c r="AE90" s="846"/>
      <c r="AF90" s="846"/>
      <c r="AG90" s="847"/>
      <c r="AH90" s="848"/>
      <c r="AI90" s="849"/>
      <c r="AJ90" s="849"/>
      <c r="AK90" s="849"/>
      <c r="AL90" s="849"/>
      <c r="AM90" s="849"/>
      <c r="AN90" s="849"/>
      <c r="AO90" s="849"/>
      <c r="AP90" s="849"/>
      <c r="AQ90" s="849"/>
      <c r="AR90" s="850"/>
    </row>
    <row r="91" spans="1:44" ht="72.75" customHeight="1">
      <c r="A91" s="255">
        <v>5</v>
      </c>
      <c r="B91" s="841">
        <f>+MEMORIA!C279</f>
        <v>0</v>
      </c>
      <c r="C91" s="842"/>
      <c r="D91" s="842"/>
      <c r="E91" s="842"/>
      <c r="F91" s="842"/>
      <c r="G91" s="842"/>
      <c r="H91" s="842"/>
      <c r="I91" s="842"/>
      <c r="J91" s="842"/>
      <c r="K91" s="842"/>
      <c r="L91" s="842"/>
      <c r="M91" s="842"/>
      <c r="N91" s="842"/>
      <c r="O91" s="842"/>
      <c r="P91" s="843">
        <f>+MEMORIA!X279</f>
        <v>0</v>
      </c>
      <c r="Q91" s="844"/>
      <c r="R91" s="844"/>
      <c r="S91" s="844"/>
      <c r="T91" s="844"/>
      <c r="U91" s="843">
        <f>+MEMORIA!AA279</f>
        <v>0</v>
      </c>
      <c r="V91" s="844"/>
      <c r="W91" s="844"/>
      <c r="X91" s="844"/>
      <c r="Y91" s="844"/>
      <c r="Z91" s="845" t="e">
        <f>+MEMORIA!AS279</f>
        <v>#DIV/0!</v>
      </c>
      <c r="AA91" s="846"/>
      <c r="AB91" s="846"/>
      <c r="AC91" s="846"/>
      <c r="AD91" s="846"/>
      <c r="AE91" s="846"/>
      <c r="AF91" s="846"/>
      <c r="AG91" s="847"/>
      <c r="AH91" s="848"/>
      <c r="AI91" s="849"/>
      <c r="AJ91" s="849"/>
      <c r="AK91" s="849"/>
      <c r="AL91" s="849"/>
      <c r="AM91" s="849"/>
      <c r="AN91" s="849"/>
      <c r="AO91" s="849"/>
      <c r="AP91" s="849"/>
      <c r="AQ91" s="849"/>
      <c r="AR91" s="850"/>
    </row>
    <row r="92" spans="1:44" ht="40.5" customHeight="1">
      <c r="A92" s="255">
        <v>5</v>
      </c>
      <c r="B92" s="851" t="str">
        <f>+MEMORIA!C280</f>
        <v>"INMUEBLES VENDIDOS - VENTAS CERRADAS"
Tomado del aplicativo Vanetmap</v>
      </c>
      <c r="C92" s="852"/>
      <c r="D92" s="852"/>
      <c r="E92" s="852"/>
      <c r="F92" s="852"/>
      <c r="G92" s="852"/>
      <c r="H92" s="852"/>
      <c r="I92" s="852"/>
      <c r="J92" s="852"/>
      <c r="K92" s="852"/>
      <c r="L92" s="852"/>
      <c r="M92" s="852"/>
      <c r="N92" s="852"/>
      <c r="O92" s="852"/>
      <c r="P92" s="843"/>
      <c r="Q92" s="844"/>
      <c r="R92" s="844"/>
      <c r="S92" s="844"/>
      <c r="T92" s="844"/>
      <c r="U92" s="843"/>
      <c r="V92" s="844"/>
      <c r="W92" s="844"/>
      <c r="X92" s="844"/>
      <c r="Y92" s="844"/>
      <c r="Z92" s="845"/>
      <c r="AA92" s="846"/>
      <c r="AB92" s="846"/>
      <c r="AC92" s="846"/>
      <c r="AD92" s="846"/>
      <c r="AE92" s="846"/>
      <c r="AF92" s="846"/>
      <c r="AG92" s="847"/>
      <c r="AH92" s="848"/>
      <c r="AI92" s="849"/>
      <c r="AJ92" s="849"/>
      <c r="AK92" s="849"/>
      <c r="AL92" s="849"/>
      <c r="AM92" s="849"/>
      <c r="AN92" s="849"/>
      <c r="AO92" s="849"/>
      <c r="AP92" s="849"/>
      <c r="AQ92" s="849"/>
      <c r="AR92" s="850"/>
    </row>
    <row r="93" spans="1:44" ht="72.75" customHeight="1">
      <c r="A93" s="255">
        <v>5</v>
      </c>
      <c r="B93" s="841">
        <f>+MEMORIA!C281</f>
        <v>0</v>
      </c>
      <c r="C93" s="842"/>
      <c r="D93" s="842"/>
      <c r="E93" s="842"/>
      <c r="F93" s="842"/>
      <c r="G93" s="842"/>
      <c r="H93" s="842"/>
      <c r="I93" s="842"/>
      <c r="J93" s="842"/>
      <c r="K93" s="842"/>
      <c r="L93" s="842"/>
      <c r="M93" s="842"/>
      <c r="N93" s="842"/>
      <c r="O93" s="842"/>
      <c r="P93" s="843">
        <f>+MEMORIA!X281</f>
        <v>0</v>
      </c>
      <c r="Q93" s="844"/>
      <c r="R93" s="844"/>
      <c r="S93" s="844"/>
      <c r="T93" s="844"/>
      <c r="U93" s="843">
        <f>+MEMORIA!AA281</f>
        <v>0</v>
      </c>
      <c r="V93" s="844"/>
      <c r="W93" s="844"/>
      <c r="X93" s="844"/>
      <c r="Y93" s="844"/>
      <c r="Z93" s="845" t="e">
        <f>+MEMORIA!AS281</f>
        <v>#DIV/0!</v>
      </c>
      <c r="AA93" s="846"/>
      <c r="AB93" s="846"/>
      <c r="AC93" s="846"/>
      <c r="AD93" s="846"/>
      <c r="AE93" s="846"/>
      <c r="AF93" s="846"/>
      <c r="AG93" s="847"/>
      <c r="AH93" s="848"/>
      <c r="AI93" s="849"/>
      <c r="AJ93" s="849"/>
      <c r="AK93" s="849"/>
      <c r="AL93" s="849"/>
      <c r="AM93" s="849"/>
      <c r="AN93" s="849"/>
      <c r="AO93" s="849"/>
      <c r="AP93" s="849"/>
      <c r="AQ93" s="849"/>
      <c r="AR93" s="850"/>
    </row>
    <row r="94" spans="1:44" ht="4.5" customHeight="1"/>
    <row r="95" spans="1:44">
      <c r="A95" s="820" t="s">
        <v>484</v>
      </c>
      <c r="B95" s="821"/>
      <c r="C95" s="821"/>
      <c r="D95" s="821"/>
      <c r="E95" s="821"/>
      <c r="F95" s="821"/>
      <c r="G95" s="821"/>
      <c r="H95" s="821"/>
      <c r="I95" s="821"/>
      <c r="J95" s="821"/>
      <c r="K95" s="821"/>
      <c r="L95" s="821"/>
      <c r="M95" s="821"/>
      <c r="N95" s="821"/>
      <c r="O95" s="821"/>
      <c r="P95" s="821"/>
      <c r="Q95" s="821"/>
      <c r="R95" s="821"/>
      <c r="S95" s="821"/>
      <c r="T95" s="821"/>
      <c r="U95" s="821"/>
      <c r="V95" s="821"/>
      <c r="W95" s="821"/>
      <c r="X95" s="821"/>
      <c r="Y95" s="821"/>
      <c r="Z95" s="821"/>
      <c r="AA95" s="821"/>
      <c r="AB95" s="821"/>
      <c r="AC95" s="821"/>
      <c r="AD95" s="821"/>
      <c r="AE95" s="821"/>
      <c r="AF95" s="821"/>
      <c r="AG95" s="821"/>
      <c r="AH95" s="821"/>
      <c r="AI95" s="821"/>
      <c r="AJ95" s="821"/>
      <c r="AK95" s="821"/>
      <c r="AL95" s="821"/>
      <c r="AM95" s="821"/>
      <c r="AN95" s="821"/>
      <c r="AO95" s="821"/>
      <c r="AP95" s="821"/>
      <c r="AQ95" s="821"/>
      <c r="AR95" s="822"/>
    </row>
    <row r="96" spans="1:44" ht="5.25" customHeight="1" thickBot="1"/>
    <row r="97" spans="1:44" ht="13.5" thickBot="1">
      <c r="A97" s="203" t="s">
        <v>485</v>
      </c>
      <c r="N97" s="829">
        <f>+MEMORIA!L47</f>
        <v>0</v>
      </c>
      <c r="O97" s="830"/>
      <c r="P97" s="830"/>
      <c r="Q97" s="830"/>
      <c r="R97" s="830"/>
      <c r="S97" s="830"/>
      <c r="T97" s="830"/>
      <c r="U97" s="830"/>
      <c r="V97" s="830"/>
      <c r="W97" s="830"/>
      <c r="X97" s="830"/>
      <c r="Y97" s="831"/>
      <c r="AC97" s="832" t="s">
        <v>486</v>
      </c>
      <c r="AD97" s="833"/>
      <c r="AE97" s="833"/>
      <c r="AF97" s="833"/>
      <c r="AG97" s="833"/>
      <c r="AH97" s="833"/>
      <c r="AI97" s="833"/>
      <c r="AJ97" s="833"/>
      <c r="AK97" s="833"/>
      <c r="AL97" s="833"/>
      <c r="AM97" s="833"/>
      <c r="AN97" s="833"/>
      <c r="AO97" s="833"/>
      <c r="AP97" s="833"/>
      <c r="AQ97" s="833"/>
      <c r="AR97" s="834"/>
    </row>
    <row r="98" spans="1:44" ht="5.25" customHeight="1" thickBot="1">
      <c r="N98" s="218"/>
      <c r="O98" s="218"/>
      <c r="P98" s="218"/>
      <c r="Q98" s="218"/>
      <c r="R98" s="218"/>
      <c r="S98" s="218"/>
      <c r="T98" s="218"/>
      <c r="U98" s="218"/>
      <c r="V98" s="218"/>
      <c r="W98" s="218"/>
      <c r="X98" s="218"/>
      <c r="Y98" s="218"/>
      <c r="AC98" s="835"/>
      <c r="AD98" s="836"/>
      <c r="AE98" s="836"/>
      <c r="AF98" s="836"/>
      <c r="AG98" s="836"/>
      <c r="AH98" s="836"/>
      <c r="AI98" s="836"/>
      <c r="AJ98" s="836"/>
      <c r="AK98" s="836"/>
      <c r="AL98" s="836"/>
      <c r="AM98" s="836"/>
      <c r="AN98" s="836"/>
      <c r="AO98" s="836"/>
      <c r="AP98" s="836"/>
      <c r="AQ98" s="836"/>
      <c r="AR98" s="837"/>
    </row>
    <row r="99" spans="1:44" ht="13.5" thickBot="1">
      <c r="A99" s="203" t="s">
        <v>487</v>
      </c>
      <c r="N99" s="829">
        <f>+MEMORIA!AQ434+MEMORIA!AQ435+MEMORIA!AQ436+MEMORIA!AQ437+MEMORIA!AQ438+MEMORIA!AQ439</f>
        <v>0</v>
      </c>
      <c r="O99" s="830"/>
      <c r="P99" s="830"/>
      <c r="Q99" s="830"/>
      <c r="R99" s="830"/>
      <c r="S99" s="830"/>
      <c r="T99" s="830"/>
      <c r="U99" s="830"/>
      <c r="V99" s="830"/>
      <c r="W99" s="830"/>
      <c r="X99" s="830"/>
      <c r="Y99" s="831"/>
      <c r="AC99" s="835"/>
      <c r="AD99" s="836"/>
      <c r="AE99" s="836"/>
      <c r="AF99" s="836"/>
      <c r="AG99" s="836"/>
      <c r="AH99" s="836"/>
      <c r="AI99" s="836"/>
      <c r="AJ99" s="836"/>
      <c r="AK99" s="836"/>
      <c r="AL99" s="836"/>
      <c r="AM99" s="836"/>
      <c r="AN99" s="836"/>
      <c r="AO99" s="836"/>
      <c r="AP99" s="836"/>
      <c r="AQ99" s="836"/>
      <c r="AR99" s="837"/>
    </row>
    <row r="100" spans="1:44" ht="5.25" customHeight="1" thickBot="1">
      <c r="N100" s="218"/>
      <c r="O100" s="218"/>
      <c r="P100" s="218"/>
      <c r="Q100" s="218"/>
      <c r="R100" s="218"/>
      <c r="S100" s="218"/>
      <c r="T100" s="218"/>
      <c r="U100" s="218"/>
      <c r="V100" s="218"/>
      <c r="W100" s="218"/>
      <c r="X100" s="218"/>
      <c r="Y100" s="218"/>
      <c r="AC100" s="835"/>
      <c r="AD100" s="836"/>
      <c r="AE100" s="836"/>
      <c r="AF100" s="836"/>
      <c r="AG100" s="836"/>
      <c r="AH100" s="836"/>
      <c r="AI100" s="836"/>
      <c r="AJ100" s="836"/>
      <c r="AK100" s="836"/>
      <c r="AL100" s="836"/>
      <c r="AM100" s="836"/>
      <c r="AN100" s="836"/>
      <c r="AO100" s="836"/>
      <c r="AP100" s="836"/>
      <c r="AQ100" s="836"/>
      <c r="AR100" s="837"/>
    </row>
    <row r="101" spans="1:44" ht="13.5" thickBot="1">
      <c r="A101" s="203" t="s">
        <v>488</v>
      </c>
      <c r="N101" s="829">
        <f>+MEMORIA!AK48</f>
        <v>0</v>
      </c>
      <c r="O101" s="830"/>
      <c r="P101" s="830"/>
      <c r="Q101" s="830"/>
      <c r="R101" s="830"/>
      <c r="S101" s="830"/>
      <c r="T101" s="830"/>
      <c r="U101" s="830"/>
      <c r="V101" s="830"/>
      <c r="W101" s="830"/>
      <c r="X101" s="830"/>
      <c r="Y101" s="831"/>
      <c r="AC101" s="835"/>
      <c r="AD101" s="836"/>
      <c r="AE101" s="836"/>
      <c r="AF101" s="836"/>
      <c r="AG101" s="836"/>
      <c r="AH101" s="836"/>
      <c r="AI101" s="836"/>
      <c r="AJ101" s="836"/>
      <c r="AK101" s="836"/>
      <c r="AL101" s="836"/>
      <c r="AM101" s="836"/>
      <c r="AN101" s="836"/>
      <c r="AO101" s="836"/>
      <c r="AP101" s="836"/>
      <c r="AQ101" s="836"/>
      <c r="AR101" s="837"/>
    </row>
    <row r="102" spans="1:44" ht="5.25" customHeight="1" thickBot="1">
      <c r="N102" s="218"/>
      <c r="O102" s="218"/>
      <c r="P102" s="218"/>
      <c r="Q102" s="218"/>
      <c r="R102" s="218"/>
      <c r="S102" s="218"/>
      <c r="T102" s="218"/>
      <c r="U102" s="218"/>
      <c r="V102" s="218"/>
      <c r="W102" s="218"/>
      <c r="X102" s="218"/>
      <c r="Y102" s="218"/>
      <c r="AC102" s="835"/>
      <c r="AD102" s="836"/>
      <c r="AE102" s="836"/>
      <c r="AF102" s="836"/>
      <c r="AG102" s="836"/>
      <c r="AH102" s="836"/>
      <c r="AI102" s="836"/>
      <c r="AJ102" s="836"/>
      <c r="AK102" s="836"/>
      <c r="AL102" s="836"/>
      <c r="AM102" s="836"/>
      <c r="AN102" s="836"/>
      <c r="AO102" s="836"/>
      <c r="AP102" s="836"/>
      <c r="AQ102" s="836"/>
      <c r="AR102" s="837"/>
    </row>
    <row r="103" spans="1:44" ht="13.5" thickBot="1">
      <c r="A103" s="203" t="s">
        <v>489</v>
      </c>
      <c r="N103" s="829">
        <f>+MEMORIA!AK49</f>
        <v>0</v>
      </c>
      <c r="O103" s="830"/>
      <c r="P103" s="830"/>
      <c r="Q103" s="830"/>
      <c r="R103" s="830"/>
      <c r="S103" s="830"/>
      <c r="T103" s="830"/>
      <c r="U103" s="830"/>
      <c r="V103" s="830"/>
      <c r="W103" s="830"/>
      <c r="X103" s="830"/>
      <c r="Y103" s="831"/>
      <c r="AC103" s="835"/>
      <c r="AD103" s="836"/>
      <c r="AE103" s="836"/>
      <c r="AF103" s="836"/>
      <c r="AG103" s="836"/>
      <c r="AH103" s="836"/>
      <c r="AI103" s="836"/>
      <c r="AJ103" s="836"/>
      <c r="AK103" s="836"/>
      <c r="AL103" s="836"/>
      <c r="AM103" s="836"/>
      <c r="AN103" s="836"/>
      <c r="AO103" s="836"/>
      <c r="AP103" s="836"/>
      <c r="AQ103" s="836"/>
      <c r="AR103" s="837"/>
    </row>
    <row r="104" spans="1:44" ht="5.25" customHeight="1" thickBot="1">
      <c r="N104" s="218"/>
      <c r="O104" s="218"/>
      <c r="P104" s="218"/>
      <c r="Q104" s="218"/>
      <c r="R104" s="218"/>
      <c r="S104" s="218"/>
      <c r="T104" s="218"/>
      <c r="U104" s="218"/>
      <c r="V104" s="218"/>
      <c r="W104" s="218"/>
      <c r="X104" s="218"/>
      <c r="Y104" s="218"/>
      <c r="AC104" s="835"/>
      <c r="AD104" s="836"/>
      <c r="AE104" s="836"/>
      <c r="AF104" s="836"/>
      <c r="AG104" s="836"/>
      <c r="AH104" s="836"/>
      <c r="AI104" s="836"/>
      <c r="AJ104" s="836"/>
      <c r="AK104" s="836"/>
      <c r="AL104" s="836"/>
      <c r="AM104" s="836"/>
      <c r="AN104" s="836"/>
      <c r="AO104" s="836"/>
      <c r="AP104" s="836"/>
      <c r="AQ104" s="836"/>
      <c r="AR104" s="837"/>
    </row>
    <row r="105" spans="1:44" ht="13.5" thickBot="1">
      <c r="A105" s="203" t="s">
        <v>490</v>
      </c>
      <c r="N105" s="829">
        <f>+MEMORIA!AK50</f>
        <v>0</v>
      </c>
      <c r="O105" s="830"/>
      <c r="P105" s="830"/>
      <c r="Q105" s="830"/>
      <c r="R105" s="830"/>
      <c r="S105" s="830"/>
      <c r="T105" s="830"/>
      <c r="U105" s="830"/>
      <c r="V105" s="830"/>
      <c r="W105" s="830"/>
      <c r="X105" s="830"/>
      <c r="Y105" s="831"/>
      <c r="AC105" s="835"/>
      <c r="AD105" s="836"/>
      <c r="AE105" s="836"/>
      <c r="AF105" s="836"/>
      <c r="AG105" s="836"/>
      <c r="AH105" s="836"/>
      <c r="AI105" s="836"/>
      <c r="AJ105" s="836"/>
      <c r="AK105" s="836"/>
      <c r="AL105" s="836"/>
      <c r="AM105" s="836"/>
      <c r="AN105" s="836"/>
      <c r="AO105" s="836"/>
      <c r="AP105" s="836"/>
      <c r="AQ105" s="836"/>
      <c r="AR105" s="837"/>
    </row>
    <row r="106" spans="1:44" ht="5.25" customHeight="1" thickBot="1">
      <c r="N106" s="218"/>
      <c r="O106" s="218"/>
      <c r="P106" s="218"/>
      <c r="Q106" s="218"/>
      <c r="R106" s="218"/>
      <c r="S106" s="218"/>
      <c r="T106" s="218"/>
      <c r="U106" s="218"/>
      <c r="V106" s="218"/>
      <c r="W106" s="218"/>
      <c r="X106" s="218"/>
      <c r="Y106" s="218"/>
      <c r="AC106" s="835"/>
      <c r="AD106" s="836"/>
      <c r="AE106" s="836"/>
      <c r="AF106" s="836"/>
      <c r="AG106" s="836"/>
      <c r="AH106" s="836"/>
      <c r="AI106" s="836"/>
      <c r="AJ106" s="836"/>
      <c r="AK106" s="836"/>
      <c r="AL106" s="836"/>
      <c r="AM106" s="836"/>
      <c r="AN106" s="836"/>
      <c r="AO106" s="836"/>
      <c r="AP106" s="836"/>
      <c r="AQ106" s="836"/>
      <c r="AR106" s="837"/>
    </row>
    <row r="107" spans="1:44" ht="13.5" thickBot="1">
      <c r="A107" s="203" t="s">
        <v>491</v>
      </c>
      <c r="N107" s="829">
        <f>+MEMORIA!AQ50</f>
        <v>0</v>
      </c>
      <c r="O107" s="830"/>
      <c r="P107" s="830"/>
      <c r="Q107" s="830"/>
      <c r="R107" s="830"/>
      <c r="S107" s="830"/>
      <c r="T107" s="830"/>
      <c r="U107" s="830"/>
      <c r="V107" s="830"/>
      <c r="W107" s="830"/>
      <c r="X107" s="830"/>
      <c r="Y107" s="831"/>
      <c r="AC107" s="838"/>
      <c r="AD107" s="839"/>
      <c r="AE107" s="839"/>
      <c r="AF107" s="839"/>
      <c r="AG107" s="839"/>
      <c r="AH107" s="839"/>
      <c r="AI107" s="839"/>
      <c r="AJ107" s="839"/>
      <c r="AK107" s="839"/>
      <c r="AL107" s="839"/>
      <c r="AM107" s="839"/>
      <c r="AN107" s="839"/>
      <c r="AO107" s="839"/>
      <c r="AP107" s="839"/>
      <c r="AQ107" s="839"/>
      <c r="AR107" s="840"/>
    </row>
    <row r="108" spans="1:44" ht="7.5" customHeight="1"/>
    <row r="109" spans="1:44">
      <c r="A109" s="820" t="s">
        <v>492</v>
      </c>
      <c r="B109" s="821"/>
      <c r="C109" s="821"/>
      <c r="D109" s="821"/>
      <c r="E109" s="821"/>
      <c r="F109" s="821"/>
      <c r="G109" s="821"/>
      <c r="H109" s="821"/>
      <c r="I109" s="821"/>
      <c r="J109" s="821"/>
      <c r="K109" s="821"/>
      <c r="L109" s="821"/>
      <c r="M109" s="821"/>
      <c r="N109" s="821"/>
      <c r="O109" s="821"/>
      <c r="P109" s="821"/>
      <c r="Q109" s="821"/>
      <c r="R109" s="821"/>
      <c r="S109" s="821"/>
      <c r="T109" s="821"/>
      <c r="U109" s="821"/>
      <c r="V109" s="821"/>
      <c r="W109" s="821"/>
      <c r="X109" s="821"/>
      <c r="Y109" s="821"/>
      <c r="Z109" s="821"/>
      <c r="AA109" s="821"/>
      <c r="AB109" s="821"/>
      <c r="AC109" s="821"/>
      <c r="AD109" s="821"/>
      <c r="AE109" s="821"/>
      <c r="AF109" s="821"/>
      <c r="AG109" s="821"/>
      <c r="AH109" s="821"/>
      <c r="AI109" s="821"/>
      <c r="AJ109" s="821"/>
      <c r="AK109" s="821"/>
      <c r="AL109" s="821"/>
      <c r="AM109" s="821"/>
      <c r="AN109" s="821"/>
      <c r="AO109" s="821"/>
      <c r="AP109" s="821"/>
      <c r="AQ109" s="821"/>
      <c r="AR109" s="822"/>
    </row>
    <row r="110" spans="1:44" ht="5.25" customHeight="1" thickBot="1"/>
    <row r="111" spans="1:44" ht="9" customHeight="1">
      <c r="A111" s="823"/>
      <c r="B111" s="824"/>
      <c r="C111" s="824"/>
      <c r="D111" s="824"/>
      <c r="E111" s="824"/>
      <c r="F111" s="824"/>
      <c r="G111" s="824"/>
      <c r="H111" s="824"/>
      <c r="I111" s="824"/>
      <c r="J111" s="824"/>
      <c r="K111" s="824"/>
      <c r="L111" s="824"/>
      <c r="M111" s="824"/>
      <c r="N111" s="824"/>
      <c r="O111" s="824"/>
      <c r="P111" s="824"/>
      <c r="Q111" s="824"/>
      <c r="R111" s="824"/>
      <c r="S111" s="824"/>
      <c r="T111" s="824"/>
      <c r="U111" s="824"/>
      <c r="V111" s="824"/>
      <c r="W111" s="824"/>
      <c r="X111" s="824"/>
      <c r="Y111" s="824"/>
      <c r="Z111" s="824"/>
      <c r="AA111" s="824"/>
      <c r="AB111" s="824"/>
      <c r="AC111" s="824"/>
      <c r="AD111" s="824"/>
      <c r="AE111" s="824"/>
      <c r="AF111" s="824"/>
      <c r="AG111" s="824"/>
      <c r="AH111" s="824"/>
      <c r="AI111" s="824"/>
      <c r="AJ111" s="824"/>
      <c r="AK111" s="824"/>
      <c r="AL111" s="824"/>
      <c r="AM111" s="824"/>
      <c r="AN111" s="824"/>
      <c r="AO111" s="824"/>
      <c r="AP111" s="824"/>
      <c r="AQ111" s="824"/>
      <c r="AR111" s="825"/>
    </row>
    <row r="112" spans="1:44" ht="6.75" customHeight="1" thickBot="1">
      <c r="A112" s="826"/>
      <c r="B112" s="827"/>
      <c r="C112" s="827"/>
      <c r="D112" s="827"/>
      <c r="E112" s="827"/>
      <c r="F112" s="827"/>
      <c r="G112" s="827"/>
      <c r="H112" s="827"/>
      <c r="I112" s="827"/>
      <c r="J112" s="827"/>
      <c r="K112" s="827"/>
      <c r="L112" s="827"/>
      <c r="M112" s="827"/>
      <c r="N112" s="827"/>
      <c r="O112" s="827"/>
      <c r="P112" s="827"/>
      <c r="Q112" s="827"/>
      <c r="R112" s="827"/>
      <c r="S112" s="827"/>
      <c r="T112" s="827"/>
      <c r="U112" s="827"/>
      <c r="V112" s="827"/>
      <c r="W112" s="827"/>
      <c r="X112" s="827"/>
      <c r="Y112" s="827"/>
      <c r="Z112" s="827"/>
      <c r="AA112" s="827"/>
      <c r="AB112" s="827"/>
      <c r="AC112" s="827"/>
      <c r="AD112" s="827"/>
      <c r="AE112" s="827"/>
      <c r="AF112" s="827"/>
      <c r="AG112" s="827"/>
      <c r="AH112" s="827"/>
      <c r="AI112" s="827"/>
      <c r="AJ112" s="827"/>
      <c r="AK112" s="827"/>
      <c r="AL112" s="827"/>
      <c r="AM112" s="827"/>
      <c r="AN112" s="827"/>
      <c r="AO112" s="827"/>
      <c r="AP112" s="827"/>
      <c r="AQ112" s="827"/>
      <c r="AR112" s="828"/>
    </row>
    <row r="113" spans="1:40" ht="5.25" customHeight="1"/>
    <row r="114" spans="1:40">
      <c r="AC114" s="203" t="s">
        <v>493</v>
      </c>
    </row>
    <row r="115" spans="1:40" ht="5.25" customHeight="1"/>
    <row r="116" spans="1:40">
      <c r="A116" s="212" t="s">
        <v>494</v>
      </c>
    </row>
    <row r="117" spans="1:40">
      <c r="A117" s="212" t="s">
        <v>495</v>
      </c>
    </row>
    <row r="118" spans="1:40" s="203" customFormat="1" ht="11.25">
      <c r="A118" s="212" t="s">
        <v>496</v>
      </c>
    </row>
    <row r="119" spans="1:40" s="203" customFormat="1" ht="11.25">
      <c r="A119" s="212" t="s">
        <v>497</v>
      </c>
    </row>
    <row r="120" spans="1:40" ht="6.75" customHeight="1"/>
    <row r="121" spans="1:40" ht="9.75" customHeight="1"/>
    <row r="122" spans="1:40" s="203" customFormat="1" ht="11.25">
      <c r="AC122" s="225" t="s">
        <v>498</v>
      </c>
      <c r="AD122" s="225"/>
      <c r="AE122" s="225"/>
      <c r="AF122" s="225"/>
      <c r="AG122" s="225"/>
      <c r="AH122" s="225"/>
      <c r="AI122" s="225"/>
      <c r="AJ122" s="225"/>
      <c r="AK122" s="225"/>
      <c r="AL122" s="225"/>
      <c r="AM122" s="225"/>
      <c r="AN122" s="225"/>
    </row>
    <row r="123" spans="1:40" s="203" customFormat="1" ht="11.25">
      <c r="AC123" s="203" t="s">
        <v>499</v>
      </c>
    </row>
    <row r="124" spans="1:40" s="203" customFormat="1" ht="11.25">
      <c r="AC124" s="203" t="s">
        <v>500</v>
      </c>
    </row>
  </sheetData>
  <mergeCells count="166">
    <mergeCell ref="E14:AI14"/>
    <mergeCell ref="G16:H16"/>
    <mergeCell ref="I16:J16"/>
    <mergeCell ref="L16:S16"/>
    <mergeCell ref="T16:U16"/>
    <mergeCell ref="V16:Z16"/>
    <mergeCell ref="S24:AR24"/>
    <mergeCell ref="A26:B26"/>
    <mergeCell ref="C26:D26"/>
    <mergeCell ref="F26:H26"/>
    <mergeCell ref="I26:J26"/>
    <mergeCell ref="P26:AR26"/>
    <mergeCell ref="G18:T18"/>
    <mergeCell ref="AA18:AR18"/>
    <mergeCell ref="G20:AD20"/>
    <mergeCell ref="AE20:AJ20"/>
    <mergeCell ref="AK20:AR20"/>
    <mergeCell ref="G22:AD22"/>
    <mergeCell ref="AF22:AJ22"/>
    <mergeCell ref="AK22:AR22"/>
    <mergeCell ref="D28:J28"/>
    <mergeCell ref="P28:T28"/>
    <mergeCell ref="Z28:AF28"/>
    <mergeCell ref="AG28:AN28"/>
    <mergeCell ref="F30:I30"/>
    <mergeCell ref="J30:L30"/>
    <mergeCell ref="M30:R30"/>
    <mergeCell ref="T30:Z30"/>
    <mergeCell ref="AA30:AB30"/>
    <mergeCell ref="AC30:AJ30"/>
    <mergeCell ref="AL30:AQ30"/>
    <mergeCell ref="AL42:AN42"/>
    <mergeCell ref="T46:V46"/>
    <mergeCell ref="AH46:AK46"/>
    <mergeCell ref="AH47:AI47"/>
    <mergeCell ref="G48:I48"/>
    <mergeCell ref="AH48:AI48"/>
    <mergeCell ref="AM32:AR32"/>
    <mergeCell ref="A35:AR35"/>
    <mergeCell ref="O37:P37"/>
    <mergeCell ref="AA37:AB37"/>
    <mergeCell ref="AP37:AQ37"/>
    <mergeCell ref="R39:T39"/>
    <mergeCell ref="AL39:AN39"/>
    <mergeCell ref="F32:I32"/>
    <mergeCell ref="J32:L32"/>
    <mergeCell ref="M32:R32"/>
    <mergeCell ref="T32:U32"/>
    <mergeCell ref="W32:X32"/>
    <mergeCell ref="Y32:Z32"/>
    <mergeCell ref="AA32:AC32"/>
    <mergeCell ref="AD32:AE32"/>
    <mergeCell ref="AF32:AJ32"/>
    <mergeCell ref="M67:N67"/>
    <mergeCell ref="R67:S67"/>
    <mergeCell ref="X67:Y67"/>
    <mergeCell ref="E71:F71"/>
    <mergeCell ref="O71:P71"/>
    <mergeCell ref="AH71:AI71"/>
    <mergeCell ref="AH49:AI49"/>
    <mergeCell ref="AH50:AI50"/>
    <mergeCell ref="AH51:AI51"/>
    <mergeCell ref="AH52:AI52"/>
    <mergeCell ref="A55:AR55"/>
    <mergeCell ref="M66:N66"/>
    <mergeCell ref="R66:S66"/>
    <mergeCell ref="X66:Y66"/>
    <mergeCell ref="AH75:AM75"/>
    <mergeCell ref="B76:G76"/>
    <mergeCell ref="H76:L76"/>
    <mergeCell ref="M76:Q76"/>
    <mergeCell ref="R76:V76"/>
    <mergeCell ref="W76:AA76"/>
    <mergeCell ref="AB76:AG76"/>
    <mergeCell ref="AH76:AM76"/>
    <mergeCell ref="B75:G75"/>
    <mergeCell ref="H75:L75"/>
    <mergeCell ref="M75:Q75"/>
    <mergeCell ref="R75:V75"/>
    <mergeCell ref="W75:AA75"/>
    <mergeCell ref="AB75:AG75"/>
    <mergeCell ref="A80:AR80"/>
    <mergeCell ref="B82:O82"/>
    <mergeCell ref="P82:T82"/>
    <mergeCell ref="U82:Y82"/>
    <mergeCell ref="Z82:AG82"/>
    <mergeCell ref="AH82:AR82"/>
    <mergeCell ref="AH77:AM77"/>
    <mergeCell ref="B78:G78"/>
    <mergeCell ref="H78:L78"/>
    <mergeCell ref="M78:Q78"/>
    <mergeCell ref="R78:V78"/>
    <mergeCell ref="W78:AA78"/>
    <mergeCell ref="AB78:AG78"/>
    <mergeCell ref="AH78:AM78"/>
    <mergeCell ref="B77:G77"/>
    <mergeCell ref="H77:L77"/>
    <mergeCell ref="M77:Q77"/>
    <mergeCell ref="R77:V77"/>
    <mergeCell ref="W77:AA77"/>
    <mergeCell ref="AB77:AG77"/>
    <mergeCell ref="B83:O83"/>
    <mergeCell ref="P83:T83"/>
    <mergeCell ref="U83:Y83"/>
    <mergeCell ref="Z83:AG83"/>
    <mergeCell ref="AH83:AR83"/>
    <mergeCell ref="B84:O84"/>
    <mergeCell ref="P84:T84"/>
    <mergeCell ref="U84:Y84"/>
    <mergeCell ref="Z84:AG84"/>
    <mergeCell ref="AH84:AR84"/>
    <mergeCell ref="B85:O85"/>
    <mergeCell ref="P85:T85"/>
    <mergeCell ref="U85:Y85"/>
    <mergeCell ref="Z85:AG85"/>
    <mergeCell ref="AH85:AR85"/>
    <mergeCell ref="B86:O86"/>
    <mergeCell ref="P86:T86"/>
    <mergeCell ref="U86:Y86"/>
    <mergeCell ref="Z86:AG86"/>
    <mergeCell ref="AH86:AR86"/>
    <mergeCell ref="B87:O87"/>
    <mergeCell ref="P87:T87"/>
    <mergeCell ref="U87:Y87"/>
    <mergeCell ref="Z87:AG87"/>
    <mergeCell ref="AH87:AR87"/>
    <mergeCell ref="B88:O88"/>
    <mergeCell ref="P88:T88"/>
    <mergeCell ref="U88:Y88"/>
    <mergeCell ref="Z88:AG88"/>
    <mergeCell ref="AH88:AR88"/>
    <mergeCell ref="B89:O89"/>
    <mergeCell ref="P89:T89"/>
    <mergeCell ref="U89:Y89"/>
    <mergeCell ref="Z89:AG89"/>
    <mergeCell ref="AH89:AR89"/>
    <mergeCell ref="B90:O90"/>
    <mergeCell ref="P90:T90"/>
    <mergeCell ref="U90:Y90"/>
    <mergeCell ref="Z90:AG90"/>
    <mergeCell ref="AH90:AR90"/>
    <mergeCell ref="B93:O93"/>
    <mergeCell ref="P93:T93"/>
    <mergeCell ref="U93:Y93"/>
    <mergeCell ref="Z93:AG93"/>
    <mergeCell ref="AH93:AR93"/>
    <mergeCell ref="A95:AR95"/>
    <mergeCell ref="B91:O91"/>
    <mergeCell ref="P91:T91"/>
    <mergeCell ref="U91:Y91"/>
    <mergeCell ref="Z91:AG91"/>
    <mergeCell ref="AH91:AR91"/>
    <mergeCell ref="B92:O92"/>
    <mergeCell ref="P92:T92"/>
    <mergeCell ref="U92:Y92"/>
    <mergeCell ref="Z92:AG92"/>
    <mergeCell ref="AH92:AR92"/>
    <mergeCell ref="A109:AR109"/>
    <mergeCell ref="A111:AR112"/>
    <mergeCell ref="N97:Y97"/>
    <mergeCell ref="AC97:AR107"/>
    <mergeCell ref="N99:Y99"/>
    <mergeCell ref="N101:Y101"/>
    <mergeCell ref="N103:Y103"/>
    <mergeCell ref="N105:Y105"/>
    <mergeCell ref="N107:Y107"/>
  </mergeCells>
  <printOptions horizontalCentered="1"/>
  <pageMargins left="0" right="0" top="0.78740157480314965" bottom="0" header="0" footer="0"/>
  <pageSetup paperSize="9" scale="5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8082D-D60C-4108-A738-6562324B56AF}">
  <dimension ref="A1:AH79"/>
  <sheetViews>
    <sheetView zoomScale="70" zoomScaleNormal="70" workbookViewId="0">
      <selection activeCell="M33" sqref="M33"/>
    </sheetView>
  </sheetViews>
  <sheetFormatPr baseColWidth="10" defaultRowHeight="12.75"/>
  <cols>
    <col min="1" max="1" width="4.7109375" style="21" customWidth="1"/>
    <col min="2" max="2" width="4.28515625" style="21" customWidth="1"/>
    <col min="3" max="3" width="7.7109375" style="21" customWidth="1"/>
    <col min="4" max="4" width="9.28515625" style="21" customWidth="1"/>
    <col min="5" max="5" width="9.7109375" style="21" customWidth="1"/>
    <col min="6" max="6" width="8.85546875" style="21" customWidth="1"/>
    <col min="7" max="7" width="7.140625" style="21" customWidth="1"/>
    <col min="8" max="8" width="4.42578125" style="21" customWidth="1"/>
    <col min="9" max="9" width="7.42578125" style="21" customWidth="1"/>
    <col min="10" max="10" width="6.42578125" style="21" customWidth="1"/>
    <col min="11" max="11" width="7.42578125" style="21" customWidth="1"/>
    <col min="12" max="12" width="6.7109375" style="21" customWidth="1"/>
    <col min="13" max="13" width="7.42578125" style="21" customWidth="1"/>
    <col min="14" max="15" width="2.5703125" style="21" customWidth="1"/>
    <col min="16" max="16" width="3.7109375" style="21" customWidth="1"/>
    <col min="17" max="21" width="7.7109375" style="21" customWidth="1"/>
    <col min="22" max="22" width="6.42578125" style="21" customWidth="1"/>
    <col min="23" max="23" width="6.7109375" style="21" customWidth="1"/>
    <col min="24" max="24" width="7.7109375" style="21" customWidth="1"/>
    <col min="25" max="25" width="6.7109375" style="21" customWidth="1"/>
    <col min="26" max="26" width="6.28515625" style="21" customWidth="1"/>
    <col min="27" max="27" width="6.140625" style="21" customWidth="1"/>
    <col min="28" max="42" width="7.7109375" style="21" customWidth="1"/>
    <col min="43" max="256" width="11.42578125" style="21"/>
    <col min="257" max="257" width="4.7109375" style="21" customWidth="1"/>
    <col min="258" max="258" width="4.28515625" style="21" customWidth="1"/>
    <col min="259" max="259" width="7.7109375" style="21" customWidth="1"/>
    <col min="260" max="260" width="9.28515625" style="21" customWidth="1"/>
    <col min="261" max="261" width="9.7109375" style="21" customWidth="1"/>
    <col min="262" max="262" width="8.85546875" style="21" customWidth="1"/>
    <col min="263" max="263" width="7.140625" style="21" customWidth="1"/>
    <col min="264" max="264" width="4.42578125" style="21" customWidth="1"/>
    <col min="265" max="265" width="7.42578125" style="21" customWidth="1"/>
    <col min="266" max="266" width="6.42578125" style="21" customWidth="1"/>
    <col min="267" max="267" width="7.42578125" style="21" customWidth="1"/>
    <col min="268" max="268" width="6.7109375" style="21" customWidth="1"/>
    <col min="269" max="269" width="7.42578125" style="21" customWidth="1"/>
    <col min="270" max="271" width="2.5703125" style="21" customWidth="1"/>
    <col min="272" max="272" width="3.7109375" style="21" customWidth="1"/>
    <col min="273" max="277" width="7.7109375" style="21" customWidth="1"/>
    <col min="278" max="278" width="6.42578125" style="21" customWidth="1"/>
    <col min="279" max="279" width="6.7109375" style="21" customWidth="1"/>
    <col min="280" max="280" width="7.7109375" style="21" customWidth="1"/>
    <col min="281" max="281" width="6.7109375" style="21" customWidth="1"/>
    <col min="282" max="282" width="6.28515625" style="21" customWidth="1"/>
    <col min="283" max="283" width="6.140625" style="21" customWidth="1"/>
    <col min="284" max="298" width="7.7109375" style="21" customWidth="1"/>
    <col min="299" max="512" width="11.42578125" style="21"/>
    <col min="513" max="513" width="4.7109375" style="21" customWidth="1"/>
    <col min="514" max="514" width="4.28515625" style="21" customWidth="1"/>
    <col min="515" max="515" width="7.7109375" style="21" customWidth="1"/>
    <col min="516" max="516" width="9.28515625" style="21" customWidth="1"/>
    <col min="517" max="517" width="9.7109375" style="21" customWidth="1"/>
    <col min="518" max="518" width="8.85546875" style="21" customWidth="1"/>
    <col min="519" max="519" width="7.140625" style="21" customWidth="1"/>
    <col min="520" max="520" width="4.42578125" style="21" customWidth="1"/>
    <col min="521" max="521" width="7.42578125" style="21" customWidth="1"/>
    <col min="522" max="522" width="6.42578125" style="21" customWidth="1"/>
    <col min="523" max="523" width="7.42578125" style="21" customWidth="1"/>
    <col min="524" max="524" width="6.7109375" style="21" customWidth="1"/>
    <col min="525" max="525" width="7.42578125" style="21" customWidth="1"/>
    <col min="526" max="527" width="2.5703125" style="21" customWidth="1"/>
    <col min="528" max="528" width="3.7109375" style="21" customWidth="1"/>
    <col min="529" max="533" width="7.7109375" style="21" customWidth="1"/>
    <col min="534" max="534" width="6.42578125" style="21" customWidth="1"/>
    <col min="535" max="535" width="6.7109375" style="21" customWidth="1"/>
    <col min="536" max="536" width="7.7109375" style="21" customWidth="1"/>
    <col min="537" max="537" width="6.7109375" style="21" customWidth="1"/>
    <col min="538" max="538" width="6.28515625" style="21" customWidth="1"/>
    <col min="539" max="539" width="6.140625" style="21" customWidth="1"/>
    <col min="540" max="554" width="7.7109375" style="21" customWidth="1"/>
    <col min="555" max="768" width="11.42578125" style="21"/>
    <col min="769" max="769" width="4.7109375" style="21" customWidth="1"/>
    <col min="770" max="770" width="4.28515625" style="21" customWidth="1"/>
    <col min="771" max="771" width="7.7109375" style="21" customWidth="1"/>
    <col min="772" max="772" width="9.28515625" style="21" customWidth="1"/>
    <col min="773" max="773" width="9.7109375" style="21" customWidth="1"/>
    <col min="774" max="774" width="8.85546875" style="21" customWidth="1"/>
    <col min="775" max="775" width="7.140625" style="21" customWidth="1"/>
    <col min="776" max="776" width="4.42578125" style="21" customWidth="1"/>
    <col min="777" max="777" width="7.42578125" style="21" customWidth="1"/>
    <col min="778" max="778" width="6.42578125" style="21" customWidth="1"/>
    <col min="779" max="779" width="7.42578125" style="21" customWidth="1"/>
    <col min="780" max="780" width="6.7109375" style="21" customWidth="1"/>
    <col min="781" max="781" width="7.42578125" style="21" customWidth="1"/>
    <col min="782" max="783" width="2.5703125" style="21" customWidth="1"/>
    <col min="784" max="784" width="3.7109375" style="21" customWidth="1"/>
    <col min="785" max="789" width="7.7109375" style="21" customWidth="1"/>
    <col min="790" max="790" width="6.42578125" style="21" customWidth="1"/>
    <col min="791" max="791" width="6.7109375" style="21" customWidth="1"/>
    <col min="792" max="792" width="7.7109375" style="21" customWidth="1"/>
    <col min="793" max="793" width="6.7109375" style="21" customWidth="1"/>
    <col min="794" max="794" width="6.28515625" style="21" customWidth="1"/>
    <col min="795" max="795" width="6.140625" style="21" customWidth="1"/>
    <col min="796" max="810" width="7.7109375" style="21" customWidth="1"/>
    <col min="811" max="1024" width="11.42578125" style="21"/>
    <col min="1025" max="1025" width="4.7109375" style="21" customWidth="1"/>
    <col min="1026" max="1026" width="4.28515625" style="21" customWidth="1"/>
    <col min="1027" max="1027" width="7.7109375" style="21" customWidth="1"/>
    <col min="1028" max="1028" width="9.28515625" style="21" customWidth="1"/>
    <col min="1029" max="1029" width="9.7109375" style="21" customWidth="1"/>
    <col min="1030" max="1030" width="8.85546875" style="21" customWidth="1"/>
    <col min="1031" max="1031" width="7.140625" style="21" customWidth="1"/>
    <col min="1032" max="1032" width="4.42578125" style="21" customWidth="1"/>
    <col min="1033" max="1033" width="7.42578125" style="21" customWidth="1"/>
    <col min="1034" max="1034" width="6.42578125" style="21" customWidth="1"/>
    <col min="1035" max="1035" width="7.42578125" style="21" customWidth="1"/>
    <col min="1036" max="1036" width="6.7109375" style="21" customWidth="1"/>
    <col min="1037" max="1037" width="7.42578125" style="21" customWidth="1"/>
    <col min="1038" max="1039" width="2.5703125" style="21" customWidth="1"/>
    <col min="1040" max="1040" width="3.7109375" style="21" customWidth="1"/>
    <col min="1041" max="1045" width="7.7109375" style="21" customWidth="1"/>
    <col min="1046" max="1046" width="6.42578125" style="21" customWidth="1"/>
    <col min="1047" max="1047" width="6.7109375" style="21" customWidth="1"/>
    <col min="1048" max="1048" width="7.7109375" style="21" customWidth="1"/>
    <col min="1049" max="1049" width="6.7109375" style="21" customWidth="1"/>
    <col min="1050" max="1050" width="6.28515625" style="21" customWidth="1"/>
    <col min="1051" max="1051" width="6.140625" style="21" customWidth="1"/>
    <col min="1052" max="1066" width="7.7109375" style="21" customWidth="1"/>
    <col min="1067" max="1280" width="11.42578125" style="21"/>
    <col min="1281" max="1281" width="4.7109375" style="21" customWidth="1"/>
    <col min="1282" max="1282" width="4.28515625" style="21" customWidth="1"/>
    <col min="1283" max="1283" width="7.7109375" style="21" customWidth="1"/>
    <col min="1284" max="1284" width="9.28515625" style="21" customWidth="1"/>
    <col min="1285" max="1285" width="9.7109375" style="21" customWidth="1"/>
    <col min="1286" max="1286" width="8.85546875" style="21" customWidth="1"/>
    <col min="1287" max="1287" width="7.140625" style="21" customWidth="1"/>
    <col min="1288" max="1288" width="4.42578125" style="21" customWidth="1"/>
    <col min="1289" max="1289" width="7.42578125" style="21" customWidth="1"/>
    <col min="1290" max="1290" width="6.42578125" style="21" customWidth="1"/>
    <col min="1291" max="1291" width="7.42578125" style="21" customWidth="1"/>
    <col min="1292" max="1292" width="6.7109375" style="21" customWidth="1"/>
    <col min="1293" max="1293" width="7.42578125" style="21" customWidth="1"/>
    <col min="1294" max="1295" width="2.5703125" style="21" customWidth="1"/>
    <col min="1296" max="1296" width="3.7109375" style="21" customWidth="1"/>
    <col min="1297" max="1301" width="7.7109375" style="21" customWidth="1"/>
    <col min="1302" max="1302" width="6.42578125" style="21" customWidth="1"/>
    <col min="1303" max="1303" width="6.7109375" style="21" customWidth="1"/>
    <col min="1304" max="1304" width="7.7109375" style="21" customWidth="1"/>
    <col min="1305" max="1305" width="6.7109375" style="21" customWidth="1"/>
    <col min="1306" max="1306" width="6.28515625" style="21" customWidth="1"/>
    <col min="1307" max="1307" width="6.140625" style="21" customWidth="1"/>
    <col min="1308" max="1322" width="7.7109375" style="21" customWidth="1"/>
    <col min="1323" max="1536" width="11.42578125" style="21"/>
    <col min="1537" max="1537" width="4.7109375" style="21" customWidth="1"/>
    <col min="1538" max="1538" width="4.28515625" style="21" customWidth="1"/>
    <col min="1539" max="1539" width="7.7109375" style="21" customWidth="1"/>
    <col min="1540" max="1540" width="9.28515625" style="21" customWidth="1"/>
    <col min="1541" max="1541" width="9.7109375" style="21" customWidth="1"/>
    <col min="1542" max="1542" width="8.85546875" style="21" customWidth="1"/>
    <col min="1543" max="1543" width="7.140625" style="21" customWidth="1"/>
    <col min="1544" max="1544" width="4.42578125" style="21" customWidth="1"/>
    <col min="1545" max="1545" width="7.42578125" style="21" customWidth="1"/>
    <col min="1546" max="1546" width="6.42578125" style="21" customWidth="1"/>
    <col min="1547" max="1547" width="7.42578125" style="21" customWidth="1"/>
    <col min="1548" max="1548" width="6.7109375" style="21" customWidth="1"/>
    <col min="1549" max="1549" width="7.42578125" style="21" customWidth="1"/>
    <col min="1550" max="1551" width="2.5703125" style="21" customWidth="1"/>
    <col min="1552" max="1552" width="3.7109375" style="21" customWidth="1"/>
    <col min="1553" max="1557" width="7.7109375" style="21" customWidth="1"/>
    <col min="1558" max="1558" width="6.42578125" style="21" customWidth="1"/>
    <col min="1559" max="1559" width="6.7109375" style="21" customWidth="1"/>
    <col min="1560" max="1560" width="7.7109375" style="21" customWidth="1"/>
    <col min="1561" max="1561" width="6.7109375" style="21" customWidth="1"/>
    <col min="1562" max="1562" width="6.28515625" style="21" customWidth="1"/>
    <col min="1563" max="1563" width="6.140625" style="21" customWidth="1"/>
    <col min="1564" max="1578" width="7.7109375" style="21" customWidth="1"/>
    <col min="1579" max="1792" width="11.42578125" style="21"/>
    <col min="1793" max="1793" width="4.7109375" style="21" customWidth="1"/>
    <col min="1794" max="1794" width="4.28515625" style="21" customWidth="1"/>
    <col min="1795" max="1795" width="7.7109375" style="21" customWidth="1"/>
    <col min="1796" max="1796" width="9.28515625" style="21" customWidth="1"/>
    <col min="1797" max="1797" width="9.7109375" style="21" customWidth="1"/>
    <col min="1798" max="1798" width="8.85546875" style="21" customWidth="1"/>
    <col min="1799" max="1799" width="7.140625" style="21" customWidth="1"/>
    <col min="1800" max="1800" width="4.42578125" style="21" customWidth="1"/>
    <col min="1801" max="1801" width="7.42578125" style="21" customWidth="1"/>
    <col min="1802" max="1802" width="6.42578125" style="21" customWidth="1"/>
    <col min="1803" max="1803" width="7.42578125" style="21" customWidth="1"/>
    <col min="1804" max="1804" width="6.7109375" style="21" customWidth="1"/>
    <col min="1805" max="1805" width="7.42578125" style="21" customWidth="1"/>
    <col min="1806" max="1807" width="2.5703125" style="21" customWidth="1"/>
    <col min="1808" max="1808" width="3.7109375" style="21" customWidth="1"/>
    <col min="1809" max="1813" width="7.7109375" style="21" customWidth="1"/>
    <col min="1814" max="1814" width="6.42578125" style="21" customWidth="1"/>
    <col min="1815" max="1815" width="6.7109375" style="21" customWidth="1"/>
    <col min="1816" max="1816" width="7.7109375" style="21" customWidth="1"/>
    <col min="1817" max="1817" width="6.7109375" style="21" customWidth="1"/>
    <col min="1818" max="1818" width="6.28515625" style="21" customWidth="1"/>
    <col min="1819" max="1819" width="6.140625" style="21" customWidth="1"/>
    <col min="1820" max="1834" width="7.7109375" style="21" customWidth="1"/>
    <col min="1835" max="2048" width="11.42578125" style="21"/>
    <col min="2049" max="2049" width="4.7109375" style="21" customWidth="1"/>
    <col min="2050" max="2050" width="4.28515625" style="21" customWidth="1"/>
    <col min="2051" max="2051" width="7.7109375" style="21" customWidth="1"/>
    <col min="2052" max="2052" width="9.28515625" style="21" customWidth="1"/>
    <col min="2053" max="2053" width="9.7109375" style="21" customWidth="1"/>
    <col min="2054" max="2054" width="8.85546875" style="21" customWidth="1"/>
    <col min="2055" max="2055" width="7.140625" style="21" customWidth="1"/>
    <col min="2056" max="2056" width="4.42578125" style="21" customWidth="1"/>
    <col min="2057" max="2057" width="7.42578125" style="21" customWidth="1"/>
    <col min="2058" max="2058" width="6.42578125" style="21" customWidth="1"/>
    <col min="2059" max="2059" width="7.42578125" style="21" customWidth="1"/>
    <col min="2060" max="2060" width="6.7109375" style="21" customWidth="1"/>
    <col min="2061" max="2061" width="7.42578125" style="21" customWidth="1"/>
    <col min="2062" max="2063" width="2.5703125" style="21" customWidth="1"/>
    <col min="2064" max="2064" width="3.7109375" style="21" customWidth="1"/>
    <col min="2065" max="2069" width="7.7109375" style="21" customWidth="1"/>
    <col min="2070" max="2070" width="6.42578125" style="21" customWidth="1"/>
    <col min="2071" max="2071" width="6.7109375" style="21" customWidth="1"/>
    <col min="2072" max="2072" width="7.7109375" style="21" customWidth="1"/>
    <col min="2073" max="2073" width="6.7109375" style="21" customWidth="1"/>
    <col min="2074" max="2074" width="6.28515625" style="21" customWidth="1"/>
    <col min="2075" max="2075" width="6.140625" style="21" customWidth="1"/>
    <col min="2076" max="2090" width="7.7109375" style="21" customWidth="1"/>
    <col min="2091" max="2304" width="11.42578125" style="21"/>
    <col min="2305" max="2305" width="4.7109375" style="21" customWidth="1"/>
    <col min="2306" max="2306" width="4.28515625" style="21" customWidth="1"/>
    <col min="2307" max="2307" width="7.7109375" style="21" customWidth="1"/>
    <col min="2308" max="2308" width="9.28515625" style="21" customWidth="1"/>
    <col min="2309" max="2309" width="9.7109375" style="21" customWidth="1"/>
    <col min="2310" max="2310" width="8.85546875" style="21" customWidth="1"/>
    <col min="2311" max="2311" width="7.140625" style="21" customWidth="1"/>
    <col min="2312" max="2312" width="4.42578125" style="21" customWidth="1"/>
    <col min="2313" max="2313" width="7.42578125" style="21" customWidth="1"/>
    <col min="2314" max="2314" width="6.42578125" style="21" customWidth="1"/>
    <col min="2315" max="2315" width="7.42578125" style="21" customWidth="1"/>
    <col min="2316" max="2316" width="6.7109375" style="21" customWidth="1"/>
    <col min="2317" max="2317" width="7.42578125" style="21" customWidth="1"/>
    <col min="2318" max="2319" width="2.5703125" style="21" customWidth="1"/>
    <col min="2320" max="2320" width="3.7109375" style="21" customWidth="1"/>
    <col min="2321" max="2325" width="7.7109375" style="21" customWidth="1"/>
    <col min="2326" max="2326" width="6.42578125" style="21" customWidth="1"/>
    <col min="2327" max="2327" width="6.7109375" style="21" customWidth="1"/>
    <col min="2328" max="2328" width="7.7109375" style="21" customWidth="1"/>
    <col min="2329" max="2329" width="6.7109375" style="21" customWidth="1"/>
    <col min="2330" max="2330" width="6.28515625" style="21" customWidth="1"/>
    <col min="2331" max="2331" width="6.140625" style="21" customWidth="1"/>
    <col min="2332" max="2346" width="7.7109375" style="21" customWidth="1"/>
    <col min="2347" max="2560" width="11.42578125" style="21"/>
    <col min="2561" max="2561" width="4.7109375" style="21" customWidth="1"/>
    <col min="2562" max="2562" width="4.28515625" style="21" customWidth="1"/>
    <col min="2563" max="2563" width="7.7109375" style="21" customWidth="1"/>
    <col min="2564" max="2564" width="9.28515625" style="21" customWidth="1"/>
    <col min="2565" max="2565" width="9.7109375" style="21" customWidth="1"/>
    <col min="2566" max="2566" width="8.85546875" style="21" customWidth="1"/>
    <col min="2567" max="2567" width="7.140625" style="21" customWidth="1"/>
    <col min="2568" max="2568" width="4.42578125" style="21" customWidth="1"/>
    <col min="2569" max="2569" width="7.42578125" style="21" customWidth="1"/>
    <col min="2570" max="2570" width="6.42578125" style="21" customWidth="1"/>
    <col min="2571" max="2571" width="7.42578125" style="21" customWidth="1"/>
    <col min="2572" max="2572" width="6.7109375" style="21" customWidth="1"/>
    <col min="2573" max="2573" width="7.42578125" style="21" customWidth="1"/>
    <col min="2574" max="2575" width="2.5703125" style="21" customWidth="1"/>
    <col min="2576" max="2576" width="3.7109375" style="21" customWidth="1"/>
    <col min="2577" max="2581" width="7.7109375" style="21" customWidth="1"/>
    <col min="2582" max="2582" width="6.42578125" style="21" customWidth="1"/>
    <col min="2583" max="2583" width="6.7109375" style="21" customWidth="1"/>
    <col min="2584" max="2584" width="7.7109375" style="21" customWidth="1"/>
    <col min="2585" max="2585" width="6.7109375" style="21" customWidth="1"/>
    <col min="2586" max="2586" width="6.28515625" style="21" customWidth="1"/>
    <col min="2587" max="2587" width="6.140625" style="21" customWidth="1"/>
    <col min="2588" max="2602" width="7.7109375" style="21" customWidth="1"/>
    <col min="2603" max="2816" width="11.42578125" style="21"/>
    <col min="2817" max="2817" width="4.7109375" style="21" customWidth="1"/>
    <col min="2818" max="2818" width="4.28515625" style="21" customWidth="1"/>
    <col min="2819" max="2819" width="7.7109375" style="21" customWidth="1"/>
    <col min="2820" max="2820" width="9.28515625" style="21" customWidth="1"/>
    <col min="2821" max="2821" width="9.7109375" style="21" customWidth="1"/>
    <col min="2822" max="2822" width="8.85546875" style="21" customWidth="1"/>
    <col min="2823" max="2823" width="7.140625" style="21" customWidth="1"/>
    <col min="2824" max="2824" width="4.42578125" style="21" customWidth="1"/>
    <col min="2825" max="2825" width="7.42578125" style="21" customWidth="1"/>
    <col min="2826" max="2826" width="6.42578125" style="21" customWidth="1"/>
    <col min="2827" max="2827" width="7.42578125" style="21" customWidth="1"/>
    <col min="2828" max="2828" width="6.7109375" style="21" customWidth="1"/>
    <col min="2829" max="2829" width="7.42578125" style="21" customWidth="1"/>
    <col min="2830" max="2831" width="2.5703125" style="21" customWidth="1"/>
    <col min="2832" max="2832" width="3.7109375" style="21" customWidth="1"/>
    <col min="2833" max="2837" width="7.7109375" style="21" customWidth="1"/>
    <col min="2838" max="2838" width="6.42578125" style="21" customWidth="1"/>
    <col min="2839" max="2839" width="6.7109375" style="21" customWidth="1"/>
    <col min="2840" max="2840" width="7.7109375" style="21" customWidth="1"/>
    <col min="2841" max="2841" width="6.7109375" style="21" customWidth="1"/>
    <col min="2842" max="2842" width="6.28515625" style="21" customWidth="1"/>
    <col min="2843" max="2843" width="6.140625" style="21" customWidth="1"/>
    <col min="2844" max="2858" width="7.7109375" style="21" customWidth="1"/>
    <col min="2859" max="3072" width="11.42578125" style="21"/>
    <col min="3073" max="3073" width="4.7109375" style="21" customWidth="1"/>
    <col min="3074" max="3074" width="4.28515625" style="21" customWidth="1"/>
    <col min="3075" max="3075" width="7.7109375" style="21" customWidth="1"/>
    <col min="3076" max="3076" width="9.28515625" style="21" customWidth="1"/>
    <col min="3077" max="3077" width="9.7109375" style="21" customWidth="1"/>
    <col min="3078" max="3078" width="8.85546875" style="21" customWidth="1"/>
    <col min="3079" max="3079" width="7.140625" style="21" customWidth="1"/>
    <col min="3080" max="3080" width="4.42578125" style="21" customWidth="1"/>
    <col min="3081" max="3081" width="7.42578125" style="21" customWidth="1"/>
    <col min="3082" max="3082" width="6.42578125" style="21" customWidth="1"/>
    <col min="3083" max="3083" width="7.42578125" style="21" customWidth="1"/>
    <col min="3084" max="3084" width="6.7109375" style="21" customWidth="1"/>
    <col min="3085" max="3085" width="7.42578125" style="21" customWidth="1"/>
    <col min="3086" max="3087" width="2.5703125" style="21" customWidth="1"/>
    <col min="3088" max="3088" width="3.7109375" style="21" customWidth="1"/>
    <col min="3089" max="3093" width="7.7109375" style="21" customWidth="1"/>
    <col min="3094" max="3094" width="6.42578125" style="21" customWidth="1"/>
    <col min="3095" max="3095" width="6.7109375" style="21" customWidth="1"/>
    <col min="3096" max="3096" width="7.7109375" style="21" customWidth="1"/>
    <col min="3097" max="3097" width="6.7109375" style="21" customWidth="1"/>
    <col min="3098" max="3098" width="6.28515625" style="21" customWidth="1"/>
    <col min="3099" max="3099" width="6.140625" style="21" customWidth="1"/>
    <col min="3100" max="3114" width="7.7109375" style="21" customWidth="1"/>
    <col min="3115" max="3328" width="11.42578125" style="21"/>
    <col min="3329" max="3329" width="4.7109375" style="21" customWidth="1"/>
    <col min="3330" max="3330" width="4.28515625" style="21" customWidth="1"/>
    <col min="3331" max="3331" width="7.7109375" style="21" customWidth="1"/>
    <col min="3332" max="3332" width="9.28515625" style="21" customWidth="1"/>
    <col min="3333" max="3333" width="9.7109375" style="21" customWidth="1"/>
    <col min="3334" max="3334" width="8.85546875" style="21" customWidth="1"/>
    <col min="3335" max="3335" width="7.140625" style="21" customWidth="1"/>
    <col min="3336" max="3336" width="4.42578125" style="21" customWidth="1"/>
    <col min="3337" max="3337" width="7.42578125" style="21" customWidth="1"/>
    <col min="3338" max="3338" width="6.42578125" style="21" customWidth="1"/>
    <col min="3339" max="3339" width="7.42578125" style="21" customWidth="1"/>
    <col min="3340" max="3340" width="6.7109375" style="21" customWidth="1"/>
    <col min="3341" max="3341" width="7.42578125" style="21" customWidth="1"/>
    <col min="3342" max="3343" width="2.5703125" style="21" customWidth="1"/>
    <col min="3344" max="3344" width="3.7109375" style="21" customWidth="1"/>
    <col min="3345" max="3349" width="7.7109375" style="21" customWidth="1"/>
    <col min="3350" max="3350" width="6.42578125" style="21" customWidth="1"/>
    <col min="3351" max="3351" width="6.7109375" style="21" customWidth="1"/>
    <col min="3352" max="3352" width="7.7109375" style="21" customWidth="1"/>
    <col min="3353" max="3353" width="6.7109375" style="21" customWidth="1"/>
    <col min="3354" max="3354" width="6.28515625" style="21" customWidth="1"/>
    <col min="3355" max="3355" width="6.140625" style="21" customWidth="1"/>
    <col min="3356" max="3370" width="7.7109375" style="21" customWidth="1"/>
    <col min="3371" max="3584" width="11.42578125" style="21"/>
    <col min="3585" max="3585" width="4.7109375" style="21" customWidth="1"/>
    <col min="3586" max="3586" width="4.28515625" style="21" customWidth="1"/>
    <col min="3587" max="3587" width="7.7109375" style="21" customWidth="1"/>
    <col min="3588" max="3588" width="9.28515625" style="21" customWidth="1"/>
    <col min="3589" max="3589" width="9.7109375" style="21" customWidth="1"/>
    <col min="3590" max="3590" width="8.85546875" style="21" customWidth="1"/>
    <col min="3591" max="3591" width="7.140625" style="21" customWidth="1"/>
    <col min="3592" max="3592" width="4.42578125" style="21" customWidth="1"/>
    <col min="3593" max="3593" width="7.42578125" style="21" customWidth="1"/>
    <col min="3594" max="3594" width="6.42578125" style="21" customWidth="1"/>
    <col min="3595" max="3595" width="7.42578125" style="21" customWidth="1"/>
    <col min="3596" max="3596" width="6.7109375" style="21" customWidth="1"/>
    <col min="3597" max="3597" width="7.42578125" style="21" customWidth="1"/>
    <col min="3598" max="3599" width="2.5703125" style="21" customWidth="1"/>
    <col min="3600" max="3600" width="3.7109375" style="21" customWidth="1"/>
    <col min="3601" max="3605" width="7.7109375" style="21" customWidth="1"/>
    <col min="3606" max="3606" width="6.42578125" style="21" customWidth="1"/>
    <col min="3607" max="3607" width="6.7109375" style="21" customWidth="1"/>
    <col min="3608" max="3608" width="7.7109375" style="21" customWidth="1"/>
    <col min="3609" max="3609" width="6.7109375" style="21" customWidth="1"/>
    <col min="3610" max="3610" width="6.28515625" style="21" customWidth="1"/>
    <col min="3611" max="3611" width="6.140625" style="21" customWidth="1"/>
    <col min="3612" max="3626" width="7.7109375" style="21" customWidth="1"/>
    <col min="3627" max="3840" width="11.42578125" style="21"/>
    <col min="3841" max="3841" width="4.7109375" style="21" customWidth="1"/>
    <col min="3842" max="3842" width="4.28515625" style="21" customWidth="1"/>
    <col min="3843" max="3843" width="7.7109375" style="21" customWidth="1"/>
    <col min="3844" max="3844" width="9.28515625" style="21" customWidth="1"/>
    <col min="3845" max="3845" width="9.7109375" style="21" customWidth="1"/>
    <col min="3846" max="3846" width="8.85546875" style="21" customWidth="1"/>
    <col min="3847" max="3847" width="7.140625" style="21" customWidth="1"/>
    <col min="3848" max="3848" width="4.42578125" style="21" customWidth="1"/>
    <col min="3849" max="3849" width="7.42578125" style="21" customWidth="1"/>
    <col min="3850" max="3850" width="6.42578125" style="21" customWidth="1"/>
    <col min="3851" max="3851" width="7.42578125" style="21" customWidth="1"/>
    <col min="3852" max="3852" width="6.7109375" style="21" customWidth="1"/>
    <col min="3853" max="3853" width="7.42578125" style="21" customWidth="1"/>
    <col min="3854" max="3855" width="2.5703125" style="21" customWidth="1"/>
    <col min="3856" max="3856" width="3.7109375" style="21" customWidth="1"/>
    <col min="3857" max="3861" width="7.7109375" style="21" customWidth="1"/>
    <col min="3862" max="3862" width="6.42578125" style="21" customWidth="1"/>
    <col min="3863" max="3863" width="6.7109375" style="21" customWidth="1"/>
    <col min="3864" max="3864" width="7.7109375" style="21" customWidth="1"/>
    <col min="3865" max="3865" width="6.7109375" style="21" customWidth="1"/>
    <col min="3866" max="3866" width="6.28515625" style="21" customWidth="1"/>
    <col min="3867" max="3867" width="6.140625" style="21" customWidth="1"/>
    <col min="3868" max="3882" width="7.7109375" style="21" customWidth="1"/>
    <col min="3883" max="4096" width="11.42578125" style="21"/>
    <col min="4097" max="4097" width="4.7109375" style="21" customWidth="1"/>
    <col min="4098" max="4098" width="4.28515625" style="21" customWidth="1"/>
    <col min="4099" max="4099" width="7.7109375" style="21" customWidth="1"/>
    <col min="4100" max="4100" width="9.28515625" style="21" customWidth="1"/>
    <col min="4101" max="4101" width="9.7109375" style="21" customWidth="1"/>
    <col min="4102" max="4102" width="8.85546875" style="21" customWidth="1"/>
    <col min="4103" max="4103" width="7.140625" style="21" customWidth="1"/>
    <col min="4104" max="4104" width="4.42578125" style="21" customWidth="1"/>
    <col min="4105" max="4105" width="7.42578125" style="21" customWidth="1"/>
    <col min="4106" max="4106" width="6.42578125" style="21" customWidth="1"/>
    <col min="4107" max="4107" width="7.42578125" style="21" customWidth="1"/>
    <col min="4108" max="4108" width="6.7109375" style="21" customWidth="1"/>
    <col min="4109" max="4109" width="7.42578125" style="21" customWidth="1"/>
    <col min="4110" max="4111" width="2.5703125" style="21" customWidth="1"/>
    <col min="4112" max="4112" width="3.7109375" style="21" customWidth="1"/>
    <col min="4113" max="4117" width="7.7109375" style="21" customWidth="1"/>
    <col min="4118" max="4118" width="6.42578125" style="21" customWidth="1"/>
    <col min="4119" max="4119" width="6.7109375" style="21" customWidth="1"/>
    <col min="4120" max="4120" width="7.7109375" style="21" customWidth="1"/>
    <col min="4121" max="4121" width="6.7109375" style="21" customWidth="1"/>
    <col min="4122" max="4122" width="6.28515625" style="21" customWidth="1"/>
    <col min="4123" max="4123" width="6.140625" style="21" customWidth="1"/>
    <col min="4124" max="4138" width="7.7109375" style="21" customWidth="1"/>
    <col min="4139" max="4352" width="11.42578125" style="21"/>
    <col min="4353" max="4353" width="4.7109375" style="21" customWidth="1"/>
    <col min="4354" max="4354" width="4.28515625" style="21" customWidth="1"/>
    <col min="4355" max="4355" width="7.7109375" style="21" customWidth="1"/>
    <col min="4356" max="4356" width="9.28515625" style="21" customWidth="1"/>
    <col min="4357" max="4357" width="9.7109375" style="21" customWidth="1"/>
    <col min="4358" max="4358" width="8.85546875" style="21" customWidth="1"/>
    <col min="4359" max="4359" width="7.140625" style="21" customWidth="1"/>
    <col min="4360" max="4360" width="4.42578125" style="21" customWidth="1"/>
    <col min="4361" max="4361" width="7.42578125" style="21" customWidth="1"/>
    <col min="4362" max="4362" width="6.42578125" style="21" customWidth="1"/>
    <col min="4363" max="4363" width="7.42578125" style="21" customWidth="1"/>
    <col min="4364" max="4364" width="6.7109375" style="21" customWidth="1"/>
    <col min="4365" max="4365" width="7.42578125" style="21" customWidth="1"/>
    <col min="4366" max="4367" width="2.5703125" style="21" customWidth="1"/>
    <col min="4368" max="4368" width="3.7109375" style="21" customWidth="1"/>
    <col min="4369" max="4373" width="7.7109375" style="21" customWidth="1"/>
    <col min="4374" max="4374" width="6.42578125" style="21" customWidth="1"/>
    <col min="4375" max="4375" width="6.7109375" style="21" customWidth="1"/>
    <col min="4376" max="4376" width="7.7109375" style="21" customWidth="1"/>
    <col min="4377" max="4377" width="6.7109375" style="21" customWidth="1"/>
    <col min="4378" max="4378" width="6.28515625" style="21" customWidth="1"/>
    <col min="4379" max="4379" width="6.140625" style="21" customWidth="1"/>
    <col min="4380" max="4394" width="7.7109375" style="21" customWidth="1"/>
    <col min="4395" max="4608" width="11.42578125" style="21"/>
    <col min="4609" max="4609" width="4.7109375" style="21" customWidth="1"/>
    <col min="4610" max="4610" width="4.28515625" style="21" customWidth="1"/>
    <col min="4611" max="4611" width="7.7109375" style="21" customWidth="1"/>
    <col min="4612" max="4612" width="9.28515625" style="21" customWidth="1"/>
    <col min="4613" max="4613" width="9.7109375" style="21" customWidth="1"/>
    <col min="4614" max="4614" width="8.85546875" style="21" customWidth="1"/>
    <col min="4615" max="4615" width="7.140625" style="21" customWidth="1"/>
    <col min="4616" max="4616" width="4.42578125" style="21" customWidth="1"/>
    <col min="4617" max="4617" width="7.42578125" style="21" customWidth="1"/>
    <col min="4618" max="4618" width="6.42578125" style="21" customWidth="1"/>
    <col min="4619" max="4619" width="7.42578125" style="21" customWidth="1"/>
    <col min="4620" max="4620" width="6.7109375" style="21" customWidth="1"/>
    <col min="4621" max="4621" width="7.42578125" style="21" customWidth="1"/>
    <col min="4622" max="4623" width="2.5703125" style="21" customWidth="1"/>
    <col min="4624" max="4624" width="3.7109375" style="21" customWidth="1"/>
    <col min="4625" max="4629" width="7.7109375" style="21" customWidth="1"/>
    <col min="4630" max="4630" width="6.42578125" style="21" customWidth="1"/>
    <col min="4631" max="4631" width="6.7109375" style="21" customWidth="1"/>
    <col min="4632" max="4632" width="7.7109375" style="21" customWidth="1"/>
    <col min="4633" max="4633" width="6.7109375" style="21" customWidth="1"/>
    <col min="4634" max="4634" width="6.28515625" style="21" customWidth="1"/>
    <col min="4635" max="4635" width="6.140625" style="21" customWidth="1"/>
    <col min="4636" max="4650" width="7.7109375" style="21" customWidth="1"/>
    <col min="4651" max="4864" width="11.42578125" style="21"/>
    <col min="4865" max="4865" width="4.7109375" style="21" customWidth="1"/>
    <col min="4866" max="4866" width="4.28515625" style="21" customWidth="1"/>
    <col min="4867" max="4867" width="7.7109375" style="21" customWidth="1"/>
    <col min="4868" max="4868" width="9.28515625" style="21" customWidth="1"/>
    <col min="4869" max="4869" width="9.7109375" style="21" customWidth="1"/>
    <col min="4870" max="4870" width="8.85546875" style="21" customWidth="1"/>
    <col min="4871" max="4871" width="7.140625" style="21" customWidth="1"/>
    <col min="4872" max="4872" width="4.42578125" style="21" customWidth="1"/>
    <col min="4873" max="4873" width="7.42578125" style="21" customWidth="1"/>
    <col min="4874" max="4874" width="6.42578125" style="21" customWidth="1"/>
    <col min="4875" max="4875" width="7.42578125" style="21" customWidth="1"/>
    <col min="4876" max="4876" width="6.7109375" style="21" customWidth="1"/>
    <col min="4877" max="4877" width="7.42578125" style="21" customWidth="1"/>
    <col min="4878" max="4879" width="2.5703125" style="21" customWidth="1"/>
    <col min="4880" max="4880" width="3.7109375" style="21" customWidth="1"/>
    <col min="4881" max="4885" width="7.7109375" style="21" customWidth="1"/>
    <col min="4886" max="4886" width="6.42578125" style="21" customWidth="1"/>
    <col min="4887" max="4887" width="6.7109375" style="21" customWidth="1"/>
    <col min="4888" max="4888" width="7.7109375" style="21" customWidth="1"/>
    <col min="4889" max="4889" width="6.7109375" style="21" customWidth="1"/>
    <col min="4890" max="4890" width="6.28515625" style="21" customWidth="1"/>
    <col min="4891" max="4891" width="6.140625" style="21" customWidth="1"/>
    <col min="4892" max="4906" width="7.7109375" style="21" customWidth="1"/>
    <col min="4907" max="5120" width="11.42578125" style="21"/>
    <col min="5121" max="5121" width="4.7109375" style="21" customWidth="1"/>
    <col min="5122" max="5122" width="4.28515625" style="21" customWidth="1"/>
    <col min="5123" max="5123" width="7.7109375" style="21" customWidth="1"/>
    <col min="5124" max="5124" width="9.28515625" style="21" customWidth="1"/>
    <col min="5125" max="5125" width="9.7109375" style="21" customWidth="1"/>
    <col min="5126" max="5126" width="8.85546875" style="21" customWidth="1"/>
    <col min="5127" max="5127" width="7.140625" style="21" customWidth="1"/>
    <col min="5128" max="5128" width="4.42578125" style="21" customWidth="1"/>
    <col min="5129" max="5129" width="7.42578125" style="21" customWidth="1"/>
    <col min="5130" max="5130" width="6.42578125" style="21" customWidth="1"/>
    <col min="5131" max="5131" width="7.42578125" style="21" customWidth="1"/>
    <col min="5132" max="5132" width="6.7109375" style="21" customWidth="1"/>
    <col min="5133" max="5133" width="7.42578125" style="21" customWidth="1"/>
    <col min="5134" max="5135" width="2.5703125" style="21" customWidth="1"/>
    <col min="5136" max="5136" width="3.7109375" style="21" customWidth="1"/>
    <col min="5137" max="5141" width="7.7109375" style="21" customWidth="1"/>
    <col min="5142" max="5142" width="6.42578125" style="21" customWidth="1"/>
    <col min="5143" max="5143" width="6.7109375" style="21" customWidth="1"/>
    <col min="5144" max="5144" width="7.7109375" style="21" customWidth="1"/>
    <col min="5145" max="5145" width="6.7109375" style="21" customWidth="1"/>
    <col min="5146" max="5146" width="6.28515625" style="21" customWidth="1"/>
    <col min="5147" max="5147" width="6.140625" style="21" customWidth="1"/>
    <col min="5148" max="5162" width="7.7109375" style="21" customWidth="1"/>
    <col min="5163" max="5376" width="11.42578125" style="21"/>
    <col min="5377" max="5377" width="4.7109375" style="21" customWidth="1"/>
    <col min="5378" max="5378" width="4.28515625" style="21" customWidth="1"/>
    <col min="5379" max="5379" width="7.7109375" style="21" customWidth="1"/>
    <col min="5380" max="5380" width="9.28515625" style="21" customWidth="1"/>
    <col min="5381" max="5381" width="9.7109375" style="21" customWidth="1"/>
    <col min="5382" max="5382" width="8.85546875" style="21" customWidth="1"/>
    <col min="5383" max="5383" width="7.140625" style="21" customWidth="1"/>
    <col min="5384" max="5384" width="4.42578125" style="21" customWidth="1"/>
    <col min="5385" max="5385" width="7.42578125" style="21" customWidth="1"/>
    <col min="5386" max="5386" width="6.42578125" style="21" customWidth="1"/>
    <col min="5387" max="5387" width="7.42578125" style="21" customWidth="1"/>
    <col min="5388" max="5388" width="6.7109375" style="21" customWidth="1"/>
    <col min="5389" max="5389" width="7.42578125" style="21" customWidth="1"/>
    <col min="5390" max="5391" width="2.5703125" style="21" customWidth="1"/>
    <col min="5392" max="5392" width="3.7109375" style="21" customWidth="1"/>
    <col min="5393" max="5397" width="7.7109375" style="21" customWidth="1"/>
    <col min="5398" max="5398" width="6.42578125" style="21" customWidth="1"/>
    <col min="5399" max="5399" width="6.7109375" style="21" customWidth="1"/>
    <col min="5400" max="5400" width="7.7109375" style="21" customWidth="1"/>
    <col min="5401" max="5401" width="6.7109375" style="21" customWidth="1"/>
    <col min="5402" max="5402" width="6.28515625" style="21" customWidth="1"/>
    <col min="5403" max="5403" width="6.140625" style="21" customWidth="1"/>
    <col min="5404" max="5418" width="7.7109375" style="21" customWidth="1"/>
    <col min="5419" max="5632" width="11.42578125" style="21"/>
    <col min="5633" max="5633" width="4.7109375" style="21" customWidth="1"/>
    <col min="5634" max="5634" width="4.28515625" style="21" customWidth="1"/>
    <col min="5635" max="5635" width="7.7109375" style="21" customWidth="1"/>
    <col min="5636" max="5636" width="9.28515625" style="21" customWidth="1"/>
    <col min="5637" max="5637" width="9.7109375" style="21" customWidth="1"/>
    <col min="5638" max="5638" width="8.85546875" style="21" customWidth="1"/>
    <col min="5639" max="5639" width="7.140625" style="21" customWidth="1"/>
    <col min="5640" max="5640" width="4.42578125" style="21" customWidth="1"/>
    <col min="5641" max="5641" width="7.42578125" style="21" customWidth="1"/>
    <col min="5642" max="5642" width="6.42578125" style="21" customWidth="1"/>
    <col min="5643" max="5643" width="7.42578125" style="21" customWidth="1"/>
    <col min="5644" max="5644" width="6.7109375" style="21" customWidth="1"/>
    <col min="5645" max="5645" width="7.42578125" style="21" customWidth="1"/>
    <col min="5646" max="5647" width="2.5703125" style="21" customWidth="1"/>
    <col min="5648" max="5648" width="3.7109375" style="21" customWidth="1"/>
    <col min="5649" max="5653" width="7.7109375" style="21" customWidth="1"/>
    <col min="5654" max="5654" width="6.42578125" style="21" customWidth="1"/>
    <col min="5655" max="5655" width="6.7109375" style="21" customWidth="1"/>
    <col min="5656" max="5656" width="7.7109375" style="21" customWidth="1"/>
    <col min="5657" max="5657" width="6.7109375" style="21" customWidth="1"/>
    <col min="5658" max="5658" width="6.28515625" style="21" customWidth="1"/>
    <col min="5659" max="5659" width="6.140625" style="21" customWidth="1"/>
    <col min="5660" max="5674" width="7.7109375" style="21" customWidth="1"/>
    <col min="5675" max="5888" width="11.42578125" style="21"/>
    <col min="5889" max="5889" width="4.7109375" style="21" customWidth="1"/>
    <col min="5890" max="5890" width="4.28515625" style="21" customWidth="1"/>
    <col min="5891" max="5891" width="7.7109375" style="21" customWidth="1"/>
    <col min="5892" max="5892" width="9.28515625" style="21" customWidth="1"/>
    <col min="5893" max="5893" width="9.7109375" style="21" customWidth="1"/>
    <col min="5894" max="5894" width="8.85546875" style="21" customWidth="1"/>
    <col min="5895" max="5895" width="7.140625" style="21" customWidth="1"/>
    <col min="5896" max="5896" width="4.42578125" style="21" customWidth="1"/>
    <col min="5897" max="5897" width="7.42578125" style="21" customWidth="1"/>
    <col min="5898" max="5898" width="6.42578125" style="21" customWidth="1"/>
    <col min="5899" max="5899" width="7.42578125" style="21" customWidth="1"/>
    <col min="5900" max="5900" width="6.7109375" style="21" customWidth="1"/>
    <col min="5901" max="5901" width="7.42578125" style="21" customWidth="1"/>
    <col min="5902" max="5903" width="2.5703125" style="21" customWidth="1"/>
    <col min="5904" max="5904" width="3.7109375" style="21" customWidth="1"/>
    <col min="5905" max="5909" width="7.7109375" style="21" customWidth="1"/>
    <col min="5910" max="5910" width="6.42578125" style="21" customWidth="1"/>
    <col min="5911" max="5911" width="6.7109375" style="21" customWidth="1"/>
    <col min="5912" max="5912" width="7.7109375" style="21" customWidth="1"/>
    <col min="5913" max="5913" width="6.7109375" style="21" customWidth="1"/>
    <col min="5914" max="5914" width="6.28515625" style="21" customWidth="1"/>
    <col min="5915" max="5915" width="6.140625" style="21" customWidth="1"/>
    <col min="5916" max="5930" width="7.7109375" style="21" customWidth="1"/>
    <col min="5931" max="6144" width="11.42578125" style="21"/>
    <col min="6145" max="6145" width="4.7109375" style="21" customWidth="1"/>
    <col min="6146" max="6146" width="4.28515625" style="21" customWidth="1"/>
    <col min="6147" max="6147" width="7.7109375" style="21" customWidth="1"/>
    <col min="6148" max="6148" width="9.28515625" style="21" customWidth="1"/>
    <col min="6149" max="6149" width="9.7109375" style="21" customWidth="1"/>
    <col min="6150" max="6150" width="8.85546875" style="21" customWidth="1"/>
    <col min="6151" max="6151" width="7.140625" style="21" customWidth="1"/>
    <col min="6152" max="6152" width="4.42578125" style="21" customWidth="1"/>
    <col min="6153" max="6153" width="7.42578125" style="21" customWidth="1"/>
    <col min="6154" max="6154" width="6.42578125" style="21" customWidth="1"/>
    <col min="6155" max="6155" width="7.42578125" style="21" customWidth="1"/>
    <col min="6156" max="6156" width="6.7109375" style="21" customWidth="1"/>
    <col min="6157" max="6157" width="7.42578125" style="21" customWidth="1"/>
    <col min="6158" max="6159" width="2.5703125" style="21" customWidth="1"/>
    <col min="6160" max="6160" width="3.7109375" style="21" customWidth="1"/>
    <col min="6161" max="6165" width="7.7109375" style="21" customWidth="1"/>
    <col min="6166" max="6166" width="6.42578125" style="21" customWidth="1"/>
    <col min="6167" max="6167" width="6.7109375" style="21" customWidth="1"/>
    <col min="6168" max="6168" width="7.7109375" style="21" customWidth="1"/>
    <col min="6169" max="6169" width="6.7109375" style="21" customWidth="1"/>
    <col min="6170" max="6170" width="6.28515625" style="21" customWidth="1"/>
    <col min="6171" max="6171" width="6.140625" style="21" customWidth="1"/>
    <col min="6172" max="6186" width="7.7109375" style="21" customWidth="1"/>
    <col min="6187" max="6400" width="11.42578125" style="21"/>
    <col min="6401" max="6401" width="4.7109375" style="21" customWidth="1"/>
    <col min="6402" max="6402" width="4.28515625" style="21" customWidth="1"/>
    <col min="6403" max="6403" width="7.7109375" style="21" customWidth="1"/>
    <col min="6404" max="6404" width="9.28515625" style="21" customWidth="1"/>
    <col min="6405" max="6405" width="9.7109375" style="21" customWidth="1"/>
    <col min="6406" max="6406" width="8.85546875" style="21" customWidth="1"/>
    <col min="6407" max="6407" width="7.140625" style="21" customWidth="1"/>
    <col min="6408" max="6408" width="4.42578125" style="21" customWidth="1"/>
    <col min="6409" max="6409" width="7.42578125" style="21" customWidth="1"/>
    <col min="6410" max="6410" width="6.42578125" style="21" customWidth="1"/>
    <col min="6411" max="6411" width="7.42578125" style="21" customWidth="1"/>
    <col min="6412" max="6412" width="6.7109375" style="21" customWidth="1"/>
    <col min="6413" max="6413" width="7.42578125" style="21" customWidth="1"/>
    <col min="6414" max="6415" width="2.5703125" style="21" customWidth="1"/>
    <col min="6416" max="6416" width="3.7109375" style="21" customWidth="1"/>
    <col min="6417" max="6421" width="7.7109375" style="21" customWidth="1"/>
    <col min="6422" max="6422" width="6.42578125" style="21" customWidth="1"/>
    <col min="6423" max="6423" width="6.7109375" style="21" customWidth="1"/>
    <col min="6424" max="6424" width="7.7109375" style="21" customWidth="1"/>
    <col min="6425" max="6425" width="6.7109375" style="21" customWidth="1"/>
    <col min="6426" max="6426" width="6.28515625" style="21" customWidth="1"/>
    <col min="6427" max="6427" width="6.140625" style="21" customWidth="1"/>
    <col min="6428" max="6442" width="7.7109375" style="21" customWidth="1"/>
    <col min="6443" max="6656" width="11.42578125" style="21"/>
    <col min="6657" max="6657" width="4.7109375" style="21" customWidth="1"/>
    <col min="6658" max="6658" width="4.28515625" style="21" customWidth="1"/>
    <col min="6659" max="6659" width="7.7109375" style="21" customWidth="1"/>
    <col min="6660" max="6660" width="9.28515625" style="21" customWidth="1"/>
    <col min="6661" max="6661" width="9.7109375" style="21" customWidth="1"/>
    <col min="6662" max="6662" width="8.85546875" style="21" customWidth="1"/>
    <col min="6663" max="6663" width="7.140625" style="21" customWidth="1"/>
    <col min="6664" max="6664" width="4.42578125" style="21" customWidth="1"/>
    <col min="6665" max="6665" width="7.42578125" style="21" customWidth="1"/>
    <col min="6666" max="6666" width="6.42578125" style="21" customWidth="1"/>
    <col min="6667" max="6667" width="7.42578125" style="21" customWidth="1"/>
    <col min="6668" max="6668" width="6.7109375" style="21" customWidth="1"/>
    <col min="6669" max="6669" width="7.42578125" style="21" customWidth="1"/>
    <col min="6670" max="6671" width="2.5703125" style="21" customWidth="1"/>
    <col min="6672" max="6672" width="3.7109375" style="21" customWidth="1"/>
    <col min="6673" max="6677" width="7.7109375" style="21" customWidth="1"/>
    <col min="6678" max="6678" width="6.42578125" style="21" customWidth="1"/>
    <col min="6679" max="6679" width="6.7109375" style="21" customWidth="1"/>
    <col min="6680" max="6680" width="7.7109375" style="21" customWidth="1"/>
    <col min="6681" max="6681" width="6.7109375" style="21" customWidth="1"/>
    <col min="6682" max="6682" width="6.28515625" style="21" customWidth="1"/>
    <col min="6683" max="6683" width="6.140625" style="21" customWidth="1"/>
    <col min="6684" max="6698" width="7.7109375" style="21" customWidth="1"/>
    <col min="6699" max="6912" width="11.42578125" style="21"/>
    <col min="6913" max="6913" width="4.7109375" style="21" customWidth="1"/>
    <col min="6914" max="6914" width="4.28515625" style="21" customWidth="1"/>
    <col min="6915" max="6915" width="7.7109375" style="21" customWidth="1"/>
    <col min="6916" max="6916" width="9.28515625" style="21" customWidth="1"/>
    <col min="6917" max="6917" width="9.7109375" style="21" customWidth="1"/>
    <col min="6918" max="6918" width="8.85546875" style="21" customWidth="1"/>
    <col min="6919" max="6919" width="7.140625" style="21" customWidth="1"/>
    <col min="6920" max="6920" width="4.42578125" style="21" customWidth="1"/>
    <col min="6921" max="6921" width="7.42578125" style="21" customWidth="1"/>
    <col min="6922" max="6922" width="6.42578125" style="21" customWidth="1"/>
    <col min="6923" max="6923" width="7.42578125" style="21" customWidth="1"/>
    <col min="6924" max="6924" width="6.7109375" style="21" customWidth="1"/>
    <col min="6925" max="6925" width="7.42578125" style="21" customWidth="1"/>
    <col min="6926" max="6927" width="2.5703125" style="21" customWidth="1"/>
    <col min="6928" max="6928" width="3.7109375" style="21" customWidth="1"/>
    <col min="6929" max="6933" width="7.7109375" style="21" customWidth="1"/>
    <col min="6934" max="6934" width="6.42578125" style="21" customWidth="1"/>
    <col min="6935" max="6935" width="6.7109375" style="21" customWidth="1"/>
    <col min="6936" max="6936" width="7.7109375" style="21" customWidth="1"/>
    <col min="6937" max="6937" width="6.7109375" style="21" customWidth="1"/>
    <col min="6938" max="6938" width="6.28515625" style="21" customWidth="1"/>
    <col min="6939" max="6939" width="6.140625" style="21" customWidth="1"/>
    <col min="6940" max="6954" width="7.7109375" style="21" customWidth="1"/>
    <col min="6955" max="7168" width="11.42578125" style="21"/>
    <col min="7169" max="7169" width="4.7109375" style="21" customWidth="1"/>
    <col min="7170" max="7170" width="4.28515625" style="21" customWidth="1"/>
    <col min="7171" max="7171" width="7.7109375" style="21" customWidth="1"/>
    <col min="7172" max="7172" width="9.28515625" style="21" customWidth="1"/>
    <col min="7173" max="7173" width="9.7109375" style="21" customWidth="1"/>
    <col min="7174" max="7174" width="8.85546875" style="21" customWidth="1"/>
    <col min="7175" max="7175" width="7.140625" style="21" customWidth="1"/>
    <col min="7176" max="7176" width="4.42578125" style="21" customWidth="1"/>
    <col min="7177" max="7177" width="7.42578125" style="21" customWidth="1"/>
    <col min="7178" max="7178" width="6.42578125" style="21" customWidth="1"/>
    <col min="7179" max="7179" width="7.42578125" style="21" customWidth="1"/>
    <col min="7180" max="7180" width="6.7109375" style="21" customWidth="1"/>
    <col min="7181" max="7181" width="7.42578125" style="21" customWidth="1"/>
    <col min="7182" max="7183" width="2.5703125" style="21" customWidth="1"/>
    <col min="7184" max="7184" width="3.7109375" style="21" customWidth="1"/>
    <col min="7185" max="7189" width="7.7109375" style="21" customWidth="1"/>
    <col min="7190" max="7190" width="6.42578125" style="21" customWidth="1"/>
    <col min="7191" max="7191" width="6.7109375" style="21" customWidth="1"/>
    <col min="7192" max="7192" width="7.7109375" style="21" customWidth="1"/>
    <col min="7193" max="7193" width="6.7109375" style="21" customWidth="1"/>
    <col min="7194" max="7194" width="6.28515625" style="21" customWidth="1"/>
    <col min="7195" max="7195" width="6.140625" style="21" customWidth="1"/>
    <col min="7196" max="7210" width="7.7109375" style="21" customWidth="1"/>
    <col min="7211" max="7424" width="11.42578125" style="21"/>
    <col min="7425" max="7425" width="4.7109375" style="21" customWidth="1"/>
    <col min="7426" max="7426" width="4.28515625" style="21" customWidth="1"/>
    <col min="7427" max="7427" width="7.7109375" style="21" customWidth="1"/>
    <col min="7428" max="7428" width="9.28515625" style="21" customWidth="1"/>
    <col min="7429" max="7429" width="9.7109375" style="21" customWidth="1"/>
    <col min="7430" max="7430" width="8.85546875" style="21" customWidth="1"/>
    <col min="7431" max="7431" width="7.140625" style="21" customWidth="1"/>
    <col min="7432" max="7432" width="4.42578125" style="21" customWidth="1"/>
    <col min="7433" max="7433" width="7.42578125" style="21" customWidth="1"/>
    <col min="7434" max="7434" width="6.42578125" style="21" customWidth="1"/>
    <col min="7435" max="7435" width="7.42578125" style="21" customWidth="1"/>
    <col min="7436" max="7436" width="6.7109375" style="21" customWidth="1"/>
    <col min="7437" max="7437" width="7.42578125" style="21" customWidth="1"/>
    <col min="7438" max="7439" width="2.5703125" style="21" customWidth="1"/>
    <col min="7440" max="7440" width="3.7109375" style="21" customWidth="1"/>
    <col min="7441" max="7445" width="7.7109375" style="21" customWidth="1"/>
    <col min="7446" max="7446" width="6.42578125" style="21" customWidth="1"/>
    <col min="7447" max="7447" width="6.7109375" style="21" customWidth="1"/>
    <col min="7448" max="7448" width="7.7109375" style="21" customWidth="1"/>
    <col min="7449" max="7449" width="6.7109375" style="21" customWidth="1"/>
    <col min="7450" max="7450" width="6.28515625" style="21" customWidth="1"/>
    <col min="7451" max="7451" width="6.140625" style="21" customWidth="1"/>
    <col min="7452" max="7466" width="7.7109375" style="21" customWidth="1"/>
    <col min="7467" max="7680" width="11.42578125" style="21"/>
    <col min="7681" max="7681" width="4.7109375" style="21" customWidth="1"/>
    <col min="7682" max="7682" width="4.28515625" style="21" customWidth="1"/>
    <col min="7683" max="7683" width="7.7109375" style="21" customWidth="1"/>
    <col min="7684" max="7684" width="9.28515625" style="21" customWidth="1"/>
    <col min="7685" max="7685" width="9.7109375" style="21" customWidth="1"/>
    <col min="7686" max="7686" width="8.85546875" style="21" customWidth="1"/>
    <col min="7687" max="7687" width="7.140625" style="21" customWidth="1"/>
    <col min="7688" max="7688" width="4.42578125" style="21" customWidth="1"/>
    <col min="7689" max="7689" width="7.42578125" style="21" customWidth="1"/>
    <col min="7690" max="7690" width="6.42578125" style="21" customWidth="1"/>
    <col min="7691" max="7691" width="7.42578125" style="21" customWidth="1"/>
    <col min="7692" max="7692" width="6.7109375" style="21" customWidth="1"/>
    <col min="7693" max="7693" width="7.42578125" style="21" customWidth="1"/>
    <col min="7694" max="7695" width="2.5703125" style="21" customWidth="1"/>
    <col min="7696" max="7696" width="3.7109375" style="21" customWidth="1"/>
    <col min="7697" max="7701" width="7.7109375" style="21" customWidth="1"/>
    <col min="7702" max="7702" width="6.42578125" style="21" customWidth="1"/>
    <col min="7703" max="7703" width="6.7109375" style="21" customWidth="1"/>
    <col min="7704" max="7704" width="7.7109375" style="21" customWidth="1"/>
    <col min="7705" max="7705" width="6.7109375" style="21" customWidth="1"/>
    <col min="7706" max="7706" width="6.28515625" style="21" customWidth="1"/>
    <col min="7707" max="7707" width="6.140625" style="21" customWidth="1"/>
    <col min="7708" max="7722" width="7.7109375" style="21" customWidth="1"/>
    <col min="7723" max="7936" width="11.42578125" style="21"/>
    <col min="7937" max="7937" width="4.7109375" style="21" customWidth="1"/>
    <col min="7938" max="7938" width="4.28515625" style="21" customWidth="1"/>
    <col min="7939" max="7939" width="7.7109375" style="21" customWidth="1"/>
    <col min="7940" max="7940" width="9.28515625" style="21" customWidth="1"/>
    <col min="7941" max="7941" width="9.7109375" style="21" customWidth="1"/>
    <col min="7942" max="7942" width="8.85546875" style="21" customWidth="1"/>
    <col min="7943" max="7943" width="7.140625" style="21" customWidth="1"/>
    <col min="7944" max="7944" width="4.42578125" style="21" customWidth="1"/>
    <col min="7945" max="7945" width="7.42578125" style="21" customWidth="1"/>
    <col min="7946" max="7946" width="6.42578125" style="21" customWidth="1"/>
    <col min="7947" max="7947" width="7.42578125" style="21" customWidth="1"/>
    <col min="7948" max="7948" width="6.7109375" style="21" customWidth="1"/>
    <col min="7949" max="7949" width="7.42578125" style="21" customWidth="1"/>
    <col min="7950" max="7951" width="2.5703125" style="21" customWidth="1"/>
    <col min="7952" max="7952" width="3.7109375" style="21" customWidth="1"/>
    <col min="7953" max="7957" width="7.7109375" style="21" customWidth="1"/>
    <col min="7958" max="7958" width="6.42578125" style="21" customWidth="1"/>
    <col min="7959" max="7959" width="6.7109375" style="21" customWidth="1"/>
    <col min="7960" max="7960" width="7.7109375" style="21" customWidth="1"/>
    <col min="7961" max="7961" width="6.7109375" style="21" customWidth="1"/>
    <col min="7962" max="7962" width="6.28515625" style="21" customWidth="1"/>
    <col min="7963" max="7963" width="6.140625" style="21" customWidth="1"/>
    <col min="7964" max="7978" width="7.7109375" style="21" customWidth="1"/>
    <col min="7979" max="8192" width="11.42578125" style="21"/>
    <col min="8193" max="8193" width="4.7109375" style="21" customWidth="1"/>
    <col min="8194" max="8194" width="4.28515625" style="21" customWidth="1"/>
    <col min="8195" max="8195" width="7.7109375" style="21" customWidth="1"/>
    <col min="8196" max="8196" width="9.28515625" style="21" customWidth="1"/>
    <col min="8197" max="8197" width="9.7109375" style="21" customWidth="1"/>
    <col min="8198" max="8198" width="8.85546875" style="21" customWidth="1"/>
    <col min="8199" max="8199" width="7.140625" style="21" customWidth="1"/>
    <col min="8200" max="8200" width="4.42578125" style="21" customWidth="1"/>
    <col min="8201" max="8201" width="7.42578125" style="21" customWidth="1"/>
    <col min="8202" max="8202" width="6.42578125" style="21" customWidth="1"/>
    <col min="8203" max="8203" width="7.42578125" style="21" customWidth="1"/>
    <col min="8204" max="8204" width="6.7109375" style="21" customWidth="1"/>
    <col min="8205" max="8205" width="7.42578125" style="21" customWidth="1"/>
    <col min="8206" max="8207" width="2.5703125" style="21" customWidth="1"/>
    <col min="8208" max="8208" width="3.7109375" style="21" customWidth="1"/>
    <col min="8209" max="8213" width="7.7109375" style="21" customWidth="1"/>
    <col min="8214" max="8214" width="6.42578125" style="21" customWidth="1"/>
    <col min="8215" max="8215" width="6.7109375" style="21" customWidth="1"/>
    <col min="8216" max="8216" width="7.7109375" style="21" customWidth="1"/>
    <col min="8217" max="8217" width="6.7109375" style="21" customWidth="1"/>
    <col min="8218" max="8218" width="6.28515625" style="21" customWidth="1"/>
    <col min="8219" max="8219" width="6.140625" style="21" customWidth="1"/>
    <col min="8220" max="8234" width="7.7109375" style="21" customWidth="1"/>
    <col min="8235" max="8448" width="11.42578125" style="21"/>
    <col min="8449" max="8449" width="4.7109375" style="21" customWidth="1"/>
    <col min="8450" max="8450" width="4.28515625" style="21" customWidth="1"/>
    <col min="8451" max="8451" width="7.7109375" style="21" customWidth="1"/>
    <col min="8452" max="8452" width="9.28515625" style="21" customWidth="1"/>
    <col min="8453" max="8453" width="9.7109375" style="21" customWidth="1"/>
    <col min="8454" max="8454" width="8.85546875" style="21" customWidth="1"/>
    <col min="8455" max="8455" width="7.140625" style="21" customWidth="1"/>
    <col min="8456" max="8456" width="4.42578125" style="21" customWidth="1"/>
    <col min="8457" max="8457" width="7.42578125" style="21" customWidth="1"/>
    <col min="8458" max="8458" width="6.42578125" style="21" customWidth="1"/>
    <col min="8459" max="8459" width="7.42578125" style="21" customWidth="1"/>
    <col min="8460" max="8460" width="6.7109375" style="21" customWidth="1"/>
    <col min="8461" max="8461" width="7.42578125" style="21" customWidth="1"/>
    <col min="8462" max="8463" width="2.5703125" style="21" customWidth="1"/>
    <col min="8464" max="8464" width="3.7109375" style="21" customWidth="1"/>
    <col min="8465" max="8469" width="7.7109375" style="21" customWidth="1"/>
    <col min="8470" max="8470" width="6.42578125" style="21" customWidth="1"/>
    <col min="8471" max="8471" width="6.7109375" style="21" customWidth="1"/>
    <col min="8472" max="8472" width="7.7109375" style="21" customWidth="1"/>
    <col min="8473" max="8473" width="6.7109375" style="21" customWidth="1"/>
    <col min="8474" max="8474" width="6.28515625" style="21" customWidth="1"/>
    <col min="8475" max="8475" width="6.140625" style="21" customWidth="1"/>
    <col min="8476" max="8490" width="7.7109375" style="21" customWidth="1"/>
    <col min="8491" max="8704" width="11.42578125" style="21"/>
    <col min="8705" max="8705" width="4.7109375" style="21" customWidth="1"/>
    <col min="8706" max="8706" width="4.28515625" style="21" customWidth="1"/>
    <col min="8707" max="8707" width="7.7109375" style="21" customWidth="1"/>
    <col min="8708" max="8708" width="9.28515625" style="21" customWidth="1"/>
    <col min="8709" max="8709" width="9.7109375" style="21" customWidth="1"/>
    <col min="8710" max="8710" width="8.85546875" style="21" customWidth="1"/>
    <col min="8711" max="8711" width="7.140625" style="21" customWidth="1"/>
    <col min="8712" max="8712" width="4.42578125" style="21" customWidth="1"/>
    <col min="8713" max="8713" width="7.42578125" style="21" customWidth="1"/>
    <col min="8714" max="8714" width="6.42578125" style="21" customWidth="1"/>
    <col min="8715" max="8715" width="7.42578125" style="21" customWidth="1"/>
    <col min="8716" max="8716" width="6.7109375" style="21" customWidth="1"/>
    <col min="8717" max="8717" width="7.42578125" style="21" customWidth="1"/>
    <col min="8718" max="8719" width="2.5703125" style="21" customWidth="1"/>
    <col min="8720" max="8720" width="3.7109375" style="21" customWidth="1"/>
    <col min="8721" max="8725" width="7.7109375" style="21" customWidth="1"/>
    <col min="8726" max="8726" width="6.42578125" style="21" customWidth="1"/>
    <col min="8727" max="8727" width="6.7109375" style="21" customWidth="1"/>
    <col min="8728" max="8728" width="7.7109375" style="21" customWidth="1"/>
    <col min="8729" max="8729" width="6.7109375" style="21" customWidth="1"/>
    <col min="8730" max="8730" width="6.28515625" style="21" customWidth="1"/>
    <col min="8731" max="8731" width="6.140625" style="21" customWidth="1"/>
    <col min="8732" max="8746" width="7.7109375" style="21" customWidth="1"/>
    <col min="8747" max="8960" width="11.42578125" style="21"/>
    <col min="8961" max="8961" width="4.7109375" style="21" customWidth="1"/>
    <col min="8962" max="8962" width="4.28515625" style="21" customWidth="1"/>
    <col min="8963" max="8963" width="7.7109375" style="21" customWidth="1"/>
    <col min="8964" max="8964" width="9.28515625" style="21" customWidth="1"/>
    <col min="8965" max="8965" width="9.7109375" style="21" customWidth="1"/>
    <col min="8966" max="8966" width="8.85546875" style="21" customWidth="1"/>
    <col min="8967" max="8967" width="7.140625" style="21" customWidth="1"/>
    <col min="8968" max="8968" width="4.42578125" style="21" customWidth="1"/>
    <col min="8969" max="8969" width="7.42578125" style="21" customWidth="1"/>
    <col min="8970" max="8970" width="6.42578125" style="21" customWidth="1"/>
    <col min="8971" max="8971" width="7.42578125" style="21" customWidth="1"/>
    <col min="8972" max="8972" width="6.7109375" style="21" customWidth="1"/>
    <col min="8973" max="8973" width="7.42578125" style="21" customWidth="1"/>
    <col min="8974" max="8975" width="2.5703125" style="21" customWidth="1"/>
    <col min="8976" max="8976" width="3.7109375" style="21" customWidth="1"/>
    <col min="8977" max="8981" width="7.7109375" style="21" customWidth="1"/>
    <col min="8982" max="8982" width="6.42578125" style="21" customWidth="1"/>
    <col min="8983" max="8983" width="6.7109375" style="21" customWidth="1"/>
    <col min="8984" max="8984" width="7.7109375" style="21" customWidth="1"/>
    <col min="8985" max="8985" width="6.7109375" style="21" customWidth="1"/>
    <col min="8986" max="8986" width="6.28515625" style="21" customWidth="1"/>
    <col min="8987" max="8987" width="6.140625" style="21" customWidth="1"/>
    <col min="8988" max="9002" width="7.7109375" style="21" customWidth="1"/>
    <col min="9003" max="9216" width="11.42578125" style="21"/>
    <col min="9217" max="9217" width="4.7109375" style="21" customWidth="1"/>
    <col min="9218" max="9218" width="4.28515625" style="21" customWidth="1"/>
    <col min="9219" max="9219" width="7.7109375" style="21" customWidth="1"/>
    <col min="9220" max="9220" width="9.28515625" style="21" customWidth="1"/>
    <col min="9221" max="9221" width="9.7109375" style="21" customWidth="1"/>
    <col min="9222" max="9222" width="8.85546875" style="21" customWidth="1"/>
    <col min="9223" max="9223" width="7.140625" style="21" customWidth="1"/>
    <col min="9224" max="9224" width="4.42578125" style="21" customWidth="1"/>
    <col min="9225" max="9225" width="7.42578125" style="21" customWidth="1"/>
    <col min="9226" max="9226" width="6.42578125" style="21" customWidth="1"/>
    <col min="9227" max="9227" width="7.42578125" style="21" customWidth="1"/>
    <col min="9228" max="9228" width="6.7109375" style="21" customWidth="1"/>
    <col min="9229" max="9229" width="7.42578125" style="21" customWidth="1"/>
    <col min="9230" max="9231" width="2.5703125" style="21" customWidth="1"/>
    <col min="9232" max="9232" width="3.7109375" style="21" customWidth="1"/>
    <col min="9233" max="9237" width="7.7109375" style="21" customWidth="1"/>
    <col min="9238" max="9238" width="6.42578125" style="21" customWidth="1"/>
    <col min="9239" max="9239" width="6.7109375" style="21" customWidth="1"/>
    <col min="9240" max="9240" width="7.7109375" style="21" customWidth="1"/>
    <col min="9241" max="9241" width="6.7109375" style="21" customWidth="1"/>
    <col min="9242" max="9242" width="6.28515625" style="21" customWidth="1"/>
    <col min="9243" max="9243" width="6.140625" style="21" customWidth="1"/>
    <col min="9244" max="9258" width="7.7109375" style="21" customWidth="1"/>
    <col min="9259" max="9472" width="11.42578125" style="21"/>
    <col min="9473" max="9473" width="4.7109375" style="21" customWidth="1"/>
    <col min="9474" max="9474" width="4.28515625" style="21" customWidth="1"/>
    <col min="9475" max="9475" width="7.7109375" style="21" customWidth="1"/>
    <col min="9476" max="9476" width="9.28515625" style="21" customWidth="1"/>
    <col min="9477" max="9477" width="9.7109375" style="21" customWidth="1"/>
    <col min="9478" max="9478" width="8.85546875" style="21" customWidth="1"/>
    <col min="9479" max="9479" width="7.140625" style="21" customWidth="1"/>
    <col min="9480" max="9480" width="4.42578125" style="21" customWidth="1"/>
    <col min="9481" max="9481" width="7.42578125" style="21" customWidth="1"/>
    <col min="9482" max="9482" width="6.42578125" style="21" customWidth="1"/>
    <col min="9483" max="9483" width="7.42578125" style="21" customWidth="1"/>
    <col min="9484" max="9484" width="6.7109375" style="21" customWidth="1"/>
    <col min="9485" max="9485" width="7.42578125" style="21" customWidth="1"/>
    <col min="9486" max="9487" width="2.5703125" style="21" customWidth="1"/>
    <col min="9488" max="9488" width="3.7109375" style="21" customWidth="1"/>
    <col min="9489" max="9493" width="7.7109375" style="21" customWidth="1"/>
    <col min="9494" max="9494" width="6.42578125" style="21" customWidth="1"/>
    <col min="9495" max="9495" width="6.7109375" style="21" customWidth="1"/>
    <col min="9496" max="9496" width="7.7109375" style="21" customWidth="1"/>
    <col min="9497" max="9497" width="6.7109375" style="21" customWidth="1"/>
    <col min="9498" max="9498" width="6.28515625" style="21" customWidth="1"/>
    <col min="9499" max="9499" width="6.140625" style="21" customWidth="1"/>
    <col min="9500" max="9514" width="7.7109375" style="21" customWidth="1"/>
    <col min="9515" max="9728" width="11.42578125" style="21"/>
    <col min="9729" max="9729" width="4.7109375" style="21" customWidth="1"/>
    <col min="9730" max="9730" width="4.28515625" style="21" customWidth="1"/>
    <col min="9731" max="9731" width="7.7109375" style="21" customWidth="1"/>
    <col min="9732" max="9732" width="9.28515625" style="21" customWidth="1"/>
    <col min="9733" max="9733" width="9.7109375" style="21" customWidth="1"/>
    <col min="9734" max="9734" width="8.85546875" style="21" customWidth="1"/>
    <col min="9735" max="9735" width="7.140625" style="21" customWidth="1"/>
    <col min="9736" max="9736" width="4.42578125" style="21" customWidth="1"/>
    <col min="9737" max="9737" width="7.42578125" style="21" customWidth="1"/>
    <col min="9738" max="9738" width="6.42578125" style="21" customWidth="1"/>
    <col min="9739" max="9739" width="7.42578125" style="21" customWidth="1"/>
    <col min="9740" max="9740" width="6.7109375" style="21" customWidth="1"/>
    <col min="9741" max="9741" width="7.42578125" style="21" customWidth="1"/>
    <col min="9742" max="9743" width="2.5703125" style="21" customWidth="1"/>
    <col min="9744" max="9744" width="3.7109375" style="21" customWidth="1"/>
    <col min="9745" max="9749" width="7.7109375" style="21" customWidth="1"/>
    <col min="9750" max="9750" width="6.42578125" style="21" customWidth="1"/>
    <col min="9751" max="9751" width="6.7109375" style="21" customWidth="1"/>
    <col min="9752" max="9752" width="7.7109375" style="21" customWidth="1"/>
    <col min="9753" max="9753" width="6.7109375" style="21" customWidth="1"/>
    <col min="9754" max="9754" width="6.28515625" style="21" customWidth="1"/>
    <col min="9755" max="9755" width="6.140625" style="21" customWidth="1"/>
    <col min="9756" max="9770" width="7.7109375" style="21" customWidth="1"/>
    <col min="9771" max="9984" width="11.42578125" style="21"/>
    <col min="9985" max="9985" width="4.7109375" style="21" customWidth="1"/>
    <col min="9986" max="9986" width="4.28515625" style="21" customWidth="1"/>
    <col min="9987" max="9987" width="7.7109375" style="21" customWidth="1"/>
    <col min="9988" max="9988" width="9.28515625" style="21" customWidth="1"/>
    <col min="9989" max="9989" width="9.7109375" style="21" customWidth="1"/>
    <col min="9990" max="9990" width="8.85546875" style="21" customWidth="1"/>
    <col min="9991" max="9991" width="7.140625" style="21" customWidth="1"/>
    <col min="9992" max="9992" width="4.42578125" style="21" customWidth="1"/>
    <col min="9993" max="9993" width="7.42578125" style="21" customWidth="1"/>
    <col min="9994" max="9994" width="6.42578125" style="21" customWidth="1"/>
    <col min="9995" max="9995" width="7.42578125" style="21" customWidth="1"/>
    <col min="9996" max="9996" width="6.7109375" style="21" customWidth="1"/>
    <col min="9997" max="9997" width="7.42578125" style="21" customWidth="1"/>
    <col min="9998" max="9999" width="2.5703125" style="21" customWidth="1"/>
    <col min="10000" max="10000" width="3.7109375" style="21" customWidth="1"/>
    <col min="10001" max="10005" width="7.7109375" style="21" customWidth="1"/>
    <col min="10006" max="10006" width="6.42578125" style="21" customWidth="1"/>
    <col min="10007" max="10007" width="6.7109375" style="21" customWidth="1"/>
    <col min="10008" max="10008" width="7.7109375" style="21" customWidth="1"/>
    <col min="10009" max="10009" width="6.7109375" style="21" customWidth="1"/>
    <col min="10010" max="10010" width="6.28515625" style="21" customWidth="1"/>
    <col min="10011" max="10011" width="6.140625" style="21" customWidth="1"/>
    <col min="10012" max="10026" width="7.7109375" style="21" customWidth="1"/>
    <col min="10027" max="10240" width="11.42578125" style="21"/>
    <col min="10241" max="10241" width="4.7109375" style="21" customWidth="1"/>
    <col min="10242" max="10242" width="4.28515625" style="21" customWidth="1"/>
    <col min="10243" max="10243" width="7.7109375" style="21" customWidth="1"/>
    <col min="10244" max="10244" width="9.28515625" style="21" customWidth="1"/>
    <col min="10245" max="10245" width="9.7109375" style="21" customWidth="1"/>
    <col min="10246" max="10246" width="8.85546875" style="21" customWidth="1"/>
    <col min="10247" max="10247" width="7.140625" style="21" customWidth="1"/>
    <col min="10248" max="10248" width="4.42578125" style="21" customWidth="1"/>
    <col min="10249" max="10249" width="7.42578125" style="21" customWidth="1"/>
    <col min="10250" max="10250" width="6.42578125" style="21" customWidth="1"/>
    <col min="10251" max="10251" width="7.42578125" style="21" customWidth="1"/>
    <col min="10252" max="10252" width="6.7109375" style="21" customWidth="1"/>
    <col min="10253" max="10253" width="7.42578125" style="21" customWidth="1"/>
    <col min="10254" max="10255" width="2.5703125" style="21" customWidth="1"/>
    <col min="10256" max="10256" width="3.7109375" style="21" customWidth="1"/>
    <col min="10257" max="10261" width="7.7109375" style="21" customWidth="1"/>
    <col min="10262" max="10262" width="6.42578125" style="21" customWidth="1"/>
    <col min="10263" max="10263" width="6.7109375" style="21" customWidth="1"/>
    <col min="10264" max="10264" width="7.7109375" style="21" customWidth="1"/>
    <col min="10265" max="10265" width="6.7109375" style="21" customWidth="1"/>
    <col min="10266" max="10266" width="6.28515625" style="21" customWidth="1"/>
    <col min="10267" max="10267" width="6.140625" style="21" customWidth="1"/>
    <col min="10268" max="10282" width="7.7109375" style="21" customWidth="1"/>
    <col min="10283" max="10496" width="11.42578125" style="21"/>
    <col min="10497" max="10497" width="4.7109375" style="21" customWidth="1"/>
    <col min="10498" max="10498" width="4.28515625" style="21" customWidth="1"/>
    <col min="10499" max="10499" width="7.7109375" style="21" customWidth="1"/>
    <col min="10500" max="10500" width="9.28515625" style="21" customWidth="1"/>
    <col min="10501" max="10501" width="9.7109375" style="21" customWidth="1"/>
    <col min="10502" max="10502" width="8.85546875" style="21" customWidth="1"/>
    <col min="10503" max="10503" width="7.140625" style="21" customWidth="1"/>
    <col min="10504" max="10504" width="4.42578125" style="21" customWidth="1"/>
    <col min="10505" max="10505" width="7.42578125" style="21" customWidth="1"/>
    <col min="10506" max="10506" width="6.42578125" style="21" customWidth="1"/>
    <col min="10507" max="10507" width="7.42578125" style="21" customWidth="1"/>
    <col min="10508" max="10508" width="6.7109375" style="21" customWidth="1"/>
    <col min="10509" max="10509" width="7.42578125" style="21" customWidth="1"/>
    <col min="10510" max="10511" width="2.5703125" style="21" customWidth="1"/>
    <col min="10512" max="10512" width="3.7109375" style="21" customWidth="1"/>
    <col min="10513" max="10517" width="7.7109375" style="21" customWidth="1"/>
    <col min="10518" max="10518" width="6.42578125" style="21" customWidth="1"/>
    <col min="10519" max="10519" width="6.7109375" style="21" customWidth="1"/>
    <col min="10520" max="10520" width="7.7109375" style="21" customWidth="1"/>
    <col min="10521" max="10521" width="6.7109375" style="21" customWidth="1"/>
    <col min="10522" max="10522" width="6.28515625" style="21" customWidth="1"/>
    <col min="10523" max="10523" width="6.140625" style="21" customWidth="1"/>
    <col min="10524" max="10538" width="7.7109375" style="21" customWidth="1"/>
    <col min="10539" max="10752" width="11.42578125" style="21"/>
    <col min="10753" max="10753" width="4.7109375" style="21" customWidth="1"/>
    <col min="10754" max="10754" width="4.28515625" style="21" customWidth="1"/>
    <col min="10755" max="10755" width="7.7109375" style="21" customWidth="1"/>
    <col min="10756" max="10756" width="9.28515625" style="21" customWidth="1"/>
    <col min="10757" max="10757" width="9.7109375" style="21" customWidth="1"/>
    <col min="10758" max="10758" width="8.85546875" style="21" customWidth="1"/>
    <col min="10759" max="10759" width="7.140625" style="21" customWidth="1"/>
    <col min="10760" max="10760" width="4.42578125" style="21" customWidth="1"/>
    <col min="10761" max="10761" width="7.42578125" style="21" customWidth="1"/>
    <col min="10762" max="10762" width="6.42578125" style="21" customWidth="1"/>
    <col min="10763" max="10763" width="7.42578125" style="21" customWidth="1"/>
    <col min="10764" max="10764" width="6.7109375" style="21" customWidth="1"/>
    <col min="10765" max="10765" width="7.42578125" style="21" customWidth="1"/>
    <col min="10766" max="10767" width="2.5703125" style="21" customWidth="1"/>
    <col min="10768" max="10768" width="3.7109375" style="21" customWidth="1"/>
    <col min="10769" max="10773" width="7.7109375" style="21" customWidth="1"/>
    <col min="10774" max="10774" width="6.42578125" style="21" customWidth="1"/>
    <col min="10775" max="10775" width="6.7109375" style="21" customWidth="1"/>
    <col min="10776" max="10776" width="7.7109375" style="21" customWidth="1"/>
    <col min="10777" max="10777" width="6.7109375" style="21" customWidth="1"/>
    <col min="10778" max="10778" width="6.28515625" style="21" customWidth="1"/>
    <col min="10779" max="10779" width="6.140625" style="21" customWidth="1"/>
    <col min="10780" max="10794" width="7.7109375" style="21" customWidth="1"/>
    <col min="10795" max="11008" width="11.42578125" style="21"/>
    <col min="11009" max="11009" width="4.7109375" style="21" customWidth="1"/>
    <col min="11010" max="11010" width="4.28515625" style="21" customWidth="1"/>
    <col min="11011" max="11011" width="7.7109375" style="21" customWidth="1"/>
    <col min="11012" max="11012" width="9.28515625" style="21" customWidth="1"/>
    <col min="11013" max="11013" width="9.7109375" style="21" customWidth="1"/>
    <col min="11014" max="11014" width="8.85546875" style="21" customWidth="1"/>
    <col min="11015" max="11015" width="7.140625" style="21" customWidth="1"/>
    <col min="11016" max="11016" width="4.42578125" style="21" customWidth="1"/>
    <col min="11017" max="11017" width="7.42578125" style="21" customWidth="1"/>
    <col min="11018" max="11018" width="6.42578125" style="21" customWidth="1"/>
    <col min="11019" max="11019" width="7.42578125" style="21" customWidth="1"/>
    <col min="11020" max="11020" width="6.7109375" style="21" customWidth="1"/>
    <col min="11021" max="11021" width="7.42578125" style="21" customWidth="1"/>
    <col min="11022" max="11023" width="2.5703125" style="21" customWidth="1"/>
    <col min="11024" max="11024" width="3.7109375" style="21" customWidth="1"/>
    <col min="11025" max="11029" width="7.7109375" style="21" customWidth="1"/>
    <col min="11030" max="11030" width="6.42578125" style="21" customWidth="1"/>
    <col min="11031" max="11031" width="6.7109375" style="21" customWidth="1"/>
    <col min="11032" max="11032" width="7.7109375" style="21" customWidth="1"/>
    <col min="11033" max="11033" width="6.7109375" style="21" customWidth="1"/>
    <col min="11034" max="11034" width="6.28515625" style="21" customWidth="1"/>
    <col min="11035" max="11035" width="6.140625" style="21" customWidth="1"/>
    <col min="11036" max="11050" width="7.7109375" style="21" customWidth="1"/>
    <col min="11051" max="11264" width="11.42578125" style="21"/>
    <col min="11265" max="11265" width="4.7109375" style="21" customWidth="1"/>
    <col min="11266" max="11266" width="4.28515625" style="21" customWidth="1"/>
    <col min="11267" max="11267" width="7.7109375" style="21" customWidth="1"/>
    <col min="11268" max="11268" width="9.28515625" style="21" customWidth="1"/>
    <col min="11269" max="11269" width="9.7109375" style="21" customWidth="1"/>
    <col min="11270" max="11270" width="8.85546875" style="21" customWidth="1"/>
    <col min="11271" max="11271" width="7.140625" style="21" customWidth="1"/>
    <col min="11272" max="11272" width="4.42578125" style="21" customWidth="1"/>
    <col min="11273" max="11273" width="7.42578125" style="21" customWidth="1"/>
    <col min="11274" max="11274" width="6.42578125" style="21" customWidth="1"/>
    <col min="11275" max="11275" width="7.42578125" style="21" customWidth="1"/>
    <col min="11276" max="11276" width="6.7109375" style="21" customWidth="1"/>
    <col min="11277" max="11277" width="7.42578125" style="21" customWidth="1"/>
    <col min="11278" max="11279" width="2.5703125" style="21" customWidth="1"/>
    <col min="11280" max="11280" width="3.7109375" style="21" customWidth="1"/>
    <col min="11281" max="11285" width="7.7109375" style="21" customWidth="1"/>
    <col min="11286" max="11286" width="6.42578125" style="21" customWidth="1"/>
    <col min="11287" max="11287" width="6.7109375" style="21" customWidth="1"/>
    <col min="11288" max="11288" width="7.7109375" style="21" customWidth="1"/>
    <col min="11289" max="11289" width="6.7109375" style="21" customWidth="1"/>
    <col min="11290" max="11290" width="6.28515625" style="21" customWidth="1"/>
    <col min="11291" max="11291" width="6.140625" style="21" customWidth="1"/>
    <col min="11292" max="11306" width="7.7109375" style="21" customWidth="1"/>
    <col min="11307" max="11520" width="11.42578125" style="21"/>
    <col min="11521" max="11521" width="4.7109375" style="21" customWidth="1"/>
    <col min="11522" max="11522" width="4.28515625" style="21" customWidth="1"/>
    <col min="11523" max="11523" width="7.7109375" style="21" customWidth="1"/>
    <col min="11524" max="11524" width="9.28515625" style="21" customWidth="1"/>
    <col min="11525" max="11525" width="9.7109375" style="21" customWidth="1"/>
    <col min="11526" max="11526" width="8.85546875" style="21" customWidth="1"/>
    <col min="11527" max="11527" width="7.140625" style="21" customWidth="1"/>
    <col min="11528" max="11528" width="4.42578125" style="21" customWidth="1"/>
    <col min="11529" max="11529" width="7.42578125" style="21" customWidth="1"/>
    <col min="11530" max="11530" width="6.42578125" style="21" customWidth="1"/>
    <col min="11531" max="11531" width="7.42578125" style="21" customWidth="1"/>
    <col min="11532" max="11532" width="6.7109375" style="21" customWidth="1"/>
    <col min="11533" max="11533" width="7.42578125" style="21" customWidth="1"/>
    <col min="11534" max="11535" width="2.5703125" style="21" customWidth="1"/>
    <col min="11536" max="11536" width="3.7109375" style="21" customWidth="1"/>
    <col min="11537" max="11541" width="7.7109375" style="21" customWidth="1"/>
    <col min="11542" max="11542" width="6.42578125" style="21" customWidth="1"/>
    <col min="11543" max="11543" width="6.7109375" style="21" customWidth="1"/>
    <col min="11544" max="11544" width="7.7109375" style="21" customWidth="1"/>
    <col min="11545" max="11545" width="6.7109375" style="21" customWidth="1"/>
    <col min="11546" max="11546" width="6.28515625" style="21" customWidth="1"/>
    <col min="11547" max="11547" width="6.140625" style="21" customWidth="1"/>
    <col min="11548" max="11562" width="7.7109375" style="21" customWidth="1"/>
    <col min="11563" max="11776" width="11.42578125" style="21"/>
    <col min="11777" max="11777" width="4.7109375" style="21" customWidth="1"/>
    <col min="11778" max="11778" width="4.28515625" style="21" customWidth="1"/>
    <col min="11779" max="11779" width="7.7109375" style="21" customWidth="1"/>
    <col min="11780" max="11780" width="9.28515625" style="21" customWidth="1"/>
    <col min="11781" max="11781" width="9.7109375" style="21" customWidth="1"/>
    <col min="11782" max="11782" width="8.85546875" style="21" customWidth="1"/>
    <col min="11783" max="11783" width="7.140625" style="21" customWidth="1"/>
    <col min="11784" max="11784" width="4.42578125" style="21" customWidth="1"/>
    <col min="11785" max="11785" width="7.42578125" style="21" customWidth="1"/>
    <col min="11786" max="11786" width="6.42578125" style="21" customWidth="1"/>
    <col min="11787" max="11787" width="7.42578125" style="21" customWidth="1"/>
    <col min="11788" max="11788" width="6.7109375" style="21" customWidth="1"/>
    <col min="11789" max="11789" width="7.42578125" style="21" customWidth="1"/>
    <col min="11790" max="11791" width="2.5703125" style="21" customWidth="1"/>
    <col min="11792" max="11792" width="3.7109375" style="21" customWidth="1"/>
    <col min="11793" max="11797" width="7.7109375" style="21" customWidth="1"/>
    <col min="11798" max="11798" width="6.42578125" style="21" customWidth="1"/>
    <col min="11799" max="11799" width="6.7109375" style="21" customWidth="1"/>
    <col min="11800" max="11800" width="7.7109375" style="21" customWidth="1"/>
    <col min="11801" max="11801" width="6.7109375" style="21" customWidth="1"/>
    <col min="11802" max="11802" width="6.28515625" style="21" customWidth="1"/>
    <col min="11803" max="11803" width="6.140625" style="21" customWidth="1"/>
    <col min="11804" max="11818" width="7.7109375" style="21" customWidth="1"/>
    <col min="11819" max="12032" width="11.42578125" style="21"/>
    <col min="12033" max="12033" width="4.7109375" style="21" customWidth="1"/>
    <col min="12034" max="12034" width="4.28515625" style="21" customWidth="1"/>
    <col min="12035" max="12035" width="7.7109375" style="21" customWidth="1"/>
    <col min="12036" max="12036" width="9.28515625" style="21" customWidth="1"/>
    <col min="12037" max="12037" width="9.7109375" style="21" customWidth="1"/>
    <col min="12038" max="12038" width="8.85546875" style="21" customWidth="1"/>
    <col min="12039" max="12039" width="7.140625" style="21" customWidth="1"/>
    <col min="12040" max="12040" width="4.42578125" style="21" customWidth="1"/>
    <col min="12041" max="12041" width="7.42578125" style="21" customWidth="1"/>
    <col min="12042" max="12042" width="6.42578125" style="21" customWidth="1"/>
    <col min="12043" max="12043" width="7.42578125" style="21" customWidth="1"/>
    <col min="12044" max="12044" width="6.7109375" style="21" customWidth="1"/>
    <col min="12045" max="12045" width="7.42578125" style="21" customWidth="1"/>
    <col min="12046" max="12047" width="2.5703125" style="21" customWidth="1"/>
    <col min="12048" max="12048" width="3.7109375" style="21" customWidth="1"/>
    <col min="12049" max="12053" width="7.7109375" style="21" customWidth="1"/>
    <col min="12054" max="12054" width="6.42578125" style="21" customWidth="1"/>
    <col min="12055" max="12055" width="6.7109375" style="21" customWidth="1"/>
    <col min="12056" max="12056" width="7.7109375" style="21" customWidth="1"/>
    <col min="12057" max="12057" width="6.7109375" style="21" customWidth="1"/>
    <col min="12058" max="12058" width="6.28515625" style="21" customWidth="1"/>
    <col min="12059" max="12059" width="6.140625" style="21" customWidth="1"/>
    <col min="12060" max="12074" width="7.7109375" style="21" customWidth="1"/>
    <col min="12075" max="12288" width="11.42578125" style="21"/>
    <col min="12289" max="12289" width="4.7109375" style="21" customWidth="1"/>
    <col min="12290" max="12290" width="4.28515625" style="21" customWidth="1"/>
    <col min="12291" max="12291" width="7.7109375" style="21" customWidth="1"/>
    <col min="12292" max="12292" width="9.28515625" style="21" customWidth="1"/>
    <col min="12293" max="12293" width="9.7109375" style="21" customWidth="1"/>
    <col min="12294" max="12294" width="8.85546875" style="21" customWidth="1"/>
    <col min="12295" max="12295" width="7.140625" style="21" customWidth="1"/>
    <col min="12296" max="12296" width="4.42578125" style="21" customWidth="1"/>
    <col min="12297" max="12297" width="7.42578125" style="21" customWidth="1"/>
    <col min="12298" max="12298" width="6.42578125" style="21" customWidth="1"/>
    <col min="12299" max="12299" width="7.42578125" style="21" customWidth="1"/>
    <col min="12300" max="12300" width="6.7109375" style="21" customWidth="1"/>
    <col min="12301" max="12301" width="7.42578125" style="21" customWidth="1"/>
    <col min="12302" max="12303" width="2.5703125" style="21" customWidth="1"/>
    <col min="12304" max="12304" width="3.7109375" style="21" customWidth="1"/>
    <col min="12305" max="12309" width="7.7109375" style="21" customWidth="1"/>
    <col min="12310" max="12310" width="6.42578125" style="21" customWidth="1"/>
    <col min="12311" max="12311" width="6.7109375" style="21" customWidth="1"/>
    <col min="12312" max="12312" width="7.7109375" style="21" customWidth="1"/>
    <col min="12313" max="12313" width="6.7109375" style="21" customWidth="1"/>
    <col min="12314" max="12314" width="6.28515625" style="21" customWidth="1"/>
    <col min="12315" max="12315" width="6.140625" style="21" customWidth="1"/>
    <col min="12316" max="12330" width="7.7109375" style="21" customWidth="1"/>
    <col min="12331" max="12544" width="11.42578125" style="21"/>
    <col min="12545" max="12545" width="4.7109375" style="21" customWidth="1"/>
    <col min="12546" max="12546" width="4.28515625" style="21" customWidth="1"/>
    <col min="12547" max="12547" width="7.7109375" style="21" customWidth="1"/>
    <col min="12548" max="12548" width="9.28515625" style="21" customWidth="1"/>
    <col min="12549" max="12549" width="9.7109375" style="21" customWidth="1"/>
    <col min="12550" max="12550" width="8.85546875" style="21" customWidth="1"/>
    <col min="12551" max="12551" width="7.140625" style="21" customWidth="1"/>
    <col min="12552" max="12552" width="4.42578125" style="21" customWidth="1"/>
    <col min="12553" max="12553" width="7.42578125" style="21" customWidth="1"/>
    <col min="12554" max="12554" width="6.42578125" style="21" customWidth="1"/>
    <col min="12555" max="12555" width="7.42578125" style="21" customWidth="1"/>
    <col min="12556" max="12556" width="6.7109375" style="21" customWidth="1"/>
    <col min="12557" max="12557" width="7.42578125" style="21" customWidth="1"/>
    <col min="12558" max="12559" width="2.5703125" style="21" customWidth="1"/>
    <col min="12560" max="12560" width="3.7109375" style="21" customWidth="1"/>
    <col min="12561" max="12565" width="7.7109375" style="21" customWidth="1"/>
    <col min="12566" max="12566" width="6.42578125" style="21" customWidth="1"/>
    <col min="12567" max="12567" width="6.7109375" style="21" customWidth="1"/>
    <col min="12568" max="12568" width="7.7109375" style="21" customWidth="1"/>
    <col min="12569" max="12569" width="6.7109375" style="21" customWidth="1"/>
    <col min="12570" max="12570" width="6.28515625" style="21" customWidth="1"/>
    <col min="12571" max="12571" width="6.140625" style="21" customWidth="1"/>
    <col min="12572" max="12586" width="7.7109375" style="21" customWidth="1"/>
    <col min="12587" max="12800" width="11.42578125" style="21"/>
    <col min="12801" max="12801" width="4.7109375" style="21" customWidth="1"/>
    <col min="12802" max="12802" width="4.28515625" style="21" customWidth="1"/>
    <col min="12803" max="12803" width="7.7109375" style="21" customWidth="1"/>
    <col min="12804" max="12804" width="9.28515625" style="21" customWidth="1"/>
    <col min="12805" max="12805" width="9.7109375" style="21" customWidth="1"/>
    <col min="12806" max="12806" width="8.85546875" style="21" customWidth="1"/>
    <col min="12807" max="12807" width="7.140625" style="21" customWidth="1"/>
    <col min="12808" max="12808" width="4.42578125" style="21" customWidth="1"/>
    <col min="12809" max="12809" width="7.42578125" style="21" customWidth="1"/>
    <col min="12810" max="12810" width="6.42578125" style="21" customWidth="1"/>
    <col min="12811" max="12811" width="7.42578125" style="21" customWidth="1"/>
    <col min="12812" max="12812" width="6.7109375" style="21" customWidth="1"/>
    <col min="12813" max="12813" width="7.42578125" style="21" customWidth="1"/>
    <col min="12814" max="12815" width="2.5703125" style="21" customWidth="1"/>
    <col min="12816" max="12816" width="3.7109375" style="21" customWidth="1"/>
    <col min="12817" max="12821" width="7.7109375" style="21" customWidth="1"/>
    <col min="12822" max="12822" width="6.42578125" style="21" customWidth="1"/>
    <col min="12823" max="12823" width="6.7109375" style="21" customWidth="1"/>
    <col min="12824" max="12824" width="7.7109375" style="21" customWidth="1"/>
    <col min="12825" max="12825" width="6.7109375" style="21" customWidth="1"/>
    <col min="12826" max="12826" width="6.28515625" style="21" customWidth="1"/>
    <col min="12827" max="12827" width="6.140625" style="21" customWidth="1"/>
    <col min="12828" max="12842" width="7.7109375" style="21" customWidth="1"/>
    <col min="12843" max="13056" width="11.42578125" style="21"/>
    <col min="13057" max="13057" width="4.7109375" style="21" customWidth="1"/>
    <col min="13058" max="13058" width="4.28515625" style="21" customWidth="1"/>
    <col min="13059" max="13059" width="7.7109375" style="21" customWidth="1"/>
    <col min="13060" max="13060" width="9.28515625" style="21" customWidth="1"/>
    <col min="13061" max="13061" width="9.7109375" style="21" customWidth="1"/>
    <col min="13062" max="13062" width="8.85546875" style="21" customWidth="1"/>
    <col min="13063" max="13063" width="7.140625" style="21" customWidth="1"/>
    <col min="13064" max="13064" width="4.42578125" style="21" customWidth="1"/>
    <col min="13065" max="13065" width="7.42578125" style="21" customWidth="1"/>
    <col min="13066" max="13066" width="6.42578125" style="21" customWidth="1"/>
    <col min="13067" max="13067" width="7.42578125" style="21" customWidth="1"/>
    <col min="13068" max="13068" width="6.7109375" style="21" customWidth="1"/>
    <col min="13069" max="13069" width="7.42578125" style="21" customWidth="1"/>
    <col min="13070" max="13071" width="2.5703125" style="21" customWidth="1"/>
    <col min="13072" max="13072" width="3.7109375" style="21" customWidth="1"/>
    <col min="13073" max="13077" width="7.7109375" style="21" customWidth="1"/>
    <col min="13078" max="13078" width="6.42578125" style="21" customWidth="1"/>
    <col min="13079" max="13079" width="6.7109375" style="21" customWidth="1"/>
    <col min="13080" max="13080" width="7.7109375" style="21" customWidth="1"/>
    <col min="13081" max="13081" width="6.7109375" style="21" customWidth="1"/>
    <col min="13082" max="13082" width="6.28515625" style="21" customWidth="1"/>
    <col min="13083" max="13083" width="6.140625" style="21" customWidth="1"/>
    <col min="13084" max="13098" width="7.7109375" style="21" customWidth="1"/>
    <col min="13099" max="13312" width="11.42578125" style="21"/>
    <col min="13313" max="13313" width="4.7109375" style="21" customWidth="1"/>
    <col min="13314" max="13314" width="4.28515625" style="21" customWidth="1"/>
    <col min="13315" max="13315" width="7.7109375" style="21" customWidth="1"/>
    <col min="13316" max="13316" width="9.28515625" style="21" customWidth="1"/>
    <col min="13317" max="13317" width="9.7109375" style="21" customWidth="1"/>
    <col min="13318" max="13318" width="8.85546875" style="21" customWidth="1"/>
    <col min="13319" max="13319" width="7.140625" style="21" customWidth="1"/>
    <col min="13320" max="13320" width="4.42578125" style="21" customWidth="1"/>
    <col min="13321" max="13321" width="7.42578125" style="21" customWidth="1"/>
    <col min="13322" max="13322" width="6.42578125" style="21" customWidth="1"/>
    <col min="13323" max="13323" width="7.42578125" style="21" customWidth="1"/>
    <col min="13324" max="13324" width="6.7109375" style="21" customWidth="1"/>
    <col min="13325" max="13325" width="7.42578125" style="21" customWidth="1"/>
    <col min="13326" max="13327" width="2.5703125" style="21" customWidth="1"/>
    <col min="13328" max="13328" width="3.7109375" style="21" customWidth="1"/>
    <col min="13329" max="13333" width="7.7109375" style="21" customWidth="1"/>
    <col min="13334" max="13334" width="6.42578125" style="21" customWidth="1"/>
    <col min="13335" max="13335" width="6.7109375" style="21" customWidth="1"/>
    <col min="13336" max="13336" width="7.7109375" style="21" customWidth="1"/>
    <col min="13337" max="13337" width="6.7109375" style="21" customWidth="1"/>
    <col min="13338" max="13338" width="6.28515625" style="21" customWidth="1"/>
    <col min="13339" max="13339" width="6.140625" style="21" customWidth="1"/>
    <col min="13340" max="13354" width="7.7109375" style="21" customWidth="1"/>
    <col min="13355" max="13568" width="11.42578125" style="21"/>
    <col min="13569" max="13569" width="4.7109375" style="21" customWidth="1"/>
    <col min="13570" max="13570" width="4.28515625" style="21" customWidth="1"/>
    <col min="13571" max="13571" width="7.7109375" style="21" customWidth="1"/>
    <col min="13572" max="13572" width="9.28515625" style="21" customWidth="1"/>
    <col min="13573" max="13573" width="9.7109375" style="21" customWidth="1"/>
    <col min="13574" max="13574" width="8.85546875" style="21" customWidth="1"/>
    <col min="13575" max="13575" width="7.140625" style="21" customWidth="1"/>
    <col min="13576" max="13576" width="4.42578125" style="21" customWidth="1"/>
    <col min="13577" max="13577" width="7.42578125" style="21" customWidth="1"/>
    <col min="13578" max="13578" width="6.42578125" style="21" customWidth="1"/>
    <col min="13579" max="13579" width="7.42578125" style="21" customWidth="1"/>
    <col min="13580" max="13580" width="6.7109375" style="21" customWidth="1"/>
    <col min="13581" max="13581" width="7.42578125" style="21" customWidth="1"/>
    <col min="13582" max="13583" width="2.5703125" style="21" customWidth="1"/>
    <col min="13584" max="13584" width="3.7109375" style="21" customWidth="1"/>
    <col min="13585" max="13589" width="7.7109375" style="21" customWidth="1"/>
    <col min="13590" max="13590" width="6.42578125" style="21" customWidth="1"/>
    <col min="13591" max="13591" width="6.7109375" style="21" customWidth="1"/>
    <col min="13592" max="13592" width="7.7109375" style="21" customWidth="1"/>
    <col min="13593" max="13593" width="6.7109375" style="21" customWidth="1"/>
    <col min="13594" max="13594" width="6.28515625" style="21" customWidth="1"/>
    <col min="13595" max="13595" width="6.140625" style="21" customWidth="1"/>
    <col min="13596" max="13610" width="7.7109375" style="21" customWidth="1"/>
    <col min="13611" max="13824" width="11.42578125" style="21"/>
    <col min="13825" max="13825" width="4.7109375" style="21" customWidth="1"/>
    <col min="13826" max="13826" width="4.28515625" style="21" customWidth="1"/>
    <col min="13827" max="13827" width="7.7109375" style="21" customWidth="1"/>
    <col min="13828" max="13828" width="9.28515625" style="21" customWidth="1"/>
    <col min="13829" max="13829" width="9.7109375" style="21" customWidth="1"/>
    <col min="13830" max="13830" width="8.85546875" style="21" customWidth="1"/>
    <col min="13831" max="13831" width="7.140625" style="21" customWidth="1"/>
    <col min="13832" max="13832" width="4.42578125" style="21" customWidth="1"/>
    <col min="13833" max="13833" width="7.42578125" style="21" customWidth="1"/>
    <col min="13834" max="13834" width="6.42578125" style="21" customWidth="1"/>
    <col min="13835" max="13835" width="7.42578125" style="21" customWidth="1"/>
    <col min="13836" max="13836" width="6.7109375" style="21" customWidth="1"/>
    <col min="13837" max="13837" width="7.42578125" style="21" customWidth="1"/>
    <col min="13838" max="13839" width="2.5703125" style="21" customWidth="1"/>
    <col min="13840" max="13840" width="3.7109375" style="21" customWidth="1"/>
    <col min="13841" max="13845" width="7.7109375" style="21" customWidth="1"/>
    <col min="13846" max="13846" width="6.42578125" style="21" customWidth="1"/>
    <col min="13847" max="13847" width="6.7109375" style="21" customWidth="1"/>
    <col min="13848" max="13848" width="7.7109375" style="21" customWidth="1"/>
    <col min="13849" max="13849" width="6.7109375" style="21" customWidth="1"/>
    <col min="13850" max="13850" width="6.28515625" style="21" customWidth="1"/>
    <col min="13851" max="13851" width="6.140625" style="21" customWidth="1"/>
    <col min="13852" max="13866" width="7.7109375" style="21" customWidth="1"/>
    <col min="13867" max="14080" width="11.42578125" style="21"/>
    <col min="14081" max="14081" width="4.7109375" style="21" customWidth="1"/>
    <col min="14082" max="14082" width="4.28515625" style="21" customWidth="1"/>
    <col min="14083" max="14083" width="7.7109375" style="21" customWidth="1"/>
    <col min="14084" max="14084" width="9.28515625" style="21" customWidth="1"/>
    <col min="14085" max="14085" width="9.7109375" style="21" customWidth="1"/>
    <col min="14086" max="14086" width="8.85546875" style="21" customWidth="1"/>
    <col min="14087" max="14087" width="7.140625" style="21" customWidth="1"/>
    <col min="14088" max="14088" width="4.42578125" style="21" customWidth="1"/>
    <col min="14089" max="14089" width="7.42578125" style="21" customWidth="1"/>
    <col min="14090" max="14090" width="6.42578125" style="21" customWidth="1"/>
    <col min="14091" max="14091" width="7.42578125" style="21" customWidth="1"/>
    <col min="14092" max="14092" width="6.7109375" style="21" customWidth="1"/>
    <col min="14093" max="14093" width="7.42578125" style="21" customWidth="1"/>
    <col min="14094" max="14095" width="2.5703125" style="21" customWidth="1"/>
    <col min="14096" max="14096" width="3.7109375" style="21" customWidth="1"/>
    <col min="14097" max="14101" width="7.7109375" style="21" customWidth="1"/>
    <col min="14102" max="14102" width="6.42578125" style="21" customWidth="1"/>
    <col min="14103" max="14103" width="6.7109375" style="21" customWidth="1"/>
    <col min="14104" max="14104" width="7.7109375" style="21" customWidth="1"/>
    <col min="14105" max="14105" width="6.7109375" style="21" customWidth="1"/>
    <col min="14106" max="14106" width="6.28515625" style="21" customWidth="1"/>
    <col min="14107" max="14107" width="6.140625" style="21" customWidth="1"/>
    <col min="14108" max="14122" width="7.7109375" style="21" customWidth="1"/>
    <col min="14123" max="14336" width="11.42578125" style="21"/>
    <col min="14337" max="14337" width="4.7109375" style="21" customWidth="1"/>
    <col min="14338" max="14338" width="4.28515625" style="21" customWidth="1"/>
    <col min="14339" max="14339" width="7.7109375" style="21" customWidth="1"/>
    <col min="14340" max="14340" width="9.28515625" style="21" customWidth="1"/>
    <col min="14341" max="14341" width="9.7109375" style="21" customWidth="1"/>
    <col min="14342" max="14342" width="8.85546875" style="21" customWidth="1"/>
    <col min="14343" max="14343" width="7.140625" style="21" customWidth="1"/>
    <col min="14344" max="14344" width="4.42578125" style="21" customWidth="1"/>
    <col min="14345" max="14345" width="7.42578125" style="21" customWidth="1"/>
    <col min="14346" max="14346" width="6.42578125" style="21" customWidth="1"/>
    <col min="14347" max="14347" width="7.42578125" style="21" customWidth="1"/>
    <col min="14348" max="14348" width="6.7109375" style="21" customWidth="1"/>
    <col min="14349" max="14349" width="7.42578125" style="21" customWidth="1"/>
    <col min="14350" max="14351" width="2.5703125" style="21" customWidth="1"/>
    <col min="14352" max="14352" width="3.7109375" style="21" customWidth="1"/>
    <col min="14353" max="14357" width="7.7109375" style="21" customWidth="1"/>
    <col min="14358" max="14358" width="6.42578125" style="21" customWidth="1"/>
    <col min="14359" max="14359" width="6.7109375" style="21" customWidth="1"/>
    <col min="14360" max="14360" width="7.7109375" style="21" customWidth="1"/>
    <col min="14361" max="14361" width="6.7109375" style="21" customWidth="1"/>
    <col min="14362" max="14362" width="6.28515625" style="21" customWidth="1"/>
    <col min="14363" max="14363" width="6.140625" style="21" customWidth="1"/>
    <col min="14364" max="14378" width="7.7109375" style="21" customWidth="1"/>
    <col min="14379" max="14592" width="11.42578125" style="21"/>
    <col min="14593" max="14593" width="4.7109375" style="21" customWidth="1"/>
    <col min="14594" max="14594" width="4.28515625" style="21" customWidth="1"/>
    <col min="14595" max="14595" width="7.7109375" style="21" customWidth="1"/>
    <col min="14596" max="14596" width="9.28515625" style="21" customWidth="1"/>
    <col min="14597" max="14597" width="9.7109375" style="21" customWidth="1"/>
    <col min="14598" max="14598" width="8.85546875" style="21" customWidth="1"/>
    <col min="14599" max="14599" width="7.140625" style="21" customWidth="1"/>
    <col min="14600" max="14600" width="4.42578125" style="21" customWidth="1"/>
    <col min="14601" max="14601" width="7.42578125" style="21" customWidth="1"/>
    <col min="14602" max="14602" width="6.42578125" style="21" customWidth="1"/>
    <col min="14603" max="14603" width="7.42578125" style="21" customWidth="1"/>
    <col min="14604" max="14604" width="6.7109375" style="21" customWidth="1"/>
    <col min="14605" max="14605" width="7.42578125" style="21" customWidth="1"/>
    <col min="14606" max="14607" width="2.5703125" style="21" customWidth="1"/>
    <col min="14608" max="14608" width="3.7109375" style="21" customWidth="1"/>
    <col min="14609" max="14613" width="7.7109375" style="21" customWidth="1"/>
    <col min="14614" max="14614" width="6.42578125" style="21" customWidth="1"/>
    <col min="14615" max="14615" width="6.7109375" style="21" customWidth="1"/>
    <col min="14616" max="14616" width="7.7109375" style="21" customWidth="1"/>
    <col min="14617" max="14617" width="6.7109375" style="21" customWidth="1"/>
    <col min="14618" max="14618" width="6.28515625" style="21" customWidth="1"/>
    <col min="14619" max="14619" width="6.140625" style="21" customWidth="1"/>
    <col min="14620" max="14634" width="7.7109375" style="21" customWidth="1"/>
    <col min="14635" max="14848" width="11.42578125" style="21"/>
    <col min="14849" max="14849" width="4.7109375" style="21" customWidth="1"/>
    <col min="14850" max="14850" width="4.28515625" style="21" customWidth="1"/>
    <col min="14851" max="14851" width="7.7109375" style="21" customWidth="1"/>
    <col min="14852" max="14852" width="9.28515625" style="21" customWidth="1"/>
    <col min="14853" max="14853" width="9.7109375" style="21" customWidth="1"/>
    <col min="14854" max="14854" width="8.85546875" style="21" customWidth="1"/>
    <col min="14855" max="14855" width="7.140625" style="21" customWidth="1"/>
    <col min="14856" max="14856" width="4.42578125" style="21" customWidth="1"/>
    <col min="14857" max="14857" width="7.42578125" style="21" customWidth="1"/>
    <col min="14858" max="14858" width="6.42578125" style="21" customWidth="1"/>
    <col min="14859" max="14859" width="7.42578125" style="21" customWidth="1"/>
    <col min="14860" max="14860" width="6.7109375" style="21" customWidth="1"/>
    <col min="14861" max="14861" width="7.42578125" style="21" customWidth="1"/>
    <col min="14862" max="14863" width="2.5703125" style="21" customWidth="1"/>
    <col min="14864" max="14864" width="3.7109375" style="21" customWidth="1"/>
    <col min="14865" max="14869" width="7.7109375" style="21" customWidth="1"/>
    <col min="14870" max="14870" width="6.42578125" style="21" customWidth="1"/>
    <col min="14871" max="14871" width="6.7109375" style="21" customWidth="1"/>
    <col min="14872" max="14872" width="7.7109375" style="21" customWidth="1"/>
    <col min="14873" max="14873" width="6.7109375" style="21" customWidth="1"/>
    <col min="14874" max="14874" width="6.28515625" style="21" customWidth="1"/>
    <col min="14875" max="14875" width="6.140625" style="21" customWidth="1"/>
    <col min="14876" max="14890" width="7.7109375" style="21" customWidth="1"/>
    <col min="14891" max="15104" width="11.42578125" style="21"/>
    <col min="15105" max="15105" width="4.7109375" style="21" customWidth="1"/>
    <col min="15106" max="15106" width="4.28515625" style="21" customWidth="1"/>
    <col min="15107" max="15107" width="7.7109375" style="21" customWidth="1"/>
    <col min="15108" max="15108" width="9.28515625" style="21" customWidth="1"/>
    <col min="15109" max="15109" width="9.7109375" style="21" customWidth="1"/>
    <col min="15110" max="15110" width="8.85546875" style="21" customWidth="1"/>
    <col min="15111" max="15111" width="7.140625" style="21" customWidth="1"/>
    <col min="15112" max="15112" width="4.42578125" style="21" customWidth="1"/>
    <col min="15113" max="15113" width="7.42578125" style="21" customWidth="1"/>
    <col min="15114" max="15114" width="6.42578125" style="21" customWidth="1"/>
    <col min="15115" max="15115" width="7.42578125" style="21" customWidth="1"/>
    <col min="15116" max="15116" width="6.7109375" style="21" customWidth="1"/>
    <col min="15117" max="15117" width="7.42578125" style="21" customWidth="1"/>
    <col min="15118" max="15119" width="2.5703125" style="21" customWidth="1"/>
    <col min="15120" max="15120" width="3.7109375" style="21" customWidth="1"/>
    <col min="15121" max="15125" width="7.7109375" style="21" customWidth="1"/>
    <col min="15126" max="15126" width="6.42578125" style="21" customWidth="1"/>
    <col min="15127" max="15127" width="6.7109375" style="21" customWidth="1"/>
    <col min="15128" max="15128" width="7.7109375" style="21" customWidth="1"/>
    <col min="15129" max="15129" width="6.7109375" style="21" customWidth="1"/>
    <col min="15130" max="15130" width="6.28515625" style="21" customWidth="1"/>
    <col min="15131" max="15131" width="6.140625" style="21" customWidth="1"/>
    <col min="15132" max="15146" width="7.7109375" style="21" customWidth="1"/>
    <col min="15147" max="15360" width="11.42578125" style="21"/>
    <col min="15361" max="15361" width="4.7109375" style="21" customWidth="1"/>
    <col min="15362" max="15362" width="4.28515625" style="21" customWidth="1"/>
    <col min="15363" max="15363" width="7.7109375" style="21" customWidth="1"/>
    <col min="15364" max="15364" width="9.28515625" style="21" customWidth="1"/>
    <col min="15365" max="15365" width="9.7109375" style="21" customWidth="1"/>
    <col min="15366" max="15366" width="8.85546875" style="21" customWidth="1"/>
    <col min="15367" max="15367" width="7.140625" style="21" customWidth="1"/>
    <col min="15368" max="15368" width="4.42578125" style="21" customWidth="1"/>
    <col min="15369" max="15369" width="7.42578125" style="21" customWidth="1"/>
    <col min="15370" max="15370" width="6.42578125" style="21" customWidth="1"/>
    <col min="15371" max="15371" width="7.42578125" style="21" customWidth="1"/>
    <col min="15372" max="15372" width="6.7109375" style="21" customWidth="1"/>
    <col min="15373" max="15373" width="7.42578125" style="21" customWidth="1"/>
    <col min="15374" max="15375" width="2.5703125" style="21" customWidth="1"/>
    <col min="15376" max="15376" width="3.7109375" style="21" customWidth="1"/>
    <col min="15377" max="15381" width="7.7109375" style="21" customWidth="1"/>
    <col min="15382" max="15382" width="6.42578125" style="21" customWidth="1"/>
    <col min="15383" max="15383" width="6.7109375" style="21" customWidth="1"/>
    <col min="15384" max="15384" width="7.7109375" style="21" customWidth="1"/>
    <col min="15385" max="15385" width="6.7109375" style="21" customWidth="1"/>
    <col min="15386" max="15386" width="6.28515625" style="21" customWidth="1"/>
    <col min="15387" max="15387" width="6.140625" style="21" customWidth="1"/>
    <col min="15388" max="15402" width="7.7109375" style="21" customWidth="1"/>
    <col min="15403" max="15616" width="11.42578125" style="21"/>
    <col min="15617" max="15617" width="4.7109375" style="21" customWidth="1"/>
    <col min="15618" max="15618" width="4.28515625" style="21" customWidth="1"/>
    <col min="15619" max="15619" width="7.7109375" style="21" customWidth="1"/>
    <col min="15620" max="15620" width="9.28515625" style="21" customWidth="1"/>
    <col min="15621" max="15621" width="9.7109375" style="21" customWidth="1"/>
    <col min="15622" max="15622" width="8.85546875" style="21" customWidth="1"/>
    <col min="15623" max="15623" width="7.140625" style="21" customWidth="1"/>
    <col min="15624" max="15624" width="4.42578125" style="21" customWidth="1"/>
    <col min="15625" max="15625" width="7.42578125" style="21" customWidth="1"/>
    <col min="15626" max="15626" width="6.42578125" style="21" customWidth="1"/>
    <col min="15627" max="15627" width="7.42578125" style="21" customWidth="1"/>
    <col min="15628" max="15628" width="6.7109375" style="21" customWidth="1"/>
    <col min="15629" max="15629" width="7.42578125" style="21" customWidth="1"/>
    <col min="15630" max="15631" width="2.5703125" style="21" customWidth="1"/>
    <col min="15632" max="15632" width="3.7109375" style="21" customWidth="1"/>
    <col min="15633" max="15637" width="7.7109375" style="21" customWidth="1"/>
    <col min="15638" max="15638" width="6.42578125" style="21" customWidth="1"/>
    <col min="15639" max="15639" width="6.7109375" style="21" customWidth="1"/>
    <col min="15640" max="15640" width="7.7109375" style="21" customWidth="1"/>
    <col min="15641" max="15641" width="6.7109375" style="21" customWidth="1"/>
    <col min="15642" max="15642" width="6.28515625" style="21" customWidth="1"/>
    <col min="15643" max="15643" width="6.140625" style="21" customWidth="1"/>
    <col min="15644" max="15658" width="7.7109375" style="21" customWidth="1"/>
    <col min="15659" max="15872" width="11.42578125" style="21"/>
    <col min="15873" max="15873" width="4.7109375" style="21" customWidth="1"/>
    <col min="15874" max="15874" width="4.28515625" style="21" customWidth="1"/>
    <col min="15875" max="15875" width="7.7109375" style="21" customWidth="1"/>
    <col min="15876" max="15876" width="9.28515625" style="21" customWidth="1"/>
    <col min="15877" max="15877" width="9.7109375" style="21" customWidth="1"/>
    <col min="15878" max="15878" width="8.85546875" style="21" customWidth="1"/>
    <col min="15879" max="15879" width="7.140625" style="21" customWidth="1"/>
    <col min="15880" max="15880" width="4.42578125" style="21" customWidth="1"/>
    <col min="15881" max="15881" width="7.42578125" style="21" customWidth="1"/>
    <col min="15882" max="15882" width="6.42578125" style="21" customWidth="1"/>
    <col min="15883" max="15883" width="7.42578125" style="21" customWidth="1"/>
    <col min="15884" max="15884" width="6.7109375" style="21" customWidth="1"/>
    <col min="15885" max="15885" width="7.42578125" style="21" customWidth="1"/>
    <col min="15886" max="15887" width="2.5703125" style="21" customWidth="1"/>
    <col min="15888" max="15888" width="3.7109375" style="21" customWidth="1"/>
    <col min="15889" max="15893" width="7.7109375" style="21" customWidth="1"/>
    <col min="15894" max="15894" width="6.42578125" style="21" customWidth="1"/>
    <col min="15895" max="15895" width="6.7109375" style="21" customWidth="1"/>
    <col min="15896" max="15896" width="7.7109375" style="21" customWidth="1"/>
    <col min="15897" max="15897" width="6.7109375" style="21" customWidth="1"/>
    <col min="15898" max="15898" width="6.28515625" style="21" customWidth="1"/>
    <col min="15899" max="15899" width="6.140625" style="21" customWidth="1"/>
    <col min="15900" max="15914" width="7.7109375" style="21" customWidth="1"/>
    <col min="15915" max="16128" width="11.42578125" style="21"/>
    <col min="16129" max="16129" width="4.7109375" style="21" customWidth="1"/>
    <col min="16130" max="16130" width="4.28515625" style="21" customWidth="1"/>
    <col min="16131" max="16131" width="7.7109375" style="21" customWidth="1"/>
    <col min="16132" max="16132" width="9.28515625" style="21" customWidth="1"/>
    <col min="16133" max="16133" width="9.7109375" style="21" customWidth="1"/>
    <col min="16134" max="16134" width="8.85546875" style="21" customWidth="1"/>
    <col min="16135" max="16135" width="7.140625" style="21" customWidth="1"/>
    <col min="16136" max="16136" width="4.42578125" style="21" customWidth="1"/>
    <col min="16137" max="16137" width="7.42578125" style="21" customWidth="1"/>
    <col min="16138" max="16138" width="6.42578125" style="21" customWidth="1"/>
    <col min="16139" max="16139" width="7.42578125" style="21" customWidth="1"/>
    <col min="16140" max="16140" width="6.7109375" style="21" customWidth="1"/>
    <col min="16141" max="16141" width="7.42578125" style="21" customWidth="1"/>
    <col min="16142" max="16143" width="2.5703125" style="21" customWidth="1"/>
    <col min="16144" max="16144" width="3.7109375" style="21" customWidth="1"/>
    <col min="16145" max="16149" width="7.7109375" style="21" customWidth="1"/>
    <col min="16150" max="16150" width="6.42578125" style="21" customWidth="1"/>
    <col min="16151" max="16151" width="6.7109375" style="21" customWidth="1"/>
    <col min="16152" max="16152" width="7.7109375" style="21" customWidth="1"/>
    <col min="16153" max="16153" width="6.7109375" style="21" customWidth="1"/>
    <col min="16154" max="16154" width="6.28515625" style="21" customWidth="1"/>
    <col min="16155" max="16155" width="6.140625" style="21" customWidth="1"/>
    <col min="16156" max="16170" width="7.7109375" style="21" customWidth="1"/>
    <col min="16171" max="16384" width="11.42578125" style="21"/>
  </cols>
  <sheetData>
    <row r="1" spans="1:28" ht="39" customHeight="1">
      <c r="A1" s="256"/>
      <c r="B1" s="256"/>
      <c r="C1" s="256"/>
      <c r="D1" s="256"/>
      <c r="E1" s="256"/>
      <c r="F1" s="256"/>
      <c r="G1" s="256"/>
      <c r="H1" s="256"/>
      <c r="I1" s="256"/>
      <c r="J1" s="257"/>
      <c r="K1" s="257"/>
      <c r="L1" s="257"/>
      <c r="M1" s="257"/>
      <c r="N1" s="257"/>
      <c r="O1" s="257"/>
      <c r="P1" s="256"/>
      <c r="Q1" s="258"/>
      <c r="R1" s="258"/>
      <c r="S1" s="258"/>
      <c r="T1" s="258"/>
      <c r="U1" s="258"/>
      <c r="V1" s="258"/>
      <c r="W1" s="258"/>
      <c r="X1" s="258"/>
      <c r="Y1" s="258"/>
      <c r="Z1" s="258"/>
      <c r="AA1" s="258"/>
      <c r="AB1" s="258"/>
    </row>
    <row r="2" spans="1:28" ht="13.5">
      <c r="A2" s="905">
        <f>+MEMORIA!$AB$63</f>
        <v>0</v>
      </c>
      <c r="B2" s="905"/>
      <c r="C2" s="259" t="s">
        <v>501</v>
      </c>
      <c r="D2" s="260"/>
      <c r="E2" s="260"/>
      <c r="F2" s="260"/>
      <c r="G2" s="260"/>
      <c r="H2" s="260"/>
      <c r="I2" s="260"/>
      <c r="J2" s="260"/>
      <c r="K2" s="260"/>
      <c r="L2" s="260"/>
      <c r="M2" s="260"/>
      <c r="N2" s="260"/>
      <c r="O2" s="260"/>
      <c r="P2" s="905">
        <f>+A2</f>
        <v>0</v>
      </c>
      <c r="Q2" s="905"/>
      <c r="R2" s="261" t="str">
        <f>+C2</f>
        <v>/ …</v>
      </c>
    </row>
    <row r="3" spans="1:28" ht="13.5">
      <c r="A3" s="262"/>
      <c r="B3" s="262"/>
      <c r="C3" s="262"/>
      <c r="D3" s="262"/>
      <c r="E3" s="262"/>
      <c r="F3" s="262"/>
      <c r="G3" s="262"/>
      <c r="H3" s="262"/>
      <c r="I3" s="262"/>
      <c r="J3" s="262"/>
      <c r="K3" s="262"/>
      <c r="L3" s="262"/>
      <c r="M3" s="262"/>
      <c r="N3" s="262"/>
      <c r="O3" s="262"/>
      <c r="P3" s="260"/>
      <c r="Q3" s="260"/>
      <c r="R3" s="260"/>
      <c r="S3" s="260"/>
      <c r="T3" s="260"/>
      <c r="U3" s="260"/>
      <c r="AA3" s="263"/>
      <c r="AB3" s="263"/>
    </row>
    <row r="4" spans="1:28" ht="13.5">
      <c r="A4" s="262"/>
      <c r="B4" s="262"/>
      <c r="C4" s="262"/>
      <c r="D4" s="262"/>
      <c r="E4" s="262"/>
      <c r="F4" s="262"/>
      <c r="G4" s="262"/>
      <c r="H4" s="262"/>
      <c r="I4" s="262"/>
      <c r="J4" s="262"/>
      <c r="K4" s="262"/>
      <c r="L4" s="262"/>
      <c r="M4" s="262"/>
      <c r="N4" s="262"/>
      <c r="O4" s="262"/>
      <c r="P4" s="260"/>
      <c r="Q4" s="260"/>
      <c r="R4" s="260"/>
      <c r="S4" s="260"/>
      <c r="T4" s="260"/>
      <c r="U4" s="260"/>
      <c r="AA4" s="263"/>
      <c r="AB4" s="263"/>
    </row>
    <row r="5" spans="1:28" ht="13.5">
      <c r="A5" s="262"/>
      <c r="B5" s="262"/>
      <c r="C5" s="262"/>
      <c r="D5" s="262"/>
      <c r="E5" s="262"/>
      <c r="F5" s="262"/>
      <c r="G5" s="262"/>
      <c r="H5" s="262"/>
      <c r="I5" s="262"/>
      <c r="J5" s="262"/>
      <c r="K5" s="262"/>
      <c r="L5" s="262"/>
      <c r="M5" s="262"/>
      <c r="N5" s="262"/>
      <c r="O5" s="262"/>
      <c r="P5" s="260"/>
      <c r="Q5" s="260"/>
      <c r="R5" s="260"/>
      <c r="S5" s="260"/>
      <c r="T5" s="260"/>
      <c r="U5" s="260"/>
      <c r="AA5" s="263"/>
      <c r="AB5" s="263"/>
    </row>
    <row r="6" spans="1:28" ht="13.5">
      <c r="A6" s="262"/>
      <c r="B6" s="262"/>
      <c r="C6" s="262"/>
      <c r="D6" s="262"/>
      <c r="E6" s="262"/>
      <c r="F6" s="262"/>
      <c r="G6" s="262"/>
      <c r="H6" s="262"/>
      <c r="I6" s="262"/>
      <c r="J6" s="262"/>
      <c r="K6" s="262"/>
      <c r="L6" s="262"/>
      <c r="M6" s="262"/>
      <c r="N6" s="262"/>
      <c r="O6" s="262"/>
      <c r="P6" s="262"/>
      <c r="Q6" s="262"/>
      <c r="R6" s="262"/>
      <c r="S6" s="262"/>
      <c r="T6" s="262"/>
      <c r="U6" s="262"/>
    </row>
    <row r="7" spans="1:28" ht="13.5">
      <c r="A7" s="262"/>
      <c r="B7" s="262"/>
      <c r="C7" s="262"/>
      <c r="D7" s="262"/>
      <c r="E7" s="262"/>
      <c r="F7" s="262"/>
      <c r="G7" s="262"/>
      <c r="H7" s="262"/>
      <c r="I7" s="262"/>
      <c r="J7" s="262"/>
      <c r="K7" s="262"/>
      <c r="L7" s="262"/>
      <c r="M7" s="262"/>
      <c r="N7" s="262"/>
      <c r="O7" s="262"/>
      <c r="P7" s="262"/>
      <c r="Q7" s="262"/>
      <c r="R7" s="262"/>
      <c r="S7" s="262"/>
      <c r="T7" s="262"/>
      <c r="U7" s="262"/>
      <c r="W7" s="264"/>
      <c r="X7" s="264"/>
      <c r="Y7" s="264"/>
      <c r="Z7" s="264"/>
      <c r="AA7" s="264"/>
      <c r="AB7" s="264"/>
    </row>
    <row r="8" spans="1:28" ht="13.5">
      <c r="A8" s="262"/>
      <c r="B8" s="262"/>
      <c r="C8" s="262"/>
      <c r="D8" s="262"/>
      <c r="E8" s="262"/>
      <c r="F8" s="262"/>
      <c r="G8" s="262"/>
      <c r="H8" s="262"/>
      <c r="I8" s="262"/>
      <c r="J8" s="262"/>
      <c r="K8" s="262"/>
      <c r="L8" s="262"/>
      <c r="M8" s="262"/>
      <c r="N8" s="262"/>
      <c r="O8" s="262"/>
      <c r="P8" s="262"/>
      <c r="Q8" s="262"/>
      <c r="R8" s="262"/>
      <c r="S8" s="262"/>
      <c r="T8" s="262"/>
      <c r="U8" s="262"/>
      <c r="W8" s="262"/>
      <c r="X8" s="262"/>
      <c r="Y8" s="262"/>
      <c r="Z8" s="262"/>
      <c r="AA8" s="262"/>
      <c r="AB8" s="262"/>
    </row>
    <row r="9" spans="1:28" ht="13.5">
      <c r="A9" s="262"/>
      <c r="B9" s="262"/>
      <c r="C9" s="262"/>
      <c r="D9" s="262"/>
      <c r="E9" s="262"/>
      <c r="F9" s="262"/>
      <c r="G9" s="262"/>
      <c r="H9" s="262"/>
      <c r="I9" s="262"/>
      <c r="J9" s="262"/>
      <c r="K9" s="262"/>
      <c r="L9" s="262"/>
      <c r="M9" s="262"/>
      <c r="N9" s="262"/>
      <c r="O9" s="262"/>
      <c r="P9" s="262"/>
      <c r="Q9" s="262"/>
      <c r="R9" s="262"/>
      <c r="S9" s="262"/>
      <c r="T9" s="262"/>
      <c r="U9" s="262"/>
      <c r="W9" s="265"/>
      <c r="X9" s="265"/>
      <c r="Y9" s="265"/>
      <c r="Z9" s="265"/>
      <c r="AA9" s="265"/>
      <c r="AB9" s="265"/>
    </row>
    <row r="10" spans="1:28" ht="13.5">
      <c r="A10" s="262"/>
      <c r="B10" s="262"/>
      <c r="C10" s="262"/>
      <c r="D10" s="262"/>
      <c r="E10" s="262"/>
      <c r="F10" s="262"/>
      <c r="G10" s="262"/>
      <c r="H10" s="262"/>
      <c r="I10" s="262"/>
      <c r="J10" s="262"/>
      <c r="K10" s="262"/>
      <c r="L10" s="262"/>
      <c r="M10" s="262"/>
      <c r="N10" s="262"/>
      <c r="O10" s="262"/>
      <c r="P10" s="262"/>
      <c r="Q10" s="262"/>
      <c r="R10" s="262"/>
      <c r="S10" s="262"/>
      <c r="T10" s="262"/>
      <c r="U10" s="262"/>
      <c r="W10" s="265"/>
      <c r="X10" s="265"/>
      <c r="Y10" s="265"/>
      <c r="Z10" s="265"/>
      <c r="AA10" s="265"/>
      <c r="AB10" s="265"/>
    </row>
    <row r="11" spans="1:28" ht="13.5">
      <c r="A11" s="262"/>
      <c r="B11" s="262"/>
      <c r="C11" s="262"/>
      <c r="D11" s="262"/>
      <c r="E11" s="262"/>
      <c r="F11" s="262"/>
      <c r="G11" s="262"/>
      <c r="H11" s="262"/>
      <c r="I11" s="262"/>
      <c r="J11" s="262"/>
      <c r="K11" s="262"/>
      <c r="L11" s="262"/>
      <c r="M11" s="262"/>
      <c r="N11" s="262"/>
      <c r="O11" s="262"/>
      <c r="P11" s="262"/>
      <c r="Q11" s="262"/>
      <c r="R11" s="262"/>
      <c r="S11" s="262"/>
      <c r="T11" s="262"/>
      <c r="U11" s="262"/>
      <c r="W11" s="262"/>
      <c r="X11" s="262"/>
      <c r="Y11" s="262"/>
      <c r="Z11" s="262"/>
      <c r="AA11" s="262"/>
      <c r="AB11" s="262"/>
    </row>
    <row r="12" spans="1:28" ht="13.5">
      <c r="A12" s="262"/>
      <c r="B12" s="262"/>
      <c r="C12" s="262"/>
      <c r="D12" s="262"/>
      <c r="E12" s="262"/>
      <c r="F12" s="262"/>
      <c r="G12" s="262"/>
      <c r="H12" s="262"/>
      <c r="I12" s="262"/>
      <c r="J12" s="262"/>
      <c r="K12" s="262"/>
      <c r="L12" s="262"/>
      <c r="M12" s="262"/>
      <c r="N12" s="262"/>
      <c r="O12" s="262"/>
      <c r="P12" s="262"/>
      <c r="Q12" s="262"/>
      <c r="R12" s="262"/>
      <c r="S12" s="262"/>
      <c r="T12" s="262"/>
      <c r="U12" s="262"/>
      <c r="W12" s="262"/>
      <c r="X12" s="262"/>
      <c r="Y12" s="262"/>
      <c r="Z12" s="262"/>
      <c r="AA12" s="262"/>
      <c r="AB12" s="262"/>
    </row>
    <row r="13" spans="1:28" ht="13.5">
      <c r="A13" s="262"/>
      <c r="B13" s="262"/>
      <c r="C13" s="262"/>
      <c r="D13" s="262"/>
      <c r="E13" s="262"/>
      <c r="F13" s="262"/>
      <c r="G13" s="262"/>
      <c r="H13" s="262"/>
      <c r="I13" s="262"/>
      <c r="J13" s="262"/>
      <c r="K13" s="262"/>
      <c r="L13" s="262"/>
      <c r="M13" s="262"/>
      <c r="N13" s="262"/>
      <c r="O13" s="262"/>
      <c r="P13" s="262"/>
      <c r="Q13" s="262"/>
      <c r="R13" s="262"/>
      <c r="S13" s="262"/>
      <c r="T13" s="262"/>
      <c r="U13" s="262"/>
      <c r="W13" s="262"/>
      <c r="X13" s="262"/>
      <c r="Y13" s="262"/>
      <c r="Z13" s="262"/>
      <c r="AA13" s="262"/>
      <c r="AB13" s="262"/>
    </row>
    <row r="14" spans="1:28" ht="13.5">
      <c r="A14" s="262"/>
      <c r="B14" s="262"/>
      <c r="C14" s="262"/>
      <c r="D14" s="262"/>
      <c r="E14" s="262"/>
      <c r="F14" s="262"/>
      <c r="G14" s="262"/>
      <c r="H14" s="262"/>
      <c r="I14" s="262"/>
      <c r="J14" s="262"/>
      <c r="K14" s="262"/>
      <c r="L14" s="262"/>
      <c r="M14" s="262"/>
      <c r="N14" s="262"/>
      <c r="O14" s="262"/>
      <c r="P14" s="262"/>
      <c r="Q14" s="262"/>
      <c r="R14" s="262"/>
      <c r="S14" s="262"/>
      <c r="T14" s="262"/>
      <c r="U14" s="262"/>
      <c r="W14" s="262"/>
      <c r="X14" s="262"/>
      <c r="Y14" s="262"/>
      <c r="Z14" s="262"/>
      <c r="AA14" s="262"/>
      <c r="AB14" s="262"/>
    </row>
    <row r="15" spans="1:28" ht="13.5">
      <c r="A15" s="262"/>
      <c r="B15" s="262"/>
      <c r="C15" s="262"/>
      <c r="D15" s="262"/>
      <c r="E15" s="262"/>
      <c r="F15" s="262"/>
      <c r="G15" s="262"/>
      <c r="H15" s="262"/>
      <c r="I15" s="262"/>
      <c r="J15" s="262"/>
      <c r="K15" s="262"/>
      <c r="L15" s="262"/>
      <c r="M15" s="262"/>
      <c r="N15" s="262"/>
      <c r="O15" s="262"/>
      <c r="P15" s="262"/>
      <c r="Q15" s="262"/>
      <c r="R15" s="262"/>
      <c r="S15" s="262"/>
      <c r="T15" s="262"/>
      <c r="U15" s="262"/>
      <c r="W15" s="265"/>
      <c r="X15" s="265"/>
      <c r="Y15" s="265"/>
      <c r="Z15" s="265"/>
      <c r="AA15" s="265"/>
      <c r="AB15" s="265"/>
    </row>
    <row r="16" spans="1:28" ht="13.5">
      <c r="A16" s="262"/>
      <c r="B16" s="262"/>
      <c r="C16" s="262"/>
      <c r="D16" s="262"/>
      <c r="E16" s="262"/>
      <c r="F16" s="262"/>
      <c r="G16" s="262"/>
      <c r="H16" s="262"/>
      <c r="I16" s="262"/>
      <c r="J16" s="262"/>
      <c r="K16" s="262"/>
      <c r="L16" s="262"/>
      <c r="M16" s="262"/>
      <c r="N16" s="262"/>
      <c r="O16" s="262"/>
    </row>
    <row r="17" spans="1:34" ht="13.5">
      <c r="A17" s="262"/>
      <c r="P17" s="262"/>
      <c r="W17" s="265"/>
      <c r="X17" s="265"/>
      <c r="Y17" s="265"/>
      <c r="Z17" s="265"/>
      <c r="AA17" s="265"/>
      <c r="AB17" s="265"/>
    </row>
    <row r="18" spans="1:34" ht="13.5">
      <c r="A18" s="262"/>
      <c r="B18" s="266">
        <v>1</v>
      </c>
      <c r="C18" s="903"/>
      <c r="D18" s="903"/>
      <c r="E18" s="903"/>
      <c r="F18" s="904"/>
      <c r="G18" s="265"/>
      <c r="H18" s="266">
        <v>2</v>
      </c>
      <c r="I18" s="903"/>
      <c r="J18" s="903"/>
      <c r="K18" s="903"/>
      <c r="L18" s="903"/>
      <c r="M18" s="904"/>
      <c r="N18" s="267"/>
      <c r="O18" s="267"/>
      <c r="P18" s="266">
        <v>9</v>
      </c>
      <c r="Q18" s="903"/>
      <c r="R18" s="903"/>
      <c r="S18" s="903"/>
      <c r="T18" s="903"/>
      <c r="U18" s="904"/>
      <c r="V18" s="265"/>
      <c r="W18" s="266">
        <f>1+P18</f>
        <v>10</v>
      </c>
      <c r="X18" s="903"/>
      <c r="Y18" s="903"/>
      <c r="Z18" s="903"/>
      <c r="AA18" s="903"/>
      <c r="AB18" s="904"/>
    </row>
    <row r="19" spans="1:34" ht="13.5">
      <c r="A19" s="262"/>
      <c r="B19" s="262"/>
      <c r="C19" s="262"/>
      <c r="D19" s="262"/>
      <c r="E19" s="262"/>
      <c r="F19" s="262"/>
      <c r="G19" s="262"/>
      <c r="H19" s="262"/>
      <c r="I19" s="262"/>
      <c r="J19" s="262"/>
      <c r="K19" s="262"/>
      <c r="L19" s="262"/>
      <c r="M19" s="262"/>
      <c r="N19" s="262"/>
      <c r="O19" s="262"/>
      <c r="P19" s="268"/>
      <c r="Q19" s="269"/>
      <c r="R19" s="269"/>
      <c r="S19" s="269"/>
      <c r="T19" s="269"/>
      <c r="U19" s="262"/>
      <c r="V19" s="268"/>
      <c r="W19" s="268"/>
      <c r="X19" s="268"/>
      <c r="Y19" s="269"/>
      <c r="Z19" s="269"/>
      <c r="AA19" s="269"/>
      <c r="AB19" s="269"/>
    </row>
    <row r="20" spans="1:34" ht="13.5">
      <c r="A20" s="262"/>
      <c r="B20" s="262"/>
      <c r="C20" s="262"/>
      <c r="D20" s="262"/>
      <c r="E20" s="262"/>
      <c r="F20" s="262"/>
      <c r="G20" s="262"/>
      <c r="H20" s="262"/>
      <c r="I20" s="262"/>
      <c r="J20" s="262"/>
      <c r="K20" s="262"/>
      <c r="L20" s="262"/>
      <c r="M20" s="262"/>
      <c r="N20" s="262"/>
      <c r="O20" s="262"/>
      <c r="P20" s="267"/>
      <c r="Q20" s="265"/>
      <c r="R20" s="265"/>
      <c r="S20" s="265"/>
      <c r="T20" s="265"/>
      <c r="U20" s="265"/>
      <c r="V20" s="265"/>
      <c r="W20" s="265"/>
      <c r="X20" s="265"/>
      <c r="Y20" s="265"/>
      <c r="Z20" s="265"/>
      <c r="AA20" s="265"/>
      <c r="AB20" s="265"/>
    </row>
    <row r="21" spans="1:34" ht="13.5">
      <c r="A21" s="262"/>
      <c r="B21" s="262"/>
      <c r="C21" s="262"/>
      <c r="D21" s="262"/>
      <c r="E21" s="262"/>
      <c r="F21" s="262"/>
      <c r="G21" s="262"/>
      <c r="H21" s="262"/>
      <c r="I21" s="262"/>
      <c r="J21" s="262"/>
      <c r="K21" s="262"/>
      <c r="L21" s="262"/>
      <c r="M21" s="262"/>
      <c r="N21" s="262"/>
      <c r="O21" s="262"/>
      <c r="P21" s="267"/>
      <c r="Q21" s="265"/>
      <c r="R21" s="265"/>
      <c r="S21" s="265"/>
      <c r="T21" s="265"/>
      <c r="U21" s="265"/>
      <c r="V21" s="265"/>
      <c r="W21" s="265"/>
      <c r="X21" s="265"/>
      <c r="Y21" s="265"/>
      <c r="Z21" s="265"/>
      <c r="AA21" s="265"/>
      <c r="AB21" s="265"/>
    </row>
    <row r="22" spans="1:34" ht="13.5">
      <c r="A22" s="262"/>
      <c r="B22" s="262"/>
      <c r="C22" s="262"/>
      <c r="D22" s="262"/>
      <c r="E22" s="262"/>
      <c r="F22" s="262"/>
      <c r="G22" s="262"/>
      <c r="H22" s="262"/>
      <c r="I22" s="262"/>
      <c r="J22" s="262"/>
      <c r="K22" s="262"/>
      <c r="L22" s="262"/>
      <c r="M22" s="262"/>
      <c r="N22" s="262"/>
      <c r="O22" s="262"/>
      <c r="P22" s="267"/>
      <c r="Q22" s="265"/>
      <c r="R22" s="265"/>
      <c r="S22" s="265"/>
      <c r="T22" s="265"/>
      <c r="U22" s="265"/>
      <c r="V22" s="265"/>
      <c r="W22" s="265"/>
      <c r="X22" s="265"/>
      <c r="Y22" s="265"/>
      <c r="Z22" s="265"/>
      <c r="AA22" s="265"/>
      <c r="AB22" s="265"/>
    </row>
    <row r="23" spans="1:34" ht="13.5">
      <c r="A23" s="262"/>
      <c r="B23" s="262"/>
      <c r="C23" s="262"/>
      <c r="D23" s="262"/>
      <c r="E23" s="262"/>
      <c r="F23" s="262"/>
      <c r="G23" s="262"/>
      <c r="H23" s="262"/>
      <c r="I23" s="262"/>
      <c r="J23" s="262"/>
      <c r="K23" s="262"/>
      <c r="L23" s="262"/>
      <c r="M23" s="262"/>
      <c r="N23" s="262"/>
      <c r="O23" s="262"/>
      <c r="P23" s="264"/>
      <c r="Q23" s="264"/>
      <c r="R23" s="264"/>
      <c r="S23" s="264"/>
      <c r="T23" s="264"/>
      <c r="U23" s="264"/>
      <c r="V23" s="264"/>
      <c r="W23" s="264"/>
      <c r="X23" s="264"/>
      <c r="Y23" s="264"/>
      <c r="Z23" s="264"/>
      <c r="AA23" s="264"/>
      <c r="AB23" s="264"/>
    </row>
    <row r="24" spans="1:34" ht="13.5">
      <c r="A24" s="262"/>
      <c r="P24" s="262"/>
      <c r="Q24" s="262"/>
      <c r="R24" s="262"/>
      <c r="S24" s="262"/>
      <c r="T24" s="262"/>
      <c r="U24" s="262"/>
      <c r="V24" s="262"/>
      <c r="W24" s="262"/>
      <c r="X24" s="262"/>
      <c r="Y24" s="262"/>
      <c r="Z24" s="262"/>
      <c r="AA24" s="262"/>
      <c r="AB24" s="262"/>
    </row>
    <row r="25" spans="1:34" ht="13.5">
      <c r="A25" s="262"/>
      <c r="B25" s="262"/>
      <c r="C25" s="262"/>
      <c r="D25" s="262"/>
      <c r="E25" s="262"/>
      <c r="F25" s="262"/>
      <c r="G25" s="262"/>
      <c r="H25" s="262"/>
      <c r="I25" s="262"/>
      <c r="J25" s="262"/>
      <c r="K25" s="262"/>
      <c r="L25" s="262"/>
      <c r="M25" s="262"/>
      <c r="N25" s="262"/>
      <c r="O25" s="262"/>
      <c r="P25" s="265"/>
      <c r="Q25" s="265"/>
      <c r="R25" s="265"/>
      <c r="S25" s="265"/>
      <c r="T25" s="265"/>
      <c r="U25" s="265"/>
      <c r="V25" s="265"/>
      <c r="W25" s="265"/>
      <c r="X25" s="265"/>
      <c r="Y25" s="265"/>
      <c r="Z25" s="265"/>
      <c r="AA25" s="265"/>
      <c r="AB25" s="265"/>
    </row>
    <row r="26" spans="1:34" ht="13.5">
      <c r="A26" s="262"/>
      <c r="B26" s="262"/>
      <c r="C26" s="262"/>
      <c r="D26" s="262"/>
      <c r="E26" s="262"/>
      <c r="F26" s="262"/>
      <c r="G26" s="262"/>
      <c r="H26" s="262"/>
      <c r="I26" s="262"/>
      <c r="J26" s="262"/>
      <c r="K26" s="262"/>
      <c r="L26" s="262"/>
      <c r="M26" s="262"/>
      <c r="N26" s="262"/>
      <c r="O26" s="262"/>
      <c r="P26" s="265"/>
      <c r="Q26" s="265"/>
      <c r="R26" s="265"/>
      <c r="S26" s="265"/>
      <c r="T26" s="265"/>
      <c r="U26" s="265"/>
      <c r="V26" s="265"/>
      <c r="W26" s="265"/>
      <c r="X26" s="265"/>
      <c r="Y26" s="265"/>
      <c r="Z26" s="265"/>
      <c r="AA26" s="265"/>
      <c r="AB26" s="265"/>
    </row>
    <row r="27" spans="1:34" ht="13.5">
      <c r="A27" s="268"/>
      <c r="B27" s="268"/>
      <c r="C27" s="269"/>
      <c r="D27" s="269"/>
      <c r="E27" s="269"/>
      <c r="F27" s="262"/>
      <c r="G27" s="268"/>
      <c r="H27" s="268"/>
      <c r="I27" s="268"/>
      <c r="J27" s="268"/>
      <c r="K27" s="269"/>
      <c r="L27" s="269"/>
      <c r="M27" s="269"/>
      <c r="N27" s="269"/>
      <c r="O27" s="269"/>
      <c r="P27" s="262"/>
      <c r="Q27" s="262"/>
      <c r="R27" s="262"/>
      <c r="S27" s="262"/>
      <c r="T27" s="262"/>
      <c r="U27" s="262"/>
      <c r="V27" s="262"/>
      <c r="W27" s="262"/>
      <c r="X27" s="262"/>
      <c r="Y27" s="262"/>
      <c r="Z27" s="262"/>
      <c r="AA27" s="262"/>
      <c r="AB27" s="262"/>
    </row>
    <row r="28" spans="1:34" ht="13.5">
      <c r="A28" s="268"/>
      <c r="B28" s="268"/>
      <c r="C28" s="269"/>
      <c r="D28" s="269"/>
      <c r="E28" s="269"/>
      <c r="F28" s="262"/>
      <c r="G28" s="268"/>
      <c r="H28" s="268"/>
      <c r="I28" s="268"/>
      <c r="J28" s="268"/>
      <c r="K28" s="269"/>
      <c r="L28" s="269"/>
      <c r="M28" s="269"/>
      <c r="N28" s="269"/>
      <c r="O28" s="269"/>
      <c r="P28" s="262"/>
      <c r="Q28" s="262"/>
      <c r="R28" s="262"/>
      <c r="S28" s="262"/>
      <c r="T28" s="262"/>
      <c r="U28" s="262"/>
      <c r="V28" s="262"/>
      <c r="W28" s="262"/>
      <c r="X28" s="262"/>
      <c r="Y28" s="262"/>
      <c r="Z28" s="262"/>
      <c r="AA28" s="262"/>
      <c r="AB28" s="262"/>
    </row>
    <row r="29" spans="1:34" ht="13.5">
      <c r="A29" s="262"/>
      <c r="B29" s="267"/>
      <c r="C29" s="265"/>
      <c r="D29" s="265"/>
      <c r="E29" s="265"/>
      <c r="F29" s="265"/>
      <c r="G29" s="265"/>
      <c r="H29" s="265"/>
      <c r="I29" s="265"/>
      <c r="J29" s="265"/>
      <c r="K29" s="265"/>
      <c r="L29" s="265"/>
      <c r="M29" s="265"/>
      <c r="N29" s="265"/>
      <c r="O29" s="265"/>
      <c r="P29" s="262"/>
      <c r="Q29" s="262"/>
      <c r="R29" s="262"/>
      <c r="S29" s="262"/>
      <c r="T29" s="262"/>
      <c r="U29" s="262"/>
      <c r="V29" s="262"/>
      <c r="W29" s="262"/>
      <c r="X29" s="262"/>
      <c r="Y29" s="262"/>
      <c r="Z29" s="262"/>
      <c r="AA29" s="262"/>
      <c r="AB29" s="262"/>
    </row>
    <row r="30" spans="1:34" ht="13.5">
      <c r="A30" s="270"/>
      <c r="B30" s="264"/>
      <c r="C30" s="264"/>
      <c r="D30" s="264"/>
      <c r="E30" s="264"/>
      <c r="F30" s="264"/>
      <c r="G30" s="264"/>
      <c r="H30" s="264"/>
      <c r="I30" s="264"/>
      <c r="J30" s="264"/>
      <c r="K30" s="264"/>
      <c r="L30" s="264"/>
      <c r="M30" s="264"/>
      <c r="N30" s="264"/>
      <c r="O30" s="264"/>
      <c r="P30" s="262"/>
      <c r="Q30" s="262"/>
      <c r="R30" s="262"/>
      <c r="S30" s="262"/>
      <c r="T30" s="262"/>
      <c r="U30" s="262"/>
      <c r="V30" s="262"/>
      <c r="W30" s="262"/>
      <c r="X30" s="262"/>
      <c r="Y30" s="262"/>
      <c r="Z30" s="262"/>
      <c r="AA30" s="262"/>
      <c r="AB30" s="262"/>
    </row>
    <row r="31" spans="1:34" ht="13.5">
      <c r="A31" s="262"/>
      <c r="B31" s="262"/>
      <c r="C31" s="262"/>
      <c r="D31" s="262"/>
      <c r="E31" s="262"/>
      <c r="F31" s="262"/>
      <c r="G31" s="262"/>
      <c r="H31" s="262"/>
      <c r="I31" s="262"/>
      <c r="J31" s="262"/>
      <c r="K31" s="262"/>
      <c r="L31" s="262"/>
      <c r="M31" s="262"/>
      <c r="N31" s="262"/>
      <c r="O31" s="262"/>
      <c r="P31" s="267"/>
      <c r="Q31" s="265"/>
      <c r="R31" s="265"/>
      <c r="S31" s="265"/>
      <c r="T31" s="265"/>
      <c r="U31" s="265"/>
      <c r="V31" s="265"/>
      <c r="W31" s="265"/>
      <c r="X31" s="265"/>
      <c r="Y31" s="265"/>
      <c r="Z31" s="265"/>
      <c r="AA31" s="265"/>
      <c r="AB31" s="265"/>
    </row>
    <row r="32" spans="1:34" ht="13.5" customHeight="1">
      <c r="A32" s="265"/>
      <c r="B32" s="265"/>
      <c r="C32" s="265"/>
      <c r="D32" s="265"/>
      <c r="E32" s="265"/>
      <c r="F32" s="265"/>
      <c r="G32" s="265"/>
      <c r="H32" s="265"/>
      <c r="I32" s="265"/>
      <c r="J32" s="265"/>
      <c r="K32" s="265"/>
      <c r="L32" s="265"/>
      <c r="M32" s="265"/>
      <c r="N32" s="265"/>
      <c r="O32" s="265"/>
      <c r="AC32" s="268"/>
      <c r="AD32" s="269"/>
      <c r="AE32" s="271"/>
      <c r="AF32" s="271"/>
      <c r="AG32" s="271"/>
      <c r="AH32" s="271"/>
    </row>
    <row r="33" spans="1:34" ht="13.5" customHeight="1">
      <c r="A33" s="265"/>
      <c r="P33" s="267"/>
      <c r="Q33" s="265"/>
      <c r="R33" s="265"/>
      <c r="S33" s="265"/>
      <c r="T33" s="265"/>
      <c r="U33" s="265"/>
      <c r="V33" s="265"/>
      <c r="W33" s="265"/>
      <c r="X33" s="265"/>
      <c r="Y33" s="265"/>
      <c r="Z33" s="265"/>
      <c r="AA33" s="265"/>
      <c r="AB33" s="265"/>
      <c r="AC33" s="268"/>
      <c r="AD33" s="271"/>
      <c r="AE33" s="271"/>
      <c r="AF33" s="271"/>
      <c r="AG33" s="271"/>
      <c r="AH33" s="271"/>
    </row>
    <row r="34" spans="1:34" ht="13.5">
      <c r="A34" s="262"/>
      <c r="B34" s="266">
        <v>3</v>
      </c>
      <c r="C34" s="903"/>
      <c r="D34" s="903"/>
      <c r="E34" s="903"/>
      <c r="F34" s="904"/>
      <c r="G34" s="265"/>
      <c r="H34" s="266">
        <v>4</v>
      </c>
      <c r="I34" s="903"/>
      <c r="J34" s="903"/>
      <c r="K34" s="903"/>
      <c r="L34" s="903"/>
      <c r="M34" s="904"/>
      <c r="N34" s="267"/>
      <c r="O34" s="267"/>
      <c r="P34" s="266">
        <f>1+W18</f>
        <v>11</v>
      </c>
      <c r="Q34" s="903"/>
      <c r="R34" s="903"/>
      <c r="S34" s="903"/>
      <c r="T34" s="903"/>
      <c r="U34" s="904"/>
      <c r="V34" s="265"/>
      <c r="W34" s="266">
        <f>1+P34</f>
        <v>12</v>
      </c>
      <c r="X34" s="903"/>
      <c r="Y34" s="903"/>
      <c r="Z34" s="903"/>
      <c r="AA34" s="903"/>
      <c r="AB34" s="904"/>
    </row>
    <row r="35" spans="1:34" ht="13.5">
      <c r="A35" s="262"/>
      <c r="B35" s="262"/>
      <c r="C35" s="262"/>
      <c r="D35" s="262"/>
      <c r="E35" s="262"/>
      <c r="F35" s="262"/>
      <c r="G35" s="262"/>
      <c r="H35" s="262"/>
      <c r="I35" s="262"/>
      <c r="J35" s="262"/>
      <c r="K35" s="262"/>
      <c r="L35" s="262"/>
      <c r="M35" s="262"/>
      <c r="N35" s="262"/>
      <c r="O35" s="262"/>
      <c r="P35" s="268"/>
      <c r="Q35" s="268"/>
      <c r="R35" s="269"/>
      <c r="S35" s="269"/>
      <c r="T35" s="269"/>
      <c r="U35" s="269"/>
      <c r="V35" s="265"/>
      <c r="W35" s="268"/>
      <c r="X35" s="268"/>
      <c r="Y35" s="269"/>
      <c r="Z35" s="269"/>
      <c r="AA35" s="269"/>
      <c r="AB35" s="269"/>
    </row>
    <row r="36" spans="1:34" ht="13.5">
      <c r="A36" s="262"/>
      <c r="B36" s="262"/>
      <c r="C36" s="262"/>
      <c r="D36" s="262"/>
      <c r="E36" s="262"/>
      <c r="F36" s="262"/>
      <c r="G36" s="262"/>
      <c r="H36" s="262"/>
      <c r="I36" s="262"/>
      <c r="J36" s="262"/>
      <c r="K36" s="262"/>
      <c r="L36" s="262"/>
      <c r="M36" s="262"/>
      <c r="N36" s="262"/>
      <c r="O36" s="262"/>
      <c r="V36" s="262"/>
    </row>
    <row r="37" spans="1:34" ht="13.5">
      <c r="A37" s="262"/>
      <c r="B37" s="262"/>
      <c r="C37" s="262"/>
      <c r="D37" s="262"/>
      <c r="E37" s="262"/>
      <c r="F37" s="262"/>
      <c r="G37" s="262"/>
      <c r="H37" s="262"/>
      <c r="I37" s="262"/>
      <c r="J37" s="262"/>
      <c r="K37" s="262"/>
      <c r="L37" s="262"/>
      <c r="M37" s="262"/>
      <c r="N37" s="262"/>
      <c r="O37" s="262"/>
      <c r="V37" s="262"/>
    </row>
    <row r="38" spans="1:34" ht="13.5">
      <c r="A38" s="262"/>
      <c r="B38" s="262"/>
      <c r="C38" s="262"/>
      <c r="D38" s="262"/>
      <c r="E38" s="262"/>
      <c r="F38" s="262"/>
      <c r="G38" s="262"/>
      <c r="H38" s="262"/>
      <c r="I38" s="262"/>
      <c r="J38" s="262"/>
      <c r="K38" s="262"/>
      <c r="L38" s="262"/>
      <c r="M38" s="262"/>
      <c r="N38" s="262"/>
      <c r="O38" s="262"/>
      <c r="V38" s="262"/>
    </row>
    <row r="39" spans="1:34" ht="13.5">
      <c r="A39" s="262"/>
      <c r="B39" s="262"/>
      <c r="C39" s="262"/>
      <c r="D39" s="262"/>
      <c r="E39" s="262"/>
      <c r="F39" s="262"/>
      <c r="G39" s="262"/>
      <c r="H39" s="262"/>
      <c r="I39" s="262"/>
      <c r="J39" s="262"/>
      <c r="K39" s="262"/>
      <c r="L39" s="262"/>
      <c r="M39" s="262"/>
      <c r="N39" s="262"/>
      <c r="O39" s="262"/>
      <c r="T39" s="265"/>
      <c r="U39" s="265"/>
      <c r="V39" s="265"/>
      <c r="W39" s="265"/>
      <c r="X39" s="265"/>
      <c r="Y39" s="265"/>
    </row>
    <row r="40" spans="1:34" ht="13.5">
      <c r="A40" s="262"/>
      <c r="B40" s="267"/>
      <c r="C40" s="265"/>
      <c r="D40" s="265"/>
      <c r="E40" s="265"/>
      <c r="F40" s="265"/>
      <c r="G40" s="265"/>
      <c r="H40" s="265"/>
      <c r="I40" s="265"/>
      <c r="J40" s="265"/>
      <c r="K40" s="265"/>
      <c r="L40" s="265"/>
      <c r="M40" s="265"/>
      <c r="N40" s="265"/>
      <c r="O40" s="265"/>
      <c r="T40" s="264"/>
      <c r="U40" s="264"/>
      <c r="V40" s="264"/>
      <c r="W40" s="264"/>
      <c r="X40" s="264"/>
      <c r="Y40" s="264"/>
    </row>
    <row r="41" spans="1:34" ht="13.5">
      <c r="A41" s="262"/>
      <c r="G41" s="265"/>
      <c r="T41" s="262"/>
      <c r="U41" s="262"/>
      <c r="V41" s="262"/>
      <c r="W41" s="262"/>
      <c r="X41" s="262"/>
      <c r="Y41" s="262"/>
    </row>
    <row r="42" spans="1:34" ht="13.5">
      <c r="A42" s="262"/>
      <c r="B42" s="267"/>
      <c r="C42" s="265"/>
      <c r="D42" s="265"/>
      <c r="E42" s="265"/>
      <c r="L42" s="265"/>
      <c r="M42" s="265"/>
      <c r="N42" s="265"/>
      <c r="O42" s="265"/>
      <c r="T42" s="265"/>
      <c r="U42" s="265"/>
      <c r="V42" s="265"/>
      <c r="W42" s="265"/>
      <c r="X42" s="265"/>
      <c r="Y42" s="265"/>
    </row>
    <row r="43" spans="1:34" ht="13.5">
      <c r="A43" s="262"/>
      <c r="T43" s="265"/>
      <c r="U43" s="265"/>
      <c r="V43" s="265"/>
      <c r="W43" s="265"/>
      <c r="X43" s="265"/>
      <c r="Y43" s="265"/>
    </row>
    <row r="44" spans="1:34" ht="13.5">
      <c r="A44" s="262"/>
      <c r="B44" s="267"/>
      <c r="C44" s="265"/>
      <c r="D44" s="265"/>
      <c r="E44" s="265"/>
      <c r="F44" s="265"/>
      <c r="G44" s="265"/>
      <c r="H44" s="265"/>
      <c r="I44" s="265"/>
      <c r="J44" s="265"/>
      <c r="K44" s="265"/>
      <c r="L44" s="265"/>
      <c r="M44" s="265"/>
      <c r="N44" s="265"/>
      <c r="O44" s="265"/>
      <c r="T44" s="262"/>
      <c r="U44" s="262"/>
      <c r="V44" s="262"/>
      <c r="W44" s="262"/>
      <c r="X44" s="262"/>
      <c r="Y44" s="262"/>
    </row>
    <row r="45" spans="1:34" ht="13.5">
      <c r="A45" s="262"/>
      <c r="B45" s="262"/>
      <c r="C45" s="262"/>
      <c r="D45" s="262"/>
      <c r="E45" s="262"/>
      <c r="F45" s="262"/>
      <c r="G45" s="262"/>
      <c r="H45" s="262"/>
      <c r="I45" s="262"/>
      <c r="J45" s="262"/>
      <c r="K45" s="262"/>
      <c r="L45" s="262"/>
      <c r="M45" s="262"/>
      <c r="N45" s="262"/>
      <c r="O45" s="262"/>
      <c r="T45" s="262"/>
      <c r="U45" s="262"/>
      <c r="V45" s="262"/>
      <c r="W45" s="262"/>
      <c r="X45" s="262"/>
      <c r="Y45" s="262"/>
    </row>
    <row r="46" spans="1:34" ht="13.5">
      <c r="A46" s="262"/>
      <c r="B46" s="262"/>
      <c r="C46" s="262"/>
      <c r="D46" s="262"/>
      <c r="E46" s="262"/>
      <c r="F46" s="262"/>
      <c r="G46" s="262"/>
      <c r="H46" s="262"/>
      <c r="I46" s="262"/>
      <c r="J46" s="262"/>
      <c r="K46" s="262"/>
      <c r="L46" s="262"/>
      <c r="M46" s="262"/>
      <c r="N46" s="262"/>
      <c r="O46" s="262"/>
      <c r="T46" s="262"/>
      <c r="U46" s="262"/>
      <c r="V46" s="262"/>
      <c r="W46" s="262"/>
      <c r="X46" s="262"/>
      <c r="Y46" s="262"/>
    </row>
    <row r="47" spans="1:34" ht="13.5">
      <c r="A47" s="262"/>
      <c r="B47" s="262"/>
      <c r="C47" s="262"/>
      <c r="D47" s="262"/>
      <c r="E47" s="262"/>
      <c r="F47" s="262"/>
      <c r="G47" s="262"/>
      <c r="H47" s="262"/>
      <c r="I47" s="262"/>
      <c r="J47" s="262"/>
      <c r="K47" s="262"/>
      <c r="L47" s="262"/>
      <c r="M47" s="262"/>
      <c r="N47" s="262"/>
      <c r="O47" s="262"/>
      <c r="T47" s="262"/>
      <c r="U47" s="262"/>
      <c r="V47" s="262"/>
      <c r="W47" s="262"/>
      <c r="X47" s="262"/>
      <c r="Y47" s="262"/>
    </row>
    <row r="48" spans="1:34" ht="13.5">
      <c r="A48" s="262"/>
      <c r="B48" s="262"/>
      <c r="C48" s="262"/>
      <c r="D48" s="262"/>
      <c r="E48" s="262"/>
      <c r="L48" s="262"/>
      <c r="M48" s="262"/>
      <c r="N48" s="262"/>
      <c r="O48" s="262"/>
      <c r="T48" s="265"/>
      <c r="U48" s="265"/>
      <c r="V48" s="265"/>
      <c r="W48" s="265"/>
      <c r="X48" s="265"/>
      <c r="Y48" s="265"/>
    </row>
    <row r="49" spans="1:28" ht="13.5">
      <c r="A49" s="262"/>
    </row>
    <row r="50" spans="1:28" ht="13.5">
      <c r="A50" s="262"/>
      <c r="B50" s="262"/>
      <c r="C50" s="262"/>
      <c r="D50" s="262"/>
      <c r="E50" s="262"/>
      <c r="F50" s="262"/>
      <c r="G50" s="262"/>
      <c r="H50" s="262"/>
      <c r="I50" s="262"/>
      <c r="J50" s="262"/>
      <c r="K50" s="262"/>
      <c r="L50" s="262"/>
      <c r="M50" s="262"/>
      <c r="N50" s="262"/>
      <c r="O50" s="262"/>
      <c r="T50" s="265"/>
      <c r="U50" s="265"/>
      <c r="V50" s="265"/>
      <c r="W50" s="265"/>
      <c r="X50" s="265"/>
      <c r="Y50" s="265"/>
    </row>
    <row r="51" spans="1:28" ht="13.5">
      <c r="A51" s="262"/>
      <c r="B51" s="266">
        <v>5</v>
      </c>
      <c r="C51" s="903"/>
      <c r="D51" s="903"/>
      <c r="E51" s="903"/>
      <c r="F51" s="904"/>
      <c r="G51" s="265"/>
      <c r="H51" s="266">
        <v>6</v>
      </c>
      <c r="I51" s="903"/>
      <c r="J51" s="903"/>
      <c r="K51" s="903"/>
      <c r="L51" s="903"/>
      <c r="M51" s="904"/>
      <c r="N51" s="267"/>
      <c r="O51" s="267"/>
      <c r="P51" s="266">
        <f>1+W34</f>
        <v>13</v>
      </c>
      <c r="Q51" s="903"/>
      <c r="R51" s="903"/>
      <c r="S51" s="903"/>
      <c r="T51" s="903"/>
      <c r="U51" s="904"/>
      <c r="V51" s="265"/>
      <c r="W51" s="266">
        <f>1+P51</f>
        <v>14</v>
      </c>
      <c r="X51" s="903"/>
      <c r="Y51" s="903"/>
      <c r="Z51" s="903"/>
      <c r="AA51" s="903"/>
      <c r="AB51" s="904"/>
    </row>
    <row r="52" spans="1:28" ht="13.5">
      <c r="A52" s="262"/>
      <c r="B52" s="262"/>
      <c r="C52" s="262"/>
      <c r="D52" s="262"/>
      <c r="E52" s="262"/>
      <c r="F52" s="262"/>
      <c r="G52" s="262"/>
      <c r="H52" s="262"/>
      <c r="I52" s="262"/>
      <c r="J52" s="262"/>
      <c r="K52" s="262"/>
      <c r="L52" s="262"/>
      <c r="M52" s="262"/>
      <c r="N52" s="262"/>
      <c r="O52" s="262"/>
      <c r="T52" s="262"/>
      <c r="U52" s="262"/>
      <c r="V52" s="262"/>
      <c r="W52" s="262"/>
      <c r="X52" s="262"/>
      <c r="Y52" s="262"/>
    </row>
    <row r="53" spans="1:28" ht="13.5">
      <c r="A53" s="262"/>
      <c r="B53" s="262"/>
      <c r="C53" s="262"/>
      <c r="D53" s="262"/>
      <c r="E53" s="262"/>
      <c r="F53" s="262"/>
      <c r="G53" s="262"/>
      <c r="H53" s="262"/>
      <c r="I53" s="262"/>
      <c r="J53" s="262"/>
      <c r="K53" s="262"/>
      <c r="L53" s="262"/>
      <c r="M53" s="262"/>
      <c r="N53" s="262"/>
      <c r="O53" s="262"/>
    </row>
    <row r="54" spans="1:28" ht="13.5">
      <c r="A54" s="262"/>
      <c r="B54" s="262"/>
      <c r="C54" s="262"/>
      <c r="D54" s="262"/>
      <c r="E54" s="262"/>
      <c r="F54" s="262"/>
      <c r="G54" s="262"/>
      <c r="H54" s="262"/>
      <c r="I54" s="262"/>
      <c r="J54" s="262"/>
      <c r="K54" s="262"/>
      <c r="L54" s="262"/>
      <c r="M54" s="262"/>
      <c r="N54" s="262"/>
      <c r="O54" s="262"/>
    </row>
    <row r="55" spans="1:28" ht="13.5">
      <c r="A55" s="262"/>
      <c r="B55" s="262"/>
      <c r="C55" s="262"/>
      <c r="D55" s="262"/>
      <c r="E55" s="262"/>
      <c r="F55" s="262"/>
      <c r="G55" s="262"/>
      <c r="H55" s="262"/>
      <c r="I55" s="262"/>
      <c r="J55" s="262"/>
      <c r="K55" s="262"/>
      <c r="L55" s="262"/>
      <c r="M55" s="262"/>
      <c r="N55" s="262"/>
      <c r="O55" s="262"/>
    </row>
    <row r="56" spans="1:28" ht="13.5">
      <c r="A56" s="262"/>
      <c r="B56" s="262"/>
      <c r="C56" s="262"/>
      <c r="D56" s="262"/>
      <c r="E56" s="262"/>
      <c r="F56" s="262"/>
      <c r="G56" s="262"/>
      <c r="H56" s="262"/>
      <c r="I56" s="262"/>
      <c r="J56" s="262"/>
      <c r="K56" s="262"/>
      <c r="L56" s="262"/>
      <c r="M56" s="262"/>
      <c r="N56" s="262"/>
      <c r="O56" s="262"/>
    </row>
    <row r="57" spans="1:28" ht="13.5">
      <c r="A57" s="268"/>
      <c r="B57" s="268"/>
      <c r="C57" s="269"/>
      <c r="D57" s="269"/>
      <c r="E57" s="269"/>
      <c r="F57" s="262"/>
      <c r="G57" s="268"/>
      <c r="H57" s="268"/>
      <c r="I57" s="268"/>
      <c r="J57" s="268"/>
      <c r="K57" s="269"/>
      <c r="L57" s="269"/>
      <c r="M57" s="269"/>
      <c r="N57" s="269"/>
      <c r="O57" s="269"/>
    </row>
    <row r="58" spans="1:28" ht="13.5">
      <c r="A58" s="268"/>
      <c r="B58" s="268"/>
      <c r="C58" s="269"/>
      <c r="D58" s="269"/>
      <c r="E58" s="269"/>
      <c r="F58" s="262"/>
      <c r="G58" s="268"/>
      <c r="H58" s="268"/>
      <c r="I58" s="268"/>
      <c r="J58" s="268"/>
      <c r="K58" s="269"/>
      <c r="L58" s="269"/>
      <c r="M58" s="269"/>
      <c r="N58" s="269"/>
      <c r="O58" s="269"/>
    </row>
    <row r="59" spans="1:28" ht="15">
      <c r="A59" s="262"/>
      <c r="B59" s="262"/>
      <c r="C59" s="262"/>
      <c r="D59" s="262"/>
      <c r="E59" s="262"/>
      <c r="F59" s="262"/>
      <c r="G59" s="262"/>
      <c r="H59" s="262"/>
      <c r="I59" s="262"/>
      <c r="J59" s="262"/>
      <c r="K59" s="262"/>
      <c r="L59" s="262"/>
      <c r="M59" s="262"/>
      <c r="N59" s="262"/>
      <c r="O59" s="262"/>
      <c r="S59" s="271"/>
      <c r="T59" s="271"/>
      <c r="U59" s="271"/>
      <c r="V59" s="271"/>
      <c r="W59" s="271"/>
      <c r="X59" s="271"/>
    </row>
    <row r="60" spans="1:28" ht="15">
      <c r="A60" s="262"/>
      <c r="B60" s="262"/>
      <c r="C60" s="262"/>
      <c r="D60" s="262"/>
      <c r="E60" s="265"/>
      <c r="F60" s="265"/>
      <c r="G60" s="265"/>
      <c r="H60" s="265"/>
      <c r="I60" s="265"/>
      <c r="J60" s="265"/>
      <c r="K60" s="265"/>
      <c r="L60" s="262"/>
      <c r="M60" s="262"/>
      <c r="N60" s="262"/>
      <c r="O60" s="262"/>
      <c r="S60" s="271"/>
      <c r="T60" s="271"/>
      <c r="U60" s="271"/>
      <c r="V60" s="271"/>
      <c r="W60" s="271"/>
      <c r="X60" s="271"/>
    </row>
    <row r="61" spans="1:28" ht="13.5">
      <c r="A61" s="270"/>
    </row>
    <row r="62" spans="1:28" ht="13.5">
      <c r="A62" s="262"/>
    </row>
    <row r="63" spans="1:28" ht="13.5">
      <c r="A63" s="265"/>
      <c r="B63" s="267"/>
      <c r="C63" s="265"/>
      <c r="D63" s="265"/>
      <c r="E63" s="265"/>
      <c r="L63" s="265"/>
      <c r="M63" s="265"/>
      <c r="N63" s="265"/>
      <c r="O63" s="265"/>
    </row>
    <row r="64" spans="1:28" ht="13.5">
      <c r="A64" s="265"/>
      <c r="B64" s="267"/>
      <c r="C64" s="265"/>
      <c r="D64" s="265"/>
      <c r="E64" s="265"/>
      <c r="F64" s="265"/>
      <c r="G64" s="265"/>
      <c r="H64" s="265"/>
      <c r="I64" s="265"/>
      <c r="J64" s="265"/>
      <c r="K64" s="265"/>
      <c r="L64" s="265"/>
      <c r="M64" s="265"/>
      <c r="N64" s="265"/>
      <c r="O64" s="265"/>
    </row>
    <row r="65" spans="1:28" ht="13.5">
      <c r="A65" s="265"/>
    </row>
    <row r="66" spans="1:28" ht="13.5" customHeight="1">
      <c r="A66" s="265"/>
      <c r="B66" s="265"/>
      <c r="C66" s="265"/>
      <c r="D66" s="265"/>
      <c r="E66" s="265"/>
      <c r="F66" s="265"/>
      <c r="G66" s="265"/>
      <c r="H66" s="265"/>
      <c r="I66" s="265"/>
      <c r="J66" s="265"/>
      <c r="K66" s="265"/>
      <c r="L66" s="265"/>
      <c r="M66" s="265"/>
      <c r="N66" s="265"/>
      <c r="O66" s="265"/>
    </row>
    <row r="67" spans="1:28" ht="13.5" customHeight="1">
      <c r="A67" s="265"/>
      <c r="B67" s="266">
        <v>7</v>
      </c>
      <c r="C67" s="903"/>
      <c r="D67" s="903"/>
      <c r="E67" s="903"/>
      <c r="F67" s="904"/>
      <c r="G67" s="265"/>
      <c r="H67" s="266">
        <v>8</v>
      </c>
      <c r="I67" s="903"/>
      <c r="J67" s="903"/>
      <c r="K67" s="903"/>
      <c r="L67" s="903"/>
      <c r="M67" s="904"/>
      <c r="N67" s="267"/>
      <c r="O67" s="267"/>
      <c r="P67" s="266">
        <f>1+W51</f>
        <v>15</v>
      </c>
      <c r="Q67" s="903"/>
      <c r="R67" s="903"/>
      <c r="S67" s="903"/>
      <c r="T67" s="903"/>
      <c r="U67" s="904"/>
      <c r="V67" s="265"/>
      <c r="W67" s="266">
        <f>1+P67</f>
        <v>16</v>
      </c>
      <c r="X67" s="903"/>
      <c r="Y67" s="903"/>
      <c r="Z67" s="903"/>
      <c r="AA67" s="903"/>
      <c r="AB67" s="904"/>
    </row>
    <row r="68" spans="1:28" ht="13.5">
      <c r="A68" s="265"/>
      <c r="B68" s="267"/>
      <c r="C68" s="265"/>
      <c r="D68" s="265"/>
      <c r="E68" s="265"/>
      <c r="F68" s="265"/>
      <c r="G68" s="265"/>
      <c r="H68" s="265"/>
      <c r="I68" s="265"/>
      <c r="J68" s="265"/>
      <c r="K68" s="265"/>
      <c r="L68" s="265"/>
      <c r="M68" s="265"/>
      <c r="N68" s="265"/>
      <c r="O68" s="265"/>
    </row>
    <row r="69" spans="1:28" ht="13.5">
      <c r="A69" s="265"/>
      <c r="B69" s="267"/>
      <c r="C69" s="265"/>
      <c r="D69" s="265"/>
      <c r="E69" s="265"/>
      <c r="F69" s="265"/>
      <c r="G69" s="265"/>
      <c r="H69" s="265"/>
      <c r="I69" s="265"/>
      <c r="J69" s="265"/>
      <c r="K69" s="265"/>
      <c r="L69" s="265"/>
      <c r="M69" s="265"/>
      <c r="N69" s="265"/>
      <c r="O69" s="265"/>
    </row>
    <row r="70" spans="1:28" ht="13.5">
      <c r="A70" s="265"/>
      <c r="B70" s="267"/>
      <c r="C70" s="265"/>
      <c r="D70" s="265"/>
      <c r="E70" s="265"/>
      <c r="F70" s="265"/>
      <c r="G70" s="265"/>
      <c r="H70" s="265"/>
      <c r="I70" s="265"/>
      <c r="J70" s="265"/>
      <c r="K70" s="265"/>
      <c r="L70" s="265"/>
      <c r="M70" s="265"/>
      <c r="N70" s="265"/>
      <c r="O70" s="265"/>
    </row>
    <row r="71" spans="1:28" ht="13.5">
      <c r="A71" s="265"/>
      <c r="B71" s="267"/>
      <c r="C71" s="265"/>
      <c r="D71" s="265"/>
      <c r="E71" s="265"/>
      <c r="F71" s="265"/>
      <c r="G71" s="265"/>
      <c r="H71" s="265"/>
      <c r="I71" s="265"/>
      <c r="J71" s="265"/>
      <c r="K71" s="265"/>
      <c r="L71" s="265"/>
      <c r="M71" s="265"/>
      <c r="N71" s="265"/>
      <c r="O71" s="265"/>
    </row>
    <row r="72" spans="1:28" ht="13.5">
      <c r="A72" s="265"/>
      <c r="B72" s="267"/>
      <c r="C72" s="265"/>
      <c r="D72" s="265"/>
      <c r="E72" s="265"/>
      <c r="F72" s="265"/>
      <c r="G72" s="265"/>
      <c r="H72" s="265"/>
      <c r="I72" s="265"/>
      <c r="J72" s="265"/>
      <c r="K72" s="265"/>
      <c r="L72" s="265"/>
      <c r="M72" s="265"/>
      <c r="N72" s="265"/>
      <c r="O72" s="265"/>
    </row>
    <row r="73" spans="1:28" ht="13.5">
      <c r="A73" s="265"/>
      <c r="B73" s="267"/>
      <c r="C73" s="265"/>
      <c r="D73" s="265"/>
      <c r="E73" s="265"/>
      <c r="F73" s="265"/>
      <c r="G73" s="265"/>
      <c r="H73" s="265"/>
      <c r="I73" s="265"/>
      <c r="J73" s="265"/>
      <c r="K73" s="265"/>
      <c r="L73" s="265"/>
      <c r="M73" s="265"/>
      <c r="N73" s="265"/>
      <c r="O73" s="265"/>
    </row>
    <row r="74" spans="1:28" ht="13.5">
      <c r="A74" s="265"/>
      <c r="B74" s="267"/>
      <c r="C74" s="265"/>
      <c r="D74" s="265"/>
      <c r="E74" s="265"/>
      <c r="F74" s="265"/>
      <c r="G74" s="265"/>
      <c r="H74" s="265"/>
      <c r="I74" s="265"/>
      <c r="J74" s="265"/>
      <c r="K74" s="265"/>
      <c r="L74" s="265"/>
      <c r="M74" s="265"/>
      <c r="N74" s="265"/>
      <c r="O74" s="265"/>
    </row>
    <row r="75" spans="1:28" ht="13.5">
      <c r="A75" s="265"/>
      <c r="B75" s="267"/>
      <c r="C75" s="265"/>
      <c r="D75" s="265"/>
      <c r="E75" s="265"/>
      <c r="F75" s="265"/>
      <c r="G75" s="265"/>
      <c r="H75" s="265"/>
      <c r="I75" s="265"/>
      <c r="J75" s="265"/>
      <c r="K75" s="265"/>
      <c r="L75" s="265"/>
      <c r="M75" s="265"/>
      <c r="N75" s="265"/>
      <c r="O75" s="265"/>
    </row>
    <row r="76" spans="1:28" ht="13.5">
      <c r="A76" s="265"/>
      <c r="B76" s="267"/>
      <c r="C76" s="265"/>
      <c r="D76" s="265"/>
      <c r="E76" s="265"/>
      <c r="F76" s="265"/>
      <c r="G76" s="265"/>
      <c r="H76" s="265"/>
      <c r="I76" s="265"/>
      <c r="J76" s="265"/>
      <c r="K76" s="265"/>
      <c r="L76" s="265"/>
      <c r="M76" s="265"/>
      <c r="N76" s="265"/>
      <c r="O76" s="265"/>
    </row>
    <row r="77" spans="1:28" ht="13.5">
      <c r="A77" s="265"/>
      <c r="B77" s="267"/>
      <c r="C77" s="265"/>
      <c r="D77" s="265"/>
      <c r="E77" s="265"/>
      <c r="F77" s="265"/>
      <c r="G77" s="265"/>
      <c r="H77" s="265"/>
      <c r="I77" s="265"/>
      <c r="J77" s="265"/>
      <c r="K77" s="265"/>
      <c r="L77" s="265"/>
      <c r="M77" s="265"/>
      <c r="N77" s="265"/>
      <c r="O77" s="265"/>
    </row>
    <row r="78" spans="1:28" ht="13.5">
      <c r="A78" s="265"/>
      <c r="B78" s="267"/>
      <c r="C78" s="265"/>
      <c r="D78" s="265"/>
      <c r="E78" s="265"/>
      <c r="F78" s="265"/>
      <c r="G78" s="265"/>
      <c r="H78" s="265"/>
      <c r="I78" s="265"/>
      <c r="J78" s="265"/>
      <c r="K78" s="265"/>
      <c r="L78" s="265"/>
      <c r="M78" s="265"/>
      <c r="N78" s="265"/>
      <c r="O78" s="265"/>
    </row>
    <row r="79" spans="1:28" ht="13.5">
      <c r="A79" s="265"/>
      <c r="B79" s="267"/>
      <c r="C79" s="265"/>
      <c r="D79" s="265"/>
      <c r="E79" s="265"/>
      <c r="F79" s="265"/>
      <c r="G79" s="265"/>
      <c r="H79" s="265"/>
      <c r="I79" s="265"/>
      <c r="J79" s="265"/>
      <c r="K79" s="265"/>
      <c r="L79" s="265"/>
      <c r="M79" s="265"/>
      <c r="N79" s="265"/>
      <c r="O79" s="265"/>
    </row>
  </sheetData>
  <mergeCells count="18">
    <mergeCell ref="X18:AB18"/>
    <mergeCell ref="A2:B2"/>
    <mergeCell ref="P2:Q2"/>
    <mergeCell ref="C18:F18"/>
    <mergeCell ref="I18:M18"/>
    <mergeCell ref="Q18:U18"/>
    <mergeCell ref="C34:F34"/>
    <mergeCell ref="I34:M34"/>
    <mergeCell ref="C51:F51"/>
    <mergeCell ref="I51:M51"/>
    <mergeCell ref="C67:F67"/>
    <mergeCell ref="I67:M67"/>
    <mergeCell ref="Q34:U34"/>
    <mergeCell ref="X34:AB34"/>
    <mergeCell ref="Q51:U51"/>
    <mergeCell ref="X51:AB51"/>
    <mergeCell ref="Q67:U67"/>
    <mergeCell ref="X67:AB67"/>
  </mergeCells>
  <printOptions horizontalCentered="1"/>
  <pageMargins left="0.39370078740157483" right="0.39370078740157483" top="0.19685039370078741" bottom="0.19685039370078741" header="0" footer="0"/>
  <pageSetup paperSize="9" scale="89" orientation="portrait" horizontalDpi="4294967294" verticalDpi="1200" r:id="rId1"/>
  <headerFooter alignWithMargins="0"/>
  <rowBreaks count="1" manualBreakCount="1">
    <brk id="67" max="27" man="1"/>
  </rowBreaks>
  <colBreaks count="1" manualBreakCount="1">
    <brk id="14" max="66"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8DA9-0649-426D-88E2-2AE50CB0B02D}">
  <dimension ref="A1:AB89"/>
  <sheetViews>
    <sheetView zoomScaleNormal="100" workbookViewId="0">
      <selection activeCell="C3" sqref="C3"/>
    </sheetView>
  </sheetViews>
  <sheetFormatPr baseColWidth="10" defaultColWidth="9.140625" defaultRowHeight="23.25" customHeight="1"/>
  <cols>
    <col min="1" max="1" width="3.42578125" style="265" customWidth="1"/>
    <col min="2" max="2" width="5" style="267" customWidth="1"/>
    <col min="3" max="3" width="5.42578125" style="265" customWidth="1"/>
    <col min="4" max="7" width="9.140625" style="265" customWidth="1"/>
    <col min="8" max="9" width="4.42578125" style="265" customWidth="1"/>
    <col min="10" max="12" width="9.140625" style="265" customWidth="1"/>
    <col min="13" max="13" width="5.42578125" style="265" customWidth="1"/>
    <col min="14" max="14" width="9.140625" style="265" customWidth="1"/>
    <col min="15" max="15" width="3.42578125" style="265" customWidth="1"/>
    <col min="16" max="16" width="5" style="267" customWidth="1"/>
    <col min="17" max="17" width="5.42578125" style="265" customWidth="1"/>
    <col min="18" max="21" width="9.140625" style="265" customWidth="1"/>
    <col min="22" max="23" width="4.42578125" style="265" customWidth="1"/>
    <col min="24" max="26" width="9.140625" style="265" customWidth="1"/>
    <col min="27" max="27" width="5.42578125" style="265" customWidth="1"/>
    <col min="28" max="28" width="9.140625" style="265" customWidth="1"/>
    <col min="29" max="256" width="9.140625" style="265"/>
    <col min="257" max="257" width="3.42578125" style="265" customWidth="1"/>
    <col min="258" max="258" width="5" style="265" customWidth="1"/>
    <col min="259" max="259" width="5.42578125" style="265" customWidth="1"/>
    <col min="260" max="263" width="9.140625" style="265"/>
    <col min="264" max="265" width="4.42578125" style="265" customWidth="1"/>
    <col min="266" max="268" width="9.140625" style="265"/>
    <col min="269" max="269" width="5.42578125" style="265" customWidth="1"/>
    <col min="270" max="270" width="9.140625" style="265"/>
    <col min="271" max="271" width="3.42578125" style="265" customWidth="1"/>
    <col min="272" max="272" width="5" style="265" customWidth="1"/>
    <col min="273" max="273" width="5.42578125" style="265" customWidth="1"/>
    <col min="274" max="277" width="9.140625" style="265"/>
    <col min="278" max="279" width="4.42578125" style="265" customWidth="1"/>
    <col min="280" max="282" width="9.140625" style="265"/>
    <col min="283" max="283" width="5.42578125" style="265" customWidth="1"/>
    <col min="284" max="512" width="9.140625" style="265"/>
    <col min="513" max="513" width="3.42578125" style="265" customWidth="1"/>
    <col min="514" max="514" width="5" style="265" customWidth="1"/>
    <col min="515" max="515" width="5.42578125" style="265" customWidth="1"/>
    <col min="516" max="519" width="9.140625" style="265"/>
    <col min="520" max="521" width="4.42578125" style="265" customWidth="1"/>
    <col min="522" max="524" width="9.140625" style="265"/>
    <col min="525" max="525" width="5.42578125" style="265" customWidth="1"/>
    <col min="526" max="526" width="9.140625" style="265"/>
    <col min="527" max="527" width="3.42578125" style="265" customWidth="1"/>
    <col min="528" max="528" width="5" style="265" customWidth="1"/>
    <col min="529" max="529" width="5.42578125" style="265" customWidth="1"/>
    <col min="530" max="533" width="9.140625" style="265"/>
    <col min="534" max="535" width="4.42578125" style="265" customWidth="1"/>
    <col min="536" max="538" width="9.140625" style="265"/>
    <col min="539" max="539" width="5.42578125" style="265" customWidth="1"/>
    <col min="540" max="768" width="9.140625" style="265"/>
    <col min="769" max="769" width="3.42578125" style="265" customWidth="1"/>
    <col min="770" max="770" width="5" style="265" customWidth="1"/>
    <col min="771" max="771" width="5.42578125" style="265" customWidth="1"/>
    <col min="772" max="775" width="9.140625" style="265"/>
    <col min="776" max="777" width="4.42578125" style="265" customWidth="1"/>
    <col min="778" max="780" width="9.140625" style="265"/>
    <col min="781" max="781" width="5.42578125" style="265" customWidth="1"/>
    <col min="782" max="782" width="9.140625" style="265"/>
    <col min="783" max="783" width="3.42578125" style="265" customWidth="1"/>
    <col min="784" max="784" width="5" style="265" customWidth="1"/>
    <col min="785" max="785" width="5.42578125" style="265" customWidth="1"/>
    <col min="786" max="789" width="9.140625" style="265"/>
    <col min="790" max="791" width="4.42578125" style="265" customWidth="1"/>
    <col min="792" max="794" width="9.140625" style="265"/>
    <col min="795" max="795" width="5.42578125" style="265" customWidth="1"/>
    <col min="796" max="1024" width="9.140625" style="265"/>
    <col min="1025" max="1025" width="3.42578125" style="265" customWidth="1"/>
    <col min="1026" max="1026" width="5" style="265" customWidth="1"/>
    <col min="1027" max="1027" width="5.42578125" style="265" customWidth="1"/>
    <col min="1028" max="1031" width="9.140625" style="265"/>
    <col min="1032" max="1033" width="4.42578125" style="265" customWidth="1"/>
    <col min="1034" max="1036" width="9.140625" style="265"/>
    <col min="1037" max="1037" width="5.42578125" style="265" customWidth="1"/>
    <col min="1038" max="1038" width="9.140625" style="265"/>
    <col min="1039" max="1039" width="3.42578125" style="265" customWidth="1"/>
    <col min="1040" max="1040" width="5" style="265" customWidth="1"/>
    <col min="1041" max="1041" width="5.42578125" style="265" customWidth="1"/>
    <col min="1042" max="1045" width="9.140625" style="265"/>
    <col min="1046" max="1047" width="4.42578125" style="265" customWidth="1"/>
    <col min="1048" max="1050" width="9.140625" style="265"/>
    <col min="1051" max="1051" width="5.42578125" style="265" customWidth="1"/>
    <col min="1052" max="1280" width="9.140625" style="265"/>
    <col min="1281" max="1281" width="3.42578125" style="265" customWidth="1"/>
    <col min="1282" max="1282" width="5" style="265" customWidth="1"/>
    <col min="1283" max="1283" width="5.42578125" style="265" customWidth="1"/>
    <col min="1284" max="1287" width="9.140625" style="265"/>
    <col min="1288" max="1289" width="4.42578125" style="265" customWidth="1"/>
    <col min="1290" max="1292" width="9.140625" style="265"/>
    <col min="1293" max="1293" width="5.42578125" style="265" customWidth="1"/>
    <col min="1294" max="1294" width="9.140625" style="265"/>
    <col min="1295" max="1295" width="3.42578125" style="265" customWidth="1"/>
    <col min="1296" max="1296" width="5" style="265" customWidth="1"/>
    <col min="1297" max="1297" width="5.42578125" style="265" customWidth="1"/>
    <col min="1298" max="1301" width="9.140625" style="265"/>
    <col min="1302" max="1303" width="4.42578125" style="265" customWidth="1"/>
    <col min="1304" max="1306" width="9.140625" style="265"/>
    <col min="1307" max="1307" width="5.42578125" style="265" customWidth="1"/>
    <col min="1308" max="1536" width="9.140625" style="265"/>
    <col min="1537" max="1537" width="3.42578125" style="265" customWidth="1"/>
    <col min="1538" max="1538" width="5" style="265" customWidth="1"/>
    <col min="1539" max="1539" width="5.42578125" style="265" customWidth="1"/>
    <col min="1540" max="1543" width="9.140625" style="265"/>
    <col min="1544" max="1545" width="4.42578125" style="265" customWidth="1"/>
    <col min="1546" max="1548" width="9.140625" style="265"/>
    <col min="1549" max="1549" width="5.42578125" style="265" customWidth="1"/>
    <col min="1550" max="1550" width="9.140625" style="265"/>
    <col min="1551" max="1551" width="3.42578125" style="265" customWidth="1"/>
    <col min="1552" max="1552" width="5" style="265" customWidth="1"/>
    <col min="1553" max="1553" width="5.42578125" style="265" customWidth="1"/>
    <col min="1554" max="1557" width="9.140625" style="265"/>
    <col min="1558" max="1559" width="4.42578125" style="265" customWidth="1"/>
    <col min="1560" max="1562" width="9.140625" style="265"/>
    <col min="1563" max="1563" width="5.42578125" style="265" customWidth="1"/>
    <col min="1564" max="1792" width="9.140625" style="265"/>
    <col min="1793" max="1793" width="3.42578125" style="265" customWidth="1"/>
    <col min="1794" max="1794" width="5" style="265" customWidth="1"/>
    <col min="1795" max="1795" width="5.42578125" style="265" customWidth="1"/>
    <col min="1796" max="1799" width="9.140625" style="265"/>
    <col min="1800" max="1801" width="4.42578125" style="265" customWidth="1"/>
    <col min="1802" max="1804" width="9.140625" style="265"/>
    <col min="1805" max="1805" width="5.42578125" style="265" customWidth="1"/>
    <col min="1806" max="1806" width="9.140625" style="265"/>
    <col min="1807" max="1807" width="3.42578125" style="265" customWidth="1"/>
    <col min="1808" max="1808" width="5" style="265" customWidth="1"/>
    <col min="1809" max="1809" width="5.42578125" style="265" customWidth="1"/>
    <col min="1810" max="1813" width="9.140625" style="265"/>
    <col min="1814" max="1815" width="4.42578125" style="265" customWidth="1"/>
    <col min="1816" max="1818" width="9.140625" style="265"/>
    <col min="1819" max="1819" width="5.42578125" style="265" customWidth="1"/>
    <col min="1820" max="2048" width="9.140625" style="265"/>
    <col min="2049" max="2049" width="3.42578125" style="265" customWidth="1"/>
    <col min="2050" max="2050" width="5" style="265" customWidth="1"/>
    <col min="2051" max="2051" width="5.42578125" style="265" customWidth="1"/>
    <col min="2052" max="2055" width="9.140625" style="265"/>
    <col min="2056" max="2057" width="4.42578125" style="265" customWidth="1"/>
    <col min="2058" max="2060" width="9.140625" style="265"/>
    <col min="2061" max="2061" width="5.42578125" style="265" customWidth="1"/>
    <col min="2062" max="2062" width="9.140625" style="265"/>
    <col min="2063" max="2063" width="3.42578125" style="265" customWidth="1"/>
    <col min="2064" max="2064" width="5" style="265" customWidth="1"/>
    <col min="2065" max="2065" width="5.42578125" style="265" customWidth="1"/>
    <col min="2066" max="2069" width="9.140625" style="265"/>
    <col min="2070" max="2071" width="4.42578125" style="265" customWidth="1"/>
    <col min="2072" max="2074" width="9.140625" style="265"/>
    <col min="2075" max="2075" width="5.42578125" style="265" customWidth="1"/>
    <col min="2076" max="2304" width="9.140625" style="265"/>
    <col min="2305" max="2305" width="3.42578125" style="265" customWidth="1"/>
    <col min="2306" max="2306" width="5" style="265" customWidth="1"/>
    <col min="2307" max="2307" width="5.42578125" style="265" customWidth="1"/>
    <col min="2308" max="2311" width="9.140625" style="265"/>
    <col min="2312" max="2313" width="4.42578125" style="265" customWidth="1"/>
    <col min="2314" max="2316" width="9.140625" style="265"/>
    <col min="2317" max="2317" width="5.42578125" style="265" customWidth="1"/>
    <col min="2318" max="2318" width="9.140625" style="265"/>
    <col min="2319" max="2319" width="3.42578125" style="265" customWidth="1"/>
    <col min="2320" max="2320" width="5" style="265" customWidth="1"/>
    <col min="2321" max="2321" width="5.42578125" style="265" customWidth="1"/>
    <col min="2322" max="2325" width="9.140625" style="265"/>
    <col min="2326" max="2327" width="4.42578125" style="265" customWidth="1"/>
    <col min="2328" max="2330" width="9.140625" style="265"/>
    <col min="2331" max="2331" width="5.42578125" style="265" customWidth="1"/>
    <col min="2332" max="2560" width="9.140625" style="265"/>
    <col min="2561" max="2561" width="3.42578125" style="265" customWidth="1"/>
    <col min="2562" max="2562" width="5" style="265" customWidth="1"/>
    <col min="2563" max="2563" width="5.42578125" style="265" customWidth="1"/>
    <col min="2564" max="2567" width="9.140625" style="265"/>
    <col min="2568" max="2569" width="4.42578125" style="265" customWidth="1"/>
    <col min="2570" max="2572" width="9.140625" style="265"/>
    <col min="2573" max="2573" width="5.42578125" style="265" customWidth="1"/>
    <col min="2574" max="2574" width="9.140625" style="265"/>
    <col min="2575" max="2575" width="3.42578125" style="265" customWidth="1"/>
    <col min="2576" max="2576" width="5" style="265" customWidth="1"/>
    <col min="2577" max="2577" width="5.42578125" style="265" customWidth="1"/>
    <col min="2578" max="2581" width="9.140625" style="265"/>
    <col min="2582" max="2583" width="4.42578125" style="265" customWidth="1"/>
    <col min="2584" max="2586" width="9.140625" style="265"/>
    <col min="2587" max="2587" width="5.42578125" style="265" customWidth="1"/>
    <col min="2588" max="2816" width="9.140625" style="265"/>
    <col min="2817" max="2817" width="3.42578125" style="265" customWidth="1"/>
    <col min="2818" max="2818" width="5" style="265" customWidth="1"/>
    <col min="2819" max="2819" width="5.42578125" style="265" customWidth="1"/>
    <col min="2820" max="2823" width="9.140625" style="265"/>
    <col min="2824" max="2825" width="4.42578125" style="265" customWidth="1"/>
    <col min="2826" max="2828" width="9.140625" style="265"/>
    <col min="2829" max="2829" width="5.42578125" style="265" customWidth="1"/>
    <col min="2830" max="2830" width="9.140625" style="265"/>
    <col min="2831" max="2831" width="3.42578125" style="265" customWidth="1"/>
    <col min="2832" max="2832" width="5" style="265" customWidth="1"/>
    <col min="2833" max="2833" width="5.42578125" style="265" customWidth="1"/>
    <col min="2834" max="2837" width="9.140625" style="265"/>
    <col min="2838" max="2839" width="4.42578125" style="265" customWidth="1"/>
    <col min="2840" max="2842" width="9.140625" style="265"/>
    <col min="2843" max="2843" width="5.42578125" style="265" customWidth="1"/>
    <col min="2844" max="3072" width="9.140625" style="265"/>
    <col min="3073" max="3073" width="3.42578125" style="265" customWidth="1"/>
    <col min="3074" max="3074" width="5" style="265" customWidth="1"/>
    <col min="3075" max="3075" width="5.42578125" style="265" customWidth="1"/>
    <col min="3076" max="3079" width="9.140625" style="265"/>
    <col min="3080" max="3081" width="4.42578125" style="265" customWidth="1"/>
    <col min="3082" max="3084" width="9.140625" style="265"/>
    <col min="3085" max="3085" width="5.42578125" style="265" customWidth="1"/>
    <col min="3086" max="3086" width="9.140625" style="265"/>
    <col min="3087" max="3087" width="3.42578125" style="265" customWidth="1"/>
    <col min="3088" max="3088" width="5" style="265" customWidth="1"/>
    <col min="3089" max="3089" width="5.42578125" style="265" customWidth="1"/>
    <col min="3090" max="3093" width="9.140625" style="265"/>
    <col min="3094" max="3095" width="4.42578125" style="265" customWidth="1"/>
    <col min="3096" max="3098" width="9.140625" style="265"/>
    <col min="3099" max="3099" width="5.42578125" style="265" customWidth="1"/>
    <col min="3100" max="3328" width="9.140625" style="265"/>
    <col min="3329" max="3329" width="3.42578125" style="265" customWidth="1"/>
    <col min="3330" max="3330" width="5" style="265" customWidth="1"/>
    <col min="3331" max="3331" width="5.42578125" style="265" customWidth="1"/>
    <col min="3332" max="3335" width="9.140625" style="265"/>
    <col min="3336" max="3337" width="4.42578125" style="265" customWidth="1"/>
    <col min="3338" max="3340" width="9.140625" style="265"/>
    <col min="3341" max="3341" width="5.42578125" style="265" customWidth="1"/>
    <col min="3342" max="3342" width="9.140625" style="265"/>
    <col min="3343" max="3343" width="3.42578125" style="265" customWidth="1"/>
    <col min="3344" max="3344" width="5" style="265" customWidth="1"/>
    <col min="3345" max="3345" width="5.42578125" style="265" customWidth="1"/>
    <col min="3346" max="3349" width="9.140625" style="265"/>
    <col min="3350" max="3351" width="4.42578125" style="265" customWidth="1"/>
    <col min="3352" max="3354" width="9.140625" style="265"/>
    <col min="3355" max="3355" width="5.42578125" style="265" customWidth="1"/>
    <col min="3356" max="3584" width="9.140625" style="265"/>
    <col min="3585" max="3585" width="3.42578125" style="265" customWidth="1"/>
    <col min="3586" max="3586" width="5" style="265" customWidth="1"/>
    <col min="3587" max="3587" width="5.42578125" style="265" customWidth="1"/>
    <col min="3588" max="3591" width="9.140625" style="265"/>
    <col min="3592" max="3593" width="4.42578125" style="265" customWidth="1"/>
    <col min="3594" max="3596" width="9.140625" style="265"/>
    <col min="3597" max="3597" width="5.42578125" style="265" customWidth="1"/>
    <col min="3598" max="3598" width="9.140625" style="265"/>
    <col min="3599" max="3599" width="3.42578125" style="265" customWidth="1"/>
    <col min="3600" max="3600" width="5" style="265" customWidth="1"/>
    <col min="3601" max="3601" width="5.42578125" style="265" customWidth="1"/>
    <col min="3602" max="3605" width="9.140625" style="265"/>
    <col min="3606" max="3607" width="4.42578125" style="265" customWidth="1"/>
    <col min="3608" max="3610" width="9.140625" style="265"/>
    <col min="3611" max="3611" width="5.42578125" style="265" customWidth="1"/>
    <col min="3612" max="3840" width="9.140625" style="265"/>
    <col min="3841" max="3841" width="3.42578125" style="265" customWidth="1"/>
    <col min="3842" max="3842" width="5" style="265" customWidth="1"/>
    <col min="3843" max="3843" width="5.42578125" style="265" customWidth="1"/>
    <col min="3844" max="3847" width="9.140625" style="265"/>
    <col min="3848" max="3849" width="4.42578125" style="265" customWidth="1"/>
    <col min="3850" max="3852" width="9.140625" style="265"/>
    <col min="3853" max="3853" width="5.42578125" style="265" customWidth="1"/>
    <col min="3854" max="3854" width="9.140625" style="265"/>
    <col min="3855" max="3855" width="3.42578125" style="265" customWidth="1"/>
    <col min="3856" max="3856" width="5" style="265" customWidth="1"/>
    <col min="3857" max="3857" width="5.42578125" style="265" customWidth="1"/>
    <col min="3858" max="3861" width="9.140625" style="265"/>
    <col min="3862" max="3863" width="4.42578125" style="265" customWidth="1"/>
    <col min="3864" max="3866" width="9.140625" style="265"/>
    <col min="3867" max="3867" width="5.42578125" style="265" customWidth="1"/>
    <col min="3868" max="4096" width="9.140625" style="265"/>
    <col min="4097" max="4097" width="3.42578125" style="265" customWidth="1"/>
    <col min="4098" max="4098" width="5" style="265" customWidth="1"/>
    <col min="4099" max="4099" width="5.42578125" style="265" customWidth="1"/>
    <col min="4100" max="4103" width="9.140625" style="265"/>
    <col min="4104" max="4105" width="4.42578125" style="265" customWidth="1"/>
    <col min="4106" max="4108" width="9.140625" style="265"/>
    <col min="4109" max="4109" width="5.42578125" style="265" customWidth="1"/>
    <col min="4110" max="4110" width="9.140625" style="265"/>
    <col min="4111" max="4111" width="3.42578125" style="265" customWidth="1"/>
    <col min="4112" max="4112" width="5" style="265" customWidth="1"/>
    <col min="4113" max="4113" width="5.42578125" style="265" customWidth="1"/>
    <col min="4114" max="4117" width="9.140625" style="265"/>
    <col min="4118" max="4119" width="4.42578125" style="265" customWidth="1"/>
    <col min="4120" max="4122" width="9.140625" style="265"/>
    <col min="4123" max="4123" width="5.42578125" style="265" customWidth="1"/>
    <col min="4124" max="4352" width="9.140625" style="265"/>
    <col min="4353" max="4353" width="3.42578125" style="265" customWidth="1"/>
    <col min="4354" max="4354" width="5" style="265" customWidth="1"/>
    <col min="4355" max="4355" width="5.42578125" style="265" customWidth="1"/>
    <col min="4356" max="4359" width="9.140625" style="265"/>
    <col min="4360" max="4361" width="4.42578125" style="265" customWidth="1"/>
    <col min="4362" max="4364" width="9.140625" style="265"/>
    <col min="4365" max="4365" width="5.42578125" style="265" customWidth="1"/>
    <col min="4366" max="4366" width="9.140625" style="265"/>
    <col min="4367" max="4367" width="3.42578125" style="265" customWidth="1"/>
    <col min="4368" max="4368" width="5" style="265" customWidth="1"/>
    <col min="4369" max="4369" width="5.42578125" style="265" customWidth="1"/>
    <col min="4370" max="4373" width="9.140625" style="265"/>
    <col min="4374" max="4375" width="4.42578125" style="265" customWidth="1"/>
    <col min="4376" max="4378" width="9.140625" style="265"/>
    <col min="4379" max="4379" width="5.42578125" style="265" customWidth="1"/>
    <col min="4380" max="4608" width="9.140625" style="265"/>
    <col min="4609" max="4609" width="3.42578125" style="265" customWidth="1"/>
    <col min="4610" max="4610" width="5" style="265" customWidth="1"/>
    <col min="4611" max="4611" width="5.42578125" style="265" customWidth="1"/>
    <col min="4612" max="4615" width="9.140625" style="265"/>
    <col min="4616" max="4617" width="4.42578125" style="265" customWidth="1"/>
    <col min="4618" max="4620" width="9.140625" style="265"/>
    <col min="4621" max="4621" width="5.42578125" style="265" customWidth="1"/>
    <col min="4622" max="4622" width="9.140625" style="265"/>
    <col min="4623" max="4623" width="3.42578125" style="265" customWidth="1"/>
    <col min="4624" max="4624" width="5" style="265" customWidth="1"/>
    <col min="4625" max="4625" width="5.42578125" style="265" customWidth="1"/>
    <col min="4626" max="4629" width="9.140625" style="265"/>
    <col min="4630" max="4631" width="4.42578125" style="265" customWidth="1"/>
    <col min="4632" max="4634" width="9.140625" style="265"/>
    <col min="4635" max="4635" width="5.42578125" style="265" customWidth="1"/>
    <col min="4636" max="4864" width="9.140625" style="265"/>
    <col min="4865" max="4865" width="3.42578125" style="265" customWidth="1"/>
    <col min="4866" max="4866" width="5" style="265" customWidth="1"/>
    <col min="4867" max="4867" width="5.42578125" style="265" customWidth="1"/>
    <col min="4868" max="4871" width="9.140625" style="265"/>
    <col min="4872" max="4873" width="4.42578125" style="265" customWidth="1"/>
    <col min="4874" max="4876" width="9.140625" style="265"/>
    <col min="4877" max="4877" width="5.42578125" style="265" customWidth="1"/>
    <col min="4878" max="4878" width="9.140625" style="265"/>
    <col min="4879" max="4879" width="3.42578125" style="265" customWidth="1"/>
    <col min="4880" max="4880" width="5" style="265" customWidth="1"/>
    <col min="4881" max="4881" width="5.42578125" style="265" customWidth="1"/>
    <col min="4882" max="4885" width="9.140625" style="265"/>
    <col min="4886" max="4887" width="4.42578125" style="265" customWidth="1"/>
    <col min="4888" max="4890" width="9.140625" style="265"/>
    <col min="4891" max="4891" width="5.42578125" style="265" customWidth="1"/>
    <col min="4892" max="5120" width="9.140625" style="265"/>
    <col min="5121" max="5121" width="3.42578125" style="265" customWidth="1"/>
    <col min="5122" max="5122" width="5" style="265" customWidth="1"/>
    <col min="5123" max="5123" width="5.42578125" style="265" customWidth="1"/>
    <col min="5124" max="5127" width="9.140625" style="265"/>
    <col min="5128" max="5129" width="4.42578125" style="265" customWidth="1"/>
    <col min="5130" max="5132" width="9.140625" style="265"/>
    <col min="5133" max="5133" width="5.42578125" style="265" customWidth="1"/>
    <col min="5134" max="5134" width="9.140625" style="265"/>
    <col min="5135" max="5135" width="3.42578125" style="265" customWidth="1"/>
    <col min="5136" max="5136" width="5" style="265" customWidth="1"/>
    <col min="5137" max="5137" width="5.42578125" style="265" customWidth="1"/>
    <col min="5138" max="5141" width="9.140625" style="265"/>
    <col min="5142" max="5143" width="4.42578125" style="265" customWidth="1"/>
    <col min="5144" max="5146" width="9.140625" style="265"/>
    <col min="5147" max="5147" width="5.42578125" style="265" customWidth="1"/>
    <col min="5148" max="5376" width="9.140625" style="265"/>
    <col min="5377" max="5377" width="3.42578125" style="265" customWidth="1"/>
    <col min="5378" max="5378" width="5" style="265" customWidth="1"/>
    <col min="5379" max="5379" width="5.42578125" style="265" customWidth="1"/>
    <col min="5380" max="5383" width="9.140625" style="265"/>
    <col min="5384" max="5385" width="4.42578125" style="265" customWidth="1"/>
    <col min="5386" max="5388" width="9.140625" style="265"/>
    <col min="5389" max="5389" width="5.42578125" style="265" customWidth="1"/>
    <col min="5390" max="5390" width="9.140625" style="265"/>
    <col min="5391" max="5391" width="3.42578125" style="265" customWidth="1"/>
    <col min="5392" max="5392" width="5" style="265" customWidth="1"/>
    <col min="5393" max="5393" width="5.42578125" style="265" customWidth="1"/>
    <col min="5394" max="5397" width="9.140625" style="265"/>
    <col min="5398" max="5399" width="4.42578125" style="265" customWidth="1"/>
    <col min="5400" max="5402" width="9.140625" style="265"/>
    <col min="5403" max="5403" width="5.42578125" style="265" customWidth="1"/>
    <col min="5404" max="5632" width="9.140625" style="265"/>
    <col min="5633" max="5633" width="3.42578125" style="265" customWidth="1"/>
    <col min="5634" max="5634" width="5" style="265" customWidth="1"/>
    <col min="5635" max="5635" width="5.42578125" style="265" customWidth="1"/>
    <col min="5636" max="5639" width="9.140625" style="265"/>
    <col min="5640" max="5641" width="4.42578125" style="265" customWidth="1"/>
    <col min="5642" max="5644" width="9.140625" style="265"/>
    <col min="5645" max="5645" width="5.42578125" style="265" customWidth="1"/>
    <col min="5646" max="5646" width="9.140625" style="265"/>
    <col min="5647" max="5647" width="3.42578125" style="265" customWidth="1"/>
    <col min="5648" max="5648" width="5" style="265" customWidth="1"/>
    <col min="5649" max="5649" width="5.42578125" style="265" customWidth="1"/>
    <col min="5650" max="5653" width="9.140625" style="265"/>
    <col min="5654" max="5655" width="4.42578125" style="265" customWidth="1"/>
    <col min="5656" max="5658" width="9.140625" style="265"/>
    <col min="5659" max="5659" width="5.42578125" style="265" customWidth="1"/>
    <col min="5660" max="5888" width="9.140625" style="265"/>
    <col min="5889" max="5889" width="3.42578125" style="265" customWidth="1"/>
    <col min="5890" max="5890" width="5" style="265" customWidth="1"/>
    <col min="5891" max="5891" width="5.42578125" style="265" customWidth="1"/>
    <col min="5892" max="5895" width="9.140625" style="265"/>
    <col min="5896" max="5897" width="4.42578125" style="265" customWidth="1"/>
    <col min="5898" max="5900" width="9.140625" style="265"/>
    <col min="5901" max="5901" width="5.42578125" style="265" customWidth="1"/>
    <col min="5902" max="5902" width="9.140625" style="265"/>
    <col min="5903" max="5903" width="3.42578125" style="265" customWidth="1"/>
    <col min="5904" max="5904" width="5" style="265" customWidth="1"/>
    <col min="5905" max="5905" width="5.42578125" style="265" customWidth="1"/>
    <col min="5906" max="5909" width="9.140625" style="265"/>
    <col min="5910" max="5911" width="4.42578125" style="265" customWidth="1"/>
    <col min="5912" max="5914" width="9.140625" style="265"/>
    <col min="5915" max="5915" width="5.42578125" style="265" customWidth="1"/>
    <col min="5916" max="6144" width="9.140625" style="265"/>
    <col min="6145" max="6145" width="3.42578125" style="265" customWidth="1"/>
    <col min="6146" max="6146" width="5" style="265" customWidth="1"/>
    <col min="6147" max="6147" width="5.42578125" style="265" customWidth="1"/>
    <col min="6148" max="6151" width="9.140625" style="265"/>
    <col min="6152" max="6153" width="4.42578125" style="265" customWidth="1"/>
    <col min="6154" max="6156" width="9.140625" style="265"/>
    <col min="6157" max="6157" width="5.42578125" style="265" customWidth="1"/>
    <col min="6158" max="6158" width="9.140625" style="265"/>
    <col min="6159" max="6159" width="3.42578125" style="265" customWidth="1"/>
    <col min="6160" max="6160" width="5" style="265" customWidth="1"/>
    <col min="6161" max="6161" width="5.42578125" style="265" customWidth="1"/>
    <col min="6162" max="6165" width="9.140625" style="265"/>
    <col min="6166" max="6167" width="4.42578125" style="265" customWidth="1"/>
    <col min="6168" max="6170" width="9.140625" style="265"/>
    <col min="6171" max="6171" width="5.42578125" style="265" customWidth="1"/>
    <col min="6172" max="6400" width="9.140625" style="265"/>
    <col min="6401" max="6401" width="3.42578125" style="265" customWidth="1"/>
    <col min="6402" max="6402" width="5" style="265" customWidth="1"/>
    <col min="6403" max="6403" width="5.42578125" style="265" customWidth="1"/>
    <col min="6404" max="6407" width="9.140625" style="265"/>
    <col min="6408" max="6409" width="4.42578125" style="265" customWidth="1"/>
    <col min="6410" max="6412" width="9.140625" style="265"/>
    <col min="6413" max="6413" width="5.42578125" style="265" customWidth="1"/>
    <col min="6414" max="6414" width="9.140625" style="265"/>
    <col min="6415" max="6415" width="3.42578125" style="265" customWidth="1"/>
    <col min="6416" max="6416" width="5" style="265" customWidth="1"/>
    <col min="6417" max="6417" width="5.42578125" style="265" customWidth="1"/>
    <col min="6418" max="6421" width="9.140625" style="265"/>
    <col min="6422" max="6423" width="4.42578125" style="265" customWidth="1"/>
    <col min="6424" max="6426" width="9.140625" style="265"/>
    <col min="6427" max="6427" width="5.42578125" style="265" customWidth="1"/>
    <col min="6428" max="6656" width="9.140625" style="265"/>
    <col min="6657" max="6657" width="3.42578125" style="265" customWidth="1"/>
    <col min="6658" max="6658" width="5" style="265" customWidth="1"/>
    <col min="6659" max="6659" width="5.42578125" style="265" customWidth="1"/>
    <col min="6660" max="6663" width="9.140625" style="265"/>
    <col min="6664" max="6665" width="4.42578125" style="265" customWidth="1"/>
    <col min="6666" max="6668" width="9.140625" style="265"/>
    <col min="6669" max="6669" width="5.42578125" style="265" customWidth="1"/>
    <col min="6670" max="6670" width="9.140625" style="265"/>
    <col min="6671" max="6671" width="3.42578125" style="265" customWidth="1"/>
    <col min="6672" max="6672" width="5" style="265" customWidth="1"/>
    <col min="6673" max="6673" width="5.42578125" style="265" customWidth="1"/>
    <col min="6674" max="6677" width="9.140625" style="265"/>
    <col min="6678" max="6679" width="4.42578125" style="265" customWidth="1"/>
    <col min="6680" max="6682" width="9.140625" style="265"/>
    <col min="6683" max="6683" width="5.42578125" style="265" customWidth="1"/>
    <col min="6684" max="6912" width="9.140625" style="265"/>
    <col min="6913" max="6913" width="3.42578125" style="265" customWidth="1"/>
    <col min="6914" max="6914" width="5" style="265" customWidth="1"/>
    <col min="6915" max="6915" width="5.42578125" style="265" customWidth="1"/>
    <col min="6916" max="6919" width="9.140625" style="265"/>
    <col min="6920" max="6921" width="4.42578125" style="265" customWidth="1"/>
    <col min="6922" max="6924" width="9.140625" style="265"/>
    <col min="6925" max="6925" width="5.42578125" style="265" customWidth="1"/>
    <col min="6926" max="6926" width="9.140625" style="265"/>
    <col min="6927" max="6927" width="3.42578125" style="265" customWidth="1"/>
    <col min="6928" max="6928" width="5" style="265" customWidth="1"/>
    <col min="6929" max="6929" width="5.42578125" style="265" customWidth="1"/>
    <col min="6930" max="6933" width="9.140625" style="265"/>
    <col min="6934" max="6935" width="4.42578125" style="265" customWidth="1"/>
    <col min="6936" max="6938" width="9.140625" style="265"/>
    <col min="6939" max="6939" width="5.42578125" style="265" customWidth="1"/>
    <col min="6940" max="7168" width="9.140625" style="265"/>
    <col min="7169" max="7169" width="3.42578125" style="265" customWidth="1"/>
    <col min="7170" max="7170" width="5" style="265" customWidth="1"/>
    <col min="7171" max="7171" width="5.42578125" style="265" customWidth="1"/>
    <col min="7172" max="7175" width="9.140625" style="265"/>
    <col min="7176" max="7177" width="4.42578125" style="265" customWidth="1"/>
    <col min="7178" max="7180" width="9.140625" style="265"/>
    <col min="7181" max="7181" width="5.42578125" style="265" customWidth="1"/>
    <col min="7182" max="7182" width="9.140625" style="265"/>
    <col min="7183" max="7183" width="3.42578125" style="265" customWidth="1"/>
    <col min="7184" max="7184" width="5" style="265" customWidth="1"/>
    <col min="7185" max="7185" width="5.42578125" style="265" customWidth="1"/>
    <col min="7186" max="7189" width="9.140625" style="265"/>
    <col min="7190" max="7191" width="4.42578125" style="265" customWidth="1"/>
    <col min="7192" max="7194" width="9.140625" style="265"/>
    <col min="7195" max="7195" width="5.42578125" style="265" customWidth="1"/>
    <col min="7196" max="7424" width="9.140625" style="265"/>
    <col min="7425" max="7425" width="3.42578125" style="265" customWidth="1"/>
    <col min="7426" max="7426" width="5" style="265" customWidth="1"/>
    <col min="7427" max="7427" width="5.42578125" style="265" customWidth="1"/>
    <col min="7428" max="7431" width="9.140625" style="265"/>
    <col min="7432" max="7433" width="4.42578125" style="265" customWidth="1"/>
    <col min="7434" max="7436" width="9.140625" style="265"/>
    <col min="7437" max="7437" width="5.42578125" style="265" customWidth="1"/>
    <col min="7438" max="7438" width="9.140625" style="265"/>
    <col min="7439" max="7439" width="3.42578125" style="265" customWidth="1"/>
    <col min="7440" max="7440" width="5" style="265" customWidth="1"/>
    <col min="7441" max="7441" width="5.42578125" style="265" customWidth="1"/>
    <col min="7442" max="7445" width="9.140625" style="265"/>
    <col min="7446" max="7447" width="4.42578125" style="265" customWidth="1"/>
    <col min="7448" max="7450" width="9.140625" style="265"/>
    <col min="7451" max="7451" width="5.42578125" style="265" customWidth="1"/>
    <col min="7452" max="7680" width="9.140625" style="265"/>
    <col min="7681" max="7681" width="3.42578125" style="265" customWidth="1"/>
    <col min="7682" max="7682" width="5" style="265" customWidth="1"/>
    <col min="7683" max="7683" width="5.42578125" style="265" customWidth="1"/>
    <col min="7684" max="7687" width="9.140625" style="265"/>
    <col min="7688" max="7689" width="4.42578125" style="265" customWidth="1"/>
    <col min="7690" max="7692" width="9.140625" style="265"/>
    <col min="7693" max="7693" width="5.42578125" style="265" customWidth="1"/>
    <col min="7694" max="7694" width="9.140625" style="265"/>
    <col min="7695" max="7695" width="3.42578125" style="265" customWidth="1"/>
    <col min="7696" max="7696" width="5" style="265" customWidth="1"/>
    <col min="7697" max="7697" width="5.42578125" style="265" customWidth="1"/>
    <col min="7698" max="7701" width="9.140625" style="265"/>
    <col min="7702" max="7703" width="4.42578125" style="265" customWidth="1"/>
    <col min="7704" max="7706" width="9.140625" style="265"/>
    <col min="7707" max="7707" width="5.42578125" style="265" customWidth="1"/>
    <col min="7708" max="7936" width="9.140625" style="265"/>
    <col min="7937" max="7937" width="3.42578125" style="265" customWidth="1"/>
    <col min="7938" max="7938" width="5" style="265" customWidth="1"/>
    <col min="7939" max="7939" width="5.42578125" style="265" customWidth="1"/>
    <col min="7940" max="7943" width="9.140625" style="265"/>
    <col min="7944" max="7945" width="4.42578125" style="265" customWidth="1"/>
    <col min="7946" max="7948" width="9.140625" style="265"/>
    <col min="7949" max="7949" width="5.42578125" style="265" customWidth="1"/>
    <col min="7950" max="7950" width="9.140625" style="265"/>
    <col min="7951" max="7951" width="3.42578125" style="265" customWidth="1"/>
    <col min="7952" max="7952" width="5" style="265" customWidth="1"/>
    <col min="7953" max="7953" width="5.42578125" style="265" customWidth="1"/>
    <col min="7954" max="7957" width="9.140625" style="265"/>
    <col min="7958" max="7959" width="4.42578125" style="265" customWidth="1"/>
    <col min="7960" max="7962" width="9.140625" style="265"/>
    <col min="7963" max="7963" width="5.42578125" style="265" customWidth="1"/>
    <col min="7964" max="8192" width="9.140625" style="265"/>
    <col min="8193" max="8193" width="3.42578125" style="265" customWidth="1"/>
    <col min="8194" max="8194" width="5" style="265" customWidth="1"/>
    <col min="8195" max="8195" width="5.42578125" style="265" customWidth="1"/>
    <col min="8196" max="8199" width="9.140625" style="265"/>
    <col min="8200" max="8201" width="4.42578125" style="265" customWidth="1"/>
    <col min="8202" max="8204" width="9.140625" style="265"/>
    <col min="8205" max="8205" width="5.42578125" style="265" customWidth="1"/>
    <col min="8206" max="8206" width="9.140625" style="265"/>
    <col min="8207" max="8207" width="3.42578125" style="265" customWidth="1"/>
    <col min="8208" max="8208" width="5" style="265" customWidth="1"/>
    <col min="8209" max="8209" width="5.42578125" style="265" customWidth="1"/>
    <col min="8210" max="8213" width="9.140625" style="265"/>
    <col min="8214" max="8215" width="4.42578125" style="265" customWidth="1"/>
    <col min="8216" max="8218" width="9.140625" style="265"/>
    <col min="8219" max="8219" width="5.42578125" style="265" customWidth="1"/>
    <col min="8220" max="8448" width="9.140625" style="265"/>
    <col min="8449" max="8449" width="3.42578125" style="265" customWidth="1"/>
    <col min="8450" max="8450" width="5" style="265" customWidth="1"/>
    <col min="8451" max="8451" width="5.42578125" style="265" customWidth="1"/>
    <col min="8452" max="8455" width="9.140625" style="265"/>
    <col min="8456" max="8457" width="4.42578125" style="265" customWidth="1"/>
    <col min="8458" max="8460" width="9.140625" style="265"/>
    <col min="8461" max="8461" width="5.42578125" style="265" customWidth="1"/>
    <col min="8462" max="8462" width="9.140625" style="265"/>
    <col min="8463" max="8463" width="3.42578125" style="265" customWidth="1"/>
    <col min="8464" max="8464" width="5" style="265" customWidth="1"/>
    <col min="8465" max="8465" width="5.42578125" style="265" customWidth="1"/>
    <col min="8466" max="8469" width="9.140625" style="265"/>
    <col min="8470" max="8471" width="4.42578125" style="265" customWidth="1"/>
    <col min="8472" max="8474" width="9.140625" style="265"/>
    <col min="8475" max="8475" width="5.42578125" style="265" customWidth="1"/>
    <col min="8476" max="8704" width="9.140625" style="265"/>
    <col min="8705" max="8705" width="3.42578125" style="265" customWidth="1"/>
    <col min="8706" max="8706" width="5" style="265" customWidth="1"/>
    <col min="8707" max="8707" width="5.42578125" style="265" customWidth="1"/>
    <col min="8708" max="8711" width="9.140625" style="265"/>
    <col min="8712" max="8713" width="4.42578125" style="265" customWidth="1"/>
    <col min="8714" max="8716" width="9.140625" style="265"/>
    <col min="8717" max="8717" width="5.42578125" style="265" customWidth="1"/>
    <col min="8718" max="8718" width="9.140625" style="265"/>
    <col min="8719" max="8719" width="3.42578125" style="265" customWidth="1"/>
    <col min="8720" max="8720" width="5" style="265" customWidth="1"/>
    <col min="8721" max="8721" width="5.42578125" style="265" customWidth="1"/>
    <col min="8722" max="8725" width="9.140625" style="265"/>
    <col min="8726" max="8727" width="4.42578125" style="265" customWidth="1"/>
    <col min="8728" max="8730" width="9.140625" style="265"/>
    <col min="8731" max="8731" width="5.42578125" style="265" customWidth="1"/>
    <col min="8732" max="8960" width="9.140625" style="265"/>
    <col min="8961" max="8961" width="3.42578125" style="265" customWidth="1"/>
    <col min="8962" max="8962" width="5" style="265" customWidth="1"/>
    <col min="8963" max="8963" width="5.42578125" style="265" customWidth="1"/>
    <col min="8964" max="8967" width="9.140625" style="265"/>
    <col min="8968" max="8969" width="4.42578125" style="265" customWidth="1"/>
    <col min="8970" max="8972" width="9.140625" style="265"/>
    <col min="8973" max="8973" width="5.42578125" style="265" customWidth="1"/>
    <col min="8974" max="8974" width="9.140625" style="265"/>
    <col min="8975" max="8975" width="3.42578125" style="265" customWidth="1"/>
    <col min="8976" max="8976" width="5" style="265" customWidth="1"/>
    <col min="8977" max="8977" width="5.42578125" style="265" customWidth="1"/>
    <col min="8978" max="8981" width="9.140625" style="265"/>
    <col min="8982" max="8983" width="4.42578125" style="265" customWidth="1"/>
    <col min="8984" max="8986" width="9.140625" style="265"/>
    <col min="8987" max="8987" width="5.42578125" style="265" customWidth="1"/>
    <col min="8988" max="9216" width="9.140625" style="265"/>
    <col min="9217" max="9217" width="3.42578125" style="265" customWidth="1"/>
    <col min="9218" max="9218" width="5" style="265" customWidth="1"/>
    <col min="9219" max="9219" width="5.42578125" style="265" customWidth="1"/>
    <col min="9220" max="9223" width="9.140625" style="265"/>
    <col min="9224" max="9225" width="4.42578125" style="265" customWidth="1"/>
    <col min="9226" max="9228" width="9.140625" style="265"/>
    <col min="9229" max="9229" width="5.42578125" style="265" customWidth="1"/>
    <col min="9230" max="9230" width="9.140625" style="265"/>
    <col min="9231" max="9231" width="3.42578125" style="265" customWidth="1"/>
    <col min="9232" max="9232" width="5" style="265" customWidth="1"/>
    <col min="9233" max="9233" width="5.42578125" style="265" customWidth="1"/>
    <col min="9234" max="9237" width="9.140625" style="265"/>
    <col min="9238" max="9239" width="4.42578125" style="265" customWidth="1"/>
    <col min="9240" max="9242" width="9.140625" style="265"/>
    <col min="9243" max="9243" width="5.42578125" style="265" customWidth="1"/>
    <col min="9244" max="9472" width="9.140625" style="265"/>
    <col min="9473" max="9473" width="3.42578125" style="265" customWidth="1"/>
    <col min="9474" max="9474" width="5" style="265" customWidth="1"/>
    <col min="9475" max="9475" width="5.42578125" style="265" customWidth="1"/>
    <col min="9476" max="9479" width="9.140625" style="265"/>
    <col min="9480" max="9481" width="4.42578125" style="265" customWidth="1"/>
    <col min="9482" max="9484" width="9.140625" style="265"/>
    <col min="9485" max="9485" width="5.42578125" style="265" customWidth="1"/>
    <col min="9486" max="9486" width="9.140625" style="265"/>
    <col min="9487" max="9487" width="3.42578125" style="265" customWidth="1"/>
    <col min="9488" max="9488" width="5" style="265" customWidth="1"/>
    <col min="9489" max="9489" width="5.42578125" style="265" customWidth="1"/>
    <col min="9490" max="9493" width="9.140625" style="265"/>
    <col min="9494" max="9495" width="4.42578125" style="265" customWidth="1"/>
    <col min="9496" max="9498" width="9.140625" style="265"/>
    <col min="9499" max="9499" width="5.42578125" style="265" customWidth="1"/>
    <col min="9500" max="9728" width="9.140625" style="265"/>
    <col min="9729" max="9729" width="3.42578125" style="265" customWidth="1"/>
    <col min="9730" max="9730" width="5" style="265" customWidth="1"/>
    <col min="9731" max="9731" width="5.42578125" style="265" customWidth="1"/>
    <col min="9732" max="9735" width="9.140625" style="265"/>
    <col min="9736" max="9737" width="4.42578125" style="265" customWidth="1"/>
    <col min="9738" max="9740" width="9.140625" style="265"/>
    <col min="9741" max="9741" width="5.42578125" style="265" customWidth="1"/>
    <col min="9742" max="9742" width="9.140625" style="265"/>
    <col min="9743" max="9743" width="3.42578125" style="265" customWidth="1"/>
    <col min="9744" max="9744" width="5" style="265" customWidth="1"/>
    <col min="9745" max="9745" width="5.42578125" style="265" customWidth="1"/>
    <col min="9746" max="9749" width="9.140625" style="265"/>
    <col min="9750" max="9751" width="4.42578125" style="265" customWidth="1"/>
    <col min="9752" max="9754" width="9.140625" style="265"/>
    <col min="9755" max="9755" width="5.42578125" style="265" customWidth="1"/>
    <col min="9756" max="9984" width="9.140625" style="265"/>
    <col min="9985" max="9985" width="3.42578125" style="265" customWidth="1"/>
    <col min="9986" max="9986" width="5" style="265" customWidth="1"/>
    <col min="9987" max="9987" width="5.42578125" style="265" customWidth="1"/>
    <col min="9988" max="9991" width="9.140625" style="265"/>
    <col min="9992" max="9993" width="4.42578125" style="265" customWidth="1"/>
    <col min="9994" max="9996" width="9.140625" style="265"/>
    <col min="9997" max="9997" width="5.42578125" style="265" customWidth="1"/>
    <col min="9998" max="9998" width="9.140625" style="265"/>
    <col min="9999" max="9999" width="3.42578125" style="265" customWidth="1"/>
    <col min="10000" max="10000" width="5" style="265" customWidth="1"/>
    <col min="10001" max="10001" width="5.42578125" style="265" customWidth="1"/>
    <col min="10002" max="10005" width="9.140625" style="265"/>
    <col min="10006" max="10007" width="4.42578125" style="265" customWidth="1"/>
    <col min="10008" max="10010" width="9.140625" style="265"/>
    <col min="10011" max="10011" width="5.42578125" style="265" customWidth="1"/>
    <col min="10012" max="10240" width="9.140625" style="265"/>
    <col min="10241" max="10241" width="3.42578125" style="265" customWidth="1"/>
    <col min="10242" max="10242" width="5" style="265" customWidth="1"/>
    <col min="10243" max="10243" width="5.42578125" style="265" customWidth="1"/>
    <col min="10244" max="10247" width="9.140625" style="265"/>
    <col min="10248" max="10249" width="4.42578125" style="265" customWidth="1"/>
    <col min="10250" max="10252" width="9.140625" style="265"/>
    <col min="10253" max="10253" width="5.42578125" style="265" customWidth="1"/>
    <col min="10254" max="10254" width="9.140625" style="265"/>
    <col min="10255" max="10255" width="3.42578125" style="265" customWidth="1"/>
    <col min="10256" max="10256" width="5" style="265" customWidth="1"/>
    <col min="10257" max="10257" width="5.42578125" style="265" customWidth="1"/>
    <col min="10258" max="10261" width="9.140625" style="265"/>
    <col min="10262" max="10263" width="4.42578125" style="265" customWidth="1"/>
    <col min="10264" max="10266" width="9.140625" style="265"/>
    <col min="10267" max="10267" width="5.42578125" style="265" customWidth="1"/>
    <col min="10268" max="10496" width="9.140625" style="265"/>
    <col min="10497" max="10497" width="3.42578125" style="265" customWidth="1"/>
    <col min="10498" max="10498" width="5" style="265" customWidth="1"/>
    <col min="10499" max="10499" width="5.42578125" style="265" customWidth="1"/>
    <col min="10500" max="10503" width="9.140625" style="265"/>
    <col min="10504" max="10505" width="4.42578125" style="265" customWidth="1"/>
    <col min="10506" max="10508" width="9.140625" style="265"/>
    <col min="10509" max="10509" width="5.42578125" style="265" customWidth="1"/>
    <col min="10510" max="10510" width="9.140625" style="265"/>
    <col min="10511" max="10511" width="3.42578125" style="265" customWidth="1"/>
    <col min="10512" max="10512" width="5" style="265" customWidth="1"/>
    <col min="10513" max="10513" width="5.42578125" style="265" customWidth="1"/>
    <col min="10514" max="10517" width="9.140625" style="265"/>
    <col min="10518" max="10519" width="4.42578125" style="265" customWidth="1"/>
    <col min="10520" max="10522" width="9.140625" style="265"/>
    <col min="10523" max="10523" width="5.42578125" style="265" customWidth="1"/>
    <col min="10524" max="10752" width="9.140625" style="265"/>
    <col min="10753" max="10753" width="3.42578125" style="265" customWidth="1"/>
    <col min="10754" max="10754" width="5" style="265" customWidth="1"/>
    <col min="10755" max="10755" width="5.42578125" style="265" customWidth="1"/>
    <col min="10756" max="10759" width="9.140625" style="265"/>
    <col min="10760" max="10761" width="4.42578125" style="265" customWidth="1"/>
    <col min="10762" max="10764" width="9.140625" style="265"/>
    <col min="10765" max="10765" width="5.42578125" style="265" customWidth="1"/>
    <col min="10766" max="10766" width="9.140625" style="265"/>
    <col min="10767" max="10767" width="3.42578125" style="265" customWidth="1"/>
    <col min="10768" max="10768" width="5" style="265" customWidth="1"/>
    <col min="10769" max="10769" width="5.42578125" style="265" customWidth="1"/>
    <col min="10770" max="10773" width="9.140625" style="265"/>
    <col min="10774" max="10775" width="4.42578125" style="265" customWidth="1"/>
    <col min="10776" max="10778" width="9.140625" style="265"/>
    <col min="10779" max="10779" width="5.42578125" style="265" customWidth="1"/>
    <col min="10780" max="11008" width="9.140625" style="265"/>
    <col min="11009" max="11009" width="3.42578125" style="265" customWidth="1"/>
    <col min="11010" max="11010" width="5" style="265" customWidth="1"/>
    <col min="11011" max="11011" width="5.42578125" style="265" customWidth="1"/>
    <col min="11012" max="11015" width="9.140625" style="265"/>
    <col min="11016" max="11017" width="4.42578125" style="265" customWidth="1"/>
    <col min="11018" max="11020" width="9.140625" style="265"/>
    <col min="11021" max="11021" width="5.42578125" style="265" customWidth="1"/>
    <col min="11022" max="11022" width="9.140625" style="265"/>
    <col min="11023" max="11023" width="3.42578125" style="265" customWidth="1"/>
    <col min="11024" max="11024" width="5" style="265" customWidth="1"/>
    <col min="11025" max="11025" width="5.42578125" style="265" customWidth="1"/>
    <col min="11026" max="11029" width="9.140625" style="265"/>
    <col min="11030" max="11031" width="4.42578125" style="265" customWidth="1"/>
    <col min="11032" max="11034" width="9.140625" style="265"/>
    <col min="11035" max="11035" width="5.42578125" style="265" customWidth="1"/>
    <col min="11036" max="11264" width="9.140625" style="265"/>
    <col min="11265" max="11265" width="3.42578125" style="265" customWidth="1"/>
    <col min="11266" max="11266" width="5" style="265" customWidth="1"/>
    <col min="11267" max="11267" width="5.42578125" style="265" customWidth="1"/>
    <col min="11268" max="11271" width="9.140625" style="265"/>
    <col min="11272" max="11273" width="4.42578125" style="265" customWidth="1"/>
    <col min="11274" max="11276" width="9.140625" style="265"/>
    <col min="11277" max="11277" width="5.42578125" style="265" customWidth="1"/>
    <col min="11278" max="11278" width="9.140625" style="265"/>
    <col min="11279" max="11279" width="3.42578125" style="265" customWidth="1"/>
    <col min="11280" max="11280" width="5" style="265" customWidth="1"/>
    <col min="11281" max="11281" width="5.42578125" style="265" customWidth="1"/>
    <col min="11282" max="11285" width="9.140625" style="265"/>
    <col min="11286" max="11287" width="4.42578125" style="265" customWidth="1"/>
    <col min="11288" max="11290" width="9.140625" style="265"/>
    <col min="11291" max="11291" width="5.42578125" style="265" customWidth="1"/>
    <col min="11292" max="11520" width="9.140625" style="265"/>
    <col min="11521" max="11521" width="3.42578125" style="265" customWidth="1"/>
    <col min="11522" max="11522" width="5" style="265" customWidth="1"/>
    <col min="11523" max="11523" width="5.42578125" style="265" customWidth="1"/>
    <col min="11524" max="11527" width="9.140625" style="265"/>
    <col min="11528" max="11529" width="4.42578125" style="265" customWidth="1"/>
    <col min="11530" max="11532" width="9.140625" style="265"/>
    <col min="11533" max="11533" width="5.42578125" style="265" customWidth="1"/>
    <col min="11534" max="11534" width="9.140625" style="265"/>
    <col min="11535" max="11535" width="3.42578125" style="265" customWidth="1"/>
    <col min="11536" max="11536" width="5" style="265" customWidth="1"/>
    <col min="11537" max="11537" width="5.42578125" style="265" customWidth="1"/>
    <col min="11538" max="11541" width="9.140625" style="265"/>
    <col min="11542" max="11543" width="4.42578125" style="265" customWidth="1"/>
    <col min="11544" max="11546" width="9.140625" style="265"/>
    <col min="11547" max="11547" width="5.42578125" style="265" customWidth="1"/>
    <col min="11548" max="11776" width="9.140625" style="265"/>
    <col min="11777" max="11777" width="3.42578125" style="265" customWidth="1"/>
    <col min="11778" max="11778" width="5" style="265" customWidth="1"/>
    <col min="11779" max="11779" width="5.42578125" style="265" customWidth="1"/>
    <col min="11780" max="11783" width="9.140625" style="265"/>
    <col min="11784" max="11785" width="4.42578125" style="265" customWidth="1"/>
    <col min="11786" max="11788" width="9.140625" style="265"/>
    <col min="11789" max="11789" width="5.42578125" style="265" customWidth="1"/>
    <col min="11790" max="11790" width="9.140625" style="265"/>
    <col min="11791" max="11791" width="3.42578125" style="265" customWidth="1"/>
    <col min="11792" max="11792" width="5" style="265" customWidth="1"/>
    <col min="11793" max="11793" width="5.42578125" style="265" customWidth="1"/>
    <col min="11794" max="11797" width="9.140625" style="265"/>
    <col min="11798" max="11799" width="4.42578125" style="265" customWidth="1"/>
    <col min="11800" max="11802" width="9.140625" style="265"/>
    <col min="11803" max="11803" width="5.42578125" style="265" customWidth="1"/>
    <col min="11804" max="12032" width="9.140625" style="265"/>
    <col min="12033" max="12033" width="3.42578125" style="265" customWidth="1"/>
    <col min="12034" max="12034" width="5" style="265" customWidth="1"/>
    <col min="12035" max="12035" width="5.42578125" style="265" customWidth="1"/>
    <col min="12036" max="12039" width="9.140625" style="265"/>
    <col min="12040" max="12041" width="4.42578125" style="265" customWidth="1"/>
    <col min="12042" max="12044" width="9.140625" style="265"/>
    <col min="12045" max="12045" width="5.42578125" style="265" customWidth="1"/>
    <col min="12046" max="12046" width="9.140625" style="265"/>
    <col min="12047" max="12047" width="3.42578125" style="265" customWidth="1"/>
    <col min="12048" max="12048" width="5" style="265" customWidth="1"/>
    <col min="12049" max="12049" width="5.42578125" style="265" customWidth="1"/>
    <col min="12050" max="12053" width="9.140625" style="265"/>
    <col min="12054" max="12055" width="4.42578125" style="265" customWidth="1"/>
    <col min="12056" max="12058" width="9.140625" style="265"/>
    <col min="12059" max="12059" width="5.42578125" style="265" customWidth="1"/>
    <col min="12060" max="12288" width="9.140625" style="265"/>
    <col min="12289" max="12289" width="3.42578125" style="265" customWidth="1"/>
    <col min="12290" max="12290" width="5" style="265" customWidth="1"/>
    <col min="12291" max="12291" width="5.42578125" style="265" customWidth="1"/>
    <col min="12292" max="12295" width="9.140625" style="265"/>
    <col min="12296" max="12297" width="4.42578125" style="265" customWidth="1"/>
    <col min="12298" max="12300" width="9.140625" style="265"/>
    <col min="12301" max="12301" width="5.42578125" style="265" customWidth="1"/>
    <col min="12302" max="12302" width="9.140625" style="265"/>
    <col min="12303" max="12303" width="3.42578125" style="265" customWidth="1"/>
    <col min="12304" max="12304" width="5" style="265" customWidth="1"/>
    <col min="12305" max="12305" width="5.42578125" style="265" customWidth="1"/>
    <col min="12306" max="12309" width="9.140625" style="265"/>
    <col min="12310" max="12311" width="4.42578125" style="265" customWidth="1"/>
    <col min="12312" max="12314" width="9.140625" style="265"/>
    <col min="12315" max="12315" width="5.42578125" style="265" customWidth="1"/>
    <col min="12316" max="12544" width="9.140625" style="265"/>
    <col min="12545" max="12545" width="3.42578125" style="265" customWidth="1"/>
    <col min="12546" max="12546" width="5" style="265" customWidth="1"/>
    <col min="12547" max="12547" width="5.42578125" style="265" customWidth="1"/>
    <col min="12548" max="12551" width="9.140625" style="265"/>
    <col min="12552" max="12553" width="4.42578125" style="265" customWidth="1"/>
    <col min="12554" max="12556" width="9.140625" style="265"/>
    <col min="12557" max="12557" width="5.42578125" style="265" customWidth="1"/>
    <col min="12558" max="12558" width="9.140625" style="265"/>
    <col min="12559" max="12559" width="3.42578125" style="265" customWidth="1"/>
    <col min="12560" max="12560" width="5" style="265" customWidth="1"/>
    <col min="12561" max="12561" width="5.42578125" style="265" customWidth="1"/>
    <col min="12562" max="12565" width="9.140625" style="265"/>
    <col min="12566" max="12567" width="4.42578125" style="265" customWidth="1"/>
    <col min="12568" max="12570" width="9.140625" style="265"/>
    <col min="12571" max="12571" width="5.42578125" style="265" customWidth="1"/>
    <col min="12572" max="12800" width="9.140625" style="265"/>
    <col min="12801" max="12801" width="3.42578125" style="265" customWidth="1"/>
    <col min="12802" max="12802" width="5" style="265" customWidth="1"/>
    <col min="12803" max="12803" width="5.42578125" style="265" customWidth="1"/>
    <col min="12804" max="12807" width="9.140625" style="265"/>
    <col min="12808" max="12809" width="4.42578125" style="265" customWidth="1"/>
    <col min="12810" max="12812" width="9.140625" style="265"/>
    <col min="12813" max="12813" width="5.42578125" style="265" customWidth="1"/>
    <col min="12814" max="12814" width="9.140625" style="265"/>
    <col min="12815" max="12815" width="3.42578125" style="265" customWidth="1"/>
    <col min="12816" max="12816" width="5" style="265" customWidth="1"/>
    <col min="12817" max="12817" width="5.42578125" style="265" customWidth="1"/>
    <col min="12818" max="12821" width="9.140625" style="265"/>
    <col min="12822" max="12823" width="4.42578125" style="265" customWidth="1"/>
    <col min="12824" max="12826" width="9.140625" style="265"/>
    <col min="12827" max="12827" width="5.42578125" style="265" customWidth="1"/>
    <col min="12828" max="13056" width="9.140625" style="265"/>
    <col min="13057" max="13057" width="3.42578125" style="265" customWidth="1"/>
    <col min="13058" max="13058" width="5" style="265" customWidth="1"/>
    <col min="13059" max="13059" width="5.42578125" style="265" customWidth="1"/>
    <col min="13060" max="13063" width="9.140625" style="265"/>
    <col min="13064" max="13065" width="4.42578125" style="265" customWidth="1"/>
    <col min="13066" max="13068" width="9.140625" style="265"/>
    <col min="13069" max="13069" width="5.42578125" style="265" customWidth="1"/>
    <col min="13070" max="13070" width="9.140625" style="265"/>
    <col min="13071" max="13071" width="3.42578125" style="265" customWidth="1"/>
    <col min="13072" max="13072" width="5" style="265" customWidth="1"/>
    <col min="13073" max="13073" width="5.42578125" style="265" customWidth="1"/>
    <col min="13074" max="13077" width="9.140625" style="265"/>
    <col min="13078" max="13079" width="4.42578125" style="265" customWidth="1"/>
    <col min="13080" max="13082" width="9.140625" style="265"/>
    <col min="13083" max="13083" width="5.42578125" style="265" customWidth="1"/>
    <col min="13084" max="13312" width="9.140625" style="265"/>
    <col min="13313" max="13313" width="3.42578125" style="265" customWidth="1"/>
    <col min="13314" max="13314" width="5" style="265" customWidth="1"/>
    <col min="13315" max="13315" width="5.42578125" style="265" customWidth="1"/>
    <col min="13316" max="13319" width="9.140625" style="265"/>
    <col min="13320" max="13321" width="4.42578125" style="265" customWidth="1"/>
    <col min="13322" max="13324" width="9.140625" style="265"/>
    <col min="13325" max="13325" width="5.42578125" style="265" customWidth="1"/>
    <col min="13326" max="13326" width="9.140625" style="265"/>
    <col min="13327" max="13327" width="3.42578125" style="265" customWidth="1"/>
    <col min="13328" max="13328" width="5" style="265" customWidth="1"/>
    <col min="13329" max="13329" width="5.42578125" style="265" customWidth="1"/>
    <col min="13330" max="13333" width="9.140625" style="265"/>
    <col min="13334" max="13335" width="4.42578125" style="265" customWidth="1"/>
    <col min="13336" max="13338" width="9.140625" style="265"/>
    <col min="13339" max="13339" width="5.42578125" style="265" customWidth="1"/>
    <col min="13340" max="13568" width="9.140625" style="265"/>
    <col min="13569" max="13569" width="3.42578125" style="265" customWidth="1"/>
    <col min="13570" max="13570" width="5" style="265" customWidth="1"/>
    <col min="13571" max="13571" width="5.42578125" style="265" customWidth="1"/>
    <col min="13572" max="13575" width="9.140625" style="265"/>
    <col min="13576" max="13577" width="4.42578125" style="265" customWidth="1"/>
    <col min="13578" max="13580" width="9.140625" style="265"/>
    <col min="13581" max="13581" width="5.42578125" style="265" customWidth="1"/>
    <col min="13582" max="13582" width="9.140625" style="265"/>
    <col min="13583" max="13583" width="3.42578125" style="265" customWidth="1"/>
    <col min="13584" max="13584" width="5" style="265" customWidth="1"/>
    <col min="13585" max="13585" width="5.42578125" style="265" customWidth="1"/>
    <col min="13586" max="13589" width="9.140625" style="265"/>
    <col min="13590" max="13591" width="4.42578125" style="265" customWidth="1"/>
    <col min="13592" max="13594" width="9.140625" style="265"/>
    <col min="13595" max="13595" width="5.42578125" style="265" customWidth="1"/>
    <col min="13596" max="13824" width="9.140625" style="265"/>
    <col min="13825" max="13825" width="3.42578125" style="265" customWidth="1"/>
    <col min="13826" max="13826" width="5" style="265" customWidth="1"/>
    <col min="13827" max="13827" width="5.42578125" style="265" customWidth="1"/>
    <col min="13828" max="13831" width="9.140625" style="265"/>
    <col min="13832" max="13833" width="4.42578125" style="265" customWidth="1"/>
    <col min="13834" max="13836" width="9.140625" style="265"/>
    <col min="13837" max="13837" width="5.42578125" style="265" customWidth="1"/>
    <col min="13838" max="13838" width="9.140625" style="265"/>
    <col min="13839" max="13839" width="3.42578125" style="265" customWidth="1"/>
    <col min="13840" max="13840" width="5" style="265" customWidth="1"/>
    <col min="13841" max="13841" width="5.42578125" style="265" customWidth="1"/>
    <col min="13842" max="13845" width="9.140625" style="265"/>
    <col min="13846" max="13847" width="4.42578125" style="265" customWidth="1"/>
    <col min="13848" max="13850" width="9.140625" style="265"/>
    <col min="13851" max="13851" width="5.42578125" style="265" customWidth="1"/>
    <col min="13852" max="14080" width="9.140625" style="265"/>
    <col min="14081" max="14081" width="3.42578125" style="265" customWidth="1"/>
    <col min="14082" max="14082" width="5" style="265" customWidth="1"/>
    <col min="14083" max="14083" width="5.42578125" style="265" customWidth="1"/>
    <col min="14084" max="14087" width="9.140625" style="265"/>
    <col min="14088" max="14089" width="4.42578125" style="265" customWidth="1"/>
    <col min="14090" max="14092" width="9.140625" style="265"/>
    <col min="14093" max="14093" width="5.42578125" style="265" customWidth="1"/>
    <col min="14094" max="14094" width="9.140625" style="265"/>
    <col min="14095" max="14095" width="3.42578125" style="265" customWidth="1"/>
    <col min="14096" max="14096" width="5" style="265" customWidth="1"/>
    <col min="14097" max="14097" width="5.42578125" style="265" customWidth="1"/>
    <col min="14098" max="14101" width="9.140625" style="265"/>
    <col min="14102" max="14103" width="4.42578125" style="265" customWidth="1"/>
    <col min="14104" max="14106" width="9.140625" style="265"/>
    <col min="14107" max="14107" width="5.42578125" style="265" customWidth="1"/>
    <col min="14108" max="14336" width="9.140625" style="265"/>
    <col min="14337" max="14337" width="3.42578125" style="265" customWidth="1"/>
    <col min="14338" max="14338" width="5" style="265" customWidth="1"/>
    <col min="14339" max="14339" width="5.42578125" style="265" customWidth="1"/>
    <col min="14340" max="14343" width="9.140625" style="265"/>
    <col min="14344" max="14345" width="4.42578125" style="265" customWidth="1"/>
    <col min="14346" max="14348" width="9.140625" style="265"/>
    <col min="14349" max="14349" width="5.42578125" style="265" customWidth="1"/>
    <col min="14350" max="14350" width="9.140625" style="265"/>
    <col min="14351" max="14351" width="3.42578125" style="265" customWidth="1"/>
    <col min="14352" max="14352" width="5" style="265" customWidth="1"/>
    <col min="14353" max="14353" width="5.42578125" style="265" customWidth="1"/>
    <col min="14354" max="14357" width="9.140625" style="265"/>
    <col min="14358" max="14359" width="4.42578125" style="265" customWidth="1"/>
    <col min="14360" max="14362" width="9.140625" style="265"/>
    <col min="14363" max="14363" width="5.42578125" style="265" customWidth="1"/>
    <col min="14364" max="14592" width="9.140625" style="265"/>
    <col min="14593" max="14593" width="3.42578125" style="265" customWidth="1"/>
    <col min="14594" max="14594" width="5" style="265" customWidth="1"/>
    <col min="14595" max="14595" width="5.42578125" style="265" customWidth="1"/>
    <col min="14596" max="14599" width="9.140625" style="265"/>
    <col min="14600" max="14601" width="4.42578125" style="265" customWidth="1"/>
    <col min="14602" max="14604" width="9.140625" style="265"/>
    <col min="14605" max="14605" width="5.42578125" style="265" customWidth="1"/>
    <col min="14606" max="14606" width="9.140625" style="265"/>
    <col min="14607" max="14607" width="3.42578125" style="265" customWidth="1"/>
    <col min="14608" max="14608" width="5" style="265" customWidth="1"/>
    <col min="14609" max="14609" width="5.42578125" style="265" customWidth="1"/>
    <col min="14610" max="14613" width="9.140625" style="265"/>
    <col min="14614" max="14615" width="4.42578125" style="265" customWidth="1"/>
    <col min="14616" max="14618" width="9.140625" style="265"/>
    <col min="14619" max="14619" width="5.42578125" style="265" customWidth="1"/>
    <col min="14620" max="14848" width="9.140625" style="265"/>
    <col min="14849" max="14849" width="3.42578125" style="265" customWidth="1"/>
    <col min="14850" max="14850" width="5" style="265" customWidth="1"/>
    <col min="14851" max="14851" width="5.42578125" style="265" customWidth="1"/>
    <col min="14852" max="14855" width="9.140625" style="265"/>
    <col min="14856" max="14857" width="4.42578125" style="265" customWidth="1"/>
    <col min="14858" max="14860" width="9.140625" style="265"/>
    <col min="14861" max="14861" width="5.42578125" style="265" customWidth="1"/>
    <col min="14862" max="14862" width="9.140625" style="265"/>
    <col min="14863" max="14863" width="3.42578125" style="265" customWidth="1"/>
    <col min="14864" max="14864" width="5" style="265" customWidth="1"/>
    <col min="14865" max="14865" width="5.42578125" style="265" customWidth="1"/>
    <col min="14866" max="14869" width="9.140625" style="265"/>
    <col min="14870" max="14871" width="4.42578125" style="265" customWidth="1"/>
    <col min="14872" max="14874" width="9.140625" style="265"/>
    <col min="14875" max="14875" width="5.42578125" style="265" customWidth="1"/>
    <col min="14876" max="15104" width="9.140625" style="265"/>
    <col min="15105" max="15105" width="3.42578125" style="265" customWidth="1"/>
    <col min="15106" max="15106" width="5" style="265" customWidth="1"/>
    <col min="15107" max="15107" width="5.42578125" style="265" customWidth="1"/>
    <col min="15108" max="15111" width="9.140625" style="265"/>
    <col min="15112" max="15113" width="4.42578125" style="265" customWidth="1"/>
    <col min="15114" max="15116" width="9.140625" style="265"/>
    <col min="15117" max="15117" width="5.42578125" style="265" customWidth="1"/>
    <col min="15118" max="15118" width="9.140625" style="265"/>
    <col min="15119" max="15119" width="3.42578125" style="265" customWidth="1"/>
    <col min="15120" max="15120" width="5" style="265" customWidth="1"/>
    <col min="15121" max="15121" width="5.42578125" style="265" customWidth="1"/>
    <col min="15122" max="15125" width="9.140625" style="265"/>
    <col min="15126" max="15127" width="4.42578125" style="265" customWidth="1"/>
    <col min="15128" max="15130" width="9.140625" style="265"/>
    <col min="15131" max="15131" width="5.42578125" style="265" customWidth="1"/>
    <col min="15132" max="15360" width="9.140625" style="265"/>
    <col min="15361" max="15361" width="3.42578125" style="265" customWidth="1"/>
    <col min="15362" max="15362" width="5" style="265" customWidth="1"/>
    <col min="15363" max="15363" width="5.42578125" style="265" customWidth="1"/>
    <col min="15364" max="15367" width="9.140625" style="265"/>
    <col min="15368" max="15369" width="4.42578125" style="265" customWidth="1"/>
    <col min="15370" max="15372" width="9.140625" style="265"/>
    <col min="15373" max="15373" width="5.42578125" style="265" customWidth="1"/>
    <col min="15374" max="15374" width="9.140625" style="265"/>
    <col min="15375" max="15375" width="3.42578125" style="265" customWidth="1"/>
    <col min="15376" max="15376" width="5" style="265" customWidth="1"/>
    <col min="15377" max="15377" width="5.42578125" style="265" customWidth="1"/>
    <col min="15378" max="15381" width="9.140625" style="265"/>
    <col min="15382" max="15383" width="4.42578125" style="265" customWidth="1"/>
    <col min="15384" max="15386" width="9.140625" style="265"/>
    <col min="15387" max="15387" width="5.42578125" style="265" customWidth="1"/>
    <col min="15388" max="15616" width="9.140625" style="265"/>
    <col min="15617" max="15617" width="3.42578125" style="265" customWidth="1"/>
    <col min="15618" max="15618" width="5" style="265" customWidth="1"/>
    <col min="15619" max="15619" width="5.42578125" style="265" customWidth="1"/>
    <col min="15620" max="15623" width="9.140625" style="265"/>
    <col min="15624" max="15625" width="4.42578125" style="265" customWidth="1"/>
    <col min="15626" max="15628" width="9.140625" style="265"/>
    <col min="15629" max="15629" width="5.42578125" style="265" customWidth="1"/>
    <col min="15630" max="15630" width="9.140625" style="265"/>
    <col min="15631" max="15631" width="3.42578125" style="265" customWidth="1"/>
    <col min="15632" max="15632" width="5" style="265" customWidth="1"/>
    <col min="15633" max="15633" width="5.42578125" style="265" customWidth="1"/>
    <col min="15634" max="15637" width="9.140625" style="265"/>
    <col min="15638" max="15639" width="4.42578125" style="265" customWidth="1"/>
    <col min="15640" max="15642" width="9.140625" style="265"/>
    <col min="15643" max="15643" width="5.42578125" style="265" customWidth="1"/>
    <col min="15644" max="15872" width="9.140625" style="265"/>
    <col min="15873" max="15873" width="3.42578125" style="265" customWidth="1"/>
    <col min="15874" max="15874" width="5" style="265" customWidth="1"/>
    <col min="15875" max="15875" width="5.42578125" style="265" customWidth="1"/>
    <col min="15876" max="15879" width="9.140625" style="265"/>
    <col min="15880" max="15881" width="4.42578125" style="265" customWidth="1"/>
    <col min="15882" max="15884" width="9.140625" style="265"/>
    <col min="15885" max="15885" width="5.42578125" style="265" customWidth="1"/>
    <col min="15886" max="15886" width="9.140625" style="265"/>
    <col min="15887" max="15887" width="3.42578125" style="265" customWidth="1"/>
    <col min="15888" max="15888" width="5" style="265" customWidth="1"/>
    <col min="15889" max="15889" width="5.42578125" style="265" customWidth="1"/>
    <col min="15890" max="15893" width="9.140625" style="265"/>
    <col min="15894" max="15895" width="4.42578125" style="265" customWidth="1"/>
    <col min="15896" max="15898" width="9.140625" style="265"/>
    <col min="15899" max="15899" width="5.42578125" style="265" customWidth="1"/>
    <col min="15900" max="16128" width="9.140625" style="265"/>
    <col min="16129" max="16129" width="3.42578125" style="265" customWidth="1"/>
    <col min="16130" max="16130" width="5" style="265" customWidth="1"/>
    <col min="16131" max="16131" width="5.42578125" style="265" customWidth="1"/>
    <col min="16132" max="16135" width="9.140625" style="265"/>
    <col min="16136" max="16137" width="4.42578125" style="265" customWidth="1"/>
    <col min="16138" max="16140" width="9.140625" style="265"/>
    <col min="16141" max="16141" width="5.42578125" style="265" customWidth="1"/>
    <col min="16142" max="16142" width="9.140625" style="265"/>
    <col min="16143" max="16143" width="3.42578125" style="265" customWidth="1"/>
    <col min="16144" max="16144" width="5" style="265" customWidth="1"/>
    <col min="16145" max="16145" width="5.42578125" style="265" customWidth="1"/>
    <col min="16146" max="16149" width="9.140625" style="265"/>
    <col min="16150" max="16151" width="4.42578125" style="265" customWidth="1"/>
    <col min="16152" max="16154" width="9.140625" style="265"/>
    <col min="16155" max="16155" width="5.42578125" style="265" customWidth="1"/>
    <col min="16156" max="16384" width="9.140625" style="265"/>
  </cols>
  <sheetData>
    <row r="1" spans="1:28" ht="45" customHeight="1">
      <c r="A1" s="256"/>
      <c r="B1" s="256"/>
      <c r="C1" s="256"/>
      <c r="D1" s="256"/>
      <c r="E1" s="256"/>
      <c r="F1" s="256"/>
      <c r="G1" s="256"/>
      <c r="H1" s="256"/>
      <c r="I1" s="256"/>
      <c r="J1" s="908"/>
      <c r="K1" s="908"/>
      <c r="L1" s="908"/>
      <c r="M1" s="908"/>
      <c r="N1" s="908"/>
      <c r="O1" s="256"/>
      <c r="P1" s="256"/>
      <c r="Q1" s="256"/>
      <c r="R1" s="256"/>
      <c r="S1" s="256"/>
      <c r="T1" s="256"/>
      <c r="U1" s="256"/>
      <c r="V1" s="256"/>
      <c r="W1" s="256"/>
      <c r="X1" s="908"/>
      <c r="Y1" s="908"/>
      <c r="Z1" s="908"/>
      <c r="AA1" s="908"/>
      <c r="AB1" s="908"/>
    </row>
    <row r="2" spans="1:28" s="261" customFormat="1" ht="30" customHeight="1">
      <c r="A2" s="909">
        <f>+FOTO!A2</f>
        <v>0</v>
      </c>
      <c r="B2" s="909"/>
      <c r="C2" s="279" t="str">
        <f>+FOTO!C2</f>
        <v>/ …</v>
      </c>
      <c r="D2" s="260"/>
      <c r="E2" s="260"/>
      <c r="F2" s="260"/>
      <c r="G2" s="260"/>
      <c r="H2" s="260"/>
      <c r="I2" s="260"/>
      <c r="J2" s="260"/>
      <c r="K2" s="260"/>
      <c r="L2" s="260"/>
      <c r="M2" s="260"/>
      <c r="N2" s="260"/>
      <c r="O2" s="909">
        <f>+A2</f>
        <v>0</v>
      </c>
      <c r="P2" s="909"/>
      <c r="Q2" s="279" t="str">
        <f>+C2</f>
        <v>/ …</v>
      </c>
      <c r="R2" s="260"/>
      <c r="S2" s="260"/>
      <c r="T2" s="260"/>
      <c r="U2" s="260"/>
      <c r="V2" s="260"/>
      <c r="W2" s="260"/>
      <c r="X2" s="260"/>
      <c r="Y2" s="260"/>
      <c r="Z2" s="260"/>
      <c r="AA2" s="260"/>
    </row>
    <row r="3" spans="1:28" s="261" customFormat="1" ht="12.75" customHeight="1">
      <c r="A3" s="280"/>
      <c r="B3" s="280"/>
      <c r="C3" s="279"/>
      <c r="D3" s="260"/>
      <c r="E3" s="260"/>
      <c r="F3" s="260"/>
      <c r="G3" s="260"/>
      <c r="H3" s="260"/>
      <c r="I3" s="260"/>
      <c r="J3" s="260"/>
      <c r="K3" s="260"/>
      <c r="L3" s="260"/>
      <c r="M3" s="260"/>
      <c r="N3" s="260"/>
      <c r="O3" s="280"/>
      <c r="P3" s="280"/>
      <c r="Q3" s="279"/>
      <c r="R3" s="260"/>
      <c r="S3" s="260"/>
      <c r="T3" s="260"/>
      <c r="U3" s="260"/>
      <c r="V3" s="260"/>
      <c r="W3" s="260"/>
      <c r="X3" s="260"/>
      <c r="Y3" s="260"/>
      <c r="Z3" s="260"/>
      <c r="AA3" s="260"/>
    </row>
    <row r="4" spans="1:28" s="261" customFormat="1" ht="12.75" customHeight="1">
      <c r="A4" s="280"/>
      <c r="B4" s="907" t="s">
        <v>503</v>
      </c>
      <c r="C4" s="907"/>
      <c r="D4" s="907"/>
      <c r="E4" s="907"/>
      <c r="F4" s="907"/>
      <c r="G4" s="907"/>
      <c r="H4" s="907"/>
      <c r="I4" s="907"/>
      <c r="J4" s="907"/>
      <c r="K4" s="907"/>
      <c r="L4" s="907"/>
      <c r="M4" s="907"/>
      <c r="N4" s="907"/>
      <c r="O4" s="280"/>
      <c r="P4" s="907" t="s">
        <v>504</v>
      </c>
      <c r="Q4" s="907"/>
      <c r="R4" s="907"/>
      <c r="S4" s="907"/>
      <c r="T4" s="907"/>
      <c r="U4" s="907"/>
      <c r="V4" s="907"/>
      <c r="W4" s="907"/>
      <c r="X4" s="907"/>
      <c r="Y4" s="907"/>
      <c r="Z4" s="907"/>
      <c r="AA4" s="907"/>
      <c r="AB4" s="907"/>
    </row>
    <row r="5" spans="1:28" s="261" customFormat="1" ht="12.75" customHeight="1">
      <c r="A5" s="280"/>
      <c r="B5" s="280"/>
      <c r="C5" s="279"/>
      <c r="D5" s="260"/>
      <c r="E5" s="260"/>
      <c r="F5" s="260"/>
      <c r="G5" s="260"/>
      <c r="H5" s="260"/>
      <c r="I5" s="260"/>
      <c r="J5" s="260"/>
      <c r="K5" s="260"/>
      <c r="L5" s="260"/>
      <c r="M5" s="260"/>
      <c r="N5" s="260"/>
      <c r="O5" s="280"/>
      <c r="P5" s="280"/>
      <c r="Q5" s="279"/>
      <c r="R5" s="260"/>
      <c r="S5" s="260"/>
      <c r="T5" s="260"/>
      <c r="U5" s="260"/>
      <c r="V5" s="260"/>
      <c r="W5" s="260"/>
      <c r="X5" s="260"/>
      <c r="Y5" s="260"/>
      <c r="Z5" s="260"/>
      <c r="AA5" s="260"/>
    </row>
    <row r="6" spans="1:28" ht="12.75" customHeight="1">
      <c r="A6" s="262"/>
      <c r="B6" s="262"/>
      <c r="C6" s="262"/>
      <c r="D6" s="262"/>
      <c r="E6" s="262"/>
      <c r="F6" s="262"/>
      <c r="G6" s="262"/>
      <c r="H6" s="262"/>
      <c r="I6" s="262"/>
      <c r="J6" s="262"/>
      <c r="K6" s="262"/>
      <c r="L6" s="262"/>
      <c r="M6" s="262"/>
      <c r="N6" s="262"/>
      <c r="O6" s="262"/>
      <c r="P6" s="262"/>
      <c r="Q6" s="262"/>
      <c r="R6" s="262"/>
      <c r="S6" s="262"/>
      <c r="T6" s="262"/>
      <c r="U6" s="262"/>
      <c r="V6" s="262"/>
      <c r="W6" s="262"/>
      <c r="X6" s="262"/>
      <c r="Y6" s="262"/>
      <c r="Z6" s="262"/>
      <c r="AA6" s="262"/>
      <c r="AB6" s="262"/>
    </row>
    <row r="7" spans="1:28" ht="12.75">
      <c r="A7" s="262"/>
      <c r="B7" s="262"/>
      <c r="C7" s="262"/>
      <c r="D7" s="262"/>
      <c r="E7" s="262"/>
      <c r="F7" s="262"/>
      <c r="G7" s="262"/>
      <c r="H7" s="262"/>
      <c r="I7" s="262"/>
      <c r="J7" s="262"/>
      <c r="K7" s="262"/>
      <c r="L7" s="262"/>
      <c r="M7" s="262"/>
      <c r="N7" s="262"/>
      <c r="O7" s="262"/>
      <c r="P7" s="262"/>
      <c r="Q7" s="262"/>
      <c r="R7" s="262"/>
      <c r="S7" s="262"/>
      <c r="T7" s="262"/>
      <c r="U7" s="262"/>
      <c r="V7" s="262"/>
      <c r="W7" s="262"/>
      <c r="X7" s="262"/>
      <c r="Y7" s="262"/>
      <c r="Z7" s="262"/>
      <c r="AA7" s="262"/>
      <c r="AB7" s="262"/>
    </row>
    <row r="8" spans="1:28" ht="12.75">
      <c r="A8" s="262"/>
      <c r="B8" s="262"/>
      <c r="C8" s="262"/>
      <c r="D8" s="262"/>
      <c r="E8" s="262"/>
      <c r="F8" s="262"/>
      <c r="G8" s="262"/>
      <c r="H8" s="262"/>
      <c r="I8" s="262"/>
      <c r="J8" s="262"/>
      <c r="K8" s="262"/>
      <c r="L8" s="262"/>
      <c r="M8" s="262"/>
      <c r="N8" s="262"/>
      <c r="O8" s="262"/>
      <c r="P8" s="262"/>
      <c r="Q8" s="262"/>
      <c r="R8" s="262"/>
      <c r="S8" s="262"/>
      <c r="T8" s="262"/>
      <c r="U8" s="262"/>
      <c r="V8" s="262"/>
      <c r="W8" s="262"/>
      <c r="X8" s="262"/>
      <c r="Y8" s="262"/>
      <c r="Z8" s="262"/>
      <c r="AA8" s="262"/>
      <c r="AB8" s="262"/>
    </row>
    <row r="9" spans="1:28" ht="12.75" customHeight="1">
      <c r="A9" s="262"/>
      <c r="B9" s="262"/>
      <c r="C9" s="262"/>
      <c r="D9" s="262"/>
      <c r="E9" s="262"/>
      <c r="F9" s="262"/>
      <c r="G9" s="262"/>
      <c r="H9" s="262"/>
      <c r="I9" s="262"/>
      <c r="J9" s="262"/>
      <c r="K9" s="262"/>
      <c r="L9" s="262"/>
      <c r="M9" s="262"/>
      <c r="N9" s="262"/>
      <c r="O9" s="262"/>
      <c r="P9" s="262"/>
      <c r="Q9" s="262"/>
      <c r="R9" s="262"/>
      <c r="S9" s="262"/>
      <c r="T9" s="262"/>
      <c r="U9" s="262"/>
      <c r="V9" s="262"/>
      <c r="W9" s="262"/>
      <c r="X9" s="262"/>
      <c r="Y9" s="262"/>
      <c r="Z9" s="262"/>
      <c r="AA9" s="262"/>
      <c r="AB9" s="262"/>
    </row>
    <row r="10" spans="1:28" ht="12.75">
      <c r="A10" s="262"/>
      <c r="B10" s="262"/>
      <c r="C10" s="262"/>
      <c r="D10" s="262"/>
      <c r="E10" s="262"/>
      <c r="F10" s="262"/>
      <c r="G10" s="262"/>
      <c r="H10" s="262"/>
      <c r="I10" s="262"/>
      <c r="J10" s="262"/>
      <c r="K10" s="262"/>
      <c r="L10" s="262"/>
      <c r="M10" s="262"/>
      <c r="N10" s="262"/>
      <c r="O10" s="262"/>
      <c r="P10" s="262"/>
      <c r="Q10" s="262"/>
      <c r="R10" s="262"/>
      <c r="S10" s="262"/>
      <c r="T10" s="262"/>
      <c r="U10" s="262"/>
      <c r="V10" s="262"/>
      <c r="W10" s="262"/>
      <c r="X10" s="262"/>
      <c r="Y10" s="262"/>
      <c r="Z10" s="262"/>
      <c r="AA10" s="262"/>
      <c r="AB10" s="262"/>
    </row>
    <row r="11" spans="1:28" ht="12.75">
      <c r="A11" s="262"/>
      <c r="B11" s="262"/>
      <c r="C11" s="262"/>
      <c r="D11" s="262"/>
      <c r="E11" s="262"/>
      <c r="F11" s="262"/>
      <c r="G11" s="262"/>
      <c r="H11" s="262"/>
      <c r="I11" s="262"/>
      <c r="J11" s="262"/>
      <c r="K11" s="262"/>
      <c r="L11" s="262"/>
      <c r="M11" s="262"/>
      <c r="N11" s="262"/>
      <c r="O11" s="262"/>
      <c r="P11" s="262"/>
      <c r="Q11" s="262"/>
      <c r="R11" s="262"/>
      <c r="S11" s="262"/>
      <c r="T11" s="262"/>
      <c r="U11" s="262"/>
      <c r="V11" s="262"/>
      <c r="W11" s="262"/>
      <c r="X11" s="262"/>
      <c r="Y11" s="262"/>
      <c r="Z11" s="262"/>
      <c r="AA11" s="262"/>
      <c r="AB11" s="262"/>
    </row>
    <row r="12" spans="1:28" ht="12.75">
      <c r="A12" s="262"/>
      <c r="B12" s="262"/>
      <c r="C12" s="262"/>
      <c r="D12" s="262"/>
      <c r="E12" s="262"/>
      <c r="F12" s="262"/>
      <c r="G12" s="262"/>
      <c r="H12" s="262"/>
      <c r="I12" s="262"/>
      <c r="J12" s="262"/>
      <c r="K12" s="262"/>
      <c r="L12" s="262"/>
      <c r="M12" s="262"/>
      <c r="N12" s="262"/>
      <c r="O12" s="262"/>
      <c r="P12" s="262"/>
      <c r="Q12" s="262"/>
      <c r="R12" s="262"/>
      <c r="S12" s="262"/>
      <c r="T12" s="262"/>
      <c r="U12" s="262"/>
      <c r="V12" s="262"/>
      <c r="W12" s="262"/>
      <c r="X12" s="262"/>
      <c r="Y12" s="262"/>
      <c r="Z12" s="262"/>
      <c r="AA12" s="262"/>
      <c r="AB12" s="262"/>
    </row>
    <row r="13" spans="1:28" ht="12.75">
      <c r="A13" s="262"/>
      <c r="B13" s="262"/>
      <c r="C13" s="262"/>
      <c r="D13" s="262"/>
      <c r="E13" s="262"/>
      <c r="F13" s="262"/>
      <c r="G13" s="262"/>
      <c r="H13" s="262"/>
      <c r="I13" s="262"/>
      <c r="J13" s="262"/>
      <c r="K13" s="262"/>
      <c r="L13" s="262"/>
      <c r="M13" s="262"/>
      <c r="N13" s="262"/>
      <c r="O13" s="262"/>
      <c r="P13" s="262"/>
      <c r="Q13" s="262"/>
      <c r="R13" s="262"/>
      <c r="S13" s="262"/>
      <c r="T13" s="262"/>
      <c r="U13" s="262"/>
      <c r="V13" s="262"/>
      <c r="W13" s="262"/>
      <c r="X13" s="262"/>
      <c r="Y13" s="262"/>
      <c r="Z13" s="262"/>
      <c r="AA13" s="262"/>
      <c r="AB13" s="262"/>
    </row>
    <row r="14" spans="1:28" ht="12.75" customHeight="1">
      <c r="A14" s="262"/>
      <c r="B14" s="262"/>
      <c r="C14" s="262"/>
      <c r="D14" s="262"/>
      <c r="E14" s="262"/>
      <c r="F14" s="262"/>
      <c r="G14" s="262"/>
      <c r="H14" s="262"/>
      <c r="I14" s="262"/>
      <c r="J14" s="262"/>
      <c r="K14" s="262"/>
      <c r="L14" s="262"/>
      <c r="M14" s="262"/>
      <c r="N14" s="262"/>
      <c r="O14" s="262"/>
      <c r="P14" s="262"/>
      <c r="Q14" s="262"/>
      <c r="R14" s="262"/>
      <c r="S14" s="262"/>
      <c r="T14" s="262"/>
      <c r="U14" s="262"/>
      <c r="V14" s="262"/>
      <c r="W14" s="262"/>
      <c r="X14" s="262"/>
      <c r="Y14" s="262"/>
      <c r="Z14" s="262"/>
      <c r="AA14" s="262"/>
      <c r="AB14" s="262"/>
    </row>
    <row r="15" spans="1:28" ht="12.75" customHeight="1">
      <c r="A15" s="262"/>
      <c r="B15" s="262"/>
      <c r="C15" s="262"/>
      <c r="D15" s="262"/>
      <c r="E15" s="262"/>
      <c r="F15" s="262"/>
      <c r="G15" s="262"/>
      <c r="H15" s="262"/>
      <c r="I15" s="262"/>
      <c r="J15" s="262"/>
      <c r="K15" s="262"/>
      <c r="L15" s="262"/>
      <c r="M15" s="262"/>
      <c r="N15" s="262"/>
      <c r="O15" s="262"/>
      <c r="P15" s="262"/>
      <c r="Q15" s="262"/>
      <c r="R15" s="262"/>
      <c r="S15" s="262"/>
      <c r="T15" s="262"/>
      <c r="U15" s="262"/>
      <c r="V15" s="262"/>
      <c r="W15" s="262"/>
      <c r="X15" s="262"/>
      <c r="Y15" s="262"/>
      <c r="Z15" s="262"/>
      <c r="AA15" s="262"/>
      <c r="AB15" s="262"/>
    </row>
    <row r="16" spans="1:28" ht="12.75">
      <c r="A16" s="262"/>
      <c r="B16" s="262"/>
      <c r="C16" s="262"/>
      <c r="D16" s="262"/>
      <c r="E16" s="262"/>
      <c r="F16" s="262"/>
      <c r="G16" s="262"/>
      <c r="H16" s="262"/>
      <c r="I16" s="262"/>
      <c r="J16" s="262"/>
      <c r="K16" s="262"/>
      <c r="L16" s="262"/>
      <c r="M16" s="262"/>
      <c r="N16" s="262"/>
      <c r="O16" s="262"/>
      <c r="P16" s="262"/>
      <c r="Q16" s="262"/>
      <c r="R16" s="262"/>
      <c r="S16" s="262"/>
      <c r="T16" s="262"/>
      <c r="U16" s="262"/>
      <c r="V16" s="262"/>
      <c r="W16" s="262"/>
      <c r="X16" s="262"/>
      <c r="Y16" s="262"/>
      <c r="Z16" s="262"/>
      <c r="AA16" s="262"/>
      <c r="AB16" s="262"/>
    </row>
    <row r="17" spans="1:28" ht="12.75">
      <c r="A17" s="262"/>
      <c r="B17" s="262"/>
      <c r="C17" s="262"/>
      <c r="D17" s="262"/>
      <c r="E17" s="262"/>
      <c r="F17" s="262"/>
      <c r="G17" s="262"/>
      <c r="H17" s="262"/>
      <c r="I17" s="262"/>
      <c r="J17" s="262"/>
      <c r="K17" s="262"/>
      <c r="L17" s="262"/>
      <c r="M17" s="262"/>
      <c r="N17" s="262"/>
      <c r="O17" s="262"/>
      <c r="P17" s="262"/>
      <c r="Q17" s="262"/>
      <c r="R17" s="262"/>
      <c r="S17" s="262"/>
      <c r="T17" s="262"/>
      <c r="U17" s="262"/>
      <c r="V17" s="262"/>
      <c r="W17" s="262"/>
      <c r="X17" s="262"/>
      <c r="Y17" s="262"/>
      <c r="Z17" s="262"/>
      <c r="AA17" s="262"/>
      <c r="AB17" s="262"/>
    </row>
    <row r="18" spans="1:28" ht="12.75">
      <c r="A18" s="262"/>
      <c r="B18" s="262"/>
      <c r="C18" s="262"/>
      <c r="D18" s="262"/>
      <c r="E18" s="262"/>
      <c r="F18" s="262"/>
      <c r="G18" s="262"/>
      <c r="H18" s="262"/>
      <c r="I18" s="262"/>
      <c r="J18" s="262"/>
      <c r="K18" s="262"/>
      <c r="L18" s="262"/>
      <c r="M18" s="262"/>
      <c r="N18" s="262"/>
      <c r="O18" s="262"/>
      <c r="P18" s="262"/>
      <c r="Q18" s="262"/>
      <c r="R18" s="262"/>
      <c r="S18" s="262"/>
      <c r="T18" s="262"/>
      <c r="U18" s="262"/>
      <c r="V18" s="262"/>
      <c r="W18" s="262"/>
      <c r="X18" s="262"/>
      <c r="Y18" s="262"/>
      <c r="Z18" s="262"/>
      <c r="AA18" s="262"/>
      <c r="AB18" s="262"/>
    </row>
    <row r="19" spans="1:28" ht="15.75" customHeight="1">
      <c r="A19" s="262"/>
      <c r="B19" s="262"/>
      <c r="C19" s="262"/>
      <c r="D19" s="262"/>
      <c r="E19" s="262"/>
      <c r="F19" s="262"/>
      <c r="G19" s="262"/>
      <c r="H19" s="262"/>
      <c r="I19" s="262"/>
      <c r="J19" s="262"/>
      <c r="K19" s="262"/>
      <c r="L19" s="262"/>
      <c r="M19" s="262"/>
      <c r="N19" s="262"/>
      <c r="O19" s="262"/>
      <c r="P19" s="262"/>
      <c r="Q19" s="262"/>
      <c r="R19" s="262"/>
      <c r="S19" s="262"/>
      <c r="T19" s="262"/>
      <c r="U19" s="262"/>
      <c r="V19" s="262"/>
      <c r="W19" s="262"/>
      <c r="X19" s="262"/>
      <c r="Y19" s="262"/>
      <c r="Z19" s="262"/>
      <c r="AA19" s="262"/>
      <c r="AB19" s="262"/>
    </row>
    <row r="20" spans="1:28" ht="15.75" customHeight="1">
      <c r="A20" s="262"/>
      <c r="B20" s="262"/>
      <c r="C20" s="262"/>
      <c r="D20" s="262"/>
      <c r="E20" s="262"/>
      <c r="F20" s="262"/>
      <c r="G20" s="262"/>
      <c r="H20" s="262"/>
      <c r="I20" s="262"/>
      <c r="J20" s="262"/>
      <c r="K20" s="262"/>
      <c r="L20" s="262"/>
      <c r="M20" s="262"/>
      <c r="N20" s="262"/>
      <c r="O20" s="262"/>
      <c r="P20" s="262"/>
      <c r="Q20" s="262"/>
      <c r="R20" s="262"/>
      <c r="S20" s="262"/>
      <c r="T20" s="262"/>
      <c r="U20" s="262"/>
      <c r="V20" s="262"/>
      <c r="W20" s="262"/>
      <c r="X20" s="262"/>
      <c r="Y20" s="262"/>
      <c r="Z20" s="262"/>
      <c r="AA20" s="262"/>
      <c r="AB20" s="262"/>
    </row>
    <row r="21" spans="1:28" ht="12.75">
      <c r="A21" s="262"/>
      <c r="B21" s="262"/>
      <c r="C21" s="906"/>
      <c r="D21" s="906"/>
      <c r="E21" s="906"/>
      <c r="F21" s="906"/>
      <c r="G21" s="906"/>
      <c r="I21" s="262"/>
      <c r="J21" s="906"/>
      <c r="K21" s="906"/>
      <c r="L21" s="906"/>
      <c r="M21" s="906"/>
      <c r="N21" s="906"/>
      <c r="O21" s="262"/>
      <c r="P21" s="262"/>
      <c r="Q21" s="906"/>
      <c r="R21" s="906"/>
      <c r="S21" s="906"/>
      <c r="T21" s="906"/>
      <c r="U21" s="906"/>
      <c r="W21" s="262"/>
      <c r="X21" s="906"/>
      <c r="Y21" s="906"/>
      <c r="Z21" s="906"/>
      <c r="AA21" s="906"/>
      <c r="AB21" s="906"/>
    </row>
    <row r="22" spans="1:28" ht="12.75">
      <c r="A22" s="262"/>
      <c r="B22" s="262"/>
      <c r="C22" s="262"/>
      <c r="D22" s="262"/>
      <c r="E22" s="262"/>
      <c r="F22" s="262"/>
      <c r="G22" s="262"/>
      <c r="H22" s="262"/>
      <c r="I22" s="262"/>
      <c r="J22" s="262"/>
      <c r="K22" s="262"/>
      <c r="L22" s="262"/>
      <c r="M22" s="262"/>
      <c r="N22" s="262"/>
      <c r="O22" s="262"/>
      <c r="P22" s="262"/>
      <c r="Q22" s="262"/>
      <c r="R22" s="262"/>
      <c r="S22" s="262"/>
      <c r="T22" s="262"/>
      <c r="U22" s="262"/>
      <c r="V22" s="262"/>
      <c r="W22" s="262"/>
      <c r="X22" s="262"/>
      <c r="Y22" s="262"/>
      <c r="Z22" s="262"/>
      <c r="AA22" s="262"/>
      <c r="AB22" s="262"/>
    </row>
    <row r="23" spans="1:28" ht="12.75">
      <c r="A23" s="262"/>
      <c r="B23" s="262"/>
      <c r="C23" s="262"/>
      <c r="D23" s="262"/>
      <c r="E23" s="262"/>
      <c r="F23" s="262"/>
      <c r="G23" s="262"/>
      <c r="H23" s="262"/>
      <c r="I23" s="262"/>
      <c r="J23" s="262"/>
      <c r="K23" s="262"/>
      <c r="L23" s="262"/>
      <c r="M23" s="262"/>
      <c r="N23" s="262"/>
      <c r="O23" s="262"/>
      <c r="P23" s="262"/>
      <c r="Q23" s="262"/>
      <c r="R23" s="262"/>
      <c r="S23" s="262"/>
      <c r="T23" s="262"/>
      <c r="U23" s="262"/>
      <c r="V23" s="262"/>
      <c r="W23" s="262"/>
      <c r="X23" s="262"/>
      <c r="Y23" s="262"/>
      <c r="Z23" s="262"/>
      <c r="AA23" s="262"/>
      <c r="AB23" s="262"/>
    </row>
    <row r="24" spans="1:28" ht="12.75">
      <c r="A24" s="262"/>
      <c r="B24" s="262"/>
      <c r="C24" s="262"/>
      <c r="D24" s="262"/>
      <c r="E24" s="262"/>
      <c r="F24" s="262"/>
      <c r="G24" s="262"/>
      <c r="H24" s="262"/>
      <c r="I24" s="262"/>
      <c r="J24" s="262"/>
      <c r="K24" s="262"/>
      <c r="L24" s="262"/>
      <c r="M24" s="262"/>
      <c r="N24" s="262"/>
      <c r="O24" s="262"/>
      <c r="P24" s="262"/>
      <c r="Q24" s="262"/>
      <c r="R24" s="262"/>
      <c r="S24" s="262"/>
      <c r="T24" s="262"/>
      <c r="U24" s="262"/>
      <c r="V24" s="262"/>
      <c r="W24" s="262"/>
      <c r="X24" s="262"/>
      <c r="Y24" s="262"/>
      <c r="Z24" s="262"/>
      <c r="AA24" s="262"/>
      <c r="AB24" s="262"/>
    </row>
    <row r="25" spans="1:28" ht="12.75">
      <c r="A25" s="262"/>
      <c r="B25" s="262"/>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row>
    <row r="26" spans="1:28" ht="12.75" customHeight="1">
      <c r="A26" s="262"/>
      <c r="B26" s="262"/>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row>
    <row r="27" spans="1:28" ht="12.75">
      <c r="A27" s="262"/>
      <c r="B27" s="262"/>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row>
    <row r="28" spans="1:28" ht="12.75">
      <c r="A28" s="262"/>
      <c r="B28" s="262"/>
      <c r="C28" s="262"/>
      <c r="D28" s="262"/>
      <c r="E28" s="262"/>
      <c r="F28" s="262"/>
      <c r="G28" s="262"/>
      <c r="H28" s="262"/>
      <c r="I28" s="262"/>
      <c r="J28" s="262"/>
      <c r="K28" s="262"/>
      <c r="L28" s="262"/>
      <c r="M28" s="262"/>
      <c r="N28" s="262"/>
      <c r="O28" s="262"/>
      <c r="P28" s="262"/>
      <c r="Q28" s="262"/>
      <c r="R28" s="262"/>
      <c r="S28" s="262"/>
      <c r="T28" s="262"/>
      <c r="U28" s="262"/>
      <c r="V28" s="262"/>
      <c r="W28" s="262"/>
      <c r="X28" s="262"/>
      <c r="Y28" s="262"/>
      <c r="Z28" s="262"/>
      <c r="AA28" s="262"/>
      <c r="AB28" s="262"/>
    </row>
    <row r="29" spans="1:28" ht="12.75" customHeight="1">
      <c r="A29" s="262"/>
      <c r="B29" s="262"/>
      <c r="C29" s="262"/>
      <c r="D29" s="262"/>
      <c r="E29" s="262"/>
      <c r="F29" s="262"/>
      <c r="G29" s="262"/>
      <c r="H29" s="262"/>
      <c r="I29" s="262"/>
      <c r="J29" s="262"/>
      <c r="K29" s="262"/>
      <c r="L29" s="262"/>
      <c r="M29" s="262"/>
      <c r="N29" s="262"/>
      <c r="O29" s="262"/>
      <c r="P29" s="262"/>
      <c r="Q29" s="262"/>
      <c r="R29" s="262"/>
      <c r="S29" s="262"/>
      <c r="T29" s="262"/>
      <c r="U29" s="262"/>
      <c r="V29" s="262"/>
      <c r="W29" s="262"/>
      <c r="X29" s="262"/>
      <c r="Y29" s="262"/>
      <c r="Z29" s="262"/>
      <c r="AA29" s="262"/>
      <c r="AB29" s="262"/>
    </row>
    <row r="30" spans="1:28" ht="12.75">
      <c r="A30" s="262"/>
      <c r="B30" s="262"/>
      <c r="C30" s="262"/>
      <c r="D30" s="262"/>
      <c r="E30" s="262"/>
      <c r="F30" s="262"/>
      <c r="G30" s="262"/>
      <c r="H30" s="262"/>
      <c r="I30" s="262"/>
      <c r="J30" s="262"/>
      <c r="K30" s="262"/>
      <c r="L30" s="262"/>
      <c r="M30" s="262"/>
      <c r="N30" s="262"/>
      <c r="O30" s="262"/>
      <c r="P30" s="262"/>
      <c r="Q30" s="262"/>
      <c r="R30" s="262"/>
      <c r="S30" s="262"/>
      <c r="T30" s="262"/>
      <c r="U30" s="262"/>
      <c r="V30" s="262"/>
      <c r="W30" s="262"/>
      <c r="X30" s="262"/>
      <c r="Y30" s="262"/>
      <c r="Z30" s="262"/>
      <c r="AA30" s="262"/>
      <c r="AB30" s="262"/>
    </row>
    <row r="31" spans="1:28" ht="12.75">
      <c r="A31" s="262"/>
      <c r="B31" s="262"/>
      <c r="C31" s="262"/>
      <c r="D31" s="262"/>
      <c r="E31" s="262"/>
      <c r="F31" s="262"/>
      <c r="G31" s="262"/>
      <c r="H31" s="262"/>
      <c r="I31" s="262"/>
      <c r="J31" s="262"/>
      <c r="K31" s="262"/>
      <c r="L31" s="262"/>
      <c r="M31" s="262"/>
      <c r="N31" s="262"/>
      <c r="O31" s="262"/>
      <c r="P31" s="262"/>
      <c r="Q31" s="262"/>
      <c r="R31" s="262"/>
      <c r="S31" s="262"/>
      <c r="T31" s="262"/>
      <c r="U31" s="262"/>
      <c r="V31" s="262"/>
      <c r="W31" s="262"/>
      <c r="X31" s="262"/>
      <c r="Y31" s="262"/>
      <c r="Z31" s="262"/>
      <c r="AA31" s="262"/>
      <c r="AB31" s="262"/>
    </row>
    <row r="32" spans="1:28" ht="12.75">
      <c r="A32" s="262"/>
      <c r="B32" s="262"/>
      <c r="C32" s="262"/>
      <c r="D32" s="262"/>
      <c r="E32" s="262"/>
      <c r="F32" s="262"/>
      <c r="G32" s="262"/>
      <c r="H32" s="262"/>
      <c r="I32" s="262"/>
      <c r="J32" s="262"/>
      <c r="K32" s="262"/>
      <c r="L32" s="262"/>
      <c r="M32" s="262"/>
      <c r="N32" s="262"/>
      <c r="O32" s="262"/>
      <c r="P32" s="262"/>
      <c r="Q32" s="262"/>
      <c r="R32" s="262"/>
      <c r="S32" s="262"/>
      <c r="T32" s="262"/>
      <c r="U32" s="262"/>
      <c r="V32" s="262"/>
      <c r="W32" s="262"/>
      <c r="X32" s="262"/>
      <c r="Y32" s="262"/>
      <c r="Z32" s="262"/>
      <c r="AA32" s="262"/>
      <c r="AB32" s="262"/>
    </row>
    <row r="33" spans="1:28" ht="12.75" customHeight="1">
      <c r="A33" s="262"/>
      <c r="B33" s="262"/>
      <c r="C33" s="262"/>
      <c r="D33" s="262"/>
      <c r="E33" s="262"/>
      <c r="F33" s="262"/>
      <c r="G33" s="262"/>
      <c r="H33" s="262"/>
      <c r="I33" s="262"/>
      <c r="J33" s="262"/>
      <c r="K33" s="262"/>
      <c r="L33" s="262"/>
      <c r="M33" s="262"/>
      <c r="N33" s="262"/>
      <c r="O33" s="262"/>
      <c r="P33" s="262"/>
      <c r="Q33" s="262"/>
      <c r="R33" s="262"/>
      <c r="S33" s="262"/>
      <c r="T33" s="262"/>
      <c r="U33" s="262"/>
      <c r="V33" s="262"/>
      <c r="W33" s="262"/>
      <c r="X33" s="262"/>
      <c r="Y33" s="262"/>
      <c r="Z33" s="262"/>
      <c r="AA33" s="262"/>
      <c r="AB33" s="262"/>
    </row>
    <row r="34" spans="1:28" ht="14.25">
      <c r="A34" s="268"/>
      <c r="B34" s="907" t="s">
        <v>505</v>
      </c>
      <c r="C34" s="907"/>
      <c r="D34" s="907"/>
      <c r="E34" s="907"/>
      <c r="F34" s="907"/>
      <c r="G34" s="907"/>
      <c r="H34" s="907"/>
      <c r="I34" s="907"/>
      <c r="J34" s="907"/>
      <c r="K34" s="907"/>
      <c r="L34" s="907"/>
      <c r="M34" s="907"/>
      <c r="N34" s="907"/>
      <c r="O34" s="268"/>
      <c r="P34" s="907" t="s">
        <v>506</v>
      </c>
      <c r="Q34" s="907"/>
      <c r="R34" s="907"/>
      <c r="S34" s="907"/>
      <c r="T34" s="907"/>
      <c r="U34" s="907"/>
      <c r="V34" s="907"/>
      <c r="W34" s="907"/>
      <c r="X34" s="907"/>
      <c r="Y34" s="907"/>
      <c r="Z34" s="907"/>
      <c r="AA34" s="907"/>
      <c r="AB34" s="907"/>
    </row>
    <row r="35" spans="1:28" ht="12.75" customHeight="1">
      <c r="A35" s="262"/>
      <c r="O35" s="262"/>
    </row>
    <row r="36" spans="1:28" s="264" customFormat="1" ht="12.95" customHeight="1">
      <c r="A36" s="270"/>
      <c r="O36" s="270"/>
    </row>
    <row r="37" spans="1:28" ht="12.75" customHeight="1">
      <c r="G37" s="271"/>
      <c r="U37" s="271"/>
    </row>
    <row r="38" spans="1:28" ht="12.75" customHeight="1">
      <c r="G38" s="271"/>
      <c r="U38" s="271"/>
    </row>
    <row r="39" spans="1:28" ht="12.75">
      <c r="A39" s="262"/>
      <c r="B39" s="262"/>
      <c r="C39" s="262"/>
      <c r="D39" s="262"/>
      <c r="E39" s="262"/>
      <c r="F39" s="262"/>
      <c r="G39" s="262"/>
      <c r="H39" s="262"/>
      <c r="I39" s="262"/>
      <c r="J39" s="262"/>
      <c r="K39" s="262"/>
      <c r="L39" s="262"/>
      <c r="M39" s="262"/>
      <c r="N39" s="262"/>
      <c r="O39" s="262"/>
      <c r="P39" s="262"/>
      <c r="Q39" s="262"/>
      <c r="R39" s="262"/>
      <c r="S39" s="262"/>
      <c r="T39" s="262"/>
      <c r="U39" s="262"/>
      <c r="V39" s="262"/>
      <c r="W39" s="262"/>
      <c r="X39" s="262"/>
      <c r="Y39" s="262"/>
      <c r="Z39" s="262"/>
      <c r="AA39" s="262"/>
      <c r="AB39" s="262"/>
    </row>
    <row r="40" spans="1:28" ht="12.75">
      <c r="A40" s="262"/>
      <c r="B40" s="262"/>
      <c r="C40" s="262"/>
      <c r="D40" s="262"/>
      <c r="E40" s="262"/>
      <c r="F40" s="262"/>
      <c r="G40" s="262"/>
      <c r="H40" s="262"/>
      <c r="I40" s="262"/>
      <c r="J40" s="262"/>
      <c r="K40" s="262"/>
      <c r="L40" s="262"/>
      <c r="M40" s="262"/>
      <c r="N40" s="262"/>
      <c r="O40" s="262"/>
      <c r="P40" s="262"/>
      <c r="Q40" s="262"/>
      <c r="R40" s="262"/>
      <c r="S40" s="262"/>
      <c r="T40" s="262"/>
      <c r="U40" s="262"/>
      <c r="V40" s="262"/>
      <c r="W40" s="262"/>
      <c r="X40" s="262"/>
      <c r="Y40" s="262"/>
      <c r="Z40" s="262"/>
      <c r="AA40" s="262"/>
      <c r="AB40" s="262"/>
    </row>
    <row r="41" spans="1:28" ht="12.75">
      <c r="A41" s="262"/>
      <c r="B41" s="262"/>
      <c r="C41" s="262"/>
      <c r="D41" s="262"/>
      <c r="E41" s="262"/>
      <c r="F41" s="262"/>
      <c r="G41" s="262"/>
      <c r="H41" s="262"/>
      <c r="I41" s="262"/>
      <c r="J41" s="262"/>
      <c r="K41" s="262"/>
      <c r="L41" s="262"/>
      <c r="M41" s="262"/>
      <c r="N41" s="262"/>
      <c r="O41" s="262"/>
      <c r="P41" s="262"/>
      <c r="Q41" s="262"/>
      <c r="R41" s="262"/>
      <c r="S41" s="262"/>
      <c r="T41" s="262"/>
      <c r="U41" s="262"/>
      <c r="V41" s="262"/>
      <c r="W41" s="262"/>
      <c r="X41" s="262"/>
      <c r="Y41" s="262"/>
      <c r="Z41" s="262"/>
      <c r="AA41" s="262"/>
      <c r="AB41" s="262"/>
    </row>
    <row r="42" spans="1:28" ht="12.75">
      <c r="A42" s="262"/>
      <c r="B42" s="262"/>
      <c r="C42" s="262"/>
      <c r="D42" s="262"/>
      <c r="E42" s="262"/>
      <c r="F42" s="262"/>
      <c r="G42" s="262"/>
      <c r="H42" s="262"/>
      <c r="I42" s="262"/>
      <c r="J42" s="262"/>
      <c r="K42" s="262"/>
      <c r="L42" s="262"/>
      <c r="M42" s="262"/>
      <c r="N42" s="262"/>
      <c r="O42" s="262"/>
      <c r="P42" s="262"/>
      <c r="Q42" s="262"/>
      <c r="R42" s="262"/>
      <c r="S42" s="262"/>
      <c r="T42" s="262"/>
      <c r="U42" s="262"/>
      <c r="V42" s="262"/>
      <c r="W42" s="262"/>
      <c r="X42" s="262"/>
      <c r="Y42" s="262"/>
      <c r="Z42" s="262"/>
      <c r="AA42" s="262"/>
      <c r="AB42" s="262"/>
    </row>
    <row r="43" spans="1:28" ht="12.75">
      <c r="A43" s="262"/>
      <c r="B43" s="262"/>
      <c r="C43" s="262"/>
      <c r="D43" s="262"/>
      <c r="E43" s="262"/>
      <c r="F43" s="262"/>
      <c r="G43" s="262"/>
      <c r="H43" s="262"/>
      <c r="I43" s="262"/>
      <c r="J43" s="262"/>
      <c r="K43" s="262"/>
      <c r="L43" s="262"/>
      <c r="M43" s="262"/>
      <c r="N43" s="262"/>
      <c r="O43" s="262"/>
      <c r="P43" s="262"/>
      <c r="Q43" s="262"/>
      <c r="R43" s="262"/>
      <c r="S43" s="262"/>
      <c r="T43" s="262"/>
      <c r="U43" s="262"/>
      <c r="V43" s="262"/>
      <c r="W43" s="262"/>
      <c r="X43" s="262"/>
      <c r="Y43" s="262"/>
      <c r="Z43" s="262"/>
      <c r="AA43" s="262"/>
      <c r="AB43" s="262"/>
    </row>
    <row r="44" spans="1:28" ht="12.75">
      <c r="A44" s="262"/>
      <c r="B44" s="262"/>
      <c r="C44" s="262"/>
      <c r="D44" s="262"/>
      <c r="E44" s="262"/>
      <c r="F44" s="262"/>
      <c r="G44" s="262"/>
      <c r="H44" s="262"/>
      <c r="I44" s="262"/>
      <c r="J44" s="262"/>
      <c r="K44" s="262"/>
      <c r="L44" s="262"/>
      <c r="M44" s="262"/>
      <c r="N44" s="262"/>
      <c r="O44" s="262"/>
      <c r="P44" s="262"/>
      <c r="Q44" s="262"/>
      <c r="R44" s="262"/>
      <c r="S44" s="262"/>
      <c r="T44" s="262"/>
      <c r="U44" s="262"/>
      <c r="V44" s="262"/>
      <c r="W44" s="262"/>
      <c r="X44" s="262"/>
      <c r="Y44" s="262"/>
      <c r="Z44" s="262"/>
      <c r="AA44" s="262"/>
      <c r="AB44" s="262"/>
    </row>
    <row r="45" spans="1:28" ht="12.75">
      <c r="A45" s="262"/>
      <c r="B45" s="262"/>
      <c r="C45" s="262"/>
      <c r="D45" s="262"/>
      <c r="E45" s="262"/>
      <c r="F45" s="262"/>
      <c r="G45" s="262"/>
      <c r="H45" s="262"/>
      <c r="I45" s="262"/>
      <c r="J45" s="262"/>
      <c r="K45" s="262"/>
      <c r="L45" s="262"/>
      <c r="M45" s="262"/>
      <c r="N45" s="262"/>
      <c r="O45" s="262"/>
      <c r="P45" s="262"/>
      <c r="Q45" s="262"/>
      <c r="R45" s="262"/>
      <c r="S45" s="262"/>
      <c r="T45" s="262"/>
      <c r="U45" s="262"/>
      <c r="V45" s="262"/>
      <c r="W45" s="262"/>
      <c r="X45" s="262"/>
      <c r="Y45" s="262"/>
      <c r="Z45" s="262"/>
      <c r="AA45" s="262"/>
      <c r="AB45" s="262"/>
    </row>
    <row r="46" spans="1:28" ht="12.75">
      <c r="A46" s="262"/>
      <c r="O46" s="262"/>
    </row>
    <row r="47" spans="1:28" ht="12.75">
      <c r="A47" s="262"/>
      <c r="B47" s="262"/>
      <c r="C47" s="906"/>
      <c r="D47" s="906"/>
      <c r="E47" s="906"/>
      <c r="F47" s="906"/>
      <c r="G47" s="906"/>
      <c r="I47" s="262"/>
      <c r="J47" s="906"/>
      <c r="K47" s="906"/>
      <c r="L47" s="906"/>
      <c r="M47" s="906"/>
      <c r="N47" s="906"/>
      <c r="O47" s="262"/>
      <c r="P47" s="262"/>
      <c r="Q47" s="906"/>
      <c r="R47" s="906"/>
      <c r="S47" s="906"/>
      <c r="T47" s="906"/>
      <c r="U47" s="906"/>
      <c r="W47" s="262"/>
      <c r="X47" s="906"/>
      <c r="Y47" s="906"/>
      <c r="Z47" s="906"/>
      <c r="AA47" s="906"/>
      <c r="AB47" s="906"/>
    </row>
    <row r="48" spans="1:28" ht="12.75" customHeight="1">
      <c r="A48" s="262"/>
      <c r="B48" s="262"/>
      <c r="C48" s="262"/>
      <c r="D48" s="262"/>
      <c r="E48" s="262"/>
      <c r="L48" s="262"/>
      <c r="M48" s="262"/>
      <c r="N48" s="262"/>
      <c r="O48" s="262"/>
      <c r="P48" s="262"/>
      <c r="Q48" s="262"/>
      <c r="R48" s="262"/>
      <c r="AA48" s="262"/>
      <c r="AB48" s="262"/>
    </row>
    <row r="49" spans="1:28" ht="12.75" customHeight="1">
      <c r="A49" s="262"/>
      <c r="O49" s="262"/>
    </row>
    <row r="50" spans="1:28" ht="12.75" customHeight="1">
      <c r="A50" s="262"/>
      <c r="O50" s="262"/>
    </row>
    <row r="51" spans="1:28" ht="12.75">
      <c r="A51" s="262"/>
      <c r="O51" s="262"/>
    </row>
    <row r="52" spans="1:28" ht="12.75">
      <c r="A52" s="262"/>
      <c r="B52" s="262"/>
      <c r="C52" s="262"/>
      <c r="D52" s="262"/>
      <c r="E52" s="262"/>
      <c r="F52" s="262"/>
      <c r="G52" s="262"/>
      <c r="H52" s="262"/>
      <c r="I52" s="262"/>
      <c r="J52" s="262"/>
      <c r="K52" s="262"/>
      <c r="L52" s="262"/>
      <c r="M52" s="262"/>
      <c r="N52" s="262"/>
      <c r="O52" s="262"/>
      <c r="P52" s="262"/>
      <c r="Q52" s="262"/>
      <c r="R52" s="262"/>
      <c r="S52" s="262"/>
      <c r="T52" s="262"/>
      <c r="U52" s="262"/>
      <c r="V52" s="262"/>
      <c r="W52" s="262"/>
      <c r="X52" s="262"/>
      <c r="Y52" s="262"/>
      <c r="Z52" s="262"/>
      <c r="AA52" s="262"/>
      <c r="AB52" s="262"/>
    </row>
    <row r="53" spans="1:28" ht="12.75">
      <c r="A53" s="262"/>
      <c r="B53" s="262"/>
      <c r="C53" s="262"/>
      <c r="D53" s="262"/>
      <c r="E53" s="262"/>
      <c r="F53" s="262"/>
      <c r="G53" s="262"/>
      <c r="H53" s="262"/>
      <c r="I53" s="262"/>
      <c r="J53" s="262"/>
      <c r="K53" s="262"/>
      <c r="L53" s="262"/>
      <c r="M53" s="262"/>
      <c r="N53" s="262"/>
      <c r="O53" s="262"/>
      <c r="P53" s="262"/>
      <c r="Q53" s="262"/>
      <c r="R53" s="262"/>
      <c r="S53" s="262"/>
      <c r="T53" s="262"/>
      <c r="U53" s="262"/>
      <c r="V53" s="262"/>
      <c r="W53" s="262"/>
      <c r="X53" s="262"/>
      <c r="Y53" s="262"/>
      <c r="Z53" s="262"/>
      <c r="AA53" s="262"/>
      <c r="AB53" s="262"/>
    </row>
    <row r="54" spans="1:28" ht="12.75">
      <c r="A54" s="262"/>
      <c r="B54" s="262"/>
      <c r="C54" s="262"/>
      <c r="D54" s="262"/>
      <c r="E54" s="262"/>
      <c r="F54" s="262"/>
      <c r="G54" s="262"/>
      <c r="H54" s="262"/>
      <c r="I54" s="262"/>
      <c r="J54" s="262"/>
      <c r="K54" s="262"/>
      <c r="L54" s="262"/>
      <c r="M54" s="262"/>
      <c r="N54" s="262"/>
      <c r="O54" s="262"/>
      <c r="P54" s="262"/>
      <c r="Q54" s="262"/>
      <c r="R54" s="262"/>
      <c r="S54" s="262"/>
      <c r="T54" s="262"/>
      <c r="U54" s="262"/>
      <c r="V54" s="262"/>
      <c r="W54" s="262"/>
      <c r="X54" s="262"/>
      <c r="Y54" s="262"/>
      <c r="Z54" s="262"/>
      <c r="AA54" s="262"/>
      <c r="AB54" s="262"/>
    </row>
    <row r="55" spans="1:28" ht="12.75">
      <c r="A55" s="262"/>
      <c r="B55" s="262"/>
      <c r="C55" s="262"/>
      <c r="D55" s="262"/>
      <c r="E55" s="262"/>
      <c r="F55" s="262"/>
      <c r="G55" s="262"/>
      <c r="H55" s="262"/>
      <c r="I55" s="262"/>
      <c r="J55" s="262"/>
      <c r="K55" s="262"/>
      <c r="L55" s="262"/>
      <c r="M55" s="262"/>
      <c r="N55" s="262"/>
      <c r="O55" s="262"/>
      <c r="P55" s="262"/>
      <c r="Q55" s="262"/>
      <c r="R55" s="262"/>
      <c r="S55" s="262"/>
      <c r="T55" s="262"/>
      <c r="U55" s="262"/>
      <c r="V55" s="262"/>
      <c r="W55" s="262"/>
      <c r="X55" s="262"/>
      <c r="Y55" s="262"/>
      <c r="Z55" s="262"/>
      <c r="AA55" s="262"/>
      <c r="AB55" s="262"/>
    </row>
    <row r="56" spans="1:28" ht="12.75">
      <c r="A56" s="262"/>
      <c r="B56" s="262"/>
      <c r="C56" s="262"/>
      <c r="D56" s="262"/>
      <c r="E56" s="262"/>
      <c r="F56" s="262"/>
      <c r="G56" s="262"/>
      <c r="H56" s="262"/>
      <c r="I56" s="262"/>
      <c r="J56" s="262"/>
      <c r="K56" s="262"/>
      <c r="L56" s="262"/>
      <c r="M56" s="262"/>
      <c r="N56" s="262"/>
      <c r="O56" s="262"/>
      <c r="P56" s="262"/>
      <c r="Q56" s="262"/>
      <c r="R56" s="262"/>
      <c r="S56" s="262"/>
      <c r="T56" s="262"/>
      <c r="U56" s="262"/>
      <c r="V56" s="262"/>
      <c r="W56" s="262"/>
      <c r="X56" s="262"/>
      <c r="Y56" s="262"/>
      <c r="Z56" s="262"/>
      <c r="AA56" s="262"/>
      <c r="AB56" s="262"/>
    </row>
    <row r="57" spans="1:28" ht="12.75" customHeight="1">
      <c r="A57" s="262"/>
      <c r="B57" s="262"/>
      <c r="C57" s="262"/>
      <c r="D57" s="262"/>
      <c r="E57" s="262"/>
      <c r="F57" s="262"/>
      <c r="G57" s="262"/>
      <c r="H57" s="262"/>
      <c r="I57" s="262"/>
      <c r="J57" s="262"/>
      <c r="K57" s="262"/>
      <c r="L57" s="262"/>
      <c r="M57" s="262"/>
      <c r="N57" s="262"/>
      <c r="O57" s="262"/>
      <c r="P57" s="262"/>
      <c r="Q57" s="262"/>
      <c r="R57" s="262"/>
      <c r="S57" s="262"/>
      <c r="T57" s="262"/>
      <c r="U57" s="262"/>
      <c r="V57" s="262"/>
      <c r="W57" s="262"/>
      <c r="X57" s="262"/>
      <c r="Y57" s="262"/>
      <c r="Z57" s="262"/>
      <c r="AA57" s="262"/>
      <c r="AB57" s="262"/>
    </row>
    <row r="58" spans="1:28" ht="12.75" customHeight="1">
      <c r="A58" s="262"/>
      <c r="B58" s="262"/>
      <c r="C58" s="262"/>
      <c r="D58" s="262"/>
      <c r="E58" s="262"/>
      <c r="F58" s="262"/>
      <c r="M58" s="262"/>
      <c r="N58" s="262"/>
      <c r="O58" s="262"/>
      <c r="P58" s="262"/>
      <c r="Q58" s="262"/>
      <c r="R58" s="262"/>
      <c r="S58" s="262"/>
      <c r="T58" s="262"/>
      <c r="U58" s="262"/>
      <c r="V58" s="262"/>
      <c r="W58" s="262"/>
      <c r="X58" s="262"/>
      <c r="Y58" s="262"/>
      <c r="Z58" s="262"/>
      <c r="AA58" s="262"/>
      <c r="AB58" s="262"/>
    </row>
    <row r="59" spans="1:28" ht="12.75" customHeight="1">
      <c r="A59" s="262"/>
      <c r="O59" s="262"/>
    </row>
    <row r="60" spans="1:28" ht="12.75" customHeight="1">
      <c r="A60" s="268"/>
      <c r="B60" s="268"/>
      <c r="C60" s="269"/>
      <c r="D60" s="269"/>
      <c r="E60" s="269"/>
      <c r="F60" s="269"/>
      <c r="G60" s="262"/>
      <c r="H60" s="268"/>
      <c r="I60" s="268"/>
      <c r="J60" s="268"/>
      <c r="K60" s="269"/>
      <c r="L60" s="269"/>
      <c r="M60" s="269"/>
      <c r="N60" s="269"/>
      <c r="O60" s="268"/>
      <c r="P60" s="268"/>
      <c r="Q60" s="269"/>
      <c r="R60" s="269"/>
      <c r="S60" s="269"/>
      <c r="T60" s="269"/>
      <c r="U60" s="262"/>
      <c r="V60" s="268"/>
      <c r="W60" s="268"/>
      <c r="X60" s="268"/>
      <c r="Y60" s="269"/>
      <c r="Z60" s="269"/>
      <c r="AA60" s="269"/>
      <c r="AB60" s="269"/>
    </row>
    <row r="61" spans="1:28" ht="12.75" customHeight="1">
      <c r="A61" s="268"/>
      <c r="B61" s="268"/>
      <c r="C61" s="269"/>
      <c r="D61" s="269"/>
      <c r="E61" s="269"/>
      <c r="F61" s="269"/>
      <c r="G61" s="262"/>
      <c r="H61" s="268"/>
      <c r="I61" s="268"/>
      <c r="J61" s="268"/>
      <c r="K61" s="269"/>
      <c r="L61" s="269"/>
      <c r="M61" s="269"/>
      <c r="N61" s="269"/>
      <c r="O61" s="268"/>
      <c r="P61" s="268"/>
      <c r="Q61" s="269"/>
      <c r="R61" s="269"/>
      <c r="S61" s="269"/>
      <c r="T61" s="269"/>
      <c r="U61" s="262"/>
      <c r="V61" s="268"/>
      <c r="W61" s="268"/>
      <c r="X61" s="268"/>
      <c r="Y61" s="269"/>
      <c r="Z61" s="269"/>
      <c r="AA61" s="269"/>
      <c r="AB61" s="269"/>
    </row>
    <row r="62" spans="1:28" ht="12.75" customHeight="1">
      <c r="A62" s="262"/>
      <c r="B62" s="262"/>
      <c r="C62" s="262"/>
      <c r="D62" s="262"/>
      <c r="E62" s="262"/>
      <c r="F62" s="262"/>
      <c r="G62" s="262"/>
      <c r="H62" s="262"/>
      <c r="I62" s="262"/>
      <c r="J62" s="262"/>
      <c r="K62" s="262"/>
      <c r="L62" s="262"/>
      <c r="M62" s="262"/>
      <c r="N62" s="262"/>
      <c r="O62" s="262"/>
      <c r="P62" s="262"/>
      <c r="Q62" s="262"/>
      <c r="R62" s="262"/>
      <c r="S62" s="262"/>
      <c r="T62" s="262"/>
      <c r="U62" s="262"/>
      <c r="V62" s="262"/>
      <c r="W62" s="262"/>
      <c r="X62" s="262"/>
      <c r="Y62" s="262"/>
      <c r="Z62" s="262"/>
      <c r="AA62" s="262"/>
      <c r="AB62" s="262"/>
    </row>
    <row r="63" spans="1:28" s="264" customFormat="1" ht="12.75" customHeight="1">
      <c r="A63" s="270"/>
      <c r="B63" s="268"/>
      <c r="C63" s="271"/>
      <c r="D63" s="269"/>
      <c r="E63" s="271"/>
      <c r="F63" s="271"/>
      <c r="G63" s="271"/>
      <c r="H63" s="271"/>
      <c r="I63" s="271"/>
      <c r="J63" s="271"/>
      <c r="K63" s="271"/>
      <c r="L63" s="271"/>
      <c r="M63" s="271"/>
      <c r="N63" s="271"/>
      <c r="O63" s="270"/>
      <c r="P63" s="262"/>
      <c r="Q63" s="265"/>
      <c r="R63" s="265"/>
      <c r="S63" s="265"/>
      <c r="T63" s="265"/>
      <c r="U63" s="265"/>
      <c r="V63" s="265"/>
      <c r="W63" s="262"/>
      <c r="X63" s="265"/>
      <c r="Y63" s="265"/>
      <c r="Z63" s="265"/>
      <c r="AA63" s="265"/>
      <c r="AB63" s="265"/>
    </row>
    <row r="64" spans="1:28" ht="12.75" customHeight="1">
      <c r="W64" s="262"/>
      <c r="X64" s="906"/>
      <c r="Y64" s="906"/>
      <c r="Z64" s="906"/>
      <c r="AA64" s="906"/>
      <c r="AB64" s="906"/>
    </row>
    <row r="65" ht="12.75" customHeight="1"/>
    <row r="66" ht="12.75"/>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sheetData>
  <mergeCells count="17">
    <mergeCell ref="J1:N1"/>
    <mergeCell ref="X1:AB1"/>
    <mergeCell ref="A2:B2"/>
    <mergeCell ref="O2:P2"/>
    <mergeCell ref="B4:N4"/>
    <mergeCell ref="P4:AB4"/>
    <mergeCell ref="C21:G21"/>
    <mergeCell ref="J21:N21"/>
    <mergeCell ref="Q21:U21"/>
    <mergeCell ref="X21:AB21"/>
    <mergeCell ref="B34:N34"/>
    <mergeCell ref="P34:AB34"/>
    <mergeCell ref="C47:G47"/>
    <mergeCell ref="J47:N47"/>
    <mergeCell ref="Q47:U47"/>
    <mergeCell ref="X47:AB47"/>
    <mergeCell ref="X64:AB64"/>
  </mergeCells>
  <printOptions horizontalCentered="1" verticalCentered="1"/>
  <pageMargins left="0" right="0" top="0" bottom="0" header="0" footer="0"/>
  <pageSetup paperSize="9" orientation="portrait" r:id="rId1"/>
  <headerFooter alignWithMargins="0"/>
  <colBreaks count="2" manualBreakCount="2">
    <brk id="15" max="1048575" man="1"/>
    <brk id="28"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4:M21"/>
  <sheetViews>
    <sheetView topLeftCell="C1" workbookViewId="0">
      <selection activeCell="H21" sqref="H21"/>
    </sheetView>
  </sheetViews>
  <sheetFormatPr baseColWidth="10" defaultColWidth="11.42578125" defaultRowHeight="15"/>
  <cols>
    <col min="3" max="3" width="41.140625" bestFit="1" customWidth="1"/>
    <col min="4" max="4" width="23.7109375" bestFit="1" customWidth="1"/>
    <col min="5" max="5" width="24.85546875" customWidth="1"/>
    <col min="6" max="6" width="17.7109375" customWidth="1"/>
    <col min="7" max="7" width="22.5703125" customWidth="1"/>
    <col min="8" max="8" width="15.7109375" bestFit="1" customWidth="1"/>
    <col min="11" max="11" width="15.85546875" bestFit="1" customWidth="1"/>
  </cols>
  <sheetData>
    <row r="4" spans="1:13">
      <c r="A4" s="1" t="s">
        <v>1</v>
      </c>
      <c r="B4" t="s">
        <v>12</v>
      </c>
      <c r="C4" t="s">
        <v>27</v>
      </c>
      <c r="D4" t="s">
        <v>33</v>
      </c>
      <c r="E4" t="s">
        <v>10</v>
      </c>
      <c r="F4" t="s">
        <v>9</v>
      </c>
      <c r="G4" t="s">
        <v>48</v>
      </c>
      <c r="H4" t="s">
        <v>56</v>
      </c>
      <c r="I4" t="s">
        <v>70</v>
      </c>
      <c r="J4" t="s">
        <v>75</v>
      </c>
      <c r="K4" t="s">
        <v>79</v>
      </c>
      <c r="L4" t="s">
        <v>86</v>
      </c>
      <c r="M4" t="s">
        <v>116</v>
      </c>
    </row>
    <row r="5" spans="1:13">
      <c r="A5" t="s">
        <v>25</v>
      </c>
      <c r="B5" t="s">
        <v>43</v>
      </c>
      <c r="C5" t="s">
        <v>28</v>
      </c>
      <c r="D5" t="s">
        <v>34</v>
      </c>
      <c r="E5" t="s">
        <v>34</v>
      </c>
      <c r="F5" t="s">
        <v>45</v>
      </c>
      <c r="G5" t="s">
        <v>51</v>
      </c>
      <c r="H5" t="s">
        <v>59</v>
      </c>
      <c r="I5" t="s">
        <v>71</v>
      </c>
      <c r="J5" s="7">
        <v>0.1</v>
      </c>
      <c r="K5" t="s">
        <v>25</v>
      </c>
      <c r="L5" t="s">
        <v>87</v>
      </c>
      <c r="M5" t="s">
        <v>71</v>
      </c>
    </row>
    <row r="6" spans="1:13">
      <c r="A6" t="s">
        <v>26</v>
      </c>
      <c r="B6" t="s">
        <v>85</v>
      </c>
      <c r="C6" t="s">
        <v>29</v>
      </c>
      <c r="D6" t="s">
        <v>35</v>
      </c>
      <c r="E6" t="s">
        <v>35</v>
      </c>
      <c r="F6" t="s">
        <v>46</v>
      </c>
      <c r="G6" t="s">
        <v>49</v>
      </c>
      <c r="H6" t="s">
        <v>60</v>
      </c>
      <c r="I6" t="s">
        <v>72</v>
      </c>
      <c r="J6" s="7">
        <v>0.2</v>
      </c>
      <c r="K6" t="s">
        <v>84</v>
      </c>
      <c r="L6" t="s">
        <v>72</v>
      </c>
      <c r="M6" t="s">
        <v>72</v>
      </c>
    </row>
    <row r="7" spans="1:13">
      <c r="C7" t="s">
        <v>30</v>
      </c>
      <c r="D7" t="s">
        <v>36</v>
      </c>
      <c r="E7" t="s">
        <v>44</v>
      </c>
      <c r="F7" t="s">
        <v>47</v>
      </c>
      <c r="G7" t="s">
        <v>53</v>
      </c>
      <c r="H7" t="s">
        <v>61</v>
      </c>
      <c r="I7" t="s">
        <v>73</v>
      </c>
      <c r="J7" s="7">
        <v>0.3</v>
      </c>
    </row>
    <row r="8" spans="1:13">
      <c r="C8" t="s">
        <v>82</v>
      </c>
      <c r="D8" t="s">
        <v>37</v>
      </c>
      <c r="E8" t="s">
        <v>36</v>
      </c>
      <c r="G8" t="s">
        <v>50</v>
      </c>
      <c r="H8" t="s">
        <v>62</v>
      </c>
      <c r="J8" s="7">
        <v>0.4</v>
      </c>
    </row>
    <row r="9" spans="1:13">
      <c r="C9" t="s">
        <v>83</v>
      </c>
      <c r="D9" t="s">
        <v>38</v>
      </c>
      <c r="E9" t="s">
        <v>40</v>
      </c>
      <c r="G9" t="s">
        <v>52</v>
      </c>
      <c r="H9" t="s">
        <v>63</v>
      </c>
      <c r="J9" s="7">
        <v>0.5</v>
      </c>
    </row>
    <row r="10" spans="1:13">
      <c r="C10" t="s">
        <v>80</v>
      </c>
      <c r="D10" t="s">
        <v>39</v>
      </c>
      <c r="E10" t="s">
        <v>41</v>
      </c>
      <c r="H10" t="s">
        <v>64</v>
      </c>
      <c r="J10" s="7">
        <v>0.6</v>
      </c>
    </row>
    <row r="11" spans="1:13">
      <c r="C11" t="s">
        <v>31</v>
      </c>
      <c r="D11" t="s">
        <v>40</v>
      </c>
      <c r="E11" t="s">
        <v>118</v>
      </c>
      <c r="H11" t="s">
        <v>65</v>
      </c>
      <c r="J11" s="7">
        <v>0.7</v>
      </c>
    </row>
    <row r="12" spans="1:13">
      <c r="C12" t="s">
        <v>81</v>
      </c>
      <c r="D12" t="s">
        <v>41</v>
      </c>
      <c r="H12" t="s">
        <v>66</v>
      </c>
      <c r="J12" s="7">
        <v>0.8</v>
      </c>
    </row>
    <row r="13" spans="1:13">
      <c r="C13" t="s">
        <v>32</v>
      </c>
      <c r="D13" t="s">
        <v>42</v>
      </c>
      <c r="H13" t="s">
        <v>67</v>
      </c>
      <c r="J13" s="7">
        <v>0.9</v>
      </c>
    </row>
    <row r="14" spans="1:13">
      <c r="D14" t="s">
        <v>120</v>
      </c>
      <c r="H14" t="s">
        <v>68</v>
      </c>
      <c r="J14" s="7">
        <v>1</v>
      </c>
    </row>
    <row r="15" spans="1:13">
      <c r="H15" t="s">
        <v>123</v>
      </c>
    </row>
    <row r="16" spans="1:13">
      <c r="H16" t="s">
        <v>119</v>
      </c>
    </row>
    <row r="17" spans="8:8">
      <c r="H17" t="s">
        <v>121</v>
      </c>
    </row>
    <row r="18" spans="8:8">
      <c r="H18" t="s">
        <v>122</v>
      </c>
    </row>
    <row r="19" spans="8:8">
      <c r="H19" t="s">
        <v>124</v>
      </c>
    </row>
    <row r="20" spans="8:8">
      <c r="H20" t="s">
        <v>125</v>
      </c>
    </row>
    <row r="21" spans="8:8">
      <c r="H21" t="s">
        <v>126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12"/>
  <sheetViews>
    <sheetView zoomScale="80" zoomScaleNormal="80" workbookViewId="0">
      <selection activeCell="D19" sqref="D19:E20"/>
    </sheetView>
  </sheetViews>
  <sheetFormatPr baseColWidth="10" defaultColWidth="11.42578125" defaultRowHeight="15"/>
  <cols>
    <col min="1" max="1" width="11.42578125" style="3"/>
    <col min="2" max="2" width="19.85546875" style="3" customWidth="1"/>
    <col min="3" max="3" width="15.140625" style="3" bestFit="1" customWidth="1"/>
    <col min="4" max="5" width="83" style="3" customWidth="1"/>
    <col min="6" max="16384" width="11.42578125" style="3"/>
  </cols>
  <sheetData>
    <row r="2" spans="2:10" ht="15" customHeight="1">
      <c r="B2" s="11"/>
      <c r="C2" s="11"/>
      <c r="D2" s="11"/>
      <c r="E2" s="11"/>
      <c r="F2" s="11"/>
      <c r="G2" s="11"/>
      <c r="H2" s="11"/>
      <c r="I2" s="11"/>
      <c r="J2" s="11"/>
    </row>
    <row r="3" spans="2:10" ht="15" customHeight="1">
      <c r="B3" s="11" t="s">
        <v>89</v>
      </c>
      <c r="C3" s="11"/>
      <c r="D3" s="11"/>
      <c r="E3" s="11"/>
      <c r="F3" s="11"/>
      <c r="G3" s="11"/>
      <c r="H3" s="11"/>
      <c r="I3" s="11"/>
      <c r="J3" s="11"/>
    </row>
    <row r="4" spans="2:10" ht="15" customHeight="1">
      <c r="B4" s="11"/>
      <c r="C4" s="11"/>
      <c r="D4" s="11"/>
      <c r="E4" s="11"/>
      <c r="F4" s="11"/>
      <c r="G4" s="11"/>
      <c r="H4" s="11"/>
      <c r="I4" s="11"/>
      <c r="J4" s="11"/>
    </row>
    <row r="5" spans="2:10" ht="15" customHeight="1">
      <c r="B5" s="15" t="s">
        <v>90</v>
      </c>
      <c r="C5" s="15" t="s">
        <v>91</v>
      </c>
      <c r="D5" s="15" t="s">
        <v>92</v>
      </c>
      <c r="E5" s="15" t="s">
        <v>93</v>
      </c>
      <c r="F5" s="11"/>
      <c r="G5" s="11"/>
      <c r="H5" s="11"/>
      <c r="I5" s="11"/>
      <c r="J5" s="11"/>
    </row>
    <row r="6" spans="2:10" ht="15" customHeight="1">
      <c r="B6" s="12" t="s">
        <v>94</v>
      </c>
      <c r="C6" s="13">
        <v>0.4</v>
      </c>
      <c r="D6" s="14" t="s">
        <v>95</v>
      </c>
      <c r="E6" s="14" t="s">
        <v>96</v>
      </c>
      <c r="F6" s="11"/>
      <c r="G6" s="11"/>
      <c r="H6" s="11"/>
      <c r="I6" s="11"/>
      <c r="J6" s="11"/>
    </row>
    <row r="7" spans="2:10" ht="15" customHeight="1">
      <c r="B7" s="12" t="s">
        <v>97</v>
      </c>
      <c r="C7" s="13">
        <v>0.1</v>
      </c>
      <c r="D7" s="14" t="s">
        <v>98</v>
      </c>
      <c r="E7" s="14" t="s">
        <v>99</v>
      </c>
      <c r="F7" s="11"/>
      <c r="G7" s="11"/>
      <c r="H7" s="11"/>
      <c r="I7" s="11"/>
      <c r="J7" s="11"/>
    </row>
    <row r="8" spans="2:10" ht="36" customHeight="1">
      <c r="B8" s="12" t="s">
        <v>100</v>
      </c>
      <c r="C8" s="13">
        <v>0.1</v>
      </c>
      <c r="D8" s="14" t="s">
        <v>101</v>
      </c>
      <c r="E8" s="14" t="s">
        <v>102</v>
      </c>
      <c r="F8" s="11"/>
      <c r="G8" s="11"/>
      <c r="H8" s="11"/>
      <c r="I8" s="11"/>
      <c r="J8" s="11"/>
    </row>
    <row r="9" spans="2:10" ht="15.75">
      <c r="B9" s="12" t="s">
        <v>103</v>
      </c>
      <c r="C9" s="13">
        <v>0.1</v>
      </c>
      <c r="D9" s="14" t="s">
        <v>104</v>
      </c>
      <c r="E9" s="14" t="s">
        <v>105</v>
      </c>
    </row>
    <row r="10" spans="2:10" ht="31.5">
      <c r="B10" s="12" t="s">
        <v>106</v>
      </c>
      <c r="C10" s="13">
        <v>0.1</v>
      </c>
      <c r="D10" s="14" t="s">
        <v>107</v>
      </c>
      <c r="E10" s="14" t="s">
        <v>108</v>
      </c>
    </row>
    <row r="11" spans="2:10" ht="15.75">
      <c r="B11" s="12" t="s">
        <v>109</v>
      </c>
      <c r="C11" s="13">
        <v>0.1</v>
      </c>
      <c r="D11" s="14" t="s">
        <v>110</v>
      </c>
      <c r="E11" s="14" t="s">
        <v>111</v>
      </c>
    </row>
    <row r="12" spans="2:10" ht="15.75">
      <c r="B12" s="12" t="s">
        <v>112</v>
      </c>
      <c r="C12" s="13">
        <v>0.1</v>
      </c>
      <c r="D12" s="14" t="s">
        <v>113</v>
      </c>
      <c r="E12" s="14" t="s">
        <v>114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
  <sheetViews>
    <sheetView workbookViewId="0"/>
  </sheetViews>
  <sheetFormatPr baseColWidth="10" defaultColWidth="11.425781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35014E4A08D9E4BAFAD87B0E1D87A2B" ma:contentTypeVersion="16" ma:contentTypeDescription="Create a new document." ma:contentTypeScope="" ma:versionID="cd12ae66cee893b5434c388e58bc59aa">
  <xsd:schema xmlns:xsd="http://www.w3.org/2001/XMLSchema" xmlns:xs="http://www.w3.org/2001/XMLSchema" xmlns:p="http://schemas.microsoft.com/office/2006/metadata/properties" xmlns:ns3="55710c24-6893-4622-bafa-18dc05e2254d" xmlns:ns4="ad628db6-e35e-42d9-8960-17b5b7f814f3" targetNamespace="http://schemas.microsoft.com/office/2006/metadata/properties" ma:root="true" ma:fieldsID="62a7099c6b327d8f9bab4c05f667c750" ns3:_="" ns4:_="">
    <xsd:import namespace="55710c24-6893-4622-bafa-18dc05e2254d"/>
    <xsd:import namespace="ad628db6-e35e-42d9-8960-17b5b7f814f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LengthInSecond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_activity"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10c24-6893-4622-bafa-18dc05e2254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628db6-e35e-42d9-8960-17b5b7f814f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d628db6-e35e-42d9-8960-17b5b7f814f3" xsi:nil="true"/>
  </documentManagement>
</p:properties>
</file>

<file path=customXml/itemProps1.xml><?xml version="1.0" encoding="utf-8"?>
<ds:datastoreItem xmlns:ds="http://schemas.openxmlformats.org/officeDocument/2006/customXml" ds:itemID="{2463D752-33DA-4943-B727-6C2695DFB5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10c24-6893-4622-bafa-18dc05e2254d"/>
    <ds:schemaRef ds:uri="ad628db6-e35e-42d9-8960-17b5b7f814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9FFF21-2AF4-44FF-871C-47EB0DFFCBC4}">
  <ds:schemaRefs>
    <ds:schemaRef ds:uri="http://schemas.microsoft.com/sharepoint/v3/contenttype/forms"/>
  </ds:schemaRefs>
</ds:datastoreItem>
</file>

<file path=customXml/itemProps3.xml><?xml version="1.0" encoding="utf-8"?>
<ds:datastoreItem xmlns:ds="http://schemas.openxmlformats.org/officeDocument/2006/customXml" ds:itemID="{2A57D486-7A3B-4D61-A126-5CA924C43AC1}">
  <ds:schemaRefs>
    <ds:schemaRef ds:uri="http://schemas.microsoft.com/office/2006/metadata/properties"/>
    <ds:schemaRef ds:uri="http://schemas.microsoft.com/office/infopath/2007/PartnerControls"/>
    <ds:schemaRef ds:uri="ad628db6-e35e-42d9-8960-17b5b7f814f3"/>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5</vt:i4>
      </vt:variant>
    </vt:vector>
  </HeadingPairs>
  <TitlesOfParts>
    <vt:vector size="13" baseType="lpstr">
      <vt:lpstr>Formato (HR)</vt:lpstr>
      <vt:lpstr>MEMORIA</vt:lpstr>
      <vt:lpstr>C2</vt:lpstr>
      <vt:lpstr>FOTO</vt:lpstr>
      <vt:lpstr>SUSTENTO DE UBICACION</vt:lpstr>
      <vt:lpstr>Lista desplegable</vt:lpstr>
      <vt:lpstr>Criterio y peso estado inmueble</vt:lpstr>
      <vt:lpstr>Hoja3</vt:lpstr>
      <vt:lpstr>'C2'!Área_de_impresión</vt:lpstr>
      <vt:lpstr>'Formato (HR)'!Área_de_impresión</vt:lpstr>
      <vt:lpstr>FOTO!Área_de_impresión</vt:lpstr>
      <vt:lpstr>MEMORIA!Área_de_impresión</vt:lpstr>
      <vt:lpstr>MEMORIA!Títulos_a_imprimir</vt:lpstr>
    </vt:vector>
  </TitlesOfParts>
  <Manager/>
  <Company>Interbank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Interbank</dc:creator>
  <cp:keywords/>
  <dc:description/>
  <cp:lastModifiedBy>Nevha Corilla</cp:lastModifiedBy>
  <cp:lastPrinted>2025-04-25T22:10:10Z</cp:lastPrinted>
  <dcterms:created xsi:type="dcterms:W3CDTF">2019-06-04T13:40:27Z</dcterms:created>
  <dcterms:modified xsi:type="dcterms:W3CDTF">2026-08-03T05:03:43Z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0x010100B35014E4A08D9E4BAFAD87B0E1D87A2B</vt:lpwstr>
  </property>
</Properties>
</file>